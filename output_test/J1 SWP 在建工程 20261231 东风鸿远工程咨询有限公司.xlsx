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SA592SS\OneDrive - EY CHINA\桌面\"/>
    </mc:Choice>
  </mc:AlternateContent>
  <xr:revisionPtr revIDLastSave="0" documentId="8_{B5A5B928-1299-4C08-9B1F-66D166FB1B52}" xr6:coauthVersionLast="47" xr6:coauthVersionMax="47" xr10:uidLastSave="{00000000-0000-0000-0000-000000000000}"/>
  <bookViews>
    <workbookView minimized="1" xWindow="5140" yWindow="3360" windowWidth="14400" windowHeight="8260" tabRatio="898" xr2:uid="{00000000-000D-0000-FFFF-FFFF00000000}"/>
  </bookViews>
  <sheets>
    <sheet name="汇总" sheetId="73" r:id="rId1"/>
    <sheet name="SkywindSettingSheet" sheetId="31" state="veryHidden" r:id="rId2"/>
    <sheet name="J.00  Lead Sheet" sheetId="74" r:id="rId3"/>
    <sheet name="J.01 Agree SL to GL" sheetId="75" r:id="rId4"/>
    <sheet name="CIP List" sheetId="79" r:id="rId5"/>
    <sheet name="J.02.1 CIP additions(TOD)" sheetId="69" r:id="rId6"/>
    <sheet name="J.02.1a 新增选样输出" sheetId="85" r:id="rId7"/>
    <sheet name="新增清单" sheetId="60" r:id="rId8"/>
    <sheet name="J.02.2 CIP transfer (TOD)" sheetId="70" r:id="rId9"/>
    <sheet name=" J.02.2a 转出选样输出" sheetId="86" r:id="rId10"/>
    <sheet name="转出清单" sheetId="77" r:id="rId11"/>
    <sheet name="J.03 CIP长期挂账" sheetId="66" r:id="rId12"/>
  </sheets>
  <definedNames>
    <definedName name="_____dod1" localSheetId="9" hidden="1">{#N/A,#N/A,TRUE,"CPRD";#N/A,#N/A,TRUE,"BCCPDR";#N/A,#N/A,TRUE,"EWRD";#N/A,#N/A,TRUE,"5100";#N/A,#N/A,TRUE,"5110"}</definedName>
    <definedName name="_____dod1" localSheetId="6" hidden="1">{#N/A,#N/A,TRUE,"CPRD";#N/A,#N/A,TRUE,"BCCPDR";#N/A,#N/A,TRUE,"EWRD";#N/A,#N/A,TRUE,"5100";#N/A,#N/A,TRUE,"5110"}</definedName>
    <definedName name="_____dod1" hidden="1">{#N/A,#N/A,TRUE,"CPRD";#N/A,#N/A,TRUE,"BCCPDR";#N/A,#N/A,TRUE,"EWRD";#N/A,#N/A,TRUE,"5100";#N/A,#N/A,TRUE,"5110"}</definedName>
    <definedName name="____dod1" localSheetId="9" hidden="1">{#N/A,#N/A,TRUE,"CPRD";#N/A,#N/A,TRUE,"BCCPDR";#N/A,#N/A,TRUE,"EWRD";#N/A,#N/A,TRUE,"5100";#N/A,#N/A,TRUE,"5110"}</definedName>
    <definedName name="____dod1" localSheetId="6" hidden="1">{#N/A,#N/A,TRUE,"CPRD";#N/A,#N/A,TRUE,"BCCPDR";#N/A,#N/A,TRUE,"EWRD";#N/A,#N/A,TRUE,"5100";#N/A,#N/A,TRUE,"5110"}</definedName>
    <definedName name="____dod1" hidden="1">{#N/A,#N/A,TRUE,"CPRD";#N/A,#N/A,TRUE,"BCCPDR";#N/A,#N/A,TRUE,"EWRD";#N/A,#N/A,TRUE,"5100";#N/A,#N/A,TRUE,"5110"}</definedName>
    <definedName name="___dod1" localSheetId="9" hidden="1">{#N/A,#N/A,TRUE,"CPRD";#N/A,#N/A,TRUE,"BCCPDR";#N/A,#N/A,TRUE,"EWRD";#N/A,#N/A,TRUE,"5100";#N/A,#N/A,TRUE,"5110"}</definedName>
    <definedName name="___dod1" localSheetId="6" hidden="1">{#N/A,#N/A,TRUE,"CPRD";#N/A,#N/A,TRUE,"BCCPDR";#N/A,#N/A,TRUE,"EWRD";#N/A,#N/A,TRUE,"5100";#N/A,#N/A,TRUE,"5110"}</definedName>
    <definedName name="___dod1" hidden="1">{#N/A,#N/A,TRUE,"CPRD";#N/A,#N/A,TRUE,"BCCPDR";#N/A,#N/A,TRUE,"EWRD";#N/A,#N/A,TRUE,"5100";#N/A,#N/A,TRUE,"5110"}</definedName>
    <definedName name="___dog1" localSheetId="9" hidden="1">{#N/A,#N/A,TRUE,"CPRD";#N/A,#N/A,TRUE,"BCCPDR";#N/A,#N/A,TRUE,"EWRD";#N/A,#N/A,TRUE,"5100";#N/A,#N/A,TRUE,"5110"}</definedName>
    <definedName name="___dog1" localSheetId="6"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localSheetId="9" hidden="1">{#N/A,#N/A,TRUE,"CPRD";#N/A,#N/A,TRUE,"BCCPDR";#N/A,#N/A,TRUE,"EWRD";#N/A,#N/A,TRUE,"5100";#N/A,#N/A,TRUE,"5110"}</definedName>
    <definedName name="__dod1" localSheetId="6" hidden="1">{#N/A,#N/A,TRUE,"CPRD";#N/A,#N/A,TRUE,"BCCPDR";#N/A,#N/A,TRUE,"EWRD";#N/A,#N/A,TRUE,"5100";#N/A,#N/A,TRUE,"5110"}</definedName>
    <definedName name="__dod1" hidden="1">{#N/A,#N/A,TRUE,"CPRD";#N/A,#N/A,TRUE,"BCCPDR";#N/A,#N/A,TRUE,"EWRD";#N/A,#N/A,TRUE,"5100";#N/A,#N/A,TRUE,"5110"}</definedName>
    <definedName name="__dog1" localSheetId="9" hidden="1">{#N/A,#N/A,TRUE,"CPRD";#N/A,#N/A,TRUE,"BCCPDR";#N/A,#N/A,TRUE,"EWRD";#N/A,#N/A,TRUE,"5100";#N/A,#N/A,TRUE,"5110"}</definedName>
    <definedName name="__dog1" localSheetId="6" hidden="1">{#N/A,#N/A,TRUE,"CPRD";#N/A,#N/A,TRUE,"BCCPDR";#N/A,#N/A,TRUE,"EWRD";#N/A,#N/A,TRUE,"5100";#N/A,#N/A,TRUE,"5110"}</definedName>
    <definedName name="__dog1" hidden="1">{#N/A,#N/A,TRUE,"CPRD";#N/A,#N/A,TRUE,"BCCPDR";#N/A,#N/A,TRUE,"EWRD";#N/A,#N/A,TRUE,"5100";#N/A,#N/A,TRUE,"5110"}</definedName>
    <definedName name="__IntlFixup" hidden="1">TRUE</definedName>
    <definedName name="_dod1" localSheetId="9" hidden="1">{#N/A,#N/A,TRUE,"CPRD";#N/A,#N/A,TRUE,"BCCPDR";#N/A,#N/A,TRUE,"EWRD";#N/A,#N/A,TRUE,"5100";#N/A,#N/A,TRUE,"5110"}</definedName>
    <definedName name="_dod1" localSheetId="6" hidden="1">{#N/A,#N/A,TRUE,"CPRD";#N/A,#N/A,TRUE,"BCCPDR";#N/A,#N/A,TRUE,"EWRD";#N/A,#N/A,TRUE,"5100";#N/A,#N/A,TRUE,"5110"}</definedName>
    <definedName name="_dod1" hidden="1">{#N/A,#N/A,TRUE,"CPRD";#N/A,#N/A,TRUE,"BCCPDR";#N/A,#N/A,TRUE,"EWRD";#N/A,#N/A,TRUE,"5100";#N/A,#N/A,TRUE,"5110"}</definedName>
    <definedName name="_dog1" localSheetId="9" hidden="1">{#N/A,#N/A,TRUE,"CPRD";#N/A,#N/A,TRUE,"BCCPDR";#N/A,#N/A,TRUE,"EWRD";#N/A,#N/A,TRUE,"5100";#N/A,#N/A,TRUE,"5110"}</definedName>
    <definedName name="_dog1" localSheetId="6" hidden="1">{#N/A,#N/A,TRUE,"CPRD";#N/A,#N/A,TRUE,"BCCPDR";#N/A,#N/A,TRUE,"EWRD";#N/A,#N/A,TRUE,"5100";#N/A,#N/A,TRUE,"5110"}</definedName>
    <definedName name="_dog1" hidden="1">{#N/A,#N/A,TRUE,"CPRD";#N/A,#N/A,TRUE,"BCCPDR";#N/A,#N/A,TRUE,"EWRD";#N/A,#N/A,TRUE,"5100";#N/A,#N/A,TRUE,"5110"}</definedName>
    <definedName name="_Fill" hidden="1">#REF!</definedName>
    <definedName name="_xlnm._FilterDatabase" localSheetId="3" hidden="1">'J.01 Agree SL to GL'!$C$12:$K$37</definedName>
    <definedName name="_xlnm._FilterDatabase" hidden="1">#REF!</definedName>
    <definedName name="_Key1" hidden="1">#REF!</definedName>
    <definedName name="_Key2" hidden="1">#REF!</definedName>
    <definedName name="_Order1" hidden="1">255</definedName>
    <definedName name="_Order2" hidden="1">255</definedName>
    <definedName name="_Sort" hidden="1">#REF!</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localSheetId="9" hidden="1">{#N/A,#N/A,TRUE,"CPRD";#N/A,#N/A,TRUE,"BCCPDR";#N/A,#N/A,TRUE,"EWRD";#N/A,#N/A,TRUE,"5100";#N/A,#N/A,TRUE,"5110"}</definedName>
    <definedName name="ass" localSheetId="6"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ddd" localSheetId="6" hidden="1">{#N/A,#N/A,TRUE,"CPRD";#N/A,#N/A,TRUE,"BCCPDR";#N/A,#N/A,TRUE,"EWRD";#N/A,#N/A,TRUE,"5100";#N/A,#N/A,TRUE,"5110"}</definedName>
    <definedName name="doddd" hidden="1">{#N/A,#N/A,TRUE,"CPRD";#N/A,#N/A,TRUE,"BCCPDR";#N/A,#N/A,TRUE,"EWRD";#N/A,#N/A,TRUE,"5100";#N/A,#N/A,TRUE,"5110"}</definedName>
    <definedName name="dog" localSheetId="9" hidden="1">{#N/A,#N/A,TRUE,"CPRD";#N/A,#N/A,TRUE,"BCCPDR";#N/A,#N/A,TRUE,"EWRD";#N/A,#N/A,TRUE,"5100";#N/A,#N/A,TRUE,"5110"}</definedName>
    <definedName name="dog" localSheetId="6" hidden="1">{#N/A,#N/A,TRUE,"CPRD";#N/A,#N/A,TRUE,"BCCPDR";#N/A,#N/A,TRUE,"EWRD";#N/A,#N/A,TRUE,"5100";#N/A,#N/A,TRUE,"5110"}</definedName>
    <definedName name="dog" hidden="1">{#N/A,#N/A,TRUE,"CPRD";#N/A,#N/A,TRUE,"BCCPDR";#N/A,#N/A,TRUE,"EWRD";#N/A,#N/A,TRUE,"5100";#N/A,#N/A,TRUE,"5110"}</definedName>
    <definedName name="ehdg" localSheetId="9" hidden="1">{#N/A,#N/A,FALSE,"Jan"}</definedName>
    <definedName name="ehdg" localSheetId="6" hidden="1">{#N/A,#N/A,FALSE,"Jan"}</definedName>
    <definedName name="ehdg" hidden="1">{#N/A,#N/A,FALSE,"Jan"}</definedName>
    <definedName name="EV__LASTREFTIME__" hidden="1">39274.4724884259</definedName>
    <definedName name="ExpenseUpload" localSheetId="9" hidden="1">{#N/A,#N/A,TRUE,"CPRD";#N/A,#N/A,TRUE,"BCCPDR";#N/A,#N/A,TRUE,"EWRD";#N/A,#N/A,TRUE,"5100";#N/A,#N/A,TRUE,"5110"}</definedName>
    <definedName name="ExpenseUpload" localSheetId="6" hidden="1">{#N/A,#N/A,TRUE,"CPRD";#N/A,#N/A,TRUE,"BCCPDR";#N/A,#N/A,TRUE,"EWRD";#N/A,#N/A,TRUE,"5100";#N/A,#N/A,TRUE,"5110"}</definedName>
    <definedName name="ExpenseUpload" hidden="1">{#N/A,#N/A,TRUE,"CPRD";#N/A,#N/A,TRUE,"BCCPDR";#N/A,#N/A,TRUE,"EWRD";#N/A,#N/A,TRUE,"5100";#N/A,#N/A,TRUE,"5110"}</definedName>
    <definedName name="HdctTrnd" localSheetId="9" hidden="1">{#N/A,#N/A,TRUE,"CPRD";#N/A,#N/A,TRUE,"BCCPDR";#N/A,#N/A,TRUE,"EWRD";#N/A,#N/A,TRUE,"5100";#N/A,#N/A,TRUE,"5110"}</definedName>
    <definedName name="HdctTrnd" localSheetId="6"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9" hidden="1">{"'Vxxe_times_J750 (2)'!$A$3:$E$14"}</definedName>
    <definedName name="HTML_Control" localSheetId="6"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9" hidden="1">{#N/A,#N/A,TRUE,"CPRD";#N/A,#N/A,TRUE,"BCCPDR";#N/A,#N/A,TRUE,"EWRD";#N/A,#N/A,TRUE,"5100";#N/A,#N/A,TRUE,"5110"}</definedName>
    <definedName name="notused" localSheetId="6" hidden="1">{#N/A,#N/A,TRUE,"CPRD";#N/A,#N/A,TRUE,"BCCPDR";#N/A,#N/A,TRUE,"EWRD";#N/A,#N/A,TRUE,"5100";#N/A,#N/A,TRUE,"5110"}</definedName>
    <definedName name="notused" hidden="1">{#N/A,#N/A,TRUE,"CPRD";#N/A,#N/A,TRUE,"BCCPDR";#N/A,#N/A,TRUE,"EWRD";#N/A,#N/A,TRUE,"5100";#N/A,#N/A,TRUE,"5110"}</definedName>
    <definedName name="qwertyuiopasdfghjkl" localSheetId="9" hidden="1">{"M2aPrint",#N/A,FALSE,"M2a"}</definedName>
    <definedName name="qwertyuiopasdfghjkl" localSheetId="6" hidden="1">{"M2aPrint",#N/A,FALSE,"M2a"}</definedName>
    <definedName name="qwertyuiopasdfghjkl" hidden="1">{"M2aPrint",#N/A,FALSE,"M2a"}</definedName>
    <definedName name="qwwertyuiop" localSheetId="9" hidden="1">{"M2Print",#N/A,FALSE,"M2"}</definedName>
    <definedName name="qwwertyuiop" localSheetId="6"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localSheetId="9"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9" hidden="1">{#N/A,#N/A,FALSE,"SUM";#N/A,#N/A,FALSE,"SK_TOT";#N/A,#N/A,FALSE,"YM";#N/A,#N/A,FALSE,"TSMC";#N/A,#N/A,FALSE,"ICW";#N/A,#N/A,FALSE,"Sheet1"}</definedName>
    <definedName name="wrn.ALL." localSheetId="6" hidden="1">{#N/A,#N/A,FALSE,"SUM";#N/A,#N/A,FALSE,"SK_TOT";#N/A,#N/A,FALSE,"YM";#N/A,#N/A,FALSE,"TSMC";#N/A,#N/A,FALSE,"ICW";#N/A,#N/A,FALSE,"Sheet1"}</definedName>
    <definedName name="wrn.ALL."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9" hidden="1">{#N/A,#N/A,FALSE,"Deposits by day"}</definedName>
    <definedName name="wrn.Deposit._.By._.Day." localSheetId="6" hidden="1">{#N/A,#N/A,FALSE,"Deposits by day"}</definedName>
    <definedName name="wrn.Deposit._.By._.Day." hidden="1">{#N/A,#N/A,FALSE,"Deposits by day"}</definedName>
    <definedName name="wrn.Deptartment._.Expenses." localSheetId="9" hidden="1">{#N/A,#N/A,TRUE,"CPRD";#N/A,#N/A,TRUE,"BCCPDR";#N/A,#N/A,TRUE,"EWRD";#N/A,#N/A,TRUE,"5100";#N/A,#N/A,TRUE,"5110"}</definedName>
    <definedName name="wrn.Deptartment._.Expenses." localSheetId="6" hidden="1">{#N/A,#N/A,TRUE,"CPRD";#N/A,#N/A,TRUE,"BCCPDR";#N/A,#N/A,TRUE,"EWRD";#N/A,#N/A,TRUE,"5100";#N/A,#N/A,TRUE,"5110"}</definedName>
    <definedName name="wrn.Deptartment._.Expenses." hidden="1">{#N/A,#N/A,TRUE,"CPRD";#N/A,#N/A,TRUE,"BCCPDR";#N/A,#N/A,TRUE,"EWRD";#N/A,#N/A,TRUE,"5100";#N/A,#N/A,TRUE,"5110"}</definedName>
    <definedName name="wrn.jan." localSheetId="9" hidden="1">{#N/A,#N/A,FALSE,"Jan"}</definedName>
    <definedName name="wrn.jan." localSheetId="6" hidden="1">{#N/A,#N/A,FALSE,"Jan"}</definedName>
    <definedName name="wrn.jan." hidden="1">{#N/A,#N/A,FALSE,"Jan"}</definedName>
    <definedName name="wrn.M1._.Operating._.Statement." localSheetId="9" hidden="1">{"M1Print",#N/A,FALSE,"M1"}</definedName>
    <definedName name="wrn.M1._.Operating._.Statement." localSheetId="6" hidden="1">{"M1Print",#N/A,FALSE,"M1"}</definedName>
    <definedName name="wrn.M1._.Operating._.Statement." hidden="1">{"M1Print",#N/A,FALSE,"M1"}</definedName>
    <definedName name="wrn.M1s._.Statistics." localSheetId="9" hidden="1">{"M1sPrint",#N/A,FALSE,"M1s"}</definedName>
    <definedName name="wrn.M1s._.Statistics." localSheetId="6" hidden="1">{"M1sPrint",#N/A,FALSE,"M1s"}</definedName>
    <definedName name="wrn.M1s._.Statistics." hidden="1">{"M1sPrint",#N/A,FALSE,"M1s"}</definedName>
    <definedName name="wrn.M2._.Balance._.Sheet." localSheetId="9" hidden="1">{"M2Print",#N/A,FALSE,"M2"}</definedName>
    <definedName name="wrn.M2._.Balance._.Sheet." localSheetId="6" hidden="1">{"M2Print",#N/A,FALSE,"M2"}</definedName>
    <definedName name="wrn.M2._.Balance._.Sheet." hidden="1">{"M2Print",#N/A,FALSE,"M2"}</definedName>
    <definedName name="wrn.M2a._.Cashflow." localSheetId="9" hidden="1">{"M2aPrint",#N/A,FALSE,"M2a"}</definedName>
    <definedName name="wrn.M2a._.Cashflow." localSheetId="6" hidden="1">{"M2aPrint",#N/A,FALSE,"M2a"}</definedName>
    <definedName name="wrn.M2a._.Cashflow." hidden="1">{"M2aPrint",#N/A,FALSE,"M2a"}</definedName>
    <definedName name="wrn.M4._.Inventories." localSheetId="9" hidden="1">{"M4Print",#N/A,FALSE,"M4"}</definedName>
    <definedName name="wrn.M4._.Inventories." localSheetId="6" hidden="1">{"M4Print",#N/A,FALSE,"M4"}</definedName>
    <definedName name="wrn.M4._.Inventories." hidden="1">{"M4Print",#N/A,FALSE,"M4"}</definedName>
    <definedName name="wrn.M5._.Flash._.and._.Forecast." localSheetId="9" hidden="1">{"M5Print",#N/A,FALSE,"M5"}</definedName>
    <definedName name="wrn.M5._.Flash._.and._.Forecast." localSheetId="6" hidden="1">{"M5Print",#N/A,FALSE,"M5"}</definedName>
    <definedName name="wrn.M5._.Flash._.and._.Forecast." hidden="1">{"M5Print",#N/A,FALSE,"M5"}</definedName>
    <definedName name="wrn.M6._.Management._.Summary." localSheetId="9" hidden="1">{"M6Print",#N/A,FALSE,"M6";"M6_1Print",#N/A,FALSE,"M6_1";"M6_2Print",#N/A,FALSE,"M6_2"}</definedName>
    <definedName name="wrn.M6._.Management._.Summary." localSheetId="6" hidden="1">{"M6Print",#N/A,FALSE,"M6";"M6_1Print",#N/A,FALSE,"M6_1";"M6_2Print",#N/A,FALSE,"M6_2"}</definedName>
    <definedName name="wrn.M6._.Management._.Summary." hidden="1">{"M6Print",#N/A,FALSE,"M6";"M6_1Print",#N/A,FALSE,"M6_1";"M6_2Print",#N/A,FALSE,"M6_2"}</definedName>
    <definedName name="wrn.M7._.Financial._.Controllers._.report." localSheetId="9" hidden="1">{"M7_1Print",#N/A,TRUE,"M7_1";"M7_2Print",#N/A,TRUE,"M7_2"}</definedName>
    <definedName name="wrn.M7._.Financial._.Controllers._.report." localSheetId="6" hidden="1">{"M7_1Print",#N/A,TRUE,"M7_1";"M7_2Print",#N/A,TRUE,"M7_2"}</definedName>
    <definedName name="wrn.M7._.Financial._.Controllers._.report." hidden="1">{"M7_1Print",#N/A,TRUE,"M7_1";"M7_2Print",#N/A,TRUE,"M7_2"}</definedName>
    <definedName name="wrn.ytd." localSheetId="9" hidden="1">{#N/A,#N/A,FALSE,"YTD"}</definedName>
    <definedName name="wrn.ytd." localSheetId="6" hidden="1">{#N/A,#N/A,FALSE,"YTD"}</definedName>
    <definedName name="wrn.ytd." hidden="1">{#N/A,#N/A,FALSE,"YTD"}</definedName>
    <definedName name="wrnn.all." localSheetId="9" hidden="1">{#N/A,#N/A,FALSE,"SUM";#N/A,#N/A,FALSE,"SK_TOT";#N/A,#N/A,FALSE,"YM";#N/A,#N/A,FALSE,"TSMC";#N/A,#N/A,FALSE,"ICW";#N/A,#N/A,FALSE,"Sheet1"}</definedName>
    <definedName name="wrnn.all." localSheetId="6"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localSheetId="9" hidden="1">{"M1Print",#N/A,FALSE,"M1"}</definedName>
    <definedName name="xzxsfd" localSheetId="6" hidden="1">{"M1Print",#N/A,FALSE,"M1"}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localSheetId="9" hidden="1">{"M1sPrint",#N/A,FALSE,"M1s"}</definedName>
    <definedName name="苛" localSheetId="6"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74" l="1"/>
  <c r="E42" i="74"/>
  <c r="F50" i="70"/>
  <c r="F64" i="70"/>
  <c r="J43" i="74"/>
  <c r="E43" i="74"/>
  <c r="G17" i="75"/>
  <c r="G24" i="75" s="1"/>
  <c r="F62" i="70"/>
  <c r="F58" i="70"/>
  <c r="F54" i="70"/>
  <c r="C13" i="69"/>
  <c r="E17" i="75"/>
  <c r="E45" i="74" s="1"/>
  <c r="E22" i="75"/>
  <c r="E46" i="74" s="1"/>
  <c r="G46" i="74" s="1"/>
  <c r="E24" i="75"/>
  <c r="E29" i="75"/>
  <c r="K13" i="75"/>
  <c r="K14" i="75"/>
  <c r="K15" i="75"/>
  <c r="K16" i="75"/>
  <c r="K17" i="75"/>
  <c r="K24" i="75" s="1"/>
  <c r="K19" i="75"/>
  <c r="K22" i="75" s="1"/>
  <c r="K20" i="75"/>
  <c r="K21" i="75"/>
  <c r="G22" i="75"/>
  <c r="I17" i="75"/>
  <c r="I22" i="75"/>
  <c r="H46" i="74" s="1"/>
  <c r="I24" i="75"/>
  <c r="J45" i="74"/>
  <c r="H45" i="74"/>
  <c r="F46" i="74"/>
  <c r="E27" i="75"/>
  <c r="E34" i="75"/>
  <c r="C14" i="69"/>
  <c r="F14" i="69" s="1"/>
  <c r="D16" i="74"/>
  <c r="D17" i="74"/>
  <c r="D18" i="74"/>
  <c r="D19" i="74"/>
  <c r="D20" i="74"/>
  <c r="E16" i="74"/>
  <c r="C33" i="74"/>
  <c r="L34" i="70"/>
  <c r="L35" i="70"/>
  <c r="D13" i="70"/>
  <c r="F65" i="70" s="1"/>
  <c r="D17" i="70"/>
  <c r="L33" i="70"/>
  <c r="L36" i="70"/>
  <c r="L37" i="70"/>
  <c r="K33" i="69"/>
  <c r="K32" i="69"/>
  <c r="K36" i="69"/>
  <c r="K35" i="69"/>
  <c r="K34" i="69"/>
  <c r="C17" i="69"/>
  <c r="R44" i="31"/>
  <c r="R43" i="31"/>
  <c r="R42" i="31"/>
  <c r="R41" i="31"/>
  <c r="F71" i="31"/>
  <c r="F70" i="31"/>
  <c r="F69" i="31"/>
  <c r="F68" i="31"/>
  <c r="F67" i="31"/>
  <c r="F66" i="31"/>
  <c r="F65" i="31"/>
  <c r="F64" i="31"/>
  <c r="F63" i="31"/>
  <c r="R40" i="31"/>
  <c r="R39" i="31"/>
  <c r="R38" i="31"/>
  <c r="R37" i="31"/>
  <c r="R36" i="31"/>
  <c r="R35" i="31"/>
  <c r="R34" i="31"/>
  <c r="R33" i="31"/>
  <c r="R32" i="31"/>
  <c r="R31" i="31"/>
  <c r="R30" i="31"/>
  <c r="R29" i="31"/>
  <c r="R28" i="31"/>
  <c r="R27" i="31"/>
  <c r="R26" i="31"/>
  <c r="R25" i="31"/>
  <c r="R24" i="31"/>
  <c r="R23" i="31"/>
  <c r="R22" i="31"/>
  <c r="R21" i="31"/>
  <c r="R20" i="31"/>
  <c r="R19" i="31"/>
  <c r="R18" i="31"/>
  <c r="R17" i="31"/>
  <c r="R16" i="31"/>
  <c r="R15" i="31"/>
  <c r="F43" i="31"/>
  <c r="F42" i="31"/>
  <c r="F41" i="31"/>
  <c r="F40" i="31"/>
  <c r="F39" i="31"/>
  <c r="F38" i="31"/>
  <c r="F37" i="31"/>
  <c r="F36" i="31"/>
  <c r="F35" i="31"/>
  <c r="F34" i="31"/>
  <c r="F33" i="31"/>
  <c r="F32" i="31"/>
  <c r="F31" i="31"/>
  <c r="F30" i="31"/>
  <c r="F29" i="31"/>
  <c r="F28" i="31"/>
  <c r="F27" i="31"/>
  <c r="F26" i="31"/>
  <c r="F25" i="31"/>
  <c r="F24" i="31"/>
  <c r="F23" i="31"/>
  <c r="F22" i="31"/>
  <c r="F21" i="31"/>
  <c r="F20" i="31"/>
  <c r="F19" i="31"/>
  <c r="F18" i="31"/>
  <c r="F17" i="31"/>
  <c r="F16" i="31"/>
  <c r="F15" i="31"/>
  <c r="F14" i="31"/>
  <c r="F13" i="31"/>
  <c r="F12" i="31"/>
  <c r="F11" i="31"/>
  <c r="F10" i="31"/>
  <c r="H48" i="74" l="1"/>
  <c r="I46" i="74"/>
  <c r="F66" i="70"/>
  <c r="E48" i="74"/>
  <c r="F45" i="74"/>
  <c r="F48" i="74" s="1"/>
  <c r="D14" i="70"/>
  <c r="H14" i="70" s="1"/>
  <c r="L45" i="74"/>
  <c r="J46" i="74"/>
  <c r="L46" i="74" s="1"/>
  <c r="G45" i="74" l="1"/>
  <c r="K46" i="74"/>
  <c r="N46" i="74" s="1"/>
  <c r="J48" i="74"/>
  <c r="L48" i="74" l="1"/>
  <c r="J52" i="74"/>
  <c r="G48" i="74"/>
  <c r="G52" i="74" s="1"/>
  <c r="I45" i="74"/>
  <c r="K45" i="74" l="1"/>
  <c r="I48" i="74"/>
  <c r="I52" i="74" s="1"/>
  <c r="N45" i="74" l="1"/>
  <c r="K48" i="74"/>
  <c r="N48" i="74" s="1"/>
</calcChain>
</file>

<file path=xl/sharedStrings.xml><?xml version="1.0" encoding="utf-8"?>
<sst xmlns="http://schemas.openxmlformats.org/spreadsheetml/2006/main" count="424" uniqueCount="355">
  <si>
    <t>V6 SWP</t>
  </si>
  <si>
    <t>该科目涉及OSP底稿可参考此链接</t>
  </si>
  <si>
    <r>
      <t xml:space="preserve">OSP K1 SWP </t>
    </r>
    <r>
      <rPr>
        <u/>
        <sz val="10"/>
        <color theme="10"/>
        <rFont val="微软雅黑"/>
        <family val="2"/>
        <charset val="134"/>
      </rPr>
      <t>固定资产及在建工程盘点</t>
    </r>
    <r>
      <rPr>
        <u/>
        <sz val="10"/>
        <color theme="10"/>
        <rFont val="Arial"/>
        <family val="2"/>
      </rPr>
      <t xml:space="preserve"> 202YMMDD XYZ</t>
    </r>
    <r>
      <rPr>
        <u/>
        <sz val="10"/>
        <color theme="10"/>
        <rFont val="微软雅黑"/>
        <family val="2"/>
        <charset val="134"/>
      </rPr>
      <t>公司</t>
    </r>
    <r>
      <rPr>
        <u/>
        <sz val="10"/>
        <color theme="10"/>
        <rFont val="Arial"/>
        <family val="2"/>
      </rPr>
      <t>.xlsx</t>
    </r>
  </si>
  <si>
    <t>J.00</t>
    <phoneticPr fontId="75" type="noConversion"/>
  </si>
  <si>
    <t>J.00  Lead Sheet（认定：E, C）</t>
  </si>
  <si>
    <t>程序页</t>
  </si>
  <si>
    <t>执行</t>
  </si>
  <si>
    <t>不执行的原因</t>
  </si>
  <si>
    <t>获取和编制在建工程两期变动的引导表，并与试算平衡表和上年底稿核对一致。对在建工程变动建立预期并说明理由，对不符合预期的变动以及异常变动进行调查和分析。</t>
  </si>
  <si>
    <t>J.00 Lead sheet</t>
  </si>
  <si>
    <t>J.01</t>
    <phoneticPr fontId="75" type="noConversion"/>
  </si>
  <si>
    <t>J.01 Agree SL to GL（认定：BS：E、V、C  IS：M、C）</t>
  </si>
  <si>
    <t>我们获取了本年在建工程明细清单，该清单包含在建工程的变动，并将金额与试算表进行核对。</t>
  </si>
  <si>
    <t>J.01 Agree SL to GL</t>
    <phoneticPr fontId="75" type="noConversion"/>
  </si>
  <si>
    <t>J.02.1</t>
    <phoneticPr fontId="75" type="noConversion"/>
  </si>
  <si>
    <t>J.02.1 CIP additions(TOD)（认定：BS：E、V、C、R&amp;O、P&amp;D  IS：M、P&amp;D）</t>
  </si>
  <si>
    <t>获取在建工程新增清单，并将列表与在建工程后推核对一致。调差超过SAD名义金额的差异。</t>
  </si>
  <si>
    <t>J.02.1 CIP additions(TOD)</t>
  </si>
  <si>
    <t>对于本期新增的建工程项目，将大于测试阈值或存在重大错报风险的项目作为关键项（key item）,我们使用安永抽样工具选择代表性样本，将抽取的样本查看相关支持文件。</t>
  </si>
  <si>
    <t>J.02.2</t>
    <phoneticPr fontId="75" type="noConversion"/>
  </si>
  <si>
    <t>J.02.2 CIP transfer (TOD)（认定：BS：E、V、C、R&amp;O、P&amp;D  IS：M、P&amp;D）</t>
  </si>
  <si>
    <t>获取在建工程转出清单，并将列表与固定资产后推核对一致。调差超过SAD名义金额的差异。</t>
  </si>
  <si>
    <t>J.02.2 CIP transfer (TOD)</t>
  </si>
  <si>
    <t>对于本期转出的建工程项目，将大于测试阈值或存在重大错报风险的项目作为关键项（key item）,我们使用安永抽样工具选择代表性样本，将抽取的样本查看相关支持文件。</t>
  </si>
  <si>
    <t>本年转出的在建工程金额与其他科目转入的在建工程金额进行核对，并对差异进行检查。</t>
  </si>
  <si>
    <t>J.03</t>
    <phoneticPr fontId="75" type="noConversion"/>
  </si>
  <si>
    <t>J.03 CIP长期挂账（认定：BS：E、V、C、R&amp;O、P&amp;D  IS：M、P&amp;D）</t>
  </si>
  <si>
    <t>对于余额重大长期挂账的在建工程，我们考虑其合理性。</t>
    <phoneticPr fontId="75" type="noConversion"/>
  </si>
  <si>
    <t>J.03 CIP长期挂账</t>
  </si>
  <si>
    <t>我们将期末在建工程清单（如项目清单）作为总体，选取金额重大且长期挂账的在建工程作为样本。</t>
    <phoneticPr fontId="75" type="noConversion"/>
  </si>
  <si>
    <t>J.04</t>
  </si>
  <si>
    <t>J.04 资产的减值（认定：BS: V  IS: M）</t>
  </si>
  <si>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phoneticPr fontId="75" type="noConversion"/>
  </si>
  <si>
    <t>项目组自行填写底稿索引</t>
    <phoneticPr fontId="75" type="noConversion"/>
  </si>
  <si>
    <t>4e8a7199-876e-4a55-b346-7babaa25151c</t>
  </si>
  <si>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</si>
  <si>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phoneticPr fontId="75" type="noConversion"/>
  </si>
  <si>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phoneticPr fontId="75" type="noConversion"/>
  </si>
  <si>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phoneticPr fontId="75" type="noConversion"/>
  </si>
  <si>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phoneticPr fontId="75" type="noConversion"/>
  </si>
  <si>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phoneticPr fontId="75" type="noConversion"/>
  </si>
  <si>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phoneticPr fontId="75" type="noConversion"/>
  </si>
  <si>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phoneticPr fontId="75" type="noConversion"/>
  </si>
  <si>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phoneticPr fontId="75" type="noConversion"/>
  </si>
  <si>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phoneticPr fontId="75" type="noConversion"/>
  </si>
  <si>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</si>
  <si>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</si>
  <si>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</si>
  <si>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</si>
  <si>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</si>
  <si>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</si>
  <si>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</si>
  <si>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</si>
  <si>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</si>
  <si>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</si>
  <si>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</si>
  <si>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</si>
  <si>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</si>
  <si>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</si>
  <si>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</si>
  <si>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</si>
  <si>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</si>
  <si>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</si>
  <si>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</si>
  <si>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</si>
  <si>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</si>
  <si>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</si>
  <si>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</si>
  <si>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</si>
  <si>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</si>
  <si>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</si>
  <si>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</si>
  <si>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</si>
  <si>
    <t>J1_300减值评估</t>
  </si>
  <si>
    <t>59eaca50-718f-422d-a45a-89118d22dbc9</t>
  </si>
  <si>
    <t>e936ed11-c81d-482c-8ab4-957e150c82db</t>
  </si>
  <si>
    <t>366d5ac8-bd18-43d1-bb6b-abb4a6a6553e</t>
  </si>
  <si>
    <t>f0e08cb7-5167-4605-9e23-f9af7361a031</t>
  </si>
  <si>
    <t>f1f86ca5-5174-4f57-81ea-598dee696ae3</t>
  </si>
  <si>
    <t>71db53bc-1afd-44f1-aae4-1671ab5fc21e</t>
  </si>
  <si>
    <t>6d1550c4-c8e7-467b-bf4d-544bc8a2c4a6</t>
  </si>
  <si>
    <t>5252dddb-7e56-4ff3-a9f9-c6c8ef1fef4a</t>
  </si>
  <si>
    <t>66b12a66-98ed-4112-b57c-a1d95fe6cc8b</t>
  </si>
  <si>
    <t>d0202495-03a5-4306-b201-2cbdff36d2f5</t>
  </si>
  <si>
    <t>abaad0c1-b49a-4c51-8226-4f2f9f27147c</t>
  </si>
  <si>
    <t>a3edeb18-e66a-4354-b4e5-0c65d92eb592</t>
  </si>
  <si>
    <t>1d315964-5c53-479d-a193-76eb43e7ae9d</t>
  </si>
  <si>
    <t>48f00bba-a11a-495b-898a-b930315b70de</t>
  </si>
  <si>
    <t>5370271f-b61d-4bbe-ba53-377e44b72f21</t>
  </si>
  <si>
    <t>94bc4424-d0ae-486b-a01e-ef9d6244595b</t>
  </si>
  <si>
    <t>5d211620-9e36-45a4-a88f-8207ba713908</t>
  </si>
  <si>
    <t>45ab700b-ec33-4ee3-b555-b1c74617ca63</t>
  </si>
  <si>
    <t>bd0447e5-bda7-4c78-a64f-bc2ed18e1228</t>
  </si>
  <si>
    <t>94715de0-282b-45f2-b719-38da07d549ce</t>
  </si>
  <si>
    <t>d32b0581-5fa4-4e56-85d8-5b7910003cfa</t>
  </si>
  <si>
    <t>eed2d014-935b-4daa-8e88-28a1dc97040c</t>
  </si>
  <si>
    <t>7a9090e2-a392-4470-a862-501671798aba</t>
  </si>
  <si>
    <t>4f050dfa-90c0-4e19-aff9-6e3d36529867</t>
  </si>
  <si>
    <t>12c446c0-b489-4f13-ac74-cebddf4d7a3d</t>
  </si>
  <si>
    <t>742cb934-47e8-42d4-a636-eb9a1ffc8410</t>
  </si>
  <si>
    <t>a08f1a57-08e2-4f8e-a237-10dbaaf314b1</t>
  </si>
  <si>
    <t>d4d74f24-09d3-4276-8776-89b28c9c9f75</t>
  </si>
  <si>
    <t>b70a6a08-e651-4587-aa0b-3d194e31b93d</t>
  </si>
  <si>
    <t>471a4f10-3c07-405d-b95d-219d84eeb3ee</t>
  </si>
  <si>
    <t>643f4f83-fe0e-45e0-8610-3f51ec368d98</t>
  </si>
  <si>
    <t>cb689e15-3f34-41aa-9c66-ce17edc611b0</t>
  </si>
  <si>
    <t>80be7b52-f9b9-4a18-b016-342a11fecfba</t>
  </si>
  <si>
    <t>47111641-e7f5-41ca-9621-27d8665ecbb9</t>
  </si>
  <si>
    <t>a3502355-55bb-4331-a228-75b270ef5ee3</t>
  </si>
  <si>
    <t>edda201e-2432-4e5f-a896-f8e060dacf13</t>
  </si>
  <si>
    <t>d080993a-a317-47af-af9c-12d0c9e24b17</t>
  </si>
  <si>
    <t>67e01975-13d5-4f01-839a-daeb44b46235</t>
  </si>
  <si>
    <t>e13e99f8-9218-457e-87e5-042a04dcd2e4</t>
  </si>
  <si>
    <t>1c418a9e-8741-4461-9848-6bac14891aac</t>
  </si>
  <si>
    <t>9aca2394-c027-4788-881a-73a3fb0b3d13</t>
  </si>
  <si>
    <t>77721a1f-67d5-453b-a53e-c9e2239bef25</t>
  </si>
  <si>
    <t>fd5c13fb-e4f3-4c34-8fc7-5a2248deb5a2</t>
  </si>
  <si>
    <t>7187f1ab-9f6d-4091-b991-474abfbb89ba</t>
  </si>
  <si>
    <t>fe0b2984-0d2e-413a-9a6f-0182b37f41b0</t>
  </si>
  <si>
    <t>f3a94c78-bbbc-4284-895e-2c1e62ee8255</t>
  </si>
  <si>
    <t>c1ceb71f-f137-4700-8dfd-9ba95c454c62</t>
  </si>
  <si>
    <t>4e714ad7-bb95-45b4-b48f-ee2f5442ba76</t>
  </si>
  <si>
    <t>2369dfab-72d3-4594-9568-ae693d8c3af5</t>
  </si>
  <si>
    <t>368a42ff-d9aa-4880-ae81-3e9a372236f0</t>
  </si>
  <si>
    <t>a181c10a-757a-4748-a5b0-9c8396768063</t>
  </si>
  <si>
    <t>4599f504-34bb-46a4-8591-ed7bc43e0328</t>
  </si>
  <si>
    <t>121980a0-bcd5-468a-bb00-dc8eb51904c1</t>
  </si>
  <si>
    <t>80676ef9-5421-484f-aa13-26ad93942370</t>
  </si>
  <si>
    <t>cbc92c5e-ef37-4c21-9948-b0fd6bd824cd</t>
  </si>
  <si>
    <t>e3a5695f-c996-4ac1-ac7e-7df050ae648f</t>
  </si>
  <si>
    <t>b750478e-2ec5-4c6d-a37f-3bc023279031</t>
  </si>
  <si>
    <t>5f23f244-fbf2-49a6-8d2b-35f78f6b77de</t>
  </si>
  <si>
    <t>c07841c6-72f1-495b-b76c-f6f082410ac5</t>
  </si>
  <si>
    <t>0ddd2d21-2367-4c87-b137-02ae068c6d55</t>
  </si>
  <si>
    <t>cb324eef-8c9a-4248-bcbb-172bf513132e</t>
  </si>
  <si>
    <t>b693b1c9-e115-4f96-bca0-473c4a3d675e</t>
  </si>
  <si>
    <t>2aad359f-365d-4254-b965-4061f9b0e8c8</t>
  </si>
  <si>
    <t>d0c6df94-c7fa-4554-be47-72f96e6ff531</t>
  </si>
  <si>
    <t>22d850a5-a855-4b1d-8b7a-886a60a17175</t>
  </si>
  <si>
    <t>132c580e-e19a-4729-a704-9c04729b8a2e</t>
  </si>
  <si>
    <t>5925783f-3c03-4e62-ba4f-989a4fde16ca</t>
  </si>
  <si>
    <t>69799337-4315-43a0-8286-5cbe275f75d6</t>
  </si>
  <si>
    <t>13cb1f28-65a4-40e4-80f0-423bcd5f8024</t>
  </si>
  <si>
    <t>cb282afb-c4ec-495f-ad26-36b9bd01d643</t>
  </si>
  <si>
    <t>bb73ce5d-6dab-4917-b064-a88ad4ff2e0a</t>
  </si>
  <si>
    <t>254ea113-30e0-45a2-94d1-9775cd1f75aa</t>
  </si>
  <si>
    <t>44601d76-030c-4c15-bd7f-d78a66418f11</t>
  </si>
  <si>
    <r>
      <rPr>
        <b/>
        <sz val="14"/>
        <color theme="0"/>
        <rFont val="微软雅黑"/>
        <family val="2"/>
      </rPr>
      <t>标准工作底稿</t>
    </r>
    <r>
      <rPr>
        <b/>
        <sz val="14"/>
        <color theme="0"/>
        <rFont val="Arial"/>
        <family val="2"/>
      </rPr>
      <t xml:space="preserve">: J1 SWP </t>
    </r>
    <r>
      <rPr>
        <b/>
        <sz val="14"/>
        <color theme="0"/>
        <rFont val="微软雅黑"/>
        <family val="2"/>
      </rPr>
      <t>在建工程</t>
    </r>
  </si>
  <si>
    <r>
      <rPr>
        <b/>
        <sz val="12"/>
        <rFont val="微软雅黑"/>
        <family val="2"/>
      </rPr>
      <t>客户名称</t>
    </r>
  </si>
  <si>
    <r>
      <rPr>
        <b/>
        <sz val="12"/>
        <rFont val="微软雅黑"/>
        <family val="2"/>
      </rPr>
      <t>期末</t>
    </r>
  </si>
  <si>
    <r>
      <rPr>
        <b/>
        <sz val="12"/>
        <rFont val="微软雅黑"/>
        <family val="2"/>
      </rPr>
      <t>分析日期</t>
    </r>
  </si>
  <si>
    <r>
      <rPr>
        <b/>
        <sz val="12"/>
        <rFont val="微软雅黑"/>
        <family val="2"/>
      </rPr>
      <t>可容忍误差</t>
    </r>
    <r>
      <rPr>
        <b/>
        <sz val="12"/>
        <rFont val="Arial"/>
        <family val="2"/>
      </rPr>
      <t>(TE</t>
    </r>
    <r>
      <rPr>
        <b/>
        <sz val="12"/>
        <rFont val="微软雅黑"/>
        <family val="2"/>
      </rPr>
      <t>）</t>
    </r>
  </si>
  <si>
    <r>
      <rPr>
        <b/>
        <sz val="12"/>
        <rFont val="微软雅黑"/>
        <family val="2"/>
      </rPr>
      <t>名义金额（</t>
    </r>
    <r>
      <rPr>
        <b/>
        <sz val="12"/>
        <rFont val="Arial"/>
        <family val="2"/>
      </rPr>
      <t>SAD</t>
    </r>
    <r>
      <rPr>
        <b/>
        <sz val="12"/>
        <rFont val="微软雅黑"/>
        <family val="2"/>
      </rPr>
      <t>）</t>
    </r>
  </si>
  <si>
    <r>
      <rPr>
        <b/>
        <sz val="12"/>
        <rFont val="微软雅黑"/>
        <family val="2"/>
      </rPr>
      <t>适用会计准则</t>
    </r>
  </si>
  <si>
    <r>
      <rPr>
        <b/>
        <sz val="12"/>
        <rFont val="微软雅黑"/>
        <family val="2"/>
      </rPr>
      <t>记账本位币</t>
    </r>
  </si>
  <si>
    <r>
      <t>J.00</t>
    </r>
    <r>
      <rPr>
        <b/>
        <sz val="12"/>
        <color rgb="FF000000"/>
        <rFont val="微软雅黑"/>
        <family val="2"/>
      </rPr>
      <t>：</t>
    </r>
    <r>
      <rPr>
        <b/>
        <sz val="12"/>
        <color rgb="FF000000"/>
        <rFont val="Arial"/>
        <family val="2"/>
      </rPr>
      <t>Lead Sheet</t>
    </r>
  </si>
  <si>
    <r>
      <rPr>
        <u/>
        <sz val="10"/>
        <color rgb="FFFF0000"/>
        <rFont val="微软雅黑"/>
        <family val="2"/>
      </rPr>
      <t>返回汇总页</t>
    </r>
  </si>
  <si>
    <t>Threshold(s)</t>
  </si>
  <si>
    <r>
      <rPr>
        <b/>
        <sz val="10"/>
        <rFont val="微软雅黑"/>
        <family val="2"/>
      </rPr>
      <t>安永标记</t>
    </r>
  </si>
  <si>
    <r>
      <rPr>
        <b/>
        <sz val="10"/>
        <rFont val="微软雅黑"/>
        <family val="2"/>
      </rPr>
      <t>认定</t>
    </r>
    <phoneticPr fontId="75" type="noConversion"/>
  </si>
  <si>
    <t>CRA</t>
  </si>
  <si>
    <r>
      <rPr>
        <b/>
        <sz val="10"/>
        <rFont val="微软雅黑"/>
        <family val="2"/>
      </rPr>
      <t>各项认定</t>
    </r>
    <r>
      <rPr>
        <b/>
        <vertAlign val="superscript"/>
        <sz val="10"/>
        <color rgb="FFFF0000"/>
        <rFont val="Arial"/>
        <family val="2"/>
      </rPr>
      <t>1</t>
    </r>
    <phoneticPr fontId="75" type="noConversion"/>
  </si>
  <si>
    <r>
      <rPr>
        <b/>
        <sz val="10"/>
        <rFont val="微软雅黑"/>
        <family val="2"/>
      </rPr>
      <t>所有相关认定</t>
    </r>
    <r>
      <rPr>
        <b/>
        <sz val="10"/>
        <rFont val="Arial"/>
        <family val="2"/>
      </rPr>
      <t xml:space="preserve"> </t>
    </r>
    <r>
      <rPr>
        <b/>
        <vertAlign val="superscript"/>
        <sz val="10"/>
        <color rgb="FFFF0000"/>
        <rFont val="Arial"/>
        <family val="2"/>
      </rPr>
      <t>2</t>
    </r>
    <phoneticPr fontId="75" type="noConversion"/>
  </si>
  <si>
    <t>TB</t>
  </si>
  <si>
    <r>
      <rPr>
        <sz val="10"/>
        <color theme="1"/>
        <rFont val="微软雅黑"/>
        <family val="2"/>
      </rPr>
      <t>已与科目余额表核对无误</t>
    </r>
  </si>
  <si>
    <r>
      <rPr>
        <sz val="10"/>
        <color rgb="FF000000"/>
        <rFont val="微软雅黑"/>
        <family val="2"/>
      </rPr>
      <t>完整性</t>
    </r>
    <r>
      <rPr>
        <sz val="10"/>
        <color rgb="FF000000"/>
        <rFont val="Arial"/>
        <family val="2"/>
      </rPr>
      <t xml:space="preserve"> (C)</t>
    </r>
  </si>
  <si>
    <t>PY</t>
  </si>
  <si>
    <r>
      <rPr>
        <sz val="10"/>
        <color theme="1"/>
        <rFont val="微软雅黑"/>
        <family val="2"/>
      </rPr>
      <t>与上年最终审定数核对一致</t>
    </r>
  </si>
  <si>
    <r>
      <rPr>
        <sz val="10"/>
        <color rgb="FF000000"/>
        <rFont val="微软雅黑"/>
        <family val="2"/>
      </rPr>
      <t>存在性</t>
    </r>
    <r>
      <rPr>
        <sz val="10"/>
        <color rgb="FF000000"/>
        <rFont val="Arial"/>
        <family val="2"/>
      </rPr>
      <t>/</t>
    </r>
    <r>
      <rPr>
        <sz val="10"/>
        <color rgb="FF000000"/>
        <rFont val="微软雅黑"/>
        <family val="2"/>
      </rPr>
      <t>发生</t>
    </r>
    <r>
      <rPr>
        <sz val="10"/>
        <color rgb="FF000000"/>
        <rFont val="Arial"/>
        <family val="2"/>
      </rPr>
      <t xml:space="preserve"> (E/O)</t>
    </r>
  </si>
  <si>
    <t>A3</t>
  </si>
  <si>
    <r>
      <rPr>
        <sz val="10"/>
        <rFont val="微软雅黑"/>
        <family val="2"/>
      </rPr>
      <t>与未审数、审定数核对一致</t>
    </r>
  </si>
  <si>
    <r>
      <rPr>
        <sz val="10"/>
        <color rgb="FF000000"/>
        <rFont val="微软雅黑"/>
        <family val="2"/>
      </rPr>
      <t>计价</t>
    </r>
    <r>
      <rPr>
        <sz val="10"/>
        <color rgb="FF000000"/>
        <rFont val="Arial"/>
        <family val="2"/>
      </rPr>
      <t>/</t>
    </r>
    <r>
      <rPr>
        <sz val="10"/>
        <color rgb="FF000000"/>
        <rFont val="微软雅黑"/>
        <family val="2"/>
      </rPr>
      <t>计量（</t>
    </r>
    <r>
      <rPr>
        <sz val="10"/>
        <color rgb="FF000000"/>
        <rFont val="Arial"/>
        <family val="2"/>
      </rPr>
      <t>V/M</t>
    </r>
    <r>
      <rPr>
        <sz val="10"/>
        <color rgb="FF000000"/>
        <rFont val="微软雅黑"/>
        <family val="2"/>
      </rPr>
      <t>）</t>
    </r>
    <phoneticPr fontId="75" type="noConversion"/>
  </si>
  <si>
    <t>A5</t>
  </si>
  <si>
    <r>
      <rPr>
        <sz val="10"/>
        <rFont val="微软雅黑"/>
        <family val="2"/>
      </rPr>
      <t>与审计调整核对一致</t>
    </r>
  </si>
  <si>
    <r>
      <rPr>
        <sz val="10"/>
        <color rgb="FF000000"/>
        <rFont val="微软雅黑"/>
        <family val="2"/>
      </rPr>
      <t>权利和义务</t>
    </r>
    <r>
      <rPr>
        <sz val="10"/>
        <color rgb="FF000000"/>
        <rFont val="Arial"/>
        <family val="2"/>
      </rPr>
      <t xml:space="preserve"> (R&amp;O)</t>
    </r>
    <phoneticPr fontId="75" type="noConversion"/>
  </si>
  <si>
    <t>FS</t>
  </si>
  <si>
    <r>
      <rPr>
        <sz val="10"/>
        <color theme="1"/>
        <rFont val="微软雅黑"/>
        <family val="2"/>
      </rPr>
      <t>与</t>
    </r>
    <r>
      <rPr>
        <sz val="10"/>
        <color theme="1"/>
        <rFont val="Arial"/>
        <family val="2"/>
      </rPr>
      <t>FS.0x</t>
    </r>
    <r>
      <rPr>
        <sz val="10"/>
        <color theme="1"/>
        <rFont val="微软雅黑"/>
        <family val="2"/>
      </rPr>
      <t>与财务报表核对无误</t>
    </r>
  </si>
  <si>
    <r>
      <rPr>
        <sz val="10"/>
        <color rgb="FF000000"/>
        <rFont val="微软雅黑"/>
        <family val="2"/>
      </rPr>
      <t>列报和披露</t>
    </r>
    <r>
      <rPr>
        <sz val="10"/>
        <color rgb="FF000000"/>
        <rFont val="Arial"/>
        <family val="2"/>
      </rPr>
      <t xml:space="preserve"> (P&amp;D)</t>
    </r>
    <phoneticPr fontId="75" type="noConversion"/>
  </si>
  <si>
    <t>w</t>
  </si>
  <si>
    <r>
      <rPr>
        <sz val="10"/>
        <color theme="1"/>
        <rFont val="微软雅黑"/>
        <family val="2"/>
      </rPr>
      <t>低于</t>
    </r>
    <r>
      <rPr>
        <sz val="10"/>
        <color theme="1"/>
        <rFont val="Arial"/>
        <family val="2"/>
      </rPr>
      <t>SAD</t>
    </r>
    <r>
      <rPr>
        <sz val="10"/>
        <color theme="1"/>
        <rFont val="微软雅黑"/>
        <family val="2"/>
      </rPr>
      <t>的金额</t>
    </r>
    <r>
      <rPr>
        <sz val="10"/>
        <color theme="1"/>
        <rFont val="Arial"/>
        <family val="2"/>
      </rPr>
      <t>——</t>
    </r>
    <r>
      <rPr>
        <sz val="10"/>
        <color theme="1"/>
        <rFont val="微软雅黑"/>
        <family val="2"/>
      </rPr>
      <t>放弃进一步调查</t>
    </r>
  </si>
  <si>
    <r>
      <t xml:space="preserve">1 </t>
    </r>
    <r>
      <rPr>
        <b/>
        <i/>
        <sz val="9"/>
        <color rgb="FFFF0000"/>
        <rFont val="微软雅黑"/>
        <family val="2"/>
      </rPr>
      <t>各项认定的测试阈值，是根据</t>
    </r>
    <r>
      <rPr>
        <b/>
        <i/>
        <sz val="9"/>
        <color rgb="FFFF0000"/>
        <rFont val="Arial"/>
        <family val="2"/>
      </rPr>
      <t xml:space="preserve">EY GAM SUBSTANTIVE DESIGN 2.2.1 </t>
    </r>
  </si>
  <si>
    <t>Rx</t>
  </si>
  <si>
    <r>
      <rPr>
        <sz val="10"/>
        <color theme="1"/>
        <rFont val="微软雅黑"/>
        <family val="2"/>
      </rPr>
      <t>重新计算，无异常</t>
    </r>
  </si>
  <si>
    <r>
      <rPr>
        <b/>
        <i/>
        <sz val="9"/>
        <color rgb="FFFF0000"/>
        <rFont val="微软雅黑"/>
        <family val="2"/>
      </rPr>
      <t>中的示例测试阈值（用占</t>
    </r>
    <r>
      <rPr>
        <b/>
        <i/>
        <sz val="9"/>
        <color rgb="FFFF0000"/>
        <rFont val="Arial"/>
        <family val="2"/>
      </rPr>
      <t>TE</t>
    </r>
    <r>
      <rPr>
        <b/>
        <i/>
        <sz val="9"/>
        <color rgb="FFFF0000"/>
        <rFont val="微软雅黑"/>
        <family val="2"/>
      </rPr>
      <t>的百分比表示）在相应风险等级（</t>
    </r>
    <r>
      <rPr>
        <b/>
        <i/>
        <sz val="9"/>
        <color rgb="FFFF0000"/>
        <rFont val="Arial"/>
        <family val="2"/>
      </rPr>
      <t>CRA</t>
    </r>
    <r>
      <rPr>
        <b/>
        <i/>
        <sz val="9"/>
        <color rgb="FFFF0000"/>
        <rFont val="微软雅黑"/>
        <family val="2"/>
      </rPr>
      <t>）区间的上限计算得出的。</t>
    </r>
  </si>
  <si>
    <t>m</t>
  </si>
  <si>
    <r>
      <rPr>
        <sz val="10"/>
        <color theme="1"/>
        <rFont val="微软雅黑"/>
        <family val="2"/>
      </rPr>
      <t>余额</t>
    </r>
    <r>
      <rPr>
        <sz val="10"/>
        <color theme="1"/>
        <rFont val="Arial"/>
        <family val="2"/>
      </rPr>
      <t>/</t>
    </r>
    <r>
      <rPr>
        <sz val="10"/>
        <color theme="1"/>
        <rFont val="微软雅黑"/>
        <family val="2"/>
      </rPr>
      <t>活动不符合测试范围</t>
    </r>
    <r>
      <rPr>
        <sz val="10"/>
        <color theme="1"/>
        <rFont val="Arial"/>
        <family val="2"/>
      </rPr>
      <t>–</t>
    </r>
    <r>
      <rPr>
        <sz val="10"/>
        <color theme="1"/>
        <rFont val="微软雅黑"/>
        <family val="2"/>
      </rPr>
      <t>无需进一步调查</t>
    </r>
  </si>
  <si>
    <r>
      <rPr>
        <b/>
        <i/>
        <sz val="9"/>
        <color rgb="FFFF0000"/>
        <rFont val="微软雅黑"/>
        <family val="2"/>
      </rPr>
      <t>除负债</t>
    </r>
    <r>
      <rPr>
        <b/>
        <i/>
        <sz val="9"/>
        <color rgb="FFFF0000"/>
        <rFont val="Arial"/>
        <family val="2"/>
      </rPr>
      <t>/</t>
    </r>
    <r>
      <rPr>
        <b/>
        <i/>
        <sz val="9"/>
        <color rgb="FFFF0000"/>
        <rFont val="微软雅黑"/>
        <family val="2"/>
      </rPr>
      <t>费用类别账户的完整性认定应当使用负债</t>
    </r>
    <r>
      <rPr>
        <b/>
        <i/>
        <sz val="9"/>
        <color rgb="FFFF0000"/>
        <rFont val="Arial"/>
        <family val="2"/>
      </rPr>
      <t>/</t>
    </r>
    <r>
      <rPr>
        <b/>
        <i/>
        <sz val="9"/>
        <color rgb="FFFF0000"/>
        <rFont val="微软雅黑"/>
        <family val="2"/>
      </rPr>
      <t>费用账户表之外，其他类别账户和认定均可使用资产</t>
    </r>
    <r>
      <rPr>
        <b/>
        <i/>
        <sz val="9"/>
        <color rgb="FFFF0000"/>
        <rFont val="Arial"/>
        <family val="2"/>
      </rPr>
      <t>/</t>
    </r>
    <r>
      <rPr>
        <b/>
        <i/>
        <sz val="9"/>
        <color rgb="FFFF0000"/>
        <rFont val="微软雅黑"/>
        <family val="2"/>
      </rPr>
      <t>收入账户表。</t>
    </r>
  </si>
  <si>
    <t>SL</t>
  </si>
  <si>
    <r>
      <rPr>
        <sz val="10"/>
        <color rgb="FF000000"/>
        <rFont val="微软雅黑"/>
        <family val="2"/>
      </rPr>
      <t>已与明细账核对无误</t>
    </r>
  </si>
  <si>
    <r>
      <t xml:space="preserve">2 </t>
    </r>
    <r>
      <rPr>
        <b/>
        <i/>
        <sz val="9"/>
        <color rgb="FFFF0000"/>
        <rFont val="微软雅黑"/>
        <family val="2"/>
      </rPr>
      <t>所有相关认定的测试阈值，是所有有效认定对应之测试阈值的最小值。我们在</t>
    </r>
    <r>
      <rPr>
        <b/>
        <i/>
        <sz val="9"/>
        <color rgb="FFFF0000"/>
        <rFont val="Arial"/>
        <family val="2"/>
      </rPr>
      <t xml:space="preserve"> Lead</t>
    </r>
    <r>
      <rPr>
        <b/>
        <i/>
        <sz val="9"/>
        <color rgb="FFFF0000"/>
        <rFont val="微软雅黑"/>
        <family val="2"/>
      </rPr>
      <t>中使用该测试阈值：（</t>
    </r>
    <r>
      <rPr>
        <b/>
        <i/>
        <sz val="9"/>
        <color rgb="FFFF0000"/>
        <rFont val="Arial"/>
        <family val="2"/>
      </rPr>
      <t>a</t>
    </r>
    <r>
      <rPr>
        <b/>
        <i/>
        <sz val="9"/>
        <color rgb="FFFF0000"/>
        <rFont val="微软雅黑"/>
        <family val="2"/>
      </rPr>
      <t>）作为选取总账账户进行测试的起点；（</t>
    </r>
    <r>
      <rPr>
        <b/>
        <i/>
        <sz val="9"/>
        <color rgb="FFFF0000"/>
        <rFont val="Arial"/>
        <family val="2"/>
      </rPr>
      <t>b</t>
    </r>
    <r>
      <rPr>
        <b/>
        <i/>
        <sz val="9"/>
        <color rgb="FFFF0000"/>
        <rFont val="微软雅黑"/>
        <family val="2"/>
      </rPr>
      <t>）作为（需要进一步调查的）金额波动范围的起点。</t>
    </r>
  </si>
  <si>
    <r>
      <rPr>
        <b/>
        <sz val="10"/>
        <rFont val="微软雅黑"/>
        <family val="2"/>
      </rPr>
      <t>在下文中描述我们对在建工程在此期间的相关账户余额和相关波动的预期，以及我们对这些预期的依据和理由。</t>
    </r>
  </si>
  <si>
    <r>
      <rPr>
        <b/>
        <sz val="10"/>
        <color theme="1"/>
        <rFont val="微软雅黑"/>
        <family val="2"/>
      </rPr>
      <t>账户变更</t>
    </r>
  </si>
  <si>
    <r>
      <rPr>
        <b/>
        <sz val="10"/>
        <color theme="1"/>
        <rFont val="微软雅黑"/>
        <family val="2"/>
      </rPr>
      <t>预期及额外考虑</t>
    </r>
  </si>
  <si>
    <r>
      <rPr>
        <i/>
        <sz val="10"/>
        <color theme="1"/>
        <rFont val="微软雅黑"/>
        <family val="2"/>
      </rPr>
      <t>新增</t>
    </r>
    <phoneticPr fontId="75" type="noConversion"/>
  </si>
  <si>
    <r>
      <rPr>
        <i/>
        <sz val="10"/>
        <color theme="1"/>
        <rFont val="微软雅黑"/>
        <family val="2"/>
      </rPr>
      <t>转出</t>
    </r>
    <phoneticPr fontId="75" type="noConversion"/>
  </si>
  <si>
    <r>
      <rPr>
        <b/>
        <sz val="10"/>
        <rFont val="微软雅黑"/>
        <family val="2"/>
      </rPr>
      <t>波动范围</t>
    </r>
  </si>
  <si>
    <r>
      <rPr>
        <b/>
        <sz val="10"/>
        <color rgb="FF000000"/>
        <rFont val="微软雅黑"/>
        <family val="2"/>
        <charset val="134"/>
      </rPr>
      <t>波动幅度</t>
    </r>
    <r>
      <rPr>
        <b/>
        <sz val="10"/>
        <color rgb="FF000000"/>
        <rFont val="Arial"/>
        <family val="2"/>
      </rPr>
      <t xml:space="preserve"> (%):</t>
    </r>
  </si>
  <si>
    <r>
      <rPr>
        <b/>
        <sz val="10"/>
        <rFont val="微软雅黑"/>
        <family val="2"/>
      </rPr>
      <t>我们获取或编制了与前期对比的在建工程及相关账户的引导表。我们将本期余额与试算平衡表核对一致，并将上期余额与前期已审计工作底稿核对一致</t>
    </r>
    <r>
      <rPr>
        <b/>
        <sz val="10"/>
        <color rgb="FFFF0000"/>
        <rFont val="微软雅黑"/>
        <family val="2"/>
        <charset val="134"/>
      </rPr>
      <t>（如适用）</t>
    </r>
    <r>
      <rPr>
        <b/>
        <sz val="10"/>
        <rFont val="微软雅黑"/>
        <family val="2"/>
      </rPr>
      <t>。</t>
    </r>
    <phoneticPr fontId="75" type="noConversion"/>
  </si>
  <si>
    <r>
      <rPr>
        <b/>
        <sz val="10"/>
        <rFont val="微软雅黑"/>
        <family val="2"/>
      </rPr>
      <t>我们记录了我们对期间内在建工程活动变动的预期以及做出这些预期的基础和理由。</t>
    </r>
  </si>
  <si>
    <r>
      <rPr>
        <b/>
        <sz val="10"/>
        <rFont val="微软雅黑"/>
        <family val="2"/>
      </rPr>
      <t>我们将期末余额与上期余额进行比较。我们调查了超出测试阈值的波动以及代表异常或预期外变动或预期中变动未发生的波动，并确定其对我们计划实质性程序的影响</t>
    </r>
    <r>
      <rPr>
        <b/>
        <sz val="10"/>
        <color rgb="FFFF0000"/>
        <rFont val="微软雅黑"/>
        <family val="2"/>
      </rPr>
      <t>（如有</t>
    </r>
    <r>
      <rPr>
        <b/>
        <sz val="10"/>
        <color rgb="FFFF0000"/>
        <rFont val="等线"/>
        <family val="2"/>
        <charset val="134"/>
      </rPr>
      <t>）</t>
    </r>
    <r>
      <rPr>
        <b/>
        <sz val="10"/>
        <rFont val="微软雅黑"/>
        <family val="2"/>
      </rPr>
      <t>。</t>
    </r>
    <phoneticPr fontId="75" type="noConversion"/>
  </si>
  <si>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</si>
  <si>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</si>
  <si>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</si>
  <si>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</si>
  <si>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</si>
  <si>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</si>
  <si>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</si>
  <si>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</si>
  <si>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</si>
  <si>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</si>
  <si>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</si>
  <si>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</si>
  <si>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</si>
  <si>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</si>
  <si>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</si>
  <si>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</si>
  <si>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</si>
  <si>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sz val="10"/>
        <rFont val="微软雅黑"/>
        <family val="2"/>
      </rPr>
      <t>在建工程</t>
    </r>
    <r>
      <rPr>
        <sz val="10"/>
        <rFont val="Arial"/>
        <family val="2"/>
      </rPr>
      <t>-</t>
    </r>
    <r>
      <rPr>
        <sz val="10"/>
        <rFont val="微软雅黑"/>
        <family val="2"/>
      </rPr>
      <t>原值</t>
    </r>
  </si>
  <si>
    <t>J.01/</t>
  </si>
  <si>
    <t>[A]</t>
  </si>
  <si>
    <r>
      <rPr>
        <sz val="10"/>
        <rFont val="微软雅黑"/>
        <family val="2"/>
      </rPr>
      <t>在建工程减值准备</t>
    </r>
  </si>
  <si>
    <r>
      <rPr>
        <b/>
        <sz val="10"/>
        <color theme="1"/>
        <rFont val="微软雅黑"/>
        <family val="2"/>
      </rPr>
      <t>净值</t>
    </r>
  </si>
  <si>
    <t>Rx</t>
    <phoneticPr fontId="75" type="noConversion"/>
  </si>
  <si>
    <t>check with A3</t>
  </si>
  <si>
    <t>Diff</t>
  </si>
  <si>
    <t>波动说明</t>
  </si>
  <si>
    <r>
      <rPr>
        <b/>
        <sz val="10"/>
        <color rgb="FF000000"/>
        <rFont val="微软雅黑"/>
        <family val="2"/>
      </rPr>
      <t>调整汇总表</t>
    </r>
    <r>
      <rPr>
        <b/>
        <i/>
        <sz val="10"/>
        <color rgb="FFFF0000"/>
        <rFont val="微软雅黑"/>
        <family val="2"/>
      </rPr>
      <t>（如不适用请删除）</t>
    </r>
  </si>
  <si>
    <r>
      <rPr>
        <sz val="10"/>
        <rFont val="微软雅黑"/>
        <family val="2"/>
      </rPr>
      <t>调整类型</t>
    </r>
  </si>
  <si>
    <r>
      <rPr>
        <b/>
        <sz val="14"/>
        <color theme="0"/>
        <rFont val="微软雅黑"/>
        <family val="2"/>
        <charset val="134"/>
      </rPr>
      <t>标准工作底稿</t>
    </r>
    <r>
      <rPr>
        <b/>
        <sz val="14"/>
        <color theme="0"/>
        <rFont val="Arial"/>
        <family val="2"/>
      </rPr>
      <t xml:space="preserve">: J1 SWP </t>
    </r>
    <r>
      <rPr>
        <b/>
        <sz val="14"/>
        <color theme="0"/>
        <rFont val="微软雅黑"/>
        <family val="2"/>
        <charset val="134"/>
      </rPr>
      <t>在建工程</t>
    </r>
  </si>
  <si>
    <t>J.01 Agree SL to GL</t>
  </si>
  <si>
    <r>
      <rPr>
        <b/>
        <sz val="10"/>
        <rFont val="微软雅黑"/>
        <family val="2"/>
      </rPr>
      <t>我们获得了上期末至本期末</t>
    </r>
    <r>
      <rPr>
        <b/>
        <sz val="10"/>
        <color rgb="FFFF0000"/>
        <rFont val="微软雅黑"/>
        <family val="2"/>
        <charset val="134"/>
      </rPr>
      <t>（或中期，如适用）</t>
    </r>
    <r>
      <rPr>
        <b/>
        <sz val="10"/>
        <rFont val="微软雅黑"/>
        <family val="2"/>
      </rPr>
      <t>在建工程及相关新增、转出的后推明细表。</t>
    </r>
    <phoneticPr fontId="75" type="noConversion"/>
  </si>
  <si>
    <r>
      <rPr>
        <b/>
        <sz val="10"/>
        <rFont val="微软雅黑"/>
        <family val="2"/>
      </rPr>
      <t>我们将期初在建工程余额与上期经审计工作底稿</t>
    </r>
    <r>
      <rPr>
        <b/>
        <sz val="10"/>
        <color rgb="FFFF0000"/>
        <rFont val="微软雅黑"/>
        <family val="2"/>
        <charset val="134"/>
      </rPr>
      <t>（如适用）</t>
    </r>
    <r>
      <rPr>
        <b/>
        <sz val="10"/>
        <rFont val="微软雅黑"/>
        <family val="2"/>
      </rPr>
      <t>核对一致，将期末在建工程余额与在建工程明细账和试算表核对一致。我们调查了超过</t>
    </r>
    <r>
      <rPr>
        <b/>
        <sz val="10"/>
        <rFont val="Arial"/>
        <family val="2"/>
      </rPr>
      <t>SAD</t>
    </r>
    <r>
      <rPr>
        <b/>
        <sz val="10"/>
        <rFont val="微软雅黑"/>
        <family val="2"/>
      </rPr>
      <t>名义金额的差额。</t>
    </r>
    <phoneticPr fontId="75" type="noConversion"/>
  </si>
  <si>
    <r>
      <rPr>
        <b/>
        <sz val="10"/>
        <rFont val="微软雅黑"/>
        <family val="2"/>
      </rPr>
      <t>我们选择了超过测试阈值的后推活动</t>
    </r>
    <r>
      <rPr>
        <b/>
        <sz val="10"/>
        <color rgb="FFFF0000"/>
        <rFont val="微软雅黑"/>
        <family val="2"/>
        <charset val="134"/>
      </rPr>
      <t>（如，新增、转入固定资产、转出其他）</t>
    </r>
    <r>
      <rPr>
        <b/>
        <sz val="10"/>
        <rFont val="微软雅黑"/>
        <family val="2"/>
      </rPr>
      <t>，以执行</t>
    </r>
    <r>
      <rPr>
        <b/>
        <sz val="10"/>
        <rFont val="Arial"/>
        <family val="2"/>
      </rPr>
      <t>J.01</t>
    </r>
    <r>
      <rPr>
        <b/>
        <sz val="10"/>
        <rFont val="微软雅黑"/>
        <family val="2"/>
      </rPr>
      <t>和</t>
    </r>
    <r>
      <rPr>
        <b/>
        <sz val="10"/>
        <rFont val="Arial"/>
        <family val="2"/>
      </rPr>
      <t>J.02</t>
    </r>
    <r>
      <rPr>
        <b/>
        <sz val="10"/>
        <rFont val="微软雅黑"/>
        <family val="2"/>
      </rPr>
      <t>的实质性程序。对于未包含在本程序表范围内的程序，我们交叉索引至完成该程序的单独程序表。</t>
    </r>
    <phoneticPr fontId="75" type="noConversion"/>
  </si>
  <si>
    <r>
      <rPr>
        <b/>
        <sz val="10"/>
        <color rgb="FFFF0000"/>
        <rFont val="微软雅黑"/>
        <family val="2"/>
      </rPr>
      <t>表</t>
    </r>
    <r>
      <rPr>
        <b/>
        <sz val="10"/>
        <color rgb="FFFF0000"/>
        <rFont val="Arial"/>
        <family val="2"/>
      </rPr>
      <t>1</t>
    </r>
  </si>
  <si>
    <r>
      <rPr>
        <b/>
        <sz val="10"/>
        <rFont val="微软雅黑"/>
        <family val="2"/>
      </rPr>
      <t>在建工程</t>
    </r>
  </si>
  <si>
    <r>
      <rPr>
        <b/>
        <sz val="10"/>
        <rFont val="微软雅黑"/>
        <family val="2"/>
      </rPr>
      <t>明细项</t>
    </r>
  </si>
  <si>
    <r>
      <rPr>
        <b/>
        <sz val="10"/>
        <rFont val="微软雅黑"/>
        <family val="2"/>
      </rPr>
      <t>索引</t>
    </r>
  </si>
  <si>
    <r>
      <rPr>
        <b/>
        <sz val="10"/>
        <color rgb="FF000000"/>
        <rFont val="微软雅黑"/>
        <family val="2"/>
      </rPr>
      <t>账面数</t>
    </r>
  </si>
  <si>
    <r>
      <rPr>
        <b/>
        <sz val="10"/>
        <color rgb="FF000000"/>
        <rFont val="微软雅黑"/>
        <family val="2"/>
      </rPr>
      <t>账表调整</t>
    </r>
    <r>
      <rPr>
        <b/>
        <sz val="10"/>
        <color rgb="FF000000"/>
        <rFont val="等线"/>
        <family val="2"/>
        <charset val="134"/>
      </rPr>
      <t>数</t>
    </r>
    <phoneticPr fontId="75" type="noConversion"/>
  </si>
  <si>
    <r>
      <rPr>
        <b/>
        <sz val="10"/>
        <color rgb="FF000000"/>
        <rFont val="微软雅黑"/>
        <family val="2"/>
      </rPr>
      <t>审计调整</t>
    </r>
    <r>
      <rPr>
        <b/>
        <sz val="10"/>
        <color rgb="FF000000"/>
        <rFont val="等线"/>
        <family val="2"/>
        <charset val="134"/>
      </rPr>
      <t>数</t>
    </r>
    <phoneticPr fontId="75" type="noConversion"/>
  </si>
  <si>
    <r>
      <rPr>
        <b/>
        <sz val="10"/>
        <color theme="1"/>
        <rFont val="微软雅黑"/>
        <family val="2"/>
      </rPr>
      <t>审定数</t>
    </r>
  </si>
  <si>
    <r>
      <rPr>
        <sz val="10"/>
        <rFont val="微软雅黑"/>
        <family val="2"/>
      </rPr>
      <t>在建工程</t>
    </r>
    <r>
      <rPr>
        <sz val="10"/>
        <rFont val="Arial"/>
        <family val="2"/>
      </rPr>
      <t>-</t>
    </r>
    <r>
      <rPr>
        <sz val="10"/>
        <rFont val="微软雅黑"/>
        <family val="2"/>
      </rPr>
      <t>账面余额</t>
    </r>
  </si>
  <si>
    <r>
      <rPr>
        <sz val="10"/>
        <color theme="1"/>
        <rFont val="微软雅黑"/>
        <family val="2"/>
      </rPr>
      <t>期初余额</t>
    </r>
    <phoneticPr fontId="75" type="noConversion"/>
  </si>
  <si>
    <r>
      <rPr>
        <sz val="10"/>
        <color theme="1"/>
        <rFont val="微软雅黑"/>
        <family val="2"/>
      </rPr>
      <t>本期新增</t>
    </r>
  </si>
  <si>
    <t>J.02.1/</t>
  </si>
  <si>
    <r>
      <rPr>
        <sz val="10"/>
        <color theme="1"/>
        <rFont val="微软雅黑"/>
        <family val="2"/>
      </rPr>
      <t>本期转入固定资产</t>
    </r>
  </si>
  <si>
    <t>J.02.2/</t>
  </si>
  <si>
    <r>
      <rPr>
        <sz val="10"/>
        <color theme="1"/>
        <rFont val="微软雅黑"/>
        <family val="2"/>
      </rPr>
      <t>其他减少</t>
    </r>
  </si>
  <si>
    <r>
      <rPr>
        <sz val="10"/>
        <color theme="1"/>
        <rFont val="微软雅黑"/>
        <family val="2"/>
      </rPr>
      <t>期末余额</t>
    </r>
  </si>
  <si>
    <r>
      <rPr>
        <sz val="10"/>
        <rFont val="微软雅黑"/>
        <family val="2"/>
      </rPr>
      <t>在建工程</t>
    </r>
    <r>
      <rPr>
        <sz val="10"/>
        <rFont val="Arial"/>
        <family val="2"/>
      </rPr>
      <t>-</t>
    </r>
    <r>
      <rPr>
        <sz val="10"/>
        <rFont val="微软雅黑"/>
        <family val="2"/>
      </rPr>
      <t>减值准备</t>
    </r>
  </si>
  <si>
    <r>
      <rPr>
        <sz val="10"/>
        <color theme="1"/>
        <rFont val="微软雅黑"/>
        <family val="2"/>
      </rPr>
      <t>期初余额</t>
    </r>
  </si>
  <si>
    <r>
      <rPr>
        <b/>
        <sz val="10"/>
        <color rgb="FFFF0000"/>
        <rFont val="Arial"/>
        <family val="2"/>
      </rPr>
      <t xml:space="preserve">SWP </t>
    </r>
    <r>
      <rPr>
        <b/>
        <sz val="10"/>
        <color rgb="FFFF0000"/>
        <rFont val="微软雅黑"/>
        <family val="2"/>
        <charset val="134"/>
      </rPr>
      <t>减值</t>
    </r>
  </si>
  <si>
    <r>
      <rPr>
        <sz val="10"/>
        <color theme="1"/>
        <rFont val="微软雅黑"/>
        <family val="2"/>
      </rPr>
      <t>本期减少</t>
    </r>
  </si>
  <si>
    <r>
      <rPr>
        <sz val="10"/>
        <color theme="1"/>
        <rFont val="微软雅黑"/>
        <family val="2"/>
      </rPr>
      <t>期末价值</t>
    </r>
  </si>
  <si>
    <r>
      <t>TB-</t>
    </r>
    <r>
      <rPr>
        <b/>
        <sz val="10"/>
        <color rgb="FFFF0000"/>
        <rFont val="微软雅黑"/>
        <family val="2"/>
      </rPr>
      <t>期末账面余额</t>
    </r>
  </si>
  <si>
    <r>
      <rPr>
        <b/>
        <sz val="10"/>
        <color rgb="FFFF0000"/>
        <rFont val="微软雅黑"/>
        <family val="2"/>
      </rPr>
      <t>差异</t>
    </r>
  </si>
  <si>
    <r>
      <t>TB-</t>
    </r>
    <r>
      <rPr>
        <b/>
        <sz val="10"/>
        <color rgb="FFFF0000"/>
        <rFont val="微软雅黑"/>
        <family val="2"/>
      </rPr>
      <t>期末净值</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</si>
  <si>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获取期末的在建工程明细清单，我们将在建工程明细清单的金额与</t>
    </r>
    <r>
      <rPr>
        <b/>
        <sz val="10"/>
        <color rgb="FFFF0000"/>
        <rFont val="微软雅黑"/>
        <family val="2"/>
        <charset val="134"/>
      </rPr>
      <t>表</t>
    </r>
    <r>
      <rPr>
        <b/>
        <sz val="10"/>
        <color rgb="FFFF0000"/>
        <rFont val="Arial"/>
        <family val="2"/>
      </rPr>
      <t>1</t>
    </r>
    <r>
      <rPr>
        <b/>
        <sz val="10"/>
        <color rgb="FF000000"/>
        <rFont val="微软雅黑"/>
        <family val="2"/>
        <charset val="134"/>
      </rPr>
      <t>金额进行核对，调查大于</t>
    </r>
    <r>
      <rPr>
        <b/>
        <sz val="10"/>
        <color rgb="FF000000"/>
        <rFont val="Arial"/>
        <family val="2"/>
      </rPr>
      <t>SAD</t>
    </r>
    <r>
      <rPr>
        <b/>
        <sz val="10"/>
        <color rgb="FF000000"/>
        <rFont val="微软雅黑"/>
        <family val="2"/>
        <charset val="134"/>
      </rPr>
      <t>的差异。</t>
    </r>
  </si>
  <si>
    <r>
      <t xml:space="preserve">CIP List </t>
    </r>
    <r>
      <rPr>
        <b/>
        <sz val="10"/>
        <color rgb="FFFF0000"/>
        <rFont val="微软雅黑"/>
        <family val="2"/>
      </rPr>
      <t>余额</t>
    </r>
  </si>
  <si>
    <r>
      <rPr>
        <b/>
        <sz val="10"/>
        <color rgb="FFFF0000"/>
        <rFont val="微软雅黑"/>
        <family val="2"/>
      </rPr>
      <t>与表</t>
    </r>
    <r>
      <rPr>
        <b/>
        <sz val="10"/>
        <color rgb="FFFF0000"/>
        <rFont val="Arial"/>
        <family val="2"/>
      </rPr>
      <t>1</t>
    </r>
    <r>
      <rPr>
        <b/>
        <sz val="10"/>
        <color rgb="FFFF0000"/>
        <rFont val="微软雅黑"/>
        <family val="2"/>
      </rPr>
      <t>核对</t>
    </r>
  </si>
  <si>
    <r>
      <rPr>
        <b/>
        <sz val="10"/>
        <color rgb="FFFF0000"/>
        <rFont val="Arial"/>
        <family val="2"/>
      </rPr>
      <t>Notes</t>
    </r>
    <r>
      <rPr>
        <b/>
        <sz val="10"/>
        <color rgb="FFFF0000"/>
        <rFont val="等线"/>
        <family val="2"/>
        <charset val="134"/>
      </rPr>
      <t>：</t>
    </r>
    <r>
      <rPr>
        <b/>
        <sz val="10"/>
        <color theme="1"/>
        <rFont val="微软雅黑"/>
        <family val="2"/>
      </rPr>
      <t>请在此记录明细账和总账的差异，并详细记录对差异进行的核查程序</t>
    </r>
    <phoneticPr fontId="75" type="noConversion"/>
  </si>
  <si>
    <t>20e47199-a864-4306-8dba-b45dd663ee0a</t>
  </si>
  <si>
    <t>获取期末的在建工程明细清单，将在建工程明细清单的金额与J.01 Agree SL to GL 表1的金额进行核对，核对结果详见J.01 Agree SL to GL 表2，并调查大于SAD的差异。</t>
  </si>
  <si>
    <r>
      <rPr>
        <u/>
        <sz val="10"/>
        <color rgb="FFFF0000"/>
        <rFont val="微软雅黑"/>
        <family val="2"/>
        <charset val="134"/>
      </rPr>
      <t>返回汇总页</t>
    </r>
  </si>
  <si>
    <t>注：项目组可以自定义在建工程清单表格，也可直接使用被审计单位的在建工程台账，但至少须确保必需字段（如项目或资产名称、期末资产余额）完整。</t>
  </si>
  <si>
    <r>
      <rPr>
        <b/>
        <sz val="14"/>
        <color theme="0"/>
        <rFont val="微软雅黑"/>
        <family val="2"/>
      </rPr>
      <t>标准工作底稿</t>
    </r>
    <r>
      <rPr>
        <b/>
        <sz val="14"/>
        <color theme="0"/>
        <rFont val="Arial"/>
        <family val="2"/>
      </rPr>
      <t xml:space="preserve">: J1 SWP </t>
    </r>
    <r>
      <rPr>
        <b/>
        <sz val="14"/>
        <color theme="0"/>
        <rFont val="微软雅黑"/>
        <family val="2"/>
      </rPr>
      <t>在建工程</t>
    </r>
    <phoneticPr fontId="75" type="noConversion"/>
  </si>
  <si>
    <t>J.02.1 CIP additions (TOD)</t>
    <phoneticPr fontId="75" type="noConversion"/>
  </si>
  <si>
    <r>
      <rPr>
        <b/>
        <sz val="10"/>
        <color indexed="8"/>
        <rFont val="微软雅黑"/>
        <family val="2"/>
      </rPr>
      <t>记录我们的详细测试所涵盖的总体</t>
    </r>
    <r>
      <rPr>
        <b/>
        <i/>
        <sz val="10"/>
        <color rgb="FFFF0000"/>
        <rFont val="微软雅黑"/>
        <family val="2"/>
      </rPr>
      <t>（指引：包括充分的描述，以使经验丰富且之前与审计没有关联的审计师能够了解样本是如何选择的，例如，总体的排序或筛选）</t>
    </r>
    <phoneticPr fontId="75" type="noConversion"/>
  </si>
  <si>
    <r>
      <rPr>
        <sz val="10"/>
        <rFont val="微软雅黑"/>
        <family val="2"/>
      </rPr>
      <t>新增明细清单金额</t>
    </r>
  </si>
  <si>
    <r>
      <rPr>
        <b/>
        <sz val="10"/>
        <color rgb="FFFF0000"/>
        <rFont val="微软雅黑"/>
        <family val="2"/>
      </rPr>
      <t>新增清单</t>
    </r>
  </si>
  <si>
    <r>
      <rPr>
        <sz val="10"/>
        <rFont val="微软雅黑"/>
        <family val="2"/>
      </rPr>
      <t>新增总额</t>
    </r>
  </si>
  <si>
    <t xml:space="preserve">J1.01 </t>
  </si>
  <si>
    <r>
      <rPr>
        <sz val="10"/>
        <rFont val="微软雅黑"/>
        <family val="2"/>
      </rPr>
      <t>差异</t>
    </r>
  </si>
  <si>
    <r>
      <rPr>
        <sz val="10"/>
        <color theme="1"/>
        <rFont val="微软雅黑"/>
        <family val="2"/>
      </rPr>
      <t>差异是否需要进一步调查？</t>
    </r>
  </si>
  <si>
    <r>
      <rPr>
        <sz val="10"/>
        <rFont val="微软雅黑"/>
        <family val="2"/>
      </rPr>
      <t>减：已测试的关键性样本</t>
    </r>
  </si>
  <si>
    <r>
      <rPr>
        <sz val="10"/>
        <rFont val="微软雅黑"/>
        <family val="2"/>
      </rPr>
      <t>剩余代表性样本抽样总体</t>
    </r>
  </si>
  <si>
    <r>
      <rPr>
        <b/>
        <sz val="10"/>
        <color indexed="8"/>
        <rFont val="微软雅黑"/>
        <family val="2"/>
      </rPr>
      <t>下面描述选择关键项目的理由</t>
    </r>
    <r>
      <rPr>
        <b/>
        <i/>
        <sz val="10"/>
        <color rgb="FFFF0000"/>
        <rFont val="微软雅黑"/>
        <family val="2"/>
      </rPr>
      <t>（请参阅</t>
    </r>
    <r>
      <rPr>
        <b/>
        <i/>
        <sz val="10"/>
        <color rgb="FFFF0000"/>
        <rFont val="Arial"/>
        <family val="2"/>
      </rPr>
      <t>Canvas</t>
    </r>
    <r>
      <rPr>
        <b/>
        <i/>
        <sz val="10"/>
        <color rgb="FFFF0000"/>
        <rFont val="微软雅黑"/>
        <family val="2"/>
      </rPr>
      <t>指导工作流程的</t>
    </r>
    <r>
      <rPr>
        <b/>
        <i/>
        <sz val="10"/>
        <color rgb="FFFF0000"/>
        <rFont val="Arial"/>
        <family val="2"/>
      </rPr>
      <t>“</t>
    </r>
    <r>
      <rPr>
        <b/>
        <i/>
        <sz val="10"/>
        <color rgb="FFFF0000"/>
        <rFont val="微软雅黑"/>
        <family val="2"/>
      </rPr>
      <t>关键项目</t>
    </r>
    <r>
      <rPr>
        <b/>
        <i/>
        <sz val="10"/>
        <color rgb="FFFF0000"/>
        <rFont val="Arial"/>
        <family val="2"/>
      </rPr>
      <t>”</t>
    </r>
    <r>
      <rPr>
        <b/>
        <i/>
        <sz val="10"/>
        <color rgb="FFFF0000"/>
        <rFont val="微软雅黑"/>
        <family val="2"/>
      </rPr>
      <t>部分，包括信息图标）：</t>
    </r>
    <phoneticPr fontId="75" type="noConversion"/>
  </si>
  <si>
    <r>
      <t xml:space="preserve">EY </t>
    </r>
    <r>
      <rPr>
        <b/>
        <sz val="11"/>
        <rFont val="微软雅黑"/>
        <family val="2"/>
      </rPr>
      <t>测试属性解释</t>
    </r>
    <r>
      <rPr>
        <b/>
        <sz val="11"/>
        <rFont val="Arial"/>
        <family val="2"/>
      </rPr>
      <t>:</t>
    </r>
  </si>
  <si>
    <r>
      <rPr>
        <i/>
        <sz val="10"/>
        <rFont val="微软雅黑"/>
        <family val="2"/>
      </rPr>
      <t>对于选择进行测试的每个项目，我们检查了相关的第三方证据（如发票和</t>
    </r>
    <r>
      <rPr>
        <i/>
        <sz val="10"/>
        <rFont val="Arial"/>
        <family val="2"/>
      </rPr>
      <t>/</t>
    </r>
    <r>
      <rPr>
        <i/>
        <sz val="10"/>
        <rFont val="微软雅黑"/>
        <family val="2"/>
      </rPr>
      <t>或合同、进度账单、人工和间接费用），并确定：</t>
    </r>
    <phoneticPr fontId="75" type="noConversion"/>
  </si>
  <si>
    <r>
      <t>1</t>
    </r>
    <r>
      <rPr>
        <sz val="10"/>
        <rFont val="等线"/>
        <family val="2"/>
        <charset val="134"/>
      </rPr>
      <t>）</t>
    </r>
    <r>
      <rPr>
        <sz val="10"/>
        <rFont val="微软雅黑"/>
        <family val="2"/>
      </rPr>
      <t>选定的该项资产符合资本化条件，而不是计入费用。</t>
    </r>
    <phoneticPr fontId="75" type="noConversion"/>
  </si>
  <si>
    <r>
      <t>2</t>
    </r>
    <r>
      <rPr>
        <sz val="10"/>
        <rFont val="等线"/>
        <family val="2"/>
        <charset val="134"/>
      </rPr>
      <t>）</t>
    </r>
    <r>
      <rPr>
        <sz val="10"/>
        <rFont val="微软雅黑"/>
        <family val="2"/>
      </rPr>
      <t>资产记录的金额和相关的财务报告框架一致。</t>
    </r>
    <phoneticPr fontId="75" type="noConversion"/>
  </si>
  <si>
    <t>|------- Rx -------|</t>
  </si>
  <si>
    <r>
      <rPr>
        <b/>
        <sz val="10"/>
        <rFont val="微软雅黑"/>
        <family val="2"/>
      </rPr>
      <t>样本序号</t>
    </r>
    <phoneticPr fontId="87"/>
  </si>
  <si>
    <r>
      <rPr>
        <b/>
        <sz val="10"/>
        <rFont val="微软雅黑"/>
        <family val="2"/>
      </rPr>
      <t xml:space="preserve">样本类型
</t>
    </r>
    <r>
      <rPr>
        <b/>
        <sz val="10"/>
        <color rgb="FFFF0000"/>
        <rFont val="微软雅黑"/>
        <family val="2"/>
        <charset val="134"/>
      </rPr>
      <t>（使用下拉列表）</t>
    </r>
  </si>
  <si>
    <r>
      <rPr>
        <b/>
        <sz val="10"/>
        <rFont val="微软雅黑"/>
        <family val="2"/>
      </rPr>
      <t>资产日期
（最初记录在明细账中的时间）</t>
    </r>
  </si>
  <si>
    <r>
      <rPr>
        <b/>
        <sz val="10"/>
        <rFont val="微软雅黑"/>
        <family val="2"/>
      </rPr>
      <t>资产编号</t>
    </r>
    <phoneticPr fontId="87"/>
  </si>
  <si>
    <r>
      <rPr>
        <b/>
        <sz val="10"/>
        <rFont val="微软雅黑"/>
        <family val="2"/>
      </rPr>
      <t>资产名称</t>
    </r>
    <phoneticPr fontId="75" type="noConversion"/>
  </si>
  <si>
    <r>
      <rPr>
        <b/>
        <sz val="10"/>
        <rFont val="微软雅黑"/>
        <family val="2"/>
      </rPr>
      <t>新增资产金额</t>
    </r>
  </si>
  <si>
    <r>
      <rPr>
        <b/>
        <sz val="10"/>
        <rFont val="微软雅黑"/>
        <family val="2"/>
      </rPr>
      <t>资产类别</t>
    </r>
    <phoneticPr fontId="75" type="noConversion"/>
  </si>
  <si>
    <r>
      <rPr>
        <b/>
        <sz val="10"/>
        <rFont val="微软雅黑"/>
        <family val="2"/>
      </rPr>
      <t>支持性文件中的资产金额</t>
    </r>
    <phoneticPr fontId="75" type="noConversion"/>
  </si>
  <si>
    <r>
      <rPr>
        <b/>
        <sz val="10"/>
        <rFont val="微软雅黑"/>
        <family val="2"/>
      </rPr>
      <t>获得的证据</t>
    </r>
    <r>
      <rPr>
        <b/>
        <sz val="10"/>
        <rFont val="Arial"/>
        <family val="2"/>
      </rPr>
      <t>/</t>
    </r>
    <r>
      <rPr>
        <b/>
        <sz val="10"/>
        <rFont val="微软雅黑"/>
        <family val="2"/>
      </rPr>
      <t>支持的描述
（例如，发票和</t>
    </r>
    <r>
      <rPr>
        <b/>
        <sz val="10"/>
        <rFont val="Arial"/>
        <family val="2"/>
      </rPr>
      <t>/</t>
    </r>
    <r>
      <rPr>
        <b/>
        <sz val="10"/>
        <rFont val="微软雅黑"/>
        <family val="2"/>
      </rPr>
      <t>或合同、进度账单、人工和间接费用）</t>
    </r>
    <phoneticPr fontId="75" type="noConversion"/>
  </si>
  <si>
    <r>
      <rPr>
        <b/>
        <sz val="10"/>
        <rFont val="微软雅黑"/>
        <family val="2"/>
      </rPr>
      <t>支持性文件中的资产金额与明细账之间的差异</t>
    </r>
    <phoneticPr fontId="75" type="noConversion"/>
  </si>
  <si>
    <r>
      <rPr>
        <b/>
        <sz val="10"/>
        <color rgb="FF000000"/>
        <rFont val="微软雅黑"/>
        <family val="2"/>
        <charset val="134"/>
      </rPr>
      <t>标记图例</t>
    </r>
    <r>
      <rPr>
        <b/>
        <sz val="10"/>
        <color rgb="FF000000"/>
        <rFont val="Arial"/>
        <family val="2"/>
      </rPr>
      <t>:</t>
    </r>
    <r>
      <rPr>
        <sz val="10"/>
        <color rgb="FF000000"/>
        <rFont val="微软雅黑"/>
        <family val="2"/>
        <charset val="134"/>
      </rPr>
      <t>记录已识别的异常情况以及如何解决这些异常情况的详细信息，包括执行的其他实质性程序</t>
    </r>
    <r>
      <rPr>
        <b/>
        <i/>
        <sz val="10"/>
        <color rgb="FFFF0000"/>
        <rFont val="微软雅黑"/>
        <family val="2"/>
        <charset val="134"/>
      </rPr>
      <t>（指南：包括足够的描述，以使之前与审计无关的经验丰富的审计师能够理解执行的程序）。</t>
    </r>
  </si>
  <si>
    <t>f620e8cb-89ed-471c-a856-e6175ba6de6f</t>
  </si>
  <si>
    <t>将此选项页替换为安永智能选样工作文件中的“选样项目详细信息”（如不适用可以删除）</t>
  </si>
  <si>
    <t>获取在建工程新增列表，并将列表与在建工程后推核对一致。我们调查了超过SAD名义金额的差异（例如，在建工程新增列表与后推计划表之间没有被解释的差额）。</t>
  </si>
  <si>
    <t>注：项目组可以自定义在建工程新增清单表格，但至少须确保必需字段（如项目或资产名称、新增时间、本期新增金额等）完整。</t>
  </si>
  <si>
    <t>J.02.2 CIP transfer (TOD)</t>
    <phoneticPr fontId="75" type="noConversion"/>
  </si>
  <si>
    <t>转出明细清单金额</t>
    <phoneticPr fontId="75" type="noConversion"/>
  </si>
  <si>
    <r>
      <rPr>
        <b/>
        <sz val="11"/>
        <color rgb="FFFF0000"/>
        <rFont val="微软雅黑"/>
        <family val="2"/>
      </rPr>
      <t>转出清单</t>
    </r>
  </si>
  <si>
    <r>
      <rPr>
        <sz val="10"/>
        <rFont val="微软雅黑"/>
        <family val="2"/>
      </rPr>
      <t>转出总额</t>
    </r>
  </si>
  <si>
    <r>
      <rPr>
        <b/>
        <sz val="10"/>
        <color rgb="FF000000"/>
        <rFont val="微软雅黑"/>
        <family val="2"/>
      </rPr>
      <t>下面描述选择关键项目的理由</t>
    </r>
    <r>
      <rPr>
        <b/>
        <i/>
        <sz val="10"/>
        <color rgb="FFFF0000"/>
        <rFont val="微软雅黑"/>
        <family val="2"/>
      </rPr>
      <t>（请参阅</t>
    </r>
    <r>
      <rPr>
        <b/>
        <i/>
        <sz val="10"/>
        <color rgb="FFFF0000"/>
        <rFont val="Arial"/>
        <family val="2"/>
      </rPr>
      <t>Canvas</t>
    </r>
    <r>
      <rPr>
        <b/>
        <i/>
        <sz val="10"/>
        <color rgb="FFFF0000"/>
        <rFont val="微软雅黑"/>
        <family val="2"/>
      </rPr>
      <t>指导工作流程的</t>
    </r>
    <r>
      <rPr>
        <b/>
        <i/>
        <sz val="10"/>
        <color rgb="FFFF0000"/>
        <rFont val="DengXian"/>
        <family val="2"/>
        <charset val="134"/>
      </rPr>
      <t>“</t>
    </r>
    <r>
      <rPr>
        <b/>
        <i/>
        <sz val="10"/>
        <color rgb="FFFF0000"/>
        <rFont val="微软雅黑"/>
        <family val="2"/>
      </rPr>
      <t>关键项目</t>
    </r>
    <r>
      <rPr>
        <b/>
        <i/>
        <sz val="10"/>
        <color rgb="FFFF0000"/>
        <rFont val="DengXian"/>
        <family val="2"/>
        <charset val="134"/>
      </rPr>
      <t>”</t>
    </r>
    <r>
      <rPr>
        <b/>
        <i/>
        <sz val="10"/>
        <color rgb="FFFF0000"/>
        <rFont val="微软雅黑"/>
        <family val="2"/>
      </rPr>
      <t>部分，包括信息图标）：</t>
    </r>
    <phoneticPr fontId="75" type="noConversion"/>
  </si>
  <si>
    <r>
      <t xml:space="preserve">EY </t>
    </r>
    <r>
      <rPr>
        <b/>
        <sz val="10"/>
        <rFont val="微软雅黑"/>
        <family val="2"/>
      </rPr>
      <t>测试属性解释</t>
    </r>
    <r>
      <rPr>
        <b/>
        <sz val="10"/>
        <rFont val="Arial"/>
        <family val="2"/>
      </rPr>
      <t>:</t>
    </r>
  </si>
  <si>
    <r>
      <rPr>
        <i/>
        <sz val="10"/>
        <rFont val="微软雅黑"/>
        <family val="2"/>
      </rPr>
      <t>对于选择进行测试的每个项目，我们检查了相关证据，并确定：</t>
    </r>
  </si>
  <si>
    <r>
      <t xml:space="preserve">1) </t>
    </r>
    <r>
      <rPr>
        <sz val="10"/>
        <color rgb="FF000000"/>
        <rFont val="微软雅黑"/>
        <family val="2"/>
      </rPr>
      <t>在建工程转入至相应资产时已达到可折旧的时点，在建工程减少的金额与转入至相应资产的金额一致</t>
    </r>
    <r>
      <rPr>
        <sz val="10"/>
        <color rgb="FF000000"/>
        <rFont val="Arial"/>
        <family val="2"/>
      </rPr>
      <t>(</t>
    </r>
    <r>
      <rPr>
        <sz val="10"/>
        <color rgb="FF000000"/>
        <rFont val="微软雅黑"/>
        <family val="2"/>
      </rPr>
      <t>已考虑所有资产减值相关调整</t>
    </r>
    <r>
      <rPr>
        <sz val="10"/>
        <color rgb="FF000000"/>
        <rFont val="Arial"/>
        <family val="2"/>
      </rPr>
      <t>,</t>
    </r>
    <r>
      <rPr>
        <sz val="10"/>
        <color rgb="FF000000"/>
        <rFont val="微软雅黑"/>
        <family val="2"/>
      </rPr>
      <t>如适用</t>
    </r>
    <r>
      <rPr>
        <sz val="10"/>
        <color rgb="FF000000"/>
        <rFont val="Arial"/>
        <family val="2"/>
      </rPr>
      <t>)</t>
    </r>
    <r>
      <rPr>
        <sz val="10"/>
        <color rgb="FF000000"/>
        <rFont val="微软雅黑"/>
        <family val="2"/>
      </rPr>
      <t>；</t>
    </r>
    <phoneticPr fontId="75" type="noConversion"/>
  </si>
  <si>
    <r>
      <t xml:space="preserve">2) </t>
    </r>
    <r>
      <rPr>
        <sz val="10"/>
        <color rgb="FF000000"/>
        <rFont val="微软雅黑"/>
        <family val="2"/>
      </rPr>
      <t>管理层对测试样本的使用寿命和折旧方法是恰当的（符合实体的会计政策，并与适用的财务报告框架一致）；</t>
    </r>
    <phoneticPr fontId="75" type="noConversion"/>
  </si>
  <si>
    <r>
      <t xml:space="preserve">3) </t>
    </r>
    <r>
      <rPr>
        <sz val="10"/>
        <rFont val="微软雅黑"/>
        <family val="2"/>
      </rPr>
      <t>在建工程转入至正确的资产类别。</t>
    </r>
  </si>
  <si>
    <r>
      <rPr>
        <b/>
        <sz val="10"/>
        <rFont val="微软雅黑"/>
        <family val="2"/>
      </rPr>
      <t>资产名称</t>
    </r>
    <phoneticPr fontId="87"/>
  </si>
  <si>
    <r>
      <rPr>
        <b/>
        <sz val="10"/>
        <rFont val="微软雅黑"/>
        <family val="2"/>
      </rPr>
      <t>在建工程转出金额</t>
    </r>
    <phoneticPr fontId="87"/>
  </si>
  <si>
    <r>
      <rPr>
        <b/>
        <sz val="10"/>
        <rFont val="微软雅黑"/>
        <family val="2"/>
      </rPr>
      <t xml:space="preserve">转入资产类别金额
</t>
    </r>
    <r>
      <rPr>
        <b/>
        <sz val="10"/>
        <color rgb="FFFF0000"/>
        <rFont val="微软雅黑"/>
        <family val="2"/>
        <charset val="134"/>
      </rPr>
      <t>（如适用）</t>
    </r>
  </si>
  <si>
    <r>
      <rPr>
        <b/>
        <sz val="10"/>
        <rFont val="微软雅黑"/>
        <family val="2"/>
      </rPr>
      <t>资产转出日期</t>
    </r>
    <phoneticPr fontId="75" type="noConversion"/>
  </si>
  <si>
    <r>
      <rPr>
        <b/>
        <sz val="10"/>
        <rFont val="微软雅黑"/>
        <family val="2"/>
      </rPr>
      <t>使用寿命（月）</t>
    </r>
    <phoneticPr fontId="75" type="noConversion"/>
  </si>
  <si>
    <r>
      <rPr>
        <b/>
        <sz val="10"/>
        <rFont val="微软雅黑"/>
        <family val="2"/>
      </rPr>
      <t>折旧方法</t>
    </r>
    <phoneticPr fontId="87"/>
  </si>
  <si>
    <r>
      <rPr>
        <b/>
        <sz val="10"/>
        <rFont val="微软雅黑"/>
        <family val="2"/>
      </rPr>
      <t>获得的证据</t>
    </r>
    <r>
      <rPr>
        <b/>
        <sz val="10"/>
        <rFont val="Arial"/>
        <family val="2"/>
      </rPr>
      <t>/</t>
    </r>
    <r>
      <rPr>
        <b/>
        <sz val="10"/>
        <rFont val="微软雅黑"/>
        <family val="2"/>
      </rPr>
      <t>支持的描述
（例如，验收单</t>
    </r>
    <r>
      <rPr>
        <b/>
        <sz val="10"/>
        <rFont val="Arial"/>
        <family val="2"/>
      </rPr>
      <t>/</t>
    </r>
    <r>
      <rPr>
        <b/>
        <sz val="10"/>
        <rFont val="微软雅黑"/>
        <family val="2"/>
      </rPr>
      <t>竣工决算报告</t>
    </r>
    <r>
      <rPr>
        <b/>
        <sz val="10"/>
        <rFont val="Arial"/>
        <family val="2"/>
      </rPr>
      <t>/</t>
    </r>
    <r>
      <rPr>
        <b/>
        <sz val="10"/>
        <rFont val="微软雅黑"/>
        <family val="2"/>
      </rPr>
      <t>转固证明等）</t>
    </r>
    <phoneticPr fontId="75" type="noConversion"/>
  </si>
  <si>
    <r>
      <rPr>
        <b/>
        <sz val="10"/>
        <rFont val="微软雅黑"/>
        <family val="2"/>
      </rPr>
      <t>转入资产与转出在建工程的差额</t>
    </r>
    <phoneticPr fontId="75" type="noConversion"/>
  </si>
  <si>
    <r>
      <rPr>
        <b/>
        <sz val="10"/>
        <color theme="1"/>
        <rFont val="微软雅黑"/>
        <family val="2"/>
      </rPr>
      <t>与资产负债表核对如下：</t>
    </r>
  </si>
  <si>
    <r>
      <rPr>
        <b/>
        <sz val="10"/>
        <rFont val="微软雅黑"/>
        <family val="2"/>
      </rPr>
      <t>账套名称</t>
    </r>
    <r>
      <rPr>
        <b/>
        <sz val="10"/>
        <rFont val="Arial"/>
        <family val="2"/>
      </rPr>
      <t>/</t>
    </r>
    <r>
      <rPr>
        <b/>
        <sz val="10"/>
        <rFont val="微软雅黑"/>
        <family val="2"/>
      </rPr>
      <t>账套编码</t>
    </r>
  </si>
  <si>
    <r>
      <rPr>
        <b/>
        <sz val="10"/>
        <rFont val="微软雅黑"/>
        <family val="2"/>
      </rPr>
      <t>科目编码</t>
    </r>
  </si>
  <si>
    <r>
      <rPr>
        <b/>
        <sz val="10"/>
        <rFont val="微软雅黑"/>
        <family val="2"/>
      </rPr>
      <t>交叉索引</t>
    </r>
    <phoneticPr fontId="75" type="noConversion"/>
  </si>
  <si>
    <r>
      <rPr>
        <b/>
        <sz val="10"/>
        <rFont val="微软雅黑"/>
        <family val="2"/>
      </rPr>
      <t>科目名称</t>
    </r>
  </si>
  <si>
    <r>
      <rPr>
        <b/>
        <sz val="10"/>
        <rFont val="微软雅黑"/>
        <family val="2"/>
      </rPr>
      <t>金额</t>
    </r>
  </si>
  <si>
    <r>
      <rPr>
        <sz val="10"/>
        <color theme="1"/>
        <rFont val="微软雅黑"/>
        <family val="2"/>
      </rPr>
      <t>合计</t>
    </r>
    <phoneticPr fontId="75" type="noConversion"/>
  </si>
  <si>
    <r>
      <rPr>
        <sz val="10"/>
        <color theme="1"/>
        <rFont val="微软雅黑"/>
        <family val="2"/>
      </rPr>
      <t>转入固定资产</t>
    </r>
    <phoneticPr fontId="75" type="noConversion"/>
  </si>
  <si>
    <t>K.01</t>
  </si>
  <si>
    <r>
      <rPr>
        <sz val="10"/>
        <color theme="1"/>
        <rFont val="微软雅黑"/>
        <family val="2"/>
      </rPr>
      <t>固定资产</t>
    </r>
    <r>
      <rPr>
        <sz val="10"/>
        <color theme="1"/>
        <rFont val="Arial"/>
        <family val="2"/>
      </rPr>
      <t>-</t>
    </r>
    <r>
      <rPr>
        <sz val="10"/>
        <color theme="1"/>
        <rFont val="微软雅黑"/>
        <family val="2"/>
      </rPr>
      <t>在建工程转入</t>
    </r>
    <phoneticPr fontId="75" type="noConversion"/>
  </si>
  <si>
    <r>
      <rPr>
        <sz val="10"/>
        <color theme="1"/>
        <rFont val="微软雅黑"/>
        <family val="2"/>
      </rPr>
      <t>差异</t>
    </r>
    <phoneticPr fontId="75" type="noConversion"/>
  </si>
  <si>
    <r>
      <rPr>
        <sz val="10"/>
        <color theme="1"/>
        <rFont val="微软雅黑"/>
        <family val="2"/>
      </rPr>
      <t>转入无形资产</t>
    </r>
  </si>
  <si>
    <t>L1.01</t>
  </si>
  <si>
    <r>
      <rPr>
        <sz val="10"/>
        <color theme="1"/>
        <rFont val="微软雅黑"/>
        <family val="2"/>
      </rPr>
      <t>无形资产</t>
    </r>
    <r>
      <rPr>
        <sz val="10"/>
        <color theme="1"/>
        <rFont val="Arial"/>
        <family val="2"/>
      </rPr>
      <t>-</t>
    </r>
    <r>
      <rPr>
        <sz val="10"/>
        <color theme="1"/>
        <rFont val="微软雅黑"/>
        <family val="2"/>
      </rPr>
      <t>在建工程转入</t>
    </r>
    <phoneticPr fontId="75" type="noConversion"/>
  </si>
  <si>
    <r>
      <rPr>
        <sz val="10"/>
        <color theme="1"/>
        <rFont val="微软雅黑"/>
        <family val="2"/>
      </rPr>
      <t>转入长期待摊费用</t>
    </r>
  </si>
  <si>
    <t>L2.01</t>
    <phoneticPr fontId="75" type="noConversion"/>
  </si>
  <si>
    <r>
      <rPr>
        <sz val="10"/>
        <color theme="1"/>
        <rFont val="微软雅黑"/>
        <family val="2"/>
      </rPr>
      <t>长期待摊费用</t>
    </r>
    <r>
      <rPr>
        <sz val="10"/>
        <color theme="1"/>
        <rFont val="Arial"/>
        <family val="2"/>
      </rPr>
      <t>-</t>
    </r>
    <r>
      <rPr>
        <sz val="10"/>
        <color theme="1"/>
        <rFont val="微软雅黑"/>
        <family val="2"/>
      </rPr>
      <t>在建工程转入</t>
    </r>
    <phoneticPr fontId="75" type="noConversion"/>
  </si>
  <si>
    <r>
      <rPr>
        <sz val="10"/>
        <color theme="1"/>
        <rFont val="微软雅黑"/>
        <family val="2"/>
      </rPr>
      <t>【</t>
    </r>
    <r>
      <rPr>
        <sz val="10"/>
        <color theme="1"/>
        <rFont val="Arial"/>
        <family val="2"/>
      </rPr>
      <t>...</t>
    </r>
    <r>
      <rPr>
        <sz val="10"/>
        <color theme="1"/>
        <rFont val="微软雅黑"/>
        <family val="2"/>
      </rPr>
      <t>】</t>
    </r>
  </si>
  <si>
    <r>
      <rPr>
        <sz val="10"/>
        <color theme="1"/>
        <rFont val="微软雅黑"/>
        <family val="2"/>
      </rPr>
      <t>转入资产合计</t>
    </r>
  </si>
  <si>
    <r>
      <rPr>
        <sz val="10"/>
        <color theme="1"/>
        <rFont val="微软雅黑"/>
        <family val="2"/>
      </rPr>
      <t>在建工程转出合计</t>
    </r>
  </si>
  <si>
    <r>
      <rPr>
        <b/>
        <sz val="10"/>
        <color rgb="FF000000"/>
        <rFont val="微软雅黑"/>
        <family val="2"/>
      </rPr>
      <t>标记图例</t>
    </r>
    <r>
      <rPr>
        <b/>
        <sz val="10"/>
        <color rgb="FF000000"/>
        <rFont val="Arial"/>
        <family val="2"/>
      </rPr>
      <t>:</t>
    </r>
    <r>
      <rPr>
        <sz val="10"/>
        <color rgb="FF000000"/>
        <rFont val="微软雅黑"/>
        <family val="2"/>
      </rPr>
      <t>若有转固或者其他减少</t>
    </r>
    <r>
      <rPr>
        <sz val="10"/>
        <color rgb="FF000000"/>
        <rFont val="Arial"/>
        <family val="2"/>
      </rPr>
      <t>X-ref</t>
    </r>
    <r>
      <rPr>
        <sz val="10"/>
        <color rgb="FF000000"/>
        <rFont val="微软雅黑"/>
        <family val="2"/>
      </rPr>
      <t>异常的，我们与管理层进行讨论，并记录在</t>
    </r>
    <r>
      <rPr>
        <sz val="10"/>
        <color rgb="FF000000"/>
        <rFont val="Arial"/>
        <family val="2"/>
      </rPr>
      <t>Notes</t>
    </r>
    <r>
      <rPr>
        <sz val="10"/>
        <color rgb="FF000000"/>
        <rFont val="微软雅黑"/>
        <family val="2"/>
      </rPr>
      <t>中。</t>
    </r>
  </si>
  <si>
    <t>98a33a0e-fd44-4636-87b0-406b0cfec332</t>
  </si>
  <si>
    <t>获取在建工程转出列表，并将列表与在建工程后推核对一致。我们调查了超过SAD名义金额的差异（例如，在建工程转出列表与后推计划表之间没有被解释的差额）。</t>
  </si>
  <si>
    <t>注：项目组可以自定义在建工程转出清单表格，但至少须确保必需字段（如项目或资产名称、转出时间、转出金额，转入资产类别等）完整。</t>
  </si>
  <si>
    <r>
      <t xml:space="preserve">J1.03 CIP </t>
    </r>
    <r>
      <rPr>
        <b/>
        <sz val="12"/>
        <rFont val="微软雅黑"/>
        <family val="2"/>
      </rPr>
      <t>长期挂账</t>
    </r>
  </si>
  <si>
    <r>
      <rPr>
        <b/>
        <u/>
        <sz val="10"/>
        <color rgb="FFFF0000"/>
        <rFont val="微软雅黑"/>
        <family val="2"/>
      </rPr>
      <t>返回汇总页</t>
    </r>
  </si>
  <si>
    <r>
      <rPr>
        <b/>
        <sz val="10"/>
        <color rgb="FF000000"/>
        <rFont val="微软雅黑"/>
        <family val="2"/>
      </rPr>
      <t>我们将期末在建工程清单（如项目清单）作为总体，选取金额重大且长期挂账的在建工程作为样本。以下描述选择待测试项目的理由：</t>
    </r>
  </si>
  <si>
    <r>
      <rPr>
        <b/>
        <sz val="10"/>
        <rFont val="微软雅黑"/>
        <family val="2"/>
      </rPr>
      <t>安永属性测试说明：</t>
    </r>
    <phoneticPr fontId="75" type="noConversion"/>
  </si>
  <si>
    <r>
      <rPr>
        <i/>
        <sz val="10"/>
        <rFont val="微软雅黑"/>
        <family val="2"/>
      </rPr>
      <t>对于选择进行测试的每个项目，我们检查了相关证据（如计划、预算和</t>
    </r>
    <r>
      <rPr>
        <i/>
        <sz val="10"/>
        <rFont val="Arial"/>
        <family val="2"/>
      </rPr>
      <t>/</t>
    </r>
    <r>
      <rPr>
        <i/>
        <sz val="10"/>
        <rFont val="微软雅黑"/>
        <family val="2"/>
      </rPr>
      <t>或其他证据），并确定：</t>
    </r>
    <phoneticPr fontId="75" type="noConversion"/>
  </si>
  <si>
    <r>
      <t>1</t>
    </r>
    <r>
      <rPr>
        <sz val="10"/>
        <rFont val="微软雅黑"/>
        <family val="2"/>
      </rPr>
      <t>）对于资产负债表日仍在在建工程中的项目，检查计划、预算和</t>
    </r>
    <r>
      <rPr>
        <sz val="10"/>
        <rFont val="Arial"/>
        <family val="2"/>
      </rPr>
      <t>/</t>
    </r>
    <r>
      <rPr>
        <sz val="10"/>
        <rFont val="微软雅黑"/>
        <family val="2"/>
      </rPr>
      <t>或其他证据，以验证施工仍在进行中。通过询问管理层并检查基础计划或其他相关支持证据，考虑在建工程账龄的合理性，确定资产尚未开始折旧且不存在与资产相关的减值迹象是适当的。</t>
    </r>
  </si>
  <si>
    <r>
      <rPr>
        <b/>
        <sz val="10"/>
        <rFont val="微软雅黑"/>
        <family val="2"/>
      </rPr>
      <t>样本序号</t>
    </r>
    <phoneticPr fontId="75" type="noConversion"/>
  </si>
  <si>
    <r>
      <rPr>
        <b/>
        <sz val="10"/>
        <rFont val="微软雅黑"/>
        <family val="2"/>
      </rPr>
      <t>资产日期
（最初记录在明细账中时）</t>
    </r>
    <phoneticPr fontId="75" type="noConversion"/>
  </si>
  <si>
    <r>
      <rPr>
        <b/>
        <sz val="10"/>
        <rFont val="微软雅黑"/>
        <family val="2"/>
      </rPr>
      <t>资产编号</t>
    </r>
    <phoneticPr fontId="75" type="noConversion"/>
  </si>
  <si>
    <r>
      <rPr>
        <b/>
        <sz val="10"/>
        <rFont val="微软雅黑"/>
        <family val="2"/>
      </rPr>
      <t>资产期末余额</t>
    </r>
    <phoneticPr fontId="75" type="noConversion"/>
  </si>
  <si>
    <r>
      <rPr>
        <b/>
        <sz val="10"/>
        <rFont val="微软雅黑"/>
        <family val="2"/>
      </rPr>
      <t>获得的证据</t>
    </r>
    <r>
      <rPr>
        <b/>
        <sz val="10"/>
        <rFont val="Arial"/>
        <family val="2"/>
      </rPr>
      <t>/</t>
    </r>
    <r>
      <rPr>
        <b/>
        <sz val="10"/>
        <rFont val="微软雅黑"/>
        <family val="2"/>
      </rPr>
      <t>支持的描述（例如，计划、预算和</t>
    </r>
    <r>
      <rPr>
        <b/>
        <sz val="10"/>
        <rFont val="Arial"/>
        <family val="2"/>
      </rPr>
      <t>/</t>
    </r>
    <r>
      <rPr>
        <b/>
        <sz val="10"/>
        <rFont val="微软雅黑"/>
        <family val="2"/>
      </rPr>
      <t>或其他证据）</t>
    </r>
    <phoneticPr fontId="75" type="noConversion"/>
  </si>
  <si>
    <r>
      <rPr>
        <b/>
        <sz val="10"/>
        <rFont val="微软雅黑"/>
        <family val="2"/>
      </rPr>
      <t>账龄合理性说明或参考减值测试</t>
    </r>
    <phoneticPr fontId="75" type="noConversion"/>
  </si>
  <si>
    <r>
      <rPr>
        <b/>
        <sz val="10"/>
        <color rgb="FF000000"/>
        <rFont val="微软雅黑"/>
        <family val="2"/>
      </rPr>
      <t>标记图例</t>
    </r>
    <r>
      <rPr>
        <b/>
        <sz val="10"/>
        <color rgb="FF000000"/>
        <rFont val="Arial"/>
        <family val="2"/>
      </rPr>
      <t>:</t>
    </r>
    <r>
      <rPr>
        <sz val="10"/>
        <color rgb="FF000000"/>
        <rFont val="微软雅黑"/>
        <family val="2"/>
        <charset val="134"/>
      </rPr>
      <t>记录已识别的异常情况以及如何解决这些异常情况的详细信息，包括执行的其他实质性程序</t>
    </r>
    <r>
      <rPr>
        <b/>
        <i/>
        <sz val="10"/>
        <color rgb="FFFF0000"/>
        <rFont val="微软雅黑"/>
        <family val="2"/>
      </rPr>
      <t>（指南：包括足够的描述，以使之前与审计无关的经验丰富的审计师能够理解执行的程序）</t>
    </r>
  </si>
  <si>
    <r>
      <rPr>
        <b/>
        <sz val="12"/>
        <rFont val="微软雅黑"/>
        <family val="2"/>
      </rPr>
      <t>此工作底稿需要与以下</t>
    </r>
    <r>
      <rPr>
        <b/>
        <sz val="12"/>
        <rFont val="Arial"/>
        <family val="2"/>
      </rPr>
      <t xml:space="preserve"> Canvas PSP guided workflow forms</t>
    </r>
    <r>
      <rPr>
        <b/>
        <sz val="12"/>
        <rFont val="微软雅黑"/>
        <family val="2"/>
      </rPr>
      <t xml:space="preserve">一起使用：
</t>
    </r>
    <r>
      <rPr>
        <b/>
        <sz val="12"/>
        <rFont val="Arial"/>
        <family val="2"/>
      </rPr>
      <t>•K.00  PPE lead sheet
•K.01  Agreement of subledgers with general ledger
•K.02  Additions and disposals
•K.04 Impairments of property, plant and equipment
•Account conclusion</t>
    </r>
    <phoneticPr fontId="75" type="noConversion"/>
  </si>
  <si>
    <t>EY Works</t>
    <phoneticPr fontId="75" type="noConversion"/>
  </si>
  <si>
    <t>EY Works</t>
    <phoneticPr fontId="8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</si>
</sst>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3" formatCode="_ * #,##0.00_ ;_ * \-#,##0.00_ ;_ * &quot;-&quot;??_ ;_ @_ "/>
    <numFmt numFmtId="176" formatCode="_(* #,##0.00_);_(* \(#,##0.00\);_(* &quot;-&quot;??_);_(@_)"/>
    <numFmt numFmtId="177" formatCode="_-&quot;$&quot;* #,##0.00_-;\-&quot;$&quot;* #,##0.00_-;_-&quot;$&quot;* &quot;-&quot;??_-;_-@_-"/>
    <numFmt numFmtId="178" formatCode="_-&quot;$&quot;* #,##0_-;\-&quot;$&quot;* #,##0_-;_-&quot;$&quot;* &quot;-&quot;_-;_-@_-"/>
    <numFmt numFmtId="179" formatCode="&quot;$&quot;#,##0;[Red]&quot;$&quot;&quot;$&quot;&quot;$&quot;&quot;$&quot;&quot;$&quot;&quot;$&quot;&quot;$&quot;\-#,##0"/>
    <numFmt numFmtId="180" formatCode="0.00000&quot;  &quot;"/>
    <numFmt numFmtId="181" formatCode="_(&quot;$&quot;* #,##0.00_);_(&quot;$&quot;* \(#,##0.00\);_(&quot;$&quot;* &quot;-&quot;??_);_(@_)"/>
    <numFmt numFmtId="182" formatCode="_-* #,##0.00\ _k_r_-;\-* #,##0.00\ _k_r_-;_-* &quot;-&quot;??\ _k_r_-;_-@_-"/>
    <numFmt numFmtId="183" formatCode="_(* #,##0_);_(* \(#,##0\);_(* &quot;-&quot;_);_(@_)"/>
    <numFmt numFmtId="184" formatCode="0.0%"/>
    <numFmt numFmtId="185" formatCode="#,##0;\(#,##0\)"/>
    <numFmt numFmtId="186" formatCode="#,##0;\-#,##0;&quot;-&quot;"/>
    <numFmt numFmtId="187" formatCode="\¥#,##0;\-\¥#,##0"/>
    <numFmt numFmtId="188" formatCode="_-* #,##0\ _k_r_-;\-* #,##0\ _k_r_-;_-* &quot;-&quot;\ _k_r_-;_-@_-"/>
    <numFmt numFmtId="189" formatCode="_-* #,##0_-;\-* #,##0_-;_-* &quot;-&quot;_-;_-@_-"/>
    <numFmt numFmtId="190" formatCode="&quot;\&quot;#,##0.00;[Red]&quot;\&quot;\-#,##0.00"/>
    <numFmt numFmtId="191" formatCode="&quot;$&quot;#,##0_);\(&quot;$&quot;#,##0\)"/>
    <numFmt numFmtId="192" formatCode="_-* #,##0.0000000000_-;\-* #,##0.0000000000_-;_-* &quot;-&quot;??_-;_-@_-"/>
    <numFmt numFmtId="193" formatCode="\$#,##0.00;\(\$#,##0.00\)"/>
    <numFmt numFmtId="194" formatCode="_ [$€-2]* #,##0.00_ ;_ [$€-2]* \-#,##0.00_ ;_ [$€-2]* &quot;-&quot;??_ "/>
    <numFmt numFmtId="195" formatCode="&quot;\&quot;#,##0.00;[Red]&quot;\&quot;&quot;\&quot;&quot;\&quot;&quot;\&quot;&quot;\&quot;&quot;\&quot;\-#,##0.00"/>
    <numFmt numFmtId="196" formatCode="#,##0.0_);\(#,##0.0\)"/>
    <numFmt numFmtId="197" formatCode="&quot;$&quot;#,##0.00_);\(&quot;$&quot;#,##0.00\)"/>
    <numFmt numFmtId="198" formatCode="\$#,##0;\(\$#,##0\)"/>
    <numFmt numFmtId="199" formatCode="&quot;\&quot;#,##0;[Red]&quot;\&quot;&quot;\&quot;\-#,##0"/>
    <numFmt numFmtId="200" formatCode="&quot;\&quot;#,##0;[Red]&quot;\&quot;\-#,##0"/>
    <numFmt numFmtId="201" formatCode="#,##0.00_);#,##0.00\)"/>
    <numFmt numFmtId="202" formatCode="_-* #,##0.00_-;\-* #,##0.00_-;_-* &quot;-&quot;??_-;_-@_-"/>
    <numFmt numFmtId="20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4" formatCode="_(* #,##0_);_(* \(#,##0\);_(* &quot;-&quot;??_);_(@_)"/>
    <numFmt numFmtId="205" formatCode="#,##0.00_ ;[Red]\-#,##0.00\ "/>
  </numFmts>
  <fonts count="166">
    <font>
      <sz val="11"/>
      <color theme="1"/>
      <name val="等线"/>
      <charset val="134"/>
      <scheme val="minor"/>
    </font>
    <font>
      <sz val="11"/>
      <color theme="1"/>
      <name val="等线"/>
      <family val="2"/>
      <scheme val="minor"/>
    </font>
    <font>
      <sz val="11"/>
      <color theme="1"/>
      <name val="等线"/>
      <family val="2"/>
      <scheme val="minor"/>
    </font>
    <font>
      <sz val="10"/>
      <color theme="1"/>
      <name val="Arial"/>
      <family val="2"/>
    </font>
    <font>
      <b/>
      <sz val="10"/>
      <color rgb="FFFF0000"/>
      <name val="Arial"/>
      <family val="2"/>
    </font>
    <font>
      <b/>
      <sz val="10"/>
      <color theme="1"/>
      <name val="Arial"/>
      <family val="2"/>
    </font>
    <font>
      <sz val="10"/>
      <color rgb="FF000000"/>
      <name val="Arial"/>
      <family val="2"/>
    </font>
    <font>
      <sz val="10"/>
      <name val="Arial"/>
      <family val="2"/>
    </font>
    <font>
      <sz val="10"/>
      <color rgb="FFFF0000"/>
      <name val="Arial"/>
      <family val="2"/>
    </font>
    <font>
      <b/>
      <sz val="10"/>
      <name val="Arial"/>
      <family val="2"/>
    </font>
    <font>
      <u/>
      <sz val="10"/>
      <color theme="10"/>
      <name val="Arial"/>
      <family val="2"/>
    </font>
    <font>
      <sz val="10"/>
      <color indexed="8"/>
      <name val="Arial"/>
      <family val="2"/>
    </font>
    <font>
      <b/>
      <sz val="10"/>
      <name val="微软雅黑"/>
      <family val="2"/>
      <charset val="134"/>
    </font>
    <font>
      <b/>
      <sz val="10"/>
      <color indexed="8"/>
      <name val="Arial"/>
      <family val="2"/>
    </font>
    <font>
      <b/>
      <sz val="10"/>
      <color rgb="FF000000"/>
      <name val="Arial"/>
      <family val="2"/>
    </font>
    <font>
      <b/>
      <sz val="10"/>
      <color rgb="FF0000FF"/>
      <name val="Arial"/>
      <family val="2"/>
    </font>
    <font>
      <sz val="11"/>
      <color theme="0"/>
      <name val="等线"/>
      <family val="3"/>
      <charset val="134"/>
      <scheme val="minor"/>
    </font>
    <font>
      <sz val="11"/>
      <color indexed="17"/>
      <name val="宋体"/>
      <family val="3"/>
      <charset val="134"/>
    </font>
    <font>
      <sz val="10"/>
      <color indexed="8"/>
      <name val="MS Sans Serif"/>
      <family val="2"/>
    </font>
    <font>
      <sz val="12"/>
      <color indexed="8"/>
      <name val="宋体"/>
      <family val="3"/>
      <charset val="134"/>
    </font>
    <font>
      <sz val="12"/>
      <name val="宋体"/>
      <family val="3"/>
      <charset val="134"/>
    </font>
    <font>
      <sz val="12"/>
      <color indexed="9"/>
      <name val="宋体"/>
      <family val="3"/>
      <charset val="134"/>
    </font>
    <font>
      <sz val="9"/>
      <name val="Times New Roman"/>
      <family val="1"/>
    </font>
    <font>
      <sz val="11"/>
      <color indexed="20"/>
      <name val="宋体"/>
      <family val="3"/>
      <charset val="134"/>
    </font>
    <font>
      <sz val="11"/>
      <color indexed="9"/>
      <name val="宋体"/>
      <family val="3"/>
      <charset val="134"/>
    </font>
    <font>
      <sz val="11"/>
      <color indexed="26"/>
      <name val="宋体"/>
      <family val="3"/>
      <charset val="134"/>
    </font>
    <font>
      <sz val="10"/>
      <name val="宋体"/>
      <family val="3"/>
      <charset val="134"/>
    </font>
    <font>
      <sz val="13"/>
      <name val="Tms Rmn"/>
      <family val="1"/>
    </font>
    <font>
      <sz val="12"/>
      <name val="柧挬"/>
      <family val="2"/>
    </font>
    <font>
      <u/>
      <sz val="10"/>
      <color indexed="12"/>
      <name val="宋体"/>
      <family val="3"/>
      <charset val="134"/>
    </font>
    <font>
      <u/>
      <sz val="11"/>
      <color theme="10"/>
      <name val="宋体"/>
      <family val="3"/>
      <charset val="134"/>
    </font>
    <font>
      <sz val="12"/>
      <name val="Times New Roman"/>
      <family val="1"/>
    </font>
    <font>
      <sz val="11"/>
      <color indexed="38"/>
      <name val="宋体"/>
      <family val="3"/>
      <charset val="134"/>
    </font>
    <font>
      <sz val="11"/>
      <name val="ＭＳ Ｐゴシック"/>
      <family val="2"/>
    </font>
    <font>
      <sz val="10"/>
      <name val="Times New Roman"/>
      <family val="1"/>
    </font>
    <font>
      <sz val="11"/>
      <color theme="1"/>
      <name val="宋体"/>
      <family val="3"/>
      <charset val="134"/>
    </font>
    <font>
      <b/>
      <sz val="10"/>
      <name val="Helv"/>
      <family val="2"/>
    </font>
    <font>
      <b/>
      <sz val="11"/>
      <color theme="0"/>
      <name val="宋体"/>
      <family val="3"/>
      <charset val="134"/>
    </font>
    <font>
      <b/>
      <sz val="13"/>
      <name val="Tms Rmn"/>
      <family val="1"/>
    </font>
    <font>
      <sz val="11"/>
      <color indexed="21"/>
      <name val="宋体"/>
      <family val="3"/>
      <charset val="134"/>
    </font>
    <font>
      <sz val="11"/>
      <color indexed="8"/>
      <name val="宋体"/>
      <family val="3"/>
      <charset val="134"/>
    </font>
    <font>
      <u/>
      <sz val="12"/>
      <color indexed="12"/>
      <name val="宋体"/>
      <family val="3"/>
      <charset val="134"/>
    </font>
    <font>
      <b/>
      <sz val="18"/>
      <color indexed="35"/>
      <name val="宋体"/>
      <family val="3"/>
      <charset val="134"/>
    </font>
    <font>
      <sz val="8"/>
      <name val="EYInterstate Light"/>
    </font>
    <font>
      <sz val="8"/>
      <name val="Arial"/>
      <family val="2"/>
    </font>
    <font>
      <sz val="11"/>
      <color rgb="FF006100"/>
      <name val="宋体"/>
      <family val="3"/>
      <charset val="134"/>
    </font>
    <font>
      <b/>
      <sz val="12"/>
      <name val="Helv"/>
      <family val="2"/>
    </font>
    <font>
      <b/>
      <sz val="12"/>
      <name val="Arial"/>
      <family val="2"/>
    </font>
    <font>
      <b/>
      <sz val="11"/>
      <name val="Helv"/>
      <family val="2"/>
    </font>
    <font>
      <sz val="8"/>
      <name val="Century Schoolbook"/>
      <family val="1"/>
    </font>
    <font>
      <sz val="14"/>
      <name val="柧挬"/>
      <family val="2"/>
    </font>
    <font>
      <sz val="10"/>
      <name val="Arial Narrow"/>
      <family val="2"/>
    </font>
    <font>
      <sz val="11"/>
      <color indexed="8"/>
      <name val="Calibri"/>
      <family val="2"/>
    </font>
    <font>
      <sz val="10"/>
      <name val="宋体"/>
      <family val="3"/>
      <charset val="134"/>
    </font>
    <font>
      <sz val="8"/>
      <color indexed="16"/>
      <name val="Century Schoolbook"/>
      <family val="1"/>
    </font>
    <font>
      <sz val="10"/>
      <color indexed="39"/>
      <name val="Arial"/>
      <family val="2"/>
    </font>
    <font>
      <b/>
      <sz val="10"/>
      <color indexed="39"/>
      <name val="Arial"/>
      <family val="2"/>
    </font>
    <font>
      <b/>
      <sz val="12"/>
      <color indexed="8"/>
      <name val="Arial"/>
      <family val="2"/>
    </font>
    <font>
      <b/>
      <sz val="18"/>
      <color indexed="62"/>
      <name val="宋体"/>
      <family val="3"/>
      <charset val="134"/>
    </font>
    <font>
      <sz val="19"/>
      <color indexed="48"/>
      <name val="Arial"/>
      <family val="2"/>
    </font>
    <font>
      <sz val="10"/>
      <color indexed="10"/>
      <name val="Arial"/>
      <family val="2"/>
    </font>
    <font>
      <b/>
      <i/>
      <sz val="10"/>
      <name val="Times New Roman"/>
      <family val="1"/>
    </font>
    <font>
      <sz val="10"/>
      <name val="Geneva"/>
      <family val="2"/>
    </font>
    <font>
      <b/>
      <sz val="9"/>
      <name val="Times New Roman"/>
      <family val="1"/>
    </font>
    <font>
      <sz val="12"/>
      <name val="바탕체"/>
      <family val="3"/>
    </font>
    <font>
      <sz val="11"/>
      <name val="明朝"/>
      <family val="1"/>
      <charset val="255"/>
    </font>
    <font>
      <sz val="12"/>
      <color indexed="16"/>
      <name val="宋体"/>
      <family val="3"/>
      <charset val="134"/>
    </font>
    <font>
      <b/>
      <sz val="12"/>
      <color indexed="8"/>
      <name val="宋体"/>
      <family val="3"/>
      <charset val="134"/>
    </font>
    <font>
      <sz val="12"/>
      <color indexed="17"/>
      <name val="宋体"/>
      <family val="3"/>
      <charset val="134"/>
    </font>
    <font>
      <sz val="12"/>
      <name val="新細明體"/>
      <family val="1"/>
    </font>
    <font>
      <sz val="12"/>
      <name val="官帕眉"/>
      <family val="2"/>
    </font>
    <font>
      <sz val="10"/>
      <name val="奔覆眉"/>
      <family val="2"/>
    </font>
    <font>
      <u/>
      <sz val="10"/>
      <color rgb="FFFF0000"/>
      <name val="微软雅黑"/>
      <family val="2"/>
      <charset val="134"/>
    </font>
    <font>
      <sz val="10"/>
      <color rgb="FF000000"/>
      <name val="微软雅黑"/>
      <family val="2"/>
      <charset val="134"/>
    </font>
    <font>
      <sz val="11"/>
      <color theme="1"/>
      <name val="等线"/>
      <family val="3"/>
      <charset val="134"/>
      <scheme val="minor"/>
    </font>
    <font>
      <sz val="9"/>
      <name val="等线"/>
      <family val="3"/>
      <charset val="134"/>
      <scheme val="minor"/>
    </font>
    <font>
      <sz val="11"/>
      <color theme="1"/>
      <name val="等线"/>
      <family val="2"/>
      <charset val="134"/>
      <scheme val="minor"/>
    </font>
    <font>
      <u/>
      <sz val="11"/>
      <color theme="10"/>
      <name val="等线"/>
      <family val="2"/>
      <scheme val="minor"/>
    </font>
    <font>
      <sz val="10"/>
      <name val="宋体"/>
      <family val="3"/>
      <charset val="134"/>
    </font>
    <font>
      <b/>
      <sz val="14"/>
      <color rgb="FFFF0000"/>
      <name val="微软雅黑"/>
      <family val="2"/>
      <charset val="134"/>
    </font>
    <font>
      <sz val="9"/>
      <name val="等线"/>
      <family val="3"/>
      <charset val="134"/>
      <scheme val="minor"/>
    </font>
    <font>
      <sz val="14"/>
      <color theme="1"/>
      <name val="Arial"/>
      <family val="2"/>
    </font>
    <font>
      <sz val="14"/>
      <color theme="1"/>
      <name val="微软雅黑"/>
      <family val="2"/>
      <charset val="134"/>
    </font>
    <font>
      <b/>
      <sz val="14"/>
      <color theme="1"/>
      <name val="Arial"/>
      <family val="2"/>
    </font>
    <font>
      <b/>
      <sz val="14"/>
      <color theme="1"/>
      <name val="微软雅黑"/>
      <family val="2"/>
      <charset val="134"/>
    </font>
    <font>
      <sz val="14"/>
      <name val="微软雅黑"/>
      <family val="2"/>
      <charset val="134"/>
    </font>
    <font>
      <sz val="9"/>
      <color theme="1"/>
      <name val="Arial"/>
      <family val="2"/>
      <charset val="134"/>
    </font>
    <font>
      <sz val="6"/>
      <name val="等线"/>
      <family val="3"/>
      <charset val="128"/>
      <scheme val="minor"/>
    </font>
    <font>
      <sz val="11"/>
      <color theme="1"/>
      <name val="Arial"/>
      <family val="2"/>
    </font>
    <font>
      <b/>
      <i/>
      <sz val="10"/>
      <color rgb="FFFF0000"/>
      <name val="Arial"/>
      <family val="2"/>
    </font>
    <font>
      <sz val="10"/>
      <color theme="0"/>
      <name val="Arial"/>
      <family val="2"/>
    </font>
    <font>
      <b/>
      <strike/>
      <sz val="10"/>
      <color rgb="FF0000FF"/>
      <name val="Arial"/>
      <family val="2"/>
    </font>
    <font>
      <b/>
      <sz val="14"/>
      <color rgb="FFFFFFFF"/>
      <name val="微软雅黑"/>
      <family val="2"/>
      <charset val="134"/>
    </font>
    <font>
      <b/>
      <sz val="14"/>
      <color theme="0"/>
      <name val="Arial"/>
      <family val="2"/>
    </font>
    <font>
      <b/>
      <sz val="14"/>
      <color rgb="FFFFC000"/>
      <name val="Arial"/>
      <family val="2"/>
    </font>
    <font>
      <b/>
      <sz val="12"/>
      <color rgb="FF000000"/>
      <name val="Arial"/>
      <family val="2"/>
    </font>
    <font>
      <b/>
      <sz val="18"/>
      <color indexed="8"/>
      <name val="Arial"/>
      <family val="2"/>
    </font>
    <font>
      <sz val="10"/>
      <color theme="1"/>
      <name val="Tahoma"/>
      <family val="2"/>
    </font>
    <font>
      <b/>
      <sz val="10"/>
      <color rgb="FFFF0000"/>
      <name val="微软雅黑"/>
      <family val="2"/>
    </font>
    <font>
      <sz val="10"/>
      <color rgb="FF242424"/>
      <name val="Arial"/>
      <family val="2"/>
    </font>
    <font>
      <sz val="10"/>
      <color theme="1"/>
      <name val="times new roman"/>
      <family val="2"/>
    </font>
    <font>
      <sz val="16"/>
      <color theme="1"/>
      <name val="Arial"/>
      <family val="2"/>
    </font>
    <font>
      <b/>
      <sz val="16"/>
      <color rgb="FFFFC000"/>
      <name val="Arial"/>
      <family val="2"/>
    </font>
    <font>
      <b/>
      <sz val="16"/>
      <color rgb="FFFFFFFF"/>
      <name val="Arial"/>
      <family val="2"/>
    </font>
    <font>
      <b/>
      <sz val="16"/>
      <color theme="1"/>
      <name val="Arial"/>
      <family val="2"/>
    </font>
    <font>
      <sz val="16"/>
      <name val="Arial"/>
      <family val="2"/>
    </font>
    <font>
      <i/>
      <sz val="10"/>
      <color rgb="FF000000"/>
      <name val="Arial"/>
      <family val="2"/>
    </font>
    <font>
      <sz val="12"/>
      <color theme="1"/>
      <name val="Arial"/>
      <family val="2"/>
    </font>
    <font>
      <b/>
      <sz val="12"/>
      <color rgb="FFFF0000"/>
      <name val="Arial"/>
      <family val="2"/>
    </font>
    <font>
      <sz val="11"/>
      <color theme="1"/>
      <name val="等线"/>
      <family val="2"/>
      <charset val="134"/>
      <scheme val="minor"/>
    </font>
    <font>
      <b/>
      <sz val="10"/>
      <color indexed="10"/>
      <name val="Arial"/>
      <family val="2"/>
    </font>
    <font>
      <i/>
      <sz val="10"/>
      <name val="Arial"/>
      <family val="2"/>
    </font>
    <font>
      <b/>
      <sz val="10"/>
      <color rgb="FFED0000"/>
      <name val="Arial"/>
      <family val="2"/>
    </font>
    <font>
      <i/>
      <sz val="10"/>
      <color theme="1"/>
      <name val="Arial"/>
      <family val="2"/>
    </font>
    <font>
      <b/>
      <u/>
      <sz val="10"/>
      <color rgb="FFFF0000"/>
      <name val="Arial"/>
      <family val="2"/>
    </font>
    <font>
      <u/>
      <sz val="10"/>
      <color rgb="FFFF0000"/>
      <name val="Arial"/>
      <family val="2"/>
    </font>
    <font>
      <b/>
      <sz val="12"/>
      <color theme="1"/>
      <name val="Arial"/>
      <family val="2"/>
    </font>
    <font>
      <sz val="11"/>
      <name val="Arial"/>
      <family val="2"/>
    </font>
    <font>
      <sz val="10"/>
      <color theme="1"/>
      <name val="微软雅黑"/>
      <family val="2"/>
    </font>
    <font>
      <b/>
      <sz val="11"/>
      <name val="微软雅黑"/>
      <family val="2"/>
    </font>
    <font>
      <i/>
      <sz val="10"/>
      <name val="微软雅黑"/>
      <family val="2"/>
    </font>
    <font>
      <sz val="10"/>
      <name val="微软雅黑"/>
      <family val="2"/>
    </font>
    <font>
      <sz val="14"/>
      <color rgb="FFFFFFFF"/>
      <name val="微软雅黑"/>
      <family val="2"/>
      <charset val="134"/>
    </font>
    <font>
      <sz val="14"/>
      <color rgb="FF000000"/>
      <name val="微软雅黑"/>
      <family val="2"/>
      <charset val="134"/>
    </font>
    <font>
      <b/>
      <i/>
      <sz val="14"/>
      <color rgb="FFFF0000"/>
      <name val="微软雅黑"/>
      <family val="2"/>
      <charset val="134"/>
    </font>
    <font>
      <b/>
      <i/>
      <sz val="9"/>
      <color rgb="FFFF0000"/>
      <name val="Arial"/>
      <family val="2"/>
    </font>
    <font>
      <b/>
      <vertAlign val="superscript"/>
      <sz val="10"/>
      <color rgb="FFFF0000"/>
      <name val="Arial"/>
      <family val="2"/>
    </font>
    <font>
      <b/>
      <sz val="11"/>
      <color rgb="FFFF0000"/>
      <name val="Arial"/>
      <family val="2"/>
    </font>
    <font>
      <b/>
      <sz val="11"/>
      <name val="Arial"/>
      <family val="2"/>
    </font>
    <font>
      <b/>
      <sz val="10"/>
      <name val="微软雅黑"/>
      <family val="2"/>
    </font>
    <font>
      <b/>
      <sz val="14"/>
      <color rgb="FFFF0000"/>
      <name val="微软雅黑"/>
      <family val="2"/>
    </font>
    <font>
      <sz val="14"/>
      <color rgb="FF000000"/>
      <name val="微软雅黑"/>
      <family val="2"/>
    </font>
    <font>
      <b/>
      <sz val="14"/>
      <name val="微软雅黑"/>
      <family val="2"/>
      <charset val="134"/>
    </font>
    <font>
      <b/>
      <sz val="14"/>
      <color theme="0"/>
      <name val="微软雅黑"/>
      <family val="2"/>
      <charset val="134"/>
    </font>
    <font>
      <b/>
      <sz val="14"/>
      <color theme="0"/>
      <name val="微软雅黑"/>
      <family val="2"/>
    </font>
    <font>
      <b/>
      <sz val="12"/>
      <name val="微软雅黑"/>
      <family val="2"/>
    </font>
    <font>
      <b/>
      <sz val="12"/>
      <color rgb="FF000000"/>
      <name val="微软雅黑"/>
      <family val="2"/>
    </font>
    <font>
      <u/>
      <sz val="10"/>
      <color rgb="FFFF0000"/>
      <name val="微软雅黑"/>
      <family val="2"/>
    </font>
    <font>
      <sz val="10"/>
      <color rgb="FF000000"/>
      <name val="微软雅黑"/>
      <family val="2"/>
    </font>
    <font>
      <b/>
      <i/>
      <sz val="9"/>
      <color rgb="FFFF0000"/>
      <name val="微软雅黑"/>
      <family val="2"/>
    </font>
    <font>
      <b/>
      <sz val="10"/>
      <color rgb="FF000000"/>
      <name val="微软雅黑"/>
      <family val="2"/>
    </font>
    <font>
      <b/>
      <sz val="10"/>
      <color theme="1"/>
      <name val="微软雅黑"/>
      <family val="2"/>
    </font>
    <font>
      <b/>
      <i/>
      <sz val="10"/>
      <color rgb="FFFF0000"/>
      <name val="微软雅黑"/>
      <family val="2"/>
    </font>
    <font>
      <i/>
      <sz val="10"/>
      <color theme="1"/>
      <name val="微软雅黑"/>
      <family val="2"/>
    </font>
    <font>
      <b/>
      <sz val="11"/>
      <color rgb="FFFF0000"/>
      <name val="微软雅黑"/>
      <family val="2"/>
    </font>
    <font>
      <b/>
      <sz val="11"/>
      <color rgb="FF000000"/>
      <name val="Arial"/>
      <family val="2"/>
    </font>
    <font>
      <b/>
      <sz val="10"/>
      <color indexed="8"/>
      <name val="微软雅黑"/>
      <family val="2"/>
    </font>
    <font>
      <strike/>
      <sz val="10"/>
      <color rgb="FFFF0000"/>
      <name val="Arial"/>
      <family val="2"/>
    </font>
    <font>
      <b/>
      <i/>
      <sz val="10"/>
      <color rgb="FFFF0000"/>
      <name val="DengXian"/>
      <family val="2"/>
      <charset val="134"/>
    </font>
    <font>
      <b/>
      <u/>
      <sz val="10"/>
      <color rgb="FFFF0000"/>
      <name val="微软雅黑"/>
      <family val="2"/>
    </font>
    <font>
      <b/>
      <sz val="10"/>
      <color rgb="FF000000"/>
      <name val="微软雅黑"/>
      <family val="2"/>
      <charset val="134"/>
    </font>
    <font>
      <b/>
      <i/>
      <sz val="10"/>
      <color rgb="FFFF0000"/>
      <name val="微软雅黑"/>
      <family val="2"/>
      <charset val="134"/>
    </font>
    <font>
      <b/>
      <sz val="14"/>
      <color rgb="FFFF0000"/>
      <name val="Arial"/>
      <family val="2"/>
    </font>
    <font>
      <sz val="10"/>
      <name val="等线"/>
      <family val="2"/>
      <charset val="134"/>
    </font>
    <font>
      <b/>
      <sz val="10"/>
      <color rgb="FFFF0000"/>
      <name val="等线"/>
      <family val="2"/>
      <charset val="134"/>
    </font>
    <font>
      <b/>
      <sz val="10"/>
      <color rgb="FFFF0000"/>
      <name val="微软雅黑"/>
      <family val="2"/>
      <charset val="134"/>
    </font>
    <font>
      <b/>
      <u/>
      <sz val="10"/>
      <color rgb="FF0563C1"/>
      <name val="Arial"/>
      <family val="2"/>
    </font>
    <font>
      <b/>
      <sz val="10"/>
      <color rgb="FF0000CC"/>
      <name val="Arial"/>
      <family val="2"/>
    </font>
    <font>
      <i/>
      <vertAlign val="superscript"/>
      <sz val="10"/>
      <color theme="4" tint="-0.249977111117893"/>
      <name val="Arial"/>
      <family val="2"/>
    </font>
    <font>
      <sz val="10"/>
      <color theme="1"/>
      <name val="等线"/>
      <family val="3"/>
      <charset val="134"/>
      <scheme val="minor"/>
    </font>
    <font>
      <b/>
      <sz val="10"/>
      <color rgb="FF000000"/>
      <name val="等线"/>
      <family val="2"/>
      <charset val="134"/>
    </font>
    <font>
      <b/>
      <sz val="14"/>
      <color rgb="FF000000"/>
      <name val="Arial"/>
      <family val="2"/>
    </font>
    <font>
      <b/>
      <u/>
      <sz val="10"/>
      <color theme="10"/>
      <name val="Arial"/>
      <family val="2"/>
    </font>
    <font>
      <u/>
      <sz val="11"/>
      <color theme="10"/>
      <name val="等线"/>
      <family val="3"/>
      <charset val="134"/>
      <scheme val="minor"/>
    </font>
    <font>
      <u/>
      <sz val="10"/>
      <color theme="10"/>
      <name val="微软雅黑"/>
      <family val="2"/>
      <charset val="134"/>
    </font>
    <font>
      <b/>
      <sz val="16"/>
      <color rgb="FFFF0000"/>
      <name val="Arial"/>
      <family val="2"/>
    </font>
  </fonts>
  <fills count="55">
    <fill>
      <patternFill patternType="none"/>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79"/>
        <bgColor indexed="64"/>
      </patternFill>
    </fill>
    <fill>
      <patternFill patternType="solid">
        <fgColor rgb="FF333399"/>
        <bgColor indexed="64"/>
      </patternFill>
    </fill>
    <fill>
      <patternFill patternType="solid">
        <fgColor theme="1"/>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2"/>
        <bgColor rgb="FF000000"/>
      </patternFill>
    </fill>
    <fill>
      <patternFill patternType="solid">
        <fgColor theme="0" tint="-0.34998626667073579"/>
        <bgColor rgb="FF000000"/>
      </patternFill>
    </fill>
    <fill>
      <patternFill patternType="solid">
        <fgColor rgb="FFD9E1F2"/>
        <bgColor indexed="64"/>
      </patternFill>
    </fill>
    <fill>
      <patternFill patternType="solid">
        <fgColor rgb="FFFFFFCC"/>
        <bgColor rgb="FF000000"/>
      </patternFill>
    </fill>
  </fills>
  <borders count="53">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s>
  <cellStyleXfs count="395">
    <xf numFmtId="0" fontId="0" fillId="0" borderId="0">
      <protection locked="0"/>
    </xf>
    <xf numFmtId="183" fontId="7" fillId="0" borderId="0" applyFont="0" applyFill="0" applyBorder="0" applyAlignment="0" applyProtection="0"/>
    <xf numFmtId="0" fontId="16" fillId="4" borderId="0" applyNumberFormat="0" applyBorder="0" applyAlignment="0" applyProtection="0">
      <alignment vertical="center"/>
    </xf>
    <xf numFmtId="0" fontId="17" fillId="5" borderId="0" applyNumberFormat="0" applyBorder="0" applyProtection="0"/>
    <xf numFmtId="0" fontId="11" fillId="6" borderId="10" applyNumberFormat="0" applyProtection="0">
      <alignment horizontal="left" vertical="center" indent="1"/>
    </xf>
    <xf numFmtId="0" fontId="18" fillId="0" borderId="0"/>
    <xf numFmtId="0" fontId="19" fillId="7" borderId="0" applyNumberFormat="0" applyBorder="0" applyAlignment="0" applyProtection="0"/>
    <xf numFmtId="176" fontId="74" fillId="0" borderId="0" applyFont="0" applyFill="0" applyBorder="0" applyAlignment="0" applyProtection="0"/>
    <xf numFmtId="183" fontId="20" fillId="0" borderId="0" applyFont="0" applyFill="0" applyBorder="0" applyAlignment="0" applyProtection="0"/>
    <xf numFmtId="0" fontId="21" fillId="8" borderId="0" applyNumberFormat="0" applyBorder="0" applyAlignment="0" applyProtection="0"/>
    <xf numFmtId="0" fontId="20" fillId="0" borderId="0"/>
    <xf numFmtId="0" fontId="7" fillId="0" borderId="0"/>
    <xf numFmtId="9" fontId="74" fillId="0" borderId="0" applyFont="0" applyFill="0" applyBorder="0" applyAlignment="0" applyProtection="0"/>
    <xf numFmtId="0" fontId="20" fillId="0" borderId="0">
      <alignment vertical="center"/>
    </xf>
    <xf numFmtId="0" fontId="22" fillId="0" borderId="0">
      <alignment horizontal="left"/>
    </xf>
    <xf numFmtId="176" fontId="7" fillId="0" borderId="0" applyFont="0" applyFill="0" applyBorder="0" applyAlignment="0" applyProtection="0"/>
    <xf numFmtId="0" fontId="23" fillId="9" borderId="0" applyNumberFormat="0" applyBorder="0" applyProtection="0"/>
    <xf numFmtId="192" fontId="20" fillId="0" borderId="0" applyFont="0" applyFill="0" applyBorder="0" applyAlignment="0" applyProtection="0"/>
    <xf numFmtId="183" fontId="7" fillId="0" borderId="0" applyFont="0" applyFill="0" applyBorder="0" applyAlignment="0" applyProtection="0"/>
    <xf numFmtId="0" fontId="17" fillId="10" borderId="0" applyNumberFormat="0" applyBorder="0" applyProtection="0"/>
    <xf numFmtId="0" fontId="25" fillId="11" borderId="0" applyNumberFormat="0" applyBorder="0" applyProtection="0"/>
    <xf numFmtId="0" fontId="74" fillId="0" borderId="0"/>
    <xf numFmtId="0" fontId="26" fillId="0" borderId="0"/>
    <xf numFmtId="0" fontId="16" fillId="3" borderId="0" applyNumberFormat="0" applyBorder="0" applyAlignment="0" applyProtection="0">
      <alignment vertical="center"/>
    </xf>
    <xf numFmtId="184" fontId="27" fillId="0" borderId="0" applyFont="0" applyFill="0" applyBorder="0" applyAlignment="0" applyProtection="0"/>
    <xf numFmtId="183" fontId="20" fillId="0" borderId="0" applyFont="0" applyFill="0" applyBorder="0" applyAlignment="0" applyProtection="0"/>
    <xf numFmtId="0" fontId="10" fillId="0" borderId="0" applyNumberFormat="0" applyFill="0" applyBorder="0" applyAlignment="0" applyProtection="0"/>
    <xf numFmtId="0" fontId="28" fillId="0" borderId="0"/>
    <xf numFmtId="0" fontId="11" fillId="13" borderId="10" applyNumberFormat="0" applyProtection="0">
      <alignment horizontal="left" vertical="center" indent="1"/>
    </xf>
    <xf numFmtId="0" fontId="13" fillId="12" borderId="10" applyNumberFormat="0" applyProtection="0">
      <alignment horizontal="left" vertical="center" indent="1"/>
    </xf>
    <xf numFmtId="0" fontId="29" fillId="0" borderId="0" applyNumberFormat="0" applyFill="0" applyBorder="0">
      <protection locked="0"/>
    </xf>
    <xf numFmtId="0" fontId="30" fillId="0" borderId="0" applyNumberFormat="0" applyFill="0" applyBorder="0" applyAlignment="0" applyProtection="0"/>
    <xf numFmtId="0" fontId="7" fillId="15" borderId="10" applyNumberFormat="0" applyProtection="0">
      <alignment horizontal="left" vertical="top" indent="1"/>
    </xf>
    <xf numFmtId="183" fontId="20" fillId="0" borderId="0" applyFont="0" applyFill="0" applyBorder="0" applyAlignment="0" applyProtection="0"/>
    <xf numFmtId="189" fontId="31" fillId="0" borderId="0" applyFont="0" applyFill="0" applyBorder="0" applyAlignment="0" applyProtection="0"/>
    <xf numFmtId="0" fontId="19" fillId="17" borderId="0" applyNumberFormat="0" applyBorder="0" applyAlignment="0" applyProtection="0"/>
    <xf numFmtId="0" fontId="32" fillId="10" borderId="0" applyNumberFormat="0" applyBorder="0" applyProtection="0"/>
    <xf numFmtId="10" fontId="27" fillId="0" borderId="0" applyFont="0" applyFill="0" applyBorder="0" applyAlignment="0" applyProtection="0"/>
    <xf numFmtId="187" fontId="20" fillId="0" borderId="0" applyFont="0" applyFill="0" applyBorder="0" applyAlignment="0" applyProtection="0"/>
    <xf numFmtId="0" fontId="21" fillId="18" borderId="0" applyNumberFormat="0" applyBorder="0" applyAlignment="0" applyProtection="0"/>
    <xf numFmtId="0" fontId="74" fillId="0" borderId="0"/>
    <xf numFmtId="183" fontId="74" fillId="0" borderId="0" applyFont="0" applyFill="0" applyBorder="0" applyAlignment="0" applyProtection="0"/>
    <xf numFmtId="0" fontId="21" fillId="19" borderId="0" applyNumberFormat="0" applyBorder="0" applyAlignment="0" applyProtection="0"/>
    <xf numFmtId="0" fontId="19" fillId="17" borderId="0" applyNumberFormat="0" applyBorder="0" applyAlignment="0" applyProtection="0"/>
    <xf numFmtId="0" fontId="21" fillId="20" borderId="0" applyNumberFormat="0" applyBorder="0" applyAlignment="0" applyProtection="0"/>
    <xf numFmtId="0" fontId="26" fillId="0" borderId="0"/>
    <xf numFmtId="0" fontId="26" fillId="0" borderId="0"/>
    <xf numFmtId="0" fontId="19" fillId="6" borderId="0" applyNumberFormat="0" applyBorder="0" applyAlignment="0" applyProtection="0"/>
    <xf numFmtId="0" fontId="33" fillId="0" borderId="0" applyFont="0" applyFill="0" applyBorder="0" applyAlignment="0" applyProtection="0"/>
    <xf numFmtId="185" fontId="34" fillId="0" borderId="0"/>
    <xf numFmtId="0" fontId="16" fillId="21" borderId="0" applyNumberFormat="0" applyBorder="0" applyAlignment="0" applyProtection="0">
      <alignment vertical="center"/>
    </xf>
    <xf numFmtId="0" fontId="17" fillId="5" borderId="0" applyNumberFormat="0" applyBorder="0" applyProtection="0"/>
    <xf numFmtId="0" fontId="17" fillId="5" borderId="0" applyNumberFormat="0" applyBorder="0" applyProtection="0"/>
    <xf numFmtId="0" fontId="21" fillId="8" borderId="0" applyNumberFormat="0" applyBorder="0" applyAlignment="0" applyProtection="0"/>
    <xf numFmtId="179" fontId="7" fillId="0" borderId="0"/>
    <xf numFmtId="0" fontId="19" fillId="6" borderId="0" applyNumberFormat="0" applyBorder="0" applyAlignment="0" applyProtection="0"/>
    <xf numFmtId="0" fontId="74" fillId="0" borderId="0"/>
    <xf numFmtId="0" fontId="19" fillId="5" borderId="0" applyNumberFormat="0" applyBorder="0" applyAlignment="0" applyProtection="0"/>
    <xf numFmtId="0" fontId="21" fillId="7" borderId="0" applyNumberFormat="0" applyBorder="0" applyAlignment="0" applyProtection="0"/>
    <xf numFmtId="0" fontId="17" fillId="5" borderId="0" applyNumberFormat="0" applyBorder="0" applyProtection="0"/>
    <xf numFmtId="0" fontId="21" fillId="19" borderId="0" applyNumberFormat="0" applyBorder="0" applyAlignment="0" applyProtection="0"/>
    <xf numFmtId="0" fontId="19" fillId="17" borderId="0" applyNumberFormat="0" applyBorder="0" applyAlignment="0" applyProtection="0"/>
    <xf numFmtId="0" fontId="25" fillId="11" borderId="0" applyNumberFormat="0" applyBorder="0" applyProtection="0"/>
    <xf numFmtId="0" fontId="11" fillId="22" borderId="10" applyNumberFormat="0" applyProtection="0">
      <alignment horizontal="right" vertical="center"/>
    </xf>
    <xf numFmtId="0" fontId="19" fillId="7" borderId="0" applyNumberFormat="0" applyBorder="0" applyAlignment="0" applyProtection="0"/>
    <xf numFmtId="0" fontId="74" fillId="0" borderId="0"/>
    <xf numFmtId="0" fontId="21" fillId="7" borderId="0" applyNumberFormat="0" applyBorder="0" applyAlignment="0" applyProtection="0"/>
    <xf numFmtId="0" fontId="16" fillId="23" borderId="0" applyNumberFormat="0" applyBorder="0" applyAlignment="0" applyProtection="0">
      <alignment vertical="center"/>
    </xf>
    <xf numFmtId="0" fontId="21" fillId="24" borderId="0" applyNumberFormat="0" applyBorder="0" applyAlignment="0" applyProtection="0"/>
    <xf numFmtId="0" fontId="19" fillId="25" borderId="0" applyNumberFormat="0" applyBorder="0" applyAlignment="0" applyProtection="0"/>
    <xf numFmtId="183" fontId="34" fillId="0" borderId="0" applyFont="0" applyFill="0" applyBorder="0" applyAlignment="0" applyProtection="0"/>
    <xf numFmtId="0" fontId="19" fillId="17" borderId="0" applyNumberFormat="0" applyBorder="0" applyAlignment="0" applyProtection="0"/>
    <xf numFmtId="0" fontId="21" fillId="20" borderId="0" applyNumberFormat="0" applyBorder="0" applyAlignment="0" applyProtection="0"/>
    <xf numFmtId="0" fontId="16" fillId="26" borderId="0" applyNumberFormat="0" applyBorder="0" applyAlignment="0" applyProtection="0">
      <alignment vertical="center"/>
    </xf>
    <xf numFmtId="0" fontId="21" fillId="27" borderId="0" applyNumberFormat="0" applyBorder="0" applyAlignment="0" applyProtection="0"/>
    <xf numFmtId="0" fontId="13" fillId="28" borderId="11" applyNumberFormat="0" applyProtection="0">
      <alignment horizontal="left" vertical="center" indent="1"/>
    </xf>
    <xf numFmtId="0" fontId="19" fillId="6" borderId="0" applyNumberFormat="0" applyBorder="0" applyAlignment="0" applyProtection="0"/>
    <xf numFmtId="0" fontId="26" fillId="0" borderId="0"/>
    <xf numFmtId="0" fontId="19" fillId="16" borderId="0" applyNumberFormat="0" applyBorder="0" applyAlignment="0" applyProtection="0"/>
    <xf numFmtId="0" fontId="11" fillId="15" borderId="10" applyNumberFormat="0" applyProtection="0">
      <alignment horizontal="right" vertical="center"/>
    </xf>
    <xf numFmtId="0" fontId="13" fillId="12" borderId="10" applyNumberFormat="0" applyProtection="0">
      <alignment vertical="center"/>
    </xf>
    <xf numFmtId="0" fontId="21" fillId="16" borderId="0" applyNumberFormat="0" applyBorder="0" applyAlignment="0" applyProtection="0"/>
    <xf numFmtId="0" fontId="16" fillId="29" borderId="0" applyNumberFormat="0" applyBorder="0" applyAlignment="0" applyProtection="0">
      <alignment vertical="center"/>
    </xf>
    <xf numFmtId="0" fontId="35" fillId="0" borderId="0"/>
    <xf numFmtId="186" fontId="11" fillId="0" borderId="0" applyFill="0" applyBorder="0" applyAlignment="0"/>
    <xf numFmtId="179" fontId="7" fillId="0" borderId="0"/>
    <xf numFmtId="0" fontId="36" fillId="0" borderId="0"/>
    <xf numFmtId="0" fontId="37" fillId="30" borderId="12" applyNumberFormat="0" applyAlignment="0" applyProtection="0"/>
    <xf numFmtId="176" fontId="20" fillId="0" borderId="0" applyFont="0" applyFill="0" applyBorder="0" applyAlignment="0" applyProtection="0"/>
    <xf numFmtId="0" fontId="74" fillId="0" borderId="0"/>
    <xf numFmtId="0" fontId="38" fillId="0" borderId="1" applyNumberFormat="0" applyFill="0" applyProtection="0">
      <alignment horizontal="center"/>
    </xf>
    <xf numFmtId="0" fontId="23" fillId="9" borderId="0" applyNumberFormat="0" applyBorder="0" applyProtection="0"/>
    <xf numFmtId="179" fontId="7" fillId="0" borderId="0"/>
    <xf numFmtId="179" fontId="7" fillId="0" borderId="0"/>
    <xf numFmtId="0" fontId="74" fillId="0" borderId="0"/>
    <xf numFmtId="176" fontId="74" fillId="0" borderId="0" applyFont="0" applyFill="0" applyBorder="0" applyAlignment="0" applyProtection="0"/>
    <xf numFmtId="179" fontId="7" fillId="0" borderId="0"/>
    <xf numFmtId="0" fontId="74" fillId="0" borderId="0"/>
    <xf numFmtId="179" fontId="7" fillId="0" borderId="0"/>
    <xf numFmtId="179" fontId="7" fillId="0" borderId="0"/>
    <xf numFmtId="195" fontId="7" fillId="0" borderId="0" applyFont="0" applyFill="0" applyBorder="0" applyAlignment="0" applyProtection="0"/>
    <xf numFmtId="179" fontId="7" fillId="0" borderId="0"/>
    <xf numFmtId="0" fontId="39" fillId="31" borderId="0" applyNumberFormat="0" applyBorder="0" applyProtection="0"/>
    <xf numFmtId="183" fontId="74" fillId="0" borderId="0" applyFont="0" applyFill="0" applyBorder="0" applyAlignment="0" applyProtection="0"/>
    <xf numFmtId="0" fontId="32" fillId="10" borderId="0" applyNumberFormat="0" applyBorder="0" applyProtection="0"/>
    <xf numFmtId="183" fontId="40" fillId="0" borderId="0" applyFont="0" applyFill="0" applyBorder="0" applyAlignment="0" applyProtection="0"/>
    <xf numFmtId="183" fontId="74" fillId="0" borderId="0" applyFont="0" applyFill="0" applyBorder="0" applyAlignment="0" applyProtection="0"/>
    <xf numFmtId="0" fontId="74" fillId="0" borderId="0"/>
    <xf numFmtId="183" fontId="74" fillId="0" borderId="0" applyFont="0" applyFill="0" applyBorder="0" applyAlignment="0" applyProtection="0"/>
    <xf numFmtId="0" fontId="32" fillId="10" borderId="0" applyNumberFormat="0" applyBorder="0" applyProtection="0"/>
    <xf numFmtId="183" fontId="74" fillId="0" borderId="0" applyFont="0" applyFill="0" applyBorder="0" applyAlignment="0" applyProtection="0"/>
    <xf numFmtId="183" fontId="40" fillId="0" borderId="0" applyFont="0" applyFill="0" applyBorder="0" applyAlignment="0" applyProtection="0"/>
    <xf numFmtId="183" fontId="74" fillId="0" borderId="0" applyFont="0" applyFill="0" applyBorder="0" applyAlignment="0" applyProtection="0"/>
    <xf numFmtId="0" fontId="17" fillId="5" borderId="0" applyNumberFormat="0" applyBorder="0" applyProtection="0"/>
    <xf numFmtId="0" fontId="41" fillId="0" borderId="0" applyNumberFormat="0" applyFill="0" applyBorder="0">
      <protection locked="0"/>
    </xf>
    <xf numFmtId="0" fontId="25" fillId="11" borderId="0" applyNumberFormat="0" applyBorder="0" applyProtection="0"/>
    <xf numFmtId="183" fontId="20" fillId="0" borderId="0" applyFont="0" applyFill="0" applyBorder="0" applyAlignment="0" applyProtection="0"/>
    <xf numFmtId="176" fontId="20" fillId="0" borderId="0" applyFont="0" applyFill="0" applyBorder="0" applyAlignment="0" applyProtection="0"/>
    <xf numFmtId="176" fontId="7" fillId="0" borderId="0" applyFont="0" applyFill="0" applyBorder="0" applyAlignment="0" applyProtection="0"/>
    <xf numFmtId="176" fontId="74" fillId="0" borderId="0" applyFont="0" applyFill="0" applyBorder="0" applyAlignment="0" applyProtection="0"/>
    <xf numFmtId="176" fontId="26" fillId="0" borderId="0" applyFont="0" applyFill="0" applyBorder="0" applyAlignment="0" applyProtection="0"/>
    <xf numFmtId="183" fontId="40" fillId="0" borderId="0" applyFont="0" applyFill="0" applyBorder="0" applyAlignment="0" applyProtection="0"/>
    <xf numFmtId="176" fontId="26" fillId="0" borderId="0" applyFont="0" applyFill="0" applyBorder="0" applyAlignment="0" applyProtection="0"/>
    <xf numFmtId="183" fontId="40" fillId="0" borderId="0" applyFont="0" applyFill="0" applyBorder="0" applyAlignment="0" applyProtection="0"/>
    <xf numFmtId="0" fontId="17" fillId="5" borderId="0" applyNumberFormat="0" applyBorder="0" applyProtection="0"/>
    <xf numFmtId="0" fontId="42" fillId="0" borderId="0" applyNumberFormat="0" applyFill="0" applyBorder="0" applyProtection="0"/>
    <xf numFmtId="176" fontId="74" fillId="0" borderId="0" applyFont="0" applyFill="0" applyBorder="0" applyAlignment="0" applyProtection="0"/>
    <xf numFmtId="176" fontId="74" fillId="0" borderId="0" applyFont="0" applyFill="0" applyBorder="0" applyAlignment="0" applyProtection="0"/>
    <xf numFmtId="0" fontId="32" fillId="10" borderId="0" applyNumberFormat="0" applyBorder="0" applyProtection="0"/>
    <xf numFmtId="176" fontId="74" fillId="0" borderId="0" applyFont="0" applyFill="0" applyBorder="0" applyAlignment="0" applyProtection="0"/>
    <xf numFmtId="176" fontId="74" fillId="0" borderId="0" applyFont="0" applyFill="0" applyBorder="0" applyAlignment="0" applyProtection="0"/>
    <xf numFmtId="176" fontId="20" fillId="0" borderId="0" applyFont="0" applyFill="0" applyBorder="0" applyAlignment="0" applyProtection="0"/>
    <xf numFmtId="0" fontId="25" fillId="11" borderId="0" applyNumberFormat="0" applyBorder="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37" fontId="27" fillId="0" borderId="0" applyFont="0" applyFill="0" applyBorder="0" applyAlignment="0" applyProtection="0"/>
    <xf numFmtId="0" fontId="23" fillId="9" borderId="0" applyNumberFormat="0" applyBorder="0" applyProtection="0"/>
    <xf numFmtId="196" fontId="27" fillId="0" borderId="0" applyFont="0" applyFill="0" applyBorder="0" applyAlignment="0" applyProtection="0"/>
    <xf numFmtId="0" fontId="34" fillId="0" borderId="0"/>
    <xf numFmtId="39" fontId="27" fillId="0" borderId="0" applyFont="0" applyFill="0" applyBorder="0" applyAlignment="0" applyProtection="0"/>
    <xf numFmtId="191" fontId="27" fillId="0" borderId="0" applyFont="0" applyFill="0" applyBorder="0" applyAlignment="0" applyProtection="0"/>
    <xf numFmtId="197" fontId="27" fillId="0" borderId="0" applyFont="0" applyFill="0" applyBorder="0" applyAlignment="0" applyProtection="0"/>
    <xf numFmtId="193" fontId="34" fillId="0" borderId="0"/>
    <xf numFmtId="0" fontId="43" fillId="0" borderId="0">
      <alignment vertical="center"/>
    </xf>
    <xf numFmtId="198" fontId="34" fillId="0" borderId="0"/>
    <xf numFmtId="0" fontId="44" fillId="32" borderId="9"/>
    <xf numFmtId="194" fontId="26" fillId="0" borderId="0" applyFont="0" applyFill="0" applyBorder="0" applyAlignment="0" applyProtection="0"/>
    <xf numFmtId="0" fontId="45" fillId="10" borderId="0" applyNumberFormat="0" applyBorder="0" applyAlignment="0" applyProtection="0"/>
    <xf numFmtId="0" fontId="44" fillId="7" borderId="0" applyNumberFormat="0" applyBorder="0" applyAlignment="0" applyProtection="0"/>
    <xf numFmtId="176" fontId="34" fillId="0" borderId="0" applyFont="0" applyFill="0" applyBorder="0" applyAlignment="0" applyProtection="0"/>
    <xf numFmtId="0" fontId="46" fillId="0" borderId="0">
      <alignment horizontal="left"/>
    </xf>
    <xf numFmtId="0" fontId="25" fillId="11" borderId="0" applyNumberFormat="0" applyBorder="0" applyProtection="0"/>
    <xf numFmtId="0" fontId="47" fillId="0" borderId="5" applyNumberFormat="0" applyProtection="0"/>
    <xf numFmtId="0" fontId="47" fillId="0" borderId="7">
      <alignment horizontal="left" vertical="center"/>
    </xf>
    <xf numFmtId="183" fontId="20" fillId="0" borderId="0" applyFont="0" applyFill="0" applyBorder="0" applyAlignment="0" applyProtection="0"/>
    <xf numFmtId="0" fontId="30" fillId="0" borderId="0" applyNumberFormat="0" applyFill="0" applyBorder="0" applyAlignment="0" applyProtection="0"/>
    <xf numFmtId="176" fontId="20" fillId="0" borderId="0" applyFont="0" applyFill="0" applyBorder="0" applyAlignment="0" applyProtection="0"/>
    <xf numFmtId="0" fontId="44" fillId="6" borderId="9" applyNumberFormat="0" applyBorder="0" applyAlignment="0" applyProtection="0"/>
    <xf numFmtId="0" fontId="48" fillId="0" borderId="2"/>
    <xf numFmtId="199" fontId="7" fillId="0" borderId="0" applyFont="0" applyFill="0" applyBorder="0" applyAlignment="0" applyProtection="0"/>
    <xf numFmtId="0" fontId="48" fillId="0" borderId="2"/>
    <xf numFmtId="184" fontId="20" fillId="0" borderId="0"/>
    <xf numFmtId="0" fontId="32" fillId="10" borderId="0" applyNumberFormat="0" applyBorder="0" applyProtection="0"/>
    <xf numFmtId="0" fontId="7" fillId="0" borderId="0"/>
    <xf numFmtId="0" fontId="74" fillId="0" borderId="0"/>
    <xf numFmtId="0" fontId="74" fillId="0" borderId="0"/>
    <xf numFmtId="0" fontId="74" fillId="0" borderId="0"/>
    <xf numFmtId="0" fontId="17" fillId="5" borderId="0" applyNumberFormat="0" applyBorder="0" applyProtection="0"/>
    <xf numFmtId="0" fontId="11" fillId="27" borderId="10" applyNumberFormat="0" applyProtection="0">
      <alignment horizontal="right" vertical="center"/>
    </xf>
    <xf numFmtId="0" fontId="74" fillId="0" borderId="0"/>
    <xf numFmtId="0" fontId="74" fillId="0" borderId="0"/>
    <xf numFmtId="0" fontId="74" fillId="0" borderId="0"/>
    <xf numFmtId="0" fontId="74" fillId="0" borderId="0"/>
    <xf numFmtId="0" fontId="74" fillId="0" borderId="0"/>
    <xf numFmtId="0" fontId="26" fillId="0" borderId="0"/>
    <xf numFmtId="0" fontId="7" fillId="0" borderId="0"/>
    <xf numFmtId="4" fontId="49" fillId="0" borderId="0">
      <alignment horizontal="right"/>
    </xf>
    <xf numFmtId="0" fontId="7" fillId="0" borderId="0"/>
    <xf numFmtId="0" fontId="43" fillId="0" borderId="0">
      <alignment vertical="center"/>
    </xf>
    <xf numFmtId="0" fontId="74" fillId="0" borderId="0"/>
    <xf numFmtId="0" fontId="74" fillId="0" borderId="0"/>
    <xf numFmtId="176" fontId="20" fillId="0" borderId="0" applyFont="0" applyFill="0" applyBorder="0" applyAlignment="0" applyProtection="0"/>
    <xf numFmtId="0" fontId="74" fillId="0" borderId="0"/>
    <xf numFmtId="0" fontId="74" fillId="0" borderId="0"/>
    <xf numFmtId="0" fontId="50" fillId="0" borderId="0" applyFont="0" applyFill="0" applyBorder="0" applyAlignment="0" applyProtection="0"/>
    <xf numFmtId="0" fontId="74" fillId="0" borderId="0"/>
    <xf numFmtId="0" fontId="35" fillId="0" borderId="0"/>
    <xf numFmtId="0" fontId="74" fillId="0" borderId="0"/>
    <xf numFmtId="0" fontId="74" fillId="0" borderId="0" applyAlignment="0"/>
    <xf numFmtId="0" fontId="51" fillId="0" borderId="0"/>
    <xf numFmtId="0" fontId="52" fillId="0" borderId="0"/>
    <xf numFmtId="0" fontId="17" fillId="10" borderId="0" applyNumberFormat="0" applyBorder="0" applyProtection="0"/>
    <xf numFmtId="0" fontId="25" fillId="11" borderId="0" applyNumberFormat="0" applyBorder="0" applyProtection="0"/>
    <xf numFmtId="0" fontId="26" fillId="0" borderId="0"/>
    <xf numFmtId="0" fontId="39" fillId="31" borderId="0" applyNumberFormat="0" applyBorder="0" applyProtection="0"/>
    <xf numFmtId="0" fontId="26" fillId="0" borderId="0"/>
    <xf numFmtId="0" fontId="26" fillId="0" borderId="0"/>
    <xf numFmtId="176" fontId="74" fillId="0" borderId="0" applyFont="0" applyFill="0" applyBorder="0" applyAlignment="0" applyProtection="0"/>
    <xf numFmtId="0" fontId="35" fillId="0" borderId="0"/>
    <xf numFmtId="0" fontId="26" fillId="0" borderId="0"/>
    <xf numFmtId="0" fontId="53" fillId="0" borderId="0"/>
    <xf numFmtId="0" fontId="26" fillId="0" borderId="0"/>
    <xf numFmtId="0" fontId="35" fillId="0" borderId="0"/>
    <xf numFmtId="10" fontId="7" fillId="0" borderId="0" applyFont="0" applyFill="0" applyBorder="0" applyAlignment="0" applyProtection="0"/>
    <xf numFmtId="0" fontId="31" fillId="0" borderId="0"/>
    <xf numFmtId="0" fontId="44" fillId="7" borderId="9"/>
    <xf numFmtId="9" fontId="20" fillId="0" borderId="0" applyFont="0" applyFill="0" applyBorder="0" applyAlignment="0" applyProtection="0"/>
    <xf numFmtId="4" fontId="22" fillId="0" borderId="0">
      <alignment horizontal="right"/>
    </xf>
    <xf numFmtId="181" fontId="7" fillId="0" borderId="0" applyFont="0" applyFill="0" applyBorder="0" applyAlignment="0" applyProtection="0"/>
    <xf numFmtId="4" fontId="54" fillId="0" borderId="0">
      <alignment horizontal="right"/>
    </xf>
    <xf numFmtId="183" fontId="34" fillId="0" borderId="0" applyFont="0" applyFill="0" applyBorder="0" applyAlignment="0" applyProtection="0"/>
    <xf numFmtId="0" fontId="55" fillId="15" borderId="10" applyNumberFormat="0" applyProtection="0">
      <alignment horizontal="right" vertical="center"/>
    </xf>
    <xf numFmtId="0" fontId="56" fillId="12" borderId="10" applyNumberFormat="0" applyProtection="0">
      <alignment vertical="center"/>
    </xf>
    <xf numFmtId="0" fontId="11" fillId="13" borderId="10" applyNumberFormat="0" applyProtection="0">
      <alignment horizontal="left" vertical="top" indent="1"/>
    </xf>
    <xf numFmtId="0" fontId="13" fillId="12" borderId="10" applyNumberFormat="0" applyProtection="0">
      <alignment horizontal="left" vertical="top" indent="1"/>
    </xf>
    <xf numFmtId="0" fontId="13" fillId="13" borderId="0" applyNumberFormat="0" applyProtection="0">
      <alignment horizontal="left" vertical="center" indent="1"/>
    </xf>
    <xf numFmtId="0" fontId="11" fillId="9" borderId="10" applyNumberFormat="0" applyProtection="0">
      <alignment horizontal="right" vertical="center"/>
    </xf>
    <xf numFmtId="0" fontId="11" fillId="14" borderId="10" applyNumberFormat="0" applyProtection="0">
      <alignment horizontal="right" vertical="center"/>
    </xf>
    <xf numFmtId="0" fontId="32" fillId="10" borderId="0" applyNumberFormat="0" applyBorder="0" applyProtection="0"/>
    <xf numFmtId="0" fontId="11" fillId="33" borderId="10" applyNumberFormat="0" applyProtection="0">
      <alignment horizontal="right" vertical="center"/>
    </xf>
    <xf numFmtId="0" fontId="11" fillId="11" borderId="10" applyNumberFormat="0" applyProtection="0">
      <alignment horizontal="right" vertical="center"/>
    </xf>
    <xf numFmtId="0" fontId="11" fillId="34" borderId="10" applyNumberFormat="0" applyProtection="0">
      <alignment horizontal="right" vertical="center"/>
    </xf>
    <xf numFmtId="9" fontId="20" fillId="0" borderId="0" applyFont="0" applyFill="0" applyBorder="0" applyAlignment="0" applyProtection="0"/>
    <xf numFmtId="0" fontId="11" fillId="35" borderId="10" applyNumberFormat="0" applyProtection="0">
      <alignment horizontal="right" vertical="center"/>
    </xf>
    <xf numFmtId="9" fontId="26" fillId="0" borderId="0" applyFont="0" applyFill="0" applyBorder="0" applyProtection="0"/>
    <xf numFmtId="0" fontId="11" fillId="36" borderId="10" applyNumberFormat="0" applyProtection="0">
      <alignment horizontal="right" vertical="center"/>
    </xf>
    <xf numFmtId="0" fontId="11" fillId="15" borderId="0" applyNumberFormat="0" applyProtection="0">
      <alignment horizontal="left" vertical="center" indent="1"/>
    </xf>
    <xf numFmtId="0" fontId="57" fillId="19" borderId="0" applyNumberFormat="0" applyProtection="0">
      <alignment horizontal="left" vertical="center" indent="1"/>
    </xf>
    <xf numFmtId="0" fontId="58" fillId="0" borderId="0" applyNumberFormat="0" applyFill="0" applyBorder="0" applyAlignment="0" applyProtection="0"/>
    <xf numFmtId="0" fontId="11" fillId="13" borderId="10" applyNumberFormat="0" applyProtection="0">
      <alignment horizontal="right" vertical="center"/>
    </xf>
    <xf numFmtId="0" fontId="26" fillId="0" borderId="0"/>
    <xf numFmtId="0" fontId="11" fillId="15" borderId="0" applyNumberFormat="0" applyProtection="0">
      <alignment horizontal="left" vertical="center" indent="1"/>
    </xf>
    <xf numFmtId="0" fontId="11" fillId="13" borderId="0" applyNumberFormat="0" applyProtection="0">
      <alignment horizontal="left" vertical="center" indent="1"/>
    </xf>
    <xf numFmtId="0" fontId="7" fillId="19" borderId="10" applyNumberFormat="0" applyProtection="0">
      <alignment horizontal="left" vertical="center" indent="1"/>
    </xf>
    <xf numFmtId="0" fontId="7" fillId="19" borderId="10" applyNumberFormat="0" applyProtection="0">
      <alignment horizontal="left" vertical="top" indent="1"/>
    </xf>
    <xf numFmtId="0" fontId="7" fillId="13" borderId="10" applyNumberFormat="0" applyProtection="0">
      <alignment horizontal="left" vertical="center" indent="1"/>
    </xf>
    <xf numFmtId="0" fontId="7" fillId="13" borderId="10" applyNumberFormat="0" applyProtection="0">
      <alignment horizontal="left" vertical="top" indent="1"/>
    </xf>
    <xf numFmtId="0" fontId="7" fillId="20" borderId="10" applyNumberFormat="0" applyProtection="0">
      <alignment horizontal="left" vertical="center" indent="1"/>
    </xf>
    <xf numFmtId="0" fontId="7" fillId="20" borderId="10" applyNumberFormat="0" applyProtection="0">
      <alignment horizontal="left" vertical="top" indent="1"/>
    </xf>
    <xf numFmtId="0" fontId="23" fillId="9" borderId="0" applyNumberFormat="0" applyBorder="0" applyProtection="0"/>
    <xf numFmtId="0" fontId="7" fillId="15" borderId="10" applyNumberFormat="0" applyProtection="0">
      <alignment horizontal="left" vertical="center" indent="1"/>
    </xf>
    <xf numFmtId="0" fontId="11" fillId="6" borderId="10" applyNumberFormat="0" applyProtection="0">
      <alignment vertical="center"/>
    </xf>
    <xf numFmtId="0" fontId="55" fillId="6" borderId="10" applyNumberFormat="0" applyProtection="0">
      <alignment vertical="center"/>
    </xf>
    <xf numFmtId="0" fontId="11" fillId="6" borderId="10" applyNumberFormat="0" applyProtection="0">
      <alignment horizontal="left" vertical="top" indent="1"/>
    </xf>
    <xf numFmtId="0" fontId="59" fillId="37" borderId="0" applyNumberFormat="0" applyProtection="0">
      <alignment horizontal="left" vertical="center" indent="1"/>
    </xf>
    <xf numFmtId="0" fontId="60" fillId="15" borderId="10" applyNumberFormat="0" applyProtection="0">
      <alignment horizontal="right" vertical="center"/>
    </xf>
    <xf numFmtId="0" fontId="61" fillId="0" borderId="0">
      <alignment horizontal="left"/>
    </xf>
    <xf numFmtId="4" fontId="62" fillId="0" borderId="0" applyFont="0" applyFill="0" applyBorder="0" applyAlignment="0" applyProtection="0"/>
    <xf numFmtId="176" fontId="44" fillId="0" borderId="13"/>
    <xf numFmtId="176" fontId="44" fillId="0" borderId="13"/>
    <xf numFmtId="0" fontId="24" fillId="32" borderId="0" applyNumberFormat="0" applyBorder="0" applyProtection="0"/>
    <xf numFmtId="0" fontId="48" fillId="0" borderId="0"/>
    <xf numFmtId="0" fontId="20" fillId="0" borderId="0"/>
    <xf numFmtId="0" fontId="63" fillId="0" borderId="0">
      <alignment horizontal="center"/>
    </xf>
    <xf numFmtId="188" fontId="7" fillId="0" borderId="0" applyFont="0" applyFill="0" applyBorder="0" applyAlignment="0" applyProtection="0"/>
    <xf numFmtId="0" fontId="64" fillId="0" borderId="0"/>
    <xf numFmtId="182" fontId="7" fillId="0" borderId="0" applyFont="0" applyFill="0" applyBorder="0" applyAlignment="0" applyProtection="0"/>
    <xf numFmtId="201" fontId="20" fillId="0" borderId="0" applyFont="0" applyFill="0" applyBorder="0" applyAlignment="0" applyProtection="0"/>
    <xf numFmtId="180" fontId="20" fillId="0" borderId="0" applyFont="0" applyFill="0" applyBorder="0" applyAlignment="0" applyProtection="0"/>
    <xf numFmtId="9" fontId="65" fillId="0" borderId="0" applyFont="0" applyFill="0" applyBorder="0" applyAlignment="0" applyProtection="0"/>
    <xf numFmtId="0" fontId="32" fillId="10" borderId="0" applyNumberFormat="0" applyBorder="0" applyProtection="0"/>
    <xf numFmtId="0" fontId="31" fillId="0" borderId="0"/>
    <xf numFmtId="202" fontId="31" fillId="0" borderId="0" applyFont="0" applyFill="0" applyBorder="0" applyAlignment="0" applyProtection="0"/>
    <xf numFmtId="9" fontId="31" fillId="0" borderId="0" applyFont="0" applyFill="0" applyBorder="0" applyAlignment="0" applyProtection="0"/>
    <xf numFmtId="9" fontId="74" fillId="0" borderId="0" applyFont="0" applyFill="0" applyBorder="0" applyAlignment="0" applyProtection="0"/>
    <xf numFmtId="0" fontId="50" fillId="0" borderId="0" applyFont="0" applyFill="0" applyBorder="0" applyAlignment="0" applyProtection="0"/>
    <xf numFmtId="0" fontId="23" fillId="9" borderId="0" applyNumberFormat="0" applyBorder="0" applyProtection="0"/>
    <xf numFmtId="0" fontId="23" fillId="9" borderId="0" applyNumberFormat="0" applyBorder="0" applyProtection="0"/>
    <xf numFmtId="0" fontId="66" fillId="9" borderId="0" applyNumberFormat="0" applyBorder="0" applyAlignment="0" applyProtection="0"/>
    <xf numFmtId="0" fontId="23" fillId="9" borderId="0" applyNumberFormat="0" applyBorder="0" applyProtection="0"/>
    <xf numFmtId="0" fontId="23" fillId="9" borderId="0" applyNumberFormat="0" applyBorder="0" applyProtection="0"/>
    <xf numFmtId="0" fontId="25" fillId="11" borderId="0" applyNumberFormat="0" applyBorder="0" applyProtection="0"/>
    <xf numFmtId="0" fontId="23" fillId="9" borderId="0" applyNumberFormat="0" applyBorder="0" applyProtection="0"/>
    <xf numFmtId="0" fontId="23" fillId="9" borderId="0" applyNumberFormat="0" applyBorder="0" applyProtection="0"/>
    <xf numFmtId="0" fontId="24" fillId="32" borderId="0" applyNumberFormat="0" applyBorder="0" applyProtection="0"/>
    <xf numFmtId="0" fontId="23" fillId="9" borderId="0" applyNumberFormat="0" applyBorder="0" applyProtection="0"/>
    <xf numFmtId="0" fontId="25" fillId="11" borderId="0" applyNumberFormat="0" applyBorder="0" applyProtection="0"/>
    <xf numFmtId="0" fontId="25" fillId="11" borderId="0" applyNumberFormat="0" applyBorder="0" applyProtection="0"/>
    <xf numFmtId="0" fontId="25" fillId="11" borderId="0" applyNumberFormat="0" applyBorder="0" applyProtection="0"/>
    <xf numFmtId="0" fontId="25" fillId="11" borderId="0" applyNumberFormat="0" applyBorder="0" applyProtection="0"/>
    <xf numFmtId="0" fontId="25" fillId="11" borderId="0" applyNumberFormat="0" applyBorder="0" applyProtection="0"/>
    <xf numFmtId="0" fontId="74" fillId="0" borderId="0"/>
    <xf numFmtId="0" fontId="67" fillId="38" borderId="0" applyNumberFormat="0" applyBorder="0" applyAlignment="0" applyProtection="0"/>
    <xf numFmtId="0" fontId="26" fillId="0" borderId="0"/>
    <xf numFmtId="0" fontId="17" fillId="10" borderId="0" applyNumberFormat="0" applyBorder="0" applyProtection="0"/>
    <xf numFmtId="0" fontId="20" fillId="0" borderId="0"/>
    <xf numFmtId="0" fontId="20" fillId="0" borderId="0"/>
    <xf numFmtId="0" fontId="26" fillId="0" borderId="0"/>
    <xf numFmtId="0" fontId="26" fillId="0" borderId="0"/>
    <xf numFmtId="0" fontId="26" fillId="0" borderId="0"/>
    <xf numFmtId="0" fontId="26" fillId="0" borderId="0"/>
    <xf numFmtId="0" fontId="20" fillId="0" borderId="0"/>
    <xf numFmtId="0" fontId="74" fillId="0" borderId="0"/>
    <xf numFmtId="0" fontId="26" fillId="0" borderId="0"/>
    <xf numFmtId="0" fontId="41" fillId="0" borderId="0" applyNumberFormat="0" applyFill="0" applyBorder="0">
      <protection locked="0"/>
    </xf>
    <xf numFmtId="38" fontId="5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protection locked="0"/>
    </xf>
    <xf numFmtId="0" fontId="29" fillId="0" borderId="0" applyNumberFormat="0" applyFill="0" applyBorder="0">
      <protection locked="0"/>
    </xf>
    <xf numFmtId="0" fontId="32" fillId="10" borderId="0" applyNumberFormat="0" applyBorder="0" applyProtection="0"/>
    <xf numFmtId="0" fontId="17" fillId="5" borderId="0" applyNumberFormat="0" applyBorder="0" applyProtection="0"/>
    <xf numFmtId="0" fontId="17" fillId="10" borderId="0" applyNumberFormat="0" applyBorder="0" applyProtection="0"/>
    <xf numFmtId="0" fontId="17" fillId="10" borderId="0" applyNumberFormat="0" applyBorder="0" applyProtection="0"/>
    <xf numFmtId="0" fontId="17" fillId="10" borderId="0" applyNumberFormat="0" applyBorder="0" applyProtection="0"/>
    <xf numFmtId="0" fontId="17" fillId="5" borderId="0" applyNumberFormat="0" applyBorder="0" applyProtection="0"/>
    <xf numFmtId="0" fontId="68" fillId="5" borderId="0" applyNumberFormat="0" applyBorder="0" applyAlignment="0" applyProtection="0"/>
    <xf numFmtId="178" fontId="31" fillId="0" borderId="0" applyFont="0" applyFill="0" applyBorder="0" applyAlignment="0" applyProtection="0"/>
    <xf numFmtId="0" fontId="17" fillId="5" borderId="0" applyNumberFormat="0" applyBorder="0" applyProtection="0"/>
    <xf numFmtId="0" fontId="17" fillId="5" borderId="0" applyNumberFormat="0" applyBorder="0" applyProtection="0"/>
    <xf numFmtId="0" fontId="32" fillId="10" borderId="0" applyNumberFormat="0" applyBorder="0" applyProtection="0"/>
    <xf numFmtId="0" fontId="32" fillId="10" borderId="0" applyNumberFormat="0" applyBorder="0" applyProtection="0"/>
    <xf numFmtId="0" fontId="32" fillId="10" borderId="0" applyNumberFormat="0" applyBorder="0" applyProtection="0"/>
    <xf numFmtId="0" fontId="17" fillId="10" borderId="0" applyNumberFormat="0" applyBorder="0" applyProtection="0"/>
    <xf numFmtId="177" fontId="31" fillId="0" borderId="0" applyFont="0" applyFill="0" applyBorder="0" applyAlignment="0" applyProtection="0"/>
    <xf numFmtId="0" fontId="32" fillId="10" borderId="0" applyNumberFormat="0" applyBorder="0" applyProtection="0"/>
    <xf numFmtId="0" fontId="39" fillId="31" borderId="0" applyNumberFormat="0" applyBorder="0" applyProtection="0"/>
    <xf numFmtId="0" fontId="67" fillId="39" borderId="0" applyNumberFormat="0" applyBorder="0" applyAlignment="0" applyProtection="0"/>
    <xf numFmtId="0" fontId="32" fillId="10" borderId="0" applyNumberFormat="0" applyBorder="0" applyProtection="0"/>
    <xf numFmtId="0" fontId="17" fillId="10" borderId="0" applyNumberFormat="0" applyBorder="0" applyProtection="0"/>
    <xf numFmtId="0" fontId="17" fillId="10" borderId="0" applyNumberFormat="0" applyBorder="0" applyProtection="0"/>
    <xf numFmtId="0" fontId="17" fillId="10" borderId="0" applyNumberFormat="0" applyBorder="0" applyProtection="0"/>
    <xf numFmtId="0" fontId="32" fillId="10" borderId="0" applyNumberFormat="0" applyBorder="0" applyProtection="0"/>
    <xf numFmtId="0" fontId="39" fillId="31" borderId="0" applyNumberFormat="0" applyBorder="0" applyProtection="0"/>
    <xf numFmtId="178" fontId="69" fillId="0" borderId="0" applyFont="0" applyFill="0" applyBorder="0" applyAlignment="0" applyProtection="0"/>
    <xf numFmtId="177" fontId="69" fillId="0" borderId="0" applyFont="0" applyFill="0" applyBorder="0" applyAlignment="0" applyProtection="0"/>
    <xf numFmtId="190" fontId="70" fillId="0" borderId="0" applyFont="0" applyFill="0" applyBorder="0" applyAlignment="0" applyProtection="0"/>
    <xf numFmtId="200" fontId="70" fillId="0" borderId="0" applyFont="0" applyFill="0" applyBorder="0" applyAlignment="0" applyProtection="0"/>
    <xf numFmtId="176" fontId="7" fillId="0" borderId="0" applyFont="0" applyFill="0" applyBorder="0" applyAlignment="0" applyProtection="0"/>
    <xf numFmtId="176" fontId="20" fillId="0" borderId="0" applyFont="0" applyFill="0" applyBorder="0" applyAlignment="0" applyProtection="0"/>
    <xf numFmtId="176" fontId="7"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74" fillId="0" borderId="0" applyFont="0" applyFill="0" applyBorder="0" applyAlignment="0" applyProtection="0"/>
    <xf numFmtId="176" fontId="74" fillId="0" borderId="0" applyFont="0" applyFill="0" applyBorder="0" applyAlignment="0" applyProtection="0"/>
    <xf numFmtId="176" fontId="74" fillId="0" borderId="0" applyFont="0" applyFill="0" applyBorder="0" applyAlignment="0" applyProtection="0"/>
    <xf numFmtId="176" fontId="74" fillId="0" borderId="0" applyFont="0" applyFill="0" applyBorder="0" applyAlignment="0" applyProtection="0"/>
    <xf numFmtId="176" fontId="74" fillId="0" borderId="0" applyFont="0" applyFill="0" applyBorder="0" applyAlignment="0" applyProtection="0"/>
    <xf numFmtId="0" fontId="71" fillId="0" borderId="0"/>
    <xf numFmtId="0" fontId="67" fillId="40" borderId="0" applyNumberFormat="0" applyBorder="0" applyAlignment="0" applyProtection="0"/>
    <xf numFmtId="203" fontId="62" fillId="0" borderId="0" applyFont="0" applyFill="0" applyBorder="0" applyAlignment="0" applyProtection="0"/>
    <xf numFmtId="0" fontId="69" fillId="0" borderId="0"/>
    <xf numFmtId="40" fontId="50" fillId="0" borderId="0" applyFont="0" applyFill="0" applyBorder="0" applyAlignment="0" applyProtection="0"/>
    <xf numFmtId="0" fontId="7" fillId="0" borderId="9" applyNumberFormat="0"/>
    <xf numFmtId="38" fontId="33" fillId="0" borderId="0" applyFont="0" applyFill="0" applyBorder="0" applyAlignment="0" applyProtection="0"/>
    <xf numFmtId="40" fontId="33" fillId="0" borderId="0" applyFont="0" applyFill="0" applyBorder="0" applyAlignment="0" applyProtection="0"/>
    <xf numFmtId="0" fontId="33" fillId="0" borderId="0" applyFont="0" applyFill="0" applyBorder="0" applyAlignment="0" applyProtection="0"/>
    <xf numFmtId="0" fontId="2" fillId="0" borderId="0"/>
    <xf numFmtId="0" fontId="76" fillId="0" borderId="0"/>
    <xf numFmtId="0" fontId="77" fillId="0" borderId="0" applyNumberFormat="0" applyFill="0" applyBorder="0" applyAlignment="0" applyProtection="0"/>
    <xf numFmtId="0" fontId="76" fillId="0" borderId="0">
      <alignment vertical="center"/>
    </xf>
    <xf numFmtId="0" fontId="78" fillId="0" borderId="0"/>
    <xf numFmtId="0" fontId="76" fillId="0" borderId="0">
      <alignment vertical="center"/>
    </xf>
    <xf numFmtId="0" fontId="26" fillId="0" borderId="0"/>
    <xf numFmtId="176" fontId="76" fillId="0" borderId="0" applyFont="0" applyFill="0" applyBorder="0" applyAlignment="0" applyProtection="0"/>
    <xf numFmtId="0" fontId="1" fillId="0" borderId="0"/>
    <xf numFmtId="0" fontId="74" fillId="0" borderId="0"/>
    <xf numFmtId="0" fontId="74" fillId="0" borderId="0"/>
    <xf numFmtId="0" fontId="76" fillId="0" borderId="0"/>
    <xf numFmtId="0" fontId="74" fillId="0" borderId="0"/>
    <xf numFmtId="0" fontId="86" fillId="0" borderId="0"/>
    <xf numFmtId="176" fontId="76" fillId="0" borderId="0" applyFont="0" applyFill="0" applyBorder="0" applyAlignment="0" applyProtection="0"/>
    <xf numFmtId="0" fontId="74" fillId="0" borderId="0">
      <alignment vertical="center"/>
    </xf>
    <xf numFmtId="0" fontId="74" fillId="0" borderId="0" applyAlignment="0"/>
    <xf numFmtId="0" fontId="74" fillId="0" borderId="0"/>
    <xf numFmtId="0" fontId="7" fillId="0" borderId="0"/>
    <xf numFmtId="0" fontId="74" fillId="0" borderId="0"/>
    <xf numFmtId="0" fontId="1" fillId="0" borderId="0">
      <protection locked="0"/>
    </xf>
    <xf numFmtId="0" fontId="77" fillId="0" borderId="0" applyNumberFormat="0" applyFill="0" applyBorder="0" applyAlignment="0" applyProtection="0"/>
    <xf numFmtId="176" fontId="1" fillId="0" borderId="0" applyFont="0" applyFill="0" applyBorder="0" applyAlignment="0" applyProtection="0"/>
    <xf numFmtId="176" fontId="7" fillId="0" borderId="0" applyFont="0" applyFill="0" applyBorder="0" applyAlignment="0" applyProtection="0"/>
    <xf numFmtId="0" fontId="7" fillId="0" borderId="0"/>
    <xf numFmtId="0" fontId="1" fillId="0" borderId="0"/>
    <xf numFmtId="0" fontId="97" fillId="0" borderId="0"/>
    <xf numFmtId="0" fontId="88" fillId="0" borderId="0"/>
    <xf numFmtId="176" fontId="97" fillId="0" borderId="0" applyFont="0" applyFill="0" applyBorder="0" applyAlignment="0" applyProtection="0"/>
    <xf numFmtId="0" fontId="34" fillId="0" borderId="0">
      <protection locked="0"/>
    </xf>
    <xf numFmtId="0" fontId="3" fillId="0" borderId="0"/>
    <xf numFmtId="176" fontId="1" fillId="0" borderId="0" applyFont="0" applyFill="0" applyBorder="0" applyAlignment="0" applyProtection="0"/>
    <xf numFmtId="0" fontId="43" fillId="0" borderId="0">
      <alignment vertical="center"/>
    </xf>
    <xf numFmtId="183" fontId="31" fillId="0" borderId="0" applyFont="0" applyFill="0" applyBorder="0" applyAlignment="0" applyProtection="0"/>
    <xf numFmtId="9" fontId="1" fillId="0" borderId="0" applyFont="0" applyFill="0" applyBorder="0" applyAlignment="0" applyProtection="0"/>
    <xf numFmtId="183" fontId="1" fillId="0" borderId="0" applyFont="0" applyFill="0" applyBorder="0" applyAlignment="0" applyProtection="0"/>
    <xf numFmtId="0" fontId="100" fillId="0" borderId="0"/>
    <xf numFmtId="181" fontId="3" fillId="0" borderId="0" applyFont="0" applyFill="0" applyBorder="0" applyAlignment="0" applyProtection="0"/>
    <xf numFmtId="0" fontId="76" fillId="0" borderId="0">
      <alignment vertical="center"/>
    </xf>
    <xf numFmtId="0" fontId="34" fillId="0" borderId="0">
      <protection locked="0"/>
    </xf>
    <xf numFmtId="0" fontId="1" fillId="0" borderId="0">
      <protection locked="0"/>
    </xf>
    <xf numFmtId="0" fontId="109" fillId="0" borderId="0"/>
    <xf numFmtId="0" fontId="74" fillId="0" borderId="0">
      <alignment vertical="center"/>
    </xf>
    <xf numFmtId="0" fontId="74" fillId="0" borderId="0"/>
    <xf numFmtId="0" fontId="163" fillId="0" borderId="0" applyNumberFormat="0" applyFill="0" applyBorder="0" applyAlignment="0" applyProtection="0">
      <protection locked="0"/>
    </xf>
  </cellStyleXfs>
  <cellXfs count="588">
    <xf numFmtId="0" fontId="0" fillId="0" borderId="0" xfId="0">
      <protection locked="0"/>
    </xf>
    <xf numFmtId="0" fontId="4" fillId="0" borderId="0" xfId="0" applyFont="1" applyAlignment="1">
      <alignment vertical="center"/>
      <protection locked="0"/>
    </xf>
    <xf numFmtId="0" fontId="3" fillId="2" borderId="0" xfId="0" applyFont="1" applyFill="1" applyAlignment="1">
      <alignment vertical="center"/>
      <protection locked="0"/>
    </xf>
    <xf numFmtId="0" fontId="3" fillId="0" borderId="0" xfId="0" applyFont="1" applyAlignment="1">
      <alignment vertical="center"/>
      <protection locked="0"/>
    </xf>
    <xf numFmtId="0" fontId="3" fillId="0" borderId="0" xfId="289" applyFont="1" applyAlignment="1" applyProtection="1">
      <alignment vertical="center"/>
      <protection locked="0"/>
    </xf>
    <xf numFmtId="0" fontId="5" fillId="0" borderId="0" xfId="181" applyFont="1" applyAlignment="1" applyProtection="1">
      <alignment vertical="center"/>
      <protection locked="0"/>
    </xf>
    <xf numFmtId="0" fontId="3" fillId="0" borderId="0" xfId="289" applyFont="1" applyAlignment="1">
      <alignment vertical="center"/>
    </xf>
    <xf numFmtId="0" fontId="3" fillId="0" borderId="0" xfId="0" applyFont="1" applyAlignment="1">
      <alignment horizontal="left" vertical="center" wrapText="1"/>
      <protection locked="0"/>
    </xf>
    <xf numFmtId="0" fontId="3" fillId="0" borderId="0" xfId="0" applyFont="1" applyAlignment="1">
      <alignment horizontal="left" vertical="center"/>
      <protection locked="0"/>
    </xf>
    <xf numFmtId="9" fontId="3" fillId="0" borderId="0" xfId="0" applyNumberFormat="1" applyFont="1" applyAlignment="1">
      <alignment horizontal="left" vertical="center"/>
      <protection locked="0"/>
    </xf>
    <xf numFmtId="9" fontId="3" fillId="0" borderId="0" xfId="289" applyNumberFormat="1" applyFont="1" applyAlignment="1" applyProtection="1">
      <alignment vertical="center"/>
      <protection locked="0"/>
    </xf>
    <xf numFmtId="9" fontId="3" fillId="0" borderId="0" xfId="12" applyFont="1" applyAlignment="1" applyProtection="1">
      <alignment vertical="center"/>
      <protection locked="0"/>
    </xf>
    <xf numFmtId="0" fontId="7" fillId="0" borderId="0" xfId="289" applyFont="1" applyAlignment="1" applyProtection="1">
      <alignment vertical="center"/>
      <protection locked="0"/>
    </xf>
    <xf numFmtId="0" fontId="4" fillId="2" borderId="0" xfId="288" applyFont="1" applyFill="1" applyAlignment="1" applyProtection="1">
      <alignment vertical="center"/>
      <protection locked="0"/>
    </xf>
    <xf numFmtId="0" fontId="4" fillId="0" borderId="0" xfId="0" applyFont="1" applyAlignment="1">
      <alignment horizontal="center" vertical="center"/>
      <protection locked="0"/>
    </xf>
    <xf numFmtId="49" fontId="0" fillId="0" borderId="0" xfId="0" applyNumberFormat="1">
      <protection locked="0"/>
    </xf>
    <xf numFmtId="0" fontId="4" fillId="0" borderId="0" xfId="0" applyFont="1" applyAlignment="1">
      <alignment horizontal="left" vertical="center"/>
      <protection locked="0"/>
    </xf>
    <xf numFmtId="0" fontId="9" fillId="0" borderId="0" xfId="0" applyFont="1" applyAlignment="1">
      <alignment vertical="center"/>
      <protection locked="0"/>
    </xf>
    <xf numFmtId="0" fontId="9" fillId="0" borderId="0" xfId="0" applyFont="1" applyAlignment="1">
      <alignment horizontal="center" vertical="center"/>
      <protection locked="0"/>
    </xf>
    <xf numFmtId="176" fontId="3" fillId="0" borderId="0" xfId="0" applyNumberFormat="1" applyFont="1" applyAlignment="1">
      <alignment horizontal="center" vertical="center"/>
      <protection locked="0"/>
    </xf>
    <xf numFmtId="176" fontId="3" fillId="0" borderId="0" xfId="0" applyNumberFormat="1" applyFont="1" applyAlignment="1">
      <alignment vertical="center"/>
      <protection locked="0"/>
    </xf>
    <xf numFmtId="0" fontId="82" fillId="2" borderId="0" xfId="0" applyFont="1" applyFill="1" applyAlignment="1">
      <alignment vertical="center"/>
      <protection locked="0"/>
    </xf>
    <xf numFmtId="0" fontId="82" fillId="0" borderId="0" xfId="0" applyFont="1" applyAlignment="1">
      <alignment vertical="center"/>
      <protection locked="0"/>
    </xf>
    <xf numFmtId="0" fontId="84" fillId="0" borderId="0" xfId="181" applyFont="1" applyAlignment="1" applyProtection="1">
      <alignment vertical="center"/>
      <protection locked="0"/>
    </xf>
    <xf numFmtId="0" fontId="82" fillId="0" borderId="0" xfId="289" applyFont="1" applyAlignment="1">
      <alignment vertical="center"/>
    </xf>
    <xf numFmtId="0" fontId="82" fillId="0" borderId="0" xfId="289" applyFont="1" applyAlignment="1" applyProtection="1">
      <alignment vertical="center"/>
      <protection locked="0"/>
    </xf>
    <xf numFmtId="0" fontId="82" fillId="0" borderId="0" xfId="0" applyFont="1" applyAlignment="1">
      <alignment horizontal="left" vertical="center" wrapText="1"/>
      <protection locked="0"/>
    </xf>
    <xf numFmtId="0" fontId="82" fillId="0" borderId="0" xfId="0" applyFont="1" applyAlignment="1">
      <alignment horizontal="left" vertical="center"/>
      <protection locked="0"/>
    </xf>
    <xf numFmtId="9" fontId="82" fillId="0" borderId="0" xfId="0" applyNumberFormat="1" applyFont="1" applyAlignment="1">
      <alignment horizontal="left" vertical="center"/>
      <protection locked="0"/>
    </xf>
    <xf numFmtId="9" fontId="82" fillId="0" borderId="0" xfId="289" applyNumberFormat="1" applyFont="1" applyAlignment="1" applyProtection="1">
      <alignment vertical="center"/>
      <protection locked="0"/>
    </xf>
    <xf numFmtId="9" fontId="82" fillId="0" borderId="0" xfId="12" applyFont="1" applyAlignment="1" applyProtection="1">
      <alignment vertical="center"/>
      <protection locked="0"/>
    </xf>
    <xf numFmtId="0" fontId="85" fillId="0" borderId="0" xfId="289" applyFont="1" applyAlignment="1" applyProtection="1">
      <alignment vertical="center"/>
      <protection locked="0"/>
    </xf>
    <xf numFmtId="0" fontId="79" fillId="2" borderId="0" xfId="288" applyFont="1" applyFill="1" applyAlignment="1" applyProtection="1">
      <alignment vertical="center"/>
      <protection locked="0"/>
    </xf>
    <xf numFmtId="0" fontId="85" fillId="2" borderId="0" xfId="288" applyFont="1" applyFill="1" applyAlignment="1" applyProtection="1">
      <alignment vertical="center"/>
      <protection locked="0"/>
    </xf>
    <xf numFmtId="176" fontId="82" fillId="0" borderId="0" xfId="7" applyFont="1" applyFill="1" applyBorder="1" applyAlignment="1" applyProtection="1">
      <alignment horizontal="right" vertical="center" shrinkToFit="1"/>
    </xf>
    <xf numFmtId="0" fontId="85" fillId="0" borderId="0" xfId="288" applyFont="1" applyAlignment="1" applyProtection="1">
      <alignment vertical="center"/>
      <protection locked="0"/>
    </xf>
    <xf numFmtId="0" fontId="79" fillId="2" borderId="0" xfId="0" applyFont="1" applyFill="1" applyAlignment="1">
      <alignment vertical="center"/>
      <protection locked="0"/>
    </xf>
    <xf numFmtId="11" fontId="92" fillId="2" borderId="0" xfId="0" applyNumberFormat="1" applyFont="1" applyFill="1" applyAlignment="1">
      <alignment vertical="center"/>
      <protection locked="0"/>
    </xf>
    <xf numFmtId="0" fontId="3" fillId="0" borderId="0" xfId="370" applyFont="1" applyAlignment="1">
      <alignment vertical="center"/>
      <protection locked="0"/>
    </xf>
    <xf numFmtId="0" fontId="88" fillId="0" borderId="0" xfId="370" applyFont="1" applyAlignment="1">
      <alignment vertical="center"/>
      <protection locked="0"/>
    </xf>
    <xf numFmtId="0" fontId="88" fillId="42" borderId="0" xfId="370" applyFont="1" applyFill="1" applyAlignment="1">
      <alignment vertical="center"/>
      <protection locked="0"/>
    </xf>
    <xf numFmtId="0" fontId="96" fillId="0" borderId="0" xfId="370" applyFont="1" applyAlignment="1">
      <alignment vertical="center" wrapText="1"/>
      <protection locked="0"/>
    </xf>
    <xf numFmtId="0" fontId="3" fillId="42" borderId="0" xfId="370" applyFont="1" applyFill="1" applyAlignment="1">
      <alignment vertical="center"/>
      <protection locked="0"/>
    </xf>
    <xf numFmtId="0" fontId="4" fillId="0" borderId="0" xfId="370" applyFont="1" applyAlignment="1">
      <alignment horizontal="left" vertical="center"/>
      <protection locked="0"/>
    </xf>
    <xf numFmtId="0" fontId="9" fillId="0" borderId="0" xfId="370" applyFont="1" applyAlignment="1">
      <alignment vertical="center"/>
      <protection locked="0"/>
    </xf>
    <xf numFmtId="0" fontId="9" fillId="0" borderId="0" xfId="370" applyFont="1" applyAlignment="1">
      <alignment vertical="center" wrapText="1"/>
      <protection locked="0"/>
    </xf>
    <xf numFmtId="0" fontId="7" fillId="0" borderId="0" xfId="371" applyFont="1" applyFill="1" applyBorder="1" applyAlignment="1" applyProtection="1">
      <alignment horizontal="left" vertical="center"/>
      <protection locked="0"/>
    </xf>
    <xf numFmtId="183" fontId="4" fillId="0" borderId="0" xfId="370" applyNumberFormat="1" applyFont="1" applyAlignment="1">
      <alignment horizontal="left" vertical="center"/>
      <protection locked="0"/>
    </xf>
    <xf numFmtId="183" fontId="90" fillId="0" borderId="0" xfId="370" applyNumberFormat="1" applyFont="1" applyAlignment="1">
      <alignment horizontal="center" vertical="center"/>
      <protection locked="0"/>
    </xf>
    <xf numFmtId="0" fontId="7" fillId="0" borderId="0" xfId="370" applyFont="1" applyAlignment="1">
      <alignment vertical="center"/>
      <protection locked="0"/>
    </xf>
    <xf numFmtId="0" fontId="7" fillId="0" borderId="0" xfId="370" applyFont="1" applyAlignment="1">
      <alignment vertical="center" wrapText="1"/>
      <protection locked="0"/>
    </xf>
    <xf numFmtId="0" fontId="3" fillId="0" borderId="0" xfId="358" applyFont="1" applyAlignment="1" applyProtection="1">
      <alignment vertical="center"/>
      <protection locked="0"/>
    </xf>
    <xf numFmtId="0" fontId="3" fillId="42" borderId="0" xfId="358" applyFont="1" applyFill="1" applyAlignment="1" applyProtection="1">
      <alignment vertical="center"/>
      <protection locked="0"/>
    </xf>
    <xf numFmtId="0" fontId="88" fillId="0" borderId="0" xfId="358" applyFont="1" applyAlignment="1" applyProtection="1">
      <alignment vertical="center"/>
      <protection locked="0"/>
    </xf>
    <xf numFmtId="0" fontId="88" fillId="42" borderId="0" xfId="358" applyFont="1" applyFill="1" applyAlignment="1" applyProtection="1">
      <alignment vertical="center"/>
      <protection locked="0"/>
    </xf>
    <xf numFmtId="0" fontId="89" fillId="0" borderId="0" xfId="358" applyFont="1" applyAlignment="1" applyProtection="1">
      <alignment vertical="center" wrapText="1"/>
      <protection locked="0"/>
    </xf>
    <xf numFmtId="0" fontId="4" fillId="0" borderId="0" xfId="358" applyFont="1" applyAlignment="1" applyProtection="1">
      <alignment horizontal="left" vertical="center" wrapText="1"/>
      <protection locked="0"/>
    </xf>
    <xf numFmtId="0" fontId="3" fillId="2" borderId="0" xfId="358" applyFont="1" applyFill="1" applyAlignment="1" applyProtection="1">
      <alignment vertical="center"/>
      <protection locked="0"/>
    </xf>
    <xf numFmtId="0" fontId="8" fillId="0" borderId="0" xfId="358" applyFont="1" applyAlignment="1" applyProtection="1">
      <alignment vertical="center"/>
      <protection locked="0"/>
    </xf>
    <xf numFmtId="0" fontId="7" fillId="0" borderId="0" xfId="382" applyFont="1" applyAlignment="1" applyProtection="1">
      <alignment horizontal="center" vertical="center" wrapText="1"/>
      <protection locked="0"/>
    </xf>
    <xf numFmtId="0" fontId="3" fillId="0" borderId="0" xfId="358" applyFont="1" applyAlignment="1" applyProtection="1">
      <alignment horizontal="left" vertical="center"/>
      <protection locked="0"/>
    </xf>
    <xf numFmtId="0" fontId="3" fillId="42" borderId="0" xfId="358" applyFont="1" applyFill="1" applyAlignment="1" applyProtection="1">
      <alignment horizontal="left" vertical="center"/>
      <protection locked="0"/>
    </xf>
    <xf numFmtId="0" fontId="8" fillId="0" borderId="0" xfId="358" applyFont="1" applyAlignment="1" applyProtection="1">
      <alignment horizontal="left" vertical="center"/>
      <protection locked="0"/>
    </xf>
    <xf numFmtId="0" fontId="4" fillId="0" borderId="0" xfId="358" applyFont="1" applyAlignment="1" applyProtection="1">
      <alignment horizontal="center" vertical="center"/>
      <protection locked="0"/>
    </xf>
    <xf numFmtId="0" fontId="15" fillId="0" borderId="0" xfId="358" applyFont="1" applyAlignment="1" applyProtection="1">
      <alignment horizontal="center" vertical="center"/>
      <protection locked="0"/>
    </xf>
    <xf numFmtId="0" fontId="4" fillId="0" borderId="0" xfId="358" applyFont="1" applyAlignment="1" applyProtection="1">
      <alignment horizontal="left" vertical="center"/>
      <protection locked="0"/>
    </xf>
    <xf numFmtId="0" fontId="99" fillId="0" borderId="0" xfId="358" applyFont="1" applyAlignment="1" applyProtection="1">
      <alignment horizontal="center" vertical="center"/>
      <protection locked="0"/>
    </xf>
    <xf numFmtId="0" fontId="5" fillId="0" borderId="0" xfId="358" applyFont="1" applyAlignment="1" applyProtection="1">
      <alignment vertical="center"/>
      <protection locked="0"/>
    </xf>
    <xf numFmtId="0" fontId="7" fillId="0" borderId="0" xfId="383" applyNumberFormat="1" applyFont="1" applyFill="1" applyBorder="1" applyAlignment="1" applyProtection="1">
      <alignment horizontal="left" vertical="center"/>
      <protection locked="0"/>
    </xf>
    <xf numFmtId="0" fontId="7" fillId="0" borderId="0" xfId="384" quotePrefix="1" applyNumberFormat="1" applyFont="1" applyFill="1" applyBorder="1" applyAlignment="1" applyProtection="1">
      <alignment horizontal="left" vertical="center"/>
      <protection locked="0"/>
    </xf>
    <xf numFmtId="9" fontId="7" fillId="0" borderId="0" xfId="384" quotePrefix="1" applyFont="1" applyFill="1" applyBorder="1" applyAlignment="1" applyProtection="1">
      <alignment horizontal="left" vertical="center"/>
      <protection locked="0"/>
    </xf>
    <xf numFmtId="204" fontId="7" fillId="0" borderId="0" xfId="385" applyNumberFormat="1" applyFont="1" applyFill="1" applyBorder="1" applyAlignment="1" applyProtection="1">
      <alignment horizontal="left" vertical="center"/>
      <protection locked="0"/>
    </xf>
    <xf numFmtId="183" fontId="7" fillId="0" borderId="0" xfId="383" applyFont="1" applyFill="1" applyBorder="1" applyAlignment="1" applyProtection="1">
      <alignment vertical="center"/>
      <protection locked="0"/>
    </xf>
    <xf numFmtId="9" fontId="7" fillId="0" borderId="0" xfId="384" quotePrefix="1" applyFont="1" applyFill="1" applyBorder="1" applyAlignment="1" applyProtection="1">
      <alignment vertical="center"/>
      <protection locked="0"/>
    </xf>
    <xf numFmtId="183" fontId="7" fillId="0" borderId="0" xfId="383" applyFont="1" applyFill="1" applyBorder="1" applyAlignment="1" applyProtection="1">
      <alignment horizontal="left" vertical="center"/>
      <protection locked="0"/>
    </xf>
    <xf numFmtId="183" fontId="7" fillId="42" borderId="0" xfId="383" applyFont="1" applyFill="1" applyBorder="1" applyAlignment="1" applyProtection="1">
      <alignment vertical="center"/>
      <protection locked="0"/>
    </xf>
    <xf numFmtId="9" fontId="7" fillId="42" borderId="0" xfId="384" quotePrefix="1" applyFont="1" applyFill="1" applyBorder="1" applyAlignment="1" applyProtection="1">
      <alignment vertical="center"/>
      <protection locked="0"/>
    </xf>
    <xf numFmtId="0" fontId="9" fillId="0" borderId="0" xfId="380" applyFont="1" applyAlignment="1">
      <alignment horizontal="left" vertical="center"/>
    </xf>
    <xf numFmtId="0" fontId="4" fillId="0" borderId="0" xfId="358" applyFont="1" applyAlignment="1" applyProtection="1">
      <alignment vertical="center"/>
      <protection locked="0"/>
    </xf>
    <xf numFmtId="0" fontId="101" fillId="0" borderId="0" xfId="358" applyFont="1" applyAlignment="1" applyProtection="1">
      <alignment vertical="center"/>
      <protection locked="0"/>
    </xf>
    <xf numFmtId="0" fontId="101" fillId="2" borderId="0" xfId="0" applyFont="1" applyFill="1" applyAlignment="1">
      <alignment vertical="center"/>
      <protection locked="0"/>
    </xf>
    <xf numFmtId="0" fontId="104" fillId="0" borderId="0" xfId="181" applyFont="1" applyAlignment="1" applyProtection="1">
      <alignment vertical="center"/>
      <protection locked="0"/>
    </xf>
    <xf numFmtId="0" fontId="101" fillId="0" borderId="0" xfId="0" applyFont="1" applyAlignment="1">
      <alignment vertical="center"/>
      <protection locked="0"/>
    </xf>
    <xf numFmtId="0" fontId="101" fillId="0" borderId="0" xfId="289" applyFont="1" applyAlignment="1">
      <alignment vertical="center"/>
    </xf>
    <xf numFmtId="0" fontId="101" fillId="0" borderId="0" xfId="289" applyFont="1" applyAlignment="1" applyProtection="1">
      <alignment vertical="center"/>
      <protection locked="0"/>
    </xf>
    <xf numFmtId="0" fontId="101" fillId="0" borderId="0" xfId="0" applyFont="1" applyAlignment="1">
      <alignment horizontal="left" vertical="center" wrapText="1"/>
      <protection locked="0"/>
    </xf>
    <xf numFmtId="0" fontId="101" fillId="0" borderId="0" xfId="0" applyFont="1" applyAlignment="1">
      <alignment horizontal="left" vertical="center"/>
      <protection locked="0"/>
    </xf>
    <xf numFmtId="9" fontId="101" fillId="0" borderId="0" xfId="0" applyNumberFormat="1" applyFont="1" applyAlignment="1">
      <alignment horizontal="left" vertical="center"/>
      <protection locked="0"/>
    </xf>
    <xf numFmtId="9" fontId="101" fillId="0" borderId="0" xfId="289" applyNumberFormat="1" applyFont="1" applyAlignment="1" applyProtection="1">
      <alignment vertical="center"/>
      <protection locked="0"/>
    </xf>
    <xf numFmtId="9" fontId="101" fillId="0" borderId="0" xfId="12" applyFont="1" applyAlignment="1" applyProtection="1">
      <alignment vertical="center"/>
      <protection locked="0"/>
    </xf>
    <xf numFmtId="0" fontId="105" fillId="0" borderId="0" xfId="289" applyFont="1" applyAlignment="1" applyProtection="1">
      <alignment vertical="center"/>
      <protection locked="0"/>
    </xf>
    <xf numFmtId="0" fontId="103" fillId="0" borderId="0" xfId="0" applyFont="1" applyAlignment="1">
      <alignment vertical="center"/>
      <protection locked="0"/>
    </xf>
    <xf numFmtId="0" fontId="3" fillId="42" borderId="0" xfId="0" applyFont="1" applyFill="1" applyAlignment="1">
      <alignment vertical="center"/>
      <protection locked="0"/>
    </xf>
    <xf numFmtId="0" fontId="102" fillId="0" borderId="0" xfId="358" applyFont="1" applyAlignment="1" applyProtection="1">
      <alignment horizontal="centerContinuous" vertical="center"/>
      <protection locked="0"/>
    </xf>
    <xf numFmtId="0" fontId="9" fillId="0" borderId="3" xfId="0" applyFont="1" applyBorder="1" applyAlignment="1">
      <alignment vertical="center"/>
      <protection locked="0"/>
    </xf>
    <xf numFmtId="0" fontId="3" fillId="2" borderId="16" xfId="0" applyFont="1" applyFill="1" applyBorder="1" applyAlignment="1">
      <alignment vertical="center"/>
      <protection locked="0"/>
    </xf>
    <xf numFmtId="0" fontId="3" fillId="0" borderId="3" xfId="0" applyFont="1" applyBorder="1" applyAlignment="1">
      <alignment vertical="center"/>
      <protection locked="0"/>
    </xf>
    <xf numFmtId="0" fontId="4" fillId="0" borderId="16" xfId="0" applyFont="1" applyBorder="1" applyAlignment="1">
      <alignment horizontal="left" vertical="center"/>
      <protection locked="0"/>
    </xf>
    <xf numFmtId="0" fontId="7" fillId="0" borderId="16" xfId="0" applyFont="1" applyBorder="1" applyAlignment="1">
      <alignment horizontal="center" vertical="center"/>
      <protection locked="0"/>
    </xf>
    <xf numFmtId="0" fontId="3" fillId="0" borderId="4" xfId="0" applyFont="1" applyBorder="1" applyAlignment="1">
      <alignment vertical="center"/>
      <protection locked="0"/>
    </xf>
    <xf numFmtId="0" fontId="3" fillId="0" borderId="1" xfId="0" applyFont="1" applyBorder="1" applyAlignment="1">
      <alignment vertical="center"/>
      <protection locked="0"/>
    </xf>
    <xf numFmtId="176" fontId="3" fillId="0" borderId="1" xfId="0" applyNumberFormat="1" applyFont="1" applyBorder="1" applyAlignment="1">
      <alignment vertical="center"/>
      <protection locked="0"/>
    </xf>
    <xf numFmtId="0" fontId="3" fillId="0" borderId="6" xfId="0" applyFont="1" applyBorder="1" applyAlignment="1">
      <alignment vertical="center"/>
      <protection locked="0"/>
    </xf>
    <xf numFmtId="0" fontId="5" fillId="0" borderId="0" xfId="0" applyFont="1" applyAlignment="1">
      <alignment horizontal="centerContinuous" vertical="center"/>
      <protection locked="0"/>
    </xf>
    <xf numFmtId="0" fontId="7" fillId="0" borderId="0" xfId="0" applyFont="1" applyAlignment="1">
      <alignment vertical="center" wrapText="1"/>
      <protection locked="0"/>
    </xf>
    <xf numFmtId="204" fontId="5" fillId="0" borderId="0" xfId="358" applyNumberFormat="1" applyFont="1" applyAlignment="1" applyProtection="1">
      <alignment vertical="center"/>
      <protection locked="0"/>
    </xf>
    <xf numFmtId="184" fontId="5" fillId="0" borderId="0" xfId="377" applyNumberFormat="1" applyFont="1" applyAlignment="1" applyProtection="1">
      <alignment horizontal="right" vertical="center"/>
      <protection locked="0"/>
    </xf>
    <xf numFmtId="0" fontId="89" fillId="2" borderId="0" xfId="358" applyFont="1" applyFill="1" applyAlignment="1" applyProtection="1">
      <alignment vertical="center" wrapText="1"/>
      <protection locked="0"/>
    </xf>
    <xf numFmtId="0" fontId="3" fillId="42" borderId="0" xfId="358" applyFont="1" applyFill="1" applyAlignment="1" applyProtection="1">
      <alignment horizontal="center" vertical="center"/>
      <protection locked="0"/>
    </xf>
    <xf numFmtId="176" fontId="7" fillId="0" borderId="0" xfId="7" applyFont="1" applyBorder="1" applyAlignment="1" applyProtection="1">
      <alignment vertical="center" wrapText="1"/>
      <protection locked="0"/>
    </xf>
    <xf numFmtId="0" fontId="108" fillId="0" borderId="0" xfId="0" applyFont="1" applyAlignment="1">
      <alignment vertical="center"/>
      <protection locked="0"/>
    </xf>
    <xf numFmtId="0" fontId="107" fillId="0" borderId="0" xfId="0" applyFont="1" applyAlignment="1">
      <alignment vertical="center"/>
      <protection locked="0"/>
    </xf>
    <xf numFmtId="0" fontId="108" fillId="2" borderId="0" xfId="0" applyFont="1" applyFill="1" applyAlignment="1">
      <alignment vertical="center"/>
      <protection locked="0"/>
    </xf>
    <xf numFmtId="0" fontId="107" fillId="2" borderId="0" xfId="0" applyFont="1" applyFill="1" applyAlignment="1">
      <alignment vertical="center"/>
      <protection locked="0"/>
    </xf>
    <xf numFmtId="0" fontId="7" fillId="0" borderId="0" xfId="394" applyFont="1" applyFill="1" applyAlignment="1" applyProtection="1">
      <alignment horizontal="left" vertical="center"/>
      <protection locked="0"/>
    </xf>
    <xf numFmtId="0" fontId="9" fillId="0" borderId="0" xfId="0" applyFont="1" applyAlignment="1">
      <alignment vertical="center" wrapText="1"/>
      <protection locked="0"/>
    </xf>
    <xf numFmtId="183" fontId="4" fillId="0" borderId="0" xfId="0" applyNumberFormat="1" applyFont="1" applyAlignment="1">
      <alignment horizontal="center" vertical="center"/>
      <protection locked="0"/>
    </xf>
    <xf numFmtId="0" fontId="7" fillId="0" borderId="0" xfId="0" applyFont="1" applyAlignment="1">
      <alignment horizontal="center" vertical="center"/>
      <protection locked="0"/>
    </xf>
    <xf numFmtId="0" fontId="3"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7" fillId="0" borderId="0" xfId="0" applyFont="1" applyAlignment="1" applyProtection="1">
      <alignment horizontal="left" vertical="center"/>
    </xf>
    <xf numFmtId="0" fontId="4" fillId="0" borderId="0" xfId="289" applyFont="1" applyAlignment="1" applyProtection="1">
      <alignment horizontal="left" vertical="center"/>
      <protection locked="0"/>
    </xf>
    <xf numFmtId="0" fontId="7" fillId="0" borderId="0" xfId="289" applyFont="1" applyAlignment="1" applyProtection="1">
      <alignment horizontal="center" vertical="center"/>
      <protection locked="0"/>
    </xf>
    <xf numFmtId="183" fontId="7" fillId="49" borderId="0" xfId="0" applyNumberFormat="1" applyFont="1" applyFill="1" applyAlignment="1" applyProtection="1">
      <alignment vertical="center"/>
    </xf>
    <xf numFmtId="0" fontId="7" fillId="0" borderId="0" xfId="0" applyFont="1" applyAlignment="1" applyProtection="1">
      <alignment vertical="center"/>
    </xf>
    <xf numFmtId="0" fontId="110" fillId="0" borderId="0" xfId="0" applyFont="1" applyAlignment="1" applyProtection="1">
      <alignment vertical="center"/>
    </xf>
    <xf numFmtId="0" fontId="5" fillId="2" borderId="0" xfId="0" applyFont="1" applyFill="1" applyAlignment="1">
      <alignment vertical="center"/>
      <protection locked="0"/>
    </xf>
    <xf numFmtId="0" fontId="83" fillId="2" borderId="0" xfId="0" applyFont="1" applyFill="1" applyAlignment="1">
      <alignment vertical="center"/>
      <protection locked="0"/>
    </xf>
    <xf numFmtId="0" fontId="81" fillId="2" borderId="0" xfId="0" applyFont="1" applyFill="1" applyAlignment="1">
      <alignment vertical="center"/>
      <protection locked="0"/>
    </xf>
    <xf numFmtId="0" fontId="8" fillId="2" borderId="0" xfId="175" applyFont="1" applyFill="1" applyAlignment="1" applyProtection="1">
      <alignment horizontal="left" vertical="top" wrapText="1"/>
      <protection locked="0"/>
    </xf>
    <xf numFmtId="0" fontId="114" fillId="50" borderId="0" xfId="394" applyFont="1" applyFill="1" applyAlignment="1">
      <alignment vertical="center"/>
      <protection locked="0"/>
    </xf>
    <xf numFmtId="0" fontId="115" fillId="50" borderId="0" xfId="394" applyFont="1" applyFill="1" applyAlignment="1">
      <alignment vertical="center"/>
      <protection locked="0"/>
    </xf>
    <xf numFmtId="176" fontId="3" fillId="2" borderId="20" xfId="381" applyFont="1" applyFill="1" applyBorder="1" applyAlignment="1" applyProtection="1">
      <alignment vertical="center"/>
      <protection locked="0"/>
    </xf>
    <xf numFmtId="176" fontId="3" fillId="2" borderId="14" xfId="381" applyFont="1" applyFill="1" applyBorder="1" applyAlignment="1" applyProtection="1">
      <alignment vertical="center"/>
      <protection locked="0"/>
    </xf>
    <xf numFmtId="176" fontId="3" fillId="2" borderId="8" xfId="381" applyFont="1" applyFill="1" applyBorder="1" applyAlignment="1" applyProtection="1">
      <alignment vertical="center"/>
      <protection locked="0"/>
    </xf>
    <xf numFmtId="0" fontId="4" fillId="0" borderId="0" xfId="0" applyFont="1" applyAlignment="1" applyProtection="1">
      <alignment vertical="center"/>
    </xf>
    <xf numFmtId="176" fontId="5" fillId="0" borderId="17" xfId="358" applyNumberFormat="1" applyFont="1" applyBorder="1" applyAlignment="1" applyProtection="1">
      <alignment vertical="center"/>
      <protection locked="0"/>
    </xf>
    <xf numFmtId="176" fontId="112" fillId="0" borderId="0" xfId="358" applyNumberFormat="1" applyFont="1" applyAlignment="1" applyProtection="1">
      <alignment vertical="center"/>
      <protection locked="0"/>
    </xf>
    <xf numFmtId="176" fontId="5" fillId="0" borderId="0" xfId="358" applyNumberFormat="1" applyFont="1" applyAlignment="1" applyProtection="1">
      <alignment vertical="center"/>
      <protection locked="0"/>
    </xf>
    <xf numFmtId="176" fontId="3" fillId="0" borderId="0" xfId="358" applyNumberFormat="1" applyFont="1" applyAlignment="1" applyProtection="1">
      <alignment vertical="center"/>
      <protection locked="0"/>
    </xf>
    <xf numFmtId="0" fontId="107" fillId="0" borderId="0" xfId="358" applyFont="1" applyAlignment="1" applyProtection="1">
      <alignment vertical="center"/>
      <protection locked="0"/>
    </xf>
    <xf numFmtId="0" fontId="107" fillId="42" borderId="0" xfId="358" applyFont="1" applyFill="1" applyAlignment="1" applyProtection="1">
      <alignment vertical="center"/>
      <protection locked="0"/>
    </xf>
    <xf numFmtId="0" fontId="47" fillId="45" borderId="28" xfId="0" applyFont="1" applyFill="1" applyBorder="1" applyAlignment="1">
      <alignment horizontal="left" vertical="center"/>
      <protection locked="0"/>
    </xf>
    <xf numFmtId="0" fontId="47" fillId="45" borderId="29" xfId="0" applyFont="1" applyFill="1" applyBorder="1" applyAlignment="1">
      <alignment horizontal="left" vertical="center"/>
      <protection locked="0"/>
    </xf>
    <xf numFmtId="176" fontId="7" fillId="0" borderId="0" xfId="369" applyNumberFormat="1" applyFont="1" applyAlignment="1" applyProtection="1">
      <alignment horizontal="right" vertical="center" wrapText="1"/>
      <protection locked="0"/>
    </xf>
    <xf numFmtId="0" fontId="122" fillId="0" borderId="0" xfId="0" applyFont="1">
      <protection locked="0"/>
    </xf>
    <xf numFmtId="0" fontId="123" fillId="0" borderId="0" xfId="0" applyFont="1">
      <protection locked="0"/>
    </xf>
    <xf numFmtId="0" fontId="82" fillId="0" borderId="0" xfId="0" applyFont="1">
      <protection locked="0"/>
    </xf>
    <xf numFmtId="0" fontId="123" fillId="0" borderId="0" xfId="0" applyFont="1" applyAlignment="1">
      <alignment wrapText="1"/>
      <protection locked="0"/>
    </xf>
    <xf numFmtId="0" fontId="124" fillId="0" borderId="0" xfId="0" applyFont="1">
      <protection locked="0"/>
    </xf>
    <xf numFmtId="0" fontId="125" fillId="0" borderId="0" xfId="0" applyFont="1" applyAlignment="1" applyProtection="1">
      <alignment horizontal="left" vertical="center"/>
    </xf>
    <xf numFmtId="0" fontId="4" fillId="0" borderId="31" xfId="0" applyFont="1" applyBorder="1" applyAlignment="1" applyProtection="1">
      <alignment horizontal="center" vertical="center"/>
    </xf>
    <xf numFmtId="0" fontId="3" fillId="0" borderId="1" xfId="0" applyFont="1" applyBorder="1" applyAlignment="1" applyProtection="1">
      <alignment vertical="center"/>
    </xf>
    <xf numFmtId="0" fontId="3" fillId="0" borderId="32" xfId="0" applyFont="1" applyBorder="1" applyAlignment="1" applyProtection="1">
      <alignment vertical="center"/>
    </xf>
    <xf numFmtId="0" fontId="15" fillId="0" borderId="31" xfId="0" applyFont="1" applyBorder="1" applyAlignment="1" applyProtection="1">
      <alignment horizontal="center" vertical="center"/>
    </xf>
    <xf numFmtId="0" fontId="3" fillId="0" borderId="21" xfId="0" applyFont="1" applyBorder="1" applyAlignment="1" applyProtection="1">
      <alignment vertical="center"/>
    </xf>
    <xf numFmtId="0" fontId="3" fillId="0" borderId="23" xfId="0" applyFont="1" applyBorder="1" applyAlignment="1" applyProtection="1">
      <alignment vertical="center"/>
    </xf>
    <xf numFmtId="0" fontId="4" fillId="0" borderId="31" xfId="0" applyFont="1" applyBorder="1" applyAlignment="1">
      <alignment horizontal="center" vertical="center"/>
      <protection locked="0"/>
    </xf>
    <xf numFmtId="0" fontId="91" fillId="0" borderId="31" xfId="0" applyFont="1" applyBorder="1" applyAlignment="1" applyProtection="1">
      <alignment horizontal="center" vertical="center"/>
    </xf>
    <xf numFmtId="0" fontId="3" fillId="0" borderId="24" xfId="0" applyFont="1" applyBorder="1" applyAlignment="1">
      <alignment vertical="center"/>
      <protection locked="0"/>
    </xf>
    <xf numFmtId="0" fontId="3" fillId="0" borderId="25" xfId="0" applyFont="1" applyBorder="1" applyAlignment="1">
      <alignment vertical="center"/>
      <protection locked="0"/>
    </xf>
    <xf numFmtId="0" fontId="4" fillId="0" borderId="15" xfId="0" applyFont="1" applyBorder="1" applyAlignment="1" applyProtection="1">
      <alignment horizontal="center" vertical="center"/>
    </xf>
    <xf numFmtId="0" fontId="6" fillId="0" borderId="33" xfId="0" applyFont="1" applyBorder="1" applyAlignment="1" applyProtection="1">
      <alignment vertical="center"/>
    </xf>
    <xf numFmtId="0" fontId="9" fillId="0" borderId="0" xfId="0" applyFont="1" applyAlignment="1" applyProtection="1">
      <alignment vertical="center"/>
    </xf>
    <xf numFmtId="0" fontId="6" fillId="0" borderId="0" xfId="0" applyFont="1" applyAlignment="1">
      <alignment vertical="center" wrapText="1"/>
      <protection locked="0"/>
    </xf>
    <xf numFmtId="43" fontId="7" fillId="0" borderId="0" xfId="7" applyNumberFormat="1" applyFont="1" applyBorder="1" applyAlignment="1" applyProtection="1">
      <alignment vertical="center" wrapText="1"/>
      <protection locked="0"/>
    </xf>
    <xf numFmtId="43" fontId="7" fillId="0" borderId="1" xfId="7" applyNumberFormat="1" applyFont="1" applyBorder="1" applyAlignment="1" applyProtection="1">
      <alignment vertical="center" wrapText="1"/>
      <protection locked="0"/>
    </xf>
    <xf numFmtId="43" fontId="3" fillId="2" borderId="0" xfId="0" applyNumberFormat="1" applyFont="1" applyFill="1" applyAlignment="1">
      <alignment vertical="center"/>
      <protection locked="0"/>
    </xf>
    <xf numFmtId="43" fontId="3" fillId="2" borderId="1" xfId="7" applyNumberFormat="1" applyFont="1" applyFill="1" applyBorder="1" applyAlignment="1" applyProtection="1">
      <alignment vertical="center"/>
      <protection locked="0"/>
    </xf>
    <xf numFmtId="43" fontId="3" fillId="2" borderId="0" xfId="7" applyNumberFormat="1" applyFont="1" applyFill="1" applyBorder="1" applyAlignment="1" applyProtection="1">
      <alignment vertical="center"/>
      <protection locked="0"/>
    </xf>
    <xf numFmtId="43" fontId="3" fillId="2" borderId="0" xfId="7" applyNumberFormat="1" applyFont="1" applyFill="1" applyAlignment="1" applyProtection="1">
      <alignment vertical="center"/>
      <protection locked="0"/>
    </xf>
    <xf numFmtId="0" fontId="131" fillId="0" borderId="0" xfId="0" applyFont="1">
      <protection locked="0"/>
    </xf>
    <xf numFmtId="176" fontId="7" fillId="0" borderId="0" xfId="7" applyFont="1" applyAlignment="1" applyProtection="1">
      <alignment horizontal="left" vertical="center" shrinkToFit="1"/>
      <protection locked="0"/>
    </xf>
    <xf numFmtId="0" fontId="4" fillId="0" borderId="0" xfId="289" applyFont="1" applyAlignment="1" applyProtection="1">
      <alignment horizontal="center" vertical="center"/>
      <protection locked="0"/>
    </xf>
    <xf numFmtId="0" fontId="9" fillId="0" borderId="0" xfId="289" applyFont="1" applyAlignment="1" applyProtection="1">
      <alignment horizontal="center" vertical="center"/>
      <protection locked="0"/>
    </xf>
    <xf numFmtId="0" fontId="6" fillId="0" borderId="26" xfId="289" applyFont="1" applyBorder="1" applyAlignment="1" applyProtection="1">
      <alignment horizontal="left" vertical="center"/>
      <protection locked="0"/>
    </xf>
    <xf numFmtId="0" fontId="7" fillId="0" borderId="21" xfId="289" applyFont="1" applyBorder="1" applyAlignment="1" applyProtection="1">
      <alignment horizontal="left" vertical="center"/>
      <protection locked="0"/>
    </xf>
    <xf numFmtId="0" fontId="6" fillId="0" borderId="28" xfId="289" applyFont="1" applyBorder="1" applyAlignment="1" applyProtection="1">
      <alignment horizontal="left" vertical="center"/>
      <protection locked="0"/>
    </xf>
    <xf numFmtId="0" fontId="6" fillId="0" borderId="29" xfId="289" applyFont="1" applyBorder="1" applyAlignment="1" applyProtection="1">
      <alignment horizontal="left" vertical="center"/>
      <protection locked="0"/>
    </xf>
    <xf numFmtId="0" fontId="9" fillId="0" borderId="0" xfId="289" applyFont="1" applyAlignment="1" applyProtection="1">
      <alignment horizontal="left" vertical="center"/>
      <protection locked="0"/>
    </xf>
    <xf numFmtId="0" fontId="132" fillId="0" borderId="0" xfId="0" applyFont="1" applyAlignment="1">
      <alignment vertical="center"/>
      <protection locked="0"/>
    </xf>
    <xf numFmtId="0" fontId="79" fillId="0" borderId="0" xfId="0" applyFont="1" applyAlignment="1">
      <alignment vertical="center"/>
      <protection locked="0"/>
    </xf>
    <xf numFmtId="176" fontId="7" fillId="0" borderId="1" xfId="7" applyFont="1" applyBorder="1" applyAlignment="1" applyProtection="1">
      <alignment vertical="center" wrapText="1"/>
      <protection locked="0"/>
    </xf>
    <xf numFmtId="0" fontId="4" fillId="0" borderId="1" xfId="370" applyFont="1" applyBorder="1" applyAlignment="1">
      <alignment horizontal="left" vertical="center"/>
      <protection locked="0"/>
    </xf>
    <xf numFmtId="0" fontId="116" fillId="0" borderId="0" xfId="0" applyFont="1" applyAlignment="1">
      <alignment vertical="center"/>
      <protection locked="0"/>
    </xf>
    <xf numFmtId="0" fontId="88" fillId="0" borderId="0" xfId="0" applyFont="1">
      <protection locked="0"/>
    </xf>
    <xf numFmtId="0" fontId="4" fillId="0" borderId="0" xfId="387" applyNumberFormat="1" applyFont="1" applyFill="1" applyBorder="1" applyAlignment="1" applyProtection="1">
      <alignment horizontal="center" vertical="center"/>
      <protection locked="0"/>
    </xf>
    <xf numFmtId="0" fontId="110" fillId="0" borderId="18" xfId="0" applyFont="1" applyBorder="1" applyAlignment="1">
      <alignment horizontal="center" vertical="center"/>
      <protection locked="0"/>
    </xf>
    <xf numFmtId="176" fontId="110" fillId="0" borderId="18" xfId="7" applyFont="1" applyBorder="1" applyAlignment="1" applyProtection="1">
      <alignment horizontal="center" vertical="center"/>
      <protection locked="0"/>
    </xf>
    <xf numFmtId="176" fontId="3" fillId="2" borderId="0" xfId="7" applyFont="1" applyFill="1" applyAlignment="1" applyProtection="1">
      <alignment vertical="center"/>
      <protection locked="0"/>
    </xf>
    <xf numFmtId="0" fontId="4" fillId="2" borderId="0" xfId="0" applyFont="1" applyFill="1" applyAlignment="1">
      <alignment vertical="center"/>
      <protection locked="0"/>
    </xf>
    <xf numFmtId="0" fontId="8" fillId="2" borderId="0" xfId="0" applyFont="1" applyFill="1" applyAlignment="1">
      <alignment vertical="center"/>
      <protection locked="0"/>
    </xf>
    <xf numFmtId="176" fontId="4" fillId="0" borderId="0" xfId="7" applyFont="1" applyFill="1" applyBorder="1" applyAlignment="1" applyProtection="1">
      <alignment horizontal="center" vertical="center" shrinkToFit="1"/>
      <protection locked="0"/>
    </xf>
    <xf numFmtId="9" fontId="4" fillId="0" borderId="0" xfId="12" applyFont="1" applyFill="1" applyBorder="1" applyAlignment="1" applyProtection="1">
      <alignment horizontal="right" vertical="center" shrinkToFit="1"/>
      <protection locked="0"/>
    </xf>
    <xf numFmtId="176" fontId="110" fillId="0" borderId="0" xfId="7" applyFont="1" applyFill="1" applyBorder="1" applyAlignment="1" applyProtection="1">
      <alignment horizontal="center" vertical="center" shrinkToFit="1"/>
      <protection locked="0"/>
    </xf>
    <xf numFmtId="0" fontId="3" fillId="2" borderId="4" xfId="0" applyFont="1" applyFill="1" applyBorder="1" applyAlignment="1">
      <alignment vertical="center"/>
      <protection locked="0"/>
    </xf>
    <xf numFmtId="0" fontId="4" fillId="2" borderId="1" xfId="0" applyFont="1" applyFill="1" applyBorder="1" applyAlignment="1">
      <alignment vertical="center"/>
      <protection locked="0"/>
    </xf>
    <xf numFmtId="0" fontId="3" fillId="2" borderId="1" xfId="0" applyFont="1" applyFill="1" applyBorder="1" applyAlignment="1">
      <alignment vertical="center"/>
      <protection locked="0"/>
    </xf>
    <xf numFmtId="0" fontId="3" fillId="2" borderId="1" xfId="0" applyFont="1" applyFill="1" applyBorder="1" applyAlignment="1">
      <alignment horizontal="center" vertical="center"/>
      <protection locked="0"/>
    </xf>
    <xf numFmtId="0" fontId="3" fillId="2" borderId="6" xfId="0" applyFont="1" applyFill="1" applyBorder="1" applyAlignment="1">
      <alignment vertical="center"/>
      <protection locked="0"/>
    </xf>
    <xf numFmtId="49" fontId="11" fillId="2" borderId="0" xfId="288" applyNumberFormat="1" applyFont="1" applyFill="1" applyAlignment="1" applyProtection="1">
      <alignment horizontal="left" vertical="center"/>
      <protection locked="0"/>
    </xf>
    <xf numFmtId="0" fontId="145" fillId="0" borderId="0" xfId="0" applyFont="1">
      <protection locked="0"/>
    </xf>
    <xf numFmtId="0" fontId="4" fillId="0" borderId="0" xfId="288" applyFont="1" applyAlignment="1" applyProtection="1">
      <alignment vertical="center"/>
      <protection locked="0"/>
    </xf>
    <xf numFmtId="0" fontId="13" fillId="0" borderId="0" xfId="191" applyFont="1" applyAlignment="1">
      <alignment vertical="center"/>
    </xf>
    <xf numFmtId="0" fontId="7" fillId="0" borderId="0" xfId="288" applyFont="1" applyAlignment="1" applyProtection="1">
      <alignment vertical="center"/>
      <protection locked="0"/>
    </xf>
    <xf numFmtId="0" fontId="11" fillId="0" borderId="0" xfId="191" applyFont="1" applyAlignment="1">
      <alignment vertical="center"/>
    </xf>
    <xf numFmtId="176" fontId="147" fillId="0" borderId="0" xfId="7" applyFont="1" applyFill="1" applyBorder="1" applyAlignment="1" applyProtection="1">
      <alignment horizontal="right" vertical="center" shrinkToFit="1"/>
    </xf>
    <xf numFmtId="176" fontId="7" fillId="0" borderId="0" xfId="7" applyFont="1" applyFill="1" applyBorder="1" applyAlignment="1" applyProtection="1">
      <alignment vertical="center"/>
      <protection locked="0"/>
    </xf>
    <xf numFmtId="0" fontId="4" fillId="0" borderId="0" xfId="191" applyFont="1" applyAlignment="1">
      <alignment vertical="center"/>
    </xf>
    <xf numFmtId="0" fontId="3" fillId="0" borderId="0" xfId="0" applyFont="1">
      <protection locked="0"/>
    </xf>
    <xf numFmtId="205" fontId="11" fillId="0" borderId="0" xfId="191" applyNumberFormat="1" applyFont="1" applyAlignment="1">
      <alignment vertical="center"/>
    </xf>
    <xf numFmtId="0" fontId="147" fillId="0" borderId="0" xfId="0" applyFont="1" applyAlignment="1">
      <alignment vertical="center"/>
      <protection locked="0"/>
    </xf>
    <xf numFmtId="176" fontId="3" fillId="0" borderId="0" xfId="7" applyFont="1" applyFill="1" applyBorder="1" applyAlignment="1" applyProtection="1">
      <alignment horizontal="right" vertical="center" shrinkToFit="1"/>
      <protection locked="0"/>
    </xf>
    <xf numFmtId="0" fontId="7" fillId="2" borderId="0" xfId="288" applyFont="1" applyFill="1" applyAlignment="1" applyProtection="1">
      <alignment vertical="center"/>
      <protection locked="0"/>
    </xf>
    <xf numFmtId="176" fontId="3" fillId="0" borderId="0" xfId="7" applyFont="1" applyFill="1" applyAlignment="1">
      <alignment horizontal="left" vertical="center" shrinkToFit="1"/>
    </xf>
    <xf numFmtId="49" fontId="11" fillId="0" borderId="0" xfId="288" applyNumberFormat="1" applyFont="1" applyAlignment="1" applyProtection="1">
      <alignment horizontal="center" vertical="center"/>
      <protection locked="0"/>
    </xf>
    <xf numFmtId="49" fontId="7" fillId="0" borderId="0" xfId="294" applyNumberFormat="1" applyFont="1" applyAlignment="1" applyProtection="1">
      <alignment horizontal="center" vertical="center" shrinkToFit="1"/>
      <protection locked="0"/>
    </xf>
    <xf numFmtId="176" fontId="3" fillId="0" borderId="0" xfId="288" applyNumberFormat="1" applyFont="1" applyAlignment="1">
      <alignment horizontal="right" vertical="center" shrinkToFit="1"/>
    </xf>
    <xf numFmtId="176" fontId="3" fillId="0" borderId="0" xfId="7" applyFont="1" applyFill="1" applyBorder="1" applyAlignment="1" applyProtection="1">
      <alignment horizontal="right" vertical="center" shrinkToFit="1"/>
    </xf>
    <xf numFmtId="176" fontId="4" fillId="0" borderId="0" xfId="7" applyFont="1" applyFill="1" applyBorder="1" applyAlignment="1" applyProtection="1">
      <alignment horizontal="right" vertical="center" shrinkToFit="1"/>
    </xf>
    <xf numFmtId="0" fontId="147" fillId="2" borderId="0" xfId="0" applyFont="1" applyFill="1" applyAlignment="1">
      <alignment vertical="center"/>
      <protection locked="0"/>
    </xf>
    <xf numFmtId="0" fontId="121" fillId="0" borderId="0" xfId="394" applyFont="1" applyFill="1" applyAlignment="1" applyProtection="1">
      <alignment horizontal="left" vertical="center"/>
      <protection locked="0"/>
    </xf>
    <xf numFmtId="0" fontId="117" fillId="2" borderId="0" xfId="0" applyFont="1" applyFill="1">
      <protection locked="0"/>
    </xf>
    <xf numFmtId="0" fontId="127" fillId="0" borderId="0" xfId="0" applyFont="1">
      <protection locked="0"/>
    </xf>
    <xf numFmtId="0" fontId="88" fillId="0" borderId="1" xfId="0" applyFont="1" applyBorder="1">
      <protection locked="0"/>
    </xf>
    <xf numFmtId="0" fontId="14" fillId="0" borderId="0" xfId="191" applyFont="1" applyAlignment="1">
      <alignment vertical="center"/>
    </xf>
    <xf numFmtId="49" fontId="3" fillId="0" borderId="0" xfId="7" applyNumberFormat="1" applyFont="1" applyAlignment="1" applyProtection="1">
      <alignment horizontal="left" vertical="center" wrapText="1" shrinkToFit="1"/>
    </xf>
    <xf numFmtId="176" fontId="3" fillId="2" borderId="0" xfId="7" applyFont="1" applyFill="1" applyBorder="1" applyAlignment="1">
      <alignment horizontal="right" vertical="center" shrinkToFit="1"/>
    </xf>
    <xf numFmtId="176" fontId="3" fillId="2" borderId="0" xfId="7" applyFont="1" applyFill="1" applyBorder="1" applyAlignment="1" applyProtection="1">
      <alignment horizontal="right" vertical="center" shrinkToFit="1"/>
      <protection locked="0"/>
    </xf>
    <xf numFmtId="176" fontId="3" fillId="0" borderId="0" xfId="7" applyFont="1" applyFill="1" applyAlignment="1" applyProtection="1">
      <alignment horizontal="right" vertical="center" shrinkToFit="1"/>
      <protection locked="0"/>
    </xf>
    <xf numFmtId="176" fontId="7" fillId="0" borderId="0" xfId="7" applyFont="1" applyFill="1" applyAlignment="1" applyProtection="1">
      <alignment vertical="center"/>
      <protection locked="0"/>
    </xf>
    <xf numFmtId="176" fontId="7" fillId="2" borderId="0" xfId="7" applyFont="1" applyFill="1" applyAlignment="1" applyProtection="1">
      <alignment vertical="center"/>
      <protection locked="0"/>
    </xf>
    <xf numFmtId="0" fontId="111" fillId="2" borderId="0" xfId="0" applyFont="1" applyFill="1" applyAlignment="1">
      <alignment vertical="center"/>
      <protection locked="0"/>
    </xf>
    <xf numFmtId="0" fontId="6" fillId="0" borderId="3" xfId="0" applyFont="1" applyBorder="1" applyAlignment="1">
      <alignment vertical="center"/>
      <protection locked="0"/>
    </xf>
    <xf numFmtId="0" fontId="6" fillId="0" borderId="0" xfId="0" applyFont="1" applyAlignment="1">
      <alignment vertical="center"/>
      <protection locked="0"/>
    </xf>
    <xf numFmtId="0" fontId="6" fillId="0" borderId="16" xfId="0" applyFont="1" applyBorder="1" applyAlignment="1">
      <alignment vertical="center"/>
      <protection locked="0"/>
    </xf>
    <xf numFmtId="0" fontId="6" fillId="2" borderId="0" xfId="0" applyFont="1" applyFill="1" applyAlignment="1">
      <alignment vertical="center"/>
      <protection locked="0"/>
    </xf>
    <xf numFmtId="0" fontId="7" fillId="0" borderId="4" xfId="0" applyFont="1" applyBorder="1" applyAlignment="1">
      <alignment vertical="center"/>
      <protection locked="0"/>
    </xf>
    <xf numFmtId="0" fontId="7" fillId="0" borderId="1" xfId="0" applyFont="1" applyBorder="1" applyAlignment="1">
      <alignment vertical="center"/>
      <protection locked="0"/>
    </xf>
    <xf numFmtId="0" fontId="7" fillId="0" borderId="6" xfId="0" applyFont="1" applyBorder="1" applyAlignment="1">
      <alignment vertical="center"/>
      <protection locked="0"/>
    </xf>
    <xf numFmtId="0" fontId="7" fillId="2" borderId="0" xfId="0" applyFont="1" applyFill="1" applyAlignment="1">
      <alignment vertical="center"/>
      <protection locked="0"/>
    </xf>
    <xf numFmtId="0" fontId="7" fillId="0" borderId="15" xfId="289" applyFont="1" applyBorder="1" applyAlignment="1" applyProtection="1">
      <alignment horizontal="left" vertical="center"/>
      <protection locked="0"/>
    </xf>
    <xf numFmtId="0" fontId="7" fillId="0" borderId="22" xfId="289" applyFont="1" applyBorder="1" applyAlignment="1" applyProtection="1">
      <alignment horizontal="left" vertical="center" wrapText="1"/>
      <protection locked="0"/>
    </xf>
    <xf numFmtId="0" fontId="7" fillId="0" borderId="22" xfId="288" applyFont="1" applyBorder="1" applyAlignment="1" applyProtection="1">
      <alignment horizontal="left" shrinkToFit="1"/>
      <protection locked="0"/>
    </xf>
    <xf numFmtId="0" fontId="3" fillId="0" borderId="3" xfId="7" applyNumberFormat="1" applyFont="1" applyFill="1" applyBorder="1" applyAlignment="1" applyProtection="1">
      <alignment horizontal="left" vertical="center" shrinkToFit="1"/>
    </xf>
    <xf numFmtId="0" fontId="3" fillId="0" borderId="0" xfId="7" applyNumberFormat="1" applyFont="1" applyFill="1" applyBorder="1" applyAlignment="1" applyProtection="1">
      <alignment horizontal="left" vertical="center" shrinkToFit="1"/>
    </xf>
    <xf numFmtId="176" fontId="3" fillId="0" borderId="0" xfId="7" applyFont="1" applyFill="1" applyBorder="1" applyAlignment="1" applyProtection="1">
      <alignment vertical="center" shrinkToFit="1"/>
    </xf>
    <xf numFmtId="0" fontId="3" fillId="2" borderId="0" xfId="0" applyFont="1" applyFill="1" applyAlignment="1">
      <alignment horizontal="left" vertical="center" wrapText="1"/>
      <protection locked="0"/>
    </xf>
    <xf numFmtId="0" fontId="4" fillId="2" borderId="0" xfId="0" applyFont="1" applyFill="1" applyAlignment="1">
      <alignment horizontal="left" vertical="center"/>
      <protection locked="0"/>
    </xf>
    <xf numFmtId="0" fontId="7" fillId="2" borderId="0" xfId="166" applyFont="1" applyFill="1" applyAlignment="1">
      <alignment horizontal="left" vertical="center"/>
    </xf>
    <xf numFmtId="0" fontId="7" fillId="0" borderId="0" xfId="0" applyFont="1" applyAlignment="1">
      <alignment vertical="center"/>
      <protection locked="0"/>
    </xf>
    <xf numFmtId="0" fontId="4" fillId="0" borderId="0" xfId="0" applyFont="1" applyAlignment="1">
      <alignment horizontal="right" vertical="center"/>
      <protection locked="0"/>
    </xf>
    <xf numFmtId="0" fontId="106" fillId="0" borderId="0" xfId="0" applyFont="1" applyAlignment="1">
      <alignment horizontal="left" vertical="center" wrapText="1"/>
      <protection locked="0"/>
    </xf>
    <xf numFmtId="0" fontId="14" fillId="0" borderId="0" xfId="0" applyFont="1" applyAlignment="1">
      <alignment horizontal="center" vertical="center"/>
      <protection locked="0"/>
    </xf>
    <xf numFmtId="0" fontId="3" fillId="0" borderId="0" xfId="0" applyFont="1" applyAlignment="1">
      <alignment horizontal="center" vertical="center" wrapText="1"/>
      <protection locked="0"/>
    </xf>
    <xf numFmtId="0" fontId="3" fillId="0" borderId="0" xfId="175" applyFont="1" applyAlignment="1" applyProtection="1">
      <alignment vertical="center"/>
      <protection locked="0"/>
    </xf>
    <xf numFmtId="0" fontId="146" fillId="0" borderId="0" xfId="191" applyFont="1" applyAlignment="1">
      <alignment vertical="center"/>
    </xf>
    <xf numFmtId="0" fontId="79" fillId="53" borderId="0" xfId="0" applyFont="1" applyFill="1" applyAlignment="1">
      <alignment vertical="center"/>
      <protection locked="0"/>
    </xf>
    <xf numFmtId="0" fontId="85" fillId="53" borderId="0" xfId="288" applyFont="1" applyFill="1" applyAlignment="1" applyProtection="1">
      <alignment vertical="center"/>
      <protection locked="0"/>
    </xf>
    <xf numFmtId="49" fontId="85" fillId="53" borderId="0" xfId="288" applyNumberFormat="1" applyFont="1" applyFill="1" applyAlignment="1" applyProtection="1">
      <alignment horizontal="left" vertical="center" shrinkToFit="1"/>
      <protection locked="0"/>
    </xf>
    <xf numFmtId="14" fontId="82" fillId="53" borderId="0" xfId="7" applyNumberFormat="1" applyFont="1" applyFill="1" applyBorder="1" applyAlignment="1" applyProtection="1">
      <alignment horizontal="right" vertical="center" shrinkToFit="1"/>
    </xf>
    <xf numFmtId="176" fontId="82" fillId="53" borderId="0" xfId="7" applyFont="1" applyFill="1" applyBorder="1" applyAlignment="1" applyProtection="1">
      <alignment horizontal="right" vertical="center" shrinkToFit="1"/>
    </xf>
    <xf numFmtId="0" fontId="83" fillId="0" borderId="0" xfId="0" applyFont="1" applyAlignment="1">
      <alignment vertical="center"/>
      <protection locked="0"/>
    </xf>
    <xf numFmtId="0" fontId="152" fillId="53" borderId="0" xfId="0" applyFont="1" applyFill="1" applyAlignment="1">
      <alignment vertical="center"/>
      <protection locked="0"/>
    </xf>
    <xf numFmtId="0" fontId="108" fillId="53" borderId="0" xfId="0" applyFont="1" applyFill="1" applyAlignment="1">
      <alignment vertical="center"/>
      <protection locked="0"/>
    </xf>
    <xf numFmtId="0" fontId="107" fillId="53" borderId="0" xfId="0" applyFont="1" applyFill="1" applyAlignment="1">
      <alignment vertical="center"/>
      <protection locked="0"/>
    </xf>
    <xf numFmtId="0" fontId="82" fillId="53" borderId="0" xfId="0" applyFont="1" applyFill="1" applyAlignment="1">
      <alignment vertical="center"/>
      <protection locked="0"/>
    </xf>
    <xf numFmtId="0" fontId="82" fillId="53" borderId="0" xfId="0" applyFont="1" applyFill="1">
      <protection locked="0"/>
    </xf>
    <xf numFmtId="0" fontId="130" fillId="53" borderId="0" xfId="0" applyFont="1" applyFill="1" applyAlignment="1">
      <alignment vertical="center"/>
      <protection locked="0"/>
    </xf>
    <xf numFmtId="0" fontId="3" fillId="2" borderId="0" xfId="0" applyFont="1" applyFill="1" applyAlignment="1">
      <alignment horizontal="center" vertical="center"/>
      <protection locked="0"/>
    </xf>
    <xf numFmtId="0" fontId="9" fillId="51" borderId="20" xfId="0" applyFont="1" applyFill="1" applyBorder="1" applyAlignment="1">
      <alignment horizontal="center" vertical="center" wrapText="1"/>
      <protection locked="0"/>
    </xf>
    <xf numFmtId="0" fontId="14" fillId="0" borderId="0" xfId="0" applyFont="1" applyAlignment="1">
      <alignment vertical="center"/>
      <protection locked="0"/>
    </xf>
    <xf numFmtId="0" fontId="15" fillId="0" borderId="0" xfId="0" applyFont="1" applyAlignment="1">
      <alignment horizontal="center" vertical="center"/>
      <protection locked="0"/>
    </xf>
    <xf numFmtId="0" fontId="9" fillId="50" borderId="34" xfId="0" applyFont="1" applyFill="1" applyBorder="1" applyAlignment="1">
      <alignment horizontal="center" vertical="center" wrapText="1"/>
      <protection locked="0"/>
    </xf>
    <xf numFmtId="14" fontId="9" fillId="50" borderId="37" xfId="0" applyNumberFormat="1" applyFont="1" applyFill="1" applyBorder="1" applyAlignment="1">
      <alignment horizontal="center" vertical="center"/>
      <protection locked="0"/>
    </xf>
    <xf numFmtId="0" fontId="4" fillId="50" borderId="34" xfId="0" applyFont="1" applyFill="1" applyBorder="1" applyAlignment="1">
      <alignment vertical="center"/>
      <protection locked="0"/>
    </xf>
    <xf numFmtId="0" fontId="12" fillId="50" borderId="39" xfId="0" applyFont="1" applyFill="1" applyBorder="1" applyAlignment="1">
      <alignment horizontal="center" vertical="center" wrapText="1"/>
      <protection locked="0"/>
    </xf>
    <xf numFmtId="0" fontId="14" fillId="50" borderId="37" xfId="0" applyFont="1" applyFill="1" applyBorder="1" applyAlignment="1">
      <alignment horizontal="center" vertical="center" wrapText="1"/>
      <protection locked="0"/>
    </xf>
    <xf numFmtId="0" fontId="9" fillId="50" borderId="37" xfId="0" applyFont="1" applyFill="1" applyBorder="1" applyAlignment="1">
      <alignment horizontal="center" vertical="center"/>
      <protection locked="0"/>
    </xf>
    <xf numFmtId="0" fontId="12" fillId="50" borderId="37" xfId="0" applyFont="1" applyFill="1" applyBorder="1" applyAlignment="1">
      <alignment horizontal="center" vertical="center"/>
      <protection locked="0"/>
    </xf>
    <xf numFmtId="0" fontId="4" fillId="50" borderId="39" xfId="0" applyFont="1" applyFill="1" applyBorder="1" applyAlignment="1">
      <alignment horizontal="center" vertical="center" wrapText="1"/>
      <protection locked="0"/>
    </xf>
    <xf numFmtId="0" fontId="155" fillId="0" borderId="0" xfId="0" applyFont="1" applyAlignment="1">
      <alignment horizontal="left" vertical="center"/>
      <protection locked="0"/>
    </xf>
    <xf numFmtId="49" fontId="3" fillId="0" borderId="0" xfId="7" applyNumberFormat="1" applyFont="1" applyFill="1" applyBorder="1" applyAlignment="1" applyProtection="1">
      <alignment horizontal="left" vertical="center" wrapText="1" shrinkToFit="1"/>
    </xf>
    <xf numFmtId="0" fontId="94" fillId="48" borderId="40" xfId="358" applyFont="1" applyFill="1" applyBorder="1" applyAlignment="1" applyProtection="1">
      <alignment horizontal="centerContinuous" vertical="center"/>
      <protection locked="0"/>
    </xf>
    <xf numFmtId="0" fontId="94" fillId="48" borderId="41" xfId="358" applyFont="1" applyFill="1" applyBorder="1" applyAlignment="1" applyProtection="1">
      <alignment horizontal="centerContinuous" vertical="center"/>
      <protection locked="0"/>
    </xf>
    <xf numFmtId="0" fontId="94" fillId="48" borderId="42" xfId="358" applyFont="1" applyFill="1" applyBorder="1" applyAlignment="1" applyProtection="1">
      <alignment horizontal="centerContinuous" vertical="center"/>
      <protection locked="0"/>
    </xf>
    <xf numFmtId="0" fontId="95" fillId="44" borderId="22" xfId="358" applyFont="1" applyFill="1" applyBorder="1" applyAlignment="1" applyProtection="1">
      <alignment vertical="center"/>
      <protection locked="0"/>
    </xf>
    <xf numFmtId="0" fontId="95" fillId="44" borderId="23" xfId="358" applyFont="1" applyFill="1" applyBorder="1" applyAlignment="1" applyProtection="1">
      <alignment vertical="center" wrapText="1"/>
      <protection locked="0"/>
    </xf>
    <xf numFmtId="0" fontId="95" fillId="44" borderId="43" xfId="358" applyFont="1" applyFill="1" applyBorder="1" applyAlignment="1" applyProtection="1">
      <alignment vertical="center" wrapText="1"/>
      <protection locked="0"/>
    </xf>
    <xf numFmtId="0" fontId="14" fillId="51" borderId="37" xfId="0" applyFont="1" applyFill="1" applyBorder="1" applyAlignment="1">
      <alignment horizontal="center" vertical="center"/>
      <protection locked="0"/>
    </xf>
    <xf numFmtId="0" fontId="9" fillId="51" borderId="37" xfId="0" applyFont="1" applyFill="1" applyBorder="1" applyAlignment="1">
      <alignment horizontal="center" vertical="center" wrapText="1"/>
      <protection locked="0"/>
    </xf>
    <xf numFmtId="0" fontId="6" fillId="47" borderId="37" xfId="0" applyFont="1" applyFill="1" applyBorder="1" applyAlignment="1">
      <alignment horizontal="center" vertical="center"/>
      <protection locked="0"/>
    </xf>
    <xf numFmtId="0" fontId="14" fillId="46" borderId="37" xfId="0" applyFont="1" applyFill="1" applyBorder="1" applyAlignment="1">
      <alignment horizontal="center" vertical="center"/>
      <protection locked="0"/>
    </xf>
    <xf numFmtId="0" fontId="9" fillId="46" borderId="37" xfId="0" applyFont="1" applyFill="1" applyBorder="1" applyAlignment="1">
      <alignment horizontal="center" vertical="center" wrapText="1"/>
      <protection locked="0"/>
    </xf>
    <xf numFmtId="0" fontId="3" fillId="0" borderId="37" xfId="0" applyFont="1" applyBorder="1" applyAlignment="1">
      <alignment horizontal="center" vertical="center"/>
      <protection locked="0"/>
    </xf>
    <xf numFmtId="0" fontId="6" fillId="0" borderId="37" xfId="0" applyFont="1" applyBorder="1" applyAlignment="1">
      <alignment horizontal="center" vertical="center"/>
      <protection locked="0"/>
    </xf>
    <xf numFmtId="0" fontId="81" fillId="43" borderId="36" xfId="358" applyFont="1" applyFill="1" applyBorder="1" applyAlignment="1" applyProtection="1">
      <alignment horizontal="centerContinuous" vertical="center"/>
      <protection locked="0"/>
    </xf>
    <xf numFmtId="0" fontId="3" fillId="0" borderId="36" xfId="0" applyFont="1" applyBorder="1" applyAlignment="1" applyProtection="1">
      <alignment vertical="center"/>
    </xf>
    <xf numFmtId="0" fontId="3" fillId="0" borderId="36" xfId="0" applyFont="1" applyBorder="1" applyAlignment="1">
      <alignment vertical="center"/>
      <protection locked="0"/>
    </xf>
    <xf numFmtId="0" fontId="5" fillId="41" borderId="37" xfId="0" applyFont="1" applyFill="1" applyBorder="1" applyAlignment="1">
      <alignment horizontal="center" vertical="center"/>
      <protection locked="0"/>
    </xf>
    <xf numFmtId="0" fontId="113" fillId="41" borderId="37" xfId="0" applyFont="1" applyFill="1" applyBorder="1" applyAlignment="1">
      <alignment horizontal="left" vertical="center"/>
      <protection locked="0"/>
    </xf>
    <xf numFmtId="0" fontId="9" fillId="41" borderId="37" xfId="358" applyFont="1" applyFill="1" applyBorder="1" applyAlignment="1">
      <alignment horizontal="centerContinuous" vertical="center"/>
    </xf>
    <xf numFmtId="0" fontId="9" fillId="41" borderId="37" xfId="380" applyFont="1" applyFill="1" applyBorder="1" applyAlignment="1">
      <alignment horizontal="left" vertical="center"/>
    </xf>
    <xf numFmtId="204" fontId="7" fillId="2" borderId="37" xfId="381" applyNumberFormat="1" applyFont="1" applyFill="1" applyBorder="1" applyAlignment="1" applyProtection="1">
      <alignment horizontal="center" vertical="center" wrapText="1"/>
      <protection locked="0"/>
    </xf>
    <xf numFmtId="9" fontId="7" fillId="0" borderId="37" xfId="369" applyNumberFormat="1" applyFont="1" applyBorder="1" applyAlignment="1" applyProtection="1">
      <alignment vertical="center" wrapText="1"/>
      <protection locked="0"/>
    </xf>
    <xf numFmtId="0" fontId="5" fillId="44" borderId="36" xfId="0" applyFont="1" applyFill="1" applyBorder="1" applyAlignment="1">
      <alignment vertical="center"/>
      <protection locked="0"/>
    </xf>
    <xf numFmtId="0" fontId="3" fillId="44" borderId="36" xfId="0" applyFont="1" applyFill="1" applyBorder="1" applyAlignment="1">
      <alignment vertical="center"/>
      <protection locked="0"/>
    </xf>
    <xf numFmtId="0" fontId="81" fillId="44" borderId="36" xfId="0" applyFont="1" applyFill="1" applyBorder="1" applyAlignment="1">
      <alignment vertical="center"/>
      <protection locked="0"/>
    </xf>
    <xf numFmtId="0" fontId="101" fillId="44" borderId="36" xfId="0" applyFont="1" applyFill="1" applyBorder="1" applyAlignment="1">
      <alignment vertical="center"/>
      <protection locked="0"/>
    </xf>
    <xf numFmtId="0" fontId="9" fillId="41" borderId="37" xfId="373" applyNumberFormat="1" applyFont="1" applyFill="1" applyBorder="1" applyAlignment="1" applyProtection="1">
      <alignment horizontal="center" vertical="center" wrapText="1"/>
    </xf>
    <xf numFmtId="0" fontId="3" fillId="0" borderId="37" xfId="7" applyNumberFormat="1" applyFont="1" applyFill="1" applyBorder="1" applyAlignment="1" applyProtection="1">
      <alignment horizontal="left" vertical="center" shrinkToFit="1"/>
    </xf>
    <xf numFmtId="176" fontId="3" fillId="0" borderId="37" xfId="7" applyFont="1" applyFill="1" applyBorder="1" applyAlignment="1" applyProtection="1">
      <alignment horizontal="right" vertical="center" shrinkToFit="1"/>
    </xf>
    <xf numFmtId="0" fontId="3" fillId="0" borderId="37" xfId="7" applyNumberFormat="1" applyFont="1" applyFill="1" applyBorder="1" applyAlignment="1" applyProtection="1">
      <alignment horizontal="left" vertical="center" wrapText="1" shrinkToFit="1"/>
    </xf>
    <xf numFmtId="0" fontId="4" fillId="41" borderId="36" xfId="0" applyFont="1" applyFill="1" applyBorder="1" applyAlignment="1">
      <alignment vertical="center"/>
      <protection locked="0"/>
    </xf>
    <xf numFmtId="0" fontId="9" fillId="41" borderId="37" xfId="374" applyFont="1" applyFill="1" applyBorder="1" applyAlignment="1">
      <alignment horizontal="center" vertical="center"/>
    </xf>
    <xf numFmtId="0" fontId="9" fillId="41" borderId="37" xfId="373" applyNumberFormat="1" applyFont="1" applyFill="1" applyBorder="1" applyAlignment="1">
      <alignment horizontal="center" vertical="center"/>
    </xf>
    <xf numFmtId="0" fontId="3" fillId="0" borderId="37" xfId="289" applyFont="1" applyBorder="1" applyAlignment="1" applyProtection="1">
      <alignment horizontal="left" vertical="center" wrapText="1"/>
      <protection locked="0"/>
    </xf>
    <xf numFmtId="0" fontId="95" fillId="44" borderId="36" xfId="370" applyFont="1" applyFill="1" applyBorder="1" applyAlignment="1">
      <alignment vertical="center" wrapText="1"/>
      <protection locked="0"/>
    </xf>
    <xf numFmtId="0" fontId="5" fillId="0" borderId="37" xfId="7" applyNumberFormat="1" applyFont="1" applyFill="1" applyBorder="1" applyAlignment="1" applyProtection="1">
      <alignment horizontal="center" vertical="center" shrinkToFit="1"/>
    </xf>
    <xf numFmtId="0" fontId="3" fillId="0" borderId="37" xfId="289" applyFont="1" applyBorder="1" applyAlignment="1" applyProtection="1">
      <alignment horizontal="left" vertical="center" shrinkToFit="1"/>
      <protection locked="0"/>
    </xf>
    <xf numFmtId="0" fontId="3" fillId="2" borderId="37" xfId="289" applyFont="1" applyFill="1" applyBorder="1" applyAlignment="1" applyProtection="1">
      <alignment horizontal="left" vertical="center" shrinkToFit="1"/>
      <protection locked="0"/>
    </xf>
    <xf numFmtId="176" fontId="7" fillId="0" borderId="0" xfId="7" applyFont="1" applyAlignment="1" applyProtection="1">
      <alignment vertical="center" wrapText="1"/>
      <protection locked="0"/>
    </xf>
    <xf numFmtId="176" fontId="7" fillId="0" borderId="0" xfId="7" applyFont="1" applyBorder="1" applyAlignment="1" applyProtection="1">
      <alignment horizontal="right" vertical="center" wrapText="1"/>
      <protection locked="0"/>
    </xf>
    <xf numFmtId="176" fontId="3" fillId="2" borderId="0" xfId="7" applyFont="1" applyFill="1" applyAlignment="1" applyProtection="1">
      <alignment horizontal="right" vertical="center"/>
      <protection locked="0"/>
    </xf>
    <xf numFmtId="176" fontId="7" fillId="0" borderId="0" xfId="7" applyFont="1" applyAlignment="1" applyProtection="1">
      <alignment horizontal="right" vertical="center" wrapText="1"/>
      <protection locked="0"/>
    </xf>
    <xf numFmtId="0" fontId="157" fillId="0" borderId="0" xfId="0" applyFont="1" applyAlignment="1">
      <alignment horizontal="center" vertical="center"/>
      <protection locked="0"/>
    </xf>
    <xf numFmtId="0" fontId="7" fillId="0" borderId="0" xfId="369" applyFont="1" applyAlignment="1" applyProtection="1">
      <alignment horizontal="left" vertical="center" wrapText="1"/>
      <protection locked="0"/>
    </xf>
    <xf numFmtId="0" fontId="158" fillId="0" borderId="0" xfId="358" applyFont="1" applyAlignment="1">
      <alignment horizontal="left" vertical="center" wrapText="1"/>
    </xf>
    <xf numFmtId="0" fontId="158" fillId="0" borderId="0" xfId="358" applyFont="1" applyAlignment="1">
      <alignment horizontal="left" vertical="top"/>
    </xf>
    <xf numFmtId="0" fontId="7" fillId="0" borderId="0" xfId="164" applyAlignment="1" applyProtection="1">
      <alignment vertical="center"/>
      <protection locked="0"/>
    </xf>
    <xf numFmtId="0" fontId="5" fillId="2" borderId="0" xfId="358" applyFont="1" applyFill="1" applyAlignment="1" applyProtection="1">
      <alignment vertical="center"/>
      <protection locked="0"/>
    </xf>
    <xf numFmtId="0" fontId="14" fillId="47" borderId="0" xfId="0" applyFont="1" applyFill="1" applyAlignment="1">
      <alignment vertical="center"/>
      <protection locked="0"/>
    </xf>
    <xf numFmtId="0" fontId="6" fillId="47" borderId="0" xfId="0" applyFont="1" applyFill="1" applyAlignment="1">
      <alignment vertical="center"/>
      <protection locked="0"/>
    </xf>
    <xf numFmtId="0" fontId="7" fillId="0" borderId="0" xfId="369" applyFont="1" applyAlignment="1" applyProtection="1">
      <alignment vertical="center" wrapText="1"/>
      <protection locked="0"/>
    </xf>
    <xf numFmtId="176" fontId="7" fillId="0" borderId="0" xfId="7" applyFont="1" applyFill="1" applyAlignment="1" applyProtection="1">
      <alignment vertical="center" wrapText="1"/>
      <protection locked="0"/>
    </xf>
    <xf numFmtId="0" fontId="4" fillId="0" borderId="0" xfId="7" applyNumberFormat="1" applyFont="1" applyAlignment="1" applyProtection="1">
      <alignment horizontal="left" vertical="center"/>
      <protection locked="0"/>
    </xf>
    <xf numFmtId="0" fontId="7" fillId="0" borderId="0" xfId="7" applyNumberFormat="1" applyFont="1" applyAlignment="1" applyProtection="1">
      <alignment horizontal="center" vertical="center"/>
      <protection locked="0"/>
    </xf>
    <xf numFmtId="176" fontId="9" fillId="0" borderId="0" xfId="7" applyFont="1" applyAlignment="1" applyProtection="1">
      <alignment vertical="center"/>
      <protection locked="0"/>
    </xf>
    <xf numFmtId="176" fontId="9" fillId="42" borderId="0" xfId="7" applyFont="1" applyFill="1" applyAlignment="1" applyProtection="1">
      <alignment vertical="center"/>
      <protection locked="0"/>
    </xf>
    <xf numFmtId="176" fontId="7" fillId="0" borderId="0" xfId="381" applyFont="1" applyFill="1" applyAlignment="1" applyProtection="1">
      <alignment vertical="center"/>
      <protection locked="0"/>
    </xf>
    <xf numFmtId="176" fontId="3" fillId="0" borderId="0" xfId="381" applyFont="1" applyFill="1" applyAlignment="1" applyProtection="1">
      <alignment vertical="center"/>
      <protection locked="0"/>
    </xf>
    <xf numFmtId="9" fontId="3" fillId="0" borderId="0" xfId="377" applyNumberFormat="1" applyFont="1" applyAlignment="1" applyProtection="1">
      <alignment vertical="center"/>
      <protection locked="0"/>
    </xf>
    <xf numFmtId="0" fontId="159" fillId="0" borderId="0" xfId="0" applyFont="1">
      <protection locked="0"/>
    </xf>
    <xf numFmtId="0" fontId="15" fillId="0" borderId="4" xfId="0" applyFont="1" applyBorder="1" applyAlignment="1">
      <alignment horizontal="center" vertical="center"/>
      <protection locked="0"/>
    </xf>
    <xf numFmtId="14" fontId="3" fillId="0" borderId="37" xfId="7" applyNumberFormat="1" applyFont="1" applyFill="1" applyBorder="1" applyAlignment="1" applyProtection="1">
      <alignment horizontal="left" vertical="center" shrinkToFit="1"/>
    </xf>
    <xf numFmtId="0" fontId="3" fillId="0" borderId="15" xfId="7" applyNumberFormat="1" applyFont="1" applyFill="1" applyBorder="1" applyAlignment="1" applyProtection="1">
      <alignment horizontal="left" vertical="center" shrinkToFit="1"/>
    </xf>
    <xf numFmtId="0" fontId="7" fillId="0" borderId="37" xfId="289" applyFont="1" applyBorder="1" applyAlignment="1" applyProtection="1">
      <alignment horizontal="left" vertical="center"/>
      <protection locked="0"/>
    </xf>
    <xf numFmtId="0" fontId="3" fillId="0" borderId="37" xfId="7" applyNumberFormat="1" applyFont="1" applyFill="1" applyBorder="1" applyAlignment="1">
      <alignment horizontal="left" vertical="center" shrinkToFit="1"/>
    </xf>
    <xf numFmtId="10" fontId="7" fillId="0" borderId="0" xfId="12" applyNumberFormat="1" applyFont="1" applyAlignment="1" applyProtection="1">
      <alignment horizontal="right" vertical="center"/>
      <protection locked="0"/>
    </xf>
    <xf numFmtId="14" fontId="9" fillId="41" borderId="22" xfId="386" applyNumberFormat="1" applyFont="1" applyFill="1" applyBorder="1" applyAlignment="1" applyProtection="1">
      <alignment horizontal="center" vertical="center"/>
      <protection locked="0"/>
    </xf>
    <xf numFmtId="14" fontId="9" fillId="41" borderId="23" xfId="386" applyNumberFormat="1" applyFont="1" applyFill="1" applyBorder="1" applyAlignment="1" applyProtection="1">
      <alignment horizontal="center" vertical="center"/>
      <protection locked="0"/>
    </xf>
    <xf numFmtId="39" fontId="9" fillId="41" borderId="23" xfId="386" applyNumberFormat="1" applyFont="1" applyFill="1" applyBorder="1" applyAlignment="1" applyProtection="1">
      <alignment horizontal="center" vertical="center"/>
      <protection locked="0"/>
    </xf>
    <xf numFmtId="39" fontId="14" fillId="41" borderId="23" xfId="386" applyNumberFormat="1" applyFont="1" applyFill="1" applyBorder="1" applyAlignment="1" applyProtection="1">
      <alignment horizontal="center" vertical="center"/>
      <protection locked="0"/>
    </xf>
    <xf numFmtId="39" fontId="5" fillId="41" borderId="23" xfId="386" applyNumberFormat="1" applyFont="1" applyFill="1" applyBorder="1" applyAlignment="1" applyProtection="1">
      <alignment horizontal="center" vertical="center"/>
      <protection locked="0"/>
    </xf>
    <xf numFmtId="39" fontId="5" fillId="41" borderId="43" xfId="386" applyNumberFormat="1" applyFont="1" applyFill="1" applyBorder="1" applyAlignment="1" applyProtection="1">
      <alignment horizontal="center" vertical="center"/>
      <protection locked="0"/>
    </xf>
    <xf numFmtId="0" fontId="129" fillId="41" borderId="37" xfId="373" applyNumberFormat="1" applyFont="1" applyFill="1" applyBorder="1" applyAlignment="1" applyProtection="1">
      <alignment horizontal="center" vertical="center" wrapText="1"/>
    </xf>
    <xf numFmtId="0" fontId="9" fillId="46" borderId="15" xfId="0" applyFont="1" applyFill="1" applyBorder="1" applyAlignment="1">
      <alignment horizontal="center" vertical="center" wrapText="1"/>
      <protection locked="0"/>
    </xf>
    <xf numFmtId="0" fontId="6" fillId="0" borderId="15" xfId="0" applyFont="1" applyBorder="1" applyAlignment="1">
      <alignment horizontal="center" vertical="center"/>
      <protection locked="0"/>
    </xf>
    <xf numFmtId="0" fontId="14" fillId="46" borderId="15" xfId="0" applyFont="1" applyFill="1" applyBorder="1" applyAlignment="1">
      <alignment horizontal="center" vertical="center"/>
      <protection locked="0"/>
    </xf>
    <xf numFmtId="0" fontId="5" fillId="0" borderId="0" xfId="0" applyFont="1" applyAlignment="1">
      <alignment horizontal="center" vertical="center"/>
      <protection locked="0"/>
    </xf>
    <xf numFmtId="0" fontId="6" fillId="54" borderId="15" xfId="0" applyFont="1" applyFill="1" applyBorder="1" applyAlignment="1">
      <alignment horizontal="center" vertical="center"/>
      <protection locked="0"/>
    </xf>
    <xf numFmtId="0" fontId="3" fillId="2" borderId="37" xfId="0" applyFont="1" applyFill="1" applyBorder="1" applyAlignment="1">
      <alignment horizontal="left" vertical="center" wrapText="1"/>
      <protection locked="0"/>
    </xf>
    <xf numFmtId="0" fontId="3" fillId="0" borderId="20" xfId="0" applyFont="1" applyBorder="1" applyAlignment="1">
      <alignment horizontal="left" vertical="center"/>
      <protection locked="0"/>
    </xf>
    <xf numFmtId="0" fontId="3" fillId="0" borderId="37" xfId="0" applyFont="1" applyBorder="1" applyAlignment="1">
      <alignment horizontal="left" vertical="center"/>
      <protection locked="0"/>
    </xf>
    <xf numFmtId="0" fontId="6" fillId="0" borderId="15" xfId="0" applyFont="1" applyBorder="1" applyAlignment="1">
      <alignment horizontal="left" vertical="center"/>
      <protection locked="0"/>
    </xf>
    <xf numFmtId="0" fontId="9" fillId="41" borderId="37" xfId="0" applyFont="1" applyFill="1" applyBorder="1" applyAlignment="1" applyProtection="1">
      <alignment horizontal="center" vertical="center"/>
    </xf>
    <xf numFmtId="0" fontId="9" fillId="41" borderId="20" xfId="0" applyFont="1" applyFill="1" applyBorder="1" applyAlignment="1" applyProtection="1">
      <alignment horizontal="center" vertical="center"/>
    </xf>
    <xf numFmtId="0" fontId="6" fillId="0" borderId="37" xfId="0" applyFont="1" applyBorder="1" applyAlignment="1" applyProtection="1">
      <alignment horizontal="center" vertical="center"/>
    </xf>
    <xf numFmtId="0" fontId="161" fillId="0" borderId="0" xfId="0" applyFont="1" applyAlignment="1">
      <alignment horizontal="left" vertical="center"/>
      <protection locked="0"/>
    </xf>
    <xf numFmtId="0" fontId="10" fillId="0" borderId="0" xfId="394" applyFont="1">
      <protection locked="0"/>
    </xf>
    <xf numFmtId="0" fontId="116" fillId="44" borderId="3" xfId="289" applyFont="1" applyFill="1" applyBorder="1" applyAlignment="1" applyProtection="1">
      <alignment horizontal="right" vertical="center" shrinkToFit="1"/>
      <protection locked="0"/>
    </xf>
    <xf numFmtId="14" fontId="47" fillId="44" borderId="3" xfId="0" applyNumberFormat="1" applyFont="1" applyFill="1" applyBorder="1" applyAlignment="1" applyProtection="1">
      <alignment horizontal="right" vertical="center"/>
    </xf>
    <xf numFmtId="14" fontId="116" fillId="44" borderId="3" xfId="289" applyNumberFormat="1" applyFont="1" applyFill="1" applyBorder="1" applyAlignment="1" applyProtection="1">
      <alignment horizontal="right" vertical="center" shrinkToFit="1"/>
      <protection locked="0"/>
    </xf>
    <xf numFmtId="43" fontId="116" fillId="44" borderId="3" xfId="289" applyNumberFormat="1" applyFont="1" applyFill="1" applyBorder="1" applyAlignment="1" applyProtection="1">
      <alignment horizontal="right" vertical="center" shrinkToFit="1"/>
      <protection locked="0"/>
    </xf>
    <xf numFmtId="0" fontId="116" fillId="44" borderId="4" xfId="289" applyFont="1" applyFill="1" applyBorder="1" applyAlignment="1" applyProtection="1">
      <alignment horizontal="right" vertical="center" shrinkToFit="1"/>
      <protection locked="0"/>
    </xf>
    <xf numFmtId="0" fontId="95" fillId="44" borderId="24" xfId="358" applyFont="1" applyFill="1" applyBorder="1" applyAlignment="1" applyProtection="1">
      <alignment vertical="center" wrapText="1"/>
      <protection locked="0"/>
    </xf>
    <xf numFmtId="0" fontId="47" fillId="44" borderId="28" xfId="358" applyFont="1" applyFill="1" applyBorder="1" applyAlignment="1">
      <alignment vertical="center" wrapText="1"/>
    </xf>
    <xf numFmtId="0" fontId="47" fillId="44" borderId="29" xfId="358" applyFont="1" applyFill="1" applyBorder="1" applyAlignment="1">
      <alignment vertical="center" wrapText="1"/>
    </xf>
    <xf numFmtId="0" fontId="47" fillId="44" borderId="26" xfId="358" applyFont="1" applyFill="1" applyBorder="1" applyAlignment="1">
      <alignment vertical="center" wrapText="1"/>
    </xf>
    <xf numFmtId="43" fontId="3" fillId="0" borderId="0" xfId="7" applyNumberFormat="1" applyFont="1" applyFill="1" applyBorder="1" applyAlignment="1" applyProtection="1">
      <alignment horizontal="right" vertical="center" shrinkToFit="1"/>
    </xf>
    <xf numFmtId="43" fontId="3" fillId="0" borderId="0" xfId="0" applyNumberFormat="1" applyFont="1" applyAlignment="1">
      <alignment vertical="center"/>
      <protection locked="0"/>
    </xf>
    <xf numFmtId="43" fontId="3" fillId="0" borderId="0" xfId="0" applyNumberFormat="1" applyFont="1" applyAlignment="1">
      <alignment horizontal="right" vertical="center"/>
      <protection locked="0"/>
    </xf>
    <xf numFmtId="43" fontId="3" fillId="0" borderId="1" xfId="7" applyNumberFormat="1" applyFont="1" applyFill="1" applyBorder="1" applyAlignment="1" applyProtection="1">
      <alignment horizontal="right" vertical="center" shrinkToFit="1"/>
    </xf>
    <xf numFmtId="43" fontId="7" fillId="0" borderId="0" xfId="0" applyNumberFormat="1" applyFont="1" applyAlignment="1">
      <alignment horizontal="right" vertical="center" wrapText="1"/>
      <protection locked="0"/>
    </xf>
    <xf numFmtId="43" fontId="3" fillId="0" borderId="37" xfId="7" applyNumberFormat="1" applyFont="1" applyFill="1" applyBorder="1" applyAlignment="1" applyProtection="1">
      <alignment horizontal="right" vertical="center" shrinkToFit="1"/>
    </xf>
    <xf numFmtId="43" fontId="3" fillId="0" borderId="0" xfId="7" applyNumberFormat="1" applyFont="1" applyFill="1" applyBorder="1" applyAlignment="1" applyProtection="1">
      <alignment horizontal="right" vertical="center"/>
      <protection locked="0"/>
    </xf>
    <xf numFmtId="43" fontId="7" fillId="0" borderId="0" xfId="394" applyNumberFormat="1" applyFont="1" applyFill="1" applyAlignment="1" applyProtection="1">
      <alignment horizontal="right" vertical="center"/>
      <protection locked="0"/>
    </xf>
    <xf numFmtId="43" fontId="7" fillId="0" borderId="15" xfId="7" applyNumberFormat="1" applyFont="1" applyBorder="1" applyAlignment="1" applyProtection="1">
      <alignment horizontal="right" vertical="center"/>
      <protection locked="0"/>
    </xf>
    <xf numFmtId="14" fontId="7" fillId="0" borderId="15" xfId="289" applyNumberFormat="1" applyFont="1" applyBorder="1" applyAlignment="1" applyProtection="1">
      <alignment horizontal="left" vertical="center"/>
      <protection locked="0"/>
    </xf>
    <xf numFmtId="43" fontId="3" fillId="0" borderId="19" xfId="0" applyNumberFormat="1" applyFont="1" applyBorder="1" applyAlignment="1">
      <alignment vertical="center"/>
      <protection locked="0"/>
    </xf>
    <xf numFmtId="0" fontId="3" fillId="0" borderId="44" xfId="391" applyFont="1" applyBorder="1" applyAlignment="1" applyProtection="1">
      <alignment horizontal="center" vertical="center"/>
      <protection locked="0"/>
    </xf>
    <xf numFmtId="0" fontId="93" fillId="43" borderId="44" xfId="358" applyFont="1" applyFill="1" applyBorder="1" applyAlignment="1" applyProtection="1">
      <alignment horizontal="centerContinuous" vertical="center"/>
      <protection locked="0"/>
    </xf>
    <xf numFmtId="0" fontId="9" fillId="41" borderId="44" xfId="0" applyFont="1" applyFill="1" applyBorder="1" applyAlignment="1" applyProtection="1">
      <alignment horizontal="centerContinuous" vertical="center"/>
    </xf>
    <xf numFmtId="0" fontId="9" fillId="41" borderId="45" xfId="0" applyFont="1" applyFill="1" applyBorder="1" applyAlignment="1" applyProtection="1">
      <alignment horizontal="centerContinuous" vertical="center"/>
    </xf>
    <xf numFmtId="0" fontId="3" fillId="0" borderId="44" xfId="0" applyFont="1" applyBorder="1" applyAlignment="1" applyProtection="1">
      <alignment vertical="center"/>
    </xf>
    <xf numFmtId="0" fontId="6" fillId="47" borderId="44" xfId="0" applyFont="1" applyFill="1" applyBorder="1" applyAlignment="1">
      <alignment horizontal="center" vertical="center"/>
      <protection locked="0"/>
    </xf>
    <xf numFmtId="176" fontId="6" fillId="2" borderId="45" xfId="381" applyFont="1" applyFill="1" applyBorder="1" applyAlignment="1" applyProtection="1">
      <alignment horizontal="right" vertical="center"/>
      <protection locked="0"/>
    </xf>
    <xf numFmtId="0" fontId="3" fillId="0" borderId="46" xfId="0" applyFont="1" applyBorder="1" applyAlignment="1" applyProtection="1">
      <alignment vertical="center"/>
    </xf>
    <xf numFmtId="0" fontId="7" fillId="0" borderId="44" xfId="367" applyFont="1" applyBorder="1" applyAlignment="1">
      <alignment vertical="center"/>
    </xf>
    <xf numFmtId="0" fontId="3" fillId="0" borderId="46" xfId="0" applyFont="1" applyBorder="1" applyAlignment="1">
      <alignment vertical="center"/>
      <protection locked="0"/>
    </xf>
    <xf numFmtId="0" fontId="6" fillId="47" borderId="44" xfId="0" applyFont="1" applyFill="1" applyBorder="1" applyAlignment="1">
      <alignment horizontal="center" vertical="center" wrapText="1"/>
      <protection locked="0"/>
    </xf>
    <xf numFmtId="0" fontId="12" fillId="0" borderId="0" xfId="0" applyFont="1" applyAlignment="1" applyProtection="1">
      <alignment vertical="center"/>
    </xf>
    <xf numFmtId="0" fontId="116" fillId="44" borderId="44" xfId="0" applyFont="1" applyFill="1" applyBorder="1" applyAlignment="1">
      <alignment vertical="center"/>
      <protection locked="0"/>
    </xf>
    <xf numFmtId="0" fontId="3" fillId="44" borderId="45" xfId="0" applyFont="1" applyFill="1" applyBorder="1" applyAlignment="1">
      <alignment vertical="center"/>
      <protection locked="0"/>
    </xf>
    <xf numFmtId="0" fontId="12" fillId="41" borderId="37" xfId="373" applyNumberFormat="1" applyFont="1" applyFill="1" applyBorder="1" applyAlignment="1" applyProtection="1">
      <alignment horizontal="center" vertical="center" wrapText="1"/>
    </xf>
    <xf numFmtId="0" fontId="101" fillId="44" borderId="45" xfId="0" applyFont="1" applyFill="1" applyBorder="1" applyAlignment="1">
      <alignment vertical="center"/>
      <protection locked="0"/>
    </xf>
    <xf numFmtId="0" fontId="9" fillId="41" borderId="44" xfId="0" applyFont="1" applyFill="1" applyBorder="1" applyAlignment="1">
      <alignment vertical="center"/>
      <protection locked="0"/>
    </xf>
    <xf numFmtId="0" fontId="4" fillId="41" borderId="45" xfId="0" applyFont="1" applyFill="1" applyBorder="1" applyAlignment="1">
      <alignment vertical="center"/>
      <protection locked="0"/>
    </xf>
    <xf numFmtId="0" fontId="12" fillId="41" borderId="37" xfId="373" applyNumberFormat="1" applyFont="1" applyFill="1" applyBorder="1" applyAlignment="1">
      <alignment horizontal="center" vertical="center" wrapText="1"/>
    </xf>
    <xf numFmtId="0" fontId="47" fillId="44" borderId="44" xfId="370" applyFont="1" applyFill="1" applyBorder="1" applyAlignment="1">
      <alignment vertical="center"/>
      <protection locked="0"/>
    </xf>
    <xf numFmtId="0" fontId="95" fillId="44" borderId="45" xfId="370" applyFont="1" applyFill="1" applyBorder="1" applyAlignment="1">
      <alignment vertical="center" wrapText="1"/>
      <protection locked="0"/>
    </xf>
    <xf numFmtId="0" fontId="3" fillId="0" borderId="21" xfId="0" applyFont="1" applyBorder="1" applyAlignment="1" applyProtection="1">
      <alignment horizontal="left" vertical="center"/>
    </xf>
    <xf numFmtId="0" fontId="3" fillId="0" borderId="30" xfId="0" applyFont="1" applyBorder="1" applyAlignment="1" applyProtection="1">
      <alignment horizontal="left" vertical="center"/>
    </xf>
    <xf numFmtId="0" fontId="7" fillId="0" borderId="0" xfId="289" applyFont="1" applyAlignment="1" applyProtection="1">
      <alignment horizontal="left" vertical="center"/>
      <protection locked="0"/>
    </xf>
    <xf numFmtId="0" fontId="3" fillId="0" borderId="0" xfId="0" applyFont="1" applyAlignment="1" applyProtection="1">
      <alignment horizontal="left" vertical="center"/>
    </xf>
    <xf numFmtId="0" fontId="3" fillId="0" borderId="27" xfId="0" applyFont="1" applyBorder="1" applyAlignment="1" applyProtection="1">
      <alignment horizontal="left" vertical="center"/>
    </xf>
    <xf numFmtId="0" fontId="7" fillId="0" borderId="24" xfId="289" applyFont="1" applyBorder="1" applyAlignment="1" applyProtection="1">
      <alignment horizontal="left" vertical="center"/>
      <protection locked="0"/>
    </xf>
    <xf numFmtId="0" fontId="3" fillId="0" borderId="24" xfId="0" applyFont="1" applyBorder="1" applyAlignment="1" applyProtection="1">
      <alignment horizontal="left" vertical="center"/>
    </xf>
    <xf numFmtId="0" fontId="3" fillId="0" borderId="25" xfId="0" applyFont="1" applyBorder="1" applyAlignment="1" applyProtection="1">
      <alignment horizontal="left" vertical="center"/>
    </xf>
    <xf numFmtId="10" fontId="9" fillId="0" borderId="17" xfId="12" applyNumberFormat="1" applyFont="1" applyBorder="1" applyAlignment="1" applyProtection="1">
      <alignment horizontal="right" vertical="center"/>
      <protection locked="0"/>
    </xf>
    <xf numFmtId="176" fontId="8" fillId="0" borderId="0" xfId="358" applyNumberFormat="1" applyFont="1" applyAlignment="1" applyProtection="1">
      <alignment horizontal="center" vertical="center"/>
      <protection locked="0"/>
    </xf>
    <xf numFmtId="0" fontId="4" fillId="0" borderId="0" xfId="0" applyFont="1" applyAlignment="1" applyProtection="1">
      <alignment horizontal="left" vertical="center"/>
    </xf>
    <xf numFmtId="0" fontId="89" fillId="2" borderId="0" xfId="358" applyFont="1" applyFill="1" applyAlignment="1" applyProtection="1">
      <alignment horizontal="center" vertical="center" wrapText="1"/>
      <protection locked="0"/>
    </xf>
    <xf numFmtId="0" fontId="94" fillId="48" borderId="47" xfId="358" applyFont="1" applyFill="1" applyBorder="1" applyAlignment="1" applyProtection="1">
      <alignment horizontal="centerContinuous" vertical="center"/>
      <protection locked="0"/>
    </xf>
    <xf numFmtId="0" fontId="3" fillId="0" borderId="48" xfId="0" applyFont="1" applyBorder="1" applyAlignment="1" applyProtection="1">
      <alignment vertical="center"/>
    </xf>
    <xf numFmtId="0" fontId="7" fillId="0" borderId="48" xfId="7" applyNumberFormat="1" applyFont="1" applyBorder="1" applyAlignment="1" applyProtection="1">
      <alignment horizontal="center" vertical="center"/>
      <protection locked="0"/>
    </xf>
    <xf numFmtId="0" fontId="93" fillId="43" borderId="49" xfId="358" applyFont="1" applyFill="1" applyBorder="1" applyAlignment="1" applyProtection="1">
      <alignment horizontal="centerContinuous" vertical="center"/>
      <protection locked="0"/>
    </xf>
    <xf numFmtId="0" fontId="93" fillId="43" borderId="48" xfId="358" applyFont="1" applyFill="1" applyBorder="1" applyAlignment="1" applyProtection="1">
      <alignment horizontal="centerContinuous" vertical="center"/>
      <protection locked="0"/>
    </xf>
    <xf numFmtId="0" fontId="81" fillId="43" borderId="48" xfId="358" applyFont="1" applyFill="1" applyBorder="1" applyAlignment="1" applyProtection="1">
      <alignment horizontal="centerContinuous" vertical="center"/>
      <protection locked="0"/>
    </xf>
    <xf numFmtId="0" fontId="94" fillId="48" borderId="51" xfId="358" applyFont="1" applyFill="1" applyBorder="1" applyAlignment="1" applyProtection="1">
      <alignment horizontal="centerContinuous" vertical="center"/>
      <protection locked="0"/>
    </xf>
    <xf numFmtId="0" fontId="94" fillId="48" borderId="52" xfId="358" applyFont="1" applyFill="1" applyBorder="1" applyAlignment="1" applyProtection="1">
      <alignment horizontal="centerContinuous" vertical="center"/>
      <protection locked="0"/>
    </xf>
    <xf numFmtId="0" fontId="3" fillId="2" borderId="49" xfId="0" applyFont="1" applyFill="1" applyBorder="1" applyAlignment="1">
      <alignment vertical="center"/>
      <protection locked="0"/>
    </xf>
    <xf numFmtId="0" fontId="4" fillId="2" borderId="48" xfId="0" applyFont="1" applyFill="1" applyBorder="1" applyAlignment="1">
      <alignment vertical="center"/>
      <protection locked="0"/>
    </xf>
    <xf numFmtId="0" fontId="4" fillId="0" borderId="48" xfId="387" applyNumberFormat="1" applyFont="1" applyFill="1" applyBorder="1" applyAlignment="1" applyProtection="1">
      <alignment horizontal="center" vertical="center"/>
      <protection locked="0"/>
    </xf>
    <xf numFmtId="176" fontId="7" fillId="0" borderId="48" xfId="7" applyFont="1" applyBorder="1" applyAlignment="1" applyProtection="1">
      <alignment vertical="center" wrapText="1"/>
      <protection locked="0"/>
    </xf>
    <xf numFmtId="0" fontId="3" fillId="2" borderId="48" xfId="0" applyFont="1" applyFill="1" applyBorder="1" applyAlignment="1">
      <alignment vertical="center"/>
      <protection locked="0"/>
    </xf>
    <xf numFmtId="176" fontId="110" fillId="0" borderId="48" xfId="7" applyFont="1" applyFill="1" applyBorder="1" applyAlignment="1" applyProtection="1">
      <alignment horizontal="center" vertical="center" shrinkToFit="1"/>
      <protection locked="0"/>
    </xf>
    <xf numFmtId="0" fontId="3" fillId="2" borderId="50" xfId="0" applyFont="1" applyFill="1" applyBorder="1" applyAlignment="1">
      <alignment vertical="center"/>
      <protection locked="0"/>
    </xf>
    <xf numFmtId="0" fontId="102" fillId="48" borderId="51" xfId="358" applyFont="1" applyFill="1" applyBorder="1" applyAlignment="1" applyProtection="1">
      <alignment horizontal="centerContinuous" vertical="center"/>
      <protection locked="0"/>
    </xf>
    <xf numFmtId="0" fontId="102" fillId="48" borderId="47" xfId="358" applyFont="1" applyFill="1" applyBorder="1" applyAlignment="1" applyProtection="1">
      <alignment horizontal="centerContinuous" vertical="center"/>
      <protection locked="0"/>
    </xf>
    <xf numFmtId="0" fontId="102" fillId="48" borderId="52" xfId="358" applyFont="1" applyFill="1" applyBorder="1" applyAlignment="1" applyProtection="1">
      <alignment horizontal="centerContinuous" vertical="center"/>
      <protection locked="0"/>
    </xf>
    <xf numFmtId="0" fontId="7" fillId="0" borderId="48" xfId="394" applyFont="1" applyFill="1" applyBorder="1" applyAlignment="1" applyProtection="1">
      <alignment horizontal="left" vertical="center"/>
      <protection locked="0"/>
    </xf>
    <xf numFmtId="43" fontId="3" fillId="0" borderId="48" xfId="7" applyNumberFormat="1" applyFont="1" applyFill="1" applyBorder="1" applyAlignment="1" applyProtection="1">
      <alignment horizontal="right" vertical="center"/>
      <protection locked="0"/>
    </xf>
    <xf numFmtId="0" fontId="111" fillId="0" borderId="49" xfId="0" applyFont="1" applyBorder="1" applyAlignment="1">
      <alignment vertical="center"/>
      <protection locked="0"/>
    </xf>
    <xf numFmtId="0" fontId="111" fillId="0" borderId="48" xfId="0" applyFont="1" applyBorder="1" applyAlignment="1">
      <alignment vertical="center"/>
      <protection locked="0"/>
    </xf>
    <xf numFmtId="0" fontId="111" fillId="0" borderId="50" xfId="0" applyFont="1" applyBorder="1" applyAlignment="1">
      <alignment vertical="center"/>
      <protection locked="0"/>
    </xf>
    <xf numFmtId="0" fontId="5" fillId="0" borderId="49" xfId="0" applyFont="1" applyBorder="1" applyAlignment="1">
      <alignment vertical="center"/>
      <protection locked="0"/>
    </xf>
    <xf numFmtId="0" fontId="5" fillId="0" borderId="48" xfId="0" applyFont="1" applyBorder="1" applyAlignment="1">
      <alignment vertical="center"/>
      <protection locked="0"/>
    </xf>
    <xf numFmtId="0" fontId="3" fillId="0" borderId="48" xfId="0" applyFont="1" applyBorder="1" applyAlignment="1">
      <alignment vertical="center"/>
      <protection locked="0"/>
    </xf>
    <xf numFmtId="0" fontId="3" fillId="0" borderId="50" xfId="0" applyFont="1" applyBorder="1" applyAlignment="1">
      <alignment vertical="center"/>
      <protection locked="0"/>
    </xf>
    <xf numFmtId="0" fontId="93" fillId="43" borderId="49" xfId="370" applyFont="1" applyFill="1" applyBorder="1" applyAlignment="1">
      <alignment horizontal="centerContinuous" vertical="center"/>
      <protection locked="0"/>
    </xf>
    <xf numFmtId="0" fontId="81" fillId="43" borderId="48" xfId="370" applyFont="1" applyFill="1" applyBorder="1" applyAlignment="1">
      <alignment horizontal="centerContinuous" vertical="center"/>
      <protection locked="0"/>
    </xf>
    <xf numFmtId="0" fontId="94" fillId="43" borderId="48" xfId="370" applyFont="1" applyFill="1" applyBorder="1" applyAlignment="1">
      <alignment horizontal="centerContinuous" vertical="center"/>
      <protection locked="0"/>
    </xf>
    <xf numFmtId="0" fontId="3" fillId="43" borderId="50" xfId="370" applyFont="1" applyFill="1" applyBorder="1" applyAlignment="1">
      <alignment horizontal="centerContinuous" vertical="center"/>
      <protection locked="0"/>
    </xf>
    <xf numFmtId="0" fontId="111" fillId="0" borderId="49" xfId="370" applyFont="1" applyBorder="1" applyAlignment="1">
      <alignment horizontal="left" vertical="center"/>
      <protection locked="0"/>
    </xf>
    <xf numFmtId="0" fontId="9" fillId="0" borderId="48" xfId="370" applyFont="1" applyBorder="1" applyAlignment="1">
      <alignment horizontal="left" vertical="center"/>
      <protection locked="0"/>
    </xf>
    <xf numFmtId="0" fontId="9" fillId="0" borderId="50" xfId="370" applyFont="1" applyBorder="1" applyAlignment="1">
      <alignment horizontal="left" vertical="center"/>
      <protection locked="0"/>
    </xf>
    <xf numFmtId="43" fontId="7" fillId="0" borderId="0" xfId="7" applyNumberFormat="1" applyFont="1" applyBorder="1" applyAlignment="1" applyProtection="1">
      <alignment horizontal="right" vertical="center" wrapText="1"/>
      <protection locked="0"/>
    </xf>
    <xf numFmtId="0" fontId="156" fillId="0" borderId="37" xfId="394" quotePrefix="1" applyFont="1" applyBorder="1" applyAlignment="1" applyProtection="1">
      <alignment horizontal="center" vertical="center"/>
      <protection locked="0"/>
    </xf>
    <xf numFmtId="0" fontId="125" fillId="0" borderId="0" xfId="0" applyFont="1" applyAlignment="1" applyProtection="1">
      <alignment horizontal="left" vertical="center" wrapText="1"/>
    </xf>
    <xf numFmtId="0" fontId="7" fillId="0" borderId="0" xfId="369" applyFont="1" applyAlignment="1" applyProtection="1">
      <alignment horizontal="center" vertical="center" wrapText="1"/>
      <protection locked="0"/>
    </xf>
    <xf numFmtId="0" fontId="7" fillId="0" borderId="0" xfId="0" applyFont="1" applyAlignment="1">
      <alignment horizontal="left" vertical="center"/>
      <protection locked="0"/>
    </xf>
    <xf numFmtId="0" fontId="165" fillId="0" borderId="0" xfId="0" applyFont="1" applyAlignment="1">
      <alignment horizontal="left" vertical="center"/>
      <protection locked="0"/>
    </xf>
    <xf numFmtId="0" fontId="14" fillId="41" borderId="37" xfId="380" applyFont="1" applyFill="1" applyBorder="1" applyAlignment="1">
      <alignment horizontal="left" vertical="center"/>
    </xf>
    <xf numFmtId="0" fontId="162" fillId="0" borderId="37" xfId="394" quotePrefix="1" applyFont="1" applyBorder="1" applyAlignment="1" applyProtection="1">
      <alignment horizontal="center" vertical="center"/>
      <protection locked="0"/>
    </xf>
    <xf numFmtId="0" fontId="162" fillId="0" borderId="20" xfId="394" quotePrefix="1" applyFont="1" applyBorder="1" applyAlignment="1">
      <alignment horizontal="center" vertical="center"/>
      <protection locked="0"/>
    </xf>
    <xf numFmtId="0" fontId="162" fillId="0" borderId="14" xfId="394" applyFont="1" applyBorder="1" applyAlignment="1">
      <alignment horizontal="center" vertical="center"/>
      <protection locked="0"/>
    </xf>
    <xf numFmtId="0" fontId="162" fillId="0" borderId="8" xfId="394" applyFont="1" applyBorder="1" applyAlignment="1">
      <alignment horizontal="center" vertical="center"/>
      <protection locked="0"/>
    </xf>
    <xf numFmtId="0" fontId="9" fillId="46" borderId="37" xfId="0" applyFont="1" applyFill="1" applyBorder="1" applyAlignment="1">
      <alignment horizontal="left" vertical="center"/>
      <protection locked="0"/>
    </xf>
    <xf numFmtId="0" fontId="156" fillId="0" borderId="37" xfId="394" quotePrefix="1" applyFont="1" applyBorder="1" applyAlignment="1" applyProtection="1">
      <alignment horizontal="center" vertical="center"/>
      <protection locked="0"/>
    </xf>
    <xf numFmtId="0" fontId="156" fillId="0" borderId="37" xfId="394" applyFont="1" applyBorder="1" applyAlignment="1" applyProtection="1">
      <alignment horizontal="center" vertical="center"/>
      <protection locked="0"/>
    </xf>
    <xf numFmtId="0" fontId="3" fillId="0" borderId="37" xfId="0" applyFont="1" applyBorder="1" applyAlignment="1">
      <alignment horizontal="left" vertical="center" wrapText="1"/>
      <protection locked="0"/>
    </xf>
    <xf numFmtId="0" fontId="6" fillId="0" borderId="37" xfId="0" applyFont="1" applyBorder="1" applyAlignment="1">
      <alignment horizontal="left" vertical="center" wrapText="1"/>
      <protection locked="0"/>
    </xf>
    <xf numFmtId="0" fontId="14" fillId="46" borderId="22" xfId="0" applyFont="1" applyFill="1" applyBorder="1" applyAlignment="1">
      <alignment horizontal="left" vertical="center"/>
      <protection locked="0"/>
    </xf>
    <xf numFmtId="0" fontId="14" fillId="46" borderId="23" xfId="0" applyFont="1" applyFill="1" applyBorder="1" applyAlignment="1">
      <alignment horizontal="left" vertical="center"/>
      <protection locked="0"/>
    </xf>
    <xf numFmtId="0" fontId="14" fillId="46" borderId="43" xfId="0" applyFont="1" applyFill="1" applyBorder="1" applyAlignment="1">
      <alignment horizontal="left" vertical="center"/>
      <protection locked="0"/>
    </xf>
    <xf numFmtId="0" fontId="7" fillId="0" borderId="37" xfId="0" applyFont="1" applyBorder="1" applyAlignment="1">
      <alignment horizontal="left" vertical="center" wrapText="1"/>
      <protection locked="0"/>
    </xf>
    <xf numFmtId="0" fontId="9" fillId="51" borderId="44" xfId="0" applyFont="1" applyFill="1" applyBorder="1" applyAlignment="1">
      <alignment horizontal="left" vertical="center"/>
      <protection locked="0"/>
    </xf>
    <xf numFmtId="0" fontId="9" fillId="51" borderId="36" xfId="0" applyFont="1" applyFill="1" applyBorder="1" applyAlignment="1">
      <alignment horizontal="left" vertical="center"/>
      <protection locked="0"/>
    </xf>
    <xf numFmtId="0" fontId="9" fillId="51" borderId="45" xfId="0" applyFont="1" applyFill="1" applyBorder="1" applyAlignment="1">
      <alignment horizontal="left" vertical="center"/>
      <protection locked="0"/>
    </xf>
    <xf numFmtId="0" fontId="9" fillId="51" borderId="37" xfId="0" applyFont="1" applyFill="1" applyBorder="1" applyAlignment="1">
      <alignment horizontal="left" vertical="center"/>
      <protection locked="0"/>
    </xf>
    <xf numFmtId="0" fontId="9" fillId="46" borderId="37" xfId="0" applyFont="1" applyFill="1" applyBorder="1" applyAlignment="1">
      <alignment horizontal="left" vertical="center" wrapText="1"/>
      <protection locked="0"/>
    </xf>
    <xf numFmtId="0" fontId="150" fillId="50" borderId="34" xfId="0" applyFont="1" applyFill="1" applyBorder="1" applyAlignment="1">
      <alignment horizontal="center" vertical="center" wrapText="1"/>
      <protection locked="0"/>
    </xf>
    <xf numFmtId="0" fontId="150" fillId="50" borderId="38" xfId="0" applyFont="1" applyFill="1" applyBorder="1" applyAlignment="1">
      <alignment horizontal="center" vertical="center" wrapText="1"/>
      <protection locked="0"/>
    </xf>
    <xf numFmtId="0" fontId="150" fillId="50" borderId="39" xfId="0" applyFont="1" applyFill="1" applyBorder="1" applyAlignment="1">
      <alignment horizontal="center" vertical="center" wrapText="1"/>
      <protection locked="0"/>
    </xf>
    <xf numFmtId="0" fontId="89" fillId="47" borderId="49" xfId="0" applyFont="1" applyFill="1" applyBorder="1" applyAlignment="1">
      <alignment horizontal="left" vertical="center" wrapText="1"/>
      <protection locked="0"/>
    </xf>
    <xf numFmtId="0" fontId="89" fillId="47" borderId="48" xfId="0" applyFont="1" applyFill="1" applyBorder="1" applyAlignment="1">
      <alignment horizontal="left" vertical="center" wrapText="1"/>
      <protection locked="0"/>
    </xf>
    <xf numFmtId="0" fontId="89" fillId="47" borderId="50" xfId="0" applyFont="1" applyFill="1" applyBorder="1" applyAlignment="1">
      <alignment horizontal="left" vertical="center" wrapText="1"/>
      <protection locked="0"/>
    </xf>
    <xf numFmtId="0" fontId="89" fillId="47" borderId="3" xfId="0" applyFont="1" applyFill="1" applyBorder="1" applyAlignment="1">
      <alignment horizontal="left" vertical="center" wrapText="1"/>
      <protection locked="0"/>
    </xf>
    <xf numFmtId="0" fontId="89" fillId="47" borderId="0" xfId="0" applyFont="1" applyFill="1" applyAlignment="1">
      <alignment horizontal="left" vertical="center" wrapText="1"/>
      <protection locked="0"/>
    </xf>
    <xf numFmtId="0" fontId="89" fillId="47" borderId="16" xfId="0" applyFont="1" applyFill="1" applyBorder="1" applyAlignment="1">
      <alignment horizontal="left" vertical="center" wrapText="1"/>
      <protection locked="0"/>
    </xf>
    <xf numFmtId="0" fontId="89" fillId="47" borderId="4" xfId="0" applyFont="1" applyFill="1" applyBorder="1" applyAlignment="1">
      <alignment horizontal="left" vertical="center" wrapText="1"/>
      <protection locked="0"/>
    </xf>
    <xf numFmtId="0" fontId="89" fillId="47" borderId="1" xfId="0" applyFont="1" applyFill="1" applyBorder="1" applyAlignment="1">
      <alignment horizontal="left" vertical="center" wrapText="1"/>
      <protection locked="0"/>
    </xf>
    <xf numFmtId="0" fontId="89" fillId="47" borderId="6" xfId="0" applyFont="1" applyFill="1" applyBorder="1" applyAlignment="1">
      <alignment horizontal="left" vertical="center" wrapText="1"/>
      <protection locked="0"/>
    </xf>
    <xf numFmtId="0" fontId="47" fillId="44" borderId="0" xfId="358" applyFont="1" applyFill="1" applyAlignment="1">
      <alignment horizontal="left" vertical="center" wrapText="1" indent="7"/>
    </xf>
    <xf numFmtId="0" fontId="47" fillId="44" borderId="27" xfId="358" applyFont="1" applyFill="1" applyBorder="1" applyAlignment="1">
      <alignment horizontal="left" vertical="center" wrapText="1" indent="7"/>
    </xf>
    <xf numFmtId="0" fontId="47" fillId="44" borderId="24" xfId="358" applyFont="1" applyFill="1" applyBorder="1" applyAlignment="1">
      <alignment horizontal="left" vertical="center" wrapText="1" indent="7"/>
    </xf>
    <xf numFmtId="0" fontId="47" fillId="44" borderId="25" xfId="358" applyFont="1" applyFill="1" applyBorder="1" applyAlignment="1">
      <alignment horizontal="left" vertical="center" wrapText="1" indent="7"/>
    </xf>
    <xf numFmtId="0" fontId="125" fillId="0" borderId="0" xfId="0" applyFont="1" applyAlignment="1" applyProtection="1">
      <alignment horizontal="left" vertical="center" wrapText="1"/>
    </xf>
    <xf numFmtId="0" fontId="5" fillId="41" borderId="44" xfId="0" applyFont="1" applyFill="1" applyBorder="1" applyAlignment="1">
      <alignment horizontal="center" vertical="center"/>
      <protection locked="0"/>
    </xf>
    <xf numFmtId="0" fontId="5" fillId="41" borderId="36" xfId="0" applyFont="1" applyFill="1" applyBorder="1" applyAlignment="1">
      <alignment horizontal="center" vertical="center"/>
      <protection locked="0"/>
    </xf>
    <xf numFmtId="0" fontId="5" fillId="41" borderId="45" xfId="0" applyFont="1" applyFill="1" applyBorder="1" applyAlignment="1">
      <alignment horizontal="center" vertical="center"/>
      <protection locked="0"/>
    </xf>
    <xf numFmtId="0" fontId="7" fillId="0" borderId="44" xfId="369" applyFont="1" applyBorder="1" applyAlignment="1" applyProtection="1">
      <alignment horizontal="left" vertical="center" wrapText="1"/>
      <protection locked="0"/>
    </xf>
    <xf numFmtId="0" fontId="7" fillId="0" borderId="36" xfId="369" applyFont="1" applyBorder="1" applyAlignment="1" applyProtection="1">
      <alignment horizontal="left" vertical="center" wrapText="1"/>
      <protection locked="0"/>
    </xf>
    <xf numFmtId="0" fontId="7" fillId="0" borderId="45" xfId="369" applyFont="1" applyBorder="1" applyAlignment="1" applyProtection="1">
      <alignment horizontal="left" vertical="center" wrapText="1"/>
      <protection locked="0"/>
    </xf>
    <xf numFmtId="0" fontId="9" fillId="52" borderId="44" xfId="0" applyFont="1" applyFill="1" applyBorder="1" applyAlignment="1" applyProtection="1">
      <alignment horizontal="center" vertical="center"/>
    </xf>
    <xf numFmtId="0" fontId="9" fillId="52" borderId="36" xfId="0" applyFont="1" applyFill="1" applyBorder="1" applyAlignment="1" applyProtection="1">
      <alignment horizontal="center" vertical="center"/>
    </xf>
    <xf numFmtId="0" fontId="9" fillId="52" borderId="45" xfId="0" applyFont="1" applyFill="1" applyBorder="1" applyAlignment="1" applyProtection="1">
      <alignment horizontal="center" vertical="center"/>
    </xf>
    <xf numFmtId="0" fontId="14" fillId="50" borderId="44" xfId="0" applyFont="1" applyFill="1" applyBorder="1" applyAlignment="1">
      <alignment horizontal="center" vertical="center"/>
      <protection locked="0"/>
    </xf>
    <xf numFmtId="0" fontId="14" fillId="50" borderId="36" xfId="0" applyFont="1" applyFill="1" applyBorder="1" applyAlignment="1">
      <alignment horizontal="center" vertical="center"/>
      <protection locked="0"/>
    </xf>
    <xf numFmtId="14" fontId="9" fillId="50" borderId="35" xfId="0" applyNumberFormat="1" applyFont="1" applyFill="1" applyBorder="1" applyAlignment="1">
      <alignment horizontal="center" vertical="center"/>
      <protection locked="0"/>
    </xf>
    <xf numFmtId="14" fontId="9" fillId="50" borderId="36" xfId="0" applyNumberFormat="1" applyFont="1" applyFill="1" applyBorder="1" applyAlignment="1">
      <alignment horizontal="center" vertical="center"/>
      <protection locked="0"/>
    </xf>
    <xf numFmtId="14" fontId="9" fillId="50" borderId="45" xfId="0" applyNumberFormat="1" applyFont="1" applyFill="1" applyBorder="1" applyAlignment="1">
      <alignment horizontal="center" vertical="center"/>
      <protection locked="0"/>
    </xf>
    <xf numFmtId="0" fontId="12" fillId="50" borderId="44" xfId="0" applyFont="1" applyFill="1" applyBorder="1" applyAlignment="1">
      <alignment horizontal="center" vertical="center"/>
      <protection locked="0"/>
    </xf>
    <xf numFmtId="0" fontId="12" fillId="50" borderId="46" xfId="0" applyFont="1" applyFill="1" applyBorder="1" applyAlignment="1">
      <alignment horizontal="center" vertical="center"/>
      <protection locked="0"/>
    </xf>
    <xf numFmtId="0" fontId="113" fillId="2" borderId="49" xfId="0" applyFont="1" applyFill="1" applyBorder="1" applyAlignment="1">
      <alignment horizontal="left" vertical="center" wrapText="1"/>
      <protection locked="0"/>
    </xf>
    <xf numFmtId="0" fontId="113" fillId="2" borderId="48" xfId="0" applyFont="1" applyFill="1" applyBorder="1" applyAlignment="1">
      <alignment horizontal="left" vertical="center" wrapText="1"/>
      <protection locked="0"/>
    </xf>
    <xf numFmtId="0" fontId="113" fillId="2" borderId="50" xfId="0" applyFont="1" applyFill="1" applyBorder="1" applyAlignment="1">
      <alignment horizontal="left" vertical="center" wrapText="1"/>
      <protection locked="0"/>
    </xf>
    <xf numFmtId="0" fontId="113" fillId="2" borderId="3" xfId="0" applyFont="1" applyFill="1" applyBorder="1" applyAlignment="1">
      <alignment horizontal="left" vertical="center" wrapText="1"/>
      <protection locked="0"/>
    </xf>
    <xf numFmtId="0" fontId="113" fillId="2" borderId="0" xfId="0" applyFont="1" applyFill="1" applyAlignment="1">
      <alignment horizontal="left" vertical="center" wrapText="1"/>
      <protection locked="0"/>
    </xf>
    <xf numFmtId="0" fontId="113" fillId="2" borderId="16" xfId="0" applyFont="1" applyFill="1" applyBorder="1" applyAlignment="1">
      <alignment horizontal="left" vertical="center" wrapText="1"/>
      <protection locked="0"/>
    </xf>
    <xf numFmtId="0" fontId="113" fillId="2" borderId="4" xfId="0" applyFont="1" applyFill="1" applyBorder="1" applyAlignment="1">
      <alignment horizontal="left" vertical="center" wrapText="1"/>
      <protection locked="0"/>
    </xf>
    <xf numFmtId="0" fontId="113" fillId="2" borderId="1" xfId="0" applyFont="1" applyFill="1" applyBorder="1" applyAlignment="1">
      <alignment horizontal="left" vertical="center" wrapText="1"/>
      <protection locked="0"/>
    </xf>
    <xf numFmtId="0" fontId="113" fillId="2" borderId="6" xfId="0" applyFont="1" applyFill="1" applyBorder="1" applyAlignment="1">
      <alignment horizontal="left" vertical="center" wrapText="1"/>
      <protection locked="0"/>
    </xf>
    <xf numFmtId="0" fontId="7" fillId="0" borderId="0" xfId="369" applyFont="1" applyAlignment="1" applyProtection="1">
      <alignment horizontal="center" vertical="center" wrapText="1"/>
      <protection locked="0"/>
    </xf>
    <xf numFmtId="0" fontId="9" fillId="0" borderId="0" xfId="0" applyFont="1" applyAlignment="1">
      <alignment horizontal="left" wrapText="1"/>
      <protection locked="0"/>
    </xf>
    <xf numFmtId="0" fontId="9" fillId="0" borderId="0" xfId="0" applyFont="1" applyAlignment="1" applyProtection="1">
      <alignment horizontal="left" vertical="center" wrapText="1"/>
    </xf>
    <xf numFmtId="0" fontId="0" fillId="0" borderId="0" xfId="0">
      <protection locked="0"/>
    </xf>
    <xf numFmtId="0" fontId="3" fillId="2" borderId="0" xfId="175" applyFont="1" applyFill="1" applyAlignment="1" applyProtection="1">
      <alignment horizontal="left" vertical="center" wrapText="1"/>
      <protection locked="0"/>
    </xf>
    <xf numFmtId="0" fontId="3" fillId="0" borderId="49" xfId="7" applyNumberFormat="1" applyFont="1" applyFill="1" applyBorder="1" applyAlignment="1" applyProtection="1">
      <alignment horizontal="left" vertical="center" wrapText="1" shrinkToFit="1"/>
    </xf>
    <xf numFmtId="0" fontId="3" fillId="0" borderId="48" xfId="7" applyNumberFormat="1" applyFont="1" applyFill="1" applyBorder="1" applyAlignment="1" applyProtection="1">
      <alignment horizontal="left" vertical="center" wrapText="1" shrinkToFit="1"/>
    </xf>
    <xf numFmtId="0" fontId="3" fillId="0" borderId="50" xfId="7" applyNumberFormat="1" applyFont="1" applyFill="1" applyBorder="1" applyAlignment="1" applyProtection="1">
      <alignment horizontal="left" vertical="center" wrapText="1" shrinkToFit="1"/>
    </xf>
    <xf numFmtId="0" fontId="3" fillId="0" borderId="3" xfId="7" applyNumberFormat="1" applyFont="1" applyFill="1" applyBorder="1" applyAlignment="1" applyProtection="1">
      <alignment horizontal="left" vertical="center" wrapText="1" shrinkToFit="1"/>
    </xf>
    <xf numFmtId="0" fontId="3" fillId="0" borderId="0" xfId="7" applyNumberFormat="1" applyFont="1" applyFill="1" applyBorder="1" applyAlignment="1" applyProtection="1">
      <alignment horizontal="left" vertical="center" wrapText="1" shrinkToFit="1"/>
    </xf>
    <xf numFmtId="0" fontId="3" fillId="0" borderId="16" xfId="7" applyNumberFormat="1" applyFont="1" applyFill="1" applyBorder="1" applyAlignment="1" applyProtection="1">
      <alignment horizontal="left" vertical="center" wrapText="1" shrinkToFit="1"/>
    </xf>
    <xf numFmtId="0" fontId="3" fillId="0" borderId="4" xfId="7" applyNumberFormat="1" applyFont="1" applyFill="1" applyBorder="1" applyAlignment="1" applyProtection="1">
      <alignment horizontal="left" vertical="center" wrapText="1" shrinkToFit="1"/>
    </xf>
    <xf numFmtId="0" fontId="3" fillId="0" borderId="1" xfId="7" applyNumberFormat="1" applyFont="1" applyFill="1" applyBorder="1" applyAlignment="1" applyProtection="1">
      <alignment horizontal="left" vertical="center" wrapText="1" shrinkToFit="1"/>
    </xf>
    <xf numFmtId="0" fontId="3" fillId="0" borderId="6" xfId="7" applyNumberFormat="1" applyFont="1" applyFill="1" applyBorder="1" applyAlignment="1" applyProtection="1">
      <alignment horizontal="left" vertical="center" wrapText="1" shrinkToFit="1"/>
    </xf>
    <xf numFmtId="0" fontId="113" fillId="0" borderId="49" xfId="7" applyNumberFormat="1" applyFont="1" applyFill="1" applyBorder="1" applyAlignment="1" applyProtection="1">
      <alignment horizontal="left" vertical="center" wrapText="1" shrinkToFit="1"/>
    </xf>
    <xf numFmtId="0" fontId="113" fillId="0" borderId="48" xfId="7" applyNumberFormat="1" applyFont="1" applyFill="1" applyBorder="1" applyAlignment="1" applyProtection="1">
      <alignment horizontal="left" vertical="center" wrapText="1" shrinkToFit="1"/>
    </xf>
    <xf numFmtId="0" fontId="113" fillId="0" borderId="50" xfId="7" applyNumberFormat="1" applyFont="1" applyFill="1" applyBorder="1" applyAlignment="1" applyProtection="1">
      <alignment horizontal="left" vertical="center" wrapText="1" shrinkToFit="1"/>
    </xf>
    <xf numFmtId="0" fontId="113" fillId="0" borderId="3" xfId="7" applyNumberFormat="1" applyFont="1" applyFill="1" applyBorder="1" applyAlignment="1" applyProtection="1">
      <alignment horizontal="left" vertical="center" wrapText="1" shrinkToFit="1"/>
    </xf>
    <xf numFmtId="0" fontId="113" fillId="0" borderId="0" xfId="7" applyNumberFormat="1" applyFont="1" applyFill="1" applyBorder="1" applyAlignment="1" applyProtection="1">
      <alignment horizontal="left" vertical="center" wrapText="1" shrinkToFit="1"/>
    </xf>
    <xf numFmtId="0" fontId="113" fillId="0" borderId="16" xfId="7" applyNumberFormat="1" applyFont="1" applyFill="1" applyBorder="1" applyAlignment="1" applyProtection="1">
      <alignment horizontal="left" vertical="center" wrapText="1" shrinkToFit="1"/>
    </xf>
    <xf numFmtId="0" fontId="113" fillId="0" borderId="4" xfId="7" applyNumberFormat="1" applyFont="1" applyFill="1" applyBorder="1" applyAlignment="1" applyProtection="1">
      <alignment horizontal="left" vertical="center" wrapText="1" shrinkToFit="1"/>
    </xf>
    <xf numFmtId="0" fontId="113" fillId="0" borderId="1" xfId="7" applyNumberFormat="1" applyFont="1" applyFill="1" applyBorder="1" applyAlignment="1" applyProtection="1">
      <alignment horizontal="left" vertical="center" wrapText="1" shrinkToFit="1"/>
    </xf>
    <xf numFmtId="0" fontId="113" fillId="0" borderId="6" xfId="7" applyNumberFormat="1" applyFont="1" applyFill="1" applyBorder="1" applyAlignment="1" applyProtection="1">
      <alignment horizontal="left" vertical="center" wrapText="1" shrinkToFit="1"/>
    </xf>
    <xf numFmtId="0" fontId="128" fillId="41" borderId="44" xfId="0" applyFont="1" applyFill="1" applyBorder="1" applyAlignment="1">
      <alignment horizontal="left" vertical="center"/>
      <protection locked="0"/>
    </xf>
    <xf numFmtId="0" fontId="128" fillId="41" borderId="36" xfId="0" applyFont="1" applyFill="1" applyBorder="1" applyAlignment="1">
      <alignment horizontal="left" vertical="center"/>
      <protection locked="0"/>
    </xf>
    <xf numFmtId="0" fontId="128" fillId="41" borderId="45" xfId="0" applyFont="1" applyFill="1" applyBorder="1" applyAlignment="1">
      <alignment horizontal="left" vertical="center"/>
      <protection locked="0"/>
    </xf>
    <xf numFmtId="0" fontId="111" fillId="0" borderId="49" xfId="0" applyFont="1" applyBorder="1" applyAlignment="1">
      <alignment horizontal="left" vertical="center"/>
      <protection locked="0"/>
    </xf>
    <xf numFmtId="0" fontId="111" fillId="0" borderId="48" xfId="0" applyFont="1" applyBorder="1" applyAlignment="1">
      <alignment horizontal="left" vertical="center"/>
      <protection locked="0"/>
    </xf>
    <xf numFmtId="0" fontId="111" fillId="0" borderId="50" xfId="0" applyFont="1" applyBorder="1" applyAlignment="1">
      <alignment horizontal="left" vertical="center"/>
      <protection locked="0"/>
    </xf>
    <xf numFmtId="0" fontId="7" fillId="0" borderId="3" xfId="0" applyFont="1" applyBorder="1" applyAlignment="1">
      <alignment horizontal="left" vertical="center"/>
      <protection locked="0"/>
    </xf>
    <xf numFmtId="0" fontId="7" fillId="0" borderId="0" xfId="0" applyFont="1" applyAlignment="1">
      <alignment horizontal="left" vertical="center"/>
      <protection locked="0"/>
    </xf>
    <xf numFmtId="0" fontId="7" fillId="0" borderId="16" xfId="0" applyFont="1" applyBorder="1" applyAlignment="1">
      <alignment horizontal="left" vertical="center"/>
      <protection locked="0"/>
    </xf>
    <xf numFmtId="0" fontId="7" fillId="0" borderId="4" xfId="0" applyFont="1" applyBorder="1" applyAlignment="1">
      <alignment horizontal="left" vertical="center"/>
      <protection locked="0"/>
    </xf>
    <xf numFmtId="0" fontId="7" fillId="0" borderId="1" xfId="0" applyFont="1" applyBorder="1" applyAlignment="1">
      <alignment horizontal="left" vertical="center"/>
      <protection locked="0"/>
    </xf>
    <xf numFmtId="0" fontId="7" fillId="0" borderId="6" xfId="0" applyFont="1" applyBorder="1" applyAlignment="1">
      <alignment horizontal="left" vertical="center"/>
      <protection locked="0"/>
    </xf>
    <xf numFmtId="0" fontId="113" fillId="0" borderId="26" xfId="7" applyNumberFormat="1" applyFont="1" applyFill="1" applyBorder="1" applyAlignment="1" applyProtection="1">
      <alignment horizontal="left" vertical="center" wrapText="1" shrinkToFit="1"/>
    </xf>
    <xf numFmtId="0" fontId="113" fillId="0" borderId="21" xfId="7" applyNumberFormat="1" applyFont="1" applyFill="1" applyBorder="1" applyAlignment="1" applyProtection="1">
      <alignment horizontal="left" vertical="center" wrapText="1" shrinkToFit="1"/>
    </xf>
    <xf numFmtId="0" fontId="113" fillId="0" borderId="30" xfId="7" applyNumberFormat="1" applyFont="1" applyFill="1" applyBorder="1" applyAlignment="1" applyProtection="1">
      <alignment horizontal="left" vertical="center" wrapText="1" shrinkToFit="1"/>
    </xf>
    <xf numFmtId="0" fontId="113" fillId="0" borderId="28" xfId="7" applyNumberFormat="1" applyFont="1" applyFill="1" applyBorder="1" applyAlignment="1" applyProtection="1">
      <alignment horizontal="left" vertical="center" wrapText="1" shrinkToFit="1"/>
    </xf>
    <xf numFmtId="0" fontId="113" fillId="0" borderId="27" xfId="7" applyNumberFormat="1" applyFont="1" applyFill="1" applyBorder="1" applyAlignment="1" applyProtection="1">
      <alignment horizontal="left" vertical="center" wrapText="1" shrinkToFit="1"/>
    </xf>
    <xf numFmtId="0" fontId="113" fillId="0" borderId="29" xfId="7" applyNumberFormat="1" applyFont="1" applyFill="1" applyBorder="1" applyAlignment="1" applyProtection="1">
      <alignment horizontal="left" vertical="center" wrapText="1" shrinkToFit="1"/>
    </xf>
    <xf numFmtId="0" fontId="113" fillId="0" borderId="24" xfId="7" applyNumberFormat="1" applyFont="1" applyFill="1" applyBorder="1" applyAlignment="1" applyProtection="1">
      <alignment horizontal="left" vertical="center" wrapText="1" shrinkToFit="1"/>
    </xf>
    <xf numFmtId="0" fontId="113" fillId="0" borderId="25" xfId="7" applyNumberFormat="1" applyFont="1" applyFill="1" applyBorder="1" applyAlignment="1" applyProtection="1">
      <alignment horizontal="left" vertical="center" wrapText="1" shrinkToFit="1"/>
    </xf>
    <xf numFmtId="0" fontId="7" fillId="2" borderId="0" xfId="0" applyFont="1" applyFill="1" applyAlignment="1">
      <alignment horizontal="left" vertical="center"/>
      <protection locked="0"/>
    </xf>
    <xf numFmtId="0" fontId="6" fillId="2" borderId="0" xfId="175" applyFont="1" applyFill="1" applyAlignment="1" applyProtection="1">
      <alignment horizontal="left" vertical="center" wrapText="1"/>
      <protection locked="0"/>
    </xf>
    <xf numFmtId="49" fontId="113" fillId="0" borderId="49" xfId="7" applyNumberFormat="1" applyFont="1" applyFill="1" applyBorder="1" applyAlignment="1" applyProtection="1">
      <alignment horizontal="left" vertical="center" wrapText="1" shrinkToFit="1"/>
    </xf>
    <xf numFmtId="49" fontId="113" fillId="0" borderId="48" xfId="7" applyNumberFormat="1" applyFont="1" applyFill="1" applyBorder="1" applyAlignment="1" applyProtection="1">
      <alignment horizontal="left" vertical="center" wrapText="1" shrinkToFit="1"/>
    </xf>
    <xf numFmtId="49" fontId="113" fillId="0" borderId="50" xfId="7" applyNumberFormat="1" applyFont="1" applyFill="1" applyBorder="1" applyAlignment="1" applyProtection="1">
      <alignment horizontal="left" vertical="center" wrapText="1" shrinkToFit="1"/>
    </xf>
    <xf numFmtId="49" fontId="113" fillId="0" borderId="3" xfId="7" applyNumberFormat="1" applyFont="1" applyFill="1" applyBorder="1" applyAlignment="1" applyProtection="1">
      <alignment horizontal="left" vertical="center" wrapText="1" shrinkToFit="1"/>
    </xf>
    <xf numFmtId="49" fontId="113" fillId="0" borderId="0" xfId="7" applyNumberFormat="1" applyFont="1" applyFill="1" applyBorder="1" applyAlignment="1" applyProtection="1">
      <alignment horizontal="left" vertical="center" wrapText="1" shrinkToFit="1"/>
    </xf>
    <xf numFmtId="49" fontId="113" fillId="0" borderId="16" xfId="7" applyNumberFormat="1" applyFont="1" applyFill="1" applyBorder="1" applyAlignment="1" applyProtection="1">
      <alignment horizontal="left" vertical="center" wrapText="1" shrinkToFit="1"/>
    </xf>
    <xf numFmtId="49" fontId="113" fillId="0" borderId="4" xfId="7" applyNumberFormat="1" applyFont="1" applyFill="1" applyBorder="1" applyAlignment="1" applyProtection="1">
      <alignment horizontal="left" vertical="center" wrapText="1" shrinkToFit="1"/>
    </xf>
    <xf numFmtId="49" fontId="113" fillId="0" borderId="1" xfId="7" applyNumberFormat="1" applyFont="1" applyFill="1" applyBorder="1" applyAlignment="1" applyProtection="1">
      <alignment horizontal="left" vertical="center" wrapText="1" shrinkToFit="1"/>
    </xf>
    <xf numFmtId="49" fontId="113" fillId="0" borderId="6" xfId="7" applyNumberFormat="1" applyFont="1" applyFill="1" applyBorder="1" applyAlignment="1" applyProtection="1">
      <alignment horizontal="left" vertical="center" wrapText="1" shrinkToFit="1"/>
    </xf>
    <xf numFmtId="0" fontId="9" fillId="41" borderId="44" xfId="370" applyFont="1" applyFill="1" applyBorder="1" applyAlignment="1">
      <alignment horizontal="left" vertical="center"/>
      <protection locked="0"/>
    </xf>
    <xf numFmtId="0" fontId="9" fillId="41" borderId="36" xfId="370" applyFont="1" applyFill="1" applyBorder="1" applyAlignment="1">
      <alignment horizontal="left" vertical="center"/>
      <protection locked="0"/>
    </xf>
    <xf numFmtId="0" fontId="9" fillId="41" borderId="45" xfId="370" applyFont="1" applyFill="1" applyBorder="1" applyAlignment="1">
      <alignment horizontal="left" vertical="center"/>
      <protection locked="0"/>
    </xf>
    <xf numFmtId="0" fontId="7" fillId="0" borderId="4" xfId="370" applyFont="1" applyBorder="1" applyAlignment="1">
      <alignment horizontal="left" vertical="top" wrapText="1"/>
      <protection locked="0"/>
    </xf>
    <xf numFmtId="0" fontId="7" fillId="0" borderId="1" xfId="370" applyFont="1" applyBorder="1" applyAlignment="1">
      <alignment horizontal="left" vertical="top" wrapText="1"/>
      <protection locked="0"/>
    </xf>
    <xf numFmtId="0" fontId="7" fillId="0" borderId="6" xfId="370" applyFont="1" applyBorder="1" applyAlignment="1">
      <alignment horizontal="left" vertical="top" wrapText="1"/>
      <protection locked="0"/>
    </xf>
    <xf numFmtId="0" fontId="4" fillId="52" borderId="44" xfId="0" applyFont="1" applyFill="1" applyBorder="1" applyAlignment="1">
      <alignment horizontal="center" vertical="center" wrapText="1"/>
      <protection locked="0"/>
    </xf>
    <xf numFmtId="0" fontId="4" fillId="52" borderId="45" xfId="0" applyFont="1" applyFill="1" applyBorder="1" applyAlignment="1">
      <alignment horizontal="center" vertical="center" wrapText="1"/>
      <protection locked="0"/>
    </xf>
    <xf numFmtId="0" fontId="4" fillId="52" borderId="36" xfId="0" applyFont="1" applyFill="1" applyBorder="1" applyAlignment="1">
      <alignment horizontal="center" vertical="center" wrapText="1"/>
      <protection locked="0"/>
    </xf>
    <xf numFmtId="0" fontId="4" fillId="52" borderId="37" xfId="370" applyFont="1" applyFill="1" applyBorder="1" applyAlignment="1">
      <alignment horizontal="centerContinuous" vertical="center" wrapText="1"/>
      <protection locked="0"/>
    </xf>
  </cellXfs>
  <cellStyles count="395">
    <cellStyle name="_x000a_mouse.drv=lm" xfId="11" xr:uid="{00000000-0005-0000-0000-000014000000}"/>
    <cellStyle name="0%" xfId="17" xr:uid="{00000000-0005-0000-0000-000023000000}"/>
    <cellStyle name="0.0%" xfId="24" xr:uid="{00000000-0005-0000-0000-00003B000000}"/>
    <cellStyle name="0.00%" xfId="37" xr:uid="{00000000-0005-0000-0000-000053000000}"/>
    <cellStyle name="00" xfId="38" xr:uid="{00000000-0005-0000-0000-000054000000}"/>
    <cellStyle name="Accent1" xfId="42" xr:uid="{00000000-0005-0000-0000-000058000000}"/>
    <cellStyle name="Accent1 - 20%" xfId="35" xr:uid="{00000000-0005-0000-0000-000051000000}"/>
    <cellStyle name="Accent1 - 40%" xfId="43" xr:uid="{00000000-0005-0000-0000-000059000000}"/>
    <cellStyle name="Accent1 - 60%" xfId="44" xr:uid="{00000000-0005-0000-0000-00005A000000}"/>
    <cellStyle name="Accent1_RESULTS" xfId="2" xr:uid="{00000000-0005-0000-0000-000004000000}"/>
    <cellStyle name="Accent2" xfId="39" xr:uid="{00000000-0005-0000-0000-000055000000}"/>
    <cellStyle name="Accent2 - 20%" xfId="47" xr:uid="{00000000-0005-0000-0000-00005D000000}"/>
    <cellStyle name="Accent2 - 40%" xfId="6" xr:uid="{00000000-0005-0000-0000-00000B000000}"/>
    <cellStyle name="Accent2 - 60%" xfId="9" xr:uid="{00000000-0005-0000-0000-000011000000}"/>
    <cellStyle name="Accent2_RESULTS" xfId="50" xr:uid="{00000000-0005-0000-0000-000060000000}"/>
    <cellStyle name="Accent3" xfId="53" xr:uid="{00000000-0005-0000-0000-000063000000}"/>
    <cellStyle name="Accent3 - 20%" xfId="55" xr:uid="{00000000-0005-0000-0000-000065000000}"/>
    <cellStyle name="Accent3 - 40%" xfId="57" xr:uid="{00000000-0005-0000-0000-000067000000}"/>
    <cellStyle name="Accent3 - 60%" xfId="58" xr:uid="{00000000-0005-0000-0000-000068000000}"/>
    <cellStyle name="Accent3_RESULTS" xfId="23" xr:uid="{00000000-0005-0000-0000-000036000000}"/>
    <cellStyle name="Accent4" xfId="60" xr:uid="{00000000-0005-0000-0000-00006A000000}"/>
    <cellStyle name="Accent4 - 20%" xfId="61" xr:uid="{00000000-0005-0000-0000-00006B000000}"/>
    <cellStyle name="Accent4 - 40%" xfId="64" xr:uid="{00000000-0005-0000-0000-00006E000000}"/>
    <cellStyle name="Accent4 - 60%" xfId="66" xr:uid="{00000000-0005-0000-0000-000070000000}"/>
    <cellStyle name="Accent4_RESULTS" xfId="67" xr:uid="{00000000-0005-0000-0000-000071000000}"/>
    <cellStyle name="Accent5" xfId="68" xr:uid="{00000000-0005-0000-0000-000072000000}"/>
    <cellStyle name="Accent5 - 20%" xfId="69" xr:uid="{00000000-0005-0000-0000-000073000000}"/>
    <cellStyle name="Accent5 - 40%" xfId="71" xr:uid="{00000000-0005-0000-0000-000075000000}"/>
    <cellStyle name="Accent5 - 60%" xfId="72" xr:uid="{00000000-0005-0000-0000-000076000000}"/>
    <cellStyle name="Accent5_RESULTS" xfId="73" xr:uid="{00000000-0005-0000-0000-000077000000}"/>
    <cellStyle name="Accent6" xfId="74" xr:uid="{00000000-0005-0000-0000-000078000000}"/>
    <cellStyle name="Accent6 - 20%" xfId="76" xr:uid="{00000000-0005-0000-0000-00007A000000}"/>
    <cellStyle name="Accent6 - 40%" xfId="78" xr:uid="{00000000-0005-0000-0000-00007C000000}"/>
    <cellStyle name="Accent6 - 60%" xfId="81" xr:uid="{00000000-0005-0000-0000-00007F000000}"/>
    <cellStyle name="Accent6_RESULTS" xfId="82" xr:uid="{00000000-0005-0000-0000-000080000000}"/>
    <cellStyle name="Calc Currency (0)" xfId="84" xr:uid="{00000000-0005-0000-0000-000082000000}"/>
    <cellStyle name="category" xfId="86" xr:uid="{00000000-0005-0000-0000-000084000000}"/>
    <cellStyle name="Check Cell 2" xfId="87" xr:uid="{00000000-0005-0000-0000-000085000000}"/>
    <cellStyle name="Col Heads" xfId="90" xr:uid="{00000000-0005-0000-0000-000088000000}"/>
    <cellStyle name="Comma  - Style1" xfId="92" xr:uid="{00000000-0005-0000-0000-00008A000000}"/>
    <cellStyle name="Comma  - Style2" xfId="54" xr:uid="{00000000-0005-0000-0000-000064000000}"/>
    <cellStyle name="Comma  - Style3" xfId="85" xr:uid="{00000000-0005-0000-0000-000083000000}"/>
    <cellStyle name="Comma  - Style4" xfId="93" xr:uid="{00000000-0005-0000-0000-00008B000000}"/>
    <cellStyle name="Comma  - Style5" xfId="96" xr:uid="{00000000-0005-0000-0000-00008E000000}"/>
    <cellStyle name="Comma  - Style6" xfId="98" xr:uid="{00000000-0005-0000-0000-000090000000}"/>
    <cellStyle name="Comma  - Style7" xfId="99" xr:uid="{00000000-0005-0000-0000-000091000000}"/>
    <cellStyle name="Comma  - Style8" xfId="101" xr:uid="{00000000-0005-0000-0000-000093000000}"/>
    <cellStyle name="Comma [0] 2" xfId="103" xr:uid="{00000000-0005-0000-0000-000095000000}"/>
    <cellStyle name="Comma [0] 2 2" xfId="105" xr:uid="{00000000-0005-0000-0000-000097000000}"/>
    <cellStyle name="Comma [0] 2 2 2" xfId="106" xr:uid="{00000000-0005-0000-0000-000098000000}"/>
    <cellStyle name="Comma [0] 2 2 2 2" xfId="108" xr:uid="{00000000-0005-0000-0000-00009A000000}"/>
    <cellStyle name="Comma [0] 2 2 2 2 2" xfId="41" xr:uid="{00000000-0005-0000-0000-000057000000}"/>
    <cellStyle name="Comma [0] 2 2 2 3" xfId="110" xr:uid="{00000000-0005-0000-0000-00009C000000}"/>
    <cellStyle name="Comma [0] 2 2 3" xfId="111" xr:uid="{00000000-0005-0000-0000-00009D000000}"/>
    <cellStyle name="Comma [0] 2 3" xfId="112" xr:uid="{00000000-0005-0000-0000-00009E000000}"/>
    <cellStyle name="Comma [0] 2 4" xfId="385" xr:uid="{CD147414-7A7D-4309-AA72-C565B881156E}"/>
    <cellStyle name="Comma [0] 3" xfId="8" xr:uid="{00000000-0005-0000-0000-00000F000000}"/>
    <cellStyle name="Comma [0] 3 2" xfId="116" xr:uid="{00000000-0005-0000-0000-0000A2000000}"/>
    <cellStyle name="Comma 10 2" xfId="95" xr:uid="{00000000-0005-0000-0000-00008D000000}"/>
    <cellStyle name="Comma 10 2 2" xfId="119" xr:uid="{00000000-0005-0000-0000-0000A5000000}"/>
    <cellStyle name="Comma 2" xfId="15" xr:uid="{00000000-0005-0000-0000-00001B000000}"/>
    <cellStyle name="Comma 2 2" xfId="121" xr:uid="{00000000-0005-0000-0000-0000A7000000}"/>
    <cellStyle name="Comma 2 2 2" xfId="123" xr:uid="{00000000-0005-0000-0000-0000A9000000}"/>
    <cellStyle name="Comma 2 3" xfId="118" xr:uid="{00000000-0005-0000-0000-0000A4000000}"/>
    <cellStyle name="Comma 3" xfId="126" xr:uid="{00000000-0005-0000-0000-0000AC000000}"/>
    <cellStyle name="Comma 3 2" xfId="127" xr:uid="{00000000-0005-0000-0000-0000AD000000}"/>
    <cellStyle name="Comma 4" xfId="129" xr:uid="{00000000-0005-0000-0000-0000AF000000}"/>
    <cellStyle name="Comma 4 2" xfId="130" xr:uid="{00000000-0005-0000-0000-0000B0000000}"/>
    <cellStyle name="Comma 4 3" xfId="373" xr:uid="{6AA4C917-508F-4D15-8A1F-961C33766CA5}"/>
    <cellStyle name="Comma 4 4" xfId="357" xr:uid="{475D33FA-980B-4D3E-A96B-BB377C7C14AC}"/>
    <cellStyle name="Comma 5" xfId="131" xr:uid="{00000000-0005-0000-0000-0000B1000000}"/>
    <cellStyle name="Comma 5 2" xfId="133" xr:uid="{00000000-0005-0000-0000-0000B3000000}"/>
    <cellStyle name="Comma 5 2 2" xfId="134" xr:uid="{00000000-0005-0000-0000-0000B4000000}"/>
    <cellStyle name="Comma 5 3" xfId="135" xr:uid="{00000000-0005-0000-0000-0000B5000000}"/>
    <cellStyle name="Comma 6" xfId="378" xr:uid="{3E9E3886-D4D1-4672-AEED-5C44AEDE9C22}"/>
    <cellStyle name="Comma 6 2 2 3" xfId="364" xr:uid="{1611D3B9-B199-4A57-8454-85C7B28E848F}"/>
    <cellStyle name="Comma 7" xfId="381" xr:uid="{E883D726-B311-4F66-9CC8-102935745A9D}"/>
    <cellStyle name="comma zerodec" xfId="49" xr:uid="{00000000-0005-0000-0000-00005F000000}"/>
    <cellStyle name="Comma,0" xfId="136" xr:uid="{00000000-0005-0000-0000-0000B6000000}"/>
    <cellStyle name="Comma,1" xfId="138" xr:uid="{00000000-0005-0000-0000-0000B8000000}"/>
    <cellStyle name="Comma,2" xfId="140" xr:uid="{00000000-0005-0000-0000-0000BA000000}"/>
    <cellStyle name="Comma_A 8 2a CAL - Interim 2 2" xfId="383" xr:uid="{46EEA1D4-DB6B-43DE-89F9-E3F37BD8242D}"/>
    <cellStyle name="Currency 5" xfId="387" xr:uid="{1CBE1C47-1E32-4335-802F-B249F7B3C806}"/>
    <cellStyle name="Currency,0" xfId="141" xr:uid="{00000000-0005-0000-0000-0000BB000000}"/>
    <cellStyle name="Currency,2" xfId="142" xr:uid="{00000000-0005-0000-0000-0000BC000000}"/>
    <cellStyle name="Currency1" xfId="143" xr:uid="{00000000-0005-0000-0000-0000BD000000}"/>
    <cellStyle name="Dollar (zero dec)" xfId="145" xr:uid="{00000000-0005-0000-0000-0000BF000000}"/>
    <cellStyle name="entry" xfId="14" xr:uid="{00000000-0005-0000-0000-000018000000}"/>
    <cellStyle name="entry box" xfId="146" xr:uid="{00000000-0005-0000-0000-0000C0000000}"/>
    <cellStyle name="Euro" xfId="147" xr:uid="{00000000-0005-0000-0000-0000C1000000}"/>
    <cellStyle name="Good 2" xfId="148" xr:uid="{00000000-0005-0000-0000-0000C2000000}"/>
    <cellStyle name="Grey" xfId="149" xr:uid="{00000000-0005-0000-0000-0000C3000000}"/>
    <cellStyle name="HEADER" xfId="151" xr:uid="{00000000-0005-0000-0000-0000C5000000}"/>
    <cellStyle name="Header1" xfId="153" xr:uid="{00000000-0005-0000-0000-0000C7000000}"/>
    <cellStyle name="Header2" xfId="154" xr:uid="{00000000-0005-0000-0000-0000C8000000}"/>
    <cellStyle name="Hyperlink" xfId="394" xr:uid="{00000000-000B-0000-0000-000008000000}"/>
    <cellStyle name="Hyperlink 2" xfId="26" xr:uid="{00000000-0005-0000-0000-00003E000000}"/>
    <cellStyle name="Hyperlink 2 2" xfId="156" xr:uid="{00000000-0005-0000-0000-0000CA000000}"/>
    <cellStyle name="Hyperlink 3" xfId="30" xr:uid="{00000000-0005-0000-0000-000043000000}"/>
    <cellStyle name="Hyperlink 4" xfId="31" xr:uid="{00000000-0005-0000-0000-000047000000}"/>
    <cellStyle name="Input [yellow]" xfId="158" xr:uid="{00000000-0005-0000-0000-0000CC000000}"/>
    <cellStyle name="Model" xfId="159" xr:uid="{00000000-0005-0000-0000-0000CD000000}"/>
    <cellStyle name="Model 2" xfId="161" xr:uid="{00000000-0005-0000-0000-0000CF000000}"/>
    <cellStyle name="Normal - Style1" xfId="162" xr:uid="{00000000-0005-0000-0000-0000D0000000}"/>
    <cellStyle name="Normal 10" xfId="390" xr:uid="{FC9AEF22-5178-4B92-8A23-362302653E80}"/>
    <cellStyle name="Normal 10 10" xfId="164" xr:uid="{00000000-0005-0000-0000-0000D2000000}"/>
    <cellStyle name="Normal 103" xfId="165" xr:uid="{00000000-0005-0000-0000-0000D3000000}"/>
    <cellStyle name="Normal 103 2" xfId="89" xr:uid="{00000000-0005-0000-0000-000087000000}"/>
    <cellStyle name="Normal 103 3" xfId="359" xr:uid="{B0646ADC-6CC7-4A20-A82F-0D1045396098}"/>
    <cellStyle name="Normal 12 2" xfId="65" xr:uid="{00000000-0005-0000-0000-00006F000000}"/>
    <cellStyle name="Normal 121 2" xfId="166" xr:uid="{00000000-0005-0000-0000-0000D4000000}"/>
    <cellStyle name="Normal 121 2 2" xfId="167" xr:uid="{00000000-0005-0000-0000-0000D5000000}"/>
    <cellStyle name="Normal 121 2 2 2" xfId="170" xr:uid="{00000000-0005-0000-0000-0000D8000000}"/>
    <cellStyle name="Normal 121 2 2 2 2" xfId="171" xr:uid="{00000000-0005-0000-0000-0000D9000000}"/>
    <cellStyle name="Normal 121 2 2 2 4" xfId="367" xr:uid="{148023CC-3679-4D2B-A141-94A46DC78140}"/>
    <cellStyle name="Normal 121 2 3" xfId="172" xr:uid="{00000000-0005-0000-0000-0000DA000000}"/>
    <cellStyle name="Normal 121 2 4" xfId="56" xr:uid="{00000000-0005-0000-0000-000066000000}"/>
    <cellStyle name="Normal 121 4" xfId="362" xr:uid="{958E68C0-3279-4FD7-88C3-4975FC3B152C}"/>
    <cellStyle name="Normal 13" xfId="173" xr:uid="{00000000-0005-0000-0000-0000DB000000}"/>
    <cellStyle name="Normal 15 2" xfId="358" xr:uid="{8EE77D3E-82C0-4938-BB20-B585F06B6082}"/>
    <cellStyle name="Normal 17" xfId="363" xr:uid="{33F509A9-8D8E-4324-A335-0D037D700016}"/>
    <cellStyle name="Normal 182 2" xfId="174" xr:uid="{00000000-0005-0000-0000-0000DC000000}"/>
    <cellStyle name="Normal 2" xfId="175" xr:uid="{00000000-0005-0000-0000-0000DD000000}"/>
    <cellStyle name="Normal 2 10" xfId="360" xr:uid="{CF57AA9A-0F72-47D3-9396-E1DC1A308D1F}"/>
    <cellStyle name="Normal 2 10 2" xfId="176" xr:uid="{00000000-0005-0000-0000-0000DE000000}"/>
    <cellStyle name="Normal 2 2" xfId="178" xr:uid="{00000000-0005-0000-0000-0000E0000000}"/>
    <cellStyle name="Normal 2 2 2" xfId="144" xr:uid="{00000000-0005-0000-0000-0000BE000000}"/>
    <cellStyle name="Normal 2 2 2 2" xfId="366" xr:uid="{BA0DA987-906D-4A78-A96D-EDEBD92625E0}"/>
    <cellStyle name="Normal 2 2 3" xfId="368" xr:uid="{B76C735C-AFFA-43D6-8F9C-872DB28D6E79}"/>
    <cellStyle name="Normal 2 2 3 2" xfId="179" xr:uid="{00000000-0005-0000-0000-0000E1000000}"/>
    <cellStyle name="Normal 2 2 3 3" xfId="380" xr:uid="{B8A70E04-F853-4FF1-BD4D-E6050F788D1A}"/>
    <cellStyle name="Normal 2 2 4" xfId="369" xr:uid="{F38FDDA2-86EA-4485-8928-4AACD0BCCB3C}"/>
    <cellStyle name="Normal 2 2 4 2" xfId="382" xr:uid="{9FA97E5C-66B8-490C-913B-12EF5C951F01}"/>
    <cellStyle name="Normal 2 3" xfId="180" xr:uid="{00000000-0005-0000-0000-0000E2000000}"/>
    <cellStyle name="Normal 2 3 2" xfId="181" xr:uid="{00000000-0005-0000-0000-0000E3000000}"/>
    <cellStyle name="Normal 2 3 2 2" xfId="21" xr:uid="{00000000-0005-0000-0000-000030000000}"/>
    <cellStyle name="Normal 2 3 2 2 2" xfId="94" xr:uid="{00000000-0005-0000-0000-00008C000000}"/>
    <cellStyle name="Normal 2 3 2 2 3" xfId="97" xr:uid="{00000000-0005-0000-0000-00008F000000}"/>
    <cellStyle name="Normal 2 3 3" xfId="183" xr:uid="{00000000-0005-0000-0000-0000E5000000}"/>
    <cellStyle name="Normal 2 3 3 2" xfId="184" xr:uid="{00000000-0005-0000-0000-0000E6000000}"/>
    <cellStyle name="Normal 2 3 4" xfId="186" xr:uid="{00000000-0005-0000-0000-0000E8000000}"/>
    <cellStyle name="Normal 2 3 6 2" xfId="393" xr:uid="{9439D43B-4145-4F61-848A-A3796010DA7B}"/>
    <cellStyle name="Normal 2 4" xfId="187" xr:uid="{00000000-0005-0000-0000-0000E9000000}"/>
    <cellStyle name="Normal 2 5" xfId="377" xr:uid="{D5970947-DD0E-4075-BE43-31BC6ED085DC}"/>
    <cellStyle name="Normal 3" xfId="188" xr:uid="{00000000-0005-0000-0000-0000EA000000}"/>
    <cellStyle name="Normal 3 2" xfId="189" xr:uid="{00000000-0005-0000-0000-0000EB000000}"/>
    <cellStyle name="Normal 3 2 2 2 2" xfId="191" xr:uid="{00000000-0005-0000-0000-0000ED000000}"/>
    <cellStyle name="Normal 4" xfId="194" xr:uid="{00000000-0005-0000-0000-0000F0000000}"/>
    <cellStyle name="Normal 4 2" xfId="196" xr:uid="{00000000-0005-0000-0000-0000F2000000}"/>
    <cellStyle name="Normal 4 3" xfId="197" xr:uid="{00000000-0005-0000-0000-0000F3000000}"/>
    <cellStyle name="Normal 5" xfId="199" xr:uid="{00000000-0005-0000-0000-0000F5000000}"/>
    <cellStyle name="Normal 5 2" xfId="46" xr:uid="{00000000-0005-0000-0000-00005C000000}"/>
    <cellStyle name="Normal 5 3" xfId="200" xr:uid="{00000000-0005-0000-0000-0000F6000000}"/>
    <cellStyle name="Normal 5 4" xfId="375" xr:uid="{66E0EFFD-6910-425D-9BD9-885E7245664B}"/>
    <cellStyle name="Normal 55" xfId="386" xr:uid="{C340798D-56A3-42B6-BC32-6F813A85FE1B}"/>
    <cellStyle name="Normal 6" xfId="83" xr:uid="{00000000-0005-0000-0000-000081000000}"/>
    <cellStyle name="Normal 7" xfId="201" xr:uid="{00000000-0005-0000-0000-0000F7000000}"/>
    <cellStyle name="Normal 8" xfId="202" xr:uid="{00000000-0005-0000-0000-0000F8000000}"/>
    <cellStyle name="Normal 8 2" xfId="376" xr:uid="{C8C72747-33C1-4DA2-9B3C-B4A1602A3155}"/>
    <cellStyle name="Normal 9" xfId="203" xr:uid="{00000000-0005-0000-0000-0000F9000000}"/>
    <cellStyle name="Normal 9 2 2" xfId="365" xr:uid="{FF358013-0C36-4147-9BD7-587206D3A57A}"/>
    <cellStyle name="Normal_SHEET" xfId="374" xr:uid="{D2F9F68D-0023-447F-BD7A-089223399E34}"/>
    <cellStyle name="Normalny_Arkusz1" xfId="5" xr:uid="{00000000-0005-0000-0000-000009000000}"/>
    <cellStyle name="Percent [2]" xfId="204" xr:uid="{00000000-0005-0000-0000-0000FA000000}"/>
    <cellStyle name="Percent 2" xfId="207" xr:uid="{00000000-0005-0000-0000-0000FD000000}"/>
    <cellStyle name="Percent 4 2" xfId="384" xr:uid="{95A24534-295F-444E-B8E6-51C7BFAE22FE}"/>
    <cellStyle name="Prefilled" xfId="206" xr:uid="{00000000-0005-0000-0000-0000FC000000}"/>
    <cellStyle name="price" xfId="208" xr:uid="{00000000-0005-0000-0000-0000FE000000}"/>
    <cellStyle name="revised" xfId="210" xr:uid="{00000000-0005-0000-0000-000000010000}"/>
    <cellStyle name="row_def_array" xfId="211" xr:uid="{00000000-0005-0000-0000-000001010000}"/>
    <cellStyle name="SAPBEXaggData" xfId="80" xr:uid="{00000000-0005-0000-0000-00007E000000}"/>
    <cellStyle name="SAPBEXaggDataEmph" xfId="213" xr:uid="{00000000-0005-0000-0000-000003010000}"/>
    <cellStyle name="SAPBEXaggItem" xfId="29" xr:uid="{00000000-0005-0000-0000-000042000000}"/>
    <cellStyle name="SAPBEXaggItemX" xfId="215" xr:uid="{00000000-0005-0000-0000-000005010000}"/>
    <cellStyle name="SAPBEXchaText" xfId="216" xr:uid="{00000000-0005-0000-0000-000006010000}"/>
    <cellStyle name="SAPBEXexcBad7" xfId="217" xr:uid="{00000000-0005-0000-0000-000007010000}"/>
    <cellStyle name="SAPBEXexcBad8" xfId="218" xr:uid="{00000000-0005-0000-0000-000008010000}"/>
    <cellStyle name="SAPBEXexcBad9" xfId="220" xr:uid="{00000000-0005-0000-0000-00000A010000}"/>
    <cellStyle name="SAPBEXexcCritical4" xfId="221" xr:uid="{00000000-0005-0000-0000-00000B010000}"/>
    <cellStyle name="SAPBEXexcCritical5" xfId="169" xr:uid="{00000000-0005-0000-0000-0000D7000000}"/>
    <cellStyle name="SAPBEXexcCritical6" xfId="63" xr:uid="{00000000-0005-0000-0000-00006D000000}"/>
    <cellStyle name="SAPBEXexcGood1" xfId="222" xr:uid="{00000000-0005-0000-0000-00000C010000}"/>
    <cellStyle name="SAPBEXexcGood2" xfId="224" xr:uid="{00000000-0005-0000-0000-00000E010000}"/>
    <cellStyle name="SAPBEXexcGood3" xfId="226" xr:uid="{00000000-0005-0000-0000-000010010000}"/>
    <cellStyle name="SAPBEXfilterDrill" xfId="75" xr:uid="{00000000-0005-0000-0000-000079000000}"/>
    <cellStyle name="SAPBEXfilterItem" xfId="227" xr:uid="{00000000-0005-0000-0000-000011010000}"/>
    <cellStyle name="SAPBEXfilterText" xfId="228" xr:uid="{00000000-0005-0000-0000-000012010000}"/>
    <cellStyle name="SAPBEXformats" xfId="230" xr:uid="{00000000-0005-0000-0000-000014010000}"/>
    <cellStyle name="SAPBEXheaderItem" xfId="232" xr:uid="{00000000-0005-0000-0000-000016010000}"/>
    <cellStyle name="SAPBEXheaderText" xfId="233" xr:uid="{00000000-0005-0000-0000-000017010000}"/>
    <cellStyle name="SAPBEXHLevel0" xfId="234" xr:uid="{00000000-0005-0000-0000-000018010000}"/>
    <cellStyle name="SAPBEXHLevel0X" xfId="235" xr:uid="{00000000-0005-0000-0000-000019010000}"/>
    <cellStyle name="SAPBEXHLevel1" xfId="236" xr:uid="{00000000-0005-0000-0000-00001A010000}"/>
    <cellStyle name="SAPBEXHLevel1X" xfId="237" xr:uid="{00000000-0005-0000-0000-00001B010000}"/>
    <cellStyle name="SAPBEXHLevel2" xfId="238" xr:uid="{00000000-0005-0000-0000-00001C010000}"/>
    <cellStyle name="SAPBEXHLevel2X" xfId="239" xr:uid="{00000000-0005-0000-0000-00001D010000}"/>
    <cellStyle name="SAPBEXHLevel3" xfId="241" xr:uid="{00000000-0005-0000-0000-00001F010000}"/>
    <cellStyle name="SAPBEXHLevel3X" xfId="32" xr:uid="{00000000-0005-0000-0000-00004A000000}"/>
    <cellStyle name="SAPBEXresData" xfId="242" xr:uid="{00000000-0005-0000-0000-000020010000}"/>
    <cellStyle name="SAPBEXresDataEmph" xfId="243" xr:uid="{00000000-0005-0000-0000-000021010000}"/>
    <cellStyle name="SAPBEXresItem" xfId="4" xr:uid="{00000000-0005-0000-0000-000006000000}"/>
    <cellStyle name="SAPBEXresItemX" xfId="244" xr:uid="{00000000-0005-0000-0000-000022010000}"/>
    <cellStyle name="SAPBEXstdData" xfId="79" xr:uid="{00000000-0005-0000-0000-00007D000000}"/>
    <cellStyle name="SAPBEXstdDataEmph" xfId="212" xr:uid="{00000000-0005-0000-0000-000002010000}"/>
    <cellStyle name="SAPBEXstdItem" xfId="28" xr:uid="{00000000-0005-0000-0000-000041000000}"/>
    <cellStyle name="SAPBEXstdItemX" xfId="214" xr:uid="{00000000-0005-0000-0000-000004010000}"/>
    <cellStyle name="SAPBEXtitle" xfId="245" xr:uid="{00000000-0005-0000-0000-000023010000}"/>
    <cellStyle name="SAPBEXundefined" xfId="246" xr:uid="{00000000-0005-0000-0000-000024010000}"/>
    <cellStyle name="section" xfId="247" xr:uid="{00000000-0005-0000-0000-000025010000}"/>
    <cellStyle name="SOR" xfId="249" xr:uid="{00000000-0005-0000-0000-000027010000}"/>
    <cellStyle name="SOR 2" xfId="250" xr:uid="{00000000-0005-0000-0000-000028010000}"/>
    <cellStyle name="subhead" xfId="252" xr:uid="{00000000-0005-0000-0000-00002A010000}"/>
    <cellStyle name="title" xfId="254" xr:uid="{00000000-0005-0000-0000-00002C010000}"/>
    <cellStyle name="Tusental (0)_pldt" xfId="255" xr:uid="{00000000-0005-0000-0000-00002D010000}"/>
    <cellStyle name="Tusental_pldt" xfId="257" xr:uid="{00000000-0005-0000-0000-00002F010000}"/>
    <cellStyle name="Valuta (0)_pldt" xfId="258" xr:uid="{00000000-0005-0000-0000-000030010000}"/>
    <cellStyle name="Valuta_pldt" xfId="259" xr:uid="{00000000-0005-0000-0000-000031010000}"/>
    <cellStyle name="パーセント_laroux" xfId="260" xr:uid="{00000000-0005-0000-0000-000032010000}"/>
    <cellStyle name="_PLDT" xfId="262" xr:uid="{00000000-0005-0000-0000-000034010000}"/>
    <cellStyle name="_laroux" xfId="190" xr:uid="{00000000-0005-0000-0000-0000EC000000}"/>
    <cellStyle name="だ[0]_PLDT" xfId="34" xr:uid="{00000000-0005-0000-0000-00004E000000}"/>
    <cellStyle name="だ_PLDT" xfId="263" xr:uid="{00000000-0005-0000-0000-000035010000}"/>
    <cellStyle name="だ[0]_Total (2)" xfId="1" xr:uid="{00000000-0005-0000-0000-000001000000}"/>
    <cellStyle name="だ_laroux" xfId="264" xr:uid="{00000000-0005-0000-0000-000036010000}"/>
    <cellStyle name="百分比" xfId="12" builtinId="5"/>
    <cellStyle name="百分比 2" xfId="223" xr:uid="{00000000-0005-0000-0000-00000D010000}"/>
    <cellStyle name="百分比 3" xfId="225" xr:uid="{00000000-0005-0000-0000-00000F010000}"/>
    <cellStyle name="百分比 4 2" xfId="265" xr:uid="{00000000-0005-0000-0000-000037010000}"/>
    <cellStyle name="捠壿 [0.00]_PRODUCT DETAIL Q1" xfId="185" xr:uid="{00000000-0005-0000-0000-0000E7000000}"/>
    <cellStyle name="捠壿_PRODUCT DETAIL Q1" xfId="266" xr:uid="{00000000-0005-0000-0000-000038010000}"/>
    <cellStyle name="标题 5" xfId="125" xr:uid="{00000000-0005-0000-0000-0000AB000000}"/>
    <cellStyle name="標準_１１月価格表" xfId="177" xr:uid="{00000000-0005-0000-0000-0000DF000000}"/>
    <cellStyle name="表标题" xfId="229" xr:uid="{00000000-0005-0000-0000-000013010000}"/>
    <cellStyle name="差_10存货" xfId="193" xr:uid="{00000000-0005-0000-0000-0000EF000000}"/>
    <cellStyle name="差_19-无形资产（空白模板）" xfId="267" xr:uid="{00000000-0005-0000-0000-000039010000}"/>
    <cellStyle name="差_2-交易性金融资产（空白模板）" xfId="268" xr:uid="{00000000-0005-0000-0000-00003A010000}"/>
    <cellStyle name="差_3-2 进一步审计程序-采购与付款循环" xfId="269" xr:uid="{00000000-0005-0000-0000-00003B010000}"/>
    <cellStyle name="差_3-3 进一步审计程序-存货与生产循环" xfId="270" xr:uid="{00000000-0005-0000-0000-00003C010000}"/>
    <cellStyle name="差_49-营业收入（空白模板）" xfId="271" xr:uid="{00000000-0005-0000-0000-00003D010000}"/>
    <cellStyle name="差_4-应收账款（空白模板）" xfId="91" xr:uid="{00000000-0005-0000-0000-000089000000}"/>
    <cellStyle name="差_50-营业成本（空白模板）" xfId="240" xr:uid="{00000000-0005-0000-0000-00001E010000}"/>
    <cellStyle name="差_51-营业税金及附加（空白模板）" xfId="273" xr:uid="{00000000-0005-0000-0000-00003F010000}"/>
    <cellStyle name="差_54-财务费用（空白模板）" xfId="274" xr:uid="{00000000-0005-0000-0000-000040010000}"/>
    <cellStyle name="差_55-资产减值损失（空白模板）" xfId="137" xr:uid="{00000000-0005-0000-0000-0000B7000000}"/>
    <cellStyle name="差_9管理费用" xfId="115" xr:uid="{00000000-0005-0000-0000-0000A1000000}"/>
    <cellStyle name="差_Book2" xfId="20" xr:uid="{00000000-0005-0000-0000-00002F000000}"/>
    <cellStyle name="差_dxn底稿目录" xfId="275" xr:uid="{00000000-0005-0000-0000-000041010000}"/>
    <cellStyle name="差_Sheet1" xfId="276" xr:uid="{00000000-0005-0000-0000-000042010000}"/>
    <cellStyle name="差_ZA0货币资金审定表 " xfId="62" xr:uid="{00000000-0005-0000-0000-00006C000000}"/>
    <cellStyle name="差_存货" xfId="132" xr:uid="{00000000-0005-0000-0000-0000B2000000}"/>
    <cellStyle name="差_大信底稿目录" xfId="251" xr:uid="{00000000-0005-0000-0000-000029010000}"/>
    <cellStyle name="差_底稿设置宏" xfId="277" xr:uid="{00000000-0005-0000-0000-000043010000}"/>
    <cellStyle name="差_货币资金" xfId="152" xr:uid="{00000000-0005-0000-0000-0000C6000000}"/>
    <cellStyle name="差_货币资金 天职" xfId="278" xr:uid="{00000000-0005-0000-0000-000044010000}"/>
    <cellStyle name="差_货币资金 岳华" xfId="16" xr:uid="{00000000-0005-0000-0000-00001F000000}"/>
    <cellStyle name="差_无形资产" xfId="279" xr:uid="{00000000-0005-0000-0000-000045010000}"/>
    <cellStyle name="差_应付职工薪酬" xfId="272" xr:uid="{00000000-0005-0000-0000-00003E010000}"/>
    <cellStyle name="差_应收账款" xfId="280" xr:uid="{00000000-0005-0000-0000-000046010000}"/>
    <cellStyle name="差_账项明细表" xfId="281" xr:uid="{00000000-0005-0000-0000-000047010000}"/>
    <cellStyle name="常规" xfId="0" builtinId="0" customBuiltin="1"/>
    <cellStyle name="常规 10" xfId="282" xr:uid="{00000000-0005-0000-0000-000048010000}"/>
    <cellStyle name="常规 10 2" xfId="361" xr:uid="{83884BBE-3612-4BD5-8CB8-799E0A7BB8A5}"/>
    <cellStyle name="常规 10 5" xfId="392" xr:uid="{2BD4B0C0-FF2A-495C-93D5-58971AD0A035}"/>
    <cellStyle name="常规 11" xfId="351" xr:uid="{3B6F8924-D073-4119-BD82-7C614E516C56}"/>
    <cellStyle name="常规 12" xfId="354" xr:uid="{52F36412-3320-4268-A78A-3D532D1B3FE7}"/>
    <cellStyle name="常规 12 2" xfId="356" xr:uid="{2DA5BF36-0BE2-4A10-99CE-EB278174CE44}"/>
    <cellStyle name="常规 13" xfId="370" xr:uid="{FDD80C54-78A9-432E-8DC4-79F6145D8544}"/>
    <cellStyle name="常规 13 2" xfId="389" xr:uid="{48528393-AAEE-4F85-A942-02D25485741D}"/>
    <cellStyle name="常规 14" xfId="379" xr:uid="{D5106155-1234-48F1-ADA2-D7C52D239E97}"/>
    <cellStyle name="常规 15" xfId="391" xr:uid="{C64732E0-CB1C-473E-BC1F-EC636AF2BC1F}"/>
    <cellStyle name="常规 2" xfId="253" xr:uid="{00000000-0005-0000-0000-00002B010000}"/>
    <cellStyle name="常规 2 2" xfId="284" xr:uid="{00000000-0005-0000-0000-00004A010000}"/>
    <cellStyle name="常规 2 2 2" xfId="353" xr:uid="{C00AB87A-1ACF-43C6-95F2-87C860637850}"/>
    <cellStyle name="常规 2 2 3 3" xfId="286" xr:uid="{00000000-0005-0000-0000-00004C010000}"/>
    <cellStyle name="常规 2 2 3 3 2" xfId="10" xr:uid="{00000000-0005-0000-0000-000013000000}"/>
    <cellStyle name="常规 2 2 5" xfId="355" xr:uid="{D53AA77B-1A84-4279-BBD2-93EF12CA2BA3}"/>
    <cellStyle name="常规 2 2 5 5" xfId="388" xr:uid="{84D95FF1-423D-4BD3-9319-A86B24780EAF}"/>
    <cellStyle name="常规 2_10存货" xfId="287" xr:uid="{00000000-0005-0000-0000-00004D010000}"/>
    <cellStyle name="常规 3" xfId="288" xr:uid="{00000000-0005-0000-0000-00004E010000}"/>
    <cellStyle name="常规 3 2" xfId="289" xr:uid="{00000000-0005-0000-0000-00004F010000}"/>
    <cellStyle name="常规 3 2 2" xfId="290" xr:uid="{00000000-0005-0000-0000-000050010000}"/>
    <cellStyle name="常规 3 2 3" xfId="45" xr:uid="{00000000-0005-0000-0000-00005B000000}"/>
    <cellStyle name="常规 3 3" xfId="77" xr:uid="{00000000-0005-0000-0000-00007B000000}"/>
    <cellStyle name="常规 3_10存货" xfId="22" xr:uid="{00000000-0005-0000-0000-000035000000}"/>
    <cellStyle name="常规 4" xfId="291" xr:uid="{00000000-0005-0000-0000-000051010000}"/>
    <cellStyle name="常规 5" xfId="292" xr:uid="{00000000-0005-0000-0000-000052010000}"/>
    <cellStyle name="常规 6" xfId="13" xr:uid="{00000000-0005-0000-0000-000017000000}"/>
    <cellStyle name="常规 7" xfId="231" xr:uid="{00000000-0005-0000-0000-000015010000}"/>
    <cellStyle name="常规 8" xfId="293" xr:uid="{00000000-0005-0000-0000-000053010000}"/>
    <cellStyle name="常规 9" xfId="107" xr:uid="{00000000-0005-0000-0000-000099000000}"/>
    <cellStyle name="常规 9 2" xfId="40" xr:uid="{00000000-0005-0000-0000-000056000000}"/>
    <cellStyle name="常规_ZA 货币资金" xfId="294" xr:uid="{00000000-0005-0000-0000-000054010000}"/>
    <cellStyle name="超级链接_综合类底稿表格" xfId="295" xr:uid="{00000000-0005-0000-0000-000056010000}"/>
    <cellStyle name="超連結 2" xfId="352" xr:uid="{045072F4-5DEB-4B69-96CD-BF32EFE32D38}"/>
    <cellStyle name="超链接 2" xfId="114" xr:uid="{00000000-0005-0000-0000-0000A0000000}"/>
    <cellStyle name="超链接 2 2" xfId="297" xr:uid="{00000000-0005-0000-0000-000058010000}"/>
    <cellStyle name="超链接 2 3" xfId="298" xr:uid="{00000000-0005-0000-0000-000059010000}"/>
    <cellStyle name="超链接 3" xfId="299" xr:uid="{00000000-0005-0000-0000-00005A010000}"/>
    <cellStyle name="超链接 4" xfId="300" xr:uid="{00000000-0005-0000-0000-00005B010000}"/>
    <cellStyle name="超链接 5" xfId="371" xr:uid="{4B3D8B4A-8EE3-4CC5-8011-F3E0E8F74A9D}"/>
    <cellStyle name="好_10存货" xfId="301" xr:uid="{00000000-0005-0000-0000-00005C010000}"/>
    <cellStyle name="好_19-无形资产（空白模板）" xfId="302" xr:uid="{00000000-0005-0000-0000-00005D010000}"/>
    <cellStyle name="好_1财务费用" xfId="303" xr:uid="{00000000-0005-0000-0000-00005E010000}"/>
    <cellStyle name="好_1营业收入" xfId="304" xr:uid="{00000000-0005-0000-0000-00005F010000}"/>
    <cellStyle name="好_1资产减值损失" xfId="305" xr:uid="{00000000-0005-0000-0000-000060010000}"/>
    <cellStyle name="好_2-交易性金融资产（空白模板）" xfId="306" xr:uid="{00000000-0005-0000-0000-000061010000}"/>
    <cellStyle name="好_3-2 进一步审计程序-采购与付款循环" xfId="307" xr:uid="{00000000-0005-0000-0000-000062010000}"/>
    <cellStyle name="好_3-3 进一步审计程序-存货与生产循环" xfId="124" xr:uid="{00000000-0005-0000-0000-0000AA000000}"/>
    <cellStyle name="好_49-营业收入（空白模板）" xfId="3" xr:uid="{00000000-0005-0000-0000-000005000000}"/>
    <cellStyle name="好_4-应收账款（空白模板）" xfId="168" xr:uid="{00000000-0005-0000-0000-0000D6000000}"/>
    <cellStyle name="好_50-营业成本（空白模板）" xfId="52" xr:uid="{00000000-0005-0000-0000-000062000000}"/>
    <cellStyle name="好_51-营业税金及附加（空白模板）" xfId="309" xr:uid="{00000000-0005-0000-0000-000064010000}"/>
    <cellStyle name="好_54-财务费用（空白模板）" xfId="310" xr:uid="{00000000-0005-0000-0000-000065010000}"/>
    <cellStyle name="好_55-资产减值损失（空白模板）" xfId="51" xr:uid="{00000000-0005-0000-0000-000061000000}"/>
    <cellStyle name="好_9管理费用" xfId="192" xr:uid="{00000000-0005-0000-0000-0000EE000000}"/>
    <cellStyle name="好_Book2" xfId="311" xr:uid="{00000000-0005-0000-0000-000066010000}"/>
    <cellStyle name="好_Sheet1" xfId="113" xr:uid="{00000000-0005-0000-0000-00009F000000}"/>
    <cellStyle name="好_ZA0货币资金审定表 " xfId="312" xr:uid="{00000000-0005-0000-0000-000067010000}"/>
    <cellStyle name="好_财务费用" xfId="314" xr:uid="{00000000-0005-0000-0000-000069010000}"/>
    <cellStyle name="好_存货" xfId="219" xr:uid="{00000000-0005-0000-0000-000009010000}"/>
    <cellStyle name="好_存货 - 复制" xfId="36" xr:uid="{00000000-0005-0000-0000-000052000000}"/>
    <cellStyle name="好_大信底稿目录" xfId="102" xr:uid="{00000000-0005-0000-0000-000094000000}"/>
    <cellStyle name="好_底稿设置宏" xfId="316" xr:uid="{00000000-0005-0000-0000-00006B010000}"/>
    <cellStyle name="好_底稿设置宏_大信底稿目录" xfId="317" xr:uid="{00000000-0005-0000-0000-00006C010000}"/>
    <cellStyle name="好_货币资金" xfId="128" xr:uid="{00000000-0005-0000-0000-0000AE000000}"/>
    <cellStyle name="好_货币资金 天职" xfId="319" xr:uid="{00000000-0005-0000-0000-00006E010000}"/>
    <cellStyle name="好_货币资金 岳华" xfId="59" xr:uid="{00000000-0005-0000-0000-000069000000}"/>
    <cellStyle name="好_实收资本(股本)" xfId="320" xr:uid="{00000000-0005-0000-0000-00006F010000}"/>
    <cellStyle name="好_无形资产" xfId="321" xr:uid="{00000000-0005-0000-0000-000070010000}"/>
    <cellStyle name="好_银行函证结果汇总表" xfId="261" xr:uid="{00000000-0005-0000-0000-000033010000}"/>
    <cellStyle name="好_应付职工薪酬" xfId="163" xr:uid="{00000000-0005-0000-0000-0000D1000000}"/>
    <cellStyle name="好_应收利息" xfId="322" xr:uid="{00000000-0005-0000-0000-000071010000}"/>
    <cellStyle name="好_应收账款" xfId="109" xr:uid="{00000000-0005-0000-0000-00009B000000}"/>
    <cellStyle name="好_营业收入" xfId="285" xr:uid="{00000000-0005-0000-0000-00004B010000}"/>
    <cellStyle name="好_账项明细表" xfId="323" xr:uid="{00000000-0005-0000-0000-000072010000}"/>
    <cellStyle name="好_资产负债标准底稿" xfId="104" xr:uid="{00000000-0005-0000-0000-000096000000}"/>
    <cellStyle name="好_资产负债标准底稿_大信底稿目录" xfId="195" xr:uid="{00000000-0005-0000-0000-0000F1000000}"/>
    <cellStyle name="好_资产负债类底稿模版" xfId="313" xr:uid="{00000000-0005-0000-0000-000068010000}"/>
    <cellStyle name="好_资产负债类底稿模版_大信底稿目录" xfId="324" xr:uid="{00000000-0005-0000-0000-000073010000}"/>
    <cellStyle name="好_资产减值损失" xfId="19" xr:uid="{00000000-0005-0000-0000-000026000000}"/>
    <cellStyle name="桁区切り [0.00]_１１月価格表" xfId="248" xr:uid="{00000000-0005-0000-0000-000026010000}"/>
    <cellStyle name="桁区切り_１１月価格表" xfId="18" xr:uid="{00000000-0005-0000-0000-000025000000}"/>
    <cellStyle name="貨幣 [0]_SGV" xfId="325" xr:uid="{00000000-0005-0000-0000-000074010000}"/>
    <cellStyle name="貨幣_SGV" xfId="326" xr:uid="{00000000-0005-0000-0000-000075010000}"/>
    <cellStyle name="霓付 [0]_1202" xfId="160" xr:uid="{00000000-0005-0000-0000-0000CE000000}"/>
    <cellStyle name="霓付_1202" xfId="100" xr:uid="{00000000-0005-0000-0000-000092000000}"/>
    <cellStyle name="烹拳 [0]_1202" xfId="327" xr:uid="{00000000-0005-0000-0000-000076010000}"/>
    <cellStyle name="烹拳_1202" xfId="328" xr:uid="{00000000-0005-0000-0000-000077010000}"/>
    <cellStyle name="砯刽 [0]_PLDT" xfId="308" xr:uid="{00000000-0005-0000-0000-000063010000}"/>
    <cellStyle name="砯刽_PLDT" xfId="315" xr:uid="{00000000-0005-0000-0000-00006A010000}"/>
    <cellStyle name="普通_ 白土" xfId="139" xr:uid="{00000000-0005-0000-0000-0000B9000000}"/>
    <cellStyle name="千分位[0]_ 白土" xfId="70" xr:uid="{00000000-0005-0000-0000-000074000000}"/>
    <cellStyle name="千分位_ 白土" xfId="150" xr:uid="{00000000-0005-0000-0000-0000C4000000}"/>
    <cellStyle name="千位[0]_1995" xfId="33" xr:uid="{00000000-0005-0000-0000-00004C000000}"/>
    <cellStyle name="千位_1995" xfId="88" xr:uid="{00000000-0005-0000-0000-000086000000}"/>
    <cellStyle name="千位分隔" xfId="7" builtinId="3"/>
    <cellStyle name="千位分隔 10" xfId="372" xr:uid="{073C511E-942C-4A7F-9D9C-31145FFBDB17}"/>
    <cellStyle name="千位分隔 2" xfId="329" xr:uid="{00000000-0005-0000-0000-000078010000}"/>
    <cellStyle name="千位分隔 2 2" xfId="330" xr:uid="{00000000-0005-0000-0000-000079010000}"/>
    <cellStyle name="千位分隔 2 2 2" xfId="157" xr:uid="{00000000-0005-0000-0000-0000CB000000}"/>
    <cellStyle name="千位分隔 2 3" xfId="331" xr:uid="{00000000-0005-0000-0000-00007A010000}"/>
    <cellStyle name="千位分隔 3" xfId="120" xr:uid="{00000000-0005-0000-0000-0000A6000000}"/>
    <cellStyle name="千位分隔 3 2" xfId="122" xr:uid="{00000000-0005-0000-0000-0000A8000000}"/>
    <cellStyle name="千位分隔 3 2 2" xfId="332" xr:uid="{00000000-0005-0000-0000-00007B010000}"/>
    <cellStyle name="千位分隔 3 3" xfId="333" xr:uid="{00000000-0005-0000-0000-00007C010000}"/>
    <cellStyle name="千位分隔 4" xfId="117" xr:uid="{00000000-0005-0000-0000-0000A3000000}"/>
    <cellStyle name="千位分隔 4 2" xfId="334" xr:uid="{00000000-0005-0000-0000-00007D010000}"/>
    <cellStyle name="千位分隔 5" xfId="335" xr:uid="{00000000-0005-0000-0000-00007E010000}"/>
    <cellStyle name="千位分隔 5 2" xfId="182" xr:uid="{00000000-0005-0000-0000-0000E4000000}"/>
    <cellStyle name="千位分隔 6" xfId="336" xr:uid="{00000000-0005-0000-0000-00007F010000}"/>
    <cellStyle name="千位分隔 7" xfId="337" xr:uid="{00000000-0005-0000-0000-000080010000}"/>
    <cellStyle name="千位分隔 7 3" xfId="338" xr:uid="{00000000-0005-0000-0000-000081010000}"/>
    <cellStyle name="千位分隔 7 3 2" xfId="198" xr:uid="{00000000-0005-0000-0000-0000F4000000}"/>
    <cellStyle name="千位分隔 8" xfId="339" xr:uid="{00000000-0005-0000-0000-000082010000}"/>
    <cellStyle name="千位分隔 9" xfId="340" xr:uid="{00000000-0005-0000-0000-000083010000}"/>
    <cellStyle name="千位分隔[0] 2" xfId="25" xr:uid="{00000000-0005-0000-0000-00003D000000}"/>
    <cellStyle name="千位分隔[0] 2 2" xfId="155" xr:uid="{00000000-0005-0000-0000-0000C9000000}"/>
    <cellStyle name="钎霖_(沥焊何巩)岿喊牢盔拌裙" xfId="341" xr:uid="{00000000-0005-0000-0000-000084010000}"/>
    <cellStyle name="强调 1" xfId="318" xr:uid="{00000000-0005-0000-0000-00006D010000}"/>
    <cellStyle name="强调 2" xfId="342" xr:uid="{00000000-0005-0000-0000-000085010000}"/>
    <cellStyle name="强调 3" xfId="283" xr:uid="{00000000-0005-0000-0000-000049010000}"/>
    <cellStyle name="通貨 [0.00]_１１月価格表" xfId="209" xr:uid="{00000000-0005-0000-0000-0000FF000000}"/>
    <cellStyle name="通貨_１１月価格表" xfId="343" xr:uid="{00000000-0005-0000-0000-000086010000}"/>
    <cellStyle name="样式 1" xfId="205" xr:uid="{00000000-0005-0000-0000-0000FB000000}"/>
    <cellStyle name="一般 2" xfId="350" xr:uid="{554C8AFB-5521-4682-80C8-936BF2BD7E61}"/>
    <cellStyle name="一般_SGV" xfId="344" xr:uid="{00000000-0005-0000-0000-000087010000}"/>
    <cellStyle name="昗弨_BOOKSHIP" xfId="27" xr:uid="{00000000-0005-0000-0000-000040000000}"/>
    <cellStyle name="寘嬫愗傝 [0.00]_PRODUCT DETAIL Q1" xfId="345" xr:uid="{00000000-0005-0000-0000-000088010000}"/>
    <cellStyle name="寘嬫愗傝_PRODUCT DETAIL Q1" xfId="296" xr:uid="{00000000-0005-0000-0000-000057010000}"/>
    <cellStyle name="资产" xfId="346" xr:uid="{00000000-0005-0000-0000-000089010000}"/>
    <cellStyle name="콤마 [0]_BOILER-CO1" xfId="347" xr:uid="{00000000-0005-0000-0000-00008A010000}"/>
    <cellStyle name="콤마_BOILER-CO1" xfId="348" xr:uid="{00000000-0005-0000-0000-00008B010000}"/>
    <cellStyle name="통화 [0]_BOILER-CO1" xfId="349" xr:uid="{00000000-0005-0000-0000-00008C010000}"/>
    <cellStyle name="통화_BOILER-CO1" xfId="48" xr:uid="{00000000-0005-0000-0000-00005E000000}"/>
    <cellStyle name="표준_0N-HANDLING " xfId="256" xr:uid="{00000000-0005-0000-0000-00002E010000}"/>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79"/>
        </patternFill>
      </fill>
    </dxf>
    <dxf>
      <fill>
        <patternFill patternType="solid">
          <bgColor rgb="FFFFFFCC"/>
        </patternFill>
      </fill>
    </dxf>
    <dxf>
      <fill>
        <patternFill>
          <bgColor rgb="FFFFFFCC"/>
        </patternFill>
      </fill>
    </dxf>
  </dxfs>
  <tableStyles count="0" defaultTableStyle="TableStyleMedium2" defaultPivotStyle="PivotStyleLight16"/>
  <colors>
    <mruColors>
      <color rgb="FF0563C1"/>
      <color rgb="FFD9E1F2"/>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J1_%E5%9C%A8%E5%BB%BA%E5%B7%A5%E7%A8%8B"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J1_%E5%9C%A8%E5%BB%BA%E5%B7%A5%E7%A8%8B_202YMMDD_XYZ%E5%85%AC%E5%8F%B8_Read-me-and-Delete-me.aspx#:~:text=J.02%2D%E6%B3%A8%E9%87%8A,population%20is%20needed."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J1_%E5%9C%A8%E5%BB%BA%E5%B7%A5%E7%A8%8B_202YMMDD_XYZ%E5%85%AC%E5%8F%B8_Read-me-and-Delete-me.aspx#:~:text=J.00_Lead%2D%E6%B3%A8%E9%87%8A,%E8%AE%B0%E5%BD%95%E7%9B%B8%E5%85%B3%E5%8E%9F%E5%9B%A0%E3%80%82" TargetMode="Externa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2000250</xdr:colOff>
      <xdr:row>9</xdr:row>
      <xdr:rowOff>209550</xdr:rowOff>
    </xdr:from>
    <xdr:to>
      <xdr:col>4</xdr:col>
      <xdr:colOff>2219325</xdr:colOff>
      <xdr:row>9</xdr:row>
      <xdr:rowOff>419100</xdr:rowOff>
    </xdr:to>
    <xdr:pic>
      <xdr:nvPicPr>
        <xdr:cNvPr id="11" name="图片 1">
          <a:hlinkClick xmlns:r="http://schemas.openxmlformats.org/officeDocument/2006/relationships" r:id="rId1" tooltip="US 项目代表性样本抽样规则"/>
          <a:extLst>
            <a:ext uri="{FF2B5EF4-FFF2-40B4-BE49-F238E27FC236}">
              <a16:creationId xmlns:a16="http://schemas.microsoft.com/office/drawing/2014/main" id="{2B5B5DC0-7172-4C7D-A73E-A6EB91736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3675" y="2552700"/>
          <a:ext cx="219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1990725</xdr:colOff>
      <xdr:row>12</xdr:row>
      <xdr:rowOff>276225</xdr:rowOff>
    </xdr:from>
    <xdr:to>
      <xdr:col>4</xdr:col>
      <xdr:colOff>2209800</xdr:colOff>
      <xdr:row>12</xdr:row>
      <xdr:rowOff>504825</xdr:rowOff>
    </xdr:to>
    <xdr:pic>
      <xdr:nvPicPr>
        <xdr:cNvPr id="12" name="图片 4">
          <a:hlinkClick xmlns:r="http://schemas.openxmlformats.org/officeDocument/2006/relationships" r:id="rId1" tooltip="US 项目代表性样本抽样规则"/>
          <a:extLst>
            <a:ext uri="{FF2B5EF4-FFF2-40B4-BE49-F238E27FC236}">
              <a16:creationId xmlns:a16="http://schemas.microsoft.com/office/drawing/2014/main" id="{B61607A0-53B4-4428-9762-C5A505DC1C14}"/>
            </a:ext>
            <a:ext uri="{147F2762-F138-4A5C-976F-8EAC2B608ADB}">
              <a16:predDERef xmlns:a16="http://schemas.microsoft.com/office/drawing/2014/main" pred="{2B5B5DC0-7172-4C7D-A73E-A6EB91736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4150" y="3581400"/>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937986</xdr:colOff>
      <xdr:row>3</xdr:row>
      <xdr:rowOff>30389</xdr:rowOff>
    </xdr:from>
    <xdr:ext cx="159657" cy="154961"/>
    <xdr:pic>
      <xdr:nvPicPr>
        <xdr:cNvPr id="4" name="图片 1">
          <a:hlinkClick xmlns:r="http://schemas.openxmlformats.org/officeDocument/2006/relationships" r:id="rId3" tooltip="Altas PSP 链接"/>
          <a:extLst>
            <a:ext uri="{FF2B5EF4-FFF2-40B4-BE49-F238E27FC236}">
              <a16:creationId xmlns:a16="http://schemas.microsoft.com/office/drawing/2014/main" id="{D9CCB550-CBB6-4861-A7D8-AD8292E0EF0C}"/>
            </a:ext>
            <a:ext uri="{147F2762-F138-4A5C-976F-8EAC2B608ADB}">
              <a16:predDERef xmlns:a16="http://schemas.microsoft.com/office/drawing/2014/main" pred="{B61607A0-53B4-4428-9762-C5A505DC1C14}"/>
            </a:ext>
          </a:extLst>
        </xdr:cNvPr>
        <xdr:cNvPicPr>
          <a:picLocks noChangeAspect="1"/>
        </xdr:cNvPicPr>
      </xdr:nvPicPr>
      <xdr:blipFill>
        <a:blip xmlns:r="http://schemas.openxmlformats.org/officeDocument/2006/relationships" r:embed="rId4"/>
        <a:stretch>
          <a:fillRect/>
        </a:stretch>
      </xdr:blipFill>
      <xdr:spPr>
        <a:xfrm>
          <a:off x="1137557" y="511175"/>
          <a:ext cx="159657" cy="154961"/>
        </a:xfrm>
        <a:prstGeom prst="rect">
          <a:avLst/>
        </a:prstGeom>
      </xdr:spPr>
    </xdr:pic>
    <xdr:clientData/>
  </xdr:oneCellAnchor>
  <xdr:twoCellAnchor>
    <xdr:from>
      <xdr:col>6</xdr:col>
      <xdr:colOff>813153</xdr:colOff>
      <xdr:row>3</xdr:row>
      <xdr:rowOff>18144</xdr:rowOff>
    </xdr:from>
    <xdr:to>
      <xdr:col>6</xdr:col>
      <xdr:colOff>1064085</xdr:colOff>
      <xdr:row>3</xdr:row>
      <xdr:rowOff>181430</xdr:rowOff>
    </xdr:to>
    <xdr:pic>
      <xdr:nvPicPr>
        <xdr:cNvPr id="3" name="图片 2">
          <a:hlinkClick xmlns:r="http://schemas.openxmlformats.org/officeDocument/2006/relationships" r:id="rId5" tooltip="预审&amp;年审工作注意事项"/>
          <a:extLst>
            <a:ext uri="{FF2B5EF4-FFF2-40B4-BE49-F238E27FC236}">
              <a16:creationId xmlns:a16="http://schemas.microsoft.com/office/drawing/2014/main" id="{F688022E-EA75-4480-95DA-388E50BF7B28}"/>
            </a:ext>
            <a:ext uri="{147F2762-F138-4A5C-976F-8EAC2B608ADB}">
              <a16:predDERef xmlns:a16="http://schemas.microsoft.com/office/drawing/2014/main" pred="{D9CCB550-CBB6-4861-A7D8-AD8292E0EF0C}"/>
            </a:ext>
          </a:extLst>
        </xdr:cNvPr>
        <xdr:cNvPicPr>
          <a:picLocks noChangeAspect="1"/>
        </xdr:cNvPicPr>
      </xdr:nvPicPr>
      <xdr:blipFill>
        <a:blip xmlns:r="http://schemas.openxmlformats.org/officeDocument/2006/relationships" r:embed="rId4"/>
        <a:stretch>
          <a:fillRect/>
        </a:stretch>
      </xdr:blipFill>
      <xdr:spPr>
        <a:xfrm>
          <a:off x="9612439" y="498930"/>
          <a:ext cx="250932" cy="163286"/>
        </a:xfrm>
        <a:prstGeom prst="rect">
          <a:avLst/>
        </a:prstGeom>
      </xdr:spPr>
    </xdr:pic>
    <xdr:clientData/>
  </xdr:twoCellAnchor>
  <xdr:oneCellAnchor>
    <xdr:from>
      <xdr:col>3</xdr:col>
      <xdr:colOff>353786</xdr:colOff>
      <xdr:row>3</xdr:row>
      <xdr:rowOff>0</xdr:rowOff>
    </xdr:from>
    <xdr:ext cx="205343" cy="199303"/>
    <xdr:pic>
      <xdr:nvPicPr>
        <xdr:cNvPr id="14" name="图片 13">
          <a:hlinkClick xmlns:r="http://schemas.openxmlformats.org/officeDocument/2006/relationships" r:id="rId6" tooltip="如需帮助请点击"/>
          <a:extLst>
            <a:ext uri="{FF2B5EF4-FFF2-40B4-BE49-F238E27FC236}">
              <a16:creationId xmlns:a16="http://schemas.microsoft.com/office/drawing/2014/main" id="{CD25C2F0-1644-4306-BC0B-B4E0A005C16A}"/>
            </a:ext>
          </a:extLst>
        </xdr:cNvPr>
        <xdr:cNvPicPr>
          <a:picLocks noChangeAspect="1"/>
        </xdr:cNvPicPr>
      </xdr:nvPicPr>
      <xdr:blipFill>
        <a:blip xmlns:r="http://schemas.openxmlformats.org/officeDocument/2006/relationships" r:embed="rId4"/>
        <a:stretch>
          <a:fillRect/>
        </a:stretch>
      </xdr:blipFill>
      <xdr:spPr>
        <a:xfrm>
          <a:off x="3519715" y="480786"/>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66221</xdr:rowOff>
    </xdr:from>
    <xdr:to>
      <xdr:col>1</xdr:col>
      <xdr:colOff>554551</xdr:colOff>
      <xdr:row>0</xdr:row>
      <xdr:rowOff>583927</xdr:rowOff>
    </xdr:to>
    <xdr:pic>
      <xdr:nvPicPr>
        <xdr:cNvPr id="2" name="Picture 1">
          <a:extLst>
            <a:ext uri="{FF2B5EF4-FFF2-40B4-BE49-F238E27FC236}">
              <a16:creationId xmlns:a16="http://schemas.microsoft.com/office/drawing/2014/main" id="{E17EB326-52BF-472C-8FAE-4EB26E157881}"/>
            </a:ext>
          </a:extLst>
        </xdr:cNvPr>
        <xdr:cNvPicPr>
          <a:picLocks noChangeAspect="1"/>
        </xdr:cNvPicPr>
      </xdr:nvPicPr>
      <xdr:blipFill>
        <a:blip xmlns:r="http://schemas.openxmlformats.org/officeDocument/2006/relationships" r:embed="rId1"/>
        <a:stretch>
          <a:fillRect/>
        </a:stretch>
      </xdr:blipFill>
      <xdr:spPr>
        <a:xfrm>
          <a:off x="260350" y="66221"/>
          <a:ext cx="491051" cy="517706"/>
        </a:xfrm>
        <a:prstGeom prst="rect">
          <a:avLst/>
        </a:prstGeom>
      </xdr:spPr>
    </xdr:pic>
    <xdr:clientData/>
  </xdr:twoCellAnchor>
  <xdr:twoCellAnchor>
    <xdr:from>
      <xdr:col>8</xdr:col>
      <xdr:colOff>601889</xdr:colOff>
      <xdr:row>2</xdr:row>
      <xdr:rowOff>119289</xdr:rowOff>
    </xdr:from>
    <xdr:to>
      <xdr:col>12</xdr:col>
      <xdr:colOff>609600</xdr:colOff>
      <xdr:row>7</xdr:row>
      <xdr:rowOff>65687</xdr:rowOff>
    </xdr:to>
    <xdr:sp macro="" textlink="">
      <xdr:nvSpPr>
        <xdr:cNvPr id="4" name="TextBox 5">
          <a:extLst>
            <a:ext uri="{FF2B5EF4-FFF2-40B4-BE49-F238E27FC236}">
              <a16:creationId xmlns:a16="http://schemas.microsoft.com/office/drawing/2014/main" id="{60456397-BCCF-46F6-A9FC-4CD75B79DF64}"/>
            </a:ext>
            <a:ext uri="{147F2762-F138-4A5C-976F-8EAC2B608ADB}">
              <a16:predDERef xmlns:a16="http://schemas.microsoft.com/office/drawing/2014/main" pred="{E17EB326-52BF-472C-8FAE-4EB26E157881}"/>
            </a:ext>
          </a:extLst>
        </xdr:cNvPr>
        <xdr:cNvSpPr txBox="1"/>
      </xdr:nvSpPr>
      <xdr:spPr>
        <a:xfrm>
          <a:off x="11155589" y="938439"/>
          <a:ext cx="4713061" cy="89889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xdr:col>
      <xdr:colOff>635001</xdr:colOff>
      <xdr:row>51</xdr:row>
      <xdr:rowOff>104321</xdr:rowOff>
    </xdr:from>
    <xdr:to>
      <xdr:col>1</xdr:col>
      <xdr:colOff>852716</xdr:colOff>
      <xdr:row>52</xdr:row>
      <xdr:rowOff>157454</xdr:rowOff>
    </xdr:to>
    <xdr:pic>
      <xdr:nvPicPr>
        <xdr:cNvPr id="5" name="图片 2">
          <a:hlinkClick xmlns:r="http://schemas.openxmlformats.org/officeDocument/2006/relationships" r:id="rId2" tooltip="对于变动超过X%金额超过RMBXX元的变动进行变动原因分析"/>
          <a:extLst>
            <a:ext uri="{FF2B5EF4-FFF2-40B4-BE49-F238E27FC236}">
              <a16:creationId xmlns:a16="http://schemas.microsoft.com/office/drawing/2014/main" id="{BE51B17B-1AD1-FDFE-CA39-F50A8E8651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5501" y="11461750"/>
          <a:ext cx="217715" cy="243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31749</xdr:colOff>
      <xdr:row>0</xdr:row>
      <xdr:rowOff>42332</xdr:rowOff>
    </xdr:from>
    <xdr:to>
      <xdr:col>1</xdr:col>
      <xdr:colOff>522800</xdr:colOff>
      <xdr:row>0</xdr:row>
      <xdr:rowOff>561308</xdr:rowOff>
    </xdr:to>
    <xdr:pic>
      <xdr:nvPicPr>
        <xdr:cNvPr id="2" name="Picture 3">
          <a:extLst>
            <a:ext uri="{FF2B5EF4-FFF2-40B4-BE49-F238E27FC236}">
              <a16:creationId xmlns:a16="http://schemas.microsoft.com/office/drawing/2014/main" id="{A0385856-DFF9-4E2C-A5FF-9EE5256D7B59}"/>
            </a:ext>
          </a:extLst>
        </xdr:cNvPr>
        <xdr:cNvPicPr>
          <a:picLocks noChangeAspect="1"/>
        </xdr:cNvPicPr>
      </xdr:nvPicPr>
      <xdr:blipFill>
        <a:blip xmlns:r="http://schemas.openxmlformats.org/officeDocument/2006/relationships" r:embed="rId1"/>
        <a:stretch>
          <a:fillRect/>
        </a:stretch>
      </xdr:blipFill>
      <xdr:spPr>
        <a:xfrm>
          <a:off x="222249" y="42332"/>
          <a:ext cx="491051" cy="518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31749</xdr:colOff>
      <xdr:row>0</xdr:row>
      <xdr:rowOff>42332</xdr:rowOff>
    </xdr:from>
    <xdr:to>
      <xdr:col>1</xdr:col>
      <xdr:colOff>522800</xdr:colOff>
      <xdr:row>0</xdr:row>
      <xdr:rowOff>561308</xdr:rowOff>
    </xdr:to>
    <xdr:pic>
      <xdr:nvPicPr>
        <xdr:cNvPr id="4" name="Picture 3">
          <a:extLst>
            <a:ext uri="{FF2B5EF4-FFF2-40B4-BE49-F238E27FC236}">
              <a16:creationId xmlns:a16="http://schemas.microsoft.com/office/drawing/2014/main" id="{5B09916F-AB58-4979-BD39-1BCC7E20D6E2}"/>
            </a:ext>
          </a:extLst>
        </xdr:cNvPr>
        <xdr:cNvPicPr>
          <a:picLocks noChangeAspect="1"/>
        </xdr:cNvPicPr>
      </xdr:nvPicPr>
      <xdr:blipFill>
        <a:blip xmlns:r="http://schemas.openxmlformats.org/officeDocument/2006/relationships" r:embed="rId1"/>
        <a:stretch>
          <a:fillRect/>
        </a:stretch>
      </xdr:blipFill>
      <xdr:spPr>
        <a:xfrm>
          <a:off x="402166" y="42332"/>
          <a:ext cx="491051" cy="518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31750</xdr:colOff>
      <xdr:row>0</xdr:row>
      <xdr:rowOff>42333</xdr:rowOff>
    </xdr:from>
    <xdr:to>
      <xdr:col>1</xdr:col>
      <xdr:colOff>444500</xdr:colOff>
      <xdr:row>0</xdr:row>
      <xdr:rowOff>607787</xdr:rowOff>
    </xdr:to>
    <xdr:pic>
      <xdr:nvPicPr>
        <xdr:cNvPr id="4" name="Picture 3">
          <a:extLst>
            <a:ext uri="{FF2B5EF4-FFF2-40B4-BE49-F238E27FC236}">
              <a16:creationId xmlns:a16="http://schemas.microsoft.com/office/drawing/2014/main" id="{67FA183B-3756-4457-B777-893A60109C8B}"/>
            </a:ext>
          </a:extLst>
        </xdr:cNvPr>
        <xdr:cNvPicPr>
          <a:picLocks noChangeAspect="1"/>
        </xdr:cNvPicPr>
      </xdr:nvPicPr>
      <xdr:blipFill>
        <a:blip xmlns:r="http://schemas.openxmlformats.org/officeDocument/2006/relationships" r:embed="rId1"/>
        <a:stretch>
          <a:fillRect/>
        </a:stretch>
      </xdr:blipFill>
      <xdr:spPr>
        <a:xfrm>
          <a:off x="231321" y="42333"/>
          <a:ext cx="412750" cy="5654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582476</xdr:rowOff>
    </xdr:to>
    <xdr:pic>
      <xdr:nvPicPr>
        <xdr:cNvPr id="2" name="Picture 2">
          <a:extLst>
            <a:ext uri="{FF2B5EF4-FFF2-40B4-BE49-F238E27FC236}">
              <a16:creationId xmlns:a16="http://schemas.microsoft.com/office/drawing/2014/main" id="{7F94F105-FC24-4B36-9F55-2535C12E08B3}"/>
            </a:ext>
          </a:extLst>
        </xdr:cNvPr>
        <xdr:cNvPicPr>
          <a:picLocks noChangeAspect="1"/>
        </xdr:cNvPicPr>
      </xdr:nvPicPr>
      <xdr:blipFill>
        <a:blip xmlns:r="http://schemas.openxmlformats.org/officeDocument/2006/relationships" r:embed="rId1"/>
        <a:stretch>
          <a:fillRect/>
        </a:stretch>
      </xdr:blipFill>
      <xdr:spPr>
        <a:xfrm>
          <a:off x="266700" y="63500"/>
          <a:ext cx="491051" cy="5189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Relationship Id="rId1"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9D73-9898-464A-A89E-096AE80E99E8}">
  <dimension ref="A1:N19"/>
  <sheetViews>
    <sheetView showGridLines="0" tabSelected="1" zoomScale="70" zoomScaleNormal="70" workbookViewId="0">
      <selection activeCell="L13" sqref="L13"/>
    </sheetView>
  </sheetViews>
  <sheetFormatPr defaultColWidth="8.75" defaultRowHeight="22" customHeight="1"/>
  <cols>
    <col min="1" max="1" width="2.58203125" style="118" customWidth="1"/>
    <col min="2" max="2" width="15.33203125" style="118" customWidth="1"/>
    <col min="3" max="3" width="23.58203125" style="254" customWidth="1"/>
    <col min="4" max="4" width="18.25" style="118" customWidth="1"/>
    <col min="5" max="5" width="29.58203125" style="118" customWidth="1"/>
    <col min="6" max="6" width="26.08203125" style="118" customWidth="1"/>
    <col min="7" max="7" width="14.58203125" style="118" customWidth="1"/>
    <col min="8" max="8" width="16.83203125" style="118" bestFit="1" customWidth="1"/>
    <col min="9" max="16384" width="8.75" style="118"/>
  </cols>
  <sheetData>
    <row r="1" spans="1:14" ht="20">
      <c r="A1" s="462" t="s">
        <v>0</v>
      </c>
      <c r="B1" s="117"/>
      <c r="C1" s="119"/>
      <c r="D1" s="117"/>
      <c r="E1" s="117"/>
      <c r="F1" s="117"/>
    </row>
    <row r="2" spans="1:14" ht="18">
      <c r="B2" s="368" t="s">
        <v>1</v>
      </c>
      <c r="C2" s="119"/>
      <c r="D2" s="369" t="s">
        <v>2</v>
      </c>
      <c r="E2" s="117"/>
      <c r="F2" s="117"/>
    </row>
    <row r="3" spans="1:14" ht="10" customHeight="1">
      <c r="B3" s="117"/>
      <c r="C3" s="119"/>
      <c r="D3" s="117"/>
      <c r="E3" s="117"/>
      <c r="F3" s="117"/>
    </row>
    <row r="4" spans="1:14" s="359" customFormat="1" ht="15" customHeight="1">
      <c r="B4" s="289" t="s">
        <v>3</v>
      </c>
      <c r="C4" s="477" t="s">
        <v>4</v>
      </c>
      <c r="D4" s="478"/>
      <c r="E4" s="479"/>
      <c r="F4" s="290" t="s">
        <v>5</v>
      </c>
      <c r="G4" s="290" t="s">
        <v>6</v>
      </c>
      <c r="H4" s="270" t="s">
        <v>7</v>
      </c>
    </row>
    <row r="5" spans="1:14" ht="39" customHeight="1">
      <c r="B5" s="291">
        <v>1</v>
      </c>
      <c r="C5" s="472" t="s">
        <v>8</v>
      </c>
      <c r="D5" s="472"/>
      <c r="E5" s="472"/>
      <c r="F5" s="458" t="s">
        <v>9</v>
      </c>
      <c r="G5" s="390"/>
      <c r="H5" s="361"/>
      <c r="I5" s="119"/>
      <c r="J5" s="119"/>
      <c r="K5" s="119"/>
      <c r="L5" s="119"/>
      <c r="M5" s="119"/>
      <c r="N5" s="119"/>
    </row>
    <row r="6" spans="1:14" s="359" customFormat="1" ht="15" customHeight="1">
      <c r="B6" s="289" t="s">
        <v>10</v>
      </c>
      <c r="C6" s="480" t="s">
        <v>11</v>
      </c>
      <c r="D6" s="480"/>
      <c r="E6" s="480"/>
      <c r="F6" s="290" t="s">
        <v>5</v>
      </c>
      <c r="G6" s="290" t="s">
        <v>6</v>
      </c>
      <c r="H6" s="290" t="s">
        <v>7</v>
      </c>
    </row>
    <row r="7" spans="1:14" ht="28.5" customHeight="1">
      <c r="B7" s="291">
        <v>1</v>
      </c>
      <c r="C7" s="476" t="s">
        <v>12</v>
      </c>
      <c r="D7" s="476"/>
      <c r="E7" s="476"/>
      <c r="F7" s="458" t="s">
        <v>13</v>
      </c>
      <c r="G7" s="390"/>
      <c r="H7" s="362"/>
    </row>
    <row r="8" spans="1:14" s="359" customFormat="1" ht="15" customHeight="1">
      <c r="B8" s="292" t="s">
        <v>14</v>
      </c>
      <c r="C8" s="481" t="s">
        <v>15</v>
      </c>
      <c r="D8" s="468"/>
      <c r="E8" s="468"/>
      <c r="F8" s="293" t="s">
        <v>5</v>
      </c>
      <c r="G8" s="290" t="s">
        <v>6</v>
      </c>
      <c r="H8" s="290" t="s">
        <v>7</v>
      </c>
    </row>
    <row r="9" spans="1:14" ht="24" customHeight="1">
      <c r="B9" s="291">
        <v>1</v>
      </c>
      <c r="C9" s="472" t="s">
        <v>16</v>
      </c>
      <c r="D9" s="472"/>
      <c r="E9" s="472"/>
      <c r="F9" s="464" t="s">
        <v>17</v>
      </c>
      <c r="G9" s="390"/>
      <c r="H9" s="363"/>
    </row>
    <row r="10" spans="1:14" ht="36" customHeight="1">
      <c r="B10" s="291">
        <v>2</v>
      </c>
      <c r="C10" s="471" t="s">
        <v>18</v>
      </c>
      <c r="D10" s="471"/>
      <c r="E10" s="471"/>
      <c r="F10" s="464"/>
      <c r="G10" s="390"/>
      <c r="H10" s="362"/>
    </row>
    <row r="11" spans="1:14" s="359" customFormat="1" ht="15" customHeight="1">
      <c r="B11" s="292" t="s">
        <v>19</v>
      </c>
      <c r="C11" s="468" t="s">
        <v>20</v>
      </c>
      <c r="D11" s="468"/>
      <c r="E11" s="468"/>
      <c r="F11" s="293" t="s">
        <v>5</v>
      </c>
      <c r="G11" s="290" t="s">
        <v>6</v>
      </c>
      <c r="H11" s="290" t="s">
        <v>7</v>
      </c>
    </row>
    <row r="12" spans="1:14" ht="24.75" customHeight="1">
      <c r="B12" s="295">
        <v>1</v>
      </c>
      <c r="C12" s="472" t="s">
        <v>21</v>
      </c>
      <c r="D12" s="472"/>
      <c r="E12" s="472"/>
      <c r="F12" s="465" t="s">
        <v>22</v>
      </c>
      <c r="G12" s="390"/>
      <c r="H12" s="363"/>
    </row>
    <row r="13" spans="1:14" ht="41.25" customHeight="1">
      <c r="B13" s="295">
        <v>2</v>
      </c>
      <c r="C13" s="471" t="s">
        <v>23</v>
      </c>
      <c r="D13" s="471"/>
      <c r="E13" s="471"/>
      <c r="F13" s="466"/>
      <c r="G13" s="390"/>
      <c r="H13" s="363"/>
    </row>
    <row r="14" spans="1:14" ht="26.25" customHeight="1">
      <c r="B14" s="295">
        <v>3</v>
      </c>
      <c r="C14" s="472" t="s">
        <v>24</v>
      </c>
      <c r="D14" s="472"/>
      <c r="E14" s="472"/>
      <c r="F14" s="467"/>
      <c r="G14" s="390"/>
      <c r="H14" s="363"/>
    </row>
    <row r="15" spans="1:14" s="359" customFormat="1" ht="15" customHeight="1">
      <c r="B15" s="292" t="s">
        <v>25</v>
      </c>
      <c r="C15" s="468" t="s">
        <v>26</v>
      </c>
      <c r="D15" s="468"/>
      <c r="E15" s="468"/>
      <c r="F15" s="293" t="s">
        <v>5</v>
      </c>
      <c r="G15" s="290" t="s">
        <v>6</v>
      </c>
      <c r="H15" s="290" t="s">
        <v>7</v>
      </c>
    </row>
    <row r="16" spans="1:14" ht="21.75" customHeight="1">
      <c r="B16" s="295">
        <v>1</v>
      </c>
      <c r="C16" s="471" t="s">
        <v>27</v>
      </c>
      <c r="D16" s="471"/>
      <c r="E16" s="471"/>
      <c r="F16" s="469" t="s">
        <v>28</v>
      </c>
      <c r="G16" s="390"/>
      <c r="H16" s="363"/>
    </row>
    <row r="17" spans="2:8" ht="29.25" customHeight="1">
      <c r="B17" s="295">
        <v>2</v>
      </c>
      <c r="C17" s="471" t="s">
        <v>29</v>
      </c>
      <c r="D17" s="471"/>
      <c r="E17" s="471"/>
      <c r="F17" s="470"/>
      <c r="G17" s="390"/>
      <c r="H17" s="363"/>
    </row>
    <row r="18" spans="2:8" ht="15" customHeight="1">
      <c r="B18" s="358" t="s">
        <v>30</v>
      </c>
      <c r="C18" s="473" t="s">
        <v>31</v>
      </c>
      <c r="D18" s="474"/>
      <c r="E18" s="475"/>
      <c r="F18" s="356" t="s">
        <v>5</v>
      </c>
      <c r="G18" s="356" t="s">
        <v>6</v>
      </c>
      <c r="H18" s="356" t="s">
        <v>7</v>
      </c>
    </row>
    <row r="19" spans="2:8" ht="81.75" customHeight="1">
      <c r="B19" s="357">
        <v>1</v>
      </c>
      <c r="C19" s="471" t="s">
        <v>32</v>
      </c>
      <c r="D19" s="471"/>
      <c r="E19" s="471"/>
      <c r="F19" s="458" t="s">
        <v>33</v>
      </c>
      <c r="G19" s="360"/>
      <c r="H19" s="364"/>
    </row>
  </sheetData>
  <mergeCells count="19">
    <mergeCell ref="C18:E18"/>
    <mergeCell ref="C19:E19"/>
    <mergeCell ref="C7:E7"/>
    <mergeCell ref="C4:E4"/>
    <mergeCell ref="C5:E5"/>
    <mergeCell ref="C6:E6"/>
    <mergeCell ref="C8:E8"/>
    <mergeCell ref="C9:E9"/>
    <mergeCell ref="C10:E10"/>
    <mergeCell ref="C12:E12"/>
    <mergeCell ref="F9:F10"/>
    <mergeCell ref="F12:F14"/>
    <mergeCell ref="C15:E15"/>
    <mergeCell ref="F16:F17"/>
    <mergeCell ref="C11:E11"/>
    <mergeCell ref="C16:E16"/>
    <mergeCell ref="C17:E17"/>
    <mergeCell ref="C13:E13"/>
    <mergeCell ref="C14:E14"/>
  </mergeCells>
  <phoneticPr fontId="75" type="noConversion"/>
  <conditionalFormatting sqref="G5 G7 G9:G10 G12:G14 G16:G17">
    <cfRule type="containsBlanks" dxfId="50" priority="18">
      <formula>LEN(TRIM(G5))=0</formula>
    </cfRule>
  </conditionalFormatting>
  <conditionalFormatting sqref="H5 H7 H9:H10 H12:H14 H16:H17">
    <cfRule type="expression" dxfId="49" priority="1">
      <formula>SUMPRODUCT((G5="否")*(LEN(H5)=0))</formula>
    </cfRule>
  </conditionalFormatting>
  <conditionalFormatting sqref="I5:N5">
    <cfRule type="expression" dxfId="48" priority="143">
      <formula>SUMPRODUCT((#REF!="No")*(LEN(I5)=0))</formula>
    </cfRule>
  </conditionalFormatting>
  <dataValidations count="1">
    <dataValidation type="list" allowBlank="1" showInputMessage="1" sqref="G5 G12:G14 G9:G10 G7 G16:G17" xr:uid="{405A6AAD-7204-4253-9B95-928749814C33}">
      <formula1>"是,否"</formula1>
    </dataValidation>
  </dataValidations>
  <hyperlinks>
    <hyperlink ref="F5" location="'J.00  Lead Sheet'!A1" display="J.00 Lead sheet" xr:uid="{79741228-E5C4-4F1E-994D-330192D8A604}"/>
    <hyperlink ref="F7" location="'J.01 Agree SL to GL'!A1" display="J.01 Agree SL to GL" xr:uid="{5E7AD388-069F-4A51-83D5-4E13F4E0032B}"/>
    <hyperlink ref="F9:F10" location="'J.02.1 CIP additions(TOD)'!A1" display="J.02.1 CIP additions(TOD)" xr:uid="{F568A21E-1F27-4729-9A50-2C773D9809AA}"/>
    <hyperlink ref="F16:F17" location="'J.03 CIP长期挂账'!A1" display="'J.03 CIP长期挂账" xr:uid="{C49A042D-0E59-43AC-AC02-C6049A4E4BF0}"/>
    <hyperlink ref="F12:F14" location="'J.02.2 CIP transfer (TOD)'!A1" display="J.02.2 CIP transfer (TOD)" xr:uid="{D1473596-5F49-49B0-8C4E-3748435A6466}"/>
    <hyperlink ref="C19:E19" r:id="rId1"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xr:uid="{46494034-70D3-4691-A53E-E2927B8D66E5}"/>
    <hyperlink ref="D2" r:id="rI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xr:uid="{52417AA9-292E-43CA-BE82-B127EDB89AF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I71"/>
  <sheetViews>
    <sheetView workbookViewId="0"/>
  </sheetViews>
  <sheetFormatPr defaultColWidth="9" defaultRowHeight="14"/>
  <cols>
    <col min="1" max="1" width="8.203125E-2" customWidth="1"/>
  </cols>
  <sheetData>
    <row r="1" spans="1:61">
      <c r="A1" t="s">
        <v>34</v>
      </c>
    </row>
    <row r="6" spans="1:61">
      <c r="E6" t="s">
        <v>35</v>
      </c>
      <c r="Y6" t="s">
        <v>36</v>
      </c>
      <c r="Z6" t="s">
        <v>37</v>
      </c>
      <c r="AA6" t="s">
        <v>38</v>
      </c>
      <c r="AB6" t="s">
        <v>39</v>
      </c>
      <c r="AC6" t="s">
        <v>40</v>
      </c>
      <c r="AD6" t="s">
        <v>41</v>
      </c>
      <c r="AE6" t="s">
        <v>42</v>
      </c>
      <c r="AF6" t="s">
        <v>43</v>
      </c>
      <c r="AG6" t="s">
        <v>44</v>
      </c>
      <c r="AH6" t="s">
        <v>45</v>
      </c>
      <c r="AI6" t="s">
        <v>46</v>
      </c>
      <c r="AJ6" t="s">
        <v>47</v>
      </c>
      <c r="AK6" t="s">
        <v>48</v>
      </c>
      <c r="AL6" t="s">
        <v>49</v>
      </c>
      <c r="AM6" t="s">
        <v>50</v>
      </c>
      <c r="AN6" t="s">
        <v>51</v>
      </c>
      <c r="AO6" t="s">
        <v>52</v>
      </c>
      <c r="AP6" t="s">
        <v>53</v>
      </c>
      <c r="AQ6" t="s">
        <v>54</v>
      </c>
      <c r="AR6" t="s">
        <v>55</v>
      </c>
      <c r="AS6" t="s">
        <v>56</v>
      </c>
      <c r="AT6" t="s">
        <v>57</v>
      </c>
      <c r="AU6" t="s">
        <v>58</v>
      </c>
      <c r="AV6" t="s">
        <v>59</v>
      </c>
      <c r="AW6" t="s">
        <v>60</v>
      </c>
      <c r="AX6" t="s">
        <v>61</v>
      </c>
      <c r="AY6" t="s">
        <v>62</v>
      </c>
      <c r="AZ6" t="s">
        <v>63</v>
      </c>
      <c r="BA6" t="s">
        <v>64</v>
      </c>
      <c r="BB6" t="s">
        <v>65</v>
      </c>
      <c r="BC6" t="s">
        <v>66</v>
      </c>
      <c r="BD6" t="s">
        <v>67</v>
      </c>
      <c r="BE6" t="s">
        <v>68</v>
      </c>
      <c r="BF6" t="s">
        <v>69</v>
      </c>
      <c r="BG6" t="s">
        <v>70</v>
      </c>
      <c r="BH6" t="s">
        <v>71</v>
      </c>
      <c r="BI6" t="s">
        <v>72</v>
      </c>
    </row>
    <row r="9" spans="1:61">
      <c r="A9" t="s">
        <v>73</v>
      </c>
    </row>
    <row r="10" spans="1:61">
      <c r="F10" t="e">
        <f>#REF!</f>
        <v>#REF!</v>
      </c>
      <c r="G10" t="s">
        <v>74</v>
      </c>
    </row>
    <row r="11" spans="1:61">
      <c r="A11" s="15">
        <v>71</v>
      </c>
      <c r="F11" t="e">
        <f>#REF!</f>
        <v>#REF!</v>
      </c>
      <c r="G11" t="s">
        <v>75</v>
      </c>
    </row>
    <row r="12" spans="1:61">
      <c r="F12" t="e">
        <f>#REF!</f>
        <v>#REF!</v>
      </c>
      <c r="G12" t="s">
        <v>76</v>
      </c>
    </row>
    <row r="13" spans="1:61">
      <c r="F13" t="e">
        <f>#REF!</f>
        <v>#REF!</v>
      </c>
      <c r="G13" t="s">
        <v>77</v>
      </c>
    </row>
    <row r="14" spans="1:61">
      <c r="F14" t="e">
        <f>#REF!</f>
        <v>#REF!</v>
      </c>
      <c r="G14" t="s">
        <v>78</v>
      </c>
    </row>
    <row r="15" spans="1:61">
      <c r="A15" s="15">
        <v>44</v>
      </c>
      <c r="F15" t="e">
        <f>#REF!</f>
        <v>#REF!</v>
      </c>
      <c r="G15" t="s">
        <v>79</v>
      </c>
      <c r="R15" t="e">
        <f>#REF!</f>
        <v>#REF!</v>
      </c>
      <c r="S15" t="s">
        <v>80</v>
      </c>
    </row>
    <row r="16" spans="1:61">
      <c r="F16" s="15" t="e">
        <f>#REF!</f>
        <v>#REF!</v>
      </c>
      <c r="G16" t="s">
        <v>81</v>
      </c>
      <c r="R16" t="e">
        <f>#REF!</f>
        <v>#REF!</v>
      </c>
      <c r="S16" t="s">
        <v>82</v>
      </c>
    </row>
    <row r="17" spans="6:19">
      <c r="F17" t="e">
        <f>#REF!</f>
        <v>#REF!</v>
      </c>
      <c r="G17" t="s">
        <v>83</v>
      </c>
      <c r="R17" t="e">
        <f>#REF!</f>
        <v>#REF!</v>
      </c>
      <c r="S17" t="s">
        <v>84</v>
      </c>
    </row>
    <row r="18" spans="6:19">
      <c r="F18" t="e">
        <f>#REF!</f>
        <v>#REF!</v>
      </c>
      <c r="G18" t="s">
        <v>85</v>
      </c>
      <c r="R18" t="e">
        <f>#REF!</f>
        <v>#REF!</v>
      </c>
      <c r="S18" t="s">
        <v>86</v>
      </c>
    </row>
    <row r="19" spans="6:19">
      <c r="F19" t="e">
        <f>#REF!</f>
        <v>#REF!</v>
      </c>
      <c r="G19" t="s">
        <v>87</v>
      </c>
      <c r="R19" t="e">
        <f>#REF!</f>
        <v>#REF!</v>
      </c>
      <c r="S19" t="s">
        <v>88</v>
      </c>
    </row>
    <row r="20" spans="6:19">
      <c r="F20" t="e">
        <f>#REF!</f>
        <v>#REF!</v>
      </c>
      <c r="G20" t="s">
        <v>89</v>
      </c>
      <c r="R20" t="e">
        <f>#REF!</f>
        <v>#REF!</v>
      </c>
      <c r="S20" t="s">
        <v>90</v>
      </c>
    </row>
    <row r="21" spans="6:19">
      <c r="F21" t="e">
        <f>#REF!</f>
        <v>#REF!</v>
      </c>
      <c r="G21" t="s">
        <v>91</v>
      </c>
      <c r="R21" t="e">
        <f>#REF!</f>
        <v>#REF!</v>
      </c>
      <c r="S21" t="s">
        <v>92</v>
      </c>
    </row>
    <row r="22" spans="6:19">
      <c r="F22" t="e">
        <f>#REF!</f>
        <v>#REF!</v>
      </c>
      <c r="G22" t="s">
        <v>93</v>
      </c>
      <c r="R22" t="e">
        <f>#REF!</f>
        <v>#REF!</v>
      </c>
      <c r="S22" t="s">
        <v>94</v>
      </c>
    </row>
    <row r="23" spans="6:19">
      <c r="F23" t="e">
        <f>#REF!</f>
        <v>#REF!</v>
      </c>
      <c r="G23" t="s">
        <v>95</v>
      </c>
      <c r="R23" t="e">
        <f>#REF!</f>
        <v>#REF!</v>
      </c>
      <c r="S23" t="s">
        <v>96</v>
      </c>
    </row>
    <row r="24" spans="6:19">
      <c r="F24" t="e">
        <f>#REF!</f>
        <v>#REF!</v>
      </c>
      <c r="G24" t="s">
        <v>97</v>
      </c>
      <c r="R24" t="e">
        <f>#REF!</f>
        <v>#REF!</v>
      </c>
      <c r="S24" t="s">
        <v>98</v>
      </c>
    </row>
    <row r="25" spans="6:19">
      <c r="F25" t="e">
        <f>#REF!</f>
        <v>#REF!</v>
      </c>
      <c r="G25" t="s">
        <v>99</v>
      </c>
      <c r="R25" t="e">
        <f>#REF!</f>
        <v>#REF!</v>
      </c>
      <c r="S25" t="s">
        <v>100</v>
      </c>
    </row>
    <row r="26" spans="6:19">
      <c r="F26" t="e">
        <f>#REF!</f>
        <v>#REF!</v>
      </c>
      <c r="G26" t="s">
        <v>101</v>
      </c>
      <c r="R26" s="15" t="e">
        <f>#REF!</f>
        <v>#REF!</v>
      </c>
      <c r="S26" t="s">
        <v>102</v>
      </c>
    </row>
    <row r="27" spans="6:19">
      <c r="F27" t="e">
        <f>#REF!</f>
        <v>#REF!</v>
      </c>
      <c r="G27" t="s">
        <v>103</v>
      </c>
      <c r="R27" t="e">
        <f>#REF!</f>
        <v>#REF!</v>
      </c>
      <c r="S27" t="s">
        <v>104</v>
      </c>
    </row>
    <row r="28" spans="6:19">
      <c r="F28" t="e">
        <f>#REF!</f>
        <v>#REF!</v>
      </c>
      <c r="G28" t="s">
        <v>105</v>
      </c>
      <c r="R28" t="e">
        <f>#REF!</f>
        <v>#REF!</v>
      </c>
      <c r="S28" t="s">
        <v>106</v>
      </c>
    </row>
    <row r="29" spans="6:19">
      <c r="F29" t="e">
        <f>#REF!</f>
        <v>#REF!</v>
      </c>
      <c r="G29" t="s">
        <v>107</v>
      </c>
      <c r="R29" t="e">
        <f>#REF!</f>
        <v>#REF!</v>
      </c>
      <c r="S29" t="s">
        <v>108</v>
      </c>
    </row>
    <row r="30" spans="6:19">
      <c r="F30" t="e">
        <f>#REF!</f>
        <v>#REF!</v>
      </c>
      <c r="G30" t="s">
        <v>109</v>
      </c>
      <c r="R30" t="e">
        <f>#REF!</f>
        <v>#REF!</v>
      </c>
      <c r="S30" t="s">
        <v>110</v>
      </c>
    </row>
    <row r="31" spans="6:19">
      <c r="F31" t="e">
        <f>#REF!</f>
        <v>#REF!</v>
      </c>
      <c r="G31" t="s">
        <v>111</v>
      </c>
      <c r="R31" t="e">
        <f>#REF!</f>
        <v>#REF!</v>
      </c>
      <c r="S31" t="s">
        <v>112</v>
      </c>
    </row>
    <row r="32" spans="6:19">
      <c r="F32" t="e">
        <f>#REF!</f>
        <v>#REF!</v>
      </c>
      <c r="G32" t="s">
        <v>113</v>
      </c>
      <c r="R32" t="e">
        <f>#REF!</f>
        <v>#REF!</v>
      </c>
      <c r="S32" t="s">
        <v>114</v>
      </c>
    </row>
    <row r="33" spans="6:19">
      <c r="F33" t="e">
        <f>#REF!</f>
        <v>#REF!</v>
      </c>
      <c r="G33" t="s">
        <v>115</v>
      </c>
      <c r="R33" t="e">
        <f>#REF!</f>
        <v>#REF!</v>
      </c>
      <c r="S33" t="s">
        <v>116</v>
      </c>
    </row>
    <row r="34" spans="6:19">
      <c r="F34" t="e">
        <f>#REF!</f>
        <v>#REF!</v>
      </c>
      <c r="G34" t="s">
        <v>117</v>
      </c>
      <c r="R34" t="e">
        <f>#REF!</f>
        <v>#REF!</v>
      </c>
      <c r="S34" t="s">
        <v>118</v>
      </c>
    </row>
    <row r="35" spans="6:19">
      <c r="F35" t="e">
        <f>#REF!</f>
        <v>#REF!</v>
      </c>
      <c r="G35" t="s">
        <v>119</v>
      </c>
      <c r="R35" t="e">
        <f>#REF!</f>
        <v>#REF!</v>
      </c>
      <c r="S35" t="s">
        <v>120</v>
      </c>
    </row>
    <row r="36" spans="6:19">
      <c r="F36" t="e">
        <f>#REF!</f>
        <v>#REF!</v>
      </c>
      <c r="G36" t="s">
        <v>121</v>
      </c>
      <c r="R36" t="e">
        <f>#REF!</f>
        <v>#REF!</v>
      </c>
      <c r="S36" t="s">
        <v>122</v>
      </c>
    </row>
    <row r="37" spans="6:19">
      <c r="F37" t="e">
        <f>#REF!</f>
        <v>#REF!</v>
      </c>
      <c r="G37" t="s">
        <v>123</v>
      </c>
      <c r="R37" t="e">
        <f>#REF!</f>
        <v>#REF!</v>
      </c>
      <c r="S37" t="s">
        <v>124</v>
      </c>
    </row>
    <row r="38" spans="6:19">
      <c r="F38" t="e">
        <f>#REF!</f>
        <v>#REF!</v>
      </c>
      <c r="G38" t="s">
        <v>125</v>
      </c>
      <c r="R38" t="e">
        <f>#REF!</f>
        <v>#REF!</v>
      </c>
      <c r="S38" t="s">
        <v>126</v>
      </c>
    </row>
    <row r="39" spans="6:19">
      <c r="F39" t="e">
        <f>#REF!</f>
        <v>#REF!</v>
      </c>
      <c r="G39" t="s">
        <v>127</v>
      </c>
      <c r="R39" t="e">
        <f>#REF!</f>
        <v>#REF!</v>
      </c>
      <c r="S39" t="s">
        <v>128</v>
      </c>
    </row>
    <row r="40" spans="6:19">
      <c r="F40" t="e">
        <f>#REF!</f>
        <v>#REF!</v>
      </c>
      <c r="G40" t="s">
        <v>129</v>
      </c>
      <c r="R40" t="e">
        <f>#REF!</f>
        <v>#REF!</v>
      </c>
      <c r="S40" t="s">
        <v>130</v>
      </c>
    </row>
    <row r="41" spans="6:19">
      <c r="F41" t="e">
        <f>#REF!</f>
        <v>#REF!</v>
      </c>
      <c r="G41" t="s">
        <v>131</v>
      </c>
      <c r="R41" t="e">
        <f>#REF!</f>
        <v>#REF!</v>
      </c>
      <c r="S41" t="s">
        <v>132</v>
      </c>
    </row>
    <row r="42" spans="6:19">
      <c r="F42" t="e">
        <f>#REF!</f>
        <v>#REF!</v>
      </c>
      <c r="G42" t="s">
        <v>133</v>
      </c>
      <c r="R42" t="e">
        <f>#REF!</f>
        <v>#REF!</v>
      </c>
      <c r="S42" t="s">
        <v>134</v>
      </c>
    </row>
    <row r="43" spans="6:19">
      <c r="F43" t="e">
        <f>#REF!</f>
        <v>#REF!</v>
      </c>
      <c r="G43" t="s">
        <v>135</v>
      </c>
      <c r="R43" t="e">
        <f>#REF!</f>
        <v>#REF!</v>
      </c>
      <c r="S43" t="s">
        <v>136</v>
      </c>
    </row>
    <row r="44" spans="6:19">
      <c r="R44" t="e">
        <f>#REF!</f>
        <v>#REF!</v>
      </c>
      <c r="S44" t="s">
        <v>137</v>
      </c>
    </row>
    <row r="63" spans="6:7">
      <c r="F63" t="e">
        <f>#REF!</f>
        <v>#REF!</v>
      </c>
      <c r="G63" t="s">
        <v>138</v>
      </c>
    </row>
    <row r="64" spans="6:7">
      <c r="F64" t="e">
        <f>#REF!</f>
        <v>#REF!</v>
      </c>
      <c r="G64" t="s">
        <v>139</v>
      </c>
    </row>
    <row r="65" spans="6:7">
      <c r="F65" t="e">
        <f>#REF!</f>
        <v>#REF!</v>
      </c>
      <c r="G65" t="s">
        <v>140</v>
      </c>
    </row>
    <row r="66" spans="6:7">
      <c r="F66" t="e">
        <f>#REF!</f>
        <v>#REF!</v>
      </c>
      <c r="G66" t="s">
        <v>141</v>
      </c>
    </row>
    <row r="67" spans="6:7">
      <c r="F67" t="e">
        <f>#REF!</f>
        <v>#REF!</v>
      </c>
      <c r="G67" t="s">
        <v>142</v>
      </c>
    </row>
    <row r="68" spans="6:7">
      <c r="F68" t="e">
        <f>#REF!</f>
        <v>#REF!</v>
      </c>
      <c r="G68" t="s">
        <v>143</v>
      </c>
    </row>
    <row r="69" spans="6:7">
      <c r="F69" t="e">
        <f>#REF!</f>
        <v>#REF!</v>
      </c>
      <c r="G69" t="s">
        <v>144</v>
      </c>
    </row>
    <row r="70" spans="6:7">
      <c r="F70" t="e">
        <f>#REF!</f>
        <v>#REF!</v>
      </c>
      <c r="G70" t="s">
        <v>145</v>
      </c>
    </row>
    <row r="71" spans="6:7">
      <c r="F71" t="e">
        <f>#REF!</f>
        <v>#REF!</v>
      </c>
      <c r="G71" t="s">
        <v>146</v>
      </c>
    </row>
  </sheetData>
  <phoneticPr fontId="7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EB0E-8B93-478D-9F30-C3E05F04B6E0}">
  <sheetPr>
    <pageSetUpPr fitToPage="1"/>
  </sheetPr>
  <dimension ref="A1:R72"/>
  <sheetViews>
    <sheetView showGridLines="0" zoomScale="70" zoomScaleNormal="70" workbookViewId="0">
      <selection activeCell="G24" sqref="G24"/>
    </sheetView>
  </sheetViews>
  <sheetFormatPr defaultColWidth="9.08203125" defaultRowHeight="15" customHeight="1"/>
  <cols>
    <col min="1" max="1" width="2.58203125" style="51" customWidth="1"/>
    <col min="2" max="2" width="19.75" style="51" customWidth="1"/>
    <col min="3" max="3" width="34.33203125" style="51" customWidth="1"/>
    <col min="4" max="4" width="16" style="51" customWidth="1"/>
    <col min="5" max="5" width="24.33203125" style="51" customWidth="1"/>
    <col min="6" max="6" width="12.33203125" style="51" customWidth="1"/>
    <col min="7" max="7" width="15.08203125" style="51" customWidth="1"/>
    <col min="8" max="8" width="17.33203125" style="51" customWidth="1"/>
    <col min="9" max="9" width="13.75" style="51" customWidth="1"/>
    <col min="10" max="10" width="14.33203125" style="51" customWidth="1"/>
    <col min="11" max="11" width="17.08203125" style="51" customWidth="1"/>
    <col min="12" max="12" width="16.33203125" style="51" customWidth="1"/>
    <col min="13" max="13" width="16.25" style="51" customWidth="1"/>
    <col min="14" max="14" width="20" style="51" customWidth="1"/>
    <col min="15" max="15" width="21.25" style="51" customWidth="1"/>
    <col min="16" max="16" width="2.58203125" style="51" customWidth="1"/>
    <col min="17" max="17" width="1.58203125" style="51" customWidth="1"/>
    <col min="18" max="18" width="9.08203125" style="58" customWidth="1"/>
    <col min="19" max="16384" width="9.08203125" style="51"/>
  </cols>
  <sheetData>
    <row r="1" spans="2:18" ht="50.15" customHeight="1">
      <c r="B1" s="391" t="s">
        <v>147</v>
      </c>
      <c r="C1" s="296"/>
      <c r="D1" s="423"/>
      <c r="E1" s="283"/>
      <c r="F1" s="284"/>
      <c r="G1" s="284"/>
      <c r="H1" s="284"/>
      <c r="I1" s="284"/>
      <c r="J1" s="284"/>
      <c r="K1" s="284"/>
      <c r="L1" s="284"/>
      <c r="M1" s="284"/>
      <c r="N1" s="284"/>
      <c r="O1" s="285"/>
      <c r="Q1" s="52"/>
      <c r="R1" s="51"/>
    </row>
    <row r="2" spans="2:18" s="140" customFormat="1" ht="16.5">
      <c r="B2" s="142" t="s">
        <v>148</v>
      </c>
      <c r="C2" s="370"/>
      <c r="D2" s="378"/>
      <c r="E2" s="494" t="s">
        <v>352</v>
      </c>
      <c r="F2" s="494"/>
      <c r="G2" s="494"/>
      <c r="H2" s="494"/>
      <c r="I2" s="494"/>
      <c r="J2" s="494"/>
      <c r="K2" s="494"/>
      <c r="L2" s="494"/>
      <c r="M2" s="494"/>
      <c r="N2" s="494"/>
      <c r="O2" s="495"/>
      <c r="Q2" s="141"/>
    </row>
    <row r="3" spans="2:18" s="140" customFormat="1" ht="16.5">
      <c r="B3" s="142" t="s">
        <v>149</v>
      </c>
      <c r="C3" s="371">
        <v>46022</v>
      </c>
      <c r="D3" s="376"/>
      <c r="E3" s="494"/>
      <c r="F3" s="494"/>
      <c r="G3" s="494"/>
      <c r="H3" s="494"/>
      <c r="I3" s="494"/>
      <c r="J3" s="494"/>
      <c r="K3" s="494"/>
      <c r="L3" s="494"/>
      <c r="M3" s="494"/>
      <c r="N3" s="494"/>
      <c r="O3" s="495"/>
      <c r="Q3" s="141"/>
    </row>
    <row r="4" spans="2:18" s="140" customFormat="1" ht="16.5">
      <c r="B4" s="142" t="s">
        <v>150</v>
      </c>
      <c r="C4" s="372"/>
      <c r="D4" s="376"/>
      <c r="E4" s="494"/>
      <c r="F4" s="494"/>
      <c r="G4" s="494"/>
      <c r="H4" s="494"/>
      <c r="I4" s="494"/>
      <c r="J4" s="494"/>
      <c r="K4" s="494"/>
      <c r="L4" s="494"/>
      <c r="M4" s="494"/>
      <c r="N4" s="494"/>
      <c r="O4" s="495"/>
      <c r="Q4" s="141"/>
    </row>
    <row r="5" spans="2:18" s="140" customFormat="1" ht="16.5">
      <c r="B5" s="142" t="s">
        <v>151</v>
      </c>
      <c r="C5" s="373"/>
      <c r="D5" s="376"/>
      <c r="E5" s="494"/>
      <c r="F5" s="494"/>
      <c r="G5" s="494"/>
      <c r="H5" s="494"/>
      <c r="I5" s="494"/>
      <c r="J5" s="494"/>
      <c r="K5" s="494"/>
      <c r="L5" s="494"/>
      <c r="M5" s="494"/>
      <c r="N5" s="494"/>
      <c r="O5" s="495"/>
      <c r="Q5" s="141"/>
    </row>
    <row r="6" spans="2:18" s="140" customFormat="1" ht="16.5">
      <c r="B6" s="142" t="s">
        <v>152</v>
      </c>
      <c r="C6" s="373"/>
      <c r="D6" s="376"/>
      <c r="E6" s="494"/>
      <c r="F6" s="494"/>
      <c r="G6" s="494"/>
      <c r="H6" s="494"/>
      <c r="I6" s="494"/>
      <c r="J6" s="494"/>
      <c r="K6" s="494"/>
      <c r="L6" s="494"/>
      <c r="M6" s="494"/>
      <c r="N6" s="494"/>
      <c r="O6" s="495"/>
      <c r="Q6" s="141"/>
    </row>
    <row r="7" spans="2:18" s="140" customFormat="1" ht="16.5">
      <c r="B7" s="142" t="s">
        <v>153</v>
      </c>
      <c r="C7" s="370"/>
      <c r="D7" s="376"/>
      <c r="E7" s="494"/>
      <c r="F7" s="494"/>
      <c r="G7" s="494"/>
      <c r="H7" s="494"/>
      <c r="I7" s="494"/>
      <c r="J7" s="494"/>
      <c r="K7" s="494"/>
      <c r="L7" s="494"/>
      <c r="M7" s="494"/>
      <c r="N7" s="494"/>
      <c r="O7" s="495"/>
      <c r="Q7" s="141"/>
    </row>
    <row r="8" spans="2:18" s="140" customFormat="1" ht="16.5">
      <c r="B8" s="143" t="s">
        <v>154</v>
      </c>
      <c r="C8" s="374"/>
      <c r="D8" s="377"/>
      <c r="E8" s="496"/>
      <c r="F8" s="496"/>
      <c r="G8" s="496"/>
      <c r="H8" s="496"/>
      <c r="I8" s="496"/>
      <c r="J8" s="496"/>
      <c r="K8" s="496"/>
      <c r="L8" s="496"/>
      <c r="M8" s="496"/>
      <c r="N8" s="496"/>
      <c r="O8" s="497"/>
      <c r="Q8" s="141"/>
    </row>
    <row r="9" spans="2:18" s="53" customFormat="1" ht="30" customHeight="1">
      <c r="B9" s="286" t="s">
        <v>155</v>
      </c>
      <c r="C9" s="287"/>
      <c r="D9" s="375"/>
      <c r="E9" s="287"/>
      <c r="F9" s="287"/>
      <c r="G9" s="287"/>
      <c r="H9" s="287"/>
      <c r="I9" s="287"/>
      <c r="J9" s="287"/>
      <c r="K9" s="287"/>
      <c r="L9" s="287"/>
      <c r="M9" s="287"/>
      <c r="N9" s="287"/>
      <c r="O9" s="288"/>
      <c r="Q9" s="54"/>
    </row>
    <row r="10" spans="2:18" ht="15" customHeight="1">
      <c r="Q10" s="52"/>
      <c r="R10" s="51"/>
    </row>
    <row r="11" spans="2:18" ht="15" customHeight="1">
      <c r="B11" s="131" t="s">
        <v>156</v>
      </c>
      <c r="Q11" s="52"/>
      <c r="R11" s="51"/>
    </row>
    <row r="12" spans="2:18" ht="15" customHeight="1">
      <c r="Q12" s="52"/>
      <c r="R12" s="51"/>
    </row>
    <row r="13" spans="2:18" ht="15" customHeight="1">
      <c r="D13" s="58"/>
      <c r="Q13" s="52"/>
      <c r="R13" s="51"/>
    </row>
    <row r="14" spans="2:18" ht="15" customHeight="1">
      <c r="B14" s="3"/>
      <c r="C14" s="3"/>
      <c r="D14" s="392" t="s">
        <v>157</v>
      </c>
      <c r="E14" s="393"/>
      <c r="H14" s="505" t="s">
        <v>158</v>
      </c>
      <c r="I14" s="506"/>
      <c r="J14" s="506"/>
      <c r="K14" s="506"/>
      <c r="L14" s="507"/>
      <c r="Q14" s="52"/>
      <c r="R14" s="51"/>
    </row>
    <row r="15" spans="2:18" ht="15" customHeight="1">
      <c r="B15" s="365" t="s">
        <v>159</v>
      </c>
      <c r="C15" s="365" t="s">
        <v>160</v>
      </c>
      <c r="D15" s="365" t="s">
        <v>161</v>
      </c>
      <c r="E15" s="366" t="s">
        <v>162</v>
      </c>
      <c r="H15" s="151" t="s">
        <v>163</v>
      </c>
      <c r="I15" s="394" t="s">
        <v>164</v>
      </c>
      <c r="J15" s="152"/>
      <c r="K15" s="152"/>
      <c r="L15" s="153"/>
      <c r="Q15" s="52"/>
      <c r="R15" s="51"/>
    </row>
    <row r="16" spans="2:18" ht="15" customHeight="1">
      <c r="B16" s="395" t="s">
        <v>165</v>
      </c>
      <c r="C16" s="319"/>
      <c r="D16" s="396">
        <f>IF(C16="Minimal",$C$5*100%,IF(C16="Low",$C$5*75%,IF(C16="Moderate",$C$5*50%,IF(C16="High",$C$5*25%,IF(C16="N/A","-",)))))</f>
        <v>0</v>
      </c>
      <c r="E16" s="132">
        <f>MIN($D$16:$D$20)</f>
        <v>0</v>
      </c>
      <c r="H16" s="154" t="s">
        <v>166</v>
      </c>
      <c r="I16" s="394" t="s">
        <v>167</v>
      </c>
      <c r="J16" s="424"/>
      <c r="K16" s="297"/>
      <c r="L16" s="397"/>
      <c r="Q16" s="52"/>
      <c r="R16" s="51"/>
    </row>
    <row r="17" spans="2:18" ht="15" customHeight="1">
      <c r="B17" s="395" t="s">
        <v>168</v>
      </c>
      <c r="C17" s="320"/>
      <c r="D17" s="396">
        <f>IF(C17="Minimal",$C$5*100%,IF(C17="Low",$C$5*75%,IF(C17="Moderate",$C$5*50%,IF(C17="High",$C$5*25%,IF(C17="N/A","-",)))))</f>
        <v>0</v>
      </c>
      <c r="E17" s="133"/>
      <c r="H17" s="151" t="s">
        <v>169</v>
      </c>
      <c r="I17" s="398" t="s">
        <v>170</v>
      </c>
      <c r="J17" s="155"/>
      <c r="K17" s="297"/>
      <c r="L17" s="397"/>
      <c r="Q17" s="52"/>
      <c r="R17" s="51"/>
    </row>
    <row r="18" spans="2:18" ht="15" customHeight="1">
      <c r="B18" s="367" t="s">
        <v>171</v>
      </c>
      <c r="C18" s="320"/>
      <c r="D18" s="396">
        <f t="shared" ref="D18:D20" si="0">IF(C18="Minimal",$C$5*100%,IF(C18="Low",$C$5*75%,IF(C18="Moderate",$C$5*50%,IF(C18="High",$C$5*25%,IF(C18="N/A","-",)))))</f>
        <v>0</v>
      </c>
      <c r="E18" s="133"/>
      <c r="H18" s="151" t="s">
        <v>172</v>
      </c>
      <c r="I18" s="398" t="s">
        <v>173</v>
      </c>
      <c r="J18" s="156"/>
      <c r="K18" s="297"/>
      <c r="L18" s="397"/>
      <c r="Q18" s="52"/>
      <c r="R18" s="51"/>
    </row>
    <row r="19" spans="2:18" ht="15" customHeight="1">
      <c r="B19" s="395" t="s">
        <v>174</v>
      </c>
      <c r="C19" s="320"/>
      <c r="D19" s="396">
        <f t="shared" si="0"/>
        <v>0</v>
      </c>
      <c r="E19" s="133"/>
      <c r="H19" s="157" t="s">
        <v>175</v>
      </c>
      <c r="I19" s="394" t="s">
        <v>176</v>
      </c>
      <c r="J19" s="100"/>
      <c r="K19" s="298"/>
      <c r="L19" s="399"/>
      <c r="Q19" s="52"/>
      <c r="R19" s="51"/>
    </row>
    <row r="20" spans="2:18" ht="15" customHeight="1">
      <c r="B20" s="400" t="s">
        <v>177</v>
      </c>
      <c r="C20" s="320"/>
      <c r="D20" s="396">
        <f t="shared" si="0"/>
        <v>0</v>
      </c>
      <c r="E20" s="134"/>
      <c r="H20" s="158" t="s">
        <v>178</v>
      </c>
      <c r="I20" s="394" t="s">
        <v>179</v>
      </c>
      <c r="J20" s="297"/>
      <c r="K20" s="297"/>
      <c r="L20" s="397"/>
      <c r="Q20" s="52"/>
      <c r="R20" s="51"/>
    </row>
    <row r="21" spans="2:18" ht="16.5" customHeight="1">
      <c r="B21" s="498" t="s">
        <v>180</v>
      </c>
      <c r="C21" s="498"/>
      <c r="D21" s="498"/>
      <c r="E21" s="498"/>
      <c r="H21" s="151" t="s">
        <v>181</v>
      </c>
      <c r="I21" s="394" t="s">
        <v>182</v>
      </c>
      <c r="J21" s="297"/>
      <c r="K21" s="297"/>
      <c r="L21" s="397"/>
      <c r="Q21" s="52"/>
      <c r="R21" s="51"/>
    </row>
    <row r="22" spans="2:18" ht="16.5" customHeight="1">
      <c r="B22" s="150" t="s">
        <v>183</v>
      </c>
      <c r="C22" s="459"/>
      <c r="D22" s="459"/>
      <c r="E22" s="459"/>
      <c r="H22" s="158" t="s">
        <v>184</v>
      </c>
      <c r="I22" s="394" t="s">
        <v>185</v>
      </c>
      <c r="J22" s="297"/>
      <c r="K22" s="297"/>
      <c r="L22" s="397"/>
      <c r="Q22" s="52"/>
      <c r="R22" s="51"/>
    </row>
    <row r="23" spans="2:18" ht="16.5" customHeight="1">
      <c r="B23" s="150" t="s">
        <v>186</v>
      </c>
      <c r="C23" s="459"/>
      <c r="D23" s="459"/>
      <c r="E23" s="459"/>
      <c r="H23" s="161" t="s">
        <v>187</v>
      </c>
      <c r="I23" s="162" t="s">
        <v>188</v>
      </c>
      <c r="J23" s="159"/>
      <c r="K23" s="159"/>
      <c r="L23" s="160"/>
      <c r="Q23" s="52"/>
      <c r="R23" s="51"/>
    </row>
    <row r="24" spans="2:18" ht="30.75" customHeight="1">
      <c r="B24" s="498" t="s">
        <v>189</v>
      </c>
      <c r="C24" s="498"/>
      <c r="D24" s="498"/>
      <c r="E24" s="498"/>
      <c r="F24" s="327"/>
      <c r="G24" s="327"/>
      <c r="Q24" s="52"/>
      <c r="R24" s="51"/>
    </row>
    <row r="25" spans="2:18" ht="16.5" customHeight="1">
      <c r="B25" s="328"/>
      <c r="C25" s="328"/>
      <c r="D25" s="328"/>
      <c r="E25" s="328"/>
      <c r="F25" s="327"/>
      <c r="G25" s="327"/>
      <c r="Q25" s="52"/>
      <c r="R25" s="51"/>
    </row>
    <row r="26" spans="2:18" ht="15" customHeight="1">
      <c r="B26" s="163" t="s">
        <v>190</v>
      </c>
      <c r="C26" s="252"/>
      <c r="D26" s="252"/>
      <c r="E26" s="252"/>
      <c r="F26" s="252"/>
      <c r="G26" s="252"/>
      <c r="H26" s="253"/>
      <c r="I26" s="254"/>
      <c r="J26" s="254"/>
      <c r="K26" s="252"/>
      <c r="L26" s="255"/>
      <c r="M26" s="3"/>
      <c r="N26" s="255"/>
      <c r="O26" s="255"/>
      <c r="P26" s="255"/>
      <c r="Q26" s="52"/>
      <c r="R26" s="51"/>
    </row>
    <row r="27" spans="2:18" ht="25.5" customHeight="1">
      <c r="B27" s="299" t="s">
        <v>191</v>
      </c>
      <c r="C27" s="499" t="s">
        <v>192</v>
      </c>
      <c r="D27" s="500"/>
      <c r="E27" s="500"/>
      <c r="F27" s="501"/>
      <c r="G27" s="55"/>
      <c r="H27" s="55"/>
      <c r="I27" s="55"/>
      <c r="J27" s="55"/>
      <c r="K27" s="55"/>
      <c r="L27" s="55"/>
      <c r="M27" s="55"/>
      <c r="N27" s="103"/>
      <c r="O27" s="103"/>
      <c r="P27" s="103"/>
      <c r="Q27" s="52"/>
      <c r="R27" s="51"/>
    </row>
    <row r="28" spans="2:18" ht="25.5" customHeight="1">
      <c r="B28" s="300" t="s">
        <v>193</v>
      </c>
      <c r="C28" s="502"/>
      <c r="D28" s="503"/>
      <c r="E28" s="503"/>
      <c r="F28" s="504"/>
      <c r="G28" s="55"/>
      <c r="H28" s="55"/>
      <c r="I28" s="55"/>
      <c r="J28" s="55"/>
      <c r="K28" s="55"/>
      <c r="L28" s="55"/>
      <c r="M28" s="55"/>
      <c r="N28" s="104"/>
      <c r="O28" s="104"/>
      <c r="P28" s="104"/>
      <c r="Q28" s="52"/>
      <c r="R28" s="51"/>
    </row>
    <row r="29" spans="2:18" ht="25.5" customHeight="1">
      <c r="B29" s="300" t="s">
        <v>194</v>
      </c>
      <c r="C29" s="502"/>
      <c r="D29" s="503"/>
      <c r="E29" s="503"/>
      <c r="F29" s="504"/>
      <c r="G29" s="55"/>
      <c r="H29" s="55"/>
      <c r="I29" s="55"/>
      <c r="J29" s="55"/>
      <c r="K29" s="55"/>
      <c r="L29" s="55"/>
      <c r="M29" s="55"/>
      <c r="N29" s="104"/>
      <c r="O29" s="104"/>
      <c r="P29" s="104"/>
      <c r="Q29" s="52"/>
      <c r="R29" s="51"/>
    </row>
    <row r="30" spans="2:18" ht="15" customHeight="1">
      <c r="C30" s="55"/>
      <c r="D30" s="55"/>
      <c r="E30" s="55"/>
      <c r="F30" s="55"/>
      <c r="G30" s="55"/>
      <c r="H30" s="55"/>
      <c r="I30" s="55"/>
      <c r="J30" s="55"/>
      <c r="K30" s="55"/>
      <c r="L30" s="56"/>
      <c r="M30" s="329"/>
      <c r="Q30" s="52"/>
      <c r="R30" s="51"/>
    </row>
    <row r="31" spans="2:18" ht="15" customHeight="1">
      <c r="D31" s="55"/>
      <c r="E31" s="55"/>
      <c r="F31" s="55"/>
      <c r="G31" s="55"/>
      <c r="H31" s="55"/>
      <c r="I31" s="55"/>
      <c r="J31" s="55"/>
      <c r="K31" s="55"/>
      <c r="L31" s="56"/>
      <c r="M31" s="329"/>
      <c r="P31" s="57"/>
      <c r="Q31" s="52"/>
    </row>
    <row r="32" spans="2:18" ht="15" customHeight="1">
      <c r="B32" s="301" t="s">
        <v>195</v>
      </c>
      <c r="C32" s="301"/>
      <c r="D32" s="209"/>
      <c r="E32" s="59"/>
      <c r="F32" s="59"/>
      <c r="G32" s="59"/>
      <c r="H32" s="59"/>
      <c r="I32" s="59"/>
      <c r="J32" s="59"/>
      <c r="K32" s="59"/>
      <c r="L32" s="59"/>
      <c r="M32" s="59"/>
      <c r="N32" s="59"/>
      <c r="O32" s="59"/>
      <c r="Q32" s="52"/>
    </row>
    <row r="33" spans="2:18" ht="15" customHeight="1">
      <c r="B33" s="302" t="str">
        <f>"波动幅度 ("&amp; C8&amp; "):"</f>
        <v>波动幅度 ():</v>
      </c>
      <c r="C33" s="303">
        <f>$E$16</f>
        <v>0</v>
      </c>
      <c r="N33" s="66"/>
      <c r="Q33" s="52"/>
    </row>
    <row r="34" spans="2:18" s="60" customFormat="1" ht="15" customHeight="1">
      <c r="B34" s="463" t="s">
        <v>196</v>
      </c>
      <c r="C34" s="304">
        <v>0.1</v>
      </c>
      <c r="Q34" s="52"/>
      <c r="R34" s="62"/>
    </row>
    <row r="35" spans="2:18" s="60" customFormat="1" ht="15" customHeight="1">
      <c r="B35" s="77"/>
      <c r="C35" s="51"/>
      <c r="Q35" s="52"/>
      <c r="R35" s="62"/>
    </row>
    <row r="36" spans="2:18" s="60" customFormat="1" ht="18.649999999999999" customHeight="1">
      <c r="B36" s="401" t="s">
        <v>197</v>
      </c>
      <c r="C36" s="164"/>
      <c r="D36" s="164"/>
      <c r="E36" s="164"/>
      <c r="F36" s="164"/>
      <c r="G36" s="164"/>
      <c r="H36" s="164"/>
      <c r="I36" s="164"/>
      <c r="J36" s="164"/>
      <c r="K36" s="164"/>
      <c r="L36" s="164"/>
      <c r="M36" s="164"/>
      <c r="Q36" s="52"/>
      <c r="R36" s="62"/>
    </row>
    <row r="37" spans="2:18" s="60" customFormat="1" ht="18.649999999999999" customHeight="1">
      <c r="B37" s="163" t="s">
        <v>198</v>
      </c>
      <c r="C37" s="164"/>
      <c r="D37" s="164"/>
      <c r="E37" s="164"/>
      <c r="F37" s="164"/>
      <c r="G37" s="164"/>
      <c r="H37" s="164"/>
      <c r="I37" s="164"/>
      <c r="J37" s="164"/>
      <c r="K37" s="164"/>
      <c r="L37" s="164"/>
      <c r="M37" s="164"/>
      <c r="Q37" s="52"/>
      <c r="R37" s="62"/>
    </row>
    <row r="38" spans="2:18" s="60" customFormat="1" ht="18.649999999999999" customHeight="1">
      <c r="B38" s="163" t="s">
        <v>199</v>
      </c>
      <c r="C38" s="164"/>
      <c r="D38" s="164"/>
      <c r="E38" s="164"/>
      <c r="F38" s="164"/>
      <c r="G38" s="164"/>
      <c r="H38" s="164"/>
      <c r="I38" s="164"/>
      <c r="J38" s="164"/>
      <c r="K38" s="164"/>
      <c r="L38" s="164"/>
      <c r="M38" s="164"/>
      <c r="Q38" s="52"/>
      <c r="R38" s="62"/>
    </row>
    <row r="39" spans="2:18" s="60" customFormat="1" ht="15" customHeight="1">
      <c r="B39" s="77"/>
      <c r="C39" s="51"/>
      <c r="Q39" s="52"/>
      <c r="R39" s="62"/>
    </row>
    <row r="40" spans="2:18" s="67" customFormat="1" ht="15" customHeight="1">
      <c r="E40" s="63"/>
      <c r="F40" s="63"/>
      <c r="G40" s="63"/>
      <c r="H40" s="63"/>
      <c r="I40" s="63"/>
      <c r="O40" s="330"/>
      <c r="P40" s="78"/>
      <c r="Q40" s="52"/>
    </row>
    <row r="41" spans="2:18" ht="15" customHeight="1">
      <c r="B41" s="271"/>
      <c r="C41" s="271"/>
      <c r="D41" s="14"/>
      <c r="E41" s="14" t="s">
        <v>200</v>
      </c>
      <c r="F41" s="14"/>
      <c r="G41" s="14"/>
      <c r="H41" s="14"/>
      <c r="I41" s="234"/>
      <c r="J41" s="325" t="s">
        <v>201</v>
      </c>
      <c r="K41" s="271"/>
      <c r="L41" s="271"/>
      <c r="M41" s="271"/>
      <c r="N41" s="331"/>
      <c r="O41" s="331"/>
      <c r="Q41" s="52"/>
      <c r="R41" s="51"/>
    </row>
    <row r="42" spans="2:18" ht="15" customHeight="1">
      <c r="B42" s="234"/>
      <c r="C42" s="234"/>
      <c r="D42" s="234"/>
      <c r="E42" s="508" t="str">
        <f>"货币/单位: "&amp;C8</f>
        <v xml:space="preserve">货币/单位: </v>
      </c>
      <c r="F42" s="509"/>
      <c r="G42" s="509"/>
      <c r="H42" s="509"/>
      <c r="I42" s="509"/>
      <c r="J42" s="509"/>
      <c r="K42" s="343"/>
      <c r="L42" s="272"/>
      <c r="M42" s="234"/>
      <c r="N42" s="234"/>
      <c r="O42" s="332"/>
      <c r="Q42" s="52"/>
      <c r="R42" s="51"/>
    </row>
    <row r="43" spans="2:18" ht="15" customHeight="1">
      <c r="B43" s="273"/>
      <c r="C43" s="273"/>
      <c r="D43" s="273"/>
      <c r="E43" s="510">
        <f>$C$3</f>
        <v>46022</v>
      </c>
      <c r="F43" s="511"/>
      <c r="G43" s="511"/>
      <c r="H43" s="511"/>
      <c r="I43" s="512"/>
      <c r="J43" s="274">
        <f>DATE(YEAR($C$3)-1,12,31)</f>
        <v>45657</v>
      </c>
      <c r="K43" s="513" t="s">
        <v>202</v>
      </c>
      <c r="L43" s="514"/>
      <c r="M43" s="275"/>
      <c r="N43" s="482" t="s">
        <v>203</v>
      </c>
      <c r="O43" s="482" t="s">
        <v>204</v>
      </c>
      <c r="Q43" s="52"/>
      <c r="R43" s="51"/>
    </row>
    <row r="44" spans="2:18" ht="15" customHeight="1">
      <c r="B44" s="276" t="s">
        <v>205</v>
      </c>
      <c r="C44" s="276" t="s">
        <v>206</v>
      </c>
      <c r="D44" s="276" t="s">
        <v>207</v>
      </c>
      <c r="E44" s="277" t="s">
        <v>208</v>
      </c>
      <c r="F44" s="278" t="s">
        <v>209</v>
      </c>
      <c r="G44" s="278" t="s">
        <v>210</v>
      </c>
      <c r="H44" s="278" t="s">
        <v>211</v>
      </c>
      <c r="I44" s="277" t="s">
        <v>212</v>
      </c>
      <c r="J44" s="277" t="s">
        <v>213</v>
      </c>
      <c r="K44" s="279" t="s">
        <v>214</v>
      </c>
      <c r="L44" s="278" t="s">
        <v>215</v>
      </c>
      <c r="M44" s="280" t="s">
        <v>216</v>
      </c>
      <c r="N44" s="483"/>
      <c r="O44" s="484"/>
      <c r="Q44" s="52"/>
      <c r="R44" s="51"/>
    </row>
    <row r="45" spans="2:18" s="337" customFormat="1" ht="15" customHeight="1">
      <c r="B45" s="326"/>
      <c r="C45" s="326" t="s">
        <v>217</v>
      </c>
      <c r="D45" s="421" t="s">
        <v>218</v>
      </c>
      <c r="E45" s="109">
        <f>'J.01 Agree SL to GL'!E17</f>
        <v>0</v>
      </c>
      <c r="F45" s="321">
        <f>'J.01 Agree SL to GL'!G17</f>
        <v>0</v>
      </c>
      <c r="G45" s="334">
        <f>E45+F45</f>
        <v>0</v>
      </c>
      <c r="H45" s="109">
        <f>'J.01 Agree SL to GL'!I17</f>
        <v>0</v>
      </c>
      <c r="I45" s="334">
        <f>G45+H45</f>
        <v>0</v>
      </c>
      <c r="J45" s="109">
        <f>'J.01 Agree SL to GL'!K13</f>
        <v>0</v>
      </c>
      <c r="K45" s="230">
        <f>I45-J45</f>
        <v>0</v>
      </c>
      <c r="L45" s="348">
        <f>IF(J45&lt;&gt;0,K45/J45,1)</f>
        <v>1</v>
      </c>
      <c r="M45" s="335" t="s">
        <v>219</v>
      </c>
      <c r="N45" s="425" t="str">
        <f>IF(AND(ABS(K45)&gt;=$C$33,ABS(L45)&gt;=$C$34),"是","否")</f>
        <v>是</v>
      </c>
      <c r="O45" s="460"/>
      <c r="Q45" s="338"/>
    </row>
    <row r="46" spans="2:18" s="337" customFormat="1" ht="15" customHeight="1">
      <c r="B46" s="326"/>
      <c r="C46" s="326" t="s">
        <v>220</v>
      </c>
      <c r="D46" s="421" t="s">
        <v>218</v>
      </c>
      <c r="E46" s="109">
        <f>'J.01 Agree SL to GL'!E22</f>
        <v>0</v>
      </c>
      <c r="F46" s="109">
        <f>'J.01 Agree SL to GL'!G22</f>
        <v>0</v>
      </c>
      <c r="G46" s="334">
        <f>E46+F46</f>
        <v>0</v>
      </c>
      <c r="H46" s="109">
        <f>'J.01 Agree SL to GL'!I22</f>
        <v>0</v>
      </c>
      <c r="I46" s="334">
        <f>G46+H46</f>
        <v>0</v>
      </c>
      <c r="J46" s="109">
        <f>'J.01 Agree SL to GL'!K19</f>
        <v>0</v>
      </c>
      <c r="K46" s="230">
        <f>I46-J46</f>
        <v>0</v>
      </c>
      <c r="L46" s="348">
        <f>IF(J46&lt;&gt;0,K46/J46,1)</f>
        <v>1</v>
      </c>
      <c r="M46" s="335"/>
      <c r="N46" s="336" t="str">
        <f>IF(AND(ABS(K46)&gt;=$C$33,ABS(L46)&gt;=$C$34),"是","否")</f>
        <v>是</v>
      </c>
      <c r="O46" s="460"/>
      <c r="Q46" s="338"/>
    </row>
    <row r="47" spans="2:18" ht="15" customHeight="1">
      <c r="B47" s="333"/>
      <c r="E47" s="339"/>
      <c r="F47" s="339"/>
      <c r="G47" s="339"/>
      <c r="H47" s="339"/>
      <c r="I47" s="339"/>
      <c r="J47" s="339"/>
      <c r="K47" s="340"/>
      <c r="L47" s="341"/>
      <c r="M47" s="58"/>
      <c r="N47" s="66"/>
      <c r="O47" s="422"/>
      <c r="Q47" s="52"/>
      <c r="R47" s="51"/>
    </row>
    <row r="48" spans="2:18" ht="15" customHeight="1" thickBot="1">
      <c r="C48" s="67" t="s">
        <v>221</v>
      </c>
      <c r="E48" s="136">
        <f t="shared" ref="E48:K48" si="1">E45-E46</f>
        <v>0</v>
      </c>
      <c r="F48" s="136">
        <f t="shared" si="1"/>
        <v>0</v>
      </c>
      <c r="G48" s="136">
        <f t="shared" si="1"/>
        <v>0</v>
      </c>
      <c r="H48" s="136">
        <f t="shared" si="1"/>
        <v>0</v>
      </c>
      <c r="I48" s="136">
        <f t="shared" si="1"/>
        <v>0</v>
      </c>
      <c r="J48" s="136">
        <f t="shared" si="1"/>
        <v>0</v>
      </c>
      <c r="K48" s="136">
        <f t="shared" si="1"/>
        <v>0</v>
      </c>
      <c r="L48" s="419">
        <f>IF(J48&lt;&gt;0,K48/J48,1)</f>
        <v>1</v>
      </c>
      <c r="M48" s="65"/>
      <c r="N48" s="336" t="str">
        <f>IF(AND(ABS(K48)&gt;=$C$33,ABS(L48)&gt;=$C$34),"是","否")</f>
        <v>是</v>
      </c>
      <c r="O48" s="460"/>
      <c r="Q48" s="52"/>
      <c r="R48" s="51"/>
    </row>
    <row r="49" spans="1:18" ht="15" customHeight="1" thickTop="1">
      <c r="C49" s="67"/>
      <c r="E49" s="137" t="s">
        <v>222</v>
      </c>
      <c r="F49" s="137" t="s">
        <v>222</v>
      </c>
      <c r="G49" s="137" t="s">
        <v>222</v>
      </c>
      <c r="H49" s="137" t="s">
        <v>222</v>
      </c>
      <c r="I49" s="137" t="s">
        <v>222</v>
      </c>
      <c r="J49" s="137" t="s">
        <v>222</v>
      </c>
      <c r="K49" s="138"/>
      <c r="L49" s="106"/>
      <c r="M49" s="65"/>
      <c r="N49" s="66"/>
      <c r="O49" s="106"/>
      <c r="Q49" s="52"/>
      <c r="R49" s="51"/>
    </row>
    <row r="50" spans="1:18" ht="15" customHeight="1">
      <c r="C50" s="67"/>
      <c r="E50" s="137"/>
      <c r="F50" s="138"/>
      <c r="G50" s="138"/>
      <c r="H50" s="138"/>
      <c r="I50" s="138"/>
      <c r="J50" s="138"/>
      <c r="K50" s="138"/>
      <c r="L50" s="106"/>
      <c r="M50" s="65"/>
      <c r="N50" s="66"/>
      <c r="O50" s="106"/>
      <c r="Q50" s="52"/>
      <c r="R50" s="51"/>
    </row>
    <row r="51" spans="1:18" ht="15" customHeight="1">
      <c r="C51" s="135" t="s">
        <v>223</v>
      </c>
      <c r="E51" s="342"/>
      <c r="F51" s="138"/>
      <c r="G51" s="144"/>
      <c r="H51" s="138"/>
      <c r="I51" s="144"/>
      <c r="J51" s="144"/>
      <c r="K51" s="138"/>
      <c r="L51" s="106"/>
      <c r="M51" s="65"/>
      <c r="N51" s="66"/>
      <c r="O51" s="107"/>
      <c r="Q51" s="52"/>
      <c r="R51" s="51"/>
    </row>
    <row r="52" spans="1:18" ht="15" customHeight="1">
      <c r="C52" s="135" t="s">
        <v>224</v>
      </c>
      <c r="D52" s="63"/>
      <c r="E52" s="342"/>
      <c r="F52" s="139"/>
      <c r="G52" s="139">
        <f>G48-G51</f>
        <v>0</v>
      </c>
      <c r="H52" s="420"/>
      <c r="I52" s="139">
        <f>I48-I51</f>
        <v>0</v>
      </c>
      <c r="J52" s="139">
        <f>J48-J51</f>
        <v>0</v>
      </c>
      <c r="L52" s="138"/>
      <c r="M52" s="106"/>
      <c r="N52" s="65"/>
      <c r="O52" s="66"/>
      <c r="P52" s="107"/>
      <c r="Q52" s="52"/>
    </row>
    <row r="53" spans="1:18" ht="15" customHeight="1">
      <c r="B53" s="281" t="s">
        <v>225</v>
      </c>
      <c r="C53" s="271"/>
      <c r="D53" s="271"/>
      <c r="E53" s="271"/>
      <c r="F53" s="271"/>
      <c r="G53" s="105"/>
      <c r="H53" s="105"/>
      <c r="I53" s="105"/>
      <c r="J53" s="105"/>
      <c r="K53" s="106"/>
      <c r="L53" s="65"/>
      <c r="M53" s="66"/>
      <c r="N53" s="106"/>
      <c r="O53" s="107"/>
      <c r="P53" s="58"/>
      <c r="Q53" s="52"/>
      <c r="R53" s="51"/>
    </row>
    <row r="54" spans="1:18" s="60" customFormat="1" ht="15" customHeight="1">
      <c r="B54" s="485" t="s">
        <v>219</v>
      </c>
      <c r="C54" s="486"/>
      <c r="D54" s="486"/>
      <c r="E54" s="486"/>
      <c r="F54" s="487"/>
      <c r="J54" s="68"/>
      <c r="K54" s="68"/>
      <c r="L54" s="68"/>
      <c r="M54" s="69"/>
      <c r="N54" s="69"/>
      <c r="O54" s="69"/>
      <c r="Q54" s="61"/>
    </row>
    <row r="55" spans="1:18" ht="15" customHeight="1">
      <c r="B55" s="488"/>
      <c r="C55" s="489"/>
      <c r="D55" s="489"/>
      <c r="E55" s="489"/>
      <c r="F55" s="490"/>
      <c r="I55" s="78"/>
      <c r="K55" s="72"/>
      <c r="L55" s="73"/>
      <c r="M55" s="73"/>
      <c r="N55" s="73"/>
      <c r="O55" s="73"/>
      <c r="Q55" s="52"/>
      <c r="R55" s="51"/>
    </row>
    <row r="56" spans="1:18" ht="15" customHeight="1">
      <c r="B56" s="488"/>
      <c r="C56" s="489"/>
      <c r="D56" s="489"/>
      <c r="E56" s="489"/>
      <c r="F56" s="490"/>
      <c r="K56" s="72"/>
      <c r="L56" s="73"/>
      <c r="M56" s="73"/>
      <c r="N56" s="73"/>
      <c r="O56" s="73"/>
      <c r="Q56" s="52"/>
      <c r="R56" s="51"/>
    </row>
    <row r="57" spans="1:18" ht="15" customHeight="1">
      <c r="B57" s="491"/>
      <c r="C57" s="492"/>
      <c r="D57" s="492"/>
      <c r="E57" s="492"/>
      <c r="F57" s="493"/>
      <c r="K57" s="72"/>
      <c r="L57" s="73"/>
      <c r="M57" s="73"/>
      <c r="N57" s="73"/>
      <c r="O57" s="73"/>
      <c r="Q57" s="52"/>
      <c r="R57" s="51"/>
    </row>
    <row r="58" spans="1:18" ht="15" customHeight="1">
      <c r="B58" s="71"/>
      <c r="L58" s="72"/>
      <c r="M58" s="73"/>
      <c r="N58" s="73"/>
      <c r="O58" s="73"/>
      <c r="P58" s="73"/>
      <c r="Q58" s="52"/>
    </row>
    <row r="59" spans="1:18" s="124" customFormat="1" ht="14.5">
      <c r="A59" s="120"/>
      <c r="B59" s="179" t="s">
        <v>226</v>
      </c>
      <c r="C59" s="121"/>
      <c r="D59" s="121"/>
      <c r="E59" s="122"/>
      <c r="F59" s="461"/>
      <c r="G59" s="123"/>
      <c r="H59" s="123"/>
      <c r="I59" s="123"/>
      <c r="Q59" s="52"/>
    </row>
    <row r="60" spans="1:18" s="124" customFormat="1" ht="14.25" customHeight="1">
      <c r="A60" s="120"/>
      <c r="B60" s="172" t="s">
        <v>227</v>
      </c>
      <c r="C60" s="173"/>
      <c r="D60" s="173"/>
      <c r="E60" s="174"/>
      <c r="F60" s="174"/>
      <c r="G60" s="123"/>
      <c r="H60" s="123"/>
      <c r="I60" s="123"/>
      <c r="Q60" s="52"/>
    </row>
    <row r="61" spans="1:18" s="124" customFormat="1" ht="14.25" customHeight="1">
      <c r="A61" s="120"/>
      <c r="B61" s="175"/>
      <c r="C61" s="176"/>
      <c r="D61" s="176"/>
      <c r="E61" s="411"/>
      <c r="F61" s="412"/>
      <c r="G61" s="123"/>
      <c r="H61" s="123"/>
      <c r="I61" s="123"/>
      <c r="Q61" s="52"/>
    </row>
    <row r="62" spans="1:18" s="124" customFormat="1" ht="14.25" customHeight="1">
      <c r="A62" s="125"/>
      <c r="B62" s="177"/>
      <c r="C62" s="413"/>
      <c r="D62" s="413"/>
      <c r="E62" s="414"/>
      <c r="F62" s="415"/>
      <c r="G62" s="123"/>
      <c r="H62" s="123"/>
      <c r="I62" s="123"/>
      <c r="Q62" s="52"/>
    </row>
    <row r="63" spans="1:18" s="60" customFormat="1" ht="15" customHeight="1">
      <c r="B63" s="178"/>
      <c r="C63" s="416"/>
      <c r="D63" s="416"/>
      <c r="E63" s="417"/>
      <c r="F63" s="418"/>
      <c r="M63" s="74"/>
      <c r="N63" s="70"/>
      <c r="O63" s="70"/>
      <c r="P63" s="70"/>
      <c r="Q63" s="61"/>
      <c r="R63" s="62"/>
    </row>
    <row r="64" spans="1:18" s="60" customFormat="1" ht="15" customHeight="1">
      <c r="B64" s="123"/>
      <c r="C64" s="123"/>
      <c r="D64" s="123"/>
      <c r="E64" s="123"/>
      <c r="F64" s="123"/>
      <c r="M64" s="74"/>
      <c r="N64" s="70"/>
      <c r="O64" s="70"/>
      <c r="P64" s="70"/>
      <c r="Q64" s="61"/>
      <c r="R64" s="62"/>
    </row>
    <row r="65" spans="1:17" ht="7.5" customHeight="1">
      <c r="A65" s="108"/>
      <c r="B65" s="108"/>
      <c r="C65" s="108"/>
      <c r="D65" s="108"/>
      <c r="E65" s="108"/>
      <c r="F65" s="108"/>
      <c r="G65" s="108"/>
      <c r="H65" s="52"/>
      <c r="I65" s="52"/>
      <c r="J65" s="52"/>
      <c r="K65" s="52"/>
      <c r="L65" s="52"/>
      <c r="M65" s="75"/>
      <c r="N65" s="76"/>
      <c r="O65" s="76"/>
      <c r="P65" s="76"/>
      <c r="Q65" s="52"/>
    </row>
    <row r="66" spans="1:17" ht="15" customHeight="1">
      <c r="M66" s="72"/>
      <c r="N66" s="73"/>
      <c r="O66" s="73"/>
      <c r="P66" s="73"/>
    </row>
    <row r="67" spans="1:17" ht="15" customHeight="1">
      <c r="M67" s="72"/>
      <c r="N67" s="73"/>
      <c r="O67" s="73"/>
      <c r="P67" s="73"/>
    </row>
    <row r="68" spans="1:17" ht="15" customHeight="1">
      <c r="P68" s="73"/>
    </row>
    <row r="69" spans="1:17" ht="15" customHeight="1">
      <c r="P69" s="73"/>
    </row>
    <row r="70" spans="1:17" ht="15" customHeight="1">
      <c r="P70" s="73"/>
    </row>
    <row r="71" spans="1:17" ht="15" customHeight="1">
      <c r="P71" s="73"/>
    </row>
    <row r="72" spans="1:17" ht="15" customHeight="1">
      <c r="P72" s="73"/>
    </row>
  </sheetData>
  <sheetProtection formatCells="0" formatColumns="0" formatRows="0" insertColumns="0" insertRows="0" insertHyperlinks="0" deleteColumns="0" deleteRows="0" sort="0" autoFilter="0" pivotTables="0"/>
  <mergeCells count="13">
    <mergeCell ref="N43:N44"/>
    <mergeCell ref="O43:O44"/>
    <mergeCell ref="B54:F57"/>
    <mergeCell ref="E2:O8"/>
    <mergeCell ref="B24:E24"/>
    <mergeCell ref="C27:F27"/>
    <mergeCell ref="C28:F28"/>
    <mergeCell ref="C29:F29"/>
    <mergeCell ref="B21:E21"/>
    <mergeCell ref="H14:L14"/>
    <mergeCell ref="E42:J42"/>
    <mergeCell ref="E43:I43"/>
    <mergeCell ref="K43:L43"/>
  </mergeCells>
  <phoneticPr fontId="75" type="noConversion"/>
  <conditionalFormatting sqref="B45:C46">
    <cfRule type="containsBlanks" dxfId="47" priority="5">
      <formula>LEN(TRIM(B45))=0</formula>
    </cfRule>
  </conditionalFormatting>
  <conditionalFormatting sqref="B61:F61 C62:F62 B62:B63">
    <cfRule type="containsBlanks" dxfId="46" priority="2">
      <formula>LEN(TRIM(B61))=0</formula>
    </cfRule>
  </conditionalFormatting>
  <conditionalFormatting sqref="C2 C4:C8 E45:F46 H45:H46 J45:J46 O45:O46">
    <cfRule type="containsBlanks" dxfId="45" priority="27">
      <formula>LEN(TRIM(C2))=0</formula>
    </cfRule>
  </conditionalFormatting>
  <conditionalFormatting sqref="C3">
    <cfRule type="containsBlanks" dxfId="44" priority="3">
      <formula>LEN(TRIM(C3))=0</formula>
    </cfRule>
  </conditionalFormatting>
  <conditionalFormatting sqref="C16:C20">
    <cfRule type="containsBlanks" dxfId="43" priority="6">
      <formula>LEN(TRIM(C16))=0</formula>
    </cfRule>
  </conditionalFormatting>
  <conditionalFormatting sqref="C28:C29">
    <cfRule type="containsBlanks" dxfId="42" priority="23">
      <formula>LEN(TRIM(C28))=0</formula>
    </cfRule>
  </conditionalFormatting>
  <conditionalFormatting sqref="C34">
    <cfRule type="containsBlanks" dxfId="41" priority="24">
      <formula>LEN(TRIM(C34))=0</formula>
    </cfRule>
  </conditionalFormatting>
  <conditionalFormatting sqref="C63:F63">
    <cfRule type="containsBlanks" dxfId="40" priority="1">
      <formula>LEN(TRIM(C63))=0</formula>
    </cfRule>
  </conditionalFormatting>
  <conditionalFormatting sqref="G51">
    <cfRule type="containsBlanks" dxfId="39" priority="4">
      <formula>LEN(TRIM(G51))=0</formula>
    </cfRule>
  </conditionalFormatting>
  <conditionalFormatting sqref="I51:J51">
    <cfRule type="containsBlanks" dxfId="38" priority="15">
      <formula>LEN(TRIM(I51))=0</formula>
    </cfRule>
  </conditionalFormatting>
  <conditionalFormatting sqref="N49:N51 O52 M53">
    <cfRule type="containsText" dxfId="37" priority="43" operator="containsText" text="Yes">
      <formula>NOT(ISERROR(SEARCH("Yes",M49)))</formula>
    </cfRule>
  </conditionalFormatting>
  <conditionalFormatting sqref="O48">
    <cfRule type="containsBlanks" dxfId="36" priority="9">
      <formula>LEN(TRIM(O48))=0</formula>
    </cfRule>
  </conditionalFormatting>
  <dataValidations count="3">
    <dataValidation type="list" allowBlank="1" showInputMessage="1" sqref="C16:C20" xr:uid="{BC63C004-9887-4C31-A71D-D5B659583647}">
      <formula1>"Minimal,Low,Moderate,High,N/A"</formula1>
    </dataValidation>
    <dataValidation type="list" allowBlank="1" showInputMessage="1" sqref="O45:O46 O48" xr:uid="{9EA096DE-D1E9-4D82-934E-5205383786FC}">
      <formula1>"是,否"</formula1>
    </dataValidation>
    <dataValidation type="list" allowBlank="1" showInputMessage="1" sqref="B61:B63" xr:uid="{F01D061B-A263-401C-8F56-295ED2EF960F}">
      <formula1>"管理层账表调整(CLA),已更正审计调整(AA/RA/OA),未更正审计调整(SAD)"</formula1>
    </dataValidation>
  </dataValidations>
  <hyperlinks>
    <hyperlink ref="B11" location="汇总!A1" display="返回汇总页" xr:uid="{E942F71B-7887-4697-A909-C20848EAAFE9}"/>
  </hyperlinks>
  <pageMargins left="0.70866141732283505" right="0.70866141732283505" top="0.74803149606299202" bottom="0.74803149606299202" header="0.31496062992126" footer="0.31496062992126"/>
  <pageSetup paperSize="9" scale="44" fitToHeight="0" orientation="landscape" horizontalDpi="300" r:id="rId1"/>
  <headerFooter>
    <oddFooter>&amp;LK SWP PPE
(24 June 2025)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217A-2B22-449B-98A4-D98FC040CB93}">
  <dimension ref="A1:CQ46"/>
  <sheetViews>
    <sheetView showGridLines="0" zoomScale="70" zoomScaleNormal="70" workbookViewId="0">
      <selection activeCell="P43" sqref="P43"/>
    </sheetView>
  </sheetViews>
  <sheetFormatPr defaultColWidth="8.75" defaultRowHeight="12.75" customHeight="1"/>
  <cols>
    <col min="1" max="1" width="2.58203125" style="2" customWidth="1"/>
    <col min="2" max="2" width="16.08203125" style="2" customWidth="1"/>
    <col min="3" max="3" width="19.83203125" style="2" customWidth="1"/>
    <col min="4" max="4" width="11.33203125" style="2" customWidth="1"/>
    <col min="5" max="5" width="20.08203125" style="2" customWidth="1"/>
    <col min="6" max="6" width="4.08203125" style="2" customWidth="1"/>
    <col min="7" max="7" width="18.33203125" style="2" customWidth="1"/>
    <col min="8" max="8" width="4.75" style="2" customWidth="1"/>
    <col min="9" max="9" width="13.5" style="2" customWidth="1"/>
    <col min="10" max="10" width="3.33203125" style="2" customWidth="1"/>
    <col min="11" max="11" width="15.25" style="2" customWidth="1"/>
    <col min="12" max="12" width="2.58203125" style="2" customWidth="1"/>
    <col min="13" max="13" width="1.58203125" style="2" customWidth="1"/>
    <col min="14" max="14" width="8.75" style="3"/>
    <col min="15" max="16384" width="8.75" style="2"/>
  </cols>
  <sheetData>
    <row r="1" spans="2:95" s="51" customFormat="1" ht="50.15" customHeight="1">
      <c r="B1" s="426"/>
      <c r="C1" s="426" t="s">
        <v>228</v>
      </c>
      <c r="D1" s="427"/>
      <c r="E1" s="428"/>
      <c r="F1" s="429"/>
      <c r="G1" s="429"/>
      <c r="H1" s="429"/>
      <c r="I1" s="423"/>
      <c r="J1" s="423"/>
      <c r="K1" s="430"/>
      <c r="M1" s="52"/>
    </row>
    <row r="2" spans="2:95" ht="30" customHeight="1">
      <c r="B2" s="402" t="s">
        <v>229</v>
      </c>
      <c r="C2" s="305"/>
      <c r="D2" s="305"/>
      <c r="E2" s="306"/>
      <c r="F2" s="306"/>
      <c r="G2" s="306"/>
      <c r="H2" s="306"/>
      <c r="I2" s="306"/>
      <c r="J2" s="306"/>
      <c r="K2" s="403"/>
      <c r="M2" s="52"/>
      <c r="BO2" s="5"/>
      <c r="BP2" s="3"/>
      <c r="BQ2" s="3"/>
      <c r="BR2" s="6"/>
      <c r="BS2" s="4"/>
      <c r="BT2" s="4"/>
      <c r="BU2" s="4"/>
      <c r="BV2" s="4"/>
      <c r="BW2" s="4"/>
      <c r="BX2" s="4"/>
      <c r="BY2" s="4"/>
      <c r="BZ2" s="3"/>
      <c r="CA2" s="4"/>
      <c r="CB2" s="4"/>
      <c r="CC2" s="4"/>
      <c r="CD2" s="4"/>
      <c r="CE2" s="4"/>
      <c r="CF2" s="4"/>
      <c r="CG2" s="3"/>
      <c r="CH2" s="7"/>
      <c r="CI2" s="8"/>
      <c r="CJ2" s="9"/>
      <c r="CK2" s="9"/>
      <c r="CL2" s="3"/>
      <c r="CM2" s="4"/>
      <c r="CN2" s="10"/>
      <c r="CO2" s="11"/>
      <c r="CP2" s="4"/>
      <c r="CQ2" s="12"/>
    </row>
    <row r="3" spans="2:95" ht="12.75" customHeight="1">
      <c r="C3" s="126"/>
      <c r="D3" s="126"/>
      <c r="M3" s="52"/>
      <c r="BO3" s="5"/>
      <c r="BP3" s="3"/>
      <c r="BQ3" s="3"/>
      <c r="BR3" s="6"/>
      <c r="BS3" s="4"/>
      <c r="BT3" s="4"/>
      <c r="BU3" s="4"/>
      <c r="BV3" s="4"/>
      <c r="BW3" s="4"/>
      <c r="BX3" s="4"/>
      <c r="BY3" s="4"/>
      <c r="BZ3" s="3"/>
      <c r="CA3" s="4"/>
      <c r="CB3" s="4"/>
      <c r="CC3" s="4"/>
      <c r="CD3" s="4"/>
      <c r="CE3" s="4"/>
      <c r="CF3" s="4"/>
      <c r="CG3" s="3"/>
      <c r="CH3" s="7"/>
      <c r="CI3" s="8"/>
      <c r="CJ3" s="9"/>
      <c r="CK3" s="9"/>
      <c r="CL3" s="3"/>
      <c r="CM3" s="4"/>
      <c r="CN3" s="10"/>
      <c r="CO3" s="11"/>
      <c r="CP3" s="4"/>
      <c r="CQ3" s="12"/>
    </row>
    <row r="4" spans="2:95" ht="12.75" customHeight="1">
      <c r="B4" s="131" t="s">
        <v>156</v>
      </c>
      <c r="D4" s="126"/>
      <c r="M4" s="52"/>
      <c r="BO4" s="5"/>
      <c r="BP4" s="3"/>
      <c r="BQ4" s="3"/>
      <c r="BR4" s="6"/>
      <c r="BS4" s="4"/>
      <c r="BT4" s="4"/>
      <c r="BU4" s="4"/>
      <c r="BV4" s="4"/>
      <c r="BW4" s="4"/>
      <c r="BX4" s="4"/>
      <c r="BY4" s="4"/>
      <c r="BZ4" s="3"/>
      <c r="CA4" s="4"/>
      <c r="CB4" s="4"/>
      <c r="CC4" s="4"/>
      <c r="CD4" s="4"/>
      <c r="CE4" s="4"/>
      <c r="CF4" s="4"/>
      <c r="CG4" s="3"/>
      <c r="CH4" s="7"/>
      <c r="CI4" s="8"/>
      <c r="CJ4" s="9"/>
      <c r="CK4" s="9"/>
      <c r="CL4" s="3"/>
      <c r="CM4" s="4"/>
      <c r="CN4" s="10"/>
      <c r="CO4" s="11"/>
      <c r="CP4" s="4"/>
      <c r="CQ4" s="12"/>
    </row>
    <row r="5" spans="2:95" ht="12.75" customHeight="1">
      <c r="M5" s="52"/>
      <c r="BO5" s="5"/>
      <c r="BP5" s="3"/>
      <c r="BQ5" s="3"/>
      <c r="BR5" s="6"/>
      <c r="BS5" s="4"/>
      <c r="BT5" s="4"/>
      <c r="BU5" s="4"/>
      <c r="BV5" s="4"/>
      <c r="BW5" s="4"/>
      <c r="BX5" s="4"/>
      <c r="BY5" s="4"/>
      <c r="BZ5" s="3"/>
      <c r="CA5" s="4"/>
      <c r="CB5" s="4"/>
      <c r="CC5" s="4"/>
      <c r="CD5" s="4"/>
      <c r="CE5" s="4"/>
      <c r="CF5" s="4"/>
      <c r="CG5" s="3"/>
      <c r="CH5" s="7"/>
      <c r="CI5" s="8"/>
      <c r="CJ5" s="9"/>
      <c r="CK5" s="9"/>
      <c r="CL5" s="3"/>
      <c r="CM5" s="4"/>
      <c r="CN5" s="10"/>
      <c r="CO5" s="11"/>
      <c r="CP5" s="4"/>
      <c r="CQ5" s="12"/>
    </row>
    <row r="6" spans="2:95" ht="12.75" customHeight="1">
      <c r="B6" s="401" t="s">
        <v>230</v>
      </c>
      <c r="C6" s="126"/>
      <c r="D6" s="163"/>
      <c r="E6" s="163"/>
      <c r="F6" s="163"/>
      <c r="G6" s="163"/>
      <c r="H6" s="163"/>
      <c r="I6" s="163"/>
      <c r="J6" s="163"/>
      <c r="K6" s="163"/>
      <c r="M6" s="52"/>
      <c r="BO6" s="5"/>
      <c r="BP6" s="3"/>
      <c r="BQ6" s="3"/>
      <c r="BR6" s="6"/>
      <c r="BS6" s="4"/>
      <c r="BT6" s="4"/>
      <c r="BU6" s="4"/>
      <c r="BV6" s="4"/>
      <c r="BW6" s="4"/>
      <c r="BX6" s="4"/>
      <c r="BY6" s="4"/>
      <c r="BZ6" s="3"/>
      <c r="CA6" s="4"/>
      <c r="CB6" s="4"/>
      <c r="CC6" s="4"/>
      <c r="CD6" s="4"/>
      <c r="CE6" s="4"/>
      <c r="CF6" s="4"/>
      <c r="CG6" s="3"/>
      <c r="CH6" s="7"/>
      <c r="CI6" s="8"/>
      <c r="CJ6" s="9"/>
      <c r="CK6" s="9"/>
      <c r="CL6" s="3"/>
      <c r="CM6" s="4"/>
      <c r="CN6" s="10"/>
      <c r="CO6" s="11"/>
      <c r="CP6" s="4"/>
      <c r="CQ6" s="12"/>
    </row>
    <row r="7" spans="2:95" ht="14">
      <c r="B7" s="525" t="s">
        <v>231</v>
      </c>
      <c r="C7" s="525"/>
      <c r="D7" s="525"/>
      <c r="E7" s="525"/>
      <c r="F7" s="525"/>
      <c r="G7" s="525"/>
      <c r="H7" s="525"/>
      <c r="I7" s="525"/>
      <c r="J7" s="525"/>
      <c r="K7" s="525"/>
      <c r="M7" s="52"/>
      <c r="BO7" s="5"/>
      <c r="BP7" s="3"/>
      <c r="BQ7" s="3"/>
      <c r="BR7" s="6"/>
      <c r="BS7" s="4"/>
      <c r="BT7" s="4"/>
      <c r="BU7" s="4"/>
      <c r="BV7" s="4"/>
      <c r="BW7" s="4"/>
      <c r="BX7" s="4"/>
      <c r="BY7" s="4"/>
      <c r="BZ7" s="3"/>
      <c r="CA7" s="4"/>
      <c r="CB7" s="4"/>
      <c r="CC7" s="4"/>
      <c r="CD7" s="4"/>
      <c r="CE7" s="4"/>
      <c r="CF7" s="4"/>
      <c r="CG7" s="3"/>
      <c r="CH7" s="7"/>
      <c r="CI7" s="8"/>
      <c r="CJ7" s="9"/>
      <c r="CK7" s="9"/>
      <c r="CL7" s="3"/>
      <c r="CM7" s="4"/>
      <c r="CN7" s="10"/>
      <c r="CO7" s="11"/>
      <c r="CP7" s="4"/>
      <c r="CQ7" s="12"/>
    </row>
    <row r="8" spans="2:95" ht="15.75" customHeight="1">
      <c r="B8" s="526" t="s">
        <v>232</v>
      </c>
      <c r="C8" s="526"/>
      <c r="D8" s="526"/>
      <c r="E8" s="526"/>
      <c r="F8" s="526"/>
      <c r="G8" s="526"/>
      <c r="H8" s="526"/>
      <c r="I8" s="526"/>
      <c r="J8" s="526"/>
      <c r="K8" s="526"/>
      <c r="M8" s="52"/>
      <c r="BO8" s="5"/>
      <c r="BP8" s="3"/>
      <c r="BQ8" s="3"/>
      <c r="BR8" s="6"/>
      <c r="BS8" s="4"/>
      <c r="BT8" s="4"/>
      <c r="BU8" s="4"/>
      <c r="BV8" s="4"/>
      <c r="BW8" s="4"/>
      <c r="BX8" s="4"/>
      <c r="BY8" s="4"/>
      <c r="BZ8" s="3"/>
      <c r="CA8" s="4"/>
      <c r="CB8" s="4"/>
      <c r="CC8" s="4"/>
      <c r="CD8" s="4"/>
      <c r="CE8" s="4"/>
      <c r="CF8" s="4"/>
      <c r="CG8" s="3"/>
      <c r="CH8" s="7"/>
      <c r="CI8" s="8"/>
      <c r="CJ8" s="9"/>
      <c r="CK8" s="9"/>
      <c r="CL8" s="3"/>
      <c r="CM8" s="4"/>
      <c r="CN8" s="10"/>
      <c r="CO8" s="11"/>
      <c r="CP8" s="4"/>
      <c r="CQ8" s="12"/>
    </row>
    <row r="9" spans="2:95" ht="12.75" customHeight="1">
      <c r="B9" s="526"/>
      <c r="C9" s="526"/>
      <c r="D9" s="526"/>
      <c r="E9" s="526"/>
      <c r="F9" s="526"/>
      <c r="G9" s="526"/>
      <c r="H9" s="526"/>
      <c r="I9" s="526"/>
      <c r="J9" s="526"/>
      <c r="K9" s="526"/>
      <c r="M9" s="52"/>
      <c r="BO9" s="5"/>
      <c r="BP9" s="3"/>
      <c r="BQ9" s="3"/>
      <c r="BR9" s="6"/>
      <c r="BS9" s="4"/>
      <c r="BT9" s="4"/>
      <c r="BU9" s="4"/>
      <c r="BV9" s="4"/>
      <c r="BW9" s="4"/>
      <c r="BX9" s="4"/>
      <c r="BY9" s="4"/>
      <c r="BZ9" s="3"/>
      <c r="CA9" s="4"/>
      <c r="CB9" s="4"/>
      <c r="CC9" s="4"/>
      <c r="CD9" s="4"/>
      <c r="CE9" s="4"/>
      <c r="CF9" s="4"/>
      <c r="CG9" s="3"/>
      <c r="CH9" s="7"/>
      <c r="CI9" s="8"/>
      <c r="CJ9" s="9"/>
      <c r="CK9" s="9"/>
      <c r="CL9" s="3"/>
      <c r="CM9" s="4"/>
      <c r="CN9" s="10"/>
      <c r="CO9" s="11"/>
      <c r="CP9" s="4"/>
      <c r="CQ9" s="12"/>
    </row>
    <row r="10" spans="2:95" ht="12.5">
      <c r="M10" s="52"/>
    </row>
    <row r="11" spans="2:95" ht="14.5">
      <c r="B11" s="78" t="s">
        <v>233</v>
      </c>
      <c r="E11" s="14" t="s">
        <v>200</v>
      </c>
      <c r="G11" s="64"/>
      <c r="I11" s="64"/>
      <c r="K11" s="64"/>
      <c r="M11" s="52"/>
    </row>
    <row r="12" spans="2:95" s="269" customFormat="1" ht="28.5" customHeight="1">
      <c r="B12" s="349" t="s">
        <v>234</v>
      </c>
      <c r="C12" s="350" t="s">
        <v>235</v>
      </c>
      <c r="D12" s="351" t="s">
        <v>236</v>
      </c>
      <c r="E12" s="352" t="s">
        <v>237</v>
      </c>
      <c r="F12" s="353"/>
      <c r="G12" s="352" t="s">
        <v>238</v>
      </c>
      <c r="H12" s="353"/>
      <c r="I12" s="352" t="s">
        <v>239</v>
      </c>
      <c r="J12" s="353"/>
      <c r="K12" s="354" t="s">
        <v>240</v>
      </c>
      <c r="M12" s="52"/>
      <c r="N12" s="118"/>
    </row>
    <row r="13" spans="2:95" ht="14.15" customHeight="1">
      <c r="B13" s="524" t="s">
        <v>241</v>
      </c>
      <c r="C13" s="269" t="s">
        <v>242</v>
      </c>
      <c r="E13" s="322"/>
      <c r="F13" s="323"/>
      <c r="G13" s="324"/>
      <c r="H13" s="323"/>
      <c r="I13" s="324"/>
      <c r="J13" s="167"/>
      <c r="K13" s="167">
        <f>E13+G13+I13</f>
        <v>0</v>
      </c>
      <c r="M13" s="52"/>
    </row>
    <row r="14" spans="2:95" ht="14.5">
      <c r="B14" s="524"/>
      <c r="C14" s="269" t="s">
        <v>243</v>
      </c>
      <c r="D14" s="186" t="s">
        <v>244</v>
      </c>
      <c r="E14" s="324"/>
      <c r="F14" s="323"/>
      <c r="G14" s="322"/>
      <c r="H14" s="323"/>
      <c r="I14" s="324"/>
      <c r="J14" s="167"/>
      <c r="K14" s="167">
        <f>E14+G14+I14</f>
        <v>0</v>
      </c>
      <c r="M14" s="52"/>
    </row>
    <row r="15" spans="2:95" ht="14.5">
      <c r="B15" s="524"/>
      <c r="C15" s="269" t="s">
        <v>245</v>
      </c>
      <c r="D15" s="186" t="s">
        <v>246</v>
      </c>
      <c r="E15" s="324"/>
      <c r="F15" s="323"/>
      <c r="G15" s="324"/>
      <c r="H15" s="323"/>
      <c r="I15" s="324"/>
      <c r="J15" s="167"/>
      <c r="K15" s="167">
        <f>E15+G15+I15</f>
        <v>0</v>
      </c>
      <c r="M15" s="52"/>
    </row>
    <row r="16" spans="2:95" ht="14.5">
      <c r="B16" s="524"/>
      <c r="C16" s="269" t="s">
        <v>247</v>
      </c>
      <c r="D16" s="186" t="s">
        <v>246</v>
      </c>
      <c r="E16" s="322"/>
      <c r="F16" s="323"/>
      <c r="G16" s="324"/>
      <c r="H16" s="323"/>
      <c r="I16" s="324"/>
      <c r="J16" s="167"/>
      <c r="K16" s="167">
        <f>E16+G16+I16</f>
        <v>0</v>
      </c>
      <c r="M16" s="52"/>
    </row>
    <row r="17" spans="2:13" ht="14.5">
      <c r="B17" s="524"/>
      <c r="C17" s="269" t="s">
        <v>248</v>
      </c>
      <c r="D17" s="186"/>
      <c r="E17" s="168">
        <f>E13+E14-E15-E16</f>
        <v>0</v>
      </c>
      <c r="F17" s="167"/>
      <c r="G17" s="168">
        <f>G13+G14-G15-G16</f>
        <v>0</v>
      </c>
      <c r="H17" s="167"/>
      <c r="I17" s="168">
        <f>I13+I14-I15-I16</f>
        <v>0</v>
      </c>
      <c r="J17" s="167"/>
      <c r="K17" s="168">
        <f>K13+K14-K15-K16</f>
        <v>0</v>
      </c>
      <c r="M17" s="52"/>
    </row>
    <row r="18" spans="2:13" ht="12.5">
      <c r="C18" s="269"/>
      <c r="E18" s="169"/>
      <c r="F18" s="167"/>
      <c r="G18" s="169"/>
      <c r="H18" s="167"/>
      <c r="I18" s="169"/>
      <c r="J18" s="167"/>
      <c r="K18" s="167"/>
      <c r="M18" s="52"/>
    </row>
    <row r="19" spans="2:13" ht="14.5" customHeight="1">
      <c r="B19" s="524" t="s">
        <v>249</v>
      </c>
      <c r="C19" s="269" t="s">
        <v>250</v>
      </c>
      <c r="D19" s="186" t="s">
        <v>251</v>
      </c>
      <c r="E19" s="322"/>
      <c r="F19" s="323"/>
      <c r="G19" s="324"/>
      <c r="H19" s="323"/>
      <c r="I19" s="324"/>
      <c r="J19" s="167"/>
      <c r="K19" s="167">
        <f>E19+G19+I19</f>
        <v>0</v>
      </c>
      <c r="M19" s="52"/>
    </row>
    <row r="20" spans="2:13" ht="14.5">
      <c r="B20" s="524"/>
      <c r="C20" s="269" t="s">
        <v>243</v>
      </c>
      <c r="D20" s="186" t="s">
        <v>251</v>
      </c>
      <c r="E20" s="322"/>
      <c r="F20" s="323"/>
      <c r="G20" s="324"/>
      <c r="H20" s="323"/>
      <c r="I20" s="324"/>
      <c r="J20" s="167"/>
      <c r="K20" s="167">
        <f>E20+G20+I20</f>
        <v>0</v>
      </c>
      <c r="M20" s="52"/>
    </row>
    <row r="21" spans="2:13" ht="14.5">
      <c r="B21" s="524"/>
      <c r="C21" s="269" t="s">
        <v>252</v>
      </c>
      <c r="D21" s="186" t="s">
        <v>251</v>
      </c>
      <c r="E21" s="322"/>
      <c r="F21" s="323"/>
      <c r="G21" s="324"/>
      <c r="H21" s="323"/>
      <c r="I21" s="324"/>
      <c r="J21" s="167"/>
      <c r="K21" s="167">
        <f>E21+G21+I21</f>
        <v>0</v>
      </c>
      <c r="M21" s="52"/>
    </row>
    <row r="22" spans="2:13" ht="14.5">
      <c r="B22" s="524"/>
      <c r="C22" s="269" t="s">
        <v>248</v>
      </c>
      <c r="D22" s="186"/>
      <c r="E22" s="166">
        <f>E19+E20-E21</f>
        <v>0</v>
      </c>
      <c r="F22" s="167"/>
      <c r="G22" s="166">
        <f>G19+G20-G21</f>
        <v>0</v>
      </c>
      <c r="H22" s="170"/>
      <c r="I22" s="166">
        <f>I19+I20-I21</f>
        <v>0</v>
      </c>
      <c r="J22" s="170"/>
      <c r="K22" s="166">
        <f>K19+K20-K21</f>
        <v>0</v>
      </c>
      <c r="M22" s="52"/>
    </row>
    <row r="23" spans="2:13" ht="13">
      <c r="B23" s="333"/>
      <c r="C23" s="269"/>
      <c r="D23" s="186"/>
      <c r="E23" s="167"/>
      <c r="F23" s="167"/>
      <c r="G23" s="167"/>
      <c r="H23" s="167"/>
      <c r="I23" s="167"/>
      <c r="J23" s="170"/>
      <c r="K23" s="167"/>
      <c r="M23" s="52"/>
    </row>
    <row r="24" spans="2:13" ht="14.5">
      <c r="B24" s="333"/>
      <c r="C24" s="269" t="s">
        <v>253</v>
      </c>
      <c r="D24" s="186"/>
      <c r="E24" s="165">
        <f>E17-E22</f>
        <v>0</v>
      </c>
      <c r="F24" s="167"/>
      <c r="G24" s="165">
        <f>G17-G22</f>
        <v>0</v>
      </c>
      <c r="H24" s="170"/>
      <c r="I24" s="165">
        <f>I17-I22</f>
        <v>0</v>
      </c>
      <c r="J24" s="170"/>
      <c r="K24" s="165">
        <f>K17-K22</f>
        <v>0</v>
      </c>
      <c r="M24" s="52"/>
    </row>
    <row r="25" spans="2:13" ht="13.5" thickTop="1">
      <c r="E25" s="187" t="s">
        <v>181</v>
      </c>
      <c r="G25" s="188" t="s">
        <v>181</v>
      </c>
      <c r="H25" s="189"/>
      <c r="I25" s="188" t="s">
        <v>181</v>
      </c>
      <c r="J25" s="189"/>
      <c r="K25" s="188" t="s">
        <v>181</v>
      </c>
      <c r="M25" s="52"/>
    </row>
    <row r="26" spans="2:13" ht="14.5">
      <c r="C26" s="190" t="s">
        <v>254</v>
      </c>
      <c r="D26" s="191"/>
      <c r="E26" s="457"/>
      <c r="F26" s="191"/>
      <c r="G26" s="192"/>
      <c r="H26" s="191"/>
      <c r="I26" s="191"/>
      <c r="J26" s="191"/>
      <c r="K26" s="192"/>
      <c r="M26" s="52"/>
    </row>
    <row r="27" spans="2:13" ht="14.5">
      <c r="C27" s="190" t="s">
        <v>255</v>
      </c>
      <c r="D27" s="191"/>
      <c r="E27" s="457">
        <f>E17-E26</f>
        <v>0</v>
      </c>
      <c r="F27" s="43" t="s">
        <v>181</v>
      </c>
      <c r="G27" s="43"/>
      <c r="H27" s="191"/>
      <c r="I27" s="191"/>
      <c r="J27" s="191"/>
      <c r="K27" s="193"/>
      <c r="M27" s="52"/>
    </row>
    <row r="28" spans="2:13" ht="14.5">
      <c r="C28" s="190" t="s">
        <v>256</v>
      </c>
      <c r="D28" s="191"/>
      <c r="E28" s="457"/>
      <c r="F28" s="43"/>
      <c r="G28" s="193"/>
      <c r="H28" s="191"/>
      <c r="I28" s="191"/>
      <c r="J28" s="191"/>
      <c r="K28" s="193"/>
      <c r="M28" s="52"/>
    </row>
    <row r="29" spans="2:13" ht="14.5">
      <c r="C29" s="190" t="s">
        <v>255</v>
      </c>
      <c r="E29" s="457">
        <f>E24-E28</f>
        <v>0</v>
      </c>
      <c r="F29" s="43" t="s">
        <v>181</v>
      </c>
      <c r="G29" s="43"/>
      <c r="M29" s="52"/>
    </row>
    <row r="30" spans="2:13" ht="13">
      <c r="C30" s="190"/>
      <c r="E30" s="190"/>
      <c r="F30" s="43"/>
      <c r="G30" s="43"/>
      <c r="M30" s="52"/>
    </row>
    <row r="31" spans="2:13" ht="13">
      <c r="C31" s="190"/>
      <c r="E31" s="190"/>
      <c r="F31" s="43"/>
      <c r="G31" s="43"/>
      <c r="M31" s="52"/>
    </row>
    <row r="32" spans="2:13" ht="14.5">
      <c r="B32" s="17" t="s">
        <v>257</v>
      </c>
      <c r="E32" s="190"/>
      <c r="G32" s="194"/>
      <c r="M32" s="52"/>
    </row>
    <row r="33" spans="1:13" ht="14.5">
      <c r="A33" s="78"/>
      <c r="B33" s="431"/>
      <c r="C33" s="432" t="s">
        <v>258</v>
      </c>
      <c r="D33" s="433"/>
      <c r="E33" s="434"/>
      <c r="F33" s="435"/>
      <c r="G33" s="436"/>
      <c r="H33" s="435"/>
      <c r="I33" s="435"/>
      <c r="J33" s="435"/>
      <c r="K33" s="437"/>
      <c r="M33" s="52"/>
    </row>
    <row r="34" spans="1:13" ht="14.5">
      <c r="B34" s="195"/>
      <c r="C34" s="196" t="s">
        <v>259</v>
      </c>
      <c r="D34" s="197"/>
      <c r="E34" s="182">
        <f>E33-E17</f>
        <v>0</v>
      </c>
      <c r="F34" s="183" t="s">
        <v>181</v>
      </c>
      <c r="G34" s="100"/>
      <c r="H34" s="197"/>
      <c r="I34" s="198"/>
      <c r="J34" s="197"/>
      <c r="K34" s="199"/>
      <c r="M34" s="52"/>
    </row>
    <row r="35" spans="1:13" ht="13">
      <c r="C35" s="190"/>
      <c r="E35" s="190"/>
      <c r="G35" s="194"/>
      <c r="M35" s="52"/>
    </row>
    <row r="36" spans="1:13" ht="13">
      <c r="C36" s="190"/>
      <c r="E36" s="190"/>
      <c r="G36" s="194"/>
      <c r="M36" s="52"/>
    </row>
    <row r="37" spans="1:13" ht="13">
      <c r="C37" s="13"/>
      <c r="D37" s="13"/>
      <c r="E37" s="200"/>
      <c r="M37" s="52"/>
    </row>
    <row r="38" spans="1:13" ht="12.75" customHeight="1">
      <c r="A38" s="78"/>
      <c r="B38" s="126" t="s">
        <v>260</v>
      </c>
      <c r="M38" s="52"/>
    </row>
    <row r="39" spans="1:13" ht="19.5" customHeight="1">
      <c r="B39" s="515"/>
      <c r="C39" s="516"/>
      <c r="D39" s="516"/>
      <c r="E39" s="516"/>
      <c r="F39" s="516"/>
      <c r="G39" s="516"/>
      <c r="H39" s="516"/>
      <c r="I39" s="516"/>
      <c r="J39" s="516"/>
      <c r="K39" s="517"/>
      <c r="M39" s="52"/>
    </row>
    <row r="40" spans="1:13" ht="12.75" customHeight="1">
      <c r="B40" s="518"/>
      <c r="C40" s="519"/>
      <c r="D40" s="519"/>
      <c r="E40" s="519"/>
      <c r="F40" s="519"/>
      <c r="G40" s="519"/>
      <c r="H40" s="519"/>
      <c r="I40" s="519"/>
      <c r="J40" s="519"/>
      <c r="K40" s="520"/>
      <c r="M40" s="52"/>
    </row>
    <row r="41" spans="1:13" ht="12.75" customHeight="1">
      <c r="B41" s="518"/>
      <c r="C41" s="519"/>
      <c r="D41" s="519"/>
      <c r="E41" s="519"/>
      <c r="F41" s="519"/>
      <c r="G41" s="519"/>
      <c r="H41" s="519"/>
      <c r="I41" s="519"/>
      <c r="J41" s="519"/>
      <c r="K41" s="520"/>
      <c r="M41" s="52"/>
    </row>
    <row r="42" spans="1:13" ht="12.65" customHeight="1">
      <c r="B42" s="521"/>
      <c r="C42" s="522"/>
      <c r="D42" s="522"/>
      <c r="E42" s="522"/>
      <c r="F42" s="522"/>
      <c r="G42" s="522"/>
      <c r="H42" s="522"/>
      <c r="I42" s="522"/>
      <c r="J42" s="522"/>
      <c r="K42" s="523"/>
      <c r="M42" s="52"/>
    </row>
    <row r="43" spans="1:13" ht="15" customHeight="1">
      <c r="M43" s="52"/>
    </row>
    <row r="44" spans="1:13" ht="7.5" customHeight="1">
      <c r="A44" s="52"/>
      <c r="B44" s="52"/>
      <c r="C44" s="52"/>
      <c r="D44" s="52"/>
      <c r="E44" s="52"/>
      <c r="F44" s="52"/>
      <c r="G44" s="52"/>
      <c r="H44" s="52"/>
      <c r="I44" s="52"/>
      <c r="J44" s="52"/>
      <c r="K44" s="52"/>
      <c r="L44" s="52"/>
      <c r="M44" s="52"/>
    </row>
    <row r="46" spans="1:13" ht="12.75" customHeight="1">
      <c r="C46" s="201"/>
    </row>
  </sheetData>
  <mergeCells count="5">
    <mergeCell ref="B39:K42"/>
    <mergeCell ref="B13:B17"/>
    <mergeCell ref="B19:B22"/>
    <mergeCell ref="B7:K7"/>
    <mergeCell ref="B8:K9"/>
  </mergeCells>
  <phoneticPr fontId="75" type="noConversion"/>
  <conditionalFormatting sqref="B13">
    <cfRule type="containsBlanks" dxfId="35" priority="18">
      <formula>LEN(TRIM(B13))=0</formula>
    </cfRule>
  </conditionalFormatting>
  <conditionalFormatting sqref="B19">
    <cfRule type="containsBlanks" dxfId="34" priority="17">
      <formula>LEN(TRIM(B19))=0</formula>
    </cfRule>
  </conditionalFormatting>
  <conditionalFormatting sqref="E13:E16">
    <cfRule type="containsBlanks" dxfId="33" priority="20">
      <formula>LEN(TRIM(E13))=0</formula>
    </cfRule>
  </conditionalFormatting>
  <conditionalFormatting sqref="E19:E22 E24 G24 I24 B39">
    <cfRule type="containsBlanks" dxfId="32" priority="19">
      <formula>LEN(TRIM(B19))=0</formula>
    </cfRule>
  </conditionalFormatting>
  <conditionalFormatting sqref="E26:E29">
    <cfRule type="containsBlanks" dxfId="31" priority="142">
      <formula>LEN(TRIM(E26))=0</formula>
    </cfRule>
  </conditionalFormatting>
  <conditionalFormatting sqref="E33:E34">
    <cfRule type="containsBlanks" dxfId="30" priority="1">
      <formula>LEN(TRIM(E33))=0</formula>
    </cfRule>
  </conditionalFormatting>
  <conditionalFormatting sqref="G13:G16">
    <cfRule type="containsBlanks" dxfId="29" priority="10">
      <formula>LEN(TRIM(G13))=0</formula>
    </cfRule>
  </conditionalFormatting>
  <conditionalFormatting sqref="G19:G22">
    <cfRule type="containsBlanks" dxfId="28" priority="6">
      <formula>LEN(TRIM(G19))=0</formula>
    </cfRule>
  </conditionalFormatting>
  <conditionalFormatting sqref="I13:I16">
    <cfRule type="containsBlanks" dxfId="27" priority="8">
      <formula>LEN(TRIM(I13))=0</formula>
    </cfRule>
  </conditionalFormatting>
  <conditionalFormatting sqref="I19:I22">
    <cfRule type="containsBlanks" dxfId="26" priority="4">
      <formula>LEN(TRIM(I19))=0</formula>
    </cfRule>
  </conditionalFormatting>
  <conditionalFormatting sqref="K22">
    <cfRule type="containsBlanks" dxfId="25" priority="16">
      <formula>LEN(TRIM(K22))=0</formula>
    </cfRule>
  </conditionalFormatting>
  <conditionalFormatting sqref="K24">
    <cfRule type="containsBlanks" dxfId="24" priority="15">
      <formula>LEN(TRIM(K24))=0</formula>
    </cfRule>
  </conditionalFormatting>
  <hyperlinks>
    <hyperlink ref="B4" location="汇总!A1" display="返回汇总页" xr:uid="{8CE707A7-3195-41BA-8D51-5EC105062807}"/>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AB78-A7A1-422E-A262-D0EF5F3BDEB5}">
  <dimension ref="A1:DI5"/>
  <sheetViews>
    <sheetView showGridLines="0" zoomScale="70" zoomScaleNormal="70" workbookViewId="0">
      <selection activeCell="C22" sqref="C22"/>
    </sheetView>
  </sheetViews>
  <sheetFormatPr defaultColWidth="8.75" defaultRowHeight="12.75" customHeight="1"/>
  <cols>
    <col min="1" max="1" width="2.58203125" style="36" customWidth="1"/>
    <col min="2" max="2" width="6" style="21" customWidth="1"/>
    <col min="3" max="3" width="37" style="21" customWidth="1"/>
    <col min="4" max="4" width="36.33203125" style="21" customWidth="1"/>
    <col min="5" max="6" width="17.75" style="21" customWidth="1"/>
    <col min="7" max="7" width="18.33203125" style="21" customWidth="1"/>
    <col min="8" max="8" width="12.75" style="21" customWidth="1"/>
    <col min="9" max="11" width="15.33203125" style="21" customWidth="1"/>
    <col min="12" max="12" width="2.58203125" style="21" customWidth="1"/>
    <col min="13" max="13" width="1.58203125" style="21" customWidth="1"/>
    <col min="14" max="17" width="12" style="21" customWidth="1"/>
    <col min="18" max="27" width="12.75" style="21" customWidth="1"/>
    <col min="28" max="16384" width="8.75" style="21"/>
  </cols>
  <sheetData>
    <row r="1" spans="1:113" ht="10" customHeight="1">
      <c r="A1" s="37" t="s">
        <v>261</v>
      </c>
      <c r="M1" s="40"/>
      <c r="CG1" s="23"/>
      <c r="CH1" s="22"/>
      <c r="CI1" s="22"/>
      <c r="CJ1" s="24"/>
      <c r="CK1" s="25"/>
      <c r="CL1" s="25"/>
      <c r="CM1" s="25"/>
      <c r="CN1" s="25"/>
      <c r="CO1" s="25"/>
      <c r="CP1" s="25"/>
      <c r="CQ1" s="25"/>
      <c r="CR1" s="22"/>
      <c r="CS1" s="25"/>
      <c r="CT1" s="25"/>
      <c r="CU1" s="25"/>
      <c r="CV1" s="25"/>
      <c r="CW1" s="25"/>
      <c r="CX1" s="25"/>
      <c r="CY1" s="22"/>
      <c r="CZ1" s="26"/>
      <c r="DA1" s="27"/>
      <c r="DB1" s="28"/>
      <c r="DC1" s="28"/>
      <c r="DD1" s="22"/>
      <c r="DE1" s="25"/>
      <c r="DF1" s="29"/>
      <c r="DG1" s="30"/>
      <c r="DH1" s="25"/>
      <c r="DI1" s="31"/>
    </row>
    <row r="2" spans="1:113" s="33" customFormat="1" ht="20.149999999999999" customHeight="1">
      <c r="A2" s="32"/>
      <c r="B2" s="180" t="s">
        <v>262</v>
      </c>
      <c r="C2" s="35"/>
      <c r="D2" s="181"/>
      <c r="E2" s="181"/>
      <c r="F2" s="34"/>
      <c r="G2" s="34"/>
      <c r="H2" s="35"/>
      <c r="M2" s="40"/>
      <c r="O2" s="131" t="s">
        <v>263</v>
      </c>
    </row>
    <row r="3" spans="1:113" s="33" customFormat="1" ht="20">
      <c r="A3" s="32"/>
      <c r="B3" s="257" t="s">
        <v>264</v>
      </c>
      <c r="C3" s="258"/>
      <c r="D3" s="259"/>
      <c r="E3" s="259"/>
      <c r="F3" s="259"/>
      <c r="G3" s="260"/>
      <c r="H3" s="261"/>
      <c r="I3" s="261"/>
      <c r="J3" s="261"/>
      <c r="K3" s="34"/>
      <c r="M3" s="40"/>
    </row>
    <row r="4" spans="1:113" ht="15" customHeight="1">
      <c r="M4" s="40"/>
    </row>
    <row r="5" spans="1:113" ht="7.5" customHeight="1">
      <c r="A5" s="40"/>
      <c r="B5" s="40"/>
      <c r="C5" s="40"/>
      <c r="D5" s="40"/>
      <c r="E5" s="40"/>
      <c r="F5" s="40"/>
      <c r="G5" s="40"/>
      <c r="H5" s="40"/>
      <c r="I5" s="40"/>
      <c r="J5" s="40"/>
      <c r="K5" s="40"/>
      <c r="L5" s="40"/>
      <c r="M5" s="40"/>
    </row>
  </sheetData>
  <phoneticPr fontId="75" type="noConversion"/>
  <hyperlinks>
    <hyperlink ref="O2" location="汇总!A1" display="返回汇总页" xr:uid="{CED242EC-63C9-4642-B95C-CEC2F2951A3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5415-6AA3-41B4-A4CA-8274CCE28E75}">
  <dimension ref="A1:CV45"/>
  <sheetViews>
    <sheetView showGridLines="0" zoomScale="70" zoomScaleNormal="70" workbookViewId="0">
      <selection activeCell="I26" sqref="I26"/>
    </sheetView>
  </sheetViews>
  <sheetFormatPr defaultColWidth="8.75" defaultRowHeight="12.75" customHeight="1"/>
  <cols>
    <col min="1" max="1" width="2.58203125" style="1" customWidth="1"/>
    <col min="2" max="2" width="29.33203125" style="2" customWidth="1"/>
    <col min="3" max="3" width="17.75" style="2" customWidth="1"/>
    <col min="4" max="4" width="20.08203125" style="2" customWidth="1"/>
    <col min="5" max="5" width="24.75" style="2" customWidth="1"/>
    <col min="6" max="6" width="23.33203125" style="2" customWidth="1"/>
    <col min="7" max="7" width="15.75" style="2" customWidth="1"/>
    <col min="8" max="8" width="12.33203125" style="2" customWidth="1"/>
    <col min="9" max="9" width="16.08203125" style="2" customWidth="1"/>
    <col min="10" max="10" width="28" style="2" customWidth="1"/>
    <col min="11" max="11" width="25.33203125" style="2" customWidth="1"/>
    <col min="12" max="12" width="12.25" style="2" customWidth="1"/>
    <col min="13" max="13" width="13.33203125" style="2" customWidth="1"/>
    <col min="14" max="14" width="2.58203125" style="211" customWidth="1"/>
    <col min="15" max="15" width="1.58203125" style="220" customWidth="1"/>
    <col min="16" max="16" width="10.75" style="3" customWidth="1"/>
    <col min="17" max="20" width="10.75" style="2" customWidth="1"/>
    <col min="21" max="21" width="12" style="2" customWidth="1"/>
    <col min="22" max="24" width="11.33203125" style="2" customWidth="1"/>
    <col min="25" max="29" width="12" style="2" customWidth="1"/>
    <col min="30" max="39" width="12.75" style="2" customWidth="1"/>
    <col min="40" max="16384" width="8.75" style="2"/>
  </cols>
  <sheetData>
    <row r="1" spans="1:100" s="79" customFormat="1" ht="50.15" customHeight="1">
      <c r="B1" s="426" t="s">
        <v>265</v>
      </c>
      <c r="C1" s="426"/>
      <c r="D1" s="438"/>
      <c r="E1" s="438"/>
      <c r="F1" s="438"/>
      <c r="G1" s="438"/>
      <c r="H1" s="438"/>
      <c r="I1" s="438"/>
      <c r="J1" s="438"/>
      <c r="K1" s="439"/>
      <c r="L1" s="440"/>
      <c r="M1" s="439"/>
      <c r="N1" s="93"/>
      <c r="O1" s="92"/>
    </row>
    <row r="2" spans="1:100" s="80" customFormat="1" ht="30" customHeight="1">
      <c r="A2" s="91"/>
      <c r="B2" s="402" t="s">
        <v>266</v>
      </c>
      <c r="C2" s="307"/>
      <c r="D2" s="308"/>
      <c r="E2" s="308"/>
      <c r="F2" s="308"/>
      <c r="G2" s="308"/>
      <c r="H2" s="308"/>
      <c r="I2" s="308"/>
      <c r="J2" s="308"/>
      <c r="K2" s="308"/>
      <c r="L2" s="308"/>
      <c r="M2" s="308"/>
      <c r="N2" s="82"/>
      <c r="O2" s="92"/>
      <c r="P2" s="82"/>
      <c r="BT2" s="81"/>
      <c r="BU2" s="82"/>
      <c r="BV2" s="82"/>
      <c r="BW2" s="83"/>
      <c r="BX2" s="84"/>
      <c r="BY2" s="84"/>
      <c r="BZ2" s="84"/>
      <c r="CA2" s="84"/>
      <c r="CB2" s="84"/>
      <c r="CC2" s="84"/>
      <c r="CD2" s="84"/>
      <c r="CE2" s="82"/>
      <c r="CF2" s="84"/>
      <c r="CG2" s="84"/>
      <c r="CH2" s="84"/>
      <c r="CI2" s="84"/>
      <c r="CJ2" s="84"/>
      <c r="CK2" s="84"/>
      <c r="CL2" s="82"/>
      <c r="CM2" s="85"/>
      <c r="CN2" s="86"/>
      <c r="CO2" s="87"/>
      <c r="CP2" s="87"/>
      <c r="CQ2" s="82"/>
      <c r="CR2" s="84"/>
      <c r="CS2" s="88"/>
      <c r="CT2" s="89"/>
      <c r="CU2" s="84"/>
      <c r="CV2" s="90"/>
    </row>
    <row r="3" spans="1:100" s="80" customFormat="1" ht="15" customHeight="1">
      <c r="A3" s="91"/>
      <c r="B3" s="127"/>
      <c r="C3" s="128"/>
      <c r="N3" s="82"/>
      <c r="O3" s="92"/>
      <c r="P3" s="82"/>
      <c r="BT3" s="81"/>
      <c r="BU3" s="82"/>
      <c r="BV3" s="82"/>
      <c r="BW3" s="83"/>
      <c r="BX3" s="84"/>
      <c r="BY3" s="84"/>
      <c r="BZ3" s="84"/>
      <c r="CA3" s="84"/>
      <c r="CB3" s="84"/>
      <c r="CC3" s="84"/>
      <c r="CD3" s="84"/>
      <c r="CE3" s="82"/>
      <c r="CF3" s="84"/>
      <c r="CG3" s="84"/>
      <c r="CH3" s="84"/>
      <c r="CI3" s="84"/>
      <c r="CJ3" s="84"/>
      <c r="CK3" s="84"/>
      <c r="CL3" s="82"/>
      <c r="CM3" s="85"/>
      <c r="CN3" s="86"/>
      <c r="CO3" s="87"/>
      <c r="CP3" s="87"/>
      <c r="CQ3" s="82"/>
      <c r="CR3" s="84"/>
      <c r="CS3" s="88"/>
      <c r="CT3" s="89"/>
      <c r="CU3" s="84"/>
      <c r="CV3" s="90"/>
    </row>
    <row r="4" spans="1:100" s="80" customFormat="1" ht="15" customHeight="1">
      <c r="A4" s="91"/>
      <c r="B4" s="131" t="s">
        <v>156</v>
      </c>
      <c r="C4" s="128"/>
      <c r="N4" s="82"/>
      <c r="O4" s="92"/>
      <c r="P4" s="82"/>
      <c r="BT4" s="81"/>
      <c r="BU4" s="82"/>
      <c r="BV4" s="82"/>
      <c r="BW4" s="83"/>
      <c r="BX4" s="84"/>
      <c r="BY4" s="84"/>
      <c r="BZ4" s="84"/>
      <c r="CA4" s="84"/>
      <c r="CB4" s="84"/>
      <c r="CC4" s="84"/>
      <c r="CD4" s="84"/>
      <c r="CE4" s="82"/>
      <c r="CF4" s="84"/>
      <c r="CG4" s="84"/>
      <c r="CH4" s="84"/>
      <c r="CI4" s="84"/>
      <c r="CJ4" s="84"/>
      <c r="CK4" s="84"/>
      <c r="CL4" s="82"/>
      <c r="CM4" s="85"/>
      <c r="CN4" s="86"/>
      <c r="CO4" s="87"/>
      <c r="CP4" s="87"/>
      <c r="CQ4" s="82"/>
      <c r="CR4" s="84"/>
      <c r="CS4" s="88"/>
      <c r="CT4" s="89"/>
      <c r="CU4" s="84"/>
      <c r="CV4" s="90"/>
    </row>
    <row r="5" spans="1:100" s="204" customFormat="1" ht="15" customHeight="1">
      <c r="A5" s="202"/>
      <c r="B5" s="203"/>
      <c r="D5" s="185"/>
      <c r="E5" s="185"/>
      <c r="F5" s="185"/>
      <c r="G5" s="203"/>
      <c r="H5" s="203"/>
      <c r="I5" s="203"/>
      <c r="J5" s="205"/>
      <c r="K5" s="205"/>
      <c r="L5" s="205"/>
      <c r="N5" s="206"/>
      <c r="O5" s="92"/>
      <c r="P5" s="207"/>
      <c r="Q5" s="207"/>
      <c r="T5" s="202"/>
      <c r="U5" s="207"/>
    </row>
    <row r="6" spans="1:100" s="204" customFormat="1" ht="15" customHeight="1">
      <c r="A6" s="202"/>
      <c r="B6" s="203" t="s">
        <v>267</v>
      </c>
      <c r="D6" s="185"/>
      <c r="E6" s="185"/>
      <c r="F6" s="185"/>
      <c r="G6" s="203"/>
      <c r="H6" s="203"/>
      <c r="I6" s="203"/>
      <c r="J6" s="205"/>
      <c r="K6" s="205"/>
      <c r="L6" s="205"/>
      <c r="N6" s="206"/>
      <c r="O6" s="92"/>
      <c r="P6" s="207"/>
      <c r="Q6" s="207"/>
      <c r="T6" s="202"/>
      <c r="U6" s="207"/>
    </row>
    <row r="7" spans="1:100" s="205" customFormat="1" ht="13">
      <c r="A7" s="208"/>
      <c r="B7" s="529"/>
      <c r="C7" s="530"/>
      <c r="D7" s="530"/>
      <c r="E7" s="530"/>
      <c r="F7" s="531"/>
      <c r="O7" s="92"/>
    </row>
    <row r="8" spans="1:100" s="205" customFormat="1" ht="13">
      <c r="A8" s="208"/>
      <c r="B8" s="532"/>
      <c r="C8" s="533"/>
      <c r="D8" s="533"/>
      <c r="E8" s="533"/>
      <c r="F8" s="534"/>
      <c r="O8" s="92"/>
    </row>
    <row r="9" spans="1:100" s="205" customFormat="1" ht="13">
      <c r="A9" s="208"/>
      <c r="B9" s="532"/>
      <c r="C9" s="533"/>
      <c r="D9" s="533"/>
      <c r="E9" s="533"/>
      <c r="F9" s="534"/>
      <c r="O9" s="92"/>
    </row>
    <row r="10" spans="1:100" s="205" customFormat="1" ht="13">
      <c r="A10" s="208"/>
      <c r="B10" s="535"/>
      <c r="C10" s="536"/>
      <c r="D10" s="536"/>
      <c r="E10" s="536"/>
      <c r="F10" s="537"/>
      <c r="O10" s="92"/>
    </row>
    <row r="11" spans="1:100" s="185" customFormat="1" ht="14">
      <c r="J11" s="205"/>
      <c r="K11" s="205"/>
      <c r="L11" s="205"/>
      <c r="O11" s="92"/>
    </row>
    <row r="12" spans="1:100" s="209" customFormat="1" ht="14.5">
      <c r="B12" s="114" t="s">
        <v>268</v>
      </c>
      <c r="C12" s="379"/>
      <c r="D12" s="1" t="s">
        <v>269</v>
      </c>
      <c r="E12" s="3"/>
      <c r="F12" s="3"/>
      <c r="J12" s="205"/>
      <c r="K12" s="205"/>
      <c r="L12" s="205"/>
      <c r="O12" s="92"/>
    </row>
    <row r="13" spans="1:100" s="209" customFormat="1" ht="14.5">
      <c r="B13" s="114" t="s">
        <v>270</v>
      </c>
      <c r="C13" s="379">
        <f>'J.01 Agree SL to GL'!E14</f>
        <v>0</v>
      </c>
      <c r="D13" s="16" t="s">
        <v>271</v>
      </c>
      <c r="E13" s="3"/>
      <c r="F13" s="3"/>
      <c r="J13" s="205"/>
      <c r="K13" s="205"/>
      <c r="L13" s="205"/>
      <c r="O13" s="92"/>
    </row>
    <row r="14" spans="1:100" s="209" customFormat="1" ht="14.5">
      <c r="B14" s="441" t="s">
        <v>272</v>
      </c>
      <c r="C14" s="442">
        <f>C12-C13</f>
        <v>0</v>
      </c>
      <c r="D14" s="16" t="s">
        <v>181</v>
      </c>
      <c r="E14" s="3" t="s">
        <v>273</v>
      </c>
      <c r="F14" s="294" t="str">
        <f>IF(ABS($C$14)&gt;'J.00  Lead Sheet'!$C$6, "Yes", "No")</f>
        <v>No</v>
      </c>
      <c r="O14" s="92"/>
    </row>
    <row r="15" spans="1:100" s="209" customFormat="1" ht="12.5">
      <c r="B15" s="114"/>
      <c r="C15" s="381"/>
      <c r="D15" s="3"/>
      <c r="E15" s="3"/>
      <c r="F15" s="3"/>
      <c r="O15" s="92"/>
    </row>
    <row r="16" spans="1:100" s="209" customFormat="1" ht="14.5">
      <c r="B16" s="250" t="s">
        <v>274</v>
      </c>
      <c r="C16" s="382"/>
      <c r="D16" s="115"/>
      <c r="E16" s="3"/>
      <c r="F16" s="3"/>
      <c r="O16" s="92"/>
    </row>
    <row r="17" spans="1:21" s="209" customFormat="1" ht="14.5">
      <c r="B17" s="441" t="s">
        <v>275</v>
      </c>
      <c r="C17" s="383">
        <f>C12-C16</f>
        <v>0</v>
      </c>
      <c r="D17" s="116"/>
      <c r="E17" s="3"/>
      <c r="F17" s="3"/>
      <c r="O17" s="92"/>
    </row>
    <row r="18" spans="1:21" s="185" customFormat="1" ht="14">
      <c r="O18" s="92"/>
    </row>
    <row r="19" spans="1:21" s="205" customFormat="1" ht="14.5">
      <c r="A19" s="208"/>
      <c r="B19" s="203" t="s">
        <v>276</v>
      </c>
      <c r="K19" s="210"/>
      <c r="O19" s="92"/>
    </row>
    <row r="20" spans="1:21" s="205" customFormat="1" ht="14">
      <c r="A20" s="208"/>
      <c r="B20" s="538"/>
      <c r="C20" s="539"/>
      <c r="D20" s="539"/>
      <c r="E20" s="539"/>
      <c r="F20" s="540"/>
      <c r="G20" s="185"/>
      <c r="H20" s="185"/>
      <c r="I20" s="185"/>
      <c r="J20" s="185"/>
      <c r="K20" s="185"/>
      <c r="O20" s="92"/>
    </row>
    <row r="21" spans="1:21" s="205" customFormat="1" ht="14">
      <c r="A21" s="208"/>
      <c r="B21" s="541"/>
      <c r="C21" s="542"/>
      <c r="D21" s="542"/>
      <c r="E21" s="542"/>
      <c r="F21" s="543"/>
      <c r="G21" s="185"/>
      <c r="H21" s="185"/>
      <c r="I21" s="185"/>
      <c r="J21" s="185"/>
      <c r="K21" s="185"/>
      <c r="O21" s="92"/>
    </row>
    <row r="22" spans="1:21" s="205" customFormat="1" ht="14">
      <c r="A22" s="208"/>
      <c r="B22" s="541"/>
      <c r="C22" s="542"/>
      <c r="D22" s="542"/>
      <c r="E22" s="542"/>
      <c r="F22" s="543"/>
      <c r="G22" s="185"/>
      <c r="H22" s="185"/>
      <c r="I22" s="185"/>
      <c r="J22" s="185"/>
      <c r="K22" s="185"/>
      <c r="O22" s="92"/>
    </row>
    <row r="23" spans="1:21" s="205" customFormat="1" ht="14">
      <c r="A23" s="208"/>
      <c r="B23" s="544"/>
      <c r="C23" s="545"/>
      <c r="D23" s="545"/>
      <c r="E23" s="545"/>
      <c r="F23" s="546"/>
      <c r="G23" s="185"/>
      <c r="H23" s="185"/>
      <c r="I23" s="185"/>
      <c r="J23" s="185"/>
      <c r="K23" s="185"/>
      <c r="O23" s="92"/>
    </row>
    <row r="24" spans="1:21" ht="12.75" customHeight="1">
      <c r="G24" s="185"/>
      <c r="H24" s="185"/>
      <c r="I24" s="185"/>
      <c r="J24" s="185"/>
      <c r="K24" s="185"/>
      <c r="L24" s="3"/>
      <c r="M24" s="3"/>
      <c r="O24" s="92"/>
    </row>
    <row r="25" spans="1:21" s="213" customFormat="1" ht="16.5">
      <c r="A25" s="202"/>
      <c r="B25" s="547" t="s">
        <v>277</v>
      </c>
      <c r="C25" s="548"/>
      <c r="D25" s="548"/>
      <c r="E25" s="548"/>
      <c r="F25" s="549"/>
      <c r="G25" s="185"/>
      <c r="H25" s="185"/>
      <c r="I25" s="185"/>
      <c r="J25" s="185"/>
      <c r="K25" s="185"/>
      <c r="L25" s="212"/>
      <c r="M25" s="212"/>
      <c r="N25" s="207"/>
      <c r="O25" s="92"/>
      <c r="P25" s="204"/>
    </row>
    <row r="26" spans="1:21" s="204" customFormat="1" ht="14.5">
      <c r="A26" s="202"/>
      <c r="B26" s="550" t="s">
        <v>278</v>
      </c>
      <c r="C26" s="551"/>
      <c r="D26" s="551"/>
      <c r="E26" s="551"/>
      <c r="F26" s="552"/>
      <c r="G26" s="185"/>
      <c r="H26" s="185"/>
      <c r="I26" s="185"/>
      <c r="J26" s="185"/>
      <c r="K26" s="185"/>
      <c r="L26" s="214"/>
      <c r="M26" s="214"/>
      <c r="N26" s="214"/>
      <c r="O26" s="92"/>
    </row>
    <row r="27" spans="1:21" s="204" customFormat="1" ht="14.5">
      <c r="A27" s="202"/>
      <c r="B27" s="553" t="s">
        <v>279</v>
      </c>
      <c r="C27" s="554"/>
      <c r="D27" s="554"/>
      <c r="E27" s="554"/>
      <c r="F27" s="555"/>
      <c r="G27" s="185"/>
      <c r="H27" s="185"/>
      <c r="I27" s="185"/>
      <c r="J27" s="185"/>
      <c r="K27" s="185"/>
      <c r="L27" s="212"/>
      <c r="M27" s="212"/>
      <c r="N27" s="207"/>
      <c r="O27" s="92"/>
    </row>
    <row r="28" spans="1:21" s="204" customFormat="1" ht="16.5" customHeight="1">
      <c r="A28" s="202"/>
      <c r="B28" s="556" t="s">
        <v>280</v>
      </c>
      <c r="C28" s="557"/>
      <c r="D28" s="557"/>
      <c r="E28" s="557"/>
      <c r="F28" s="558"/>
      <c r="G28" s="185"/>
      <c r="H28" s="185"/>
      <c r="I28" s="185"/>
      <c r="J28" s="185"/>
      <c r="K28" s="185"/>
      <c r="L28" s="212"/>
      <c r="M28" s="212"/>
      <c r="N28" s="207"/>
      <c r="O28" s="92"/>
    </row>
    <row r="29" spans="1:21" s="204" customFormat="1" ht="13">
      <c r="A29" s="202"/>
      <c r="C29" s="215"/>
      <c r="D29" s="216"/>
      <c r="E29" s="217"/>
      <c r="F29" s="218"/>
      <c r="G29" s="218"/>
      <c r="H29" s="218"/>
      <c r="I29" s="219"/>
      <c r="J29" s="219"/>
      <c r="K29" s="218"/>
      <c r="N29" s="206"/>
      <c r="O29" s="92"/>
      <c r="P29" s="207"/>
      <c r="Q29" s="207"/>
      <c r="T29" s="202"/>
      <c r="U29" s="207"/>
    </row>
    <row r="30" spans="1:21" s="3" customFormat="1" ht="15" customHeight="1">
      <c r="K30" s="14" t="s">
        <v>281</v>
      </c>
      <c r="L30" s="584" t="s">
        <v>353</v>
      </c>
      <c r="M30" s="585"/>
      <c r="O30" s="92"/>
    </row>
    <row r="31" spans="1:21" s="3" customFormat="1" ht="60" customHeight="1">
      <c r="B31" s="309" t="s">
        <v>282</v>
      </c>
      <c r="C31" s="404" t="s">
        <v>283</v>
      </c>
      <c r="D31" s="309" t="s">
        <v>284</v>
      </c>
      <c r="E31" s="309" t="s">
        <v>285</v>
      </c>
      <c r="F31" s="309" t="s">
        <v>286</v>
      </c>
      <c r="G31" s="309" t="s">
        <v>287</v>
      </c>
      <c r="H31" s="309" t="s">
        <v>288</v>
      </c>
      <c r="I31" s="309" t="s">
        <v>289</v>
      </c>
      <c r="J31" s="309" t="s">
        <v>290</v>
      </c>
      <c r="K31" s="309" t="s">
        <v>291</v>
      </c>
      <c r="L31" s="309">
        <v>1</v>
      </c>
      <c r="M31" s="309">
        <v>2</v>
      </c>
      <c r="O31" s="92"/>
    </row>
    <row r="32" spans="1:21" s="3" customFormat="1" ht="15" customHeight="1">
      <c r="B32" s="310"/>
      <c r="C32" s="310"/>
      <c r="D32" s="344"/>
      <c r="E32" s="310"/>
      <c r="F32" s="310"/>
      <c r="G32" s="384"/>
      <c r="H32" s="310"/>
      <c r="I32" s="311"/>
      <c r="J32" s="312"/>
      <c r="K32" s="311">
        <f>I32-G32</f>
        <v>0</v>
      </c>
      <c r="L32" s="345"/>
      <c r="M32" s="345"/>
      <c r="O32" s="92"/>
    </row>
    <row r="33" spans="1:15" s="3" customFormat="1" ht="15" customHeight="1">
      <c r="B33" s="310"/>
      <c r="C33" s="310"/>
      <c r="D33" s="344"/>
      <c r="E33" s="310"/>
      <c r="F33" s="310"/>
      <c r="G33" s="384"/>
      <c r="H33" s="310"/>
      <c r="I33" s="311"/>
      <c r="J33" s="312"/>
      <c r="K33" s="311">
        <f>I33-G33</f>
        <v>0</v>
      </c>
      <c r="L33" s="345"/>
      <c r="M33" s="345"/>
      <c r="O33" s="92"/>
    </row>
    <row r="34" spans="1:15" s="3" customFormat="1" ht="15" customHeight="1">
      <c r="B34" s="310"/>
      <c r="C34" s="310"/>
      <c r="D34" s="344"/>
      <c r="E34" s="310"/>
      <c r="F34" s="310"/>
      <c r="G34" s="384"/>
      <c r="H34" s="310"/>
      <c r="I34" s="311"/>
      <c r="J34" s="312"/>
      <c r="K34" s="311">
        <f t="shared" ref="K34:K36" si="0">I34-G34</f>
        <v>0</v>
      </c>
      <c r="L34" s="345"/>
      <c r="M34" s="345"/>
      <c r="O34" s="92"/>
    </row>
    <row r="35" spans="1:15" s="3" customFormat="1" ht="15" customHeight="1">
      <c r="B35" s="310"/>
      <c r="C35" s="310"/>
      <c r="D35" s="344"/>
      <c r="E35" s="310"/>
      <c r="F35" s="310"/>
      <c r="G35" s="384"/>
      <c r="H35" s="310"/>
      <c r="I35" s="311"/>
      <c r="J35" s="312"/>
      <c r="K35" s="311">
        <f t="shared" si="0"/>
        <v>0</v>
      </c>
      <c r="L35" s="345"/>
      <c r="M35" s="345"/>
      <c r="O35" s="92"/>
    </row>
    <row r="36" spans="1:15" s="3" customFormat="1" ht="15" customHeight="1">
      <c r="B36" s="310"/>
      <c r="C36" s="310"/>
      <c r="D36" s="344"/>
      <c r="E36" s="310"/>
      <c r="F36" s="310"/>
      <c r="G36" s="384"/>
      <c r="H36" s="310"/>
      <c r="I36" s="311"/>
      <c r="J36" s="310"/>
      <c r="K36" s="311">
        <f t="shared" si="0"/>
        <v>0</v>
      </c>
      <c r="L36" s="345"/>
      <c r="M36" s="345"/>
      <c r="O36" s="92"/>
    </row>
    <row r="37" spans="1:15" s="185" customFormat="1" ht="15" customHeight="1">
      <c r="O37" s="92"/>
    </row>
    <row r="38" spans="1:15" s="185" customFormat="1" ht="15" customHeight="1">
      <c r="B38" s="527" t="s">
        <v>292</v>
      </c>
      <c r="C38" s="528"/>
      <c r="D38" s="528"/>
      <c r="E38" s="528"/>
      <c r="F38" s="528"/>
      <c r="G38" s="528"/>
      <c r="H38" s="528"/>
      <c r="I38" s="528"/>
      <c r="J38" s="528"/>
      <c r="K38" s="528"/>
      <c r="O38" s="92"/>
    </row>
    <row r="39" spans="1:15" ht="12.75" customHeight="1">
      <c r="B39" s="538"/>
      <c r="C39" s="539"/>
      <c r="D39" s="539"/>
      <c r="E39" s="539"/>
      <c r="F39" s="540"/>
      <c r="O39" s="92"/>
    </row>
    <row r="40" spans="1:15" ht="12.75" customHeight="1">
      <c r="B40" s="541"/>
      <c r="C40" s="542"/>
      <c r="D40" s="542"/>
      <c r="E40" s="542"/>
      <c r="F40" s="543"/>
      <c r="O40" s="92"/>
    </row>
    <row r="41" spans="1:15" ht="12.75" customHeight="1">
      <c r="B41" s="541"/>
      <c r="C41" s="542"/>
      <c r="D41" s="542"/>
      <c r="E41" s="542"/>
      <c r="F41" s="543"/>
      <c r="O41" s="92"/>
    </row>
    <row r="42" spans="1:15" ht="12.75" customHeight="1">
      <c r="B42" s="544"/>
      <c r="C42" s="545"/>
      <c r="D42" s="545"/>
      <c r="E42" s="545"/>
      <c r="F42" s="546"/>
      <c r="O42" s="92"/>
    </row>
    <row r="43" spans="1:15" ht="15" customHeight="1">
      <c r="O43" s="92"/>
    </row>
    <row r="44" spans="1:15" ht="7.5" customHeight="1">
      <c r="A44" s="92"/>
      <c r="B44" s="92"/>
      <c r="C44" s="92"/>
      <c r="D44" s="92"/>
      <c r="E44" s="92"/>
      <c r="F44" s="92"/>
      <c r="G44" s="92"/>
      <c r="H44" s="92"/>
      <c r="I44" s="92"/>
      <c r="J44" s="92"/>
      <c r="K44" s="92"/>
      <c r="L44" s="92"/>
      <c r="M44" s="92"/>
      <c r="N44" s="92"/>
      <c r="O44" s="92"/>
    </row>
    <row r="45" spans="1:15" s="3" customFormat="1" ht="12.75" customHeight="1">
      <c r="A45" s="1"/>
      <c r="N45" s="211"/>
      <c r="O45" s="211"/>
    </row>
  </sheetData>
  <mergeCells count="9">
    <mergeCell ref="B38:K38"/>
    <mergeCell ref="B7:F10"/>
    <mergeCell ref="B20:F23"/>
    <mergeCell ref="B39:F42"/>
    <mergeCell ref="L30:M30"/>
    <mergeCell ref="B25:F25"/>
    <mergeCell ref="B26:F26"/>
    <mergeCell ref="B27:F27"/>
    <mergeCell ref="B28:F28"/>
  </mergeCells>
  <phoneticPr fontId="75" type="noConversion"/>
  <conditionalFormatting sqref="B7">
    <cfRule type="containsBlanks" dxfId="23" priority="13">
      <formula>LEN(TRIM(B7))=0</formula>
    </cfRule>
  </conditionalFormatting>
  <conditionalFormatting sqref="B20">
    <cfRule type="containsBlanks" dxfId="22" priority="2">
      <formula>LEN(TRIM(B20))=0</formula>
    </cfRule>
  </conditionalFormatting>
  <conditionalFormatting sqref="B39">
    <cfRule type="containsBlanks" dxfId="21" priority="1">
      <formula>LEN(TRIM(B39))=0</formula>
    </cfRule>
  </conditionalFormatting>
  <conditionalFormatting sqref="B32:M36">
    <cfRule type="containsBlanks" dxfId="20" priority="4">
      <formula>LEN(TRIM(B32))=0</formula>
    </cfRule>
  </conditionalFormatting>
  <conditionalFormatting sqref="C12:C13">
    <cfRule type="containsBlanks" dxfId="19" priority="12">
      <formula>LEN(TRIM(C12))=0</formula>
    </cfRule>
  </conditionalFormatting>
  <conditionalFormatting sqref="C16">
    <cfRule type="containsBlanks" dxfId="18" priority="11">
      <formula>LEN(TRIM(C16))=0</formula>
    </cfRule>
  </conditionalFormatting>
  <dataValidations count="4">
    <dataValidation showInputMessage="1" showErrorMessage="1" sqref="J30" xr:uid="{B8B8F103-8BBD-4313-A56A-793BCA84B567}"/>
    <dataValidation type="list" allowBlank="1" showInputMessage="1" showErrorMessage="1" sqref="C37" xr:uid="{B7961B81-5576-4310-93BE-0BED7F0FA84D}">
      <formula1>"Key item,Representative sample"</formula1>
    </dataValidation>
    <dataValidation type="list" allowBlank="1" showInputMessage="1" sqref="L32:M36" xr:uid="{B14527E2-2534-461A-9BF7-88D8C4FFC867}">
      <formula1>"Y,N"</formula1>
    </dataValidation>
    <dataValidation type="list" allowBlank="1" showInputMessage="1" sqref="C32:C36" xr:uid="{6BC3B405-86B3-4FE3-A670-890F4955E13F}">
      <formula1>"关键项,代表性样本"</formula1>
    </dataValidation>
  </dataValidations>
  <hyperlinks>
    <hyperlink ref="B4" location="汇总!A1" display="返回汇总页" xr:uid="{AD451B14-B9D1-4B06-8494-1C9151BCE806}"/>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1365-1172-449A-B2C8-9A85632F43CB}">
  <dimension ref="A1:U5"/>
  <sheetViews>
    <sheetView showGridLines="0" zoomScale="70" zoomScaleNormal="70" workbookViewId="0">
      <selection activeCell="O17" sqref="O17"/>
    </sheetView>
  </sheetViews>
  <sheetFormatPr defaultColWidth="9" defaultRowHeight="19"/>
  <cols>
    <col min="1" max="1" width="2.58203125" style="147" customWidth="1"/>
    <col min="2" max="12" width="9" style="147"/>
    <col min="13" max="13" width="2.58203125" style="147" customWidth="1"/>
    <col min="14" max="14" width="1.58203125" style="147" customWidth="1"/>
    <col min="15" max="16384" width="9" style="147"/>
  </cols>
  <sheetData>
    <row r="1" spans="1:21" ht="10" customHeight="1">
      <c r="A1" s="145" t="s">
        <v>293</v>
      </c>
      <c r="B1" s="146"/>
      <c r="C1" s="146"/>
      <c r="D1" s="146"/>
      <c r="E1" s="146"/>
      <c r="F1" s="146"/>
      <c r="G1" s="146"/>
      <c r="H1" s="146"/>
      <c r="I1" s="146"/>
      <c r="J1" s="146"/>
      <c r="K1" s="146"/>
      <c r="L1" s="146"/>
      <c r="M1" s="146"/>
      <c r="N1" s="92"/>
      <c r="O1" s="146"/>
      <c r="P1" s="146"/>
      <c r="Q1" s="146"/>
      <c r="R1" s="146"/>
      <c r="S1" s="146"/>
      <c r="T1" s="146"/>
      <c r="U1" s="146"/>
    </row>
    <row r="2" spans="1:21" ht="20">
      <c r="A2" s="146"/>
      <c r="B2" s="268" t="s">
        <v>294</v>
      </c>
      <c r="C2" s="257"/>
      <c r="D2" s="257"/>
      <c r="E2" s="257"/>
      <c r="F2" s="257"/>
      <c r="G2" s="257"/>
      <c r="H2" s="257"/>
      <c r="I2" s="257"/>
      <c r="J2" s="257"/>
      <c r="K2" s="257"/>
      <c r="L2" s="257"/>
      <c r="M2" s="181"/>
      <c r="N2" s="92"/>
      <c r="O2" s="171"/>
      <c r="P2" s="131" t="s">
        <v>263</v>
      </c>
      <c r="Q2" s="146"/>
      <c r="R2" s="146"/>
      <c r="S2" s="146"/>
      <c r="T2" s="146"/>
      <c r="U2" s="146"/>
    </row>
    <row r="3" spans="1:21" ht="15" customHeight="1">
      <c r="A3" s="148"/>
      <c r="B3" s="148"/>
      <c r="C3" s="149"/>
      <c r="D3" s="149"/>
      <c r="E3" s="149"/>
      <c r="F3" s="149"/>
      <c r="G3" s="149"/>
      <c r="H3" s="149"/>
      <c r="I3" s="149"/>
      <c r="J3" s="149"/>
      <c r="K3" s="148"/>
      <c r="L3" s="148"/>
      <c r="M3" s="148"/>
      <c r="N3" s="92"/>
      <c r="O3" s="148"/>
      <c r="P3" s="148"/>
      <c r="Q3" s="148"/>
      <c r="R3" s="148"/>
      <c r="S3" s="148"/>
      <c r="T3" s="148"/>
      <c r="U3" s="148"/>
    </row>
    <row r="4" spans="1:21" ht="7.5" customHeight="1">
      <c r="A4" s="92"/>
      <c r="B4" s="92"/>
      <c r="C4" s="92"/>
      <c r="D4" s="92"/>
      <c r="E4" s="92"/>
      <c r="F4" s="92"/>
      <c r="G4" s="92"/>
      <c r="H4" s="92"/>
      <c r="I4" s="92"/>
      <c r="J4" s="92"/>
      <c r="K4" s="92"/>
      <c r="L4" s="92"/>
      <c r="M4" s="92"/>
      <c r="N4" s="92"/>
      <c r="O4" s="146"/>
      <c r="P4" s="146"/>
      <c r="Q4" s="146"/>
      <c r="R4" s="146"/>
      <c r="S4" s="146"/>
      <c r="T4" s="146"/>
      <c r="U4" s="146"/>
    </row>
    <row r="5" spans="1:21">
      <c r="A5" s="146"/>
      <c r="B5" s="146"/>
      <c r="C5" s="146"/>
      <c r="D5" s="146"/>
      <c r="E5" s="146"/>
      <c r="F5" s="146"/>
      <c r="G5" s="146"/>
      <c r="H5" s="146"/>
      <c r="I5" s="146"/>
      <c r="J5" s="146"/>
      <c r="K5" s="146"/>
      <c r="L5" s="146"/>
      <c r="M5" s="146"/>
      <c r="N5" s="146"/>
      <c r="O5" s="146"/>
      <c r="P5" s="146"/>
      <c r="Q5" s="146"/>
      <c r="R5" s="146"/>
      <c r="S5" s="146"/>
      <c r="T5" s="146"/>
      <c r="U5" s="146"/>
    </row>
  </sheetData>
  <phoneticPr fontId="75" type="noConversion"/>
  <hyperlinks>
    <hyperlink ref="P2" location="汇总!A1" display="返回汇总页" xr:uid="{C6468AAA-E7C9-4107-A7E6-15F204C5CE62}"/>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3FB36-CC4C-491B-9249-3A8F30CDC05A}">
  <dimension ref="A1:O5"/>
  <sheetViews>
    <sheetView showGridLines="0" zoomScale="70" zoomScaleNormal="70" workbookViewId="0"/>
  </sheetViews>
  <sheetFormatPr defaultColWidth="8.75" defaultRowHeight="12.75" customHeight="1"/>
  <cols>
    <col min="1" max="1" width="2.58203125" style="112" customWidth="1"/>
    <col min="2" max="2" width="17.75" style="113" customWidth="1"/>
    <col min="3" max="3" width="36.33203125" style="113" customWidth="1"/>
    <col min="4" max="5" width="17.75" style="113" customWidth="1"/>
    <col min="6" max="6" width="18.33203125" style="113" customWidth="1"/>
    <col min="7" max="7" width="12.75" style="113" customWidth="1"/>
    <col min="8" max="8" width="15.33203125" style="113" customWidth="1"/>
    <col min="9" max="9" width="30.25" style="113" customWidth="1"/>
    <col min="10" max="10" width="1.33203125" style="113" customWidth="1"/>
    <col min="11" max="11" width="12" style="113" customWidth="1"/>
    <col min="12" max="12" width="2.58203125" style="113" customWidth="1"/>
    <col min="13" max="13" width="1.58203125" style="113" customWidth="1"/>
    <col min="14" max="23" width="12.75" style="113" customWidth="1"/>
    <col min="24" max="16384" width="8.75" style="113"/>
  </cols>
  <sheetData>
    <row r="1" spans="1:15" ht="10" customHeight="1">
      <c r="M1" s="92"/>
      <c r="N1" s="111"/>
    </row>
    <row r="2" spans="1:15" s="111" customFormat="1" ht="22.5" customHeight="1">
      <c r="A2" s="110"/>
      <c r="B2" s="262" t="s">
        <v>295</v>
      </c>
      <c r="C2" s="184"/>
      <c r="D2" s="184"/>
      <c r="E2" s="184"/>
      <c r="F2" s="184"/>
      <c r="G2" s="184"/>
      <c r="H2" s="184"/>
      <c r="I2" s="184"/>
      <c r="J2" s="184"/>
      <c r="K2" s="184"/>
      <c r="M2" s="92"/>
      <c r="O2" s="131" t="s">
        <v>263</v>
      </c>
    </row>
    <row r="3" spans="1:15" ht="22.5" customHeight="1">
      <c r="A3" s="110"/>
      <c r="B3" s="263" t="s">
        <v>296</v>
      </c>
      <c r="C3" s="264"/>
      <c r="D3" s="264"/>
      <c r="E3" s="264"/>
      <c r="F3" s="264"/>
      <c r="G3" s="264"/>
      <c r="H3" s="264"/>
      <c r="I3" s="264"/>
      <c r="J3" s="265"/>
      <c r="K3" s="265"/>
      <c r="M3" s="92"/>
      <c r="N3" s="111"/>
    </row>
    <row r="4" spans="1:15" ht="15" customHeight="1">
      <c r="M4" s="92"/>
      <c r="N4" s="111"/>
    </row>
    <row r="5" spans="1:15" ht="7.5" customHeight="1">
      <c r="A5" s="92"/>
      <c r="B5" s="92"/>
      <c r="C5" s="92"/>
      <c r="D5" s="92"/>
      <c r="E5" s="92"/>
      <c r="F5" s="92"/>
      <c r="G5" s="92"/>
      <c r="H5" s="92"/>
      <c r="I5" s="92"/>
      <c r="J5" s="92"/>
      <c r="K5" s="92"/>
      <c r="L5" s="92"/>
      <c r="M5" s="92"/>
      <c r="N5" s="111"/>
    </row>
  </sheetData>
  <phoneticPr fontId="80" type="noConversion"/>
  <hyperlinks>
    <hyperlink ref="O2" location="汇总!A1" display="返回汇总页" xr:uid="{FE72B34E-953F-496E-B3F3-F8386F7AC12A}"/>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7706-57B4-46DE-8CA1-3926DD5B1F3F}">
  <dimension ref="A1:CU79"/>
  <sheetViews>
    <sheetView showGridLines="0" zoomScale="70" zoomScaleNormal="70" workbookViewId="0">
      <selection activeCell="I47" sqref="I47"/>
    </sheetView>
  </sheetViews>
  <sheetFormatPr defaultColWidth="8.75" defaultRowHeight="12.75" customHeight="1"/>
  <cols>
    <col min="1" max="1" width="2.58203125" style="1" customWidth="1"/>
    <col min="2" max="2" width="21.08203125" style="2" customWidth="1"/>
    <col min="3" max="3" width="15.33203125" style="2" customWidth="1"/>
    <col min="4" max="4" width="23.83203125" style="2" customWidth="1"/>
    <col min="5" max="5" width="23.08203125" style="2" customWidth="1"/>
    <col min="6" max="6" width="27" style="2" customWidth="1"/>
    <col min="7" max="7" width="22.33203125" style="2" customWidth="1"/>
    <col min="8" max="8" width="20.08203125" style="2" customWidth="1"/>
    <col min="9" max="9" width="29.33203125" style="2" customWidth="1"/>
    <col min="10" max="10" width="18.33203125" style="2" customWidth="1"/>
    <col min="11" max="11" width="30" style="2" customWidth="1"/>
    <col min="12" max="12" width="20.5" style="2" customWidth="1"/>
    <col min="13" max="13" width="12.33203125" style="2" customWidth="1"/>
    <col min="14" max="14" width="11.58203125" style="2" customWidth="1"/>
    <col min="15" max="15" width="11.33203125" style="2" customWidth="1"/>
    <col min="16" max="16" width="2.58203125" style="2" customWidth="1"/>
    <col min="17" max="17" width="1.58203125" style="2" customWidth="1"/>
    <col min="18" max="18" width="26.75" style="3" customWidth="1"/>
    <col min="19" max="19" width="12" style="2" customWidth="1"/>
    <col min="20" max="22" width="11.33203125" style="2" customWidth="1"/>
    <col min="23" max="27" width="12" style="2" customWidth="1"/>
    <col min="28" max="37" width="12.75" style="2" customWidth="1"/>
    <col min="38" max="16384" width="8.75" style="2"/>
  </cols>
  <sheetData>
    <row r="1" spans="1:99" s="79" customFormat="1" ht="50.15" customHeight="1">
      <c r="B1" s="426" t="s">
        <v>228</v>
      </c>
      <c r="C1" s="426"/>
      <c r="D1" s="438"/>
      <c r="E1" s="438"/>
      <c r="F1" s="438"/>
      <c r="G1" s="438"/>
      <c r="H1" s="438"/>
      <c r="I1" s="438"/>
      <c r="J1" s="438"/>
      <c r="K1" s="439"/>
      <c r="L1" s="440"/>
      <c r="M1" s="439"/>
      <c r="N1" s="439"/>
      <c r="O1" s="439"/>
      <c r="P1" s="3"/>
      <c r="Q1" s="92"/>
    </row>
    <row r="2" spans="1:99" s="80" customFormat="1" ht="30" customHeight="1">
      <c r="A2" s="91"/>
      <c r="B2" s="402" t="s">
        <v>297</v>
      </c>
      <c r="C2" s="307"/>
      <c r="D2" s="308"/>
      <c r="E2" s="308"/>
      <c r="F2" s="308"/>
      <c r="G2" s="308"/>
      <c r="H2" s="308"/>
      <c r="I2" s="308"/>
      <c r="J2" s="308"/>
      <c r="K2" s="308"/>
      <c r="L2" s="308"/>
      <c r="M2" s="308"/>
      <c r="N2" s="308"/>
      <c r="O2" s="405"/>
      <c r="P2" s="3"/>
      <c r="Q2" s="92"/>
      <c r="R2" s="82"/>
      <c r="BS2" s="81"/>
      <c r="BT2" s="82"/>
      <c r="BU2" s="82"/>
      <c r="BV2" s="83"/>
      <c r="BW2" s="84"/>
      <c r="BX2" s="84"/>
      <c r="BY2" s="84"/>
      <c r="BZ2" s="84"/>
      <c r="CA2" s="84"/>
      <c r="CB2" s="84"/>
      <c r="CC2" s="84"/>
      <c r="CD2" s="82"/>
      <c r="CE2" s="84"/>
      <c r="CF2" s="84"/>
      <c r="CG2" s="84"/>
      <c r="CH2" s="84"/>
      <c r="CI2" s="84"/>
      <c r="CJ2" s="84"/>
      <c r="CK2" s="82"/>
      <c r="CL2" s="85"/>
      <c r="CM2" s="86"/>
      <c r="CN2" s="87"/>
      <c r="CO2" s="87"/>
      <c r="CP2" s="82"/>
      <c r="CQ2" s="84"/>
      <c r="CR2" s="88"/>
      <c r="CS2" s="89"/>
      <c r="CT2" s="84"/>
      <c r="CU2" s="90"/>
    </row>
    <row r="3" spans="1:99" s="204" customFormat="1" ht="15" customHeight="1">
      <c r="A3" s="202"/>
      <c r="B3" s="203"/>
      <c r="C3" s="203"/>
      <c r="D3" s="185"/>
      <c r="E3" s="185"/>
      <c r="F3" s="185"/>
      <c r="G3" s="203"/>
      <c r="H3" s="203"/>
      <c r="I3" s="203"/>
      <c r="J3" s="203"/>
      <c r="K3" s="203"/>
      <c r="L3" s="203"/>
      <c r="N3" s="206"/>
      <c r="O3" s="206"/>
      <c r="P3" s="3"/>
      <c r="Q3" s="92"/>
      <c r="R3" s="207"/>
      <c r="S3" s="207"/>
      <c r="T3" s="207"/>
      <c r="U3" s="207"/>
      <c r="X3" s="202"/>
      <c r="Y3" s="207"/>
    </row>
    <row r="4" spans="1:99" s="204" customFormat="1" ht="15" customHeight="1">
      <c r="A4" s="202"/>
      <c r="B4" s="131" t="s">
        <v>156</v>
      </c>
      <c r="C4" s="203"/>
      <c r="D4" s="185"/>
      <c r="E4" s="185"/>
      <c r="F4" s="185"/>
      <c r="G4" s="203"/>
      <c r="H4" s="203"/>
      <c r="I4" s="203"/>
      <c r="J4" s="203"/>
      <c r="K4" s="203"/>
      <c r="L4" s="203"/>
      <c r="N4" s="206"/>
      <c r="O4" s="206"/>
      <c r="P4" s="3"/>
      <c r="Q4" s="92"/>
      <c r="R4" s="207"/>
      <c r="S4" s="207"/>
      <c r="T4" s="207"/>
      <c r="U4" s="207"/>
      <c r="X4" s="202"/>
      <c r="Y4" s="207"/>
    </row>
    <row r="5" spans="1:99" s="204" customFormat="1" ht="15" customHeight="1">
      <c r="A5" s="202"/>
      <c r="B5" s="203"/>
      <c r="C5" s="203"/>
      <c r="D5" s="185"/>
      <c r="E5" s="185"/>
      <c r="F5" s="185"/>
      <c r="G5" s="203"/>
      <c r="H5" s="203"/>
      <c r="I5" s="203"/>
      <c r="J5" s="203"/>
      <c r="K5" s="203"/>
      <c r="L5" s="203"/>
      <c r="N5" s="206"/>
      <c r="O5" s="206"/>
      <c r="P5" s="3"/>
      <c r="Q5" s="92"/>
      <c r="R5" s="207"/>
      <c r="S5" s="207"/>
      <c r="T5" s="207"/>
      <c r="U5" s="207"/>
      <c r="X5" s="202"/>
      <c r="Y5" s="207"/>
    </row>
    <row r="6" spans="1:99" s="204" customFormat="1" ht="15" customHeight="1">
      <c r="A6" s="202"/>
      <c r="B6" s="256" t="s">
        <v>267</v>
      </c>
      <c r="C6" s="203"/>
      <c r="D6" s="185"/>
      <c r="E6" s="185"/>
      <c r="F6" s="185"/>
      <c r="G6" s="203"/>
      <c r="H6" s="203"/>
      <c r="I6" s="203"/>
      <c r="J6" s="203"/>
      <c r="K6" s="203"/>
      <c r="L6" s="203"/>
      <c r="N6" s="206"/>
      <c r="O6" s="206"/>
      <c r="P6" s="3"/>
      <c r="Q6" s="92"/>
      <c r="R6" s="207"/>
      <c r="S6" s="207"/>
      <c r="T6" s="207"/>
      <c r="U6" s="207"/>
      <c r="X6" s="202"/>
      <c r="Y6" s="207"/>
    </row>
    <row r="7" spans="1:99" s="185" customFormat="1" ht="14">
      <c r="B7" s="538"/>
      <c r="C7" s="539"/>
      <c r="D7" s="539"/>
      <c r="E7" s="539"/>
      <c r="F7" s="540"/>
      <c r="G7" s="282"/>
      <c r="H7" s="282"/>
      <c r="I7" s="282"/>
      <c r="J7" s="282"/>
      <c r="K7" s="282"/>
      <c r="L7" s="282"/>
      <c r="M7" s="222"/>
      <c r="N7" s="222"/>
      <c r="Q7" s="92"/>
    </row>
    <row r="8" spans="1:99" s="185" customFormat="1" ht="14">
      <c r="B8" s="541"/>
      <c r="C8" s="542"/>
      <c r="D8" s="542"/>
      <c r="E8" s="542"/>
      <c r="F8" s="543"/>
      <c r="G8" s="282"/>
      <c r="H8" s="282"/>
      <c r="I8" s="282"/>
      <c r="J8" s="282"/>
      <c r="K8" s="282"/>
      <c r="L8" s="282"/>
      <c r="M8" s="222"/>
      <c r="N8" s="222"/>
      <c r="Q8" s="92"/>
    </row>
    <row r="9" spans="1:99" s="185" customFormat="1" ht="14">
      <c r="B9" s="541"/>
      <c r="C9" s="542"/>
      <c r="D9" s="542"/>
      <c r="E9" s="542"/>
      <c r="F9" s="543"/>
      <c r="G9" s="282"/>
      <c r="H9" s="282"/>
      <c r="I9" s="282"/>
      <c r="J9" s="282"/>
      <c r="K9" s="282"/>
      <c r="L9" s="282"/>
      <c r="M9" s="222"/>
      <c r="N9" s="222"/>
      <c r="Q9" s="92"/>
    </row>
    <row r="10" spans="1:99" s="185" customFormat="1" ht="14">
      <c r="B10" s="544"/>
      <c r="C10" s="545"/>
      <c r="D10" s="545"/>
      <c r="E10" s="545"/>
      <c r="F10" s="546"/>
      <c r="G10" s="282"/>
      <c r="H10" s="282"/>
      <c r="I10" s="282"/>
      <c r="J10" s="282"/>
      <c r="K10" s="282"/>
      <c r="L10" s="282"/>
      <c r="M10" s="222"/>
      <c r="N10" s="222"/>
      <c r="Q10" s="92"/>
    </row>
    <row r="11" spans="1:99" s="185" customFormat="1" ht="14">
      <c r="Q11" s="92"/>
    </row>
    <row r="12" spans="1:99" s="185" customFormat="1" ht="16.5">
      <c r="B12" s="221" t="s">
        <v>298</v>
      </c>
      <c r="D12" s="379"/>
      <c r="E12" s="223" t="s">
        <v>299</v>
      </c>
      <c r="F12" s="3"/>
      <c r="G12" s="3"/>
      <c r="Q12" s="92"/>
    </row>
    <row r="13" spans="1:99" s="185" customFormat="1" ht="14.5">
      <c r="B13" s="114" t="s">
        <v>300</v>
      </c>
      <c r="C13" s="224"/>
      <c r="D13" s="382">
        <f>'J.01 Agree SL to GL'!E15+'J.01 Agree SL to GL'!E16</f>
        <v>0</v>
      </c>
      <c r="E13" s="16" t="s">
        <v>271</v>
      </c>
      <c r="F13" s="3"/>
      <c r="G13" s="3"/>
      <c r="Q13" s="92"/>
    </row>
    <row r="14" spans="1:99" s="185" customFormat="1" ht="14.5">
      <c r="B14" s="441" t="s">
        <v>272</v>
      </c>
      <c r="D14" s="385">
        <f>D12-D13</f>
        <v>0</v>
      </c>
      <c r="E14" s="16" t="s">
        <v>181</v>
      </c>
      <c r="G14" s="3" t="s">
        <v>273</v>
      </c>
      <c r="H14" s="294" t="str">
        <f>IF(ABS($D$14)&gt;'J.00  Lead Sheet'!$C$6, "Yes", "No")</f>
        <v>No</v>
      </c>
      <c r="Q14" s="92"/>
    </row>
    <row r="15" spans="1:99" s="185" customFormat="1" ht="14">
      <c r="D15" s="386"/>
      <c r="E15" s="3"/>
      <c r="F15" s="3"/>
      <c r="G15" s="3"/>
      <c r="Q15" s="92"/>
    </row>
    <row r="16" spans="1:99" s="185" customFormat="1" ht="14.5">
      <c r="B16" s="250" t="s">
        <v>274</v>
      </c>
      <c r="C16" s="224"/>
      <c r="D16" s="382"/>
      <c r="E16" s="115"/>
      <c r="F16" s="3"/>
      <c r="G16" s="3"/>
      <c r="Q16" s="92"/>
    </row>
    <row r="17" spans="1:22" s="185" customFormat="1" ht="14.5">
      <c r="B17" s="441" t="s">
        <v>275</v>
      </c>
      <c r="D17" s="383">
        <f>D13-D16</f>
        <v>0</v>
      </c>
      <c r="E17" s="116"/>
      <c r="F17" s="3"/>
      <c r="G17" s="3"/>
      <c r="Q17" s="92"/>
    </row>
    <row r="18" spans="1:22" s="185" customFormat="1" ht="14">
      <c r="Q18" s="92"/>
    </row>
    <row r="19" spans="1:22" s="205" customFormat="1" ht="14.5">
      <c r="A19" s="208"/>
      <c r="B19" s="225" t="s">
        <v>301</v>
      </c>
      <c r="C19" s="203"/>
      <c r="K19" s="210"/>
      <c r="Q19" s="92"/>
    </row>
    <row r="20" spans="1:22" s="213" customFormat="1" ht="13">
      <c r="A20" s="202"/>
      <c r="B20" s="538"/>
      <c r="C20" s="539"/>
      <c r="D20" s="539"/>
      <c r="E20" s="539"/>
      <c r="F20" s="540"/>
      <c r="G20" s="282"/>
      <c r="H20" s="282"/>
      <c r="I20" s="282"/>
      <c r="J20" s="282"/>
      <c r="K20" s="282"/>
      <c r="L20" s="282"/>
      <c r="M20" s="226"/>
      <c r="N20" s="227"/>
      <c r="O20" s="228"/>
      <c r="P20" s="229"/>
      <c r="Q20" s="92"/>
      <c r="R20" s="230"/>
      <c r="U20" s="13"/>
      <c r="V20" s="231"/>
    </row>
    <row r="21" spans="1:22" s="213" customFormat="1" ht="13">
      <c r="A21" s="202"/>
      <c r="B21" s="541"/>
      <c r="C21" s="542"/>
      <c r="D21" s="542"/>
      <c r="E21" s="542"/>
      <c r="F21" s="543"/>
      <c r="G21" s="282"/>
      <c r="H21" s="282"/>
      <c r="I21" s="282"/>
      <c r="J21" s="282"/>
      <c r="K21" s="282"/>
      <c r="L21" s="282"/>
      <c r="M21" s="226"/>
      <c r="N21" s="227"/>
      <c r="O21" s="228"/>
      <c r="P21" s="229"/>
      <c r="Q21" s="92"/>
      <c r="R21" s="230"/>
      <c r="U21" s="13"/>
      <c r="V21" s="231"/>
    </row>
    <row r="22" spans="1:22" s="213" customFormat="1" ht="13">
      <c r="A22" s="202"/>
      <c r="B22" s="541"/>
      <c r="C22" s="542"/>
      <c r="D22" s="542"/>
      <c r="E22" s="542"/>
      <c r="F22" s="543"/>
      <c r="G22" s="282"/>
      <c r="H22" s="282"/>
      <c r="I22" s="282"/>
      <c r="J22" s="282"/>
      <c r="K22" s="282"/>
      <c r="L22" s="282"/>
      <c r="M22" s="226"/>
      <c r="N22" s="227"/>
      <c r="O22" s="228"/>
      <c r="P22" s="229"/>
      <c r="Q22" s="92"/>
      <c r="R22" s="230"/>
      <c r="U22" s="13"/>
      <c r="V22" s="231"/>
    </row>
    <row r="23" spans="1:22" s="213" customFormat="1" ht="13">
      <c r="A23" s="202"/>
      <c r="B23" s="544"/>
      <c r="C23" s="545"/>
      <c r="D23" s="545"/>
      <c r="E23" s="545"/>
      <c r="F23" s="546"/>
      <c r="G23" s="282"/>
      <c r="H23" s="282"/>
      <c r="I23" s="282"/>
      <c r="J23" s="282"/>
      <c r="K23" s="282"/>
      <c r="L23" s="282"/>
      <c r="M23" s="226"/>
      <c r="N23" s="227"/>
      <c r="O23" s="228"/>
      <c r="P23" s="229"/>
      <c r="Q23" s="92"/>
      <c r="R23" s="230"/>
      <c r="U23" s="13"/>
      <c r="V23" s="231"/>
    </row>
    <row r="24" spans="1:22" s="213" customFormat="1" ht="14">
      <c r="A24" s="202"/>
      <c r="B24" s="282"/>
      <c r="C24" s="282"/>
      <c r="D24" s="282"/>
      <c r="E24" s="282"/>
      <c r="F24" s="282"/>
      <c r="G24" s="185"/>
      <c r="H24" s="185"/>
      <c r="I24" s="185"/>
      <c r="J24" s="185"/>
      <c r="K24" s="226"/>
      <c r="L24" s="282"/>
      <c r="M24" s="226"/>
      <c r="N24" s="227"/>
      <c r="O24" s="228"/>
      <c r="P24" s="229"/>
      <c r="Q24" s="92"/>
      <c r="R24" s="230"/>
      <c r="U24" s="13"/>
      <c r="V24" s="231"/>
    </row>
    <row r="25" spans="1:22" ht="14.5">
      <c r="B25" s="406" t="s">
        <v>302</v>
      </c>
      <c r="C25" s="313"/>
      <c r="D25" s="313"/>
      <c r="E25" s="313"/>
      <c r="F25" s="407"/>
      <c r="G25" s="185"/>
      <c r="H25" s="185"/>
      <c r="I25" s="185"/>
      <c r="J25" s="185"/>
      <c r="K25" s="226"/>
      <c r="L25" s="226"/>
      <c r="M25" s="226"/>
      <c r="N25" s="190"/>
      <c r="P25" s="3"/>
      <c r="Q25" s="92"/>
    </row>
    <row r="26" spans="1:22" s="3" customFormat="1" ht="14.5">
      <c r="A26" s="1"/>
      <c r="B26" s="443" t="s">
        <v>303</v>
      </c>
      <c r="C26" s="444"/>
      <c r="D26" s="444"/>
      <c r="E26" s="444"/>
      <c r="F26" s="445"/>
      <c r="G26" s="185"/>
      <c r="H26" s="185"/>
      <c r="I26" s="185"/>
      <c r="J26" s="185"/>
      <c r="K26" s="226"/>
      <c r="L26" s="226"/>
      <c r="M26" s="226"/>
      <c r="N26" s="232"/>
      <c r="Q26" s="92"/>
    </row>
    <row r="27" spans="1:22" ht="14.5">
      <c r="B27" s="233" t="s">
        <v>304</v>
      </c>
      <c r="C27" s="234"/>
      <c r="D27" s="234"/>
      <c r="E27" s="234"/>
      <c r="F27" s="235"/>
      <c r="G27" s="185"/>
      <c r="H27" s="185"/>
      <c r="I27" s="185"/>
      <c r="J27" s="185"/>
      <c r="K27" s="226"/>
      <c r="L27" s="226"/>
      <c r="M27" s="226"/>
      <c r="N27" s="236"/>
      <c r="P27" s="3"/>
      <c r="Q27" s="92"/>
    </row>
    <row r="28" spans="1:22" ht="14.5">
      <c r="B28" s="233" t="s">
        <v>305</v>
      </c>
      <c r="C28" s="234"/>
      <c r="D28" s="234"/>
      <c r="E28" s="234"/>
      <c r="F28" s="235"/>
      <c r="G28" s="185"/>
      <c r="H28" s="185"/>
      <c r="I28" s="185"/>
      <c r="J28" s="185"/>
      <c r="K28" s="226"/>
      <c r="L28" s="226"/>
      <c r="M28" s="226"/>
      <c r="N28" s="236"/>
      <c r="P28" s="3"/>
      <c r="Q28" s="92"/>
    </row>
    <row r="29" spans="1:22" ht="17.25" customHeight="1">
      <c r="B29" s="237" t="s">
        <v>306</v>
      </c>
      <c r="C29" s="238"/>
      <c r="D29" s="238"/>
      <c r="E29" s="238"/>
      <c r="F29" s="239"/>
      <c r="G29" s="185"/>
      <c r="H29" s="185"/>
      <c r="I29" s="185"/>
      <c r="J29" s="185"/>
      <c r="K29" s="226"/>
      <c r="L29" s="226"/>
      <c r="M29" s="226"/>
      <c r="N29" s="240"/>
      <c r="P29" s="3"/>
      <c r="Q29" s="92"/>
    </row>
    <row r="30" spans="1:22" ht="13">
      <c r="P30" s="3"/>
      <c r="Q30" s="92"/>
    </row>
    <row r="31" spans="1:22" s="3" customFormat="1" ht="15" customHeight="1">
      <c r="L31" s="14" t="s">
        <v>281</v>
      </c>
      <c r="M31" s="584" t="s">
        <v>353</v>
      </c>
      <c r="N31" s="586"/>
      <c r="O31" s="585"/>
      <c r="Q31" s="92"/>
      <c r="R31" s="185"/>
    </row>
    <row r="32" spans="1:22" s="118" customFormat="1" ht="60" customHeight="1">
      <c r="A32" s="3"/>
      <c r="B32" s="309" t="s">
        <v>282</v>
      </c>
      <c r="C32" s="355" t="s">
        <v>283</v>
      </c>
      <c r="D32" s="309" t="s">
        <v>285</v>
      </c>
      <c r="E32" s="309" t="s">
        <v>307</v>
      </c>
      <c r="F32" s="309" t="s">
        <v>308</v>
      </c>
      <c r="G32" s="408" t="s">
        <v>309</v>
      </c>
      <c r="H32" s="309" t="s">
        <v>310</v>
      </c>
      <c r="I32" s="309" t="s">
        <v>311</v>
      </c>
      <c r="J32" s="309" t="s">
        <v>312</v>
      </c>
      <c r="K32" s="309" t="s">
        <v>313</v>
      </c>
      <c r="L32" s="309" t="s">
        <v>314</v>
      </c>
      <c r="M32" s="314">
        <v>1</v>
      </c>
      <c r="N32" s="315">
        <v>2</v>
      </c>
      <c r="O32" s="315">
        <v>3</v>
      </c>
      <c r="Q32" s="92"/>
      <c r="R32" s="185"/>
    </row>
    <row r="33" spans="2:18" s="3" customFormat="1" ht="15" customHeight="1">
      <c r="B33" s="310"/>
      <c r="C33" s="310"/>
      <c r="D33" s="310"/>
      <c r="E33" s="241"/>
      <c r="F33" s="387"/>
      <c r="G33" s="387"/>
      <c r="H33" s="388"/>
      <c r="I33" s="242"/>
      <c r="J33" s="346"/>
      <c r="K33" s="316"/>
      <c r="L33" s="311">
        <f>G33-F33</f>
        <v>0</v>
      </c>
      <c r="M33" s="347"/>
      <c r="N33" s="347"/>
      <c r="O33" s="347"/>
      <c r="Q33" s="92"/>
      <c r="R33" s="185"/>
    </row>
    <row r="34" spans="2:18" s="3" customFormat="1" ht="15" customHeight="1">
      <c r="B34" s="310"/>
      <c r="C34" s="310"/>
      <c r="D34" s="310"/>
      <c r="E34" s="241"/>
      <c r="F34" s="387"/>
      <c r="G34" s="387"/>
      <c r="H34" s="388"/>
      <c r="I34" s="243"/>
      <c r="J34" s="346"/>
      <c r="K34" s="316"/>
      <c r="L34" s="311">
        <f>G34-F34</f>
        <v>0</v>
      </c>
      <c r="M34" s="347"/>
      <c r="N34" s="347"/>
      <c r="O34" s="347"/>
      <c r="Q34" s="92"/>
      <c r="R34" s="185"/>
    </row>
    <row r="35" spans="2:18" s="3" customFormat="1" ht="15" customHeight="1">
      <c r="B35" s="310"/>
      <c r="C35" s="310"/>
      <c r="D35" s="310"/>
      <c r="E35" s="241"/>
      <c r="F35" s="387"/>
      <c r="G35" s="387"/>
      <c r="H35" s="388"/>
      <c r="I35" s="243"/>
      <c r="J35" s="346"/>
      <c r="K35" s="316"/>
      <c r="L35" s="311">
        <f>G35-F35</f>
        <v>0</v>
      </c>
      <c r="M35" s="347"/>
      <c r="N35" s="347"/>
      <c r="O35" s="347"/>
      <c r="Q35" s="92"/>
      <c r="R35" s="185"/>
    </row>
    <row r="36" spans="2:18" s="3" customFormat="1" ht="15" customHeight="1">
      <c r="B36" s="310"/>
      <c r="C36" s="310"/>
      <c r="D36" s="310"/>
      <c r="E36" s="310"/>
      <c r="F36" s="384"/>
      <c r="G36" s="384"/>
      <c r="H36" s="344"/>
      <c r="I36" s="242"/>
      <c r="J36" s="310"/>
      <c r="K36" s="316"/>
      <c r="L36" s="311">
        <f>G36-F36</f>
        <v>0</v>
      </c>
      <c r="M36" s="347"/>
      <c r="N36" s="347"/>
      <c r="O36" s="347"/>
      <c r="Q36" s="92"/>
      <c r="R36" s="185"/>
    </row>
    <row r="37" spans="2:18" s="3" customFormat="1" ht="15" customHeight="1">
      <c r="B37" s="310"/>
      <c r="C37" s="310"/>
      <c r="D37" s="310"/>
      <c r="E37" s="310"/>
      <c r="F37" s="384"/>
      <c r="G37" s="384"/>
      <c r="H37" s="344"/>
      <c r="I37" s="243"/>
      <c r="J37" s="310"/>
      <c r="K37" s="316"/>
      <c r="L37" s="311">
        <f>G37-F37</f>
        <v>0</v>
      </c>
      <c r="M37" s="347"/>
      <c r="N37" s="347"/>
      <c r="O37" s="347"/>
      <c r="Q37" s="92"/>
      <c r="R37" s="185"/>
    </row>
    <row r="38" spans="2:18" ht="12.75" customHeight="1">
      <c r="P38" s="3"/>
      <c r="Q38" s="92"/>
    </row>
    <row r="39" spans="2:18" ht="12.75" customHeight="1">
      <c r="B39" s="527" t="s">
        <v>292</v>
      </c>
      <c r="C39" s="528"/>
      <c r="D39" s="528"/>
      <c r="E39" s="528"/>
      <c r="F39" s="528"/>
      <c r="G39" s="528"/>
      <c r="H39" s="528"/>
      <c r="I39" s="528"/>
      <c r="J39" s="528"/>
      <c r="K39" s="528"/>
      <c r="P39" s="3"/>
      <c r="Q39" s="92"/>
    </row>
    <row r="40" spans="2:18" ht="12.75" customHeight="1">
      <c r="B40" s="538"/>
      <c r="C40" s="539"/>
      <c r="D40" s="539"/>
      <c r="E40" s="539"/>
      <c r="F40" s="539"/>
      <c r="G40" s="540"/>
      <c r="P40" s="3"/>
      <c r="Q40" s="92"/>
    </row>
    <row r="41" spans="2:18" ht="12.75" customHeight="1">
      <c r="B41" s="541"/>
      <c r="C41" s="542"/>
      <c r="D41" s="542"/>
      <c r="E41" s="542"/>
      <c r="F41" s="542"/>
      <c r="G41" s="543"/>
      <c r="P41" s="3"/>
      <c r="Q41" s="92"/>
    </row>
    <row r="42" spans="2:18" ht="12.75" customHeight="1">
      <c r="B42" s="541"/>
      <c r="C42" s="542"/>
      <c r="D42" s="542"/>
      <c r="E42" s="542"/>
      <c r="F42" s="542"/>
      <c r="G42" s="543"/>
      <c r="P42" s="3"/>
      <c r="Q42" s="92"/>
    </row>
    <row r="43" spans="2:18" ht="12.75" customHeight="1">
      <c r="B43" s="544"/>
      <c r="C43" s="545"/>
      <c r="D43" s="545"/>
      <c r="E43" s="545"/>
      <c r="F43" s="545"/>
      <c r="G43" s="546"/>
      <c r="P43" s="3"/>
      <c r="Q43" s="92"/>
    </row>
    <row r="44" spans="2:18" ht="12.65" customHeight="1">
      <c r="P44" s="3"/>
      <c r="Q44" s="92"/>
    </row>
    <row r="45" spans="2:18" ht="12.75" customHeight="1">
      <c r="B45" s="446" t="s">
        <v>315</v>
      </c>
      <c r="C45" s="447"/>
      <c r="D45" s="447"/>
      <c r="E45" s="448"/>
      <c r="F45" s="448"/>
      <c r="G45" s="449"/>
      <c r="P45" s="3"/>
      <c r="Q45" s="92"/>
    </row>
    <row r="46" spans="2:18" ht="12.75" customHeight="1">
      <c r="B46" s="94" t="s">
        <v>316</v>
      </c>
      <c r="C46" s="17" t="s">
        <v>317</v>
      </c>
      <c r="D46" s="17" t="s">
        <v>318</v>
      </c>
      <c r="E46" s="17" t="s">
        <v>319</v>
      </c>
      <c r="F46" s="18" t="s">
        <v>320</v>
      </c>
      <c r="G46" s="95"/>
      <c r="P46" s="3"/>
      <c r="Q46" s="92"/>
    </row>
    <row r="47" spans="2:18" ht="12.75" customHeight="1">
      <c r="B47" s="96"/>
      <c r="C47" s="3"/>
      <c r="D47" s="1"/>
      <c r="F47" s="19" t="s">
        <v>321</v>
      </c>
      <c r="G47" s="95"/>
      <c r="I47" s="3"/>
      <c r="J47" s="3"/>
      <c r="P47" s="3"/>
      <c r="Q47" s="92"/>
    </row>
    <row r="48" spans="2:18" ht="12.75" customHeight="1">
      <c r="B48" s="244"/>
      <c r="C48" s="245"/>
      <c r="D48" s="1"/>
      <c r="E48" s="3" t="s">
        <v>322</v>
      </c>
      <c r="F48" s="246"/>
      <c r="G48" s="95"/>
      <c r="I48" s="3"/>
      <c r="J48" s="3"/>
      <c r="P48" s="3"/>
      <c r="Q48" s="92"/>
    </row>
    <row r="49" spans="2:17" ht="12.75" customHeight="1">
      <c r="B49" s="244"/>
      <c r="C49" s="245"/>
      <c r="D49" s="16" t="s">
        <v>323</v>
      </c>
      <c r="E49" s="3" t="s">
        <v>324</v>
      </c>
      <c r="F49" s="246"/>
      <c r="G49" s="97" t="s">
        <v>323</v>
      </c>
      <c r="I49" s="3"/>
      <c r="J49" s="3"/>
      <c r="P49" s="3"/>
      <c r="Q49" s="92"/>
    </row>
    <row r="50" spans="2:17" ht="12.75" customHeight="1">
      <c r="B50" s="96"/>
      <c r="C50" s="3"/>
      <c r="D50" s="1"/>
      <c r="E50" s="3" t="s">
        <v>325</v>
      </c>
      <c r="F50" s="20">
        <f>F48-F49</f>
        <v>0</v>
      </c>
      <c r="G50" s="95"/>
      <c r="I50" s="3"/>
      <c r="J50" s="3"/>
      <c r="P50" s="3"/>
      <c r="Q50" s="92"/>
    </row>
    <row r="51" spans="2:17" ht="12.75" customHeight="1">
      <c r="B51" s="96"/>
      <c r="C51" s="3"/>
      <c r="D51" s="1"/>
      <c r="E51" s="3"/>
      <c r="F51" s="20"/>
      <c r="G51" s="95"/>
      <c r="I51" s="3"/>
      <c r="J51" s="3"/>
      <c r="P51" s="3"/>
      <c r="Q51" s="92"/>
    </row>
    <row r="52" spans="2:17" ht="12.75" customHeight="1">
      <c r="B52" s="244"/>
      <c r="C52" s="245"/>
      <c r="D52" s="3"/>
      <c r="E52" s="3" t="s">
        <v>326</v>
      </c>
      <c r="F52" s="246"/>
      <c r="G52" s="95"/>
      <c r="I52" s="3"/>
      <c r="J52" s="3"/>
      <c r="P52" s="3"/>
      <c r="Q52" s="92"/>
    </row>
    <row r="53" spans="2:17" ht="12.75" customHeight="1">
      <c r="B53" s="244"/>
      <c r="C53" s="245"/>
      <c r="D53" s="16" t="s">
        <v>327</v>
      </c>
      <c r="E53" s="3" t="s">
        <v>328</v>
      </c>
      <c r="F53" s="246"/>
      <c r="G53" s="97" t="s">
        <v>327</v>
      </c>
      <c r="I53" s="3"/>
      <c r="J53" s="3"/>
      <c r="P53" s="3"/>
      <c r="Q53" s="92"/>
    </row>
    <row r="54" spans="2:17" ht="12.75" customHeight="1">
      <c r="B54" s="96"/>
      <c r="C54" s="3"/>
      <c r="E54" s="3" t="s">
        <v>325</v>
      </c>
      <c r="F54" s="20">
        <f>F52-F53</f>
        <v>0</v>
      </c>
      <c r="G54" s="95"/>
      <c r="I54" s="3"/>
      <c r="J54" s="3"/>
      <c r="P54" s="3"/>
      <c r="Q54" s="92"/>
    </row>
    <row r="55" spans="2:17" ht="12.75" customHeight="1">
      <c r="B55" s="96"/>
      <c r="C55" s="3"/>
      <c r="E55" s="3"/>
      <c r="F55" s="20"/>
      <c r="G55" s="95"/>
      <c r="I55" s="3"/>
      <c r="J55" s="3"/>
      <c r="P55" s="3"/>
      <c r="Q55" s="92"/>
    </row>
    <row r="56" spans="2:17" ht="12.75" customHeight="1">
      <c r="B56" s="244"/>
      <c r="C56" s="245"/>
      <c r="E56" s="3" t="s">
        <v>329</v>
      </c>
      <c r="F56" s="246"/>
      <c r="G56" s="95"/>
      <c r="I56" s="3"/>
      <c r="J56" s="3"/>
      <c r="P56" s="3"/>
      <c r="Q56" s="92"/>
    </row>
    <row r="57" spans="2:17" ht="12.75" customHeight="1">
      <c r="B57" s="244"/>
      <c r="C57" s="245"/>
      <c r="D57" s="16" t="s">
        <v>330</v>
      </c>
      <c r="E57" s="3" t="s">
        <v>331</v>
      </c>
      <c r="F57" s="246"/>
      <c r="G57" s="97" t="s">
        <v>330</v>
      </c>
      <c r="I57" s="3"/>
      <c r="J57" s="3"/>
      <c r="P57" s="3"/>
      <c r="Q57" s="92"/>
    </row>
    <row r="58" spans="2:17" ht="12.75" customHeight="1">
      <c r="B58" s="96"/>
      <c r="C58" s="3"/>
      <c r="D58" s="3"/>
      <c r="E58" s="3" t="s">
        <v>325</v>
      </c>
      <c r="F58" s="20">
        <f>F56-F57</f>
        <v>0</v>
      </c>
      <c r="G58" s="95"/>
      <c r="I58" s="3"/>
      <c r="J58" s="3"/>
      <c r="P58" s="3"/>
      <c r="Q58" s="92"/>
    </row>
    <row r="59" spans="2:17" ht="12.75" customHeight="1">
      <c r="B59" s="96"/>
      <c r="C59" s="3"/>
      <c r="D59" s="3"/>
      <c r="E59" s="3"/>
      <c r="F59" s="20"/>
      <c r="G59" s="95"/>
      <c r="I59" s="3"/>
      <c r="J59" s="3"/>
      <c r="P59" s="3"/>
      <c r="Q59" s="92"/>
    </row>
    <row r="60" spans="2:17" ht="12.75" customHeight="1">
      <c r="B60" s="244"/>
      <c r="C60" s="245"/>
      <c r="D60" s="3"/>
      <c r="E60" s="3" t="s">
        <v>332</v>
      </c>
      <c r="F60" s="246"/>
      <c r="G60" s="95"/>
      <c r="I60" s="3"/>
      <c r="J60" s="3"/>
      <c r="P60" s="3"/>
      <c r="Q60" s="92"/>
    </row>
    <row r="61" spans="2:17" ht="12.75" customHeight="1">
      <c r="B61" s="244"/>
      <c r="C61" s="245"/>
      <c r="D61" s="3"/>
      <c r="E61" s="3" t="s">
        <v>332</v>
      </c>
      <c r="F61" s="246"/>
      <c r="G61" s="95"/>
      <c r="P61" s="3"/>
      <c r="Q61" s="92"/>
    </row>
    <row r="62" spans="2:17" ht="12.75" customHeight="1">
      <c r="B62" s="96"/>
      <c r="C62" s="3"/>
      <c r="D62" s="3"/>
      <c r="E62" s="3" t="s">
        <v>325</v>
      </c>
      <c r="F62" s="20">
        <f>F60-F61</f>
        <v>0</v>
      </c>
      <c r="G62" s="95"/>
      <c r="P62" s="3"/>
      <c r="Q62" s="92"/>
    </row>
    <row r="63" spans="2:17" ht="12.75" customHeight="1">
      <c r="B63" s="96"/>
      <c r="C63" s="3"/>
      <c r="D63" s="3"/>
      <c r="E63" s="3"/>
      <c r="F63" s="20"/>
      <c r="G63" s="95"/>
      <c r="P63" s="3"/>
      <c r="Q63" s="92"/>
    </row>
    <row r="64" spans="2:17" ht="12.75" customHeight="1">
      <c r="B64" s="96"/>
      <c r="C64" s="3"/>
      <c r="D64" s="3"/>
      <c r="E64" s="3" t="s">
        <v>333</v>
      </c>
      <c r="F64" s="380">
        <f>F49+F53+F57+F61</f>
        <v>0</v>
      </c>
      <c r="G64" s="95"/>
      <c r="P64" s="3"/>
      <c r="Q64" s="92"/>
    </row>
    <row r="65" spans="1:18" ht="12.75" customHeight="1" thickBot="1">
      <c r="B65" s="96"/>
      <c r="C65" s="3"/>
      <c r="D65" s="3"/>
      <c r="E65" s="3" t="s">
        <v>334</v>
      </c>
      <c r="F65" s="389">
        <f>D13</f>
        <v>0</v>
      </c>
      <c r="G65" s="95"/>
      <c r="P65" s="3"/>
      <c r="Q65" s="92"/>
    </row>
    <row r="66" spans="1:18" ht="12.75" customHeight="1" thickTop="1">
      <c r="B66" s="96"/>
      <c r="C66" s="3"/>
      <c r="D66" s="3"/>
      <c r="E66" s="3" t="s">
        <v>325</v>
      </c>
      <c r="F66" s="380">
        <f>F64-F65</f>
        <v>0</v>
      </c>
      <c r="G66" s="98"/>
      <c r="P66" s="3"/>
      <c r="Q66" s="92"/>
    </row>
    <row r="67" spans="1:18" ht="12.75" customHeight="1">
      <c r="B67" s="99"/>
      <c r="C67" s="100"/>
      <c r="D67" s="100"/>
      <c r="E67" s="101"/>
      <c r="F67" s="100"/>
      <c r="G67" s="102"/>
      <c r="P67" s="3"/>
      <c r="Q67" s="92"/>
    </row>
    <row r="68" spans="1:18" ht="12.75" customHeight="1">
      <c r="B68" s="3"/>
      <c r="C68" s="3"/>
      <c r="D68" s="3"/>
      <c r="E68" s="20"/>
      <c r="F68" s="3"/>
      <c r="G68" s="3"/>
      <c r="P68" s="3"/>
      <c r="Q68" s="92"/>
    </row>
    <row r="69" spans="1:18" ht="12.75" customHeight="1">
      <c r="B69" s="568" t="s">
        <v>335</v>
      </c>
      <c r="C69" s="528"/>
      <c r="D69" s="528"/>
      <c r="E69" s="528"/>
      <c r="F69" s="528"/>
      <c r="G69" s="528"/>
      <c r="H69" s="528"/>
      <c r="I69" s="528"/>
      <c r="J69" s="528"/>
      <c r="K69" s="528"/>
      <c r="P69" s="3"/>
      <c r="Q69" s="92"/>
    </row>
    <row r="70" spans="1:18" ht="12.75" customHeight="1">
      <c r="B70" s="559"/>
      <c r="C70" s="560"/>
      <c r="D70" s="560"/>
      <c r="E70" s="560"/>
      <c r="F70" s="561"/>
      <c r="G70" s="247"/>
      <c r="H70" s="247"/>
      <c r="I70" s="247"/>
      <c r="J70" s="247"/>
      <c r="K70" s="247"/>
      <c r="P70" s="3"/>
      <c r="Q70" s="92"/>
    </row>
    <row r="71" spans="1:18" ht="12.75" customHeight="1">
      <c r="B71" s="562"/>
      <c r="C71" s="542"/>
      <c r="D71" s="542"/>
      <c r="E71" s="542"/>
      <c r="F71" s="563"/>
      <c r="G71" s="247"/>
      <c r="H71" s="247"/>
      <c r="I71" s="247"/>
      <c r="J71" s="247"/>
      <c r="K71" s="247"/>
      <c r="P71" s="3"/>
      <c r="Q71" s="92"/>
    </row>
    <row r="72" spans="1:18" ht="12.75" customHeight="1">
      <c r="B72" s="562"/>
      <c r="C72" s="542"/>
      <c r="D72" s="542"/>
      <c r="E72" s="542"/>
      <c r="F72" s="563"/>
      <c r="G72" s="247"/>
      <c r="H72" s="247"/>
      <c r="I72" s="247"/>
      <c r="J72" s="247"/>
      <c r="K72" s="247"/>
      <c r="P72" s="3"/>
      <c r="Q72" s="92"/>
    </row>
    <row r="73" spans="1:18" ht="12.75" customHeight="1">
      <c r="B73" s="564"/>
      <c r="C73" s="565"/>
      <c r="D73" s="565"/>
      <c r="E73" s="565"/>
      <c r="F73" s="566"/>
      <c r="G73" s="247"/>
      <c r="H73" s="247"/>
      <c r="I73" s="247"/>
      <c r="J73" s="247"/>
      <c r="K73" s="247"/>
      <c r="P73" s="3"/>
      <c r="Q73" s="92"/>
    </row>
    <row r="74" spans="1:18" ht="15" customHeight="1">
      <c r="B74" s="247"/>
      <c r="C74" s="247"/>
      <c r="D74" s="247"/>
      <c r="E74" s="247"/>
      <c r="F74" s="247"/>
      <c r="G74" s="247"/>
      <c r="H74" s="247"/>
      <c r="I74" s="247"/>
      <c r="J74" s="247"/>
      <c r="K74" s="247"/>
      <c r="P74" s="3"/>
      <c r="Q74" s="92"/>
    </row>
    <row r="75" spans="1:18" ht="7.5" customHeight="1">
      <c r="A75" s="92"/>
      <c r="B75" s="92"/>
      <c r="C75" s="92"/>
      <c r="D75" s="92"/>
      <c r="E75" s="92"/>
      <c r="F75" s="92"/>
      <c r="G75" s="92"/>
      <c r="H75" s="92"/>
      <c r="I75" s="92"/>
      <c r="J75" s="92"/>
      <c r="K75" s="92"/>
      <c r="L75" s="92"/>
      <c r="M75" s="92"/>
      <c r="N75" s="92"/>
      <c r="O75" s="92"/>
      <c r="P75" s="92"/>
      <c r="Q75" s="92"/>
    </row>
    <row r="78" spans="1:18" s="240" customFormat="1" ht="13">
      <c r="A78" s="1"/>
      <c r="C78" s="248"/>
      <c r="D78" s="567"/>
      <c r="E78" s="567"/>
      <c r="F78" s="567"/>
      <c r="G78" s="567"/>
      <c r="H78" s="249"/>
      <c r="I78" s="249"/>
      <c r="J78" s="249"/>
      <c r="K78" s="249"/>
      <c r="R78" s="250"/>
    </row>
    <row r="79" spans="1:18" s="240" customFormat="1" ht="12.75" customHeight="1">
      <c r="A79" s="1"/>
      <c r="C79" s="248"/>
      <c r="D79" s="567"/>
      <c r="E79" s="567"/>
      <c r="F79" s="567"/>
      <c r="G79" s="567"/>
      <c r="H79" s="249"/>
      <c r="I79" s="249"/>
      <c r="J79" s="249"/>
      <c r="K79" s="249"/>
      <c r="R79" s="250"/>
    </row>
  </sheetData>
  <mergeCells count="9">
    <mergeCell ref="M31:O31"/>
    <mergeCell ref="B7:F10"/>
    <mergeCell ref="B20:F23"/>
    <mergeCell ref="B70:F73"/>
    <mergeCell ref="D79:G79"/>
    <mergeCell ref="D78:G78"/>
    <mergeCell ref="B69:K69"/>
    <mergeCell ref="B39:K39"/>
    <mergeCell ref="B40:G43"/>
  </mergeCells>
  <phoneticPr fontId="75" type="noConversion"/>
  <conditionalFormatting sqref="B7">
    <cfRule type="containsBlanks" dxfId="17" priority="7">
      <formula>LEN(TRIM(B7))=0</formula>
    </cfRule>
  </conditionalFormatting>
  <conditionalFormatting sqref="B20">
    <cfRule type="containsBlanks" dxfId="16" priority="6">
      <formula>LEN(TRIM(B20))=0</formula>
    </cfRule>
  </conditionalFormatting>
  <conditionalFormatting sqref="B40">
    <cfRule type="containsBlanks" dxfId="15" priority="5">
      <formula>LEN(TRIM(B40))=0</formula>
    </cfRule>
  </conditionalFormatting>
  <conditionalFormatting sqref="B70">
    <cfRule type="containsBlanks" dxfId="14" priority="4">
      <formula>LEN(TRIM(B70))=0</formula>
    </cfRule>
  </conditionalFormatting>
  <conditionalFormatting sqref="B48:C49">
    <cfRule type="containsBlanks" dxfId="13" priority="30">
      <formula>LEN(TRIM(B48))=0</formula>
    </cfRule>
  </conditionalFormatting>
  <conditionalFormatting sqref="B52:C53">
    <cfRule type="containsBlanks" dxfId="12" priority="29">
      <formula>LEN(TRIM(B52))=0</formula>
    </cfRule>
  </conditionalFormatting>
  <conditionalFormatting sqref="B56:C57">
    <cfRule type="containsBlanks" dxfId="11" priority="28">
      <formula>LEN(TRIM(B56))=0</formula>
    </cfRule>
  </conditionalFormatting>
  <conditionalFormatting sqref="B60:C61">
    <cfRule type="containsBlanks" dxfId="10" priority="27">
      <formula>LEN(TRIM(B60))=0</formula>
    </cfRule>
  </conditionalFormatting>
  <conditionalFormatting sqref="B33:O37">
    <cfRule type="containsBlanks" dxfId="9" priority="1">
      <formula>LEN(TRIM(B33))=0</formula>
    </cfRule>
  </conditionalFormatting>
  <conditionalFormatting sqref="D12:D13">
    <cfRule type="containsBlanks" dxfId="8" priority="3">
      <formula>LEN(TRIM(D12))=0</formula>
    </cfRule>
  </conditionalFormatting>
  <conditionalFormatting sqref="D16">
    <cfRule type="containsBlanks" dxfId="7" priority="2">
      <formula>LEN(TRIM(D16))=0</formula>
    </cfRule>
  </conditionalFormatting>
  <conditionalFormatting sqref="F48:F49">
    <cfRule type="containsBlanks" dxfId="6" priority="25">
      <formula>LEN(TRIM(F48))=0</formula>
    </cfRule>
  </conditionalFormatting>
  <conditionalFormatting sqref="F52:F53">
    <cfRule type="containsBlanks" dxfId="5" priority="23">
      <formula>LEN(TRIM(F52))=0</formula>
    </cfRule>
  </conditionalFormatting>
  <conditionalFormatting sqref="F56:F57">
    <cfRule type="containsBlanks" dxfId="4" priority="21">
      <formula>LEN(TRIM(F56))=0</formula>
    </cfRule>
  </conditionalFormatting>
  <conditionalFormatting sqref="F60:F61">
    <cfRule type="containsBlanks" dxfId="3" priority="19">
      <formula>LEN(TRIM(F60))=0</formula>
    </cfRule>
  </conditionalFormatting>
  <dataValidations count="2">
    <dataValidation type="list" allowBlank="1" showInputMessage="1" sqref="M33:O37" xr:uid="{A45913B5-FEDF-464B-9B5D-DDD17F1B4273}">
      <formula1>"Y,N"</formula1>
    </dataValidation>
    <dataValidation type="list" allowBlank="1" showInputMessage="1" sqref="C33:C37" xr:uid="{AFF95C27-EF26-4896-9709-DDC5695E200B}">
      <formula1>"关键项,代表性样本"</formula1>
    </dataValidation>
  </dataValidations>
  <hyperlinks>
    <hyperlink ref="B4" location="汇总!A1" display="返回汇总页" xr:uid="{7D9FA92A-F6EC-4A4D-BED0-E1F472DC385E}"/>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1E5F-C5BE-41EE-A161-7DCCE8C2A518}">
  <dimension ref="A1:U9"/>
  <sheetViews>
    <sheetView showGridLines="0" zoomScale="70" zoomScaleNormal="70" workbookViewId="0"/>
  </sheetViews>
  <sheetFormatPr defaultColWidth="9" defaultRowHeight="19"/>
  <cols>
    <col min="1" max="1" width="2.58203125" style="147" customWidth="1"/>
    <col min="2" max="12" width="9" style="147"/>
    <col min="13" max="13" width="2.58203125" style="147" customWidth="1"/>
    <col min="14" max="14" width="1.58203125" style="147" customWidth="1"/>
    <col min="15" max="16384" width="9" style="147"/>
  </cols>
  <sheetData>
    <row r="1" spans="1:21" ht="10" customHeight="1">
      <c r="A1" s="145" t="s">
        <v>336</v>
      </c>
      <c r="B1" s="146"/>
      <c r="C1" s="146"/>
      <c r="D1" s="146"/>
      <c r="E1" s="146"/>
      <c r="F1" s="146"/>
      <c r="G1" s="146"/>
      <c r="H1" s="146"/>
      <c r="I1" s="146"/>
      <c r="J1" s="146"/>
      <c r="K1" s="146"/>
      <c r="L1" s="146"/>
      <c r="M1" s="146"/>
      <c r="N1" s="92"/>
      <c r="O1" s="146"/>
      <c r="P1" s="146"/>
      <c r="Q1" s="146"/>
      <c r="R1" s="146"/>
      <c r="S1" s="146"/>
      <c r="T1" s="146"/>
      <c r="U1" s="146"/>
    </row>
    <row r="2" spans="1:21" ht="20">
      <c r="A2" s="146"/>
      <c r="B2" s="257" t="s">
        <v>294</v>
      </c>
      <c r="C2" s="267"/>
      <c r="D2" s="257"/>
      <c r="E2" s="257"/>
      <c r="F2" s="257"/>
      <c r="G2" s="257"/>
      <c r="H2" s="257"/>
      <c r="I2" s="257"/>
      <c r="J2" s="257"/>
      <c r="K2" s="257"/>
      <c r="L2" s="257"/>
      <c r="M2" s="146"/>
      <c r="N2" s="92"/>
      <c r="O2" s="146"/>
      <c r="P2" s="131" t="s">
        <v>263</v>
      </c>
      <c r="Q2" s="146"/>
      <c r="R2" s="146"/>
      <c r="S2" s="146"/>
      <c r="T2" s="146"/>
      <c r="U2" s="146"/>
    </row>
    <row r="3" spans="1:21" ht="15" customHeight="1">
      <c r="A3" s="148"/>
      <c r="B3" s="148"/>
      <c r="C3" s="149"/>
      <c r="D3" s="149"/>
      <c r="E3" s="149"/>
      <c r="F3" s="149"/>
      <c r="G3" s="149"/>
      <c r="H3" s="149"/>
      <c r="I3" s="149"/>
      <c r="J3" s="149"/>
      <c r="K3" s="148"/>
      <c r="L3" s="148"/>
      <c r="M3" s="148"/>
      <c r="N3" s="92"/>
      <c r="O3" s="148"/>
      <c r="P3" s="148"/>
      <c r="Q3" s="148"/>
      <c r="R3" s="148"/>
      <c r="S3" s="148"/>
      <c r="T3" s="148"/>
      <c r="U3" s="148"/>
    </row>
    <row r="4" spans="1:21" ht="7.5" customHeight="1">
      <c r="A4" s="92"/>
      <c r="B4" s="92"/>
      <c r="C4" s="92"/>
      <c r="D4" s="92"/>
      <c r="E4" s="92"/>
      <c r="F4" s="92"/>
      <c r="G4" s="92"/>
      <c r="H4" s="92"/>
      <c r="I4" s="92"/>
      <c r="J4" s="92"/>
      <c r="K4" s="92"/>
      <c r="L4" s="92"/>
      <c r="M4" s="92"/>
      <c r="N4" s="92"/>
      <c r="O4" s="146"/>
      <c r="P4" s="146"/>
      <c r="Q4" s="146"/>
      <c r="R4" s="146"/>
      <c r="S4" s="146"/>
      <c r="T4" s="146"/>
      <c r="U4" s="146"/>
    </row>
    <row r="5" spans="1:21">
      <c r="A5" s="146"/>
      <c r="B5" s="146"/>
      <c r="C5" s="146"/>
      <c r="D5" s="146"/>
      <c r="E5" s="146"/>
      <c r="F5" s="146"/>
      <c r="G5" s="146"/>
      <c r="H5" s="146"/>
      <c r="I5" s="146"/>
      <c r="J5" s="146"/>
      <c r="K5" s="146"/>
      <c r="L5" s="146"/>
      <c r="M5" s="146"/>
      <c r="N5" s="146"/>
      <c r="O5" s="146"/>
      <c r="P5" s="146"/>
      <c r="Q5" s="146"/>
      <c r="R5" s="146"/>
      <c r="S5" s="146"/>
      <c r="T5" s="146"/>
      <c r="U5" s="146"/>
    </row>
    <row r="6" spans="1:21">
      <c r="A6" s="146"/>
      <c r="B6" s="146"/>
      <c r="C6" s="146"/>
      <c r="D6" s="146"/>
      <c r="E6" s="146"/>
      <c r="F6" s="146"/>
      <c r="G6" s="146"/>
      <c r="H6" s="146"/>
      <c r="I6" s="146"/>
      <c r="J6" s="146"/>
      <c r="K6" s="146"/>
      <c r="L6" s="146"/>
      <c r="M6" s="146"/>
      <c r="N6" s="146"/>
      <c r="O6" s="146"/>
      <c r="P6" s="146"/>
      <c r="Q6" s="146"/>
      <c r="R6" s="146"/>
      <c r="S6" s="146"/>
      <c r="T6" s="146"/>
      <c r="U6" s="146"/>
    </row>
    <row r="7" spans="1:21">
      <c r="A7" s="146"/>
      <c r="B7" s="146"/>
      <c r="C7" s="146"/>
      <c r="D7" s="146"/>
      <c r="E7" s="146"/>
      <c r="F7" s="146"/>
      <c r="G7" s="146"/>
      <c r="H7" s="146"/>
      <c r="I7" s="146"/>
      <c r="J7" s="146"/>
      <c r="K7" s="146"/>
      <c r="L7" s="146"/>
      <c r="M7" s="146"/>
      <c r="N7" s="146"/>
      <c r="O7" s="146"/>
      <c r="P7" s="146"/>
      <c r="Q7" s="146"/>
      <c r="R7" s="146"/>
      <c r="S7" s="146"/>
      <c r="T7" s="146"/>
      <c r="U7" s="146"/>
    </row>
    <row r="8" spans="1:21">
      <c r="A8" s="146"/>
      <c r="B8" s="146"/>
      <c r="C8" s="146"/>
      <c r="D8" s="146"/>
      <c r="E8" s="146"/>
      <c r="F8" s="146"/>
      <c r="G8" s="146"/>
      <c r="H8" s="146"/>
      <c r="I8" s="146"/>
      <c r="J8" s="146"/>
      <c r="K8" s="146"/>
      <c r="L8" s="146"/>
      <c r="M8" s="146"/>
      <c r="N8" s="146"/>
      <c r="O8" s="146"/>
      <c r="P8" s="146"/>
      <c r="Q8" s="146"/>
      <c r="R8" s="146"/>
      <c r="S8" s="146"/>
      <c r="T8" s="146"/>
      <c r="U8" s="146"/>
    </row>
    <row r="9" spans="1:21">
      <c r="A9" s="146"/>
      <c r="B9" s="146"/>
      <c r="C9" s="146"/>
      <c r="D9" s="146"/>
      <c r="E9" s="146"/>
      <c r="F9" s="146"/>
      <c r="G9" s="146"/>
      <c r="H9" s="148"/>
      <c r="I9" s="146"/>
      <c r="J9" s="146"/>
      <c r="K9" s="146"/>
      <c r="L9" s="146"/>
      <c r="M9" s="146"/>
      <c r="N9" s="146"/>
      <c r="O9" s="146"/>
      <c r="P9" s="146"/>
      <c r="Q9" s="146"/>
      <c r="R9" s="146"/>
      <c r="S9" s="146"/>
      <c r="T9" s="146"/>
      <c r="U9" s="146"/>
    </row>
  </sheetData>
  <phoneticPr fontId="75" type="noConversion"/>
  <hyperlinks>
    <hyperlink ref="P2" location="汇总!A1" display="返回汇总页" xr:uid="{A340BD17-B719-445A-BE85-2F3B3E73DD21}"/>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7306-7CA0-49B3-B426-E6BC1A045659}">
  <dimension ref="A1:N5"/>
  <sheetViews>
    <sheetView showGridLines="0" zoomScale="70" zoomScaleNormal="70" workbookViewId="0"/>
  </sheetViews>
  <sheetFormatPr defaultColWidth="8.75" defaultRowHeight="12.75" customHeight="1"/>
  <cols>
    <col min="1" max="1" width="2.58203125" style="36" customWidth="1"/>
    <col min="2" max="2" width="6" style="21" customWidth="1"/>
    <col min="3" max="3" width="17.75" style="21" customWidth="1"/>
    <col min="4" max="4" width="36.33203125" style="21" customWidth="1"/>
    <col min="5" max="6" width="17.75" style="21" customWidth="1"/>
    <col min="7" max="7" width="18.33203125" style="21" customWidth="1"/>
    <col min="8" max="8" width="12.75" style="21" customWidth="1"/>
    <col min="9" max="9" width="15.33203125" style="21" customWidth="1"/>
    <col min="10" max="10" width="30.25" style="21" customWidth="1"/>
    <col min="11" max="11" width="2.58203125" style="21" customWidth="1"/>
    <col min="12" max="12" width="1.58203125" style="21" customWidth="1"/>
    <col min="13" max="14" width="12" style="21" customWidth="1"/>
    <col min="15" max="24" width="12.75" style="21" customWidth="1"/>
    <col min="25" max="16384" width="8.75" style="21"/>
  </cols>
  <sheetData>
    <row r="1" spans="1:14" ht="10" customHeight="1">
      <c r="L1" s="92"/>
    </row>
    <row r="2" spans="1:14" ht="19" customHeight="1">
      <c r="B2" s="262" t="s">
        <v>337</v>
      </c>
      <c r="C2" s="22"/>
      <c r="D2" s="181"/>
      <c r="E2" s="181"/>
      <c r="F2" s="181"/>
      <c r="G2" s="181"/>
      <c r="H2" s="181"/>
      <c r="I2" s="181"/>
      <c r="J2" s="181"/>
      <c r="L2" s="92"/>
      <c r="N2" s="131" t="s">
        <v>263</v>
      </c>
    </row>
    <row r="3" spans="1:14" ht="19" customHeight="1">
      <c r="A3" s="181"/>
      <c r="B3" s="257" t="s">
        <v>338</v>
      </c>
      <c r="C3" s="266"/>
      <c r="D3" s="257"/>
      <c r="E3" s="257"/>
      <c r="F3" s="257"/>
      <c r="G3" s="257"/>
      <c r="H3" s="257"/>
      <c r="I3" s="257"/>
      <c r="J3" s="257"/>
      <c r="L3" s="92"/>
    </row>
    <row r="4" spans="1:14" ht="15" customHeight="1">
      <c r="L4" s="92"/>
    </row>
    <row r="5" spans="1:14" ht="7.5" customHeight="1">
      <c r="A5" s="92"/>
      <c r="B5" s="92"/>
      <c r="C5" s="92"/>
      <c r="D5" s="92"/>
      <c r="E5" s="92"/>
      <c r="F5" s="92"/>
      <c r="G5" s="92"/>
      <c r="H5" s="92"/>
      <c r="I5" s="92"/>
      <c r="J5" s="92"/>
      <c r="K5" s="92"/>
      <c r="L5" s="92"/>
    </row>
  </sheetData>
  <phoneticPr fontId="75" type="noConversion"/>
  <hyperlinks>
    <hyperlink ref="N2" location="汇总!A1" display="返回汇总页" xr:uid="{A6767009-B603-4900-8B7F-C8B000087007}"/>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E7B4-71BC-45B0-AE3A-C8A394C457C7}">
  <dimension ref="A1:K30"/>
  <sheetViews>
    <sheetView showGridLines="0" zoomScale="70" zoomScaleNormal="70" workbookViewId="0">
      <selection activeCell="I29" sqref="I29"/>
    </sheetView>
  </sheetViews>
  <sheetFormatPr defaultColWidth="8.83203125" defaultRowHeight="15" customHeight="1"/>
  <cols>
    <col min="1" max="1" width="2.58203125" style="38" customWidth="1"/>
    <col min="2" max="2" width="15.83203125" style="38" customWidth="1"/>
    <col min="3" max="3" width="24.83203125" style="38" customWidth="1"/>
    <col min="4" max="4" width="15.83203125" style="38" customWidth="1"/>
    <col min="5" max="5" width="20.83203125" style="38" customWidth="1"/>
    <col min="6" max="6" width="26.33203125" style="38" customWidth="1"/>
    <col min="7" max="7" width="35.83203125" style="38" customWidth="1"/>
    <col min="8" max="8" width="20.08203125" style="38" customWidth="1"/>
    <col min="9" max="9" width="35.83203125" style="38" customWidth="1"/>
    <col min="10" max="10" width="2.58203125" style="38" customWidth="1"/>
    <col min="11" max="11" width="1.58203125" style="38" customWidth="1"/>
    <col min="12" max="16384" width="8.83203125" style="38"/>
  </cols>
  <sheetData>
    <row r="1" spans="1:11" s="39" customFormat="1" ht="50.15" customHeight="1">
      <c r="A1" s="38"/>
      <c r="B1" s="450" t="s">
        <v>228</v>
      </c>
      <c r="C1" s="451"/>
      <c r="D1" s="452"/>
      <c r="E1" s="452"/>
      <c r="F1" s="452"/>
      <c r="G1" s="452"/>
      <c r="H1" s="452"/>
      <c r="I1" s="453"/>
      <c r="K1" s="40"/>
    </row>
    <row r="2" spans="1:11" s="39" customFormat="1" ht="30" customHeight="1">
      <c r="A2" s="38"/>
      <c r="B2" s="409" t="s">
        <v>339</v>
      </c>
      <c r="C2" s="317"/>
      <c r="D2" s="317"/>
      <c r="E2" s="317"/>
      <c r="F2" s="317"/>
      <c r="G2" s="317"/>
      <c r="H2" s="317"/>
      <c r="I2" s="410"/>
      <c r="K2" s="40"/>
    </row>
    <row r="3" spans="1:11" s="39" customFormat="1" ht="15" customHeight="1">
      <c r="A3" s="38"/>
      <c r="B3" s="41"/>
      <c r="C3" s="41"/>
      <c r="D3" s="41"/>
      <c r="E3" s="41"/>
      <c r="F3" s="41"/>
      <c r="G3" s="41"/>
      <c r="H3" s="41"/>
      <c r="I3" s="41"/>
      <c r="K3" s="40"/>
    </row>
    <row r="4" spans="1:11" s="39" customFormat="1" ht="15" customHeight="1">
      <c r="A4" s="38"/>
      <c r="B4" s="130" t="s">
        <v>340</v>
      </c>
      <c r="C4" s="41"/>
      <c r="D4" s="41"/>
      <c r="E4" s="41"/>
      <c r="F4" s="41"/>
      <c r="G4" s="41"/>
      <c r="H4" s="41"/>
      <c r="I4" s="41"/>
      <c r="K4" s="40"/>
    </row>
    <row r="5" spans="1:11" s="39" customFormat="1" ht="15" customHeight="1">
      <c r="A5" s="38"/>
      <c r="B5" s="41"/>
      <c r="C5" s="41"/>
      <c r="D5" s="41"/>
      <c r="E5" s="41"/>
      <c r="F5" s="41"/>
      <c r="G5" s="41"/>
      <c r="H5" s="41"/>
      <c r="I5" s="41"/>
      <c r="K5" s="40"/>
    </row>
    <row r="6" spans="1:11" ht="15" customHeight="1">
      <c r="B6" s="225" t="s">
        <v>341</v>
      </c>
      <c r="C6" s="44"/>
      <c r="D6" s="45"/>
      <c r="E6" s="45"/>
      <c r="F6" s="45"/>
      <c r="G6" s="45"/>
      <c r="H6" s="45"/>
      <c r="I6" s="45"/>
      <c r="K6" s="42"/>
    </row>
    <row r="7" spans="1:11" ht="15" customHeight="1">
      <c r="B7" s="569"/>
      <c r="C7" s="570"/>
      <c r="D7" s="570"/>
      <c r="E7" s="570"/>
      <c r="F7" s="571"/>
      <c r="G7" s="282"/>
      <c r="H7" s="282"/>
      <c r="I7" s="282"/>
      <c r="K7" s="42"/>
    </row>
    <row r="8" spans="1:11" ht="15" customHeight="1">
      <c r="B8" s="572"/>
      <c r="C8" s="573"/>
      <c r="D8" s="573"/>
      <c r="E8" s="573"/>
      <c r="F8" s="574"/>
      <c r="G8" s="282"/>
      <c r="H8" s="282"/>
      <c r="I8" s="282"/>
      <c r="K8" s="42"/>
    </row>
    <row r="9" spans="1:11" ht="15" customHeight="1">
      <c r="B9" s="572"/>
      <c r="C9" s="573"/>
      <c r="D9" s="573"/>
      <c r="E9" s="573"/>
      <c r="F9" s="574"/>
      <c r="G9" s="282"/>
      <c r="H9" s="282"/>
      <c r="I9" s="282"/>
      <c r="K9" s="42"/>
    </row>
    <row r="10" spans="1:11" ht="15" customHeight="1">
      <c r="B10" s="575"/>
      <c r="C10" s="576"/>
      <c r="D10" s="576"/>
      <c r="E10" s="576"/>
      <c r="F10" s="577"/>
      <c r="G10" s="226"/>
      <c r="H10" s="226"/>
      <c r="I10" s="226"/>
      <c r="K10" s="42"/>
    </row>
    <row r="11" spans="1:11" ht="15" customHeight="1">
      <c r="B11" s="46"/>
      <c r="C11" s="46"/>
      <c r="D11" s="47"/>
      <c r="F11" s="48"/>
      <c r="G11" s="226"/>
      <c r="H11" s="226"/>
      <c r="I11" s="226"/>
      <c r="K11" s="42"/>
    </row>
    <row r="12" spans="1:11" ht="15" customHeight="1">
      <c r="A12" s="251"/>
      <c r="B12" s="578" t="s">
        <v>342</v>
      </c>
      <c r="C12" s="579"/>
      <c r="D12" s="579"/>
      <c r="E12" s="579"/>
      <c r="F12" s="580"/>
      <c r="G12" s="226"/>
      <c r="H12" s="226"/>
      <c r="I12" s="226"/>
      <c r="K12" s="42"/>
    </row>
    <row r="13" spans="1:11" ht="15" customHeight="1">
      <c r="B13" s="454" t="s">
        <v>343</v>
      </c>
      <c r="C13" s="455"/>
      <c r="D13" s="455"/>
      <c r="E13" s="455"/>
      <c r="F13" s="456"/>
      <c r="G13" s="226"/>
      <c r="H13" s="226"/>
      <c r="I13" s="226"/>
      <c r="K13" s="42"/>
    </row>
    <row r="14" spans="1:11" ht="31" customHeight="1">
      <c r="B14" s="581" t="s">
        <v>344</v>
      </c>
      <c r="C14" s="582"/>
      <c r="D14" s="582"/>
      <c r="E14" s="582"/>
      <c r="F14" s="583"/>
      <c r="K14" s="42"/>
    </row>
    <row r="15" spans="1:11" ht="15" customHeight="1">
      <c r="B15" s="49"/>
      <c r="C15" s="50"/>
      <c r="D15" s="50"/>
      <c r="E15" s="50"/>
      <c r="F15" s="50"/>
      <c r="G15" s="50"/>
      <c r="H15" s="50"/>
      <c r="I15" s="50"/>
      <c r="K15" s="42"/>
    </row>
    <row r="16" spans="1:11" ht="30" customHeight="1">
      <c r="H16" s="587" t="s">
        <v>354</v>
      </c>
      <c r="I16" s="50"/>
      <c r="K16" s="42"/>
    </row>
    <row r="17" spans="1:11" ht="44.5" customHeight="1">
      <c r="B17" s="309" t="s">
        <v>345</v>
      </c>
      <c r="C17" s="309" t="s">
        <v>346</v>
      </c>
      <c r="D17" s="309" t="s">
        <v>347</v>
      </c>
      <c r="E17" s="309" t="s">
        <v>286</v>
      </c>
      <c r="F17" s="309" t="s">
        <v>348</v>
      </c>
      <c r="G17" s="309" t="s">
        <v>349</v>
      </c>
      <c r="H17" s="309">
        <v>1</v>
      </c>
      <c r="I17" s="309" t="s">
        <v>350</v>
      </c>
      <c r="K17" s="42"/>
    </row>
    <row r="18" spans="1:11" ht="15" customHeight="1">
      <c r="B18" s="318">
        <v>1</v>
      </c>
      <c r="C18" s="344"/>
      <c r="D18" s="310"/>
      <c r="E18" s="310"/>
      <c r="F18" s="311"/>
      <c r="G18" s="310"/>
      <c r="H18" s="310"/>
      <c r="I18" s="310"/>
      <c r="K18" s="42"/>
    </row>
    <row r="19" spans="1:11" ht="15" customHeight="1">
      <c r="B19" s="318">
        <v>2</v>
      </c>
      <c r="C19" s="344"/>
      <c r="D19" s="310"/>
      <c r="E19" s="310"/>
      <c r="F19" s="311"/>
      <c r="G19" s="310"/>
      <c r="H19" s="310"/>
      <c r="I19" s="310"/>
      <c r="K19" s="42"/>
    </row>
    <row r="20" spans="1:11" ht="15" customHeight="1">
      <c r="B20" s="318">
        <v>3</v>
      </c>
      <c r="C20" s="344"/>
      <c r="D20" s="310"/>
      <c r="E20" s="310"/>
      <c r="F20" s="311"/>
      <c r="G20" s="310"/>
      <c r="H20" s="310"/>
      <c r="I20" s="310"/>
      <c r="K20" s="42"/>
    </row>
    <row r="21" spans="1:11" ht="15" customHeight="1">
      <c r="B21" s="318">
        <v>4</v>
      </c>
      <c r="C21" s="344"/>
      <c r="D21" s="310"/>
      <c r="E21" s="310"/>
      <c r="F21" s="311"/>
      <c r="G21" s="310"/>
      <c r="H21" s="310"/>
      <c r="I21" s="310"/>
      <c r="K21" s="42"/>
    </row>
    <row r="22" spans="1:11" ht="15" customHeight="1">
      <c r="B22" s="318">
        <v>5</v>
      </c>
      <c r="C22" s="344"/>
      <c r="D22" s="310"/>
      <c r="E22" s="310"/>
      <c r="F22" s="311"/>
      <c r="G22" s="310"/>
      <c r="H22" s="310"/>
      <c r="I22" s="310"/>
      <c r="K22" s="42"/>
    </row>
    <row r="23" spans="1:11" ht="15" customHeight="1">
      <c r="B23" s="49"/>
      <c r="C23" s="50"/>
      <c r="D23" s="50"/>
      <c r="E23" s="50"/>
      <c r="F23" s="50"/>
      <c r="G23" s="50"/>
      <c r="H23" s="50"/>
      <c r="I23" s="50"/>
      <c r="K23" s="42"/>
    </row>
    <row r="24" spans="1:11" ht="15" customHeight="1">
      <c r="B24" s="568" t="s">
        <v>351</v>
      </c>
      <c r="C24" s="568"/>
      <c r="D24" s="568"/>
      <c r="E24" s="568"/>
      <c r="F24" s="568"/>
      <c r="G24" s="568"/>
      <c r="H24" s="568"/>
      <c r="I24" s="50"/>
      <c r="K24" s="42"/>
    </row>
    <row r="25" spans="1:11" ht="15" customHeight="1">
      <c r="B25" s="538"/>
      <c r="C25" s="539"/>
      <c r="D25" s="539"/>
      <c r="E25" s="539"/>
      <c r="F25" s="540"/>
      <c r="G25" s="129"/>
      <c r="H25" s="129"/>
      <c r="I25" s="50"/>
      <c r="K25" s="42"/>
    </row>
    <row r="26" spans="1:11" ht="15" customHeight="1">
      <c r="B26" s="541"/>
      <c r="C26" s="542"/>
      <c r="D26" s="542"/>
      <c r="E26" s="542"/>
      <c r="F26" s="543"/>
      <c r="G26" s="129"/>
      <c r="H26" s="129"/>
      <c r="I26" s="50"/>
      <c r="K26" s="42"/>
    </row>
    <row r="27" spans="1:11" ht="15" customHeight="1">
      <c r="B27" s="541"/>
      <c r="C27" s="542"/>
      <c r="D27" s="542"/>
      <c r="E27" s="542"/>
      <c r="F27" s="543"/>
      <c r="G27" s="129"/>
      <c r="H27" s="129"/>
      <c r="I27" s="50"/>
      <c r="K27" s="42"/>
    </row>
    <row r="28" spans="1:11" ht="15" customHeight="1">
      <c r="B28" s="544"/>
      <c r="C28" s="545"/>
      <c r="D28" s="545"/>
      <c r="E28" s="545"/>
      <c r="F28" s="546"/>
      <c r="G28" s="129"/>
      <c r="H28" s="129"/>
      <c r="I28" s="50"/>
      <c r="K28" s="42"/>
    </row>
    <row r="29" spans="1:11" ht="15" customHeight="1">
      <c r="I29" s="50"/>
      <c r="K29" s="42"/>
    </row>
    <row r="30" spans="1:11" ht="7.5" customHeight="1">
      <c r="A30" s="42"/>
      <c r="B30" s="42"/>
      <c r="C30" s="42"/>
      <c r="D30" s="42"/>
      <c r="E30" s="42"/>
      <c r="F30" s="42"/>
      <c r="G30" s="42"/>
      <c r="H30" s="42"/>
      <c r="I30" s="42"/>
      <c r="J30" s="42"/>
      <c r="K30" s="42"/>
    </row>
  </sheetData>
  <sheetProtection formatCells="0" formatColumns="0" formatRows="0" insertColumns="0" insertRows="0" insertHyperlinks="0" deleteColumns="0" deleteRows="0" sort="0" autoFilter="0" pivotTables="0"/>
  <mergeCells count="5">
    <mergeCell ref="B25:F28"/>
    <mergeCell ref="B24:H24"/>
    <mergeCell ref="B7:F10"/>
    <mergeCell ref="B12:F12"/>
    <mergeCell ref="B14:F14"/>
  </mergeCells>
  <phoneticPr fontId="75" type="noConversion"/>
  <conditionalFormatting sqref="B7">
    <cfRule type="containsBlanks" dxfId="2" priority="3">
      <formula>LEN(TRIM(B7))=0</formula>
    </cfRule>
  </conditionalFormatting>
  <conditionalFormatting sqref="B25">
    <cfRule type="containsBlanks" dxfId="1" priority="2">
      <formula>LEN(TRIM(B25))=0</formula>
    </cfRule>
  </conditionalFormatting>
  <conditionalFormatting sqref="B18:I22">
    <cfRule type="containsBlanks" dxfId="0" priority="1">
      <formula>LEN(TRIM(B18))=0</formula>
    </cfRule>
  </conditionalFormatting>
  <dataValidations count="2">
    <dataValidation showInputMessage="1" showErrorMessage="1" sqref="G16" xr:uid="{57575338-C2E4-4A9A-B82F-C5D95AA158D5}"/>
    <dataValidation type="list" allowBlank="1" showInputMessage="1" sqref="H18:H22" xr:uid="{3227CBC4-E99A-4F96-AFF3-A7E9AA79EDD5}">
      <formula1>"Y,N"</formula1>
    </dataValidation>
  </dataValidations>
  <hyperlinks>
    <hyperlink ref="B4" location="汇总!A1" display="返回汇总页" xr:uid="{96376493-5931-425F-AE65-54A3146025ED}"/>
  </hyperlinks>
  <pageMargins left="0.70866141732283505" right="0.70866141732283505" top="0.74803149606299202" bottom="0.74803149606299202" header="0.31496062992126" footer="0.31496062992126"/>
  <pageSetup paperSize="9" scale="57" fitToHeight="0" orientation="landscape" horizontalDpi="300" r:id="rId1"/>
  <headerFooter>
    <oddFooter>&amp;LK SWP PPE
(24 June 2025)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20F4AA-835D-4976-A3D5-526CE8A01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203FE2-9E8B-44CC-8E2B-2AC87B3EE899}">
  <ds:schemaRefs>
    <ds:schemaRef ds:uri="http://schemas.microsoft.com/sharepoint/v3/contenttype/forms"/>
  </ds:schemaRefs>
</ds:datastoreItem>
</file>

<file path=customXml/itemProps3.xml><?xml version="1.0" encoding="utf-8"?>
<ds:datastoreItem xmlns:ds="http://schemas.openxmlformats.org/officeDocument/2006/customXml" ds:itemID="{419CB46B-3A78-4DB7-8663-BE6A6CEE9F1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aa9bf47e-7d7d-4d70-9d97-7b2a84c9bd5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汇总</vt:lpstr>
      <vt:lpstr>J.00  Lead Sheet</vt:lpstr>
      <vt:lpstr>J.01 Agree SL to GL</vt:lpstr>
      <vt:lpstr>CIP List</vt:lpstr>
      <vt:lpstr>J.02.1 CIP additions(TOD)</vt:lpstr>
      <vt:lpstr>J.02.1a 新增选样输出</vt:lpstr>
      <vt:lpstr>新增清单</vt:lpstr>
      <vt:lpstr>J.02.2 CIP transfer (TOD)</vt:lpstr>
      <vt:lpstr> J.02.2a 转出选样输出</vt:lpstr>
      <vt:lpstr>转出清单</vt:lpstr>
      <vt:lpstr>J.03 CIP长期挂账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Skywind_J1_在建工程_20191231_测试公司166.xlsx</dc:title>
  <dc:subject/>
  <dc:creator>Shi Qi SQ Zhang</dc:creator>
  <cp:keywords>Final Audit.V6.J1.0901</cp:keywords>
  <dc:description>5879B484-BA49-46AF-8B1E-562824F30CEE</dc:description>
  <cp:lastModifiedBy>Evelyn Z Zhao</cp:lastModifiedBy>
  <cp:revision/>
  <dcterms:created xsi:type="dcterms:W3CDTF">2015-06-05T18:17:00Z</dcterms:created>
  <dcterms:modified xsi:type="dcterms:W3CDTF">2025-09-19T09:35:27Z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ContentTypeId">
    <vt:lpwstr>0x01010062989BB664902542A04262E315E25772</vt:lpwstr>
  </property>
  <property fmtid="{D5CDD505-2E9C-101B-9397-08002B2CF9AE}" pid="4" name="ICV">
    <vt:lpwstr>2A5956F74EE444778E6BFEFB12E9FD98</vt:lpwstr>
  </property>
</Properties>
</file>
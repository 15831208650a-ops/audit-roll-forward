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XH846DE\AppData\Local\CanvasDocHelper\Evidence\57dd99ace9794caebc4c285741b49535\"/>
    </mc:Choice>
  </mc:AlternateContent>
  <xr:revisionPtr revIDLastSave="0" documentId="13_ncr:1_{7C1FA248-2F37-4122-93E4-A33C876E87A1}" xr6:coauthVersionLast="47" xr6:coauthVersionMax="47" xr10:uidLastSave="{00000000-0000-0000-0000-000000000000}"/>
  <bookViews>
    <workbookView xWindow="-110" yWindow="-110" windowWidth="19420" windowHeight="10300" tabRatio="836" activeTab="1" xr2:uid="{00000000-000D-0000-FFFF-FFFF00000000}"/>
  </bookViews>
  <sheets>
    <sheet name="Comments【归档前删除】" sheetId="77" r:id="rId1"/>
    <sheet name="汇总" sheetId="43" r:id="rId2"/>
    <sheet name="M.00 Lead" sheetId="4" r:id="rId3"/>
    <sheet name="M.01 银承BKD" sheetId="53" r:id="rId4"/>
    <sheet name="DPCC-银承" sheetId="74" r:id="rId5"/>
    <sheet name="DPCA-银承" sheetId="73" r:id="rId6"/>
    <sheet name="回函7.尚未支付的银行承兑汇票" sheetId="76" r:id="rId7"/>
    <sheet name="SkywindSettingSheet" sheetId="42" state="veryHidden" r:id="rId8"/>
  </sheets>
  <externalReferences>
    <externalReference r:id="rId9"/>
  </externalReferences>
  <definedNames>
    <definedName name="\0">#REF!</definedName>
    <definedName name="\a">#REF!</definedName>
    <definedName name="\b">#REF!</definedName>
    <definedName name="\c">#REF!</definedName>
    <definedName name="\d">#REF!</definedName>
    <definedName name="\e">#REF!</definedName>
    <definedName name="\f">#N/A</definedName>
    <definedName name="\g">#N/A</definedName>
    <definedName name="\h">#N/A</definedName>
    <definedName name="\L">#REF!</definedName>
    <definedName name="\p">#N/A</definedName>
    <definedName name="\q">#N/A</definedName>
    <definedName name="\r">#N/A</definedName>
    <definedName name="\s">#REF!</definedName>
    <definedName name="\t">#REF!</definedName>
    <definedName name="\u">#REF!</definedName>
    <definedName name="\v">#REF!</definedName>
    <definedName name="\w">#REF!</definedName>
    <definedName name="_">#REF!</definedName>
    <definedName name="_.xls">#REF!</definedName>
    <definedName name="_??????">#N/A</definedName>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F"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IntlFixup" hidden="1">TRUE</definedName>
    <definedName name="__ŠUŠÇ__">NA()</definedName>
    <definedName name="_001年其他业务利润">#REF!</definedName>
    <definedName name="_001预提费用">#REF!</definedName>
    <definedName name="_002">#REF!</definedName>
    <definedName name="_002辅助类">#REF!</definedName>
    <definedName name="_002年股份">#REF!</definedName>
    <definedName name="_002年其他业务利润">#REF!</definedName>
    <definedName name="_002年预提费用">#REF!</definedName>
    <definedName name="_003">#REF!</definedName>
    <definedName name="_003固定资产">#REF!</definedName>
    <definedName name="_003固定资产明细帐">#REF!</definedName>
    <definedName name="_003累计折旧明细帐">#REF!</definedName>
    <definedName name="_003年固定资产">#REF!</definedName>
    <definedName name="_003年其他业务利润">#REF!</definedName>
    <definedName name="_01.xls">#REF!</definedName>
    <definedName name="_014gs">#REF!</definedName>
    <definedName name="_014hf">#REF!</definedName>
    <definedName name="_02">#REF!</definedName>
    <definedName name="_02.xls">#REF!</definedName>
    <definedName name="_03.xls">#REF!</definedName>
    <definedName name="_1">#REF!</definedName>
    <definedName name="_1__123Graph_ACHART_3" hidden="1">#REF!</definedName>
    <definedName name="_11.xls">#REF!</definedName>
    <definedName name="_12.xls">#REF!</definedName>
    <definedName name="_121.dbf">#REF!</definedName>
    <definedName name="_1212002.dbf">#REF!</definedName>
    <definedName name="_133999.dbf">#REF!</definedName>
    <definedName name="_15wrn.²Ä1­Ó¤ë1_Ü20¤H." hidden="1">{#N/A,#N/A,FALSE,"²Ä1­Ó¤ë"}</definedName>
    <definedName name="_16wrn.²Ä1­Ó¤ë1_Ü20¤H." hidden="1">{#N/A,#N/A,FALSE,"²Ä1­Ó¤ë"}</definedName>
    <definedName name="_17103.dbf">#REF!</definedName>
    <definedName name="_171032002.dbf">#REF!</definedName>
    <definedName name="_1H02_ADJ">#REF!</definedName>
    <definedName name="_1H03_ADJ">#REF!</definedName>
    <definedName name="_1H04_ADJ">#REF!</definedName>
    <definedName name="_1H05_ADJ">#REF!</definedName>
    <definedName name="_1H06_ADJ">#REF!</definedName>
    <definedName name="_1其他资产_开办费除外_明细表">#REF!</definedName>
    <definedName name="_2">#REF!</definedName>
    <definedName name="_2__123Graph_BCHART_2" hidden="1">#REF!</definedName>
    <definedName name="_23">#REF!</definedName>
    <definedName name="_2H02_ADJ">#REF!</definedName>
    <definedName name="_2H03_ADJ">#REF!</definedName>
    <definedName name="_2H04_ADJ">#REF!</definedName>
    <definedName name="_2H05_ADJ">#REF!</definedName>
    <definedName name="_2H06_ADJ">#REF!</definedName>
    <definedName name="_3">#REF!</definedName>
    <definedName name="_3__123Graph_BCHART_3" hidden="1">#REF!</definedName>
    <definedName name="_31">#REF!</definedName>
    <definedName name="_4">#REF!</definedName>
    <definedName name="_4__123Graph_CCHART_3" hidden="1">#REF!</definedName>
    <definedName name="_4_penetration.total">#REF!</definedName>
    <definedName name="_412应收明细">#REF!</definedName>
    <definedName name="_5">#REF!</definedName>
    <definedName name="_5__123Graph_DCHART_2" hidden="1">#REF!</definedName>
    <definedName name="_55154">#REF!</definedName>
    <definedName name="_57__123Graph_ACHART_1" hidden="1">#REF!</definedName>
    <definedName name="_6__123Graph_DCHART_3" hidden="1">#REF!</definedName>
    <definedName name="_60__123Graph_BCHART_1" hidden="1">#REF!</definedName>
    <definedName name="_63__123Graph_CCHART_1" hidden="1">#REF!</definedName>
    <definedName name="_66__123Graph_DCHART_1" hidden="1">#REF!</definedName>
    <definedName name="_66_total.contracts.os">#REF!</definedName>
    <definedName name="_69__123Graph_XCHART_1" hidden="1">#REF!</definedName>
    <definedName name="_8未还DB_查询">#REF!</definedName>
    <definedName name="_999年12月31日股份应收帐款.dbf">#REF!</definedName>
    <definedName name="_all6">#REF!</definedName>
    <definedName name="_bal_sht">#REF!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BLANK_DZ1__BRA">#REF!</definedName>
    <definedName name="_BRANCH_HAJIME_">#REF!</definedName>
    <definedName name="_BRANCH_SUB2拡_">#REF!</definedName>
    <definedName name="_BRANCH_SUB3拡_">#REF!</definedName>
    <definedName name="_BRANCH_SUB4拡_">#REF!</definedName>
    <definedName name="_BRANCH_SUB5拡_">#REF!</definedName>
    <definedName name="_BRANCH_SUB6拡_">#REF!</definedName>
    <definedName name="_BRANCH_SUB7拡_">#REF!</definedName>
    <definedName name="_BRANCH_SUB拡_">#REF!</definedName>
    <definedName name="_C_">#REF!</definedName>
    <definedName name="_CALC__IF_D261_">#REF!</definedName>
    <definedName name="_CRA">#REF!</definedName>
    <definedName name="_D1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AX2">#REF!</definedName>
    <definedName name="_DAX3">#REF!</definedName>
    <definedName name="_DAX4">#REF!</definedName>
    <definedName name="_DAX5">#REF!</definedName>
    <definedName name="_DAX6">#REF!</definedName>
    <definedName name="_DAX7">#REF!</definedName>
    <definedName name="_DES2">#REF!</definedName>
    <definedName name="_DIV01">#REF!</definedName>
    <definedName name="_DIV02">#REF!</definedName>
    <definedName name="_DIV31">#REF!</definedName>
    <definedName name="_DIV32">#REF!</definedName>
    <definedName name="_DIV34">#REF!</definedName>
    <definedName name="_DIV38">#REF!</definedName>
    <definedName name="_DIV93">#REF!</definedName>
    <definedName name="_DMR2">#REF!</definedName>
    <definedName name="_DMR3">#REF!</definedName>
    <definedName name="_DMR4">#REF!</definedName>
    <definedName name="_DMR5">#REF!</definedName>
    <definedName name="_DMR6">#REF!</definedName>
    <definedName name="_DMR7">#REF!</definedName>
    <definedName name="_doc3">#REF!</definedName>
    <definedName name="_dod1" hidden="1">{#N/A,#N/A,TRUE,"CPRD";#N/A,#N/A,TRUE,"BCCPDR";#N/A,#N/A,TRUE,"EWRD";#N/A,#N/A,TRUE,"5100";#N/A,#N/A,TRUE,"5110"}</definedName>
    <definedName name="_dog1" hidden="1">{#N/A,#N/A,TRUE,"CPRD";#N/A,#N/A,TRUE,"BCCPDR";#N/A,#N/A,TRUE,"EWRD";#N/A,#N/A,TRUE,"5100";#N/A,#N/A,TRUE,"5110"}</definedName>
    <definedName name="_DOWN_1_">#REF!</definedName>
    <definedName name="_E500">#REF!</definedName>
    <definedName name="_F3000">#REF!</definedName>
    <definedName name="_f45">#REF!</definedName>
    <definedName name="_F700">#REF!</definedName>
    <definedName name="_Fill" hidden="1">#REF!</definedName>
    <definedName name="_xlnm._FilterDatabase" localSheetId="5" hidden="1">'DPCA-银承'!$A$1:$L$52</definedName>
    <definedName name="_xlnm._FilterDatabase" localSheetId="4" hidden="1">'DPCC-银承'!$A$1:$L$29</definedName>
    <definedName name="_xlnm._FilterDatabase" localSheetId="6" hidden="1">'回函7.尚未支付的银行承兑汇票'!$A$2:$L$82</definedName>
    <definedName name="_xlnm._FilterDatabase" hidden="1">#REF!</definedName>
    <definedName name="_FOR_DZ1_1_EA2_">#REF!</definedName>
    <definedName name="_FOR_カウンタ_1">#REF!</definedName>
    <definedName name="_G100">DATE(YEAR(Loan_Start),MONTH(Loan_Start)+Payment_Number,DAY(Loan_Start))</definedName>
    <definedName name="_gs1">#REF!</definedName>
    <definedName name="_gsb01">#REF!</definedName>
    <definedName name="_IF_B184__27__G">#REF!</definedName>
    <definedName name="_IF_B184_108_AN">#REF!</definedName>
    <definedName name="_IF_B184_135__G">#REF!</definedName>
    <definedName name="_IF_B184_27_AND">#REF!</definedName>
    <definedName name="_IF_B184_54_AND">#REF!</definedName>
    <definedName name="_IF_B184_81_AND">#REF!</definedName>
    <definedName name="_IF_B260_B264__">#REF!</definedName>
    <definedName name="_IF_D261_AC261_">#REF!</definedName>
    <definedName name="_IF_D261_AF261_">#REF!</definedName>
    <definedName name="_IF_D261_AI261_">#REF!</definedName>
    <definedName name="_IF_D261_AL261_">#REF!</definedName>
    <definedName name="_IF_D261_AO261_">#REF!</definedName>
    <definedName name="_IF_D261_AR261_">#REF!</definedName>
    <definedName name="_IF_D261_AU261_">#REF!</definedName>
    <definedName name="_IF_D261_AX261_">#REF!</definedName>
    <definedName name="_IF_D261_BA261_">#REF!</definedName>
    <definedName name="_IF_D261_BD261_">#REF!</definedName>
    <definedName name="_IF_D261_BG261_">#REF!</definedName>
    <definedName name="_IF_D261_BJ261_">#REF!</definedName>
    <definedName name="_IF_D261_BM261_">#REF!</definedName>
    <definedName name="_IF_D261_BP261_">#REF!</definedName>
    <definedName name="_IF_D261_BS261_">#REF!</definedName>
    <definedName name="_IF_D261_BV261_">#REF!</definedName>
    <definedName name="_IF_D261_BY261_">#REF!</definedName>
    <definedName name="_IF_D261_CB261_">#REF!</definedName>
    <definedName name="_IF_D261_CE261_">#REF!</definedName>
    <definedName name="_IF_D261_CH261_">#REF!</definedName>
    <definedName name="_IF_D261_CK261_">#REF!</definedName>
    <definedName name="_IF_D261_CN261_">#REF!</definedName>
    <definedName name="_IF_D261_CQ261_">#REF!</definedName>
    <definedName name="_IF_D261_CT261_">#REF!</definedName>
    <definedName name="_IF_D261_CW261_">#REF!</definedName>
    <definedName name="_IF_D261_CZ261_">#REF!</definedName>
    <definedName name="_IF_D261_DC261_">#REF!</definedName>
    <definedName name="_IF_D261_DF261_">#REF!</definedName>
    <definedName name="_IF_D261_DI261_">#REF!</definedName>
    <definedName name="_IF_D261_Z261__">#REF!</definedName>
    <definedName name="_IF_D261_Z261_A">#REF!</definedName>
    <definedName name="_IF_F261__10__L">#REF!</definedName>
    <definedName name="_IF_F261__20_AN">#REF!</definedName>
    <definedName name="_IF_F261__31_AN">#REF!</definedName>
    <definedName name="_IF_G261_____BR">#REF!</definedName>
    <definedName name="_IF_G261_AC261_">#REF!</definedName>
    <definedName name="_IF_G261_AF261_">#REF!</definedName>
    <definedName name="_IF_G261_AI261_">#REF!</definedName>
    <definedName name="_IF_G261_AL261_">#REF!</definedName>
    <definedName name="_IF_G261_AO261_">#REF!</definedName>
    <definedName name="_IF_G261_AR261_">#REF!</definedName>
    <definedName name="_IF_G261_AU261_">#REF!</definedName>
    <definedName name="_IF_G261_AX261_">#REF!</definedName>
    <definedName name="_IF_G261_BA261_">#REF!</definedName>
    <definedName name="_IF_G261_BD261_">#REF!</definedName>
    <definedName name="_IF_G261_BG261_">#REF!</definedName>
    <definedName name="_IF_G261_BJ261_">#REF!</definedName>
    <definedName name="_IF_G261_BM261_">#REF!</definedName>
    <definedName name="_IF_G261_BP261_">#REF!</definedName>
    <definedName name="_IF_G261_BS261_">#REF!</definedName>
    <definedName name="_IF_G261_BV261_">#REF!</definedName>
    <definedName name="_IF_G261_BY261_">#REF!</definedName>
    <definedName name="_IF_G261_CB261_">#REF!</definedName>
    <definedName name="_IF_G261_CE261_">#REF!</definedName>
    <definedName name="_IF_G261_CH261_">#REF!</definedName>
    <definedName name="_IF_G261_CK261_">#REF!</definedName>
    <definedName name="_IF_G261_CN261_">#REF!</definedName>
    <definedName name="_IF_G261_CQ261_">#REF!</definedName>
    <definedName name="_IF_G261_CT261_">#REF!</definedName>
    <definedName name="_IF_G261_CW261_">#REF!</definedName>
    <definedName name="_IF_G261_CZ261_">#REF!</definedName>
    <definedName name="_IF_G261_DC261_">#REF!</definedName>
    <definedName name="_IF_G261_DF261_">#REF!</definedName>
    <definedName name="_IF_G261_DI261_">#REF!</definedName>
    <definedName name="_IF_G261_Z261__">#REF!</definedName>
    <definedName name="_IF_G261_Z261_A">#REF!</definedName>
    <definedName name="_IF_HI1___B___">#REF!</definedName>
    <definedName name="_IF_I261__10__L">#REF!</definedName>
    <definedName name="_IF_I261__20_AN">#REF!</definedName>
    <definedName name="_IF_I261__31_AN">#REF!</definedName>
    <definedName name="_IF_J261_____BR">#REF!</definedName>
    <definedName name="_IF_J261_AC261_">#REF!</definedName>
    <definedName name="_IF_J261_AF261_">#REF!</definedName>
    <definedName name="_IF_J261_AI261_">#REF!</definedName>
    <definedName name="_IF_J261_AL261_">#REF!</definedName>
    <definedName name="_IF_J261_AO261_">#REF!</definedName>
    <definedName name="_IF_J261_AR261_">#REF!</definedName>
    <definedName name="_IF_J261_AU261_">#REF!</definedName>
    <definedName name="_IF_J261_AX261_">#REF!</definedName>
    <definedName name="_IF_J261_BA261_">#REF!</definedName>
    <definedName name="_IF_J261_BD261_">#REF!</definedName>
    <definedName name="_IF_J261_BG261_">#REF!</definedName>
    <definedName name="_IF_J261_BJ261_">#REF!</definedName>
    <definedName name="_IF_J261_BM261_">#REF!</definedName>
    <definedName name="_IF_J261_BP261_">#REF!</definedName>
    <definedName name="_IF_J261_BS261_">#REF!</definedName>
    <definedName name="_IF_J261_BV261_">#REF!</definedName>
    <definedName name="_IF_J261_BY261_">#REF!</definedName>
    <definedName name="_IF_J261_CB261_">#REF!</definedName>
    <definedName name="_IF_J261_CE261_">#REF!</definedName>
    <definedName name="_IF_J261_CH261_">#REF!</definedName>
    <definedName name="_IF_J261_CK261_">#REF!</definedName>
    <definedName name="_IF_J261_CN261_">#REF!</definedName>
    <definedName name="_IF_J261_CQ261_">#REF!</definedName>
    <definedName name="_IF_J261_CT261_">#REF!</definedName>
    <definedName name="_IF_J261_CW261_">#REF!</definedName>
    <definedName name="_IF_J261_CZ261_">#REF!</definedName>
    <definedName name="_IF_J261_DC261_">#REF!</definedName>
    <definedName name="_IF_J261_DF261_">#REF!</definedName>
    <definedName name="_IF_J261_DI261_">#REF!</definedName>
    <definedName name="_IF_J261_Z261__">#REF!</definedName>
    <definedName name="_IF_J261_Z261_A">#REF!</definedName>
    <definedName name="_IF_L261__10__L">#REF!</definedName>
    <definedName name="_IF_L261__20_AN">#REF!</definedName>
    <definedName name="_IF_L261__31_AN">#REF!</definedName>
    <definedName name="_IF_M261_____BR">#REF!</definedName>
    <definedName name="_IF_M261_AC261_">#REF!</definedName>
    <definedName name="_IF_M261_AF261_">#REF!</definedName>
    <definedName name="_IF_M261_AI261_">#REF!</definedName>
    <definedName name="_IF_M261_AL261_">#REF!</definedName>
    <definedName name="_IF_M261_AO261_">#REF!</definedName>
    <definedName name="_IF_M261_AR261_">#REF!</definedName>
    <definedName name="_IF_M261_AU261_">#REF!</definedName>
    <definedName name="_IF_M261_AX261_">#REF!</definedName>
    <definedName name="_IF_M261_BA261_">#REF!</definedName>
    <definedName name="_IF_M261_BD261_">#REF!</definedName>
    <definedName name="_IF_M261_BG261_">#REF!</definedName>
    <definedName name="_IF_M261_BJ261_">#REF!</definedName>
    <definedName name="_IF_M261_BM261_">#REF!</definedName>
    <definedName name="_IF_M261_BP261_">#REF!</definedName>
    <definedName name="_IF_M261_BS261_">#REF!</definedName>
    <definedName name="_IF_M261_BV261_">#REF!</definedName>
    <definedName name="_IF_M261_BY261_">#REF!</definedName>
    <definedName name="_IF_M261_CB261_">#REF!</definedName>
    <definedName name="_IF_M261_CE261_">#REF!</definedName>
    <definedName name="_IF_M261_CH261_">#REF!</definedName>
    <definedName name="_IF_M261_CK261_">#REF!</definedName>
    <definedName name="_IF_M261_CN261_">#REF!</definedName>
    <definedName name="_IF_M261_CQ261_">#REF!</definedName>
    <definedName name="_IF_M261_CT261_">#REF!</definedName>
    <definedName name="_IF_M261_CW261_">#REF!</definedName>
    <definedName name="_IF_M261_CZ261_">#REF!</definedName>
    <definedName name="_IF_M261_DC261_">#REF!</definedName>
    <definedName name="_IF_M261_DF261_">#REF!</definedName>
    <definedName name="_IF_M261_DI261_">#REF!</definedName>
    <definedName name="_IF_M261_Z261__">#REF!</definedName>
    <definedName name="_IF_M261_Z261_A">#REF!</definedName>
    <definedName name="_IF_O261__10__L">#REF!</definedName>
    <definedName name="_IF_O261__20_AN">#REF!</definedName>
    <definedName name="_IF_O261__31_AN">#REF!</definedName>
    <definedName name="_IF_P261_____BR">#REF!</definedName>
    <definedName name="_IF_P261_AC261_">#REF!</definedName>
    <definedName name="_IF_P261_AF261_">#REF!</definedName>
    <definedName name="_IF_P261_AI261_">#REF!</definedName>
    <definedName name="_IF_P261_AL261_">#REF!</definedName>
    <definedName name="_IF_P261_AO261_">#REF!</definedName>
    <definedName name="_IF_P261_AR261_">#REF!</definedName>
    <definedName name="_IF_P261_AU261_">#REF!</definedName>
    <definedName name="_IF_P261_AX261_">#REF!</definedName>
    <definedName name="_IF_P261_BA261_">#REF!</definedName>
    <definedName name="_IF_P261_BD261_">#REF!</definedName>
    <definedName name="_IF_P261_BG261_">#REF!</definedName>
    <definedName name="_IF_P261_BJ261_">#REF!</definedName>
    <definedName name="_IF_P261_BM261_">#REF!</definedName>
    <definedName name="_IF_P261_BP261_">#REF!</definedName>
    <definedName name="_IF_P261_BS261_">#REF!</definedName>
    <definedName name="_IF_P261_BV261_">#REF!</definedName>
    <definedName name="_IF_P261_BY261_">#REF!</definedName>
    <definedName name="_IF_P261_CB261_">#REF!</definedName>
    <definedName name="_IF_P261_CE261_">#REF!</definedName>
    <definedName name="_IF_P261_CH261_">#REF!</definedName>
    <definedName name="_IF_P261_CK261_">#REF!</definedName>
    <definedName name="_IF_P261_CN261_">#REF!</definedName>
    <definedName name="_IF_P261_CQ261_">#REF!</definedName>
    <definedName name="_IF_P261_CT261_">#REF!</definedName>
    <definedName name="_IF_P261_CW261_">#REF!</definedName>
    <definedName name="_IF_P261_CZ261_">#REF!</definedName>
    <definedName name="_IF_P261_DC261_">#REF!</definedName>
    <definedName name="_IF_P261_DF261_">#REF!</definedName>
    <definedName name="_IF_P261_DI261_">#REF!</definedName>
    <definedName name="_IF_P261_Z261__">#REF!</definedName>
    <definedName name="_IF_P261_Z261_A">#REF!</definedName>
    <definedName name="_IF_R261__10__L">#REF!</definedName>
    <definedName name="_IF_R261__20_AN">#REF!</definedName>
    <definedName name="_IF_R261__31_AN">#REF!</definedName>
    <definedName name="_IF_S261_____BR">#REF!</definedName>
    <definedName name="_IF_S261_AC261_">#REF!</definedName>
    <definedName name="_IF_S261_AF261_">#REF!</definedName>
    <definedName name="_IF_S261_AI261_">#REF!</definedName>
    <definedName name="_IF_S261_AL261_">#REF!</definedName>
    <definedName name="_IF_S261_AO261_">#REF!</definedName>
    <definedName name="_IF_S261_AR261_">#REF!</definedName>
    <definedName name="_IF_S261_AU261_">#REF!</definedName>
    <definedName name="_IF_S261_AX261_">#REF!</definedName>
    <definedName name="_IF_S261_BA261_">#REF!</definedName>
    <definedName name="_IF_S261_BD261_">#REF!</definedName>
    <definedName name="_IF_S261_BG261_">#REF!</definedName>
    <definedName name="_IF_S261_BJ261_">#REF!</definedName>
    <definedName name="_IF_S261_BM261_">#REF!</definedName>
    <definedName name="_IF_S261_BP261_">#REF!</definedName>
    <definedName name="_IF_S261_BS261_">#REF!</definedName>
    <definedName name="_IF_S261_BV261_">#REF!</definedName>
    <definedName name="_IF_S261_BY261_">#REF!</definedName>
    <definedName name="_IF_S261_CB261_">#REF!</definedName>
    <definedName name="_IF_S261_CE261_">#REF!</definedName>
    <definedName name="_IF_S261_CH261_">#REF!</definedName>
    <definedName name="_IF_S261_CK261_">#REF!</definedName>
    <definedName name="_IF_S261_CN261_">#REF!</definedName>
    <definedName name="_IF_S261_CQ261_">#REF!</definedName>
    <definedName name="_IF_S261_CT261_">#REF!</definedName>
    <definedName name="_IF_S261_CW261_">#REF!</definedName>
    <definedName name="_IF_S261_CZ261_">#REF!</definedName>
    <definedName name="_IF_S261_DC261_">#REF!</definedName>
    <definedName name="_IF_S261_DF261_">#REF!</definedName>
    <definedName name="_IF_S261_DI261_">#REF!</definedName>
    <definedName name="_IF_S261_Z261__">#REF!</definedName>
    <definedName name="_IF_S261_Z261_A">#REF!</definedName>
    <definedName name="_IF_U261__10__L">#REF!</definedName>
    <definedName name="_IF_U261__20_AN">#REF!</definedName>
    <definedName name="_IF_U261__31_AN">#REF!</definedName>
    <definedName name="_IF_V261_____BR">#REF!</definedName>
    <definedName name="_IF_V261_AC261_">#REF!</definedName>
    <definedName name="_IF_V261_AF261_">#REF!</definedName>
    <definedName name="_IF_V261_AI261_">#REF!</definedName>
    <definedName name="_IF_V261_AL261_">#REF!</definedName>
    <definedName name="_IF_V261_AO261_">#REF!</definedName>
    <definedName name="_IF_V261_AR261_">#REF!</definedName>
    <definedName name="_IF_V261_AU261_">#REF!</definedName>
    <definedName name="_IF_V261_AX261_">#REF!</definedName>
    <definedName name="_IF_V261_BA261_">#REF!</definedName>
    <definedName name="_IF_V261_BD261_">#REF!</definedName>
    <definedName name="_IF_V261_BG261_">#REF!</definedName>
    <definedName name="_IF_V261_BJ261_">#REF!</definedName>
    <definedName name="_IF_V261_BM261_">#REF!</definedName>
    <definedName name="_IF_V261_BP261_">#REF!</definedName>
    <definedName name="_IF_V261_BS261_">#REF!</definedName>
    <definedName name="_IF_V261_BV261_">#REF!</definedName>
    <definedName name="_IF_V261_BY261_">#REF!</definedName>
    <definedName name="_IF_V261_CB261_">#REF!</definedName>
    <definedName name="_IF_V261_CE261_">#REF!</definedName>
    <definedName name="_IF_V261_CH261_">#REF!</definedName>
    <definedName name="_IF_V261_CK261_">#REF!</definedName>
    <definedName name="_IF_V261_CN261_">#REF!</definedName>
    <definedName name="_IF_V261_CQ261_">#REF!</definedName>
    <definedName name="_IF_V261_CT261_">#REF!</definedName>
    <definedName name="_IF_V261_CW261_">#REF!</definedName>
    <definedName name="_IF_V261_CZ261_">#REF!</definedName>
    <definedName name="_IF_V261_DC261_">#REF!</definedName>
    <definedName name="_IF_V261_DF261_">#REF!</definedName>
    <definedName name="_IF_V261_DI261_">#REF!</definedName>
    <definedName name="_IF_V261_Z261__">#REF!</definedName>
    <definedName name="_IF_V261_Z261_A">#REF!</definedName>
    <definedName name="_IF_X261__10__L">#REF!</definedName>
    <definedName name="_IF_X261__20_AN">#REF!</definedName>
    <definedName name="_IF_X261__31_AN">#REF!</definedName>
    <definedName name="_inc_stmt">#REF!</definedName>
    <definedName name="_Inv200210">#REF!</definedName>
    <definedName name="_k110">#REF!</definedName>
    <definedName name="_K120">#REF!</definedName>
    <definedName name="_K600">#REF!</definedName>
    <definedName name="_K610">#REF!</definedName>
    <definedName name="_Key1" hidden="1">#REF!</definedName>
    <definedName name="_Key2" hidden="1">#REF!</definedName>
    <definedName name="_Key3" hidden="1">#REF!</definedName>
    <definedName name="_LET_B260__B260">#REF!</definedName>
    <definedName name="_LET_EA1_EA2__B">#REF!</definedName>
    <definedName name="_LET_EA2__DZ2_1">#REF!</definedName>
    <definedName name="_LET_GV4_GV4_1_">#REF!</definedName>
    <definedName name="_lvc1">#REF!</definedName>
    <definedName name="_lvc2">#REF!</definedName>
    <definedName name="_MAP1">#REF!</definedName>
    <definedName name="_MatInverse_Out" hidden="1">#REF!</definedName>
    <definedName name="_new1">#REF!</definedName>
    <definedName name="_new2">#REF!</definedName>
    <definedName name="_new3">#REF!</definedName>
    <definedName name="_new4">#REF!</definedName>
    <definedName name="_new5">#REF!</definedName>
    <definedName name="_new6">#REF!</definedName>
    <definedName name="_O1" hidden="1">{#N/A,#N/A,FALSE,"970301";#N/A,#N/A,FALSE,"970302";#N/A,#N/A,FALSE,"970303";#N/A,#N/A,FALSE,"970304";#N/A,#N/A,FALSE,"COM1";#N/A,#N/A,FALSE,"COM2"}</definedName>
    <definedName name="_Order1" hidden="1">255</definedName>
    <definedName name="_Order2" hidden="1">255</definedName>
    <definedName name="_P100">#REF!</definedName>
    <definedName name="_P200" hidden="1">{#N/A,#N/A,FALSE,"YTCHAN";#N/A,#N/A,FALSE,"TOMMY";#N/A,#N/A,FALSE,"REP.OFFICE";#N/A,#N/A,FALSE,"E&amp;Y_CONSULTANT";#N/A,#N/A,FALSE,"BT &amp; CIT"}</definedName>
    <definedName name="_P220">#REF!</definedName>
    <definedName name="_P300" hidden="1">{#N/A,#N/A,FALSE,"PLEDGE";#N/A,#N/A,FALSE,"GLADE";#N/A,#N/A,FALSE,"GREEN BIRD";#N/A,#N/A,FALSE,"MR. MUSCLE";#N/A,#N/A,FALSE,"TOILET DUCK";#N/A,#N/A,FALSE,"Other Home Care";#N/A,#N/A,FALSE,"RED BIRD";#N/A,#N/A,FALSE,"SHANGHAI";#N/A,#N/A,FALSE,"RAID";#N/A,#N/A,FALSE,"OFF";#N/A,#N/A,FALSE,"SEAGULL";#N/A,#N/A,FALSE,"HALSA";#N/A,#N/A,FALSE,"SOFT SENSE";#N/A,#N/A,FALSE,"TOTAL"}</definedName>
    <definedName name="_P400" hidden="1">{#N/A,#N/A,FALSE,"FREEMAN";#N/A,#N/A,FALSE,"STEPHEN";#N/A,#N/A,FALSE,"VICTOR"}</definedName>
    <definedName name="_P500">#REF!</definedName>
    <definedName name="_P800">#REF!</definedName>
    <definedName name="_P900">#REF!</definedName>
    <definedName name="_PL2">#REF!</definedName>
    <definedName name="_PP1" hidden="1">{#N/A,#N/A,FALSE,"PLEDGE";#N/A,#N/A,FALSE,"GLADE";#N/A,#N/A,FALSE,"GREEN BIRD";#N/A,#N/A,FALSE,"MR. MUSCLE";#N/A,#N/A,FALSE,"TOILET DUCK";#N/A,#N/A,FALSE,"Other Home Care";#N/A,#N/A,FALSE,"RED BIRD";#N/A,#N/A,FALSE,"SHANGHAI";#N/A,#N/A,FALSE,"RAID";#N/A,#N/A,FALSE,"OFF";#N/A,#N/A,FALSE,"SEAGULL";#N/A,#N/A,FALSE,"HALSA";#N/A,#N/A,FALSE,"SOFT SENSE";#N/A,#N/A,FALSE,"TOTAL"}</definedName>
    <definedName name="_PPCRCBOBC_GOTO">#REF!</definedName>
    <definedName name="_PPCRCBOBR_GOTO">#REF!</definedName>
    <definedName name="_PUT_Y10..DJ249">#REF!</definedName>
    <definedName name="_QUIT_">#REF!</definedName>
    <definedName name="_RE_">#REF!</definedName>
    <definedName name="_RE_GOTO_B260..">#REF!</definedName>
    <definedName name="_RE_GOTO_Y10..D">#REF!</definedName>
    <definedName name="_Regression_Int" hidden="1">1</definedName>
    <definedName name="_rem7">#REF!</definedName>
    <definedName name="_rem8">#REF!</definedName>
    <definedName name="_RETURN_">#REF!</definedName>
    <definedName name="_RV_R_20___GOTO">#REF!</definedName>
    <definedName name="_salpen">#REF!</definedName>
    <definedName name="_sc13">#REF!</definedName>
    <definedName name="_SELECT_HI1_">#REF!</definedName>
    <definedName name="_Sort" hidden="1">#REF!</definedName>
    <definedName name="_STYLE_INTERIOR">#REF!</definedName>
    <definedName name="_SUB2">#REF!</definedName>
    <definedName name="_SUB3">#REF!</definedName>
    <definedName name="_SUB4">#REF!</definedName>
    <definedName name="_SUB5">#REF!</definedName>
    <definedName name="_SUB6">#REF!</definedName>
    <definedName name="_SUB7">#REF!</definedName>
    <definedName name="_Table1_In1" hidden="1">#REF!</definedName>
    <definedName name="_Table1_Out" hidden="1">#REF!</definedName>
    <definedName name="_Table2_In1" hidden="1">#REF!</definedName>
    <definedName name="_Table2_In2" hidden="1">#REF!</definedName>
    <definedName name="_U03">#REF!</definedName>
    <definedName name="_u1" hidden="1">{"capacity",#N/A,FALSE,"Hefei";"Volume",#N/A,FALSE,"Hefei"}</definedName>
    <definedName name="_u1001" hidden="1">{"capacity",#N/A,FALSE,"Hefei";"Volume",#N/A,FALSE,"Hefei"}</definedName>
    <definedName name="_U300">MATCH(0.01,End_Bal,-1)+1</definedName>
    <definedName name="_U315">#REF!</definedName>
    <definedName name="_WGDPN_SL0_R240">#REF!</definedName>
    <definedName name="_WGDPN_SL4_R150">#REF!</definedName>
    <definedName name="_YE1">#REF!</definedName>
    <definedName name="_担保还款">#REF!</definedName>
    <definedName name="¿ÆÄ¿Óà¶î±í">#REF!</definedName>
    <definedName name="¹Ì¶¨×Ê²úÃ÷Ï¸ÕË">#REF!</definedName>
    <definedName name="a">#REF!</definedName>
    <definedName name="A_AMOUNT">#REF!</definedName>
    <definedName name="a1.xls">#REF!</definedName>
    <definedName name="a2.xls">#REF!</definedName>
    <definedName name="a3.xls">#REF!</definedName>
    <definedName name="aa" hidden="1">{#N/A,#N/A,FALSE,"PLEDGE";#N/A,#N/A,FALSE,"GLADE";#N/A,#N/A,FALSE,"GREEN BIRD";#N/A,#N/A,FALSE,"MR. MUSCLE";#N/A,#N/A,FALSE,"TOILET DUCK";#N/A,#N/A,FALSE,"Other Home Care";#N/A,#N/A,FALSE,"RED BIRD";#N/A,#N/A,FALSE,"SHANGHAI";#N/A,#N/A,FALSE,"RAID";#N/A,#N/A,FALSE,"OFF";#N/A,#N/A,FALSE,"SEAGULL";#N/A,#N/A,FALSE,"HALSA";#N/A,#N/A,FALSE,"SOFT SENSE";#N/A,#N/A,FALSE,"TOTAL"}</definedName>
    <definedName name="AA.GB" hidden="1">{#N/A,#N/A,FALSE,"资产负债表";#N/A,#N/A,FALSE,"资产负债表"}</definedName>
    <definedName name="aaa">#REF!</definedName>
    <definedName name="AAA_DOCTOPS" hidden="1">"AAA_SET"</definedName>
    <definedName name="AAA_duser" hidden="1">"OFF"</definedName>
    <definedName name="aaaa">#REF!</definedName>
    <definedName name="aaaaa">#REF!</definedName>
    <definedName name="aaaaaa">#REF!</definedName>
    <definedName name="aaaaaaa" hidden="1">{"INCPRE2000",#N/A,FALSE,"BL2000"}</definedName>
    <definedName name="aaaaaaaaaaaaaaaaa" hidden="1">{"Volume",#N/A,FALSE,"Nanjing";"capacity",#N/A,FALSE,"Nanjing"}</definedName>
    <definedName name="AAB_Addin5" hidden="1">"AAB_Description for addin 5,Description for addin 5,Description for addin 5,Description for addin 5,Description for addin 5,Description for addin 5"</definedName>
    <definedName name="aabc">#REF!</definedName>
    <definedName name="aabnncc">#REF!</definedName>
    <definedName name="AAMT">#REF!</definedName>
    <definedName name="AAP">#REF!</definedName>
    <definedName name="AAPR">#REF!</definedName>
    <definedName name="AAUG">#REF!</definedName>
    <definedName name="aavbrdf" hidden="1">{#N/A,#N/A,FALSE,"OffAdvance";#N/A,#N/A,FALSE,"OffExpRprt";#N/A,#N/A,FALSE,"Travelling";#N/A,#N/A,FALSE,"Entertmnt";#N/A,#N/A,FALSE,"Promotion"}</definedName>
    <definedName name="aaww">#REF!</definedName>
    <definedName name="aaz" hidden="1">{#N/A,#N/A,FALSE,"资产负债表";#N/A,#N/A,FALSE,"资产负债表"}</definedName>
    <definedName name="ab">#REF!</definedName>
    <definedName name="abc">#REF!</definedName>
    <definedName name="ABR">#REF!</definedName>
    <definedName name="ABREV">#REF!</definedName>
    <definedName name="abs.lff">#REF!</definedName>
    <definedName name="AccessDatabase" hidden="1">"F:\Track-Pur\Sachs-2000.mdb"</definedName>
    <definedName name="ACCODE">#REF!</definedName>
    <definedName name="ACCOUNTS">#REF!</definedName>
    <definedName name="Accumulate_hours">#REF!</definedName>
    <definedName name="acref">#REF!</definedName>
    <definedName name="Act_Period">#REF!</definedName>
    <definedName name="ACTANAL">#REF!</definedName>
    <definedName name="Actv_Code">#REF!</definedName>
    <definedName name="ad">#REF!</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EC">#REF!</definedName>
    <definedName name="adf" hidden="1">{"toptrial",#N/A,TRUE,"toptrial";"adjustment",#N/A,TRUE,"toptrial";"voucher",#N/A,TRUE,"toptrial"}</definedName>
    <definedName name="adfasdf" hidden="1">{#N/A,#N/A,FALSE,"资产负债表";#N/A,#N/A,FALSE,"资产负债表"}</definedName>
    <definedName name="adfasdfas" hidden="1">{#N/A,#N/A,FALSE,"资产负债表";#N/A,#N/A,FALSE,"资产负债表"}</definedName>
    <definedName name="ADJ">#REF!</definedName>
    <definedName name="AE">#REF!</definedName>
    <definedName name="af">#REF!</definedName>
    <definedName name="afe">#REF!</definedName>
    <definedName name="AFEB">#REF!</definedName>
    <definedName name="AfeCa">#REF!</definedName>
    <definedName name="AfeCapSpending">#REF!</definedName>
    <definedName name="afhai" hidden="1">{#N/A,#N/A,FALSE,"资产负债表";#N/A,#N/A,FALSE,"资产负债表"}</definedName>
    <definedName name="afsdavad" hidden="1">#REF!</definedName>
    <definedName name="agdfh">#REF!</definedName>
    <definedName name="age">#REF!</definedName>
    <definedName name="AGEDDATABASE" hidden="1">{#N/A,#N/A,FALSE,"970301";#N/A,#N/A,FALSE,"970302";#N/A,#N/A,FALSE,"970303";#N/A,#N/A,FALSE,"970304";#N/A,#N/A,FALSE,"COM1";#N/A,#N/A,FALSE,"COM2"}</definedName>
    <definedName name="ageing">#REF!</definedName>
    <definedName name="ageing180">#REF!</definedName>
    <definedName name="agmmt">#REF!</definedName>
    <definedName name="agmt">#REF!</definedName>
    <definedName name="agmt1">#REF!</definedName>
    <definedName name="AGO">#REF!</definedName>
    <definedName name="aidhaif" hidden="1">{#N/A,#N/A,FALSE,"资产负债表";#N/A,#N/A,FALSE,"资产负债表"}</definedName>
    <definedName name="AJAN">#REF!</definedName>
    <definedName name="AJUL">#REF!</definedName>
    <definedName name="AJUN">#REF!</definedName>
    <definedName name="AK">#REF!</definedName>
    <definedName name="al">#REF!</definedName>
    <definedName name="ALE">#REF!</definedName>
    <definedName name="All">#REF!</definedName>
    <definedName name="All_minus_Cal">#REF!,#REF!,#REF!,#REF!</definedName>
    <definedName name="All_Out">#REF!</definedName>
    <definedName name="ALOC">#REF!</definedName>
    <definedName name="Altima">#REF!</definedName>
    <definedName name="AM">#REF!</definedName>
    <definedName name="AMAR">#REF!</definedName>
    <definedName name="AMAY">#REF!</definedName>
    <definedName name="amount">#REF!</definedName>
    <definedName name="anakf" hidden="1">{#N/A,#N/A,FALSE,"资产负债表";#N/A,#N/A,FALSE,"资产负债表"}</definedName>
    <definedName name="ANOV">#REF!</definedName>
    <definedName name="anscount" hidden="1">1</definedName>
    <definedName name="AOCT">#REF!</definedName>
    <definedName name="AP">#REF!</definedName>
    <definedName name="AP_ALHK">#REF!</definedName>
    <definedName name="APnotes">#REF!</definedName>
    <definedName name="Apr">#REF!</definedName>
    <definedName name="apr_pyr_prod">#REF!</definedName>
    <definedName name="APYS">#REF!</definedName>
    <definedName name="aq">#REF!</definedName>
    <definedName name="ar">#REF!</definedName>
    <definedName name="AR_Balance">#REF!</definedName>
    <definedName name="ar_catalog">#REF!</definedName>
    <definedName name="ARnotes">#REF!</definedName>
    <definedName name="AROMPREP">#REF!</definedName>
    <definedName name="arpA">#REF!</definedName>
    <definedName name="ARS">#REF!</definedName>
    <definedName name="as">#REF!</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d">#REF!</definedName>
    <definedName name="asdas" hidden="1">{#N/A,#N/A,FALSE,"Marketing";#N/A,#N/A,FALSE,"Selling";#N/A,#N/A,FALSE,"Promotional";#N/A,#N/A,FALSE,"Advertising"}</definedName>
    <definedName name="asdasd" hidden="1">{"capacity",#N/A,FALSE,"Xian";"Volume",#N/A,FALSE,"Xian"}</definedName>
    <definedName name="asdasdfasdf" hidden="1">{"capacity",#N/A,FALSE,"Hangzhou";"volume",#N/A,FALSE,"Hangzhou"}</definedName>
    <definedName name="asdfasdfasdfasdfasdfsfasdf" hidden="1">{"capcity",#N/A,FALSE,"Xiamen (chn)";"volume",#N/A,FALSE,"Xiamen (chn)"}</definedName>
    <definedName name="asdfg">#REF!</definedName>
    <definedName name="asdfsdfasdf" hidden="1">{"capacity",#N/A,FALSE,"Guangzhou";"Volume",#N/A,FALSE,"Guangmei"}</definedName>
    <definedName name="asdg" hidden="1">{#N/A,#N/A,FALSE,"资产负债表";#N/A,#N/A,FALSE,"资产负债表"}</definedName>
    <definedName name="asdghf">#REF!</definedName>
    <definedName name="ASEP">#REF!</definedName>
    <definedName name="asfads" hidden="1">{#N/A,#N/A,FALSE,"FREEMAN";#N/A,#N/A,FALSE,"STEPHEN";#N/A,#N/A,FALSE,"VICTOR"}</definedName>
    <definedName name="asfasdf" hidden="1">#REF!</definedName>
    <definedName name="ass" hidden="1">{#N/A,#N/A,TRUE,"CPRD";#N/A,#N/A,TRUE,"BCCPDR";#N/A,#N/A,TRUE,"EWRD";#N/A,#N/A,TRUE,"5100";#N/A,#N/A,TRUE,"5110"}</definedName>
    <definedName name="aswasf">#REF!</definedName>
    <definedName name="Attachment_4_all">#REF!</definedName>
    <definedName name="AUD">#REF!</definedName>
    <definedName name="auto">#REF!</definedName>
    <definedName name="Aux_Mat_Out">#REF!</definedName>
    <definedName name="avg.os.fy96">#REF!</definedName>
    <definedName name="avg_days">#REF!</definedName>
    <definedName name="Aviva">#REF!</definedName>
    <definedName name="AwardCount0">#REF!</definedName>
    <definedName name="AwardCount1">#REF!</definedName>
    <definedName name="AwardCount2">#REF!</definedName>
    <definedName name="AwardCount3">#REF!</definedName>
    <definedName name="AwardCount4">#REF!</definedName>
    <definedName name="AwardCount5">#REF!</definedName>
    <definedName name="b">#REF!</definedName>
    <definedName name="B1S">#REF!</definedName>
    <definedName name="B31_4">#REF!,#REF!,#REF!,#REF!</definedName>
    <definedName name="B4A_B">#REF!,#REF!</definedName>
    <definedName name="b5a_b">#REF!,#REF!</definedName>
    <definedName name="b5abprnt">#REF!,#REF!</definedName>
    <definedName name="b5txt1">#REF!</definedName>
    <definedName name="b9_9adj">#REF!,#REF!</definedName>
    <definedName name="Balance_Sheet">#REF!</definedName>
    <definedName name="Balance_sheet_by_account">#REF!</definedName>
    <definedName name="Balance_Sheet_EN">#REF!</definedName>
    <definedName name="Balance_Sheet_ENI">#REF!</definedName>
    <definedName name="Balance_Sheet_FE">#REF!</definedName>
    <definedName name="balance_type">1</definedName>
    <definedName name="balance011.xls">#REF!</definedName>
    <definedName name="bb">#REF!</definedName>
    <definedName name="bbb">#REF!</definedName>
    <definedName name="bbbb">#REF!</definedName>
    <definedName name="BBBBBB">#REF!</definedName>
    <definedName name="BD">#REF!</definedName>
    <definedName name="BEF">#REF!</definedName>
    <definedName name="Beg_Bal">#REF!</definedName>
    <definedName name="beg_day">#REF!</definedName>
    <definedName name="beg_day1">#REF!</definedName>
    <definedName name="Begin">#REF!</definedName>
    <definedName name="BG_Del" hidden="1">15</definedName>
    <definedName name="BG_Ins" hidden="1">4</definedName>
    <definedName name="BG_Mod" hidden="1">6</definedName>
    <definedName name="bias">#REF!</definedName>
    <definedName name="bj">#REF!</definedName>
    <definedName name="BJFeb">#REF!</definedName>
    <definedName name="BJJan">#REF!</definedName>
    <definedName name="BJMar">#REF!</definedName>
    <definedName name="BLPH6" hidden="1">#REF!</definedName>
    <definedName name="BMIII_1_1">#REF!</definedName>
    <definedName name="BMIII_1_2">#REF!</definedName>
    <definedName name="BMIII_2">#REF!</definedName>
    <definedName name="BMIII_2_1">#REF!</definedName>
    <definedName name="BMIII_2_1OUT">#REF!</definedName>
    <definedName name="BMIII_2F1">#REF!</definedName>
    <definedName name="BMIII_2F2">#REF!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orrowerName">#REF!</definedName>
    <definedName name="BS">#REF!</definedName>
    <definedName name="BS_6">#REF!</definedName>
    <definedName name="BS_UNIT">#REF!</definedName>
    <definedName name="bs_unit_b">#REF!</definedName>
    <definedName name="BS_UNIT2">#REF!</definedName>
    <definedName name="BS_V1">#REF!</definedName>
    <definedName name="BS_V3">#REF!</definedName>
    <definedName name="BSaudited">#REF!</definedName>
    <definedName name="BSopening">#REF!</definedName>
    <definedName name="BU_Activity">#REF!</definedName>
    <definedName name="BU_Actual">#REF!</definedName>
    <definedName name="BU_Units">#REF!</definedName>
    <definedName name="BUDANAL">#REF!</definedName>
    <definedName name="BudgetYear">#REF!</definedName>
    <definedName name="Bug">#REF!</definedName>
    <definedName name="bvc">#REF!</definedName>
    <definedName name="bvopikpmk">#REF!</definedName>
    <definedName name="BYD" hidden="1">{#N/A,#N/A,FALSE,"Earn'gs &amp; Val'n";#N/A,#N/A,FALSE,"Interim"}</definedName>
    <definedName name="bzw">#REF!</definedName>
    <definedName name="CAD">#REF!</definedName>
    <definedName name="caiwufeiyong.dbf">#REF!</definedName>
    <definedName name="calc">1</definedName>
    <definedName name="CALC1">#REF!</definedName>
    <definedName name="CALC2">#REF!</definedName>
    <definedName name="CALC3">#REF!</definedName>
    <definedName name="Calculations">#REF!</definedName>
    <definedName name="Canvas">#REF!</definedName>
    <definedName name="Capital_Projects">#REF!</definedName>
    <definedName name="CapRate">#REF!</definedName>
    <definedName name="carol">#REF!</definedName>
    <definedName name="cashflow20030930" hidden="1">{"M1Print",#N/A,TRUE,"M1";"M2Print",#N/A,TRUE,"M2";"M1sPrint",#N/A,TRUE,"M1s";"M2aPrint",#N/A,TRUE,"M2a";"M4Print",#N/A,TRUE,"M4";"M5Print",#N/A,TRUE,"M5";"M6Print",#N/A,TRUE,"M6";"M6_1Print",#N/A,TRUE,"M6_1";"M6_2Print",#N/A,TRUE,"M6_2";"M7_1Print",#N/A,TRUE,"M7_1";"M7_2Print",#N/A,TRUE,"M7_2"}</definedName>
    <definedName name="CBU_Out">#REF!</definedName>
    <definedName name="cbx" hidden="1">{#N/A,#N/A,FALSE,"M1s Board";#N/A,#N/A,FALSE,"M3 Board";#N/A,#N/A,FALSE,"M6 Board";#N/A,#N/A,FALSE,"M7";#N/A,#N/A,FALSE,"M7B";#N/A,#N/A,FALSE,"M8";#N/A,#N/A,FALSE,"M8A Board";#N/A,#N/A,FALSE,"AF1 Board"}</definedName>
    <definedName name="CC">#REF!</definedName>
    <definedName name="ccc">#REF!</definedName>
    <definedName name="cccvb" hidden="1">{#N/A,#N/A,FALSE,"资产负债表";#N/A,#N/A,FALSE,"资产负债表"}</definedName>
    <definedName name="ccp">#REF!</definedName>
    <definedName name="cde" hidden="1">{"Volume",#N/A,FALSE,"Zhengzhou";"capacity",#N/A,FALSE,"Zhengzhou"}</definedName>
    <definedName name="CFactor">#REF!</definedName>
    <definedName name="CFLOW">#REF!</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hargeto_list">#REF!</definedName>
    <definedName name="CHF">#REF!</definedName>
    <definedName name="Choices_Wrapper">#N/A</definedName>
    <definedName name="CHU">#REF!</definedName>
    <definedName name="cip">#REF!</definedName>
    <definedName name="City">#REF!</definedName>
    <definedName name="city_list">#REF!</definedName>
    <definedName name="CL">#REF!</definedName>
    <definedName name="clah">#REF!</definedName>
    <definedName name="cleint">#REF!</definedName>
    <definedName name="ClientName">#REF!</definedName>
    <definedName name="CLOSURE_PLANTS">#REF!</definedName>
    <definedName name="clz">#REF!</definedName>
    <definedName name="CMB_APR_99">#REF!</definedName>
    <definedName name="CMB_AUG_99">#REF!</definedName>
    <definedName name="CMB_DEC_99">#REF!</definedName>
    <definedName name="CMB_Feb_99">#REF!</definedName>
    <definedName name="CMB_Jan_99">#REF!</definedName>
    <definedName name="CMB_JUL_99">#REF!</definedName>
    <definedName name="CMB_JUN_99">#REF!</definedName>
    <definedName name="CMB_MAR_99">#REF!</definedName>
    <definedName name="CMB_MAY_99">#REF!</definedName>
    <definedName name="CMB_NOV_99">#REF!</definedName>
    <definedName name="CMB_OCT_99">#REF!</definedName>
    <definedName name="CMB_SEP_99">#REF!</definedName>
    <definedName name="CNY">#REF!</definedName>
    <definedName name="co">100</definedName>
    <definedName name="coa">#REF!</definedName>
    <definedName name="Code">#REF!</definedName>
    <definedName name="Code_type">#REF!</definedName>
    <definedName name="Coll" hidden="1">{#N/A,#N/A,FALSE,"970301";#N/A,#N/A,FALSE,"970302";#N/A,#N/A,FALSE,"970303";#N/A,#N/A,FALSE,"970304";#N/A,#N/A,FALSE,"COM1";#N/A,#N/A,FALSE,"COM2"}</definedName>
    <definedName name="COM">#REF!</definedName>
    <definedName name="COMB">#REF!</definedName>
    <definedName name="COMMKE">#REF!</definedName>
    <definedName name="Company">#REF!</definedName>
    <definedName name="company_code">#REF!</definedName>
    <definedName name="COMPLEX">#REF!</definedName>
    <definedName name="ComprasNML">#REF!</definedName>
    <definedName name="COMPTABLE">#REF!</definedName>
    <definedName name="Confirmation_website">#REF!</definedName>
    <definedName name="consoltotal">#REF!</definedName>
    <definedName name="CopyArea">#REF!</definedName>
    <definedName name="Correct">#REF!</definedName>
    <definedName name="cost">#REF!</definedName>
    <definedName name="Cost_raw_material_JULY">#REF!</definedName>
    <definedName name="Costo1">#REF!</definedName>
    <definedName name="count">#REF!</definedName>
    <definedName name="CountPerSelect">#REF!</definedName>
    <definedName name="Country_Code">#REF!</definedName>
    <definedName name="Cp101.xls">#REF!</definedName>
    <definedName name="Cp102.xls">#REF!</definedName>
    <definedName name="CRA">#REF!</definedName>
    <definedName name="CREATIVE">#REF!</definedName>
    <definedName name="CRIT">#REF!</definedName>
    <definedName name="_xlnm.Criteria">#REF!</definedName>
    <definedName name="Criteria_MI">#REF!</definedName>
    <definedName name="cs">80000000</definedName>
    <definedName name="CUMENE">#REF!</definedName>
    <definedName name="CUMENT">#REF!</definedName>
    <definedName name="Curr_Code">#REF!</definedName>
    <definedName name="Curr_Per">#REF!</definedName>
    <definedName name="currcode">#REF!</definedName>
    <definedName name="Currency">#REF!</definedName>
    <definedName name="CUSTCHRT">"Chart 1"</definedName>
    <definedName name="Custindex">#REF!</definedName>
    <definedName name="CUSTOMER">#REF!</definedName>
    <definedName name="customer_list">#REF!</definedName>
    <definedName name="CVDom">#REF!</definedName>
    <definedName name="CVExp">#REF!</definedName>
    <definedName name="CY_by_month">#REF!</definedName>
    <definedName name="D_AC">#REF!</definedName>
    <definedName name="D_AN">#REF!</definedName>
    <definedName name="D_AN_N">#REF!</definedName>
    <definedName name="D_AN_Y">#REF!</definedName>
    <definedName name="D_AN0">#REF!</definedName>
    <definedName name="D_AU">#REF!</definedName>
    <definedName name="D_AU10">#REF!</definedName>
    <definedName name="D_AU11">#REF!</definedName>
    <definedName name="D_BP">#REF!</definedName>
    <definedName name="D_CA">#REF!</definedName>
    <definedName name="D_CU">#REF!</definedName>
    <definedName name="D_DP">#REF!</definedName>
    <definedName name="D_FL">#REF!</definedName>
    <definedName name="D_PA">#REF!</definedName>
    <definedName name="D_PE">#REF!</definedName>
    <definedName name="D_RU">#REF!</definedName>
    <definedName name="D2_">#REF!</definedName>
    <definedName name="D21Dom">#REF!</definedName>
    <definedName name="D21Exp">#REF!</definedName>
    <definedName name="D3_">#REF!</definedName>
    <definedName name="D4_">#REF!</definedName>
    <definedName name="D5_">#REF!</definedName>
    <definedName name="D6_">#REF!</definedName>
    <definedName name="D7_">#REF!</definedName>
    <definedName name="daily">#REF!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20">#REF!</definedName>
    <definedName name="DATA21">#REF!</definedName>
    <definedName name="DATA22">#REF!</definedName>
    <definedName name="DATA3">#REF!</definedName>
    <definedName name="DATA4">#REF!</definedName>
    <definedName name="DATA5">#REF!</definedName>
    <definedName name="DATA7">#REF!</definedName>
    <definedName name="DATA8">#REF!</definedName>
    <definedName name="DATA9">#REF!</definedName>
    <definedName name="dataArea">#REF!</definedName>
    <definedName name="_xlnm.Database">#REF!</definedName>
    <definedName name="Date">#REF!</definedName>
    <definedName name="dates">#REF!</definedName>
    <definedName name="DAY">#REF!</definedName>
    <definedName name="DBS" hidden="1">#REF!</definedName>
    <definedName name="dbTitle_projectname">#REF!</definedName>
    <definedName name="dbTitle_title">#REF!</definedName>
    <definedName name="dcca" hidden="1">{#N/A,#N/A,FALSE,"资产负债表";#N/A,#N/A,FALSE,"资产负债表"}</definedName>
    <definedName name="dd">#REF!</definedName>
    <definedName name="DDD">#REF!</definedName>
    <definedName name="dddd">#REF!</definedName>
    <definedName name="DEM">#REF!</definedName>
    <definedName name="description">#REF!</definedName>
    <definedName name="Descriptions">#REF!</definedName>
    <definedName name="dfa">#REF!</definedName>
    <definedName name="dfdfjpoqe">#REF!</definedName>
    <definedName name="dfdifuoiwef">#REF!</definedName>
    <definedName name="dfdkljfl">#REF!</definedName>
    <definedName name="dfdsf">#REF!</definedName>
    <definedName name="dfgdafsg" hidden="1">{#N/A,#N/A,FALSE,"OffAdvance";#N/A,#N/A,FALSE,"OffExpRprt";#N/A,#N/A,FALSE,"Travelling";#N/A,#N/A,FALSE,"Entertmnt";#N/A,#N/A,FALSE,"Promotion"}</definedName>
    <definedName name="dfh">#REF!</definedName>
    <definedName name="dfifjo">#REF!</definedName>
    <definedName name="dfjf">#REF!</definedName>
    <definedName name="dfpp">#REF!</definedName>
    <definedName name="dfqeef">#REF!</definedName>
    <definedName name="dfssgae">#REF!</definedName>
    <definedName name="dfv" hidden="1">{"M1Print",#N/A,TRUE,"M1";"M2Print",#N/A,TRUE,"M2";"M1sPrint",#N/A,TRUE,"M1s";"M2aPrint",#N/A,TRUE,"M2a";"M4Print",#N/A,TRUE,"M4";"M5Print",#N/A,TRUE,"M5";"M6Print",#N/A,TRUE,"M6";"M6_1Print",#N/A,TRUE,"M6_1";"M6_2Print",#N/A,TRUE,"M6_2";"M7_1Print",#N/A,TRUE,"M7_1";"M7_2Print",#N/A,TRUE,"M7_2"}</definedName>
    <definedName name="dgjdfjgf">#REF!</definedName>
    <definedName name="dgw">#REF!</definedName>
    <definedName name="dh" hidden="1">{"M4Print",#N/A,FALSE,"M4"}</definedName>
    <definedName name="dhp">#REF!</definedName>
    <definedName name="DIC">#REF!</definedName>
    <definedName name="discount">#REF!</definedName>
    <definedName name="display_area_2" hidden="1">#REF!</definedName>
    <definedName name="DIVO1">#REF!</definedName>
    <definedName name="dj">#REF!</definedName>
    <definedName name="DL">#REF!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MR">#REF!</definedName>
    <definedName name="DMRE">#REF!</definedName>
    <definedName name="DMRE2">#REF!</definedName>
    <definedName name="DMRE3">#REF!</definedName>
    <definedName name="DMRE4">#REF!</definedName>
    <definedName name="DMRE5">#REF!</definedName>
    <definedName name="DMRE6">#REF!</definedName>
    <definedName name="DO_8">#REF!</definedName>
    <definedName name="DO_9">#REF!</definedName>
    <definedName name="doaraging">#REF!</definedName>
    <definedName name="doaraging1">#REF!</definedName>
    <definedName name="doc">#REF!</definedName>
    <definedName name="doddd" hidden="1">{#N/A,#N/A,TRUE,"CPRD";#N/A,#N/A,TRUE,"BCCPDR";#N/A,#N/A,TRUE,"EWRD";#N/A,#N/A,TRUE,"5100";#N/A,#N/A,TRUE,"5110"}</definedName>
    <definedName name="dog" hidden="1">{#N/A,#N/A,TRUE,"CPRD";#N/A,#N/A,TRUE,"BCCPDR";#N/A,#N/A,TRUE,"EWRD";#N/A,#N/A,TRUE,"5100";#N/A,#N/A,TRUE,"5110"}</definedName>
    <definedName name="doipd">#REF!</definedName>
    <definedName name="Dole_trans_code">#REF!</definedName>
    <definedName name="DPL" hidden="1">#REF!</definedName>
    <definedName name="dq">#REF!</definedName>
    <definedName name="drh">#REF!</definedName>
    <definedName name="dropdown1">"Drop Down 1"</definedName>
    <definedName name="drr">#REF!</definedName>
    <definedName name="dsd是" hidden="1">#REF!</definedName>
    <definedName name="dsfwq">#REF!</definedName>
    <definedName name="DURENE">#REF!</definedName>
    <definedName name="dvbm" hidden="1">{#N/A,#N/A,FALSE,"资产负债表";#N/A,#N/A,FALSE,"资产负债表"}</definedName>
    <definedName name="dx">#REF!</definedName>
    <definedName name="dzh">#REF!</definedName>
    <definedName name="dzr">#REF!</definedName>
    <definedName name="e">#REF!</definedName>
    <definedName name="E11关联">#REF!</definedName>
    <definedName name="EAMT">#REF!</definedName>
    <definedName name="EAPR">#REF!</definedName>
    <definedName name="EAUG">#REF!</definedName>
    <definedName name="edasd">#REF!</definedName>
    <definedName name="EDEC">#REF!</definedName>
    <definedName name="ee">#REF!</definedName>
    <definedName name="eeee">#REF!</definedName>
    <definedName name="eewfd">#REF!</definedName>
    <definedName name="EFEB">#REF!</definedName>
    <definedName name="efeqff">#REF!</definedName>
    <definedName name="ehdg" hidden="1">{#N/A,#N/A,FALSE,"Jan"}</definedName>
    <definedName name="EJAN">#REF!</definedName>
    <definedName name="EJUL">#REF!</definedName>
    <definedName name="EJUN">#REF!</definedName>
    <definedName name="ELOC">#REF!</definedName>
    <definedName name="EMAR">#REF!</definedName>
    <definedName name="EMAY">#REF!</definedName>
    <definedName name="End_Bal">#REF!</definedName>
    <definedName name="end_day">#REF!</definedName>
    <definedName name="ENE">#REF!</definedName>
    <definedName name="ENOV">#REF!</definedName>
    <definedName name="Entity_Code">#REF!</definedName>
    <definedName name="Entity_Name">#REF!</definedName>
    <definedName name="EntityName">#REF!</definedName>
    <definedName name="EOCT">#REF!</definedName>
    <definedName name="EOY_Date">#REF!</definedName>
    <definedName name="EPYS">#REF!</definedName>
    <definedName name="eqwead">#REF!</definedName>
    <definedName name="er">#REF!</definedName>
    <definedName name="eref">#REF!</definedName>
    <definedName name="erf" hidden="1">{#N/A,#N/A,FALSE,"970301";#N/A,#N/A,FALSE,"970302";#N/A,#N/A,FALSE,"970303";#N/A,#N/A,FALSE,"970304";#N/A,#N/A,FALSE,"COM1";#N/A,#N/A,FALSE,"COM2"}</definedName>
    <definedName name="eryj" hidden="1">{#N/A,#N/A,FALSE,"资产负债表";#N/A,#N/A,FALSE,"资产负债表"}</definedName>
    <definedName name="ESEP">#REF!</definedName>
    <definedName name="Est">#REF!</definedName>
    <definedName name="eter" hidden="1">{"capacity",#N/A,FALSE,"Hefei";"Volume",#N/A,FALSE,"Hefei"}</definedName>
    <definedName name="etert" hidden="1">{"Volume",#N/A,FALSE,"Guangzhou";"capacity",#N/A,FALSE,"Guangzhou"}</definedName>
    <definedName name="EUR">#REF!</definedName>
    <definedName name="EV__LASTREFTIME__" hidden="1">39274.4724884259</definedName>
    <definedName name="ew" hidden="1">{"capacity",#N/A,FALSE,"Hangzhou";"volume",#N/A,FALSE,"Hangzhou"}</definedName>
    <definedName name="ewfe">#REF!</definedName>
    <definedName name="ewfweff">#REF!</definedName>
    <definedName name="ewqe">#REF!</definedName>
    <definedName name="ewrewff">#REF!</definedName>
    <definedName name="Excel_BuiltIn_Database_0">#REF!</definedName>
    <definedName name="Exp_Dir">#REF!</definedName>
    <definedName name="ExpDir">#REF!</definedName>
    <definedName name="ExpenseUpload" hidden="1">{#N/A,#N/A,TRUE,"CPRD";#N/A,#N/A,TRUE,"BCCPDR";#N/A,#N/A,TRUE,"EWRD";#N/A,#N/A,TRUE,"5100";#N/A,#N/A,TRUE,"5110"}</definedName>
    <definedName name="ExportErrorCheck">#REF!</definedName>
    <definedName name="ExRate">#REF!</definedName>
    <definedName name="EXTMTHPLAN">#REF!</definedName>
    <definedName name="Extra_Pay">#REF!</definedName>
    <definedName name="Extract_MI">#REF!</definedName>
    <definedName name="eyet" hidden="1">{"capacity",#N/A,FALSE,"Guangzhou";"Volume",#N/A,FALSE,"Guangmei"}</definedName>
    <definedName name="f" hidden="1">#REF!</definedName>
    <definedName name="F.A.breakdown">#REF!</definedName>
    <definedName name="F_Entity">#REF!</definedName>
    <definedName name="F_PERIOD">#REF!</definedName>
    <definedName name="F_VAR">#REF!</definedName>
    <definedName name="faif" hidden="1">{#N/A,#N/A,FALSE,"资产负债表";#N/A,#N/A,FALSE,"资产负债表"}</definedName>
    <definedName name="FAR">#REF!</definedName>
    <definedName name="FCode" hidden="1">#REF!</definedName>
    <definedName name="fd" hidden="1">{"M1sPrint",#N/A,FALSE,"M1s"}</definedName>
    <definedName name="fdfoop">#REF!</definedName>
    <definedName name="fdfq">#REF!</definedName>
    <definedName name="FDgfhg">#REF!</definedName>
    <definedName name="FEB">#REF!</definedName>
    <definedName name="Fecha">#REF!</definedName>
    <definedName name="feed1">#REF!</definedName>
    <definedName name="feed2">#REF!</definedName>
    <definedName name="feed3">#REF!</definedName>
    <definedName name="feedback" hidden="1">{#N/A,#N/A,TRUE,"CPRD";#N/A,#N/A,TRUE,"BCCPDR";#N/A,#N/A,TRUE,"EWRD";#N/A,#N/A,TRUE,"5100";#N/A,#N/A,TRUE,"5110"}</definedName>
    <definedName name="fewwef">#REF!</definedName>
    <definedName name="Ffuming">#REF!</definedName>
    <definedName name="fg">#REF!</definedName>
    <definedName name="FG_In">#REF!</definedName>
    <definedName name="FG_In_1999">#REF!</definedName>
    <definedName name="fgdg" hidden="1">{"M1Print",#N/A,TRUE,"M1";"M2Print",#N/A,TRUE,"M2";"M1sPrint",#N/A,TRUE,"M1s";"M2aPrint",#N/A,TRUE,"M2a";"M4Print",#N/A,TRUE,"M4";"M5Print",#N/A,TRUE,"M5";"M6Print",#N/A,TRUE,"M6";"M6_1Print",#N/A,TRUE,"M6_1";"M6_2Print",#N/A,TRUE,"M6_2";"M7_1Print",#N/A,TRUE,"M7_1";"M7_2Print",#N/A,TRUE,"M7_2"}</definedName>
    <definedName name="fgjkfgkfk">#REF!</definedName>
    <definedName name="FIBRE_PLANTS">#REF!</definedName>
    <definedName name="fice">#REF!</definedName>
    <definedName name="Filter_Data">#REF!</definedName>
    <definedName name="Filter_range">#REF!</definedName>
    <definedName name="FINANCE">#REF!</definedName>
    <definedName name="FINISH_GOODS_APRIL__MTD_PRODUCTION_PLANT_27">#REF!</definedName>
    <definedName name="First_BU">#REF!</definedName>
    <definedName name="Fiscal_Year">#REF!</definedName>
    <definedName name="fkljdl">#REF!</definedName>
    <definedName name="FL">#REF!</definedName>
    <definedName name="ForecastYear">#REF!</definedName>
    <definedName name="form">#REF!</definedName>
    <definedName name="FORMA1">#REF!</definedName>
    <definedName name="FORMAT">#REF!</definedName>
    <definedName name="fp">#REF!</definedName>
    <definedName name="FRONT">#REF!</definedName>
    <definedName name="fs">#REF!</definedName>
    <definedName name="fsdgwr">#REF!</definedName>
    <definedName name="fsf">#REF!</definedName>
    <definedName name="fssf">#REF!</definedName>
    <definedName name="FUEL_TERM">#REF!</definedName>
    <definedName name="FUELS">#REF!</definedName>
    <definedName name="FUELS_SGA">#REF!</definedName>
    <definedName name="FUELS_TERM">#REF!</definedName>
    <definedName name="FUELSKE">#REF!</definedName>
    <definedName name="FUKUSHA">#REF!</definedName>
    <definedName name="Full_Print">#REF!</definedName>
    <definedName name="fvb" hidden="1">{#N/A,#N/A,FALSE,"资产负债表";#N/A,#N/A,FALSE,"资产负债表"}</definedName>
    <definedName name="fwef">#REF!</definedName>
    <definedName name="fwefa">#REF!</definedName>
    <definedName name="fwefgy">#REF!</definedName>
    <definedName name="fwff">#REF!</definedName>
    <definedName name="fwfwef">#REF!</definedName>
    <definedName name="fwfwefff">#REF!</definedName>
    <definedName name="fwfwgg">#REF!</definedName>
    <definedName name="fxbs">#REF!</definedName>
    <definedName name="FXTableAug212003">#REF!</definedName>
    <definedName name="FY">1999</definedName>
    <definedName name="FY14CNY">#REF!</definedName>
    <definedName name="FY14HKD">#REF!</definedName>
    <definedName name="g">#REF!</definedName>
    <definedName name="G9IJGF" hidden="1">{#N/A,#N/A,FALSE,"资产负债表";#N/A,#N/A,FALSE,"资产负债表"}</definedName>
    <definedName name="GBP">#REF!</definedName>
    <definedName name="general" hidden="1">#REF!</definedName>
    <definedName name="Getdata">#REF!</definedName>
    <definedName name="gfjfgjfgj">#REF!</definedName>
    <definedName name="gfsw">#REF!</definedName>
    <definedName name="gfwef">#REF!</definedName>
    <definedName name="ggg" hidden="1">{#N/A,#N/A,FALSE,"²Ä1­Ó¤ë"}</definedName>
    <definedName name="ghtht">#REF!</definedName>
    <definedName name="gjy">#REF!</definedName>
    <definedName name="GM_1240">#REF!</definedName>
    <definedName name="GPRC" hidden="1">{"M1Print",#N/A,TRUE,"M1";"M2Print",#N/A,TRUE,"M2";"M1sPrint",#N/A,TRUE,"M1s";"M2aPrint",#N/A,TRUE,"M2a";"M4Print",#N/A,TRUE,"M4";"M5Print",#N/A,TRUE,"M5";"M6Print",#N/A,TRUE,"M6";"M6_1Print",#N/A,TRUE,"M6_1";"M6_2Print",#N/A,TRUE,"M6_2";"M7_1Print",#N/A,TRUE,"M7_1";"M7_2Print",#N/A,TRUE,"M7_2"}</definedName>
    <definedName name="gr">#REF!</definedName>
    <definedName name="grace">#REF!</definedName>
    <definedName name="GRANDTOT">#REF!</definedName>
    <definedName name="gross.receivables.yr0">#REF!</definedName>
    <definedName name="gross.receivables.yr1">#REF!</definedName>
    <definedName name="gross.revenue.yr0">#REF!</definedName>
    <definedName name="gross.revenue.yr1">#REF!</definedName>
    <definedName name="Gross_Up">#REF!</definedName>
    <definedName name="GrossAreaSqM">#REF!</definedName>
    <definedName name="gs">#REF!</definedName>
    <definedName name="GSDom">#REF!</definedName>
    <definedName name="GSEstAnnlNOI">#REF!</definedName>
    <definedName name="GSExp">#REF!</definedName>
    <definedName name="gsfde">#REF!</definedName>
    <definedName name="gsfew">#REF!</definedName>
    <definedName name="gsfgw">#REF!</definedName>
    <definedName name="gsfsdfw">#REF!</definedName>
    <definedName name="gsfsdfwe">#REF!</definedName>
    <definedName name="gsfwesd">#REF!</definedName>
    <definedName name="gsgw">#REF!</definedName>
    <definedName name="gwfdsf">#REF!</definedName>
    <definedName name="GWG_Out">#REF!</definedName>
    <definedName name="gwgfwr">#REF!</definedName>
    <definedName name="hadiah" hidden="1">{#N/A,#N/A,FALSE,"资产负债表";#N/A,#N/A,FALSE,"资产负债表"}</definedName>
    <definedName name="HAJIME">#REF!</definedName>
    <definedName name="HdctTrnd" hidden="1">{#N/A,#N/A,TRUE,"CPRD";#N/A,#N/A,TRUE,"BCCPDR";#N/A,#N/A,TRUE,"EWRD";#N/A,#N/A,TRUE,"5100";#N/A,#N/A,TRUE,"5110"}</definedName>
    <definedName name="head">#REF!</definedName>
    <definedName name="head___0">#REF!</definedName>
    <definedName name="head___42">#REF!</definedName>
    <definedName name="head___47">#REF!</definedName>
    <definedName name="head___60">#REF!</definedName>
    <definedName name="head___62">#REF!</definedName>
    <definedName name="head___7">#REF!</definedName>
    <definedName name="Header_Row">ROW(#REF!)</definedName>
    <definedName name="HFDom">#REF!</definedName>
    <definedName name="HFExp">#REF!</definedName>
    <definedName name="hhh">#REF!</definedName>
    <definedName name="HI1..HI1_">#REF!</definedName>
    <definedName name="HiddenRows" hidden="1">#REF!</definedName>
    <definedName name="HistoricYear">#REF!</definedName>
    <definedName name="HKD">#REF!</definedName>
    <definedName name="hnt">#REF!</definedName>
    <definedName name="HOJA" hidden="1">{"RES-2002",#N/A,FALSE,"BL2000";"A1-2002",#N/A,FALSE,"BL2000";"A2-2002",#N/A,FALSE,"BL2000"}</definedName>
    <definedName name="hrth">#REF!</definedName>
    <definedName name="hrthrth">#REF!</definedName>
    <definedName name="hrthtrs">#REF!</definedName>
    <definedName name="hs">#REF!</definedName>
    <definedName name="HSCDA">#REF!</definedName>
    <definedName name="HSDom">#REF!</definedName>
    <definedName name="HSExp">#REF!</definedName>
    <definedName name="HSUSA">#REF!</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trhrt">#REF!</definedName>
    <definedName name="htrht">#REF!</definedName>
    <definedName name="hueoa" hidden="1">{#N/A,#N/A,FALSE,"资产负债表";#N/A,#N/A,FALSE,"资产负债表"}</definedName>
    <definedName name="HUI">#REF!</definedName>
    <definedName name="i">1.09</definedName>
    <definedName name="IAS_RD">0</definedName>
    <definedName name="IBC_PLANTS">#REF!</definedName>
    <definedName name="IDL.Connector.Version" hidden="1">"14.0.3.0"</definedName>
    <definedName name="IDR">#REF!</definedName>
    <definedName name="ieji" hidden="1">{#N/A,#N/A,FALSE,"970301";#N/A,#N/A,FALSE,"970302";#N/A,#N/A,FALSE,"970303";#N/A,#N/A,FALSE,"970304";#N/A,#N/A,FALSE,"COM1";#N/A,#N/A,FALSE,"COM2"}</definedName>
    <definedName name="IIII">#REF!</definedName>
    <definedName name="iiiii">#REF!</definedName>
    <definedName name="iiiiooo">#REF!</definedName>
    <definedName name="Income">#REF!</definedName>
    <definedName name="IndependentReviewer">#REF!</definedName>
    <definedName name="Input">#REF!</definedName>
    <definedName name="Input_BU">#REF!</definedName>
    <definedName name="INPUT1">#REF!</definedName>
    <definedName name="INPUT2">#REF!</definedName>
    <definedName name="INPUTGRID">#REF!</definedName>
    <definedName name="instalment">#REF!</definedName>
    <definedName name="Int">#REF!</definedName>
    <definedName name="interest">#REF!</definedName>
    <definedName name="Interest_Rate">#REF!</definedName>
    <definedName name="iopiposfv">#REF!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IRREST">#REF!</definedName>
    <definedName name="ITENM">#REF!</definedName>
    <definedName name="iuerasfs" hidden="1">{"INCPRE2000",#N/A,FALSE,"BL2000"}</definedName>
    <definedName name="jc">#REF!</definedName>
    <definedName name="jcb">#REF!</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ghljghjl">#REF!</definedName>
    <definedName name="jh">#REF!</definedName>
    <definedName name="jishanggongyingpin1">#REF!</definedName>
    <definedName name="jishanggongyingpin2">#REF!</definedName>
    <definedName name="jk">#REF!</definedName>
    <definedName name="JL">#REF!</definedName>
    <definedName name="jlj" hidden="1">{"M2aPrint",#N/A,FALSE,"M2a"}</definedName>
    <definedName name="Journal">#REF!</definedName>
    <definedName name="JPY">#REF!</definedName>
    <definedName name="jughn" hidden="1">{"M7_1Print",#N/A,TRUE,"M7_1";"M7_2Print",#N/A,TRUE,"M7_2"}</definedName>
    <definedName name="JUL">#REF!</definedName>
    <definedName name="JUN">#REF!</definedName>
    <definedName name="jw">#REF!</definedName>
    <definedName name="jytj" hidden="1">{"M7_1Print",#N/A,TRUE,"M7_1";"M7_2Print",#N/A,TRUE,"M7_2"}</definedName>
    <definedName name="k">#REF!</definedName>
    <definedName name="K130瑕疵房产">#REF!</definedName>
    <definedName name="K2_WBEVMODE" hidden="1">-1</definedName>
    <definedName name="KA_1">#REF!</definedName>
    <definedName name="KA_2">#REF!</definedName>
    <definedName name="KAN">#REF!</definedName>
    <definedName name="KAZU">#REF!</definedName>
    <definedName name="KCTZ1">#REF!</definedName>
    <definedName name="KCTZ2">#REF!</definedName>
    <definedName name="kk">#REF!</definedName>
    <definedName name="kkk" hidden="1">{#N/A,#N/A,FALSE,"OffAdvance";#N/A,#N/A,FALSE,"OffExpRprt";#N/A,#N/A,FALSE,"Entertmnt";#N/A,#N/A,FALSE,"Promotion";#N/A,#N/A,FALSE,"Travelling"}</definedName>
    <definedName name="kljik" hidden="1">{#N/A,#N/A,FALSE,"OffAdvance";#N/A,#N/A,FALSE,"OffExpRprt";#N/A,#N/A,FALSE,"Entertmnt";#N/A,#N/A,FALSE,"Promotion";#N/A,#N/A,FALSE,"Travelling"}</definedName>
    <definedName name="kma">#REF!</definedName>
    <definedName name="kmb">#REF!</definedName>
    <definedName name="KRW">#REF!</definedName>
    <definedName name="Ksun">#REF!</definedName>
    <definedName name="kuj" hidden="1">{"M6Print",#N/A,FALSE,"M6";"M6_1Print",#N/A,FALSE,"M6_1";"M6_2Print",#N/A,FALSE,"M6_2"}</definedName>
    <definedName name="LandAreaSqM">#REF!</definedName>
    <definedName name="LandOwner">#REF!</definedName>
    <definedName name="last">#REF!</definedName>
    <definedName name="Last_Row">IF(Values_Entered,Header_Row+Number_of_Payments,Header_Row)</definedName>
    <definedName name="LASTCOLUMNCELL">#REF!</definedName>
    <definedName name="Level">#REF!</definedName>
    <definedName name="levelo">#REF!</definedName>
    <definedName name="List">#REF!</definedName>
    <definedName name="Loan_Amount">#REF!</definedName>
    <definedName name="Loan_Start">#REF!</definedName>
    <definedName name="Loan_Years">#REF!</definedName>
    <definedName name="LOOP">#REF!</definedName>
    <definedName name="LotusGraphChart1" hidden="1">#REF!</definedName>
    <definedName name="lotusgraphchart1b" hidden="1">#REF!</definedName>
    <definedName name="lotusgraphchart1x" hidden="1">#REF!</definedName>
    <definedName name="LRZE1">#REF!</definedName>
    <definedName name="LRZE2">#REF!</definedName>
    <definedName name="LRZE3">#REF!</definedName>
    <definedName name="lse.purch">#REF!</definedName>
    <definedName name="LStIC">#REF!</definedName>
    <definedName name="lu" hidden="1">{"M1sPrint",#N/A,FALSE,"M1s"}</definedName>
    <definedName name="lx">#REF!</definedName>
    <definedName name="LXSR1">#REF!</definedName>
    <definedName name="LXSR2">#REF!</definedName>
    <definedName name="LXSR3">#REF!</definedName>
    <definedName name="lxw">#REF!</definedName>
    <definedName name="LXZC1">#REF!</definedName>
    <definedName name="LXZC2">#REF!</definedName>
    <definedName name="LXZC3">#REF!</definedName>
    <definedName name="LY_Period">#REF!</definedName>
    <definedName name="m">#REF!</definedName>
    <definedName name="M_PlaceofPath" hidden="1">"F:\danders\COMPANY\HET\HET_VDF.XLS"</definedName>
    <definedName name="machine_list">#REF!</definedName>
    <definedName name="Macro1">#REF!</definedName>
    <definedName name="MANAGEMENT">#REF!</definedName>
    <definedName name="MAP">#REF!</definedName>
    <definedName name="Mapping">#REF!</definedName>
    <definedName name="MAR">#REF!</definedName>
    <definedName name="Mar_pyr_prod">#REF!</definedName>
    <definedName name="MATRIX">#REF!</definedName>
    <definedName name="MAY">#REF!</definedName>
    <definedName name="MEDIA">#REF!</definedName>
    <definedName name="method">#REF!</definedName>
    <definedName name="mklkjl">#REF!</definedName>
    <definedName name="mno">#REF!</definedName>
    <definedName name="month">#REF!</definedName>
    <definedName name="Monthly_Profit_And_Loss">#REF!</definedName>
    <definedName name="MOP">#REF!</definedName>
    <definedName name="MR">#REF!</definedName>
    <definedName name="MYR">#REF!</definedName>
    <definedName name="n" hidden="1">{"M2Print",#N/A,FALSE,"M2"}</definedName>
    <definedName name="name">#REF!</definedName>
    <definedName name="NameList">#REF!</definedName>
    <definedName name="Natrual">#REF!</definedName>
    <definedName name="new" hidden="1">{#N/A,#N/A,FALSE,"Jan"}</definedName>
    <definedName name="newname" hidden="1">{"RevMatSummary2",#N/A,FALSE,"RevMat Sum";"FrontierPerUnit2",#N/A,FALSE,"Frontier";"FrontierDollars2",#N/A,FALSE,"Frontier";"XterraPerUnit2",#N/A,FALSE,"Xterra";"XterraDollars2",#N/A,FALSE,"Xterra";"TKPerUnit2",#N/A,FALSE,"TK";"TKDollars2",#N/A,FALSE,"TK";"AltimaPerUnit2",#N/A,FALSE,"Altima";"AltimaDollars2",#N/A,FALSE,"Altima";"QVStampPerUnit2",#N/A,FALSE,"QV Stmp";"QVStampDollars2",#N/A,FALSE,"QV Stmp";"QVEnginePerUnit2",#N/A,FALSE,"QV Eng";"QVEngineDollars2",#N/A,FALSE,"QV Eng";"QVTranPerUnit2",#N/A,FALSE,"QV Eng";"QVTranDollars2",#N/A,FALSE,"QV Tran";"PartsDollars2",#N/A,FALSE,"Parts"}</definedName>
    <definedName name="newname2" hidden="1">{"Year 1 Variance Walk Across",#N/A,FALSE,"Variance Summary";"Year 2 Variance Walk Across",#N/A,FALSE,"Variance Summary";"Year 3 Variance Walk Across",#N/A,FALSE,"Variance Summary"}</definedName>
    <definedName name="ngn" hidden="1">{"M1Print",#N/A,TRUE,"M1";"M2Print",#N/A,TRUE,"M2";"M1sPrint",#N/A,TRUE,"M1s";"M2aPrint",#N/A,TRUE,"M2a";"M4Print",#N/A,TRUE,"M4";"M5Print",#N/A,TRUE,"M5";"M6Print",#N/A,TRUE,"M6";"M6_1Print",#N/A,TRUE,"M6_1";"M6_2Print",#N/A,TRUE,"M6_2";"M7_1Print",#N/A,TRUE,"M7_1";"M7_2Print",#N/A,TRUE,"M7_2"}</definedName>
    <definedName name="NISSAN_MEXICANA_S.A._DE_C.V.">#REF!</definedName>
    <definedName name="NK">#REF!</definedName>
    <definedName name="no">#REF!</definedName>
    <definedName name="no_inst">#REF!</definedName>
    <definedName name="no_pay">#REF!</definedName>
    <definedName name="Non_Gross_Up">#REF!</definedName>
    <definedName name="note">#REF!</definedName>
    <definedName name="note3">#REF!,#REF!</definedName>
    <definedName name="note4">#REF!</definedName>
    <definedName name="Note5">#REF!</definedName>
    <definedName name="Notes">#REF!</definedName>
    <definedName name="notes_catalog">#REF!</definedName>
    <definedName name="notused" hidden="1">{#N/A,#N/A,TRUE,"CPRD";#N/A,#N/A,TRUE,"BCCPDR";#N/A,#N/A,TRUE,"EWRD";#N/A,#N/A,TRUE,"5100";#N/A,#N/A,TRUE,"5110"}</definedName>
    <definedName name="NOV">#REF!</definedName>
    <definedName name="Null">#REF!</definedName>
    <definedName name="NUM_DOCS">#REF!</definedName>
    <definedName name="Num_Pmt_Per_Year">#REF!</definedName>
    <definedName name="Number_of_Month">#REF!</definedName>
    <definedName name="Number_of_Payments">MATCH(0.01,End_Bal,-1)+1</definedName>
    <definedName name="NvsASD">"V2001-12-31"</definedName>
    <definedName name="NvsAutoDrillOk">"VN"</definedName>
    <definedName name="NvsElapsedTime">0.000181828705535736</definedName>
    <definedName name="NvsEndTime">37274.7274061343</definedName>
    <definedName name="NvsInstSpec">"%"</definedName>
    <definedName name="NvsLayoutType">"M3"</definedName>
    <definedName name="NvsPanelEffdt">"V1900-01-01"</definedName>
    <definedName name="NvsPanelSetid">"VFCMNY"</definedName>
    <definedName name="NvsReqBU">"VFCMHK"</definedName>
    <definedName name="NvsReqBUOnly">"VY"</definedName>
    <definedName name="NvsTransLed">"VN"</definedName>
    <definedName name="NvsTreeASD">"V2001-12-31"</definedName>
    <definedName name="NvsValTbl.ACCOUNT">"GL_ACCOUNT_TBL"</definedName>
    <definedName name="NZD">#REF!</definedName>
    <definedName name="O">#REF!</definedName>
    <definedName name="O1_2">#REF!</definedName>
    <definedName name="O1_2_1">#REF!</definedName>
    <definedName name="OA">#REF!</definedName>
    <definedName name="OAMT">#REF!</definedName>
    <definedName name="OAPR">#REF!</definedName>
    <definedName name="OAUG">#REF!</definedName>
    <definedName name="oCFactor">#REF!</definedName>
    <definedName name="ocompany">#REF!</definedName>
    <definedName name="OCT">#REF!</definedName>
    <definedName name="ocurrenty">#REF!</definedName>
    <definedName name="ODEC">#REF!</definedName>
    <definedName name="OFEB">#REF!</definedName>
    <definedName name="oforecasetyear">#REF!</definedName>
    <definedName name="ohistoric">#REF!</definedName>
    <definedName name="OI_Var_Output">#REF!</definedName>
    <definedName name="OILMOVE">#REF!</definedName>
    <definedName name="OILMOVEKE">#REF!</definedName>
    <definedName name="OJAN">#REF!</definedName>
    <definedName name="OJUL">#REF!</definedName>
    <definedName name="OJUN">#REF!</definedName>
    <definedName name="old">#REF!</definedName>
    <definedName name="oldbudgetyear">#REF!</definedName>
    <definedName name="OLOC">#REF!</definedName>
    <definedName name="OMAR">#REF!</definedName>
    <definedName name="OMAY">#REF!</definedName>
    <definedName name="One">#REF!</definedName>
    <definedName name="ONOV">#REF!</definedName>
    <definedName name="oo">#REF!</definedName>
    <definedName name="OOCT">#REF!</definedName>
    <definedName name="ooo" hidden="1">{#N/A,#N/A,FALSE,"Sales  total 9712";#N/A,#N/A,FALSE,"Sales  total 9712";#N/A,#N/A,FALSE,"Sales  total 9712";#N/A,#N/A,FALSE,"Sales  total 9712"}</definedName>
    <definedName name="OP_nature">#REF!</definedName>
    <definedName name="OPPORTUNITY">#REF!</definedName>
    <definedName name="Ops_Data">#REF!</definedName>
    <definedName name="OPYS">#REF!</definedName>
    <definedName name="OR">{"M7_1Print",#N/A,TRUE,"M7_1";"M7_2Print",#N/A,TRUE,"M7_2"}</definedName>
    <definedName name="Order_system">#REF!</definedName>
    <definedName name="OrderTable" hidden="1">#REF!</definedName>
    <definedName name="OSEP">#REF!</definedName>
    <definedName name="OT">#REF!</definedName>
    <definedName name="Others">#REF!</definedName>
    <definedName name="Out_of_balance">#REF!</definedName>
    <definedName name="outlook">#REF!</definedName>
    <definedName name="OutlookYear">#REF!</definedName>
    <definedName name="OUTPUT">#REF!</definedName>
    <definedName name="p">#REF!</definedName>
    <definedName name="P_AMOUNT">#REF!</definedName>
    <definedName name="P_COMMENT">#REF!</definedName>
    <definedName name="P_India">#REF!</definedName>
    <definedName name="P_SAfrica">#REF!</definedName>
    <definedName name="P_SouEast">#REF!</definedName>
    <definedName name="P_UKingdom">#REF!</definedName>
    <definedName name="P2A110PA">#REF!</definedName>
    <definedName name="P2A110YA">#REF!</definedName>
    <definedName name="P2A120PA">#REF!</definedName>
    <definedName name="P2A120YA">#REF!</definedName>
    <definedName name="P2A180PA">#REF!</definedName>
    <definedName name="P2A180YA">#REF!</definedName>
    <definedName name="P2A240PA">#REF!</definedName>
    <definedName name="P2A240YA">#REF!</definedName>
    <definedName name="P2A320PA">#REF!</definedName>
    <definedName name="P2A320YA">#REF!</definedName>
    <definedName name="P2A330PA">#REF!</definedName>
    <definedName name="P2A330YA">#REF!</definedName>
    <definedName name="P2A340PA">#REF!</definedName>
    <definedName name="P2A340YA">#REF!</definedName>
    <definedName name="P2A360PA">#REF!</definedName>
    <definedName name="P2A360YA">#REF!</definedName>
    <definedName name="P2A380PA">#REF!</definedName>
    <definedName name="P2A380YA">#REF!</definedName>
    <definedName name="P2A390PA">#REF!</definedName>
    <definedName name="P2A390YA">#REF!</definedName>
    <definedName name="P3030PA">#REF!</definedName>
    <definedName name="P3030YA">#REF!</definedName>
    <definedName name="P3050PA">#REF!</definedName>
    <definedName name="P3050YA">#REF!</definedName>
    <definedName name="P3060PA">#REF!</definedName>
    <definedName name="P3060YA">#REF!</definedName>
    <definedName name="P3070PA">#REF!</definedName>
    <definedName name="P3070YA">#REF!</definedName>
    <definedName name="P3090PA">#REF!</definedName>
    <definedName name="P3090YA">#REF!</definedName>
    <definedName name="P3100PA">#REF!</definedName>
    <definedName name="P3100YA">#REF!</definedName>
    <definedName name="P3110PA">#REF!</definedName>
    <definedName name="P3110YA">#REF!</definedName>
    <definedName name="P3120PA">#REF!</definedName>
    <definedName name="P3120YA">#REF!</definedName>
    <definedName name="P3130APA">#REF!</definedName>
    <definedName name="P3130AYA">#REF!</definedName>
    <definedName name="P3130PA">#REF!</definedName>
    <definedName name="P3130YA">#REF!</definedName>
    <definedName name="P3140PA">#REF!</definedName>
    <definedName name="P3140YA">#REF!</definedName>
    <definedName name="P3145PA">#REF!</definedName>
    <definedName name="P3145YA">#REF!</definedName>
    <definedName name="P3150PA">#REF!</definedName>
    <definedName name="P3150YA">#REF!</definedName>
    <definedName name="P3180PA">#REF!</definedName>
    <definedName name="P3180YA">#REF!</definedName>
    <definedName name="P3190PA">#REF!</definedName>
    <definedName name="P3190YA">#REF!</definedName>
    <definedName name="P3200PA">#REF!</definedName>
    <definedName name="P3200YA">#REF!</definedName>
    <definedName name="Package">#REF!</definedName>
    <definedName name="Part_Out">#REF!</definedName>
    <definedName name="part2">#REF!</definedName>
    <definedName name="PARTNERS_INITIALS">#REF!</definedName>
    <definedName name="parts">#REF!</definedName>
    <definedName name="password">#REF!</definedName>
    <definedName name="Pay_Date">#REF!</definedName>
    <definedName name="Pay_Num">#REF!</definedName>
    <definedName name="Payment_Date">DATE(YEAR(Loan_Start),MONTH(Loan_Start)+Payment_Number,DAY(Loan_Start))</definedName>
    <definedName name="payment查詢">#REF!</definedName>
    <definedName name="PB">#REF!</definedName>
    <definedName name="PB_SGA">#REF!</definedName>
    <definedName name="Per_Descr">#REF!</definedName>
    <definedName name="Period">#REF!</definedName>
    <definedName name="Period_hours">#REF!</definedName>
    <definedName name="permutation_mtrx">#REF!</definedName>
    <definedName name="PG_3">#REF!</definedName>
    <definedName name="PHP">#REF!</definedName>
    <definedName name="PL">#REF!</definedName>
    <definedName name="PL_6">#REF!</definedName>
    <definedName name="pl_unit">#REF!</definedName>
    <definedName name="PL_V1">#REF!</definedName>
    <definedName name="PL_V3">#REF!</definedName>
    <definedName name="Plan">#REF!</definedName>
    <definedName name="PlanVta">#REF!</definedName>
    <definedName name="PLASTIC_PLANTS">#REF!</definedName>
    <definedName name="PlatformCopyRange">#REF!</definedName>
    <definedName name="PlatformSortRange">#REF!</definedName>
    <definedName name="PLaudited">#REF!</definedName>
    <definedName name="PLopening">#REF!</definedName>
    <definedName name="PlotRatio">#REF!</definedName>
    <definedName name="plus">#REF!</definedName>
    <definedName name="PMot">#REF!</definedName>
    <definedName name="PO">#REF!</definedName>
    <definedName name="Pool">#REF!</definedName>
    <definedName name="Portfolio">#REF!</definedName>
    <definedName name="Pos_BU1">#REF!</definedName>
    <definedName name="Pos_BU2">#REF!</definedName>
    <definedName name="Pos_BUBeg">#REF!</definedName>
    <definedName name="Pos_BUEnd">#REF!</definedName>
    <definedName name="Pos_End">#REF!</definedName>
    <definedName name="Pos_FirstBU">#REF!</definedName>
    <definedName name="Pos_Total">#REF!</definedName>
    <definedName name="Pos_TtlBeg">#REF!</definedName>
    <definedName name="Pos_TtlEnd">#REF!</definedName>
    <definedName name="pp">#REF!</definedName>
    <definedName name="pppppppppppppp">#REF!</definedName>
    <definedName name="Prefecture">#REF!</definedName>
    <definedName name="prh">#REF!</definedName>
    <definedName name="Prices">#REF!</definedName>
    <definedName name="Princ">#REF!</definedName>
    <definedName name="print">#REF!</definedName>
    <definedName name="Print_Area_MI">#REF!</definedName>
    <definedName name="Print_Area_Reset">OFFSET(Full_Print,0,0,Last_Row)</definedName>
    <definedName name="Print_Area1">#REF!</definedName>
    <definedName name="print_operating_income">#REF!</definedName>
    <definedName name="Print_Titles_MI">#REF!</definedName>
    <definedName name="print1">#REF!</definedName>
    <definedName name="print2">#REF!</definedName>
    <definedName name="PrintArea">#REF!</definedName>
    <definedName name="prior">0</definedName>
    <definedName name="PriorRows">#REF!</definedName>
    <definedName name="ProdForm" hidden="1">#REF!</definedName>
    <definedName name="Product" hidden="1">#REF!</definedName>
    <definedName name="Prof_by_Prod_2000">#REF!</definedName>
    <definedName name="Prof_by_Prod_2000_PerUnits">#REF!</definedName>
    <definedName name="Prof_by_Prod_2001">#REF!</definedName>
    <definedName name="Prof_by_Prod_2001_PerUnits">#REF!</definedName>
    <definedName name="Prof_by_Prod_99">#REF!</definedName>
    <definedName name="Prof_by_Prod_99_1stHalf">#REF!</definedName>
    <definedName name="Prof_by_Prod_99_1stHalf_PerUnits">#REF!</definedName>
    <definedName name="Prof_by_Prod_99_2ndHalf">#REF!</definedName>
    <definedName name="Prof_by_Prod_99_2ndHalf_PerUnits">#REF!</definedName>
    <definedName name="Prof_by_Prod_99_PerUnits">#REF!</definedName>
    <definedName name="Profit_ENI">#REF!</definedName>
    <definedName name="Profit_Loss">#REF!</definedName>
    <definedName name="Profit_Loss_ENI">#REF!</definedName>
    <definedName name="Profit_Loss_FE">#REF!</definedName>
    <definedName name="program">#REF!</definedName>
    <definedName name="PropertyType">#REF!</definedName>
    <definedName name="prrspill">#REF!</definedName>
    <definedName name="PSUEDO">#REF!</definedName>
    <definedName name="pt">#REF!</definedName>
    <definedName name="PtesProv">#REF!</definedName>
    <definedName name="Purchase_In">#REF!</definedName>
    <definedName name="Purchase_In_1999">#REF!</definedName>
    <definedName name="purchases.fy96">#REF!</definedName>
    <definedName name="pzh">#REF!</definedName>
    <definedName name="pzr">#REF!</definedName>
    <definedName name="qad">#REF!</definedName>
    <definedName name="QADs">#REF!</definedName>
    <definedName name="QD">#REF!</definedName>
    <definedName name="qq">#REF!</definedName>
    <definedName name="qqq">#REF!</definedName>
    <definedName name="QQQQ">#REF!</definedName>
    <definedName name="qwe">#REF!</definedName>
    <definedName name="qwerty">#REF!</definedName>
    <definedName name="qwertyuiopasdfghjkl" hidden="1">{"M2aPrint",#N/A,FALSE,"M2a"}</definedName>
    <definedName name="QwNmm">#REF!</definedName>
    <definedName name="qwq">#REF!</definedName>
    <definedName name="qwwertyuiop" hidden="1">{"M2Print",#N/A,FALSE,"M2"}</definedName>
    <definedName name="rate">#REF!</definedName>
    <definedName name="RCArea" hidden="1">#REF!</definedName>
    <definedName name="RD">1</definedName>
    <definedName name="rdbms2">#REF!</definedName>
    <definedName name="rea">#REF!</definedName>
    <definedName name="REALCOA">#REF!</definedName>
    <definedName name="Reclass">#REF!</definedName>
    <definedName name="Reclass97">#REF!</definedName>
    <definedName name="RecordedAuditDifferences">#REF!</definedName>
    <definedName name="rees">#REF!</definedName>
    <definedName name="REM">#REF!</definedName>
    <definedName name="Remark">#REF!</definedName>
    <definedName name="Rep_Curr">#REF!</definedName>
    <definedName name="Report">#REF!</definedName>
    <definedName name="Report_automation">#REF!</definedName>
    <definedName name="Report_date">#REF!</definedName>
    <definedName name="Report_Version_4">"A1"</definedName>
    <definedName name="Reporting_Period">#REF!</definedName>
    <definedName name="ReportMonth">#REF!</definedName>
    <definedName name="Resources">#REF!</definedName>
    <definedName name="resources_list">#REF!</definedName>
    <definedName name="RevMgtfee">#REF!</definedName>
    <definedName name="RevRent">#REF!</definedName>
    <definedName name="rfwerf">#REF!</definedName>
    <definedName name="rita">#REF!</definedName>
    <definedName name="RJE" hidden="1">{"toptrial",#N/A,TRUE,"toptrial";"adjustment",#N/A,TRUE,"toptrial";"voucher",#N/A,TRUE,"toptrial"}</definedName>
    <definedName name="rl">#REF!</definedName>
    <definedName name="RMB_USD_xrate">#REF!</definedName>
    <definedName name="rmuq" hidden="1">{"B10-2000",#N/A,FALSE,"BL2000"}</definedName>
    <definedName name="Rollforward_Wp">#REF!</definedName>
    <definedName name="round">1</definedName>
    <definedName name="ROVND">#REF!</definedName>
    <definedName name="rpt">#REF!</definedName>
    <definedName name="rthrth">#REF!</definedName>
    <definedName name="rwewrwe" hidden="1">{"Volume",#N/A,FALSE,"Nanjing";"capacity",#N/A,FALSE,"Nanjing"}</definedName>
    <definedName name="rydm">#REF!</definedName>
    <definedName name="RYQ">#REF!</definedName>
    <definedName name="s">{#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SAB">#REF!</definedName>
    <definedName name="sadff">#REF!</definedName>
    <definedName name="SALE_ROLL_12MO">#REF!</definedName>
    <definedName name="Sales">#REF!</definedName>
    <definedName name="SALES_TRANSACTION_TEST_DETAILS">#REF!</definedName>
    <definedName name="Sales_Var_Output">#REF!</definedName>
    <definedName name="SAMT">#REF!</definedName>
    <definedName name="SAPBEXdnldView" hidden="1">"4D4WVRAZFXWLPKS3R52UJB0QG"</definedName>
    <definedName name="SAPBEXrevision" hidden="1">1</definedName>
    <definedName name="SAPBEXsysID" hidden="1">"PE4"</definedName>
    <definedName name="SAPBEXwbID" hidden="1">"3Q4R7W3VD66V3CXTGQHGIRCBE"</definedName>
    <definedName name="SAPR">#REF!</definedName>
    <definedName name="SAUG">#REF!</definedName>
    <definedName name="SBLV">#REF!</definedName>
    <definedName name="SBMV">#REF!</definedName>
    <definedName name="Sched_Pay">#REF!</definedName>
    <definedName name="schedule">#REF!</definedName>
    <definedName name="Scheduled_Extra_Payments">#REF!</definedName>
    <definedName name="Scheduled_Interest_Rate">#REF!</definedName>
    <definedName name="Scheduled_Monthly_Payment">#REF!</definedName>
    <definedName name="sd">#REF!</definedName>
    <definedName name="SDEC">#REF!</definedName>
    <definedName name="sdfdiuo">#REF!</definedName>
    <definedName name="sdfdpo">#REF!</definedName>
    <definedName name="sdfdsl">#REF!</definedName>
    <definedName name="sdfs" hidden="1">{"M1sPrint",#N/A,FALSE,"M1s"}</definedName>
    <definedName name="sdfsdfsdf">#REF!</definedName>
    <definedName name="sdfsdfsfdfsdfsdf">#REF!</definedName>
    <definedName name="sdfsf">#REF!</definedName>
    <definedName name="sdfw">#REF!</definedName>
    <definedName name="sdfwe">#REF!</definedName>
    <definedName name="sdfwersdf" hidden="1">{"capacity",#N/A,FALSE,"Xian";"Volume",#N/A,FALSE,"Xian"}</definedName>
    <definedName name="sdggww">#REF!</definedName>
    <definedName name="SDS">#REF!</definedName>
    <definedName name="SECI">#REF!</definedName>
    <definedName name="SECII">#REF!</definedName>
    <definedName name="SECIL">#REF!</definedName>
    <definedName name="SEDD">#REF!</definedName>
    <definedName name="SEHK">#REF!</definedName>
    <definedName name="Selection">#REF!</definedName>
    <definedName name="SelectMethod">#REF!</definedName>
    <definedName name="SelectOrder">#REF!</definedName>
    <definedName name="SELV">#REF!</definedName>
    <definedName name="SEN">#REF!</definedName>
    <definedName name="SEP">#REF!</definedName>
    <definedName name="seppas">#REF!</definedName>
    <definedName name="SERVICE">#REF!</definedName>
    <definedName name="SERVKE">#REF!</definedName>
    <definedName name="SETW">#REF!</definedName>
    <definedName name="SFEB">#REF!</definedName>
    <definedName name="sffq">#REF!</definedName>
    <definedName name="sfsdf">#REF!</definedName>
    <definedName name="SGD">#REF!</definedName>
    <definedName name="sgsfwwe">#REF!</definedName>
    <definedName name="sh">#REF!</definedName>
    <definedName name="shadeB8">#REF!,#REF!,#REF!,#REF!,#REF!,#REF!,#REF!</definedName>
    <definedName name="shadeB9">#REF!,#REF!,#REF!</definedName>
    <definedName name="sheet">#REF!</definedName>
    <definedName name="sheet1">#REF!</definedName>
    <definedName name="Sheet1___0">#REF!</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heet10">#REF!</definedName>
    <definedName name="Sheet11">#REF!</definedName>
    <definedName name="Sheet12">#REF!</definedName>
    <definedName name="Sheet13">#REF!</definedName>
    <definedName name="Sheet2">#REF!</definedName>
    <definedName name="Sheet3">#REF!</definedName>
    <definedName name="Sheet4">#REF!</definedName>
    <definedName name="Sheet5">#REF!</definedName>
    <definedName name="Sheet6">#REF!</definedName>
    <definedName name="Sheet7">#REF!</definedName>
    <definedName name="Sheet8">#REF!</definedName>
    <definedName name="Sheet9">#REF!</definedName>
    <definedName name="shuijingjifujia.dbf">#REF!</definedName>
    <definedName name="SJAN">#REF!</definedName>
    <definedName name="SJUL">#REF!</definedName>
    <definedName name="SJUN">#REF!</definedName>
    <definedName name="SLOC">#REF!</definedName>
    <definedName name="SMAR">#REF!</definedName>
    <definedName name="SMAY">#REF!</definedName>
    <definedName name="SNOV">#REF!</definedName>
    <definedName name="SOCT">#REF!</definedName>
    <definedName name="SOD">#REF!</definedName>
    <definedName name="SOLDURENE">#REF!</definedName>
    <definedName name="SPEC">#REF!</definedName>
    <definedName name="SpecialPrice" hidden="1">#REF!</definedName>
    <definedName name="SPYS">#REF!</definedName>
    <definedName name="src">#REF!</definedName>
    <definedName name="ss">#REF!</definedName>
    <definedName name="SSC">#REF!</definedName>
    <definedName name="SSD">#REF!</definedName>
    <definedName name="SSEP">#REF!</definedName>
    <definedName name="SSG">#REF!</definedName>
    <definedName name="SSIC">#REF!</definedName>
    <definedName name="SSL">#REF!</definedName>
    <definedName name="SSLVTA">#REF!</definedName>
    <definedName name="SSPDEA">#REF!</definedName>
    <definedName name="sss">#REF!</definedName>
    <definedName name="sssc">#REF!</definedName>
    <definedName name="sssz" hidden="1">{#N/A,#N/A,FALSE,"资产负债表";#N/A,#N/A,FALSE,"资产负债表"}</definedName>
    <definedName name="Start">#REF!</definedName>
    <definedName name="Status_list">#REF!</definedName>
    <definedName name="STEEL_PLANTS">#REF!</definedName>
    <definedName name="Steps">#REF!</definedName>
    <definedName name="Stockpro">#REF!</definedName>
    <definedName name="STUDIO">#REF!</definedName>
    <definedName name="SUB">#REF!</definedName>
    <definedName name="SUB2拡">#REF!</definedName>
    <definedName name="SUB3拡">#REF!</definedName>
    <definedName name="SUB4拡">#REF!</definedName>
    <definedName name="SUB5拡">#REF!</definedName>
    <definedName name="SUB6拡">#REF!</definedName>
    <definedName name="SUB7拡">#REF!</definedName>
    <definedName name="SUB拡">#REF!</definedName>
    <definedName name="SULFUR">#REF!</definedName>
    <definedName name="sum.96">#REF!</definedName>
    <definedName name="sum.97">#REF!</definedName>
    <definedName name="sum.98">#REF!</definedName>
    <definedName name="summary">#REF!</definedName>
    <definedName name="SummaryAuditDifferences">#REF!</definedName>
    <definedName name="SurveyName">#REF!</definedName>
    <definedName name="SWOT_BPU">#REF!</definedName>
    <definedName name="SWOT_COA">#REF!</definedName>
    <definedName name="SWOT_CoCode">#REF!</definedName>
    <definedName name="SWOT_MktCodeJ">#REF!</definedName>
    <definedName name="SWOT_MktCodeROW">#REF!</definedName>
    <definedName name="SWOT_PlantCode">#REF!</definedName>
    <definedName name="SWOT_ProdType">#REF!</definedName>
    <definedName name="SWOT_ProjCode">#REF!</definedName>
    <definedName name="SWOT_TransCode">#REF!</definedName>
    <definedName name="Sy_nop" hidden="1">1</definedName>
    <definedName name="szh">#REF!</definedName>
    <definedName name="szr">#REF!</definedName>
    <definedName name="T">#REF!</definedName>
    <definedName name="T_T9">#REF!</definedName>
    <definedName name="T3_10_6P">#REF!</definedName>
    <definedName name="T3_10_6T">#REF!</definedName>
    <definedName name="T3_10_6Z">#REF!</definedName>
    <definedName name="T3_4P">#REF!</definedName>
    <definedName name="T3_4T">#REF!</definedName>
    <definedName name="T3_4Z">#REF!</definedName>
    <definedName name="T3_9P">#REF!</definedName>
    <definedName name="T3_9T">#REF!</definedName>
    <definedName name="T3_9Z">#REF!</definedName>
    <definedName name="T5_1_1PJ">#REF!</definedName>
    <definedName name="T5_1_1PY">#REF!</definedName>
    <definedName name="T5_1_1TJ">#REF!</definedName>
    <definedName name="T5_1_1TY">#REF!</definedName>
    <definedName name="T5_1_1ZJ">#REF!</definedName>
    <definedName name="T5_1_1ZY">#REF!</definedName>
    <definedName name="T5_1_2PJ">#REF!</definedName>
    <definedName name="T5_1_2PY">#REF!</definedName>
    <definedName name="T5_1_2TJ">#REF!</definedName>
    <definedName name="T5_1_2TY">#REF!</definedName>
    <definedName name="T5_1_2ZJ">#REF!</definedName>
    <definedName name="T5_1_2ZY">#REF!</definedName>
    <definedName name="T5_2_1PJ">#REF!</definedName>
    <definedName name="T5_2_1PY">#REF!</definedName>
    <definedName name="T5_2_1TJ">#REF!</definedName>
    <definedName name="T5_2_1TY">#REF!</definedName>
    <definedName name="T5_2_1ZJ">#REF!</definedName>
    <definedName name="T5_2_1ZY">#REF!</definedName>
    <definedName name="T5_2_2PJ">#REF!</definedName>
    <definedName name="T5_2_2PY">#REF!</definedName>
    <definedName name="T5_2_2TJ">#REF!</definedName>
    <definedName name="T5_2_2TY">#REF!</definedName>
    <definedName name="T5_2_2ZJ">#REF!</definedName>
    <definedName name="T5_2_2ZY">#REF!</definedName>
    <definedName name="T5_2_3PJ">#REF!</definedName>
    <definedName name="T5_2_3PY">#REF!</definedName>
    <definedName name="T5_2_3TJ">#REF!</definedName>
    <definedName name="T5_2_3TY">#REF!</definedName>
    <definedName name="T5_2_3ZJ">#REF!</definedName>
    <definedName name="T5_2_3ZY">#REF!</definedName>
    <definedName name="T5_4_2P">#REF!</definedName>
    <definedName name="T5_4_2T">#REF!</definedName>
    <definedName name="T5_4_2Z">#REF!</definedName>
    <definedName name="TABLE">#REF!</definedName>
    <definedName name="tagconnt">#REF!</definedName>
    <definedName name="tagcount2">#REF!</definedName>
    <definedName name="tatcol">#REF!</definedName>
    <definedName name="tatpl">#REF!</definedName>
    <definedName name="tatrow">#REF!</definedName>
    <definedName name="tbl_ProdInfo" hidden="1">#REF!</definedName>
    <definedName name="terh" hidden="1">{#N/A,#N/A,FALSE,"OffAdvance";#N/A,#N/A,FALSE,"OffExpRprt";#N/A,#N/A,FALSE,"Entertmnt";#N/A,#N/A,FALSE,"Promotion";#N/A,#N/A,FALSE,"Travelling"}</definedName>
    <definedName name="TERM_C8">#REF!</definedName>
    <definedName name="TERM_PB">#REF!</definedName>
    <definedName name="terms">#REF!</definedName>
    <definedName name="test\">#REF!</definedName>
    <definedName name="TEST0">#REF!</definedName>
    <definedName name="TEST1">#REF!</definedName>
    <definedName name="TEST2">#REF!</definedName>
    <definedName name="TEST3">#REF!</definedName>
    <definedName name="TESTHKEY">#REF!</definedName>
    <definedName name="Testing">#REF!</definedName>
    <definedName name="TESTKEYS">#REF!</definedName>
    <definedName name="TESTVKEY">#REF!</definedName>
    <definedName name="TextRefCopy1">#REF!</definedName>
    <definedName name="TextRefCopy10">#REF!</definedName>
    <definedName name="TextRefCopy11">#REF!</definedName>
    <definedName name="TextRefCopy12">#REF!</definedName>
    <definedName name="TextRefCopy13">#REF!</definedName>
    <definedName name="TextRefCopy14">#REF!</definedName>
    <definedName name="TextRefCopy15">#REF!</definedName>
    <definedName name="TextRefCopy16">#REF!</definedName>
    <definedName name="TextRefCopy17">#REF!</definedName>
    <definedName name="TextRefCopy181">#REF!</definedName>
    <definedName name="TextRefCopy2">#REF!</definedName>
    <definedName name="TextRefCopy20">#REF!</definedName>
    <definedName name="TextRefCopy21">#REF!</definedName>
    <definedName name="TextRefCopy225">#REF!</definedName>
    <definedName name="TextRefCopy227">#REF!</definedName>
    <definedName name="TextRefCopy228">#REF!</definedName>
    <definedName name="TextRefCopy3">#REF!</definedName>
    <definedName name="TextRefCopy4">#REF!</definedName>
    <definedName name="TextRefCopy5">#REF!</definedName>
    <definedName name="TextRefCopy6">#REF!</definedName>
    <definedName name="TextRefCopy7">#REF!</definedName>
    <definedName name="TextRefCopy8">#REF!</definedName>
    <definedName name="TextRefCopy9">#REF!</definedName>
    <definedName name="TextRefCopyRangeCount" hidden="1">5</definedName>
    <definedName name="tfhg" hidden="1">{"M1Print",#N/A,FALSE,"M1"}</definedName>
    <definedName name="tgggg">#REF!</definedName>
    <definedName name="THB">#REF!</definedName>
    <definedName name="the" hidden="1">{#N/A,#N/A,FALSE,"Marketing";#N/A,#N/A,FALSE,"Selling";#N/A,#N/A,FALSE,"Promotional";#N/A,#N/A,FALSE,"Advertising"}</definedName>
    <definedName name="time">#REF!</definedName>
    <definedName name="TipoCambio">#REF!</definedName>
    <definedName name="TIT">#REF!</definedName>
    <definedName name="TJMG">#REF!</definedName>
    <definedName name="TM">#REF!</definedName>
    <definedName name="TO">#REF!</definedName>
    <definedName name="Toggle1">#REF!</definedName>
    <definedName name="ToggleCheckSum">#REF!</definedName>
    <definedName name="TOM">#REF!</definedName>
    <definedName name="TOTAL">#REF!</definedName>
    <definedName name="total.contracts.os">#REF!</definedName>
    <definedName name="Total_Assets">#REF!</definedName>
    <definedName name="Total_BU">#REF!</definedName>
    <definedName name="total_by_afe">#REF!</definedName>
    <definedName name="Total_Control">#REF!</definedName>
    <definedName name="Total_Interest">#REF!</definedName>
    <definedName name="Total_Liab_OE">#REF!</definedName>
    <definedName name="Total_Pay">#REF!</definedName>
    <definedName name="Total_Payment">Scheduled_Payment+Extra_Payment</definedName>
    <definedName name="TotalAwardCount">#REF!</definedName>
    <definedName name="TOTALS">#REF!</definedName>
    <definedName name="TPL">#REF!</definedName>
    <definedName name="Trade_Debtor_Current">#REF!</definedName>
    <definedName name="Trade_Debtor_Prior">#REF!</definedName>
    <definedName name="TRAFFIC">#REF!</definedName>
    <definedName name="Treasury_code">#REF!</definedName>
    <definedName name="TrendMonth">#REF!,#REF!,#REF!,#REF!</definedName>
    <definedName name="TT">#REF!</definedName>
    <definedName name="TTT">#REF!</definedName>
    <definedName name="ttttttt">#REF!</definedName>
    <definedName name="Turn_around_effect_of_prior_period_unrecorded_audit_differences__after_tax">#REF!</definedName>
    <definedName name="TWD">#REF!</definedName>
    <definedName name="Two_Blue">#REF!</definedName>
    <definedName name="two_white">#REF!</definedName>
    <definedName name="tycj_rt.k" hidden="1">{"capcity",#N/A,FALSE,"Xiamen (chn)";"volume",#N/A,FALSE,"Xiamen (chn)"}</definedName>
    <definedName name="TYPE">#REF!</definedName>
    <definedName name="tyurttyu">#REF!</definedName>
    <definedName name="TZSY1">#REF!</definedName>
    <definedName name="TZSY2">#REF!</definedName>
    <definedName name="TZSY3">#REF!</definedName>
    <definedName name="u">#REF!</definedName>
    <definedName name="UFPr11111111111111">#REF!</definedName>
    <definedName name="UFPrn19991231165647">#REF!</definedName>
    <definedName name="UFPrn20000309112818">#N/A</definedName>
    <definedName name="UFPrn20000313111847">#REF!</definedName>
    <definedName name="UFPrn20000313111932">#REF!</definedName>
    <definedName name="UFPrn20000313111958">#REF!</definedName>
    <definedName name="UFPrn20000313112054">#REF!</definedName>
    <definedName name="UFPrn20000313112135">#REF!</definedName>
    <definedName name="UFPrn20001127150923">#REF!</definedName>
    <definedName name="UFPrn20010301092424">#REF!</definedName>
    <definedName name="UFPrn20010329162024">#REF!</definedName>
    <definedName name="UFPrn20010427131525">#REF!</definedName>
    <definedName name="UFPrn20010627140408">#REF!</definedName>
    <definedName name="UFPrn20010731125819">#REF!</definedName>
    <definedName name="UFPrn20020117173634">#REF!</definedName>
    <definedName name="UFPrn20020124090938">#REF!</definedName>
    <definedName name="UFPrn20020129135956">#REF!</definedName>
    <definedName name="UFPrn20020129140103">#REF!</definedName>
    <definedName name="UFPrn20020129140202">#REF!</definedName>
    <definedName name="UFPrn20020129140404">#REF!</definedName>
    <definedName name="UFPrn20020129140614">#REF!</definedName>
    <definedName name="UFPrn20020129140653">#REF!</definedName>
    <definedName name="UFPrn20020129140730">#REF!</definedName>
    <definedName name="UFPrn20020201152344">#REF!</definedName>
    <definedName name="UFPrn20020301105444">#REF!</definedName>
    <definedName name="UFPrn20020302105521">#REF!</definedName>
    <definedName name="UFPrn20020302105727">#REF!</definedName>
    <definedName name="UFPrn20020302141827">#REF!</definedName>
    <definedName name="UFPrn20020302141857">#REF!</definedName>
    <definedName name="UFPrn20020302141928">#REF!</definedName>
    <definedName name="UFPrn20020302142027">#REF!</definedName>
    <definedName name="UFPrn20020302142059">#REF!</definedName>
    <definedName name="UFPrn20020302142134">#REF!</definedName>
    <definedName name="UFPrn20020302142201">#REF!</definedName>
    <definedName name="UFPrn20020302142228">#REF!</definedName>
    <definedName name="UFPrn20020303093924">#REF!</definedName>
    <definedName name="UFPrn20020303094009">#REF!</definedName>
    <definedName name="UFPrn20020303094056">#REF!</definedName>
    <definedName name="UFPrn20020303094209">#REF!</definedName>
    <definedName name="UFPrn20020303094311">#REF!</definedName>
    <definedName name="UFPrn20020303094400">#REF!</definedName>
    <definedName name="UFPrn20020309161349">#REF!</definedName>
    <definedName name="UFPrn20020310141243">#REF!</definedName>
    <definedName name="UFPrn20020310141327">#REF!</definedName>
    <definedName name="UFPrn20020310141355">#REF!</definedName>
    <definedName name="UFPrn20020310141456">#REF!</definedName>
    <definedName name="UFPrn20020310141539">#REF!</definedName>
    <definedName name="UFPrn20020310141619">#REF!</definedName>
    <definedName name="UFPrn20020310141651">#REF!</definedName>
    <definedName name="UFPrn20020310142531">#REF!</definedName>
    <definedName name="UFPrn20020310142744">#REF!</definedName>
    <definedName name="UFPrn20020310142844">#REF!</definedName>
    <definedName name="UFPrn20020310143105">#REF!</definedName>
    <definedName name="UFPrn20020310143151">#REF!</definedName>
    <definedName name="UFPrn20020317170200">#REF!</definedName>
    <definedName name="UFPrn20020402074959">#REF!</definedName>
    <definedName name="UFPrn20020410162648">#REF!</definedName>
    <definedName name="UFPrn20020410162723">#REF!</definedName>
    <definedName name="UFPrn20020412131758">#REF!</definedName>
    <definedName name="UFPrn20020426154224">#REF!</definedName>
    <definedName name="UFPrn20020512132904">#REF!</definedName>
    <definedName name="UFPrn20020512133216">#REF!</definedName>
    <definedName name="UFPrn20020512133446">#REF!</definedName>
    <definedName name="UFPrn20020512133446___0">#REF!</definedName>
    <definedName name="UFPrn20020514162052">#REF!</definedName>
    <definedName name="UFPrn20020515151820">#REF!</definedName>
    <definedName name="UFPrn20020516085428">#REF!</definedName>
    <definedName name="UFPrn20020516085450">#REF!</definedName>
    <definedName name="UFPrn20020516085548">#REF!</definedName>
    <definedName name="UFPrn20020518075016">#REF!</definedName>
    <definedName name="UFPrn20020518075046">#REF!</definedName>
    <definedName name="UFPrn20020518075129">#REF!</definedName>
    <definedName name="UFPrn20020518075157">#REF!</definedName>
    <definedName name="UFPrn20020518104748">#REF!</definedName>
    <definedName name="UFPrn20020518164527">#REF!</definedName>
    <definedName name="UFPrn20020518164605">#REF!</definedName>
    <definedName name="UFPrn20020518164633">#REF!</definedName>
    <definedName name="UFPrn20020518164701">#REF!</definedName>
    <definedName name="UFPrn20020521171203">#REF!</definedName>
    <definedName name="UFPrn20020529171544">#REF!</definedName>
    <definedName name="UFPrn20020615203025">#REF!</definedName>
    <definedName name="UFPrn20020620095146">#REF!</definedName>
    <definedName name="UFPrn20020629113817">#REF!</definedName>
    <definedName name="UFPrn20020711084913">#REF!</definedName>
    <definedName name="UFPrn20020711105251">#REF!</definedName>
    <definedName name="UFPrn20020715105421">#REF!</definedName>
    <definedName name="UFPrn20020715105542">#REF!</definedName>
    <definedName name="UFPrn20020727154336">#REF!</definedName>
    <definedName name="UFPrn20020930104006">#REF!</definedName>
    <definedName name="UFPrn20021030155941">#REF!</definedName>
    <definedName name="UFPrn20021031143345">#REF!</definedName>
    <definedName name="UFPrn20021105185509">#REF!</definedName>
    <definedName name="UFPrn20021113090847">#REF!</definedName>
    <definedName name="UFPrn20021216091554">#REF!</definedName>
    <definedName name="UFPrn20021217113109">#REF!</definedName>
    <definedName name="UFPrn20021217113550">#REF!</definedName>
    <definedName name="UFPrn20021217145908">#REF!</definedName>
    <definedName name="UFPrn20021218150038">#REF!</definedName>
    <definedName name="UFPrn20021219114701">#REF!</definedName>
    <definedName name="UFPrn20021220114055">#REF!</definedName>
    <definedName name="UFPrn20030107130737">#REF!</definedName>
    <definedName name="UFPrn20030108134622">#REF!</definedName>
    <definedName name="UFPrn20030110164906">#REF!</definedName>
    <definedName name="UFPrn20030110210433">#REF!</definedName>
    <definedName name="UFPrn20030112150308">#REF!</definedName>
    <definedName name="UFPrn20030113132503">#REF!</definedName>
    <definedName name="UFPrn20030113135659">#REF!</definedName>
    <definedName name="UFPrn20030114114347">#REF!</definedName>
    <definedName name="UFPrn20030114121044">#REF!</definedName>
    <definedName name="UFPrn20030114121335">#REF!</definedName>
    <definedName name="UFPrn20030128110610">#REF!</definedName>
    <definedName name="UFPrn20030210104434">#REF!</definedName>
    <definedName name="UFPrn20030210171426">#REF!</definedName>
    <definedName name="UFPrn20030213130449">#REF!</definedName>
    <definedName name="UFPrn20030213130521">#REF!</definedName>
    <definedName name="UFPrn20030213130557">#REF!</definedName>
    <definedName name="UFPrn20030213130624">#REF!</definedName>
    <definedName name="UFPrn20030213162138">#REF!</definedName>
    <definedName name="UFPrn20030214102001">#REF!</definedName>
    <definedName name="UFPrn20030325175425">#REF!</definedName>
    <definedName name="UFPrn20030325175950">#REF!</definedName>
    <definedName name="UFPrn20030410105601">#REF!</definedName>
    <definedName name="UFPrn20030411100632">#REF!</definedName>
    <definedName name="UFPrn20030411142404">#REF!</definedName>
    <definedName name="UFPrn20030505131153">#REF!</definedName>
    <definedName name="UFPrn20030506143846">#REF!</definedName>
    <definedName name="UFPrn20030506144119">#REF!</definedName>
    <definedName name="UFPrn20030519143712">#REF!</definedName>
    <definedName name="UFPrn20030604083415">#REF!</definedName>
    <definedName name="UFPrn20030624101655">#REF!</definedName>
    <definedName name="UFPrn20030625090333">#REF!</definedName>
    <definedName name="UFPrn20030714171759">#REF!</definedName>
    <definedName name="UFPrn20030714172115">#REF!</definedName>
    <definedName name="UFPrn20030714200201">#REF!</definedName>
    <definedName name="UFPrn20030715110942">#REF!</definedName>
    <definedName name="UFPrn20030715111152">#REF!</definedName>
    <definedName name="UFPrn20030715111330">#REF!</definedName>
    <definedName name="UFPrn20030715111402">#REF!</definedName>
    <definedName name="UFPrn20030715111437">#REF!</definedName>
    <definedName name="UFPrn20030715111633">#REF!</definedName>
    <definedName name="UFPrn20030715111740">#REF!</definedName>
    <definedName name="UFPrn20030715111823">#REF!</definedName>
    <definedName name="UFPrn20030715162230">#REF!</definedName>
    <definedName name="UFPrn20030715162359">#REF!</definedName>
    <definedName name="UFPrn20030715162527">#REF!</definedName>
    <definedName name="UFPrn20030715185444">#REF!</definedName>
    <definedName name="UFPrn20030716142225">#REF!</definedName>
    <definedName name="UFPrn20030719161333">#REF!</definedName>
    <definedName name="UFPrn20030719162907">#REF!</definedName>
    <definedName name="UFPrn20030719162957">#REF!</definedName>
    <definedName name="UFPrn20030721104016">#REF!</definedName>
    <definedName name="UFPrn20030721104144">#REF!</definedName>
    <definedName name="UFPrn20030721143724">#REF!</definedName>
    <definedName name="UFPrn20030721145432">#REF!</definedName>
    <definedName name="UFPrn20030721151030">#REF!</definedName>
    <definedName name="UFPrn20030721153051">#REF!</definedName>
    <definedName name="UFPrn20030721153729">#REF!</definedName>
    <definedName name="UFPrn20030721170848">#REF!</definedName>
    <definedName name="UFPrn20030723100833">#REF!</definedName>
    <definedName name="UFPrn20030723100902">#REF!</definedName>
    <definedName name="UFPrn20030723151253">#REF!</definedName>
    <definedName name="UFPrn20030726162005">#REF!</definedName>
    <definedName name="UFPrn20030726162121">#REF!</definedName>
    <definedName name="UFPrn20030726162317">#REF!</definedName>
    <definedName name="UFPrn20030726162334">#REF!</definedName>
    <definedName name="UFPrn20030726163027">#REF!</definedName>
    <definedName name="UFPrn20030726221030">#REF!</definedName>
    <definedName name="UFPrn20030728113204">#REF!</definedName>
    <definedName name="UFPrn20030803100330">#REF!</definedName>
    <definedName name="UFPrn20030805170007">#REF!</definedName>
    <definedName name="UFPrn20030813103604">#REF!</definedName>
    <definedName name="UFPrn20030818084716">#REF!</definedName>
    <definedName name="UFPrn20030902170221">#REF!</definedName>
    <definedName name="UFPrn20030912093847">#REF!</definedName>
    <definedName name="UFPrn20031002110316">#REF!</definedName>
    <definedName name="UFPrn20031003084050">#REF!</definedName>
    <definedName name="UFPrn20031014153806">#REF!</definedName>
    <definedName name="UFPrn20031023110742">#REF!</definedName>
    <definedName name="UFPrn20031023131743">#REF!</definedName>
    <definedName name="UFPrn20031023145801">#REF!</definedName>
    <definedName name="UFPrn20031023155342">#REF!</definedName>
    <definedName name="UFPrn20031029162920">#REF!</definedName>
    <definedName name="UFPrn20031029164819">#REF!</definedName>
    <definedName name="UFPrn20031030082658">#REF!</definedName>
    <definedName name="UFPrn20031031154220">#REF!</definedName>
    <definedName name="UFPrn20031031162158">#REF!</definedName>
    <definedName name="UFPrn20031031165253">#REF!</definedName>
    <definedName name="UFPrn20031031165405">#REF!</definedName>
    <definedName name="UFPrn20031101155145">#REF!</definedName>
    <definedName name="UFPrn20031102095528">#REF!</definedName>
    <definedName name="UFPrn20031103202244">#REF!</definedName>
    <definedName name="UFPrn20031103202511">#REF!</definedName>
    <definedName name="UFPrn20031103202710">#REF!</definedName>
    <definedName name="UFPrn20031104082129">#REF!</definedName>
    <definedName name="UFPrn20031104082143">#REF!</definedName>
    <definedName name="UFPrn20031104085450">#REF!</definedName>
    <definedName name="UFPrn20031104094144">#REF!</definedName>
    <definedName name="UFPrn20031104100848">#REF!</definedName>
    <definedName name="UFPrn20031104102257">#REF!</definedName>
    <definedName name="UFPrn20031104104912">#REF!</definedName>
    <definedName name="UFPrn20031104115749">#REF!</definedName>
    <definedName name="UFPrn20031104120343">#REF!</definedName>
    <definedName name="UFPrn20031104175124">#REF!</definedName>
    <definedName name="UFPrn20031104185857">#REF!</definedName>
    <definedName name="UFPrn20031105095901">#REF!</definedName>
    <definedName name="UFPrn20031107133937">#REF!</definedName>
    <definedName name="UFPrn20031107134107">#REF!</definedName>
    <definedName name="UFPrn20031110113528">#REF!</definedName>
    <definedName name="UFPrn20031110113553">#REF!</definedName>
    <definedName name="UFPrn20031110113655">#REF!</definedName>
    <definedName name="UFPrn20031110113718">#REF!</definedName>
    <definedName name="UFPrn20031110113738">#REF!</definedName>
    <definedName name="UFPrn20031110154004">#REF!</definedName>
    <definedName name="UFPrn20031111112159">#REF!</definedName>
    <definedName name="UFPrn20031112103751">#REF!</definedName>
    <definedName name="UFPrn20031112105921">#REF!</definedName>
    <definedName name="UFPrn20031112111448">#REF!</definedName>
    <definedName name="UFPrn20031112112344">#REF!</definedName>
    <definedName name="UFPrn20031112201528">#REF!</definedName>
    <definedName name="UFPrn20031112205102">#REF!</definedName>
    <definedName name="UFPrn20031112213446">#REF!</definedName>
    <definedName name="UFPrn20031113151715">#REF!</definedName>
    <definedName name="UFPrn20031121105227">#REF!</definedName>
    <definedName name="UFPrn20031121105541">#REF!</definedName>
    <definedName name="UFPrn20031121110720">#REF!</definedName>
    <definedName name="UFPrn20031121110758">#REF!</definedName>
    <definedName name="UFPrn20031121110820">#REF!</definedName>
    <definedName name="UFPrn20031121110845">#REF!</definedName>
    <definedName name="UFPrn20031121110903">#REF!</definedName>
    <definedName name="UFPrn20031121110924">#REF!</definedName>
    <definedName name="UFPrn20031121112839">#REF!</definedName>
    <definedName name="UFPrn20031121112913">#REF!</definedName>
    <definedName name="UFPrn20031121112930">#REF!</definedName>
    <definedName name="UFPrn20031121112952">#REF!</definedName>
    <definedName name="UFPrn20031126104105">#REF!</definedName>
    <definedName name="UFPrn20031126104632">#REF!</definedName>
    <definedName name="UFPrn20031130133909">#REF!</definedName>
    <definedName name="UFPrn20031201093057">#REF!</definedName>
    <definedName name="UFPrn20031202140915">#REF!</definedName>
    <definedName name="UFPrn20031202201945">#REF!</definedName>
    <definedName name="UFPrn20031203171241">#REF!</definedName>
    <definedName name="UFPrn20031204144806">#REF!</definedName>
    <definedName name="UFPrn20031206115331">#REF!</definedName>
    <definedName name="UFPrn20031209164010">#REF!</definedName>
    <definedName name="UFPrn20031217160235">#REF!</definedName>
    <definedName name="UFPrn20031217160309">#REF!</definedName>
    <definedName name="UFPrn20031217160348">#REF!</definedName>
    <definedName name="UFPrn20031219195424">#REF!</definedName>
    <definedName name="UFPrn20031222114007">#REF!</definedName>
    <definedName name="UFPrn20031222183929">#REF!</definedName>
    <definedName name="UFPrn20031222184014">#REF!</definedName>
    <definedName name="UFPrn20031222184043">#REF!</definedName>
    <definedName name="UFPrn20031225092837">#REF!</definedName>
    <definedName name="UFPrn20031228094355">#REF!</definedName>
    <definedName name="UFPrn20031228110550">#REF!</definedName>
    <definedName name="UFPrn20031230145453">#REF!</definedName>
    <definedName name="UFPrn20031230193823">#REF!</definedName>
    <definedName name="UFPrn20040104081601">#REF!</definedName>
    <definedName name="UFPrn20040105141413">#REF!</definedName>
    <definedName name="UFPrn20040106205602">#REF!</definedName>
    <definedName name="UFPrn20040107143952">#REF!</definedName>
    <definedName name="UFPrn20040108140619">#REF!</definedName>
    <definedName name="UFPrn20040108140716">#REF!</definedName>
    <definedName name="UFPrn20040109113530">#REF!</definedName>
    <definedName name="UFPrn20040109134009">#REF!</definedName>
    <definedName name="UFPrn20040109134053">#REF!</definedName>
    <definedName name="UFPrn20040109134131">#REF!</definedName>
    <definedName name="UFPrn20040110110328">#REF!</definedName>
    <definedName name="UFPrn20040112101950">#REF!</definedName>
    <definedName name="UFPrn20040112175425">#REF!</definedName>
    <definedName name="UFPrn20040117174632">#REF!</definedName>
    <definedName name="UFPrn20040130163414">#REF!</definedName>
    <definedName name="UFPrn20040131134258">#REF!</definedName>
    <definedName name="UFPrn20040202121803">#REF!</definedName>
    <definedName name="UFPrn20040202144932">#REF!</definedName>
    <definedName name="UFPrn20040203083911">#REF!</definedName>
    <definedName name="UFPrn20040203084057">#REF!</definedName>
    <definedName name="UFPrn20040203084218">#REF!</definedName>
    <definedName name="UFPrn20040203084511">#REF!</definedName>
    <definedName name="UFPrn20040203085144">#REF!</definedName>
    <definedName name="UFPrn20040203085827">#REF!</definedName>
    <definedName name="UFPrn20040203092053">#REF!</definedName>
    <definedName name="UFPrn20040203092106">#REF!</definedName>
    <definedName name="UFPrn20040203092115">#REF!</definedName>
    <definedName name="UFPrn20040203111721">#REF!</definedName>
    <definedName name="UFPrn20040203114510">#REF!</definedName>
    <definedName name="UFPrn20040203114521">#REF!</definedName>
    <definedName name="UFPrn20040203114539">#REF!</definedName>
    <definedName name="UFPrn20040203114547">#REF!</definedName>
    <definedName name="UFPrn20040203115008">#REF!</definedName>
    <definedName name="UFPrn20040203115017">#REF!</definedName>
    <definedName name="UFPrn20040203115024">#REF!</definedName>
    <definedName name="UFPrn20040203171923">#REF!</definedName>
    <definedName name="UFPrn20040203181809">#REF!</definedName>
    <definedName name="UFPrn20040204090230">#REF!</definedName>
    <definedName name="UFPrn20040204091000">#REF!</definedName>
    <definedName name="UFPrn20040204091359">#REF!</definedName>
    <definedName name="UFPrn20040204091448">#REF!</definedName>
    <definedName name="UFPrn20040204100807">#REF!</definedName>
    <definedName name="UFPrn20040204101833">#REF!</definedName>
    <definedName name="UFPrn20040204160039">#REF!</definedName>
    <definedName name="UFPrn20040204160238">#REF!</definedName>
    <definedName name="UFPrn20040205112049">#REF!</definedName>
    <definedName name="UFPrn20040205112123">#REF!</definedName>
    <definedName name="UFPrn20040205112153">#REF!</definedName>
    <definedName name="UFPrn20040205140229">#REF!</definedName>
    <definedName name="UFPrn20040211194432">#REF!</definedName>
    <definedName name="UFPrn20040212093648">#REF!</definedName>
    <definedName name="UFPrn20040215162942">#REF!</definedName>
    <definedName name="UFPrn20040216175227">#REF!</definedName>
    <definedName name="UFPrn20040219143931">#REF!</definedName>
    <definedName name="UFPrn20040219144014">#REF!</definedName>
    <definedName name="UFPrn20040225201321">#REF!</definedName>
    <definedName name="UFPrn20040227143103">#REF!</definedName>
    <definedName name="UFPrn20040227143715">#REF!</definedName>
    <definedName name="UFPrn20040227144018">#REF!</definedName>
    <definedName name="UFPrn20040303185058">#REF!</definedName>
    <definedName name="UFPrn20040304111005">#REF!</definedName>
    <definedName name="UFPrn20040304160738">#REF!</definedName>
    <definedName name="UFPrn20040305084010">#REF!</definedName>
    <definedName name="UFPrn20040305095621">#REF!</definedName>
    <definedName name="UFPrn20040305133708">#REF!</definedName>
    <definedName name="UFPrn20040305143126">#REF!</definedName>
    <definedName name="UFPrn20040305143200">#REF!</definedName>
    <definedName name="UFPrn20040305155827">#REF!</definedName>
    <definedName name="UFPrn20040305165611">#REF!</definedName>
    <definedName name="UFPrn20040306172159">#REF!</definedName>
    <definedName name="UFPrn20040308150014">#REF!</definedName>
    <definedName name="UFPrn20040308175743">#REF!</definedName>
    <definedName name="UFPrn20040309115536">#REF!</definedName>
    <definedName name="UFPrn20040309120430">#REF!</definedName>
    <definedName name="UFPrn20040319152128">#REF!</definedName>
    <definedName name="UFPrn20040323165050">#REF!</definedName>
    <definedName name="UFPrn20040422163914">#REF!</definedName>
    <definedName name="UFPrn20040426141213">#REF!</definedName>
    <definedName name="UFPrn20040427135556">#REF!</definedName>
    <definedName name="UFPrn20040430112914">#REF!</definedName>
    <definedName name="UFPrn20040430131857">#REF!</definedName>
    <definedName name="UFPrn20040430142505">#REF!</definedName>
    <definedName name="UFPrn20040528190441">#REF!</definedName>
    <definedName name="UFPrn20040605105152">#REF!</definedName>
    <definedName name="UFPrn20040617154236">#REF!</definedName>
    <definedName name="UFPrn20040629174126">#REF!</definedName>
    <definedName name="UFPrn20040630102925">#REF!</definedName>
    <definedName name="UFPrn20040630183330">#REF!</definedName>
    <definedName name="UFPrn20040630194220">#REF!</definedName>
    <definedName name="UFPrn20040702115728">#REF!</definedName>
    <definedName name="UFPrn20040712113939">#REF!</definedName>
    <definedName name="UFPrn20040712143610">#REF!</definedName>
    <definedName name="UFPrn20040712143819">#REF!</definedName>
    <definedName name="UFPrn20040712150224">#REF!</definedName>
    <definedName name="UFPrn20040712150325">#REF!</definedName>
    <definedName name="UFPrn20040714093525">#REF!</definedName>
    <definedName name="UFPrn20040715094204">#REF!</definedName>
    <definedName name="UFPrn20040715094652">#REF!</definedName>
    <definedName name="UFPrn20040715095000">#REF!</definedName>
    <definedName name="UFPrn20040715171536">#REF!</definedName>
    <definedName name="UFPrn20040716155043">#REF!</definedName>
    <definedName name="UFPrn20040716155908">#REF!</definedName>
    <definedName name="UFPrn20040716160215">#REF!</definedName>
    <definedName name="UFPrn20040716160233">#REF!</definedName>
    <definedName name="UFPrn20040716160247">#REF!</definedName>
    <definedName name="UFPrn20040716160306">#REF!</definedName>
    <definedName name="UFPrn20040716160503">#REF!</definedName>
    <definedName name="UFPrn20040716160741">#REF!</definedName>
    <definedName name="UFPrn20040716161153">#REF!</definedName>
    <definedName name="UFPrn20040716161457">#REF!</definedName>
    <definedName name="UFPrn20040716182939">#REF!</definedName>
    <definedName name="UFPrn20040716183045">#REF!</definedName>
    <definedName name="UFPrn20040716183141">#REF!</definedName>
    <definedName name="UFPrn20040716183229">#REF!</definedName>
    <definedName name="UFPrn20040716183321">#REF!</definedName>
    <definedName name="UFPrn20040716183418">#REF!</definedName>
    <definedName name="UFPrn20040716183530">#REF!</definedName>
    <definedName name="UFPrn20040716183632">#REF!</definedName>
    <definedName name="UFPrn20040720150404">#REF!</definedName>
    <definedName name="UFPrn20040921174825">#REF!</definedName>
    <definedName name="UFPrn20041003154841">#REF!</definedName>
    <definedName name="UFPrn20041006162754">#REF!</definedName>
    <definedName name="UFPrn20041012135511">#REF!</definedName>
    <definedName name="UFPrn20041014094112">#REF!</definedName>
    <definedName name="UFPrn20041014140432">#REF!</definedName>
    <definedName name="UFPrn20041014140559">#REF!</definedName>
    <definedName name="UFPrn20041018113351">#REF!</definedName>
    <definedName name="UFPrn20041020180247">#REF!</definedName>
    <definedName name="UFPrn20041020180546">#REF!</definedName>
    <definedName name="UFPrn20041021094916">#REF!</definedName>
    <definedName name="UFPrn20041127170836">#REF!</definedName>
    <definedName name="UFPrn20041201110424">#REF!</definedName>
    <definedName name="UFPrn20041202113735">#REF!</definedName>
    <definedName name="UFPrn20041202114928">#REF!</definedName>
    <definedName name="UFPrn20041217123515">#REF!</definedName>
    <definedName name="UFPrn20041227112323">#REF!</definedName>
    <definedName name="UFPrn20050103185219">#REF!</definedName>
    <definedName name="UFPrn20050104170042">#REF!</definedName>
    <definedName name="UFPrn20050107144123">#REF!</definedName>
    <definedName name="UFPrn20050111174031">#REF!</definedName>
    <definedName name="UFPrn20050111175129">#REF!</definedName>
    <definedName name="UFPrn20050112173036">#REF!</definedName>
    <definedName name="UFPrn20050112173112">#REF!</definedName>
    <definedName name="UFPrn20050114093242">#REF!</definedName>
    <definedName name="UFPrn20050115102828">#REF!</definedName>
    <definedName name="UFPrn20050117164515">#REF!</definedName>
    <definedName name="UFPrn20050118103027">#REF!</definedName>
    <definedName name="UFPrn20050119091029">#REF!</definedName>
    <definedName name="UFPrn20050119092447">#REF!</definedName>
    <definedName name="UFPrn20050120152157">#REF!</definedName>
    <definedName name="UFPrn20050120153710">#REF!</definedName>
    <definedName name="UFPrn20050415092855">#REF!</definedName>
    <definedName name="UFPrn20050415093300">#REF!</definedName>
    <definedName name="UFPrn20050415093659">#REF!</definedName>
    <definedName name="UFPrn20050415143416">#REF!</definedName>
    <definedName name="UFPrn20050415144635">#REF!</definedName>
    <definedName name="UFPrn20050418105950">#REF!</definedName>
    <definedName name="UFPrn20050420112804">#REF!</definedName>
    <definedName name="UFPrn20050420112917">#REF!</definedName>
    <definedName name="UFPrn20050420113131">#REF!</definedName>
    <definedName name="UFPrn20050420142537">#REF!</definedName>
    <definedName name="UFPrn20050603075326">#REF!</definedName>
    <definedName name="UFPrn20050603081720">#REF!</definedName>
    <definedName name="UFPrn20050603090127">#REF!</definedName>
    <definedName name="UFPrn20050603091034">#REF!</definedName>
    <definedName name="UFPrn20050603111315">#REF!</definedName>
    <definedName name="UFPrn20050603153733">#REF!</definedName>
    <definedName name="UFPrn20050603154448">#REF!</definedName>
    <definedName name="UFPrn20050603161301">#REF!</definedName>
    <definedName name="UFPrn20050603162022">#REF!</definedName>
    <definedName name="UFPrn20050603163016">#REF!</definedName>
    <definedName name="UFPrn20050714110255">#REF!</definedName>
    <definedName name="UFPrn20050714110351">#REF!</definedName>
    <definedName name="UFPrn20050714110408">#REF!</definedName>
    <definedName name="UFPrn20050715105416">#REF!</definedName>
    <definedName name="UFPrn20050715105938">#REF!</definedName>
    <definedName name="UFPrn20050715110959">#REF!</definedName>
    <definedName name="UFPrn20050715180859">#REF!</definedName>
    <definedName name="UFPrn20050718114307">#REF!</definedName>
    <definedName name="UFPrn20050718114604">#REF!</definedName>
    <definedName name="UFPrn20051221211954">#REF!</definedName>
    <definedName name="UFPrn20060116105029">#REF!</definedName>
    <definedName name="UFPrn20060116105346">#REF!</definedName>
    <definedName name="UFPrn20060116114350">#REF!</definedName>
    <definedName name="UFPrn20060116114659">#REF!</definedName>
    <definedName name="UFPrn20060303105602">#REF!</definedName>
    <definedName name="UFPrn20060403091343">#REF!</definedName>
    <definedName name="UFPrn20060803115454">#REF!</definedName>
    <definedName name="UFPrn20061003111044">#REF!</definedName>
    <definedName name="UFPrn20070118092946">#REF!</definedName>
    <definedName name="UFPrn20070118095507">#REF!</definedName>
    <definedName name="UFPrn20070122142238">#REF!</definedName>
    <definedName name="UFPrn20070214164043">#REF!</definedName>
    <definedName name="UFPrn20070214164128">#REF!</definedName>
    <definedName name="UFPrn20070214164606">#REF!</definedName>
    <definedName name="UFPrn20070214165040">#REF!</definedName>
    <definedName name="UFPrn20070214165046">#REF!</definedName>
    <definedName name="UFPrn20070214165332">#REF!</definedName>
    <definedName name="UFPrn20070214165520">#REF!</definedName>
    <definedName name="UFPrn20070214165801">#REF!</definedName>
    <definedName name="UFPrn20070214170001">#REF!</definedName>
    <definedName name="UFPrn20070214170117">#REF!</definedName>
    <definedName name="UFPrn20070214170227">#REF!</definedName>
    <definedName name="UFPrn20070214170307">#REF!</definedName>
    <definedName name="UFPrn20070214171015">#REF!</definedName>
    <definedName name="UFPrn20070214171120">#REF!</definedName>
    <definedName name="UFPrn20070214171345">#REF!</definedName>
    <definedName name="UFPrn20070214171438">#REF!</definedName>
    <definedName name="UFPrn20070214174533">#REF!</definedName>
    <definedName name="UFPrn20070214174545">#REF!</definedName>
    <definedName name="UFPrn20070214174612">#REF!</definedName>
    <definedName name="UFPrn20070214174615">#REF!</definedName>
    <definedName name="UFPrn20070214174703">#REF!</definedName>
    <definedName name="UFPrn20070214174806">#REF!</definedName>
    <definedName name="UFPrn20070215113229">#REF!</definedName>
    <definedName name="UFPrn20070314085736">#REF!</definedName>
    <definedName name="UFPrn20071106102431">#REF!</definedName>
    <definedName name="UFPrn20071108134217">#REF!</definedName>
    <definedName name="UFPrn20071109133930">#REF!</definedName>
    <definedName name="UFPrn20071109134633">#REF!</definedName>
    <definedName name="UFPrn20080107164740">#REF!</definedName>
    <definedName name="UFPrn20080107165643">#REF!</definedName>
    <definedName name="UFPrn20080730192651">#REF!</definedName>
    <definedName name="UFPrn20080730193206">#REF!</definedName>
    <definedName name="UFPrn20080730193431">#REF!</definedName>
    <definedName name="UFPrn20080730193856">#REF!</definedName>
    <definedName name="ulead" hidden="1">{#N/A,#N/A,FALSE,"970301";#N/A,#N/A,FALSE,"970302";#N/A,#N/A,FALSE,"970303";#N/A,#N/A,FALSE,"970304";#N/A,#N/A,FALSE,"COM1";#N/A,#N/A,FALSE,"COM2"}</definedName>
    <definedName name="Underwriter">#REF!</definedName>
    <definedName name="unit">#REF!</definedName>
    <definedName name="Untitled">#REF!</definedName>
    <definedName name="upsBudget">#REF!</definedName>
    <definedName name="USD">#REF!</definedName>
    <definedName name="uuu">#REF!</definedName>
    <definedName name="uygh" hidden="1">{"M6Print",#N/A,FALSE,"M6";"M6_1Print",#N/A,FALSE,"M6_1";"M6_2Print",#N/A,FALSE,"M6_2"}</definedName>
    <definedName name="v">#REF!</definedName>
    <definedName name="VAD_index">#REF!</definedName>
    <definedName name="VALID01234">#REF!,#REF!</definedName>
    <definedName name="value">3</definedName>
    <definedName name="Values_Entered">IF(Loan_Amount*Interest_Rate*Loan_Years*Loan_Start&gt;0,1,0)</definedName>
    <definedName name="vamt">#REF!</definedName>
    <definedName name="vapr">#REF!</definedName>
    <definedName name="Variac1">#REF!</definedName>
    <definedName name="vaug">#REF!</definedName>
    <definedName name="vdec">#REF!</definedName>
    <definedName name="versionno">1</definedName>
    <definedName name="vfeb">#REF!</definedName>
    <definedName name="vhvkb" hidden="1">{#N/A,#N/A,FALSE,"资产负债表";#N/A,#N/A,FALSE,"资产负债表"}</definedName>
    <definedName name="vjan">#REF!</definedName>
    <definedName name="vjul">#REF!</definedName>
    <definedName name="vjun">#REF!</definedName>
    <definedName name="vloc">#REF!</definedName>
    <definedName name="vmar">#REF!</definedName>
    <definedName name="VMAR.">#REF!</definedName>
    <definedName name="vmay">#REF!</definedName>
    <definedName name="vnov">#REF!</definedName>
    <definedName name="voct">#REF!</definedName>
    <definedName name="VSD">#REF!</definedName>
    <definedName name="vsep">#REF!</definedName>
    <definedName name="Ward">#REF!</definedName>
    <definedName name="WATERBOTTLE_PLANTS">#REF!</definedName>
    <definedName name="we">#REF!</definedName>
    <definedName name="Week">#REF!</definedName>
    <definedName name="weewew">#REF!</definedName>
    <definedName name="wefrwer">#REF!</definedName>
    <definedName name="wefwefw">#REF!</definedName>
    <definedName name="wend" hidden="1">{"capacity",#N/A,FALSE,"Xian";"Volume",#N/A,FALSE,"Xian"}</definedName>
    <definedName name="werfewf">#REF!</definedName>
    <definedName name="werfweff">#REF!</definedName>
    <definedName name="werret">#REF!</definedName>
    <definedName name="wersdfsdf">#REF!</definedName>
    <definedName name="werwefasd" hidden="1">#REF!</definedName>
    <definedName name="werwer" hidden="1">{"index",#N/A,FALSE,"DRS";"a_1",#N/A,FALSE,"DRS";"a_2",#N/A,FALSE,"DRS";"b_1",#N/A,FALSE,"DRS";"b_2.b_3",#N/A,FALSE,"DRS";"b_4.b_5.b_6",#N/A,FALSE,"DRS";"b_7.b_8",#N/A,FALSE,"DRS";"b_9",#N/A,FALSE,"DRS";"b_10.b_11",#N/A,FALSE,"DRS";"b_12.b_13",#N/A,FALSE,"DRS";"b_14",#N/A,FALSE,"DRS";"b_15.b_16",#N/A,FALSE,"DRS";"b_17",#N/A,FALSE,"DRS";"b_18",#N/A,FALSE,"DRS";"c_1.c_2",#N/A,FALSE,"DRS";"d_1",#N/A,FALSE,"DRS";"e_1",#N/A,FALSE,"DRS"}</definedName>
    <definedName name="werwr">#REF!</definedName>
    <definedName name="wetrwet">#REF!</definedName>
    <definedName name="why">#REF!</definedName>
    <definedName name="WON">#REF!</definedName>
    <definedName name="WPL">#REF!</definedName>
    <definedName name="wqe">#REF!</definedName>
    <definedName name="wrn.1._.TODO." hidden="1">{"BL2000",#N/A,FALSE,"BL2000";"PL2000",#N/A,FALSE,"BL2000";"PT2000",#N/A,FALSE,"BL2000";"INCPRE2000",#N/A,FALSE,"BL2000";"COMNUS2000",#N/A,FALSE,"BL2000";"COMJPN2000",#N/A,FALSE,"BL2000";"B10-2000",#N/A,FALSE,"BL2000"}</definedName>
    <definedName name="wrn.1TODO."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2000." hidden="1">{"RES-2000",#N/A,FALSE,"BL2000";"A1-2000",#N/A,FALSE,"BL2000";"A2-2000",#N/A,FALSE,"BL2000"}</definedName>
    <definedName name="wrn.2001." hidden="1">{"RES-2001",#N/A,FALSE,"BL2000";"A1-2001",#N/A,FALSE,"BL2000";"A2-2001",#N/A,FALSE,"BL2000"}</definedName>
    <definedName name="wrn.2002." hidden="1">{"RES-2002",#N/A,FALSE,"BL2000";"A1-2002",#N/A,FALSE,"BL2000";"A2-2002",#N/A,FALSE,"BL2000"}</definedName>
    <definedName name="wrn.2003." hidden="1">{"RES-2002",#N/A,FALSE,"BL2000";"A1-2002",#N/A,FALSE,"BL2000";"A2-2002",#N/A,FALSE,"BL2000"}</definedName>
    <definedName name="wrn.AccountDetail." hidden="1">{"NissanDetail",#N/A,FALSE,"1096NNA";"InfinitiDetail",#N/A,FALSE,"1096NNA";"PartsServDetail",#N/A,FALSE,"1096NNA";"VehicleOpsDetail",#N/A,FALSE,"1096NNA";"OtherexpDetail",#N/A,FALSE,"1096NNA"}</definedName>
    <definedName name="wrn.ACUMULADOS." hidden="1">{"CTO ACUMULADO",#N/A,FALSE,"BASE ANEXOS";"VAR ACUMULADAS",#N/A,FALSE,"BASE ANEXOS"}</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Analisis._.Acumulado." hidden="1">{"Ana1",#N/A,FALSE,"AnalisisA";"Ana2",#N/A,FALSE,"AnalisisA";"Ana3",#N/A,FALSE,"AnalisisA"}</definedName>
    <definedName name="wrn.Analisis._.Mensual." hidden="1">{"AnaM1",#N/A,FALSE,"AnalisisM";"AnaM2",#N/A,FALSE,"AnalisisM";"AnaM3",#N/A,FALSE,"AnalisisM"}</definedName>
    <definedName name="wrn.B10." hidden="1">{"B10-2000",#N/A,FALSE,"BL2000"}</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L." hidden="1">{"BL2000",#N/A,FALSE,"BL2000"}</definedName>
    <definedName name="wrn.Board._.Reports." hidden="1">{#N/A,#N/A,FALSE,"M1s Board";#N/A,#N/A,FALSE,"M3 Board";#N/A,#N/A,FALSE,"M6 Board";#N/A,#N/A,FALSE,"M7";#N/A,#N/A,FALSE,"M7B";#N/A,#N/A,FALSE,"M8";#N/A,#N/A,FALSE,"M8A Board";#N/A,#N/A,FALSE,"AF1 Board"}</definedName>
    <definedName name="wrn.COMNUS." hidden="1">{"COMNUS2000",#N/A,FALSE,"BL2000"}</definedName>
    <definedName name="wrn.COMPJPN." hidden="1">{"COMJPN2000",#N/A,FALSE,"BL2000"}</definedName>
    <definedName name="wrn.Costos." hidden="1">{"Costo1",#N/A,FALSE,"Costo Estimado";"Costo2",#N/A,FALSE,"Costo Estimado";"Costos3",#N/A,FALSE,"Costo Estimado";"Costo4",#N/A,FALSE,"Costo Estimado"}</definedName>
    <definedName name="wrn.Deposit._.By._.Day." hidden="1">{#N/A,#N/A,FALSE,"Deposits by day"}</definedName>
    <definedName name="wrn.Deptartment._.Expenses." hidden="1">{#N/A,#N/A,TRUE,"CPRD";#N/A,#N/A,TRUE,"BCCPDR";#N/A,#N/A,TRUE,"EWRD";#N/A,#N/A,TRUE,"5100";#N/A,#N/A,TRUE,"5110"}</definedName>
    <definedName name="wrn.ERNST." hidden="1">{#N/A,#N/A,FALSE,"YTCHAN";#N/A,#N/A,FALSE,"TOMMY";#N/A,#N/A,FALSE,"REP.OFFICE";#N/A,#N/A,FALSE,"E&amp;Y_CONSULTANT";#N/A,#N/A,FALSE,"BT &amp; CIT"}</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hidden="1">{#N/A,#N/A,FALSE,"OffAdvance";#N/A,#N/A,FALSE,"OffExpRprt";#N/A,#N/A,FALSE,"Entertmnt";#N/A,#N/A,FALSE,"Promotion";#N/A,#N/A,FALSE,"Travelling"}</definedName>
    <definedName name="WRN.GB" hidden="1">{#N/A,#N/A,FALSE,"资产负债表";#N/A,#N/A,FALSE,"资产负债表"}</definedName>
    <definedName name="wrn.gb." hidden="1">{#N/A,#N/A,FALSE,"资产负债表";#N/A,#N/A,FALSE,"资产负债表"}</definedName>
    <definedName name="wrn.GM." hidden="1">{"capacity",#N/A,FALSE,"Guangzhou";"Volume",#N/A,FALSE,"Guangmei"}</definedName>
    <definedName name="wrn.GZ." hidden="1">{"Volume",#N/A,FALSE,"Guangzhou";"capacity",#N/A,FALSE,"Guangzhou"}</definedName>
    <definedName name="wrn.HF." hidden="1">{"capacity",#N/A,FALSE,"Hefei";"Volume",#N/A,FALSE,"Hefei"}</definedName>
    <definedName name="wrn.HS_USA." hidden="1">{"HS_USA",#N/A,FALSE,"Base"}</definedName>
    <definedName name="wrn.HZ." hidden="1">{"capacity",#N/A,FALSE,"Hangzhou";"volume",#N/A,FALSE,"Hangzhou"}</definedName>
    <definedName name="wrn.INCPRE." hidden="1">{"INCPRE2000",#N/A,FALSE,"BL2000"}</definedName>
    <definedName name="wrn.Input._.Data." hidden="1">{"Input_Fin",#N/A,FALSE,"By Code";"Input_Opt",#N/A,FALSE,"By Code"}</definedName>
    <definedName name="wrn.inventory._.aging." hidden="1">{#N/A,#N/A,FALSE,"PLEDGE";#N/A,#N/A,FALSE,"GLADE";#N/A,#N/A,FALSE,"GREEN BIRD";#N/A,#N/A,FALSE,"MR. MUSCLE";#N/A,#N/A,FALSE,"TOILET DUCK";#N/A,#N/A,FALSE,"Other Home Care";#N/A,#N/A,FALSE,"RED BIRD";#N/A,#N/A,FALSE,"SHANGHAI";#N/A,#N/A,FALSE,"RAID";#N/A,#N/A,FALSE,"OFF";#N/A,#N/A,FALSE,"SEAGULL";#N/A,#N/A,FALSE,"HALSA";#N/A,#N/A,FALSE,"SOFT SENSE";#N/A,#N/A,FALSE,"TOTAL"}</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ENSUALES." hidden="1">{"CTO MES ACTUAL",#N/A,FALSE,"BASE ANEXOS";"VAR MES ACT",#N/A,FALSE,"BASE ANEXOS"}</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NJ." hidden="1">{"Volume",#N/A,FALSE,"Nanjing";"capacity",#N/A,FALSE,"Nanjing"}</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P._.by._.P._.PerUnits._.with._.Variances._.all._.yrs." hidden="1">{"Year 1 P by P PerUnit w/Variances",#N/A,FALSE,"By Product";"Year 2 P by P PerUnit w/Variances",#N/A,FALSE,"By Product";"Year 3 P by P PerUnit w/Variances",#N/A,FALSE,"By Product"}</definedName>
    <definedName name="wrn.P._.by._.P._.PerUnits._.without._.Variances." hidden="1">{"Year 1 P by P PerUnit",#N/A,FALSE,"By Product";"Year 2 P by P - PerUnit",#N/A,FALSE,"By Product";"Year 3 P by P - PerUnit",#N/A,FALSE,"By Product"}</definedName>
    <definedName name="wrn.P._.by._.P._.Total._.Dollars._.all._.years." hidden="1">{"Year 1 P by P Total$",#N/A,FALSE,"By Product";"Year 2 P by P Total$",#N/A,FALSE,"By Product";"Year 3 P by P Total$",#N/A,FALSE,"By Product"}</definedName>
    <definedName name="wrn.PL." hidden="1">{"PL2000",#N/A,FALSE,"BL2000"}</definedName>
    <definedName name="wrn.PL._.with._.cribs." hidden="1">{"Year 1 P&amp;L w/cribs",#N/A,FALSE,"P&amp;L";"Year 2 P&amp;L w/cribs",#N/A,FALSE,"P&amp;L";"Year 3 P&amp;L w/cribs",#N/A,FALSE,"P&amp;L"}</definedName>
    <definedName name="wrn.PRINT2."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T." hidden="1">{"PT2000",#N/A,FALSE,"BL2000"}</definedName>
    <definedName name="wrn.REPORT." hidden="1">{#N/A,#N/A,FALSE,"Sales  total 9712";#N/A,#N/A,FALSE,"Sales  total 9712";#N/A,#N/A,FALSE,"Sales  total 9712";#N/A,#N/A,FALSE,"Sales  total 9712"}</definedName>
    <definedName name="wrn.RESUMENES." hidden="1">{"RESUMEN",#N/A,FALSE,"BASE ANEXOS";"ANEXO 1",#N/A,FALSE,"BASE ANEXOS";"ANEXO 2",#N/A,FALSE,"BASE ANEXOS"}</definedName>
    <definedName name="wrn.RevMatSchedules1." hidden="1">{"RevMatSummary1",#N/A,FALSE,"RevMat Sum";"FrontierPerUnit1",#N/A,FALSE,"Frontier";"FrontierDollars1",#N/A,FALSE,"Frontier";"XterraPerUnit1",#N/A,FALSE,"Xterra";"XterraDollars1",#N/A,FALSE,"Xterra";"AltimaPerUnit1",#N/A,FALSE,"Altima";"AltimaDollars1",#N/A,FALSE,"Altima";"QVStampPerUnit1",#N/A,FALSE,"QV Stmp";"QVStampDollars1",#N/A,FALSE,"QV Stmp";"QVEnginePerUnit1",#N/A,FALSE,"QV Eng";"QVEngineDollars1",#N/A,FALSE,"QV Eng";"QVTranPerUnit1",#N/A,FALSE,"QV Tran";"QVTranDollars1",#N/A,FALSE,"QV Tran";"PartsDollars1",#N/A,FALSE,"Parts"}</definedName>
    <definedName name="wrn.RevMatSchedules2." hidden="1">{"RevMatSummary2",#N/A,FALSE,"RevMat Sum";"FrontierPerUnit2",#N/A,FALSE,"Frontier";"FrontierDollars2",#N/A,FALSE,"Frontier";"XterraPerUnit2",#N/A,FALSE,"Xterra";"XterraDollars2",#N/A,FALSE,"Xterra";"TKPerUnit2",#N/A,FALSE,"TK";"TKDollars2",#N/A,FALSE,"TK";"AltimaPerUnit2",#N/A,FALSE,"Altima";"AltimaDollars2",#N/A,FALSE,"Altima";"QVStampPerUnit2",#N/A,FALSE,"QV Stmp";"QVStampDollars2",#N/A,FALSE,"QV Stmp";"QVEnginePerUnit2",#N/A,FALSE,"QV Eng";"QVEngineDollars2",#N/A,FALSE,"QV Eng";"QVTranPerUnit2",#N/A,FALSE,"QV Eng";"QVTranDollars2",#N/A,FALSE,"QV Tran";"PartsDollars2",#N/A,FALSE,"Parts"}</definedName>
    <definedName name="wrn.RevMatSchedules3." hidden="1">{"Revmatsummary3",#N/A,FALSE,"RevMat Sum";"FrontierPerUnit3",#N/A,FALSE,"Frontier";"FrontierDollars3",#N/A,FALSE,"Frontier";"XterraPerUnit3",#N/A,FALSE,"Xterra";"XterraDollars3",#N/A,FALSE,"Xterra";"TKPerUnit3",#N/A,FALSE,"TK";"TKDollars3",#N/A,FALSE,"TK";"AltimaPerUnit3",#N/A,FALSE,"Altima";"AltimaDollars3",#N/A,FALSE,"Altima";"QVStampPerUnit3",#N/A,FALSE,"QV Stmp";"QVStampDollars3",#N/A,FALSE,"QV Stmp";"QVEnginePerUnit3",#N/A,FALSE,"QV Eng";"QVEngineDollars3",#N/A,FALSE,"QV Eng";"QVTranPerUnit3",#N/A,FALSE,"QV Tran";"QVTranDollars3",#N/A,FALSE,"QV Tran";"PartsDollars3",#N/A,FALSE,"Parts"}</definedName>
    <definedName name="wrn.Sales." hidden="1">{#N/A,#N/A,FALSE,"Marketing";#N/A,#N/A,FALSE,"Selling";#N/A,#N/A,FALSE,"Promotional";#N/A,#N/A,FALSE,"Advertising"}</definedName>
    <definedName name="wrn.SEPT._.PRINT." hidden="1">{"SEPTEMBER PRINT",#N/A,FALSE,"INV_BKDN";"SEPTEMBER PRINT",#N/A,FALSE,"INV_BKDN"}</definedName>
    <definedName name="wrn.SFS." hidden="1">{"index",#N/A,FALSE,"DRS";"a_1",#N/A,FALSE,"DRS";"a_2",#N/A,FALSE,"DRS";"b_1",#N/A,FALSE,"DRS";"b_2.b_3",#N/A,FALSE,"DRS";"b_4.b_5.b_6",#N/A,FALSE,"DRS";"b_7.b_8",#N/A,FALSE,"DRS";"b_9",#N/A,FALSE,"DRS";"b_10.b_11",#N/A,FALSE,"DRS";"b_12.b_13",#N/A,FALSE,"DRS";"b_14",#N/A,FALSE,"DRS";"b_15.b_16",#N/A,FALSE,"DRS";"b_17",#N/A,FALSE,"DRS";"b_18",#N/A,FALSE,"DRS";"c_1.c_2",#N/A,FALSE,"DRS";"d_1",#N/A,FALSE,"DRS";"e_1",#N/A,FALSE,"DRS"}</definedName>
    <definedName name="wrn.sunmicro." hidden="1">{#N/A,#N/A,FALSE,"FREEMAN";#N/A,#N/A,FALSE,"STEPHEN";#N/A,#N/A,FALSE,"VICTOR"}</definedName>
    <definedName name="wrn.test1." hidden="1">{#N/A,#N/A,FALSE,"Earn'gs &amp; Val'n";#N/A,#N/A,FALSE,"Interim"}</definedName>
    <definedName name="wrn.tope" hidden="1">{"toptrial",#N/A,TRUE,"toptrial";"adjustment",#N/A,TRUE,"toptrial";"voucher",#N/A,TRUE,"toptrial"}</definedName>
    <definedName name="wrn.toptrial." hidden="1">{"toptrial",#N/A,TRUE,"toptrial";"adjustment",#N/A,TRUE,"toptrial";"voucher",#N/A,TRUE,"toptrial"}</definedName>
    <definedName name="wrn.Variance._.Walk._.Accross." hidden="1">{"Year 1 Variance Walk Across",#N/A,FALSE,"Variance Summary";"Year 2 Variance Walk Across",#N/A,FALSE,"Variance Summary";"Year 3 Variance Walk Across",#N/A,FALSE,"Variance Summary"}</definedName>
    <definedName name="wrn.voucher9703." hidden="1">{#N/A,#N/A,FALSE,"970301";#N/A,#N/A,FALSE,"970302";#N/A,#N/A,FALSE,"970303";#N/A,#N/A,FALSE,"970304";#N/A,#N/A,FALSE,"COM1";#N/A,#N/A,FALSE,"COM2"}</definedName>
    <definedName name="wrn.Xa." hidden="1">{"capcity",#N/A,FALSE,"Xiamen (chn)";"volume",#N/A,FALSE,"Xiamen (chn)"}</definedName>
    <definedName name="wrn.XN." hidden="1">{"capacity",#N/A,FALSE,"Xian";"Volume",#N/A,FALSE,"Xian"}</definedName>
    <definedName name="wrn.ytd." hidden="1">{#N/A,#N/A,FALSE,"YTD"}</definedName>
    <definedName name="wrn.zz" hidden="1">{"Volume",#N/A,FALSE,"Guangzhou";"capacity",#N/A,FALSE,"Guangzhou"}</definedName>
    <definedName name="wrn.ZZ." hidden="1">{"Volume",#N/A,FALSE,"Zhengzhou";"capacity",#N/A,FALSE,"Zhengzhou"}</definedName>
    <definedName name="wrn100.gb" hidden="1">{#N/A,#N/A,FALSE,"资产负债表";#N/A,#N/A,FALSE,"资产负债表"}</definedName>
    <definedName name="wrnn.all." hidden="1">{#N/A,#N/A,FALSE,"SUM";#N/A,#N/A,FALSE,"SK_TOT";#N/A,#N/A,FALSE,"YM";#N/A,#N/A,FALSE,"TSMC";#N/A,#N/A,FALSE,"ICW";#N/A,#N/A,FALSE,"Sheet1"}</definedName>
    <definedName name="wrr" hidden="1">{"capacity",#N/A,FALSE,"Hangzhou";"volume",#N/A,FALSE,"Hangzhou"}</definedName>
    <definedName name="ws">#REF!</definedName>
    <definedName name="wtr" hidden="1">{#N/A,#N/A,FALSE,"资产负债表";#N/A,#N/A,FALSE,"资产负债表"}</definedName>
    <definedName name="ww">#REF!</definedName>
    <definedName name="wws">#REF!</definedName>
    <definedName name="www">#REF!</definedName>
    <definedName name="wwwwwwww" hidden="1">{"Volume",#N/A,FALSE,"Nanjing";"capacity",#N/A,FALSE,"Nanjing"}</definedName>
    <definedName name="WZ">#REF!</definedName>
    <definedName name="X">#REF!</definedName>
    <definedName name="XD_jb查">#REF!</definedName>
    <definedName name="XDjb2_3月数查询">#REF!</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SQLR1">#REF!</definedName>
    <definedName name="XSQLR2">#REF!</definedName>
    <definedName name="XSQLR3">#REF!</definedName>
    <definedName name="xxs">#REF!</definedName>
    <definedName name="XXXXXXXXXXXX" hidden="1">#REF!</definedName>
    <definedName name="XYLENE">#REF!</definedName>
    <definedName name="XYLENEE">#REF!</definedName>
    <definedName name="xyz" hidden="1">#REF!</definedName>
    <definedName name="xzxsfd" hidden="1">{"M1Print",#N/A,FALSE,"M1"}</definedName>
    <definedName name="y" hidden="1">{#N/A,#N/A,FALSE,"970301";#N/A,#N/A,FALSE,"970302";#N/A,#N/A,FALSE,"970303";#N/A,#N/A,FALSE,"970304";#N/A,#N/A,FALSE,"COM1";#N/A,#N/A,FALSE,"COM2"}</definedName>
    <definedName name="YE">#REF!</definedName>
    <definedName name="year">#REF!</definedName>
    <definedName name="year_end">#REF!</definedName>
    <definedName name="YES">#REF!</definedName>
    <definedName name="YesNoRange">#REF!</definedName>
    <definedName name="yetye" hidden="1">{"Volume",#N/A,FALSE,"Nanjing";"capacity",#N/A,FALSE,"Nanjing"}</definedName>
    <definedName name="YFQT1">#REF!</definedName>
    <definedName name="YFQT2">#REF!</definedName>
    <definedName name="YFQT3">#REF!</definedName>
    <definedName name="YFRG1">#REF!</definedName>
    <definedName name="YFRG2">#REF!</definedName>
    <definedName name="YFRG3">#REF!</definedName>
    <definedName name="YFZJ1">#REF!</definedName>
    <definedName name="YFZJ2">#REF!</definedName>
    <definedName name="YFZJ3">#REF!</definedName>
    <definedName name="YFZX1">#REF!</definedName>
    <definedName name="YFZX2">#REF!</definedName>
    <definedName name="YFZX3">#REF!</definedName>
    <definedName name="yingfugongzi.dbf">#REF!</definedName>
    <definedName name="yinhang">#REF!</definedName>
    <definedName name="YON">#REF!</definedName>
    <definedName name="YTD_CR">SUM(#REF!)</definedName>
    <definedName name="YTD_Premium">SUM(#REF!)</definedName>
    <definedName name="ytm783f">#REF!</definedName>
    <definedName name="yy">#REF!</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AI">#REF!</definedName>
    <definedName name="zbj">#REF!</definedName>
    <definedName name="zdry" hidden="1">{#N/A,#N/A,FALSE,"资产负债表";#N/A,#N/A,FALSE,"资产负债表"}</definedName>
    <definedName name="zerey" hidden="1">{#N/A,#N/A,FALSE,"资产负债表";#N/A,#N/A,FALSE,"资产负债表"}</definedName>
    <definedName name="zsw">#REF!</definedName>
    <definedName name="ztz">#REF!</definedName>
    <definedName name="ZU">#REF!</definedName>
    <definedName name="zx">#REF!</definedName>
    <definedName name="zxcvb">#REF!</definedName>
    <definedName name="zxcvbn">#REF!</definedName>
    <definedName name="zxcvbnm">#REF!</definedName>
    <definedName name="zxxx">#REF!</definedName>
    <definedName name="zz">#REF!</definedName>
    <definedName name="zzz">#REF!</definedName>
    <definedName name="ZZZZZZZZZZZZZ" hidden="1">#REF!</definedName>
    <definedName name="カウン">#REF!</definedName>
    <definedName name="カウンタ">#REF!</definedName>
    <definedName name="カウント">#REF!</definedName>
    <definedName name="サブ">#REF!</definedName>
    <definedName name="さぶ">#REF!</definedName>
    <definedName name="サブ1">#REF!</definedName>
    <definedName name="しかく">#REF!</definedName>
    <definedName name="阿">#REF!</definedName>
    <definedName name="啊" hidden="1">{#N/A,#N/A,FALSE,"970301";#N/A,#N/A,FALSE,"970302";#N/A,#N/A,FALSE,"970303";#N/A,#N/A,FALSE,"970304";#N/A,#N/A,FALSE,"COM1";#N/A,#N/A,FALSE,"COM2"}</definedName>
    <definedName name="保温">#REF!</definedName>
    <definedName name="报表">#REF!</definedName>
    <definedName name="北船">#REF!</definedName>
    <definedName name="备用" hidden="1">{#N/A,#N/A,FALSE,"OffAdvance";#N/A,#N/A,FALSE,"OffExpRprt";#N/A,#N/A,FALSE,"Entertmnt";#N/A,#N/A,FALSE,"Promotion";#N/A,#N/A,FALSE,"Travelling"}</definedName>
    <definedName name="备注">#REF!</definedName>
    <definedName name="编制单位">#REF!</definedName>
    <definedName name="变更">#REF!</definedName>
    <definedName name="标识2">#REF!</definedName>
    <definedName name="表外项目">#REF!</definedName>
    <definedName name="补贴款">#REF!</definedName>
    <definedName name="材料">#REF!</definedName>
    <definedName name="财务现金流量表">#REF!</definedName>
    <definedName name="查询关联交易收入">#REF!</definedName>
    <definedName name="产品销售收入与成本明细表">#REF!</definedName>
    <definedName name="场地费2">#REF!</definedName>
    <definedName name="场地费3">#REF!</definedName>
    <definedName name="出国培训总天数3">#REF!</definedName>
    <definedName name="処理">#REF!</definedName>
    <definedName name="処理2">#REF!</definedName>
    <definedName name="戳">#REF!</definedName>
    <definedName name="存货93期初">#REF!</definedName>
    <definedName name="存货93期末">#REF!</definedName>
    <definedName name="存货94期初">#REF!</definedName>
    <definedName name="存货94期末">#REF!</definedName>
    <definedName name="存货95期初">#REF!</definedName>
    <definedName name="存货95期末">#REF!</definedName>
    <definedName name="存货明细">#REF!</definedName>
    <definedName name="存货明细表">#REF!</definedName>
    <definedName name="存货暂估汇总表">#REF!</definedName>
    <definedName name="存款">#REF!</definedName>
    <definedName name="贷款清单2">#REF!</definedName>
    <definedName name="待处理固定资产净损失明细表">#REF!</definedName>
    <definedName name="待处理流动资产净损失明细表">#REF!</definedName>
    <definedName name="担保并贴现_查询5">#REF!</definedName>
    <definedName name="单位代码">#REF!</definedName>
    <definedName name="当前明细账">#REF!</definedName>
    <definedName name="第三方">#REF!</definedName>
    <definedName name="第一部分">#REF!</definedName>
    <definedName name="定型">#REF!</definedName>
    <definedName name="动态外方注册资本">#REF!</definedName>
    <definedName name="动态中方注册资本">#REF!</definedName>
    <definedName name="短期投资_其他_明细表">#REF!</definedName>
    <definedName name="短期投资_债券_明细表">#REF!</definedName>
    <definedName name="短长期">#REF!</definedName>
    <definedName name="儿女">#REF!</definedName>
    <definedName name="发电固定资产投资">#REF!</definedName>
    <definedName name="反3">#REF!</definedName>
    <definedName name="分类">#REF!</definedName>
    <definedName name="辅材">#REF!</definedName>
    <definedName name="负债表">#REF!</definedName>
    <definedName name="负债合计93期末">#REF!</definedName>
    <definedName name="负债合计94期末">#REF!</definedName>
    <definedName name="负债合计95期末">#REF!</definedName>
    <definedName name="附件">#REF!</definedName>
    <definedName name="赴日产资料费3">#REF!</definedName>
    <definedName name="钢板科历史合同">#REF!</definedName>
    <definedName name="高压合计">#REF!</definedName>
    <definedName name="工_程_经_济_效_益_一_览_表">#REF!</definedName>
    <definedName name="工程物资类别">#REF!</definedName>
    <definedName name="工程物资明细表">#REF!</definedName>
    <definedName name="公司关系">#REF!</definedName>
    <definedName name="公司类别">#REF!</definedName>
    <definedName name="公司名称">#REF!</definedName>
    <definedName name="购置费2">#REF!</definedName>
    <definedName name="购置费3">#REF!</definedName>
    <definedName name="固定资产变动资料">#REF!</definedName>
    <definedName name="固定资产汇总历史表">#REF!</definedName>
    <definedName name="固定资产及累计折旧明细帐">#REF!</definedName>
    <definedName name="固定资产明细">#REF!</definedName>
    <definedName name="固定资产明细帐">#REF!</definedName>
    <definedName name="固定资产明细账">#REF!</definedName>
    <definedName name="固定资产清单">#REF!</definedName>
    <definedName name="固定资产原值表">#REF!</definedName>
    <definedName name="固定资产折旧表">#REF!</definedName>
    <definedName name="关联">#REF!</definedName>
    <definedName name="关联交易">#REF!</definedName>
    <definedName name="管理费用">#REF!</definedName>
    <definedName name="管理费用明细表">#REF!</definedName>
    <definedName name="国际机票3">#REF!</definedName>
    <definedName name="国内差旅费2">#REF!</definedName>
    <definedName name="国内差旅费3">#REF!</definedName>
    <definedName name="国内融资价差预备">#REF!</definedName>
    <definedName name="国内融资建设期利息">#REF!</definedName>
    <definedName name="国外公杂费3">#REF!</definedName>
    <definedName name="国外伙食补贴3">#REF!</definedName>
    <definedName name="国外零用费3">#REF!</definedName>
    <definedName name="国外住宿费3">#REF!</definedName>
    <definedName name="杭汽">#REF!</definedName>
    <definedName name="好">"对象 1"</definedName>
    <definedName name="合并价差明细表">#REF!</definedName>
    <definedName name="合计">#REF!</definedName>
    <definedName name="核算项目余额表">#REF!</definedName>
    <definedName name="坏帐准备明细表">#REF!</definedName>
    <definedName name="汇率">#REF!</definedName>
    <definedName name="会计分录序时簿">#REF!</definedName>
    <definedName name="机械">#REF!</definedName>
    <definedName name="计划及实际价格入库记录">#REF!</definedName>
    <definedName name="计提.dbf">#REF!</definedName>
    <definedName name="家">#REF!</definedName>
    <definedName name="价格浮动系数">#REF!</definedName>
    <definedName name="结果">#REF!</definedName>
    <definedName name="借款" hidden="1">{#N/A,#N/A,FALSE,"970301";#N/A,#N/A,FALSE,"970302";#N/A,#N/A,FALSE,"970303";#N/A,#N/A,FALSE,"970304";#N/A,#N/A,FALSE,"COM1";#N/A,#N/A,FALSE,"COM2"}</definedName>
    <definedName name="借款还本付息估算表">#REF!</definedName>
    <definedName name="借款性质">#REF!</definedName>
    <definedName name="借入款单位现状">#REF!</definedName>
    <definedName name="借入款单位性质">#REF!</definedName>
    <definedName name="经营">#REF!</definedName>
    <definedName name="净_利_润93">#REF!</definedName>
    <definedName name="净_利_润94">#REF!</definedName>
    <definedName name="净_利_润95">#REF!</definedName>
    <definedName name="净资产合计93期初">#REF!</definedName>
    <definedName name="净资产合计93期末">#REF!</definedName>
    <definedName name="净资产合计94期初">#REF!</definedName>
    <definedName name="净资产合计94期末">#REF!</definedName>
    <definedName name="净资产合计95期初">#REF!</definedName>
    <definedName name="净资产合计95期末">#REF!</definedName>
    <definedName name="静态外方注册资本">#REF!</definedName>
    <definedName name="静态中方注册资本">#REF!</definedName>
    <definedName name="开办费明细表">#REF!</definedName>
    <definedName name="考务津贴2">#REF!</definedName>
    <definedName name="考务津贴3">#REF!</definedName>
    <definedName name="苛" hidden="1">{"M1sPrint",#N/A,FALSE,"M1s"}</definedName>
    <definedName name="科目表">#REF!</definedName>
    <definedName name="科目余额表">#REF!</definedName>
    <definedName name="扣除外资">#REF!</definedName>
    <definedName name="库存0402">#REF!</definedName>
    <definedName name="累计折旧明细表">#REF!</definedName>
    <definedName name="利_润_总_额93">#REF!</definedName>
    <definedName name="利_润_总_额94">#REF!</definedName>
    <definedName name="利_润_总_额95">#REF!</definedName>
    <definedName name="利润表">#REF!</definedName>
    <definedName name="流_动_资_产93">#REF!</definedName>
    <definedName name="流_动_资_产94">#REF!</definedName>
    <definedName name="流_动_资_产95">#REF!</definedName>
    <definedName name="流动负债93期末">#REF!</definedName>
    <definedName name="流动负债94期末">#REF!</definedName>
    <definedName name="流动负债95期末">#REF!</definedName>
    <definedName name="六道">#REF!</definedName>
    <definedName name="明细分类账">#REF!</definedName>
    <definedName name="明细帐">#REF!</definedName>
    <definedName name="培训方式2">#REF!</definedName>
    <definedName name="培训方式3">#REF!</definedName>
    <definedName name="培训费2">#REF!</definedName>
    <definedName name="培训费3">#REF!</definedName>
    <definedName name="培训项目2">#REF!</definedName>
    <definedName name="培训项目3">#REF!</definedName>
    <definedName name="培训项目类别2">#REF!</definedName>
    <definedName name="培训项目类别3">#REF!</definedName>
    <definedName name="培训组织部门2">#REF!</definedName>
    <definedName name="培训组织部门3">#REF!</definedName>
    <definedName name="配套融资">#REF!</definedName>
    <definedName name="配套融资价差预备">#REF!</definedName>
    <definedName name="配套融资建设期利息">#REF!</definedName>
    <definedName name="期">#REF!</definedName>
    <definedName name="期初">#REF!</definedName>
    <definedName name="期初或年初日期">#REF!</definedName>
    <definedName name="期货会员资格投资明细表">#REF!</definedName>
    <definedName name="期末">#REF!</definedName>
    <definedName name="期末或年末日期">#REF!</definedName>
    <definedName name="期数2">#REF!</definedName>
    <definedName name="期数3">#REF!</definedName>
    <definedName name="其他费用2">#REF!</definedName>
    <definedName name="其他费用3">#REF!</definedName>
    <definedName name="其他货币资金明细表">#REF!</definedName>
    <definedName name="其他未交款明细表">#REF!</definedName>
    <definedName name="其他业务收入">#REF!</definedName>
    <definedName name="其他业务支出">#REF!</definedName>
    <definedName name="其他应付款明细表">#REF!</definedName>
    <definedName name="其他应收">#REF!</definedName>
    <definedName name="其他应收款明细表">#REF!</definedName>
    <definedName name="其他长期负债明细表">#REF!</definedName>
    <definedName name="其他长期债权投资明细表">#REF!</definedName>
    <definedName name="其中外方注册资本比例">#REF!</definedName>
    <definedName name="其中中方注册资本比例">#REF!</definedName>
    <definedName name="签证费3">#REF!</definedName>
    <definedName name="强调">#REF!</definedName>
    <definedName name="请选择">#REF!</definedName>
    <definedName name="取消">#REF!</definedName>
    <definedName name="燃供二">#REF!</definedName>
    <definedName name="染">#REF!</definedName>
    <definedName name="人工">#REF!</definedName>
    <definedName name="日期">#REF!</definedName>
    <definedName name="上海电气集团股份有限公司">#REF!</definedName>
    <definedName name="设备">#REF!</definedName>
    <definedName name="沈玉环">#REF!</definedName>
    <definedName name="审计类型">#REF!</definedName>
    <definedName name="生产1">#REF!</definedName>
    <definedName name="生产2">#REF!</definedName>
    <definedName name="生产成本和费用估算表">#REF!</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5">#REF!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#REF!</definedName>
    <definedName name="生产期6">#REF!</definedName>
    <definedName name="生产期7">#REF!</definedName>
    <definedName name="生产期8">#REF!</definedName>
    <definedName name="生产期9">#REF!</definedName>
    <definedName name="生涯管理">#N/A</definedName>
    <definedName name="湿胶">#REF!</definedName>
    <definedName name="试验" hidden="1">{#N/A,#N/A,FALSE,"OffAdvance";#N/A,#N/A,FALSE,"OffExpRprt";#N/A,#N/A,FALSE,"Travelling";#N/A,#N/A,FALSE,"Entertmnt";#N/A,#N/A,FALSE,"Promotion"}</definedName>
    <definedName name="是否">#REF!</definedName>
    <definedName name="授课津贴2">#REF!</definedName>
    <definedName name="授课津贴3">#REF!</definedName>
    <definedName name="数">#REF!</definedName>
    <definedName name="数字">#REF!</definedName>
    <definedName name="水除二">#REF!</definedName>
    <definedName name="税费明细">#REF!</definedName>
    <definedName name="斯0">#REF!</definedName>
    <definedName name="速_动_资_产93">#REF!</definedName>
    <definedName name="速_动_资_产94">#REF!</definedName>
    <definedName name="速_动_资_产95">#REF!</definedName>
    <definedName name="损益、利润分配估算表">#REF!</definedName>
    <definedName name="_xlnm.Extract">#REF!</definedName>
    <definedName name="投资" hidden="1">{"AnaM1",#N/A,FALSE,"AnalisisM";"AnaM2",#N/A,FALSE,"AnalisisM";"AnaM3",#N/A,FALSE,"AnalisisM"}</definedName>
    <definedName name="投资收益明细表">#REF!</definedName>
    <definedName name="投资总额及资金筹措表">#REF!</definedName>
    <definedName name="推迟">#REF!</definedName>
    <definedName name="未交税金明细表">#REF!</definedName>
    <definedName name="文字2">"文字 2"</definedName>
    <definedName name="无对应明细表的报表项目">#REF!</definedName>
    <definedName name="现金流量表">#REF!</definedName>
    <definedName name="现金盘">#REF!</definedName>
    <definedName name="项目统计表">#REF!</definedName>
    <definedName name="消耗性材料汇总表">#REF!</definedName>
    <definedName name="小型热电项目">#REF!</definedName>
    <definedName name="新" hidden="1">{"RES-2001",#N/A,FALSE,"BL2000";"A1-2001",#N/A,FALSE,"BL2000";"A2-2001",#N/A,FALSE,"BL2000"}</definedName>
    <definedName name="新增">#REF!</definedName>
    <definedName name="行">#REF!</definedName>
    <definedName name="行件数">#REF!</definedName>
    <definedName name="行削除">#REF!</definedName>
    <definedName name="削除マクロ">#REF!</definedName>
    <definedName name="一级子公司">#REF!</definedName>
    <definedName name="一年内到期">#REF!</definedName>
    <definedName name="已05" hidden="1">{"M1Print",#N/A,TRUE,"M1";"M2Print",#N/A,TRUE,"M2";"M1sPrint",#N/A,TRUE,"M1s";"M2aPrint",#N/A,TRUE,"M2a";"M4Print",#N/A,TRUE,"M4";"M5Print",#N/A,TRUE,"M5";"M6Print",#N/A,TRUE,"M6";"M6_1Print",#N/A,TRUE,"M6_1";"M6_2Print",#N/A,TRUE,"M6_2";"M7_1Print",#N/A,TRUE,"M7_1";"M7_2Print",#N/A,TRUE,"M7_2"}</definedName>
    <definedName name="以前年度损益调整明细表">#REF!</definedName>
    <definedName name="引b2">#REF!</definedName>
    <definedName name="引b3">#REF!</definedName>
    <definedName name="印刷A">#REF!</definedName>
    <definedName name="印刷B">#REF!</definedName>
    <definedName name="应付股利明细表">#REF!</definedName>
    <definedName name="应付票据明细表">#REF!</definedName>
    <definedName name="应付债券明细表">#REF!</definedName>
    <definedName name="应付帐款明细表">#REF!</definedName>
    <definedName name="应付账款">#REF!</definedName>
    <definedName name="应收">#REF!</definedName>
    <definedName name="应收补贴款明细表">#REF!</definedName>
    <definedName name="应收利息明细表">#REF!</definedName>
    <definedName name="应收明细">#REF!</definedName>
    <definedName name="应收票据明细表">#REF!</definedName>
    <definedName name="应收帐款">#REF!</definedName>
    <definedName name="应收帐款93期初">#REF!</definedName>
    <definedName name="应收帐款93期末">#REF!</definedName>
    <definedName name="应收帐款94期初">#REF!</definedName>
    <definedName name="应收帐款94期末">#REF!</definedName>
    <definedName name="应收帐款95期初">#REF!</definedName>
    <definedName name="应收帐款95期末">#REF!</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营业外收入明细表">#REF!</definedName>
    <definedName name="营业外支出明细表">#REF!</definedName>
    <definedName name="有">#REF!</definedName>
    <definedName name="有无">#REF!</definedName>
    <definedName name="预测" hidden="1">{"NissanDetail",#N/A,FALSE,"1096NNA";"InfinitiDetail",#N/A,FALSE,"1096NNA";"PartsServDetail",#N/A,FALSE,"1096NNA";"VehicleOpsDetail",#N/A,FALSE,"1096NNA";"OtherexpDetail",#N/A,FALSE,"1096NNA"}</definedName>
    <definedName name="预付">#REF!</definedName>
    <definedName name="预付帐款明细表">#REF!</definedName>
    <definedName name="预收货款明细表">#REF!</definedName>
    <definedName name="预收客户">#REF!</definedName>
    <definedName name="预提费用明细表">#REF!</definedName>
    <definedName name="原______始______数______据">#REF!</definedName>
    <definedName name="原始数据">#REF!</definedName>
    <definedName name="长期股票投资明细表_成本法_">#REF!</definedName>
    <definedName name="长期借款明细表">#REF!</definedName>
    <definedName name="长期应付款明细表">#REF!</definedName>
    <definedName name="长期债券投资明细表">#REF!</definedName>
    <definedName name="帐龄">#REF!</definedName>
    <definedName name="帐外设备">#REF!</definedName>
    <definedName name="账龄分析表">#REF!</definedName>
    <definedName name="制表单位">#REF!</definedName>
    <definedName name="中低压">#REF!</definedName>
    <definedName name="重打范围">#REF!</definedName>
    <definedName name="主材">#REF!</definedName>
    <definedName name="主营业务税金及附加明细表">#REF!</definedName>
    <definedName name="住房周转金明细表">#REF!</definedName>
    <definedName name="状态">#REF!</definedName>
    <definedName name="资产负债表">#REF!</definedName>
    <definedName name="资产合计93期初">#REF!</definedName>
    <definedName name="资产合计93期末">#REF!</definedName>
    <definedName name="资产合计94期初">#REF!</definedName>
    <definedName name="资产合计94期末">#REF!</definedName>
    <definedName name="资产合计95期初">#REF!</definedName>
    <definedName name="资产合计95期末">#REF!</definedName>
    <definedName name="资金来源与运用表">#REF!</definedName>
    <definedName name="资料津贴2">#REF!</definedName>
    <definedName name="资料津贴3">#REF!</definedName>
    <definedName name="子公司">#REF!</definedName>
    <definedName name="子公司名称">#REF!</definedName>
    <definedName name="总分类帐">#REF!</definedName>
    <definedName name="总人数2">#REF!</definedName>
    <definedName name="总人数3">#REF!</definedName>
    <definedName name="总学时2">#REF!</definedName>
    <definedName name="总学时3">#REF!</definedName>
    <definedName name="總收入">#REF!</definedName>
    <definedName name="전">#REF!</definedName>
    <definedName name="주택사업본부">#REF!</definedName>
    <definedName name="철구사업본부">#REF!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4" i="53" l="1"/>
  <c r="K31" i="4" l="1"/>
  <c r="J31" i="4"/>
  <c r="H31" i="4"/>
  <c r="D43" i="53" l="1"/>
  <c r="D17" i="53" l="1"/>
  <c r="E43" i="53" s="1"/>
  <c r="F16" i="53"/>
  <c r="I31" i="74"/>
  <c r="F17" i="53" s="1"/>
  <c r="F92" i="42" l="1"/>
  <c r="F91" i="42"/>
  <c r="F90" i="42"/>
  <c r="F89" i="42"/>
  <c r="F88" i="42"/>
  <c r="F87" i="42"/>
  <c r="F86" i="42"/>
  <c r="F85" i="42"/>
  <c r="F84" i="42"/>
  <c r="F83" i="42"/>
  <c r="F82" i="42"/>
  <c r="F81" i="42"/>
  <c r="F80" i="42"/>
  <c r="F79" i="42"/>
  <c r="F78" i="42"/>
  <c r="F77" i="42"/>
  <c r="F76" i="42"/>
  <c r="F75" i="42"/>
  <c r="F74" i="42"/>
  <c r="F73" i="42"/>
  <c r="F72" i="42"/>
  <c r="F71" i="42"/>
  <c r="F70" i="42"/>
  <c r="F69" i="42"/>
  <c r="F68" i="42"/>
  <c r="F67" i="42"/>
  <c r="F66" i="42"/>
  <c r="F65" i="42"/>
  <c r="F64" i="42"/>
  <c r="F63" i="42"/>
  <c r="F62" i="42"/>
  <c r="F61" i="42"/>
  <c r="F60" i="42"/>
  <c r="F59" i="42"/>
  <c r="F58" i="42"/>
  <c r="F57" i="42"/>
  <c r="F56" i="42"/>
  <c r="F55" i="42"/>
  <c r="F54" i="42"/>
  <c r="F53" i="42"/>
  <c r="F52" i="42"/>
  <c r="F51" i="42"/>
  <c r="F50" i="42"/>
  <c r="F49" i="42"/>
  <c r="F48" i="42"/>
  <c r="F47" i="42"/>
  <c r="F46" i="42"/>
  <c r="F45" i="42"/>
  <c r="F44" i="42"/>
  <c r="F43" i="42"/>
  <c r="F42" i="42"/>
  <c r="F41" i="42"/>
  <c r="F40" i="42"/>
  <c r="F39" i="42"/>
  <c r="F38" i="42"/>
  <c r="F37" i="42"/>
  <c r="F36" i="42"/>
  <c r="F35" i="42"/>
  <c r="F34" i="42"/>
  <c r="F33" i="42"/>
  <c r="F32" i="42"/>
  <c r="F31" i="42"/>
  <c r="R30" i="42"/>
  <c r="F30" i="42"/>
  <c r="R29" i="42"/>
  <c r="F29" i="42"/>
  <c r="R28" i="42"/>
  <c r="F28" i="42"/>
  <c r="R27" i="42"/>
  <c r="F27" i="42"/>
  <c r="R26" i="42"/>
  <c r="F26" i="42"/>
  <c r="R25" i="42"/>
  <c r="F25" i="42"/>
  <c r="R24" i="42"/>
  <c r="F24" i="42"/>
  <c r="R23" i="42"/>
  <c r="F23" i="42"/>
  <c r="R22" i="42"/>
  <c r="F22" i="42"/>
  <c r="R21" i="42"/>
  <c r="F21" i="42"/>
  <c r="R20" i="42"/>
  <c r="F20" i="42"/>
  <c r="R19" i="42"/>
  <c r="F19" i="42"/>
  <c r="R18" i="42"/>
  <c r="F18" i="42"/>
  <c r="R17" i="42"/>
  <c r="F17" i="42"/>
  <c r="R16" i="42"/>
  <c r="F16" i="42"/>
  <c r="R15" i="42"/>
  <c r="F15" i="42"/>
  <c r="F14" i="42"/>
  <c r="F13" i="42"/>
  <c r="F12" i="42"/>
  <c r="F11" i="42"/>
  <c r="F10" i="42"/>
  <c r="G54" i="73"/>
  <c r="P57" i="53"/>
  <c r="O57" i="53"/>
  <c r="G47" i="53"/>
  <c r="G46" i="53"/>
  <c r="G43" i="53"/>
  <c r="D19" i="53"/>
  <c r="H17" i="53"/>
  <c r="D16" i="53"/>
  <c r="E44" i="53" s="1"/>
  <c r="G44" i="53" s="1"/>
  <c r="K32" i="4"/>
  <c r="J32" i="4"/>
  <c r="H32" i="4"/>
  <c r="O29" i="4"/>
  <c r="M29" i="4"/>
  <c r="L29" i="4"/>
  <c r="K29" i="4"/>
  <c r="J29" i="4"/>
  <c r="I29" i="4"/>
  <c r="H29" i="4"/>
  <c r="G29" i="4"/>
  <c r="F29" i="4"/>
  <c r="O28" i="4"/>
  <c r="M28" i="4"/>
  <c r="L28" i="4"/>
  <c r="J28" i="4"/>
  <c r="H28" i="4"/>
  <c r="O27" i="4"/>
  <c r="M27" i="4"/>
  <c r="L27" i="4"/>
  <c r="J27" i="4"/>
  <c r="H27" i="4"/>
  <c r="O26" i="4"/>
  <c r="M26" i="4"/>
  <c r="L26" i="4"/>
  <c r="J26" i="4"/>
  <c r="H26" i="4"/>
  <c r="O25" i="4"/>
  <c r="M25" i="4"/>
  <c r="L25" i="4"/>
  <c r="J25" i="4"/>
  <c r="H25" i="4"/>
  <c r="K23" i="4"/>
  <c r="H23" i="4"/>
  <c r="D20" i="4"/>
  <c r="C20" i="4"/>
  <c r="E19" i="43"/>
  <c r="E18" i="43"/>
  <c r="E17" i="43"/>
  <c r="E16" i="43"/>
  <c r="F15" i="43"/>
  <c r="E15" i="43"/>
  <c r="F19" i="53" l="1"/>
  <c r="H16" i="53"/>
  <c r="H19"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tc={EF1F65F7-E3BF-4CD9-94A0-18F8EB9711B2}</author>
    <author>tc={CC840752-2F2C-457F-92C6-594E95F5B3FC}</author>
    <author>tc={72CB07B3-E240-40C1-B266-138CDF92A356}</author>
  </authors>
  <commentList>
    <comment ref="B31" authorId="0" shapeId="0" xr:uid="{EF1F65F7-E3BF-4CD9-94A0-18F8EB9711B2}">
      <text>
        <t>[线程批注]
你的Excel版本可读取此线程批注; 但如果在更新版本的Excel中打开文件，则对批注所作的任何改动都将被删除。了解详细信息: https://go.microsoft.com/fwlink/?linkid=870924
注释:
    这里要写选样的策略，如果没有符合标准的样本，记录在第38行的表里
答复:
    已修改
答复:
    参考SOP写  公司的银行承兑汇票主要用于货款结算，公司已统一使用了集团公司的资金管理系统，对包括银行承兑汇票在内资金业务统一核算管理；根据连续审计，未发现公司存在应付票据的错报，故在执行表2获取承兑余额与总账金额一致的基础上，我们按以下选样标准对单张票据执行发函或检查：
a.在执行表1的总账与明细账核对中，涉及差异的单张票据；
b.异常的供应商（收票人），如与实体名称相近却并未被识别为关联方的供应商，或不属于该实体行业的供应商；
c.除上述情况外，票面金额超过测试阈值的未逾期单张票据；
d.已逾期单张票据（如有）。
答复:
    已修改</t>
      </text>
    </comment>
    <comment ref="G43" authorId="1" shapeId="0" xr:uid="{CC840752-2F2C-457F-92C6-594E95F5B3FC}">
      <text>
        <t>[线程批注]
你的Excel版本可读取此线程批注; 但如果在更新版本的Excel中打开文件，则对批注所作的任何改动都将被删除。了解详细信息: https://go.microsoft.com/fwlink/?linkid=870924
注释:
    差异原因是什么？补充
答复:
    已补充</t>
      </text>
    </comment>
    <comment ref="B50" authorId="2" shapeId="0" xr:uid="{72CB07B3-E240-40C1-B266-138CDF92A356}">
      <text>
        <t>[线程批注]
你的Excel版本可读取此线程批注; 但如果在更新版本的Excel中打开文件，则对批注所作的任何改动都将被删除。了解详细信息: https://go.microsoft.com/fwlink/?linkid=870924
注释:
    这里要和2.2表格的选样策略保持一致，应该也是没有符合条件的样本，下方的内容删掉吧
答复:
    已修改</t>
      </text>
    </comment>
  </commentList>
</comments>
</file>

<file path=xl/sharedStrings.xml><?xml version="1.0" encoding="utf-8"?>
<sst xmlns="http://schemas.openxmlformats.org/spreadsheetml/2006/main" count="2373" uniqueCount="774">
  <si>
    <t>V6 SWP</t>
  </si>
  <si>
    <r>
      <rPr>
        <sz val="10"/>
        <color theme="1"/>
        <rFont val="微软雅黑"/>
        <family val="2"/>
        <charset val="134"/>
      </rPr>
      <t>客户名称</t>
    </r>
  </si>
  <si>
    <t>DPCA</t>
  </si>
  <si>
    <r>
      <rPr>
        <sz val="10"/>
        <color theme="1"/>
        <rFont val="微软雅黑"/>
        <family val="2"/>
        <charset val="134"/>
      </rPr>
      <t>重要性水平</t>
    </r>
    <r>
      <rPr>
        <sz val="10"/>
        <color theme="1"/>
        <rFont val="Arial"/>
        <family val="2"/>
      </rPr>
      <t>(PM)</t>
    </r>
  </si>
  <si>
    <r>
      <rPr>
        <sz val="10"/>
        <color rgb="FF000000"/>
        <rFont val="微软雅黑"/>
        <family val="2"/>
        <charset val="134"/>
      </rPr>
      <t>期末</t>
    </r>
  </si>
  <si>
    <r>
      <rPr>
        <sz val="10"/>
        <color theme="1"/>
        <rFont val="微软雅黑"/>
        <family val="2"/>
        <charset val="134"/>
      </rPr>
      <t>可容忍误差</t>
    </r>
    <r>
      <rPr>
        <sz val="10"/>
        <color theme="1"/>
        <rFont val="Arial"/>
        <family val="2"/>
      </rPr>
      <t>(TE)</t>
    </r>
  </si>
  <si>
    <r>
      <rPr>
        <sz val="10"/>
        <color theme="1"/>
        <rFont val="微软雅黑"/>
        <family val="2"/>
        <charset val="134"/>
      </rPr>
      <t>记账本位币</t>
    </r>
  </si>
  <si>
    <t>CNY</t>
  </si>
  <si>
    <r>
      <rPr>
        <sz val="10"/>
        <color theme="1"/>
        <rFont val="微软雅黑"/>
        <family val="2"/>
        <charset val="134"/>
      </rPr>
      <t>名义金额</t>
    </r>
    <r>
      <rPr>
        <sz val="10"/>
        <color theme="1"/>
        <rFont val="Arial"/>
        <family val="2"/>
      </rPr>
      <t>(SAD)</t>
    </r>
  </si>
  <si>
    <r>
      <rPr>
        <sz val="10"/>
        <color rgb="FF000000"/>
        <rFont val="微软雅黑"/>
        <family val="2"/>
        <charset val="134"/>
      </rPr>
      <t>适用会计准则</t>
    </r>
  </si>
  <si>
    <t>PRC</t>
  </si>
  <si>
    <t>Threshold(s)</t>
  </si>
  <si>
    <r>
      <rPr>
        <b/>
        <sz val="10"/>
        <rFont val="微软雅黑"/>
        <family val="2"/>
        <charset val="134"/>
      </rPr>
      <t>认定</t>
    </r>
  </si>
  <si>
    <t>CRA</t>
  </si>
  <si>
    <r>
      <rPr>
        <b/>
        <sz val="10"/>
        <rFont val="微软雅黑"/>
        <family val="2"/>
        <charset val="134"/>
      </rPr>
      <t>各项认定</t>
    </r>
    <r>
      <rPr>
        <b/>
        <vertAlign val="superscript"/>
        <sz val="10"/>
        <color rgb="FFFF0000"/>
        <rFont val="Arial"/>
        <family val="2"/>
      </rPr>
      <t>1</t>
    </r>
  </si>
  <si>
    <r>
      <rPr>
        <b/>
        <sz val="10"/>
        <rFont val="微软雅黑"/>
        <family val="2"/>
        <charset val="134"/>
      </rPr>
      <t>所有相关认定</t>
    </r>
    <r>
      <rPr>
        <b/>
        <sz val="10"/>
        <rFont val="Arial"/>
        <family val="2"/>
      </rPr>
      <t xml:space="preserve"> </t>
    </r>
    <r>
      <rPr>
        <b/>
        <vertAlign val="superscript"/>
        <sz val="10"/>
        <color rgb="FFFF0000"/>
        <rFont val="Arial"/>
        <family val="2"/>
      </rPr>
      <t>2</t>
    </r>
  </si>
  <si>
    <r>
      <rPr>
        <sz val="10"/>
        <color rgb="FF000000"/>
        <rFont val="微软雅黑"/>
        <family val="2"/>
        <charset val="134"/>
      </rPr>
      <t>完整性</t>
    </r>
    <r>
      <rPr>
        <sz val="10"/>
        <color rgb="FF000000"/>
        <rFont val="Arial"/>
        <family val="2"/>
      </rPr>
      <t xml:space="preserve"> (C)</t>
    </r>
  </si>
  <si>
    <t>N/A</t>
  </si>
  <si>
    <t>有限风险</t>
  </si>
  <si>
    <r>
      <rPr>
        <sz val="10"/>
        <color rgb="FF000000"/>
        <rFont val="微软雅黑"/>
        <family val="2"/>
        <charset val="134"/>
      </rPr>
      <t>存在性</t>
    </r>
    <r>
      <rPr>
        <sz val="10"/>
        <color rgb="FF000000"/>
        <rFont val="Arial"/>
        <family val="2"/>
      </rPr>
      <t xml:space="preserve"> (E)</t>
    </r>
  </si>
  <si>
    <r>
      <rPr>
        <sz val="10"/>
        <color rgb="FF000000"/>
        <rFont val="微软雅黑"/>
        <family val="2"/>
        <charset val="134"/>
      </rPr>
      <t>计价</t>
    </r>
    <r>
      <rPr>
        <sz val="10"/>
        <color rgb="FF000000"/>
        <rFont val="Arial"/>
        <family val="2"/>
      </rPr>
      <t>(V)</t>
    </r>
  </si>
  <si>
    <r>
      <rPr>
        <sz val="10"/>
        <color rgb="FF000000"/>
        <rFont val="微软雅黑"/>
        <family val="2"/>
        <charset val="134"/>
      </rPr>
      <t>权利和义务</t>
    </r>
    <r>
      <rPr>
        <sz val="10"/>
        <color rgb="FF000000"/>
        <rFont val="Arial"/>
        <family val="2"/>
      </rPr>
      <t xml:space="preserve"> (R&amp;O)</t>
    </r>
  </si>
  <si>
    <r>
      <rPr>
        <sz val="10"/>
        <color rgb="FF000000"/>
        <rFont val="微软雅黑"/>
        <family val="2"/>
        <charset val="134"/>
      </rPr>
      <t>列报和披露</t>
    </r>
    <r>
      <rPr>
        <sz val="10"/>
        <color rgb="FF000000"/>
        <rFont val="Arial"/>
        <family val="2"/>
      </rPr>
      <t xml:space="preserve"> (P&amp;D)</t>
    </r>
  </si>
  <si>
    <r>
      <rPr>
        <b/>
        <i/>
        <sz val="9"/>
        <color rgb="FFFF0000"/>
        <rFont val="Arial"/>
        <family val="2"/>
      </rPr>
      <t xml:space="preserve">1 </t>
    </r>
    <r>
      <rPr>
        <b/>
        <i/>
        <sz val="9"/>
        <color rgb="FFFF0000"/>
        <rFont val="微软雅黑"/>
        <family val="2"/>
        <charset val="134"/>
      </rPr>
      <t>各项认定的测试阈值，是根据</t>
    </r>
    <r>
      <rPr>
        <b/>
        <i/>
        <sz val="9"/>
        <color rgb="FFFF0000"/>
        <rFont val="Arial"/>
        <family val="2"/>
      </rPr>
      <t xml:space="preserve">EY GAM SUBSTANTIVE DESIGN 2.2.1 </t>
    </r>
  </si>
  <si>
    <r>
      <rPr>
        <b/>
        <i/>
        <sz val="9"/>
        <color rgb="FFFF0000"/>
        <rFont val="微软雅黑"/>
        <family val="2"/>
        <charset val="134"/>
      </rPr>
      <t>中的示例测试阈值（用占</t>
    </r>
    <r>
      <rPr>
        <b/>
        <i/>
        <sz val="9"/>
        <color rgb="FFFF0000"/>
        <rFont val="Arial"/>
        <family val="2"/>
      </rPr>
      <t>TE</t>
    </r>
    <r>
      <rPr>
        <b/>
        <i/>
        <sz val="9"/>
        <color rgb="FFFF0000"/>
        <rFont val="微软雅黑"/>
        <family val="2"/>
        <charset val="134"/>
      </rPr>
      <t>的百分比表示）在相应风险等级（</t>
    </r>
    <r>
      <rPr>
        <b/>
        <i/>
        <sz val="9"/>
        <color rgb="FFFF0000"/>
        <rFont val="Arial"/>
        <family val="2"/>
      </rPr>
      <t>CRA</t>
    </r>
    <r>
      <rPr>
        <b/>
        <i/>
        <sz val="9"/>
        <color rgb="FFFF0000"/>
        <rFont val="微软雅黑"/>
        <family val="2"/>
        <charset val="134"/>
      </rPr>
      <t>）区间的上限计算得出的。</t>
    </r>
  </si>
  <si>
    <r>
      <rPr>
        <b/>
        <i/>
        <sz val="9"/>
        <color rgb="FFFF0000"/>
        <rFont val="微软雅黑"/>
        <family val="2"/>
        <charset val="134"/>
      </rPr>
      <t>除负债</t>
    </r>
    <r>
      <rPr>
        <b/>
        <i/>
        <sz val="9"/>
        <color rgb="FFFF0000"/>
        <rFont val="Arial"/>
        <family val="2"/>
      </rPr>
      <t>/</t>
    </r>
    <r>
      <rPr>
        <b/>
        <i/>
        <sz val="9"/>
        <color rgb="FFFF0000"/>
        <rFont val="微软雅黑"/>
        <family val="2"/>
        <charset val="134"/>
      </rPr>
      <t>费用类别账户的完整性认定应当使用负债</t>
    </r>
    <r>
      <rPr>
        <b/>
        <i/>
        <sz val="9"/>
        <color rgb="FFFF0000"/>
        <rFont val="Arial"/>
        <family val="2"/>
      </rPr>
      <t>/</t>
    </r>
    <r>
      <rPr>
        <b/>
        <i/>
        <sz val="9"/>
        <color rgb="FFFF0000"/>
        <rFont val="微软雅黑"/>
        <family val="2"/>
        <charset val="134"/>
      </rPr>
      <t>费用账户表之外，其他类别账户和认定均可使用资产</t>
    </r>
    <r>
      <rPr>
        <b/>
        <i/>
        <sz val="9"/>
        <color rgb="FFFF0000"/>
        <rFont val="Arial"/>
        <family val="2"/>
      </rPr>
      <t>/</t>
    </r>
    <r>
      <rPr>
        <b/>
        <i/>
        <sz val="9"/>
        <color rgb="FFFF0000"/>
        <rFont val="微软雅黑"/>
        <family val="2"/>
        <charset val="134"/>
      </rPr>
      <t>收入账户表。</t>
    </r>
  </si>
  <si>
    <r>
      <rPr>
        <b/>
        <i/>
        <sz val="9"/>
        <color rgb="FFFF0000"/>
        <rFont val="Arial"/>
        <family val="2"/>
      </rPr>
      <t xml:space="preserve">2 </t>
    </r>
    <r>
      <rPr>
        <b/>
        <i/>
        <sz val="9"/>
        <color rgb="FFFF0000"/>
        <rFont val="微软雅黑"/>
        <family val="2"/>
        <charset val="134"/>
      </rPr>
      <t>所有相关认定的测试阈值，是所有有效认定对应之测试阈值的最小值。我们在</t>
    </r>
    <r>
      <rPr>
        <b/>
        <i/>
        <sz val="9"/>
        <color rgb="FFFF0000"/>
        <rFont val="Arial"/>
        <family val="2"/>
      </rPr>
      <t xml:space="preserve"> Lead</t>
    </r>
    <r>
      <rPr>
        <b/>
        <i/>
        <sz val="9"/>
        <color rgb="FFFF0000"/>
        <rFont val="微软雅黑"/>
        <family val="2"/>
        <charset val="134"/>
      </rPr>
      <t>中使用该测试阈值：（</t>
    </r>
    <r>
      <rPr>
        <b/>
        <i/>
        <sz val="9"/>
        <color rgb="FFFF0000"/>
        <rFont val="Arial"/>
        <family val="2"/>
      </rPr>
      <t>a</t>
    </r>
    <r>
      <rPr>
        <b/>
        <i/>
        <sz val="9"/>
        <color rgb="FFFF0000"/>
        <rFont val="微软雅黑"/>
        <family val="2"/>
        <charset val="134"/>
      </rPr>
      <t>）作为选取总账账户进行测试的起点；（</t>
    </r>
    <r>
      <rPr>
        <b/>
        <i/>
        <sz val="9"/>
        <color rgb="FFFF0000"/>
        <rFont val="Arial"/>
        <family val="2"/>
      </rPr>
      <t>b</t>
    </r>
    <r>
      <rPr>
        <b/>
        <i/>
        <sz val="9"/>
        <color rgb="FFFF0000"/>
        <rFont val="微软雅黑"/>
        <family val="2"/>
        <charset val="134"/>
      </rPr>
      <t>）作为（需要进一步调查的）金额波动范围的起点。</t>
    </r>
  </si>
  <si>
    <t>P1</t>
  </si>
  <si>
    <r>
      <rPr>
        <b/>
        <sz val="10"/>
        <rFont val="微软雅黑"/>
        <family val="2"/>
        <charset val="134"/>
      </rPr>
      <t>序号</t>
    </r>
  </si>
  <si>
    <r>
      <rPr>
        <b/>
        <sz val="10"/>
        <rFont val="微软雅黑"/>
        <family val="2"/>
        <charset val="134"/>
      </rPr>
      <t>报表科目</t>
    </r>
  </si>
  <si>
    <r>
      <rPr>
        <b/>
        <sz val="10"/>
        <rFont val="微软雅黑"/>
        <family val="2"/>
        <charset val="134"/>
      </rPr>
      <t>执行实质性程序</t>
    </r>
  </si>
  <si>
    <r>
      <rPr>
        <b/>
        <sz val="10"/>
        <rFont val="微软雅黑"/>
        <family val="2"/>
        <charset val="134"/>
      </rPr>
      <t>实质性程序类型</t>
    </r>
  </si>
  <si>
    <r>
      <rPr>
        <b/>
        <sz val="10"/>
        <rFont val="微软雅黑"/>
        <family val="2"/>
        <charset val="134"/>
      </rPr>
      <t>程序描述</t>
    </r>
  </si>
  <si>
    <r>
      <rPr>
        <b/>
        <sz val="10"/>
        <rFont val="微软雅黑"/>
        <family val="2"/>
        <charset val="134"/>
      </rPr>
      <t>执行</t>
    </r>
  </si>
  <si>
    <r>
      <rPr>
        <b/>
        <sz val="10"/>
        <rFont val="微软雅黑"/>
        <family val="2"/>
        <charset val="134"/>
      </rPr>
      <t>索引</t>
    </r>
  </si>
  <si>
    <r>
      <rPr>
        <b/>
        <sz val="10"/>
        <color rgb="FF000000"/>
        <rFont val="微软雅黑"/>
        <family val="2"/>
        <charset val="134"/>
      </rPr>
      <t>如不执行</t>
    </r>
    <r>
      <rPr>
        <b/>
        <sz val="10"/>
        <color rgb="FF000000"/>
        <rFont val="Arial"/>
        <family val="2"/>
      </rPr>
      <t>PSP</t>
    </r>
    <r>
      <rPr>
        <b/>
        <sz val="10"/>
        <color rgb="FF000000"/>
        <rFont val="微软雅黑"/>
        <family val="2"/>
        <charset val="134"/>
      </rPr>
      <t>，原因需记录文字多于</t>
    </r>
    <r>
      <rPr>
        <b/>
        <sz val="10"/>
        <color rgb="FF000000"/>
        <rFont val="Arial"/>
        <family val="2"/>
      </rPr>
      <t>5</t>
    </r>
    <r>
      <rPr>
        <b/>
        <sz val="10"/>
        <color rgb="FF000000"/>
        <rFont val="微软雅黑"/>
        <family val="2"/>
        <charset val="134"/>
      </rPr>
      <t>个文字</t>
    </r>
  </si>
  <si>
    <r>
      <rPr>
        <sz val="10"/>
        <rFont val="微软雅黑"/>
        <family val="2"/>
        <charset val="134"/>
      </rPr>
      <t>应付票据</t>
    </r>
  </si>
  <si>
    <r>
      <rPr>
        <sz val="10"/>
        <color rgb="FF000000"/>
        <rFont val="Arial"/>
        <family val="2"/>
      </rPr>
      <t xml:space="preserve">M-01-GL: </t>
    </r>
    <r>
      <rPr>
        <sz val="10"/>
        <color rgb="FF000000"/>
        <rFont val="微软雅黑"/>
        <family val="2"/>
        <charset val="134"/>
      </rPr>
      <t>将明细账与总账核对一致</t>
    </r>
  </si>
  <si>
    <t>PSP</t>
  </si>
  <si>
    <t>BS: E, C</t>
  </si>
  <si>
    <r>
      <rPr>
        <sz val="10"/>
        <color theme="1"/>
        <rFont val="微软雅黑"/>
        <family val="2"/>
        <charset val="134"/>
      </rPr>
      <t>通过执行分析和调查两期的应付票据科目重大变动来确定应付票据余额是否合理。</t>
    </r>
  </si>
  <si>
    <t>Yes</t>
  </si>
  <si>
    <t>M.00 Lead</t>
  </si>
  <si>
    <t>M.01.01&amp;02.01明细账</t>
  </si>
  <si>
    <r>
      <rPr>
        <sz val="10"/>
        <rFont val="微软雅黑"/>
        <family val="2"/>
        <charset val="134"/>
      </rPr>
      <t>应付票据</t>
    </r>
    <r>
      <rPr>
        <sz val="10"/>
        <rFont val="Arial"/>
        <family val="2"/>
      </rPr>
      <t>_</t>
    </r>
    <r>
      <rPr>
        <sz val="10"/>
        <rFont val="微软雅黑"/>
        <family val="2"/>
        <charset val="134"/>
      </rPr>
      <t>银行承兑汇票</t>
    </r>
  </si>
  <si>
    <r>
      <rPr>
        <sz val="10"/>
        <color theme="1"/>
        <rFont val="Arial"/>
        <family val="2"/>
      </rPr>
      <t xml:space="preserve">M-01-GL: </t>
    </r>
    <r>
      <rPr>
        <sz val="10"/>
        <color theme="1"/>
        <rFont val="微软雅黑"/>
        <family val="2"/>
        <charset val="134"/>
      </rPr>
      <t>将应付票据明细账与总账核对一致，检查合同及其条款的合规性。</t>
    </r>
  </si>
  <si>
    <r>
      <rPr>
        <sz val="10"/>
        <color theme="1"/>
        <rFont val="微软雅黑"/>
        <family val="2"/>
        <charset val="134"/>
      </rPr>
      <t>获取应付票据</t>
    </r>
    <r>
      <rPr>
        <sz val="10"/>
        <color theme="1"/>
        <rFont val="Arial"/>
        <family val="2"/>
      </rPr>
      <t>_</t>
    </r>
    <r>
      <rPr>
        <sz val="10"/>
        <color theme="1"/>
        <rFont val="微软雅黑"/>
        <family val="2"/>
        <charset val="134"/>
      </rPr>
      <t>银行承兑汇票明细账，将余额与相应的总分类账核对一致。检查应付票据</t>
    </r>
    <r>
      <rPr>
        <sz val="10"/>
        <color theme="1"/>
        <rFont val="Arial"/>
        <family val="2"/>
      </rPr>
      <t>_</t>
    </r>
    <r>
      <rPr>
        <sz val="10"/>
        <color theme="1"/>
        <rFont val="微软雅黑"/>
        <family val="2"/>
        <charset val="134"/>
      </rPr>
      <t>银行承兑汇票开票条件及存续状态等情况，对银行承兑汇票进行函证；检查银行承兑汇票保证合理性。</t>
    </r>
  </si>
  <si>
    <r>
      <rPr>
        <b/>
        <u/>
        <sz val="10"/>
        <color theme="10"/>
        <rFont val="Arial"/>
        <family val="2"/>
      </rPr>
      <t xml:space="preserve">M.01 </t>
    </r>
    <r>
      <rPr>
        <b/>
        <u/>
        <sz val="10"/>
        <color theme="10"/>
        <rFont val="微软雅黑"/>
        <family val="2"/>
        <charset val="134"/>
      </rPr>
      <t>银承</t>
    </r>
    <r>
      <rPr>
        <b/>
        <u/>
        <sz val="10"/>
        <color theme="10"/>
        <rFont val="Arial"/>
        <family val="2"/>
      </rPr>
      <t>BKD</t>
    </r>
  </si>
  <si>
    <t>/P1</t>
  </si>
  <si>
    <r>
      <rPr>
        <sz val="10"/>
        <rFont val="微软雅黑"/>
        <family val="2"/>
        <charset val="134"/>
      </rPr>
      <t>应付票据</t>
    </r>
    <r>
      <rPr>
        <sz val="10"/>
        <rFont val="Arial"/>
        <family val="2"/>
      </rPr>
      <t>_</t>
    </r>
    <r>
      <rPr>
        <sz val="10"/>
        <rFont val="微软雅黑"/>
        <family val="2"/>
        <charset val="134"/>
      </rPr>
      <t>商业承兑汇票</t>
    </r>
  </si>
  <si>
    <r>
      <rPr>
        <sz val="10"/>
        <color theme="1"/>
        <rFont val="微软雅黑"/>
        <family val="2"/>
        <charset val="134"/>
      </rPr>
      <t>获取应付票据</t>
    </r>
    <r>
      <rPr>
        <sz val="10"/>
        <color theme="1"/>
        <rFont val="Arial"/>
        <family val="2"/>
      </rPr>
      <t>_</t>
    </r>
    <r>
      <rPr>
        <sz val="10"/>
        <color theme="1"/>
        <rFont val="微软雅黑"/>
        <family val="2"/>
        <charset val="134"/>
      </rPr>
      <t>商业承兑汇票明细账，将余额与相应的总分类账核对一致。检查应付票据</t>
    </r>
    <r>
      <rPr>
        <sz val="10"/>
        <color theme="1"/>
        <rFont val="Arial"/>
        <family val="2"/>
      </rPr>
      <t>_</t>
    </r>
    <r>
      <rPr>
        <sz val="10"/>
        <color theme="1"/>
        <rFont val="微软雅黑"/>
        <family val="2"/>
        <charset val="134"/>
      </rPr>
      <t>商业承兑汇票开票条件及存续状态等情况；必要时，对商业承兑汇票进行函证。</t>
    </r>
  </si>
  <si>
    <r>
      <rPr>
        <b/>
        <u/>
        <sz val="10"/>
        <color theme="10"/>
        <rFont val="Arial"/>
        <family val="2"/>
      </rPr>
      <t xml:space="preserve">M.02 </t>
    </r>
    <r>
      <rPr>
        <b/>
        <u/>
        <sz val="10"/>
        <color theme="10"/>
        <rFont val="微软雅黑"/>
        <family val="2"/>
        <charset val="134"/>
      </rPr>
      <t>商承</t>
    </r>
    <r>
      <rPr>
        <b/>
        <u/>
        <sz val="10"/>
        <color theme="10"/>
        <rFont val="Arial"/>
        <family val="2"/>
      </rPr>
      <t>BKD</t>
    </r>
  </si>
  <si>
    <r>
      <rPr>
        <b/>
        <sz val="10"/>
        <color rgb="FF000000"/>
        <rFont val="微软雅黑"/>
        <family val="2"/>
        <charset val="134"/>
      </rPr>
      <t>应付票据账户总结陈述</t>
    </r>
  </si>
  <si>
    <r>
      <rPr>
        <b/>
        <sz val="10"/>
        <color rgb="FF000000"/>
        <rFont val="微软雅黑"/>
        <family val="2"/>
        <charset val="134"/>
      </rPr>
      <t>通过执行审计程序：</t>
    </r>
  </si>
  <si>
    <t>√</t>
  </si>
  <si>
    <r>
      <rPr>
        <sz val="10"/>
        <color theme="1"/>
        <rFont val="微软雅黑"/>
        <family val="2"/>
        <charset val="134"/>
      </rPr>
      <t>我们没有发现任何超过</t>
    </r>
    <r>
      <rPr>
        <sz val="10"/>
        <color theme="1"/>
        <rFont val="Arial"/>
        <family val="2"/>
      </rPr>
      <t>SAD</t>
    </r>
    <r>
      <rPr>
        <sz val="10"/>
        <color theme="1"/>
        <rFont val="微软雅黑"/>
        <family val="2"/>
        <charset val="134"/>
      </rPr>
      <t>的错报</t>
    </r>
  </si>
  <si>
    <r>
      <rPr>
        <sz val="10"/>
        <rFont val="微软雅黑"/>
        <family val="2"/>
        <charset val="134"/>
      </rPr>
      <t>我们已经完成了于该些科目相关的细节测试，并发现了一个或多个超过</t>
    </r>
    <r>
      <rPr>
        <sz val="10"/>
        <rFont val="Arial"/>
        <family val="2"/>
      </rPr>
      <t>SAD</t>
    </r>
    <r>
      <rPr>
        <sz val="10"/>
        <rFont val="微软雅黑"/>
        <family val="2"/>
        <charset val="134"/>
      </rPr>
      <t>的错报，我们已经将这些错报记录于审计差异汇总（</t>
    </r>
    <r>
      <rPr>
        <sz val="10"/>
        <rFont val="Arial"/>
        <family val="2"/>
      </rPr>
      <t>SAD template)</t>
    </r>
    <r>
      <rPr>
        <sz val="10"/>
        <rFont val="微软雅黑"/>
        <family val="2"/>
        <charset val="134"/>
      </rPr>
      <t>中</t>
    </r>
    <r>
      <rPr>
        <sz val="10"/>
        <rFont val="Arial"/>
        <family val="2"/>
      </rPr>
      <t xml:space="preserve">, </t>
    </r>
    <r>
      <rPr>
        <sz val="10"/>
        <rFont val="微软雅黑"/>
        <family val="2"/>
        <charset val="134"/>
      </rPr>
      <t>并将该审计差异汇总表放入</t>
    </r>
    <r>
      <rPr>
        <sz val="10"/>
        <rFont val="Arial"/>
        <family val="2"/>
      </rPr>
      <t>Canvas</t>
    </r>
    <r>
      <rPr>
        <sz val="10"/>
        <rFont val="微软雅黑"/>
        <family val="2"/>
        <charset val="134"/>
      </rPr>
      <t>。</t>
    </r>
  </si>
  <si>
    <r>
      <rPr>
        <b/>
        <sz val="10"/>
        <rFont val="微软雅黑"/>
        <family val="2"/>
        <charset val="134"/>
      </rPr>
      <t>安永标记</t>
    </r>
  </si>
  <si>
    <t>TB</t>
  </si>
  <si>
    <r>
      <rPr>
        <sz val="10"/>
        <color theme="1"/>
        <rFont val="微软雅黑"/>
        <family val="2"/>
        <charset val="134"/>
      </rPr>
      <t>已与科目余额表核对无误</t>
    </r>
  </si>
  <si>
    <t>PY</t>
  </si>
  <si>
    <r>
      <rPr>
        <sz val="10"/>
        <color theme="1"/>
        <rFont val="微软雅黑"/>
        <family val="2"/>
        <charset val="134"/>
      </rPr>
      <t>与上年最终审定数核对一致</t>
    </r>
  </si>
  <si>
    <t>A3</t>
  </si>
  <si>
    <r>
      <rPr>
        <sz val="10"/>
        <rFont val="微软雅黑"/>
        <family val="2"/>
        <charset val="134"/>
      </rPr>
      <t>与未审数、审定数核对一致</t>
    </r>
  </si>
  <si>
    <t>A5</t>
  </si>
  <si>
    <r>
      <rPr>
        <sz val="10"/>
        <rFont val="微软雅黑"/>
        <family val="2"/>
        <charset val="134"/>
      </rPr>
      <t>与审计调整核对一致</t>
    </r>
  </si>
  <si>
    <t>FS</t>
  </si>
  <si>
    <r>
      <rPr>
        <sz val="10"/>
        <color theme="1"/>
        <rFont val="微软雅黑"/>
        <family val="2"/>
        <charset val="134"/>
      </rPr>
      <t>与</t>
    </r>
    <r>
      <rPr>
        <sz val="10"/>
        <color theme="1"/>
        <rFont val="Arial"/>
        <family val="2"/>
      </rPr>
      <t>FS.0x</t>
    </r>
    <r>
      <rPr>
        <sz val="10"/>
        <color theme="1"/>
        <rFont val="微软雅黑"/>
        <family val="2"/>
        <charset val="134"/>
      </rPr>
      <t>与财务报表核对无误</t>
    </r>
  </si>
  <si>
    <t>w</t>
  </si>
  <si>
    <r>
      <rPr>
        <sz val="10"/>
        <color theme="1"/>
        <rFont val="微软雅黑"/>
        <family val="2"/>
        <charset val="134"/>
      </rPr>
      <t>低于</t>
    </r>
    <r>
      <rPr>
        <sz val="10"/>
        <color theme="1"/>
        <rFont val="Arial"/>
        <family val="2"/>
      </rPr>
      <t>SAD</t>
    </r>
    <r>
      <rPr>
        <sz val="10"/>
        <color theme="1"/>
        <rFont val="微软雅黑"/>
        <family val="2"/>
        <charset val="134"/>
      </rPr>
      <t>的金额</t>
    </r>
    <r>
      <rPr>
        <sz val="10"/>
        <color theme="1"/>
        <rFont val="Arial"/>
        <family val="2"/>
      </rPr>
      <t>——</t>
    </r>
    <r>
      <rPr>
        <sz val="10"/>
        <color theme="1"/>
        <rFont val="微软雅黑"/>
        <family val="2"/>
        <charset val="134"/>
      </rPr>
      <t>放弃进一步调查</t>
    </r>
  </si>
  <si>
    <t>Rx</t>
  </si>
  <si>
    <r>
      <rPr>
        <sz val="10"/>
        <color theme="1"/>
        <rFont val="微软雅黑"/>
        <family val="2"/>
        <charset val="134"/>
      </rPr>
      <t>重新计算，无异常</t>
    </r>
  </si>
  <si>
    <t>m</t>
  </si>
  <si>
    <r>
      <rPr>
        <sz val="10"/>
        <color theme="1"/>
        <rFont val="微软雅黑"/>
        <family val="2"/>
        <charset val="134"/>
      </rPr>
      <t>余额</t>
    </r>
    <r>
      <rPr>
        <sz val="10"/>
        <color theme="1"/>
        <rFont val="Arial"/>
        <family val="2"/>
      </rPr>
      <t>/</t>
    </r>
    <r>
      <rPr>
        <sz val="10"/>
        <color theme="1"/>
        <rFont val="微软雅黑"/>
        <family val="2"/>
        <charset val="134"/>
      </rPr>
      <t>活动不符合测试范围</t>
    </r>
    <r>
      <rPr>
        <sz val="10"/>
        <color theme="1"/>
        <rFont val="Arial"/>
        <family val="2"/>
      </rPr>
      <t>–</t>
    </r>
    <r>
      <rPr>
        <sz val="10"/>
        <color theme="1"/>
        <rFont val="微软雅黑"/>
        <family val="2"/>
        <charset val="134"/>
      </rPr>
      <t>无需进一步调查</t>
    </r>
  </si>
  <si>
    <t>SL</t>
  </si>
  <si>
    <r>
      <rPr>
        <sz val="10"/>
        <color rgb="FF000000"/>
        <rFont val="微软雅黑"/>
        <family val="2"/>
        <charset val="134"/>
      </rPr>
      <t>已与明细账核对无误</t>
    </r>
  </si>
  <si>
    <t>03878ede-ea5b-4f95-861a-b27c211af73e</t>
  </si>
  <si>
    <r>
      <rPr>
        <u/>
        <sz val="10"/>
        <color rgb="FFFF0000"/>
        <rFont val="微软雅黑"/>
        <family val="2"/>
        <charset val="134"/>
      </rPr>
      <t>返回汇总页</t>
    </r>
  </si>
  <si>
    <r>
      <rPr>
        <b/>
        <u/>
        <sz val="14"/>
        <rFont val="微软雅黑"/>
        <family val="2"/>
        <charset val="134"/>
      </rPr>
      <t>目标</t>
    </r>
  </si>
  <si>
    <r>
      <rPr>
        <sz val="14"/>
        <color theme="1"/>
        <rFont val="微软雅黑"/>
        <family val="2"/>
        <charset val="134"/>
      </rPr>
      <t>通过执行分析和调查两期的应付票据科目重大变动来确定应付票据余额是否合理。</t>
    </r>
  </si>
  <si>
    <r>
      <rPr>
        <b/>
        <sz val="14"/>
        <color theme="1"/>
        <rFont val="微软雅黑"/>
        <family val="2"/>
        <charset val="134"/>
      </rPr>
      <t>序号</t>
    </r>
  </si>
  <si>
    <r>
      <rPr>
        <b/>
        <sz val="14"/>
        <rFont val="微软雅黑"/>
        <family val="2"/>
        <charset val="134"/>
      </rPr>
      <t>执行的程序</t>
    </r>
  </si>
  <si>
    <r>
      <rPr>
        <b/>
        <sz val="14"/>
        <rFont val="微软雅黑"/>
        <family val="2"/>
        <charset val="134"/>
      </rPr>
      <t>程序表</t>
    </r>
  </si>
  <si>
    <r>
      <rPr>
        <b/>
        <sz val="14"/>
        <rFont val="微软雅黑"/>
        <family val="2"/>
        <charset val="134"/>
      </rPr>
      <t>预审完成</t>
    </r>
  </si>
  <si>
    <r>
      <rPr>
        <b/>
        <sz val="14"/>
        <rFont val="微软雅黑"/>
        <family val="2"/>
        <charset val="134"/>
      </rPr>
      <t>年审完成</t>
    </r>
  </si>
  <si>
    <r>
      <rPr>
        <b/>
        <sz val="14"/>
        <color theme="1"/>
        <rFont val="微软雅黑"/>
        <family val="2"/>
        <charset val="134"/>
      </rPr>
      <t>执行注意事项</t>
    </r>
  </si>
  <si>
    <r>
      <rPr>
        <sz val="14"/>
        <color theme="1"/>
        <rFont val="微软雅黑"/>
        <family val="2"/>
        <charset val="134"/>
      </rPr>
      <t>我们获取应付票据科目余额表本期金额以及上年审定数。</t>
    </r>
  </si>
  <si>
    <r>
      <rPr>
        <b/>
        <sz val="14"/>
        <color rgb="FFFF0000"/>
        <rFont val="微软雅黑"/>
        <family val="2"/>
        <charset val="134"/>
      </rPr>
      <t>表</t>
    </r>
    <r>
      <rPr>
        <b/>
        <sz val="14"/>
        <color rgb="FFFF0000"/>
        <rFont val="Arial"/>
        <family val="2"/>
      </rPr>
      <t>2</t>
    </r>
  </si>
  <si>
    <t>是</t>
  </si>
  <si>
    <r>
      <rPr>
        <sz val="14"/>
        <color theme="1"/>
        <rFont val="微软雅黑"/>
        <family val="2"/>
        <charset val="134"/>
      </rPr>
      <t>我们将两期审定金额进行比对，对那些变动大于范围的事项，获得管理层解释并对解释是否合理进行调查。</t>
    </r>
  </si>
  <si>
    <r>
      <rPr>
        <b/>
        <sz val="10"/>
        <rFont val="微软雅黑"/>
        <family val="2"/>
        <charset val="134"/>
      </rPr>
      <t>在下文中描述我们当期对应付余额和相关波动的预期，以及这些预期的依据和理由。</t>
    </r>
  </si>
  <si>
    <t>波动范围</t>
  </si>
  <si>
    <r>
      <rPr>
        <b/>
        <sz val="10"/>
        <color rgb="FF000000"/>
        <rFont val="微软雅黑"/>
        <family val="2"/>
        <charset val="134"/>
      </rPr>
      <t>波动幅度</t>
    </r>
    <r>
      <rPr>
        <b/>
        <sz val="10"/>
        <color rgb="FF000000"/>
        <rFont val="Arial"/>
        <family val="2"/>
      </rPr>
      <t xml:space="preserve"> (%):</t>
    </r>
  </si>
  <si>
    <t>|------- TB -------|</t>
  </si>
  <si>
    <t>|------- PY -------|</t>
  </si>
  <si>
    <r>
      <rPr>
        <b/>
        <sz val="10"/>
        <color rgb="FFFF0000"/>
        <rFont val="微软雅黑"/>
        <family val="2"/>
        <charset val="134"/>
      </rPr>
      <t>表</t>
    </r>
    <r>
      <rPr>
        <b/>
        <sz val="10"/>
        <color rgb="FFFF0000"/>
        <rFont val="Arial"/>
        <family val="2"/>
      </rPr>
      <t>2</t>
    </r>
  </si>
  <si>
    <t>账套名称/账套编码</t>
  </si>
  <si>
    <t>科目名称</t>
  </si>
  <si>
    <r>
      <rPr>
        <b/>
        <sz val="10"/>
        <color rgb="FF000000"/>
        <rFont val="微软雅黑"/>
        <family val="2"/>
        <charset val="134"/>
      </rPr>
      <t>索引号</t>
    </r>
  </si>
  <si>
    <t> </t>
  </si>
  <si>
    <r>
      <rPr>
        <b/>
        <sz val="10"/>
        <color rgb="FF000000"/>
        <rFont val="微软雅黑"/>
        <family val="2"/>
        <charset val="134"/>
      </rPr>
      <t>变动</t>
    </r>
  </si>
  <si>
    <r>
      <rPr>
        <b/>
        <sz val="10"/>
        <color rgb="FF000000"/>
        <rFont val="微软雅黑"/>
        <family val="2"/>
        <charset val="134"/>
      </rPr>
      <t>基于波动幅度判断，是否进一步调查？</t>
    </r>
  </si>
  <si>
    <r>
      <rPr>
        <b/>
        <sz val="10"/>
        <color rgb="FF000000"/>
        <rFont val="微软雅黑"/>
        <family val="2"/>
        <charset val="134"/>
      </rPr>
      <t>基于定性考虑判断，是否进一步调查？</t>
    </r>
  </si>
  <si>
    <r>
      <rPr>
        <b/>
        <sz val="10"/>
        <color indexed="8"/>
        <rFont val="微软雅黑"/>
        <family val="2"/>
        <charset val="134"/>
      </rPr>
      <t>期末账面数</t>
    </r>
  </si>
  <si>
    <t>账表调整数</t>
  </si>
  <si>
    <r>
      <rPr>
        <b/>
        <sz val="10"/>
        <color indexed="8"/>
        <rFont val="微软雅黑"/>
        <family val="2"/>
        <charset val="134"/>
      </rPr>
      <t>期末未审数</t>
    </r>
  </si>
  <si>
    <t>审计调整数</t>
  </si>
  <si>
    <r>
      <rPr>
        <b/>
        <sz val="10"/>
        <color rgb="FF000000"/>
        <rFont val="微软雅黑"/>
        <family val="2"/>
        <charset val="134"/>
      </rPr>
      <t>期末审定数</t>
    </r>
  </si>
  <si>
    <r>
      <rPr>
        <b/>
        <sz val="10"/>
        <color indexed="8"/>
        <rFont val="微软雅黑"/>
        <family val="2"/>
        <charset val="134"/>
      </rPr>
      <t>上期末审定数</t>
    </r>
  </si>
  <si>
    <r>
      <rPr>
        <b/>
        <sz val="10"/>
        <rFont val="微软雅黑"/>
        <family val="2"/>
        <charset val="134"/>
      </rPr>
      <t>金额</t>
    </r>
  </si>
  <si>
    <t>%</t>
  </si>
  <si>
    <t>Notes</t>
  </si>
  <si>
    <t>银行承兑汇票</t>
  </si>
  <si>
    <t>M.01/</t>
  </si>
  <si>
    <t>否</t>
  </si>
  <si>
    <t>DPCC</t>
  </si>
  <si>
    <t>[A]</t>
  </si>
  <si>
    <t>商业承兑汇票</t>
  </si>
  <si>
    <t>M.02/</t>
  </si>
  <si>
    <r>
      <rPr>
        <sz val="10"/>
        <color theme="1"/>
        <rFont val="微软雅黑"/>
        <family val="2"/>
        <charset val="134"/>
      </rPr>
      <t>合计</t>
    </r>
  </si>
  <si>
    <t>RX</t>
  </si>
  <si>
    <t>Diff</t>
  </si>
  <si>
    <t>波动说明</t>
  </si>
  <si>
    <r>
      <rPr>
        <b/>
        <sz val="10"/>
        <rFont val="微软雅黑"/>
        <family val="2"/>
        <charset val="134"/>
      </rPr>
      <t>调整汇总表</t>
    </r>
    <r>
      <rPr>
        <b/>
        <i/>
        <sz val="10"/>
        <color rgb="FFFF0000"/>
        <rFont val="微软雅黑"/>
        <family val="2"/>
        <charset val="134"/>
      </rPr>
      <t>（如不适用请删除）</t>
    </r>
  </si>
  <si>
    <t>调整类型</t>
  </si>
  <si>
    <t>777ea5b4-12a4-4b4f-bd5a-60b7ed0d4f78</t>
  </si>
  <si>
    <r>
      <rPr>
        <b/>
        <u/>
        <sz val="14"/>
        <color indexed="8"/>
        <rFont val="微软雅黑"/>
        <family val="2"/>
        <charset val="134"/>
      </rPr>
      <t>目标</t>
    </r>
    <r>
      <rPr>
        <b/>
        <u/>
        <sz val="14"/>
        <color indexed="8"/>
        <rFont val="Arial"/>
        <family val="2"/>
      </rPr>
      <t xml:space="preserve"> </t>
    </r>
  </si>
  <si>
    <r>
      <rPr>
        <sz val="14"/>
        <color rgb="FF000000"/>
        <rFont val="微软雅黑"/>
        <family val="2"/>
        <charset val="134"/>
      </rPr>
      <t>复核应付票据</t>
    </r>
    <r>
      <rPr>
        <sz val="14"/>
        <color rgb="FF000000"/>
        <rFont val="Arial"/>
        <family val="2"/>
      </rPr>
      <t>_</t>
    </r>
    <r>
      <rPr>
        <sz val="14"/>
        <color rgb="FF000000"/>
        <rFont val="微软雅黑"/>
        <family val="2"/>
        <charset val="134"/>
      </rPr>
      <t>银行承兑汇票金额、期限、担保品等支持性文件，并执行函证程序。</t>
    </r>
  </si>
  <si>
    <r>
      <rPr>
        <sz val="14"/>
        <color rgb="FF000000"/>
        <rFont val="微软雅黑"/>
        <family val="2"/>
        <charset val="134"/>
      </rPr>
      <t>获取银行承兑汇票</t>
    </r>
    <r>
      <rPr>
        <b/>
        <sz val="14"/>
        <color rgb="FFFF0000"/>
        <rFont val="微软雅黑"/>
        <family val="2"/>
        <charset val="134"/>
      </rPr>
      <t>（含财务公司承兑汇票）</t>
    </r>
    <r>
      <rPr>
        <sz val="14"/>
        <color rgb="FF000000"/>
        <rFont val="微软雅黑"/>
        <family val="2"/>
        <charset val="134"/>
      </rPr>
      <t>明细表，将明细表期末总金额与</t>
    </r>
    <r>
      <rPr>
        <b/>
        <sz val="14"/>
        <color rgb="FFFF0000"/>
        <rFont val="微软雅黑"/>
        <family val="2"/>
        <charset val="134"/>
      </rPr>
      <t>银行承兑汇票</t>
    </r>
    <r>
      <rPr>
        <sz val="14"/>
        <color rgb="FF000000"/>
        <rFont val="微软雅黑"/>
        <family val="2"/>
        <charset val="134"/>
      </rPr>
      <t>总账核对一致。复核利息费用和应付利息计算的合理性</t>
    </r>
    <r>
      <rPr>
        <b/>
        <sz val="14"/>
        <color rgb="FFFF0000"/>
        <rFont val="微软雅黑"/>
        <family val="2"/>
        <charset val="134"/>
      </rPr>
      <t>（如适用）</t>
    </r>
    <r>
      <rPr>
        <sz val="14"/>
        <color rgb="FF000000"/>
        <rFont val="微软雅黑"/>
        <family val="2"/>
        <charset val="134"/>
      </rPr>
      <t>。</t>
    </r>
  </si>
  <si>
    <r>
      <rPr>
        <b/>
        <sz val="14"/>
        <color rgb="FFFF0000"/>
        <rFont val="Arial"/>
        <family val="2"/>
      </rPr>
      <t>M.01&amp;02.01</t>
    </r>
    <r>
      <rPr>
        <b/>
        <sz val="14"/>
        <color rgb="FFFF0000"/>
        <rFont val="微软雅黑"/>
        <family val="2"/>
        <charset val="134"/>
      </rPr>
      <t>明细账及表</t>
    </r>
    <r>
      <rPr>
        <b/>
        <sz val="14"/>
        <color rgb="FFFF0000"/>
        <rFont val="Arial"/>
        <family val="2"/>
      </rPr>
      <t>1</t>
    </r>
  </si>
  <si>
    <r>
      <rPr>
        <sz val="14"/>
        <color rgb="FF000000"/>
        <rFont val="微软雅黑"/>
        <family val="2"/>
        <charset val="134"/>
      </rPr>
      <t>检查银行承兑汇票协议或其他短期借款安排的文件，以确认银行承兑汇票的条款、限制、循环信用额和其他相关规定，选择需要进行函证的银行承兑汇票进行函证，并核对银行回函金额与账面金额一致。</t>
    </r>
  </si>
  <si>
    <r>
      <rPr>
        <b/>
        <sz val="14"/>
        <color rgb="FFFF0000"/>
        <rFont val="微软雅黑"/>
        <family val="2"/>
        <charset val="134"/>
      </rPr>
      <t>表</t>
    </r>
    <r>
      <rPr>
        <b/>
        <sz val="14"/>
        <color rgb="FFFF0000"/>
        <rFont val="Arial"/>
        <family val="2"/>
      </rPr>
      <t>2.1</t>
    </r>
    <r>
      <rPr>
        <b/>
        <sz val="14"/>
        <color rgb="FFFF0000"/>
        <rFont val="微软雅黑"/>
        <family val="2"/>
        <charset val="134"/>
      </rPr>
      <t>、表</t>
    </r>
    <r>
      <rPr>
        <b/>
        <sz val="14"/>
        <color rgb="FFFF0000"/>
        <rFont val="Arial"/>
        <family val="2"/>
      </rPr>
      <t>2.2</t>
    </r>
    <r>
      <rPr>
        <b/>
        <sz val="14"/>
        <color rgb="FFFF0000"/>
        <rFont val="微软雅黑"/>
        <family val="2"/>
        <charset val="134"/>
      </rPr>
      <t>及表</t>
    </r>
    <r>
      <rPr>
        <b/>
        <sz val="14"/>
        <color rgb="FFFF0000"/>
        <rFont val="Arial"/>
        <family val="2"/>
      </rPr>
      <t>2.3</t>
    </r>
  </si>
  <si>
    <r>
      <rPr>
        <sz val="14"/>
        <color rgb="FF000000"/>
        <rFont val="微软雅黑"/>
        <family val="2"/>
        <charset val="134"/>
      </rPr>
      <t>根据银行承兑汇票明细表，获取逾期银行承兑汇票的信息，对逾期银行承兑汇票未支付事项选取样本进行调查，查看逾期未支付的银行承兑汇票是否应当转入短期借款。</t>
    </r>
    <r>
      <rPr>
        <b/>
        <sz val="14"/>
        <color rgb="FFFF0000"/>
        <rFont val="微软雅黑"/>
        <family val="2"/>
        <charset val="134"/>
      </rPr>
      <t>（如适用）</t>
    </r>
  </si>
  <si>
    <r>
      <rPr>
        <b/>
        <sz val="14"/>
        <color rgb="FFFF0000"/>
        <rFont val="微软雅黑"/>
        <family val="2"/>
        <charset val="134"/>
      </rPr>
      <t>表</t>
    </r>
    <r>
      <rPr>
        <b/>
        <sz val="14"/>
        <color rgb="FFFF0000"/>
        <rFont val="Arial"/>
        <family val="2"/>
      </rPr>
      <t>2.1</t>
    </r>
    <r>
      <rPr>
        <b/>
        <sz val="14"/>
        <color rgb="FFFF0000"/>
        <rFont val="微软雅黑"/>
        <family val="2"/>
        <charset val="134"/>
      </rPr>
      <t>及表</t>
    </r>
    <r>
      <rPr>
        <b/>
        <sz val="14"/>
        <color rgb="FFFF0000"/>
        <rFont val="Arial"/>
        <family val="2"/>
      </rPr>
      <t>2.2</t>
    </r>
  </si>
  <si>
    <r>
      <rPr>
        <sz val="14"/>
        <color rgb="FF000000"/>
        <rFont val="微软雅黑"/>
        <family val="2"/>
        <charset val="134"/>
      </rPr>
      <t>将银行承兑汇票金额与授信额度或担保金额、银承保证金、结构性存款、理财产品等开票担保品账面价值进行核对，选取样本验证银行承兑汇票期末余额合理性</t>
    </r>
    <r>
      <rPr>
        <b/>
        <sz val="14"/>
        <color rgb="FFFF0000"/>
        <rFont val="微软雅黑"/>
        <family val="2"/>
        <charset val="134"/>
      </rPr>
      <t>（如适用）</t>
    </r>
    <r>
      <rPr>
        <sz val="14"/>
        <color rgb="FF000000"/>
        <rFont val="微软雅黑"/>
        <family val="2"/>
        <charset val="134"/>
      </rPr>
      <t>。</t>
    </r>
  </si>
  <si>
    <r>
      <rPr>
        <b/>
        <sz val="14"/>
        <color rgb="FFFF0000"/>
        <rFont val="微软雅黑"/>
        <family val="2"/>
        <charset val="134"/>
      </rPr>
      <t>表</t>
    </r>
    <r>
      <rPr>
        <b/>
        <sz val="14"/>
        <color rgb="FFFF0000"/>
        <rFont val="Arial"/>
        <family val="2"/>
      </rPr>
      <t>2.1</t>
    </r>
    <r>
      <rPr>
        <b/>
        <sz val="14"/>
        <color rgb="FFFF0000"/>
        <rFont val="微软雅黑"/>
        <family val="2"/>
        <charset val="134"/>
      </rPr>
      <t>及表</t>
    </r>
    <r>
      <rPr>
        <b/>
        <sz val="14"/>
        <color rgb="FFFF0000"/>
        <rFont val="Arial"/>
        <family val="2"/>
      </rPr>
      <t>2.4</t>
    </r>
  </si>
  <si>
    <r>
      <rPr>
        <b/>
        <sz val="10"/>
        <color rgb="FFFF0000"/>
        <rFont val="微软雅黑"/>
        <family val="2"/>
        <charset val="134"/>
      </rPr>
      <t>表</t>
    </r>
    <r>
      <rPr>
        <b/>
        <sz val="10"/>
        <color rgb="FFFF0000"/>
        <rFont val="Arial"/>
        <family val="2"/>
      </rPr>
      <t>1</t>
    </r>
    <r>
      <rPr>
        <b/>
        <sz val="10"/>
        <color rgb="FF000000"/>
        <rFont val="Arial"/>
        <family val="2"/>
      </rPr>
      <t xml:space="preserve"> </t>
    </r>
    <r>
      <rPr>
        <b/>
        <sz val="10"/>
        <color rgb="FF000000"/>
        <rFont val="微软雅黑"/>
        <family val="2"/>
        <charset val="134"/>
      </rPr>
      <t>将明细账与总账核对一致</t>
    </r>
  </si>
  <si>
    <r>
      <rPr>
        <b/>
        <sz val="10"/>
        <rFont val="微软雅黑"/>
        <family val="2"/>
        <charset val="134"/>
      </rPr>
      <t>账套名称</t>
    </r>
    <r>
      <rPr>
        <b/>
        <sz val="10"/>
        <rFont val="Arial"/>
        <family val="2"/>
      </rPr>
      <t>/</t>
    </r>
    <r>
      <rPr>
        <b/>
        <sz val="10"/>
        <rFont val="微软雅黑"/>
        <family val="2"/>
        <charset val="134"/>
      </rPr>
      <t>账套编码</t>
    </r>
    <r>
      <rPr>
        <b/>
        <sz val="10"/>
        <rFont val="Arial"/>
        <family val="2"/>
      </rPr>
      <t xml:space="preserve"> </t>
    </r>
  </si>
  <si>
    <r>
      <rPr>
        <b/>
        <sz val="10"/>
        <rFont val="微软雅黑"/>
        <family val="2"/>
        <charset val="134"/>
      </rPr>
      <t>科目名称</t>
    </r>
  </si>
  <si>
    <r>
      <rPr>
        <b/>
        <sz val="10"/>
        <rFont val="Arial"/>
        <family val="2"/>
      </rPr>
      <t>Lead</t>
    </r>
    <r>
      <rPr>
        <b/>
        <sz val="10"/>
        <rFont val="微软雅黑"/>
        <family val="2"/>
        <charset val="134"/>
      </rPr>
      <t>页余额</t>
    </r>
  </si>
  <si>
    <r>
      <rPr>
        <b/>
        <sz val="10"/>
        <rFont val="微软雅黑"/>
        <family val="2"/>
        <charset val="134"/>
      </rPr>
      <t>索引号</t>
    </r>
  </si>
  <si>
    <r>
      <rPr>
        <b/>
        <sz val="10"/>
        <rFont val="微软雅黑"/>
        <family val="2"/>
        <charset val="134"/>
      </rPr>
      <t>明细账余额</t>
    </r>
  </si>
  <si>
    <r>
      <rPr>
        <b/>
        <sz val="10"/>
        <rFont val="微软雅黑"/>
        <family val="2"/>
        <charset val="134"/>
      </rPr>
      <t>明细账索引</t>
    </r>
  </si>
  <si>
    <r>
      <rPr>
        <b/>
        <sz val="10"/>
        <color rgb="FF000000"/>
        <rFont val="微软雅黑"/>
        <family val="2"/>
        <charset val="134"/>
      </rPr>
      <t xml:space="preserve">差异重新计算
</t>
    </r>
    <r>
      <rPr>
        <b/>
        <sz val="10"/>
        <color rgb="FFFF0000"/>
        <rFont val="微软雅黑"/>
        <family val="2"/>
        <charset val="134"/>
      </rPr>
      <t>（</t>
    </r>
    <r>
      <rPr>
        <b/>
        <sz val="10"/>
        <color rgb="FFFF0000"/>
        <rFont val="Arial"/>
        <family val="2"/>
      </rPr>
      <t>Note1</t>
    </r>
    <r>
      <rPr>
        <b/>
        <sz val="10"/>
        <color rgb="FFFF0000"/>
        <rFont val="微软雅黑"/>
        <family val="2"/>
        <charset val="134"/>
      </rPr>
      <t>）</t>
    </r>
  </si>
  <si>
    <t>应付票据－银行承兑汇票-不带息</t>
  </si>
  <si>
    <t xml:space="preserve">/M.00 </t>
  </si>
  <si>
    <r>
      <rPr>
        <b/>
        <sz val="10"/>
        <color rgb="FFFF0000"/>
        <rFont val="Arial"/>
        <family val="2"/>
      </rPr>
      <t>/M.01&amp;02.01</t>
    </r>
    <r>
      <rPr>
        <b/>
        <sz val="10"/>
        <color rgb="FFFF0000"/>
        <rFont val="微软雅黑"/>
        <family val="2"/>
        <charset val="134"/>
      </rPr>
      <t>明细账</t>
    </r>
  </si>
  <si>
    <r>
      <rPr>
        <b/>
        <sz val="10"/>
        <color theme="1"/>
        <rFont val="微软雅黑"/>
        <family val="2"/>
        <charset val="134"/>
      </rPr>
      <t>合计</t>
    </r>
  </si>
  <si>
    <r>
      <rPr>
        <b/>
        <sz val="10"/>
        <rFont val="Arial"/>
        <family val="2"/>
      </rPr>
      <t xml:space="preserve">EY </t>
    </r>
    <r>
      <rPr>
        <b/>
        <sz val="10"/>
        <rFont val="微软雅黑"/>
        <family val="2"/>
        <charset val="134"/>
      </rPr>
      <t>测试属性解释</t>
    </r>
    <r>
      <rPr>
        <b/>
        <sz val="10"/>
        <rFont val="Arial"/>
        <family val="2"/>
      </rPr>
      <t>:</t>
    </r>
  </si>
  <si>
    <r>
      <rPr>
        <sz val="10"/>
        <color theme="0"/>
        <rFont val="微软雅黑"/>
        <family val="2"/>
        <charset val="134"/>
      </rPr>
      <t>使用授信额度</t>
    </r>
  </si>
  <si>
    <r>
      <rPr>
        <i/>
        <sz val="10"/>
        <rFont val="微软雅黑"/>
        <family val="2"/>
        <charset val="134"/>
      </rPr>
      <t>对于应付票据</t>
    </r>
    <r>
      <rPr>
        <i/>
        <sz val="10"/>
        <rFont val="Arial"/>
        <family val="2"/>
      </rPr>
      <t>_</t>
    </r>
    <r>
      <rPr>
        <i/>
        <sz val="10"/>
        <rFont val="微软雅黑"/>
        <family val="2"/>
        <charset val="134"/>
      </rPr>
      <t>银行承兑汇票，我们执行以下程序，以确保：</t>
    </r>
  </si>
  <si>
    <r>
      <rPr>
        <sz val="10"/>
        <color theme="0"/>
        <rFont val="微软雅黑"/>
        <family val="2"/>
        <charset val="134"/>
      </rPr>
      <t>保证金质押开票</t>
    </r>
  </si>
  <si>
    <r>
      <rPr>
        <sz val="10"/>
        <rFont val="Arial"/>
        <family val="2"/>
      </rPr>
      <t xml:space="preserve">1) </t>
    </r>
    <r>
      <rPr>
        <sz val="10"/>
        <rFont val="微软雅黑"/>
        <family val="2"/>
        <charset val="134"/>
      </rPr>
      <t>向承兑银行发函确认应付票据</t>
    </r>
    <r>
      <rPr>
        <sz val="10"/>
        <rFont val="Arial"/>
        <family val="2"/>
      </rPr>
      <t>_</t>
    </r>
    <r>
      <rPr>
        <sz val="10"/>
        <rFont val="微软雅黑"/>
        <family val="2"/>
        <charset val="134"/>
      </rPr>
      <t>银行承兑汇票的余额，核对账面金额与回函金额相符。</t>
    </r>
  </si>
  <si>
    <r>
      <rPr>
        <sz val="10"/>
        <color theme="0"/>
        <rFont val="微软雅黑"/>
        <family val="2"/>
        <charset val="134"/>
      </rPr>
      <t>结构性存款质押开票</t>
    </r>
  </si>
  <si>
    <r>
      <rPr>
        <sz val="10"/>
        <rFont val="Arial"/>
        <family val="2"/>
      </rPr>
      <t xml:space="preserve">2) </t>
    </r>
    <r>
      <rPr>
        <sz val="10"/>
        <rFont val="微软雅黑"/>
        <family val="2"/>
        <charset val="134"/>
      </rPr>
      <t>根据应付票据</t>
    </r>
    <r>
      <rPr>
        <sz val="10"/>
        <rFont val="Arial"/>
        <family val="2"/>
      </rPr>
      <t>_</t>
    </r>
    <r>
      <rPr>
        <sz val="10"/>
        <rFont val="微软雅黑"/>
        <family val="2"/>
        <charset val="134"/>
      </rPr>
      <t>银行承兑汇票明细表，获取了逾期银行承兑汇票的信息；对逾期银行承兑汇票未支付事项进行了调查，逾期未支付的银行承兑汇票已转入短期借款。</t>
    </r>
  </si>
  <si>
    <r>
      <rPr>
        <sz val="10"/>
        <rFont val="Arial"/>
        <family val="2"/>
      </rPr>
      <t xml:space="preserve">3) </t>
    </r>
    <r>
      <rPr>
        <sz val="10"/>
        <rFont val="微软雅黑"/>
        <family val="2"/>
        <charset val="134"/>
      </rPr>
      <t>使用授信额度或其他担保方式开立银行承兑汇票的，已检查银行承兑汇票的协议或银行授信审批文件，未发现异常情况。</t>
    </r>
  </si>
  <si>
    <r>
      <rPr>
        <sz val="10"/>
        <color theme="0"/>
        <rFont val="微软雅黑"/>
        <family val="2"/>
        <charset val="134"/>
      </rPr>
      <t>理财产品质押开票</t>
    </r>
  </si>
  <si>
    <r>
      <rPr>
        <sz val="10"/>
        <rFont val="Arial"/>
        <family val="2"/>
      </rPr>
      <t xml:space="preserve">4) </t>
    </r>
    <r>
      <rPr>
        <sz val="10"/>
        <rFont val="微软雅黑"/>
        <family val="2"/>
        <charset val="134"/>
      </rPr>
      <t>将相关质押品账面价值与应付票据</t>
    </r>
    <r>
      <rPr>
        <sz val="10"/>
        <rFont val="Arial"/>
        <family val="2"/>
      </rPr>
      <t>_</t>
    </r>
    <r>
      <rPr>
        <sz val="10"/>
        <rFont val="微软雅黑"/>
        <family val="2"/>
        <charset val="134"/>
      </rPr>
      <t>银行承兑汇票余额进行核对，计算质押品账面价值与相关债务的比例，质押水平符合合同或协议约定要求。</t>
    </r>
  </si>
  <si>
    <r>
      <rPr>
        <sz val="10"/>
        <color theme="0"/>
        <rFont val="微软雅黑"/>
        <family val="2"/>
        <charset val="134"/>
      </rPr>
      <t>应收票据质押开票</t>
    </r>
  </si>
  <si>
    <r>
      <rPr>
        <sz val="10"/>
        <color theme="0"/>
        <rFont val="微软雅黑"/>
        <family val="2"/>
        <charset val="134"/>
      </rPr>
      <t>第三方担保方式开票</t>
    </r>
  </si>
  <si>
    <r>
      <rPr>
        <b/>
        <sz val="10"/>
        <color rgb="FFFF0000"/>
        <rFont val="微软雅黑"/>
        <family val="2"/>
        <charset val="134"/>
      </rPr>
      <t>表</t>
    </r>
    <r>
      <rPr>
        <b/>
        <sz val="10"/>
        <color rgb="FFFF0000"/>
        <rFont val="Arial"/>
        <family val="2"/>
      </rPr>
      <t xml:space="preserve">2.1 </t>
    </r>
    <r>
      <rPr>
        <b/>
        <sz val="10"/>
        <color rgb="FF000000"/>
        <rFont val="微软雅黑"/>
        <family val="2"/>
        <charset val="134"/>
      </rPr>
      <t>项目组在下面记录选样策略与理由</t>
    </r>
  </si>
  <si>
    <r>
      <rPr>
        <b/>
        <sz val="10"/>
        <color rgb="FFFF0000"/>
        <rFont val="微软雅黑"/>
        <family val="2"/>
        <charset val="134"/>
      </rPr>
      <t>表</t>
    </r>
    <r>
      <rPr>
        <b/>
        <sz val="10"/>
        <color rgb="FFFF0000"/>
        <rFont val="Arial"/>
        <family val="2"/>
      </rPr>
      <t xml:space="preserve">2.2 </t>
    </r>
    <r>
      <rPr>
        <b/>
        <sz val="10"/>
        <color rgb="FF000000"/>
        <rFont val="微软雅黑"/>
        <family val="2"/>
        <charset val="134"/>
      </rPr>
      <t>根据</t>
    </r>
    <r>
      <rPr>
        <b/>
        <sz val="10"/>
        <color rgb="FFFF0000"/>
        <rFont val="微软雅黑"/>
        <family val="2"/>
        <charset val="134"/>
      </rPr>
      <t>表</t>
    </r>
    <r>
      <rPr>
        <b/>
        <sz val="10"/>
        <color rgb="FFFF0000"/>
        <rFont val="Arial"/>
        <family val="2"/>
      </rPr>
      <t>2.1</t>
    </r>
    <r>
      <rPr>
        <b/>
        <sz val="10"/>
        <color rgb="FF000000"/>
        <rFont val="微软雅黑"/>
        <family val="2"/>
        <charset val="134"/>
      </rPr>
      <t>的选样策略，选取测试项目执行</t>
    </r>
    <r>
      <rPr>
        <b/>
        <sz val="10"/>
        <color rgb="FF000000"/>
        <rFont val="Arial"/>
        <family val="2"/>
      </rPr>
      <t>EY</t>
    </r>
    <r>
      <rPr>
        <b/>
        <sz val="10"/>
        <color rgb="FF000000"/>
        <rFont val="微软雅黑"/>
        <family val="2"/>
        <charset val="134"/>
      </rPr>
      <t>测试属性</t>
    </r>
    <r>
      <rPr>
        <b/>
        <sz val="10"/>
        <color rgb="FFFF0000"/>
        <rFont val="Arial"/>
        <family val="2"/>
      </rPr>
      <t>1</t>
    </r>
    <r>
      <rPr>
        <b/>
        <sz val="10"/>
        <color rgb="FFFF0000"/>
        <rFont val="微软雅黑"/>
        <family val="2"/>
        <charset val="134"/>
      </rPr>
      <t>和</t>
    </r>
    <r>
      <rPr>
        <b/>
        <sz val="10"/>
        <color rgb="FFFF0000"/>
        <rFont val="Arial"/>
        <family val="2"/>
      </rPr>
      <t>2</t>
    </r>
    <r>
      <rPr>
        <b/>
        <sz val="10"/>
        <color rgb="FF000000"/>
        <rFont val="微软雅黑"/>
        <family val="2"/>
        <charset val="134"/>
      </rPr>
      <t>，并记录测试结论于下表</t>
    </r>
  </si>
  <si>
    <t>EY Works</t>
  </si>
  <si>
    <r>
      <rPr>
        <b/>
        <sz val="10"/>
        <rFont val="微软雅黑"/>
        <family val="2"/>
        <charset val="134"/>
      </rPr>
      <t>函证索引号</t>
    </r>
  </si>
  <si>
    <r>
      <rPr>
        <b/>
        <sz val="10"/>
        <rFont val="微软雅黑"/>
        <family val="2"/>
        <charset val="134"/>
      </rPr>
      <t>逾期原因</t>
    </r>
    <r>
      <rPr>
        <b/>
        <sz val="10"/>
        <color rgb="FFFF0000"/>
        <rFont val="微软雅黑"/>
        <family val="2"/>
        <charset val="134"/>
      </rPr>
      <t>（如适用）</t>
    </r>
  </si>
  <si>
    <r>
      <rPr>
        <b/>
        <sz val="10"/>
        <rFont val="微软雅黑"/>
        <family val="2"/>
        <charset val="134"/>
      </rPr>
      <t>针对未回函的应付票据执行的替代程序及结论</t>
    </r>
  </si>
  <si>
    <r>
      <rPr>
        <b/>
        <sz val="10"/>
        <rFont val="Arial"/>
        <family val="2"/>
      </rPr>
      <t>EY</t>
    </r>
    <r>
      <rPr>
        <b/>
        <sz val="10"/>
        <rFont val="微软雅黑"/>
        <family val="2"/>
        <charset val="134"/>
      </rPr>
      <t>测试属性类别</t>
    </r>
  </si>
  <si>
    <r>
      <rPr>
        <b/>
        <sz val="10"/>
        <rFont val="微软雅黑"/>
        <family val="2"/>
        <charset val="134"/>
      </rPr>
      <t>供应商名称</t>
    </r>
  </si>
  <si>
    <r>
      <rPr>
        <b/>
        <sz val="10"/>
        <rFont val="微软雅黑"/>
        <family val="2"/>
        <charset val="134"/>
      </rPr>
      <t>出票人</t>
    </r>
  </si>
  <si>
    <r>
      <rPr>
        <b/>
        <sz val="10"/>
        <rFont val="微软雅黑"/>
        <family val="2"/>
        <charset val="134"/>
      </rPr>
      <t>收票人</t>
    </r>
  </si>
  <si>
    <r>
      <rPr>
        <b/>
        <sz val="10"/>
        <rFont val="微软雅黑"/>
        <family val="2"/>
        <charset val="134"/>
      </rPr>
      <t>签发日期</t>
    </r>
  </si>
  <si>
    <r>
      <rPr>
        <b/>
        <sz val="10"/>
        <rFont val="微软雅黑"/>
        <family val="2"/>
        <charset val="134"/>
      </rPr>
      <t>到期日</t>
    </r>
  </si>
  <si>
    <r>
      <rPr>
        <b/>
        <sz val="10"/>
        <rFont val="微软雅黑"/>
        <family val="2"/>
        <charset val="134"/>
      </rPr>
      <t>票据票面金额</t>
    </r>
  </si>
  <si>
    <r>
      <rPr>
        <b/>
        <sz val="10"/>
        <rFont val="微软雅黑"/>
        <family val="2"/>
        <charset val="134"/>
      </rPr>
      <t>票据号码</t>
    </r>
  </si>
  <si>
    <r>
      <rPr>
        <b/>
        <sz val="10"/>
        <rFont val="微软雅黑"/>
        <family val="2"/>
        <charset val="134"/>
      </rPr>
      <t>承兑人名称</t>
    </r>
  </si>
  <si>
    <r>
      <rPr>
        <b/>
        <sz val="10"/>
        <color theme="1"/>
        <rFont val="微软雅黑"/>
        <family val="2"/>
        <charset val="134"/>
      </rPr>
      <t>开票保证方式</t>
    </r>
  </si>
  <si>
    <t>约定利率</t>
  </si>
  <si>
    <r>
      <rPr>
        <b/>
        <sz val="10"/>
        <color rgb="FFFF0000"/>
        <rFont val="微软雅黑"/>
        <family val="2"/>
        <charset val="134"/>
      </rPr>
      <t>表</t>
    </r>
    <r>
      <rPr>
        <b/>
        <sz val="10"/>
        <color rgb="FFFF0000"/>
        <rFont val="Arial"/>
        <family val="2"/>
      </rPr>
      <t xml:space="preserve">2.3 </t>
    </r>
    <r>
      <rPr>
        <b/>
        <sz val="10"/>
        <color rgb="FF000000"/>
        <rFont val="微软雅黑"/>
        <family val="2"/>
        <charset val="134"/>
      </rPr>
      <t>核对银行回函金额</t>
    </r>
    <r>
      <rPr>
        <b/>
        <sz val="10"/>
        <color rgb="FFFF0000"/>
        <rFont val="微软雅黑"/>
        <family val="2"/>
        <charset val="134"/>
      </rPr>
      <t>（包括格式一与格式二）</t>
    </r>
    <r>
      <rPr>
        <b/>
        <sz val="10"/>
        <color rgb="FF000000"/>
        <rFont val="微软雅黑"/>
        <family val="2"/>
        <charset val="134"/>
      </rPr>
      <t>与账面金额是否一致</t>
    </r>
  </si>
  <si>
    <r>
      <rPr>
        <b/>
        <sz val="10"/>
        <rFont val="微软雅黑"/>
        <family val="2"/>
        <charset val="134"/>
      </rPr>
      <t>承兑银行</t>
    </r>
    <r>
      <rPr>
        <b/>
        <sz val="10"/>
        <rFont val="Arial"/>
        <family val="2"/>
      </rPr>
      <t>/</t>
    </r>
    <r>
      <rPr>
        <b/>
        <sz val="10"/>
        <rFont val="微软雅黑"/>
        <family val="2"/>
        <charset val="134"/>
      </rPr>
      <t>回函银行</t>
    </r>
  </si>
  <si>
    <r>
      <rPr>
        <b/>
        <sz val="10"/>
        <rFont val="微软雅黑"/>
        <family val="2"/>
        <charset val="134"/>
      </rPr>
      <t>回函金额</t>
    </r>
  </si>
  <si>
    <r>
      <rPr>
        <b/>
        <sz val="10"/>
        <rFont val="微软雅黑"/>
        <family val="2"/>
        <charset val="134"/>
      </rPr>
      <t>账面金额</t>
    </r>
  </si>
  <si>
    <r>
      <rPr>
        <b/>
        <sz val="10"/>
        <rFont val="微软雅黑"/>
        <family val="2"/>
        <charset val="134"/>
      </rPr>
      <t>差异</t>
    </r>
  </si>
  <si>
    <r>
      <rPr>
        <b/>
        <sz val="10"/>
        <rFont val="微软雅黑"/>
        <family val="2"/>
        <charset val="134"/>
      </rPr>
      <t>差异原因及解释</t>
    </r>
  </si>
  <si>
    <r>
      <rPr>
        <b/>
        <sz val="10"/>
        <color rgb="FFFF0000"/>
        <rFont val="微软雅黑"/>
        <family val="2"/>
        <charset val="134"/>
      </rPr>
      <t>表</t>
    </r>
    <r>
      <rPr>
        <b/>
        <sz val="10"/>
        <color rgb="FFFF0000"/>
        <rFont val="Arial"/>
        <family val="2"/>
      </rPr>
      <t xml:space="preserve">2.4 </t>
    </r>
    <r>
      <rPr>
        <b/>
        <sz val="10"/>
        <color theme="1"/>
        <rFont val="微软雅黑"/>
        <family val="2"/>
        <charset val="134"/>
      </rPr>
      <t>对</t>
    </r>
    <r>
      <rPr>
        <b/>
        <sz val="10"/>
        <color rgb="FFFF0000"/>
        <rFont val="微软雅黑"/>
        <family val="2"/>
        <charset val="134"/>
      </rPr>
      <t>表</t>
    </r>
    <r>
      <rPr>
        <b/>
        <sz val="10"/>
        <color rgb="FFFF0000"/>
        <rFont val="Arial"/>
        <family val="2"/>
      </rPr>
      <t>2.2</t>
    </r>
    <r>
      <rPr>
        <b/>
        <sz val="10"/>
        <color rgb="FF000000"/>
        <rFont val="微软雅黑"/>
        <family val="2"/>
        <charset val="134"/>
      </rPr>
      <t>中测试项目涉及的</t>
    </r>
    <r>
      <rPr>
        <b/>
        <sz val="10"/>
        <color rgb="FFFF0000"/>
        <rFont val="微软雅黑"/>
        <family val="2"/>
        <charset val="134"/>
      </rPr>
      <t>承兑银行</t>
    </r>
    <r>
      <rPr>
        <b/>
        <sz val="10"/>
        <color rgb="FF000000"/>
        <rFont val="微软雅黑"/>
        <family val="2"/>
        <charset val="134"/>
      </rPr>
      <t>，执行</t>
    </r>
    <r>
      <rPr>
        <b/>
        <sz val="10"/>
        <color rgb="FF000000"/>
        <rFont val="Arial"/>
        <family val="2"/>
      </rPr>
      <t>EY</t>
    </r>
    <r>
      <rPr>
        <b/>
        <sz val="10"/>
        <color rgb="FF000000"/>
        <rFont val="微软雅黑"/>
        <family val="2"/>
        <charset val="134"/>
      </rPr>
      <t>测试属性</t>
    </r>
    <r>
      <rPr>
        <b/>
        <sz val="10"/>
        <color rgb="FFFF0000"/>
        <rFont val="Arial"/>
        <family val="2"/>
      </rPr>
      <t>3</t>
    </r>
    <r>
      <rPr>
        <b/>
        <sz val="10"/>
        <color rgb="FFFF0000"/>
        <rFont val="微软雅黑"/>
        <family val="2"/>
        <charset val="134"/>
      </rPr>
      <t>和</t>
    </r>
    <r>
      <rPr>
        <b/>
        <sz val="10"/>
        <color rgb="FFFF0000"/>
        <rFont val="Arial"/>
        <family val="2"/>
      </rPr>
      <t>4</t>
    </r>
    <r>
      <rPr>
        <b/>
        <sz val="10"/>
        <color rgb="FF000000"/>
        <rFont val="微软雅黑"/>
        <family val="2"/>
        <charset val="134"/>
      </rPr>
      <t>，并记录测试结论于下表</t>
    </r>
  </si>
  <si>
    <r>
      <rPr>
        <b/>
        <sz val="10"/>
        <rFont val="微软雅黑"/>
        <family val="2"/>
        <charset val="134"/>
      </rPr>
      <t>承兑银行</t>
    </r>
    <r>
      <rPr>
        <b/>
        <sz val="10"/>
        <rFont val="Arial"/>
        <family val="2"/>
      </rPr>
      <t>/</t>
    </r>
    <r>
      <rPr>
        <b/>
        <sz val="10"/>
        <rFont val="微软雅黑"/>
        <family val="2"/>
        <charset val="134"/>
      </rPr>
      <t>出具实体</t>
    </r>
  </si>
  <si>
    <r>
      <rPr>
        <b/>
        <sz val="10"/>
        <rFont val="微软雅黑"/>
        <family val="2"/>
        <charset val="134"/>
      </rPr>
      <t>票据金额</t>
    </r>
  </si>
  <si>
    <r>
      <rPr>
        <b/>
        <sz val="10"/>
        <rFont val="微软雅黑"/>
        <family val="2"/>
        <charset val="134"/>
      </rPr>
      <t>开票方式</t>
    </r>
  </si>
  <si>
    <r>
      <rPr>
        <b/>
        <sz val="10"/>
        <rFont val="微软雅黑"/>
        <family val="2"/>
        <charset val="134"/>
      </rPr>
      <t>授信额度或担保金额</t>
    </r>
  </si>
  <si>
    <r>
      <rPr>
        <b/>
        <sz val="10"/>
        <rFont val="微软雅黑"/>
        <family val="2"/>
        <charset val="134"/>
      </rPr>
      <t>开票协议或抵质押协议约定的比例</t>
    </r>
  </si>
  <si>
    <r>
      <rPr>
        <b/>
        <sz val="10"/>
        <color theme="1"/>
        <rFont val="微软雅黑"/>
        <family val="2"/>
        <charset val="134"/>
      </rPr>
      <t>用于质押的资产账面价值</t>
    </r>
  </si>
  <si>
    <r>
      <rPr>
        <b/>
        <sz val="10"/>
        <color theme="1"/>
        <rFont val="微软雅黑"/>
        <family val="2"/>
        <charset val="134"/>
      </rPr>
      <t>质押水平是否符合约定</t>
    </r>
  </si>
  <si>
    <r>
      <rPr>
        <b/>
        <sz val="10"/>
        <color theme="1"/>
        <rFont val="微软雅黑"/>
        <family val="2"/>
        <charset val="134"/>
      </rPr>
      <t>质押水平不符合约定的原因</t>
    </r>
  </si>
  <si>
    <r>
      <rPr>
        <b/>
        <sz val="10"/>
        <color theme="1"/>
        <rFont val="微软雅黑"/>
        <family val="2"/>
        <charset val="134"/>
      </rPr>
      <t>用于质押开票的保证金账面价值</t>
    </r>
  </si>
  <si>
    <r>
      <rPr>
        <b/>
        <sz val="10"/>
        <color theme="1"/>
        <rFont val="微软雅黑"/>
        <family val="2"/>
        <charset val="134"/>
      </rPr>
      <t>用于质押开票的结构性存款账面价值</t>
    </r>
  </si>
  <si>
    <r>
      <rPr>
        <b/>
        <sz val="10"/>
        <color theme="1"/>
        <rFont val="微软雅黑"/>
        <family val="2"/>
        <charset val="134"/>
      </rPr>
      <t>用于质押开票的理财产品账面价值</t>
    </r>
  </si>
  <si>
    <r>
      <rPr>
        <b/>
        <sz val="10"/>
        <rFont val="微软雅黑"/>
        <family val="2"/>
        <charset val="134"/>
      </rPr>
      <t>用于质押开票的应收票据账面价值</t>
    </r>
  </si>
  <si>
    <r>
      <rPr>
        <b/>
        <sz val="10"/>
        <rFont val="微软雅黑"/>
        <family val="2"/>
        <charset val="134"/>
      </rPr>
      <t>其他</t>
    </r>
  </si>
  <si>
    <r>
      <rPr>
        <b/>
        <sz val="10"/>
        <rFont val="微软雅黑"/>
        <family val="2"/>
        <charset val="134"/>
      </rPr>
      <t>小计</t>
    </r>
  </si>
  <si>
    <r>
      <rPr>
        <b/>
        <sz val="10"/>
        <color rgb="FFFF0000"/>
        <rFont val="Arial"/>
        <family val="2"/>
      </rPr>
      <t xml:space="preserve">C </t>
    </r>
    <r>
      <rPr>
        <b/>
        <sz val="10"/>
        <color rgb="FFFF0000"/>
        <rFont val="微软雅黑"/>
        <family val="2"/>
        <charset val="134"/>
      </rPr>
      <t>货币资金</t>
    </r>
  </si>
  <si>
    <r>
      <rPr>
        <b/>
        <sz val="10"/>
        <color rgb="FFFF0000"/>
        <rFont val="微软雅黑"/>
        <family val="2"/>
        <charset val="134"/>
      </rPr>
      <t>【</t>
    </r>
    <r>
      <rPr>
        <b/>
        <sz val="10"/>
        <color rgb="FFFF0000"/>
        <rFont val="Arial"/>
        <family val="2"/>
      </rPr>
      <t>/D200_</t>
    </r>
    <r>
      <rPr>
        <b/>
        <sz val="10"/>
        <color rgb="FFFF0000"/>
        <rFont val="微软雅黑"/>
        <family val="2"/>
        <charset val="134"/>
      </rPr>
      <t>结构性存款】</t>
    </r>
  </si>
  <si>
    <r>
      <rPr>
        <b/>
        <sz val="10"/>
        <color rgb="FFFF0000"/>
        <rFont val="微软雅黑"/>
        <family val="2"/>
        <charset val="134"/>
      </rPr>
      <t>【</t>
    </r>
    <r>
      <rPr>
        <b/>
        <sz val="10"/>
        <color rgb="FFFF0000"/>
        <rFont val="Arial"/>
        <family val="2"/>
      </rPr>
      <t>/D200_</t>
    </r>
    <r>
      <rPr>
        <b/>
        <sz val="10"/>
        <color rgb="FFFF0000"/>
        <rFont val="微软雅黑"/>
        <family val="2"/>
        <charset val="134"/>
      </rPr>
      <t>银行理财产品】</t>
    </r>
  </si>
  <si>
    <t>E2E3</t>
  </si>
  <si>
    <r>
      <rPr>
        <b/>
        <sz val="10"/>
        <color rgb="FFFF0000"/>
        <rFont val="微软雅黑"/>
        <family val="2"/>
        <charset val="134"/>
      </rPr>
      <t>根据实际情况填列</t>
    </r>
  </si>
  <si>
    <t xml:space="preserve">票据号码 </t>
  </si>
  <si>
    <t xml:space="preserve">子票区间  </t>
  </si>
  <si>
    <t xml:space="preserve">票据类型 </t>
  </si>
  <si>
    <t xml:space="preserve">出票人户名  </t>
  </si>
  <si>
    <t xml:space="preserve">出票行名称 </t>
  </si>
  <si>
    <t xml:space="preserve">收款人户名 </t>
  </si>
  <si>
    <t>金额</t>
  </si>
  <si>
    <t>出票日期</t>
  </si>
  <si>
    <t>到期日期</t>
  </si>
  <si>
    <t>承兑人名称</t>
  </si>
  <si>
    <t>能否转让</t>
  </si>
  <si>
    <t>是否分包流转</t>
  </si>
  <si>
    <t>操作日期</t>
  </si>
  <si>
    <t>收款人签收时间</t>
  </si>
  <si>
    <t>备注</t>
  </si>
  <si>
    <t>票面备注</t>
  </si>
  <si>
    <t>票据状态</t>
  </si>
  <si>
    <t>流通状态</t>
  </si>
  <si>
    <t>神龙汽车有限公司成都分公司</t>
  </si>
  <si>
    <t>交通银行股份有限公司武汉经济技术开发区支行</t>
  </si>
  <si>
    <t>建新赵氏科技股份有限公司</t>
  </si>
  <si>
    <t>可再转让</t>
  </si>
  <si>
    <t>已收票</t>
  </si>
  <si>
    <t>可流通</t>
  </si>
  <si>
    <t>宁波建新底盘系统有限公司</t>
  </si>
  <si>
    <t>东实（武汉）实业有限公司</t>
  </si>
  <si>
    <t>泰州苏中天线集团有限公司</t>
  </si>
  <si>
    <t>武汉惠恒实业有限公司</t>
  </si>
  <si>
    <t>深圳市理士新能源发展有限公司</t>
  </si>
  <si>
    <t>武汉武耀安全玻璃股份有限公司</t>
  </si>
  <si>
    <t>武汉聚鹏精密制造有限责任公司</t>
  </si>
  <si>
    <t>东风彼欧(成都)汽车外饰系统有限公司</t>
  </si>
  <si>
    <t>武汉嘉华汽车塑料制品有限公司</t>
  </si>
  <si>
    <t>000000000001-000006800000</t>
  </si>
  <si>
    <t>000000000001-000002500000</t>
  </si>
  <si>
    <t>神龙汽车有限公司</t>
  </si>
  <si>
    <t>重庆君歌电子科技有限公司</t>
  </si>
  <si>
    <t>深圳市赛尔盈电子有限公司东莞分公司</t>
  </si>
  <si>
    <t xml:space="preserve">账套名称/账套编码 </t>
  </si>
  <si>
    <t>票据性质</t>
  </si>
  <si>
    <t>出票人</t>
  </si>
  <si>
    <t>收票人</t>
  </si>
  <si>
    <t>签发日期</t>
  </si>
  <si>
    <t>到期日</t>
  </si>
  <si>
    <t>票据号码</t>
  </si>
  <si>
    <t>起始子票区间</t>
  </si>
  <si>
    <t>结束子票区间</t>
  </si>
  <si>
    <t>银承</t>
  </si>
  <si>
    <t>已收票-可流通</t>
  </si>
  <si>
    <t>湖北江华机械有限公司</t>
  </si>
  <si>
    <t>群丰骏科技（上海）有限公司</t>
  </si>
  <si>
    <t>武汉燎原模塑有限公司</t>
  </si>
  <si>
    <t>39019de7-7877-4430-a150-03b245f0def3</t>
  </si>
  <si>
    <t>ABC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w47NihDQAADALB/beurcHT5hZAfsJh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t>
  </si>
  <si>
    <t>ABC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hWHHDm0AAGAQCO6/dS2mnja3APITDi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t>
  </si>
  <si>
    <t>ABC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vDnv3siF3VcRi+l+7H9B/TskTUaKIJQRKXZmhnDLFQU0Dj1r33oIkXgYm3g4l34dC+wClwTNzIOcdnYwwlRz6lffr+vp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t>
  </si>
  <si>
    <t>ABC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F+j8Oq/fPkL8M4vP/3ww6sXf3y57McfffGf3/z199rf8vJX4Ld/yu689e47X/wjvpTgg+vXfjvdeefF89+8uPrwJx88e/b2i+cff/zu9c0vnj997Z/sFVUx9Z1E/er5i9++c/W76xc/+NH1zdWnzz55+S/vNY2++lu+/Ino98XlbTPfvf/46uLJ/ZsnFw8f3/7H+3cfPL64vHz45s39J7e/Y65v7nw99v33nn9y9Wz6c/Hqh1/+hh//7d5576ff+Cn5+g+OX9+/e/etdz7/x58+/+yzf/3175//7c///MtnX/9DfvzzW96++T/0s49/+OL66rdPn//ho2/+0O1vn7dvnfji18W9u1+Kefur4NlXf/XBvS//6nf+C3n3+sPnv79+Ov7Ycn9SvF4L387HR98lzn+dj69drP9//qR4ePnw4eWDp9cXTx48feM2H994dPH48tGTi5v711dvXF5fPbj75O73ko9vfPvV//D/Lmz1J4VbMw4W5eDm3s3tn4/XTy+u33z49OLhk/dvLq4ePL68eP/Bk3v37j26vLl59L2E48kcuDXjYFEO1IE6wAEO1MHLH1UHr/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
  </si>
  <si>
    <t>ABC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wb/ZrUMaAAAAAGH9W2OI8QgYdj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t>
  </si>
  <si>
    <t>ABC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tjtw5pAAAAAIT1b40hxiNgPnC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t>
  </si>
  <si>
    <t>AB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cQu3VIAwAAACCsf2sMMR4B8+E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t>
  </si>
  <si>
    <t>ABC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VB7NYhDQAAAICw/q0xxHgEDLs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t>
  </si>
  <si>
    <t>ABC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xN7d9Wp2pWe9/ypTdczced5fOEucTjaI7UTZQfsARdbziky6XaZsgziIRB8FFFBACBKJSKGR8iKUdDgIIgGhfBnsNt9iP8/su1d7eVW5qtw92/e4528oajn2mFU16qp1rXvN8a//iv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9VR388B9+9Efv2f/7yXe+c3jxz4YzfeuD+/9++U/eoy3Dn72nv1nPfv7XfvXd5x9fhg54//LoA+nZr754/g9fHL7zS+9/+9vvvHj+0Ue/drn+P8/Pj35lPyypKKiXltP/9/zFb/7q4cPLi//rFy/Xwyff/niI7VEPPWz50W9EfERsr7PVab3f//DT4uq4mfeH2e0DZHY4r5fH2Xax2G+e/fiwx19//vHh26/8vfjhfx4+1L+Y67Nf/7+/9Fvy408W7y1ns5//1c/+xX/57M//82f/7Xc+/4t//+Nf4Ud/79ZqX/5Z/s5Hv/DicvjN8/N/+sGX/9Pto+adWz18/MWPqNufgG//6F/OF/Mf/duXhvFrl+88/yeX8xf/W77PD/Mvbnr6+WHxsp55688Pq9d8fvjxf330W/OT/fbcf/C3+S2KzL59uH16GT4AX15UP/wTOPTS8Jnq3Tfa9s5XbbsXXLT+s+3huFmdr/PbR9Bq16/Oi21/vH026VeX0353vlw328v2ya96+C29/SBRcf/g8X/uuu3jf/EbL/sF/PyvP/+FV/z6XvJZYvfSPV/IfPbF//5bf0vCDwlfjsvd9nxc97v5/HibGk7r/rg+nfvN+bq8bLbr0+68S5DwXsJfN+Hz8nJdL7fb/nrZbW8fw8dTvzvOZv329j+n0+W8Om73CRKez0T8dSPenc6z4/587s+z/aVfbU7Hfj+7zT3r1fJ4Xp23+8M2Q03P5yL+uhFf96vrbHNY95vDdtmv9vPbR/Fmfeg3y/l6uTlvtov9NUPEi0oRP/u733qy7SURP7sMP+J775/v/3B9/8dfiHxV4s8+/8s//vSPfu9//833PvvuXzx54FGD72ar+f506ZfLy+1z9O1/++N2efscfdzOttvVYb3ZpMh+OcXs/9HlvQ8++c7xDTP/9Lf//PO/+O6nv/vfvzLww2F/OR1n5/5yWt0+ZS9ni9un7N35/rG/P5521/lqvckQ+GqKgV+u1/sv459c3jsfHr97eWXqn//Nb98+2D/7vT/67A/+8CuDv6xXp8Vyv+wXp/n61vLL29db1/WxX8wW68VptdtdzymCX08x+I8+uf27f3h58d4H93/xJrl/9p/+6gff/73/872//sF//P6n/+Zf/+BP/utXpn+9rq7Hxfza7y6r29fY1/Oq3y1P+/4yP62u19PutM/xOX4zxfRvPX++fHR68f6H91/FW5T9Z//29z//4+9+ZfCn0+m82t3iXs+Pu9v8vrn0h8Vs058u++NludxcF4tDhuC3Uwz++skHp/vPf/j27Q/A8f2P3/voNue92Yf/H/zZp3/13U//+R9+9h/++ivz35wPp/V8s7t9TX5/ubY8XW/57+b9abOfn8+3PxPH1SpD/t6zvTLs1379NjvMr5f9tt+er4d+ddrN+v11vbh9nb48XDez8/G8XGeI+C1ftP34/3nFrepP94/A8OO+Rey/9P63P768+OUXzz/58Mmv5iW/oq/5q/rCz/Lmv7bh5xr+WN4/ndx+up//4PzSPV8+w5dT/sKml57xFef8ic76dsd806MO+9558f7tJ3j/cN/3yy8ut4/aF7/y4lv/+JPDt1/5yK8eXhy+M3/jrn783OLlHxyPNy3vP/jsq3+g5Xt/54O4Qnr2y8snY/rD5r//weHFP/uVDy8vDh8/fxEf2c+evWzzb730h2g0y7/3/m++JokhwX/64XuH02m403xtbM8+/fPf//wv/+Q1sbxRvj/O7qv2TjS6t/4w/OovkR8/8OYff7cvghc/N1/83HLezf727P5/b/4B+S0fkN2XPyAvH33UcqS/+GReetg70UTfef7Bx4f3P/joDeL86q9mHz8wVO0P/ue/+/x//dk3XLXvPv/45Sk+/Ze/8eV/9aU9T2blX/yFL39x+CaDboOc4Go1m++Pq02/312u/WpxPfW7+f3G8Lo9zS/XzXq/e3RZ+DPjBGdPf9SH/7Z/8uSrCZCnnOCjr2q+CVDw19+AG/70+9/7/Pvf+8Gf/s6n/+N3P/uXf/L59/7V59/70/deBo8NP8YTlPDlP8ArnnmgC9/2p32gD5/89rWDIa8fEalPMLP15mV/TN8WM1u/DkP2cuTh5cjyujsdrud9v9zMbpV0WK7643Vz6ueL+Xq2P82Wu10GfsHrr6+d8OI4X61vqz+et/t+tT0u+916c+wX6/18tz4td8vjk9EPZtZSwsvD9rxZnfb9db9f9avl+vYxvFis++16trxsl7vjMUXCMLOvH/F6s1uer9ddv1wsbhHPD9d+tz+s+/V8vjsfV7Prfp3ifhJm9rUj3i8Wl9l2e+33i+utp6+r2z8tD7evEA638PfX02yRAviGmY2Amd3G2+V6dzn2h3uNry6zeX/YLHf9bLmeLy/L3WFxTHFFBTN7beZvhpkdj+fZdrY+9XcSvF/NTpd+P9us+/l8f9ytzuft/Pj0ohtm1j5mdhu4Z4fL4v63PAbQ6PYp/bCaz/v1dbffni6b29ddMLOymNlpe9ofbqPc/S8K377anl2P/X69XfSz83l5Pq1n8/n6yftmmFkBzGx5uO6Pi825P2/W97/Dd1n0u9121e+ui92t+He71SbFhz3MbBzM7Li8nhe3T+79ZXtd9qvTYtfv99dFv9rdwfLdeblap8AMvWd7Zdiv/ct+6+Vmvllv+s38tOlX+/u9znF77Den2Xl52B2P80OKboeZwczS3JvDzOpkCTNrNrr4MAQjPV6Nptk6XvZLurX7UqTvPv/4TfNsky8Dl/2kcNn2MD9eN/NLv1kv1v1qtdn1u8N21R/Ph+NytjqtdttHV4Q/K7hsvXr6o/7ov21WT55sCy57Awvd6ymv9x7/KPCyr42XPbISPpWYveyP6VvDZU8+tCehuLwsVuvdcr/pT3f2YLW6/dNuM1/3p+v2cjof5+fT+Rsx3i5eXS6PeJPXIUdPy+Wb7pY3EN6+WmFJeUtpmO4NKaVh9YQpDasnTGlYPmJKw/IRUxomxhFGZk0pDRNnT2k4scApDbGmlIaTS5/SEGtKaVgof0pDrCnWNDVDgzWtkyXWtNnoKA1jlUq1deYURdx1lIbDQp3GHkrDeDYbdUppmAgzozRM9nKE0rB6wpSG1ROmNCwfMaVh+YgpDRPfRI6MmVEaJs6e0nBigVMawswoDSeXPqUhzIzSsFD+lIYwM5hZ6ntzmFmdLGFmzUZHaVgpzdbxMkrDYR+lIbgs9lAaxrPZ4DJKw/tKg5dRGlIaUhpeKA0pDRO+IaU0rJ4wpWH1hCkNy0dMaVg+YkrDxDjCyKwppWHi7CkNJxY4pSHWlNJwculTGmJNKQ0L5U9piDXFmqZmaLCmdbLEmjYbHaVhrFKpts6cooi7jtJwWKjT2ENpGM9mo04pDRNhZpSGyV6OUBpWT5jSsHrClIblI6Y0LB8xpWHim8iRMTNKw8TZUxpOLHBKQ5gZpeHk0qc0hJlRGhbKn9IQZgYzS31vDjOrkyXMrNnoKA0rpdk6XkZpOOyjNASXxR5Kw3g2G1xGaXh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754P/USidnL/pi+NVz25EP7MVv2iq+SW2+Xy2K13i33m/50Zw9Wq9s/7TbzdX+6bi+n83F+Pp1n30S7LF5dLo94k9chR0/L5ZvulndfD65++Qd+0hyv3vBQEy/5Df5hDTx75/l3Phw+7pXBQ9zKQBkog4cTt1MG/KaPf7Zv/LqE37R6wvym1RPmNy0fMb9p+Yj5TROzSSOD5/ymibPnN51Y4PymwHN+08mlz28KPOc3LZQ/vynwHHieGqgDntfJEnjebHT8prFKpdo6gO6vFHQdv+mwIOixh980ns2GoPObJsLM+E2TvRzhN62eML9p9YT5TctHzG9aPmJ+08Q3kSNjZvymibPnN51Y4PymMDN+08mlz28KM+M3LZQ/vynMDGaW+t4cZlYnS5hZs9Hxm1ZKs3W8jN902MdvCi6LPfym8Ww2uIzf9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jZF++nXiIxe9kf07eGy558aD9my17xVXLr7XJZrNa75X7Tn+7swWp1+6fdZr7uT9ft5XQ+zs+n8+ybaJfFq8vlEW/yOuToabl8093y7uvB1S//wE+a49UbHmriJb/BP6yBZ+88/86Hw8e9MniIWxkoA2XwcGJloAyUgTLolIEyUAbK4OHE7ZQB8/njn+0bBymYz6snzHxePWHm8/IRM5+Xj5j5PDG1fGE+f+avpL1J5sznzQfOfO6vpDGfTy595nN/JY35vFD+P+Ov35jP/ZW0Jz+Xv5L2ZJ+/kvawSv21CX8lrdnomM9jlUq19b+a5i8bdh3z+bD85bTYw3wez2b7y2nM54kwM+bzZC9HmM+rJ8x8Xj1h5vPyETOfl4+Y+TzxTeTImBnzeeLsmc8nFjjzOcyM+Xxy6TOfw8yYzwvl/zP+y37M5zCzJz8XzOzJPpjZwyrFQMDMmo2O+bxSmq3jZcznwz7mc3BZ7GE+j2ezwWXM5/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u+eD/1EonZy/6YvjVc9uRD+zFb9oqvkltvl8titd4t95v+dGcPVqvbP+0283V/um4vp/Nxfj6dZ99EuyxeXS6PeJPXIUdPy+Wb7pZ3Xw+ufvkHftIcr97wUBMv+Q3+YQ08e+f5dz4cPu6VwUPcykAZKIOHEysDZaAMlEGnDJSBMlAGDydWBspAGSiDThkoA2WgDB5OrAyUgTJQBp0yUAbKQBk8nLidMvDd0h7/bN/4X77w3dKqJ+y7pVVP2HdLKx+x75ZWPmLfLS3x33S+jKux8d3SEmfvu6VNLHDfLY3GZhyNje+Wljh93y2NxsZ3SyuU/8/46zffLY3G5snPRWPzZB+NzcMqpVqgsWk2Ot8tLVapVFvX2RAUdZ3vljYsQpvY47ulxbPZhDa+W1oizMx3S0v2csR3S6uesO+WVj1h3y2tfMS+W1r5iH23tMQ3kSNjZr5bWuLsfbe0iQXuu6XBzMbBzHy3tMTp+25pMDPfLa1Q/j/jv+znu6XBzJ78XDCzJ/tgZg+rFAMBM2s2Ot8trVKareNlvlvasM93SwOXxR7fLS2ezQaX+W5p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u+eD/1EonZy/6YvjVc9uRD+zFb9oqvkltvl8titd4t95v+dGcPVqvbP+0283V/um4vp/Nxfj6dZ99EuyxeXS6PeJPXIUdPy+Wb7pZ3Xw+ufvkHftIcr97wUBMv+Q3+YQ08e+f5dz4cPu6VwUPcykAZKIOHEysDZaAMlEGnDJSBMlAGDydWBspAGSiDThkoA2WgDB5OrAyUgTJQBp0yUAbKQBk8nFgZKANloAw6ZaAMlIEyeDixMlAGykAZdMpAGSgDZfBwYmWgDJSBMuiUgTJQBsrg4cTKQBkoA2XQKQNloAyUwcOJ2ymD1fyr22Dx06iD1eo1ffDj/zp5yeP2cNysztf5rTlWu351Xmz74+n+jaMvp/3ufLlutikk/TSeXzvhy3G5256P6343nx/71em07o/r093XfV1eNtv1aXfeJUjYt8v52gmfl5frernd9tfLbnv7GD6e+t1xNuu3dxf/6XJeHbf7BAn7djlfP+LdbZQ77s/n/jzbX/rV5u7ine33/Xq1PJ5X5+3+sM1Q075dzteP+LpfXWebw7rfHLbLfrWf3z6KN+tDv1nO18vNebNd7FN8RyTfLuen/+1yzrvZar4/Xfrl8nL7HH373/64Xd4+Rx+3s+12dVhvNimy9+1yXpv5m327nMNhfzkdZ+f+clrdPmUvZ4vbp+zd+f6xvz+edtf5ap3i2yf4djk/5W+Xc1mvTovlftkvTvP1reWXt6+3rutjv5gt1ovTare7nlME79vlvFHub/ntcq7X1fW4mF/73WX4ZknnVb9bnvb9ZX5aXa+n3Wmf43O8b5fzU/52OafT6bza3eJez4+72/y+ufSHxWzTny7742W53FwXixTfLsW3yxnn2+VszofTer7Z3b4mv79cW56ut/x38/602c/P59ufieNqlSF/79leGfZrv36bHebXy37bb8/XQ7867Wb9/rpe3L5OXx6um9n5eF6m+JaXvl2Ob5eT5tsA+HY5dbL07XKaje6tPwzzfY+Vb/mA7L78Adn4t83xjZC6LyX6zvMPPj68/8FHbxBnm981593nH/vGOT8pF7Zazeb742rT73eXa79aXE/9bn6/MbxuT/PLdbPe7x5dFv6suLDV7OmP+vDf9k+ebOsb57yeDHvb71/j2+Z8bcxs/YgIfYKZrTcv+2P61tTp7snHNszsC9sefbvw6+50uJ73/XIzu1XSYbnqj9fNqZ8v5uvZ/jRb7nYZ+AWvv752wovjfLW+rf543u771fa47HfrzbFfrPfz3fq03C2PT0Y/mFlLCS8P2/Nmddr31/1+1a+W69vH8GKx7rfr2fKyXe6OxxQJw8y+fsTrzW55vl53/XKxuEV8/2sFu/1h3a/n8935uJpd9+sU95Mws68d8X6xuMy222u/X1xvPX1d3f5pebh9hXC4hb+/nmaLFMA3zGwEzOw23i7Xu8uxP9xrfHWZzfvDZrnrZ8v1fHlZ7g6LY4orKpjZazN/M8zseDzPtrP1qb+T4P1qdrr0+9lm3c/n++NudT5v58enF90ws/Yxs9vAPTtcFve/5TGARrdP6YfVfN6vr7v99nTZ3L7ugpmVxcxO29P+cBvl+sv+9un9NrYd+/16u+hn5/PyfFrP5vP1k/fNMLMCmNnycN0fF5tzf96s73+H77Lod7vtqt9dF7tb8e92q02KD3uY2TiY2XF5PS9un9z7y/a67Fenxa7f76+LfrW7g+W783K1ToEZes/2yrBf+5f91svNfLPe9Jv5adOv9vd7neP22G9Os/PysDse54cU3Q4zg5mluTeHmdXJEmbWbHTxYQhGerwaTbN1vOyXdGv3pUjfff7xm+bZJl8GLvtJ4bLtYX68buaXfrNerPvVarPrd4ftqj+eD8flbHVa7baPrgh/VnDZevX0R/3Rf9s8tcy1BZctfhpw2XuPfxR4GYtZlZ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xmKW7KUIi1n1hFnMqifMYlY+Yhaz8hGzmCW+gRwZL2MxS5w9i9nEAmcxg5exmE0ufRYzeBmLWaH8WczgZfCy1Nfm8LI6WcLLmo2OxSxWqVRbx8yAg13HYjYsoFnsYTGLZ7OBZixmiTAzFrNkL0dYzKonzGJWPWEWs/IRs5iVj5jFLPFN5MiYGYtZ4uxZzCYWOIsZzIzFbHLps5jBzFjMCuXPYgYzg5mlvjeHmdXJEmbWbHQsZpXSbB0vYzEb9rGYgctiD4tZPJsNLmMxu680eBmLWbKXIixm1RNmMaueMItZ+YhZzMpHzGKW+AZyZLyMxSxx9ixmEwucxQxexmI2ufRZzOBlLGaF8mcxg5fBy1Jfm8PL6mQJL2s2OhazWKVSbR0zAw52HYvZsIBmsYfFLJ7NBpqxmCXCzFjMkr0cYTGrnjCLWfWEWczKR8xiVj5iFrPEN5EjY2YsZomzZzGbWOAsZjAzFrPJpc9iBjNjMSuUP4sZzAxmlvreHGZWJ0uYWbPRsZhVSrN1vIzFbNjHYgYuiz0sZvFsNriMxey+0uBlLGbJXoqwmFVPmMWsesIsZuUjZjErHzGLWeIbyJHxMhazxNmzmE0scBYzeBmL2eTSZzGDl7GYFcqfxQxeBi9LfW0OL6uTJbys2ehYzGKVSrV1zAw42HUsZsMCmsUeFrN4NhtoxmKWCDNjMUv2coTFrHrCLGbVE2YxKx8xi1n5iFnMEt9EjoyZsZglzp7FbGKBs5jBzFjMJpc+ixnMjMWsUP4sZjAzmFnqe3OYWZ0sYWbNRsdiVinN1vEyFrNhH4sZuCz2sJjFs9ngMhaz+0qDl7GYJXspwmJWPWEWs+oJs5iVj5jF</t>
  </si>
  <si>
    <t>ABCrHzELGaJbyBHxstYzBJnz2I2scBZzOBlLGaTS5/FDF7GYlYofxYzeBm8LPW1ObysTpbwsmajYzGLVSrV1jEz4GDXsZgNC2gWe1jM4tlsoBmLWSLMjMUs2csRFrPqCbOYVU+Yxax8xCxm5SNmMUt8EzkyZsZiljh7FrOJBc5iBjNjMZtc+ixmMDMWs0L5s5jBzGBmqe/NYWZ1soSZNRsdi1mlNFvHy1jMhn0sZuCy2MNiFs9mg8tYzO4rDV7GYpbspQiLWfWEWcyqJ8xiVj5iFrPyEbOYJb6BHBkvYzFLnD2L2cQCZzGDl7GYTS59FjN4GYtZofxZzOBl8LLU1+bwsjpZwsuajY7FLFapVFvHzICDXcdiNiygWexhMYtns4FmLGaJMDMWs2QvR1jMqifMYlY9YRaz8hGzmJWPmMUs8U3kyJgZi1ni7FnMJhY4ixnMjMVscumzmMHMWMwK5c9iBjODmaW+N4eZ1ckSZtZsdCxmldJsHS9jMRv2sZiBy2IPi1k8mw0uYzG7rzR4GYtZsp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xmKW7KUIi1n1hFnMqifMYlY+Yhaz8hGzmCW+gRwZL2MxS5w9i9nEAmcxg5exmE0ufRYzeBmLWaH8WczgZfCy1Nfm8LI6WcLLmo2OxSxWqVRbx8yAg13HYjYsoFnsYTGLZ7OBZixmiTAzFrNkL0dYzKonzGJWPWEWs/IRs5iVj5jFLPFN5MiYGYtZ4uxZzCYWOIsZzIzFbHLps5jBzFjMCuXPYgYzg5mlvjeHmdXJEmbWbHQsZpXSbB0vYzEb9rGYgctiD4tZPJsNLmMxu680eBmLWbKXIixm1RNmMaueMItZ+YhZzMpHzGKW+AZyZLyMxSxx9ixmEwucxQxexmI2ufRZzOBlLGaF8mcxg5fBy1Jfm8PL6mQJL2s2OhazWKVSbR0zAw52HYvZsIBmsYfFLJ7NBpqxmCXCzFjMkr0cYTGrnjCLWfWEWczKR8xiVj5iFrPEN5EjY2YsZomzZzGbWOAsZjAzFrPJpc9iBjNjMSuUP4sZzAxmlvreHGZWJ0uYWbPRsZhVSrN1vIzFbNjHYgYuiz0sZvFsNriMxey+0uBlLGbJXoqwmFVPmMWsesIsZuUjZjErHzGLWeIbyJHxMhazxNmzmE0scBYzeBmL2eTSZzGDl7GYFcqfxQxeBi9LfW0OL6uTJbys2ehYzGKVSrV1zAw42HUsZsMCmsUeFrN4NhtoxmKWCDNjMUv2coTFrHrCLGbVE2YxKx8xi1n5iFnMEt9EjoyZsZglzp7FbGKBs5jBzFjMJpc+ixnMjMWsUP4sZjAzmFnqe3OYWZ0sYWbNRsdiVinN1vEyFrNhH4sZuCz2sJjFs9ngMhaz+0qDl7GYJXspwmJWPWEWs+oJs5iVj5jFrHzELGaJbyBHxstYzBJnz2I2scBZzOBlLGaTS5/FDF7GYlYofxYzeBm8LPW1ObysTpbwsmajYzGLVSrV1jEz4GDXsZgNC2gWe1jM4tlsoBmLWSLMjMUs2csRFrPqCbOYVU+Yxax8xCxm5SNmMUt8EzkyZsZiljh7FrOJBc5iBjNjMZtc+ixmMDMWs0L5s5jBzGBmqe/NYWZ1soSZNRsdi1mlNFvHy1jMhn0sZuCy2MNiFs9mg8tYzO4rDV7GYpbspQiLWfWEWcyqJ8xiVj5iFrPyEbOYJb6BHBkvYzFLnD2L2cQCZzGDl7GYTS59FjN4GYtZofxZzOBl8LLU1+bwsjpZwsuajY7FLFapVFvHzICDXcdiNiygWexhMYtns4FmLGaJMDMWs2QvR1jMqifMYlY9YRaz8hGzmJWPmMUs8U3kyJgZi1ni7FnMJhY4ixnMjMVscumzmMHMWMwK5c9iBjODmaW+N4eZ1ckSZtZsdCxmldJsHS9jMRv2sZiBy2IPi1k8mw0uYzG7rzR4GYtZsp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9sX7qZdIzF72x/St4bInH9qP2bJXfJXcertcFqv1brnf9Kc7e7Ba3f5pt5mv+9N1ezmdj/Pz6Tz7Jtpl8epyecSbvA45elou33S3vPt6cPXLP/CT5nj1hoeaeMlv8A9r4Nk7z7/z4fBxrwwe4lYGykAZPJxYGSgDZaAMOmWgDJSBMng4sTJQBspAGXTKQBkoA2XwcGJloAyUgTLolIEyUAbK4OHEykAZKANl0CkDZaAMlMHDiZWBMlAGyqBTBspAGSiDhxMrA2WgDJRBpwyUgTJQBg8nVgbKQBkog04ZKANloAweTqwMlIEyUAadMlAGykAZPJxYGSgDZaAMOmWgDJSBMng4sTJQBspAGXTKQBkoA2XwcGJloAyUgTLolIEyUAbK4OHEykAZKANl0CkDZaAMlMHDiZWBMlAGyqBTBspAGSiDhxMrA2WgDJRBpwyUgTJQBg8nVgbKQBkog04ZKANloAweTtxOGazmX90Gi59GHaxWr+mDH//XR781P9lvz/0Hf5vfouFn+7XLtw+3Ohn+oL38D9AX/iAOzfTuG21756u23f9Ex0f5s+3huFmdr/Nbc6x2/eq82PbH03zery6n/e58uW62l+2TX/XwW3r7QeJP9D94/J+7bvv4X/zGy34BP//rz3/hFb++l9TC7qV7vpD57Iv//bf+loQfEr4cl7vt+bjud/P5sV+dTuv+uD6d+835urxstuvT7rxLkPBewl834fPycl0vt9v+etltbx/Dx1O/O85m/fb2P6fT5bw6bvcJEn70uV/EbxXx7jbKHffnc3+e7S/9anM69vvZft+vV8vjeXXe7g/bDDU9n4v460Z83a+us81h3W8O22W/2s9vH8Wb9aHfLOfr5ea82S721wwRLypF/OzvfuvJtpdE/Owy/IjvvX++/8P1/cuLr3jqIfFnn//lH3/6R7/3v//me5999y+ePPCowXez1Xx/uvTL5eX2Ofr2v/1xu7x9jj5uZ9vt6rDebFJkv5xi9v/o8t4Hn3zn+IaZf/rbf/75X3z309/9718Z+OGwv5yOs3N/Oa1un7KXs8XtU/bufP/Y3x9Pu+t8td5kCHw1xcAv1+v9l/FPLu+dD4+/1H5l6p//zW/fPtg/+70/+uwP/vArg7+sV6fFcr/sF6f5+tbyy9vXW9f1sV/MFuvFabXbXc8pgl9PMfiPPrn9u394efHeB/d/8Sa5f/af/uoH3/+9//O9v/7Bf/z+p//mX//gT/7rV6Z/va6ux8X82u8uq9vX2Nfzqt8tT/v+Mj+trtfT7rTP8Tl+M8X0bz1/vnx0evH+h/dfxVuU/Wf/9vc//+PvfmXwp9PpvNrd4l7Pj7vb/L659IfFbNOfLvvjZbncXBeLQ4bgt1MM/vrJB6f7z3/49u0PwPH9j9/76DbnvdmH/x/82ad/9d1P//kffvYf/vor89+cD6f1fLO7fU1+f7m2PF1v+e/m/Wmzn5/Ptz8Tx9UqQ/7es70y7Nd+/TY7zK+X/bbfnq+HfnXazfr9db24fZ2+PFw3s/PxvFxniPgtX7T9+P95xS3aT/ePwPDjvkXsv/T+tz++vPjlF88/+fDJr+Ylv6Kv+av6ws/y5r+24eca/ljeP53cfrqf/+D80j1fPsOXU/7Cppee8RXn/InO+nbHfNOjDvveefH+7Sd4/3Df98svLreP2he/8uJb//iTw7df+civHl4cvjN/465+/Nzi5R8cjzct7z/47Kt/oOV7f+eDuEJ69svLJ2P6w+a//8HhxT/7lQ8vLw4fP38RH9nPnr1s82+99IdoNMu/9/5vviaJIcF/+uF7h9Pp+ScffPz62J59+ue///lf/slrYnmjfH+c3VftnWh0b/1h+NVfIj9+4M0//m5fBC9+br74ueW8m/3t2f3/3vwD8ls+ILsvf0BePvqo5Uh/8cm89LB3oom+8/yDjw/vf/DRG8T51V/NPn5gqNof/M9/9/n/+rNvuGrfff7xy1N8+i9/48v/6kt7nszKv/gLX/7i8E0G3Qa5sNVqNt8fV5t+v7tc+9Xieup38/uN4XV7ml+um/V+9+iy8GfFha1mT3/Uh/+2f/LkqwmQp2DY/Jsmw3799WTYs0+//73Pv/+9H/zp73z6P373s3/5J59/7199/r0/fe+zf/FfPvvz//zZf/udz//i3z/6MZ6QYy//AV7xzANM9rY/7QNs9uS3rx3MbP2ICH2Cma03L/tj+tbU6e7JxzbM7AvbvvhyZHndnQ7X875fbma3SjosV/3xujn188V8PdufZsvdLgO/4PXX1054cZyv1rfVH8/bfb/aHpf9br059ov1fr5bn5a75fHJ6Aczaynh5WF73qxO+/6636/61XJ9+xheLNb9dj1bXrbL3fGYImGY2dePeL3ZLc/X665fLha3iO9/rWC3P6z79Xy+Ox9Xs+t+neJ+Emb2tSPeLxaX2XZ77feL662nr6vbPy0Pt68QDrfw99fTbJEC+IaZjYCZ3cbb5Xp3OfaHe42vLrN5f9gsd/1suZ4vL8vdYXFMcUUFM3tt5m+GmR2P59l2tj71dxK8X81Ol34/26z7+Xx/3K3O5+38+PSiG2bWPmZ2G7hnh8vi/rc8BtDo9in9sJrP+/V1t9+eLpvb110ws7KY2Wl72h9uo1x/2d8+vd/GtmO/X28X/ex8Xp5P69l8vn7yvhlmVgAzWx6u++Nic+7Pm/X97/BdFv1ut131u+tidyv+3W61SfFhDzMbBzM7Lq/nxe2Te3/ZXpf96rTY9fv9ddGvdnewfHdertYpMEPv2V4Z9mv/st96uZlv1pt+Mz9t+tX+fq9z3B77zWl2Xh52x+P8kKLbYWYwszT35jCzOlnCzJqNLj4MwUiPV6Npto6X/ZJu7b4U6bvPP37TPNvky8BlPylctj3Mj9fN/NJv1ot1v1ptdv3usF31x/PhuJytTqvd9tEV4c8KLluvnv6oP/pvm6eWubbgssVPAy577/GPAi9jMavy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f+/8/O/fV6mp35WX8rj3zMVqpq7121i7Nk8kcgNEEoHKHIqtpVhQwTe/B4QBxEYo5CFFBACCYSkcIg5Y9QMuEgiASE8mawx7wL6vdwU3G723Z7kifzXd/1WYpGjn2v7t6+up7uXvflS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97Gf3U98QMfumP01/bbnsa7+0v+qW/YJ/Sl796/Lx1cPj0/3b13fPN/fg4eHzv3p6/fLx7vnTm4/PH96//PD84cWfxNfl1S/+uHzFN/lVytHXPy5/0t+W3/zV4urP/4a/9uX4xQNfPhPf8F/w//cZ+M5v/OCv/Pb5697H4AtuHwMfAx+DLz+xj4GPgY+Bj8HhY+Bj4GPgY/DlJ/Yx8DHwMfAxOHwMfAx8DHwMvvzEPgY+Bj4GPgaHj4GPgY+Bj8GXn9jHwMfAx8DH4PAx8DHwMfAx+PIT+xj4GPgY+BgcPgY+Bj4GPgZffmIfAx8DHwMfg8PHwMfAx8DH4MtP7GPgY+Bj4GNw+Bj4GPgY+Bh8+Yl9DHwMfAx8DA4fAx8DHwMfgy8/sY+Bj4GPgY/B4WPgY+Bj4GPw5Sf2MfAx8DHwMTh8DHwMfAx8DL78xD4GPgY+Bj4Gh4+Bj4GPgY/Bl5/Yx8DHwMfAx+DwMfAx8DHwMfjyE/sY+Bj4GPgYHD4GPgY+Bj4GX35iHwMfAx8DH4PDx8DHwMfAx+DLT+xj4GPgY+BjcPgY+Bj4GPgYfPmJfQx8DHwMfAwOHwMfAx8DH4MvP7GPgY+Bj4GPweFj4GPgY+Bj8OUn9jHwMfAx8DE4fAx8DHwMfAy+/MQ+Bj4GPgY+BoePgY+Bj4GPwZef2MfAx8DHwMfg8DHwMfAx8DH48hP7GPgY+Bj4GBw+Bj4GPgY+Bl9+Yh8DHwMfAx+Dw8fAx8DHwMfgy0/sY+Bj4GPgY3D4GPgY+Bj4GHz5iX0MfAx8DHwMDh8DHwMfAx+DLz+xj4GPgY+Bj8HhY+Bj4GPgY/DlJ/Yx8DHwMfAxOHwMfAx8DHwMvvzEPgY+Bj4GPgaHj4GPgY+Bj8GXn9jHwMfAx8DH4PAx8DHwMfAx+PIT+xj4GPgY+BgcPgY+Bj4GPgZffmIfAx8DHwMfg8PHwMfAx8DH4MtP7GPgY+Bj4GNw+Bj4GPgY+Bh8+YnX+Rg8vPzlX4NX/yo+Bw8Pv+J78C/+06/8V/Mv91/P7Tf+6/xXdP7e/r2Pv/Xu8+fk/BPtm/8E+pk/Ec8v029+q7Hf+GVjtz+j51f5d968e//64cOnl5+/HA9Pdw8fXr25e//88uXdw8fnt08fPn56/ebjm6/9UZ//lX7+jcyf0f/BV//j43jz1X/jL3/TH8Cf/ks/+DO/4I/vGz4LT9848zPMX/zsf/5X/w2EvxD++P7+6c2H9493Ty9fvr97eH5+vHv/+Pzh7vWHT/cfX795fH768BRA+C3Cf1zCH+4/fnq8f/Pm7tPHpzeffw2/f757ev/ixd2bz//n+fnjh4f3b94GEP7KX/sh/rUQP33+W7n3bz98uPvw4u3Hu4fXz+/v3r54+/bu8eH+/YeHD2/evnuT8Jl++RLiPy7iT28fPr14/e7x7vW7N/d3D29ffv5V/Prx3d3r+5eP968/vH7z6u2nBMSvmhB/59/+c18b+wbE3/l4/ha/+70Pt3/x6Xsff/hLbn0h/p2f/pO/9+O/+/v/9z//g5/83j/+2oWvfMGfXjy8fPv88e7+/uPnv0Z//r9379/cf/5r9Ps3L968eXj3+Pp1BPv7Hdn/Rx+/+/3f/SvvvyXzH/+1f/TTf/x7P/6b//svBf7u3duPz+9ffLj7+Pzw+S/Z9y9eff5L9tOH26/9t++fnz69fHh8nQD8YUfgHz99uv1h/Kcfv/vh3Vf/UfsXUv/pP/9rn3+x/+T3/+5P/vbf+aXgPz4+PL+6f3t/9+r55ePnr/z953/e+vT4/u7Vi1ePr54fnp4+fYgA/7gj+N/53c//3n/48Yff/f7t3/g23H/yP/3TP/rD3/9//uCf/dH/+Ic//m/+6z/6+//rL6X/6dPDp/evXn66e/r48PmfsT99eLh7un9+e/fx5fPDp0/PT89vM/4a/3pH+p+/8x8+/s7zD7/327c/il/jY/+T//Zv/fTv/d4vBf/8/Pzh4ekz7seX758+//3764937169eH33/PHt+4/3968/vXr1LgH8mx3Bf/rd7z/ffv/vfuvznwDvv/ej7/7O57/P+3a//P/2P/zxP/29H/8Xf+cn/8M/+6X8X3949/z48vXT538mvz2u3T9/+sz/6eXd8+u3Lz98+PznxPuHhwT+3tl+Iexf+c9vL969/PTx7Zu7Nx8+vbt7eH56cff20+Orz/+cfv/u0+sXH95/uH9MQPxrPrT9i//PL9ii/av9U+D87f4a2P/8937rRx9/+Bd++IPf/e2v/dF8wx/RH/OP6md+L9/+j+38fZ1/Wt7+cvL5d/env//hG2d+/mf4eco/M/SNP+Mv+Dn/pX7WX+/H/LY/6jn3Gz/83uffwffe3eb+wg8/fv5V+8O/+MM/95/87rvf+oVX/t13P3z3V15+62/1V++9+uZfHF8dur/9xl/88t/Q/Xf/re/PCuk7f+H+a3+b/mX43//+ux/+53/xtz/+8N2PfvDD+ZX9ne980/Bf/cbfxKIs/53v/ce/gsRJ8D/77e++e37+we9+/0e/Gtt3fvyP/tZP/8nf/xVYvhXff8Hul81uiu7X/mX4y/8R+asXvv2vv8//EPzqT7189afuXx4v/s0Xt//37X9B/jm/II+f/wX58Xd+Z2Wkf/Zrf7/0ZXZTor/xg+//6N33vv873wLnL/+n2a9eOD+1f/R//nc//b/+4Z/wp/Y3f/Cjb6b49X/zL//8v/VzM1/7e+U/+2d+/h8Ov83f6C7ohT08vHj59v3D67u3Tx8/3T28+vR89/TytjH89Ob55cdPrx/fPn1lWfivywt7ePH13+qX/+zt127+YgPk62LYyz9pM+wv/Woz7Ds//sM/+Okf/sEf/YO/8eP/42/+5K///Z/+wX/10z/4B9/9yX/5v/zkH/3PP/nf/sZP//F//5XfxtfMsW/+DfyCO19ksl/3d/tFNvvaf33raGaPXzFCv6aZPb7+pj9Nf23r9Olrv7ZpZj8z9rOPI/efnp7fffrw9u7+9YvPn6R39w937z+9fr57+erl44u3zy/un54S/AXPX39swq/ev3x4/Hzu3n948/bu4c37+7unx9fv7149vn359Ph8/3T//mt/60czW4nw/bs3H14/PL+9+/T27cPdw/3j51/Dr1493r15fHH/8c390/v3EYRpZn98xI+vn+4/fPr0dHf/6tVnxLf/WcHT23ePd48vXz59eP/w4tPbx4j9JM3sj4347atXH1+8efPp7u2rT5+/058ePv+r+3ef/wnh3Wf4bz89v3gVIXzTzC7QzD7/7e3949PH93fvbp/xh48vXt69e33/dPfi/vHl/cf7p3ev3kesqGhmv5L5t9PM3r//8OLNi8fnu5sJfvfw4vnj3dsXrx/vXr58+/7p4cOHNy/ff33RTTNbXzP7/DfcL959fHX7X3mcotHnv6S/e3j58u7x09PbN88fX3/+5y6aWa1m9vzm+e27z38rd/fx7ee/vH/+27b3d28f37y6e/Hhw/2H58cXL18+fu29mWZWoJndv/v09v2r1x/uPrx+vP1v+D6+unt6evNw9/Tp1dPnD//T08PriF/2NLNrNLP3958+vPr8F/e7j28+3d89PL96unv79tOru4enm1j+9OH+4TFCM/TO9gth/8r/sd/j/euXrx9f371++fz67uHtba/z/s37u9fPLz7cv3t6//7lu4hvO82MZhazN6eZ9bCkmS2Lbn4ZkpG+ehalubpe9ud9W4+fQ/qbP/jRt+W5pl9GLvuXlcvevHv5/tPrlx/vXj++erx7eHj9dPf07s3D3fsP797fv3h4fnh685UV4b8uuezx4eu/1f//P3v99crcWnLZq38Vctl3v/pboZepmLU8iqiYtRNW</t>
  </si>
  <si>
    <t>ABC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t>
  </si>
  <si>
    <t>ABC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8P/Lzv31+Jrd6Vl/K0s+ppRdu6r2ruIsmUxGIDRBKByhyNr1Dxlm7KHtAXEQiTkKUUABIZhIRApGSiZCmRkOgkhAKG8Ge8y7YP8eFjVud9tuT+bJ3Oten6Vo5NhrdXf56v3t7ud7+VI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P72f+pqI2df9afory2Vf+aX9Zbfs5/xT8urT5eX97d39zcOHq6eLe3B7+/lf3X+4vrt6ev348vT8eP389PzuL2K6vP/5w+VLvskvU46+Olz+omfLb/5ycfVnf8NfmRw//8LbmPia/4L/vzHwrV/73m//zvHr3jB4w20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DQPDwDAwDIZhYBgYBobB209sGBgGhoFhMAwDw8AwMAzefmLDwDAwDAyDYRgYBoaBYfD2ExsGhoFhYBgMw8AwMAwMg7ef2DAwDAwDw2AYBoaBYWAYvP3EhoFhYBgYBsMwMAwMA8Pg7Sc2DAwDw8AwGIaBYWAYGAZvP7FhYBgYBobBMAwMA8PAMHj7iQ0Dw8AwMAyGYWA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DQPDwDAwDIZhYBgYBobB209sGBgGhoFhMAwDw8AwMAzefmLDwDAwDAyDYRgYBoaBYfD2ExsGhoFhYBgMw8AwMAwMg7ef2DAwDAwDw2AYBoaBYWAYvP3EhoFhYBgYBsMwMAwMA8Pg7Sc2DAwDw8AwGIaBYWAYGAZvP7FhYBgYBobBMAwMA8PAMHj7iQ0Dw8AwMAyGYWA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1xkGt9e/eBq8//MYB7e3v2Qe/Ol/+qX/av7V/uu5/MZ/lf+Kjt/bv/fyW58+j5PjT7Sv/xPop/5EPCbTb36ja7/2i65d/oyev8q/9fHT44fb59frz5Pj9v7q9vn9x6vHp+vrq9uXp4f755fXDx9fPn7lj/r4r/Tzb2T+Gf0ffPk/HuPjl/+Nv/l1fwB/+W9876/8nD++rxkL919756eYv/vp//xv/RsIvxF+eby5//j8eHd1f339eHX79HR39Xj39Hz14fn15uXDx7un++f7AMIPCP9ZCT/fvLze3Xz8ePX6cv/x86/hx6er+8d3764+fv4/T08vz7ePHx8CCH/pr/0Q/0qI7z//rdzjw/Pz1fO7h5er2w9Pj1cP7x4eru5ubx6fb58/Pnz6mDCmr68h/rMifn24fX334dPd1YdPH2+ubh+uP/8q/nD36erDzfXdzYfnDx/fP7wmIH7fhPhb//avf+Xa1yD+1svxW/z2d54v/+L1Oy9f/IJXb8S/9ZN/9o9/9I9+///+lz/88e/98VcefGmC37+7vX54erm6uXn5/Nfoz//36vHjzee/Rj9+fPfx4+2nuw8fItjf7Mj+P3r59nd/97cfvyHzH/3tP/zJH//ej/7e//4LgX/69PDy9Pju+erl6fbzX7Jv3r3//Jfs++fLr/2Hx6f71+vbuw8JwG93BP7y+nr5w/hPX779/OnL/6j9c6n/5F/+7c+/2H/8+//ox//gH/5C8C93t0/vbx5urt4/Xd99nvI3n/956/Xu8er9u/d3759u7+9fnyPA3+0I/vu/+/nf+w9fvvj2dy//xjfh/uP/6Z//yR/9/v/zw3/xJ//jH/3ov/mv/+QP/tdfSP/19fb18f3169X9y+3nf8Z+fb69ur95erh6uX66fX19un96yPhr/Icd6X+e888v33/64ju/c/mj+BWG/Y//27//k3/8e78Q/NPT0/Pt/Wfcd9eP95///v3Dy9Wn9+8+XD29PDy+3Nx8eH3//lMC+I87gn/93e8+XX7/n37r858Aj9/5wbe///nv877ZL/9/8E9/9M9/70f/xT/88f/wL34h/w/Pn57urj/cf/5n8svHtZun18/876+vnj48XD8/f/5z4vH2NoG/72w/F/Yv/ee3d5+uX18ePl59fH79dHX7dP/u6uH17v3nf06/+fT64d3z4/PNXQLiX/FD25/+f37OFu3P90+B47f7K2D/a9/5rR+8fPEbX3zvd3/nK380X/NH9Gf8o/qp38s3/2M7fl/Hn5aXv5x8/t395e8+f+2dn/0ZfpbyT1362p/x5/yc/0o/66/2Y37TH/W492tffOfz7+A7ny73fuOLl8+/ar/461/8+n/yu59+6+c++Xc/ffHpt6+/8az+8rv3X/+L48uXbi6/8Xe/+Dd08+1/67tzhfSt37j5yt+mv13+97/76Yv//K//zssXn37wvS/mr+xvfevrLv+tr/1NLMry3/nOf/xLSBwE/7Pf+fanp6fv/e53f/DLsX3rR3/493/yz/7gl2D5Rnz/lN0vurspul/5l+Ev/kfkLz/45r/+Pv9D8Pu/dP3+L91cj3f/5rvL//vmvyB/3S/I8bO/IF++//2Vkf7Vr/z90tvdTYn+2ve++4NP3/nu978Bzl/8T7NffnCM2j/5P/+7n/xf//QveNT+5vd+8PUUv/pv/s2f/bd+5s5X/l75r/6Vn/2Hw2/yN7oLemG3t++uHx5vP1w93L+8Xt2+f326ur++bAxfPz5dv7x+uHu4/9Ky8F+XF3b77qu/1bf/7OErL3++AfJVMez6L9oM+xu/3Az71o/+6Ic/+aMf/sk/+bs/+j/+3o//zh/85If/1U9++E++/eP/8n/58R/+zz/+3/7uT/74v//Sb+Mr5tjX/wZ+zps3mexX/d2+yWZf+a9vHc3s7ktG6Fc0s7sPX/en6a9snd5/5dc2zeynrv30x5Gb1/unT6/PD1c3H959Hkmfbm6vHl8/PF1dv7++e/fw9O7m/j7BX/D5689M+P3j9e3d53P1+Pzx4er24+PN1f3dh8er93cP1/d3Tzf3N49f+Vs/mtlKhG8+fXz+cPv0cPX68HB7dXtz9/nX8Pv3d1cf797dvHy8uX98jCBMM/uzI777cH/z/Pp6f3Xz/v1nxJf/WcH9w6e7q7vr6/vnx9t3rw93EftJmtmfGfHD+/cv7z5+fL16eP/6eU6/3n7+VzefPv8TwqfP8B9en969jxC+aWYnaGaf//b25u7+5fHq02WM3768u7769OHm/urdzd31zcvN/af3jxErKprZL2X+zTSzx8fndx/f3T1dXUzwq9t3Ty9XD+8+3F1dXz883t8+P3+8fvzqoptmtr5m9vlvuN99enl/+V95HKLR57+kf7q9vr66e71/+Pj08uHzP3fRzGo1s6ePTw+fPv+t3NXLw+e/vH/+27bHq4e7j++v3j0/3zw/3b27vr77yvdmmlmBZnbz6fXh8f2H56vnD3eX/w3fy/ur+/uPt1f3r+/vPw/++/vbDxG/7Glm52hmjzevz+8//8X96uXj683V7dP7+6uHh9f3V7f3F7H8/vnm9i5CM/Sd7efC/qX/Y7+7mw/XH+4+XH24fvpwdftw2es8fny8+vD07vnm0/3j4/WniNlOM6OZxezNaWY9LGlmy6KbvwzJSF8+i9JcXS/7a2br+Bmkv/m9H3xTnmv6ZeSyf1W57OOn68fXD9cvVx/u3t9d3d5+uL+6//Tx9urx+dPjzbvbp9v7j19aEf7rksvubr/6W/3//7MPX63MrSWXvf/zkMu+/eXfCr1Mxazl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t>
  </si>
  <si>
    <t>ABC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vh/5edO+rVdbvPs/5VhnzMVNdcc8615uKsTdMIhFKEyhGqrDXnXBMZEjtsOyAOKpGjUhVUEIJUolIxUpsKNQkHRbQg1C+DHfMtWO/D4I2397a9neZp7nGP3xCqgjPGtl9f3n/v/fyvXC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t>
  </si>
  <si>
    <t>ABC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n91NdEzL7uP6a/slz2lT+1v+yW/Zy/S159unx6e//wePfh3c3zxT24v//8Pz2+u324eX59/+n55en25fnlzV/EdHn784fLl3yTX6YcfXW4/EXPlt/85eLqz/6BvzI5fv6F65j4mn+D/78x8K1f+95v/87x571hcMVt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9cZBve3v3gavP3zGAf3979kHvzp//ZL/9b8q/3bc/mD/yr/Fh3/bP/ep9/6+HmcHP9B+/r/AP3UfxCPyfSb3+jar/2ia5f/RM8/y7/1/uPTu/uX19vPk+P+8eb+5e37m6fn29ub+0/PHx5fPr2+e//p/Vf+VR//ln7+g8z/RP8HX/5fj/H+y//A3/y6fwF/+W9876/8nH99XzMWHr/2zk8xf/PT//u/9W8gfCX86enu8f3L08PN4+3t08398/PDzdPD88vNu5fXu0/v3j88P748BhD+gPCflfDL3afXh7v3729ePz2+//zn8NPzzePTmzc37z//P8/Pn17un95/CCD8pf/uh/hXQvz4+S/lnj68vNy8vPnw6eb+3fPTzYc3Hz7cPNzfPb3cv7z/8PF9wpi+vYX4z4r49cP965t3Hx9u3n18f3dz/+H285/F7x4+3ry7u324e/fy7v3bD68JiN82If7Wv/3rX7n2NYi/9en4I377Oy+X/+H1O5+++AWvrsS/9ZN/9o9/9I9+///+lz/88e/98VcefGmCP765v/3w/Onm7u7T5/+O/vz/3jy9v/v839FP79+8f3//8eHduwj2dzuy/48+ffu7v/vbT9+Q+Y/+9h/+5I9/70d/73//hcA/fvzw6fnpzcvNp+f7z/+Vfffm7ef/yn58ufy5/+Hp+fH19v7hXQLw+x2Bf3p9vfzL+E8/ffvl45f/VvvnUv/Jv/zbn/9k//Hv/6Mf/4N/+AvBf3q4f3579+Hu5u3z7cPnKX/3+e+3Xh+ebt6+efvw9vn+8fH1JQL8w47gv/+7n/+x//DTF9/+7uUf+Cbcf/w//fM/+aPf/39++C/+5H/8ox/9N//1n/zB//oL6b++3r8+vb19vXn8dP/577FfX+5vHu+eP9x8un2+f319fnz+kPHf8e92pP95zr98+v7zF9/5ncu/il9h2P/4v/37P/nHv/cLwT8/P7/cP37G/XD79Pj5r9/ffbr5+PbNu5vnTx+ePt3dvXt9+/ZjAvj3O4J//d3vPl/++T/+1uf/ADx95wff/v7nv877Zn/6/4N/+qN//ns/+i/+4Y//h3/xC/m/e/n4/HD77vHz35NfPq7dPb9+5v94e/P87sPty8vn/0w83d8n8Ped7efC/qV///bm4+3rpw/vb96/vH68uX9+fHPz4fXh7ee/T7/7+PruzcvTy91DAuJf8UPbn/7//Jwt2p/vfwSOP+6vgP2vfee3fvDpi9/44nu/+ztf+VfzNf+K/oz/qn7qn+Wb/2s7/rmO/1he/uvk8z/dX/7uy9fe+dnf8LOUf+rS1/7Gn/M7/5V+66/2M7/pTz3u/doX3/n8T/Cdj5d7v/HFp89/1n7x17/49f/kdz/+1s998u9+/OLjb99+41n95Xdvv/5Pji9furv8wd/84j/Q3bf/re/OFdK3fuPuK3+Zfr3873/34xf/+V//nU9ffPzB976Yf2Z/61tfd/lvfe0fYlGW/853/uNfQuIg+J/9zrc/Pj9/73e/+4Nfju1bP/rDv/+Tf/YHvwTLN+L7p+x+0d1N0f3Kfxr+4r9F/vKDb/7n3+e/CX77l27f/qW72/Hm33xz+f+++Z+Qv+5PyPGzf0J++v73V0b6V7/y10vXu5sS/bXvffcHH7/z3e9/A5y/+O9mv/zgGLV/8n/+dz/5v/7pX/Co/c3v/eDrKX71H/ybP/sP/cydr/y18l/9Kz/7N4ff5C90F/TC7u/f3H54un938+Hx0+vN/dvX55vH28vG8PX98+2n13cPHx6/tCz81+WF3b/56h/1+r/78JWXP98A+aoYdvsXbYb9jV9uhn3rR3/0w5/80Q//5J/83R/9H3/vx3/nD37yw//qJz/8J9/+8X/5v/z4D//nH/9vf/cnf/zff+mP8RVz7Ov/AD/nzVUm+1X/aa+y2Vf+7VtHM3v4khH6Fc3s4d3X/cf0V7ZOH7/y5zbN7Keu/fTHkbvXx+ePry8fbu7evfk8kj7e3d88vb57vrl9e/vw5sPzm7vHxwR/weevPzPht0+39w+fz83Ty/sPN/fvn+5uHh/ePd28ffhw+/jwfPd49/SVv/Sjma1E+O7j+5d3988fbl4/fLi/ub97+Pzn8Nu3DzfvH97cfXp/9/j0FEGYZvZnR/zw7vHu5fX18ebu7dvPiC//ZwWPHz4+3Dzc3j6+PN2/ef3wELGfpJn9mRF/ePv205v3719vPrx9/TynX+8//093Hz//HcLHz/A/vD6/eRshfNPMTtDMPv/l7d3D46enm4+XMX7/6c3tzcd3d483b+4ebu8+3T1+fPsUsaKimf1S5t9MM3t6ennz/s3D883FBL+5f/P86ebDm3cPN7e3H54e719e3t8+fXXRTTNbXzP7/Bfcbz5+env5v/I4RKPP/5X+8f729ubh9fHD++dP7z7/fRfNrFYze37//OHj57+Uu/n04fN/vX/+y7anmw8P79/evHl5uXt5fnhze/vwle/NNLMCzezu4+uHp7fvXm5e3j1c/m/4Pr29eXx8f3/z+Pr28fPgf3y8fxfxpz3N7BzN7Onu9eXt5/9yv/n0/vXu5v757ePNhw+vb2/uHy9i+ePL3f1DhGboO9vPhf1L/4/9Hu7e3b57eHfz7vb53c39h8te5+n908275zcvdx8fn55uP0bMdpoZzSxmb04z62FJM1sW3fzTkIz05bMozdX1sr9mto6fQfqb3/vBN+W5pl9GLvtXlcvef7x9en13++nm3cPbh5v7+3ePN48f39/fPL18fLp7c/98//j+SyvCf11y2cP9V/+o////7t1XK3NryWVv/zzksm9/+Y9CL1Mxa/k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t>
  </si>
  <si>
    <t>ABC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2/7NyxDQQxDMTAVtx/lY831MIBq/UoliNmFkE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t>
  </si>
  <si>
    <t>ABC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P3bu2AaCGAZiYCvXf5WPN9SCgfVqFMsRM4tg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t>
  </si>
  <si>
    <t>ABC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t>
  </si>
  <si>
    <t>ABC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9mPnblo+2w70vH+VxRmncL089ZaZ3e40CaEdQjIKRlQ9VRWUdEvKkZSQgSE98ig4IeA22OB4YHvilwwMsQnBXyZSK98itXcWu3V0XnTU9qbvda/fxjRt9drS+es655bOXheX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t>
  </si>
  <si>
    <t>ABC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79fupb4iYfdOfpr+zXPa1v7S/6pZ9y98lr74uH58/vHzz4u2rJ4+He/Dw8Pl/e/Pq2csnj59ef3z88P7Zh8cPT/8y1uX5t4/LV3yT36YcfX1c/rK35Q9/u7j6m//EX1uObz9wzcQ3/Bv8/8/AF7/34z/+yfnXvTG4cBs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+8zhg8PPvuNXj+72MOHh5+yx78+f/1K//W/Lv923P8k/8u/xad/2r/+cc/evd5Ts4/0b75T6Bf+xPxXKY//F7Hfu+7jh1/Rs+/yr94/e79q4cPn559Xo6HN08ePjx//eT947NnTx4+Pr598+Hjp1evP77+2h/1+W/p53+S+Wf0f/XV//MYr7/6D/zNb/oD+Kv/xY//2rf88X3DLLz5xjO/xvzpr//f/9Z/gPBF+OP7F29ef3j/8smbZ8/eP3l4fHz55P3Lxw9PXn349OLjq9cvH998eBNA+C3Cf1HCH158/PTyxevXTz59fPP681/D7x+fvHn/9OmT15//x+Pjxw8P71+/DSD8lf/sh/h3Qvzm83+Ve//2w4cnH56+/fjk4dXj+ydvn759++Tlw4v3Hx4+vH777nXCTD97BvFfFPGntw+fnr569/LJq3evXzx5ePvs81/Fr16+e/LqxbOXL159ePX6+dtPCYifNyH+4j/5/a8d+wbEX3w8/xl/8MMPx//y6Ycfv/yOty7iX/zqX/2TX/zjP/1//u0/+uWf/MuvvfCVBX/z9OHZ28ePT168+Pj5P6M//88n71+/+Pyf0e9fP339+uHdy1evIti/2JH9f/PxBz/6+R+//57Mf/G3//mv/uWf/OLv/J/fCfzdu7cfH98//fDk4+PD5//IfvH0+ef/yH7z4fhr/+37xzefnj28fJUA/GFH4B8/fTr+MP77jz/48O6rf6v9rdR/9W//9ue/2H/5p//4l//gH34n+I8vHx6fv3j74snzx2cvP6/8i89/v/Xp5fsnz58+f/n88eHNm08fIsC/3BH8T3/++R/7rz9++YMfHf/A9+H+y//9X//Zv/jT//cf/Zs/+/v/4hf/y//8Z//0//hO+p8+PXx6//zZpydvPj58/nvsTx8enrx58fj2ycdnjw+fPj2+eXyb8Z/xr3ak/3nnP3z86eOXP/zJ8UfxO4z9L//Xv/erf/In3wn+8fHxw8Obz7hfPnv/5vN/f3/18cm7509fPXn8+Pb9xxcvXn16/vxdAvjXO4L/9PMfPR7/+u/+6POfAO9/+LMf/PTzf8/7fn/5/4N/9ot//Se/+J/+4S//7r/5Tv6vPrx7fPns1ZvPf09+fFx78fjpM/83z548vnr77MOHz39OvH94SODvO9u3wv6tf//29N2zTx/fvn7y+sOnd08eHt88ffL208vnn/8+/cW7T6+efnj/4cXLBMS/44e2P///fMst2r/fPwXOf97fAft/9MM/+tnHL//gyx///Cdf+6P5hj+iv+Af1a/9q3z/P7bzX+v80/L4j5PP/3J/9UcfvvHMb/6G36T8a4e+8Td+y+/8d/qtv9vP/L4/9Tz3e1/+8PO/wA/fHef+4MuPn/+q/fJvfPn7/93P3/3Rt77yn7378t0fP/veW/3V955/818cXz304vgnf/rd/0QvfvAf/2heIX3xBy++9l/Tr8P/5Y/effk//o2ffPzy3c9+/OX8K/uLL77p8N/6xn+KRVn+pz/8b38LiZPg//CTH7x7fPzxz3/0s9+O7Ytf/PO/96t/9U9/C5bvxffP2X3X2U3R/c5/GX733yJ/9YXv/9ff578Jfv5Xnj3/Ky+ejaf/4dPj/33/vyB/31+Q4zf/gvz405+ujPSvf+2/L11nNyX6ez/+0c/e/fBHP/0eOL/772a/+sI5tX/2f/1vv/q//9lf8tT+4Y9/9s0Uv/4P/s3f/Id+48zX/rvyX/9rv/k3h9/nv+gu6IU9PDx99vb9w6snb/8/du4mB7B0S6/yVI7oh5QZP5kRE6BJi76VkT9dOgwCZCRaDKDoYCFhWnSYj4saBnmONiVf0lbZhY959/s9u3Wl3CeudNeNn/z2ivX19z8+fP74x68fvv54Xwz/+PnXH3//46cv377+zbHwP5cX9vmHv/6o//jPvv3ly3+/AfJXMezH/7/NsP/6nzbD/ot/86//7h/+9d/9X//qX/6b//N//Pv//n/5h7/7H/7h7/7Vv/j7/+5//fv/7X/++//jX/7D//4//c2P8Rdz7N/9A/x7vvlHmew/9r/2H2Wzv/zPt0cz+/I3RuhfNLMvP/27/m/6H22dfv3Lz22a2b+19m8/jnz64+uvv/zx27cPn3764c9fkn759PnD9z9++vXDjx9//PLDt19/+PT1a4K/4Pnrn0344/cfP3/5cz58/+3nbx8+//z904evX376/uHjl28/fv3y66evn77/5Y9+NLNNhD/98vNvP33+9duHP759+/zh86cvf/4c/vjxy4efv/zw6fefP339/j2CMM3sn4/4y09fP/32xx9fP3z6+PFPxPdfK/j67ZcvH778+OPX375//uGPb18i7pM0s3824m8fP/7+w88///Hh28c//vx1+o/Pf/6nT7/8+W8Iv/wJ/9sfv/7wMUL4ppm9oJn9+cfbT1++/v79wy/3L+Off//hxw+//PTp64cfPn358dPvn77+8vF7xImKZvZPMv8P08y+f//th59/+PLrh9sE//D5h19///Dth5++fPjxx2/fv37+7beff/z+10M3zWy/ZvbnH7h/+OX3j/ff8nhEoz9/S//l848/fvjyx9dvP//6+09//nsXzaxWM/v151+//fLnH+U+/P7tz9/e//xj2/cP3778/PHDD7/99um3X7/88OOPX/7y3kwzK9DMPv3yx7fvH3/67cNvP325/w7f7x8/fP368+cPX//4+PXPX/i/fv38U8RPe5rZO5rZ909//Pbxz9/cP/z+8x+fPnz+9ePXD9++/fHxw+evt1j+9bdPn79EaIbe2f69sP/Jv+z35dNPP/705acPP/34608fPn+77zrff/7+4adff/jt0y9fv3//8ZeIX9tpZjSzmLs5zayHJc1sLbr5aUhG+ttZSnO7XvZf+rX1+n8h/a/+m//2P5TnTr+MXPb/VS77+Zcfv//x04+/f/jpy8cvHz5//unrh6+//Pz5w/fffvn+6YfPv37++vPfnAj/c8llXz7/9Uf9f/7ZT3+tzO2Syz7+p5DL/sXf/ij0MhWzlk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t>
  </si>
  <si>
    <t>ABC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t>
  </si>
  <si>
    <t>ABC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+7/ZuWMbCGIYiIGtuP8qH2+ohQNW61EsR8wsgi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t>
  </si>
  <si>
    <t>ABC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+7NyxDQQxDMTAVq7/Kh9vqAUDq/UoliNmFkE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t>
  </si>
  <si>
    <t>ABC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t>
  </si>
  <si>
    <t>ABC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mPnjm0giGEgBrbi/qt8vKEWDlivRrEcMbMILg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t>
  </si>
  <si>
    <t>ABC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tmPnTu2gSCGgRjYivuv8vGGWjhgtR7FcsTMItj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t>
  </si>
  <si>
    <t>ABC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
  </si>
  <si>
    <t>ABC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P2xc8c2EMQwEANbuf6rfLyhFgys1qNYjphZBN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t>
  </si>
  <si>
    <t>ABC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37s3F2vd9t9n/W38pOPWeq97vVwr8VZm6YRCKUIlSNUWfd6QobEDtsOiINK5KhUBRWEIJWoVIzUpkJNwkERLQj1zWDHvAvWfzIY8fbetrfTzOY3vuMzhargzLnt4a/35b3/48ql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73sp++nviZi9nX/Mf2V5bKv/Kn9Zbfs5/xd8up0ef14e/dw83h/9XxxD25v3/+nh/vru6vnt0+vzy9P1y/PLx/+Iujy8efD5Uu+yS9Tjr4Kl79otvzmLxdXf/YP/BVy/PwXJia+5t/g/w8D3/q17/327xx/3oPBnBs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t>
  </si>
  <si>
    <t>ABCwAAM5onBAAzAAAwKDMAADMBgnhgMwAAMwKDAAAzAAAzmicEADMAADAoMwAAMwGCeGAzAAAzAoMAADMAADOaJwQAMwAAMCgzAAAzAYJ4YDMAADMCgwAAMwAAM5onBAAzAAAwKDMAADMBgnngdGNxe/2IafPzzwMHt7S/hwZ/+b7/0b82/2r89lz/4r/Jv0fHP9u+9/tbnd5wc/0H7+v8A/dR/EA8y/eY3eu3XftFrl/9Ejz/Lv/Xp89P97cvb9Ts5bh+ubl8+frp6er6+vrp9fX58eHl9u//0+ukr/6qPf0vf/yDjP9H/wZf/11WfvvwP/M2v+xfwl//G9/7Kz/nX9zVYePjad35q8w8//b//W/+GhefCr083D59enu6uHq6vn65un5/vrp7unl+u7l/ebl7vP909P7w8NFj40cJ/1oVfbl7f7m4+fbp6e3349P7n8NPz1cPThw9Xn97/n+fn15fbp0+PDRb+0n/3m/hXmvjh/S/lnh5fXq5ePjy+Xt3ePz9dPX54fLy6u715erl9+fT4+VMHTF9fm/jPOvHb4+3bh/vPd1f3nz/dXN0+Xr//WXx/9/nq/ub67ub+5f7Tx8e3DhN/TJr4W//2r3/lta+Z+Fuvxx/x2995ufwPb995/eIXfDUX/9ZP/tk//tE/+v3/+1/+8Me/98df+eBLBH/4cHv9+Px6dXPz+v7f0e//79XTp5v3/45++vTh06fbz3f39y22v9lx+//o9dvf/d3ffvqGm//ob//hT/7493709/73Xzj458+Pr89PH16uXp9v3/8r++bDx/f/yn54ufy5//j0/PB2fXt332Hw2x0Hf317u/zL+E9fv/3y+ct/q/1zV//Jv/zb73+y//j3/9GP/8E//IXDv97dPn+8eby5+vh8ffdO+Zv3v996u3u6+vjh493H59uHh7eXFsPf7Tj893/3/R/7D1+/+PZ3L//AN9n9x//TP/+TP/r9/+eH/+JP/sc/+tF/81//yR/8r79w/be327enj9dvVw+vt+9/j/32cnv1cPP8ePV6/Xz79vb88PzY47/j73dc/53zL6/ff/7iO79z+VfxK8D+x//t3//JP/69Xzj88/Pzy+3D+9x3108P73/9fv969fnjh/ur59fHp9ebm/u3jx8/dxj+047Dv/3ud58v//yff+v9PwBP3/nBt7///td53+xP/3/wT3/0z3/vR//FP/zx//AvfuH+9y+fn++u7x/e/5788uPazfPb+/4P11fP94/XLy/v/5l4ur3tsL/f2X7u2L/0798+fL5+e338dPXp5e3z1e3zw4erx7e7j+9/n37z+e3+w8vTy81dh4l/xR/a/vT/5+fcov35/kfg+OP+CrP/te/81g9ev/iNL773u7/zlX81X/Ov6M/4r+qn/lm++b+245/r+I/l5b9O3v/p/vJ3X772nZ89w8+u/FMvfe0Zf845/5XO+qsd85se9Xjv1774zvs/wXc+X977jS9e3/+s/eKvf/Hr/8nvfv6tn/vJv/v5i8+/ff2NWf3l7z5+/Z8cX37p5vIH//CL/0A33/63vjuukL71Gzdf+cv0+fK//93PX/znf/13Xr/4/IPvfTH+zP7Wt77u5b/1tX+IRbf8d77zH/+SJY4F/7Pf+fbn5+fv/e53f/DLZ/vWj/7w7//kn/3BL5nlG+37p9v9onc3ne5X/tPwF/8t8pc/+OZ//r3/TfDHv3T98S/dXNeHf/PD5f/75n9C/ro/Ietn/4R8/f73V570r37lr5fmu5su+mvf++4PPn/nu9//BnP+4r+b/fIHB2r/5P/8737yf/3Tv2DU/ub3fvD1K371H/ybP/sP/cw7X/lr5b/6V372bw6/yV/oLuiF3d5+uH58ur2/enx4fbu6/fj2fPVwfbkxfPv0fP36dn/3+PCly8J/XV7Y7Yev/lHn/+7xK1/+fAPkq2LY9V+0GfY3frkZ9q0f/dEPf/JHP/yTf/J3f/R//L0f/50/+MkP/6uf/PCffPvH/+X/8uM//J9//L/93Z/88X//pT/GV8yxr/8D/Jxvpkz2q/7TTtnsK//2raOZ3X3JCP2KZnZ3/3X/Mf2VrdOHr/y5TTP7qdd++seRm7eH589vL49XN/cf3pH0+eb26unt/vnq+uP13YfH5w83Dw8d/AU/f/2ZF/74dH179/5cPb18ery6/fR0c/Vwd/909fHu8frh7vnm4ebpK3/pRzNbaeGbz59e7m+fH6/eHh9vr25v7t7/HP748e7q092Hm9dPNw9PTy0Wppn92Se+u3+4eXl7e7i6+fjxfeLL/1nBw+Pnu6u76+uHl6fbD2+Pdy3uJ2lmf+aJHz9+fP3w6dPb1ePHt3dOv92+/083n9//DuHz+/iPb88fPrYQvmlmJ2hm7395e3P38Pp09fmC8dvXD9dXn+9vHq4+3Nxd37zePHz++NTiiopm9ks3/2aa2dPTy4dPH+6ery4m+NXth+fXq8cP93dX19ePTw+3Ly+frp++etFNM1tfM3v/C+4Pn18/Xv6vPA7R6P2/0j/fXl9f3b09PH56fr1///sumlmsZvb86fnx8/tfyl29Pr7/1/v7X7Y9XT3effp49eHl5ebl+e7D9fXdV35vppkFaGY3n98enz7ev1y93N9d/m/4Xj9ePTx8ur16ePv48A7+h4fb+xZ/2tPMztHMnm7eXj6+/5f71eunt5ur2+ePD1ePj28fr24fLmL5w8vN7V0LzdDvbD937F/6f+x3d3N/fX93f3V//Xx/dft4udd5+vR0df/84eXm88PT0/XnFmynmdHM2tyb08xytqSZLTvd+NOQjPTlZ9E1V9fL/hq21s9M+pvf+8E33XNNv4xc9q8ql336fP30dn/9enV/9/Hu6vb2/uHq4fOn26unl89PNx9un28fPn3pivBfl1x2d/vVP+r//7+7/2plbi257OOfh1z27S//UehlKmYp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v8vO3dsA0EMAzGwleu/yscbasHAaj2K5YiZRXDepolmKmZBmpmKWdjniIpZO2EVs3bCKmb1iFXM6hGrmAVfIi9rZipmwexVzB4DrmJGM1Mxe46+ihnNTMWsiL+KGc2MZhZ9N6eZ9bCk</t>
  </si>
  <si>
    <t>ABC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t>
  </si>
  <si>
    <t>ABC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LFzxzYQxDAQA1tx/1U+/qAWDKxXo1iOmFkE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t>
  </si>
  <si>
    <t>ABC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t>
  </si>
  <si>
    <t>ABC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+7NyxDQQxDMTAVtx/lY831MIBq/UoliNmFkG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t>
  </si>
  <si>
    <t>ABC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Ni5YxsIYhiIga1c/1U+3lALBlbrUSxHzCyC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t>
  </si>
  <si>
    <t>ABC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t>
  </si>
  <si>
    <t>ABC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fuzcsQ0EMQzEwFbcf5WPP6gFA+vVKJYjZhbB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t>
  </si>
  <si>
    <t>ABC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rZj507toEghoEY2Ir7r/Lxhlo4YLUexXLEzCKo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t>
  </si>
  <si>
    <t>ABC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t>
  </si>
  <si>
    <t>ABC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Ni5YxsIYhiIga24/yofb6iFA1brUSxHzCyC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t>
  </si>
  <si>
    <t>ABC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74R87d2wDQQwDMbAV91/l4w9qwcB6NYrliJlFU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t>
  </si>
  <si>
    <t>ABC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t>
  </si>
  <si>
    <t>ABC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9mPnjm0gBmIgBrbi/qt8vKEWDKxWo1gXMTsRPE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t>
  </si>
  <si>
    <t>ABC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qPnTu2gSCGgRjYivuv8vGGWjhgtR7FcsTMIrh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t>
  </si>
  <si>
    <t>ABC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t>
  </si>
  <si>
    <t>ABC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vZj545tIIhhIAa24v6rfPxBLRhYr0axHDGzCLY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t>
  </si>
  <si>
    <t>A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5j5w52Ldqy5KD+Soi+JWzKxrTp8xFU2T0L/r8Fd7M0hakqWTSOPFessVvZ2CelmfHekPLuUFg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t>
  </si>
  <si>
    <t>ABC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f9v79P/QsjZv/SP6b/v8tl/+xf7f+6W/av/L/k23X5T//uH/79f/yf/pf/8G/+8a978A//8H//p//4H/7tv/83//if/+f/9I//9L//23/6x3/6H/976PLv/nVc/qu+yX+rcvTPcfnvbcv/9t8urv5//4v/mRz/+gvDxL/wP/D/w8D/8L/+H//l//z+vYfBxA0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b5v9i5ox5dszs9619lyceUsmtX1d5VnCWTyQiEJgiFIxRZu6p2IcPEHto2iINIzFFAAQWEYCIRKRgpmQhlZjgIIgGhfBnsMd+Ceh8tatzutt2emSe5171+S1GUeNZq+/Xl/rv7+V9zGQ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1xkGt9e/fBq8/4sYB7e3v2Ie/On/9Ev/1vz5/u25/MF/nX+Ljn+2f+/z73x6HSfHf9C+/j9AP/MfxGMy/fY3uvYbv+za5T/R88/yb3389Pjh9vnl+nVy3N5f3T6//3j1+HR9fXX7+enh/vnzy4ePnz9+5V/18W/p6x9k/if6P/jy/3iMj1/+B/7m1/0L+Mt/43t/5Rf86/uasXD/tXd+hvm7n/2f/+1/A+E3wp8fb+4/Pj/eXd1fXz9e3T493V093j09X314frn5/OHj3dP9830A4QeE/6yEn28+v9zdfPx49fL5/uPrn8OPT1f3j+/eXX18/b+enj4/3z5+fAgg/KX/7of410J8//qXco8Pz89Xz+8ePl/dfnh6vHp49/BwdXd78/h8+/zx4dPHhDF9fQ3xnxXxy8Pty7sPn+6uPnz6eHN1+3D9+mfxh7tPVx9uru9uPjx/+Pj+4SUB8fsmxN/6t3/zK9e+BvG3Ph9/xG9/5/ny/3j5zucvfsmrN+Lf+uk/+8c//ke////8yx/95Pf++CsPvjTB79/dXj88fb66ufn8+t/Rr//31ePHm9f/jn78+O7jx9tPdx8+RLC/2ZH9f/T529/94d96/IbMf/x3/vCnf/x7P/57/8cvBf7p08Pnp8d3z1efn25f/yv75t371//Kvn++/Ln/8Ph0/3J9e/chAfjtjsA/v7xc/mX8p5+//fzpy3+r/Qup//Rf/p3XP9l/8vv/6Cf/4B/+UvCf726f3t883Fy9f7q+e53yN69/v/Vy93j1/t37u/dPt/f3L88R4O92BP/9H77+Y//h5y++/d3LP/BNuP/kf/7nf/JHv////uhf/Mn/9Ec//m//mz/5g//tl9J/ebl9eXx//XJ1//n29e+xX55vr+5vnh6uPl8/3b68PN0/PWT8d/yHHem/zvnnz99/+uI7v3v5V/FrDPuf/Hd//6f/+Pd+Kfinp6fn2/tX3HfXj/evf/3+4fPVp/fvPlw9fX54/Hxz8+Hl/ftPCeA/7gj+5Yfffbr883/6ndf/ADx+5wff/v7rX+d9sz/9/8E//fE//70f/xf/8Cf/47/4pfw/PH96urv+cP/69+SXj2s3Ty+v/O+vr54+PFw/P7/+Z+Lx9jaBv+9svxD2r/z7t3efrl8+P3y8+vj88unq9un+3dXDy937179Pv/n08uHd8+PzzV0C4l/zQ9uf/n9+wRbtL/Y/Ascf99fA/te+8zs/+PzFb33xvR/+7lf+1XzNv6I/47+qn/ln+eb/2o5/ruM/lpf/Onn9p/vL333+2js//xt+nvLPXPra3/gLfuef67f+ej/zm/7U495vfPGd13+C73y63PutLz6//ln7xV//4jf/kx9++p1f+OTf/fTFp791/Y1n9Zffvf/6Pzm+fOnm8gd/98v/QDff/re+O1dI3/qtm6/8Zfrb5X//u5+++M//+u9+/uLTD773xfwz+1vf+rrLf/tr/xCLsvx3vvMf/woSB8H/7He//enp6Xs//O4PfjW2b/34D//+T//ZH/wKLN+I75+y+2V3N0X3a/9p+Mv/FvnLD775n3+vfxP8/i9dv/9LN9fj3b/57vJ/vvmfkL/pT8jx839Cfv7+91dG+le/8tdLb3c3Jfob3/vuDz5957vf/wY4f/nfzX75wTFq/+T/+u9/+n//03/No/a3v/eDr6f41X/wb/78P/Rzd77y18p/9a/8/N8cfpO/0F3QC7u9fXf98Hj74erh/vPL1e37l6er++vLxvDl49P155cPdw/3X1oW/qvywm7fffWP+vY/e/jKy19sgHxVDLv+122G/Y1fbYZ968d/9KOf/tGP/uSf/N0f/59/7yf/1R/89Ef/9U9/9E++/ZP/8n/9yR/+Lz/53//uT//4f/jSH+Mr5tjX/wF+wZs3mezX/ad9k82+8m/fOprZ3ZeM0K9oZncfvu4/pr+2dXr/lT+3aWY/c+1nP47cvNw/fXp5fri6+fDudSR9urm9enz58HR1/f767t3D07ub+/sEf8Hnrz8z4feP17d3r+fq8fnjw9Xtx8ebq/u7D49X7+8eru/vnm7ubx6/8pd+NLOVCN98+vj84fbp4erl</t>
  </si>
  <si>
    <t>ABC4eH26vbm7vXP4ffv764+3r27+fzx5v7xMYIwzezPjvjuw/3N88vL/dXN+/eviC//awX3D5/uru6ur++fH2/fvTzcRewnaWZ/ZsQP799/fvfx48vVw/uX1zn9cvv6/7r59Pp3CJ9e4T+8PL17HyF808xO0Mxe//L25u7+8+PVp8sYv/387vrq04eb+6t3N3fXN59v7j+9f4xYUdHMfiXzb6aZPT4+v/v47u7p6mKCX92+e/p89fDuw93V9fXD4/3t8/PH68evLrppZutrZq9/wf3u0+f3l/8tj0M0ev2v9E+319dXdy/3Dx+fPn94/fsumlmtZvb08enh0+tfyl19fnj9r/fXv2x7vHq4+/j+6t3z883z09276+u7r3xvppkVaGY3n14eHt9/eL56/nB3+d/h+/z+6v7+4+3V/cv7+9fBf39/+yHiT3ua2Tma2ePNy/P71/9yv/r88eXm6vbp/f3Vw8PL+6vb+4tYfv98c3sXoRn6zvYLYf/K/2W/u5sP1x/uPlx9uH76cHX7cNnrPH58vPrw9O755tP94+P1p4jZTjOjmcXszWlmPSxpZsuim38akpG+fBalubpe9tfM1vFzSH/7ez/4pjzX9MvIZX9euezjp+vHlw/Xn68+3L2/u7q9/XB/df/p4+3V4/Onx5t3t0+39x+/tCL8VyWX3d1+9Y/6///PPny1MreWXPb+L0Iu+/aX/yj0MhWzlo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t>
  </si>
  <si>
    <t>ABC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P4/du7YBoIYBmJgK+6/yscbauGA1XoUyxEzi6C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t>
  </si>
  <si>
    <t>ABC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SyHzt3bANBDAMxsBX3X+XjD2rBwGo9iuWImUVQ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t>
  </si>
  <si>
    <t>ABC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t>
  </si>
  <si>
    <t>ABC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9mPnjm0giGEgBrZy/Vf5eEMtGFivRrEcMbMIBr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t>
  </si>
  <si>
    <t>ABC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72Y+eObSCIYSAGtuL+q3y8oRYOWK1HsRwxswj2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t>
  </si>
  <si>
    <t>ABC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t>
  </si>
  <si>
    <t>ABC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9mPnjm0giGEgBrbi/qt8vKEWDlitR7EcMbMIqp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t>
  </si>
  <si>
    <t>ABC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L2Y+eObSCIYSAGtnL9V/l4Qy0YWK9GsRwxswgG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t>
  </si>
  <si>
    <t>ABC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t>
  </si>
  <si>
    <t>ABC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3sx84d20AQw0AMbMX9V/l4Qy0csFqPYjliZhGk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t>
  </si>
  <si>
    <t>ABC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nR87d2wDQQwDMbAV91/l4w21cMBqPYrliJlFUM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t>
  </si>
  <si>
    <t>ABC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t>
  </si>
  <si>
    <t>ABC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f+zcsQ0EMQzEwFau/yofb6gFA+vVKJYjZhZB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t>
  </si>
  <si>
    <t>ABC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+7FzxzYQxDAQA1tx/1U+3lALB6zWo1iOmFkEi/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t>
  </si>
  <si>
    <t>ABC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t>
  </si>
  <si>
    <t>ABC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792LljGwhiGIiBrbj/Kh9vqIUDVutRLEfMLII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t>
  </si>
  <si>
    <t>ABC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7MfOHdtAEMNADGzl+q/y8YZaMLBejWI5YmYRbC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t>
  </si>
  <si>
    <t>ABC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t>
  </si>
  <si>
    <t>ABC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P/YuWMbCGIYiIGtuP8qH2+ohQNW61EsR8wsg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t>
  </si>
  <si>
    <t>ABC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L5Y+eObSCIYSAGtuL+q3y8oRYOWK1HsRwxsw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t>
  </si>
  <si>
    <t>ABC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t>
  </si>
  <si>
    <t>ABC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vzYuWMbCGIYiIGtXP9VPt5QCwbWq1EsR8wsgi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
  </si>
  <si>
    <t>ABC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t>
  </si>
  <si>
    <t>ABCHrGKWfAF8rJepmIWzF7FbBlwFbMfO3dsA0EMAzGwFfdf5eMNtXDAejWK5YiZRZB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t>
  </si>
  <si>
    <t>ABC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Hzt3bANBDAMxsBX3X+XjDbVwwGo9iuWImUVw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t>
  </si>
  <si>
    <t>ABC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t>
  </si>
  <si>
    <t>ABC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di5YxsIYhiIga1c/1U+3lALBlbrUSxHzCyC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t>
  </si>
  <si>
    <t>ABC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P/sXPHNhDEMBADW3H/VT7eUAsHrFejWI6YWQR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t>
  </si>
  <si>
    <t>ABC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t>
  </si>
  <si>
    <t>ABC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Y+dO7aBIIaBGNiK+6/y8YZaOGC1HsVyxMwiSD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
  </si>
  <si>
    <t>ABC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7MfOHdtAEMNADGzl+q/y8YZaMLBaj2I5YmYRnL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t>
  </si>
  <si>
    <t>ABC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t>
  </si>
  <si>
    <t>ABC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B/7NyxDQQxDMTAVtx/lY8/qAUD69UoliNmFsH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t>
  </si>
  <si>
    <t>ABC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sx87d2wDQQwDMbAV91/l4w21cMBqPYrliJlFk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t>
  </si>
  <si>
    <t>ABC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t>
  </si>
  <si>
    <t>ABC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s/du5g14LtOsvoq3yiH4kEJ4Q2fR4CO+lF8P4tOJvSL4JtRTSOsmrtUS03alv6PO8dkk9NTY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WumB32RxFXzG6fsCtmt0/YFbPrR+yK2fUjdsXs4C+Qv7xe5orZwbN3xezLBu6KmfUyV8y+bvqumFkvc8Xsovm7Yma9zHrZ0Z/NrZfdM0vrZa8dnStmz3PVVN++ZmZxsFwx+zwWzZ53XDF7fnvaopkrZgetmblidtgfR1wxu33CrpjdPmFXzK4fsStm14/YFbODv0T+8pqZK2YHz94Vsy8buCtm1sxcMfu66btiZs3MFbOL5u+KmTUza2ZHfze3ZnbPLK2ZvXZ0rpjdNM23r5e5YvZ5zxUzy2XPO66YPb89bbnMFbOf55j1MlfMDvujiCtmt0/YFbPbJ+yK2fUjdsXs+hG7YnbwF8hfXi9zxezg2bti9mUDd8XMepkrZl83fVfMrJe5YnbR/F0xs15mvezoz+bWy+6ZpfWy147OFbPnuWqqb18zszhYrph9Ho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WumB32RxFXzG6fsCtmt0/YFbPrR+yK2fUjdsXs4C+Qv7xe5orZwbN3xezLBu6KmfUyV8y+bvqumFkvc8Xsovm7Yma9zHrZ0Z/NrZfdM0vrZa8dnStmz3PVVN++ZmZxsFwx+zwWzZ53XDF7fnvaopkrZgetmblidtgfR1wxu33CrpjdPmFXzK4fsStm14/YFbODv0T+8pqZK2YHz94Vsy8buCtm1sxcMfu66btiZs3MFbOL5u+KmTUza2ZHfze3ZnbPLK2ZvXZ0rpjdNM23r5e5YvZ5zxUzy2XPO66YPb89bbnMFbOf55j1MlfMDvujiCtmt0/YFbPbJ+yK2fUjdsXs+hG7YnbwF8hfXi9zxezg2bti9mUDd8XMepkrZl83fVfMrJe5YnbR/F0xs15mvezoz+bWy+6ZpfWy147OFbPnuWqqb18zszhYrph9Ho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X/9/epv3DE7C/9Y/r/vVz2Z/9q/+vdsr/y/5Lfrss//d0f/v4f/9N/+Ye/+ePP7sEf/vC//9M//sPf/v3f/PGf//M//fFP//1v//THP/3Hfw9d/u6v4/Kv9k3+rZWjP8fl39uW//ZvL67+v//FfybHX39hTPyF/4H/DwP/4b/+j3/5n59/72GwccM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t>
  </si>
  <si>
    <t>ABC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fC/2K2f3bgOAorDr3LkvZEB20mWUEAgQYnSSizRxH9Q1aRGTgpCYsMKiafgDViy6uNQ9TFwnfpwHNotG76NNZoZHc/vzr3fHR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r8XRi8e/Bw7h199Pnr14fbP91X/fSzr/++f+o9esv9yfffVUc/evH8w5u3V/cCfHL16Eo6en5787vbw+ufffLq1Qe3N2/evLi6/tXN5aNP9o6ob3j6Vpp+c3P76fPD769uv/eTq+vD56/e3n9xjxTqWx4OxDeXxOFwuPzB2eHZ8eX1k2fHpyeHp8dPD0+ujy+enJ1enF2fnB6uekncxb78+Obt4dV3Hot3L99f63tuHH388/cOycP58euPnufP+fD7vz07OfnXX7/46h9/+fJvX3z593/mPx/zzS/vaHv/X/3izY9vrw6fXt788bP3X7q7eD64Q+Lr0+L8/OHJu6vi4cnTB/yOvvULeXH1+uYPV5f7mjvE/80d4uKHT88uL85Oj5+8vDg/Pr17ePzy7OnJ8eWzq6fn12cnZ5fnp+4Q/+M7xOMFPxZRgIJH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t>
  </si>
  <si>
    <t>ABC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2anDgkAAAAABP1/bXUEB4io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t>
  </si>
  <si>
    <t>ABC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mK3/nUtO+wyDN/KpynoBnlsj/+UEEAgQbCSSJRoBp9BUewMGjsgJAqooALREwEFgg4qRMPl2MplMHnNkJ9NqCnyvMXROWdvfWfvtdd61kE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Dw/0XBV9+8OfMeffdHn3767NWf9p5+/Yc//frNE+9rT+nU+98H69GvfOejb7/8/KHr//sPX7uOHn306uUfvnr26W98/5NPvvXq5Weffefhxe+8/Phrr+wroP4bp58L0++9fPWDj5790cOrX/61hxfPfvTJ531sXzPof57y5kC8uSCePf/wyYu3nz5+760XT19fEB+8+/j52+9/8PjJi6cPT56+/cG777/33qOfvdnn33v5+bNP/s9j8dXDXen3c330vd/8xiF588n/7nc/2p/t209+/+mTt774m7/94i//84u/+7cvfvznX/7Df3z59//0S69//sm//sWXf/3PX/zVv//kH//lZ6/9s99+rd03//5vffarrx6e/eDjl3/yw28+9Pp6+tZrN356rjx9o+vrc+OTN7/88M1l8ujnfkrfefj05R8/fHwfc9P4hblpPH/vxXtvf/DkrcfvvHj+7PG773z47PGHf/DO88fvvv38+cdvvf/wzocPL9w0fmFvGv5/RAEKUIA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t>
  </si>
  <si>
    <t>ABC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OC/2KkDGgAAAIRBVd4/pZs5IAQ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MHbqgAYAAABhUJX3T+lmDgi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t>
  </si>
  <si>
    <t>ABC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Yu/WTI8ddgGH4Kp9mP8gej/F4CQEEEgTLicQS9WR6UBQ7g8YOCAlOwJoVSw7AihULLhNFHIPJ60yITThBnnfRalWV1FW/P091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4K4/vflyv/JOPvjs5cvD7R96ph9/+uXnuwvvrUtaev87WCc/eP7s/ZvXx/b/x8e39tHJs9ub39weXv7k4xcv3ru9efXq+fH6FzdXb93ZG6C+wulbYfrVze0nzw6/Pd5+70fH68NnL143bW8Z9PUl9wPx1Ya4Ppxdn11dnJ0+ffzk4vT8wYOPTi8Pl3cb4snFxeOry8dXjy6+nsC7h7388Ob14cX/HYs3p9vp35zXkw9/+s6Q3M/8Lz94tj/u/Ye/fvzowRd//dfn//zbF//487///pf/3uWrn9+59u4v/ezVD2+Ph0+ubn7/6bun7nbOe3dCfLkqHp5///7o3Z64P/r4nr6Tb52Q58eXN787Xn3znPfDd+b9cH04Xjw8uzienp9fPjk9v354dXr59Prs9Oru+PnZk8PFR4+eej98Z98P/iqiAAUoQA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t>
  </si>
  <si>
    <t>ABC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PAfduqABgAAAGFQFfundHsOC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t>
  </si>
  <si>
    <t>ABC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OTt31yOJcR1m+K8c8DodTH/O9KUoy4kRxRYkBbkKFt093QIhilSWpA1f+MK3CZwPIIgNRIjti9gBYjgJYCBybCR/xqScf5GeUySrlrPcD4lcVZWeA0OQxWWxijP78LzLJlG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q7ze+W/fPad99b3PvrRjw5Pfzff9K33Hv7zi994z/yQ/NZ7/CfrrW989zu/+f6H5/z5/875mZ9Hb33n6fs/eHr40a+/8+6733z6/gcffPd8+afv3z9zswLUpzg9F6Z//v7TH37n8OPz03/4a+fL4aN3P8wv2zMGff5DPvsT8elPiPXu9ma32h8X29VutdisdtvFcbO7X+wvp/Xdcne/PJwOb9XHHr///oeHd7/0z0X5zfkzvf26vvX9f/yFPyWffeV/4zvfqhf64NtXwr546G988PbT8+GH9+//zntf/E3XnyTfvGLw8A2wu/3sf7x+93/2Py4/+95/</t>
  </si>
  <si>
    <t>ABC67l/6r97/tH7v32+f+5v+xX4yp+2x939zemyWN5vd4vNbnu/uLu7PS2W+5u782m1Op+2u6/xK//p9b53/vDDd977QV77K/lOuFs95ztht/Od8OXfCcvtcXP9q+JhcbPebBab/fq82J9O58V2eVlvz+vlZXl7+Rq/E35z+WR5c/ON79Sv7ut8H3z49KPnfRvcbp4Hwmr1vO+D7va/1TPb2aMFcHXb/uYv3wCfWSMfbYCru5esgPW3PvOn5hf70/Nw+Ov8Kfr05+e7h+sGmT/BPvuu+f7bT777re88+qFl/8iF9Dc/+6HnPPXJO/cP/+XyTv3+f87v9c3Pf6+//6s/+/i//OHf/d8//eT3//uj3+Fhw/l063vr5vQg6HKzON4u94vN+na7OBxvjovT6nxc79bb3W598+iA/PN9PeTTHeeZbffzP8I3vv/+24+3m/pVf3bTWz/3xzzzfdP+gN/7B9N8gX/w7pPD6fTwk/zJex/96PiKX+Cf/fm//9l/+suf/e1//Pjf/q8Xf4HP98vt7d394rS+Xy42y9Nxcbwsr1we747L3eW83i6Pb+ILvPEFvn6BH/6nV//yfvzv/uBnf/4/XvjlXe2Ou9N6db/Ybh4WocPutDicVpvFzeZmc9hf7u/uTruXfnmf/c0R62f/h6/gq7/9lf3qXz567/Rwh8O7T87v3V+3xSfHw7uH907nJz9ev9K3wic/+YuP//qvHv7zp7//yU/++JOf/LcXfkPs73er9f3d9vpTfXVZbG5u7xbH++X5qvpxublqf7s8rF77G+L2K/+GuPUN8fgbYvNK3xB/99N/9TrfEPfH2835cr5+L1xurt8Vp81xcXd//Qv+/nw83V4259vd+vDa3xDbV/+GeOvt5aPjn/MNsZzrLxDP+2nwnO+GF/+wb77oh7Vf4+12dVpfbu4Xu/3husVdDsvF/ni+W+xWp/3q9rI6r0+Xr/Vr/I1X+xrPteW92a/x7m6/323O28X99pq3m+3NbnG3250Xd6u7w/1+s7v+xD51APudL/HP/SXe7Lf703p3WVzud9efxsvN+kr17maxOu5vTrvlZXfY9PAl3vsS/9xf4tVqe7u83+8X691+/fALl5fF4by+fokvm/Vlud7f3i/vOvgSL5e+xj/31/i82S3329urz5vbzXXjuj8t7i6n28V2f97crQ+n9fbm8ab3S/gar17za1z/ny/5G6xf7fdAnvsaX/dff+fdD89P/9HT9z/68aPbPOdGP+etmj/Kq98t/1j5fXk9Ivel9+6f+2Ne9oYvecebfsuj9/zWo1+1+tInffE79ws/8Euf/YKn/0LPf/2Xv8br84d+8+k71z/OO4f8+wXvf/itf/nR4d0X/g7fOTw9/Gj5ur968PiIVf4C4Mt/3Pr5aDznBz75jfc+/RX2l/34f/be4env/taPz08PH77/9FPU3nrry36H3/vSo3zJX/DrA4+PGOhL/vzf8C+e9z8/58c+j5GXEfJVy/kLovklfxHIH9d+A337nR8++lXjz39g/cb5nR9/9uvML/7B+S3y8f/+D3/3N3/093/1Z5/8xf958Q9/yXfK63yXvMZ3yPNBGPQL+MKf/s1X8N3DBx8+eff82+eX/OD8Cn7yR4/+zt6zP+qX9IV7zk/VL/5PX/gxj3bZX3v7eb+4+iq76Nf7qb72Bo9+yevh1zm/7FZf0QcAj8fd+rTc3i22h+01HrerazyutsvF/ub+cDrfns/rwzNbwRc/APjW7rjdHZZ358Xd/frhY4Tb42J/uDkvbvb79fqwPN9sz8/8zcBnPyL41m51c3daH3eL1e7+brFZb8+L435/WuzuVufL5bS82y+f+ZtNr/Uhws3jP+7nf3N49ej3/PK/e/z4U4TLZz5y8Ev4GOH3X+FjhG//k1978vb3yt/3+/s//a+f/MnfPvn+2y/+bOFbn3+U5En5Pb7kh3/+ScNX+IN8/uHDR39+xvkE8uaZD50+/gjy4++mn+MTKJv1IytG+gTK977dyydQtpeby+3y/rJYnu5uFpvby1Wnm81+cbM87O82h/v9afnor7K/lE+gbFYD/YrX63yBv+ZPoBxuN7c359X1LxiX3fU/TpfV4nhZrxer7fqyO17/gnbav/yXPN/EJ1B+Jb7AX/knUNbH2/3t8bRf3B3Pu8XmbnO3OF6/vov1+n65WZ+2x7vj4w86fA1f3pd+xGTaL+8HH13/tx+cnz45PXzw9lW+uJ/8yU9/9pd/+P/+9K9f7Wfw+nz9ibo/bBfru+vP281+d1wc7zbb60/j/WV7f9zcb9Yv/wXtr+BLvPMlfuWfv+2X+BV+Fm9Oh+1mfzoubta3x+tqf3NaHA7XtFjf3Vy2N8v9cXX78r8Kf7HzvvrPkb30Y0Pzfgecf/Cwyz95ev7R4ekPX+Nb4Gf/828+/s//+oVf/MvhuNvdXPaL+4dPB22O16/7YXe4LHbLm/V2c7e8nPdv5EPAL/3swLRf3fv3Tx/ll/f00dNrMp9+99Ut//jf/PHHP/396//97M//4CUfBLuifX+5f/iHZE6La/tf4/9mdf2P8+3N5n592m1WL/90wVfx9x1vfJk//zL/Ip8JLV/5V/kI4GZz2p1uz4vN/fGaWMf9cXG4PW8W68NqfdmvNrebZQ+fCX35hw6m/cZ4058Svlz/un5zv7lZ7G/Xh2uTHXeL/f2V/eP+ZnNe7/bL86WLj6G89CMKQ31HvNmPoSzvtqvDeb9e3NznPx273S2uf5nfLi4358P9zXV/Xx1f/k9+vIGv8Vy/8PJmv8anu/PDP+Zxuzhcdg+f8N6fFnen5Wqx3e8uq9Vhdbu82ffwNZ7r117e8Ad/j4fVZbm8vwr98E9w3d0fHv4Rn+v/e7zsbm4vy8vl8vLt/A18jeeq8zf7NT7uDqf94XZ9/Sm83lw3tNuHD/Df3y5uD/fXvzbf7u5vXmE3fwNf47n6+w3/9Xh12t7v7paL9Wq5W2yWd6fFYXl3XOx2y9PyfFyvL3evv3N9Df+Qxq9uhb/pfzRre/X7uoivF9vj8m6xuT3vF8f1+Wax3W0Oy+P6sLn5OTa0r+EfzXrpB/6/8B1R/x8fFPZBYR8U9kHhF/x4HxT2QeEXf8mf/xt8UDh/XPsN9M333/vw8M57H/iw8MMM+kX0YeEX/piXfVj403X/VfbRuT8sfL4573c3u83i/u5yzc3L7eXhl3/vFzer83q/uuyPu9Uzf5l49GHh893dZndzs1wczw9/j+BwPiwOm/1ycb+6HI+r5Wq13z37ad9nPyy8vD/dHS7b1eIatw+/+/1usT/s7xa79c329nR3utsun/2w8mt8WHj9xX9taNsiu0e/5+t8WHj1zKdDfxkfFn7mb8W98oeFv/ftN/Bh4S/8QV7/w8Llv7zo31342Q/t5tPEuxf/C413X8m/0Xj3K/qvNN6fV9vV/nS72G0vpytSm/1i//DvMdmcHj5xtt7e7FaXFyH1df0rjXcv+HcaP/u1em1g1r9kX17h32n85f/SYv+CcyB8rSDsNpv1/v5qwXb18G+r2p7uF8f1ar1Y3+xv7raX8+Zu9Uv5d5zPDMIrLBxPVi/eLn61QVi9GIT1VwLC6lcThO3dzem0Wx8X2/Pt7WKzPO8Xh+PpZnG6LG9Ou4d/uOD2hRnztYGwfAEIj/8SMBQIr/CPKz78+8A/eElxvOjH1Mx4/KMmksGqoB1mWh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4f+zX8c0AAAgDMD8u+bgYBKA1AAZz7L2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t>
  </si>
  <si>
    <t>ABC+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EOxX8c0AAAgDMD8u+bgYBKA1AAZz7Ky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t>
  </si>
  <si>
    <t>ABC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t>
  </si>
  <si>
    <t>AB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kKxX8c0AAAgDMD8u+bgYBKA1AAZz7Ky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t>
  </si>
  <si>
    <t>ABC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odivYxoAABAGYP5dc3AwCUBqgIxnWdc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t>
  </si>
  <si>
    <t>ABC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UOzXMQ0AAAgDMP+uOTiYBCA1QMazrA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t>
  </si>
  <si>
    <t>ABC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t>
  </si>
  <si>
    <t>ABC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UOzXsQ0AAARFwf23Vij8EZBbQGheHD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t>
  </si>
  <si>
    <t>ABC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Riv45tAABCGIjtvzVFChgBkBd48c0p/j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t>
  </si>
  <si>
    <t>ABC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xQ7dfByuaHVQbwvdB7KNlHkpCOZGmrUsFqSAuupHw6X6Q06cikVQQ3uim41gsQF7qK3ZVCizdjJN6Fk3mcnpM03RU85/DbDMP3fpw55/2/7zPPr0+9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t>
  </si>
  <si>
    <t>ABC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t/tkL+8+hS+9u0fffjhw/O/fXne7//gsz+/+CH83K+8/Bj+6vv22u++9+5nK76Mg+89fu479dq7z5/95fOHD//gex988I3nzz766L3H97/17OnnNkte/V9WfWlO/emz599/9+GvHp//9u89vv/wow9++PIJfi6Sfvkrr96IV1+Ox6dP/+Lt9x9ff3jrrbdff/vJkzdef3j42tuvv/HknadvPn7tydP33/rle/fi2D//zrMfPnzwa9+LvPzyW98/JK9955tfeEtefQj+5NvvfvXvvvrHb373xX/Wn/z4F5/+x99/8tOPP/n5P3z6b//6Pz/+x9r1oz96EXVf/Pf+8KOvP398+P7TZ3/zgy++9OKr9I0XmfHZx+PJG69++OI78uqH77zz6odf+lTee/zw2V8/Pv3S1+5/KPqav/lH/l//+fF//9PPPv34J5/84p8//Zd//40847d+58uesUc84xG/6Rn/2mf8ld/6s/8F</t>
  </si>
  <si>
    <t>0c1d5614-b719-4375-ab0b-c2eb36356630</t>
  </si>
  <si>
    <t>0ed1578d-c3d1-41cb-bf1a-0b8b16fe351b</t>
  </si>
  <si>
    <t>26b6c32d-5456-4a6c-ac24-0404a9fd88c6</t>
  </si>
  <si>
    <t>9d623d85-412f-4078-bd1e-abb140c171a2</t>
  </si>
  <si>
    <t>db74efef-4f05-4c4b-8d14-9ebc7f4e763a</t>
  </si>
  <si>
    <t>689964e5-d5ce-4506-866e-828ad946c4bc</t>
  </si>
  <si>
    <t>4aa8172f-bebf-428a-9d40-18ed13d529d9</t>
  </si>
  <si>
    <t>4959c36f-fd69-4143-8d60-2b90c61f6a4c</t>
  </si>
  <si>
    <t>dd1e28ba-81f1-40db-909c-26609433bb85</t>
  </si>
  <si>
    <t>22571d99-3693-465f-ae30-2f43f1397d18</t>
  </si>
  <si>
    <t>b4884ca6-2039-4441-9b03-287adfed6a07</t>
  </si>
  <si>
    <t>e4619576-8474-4cdc-8fc7-59e483ac3504</t>
  </si>
  <si>
    <t>28b6083d-dc79-4094-a62c-6b73750656e4</t>
  </si>
  <si>
    <t>552c3f0d-69a9-4fa1-9be8-62c927f2e3cf</t>
  </si>
  <si>
    <t>13def8fe-7e41-41fa-b5a7-b6f1b2e2d8fa</t>
  </si>
  <si>
    <t>5f0f71df-1c80-47fe-8049-01a984ad9c1d</t>
  </si>
  <si>
    <t>7afcc3d8-9f45-4912-8a96-e0d2b277a1be</t>
  </si>
  <si>
    <t>a7470e28-4f68-4cf2-bf33-253f6b3c1c98</t>
  </si>
  <si>
    <t>6b56a18e-8d3e-445b-9a0e-09933a1e05eb</t>
  </si>
  <si>
    <t>3b797bc9-8be6-4848-bbf3-33d143c5b8b3</t>
  </si>
  <si>
    <t>6208c3b6-26d8-435e-b99c-682effc18916</t>
  </si>
  <si>
    <t>3ef6b9a5-3833-496b-b845-bf9f5db4d434</t>
  </si>
  <si>
    <t>e8846001-be3a-4aea-a491-d2fbb2122966</t>
  </si>
  <si>
    <t>4ca549cb-037b-430c-aa51-380f5019b27d</t>
  </si>
  <si>
    <t>1dc8af52-c1ea-4ad6-9a98-63057c8c8513</t>
  </si>
  <si>
    <t>fab660f9-dc4b-4b51-a6af-61035481fe90</t>
  </si>
  <si>
    <t>935c7b68-1dc3-4a00-9d70-8395262e79c7</t>
  </si>
  <si>
    <t>dbb84dfd-190c-45bb-902b-9e704d3c642c</t>
  </si>
  <si>
    <t>2fc2848b-3be8-43e9-8add-ebdcba06ecd2</t>
  </si>
  <si>
    <t>d44c6c7e-4db0-4b9b-a7e4-3a23f9247412</t>
  </si>
  <si>
    <t>47bfb457-b125-46be-8857-595632d99c78</t>
  </si>
  <si>
    <t>f3800d40-973a-4cb6-9d51-b904e3691ef8</t>
  </si>
  <si>
    <t>d3143cbb-03ab-41d3-abf9-de54ec05c944</t>
  </si>
  <si>
    <t>56073803-5b18-47e9-b3e0-564a1b3a40bb</t>
  </si>
  <si>
    <t>59c45e66-3b78-4fb6-ace0-bcc8799fa292</t>
  </si>
  <si>
    <t>52f0b29d-081d-4168-93bb-65e2ab693a66</t>
  </si>
  <si>
    <t>cbfb7a14-568a-49f0-9ff5-3a2bb745aca4</t>
  </si>
  <si>
    <t>96a250db-1922-486b-a688-3a5361161662</t>
  </si>
  <si>
    <t>1852ae93-0d62-4256-b665-f0ead08452bb</t>
  </si>
  <si>
    <t>c8e4a9f7-af6f-4f9c-8c12-596f22a27109</t>
  </si>
  <si>
    <t>6ba2f11d-9dd1-48da-ac2d-9bf607f1fff0</t>
  </si>
  <si>
    <t>b6ac9a73-4f34-4b71-9bd7-7adcb676d02c</t>
  </si>
  <si>
    <t>12c5d681-3216-418c-a18b-661c1eb33f88</t>
  </si>
  <si>
    <t>234d2168-9826-4d25-ba37-ed08e1ae0aab</t>
  </si>
  <si>
    <t>ce3b9236-86d6-40b5-8185-57af9fc4da99</t>
  </si>
  <si>
    <t>c5708e83-e8f3-4c06-96cd-69e27a89637f</t>
  </si>
  <si>
    <t>398ea5a8-6c4e-4358-b5d4-a1b87036c8fd</t>
  </si>
  <si>
    <t>4bb7c75a-c80c-4144-8e6c-c754bf51b61f</t>
  </si>
  <si>
    <t>b959fed2-9578-406a-b998-252b17674eda</t>
  </si>
  <si>
    <t>22253777-cde4-4b5b-b981-ab79d68251ec</t>
  </si>
  <si>
    <t>d6c05b82-167e-4305-b9e7-fd7bd6569c7f</t>
  </si>
  <si>
    <t>dfb12828-0b5c-4f25-88f5-086a4fd07901</t>
  </si>
  <si>
    <t>91b18949-d720-42b7-ad75-5b5db8f35567</t>
  </si>
  <si>
    <t>1ca60eba-d2f9-465c-abf4-19096b1464d3</t>
  </si>
  <si>
    <t>5157e35a-c93a-4995-b56d-c99b68f90981</t>
  </si>
  <si>
    <t>464b96a0-8de1-41bc-80c3-11557c7b305a</t>
  </si>
  <si>
    <t>179b73f8-59f8-4a8f-9190-efb2626873db</t>
  </si>
  <si>
    <t>0a78da83-d4dc-4024-94e4-5f2854834912</t>
  </si>
  <si>
    <t>ce39da16-2ab3-40a4-8095-f68c8bd26a2f</t>
  </si>
  <si>
    <t>c74234c6-b84c-424f-9341-04c80799954a</t>
  </si>
  <si>
    <t>b11b7060-e455-4e15-93b4-3ea59fe6ef4c</t>
  </si>
  <si>
    <t>7ab64df1-8648-4d27-bc11-4ec98def67e7</t>
  </si>
  <si>
    <t>eb387db5-811b-4cc5-b5cd-6df3e675c8d8</t>
  </si>
  <si>
    <t>d3ef5377-fe87-4dbc-8b00-7b00cced4b79</t>
  </si>
  <si>
    <t>8cd0b9dd-d09e-46cb-9099-543bd4d79a77</t>
  </si>
  <si>
    <t>f94f06a5-6a73-491c-865a-631536d6729f</t>
  </si>
  <si>
    <t>d80419ce-33eb-433e-b73d-6b70774a566f</t>
  </si>
  <si>
    <t>aa9ecb0d-ec47-4302-8b8d-6a79bc8f1456</t>
  </si>
  <si>
    <t>e54c2393-2c15-4937-bf5b-20252c488fd6</t>
  </si>
  <si>
    <t>ff4fb21f-8e41-4fd4-83c9-e1c4ffc8c99f</t>
  </si>
  <si>
    <t>cccd48d4-51b8-466e-a206-ce9be336f22a</t>
  </si>
  <si>
    <t>6dac5168-7b11-43cf-a281-c691dd1b8b44</t>
  </si>
  <si>
    <t>3f8cafd9-360f-4a34-bf6c-121509c03887</t>
  </si>
  <si>
    <t>2b145555-bd79-47b3-856b-259185c383b0</t>
  </si>
  <si>
    <t>3a7d64c9-f994-4354-b225-7503e738bbb0</t>
  </si>
  <si>
    <t>5683dff8-3224-41af-89a5-5118db40f95f</t>
  </si>
  <si>
    <t>922e077f-92f9-4f4f-93ac-8a5689fc02e7</t>
  </si>
  <si>
    <t>ead358eb-a4c9-4e01-a638-03513e38a2b5</t>
  </si>
  <si>
    <t>bbd0705c-b00c-40ce-9065-119b84dd71be</t>
  </si>
  <si>
    <t>5c30ae2d-6d41-4ff8-a411-5f897ce61216</t>
  </si>
  <si>
    <t>c7c9a683-e94f-40fb-9572-0dd3dc50115d</t>
  </si>
  <si>
    <t>3af9b26d-d651-4ee2-8874-8f2890688466</t>
  </si>
  <si>
    <t>b3fd2119-e7f3-4c28-99f2-486a798d345a</t>
  </si>
  <si>
    <t>0e003c5b-4188-463b-86f8-0690cf0046be</t>
  </si>
  <si>
    <t>a700e625-bc68-41da-ba2a-126ace1f25a8</t>
  </si>
  <si>
    <t>d5361656-61c6-49cb-9b7b-6c0d3a8bb1ad</t>
  </si>
  <si>
    <t>f0a1fe97-7dfa-4c80-9f52-903af60dbd35</t>
  </si>
  <si>
    <t>79325a34-d3dc-45f4-b760-86d0a32c8362</t>
  </si>
  <si>
    <t>11be7677-adc9-4c5f-8af6-c4f076353d07</t>
  </si>
  <si>
    <t>5ce2bc8d-4e61-4904-a2e4-60669a9c156c</t>
  </si>
  <si>
    <t>137b6795-b9f2-4b68-80f3-7799da3b3fbc</t>
  </si>
  <si>
    <t>b6bc37ac-17a4-4f3b-b577-b08a4d7874f4</t>
  </si>
  <si>
    <t>064543f5-e628-449d-9a72-948df8e5c16c</t>
  </si>
  <si>
    <t>e9eb5740-2f29-4575-bf33-be884ab0f3e1</t>
  </si>
  <si>
    <t>aeb4210e-0acc-431e-8a42-51873acaab1b</t>
  </si>
  <si>
    <t>660f2c85-5dff-4617-a357-fc9c4317eadb</t>
  </si>
  <si>
    <t>f0abf5dc-38c8-4060-b2cc-b6c23548f26f</t>
  </si>
  <si>
    <t>7f17953c-2312-4cd3-9d1a-8e68e13ed5a9</t>
  </si>
  <si>
    <t>3da95a15-480f-4fd5-88da-a3c9806ba3e6</t>
  </si>
  <si>
    <t>票据票面金额</t>
    <phoneticPr fontId="74" type="noConversion"/>
  </si>
  <si>
    <t>票据状态</t>
    <phoneticPr fontId="75" type="noConversion"/>
  </si>
  <si>
    <t>银承</t>
    <phoneticPr fontId="75" type="noConversion"/>
  </si>
  <si>
    <t>2025-10-30</t>
  </si>
  <si>
    <t>2026-04-27</t>
  </si>
  <si>
    <t>530152100701520251030001255025</t>
  </si>
  <si>
    <t>000000000001-000100000000</t>
  </si>
  <si>
    <t>重庆中盟科技股份有限公司</t>
  </si>
  <si>
    <t>530152100701520251030001254854</t>
  </si>
  <si>
    <t>000000000001-000032700000</t>
  </si>
  <si>
    <t>530152100701520251030101251283</t>
  </si>
  <si>
    <t>000000000001-000200000000</t>
  </si>
  <si>
    <t>东来涂料技术（上海）股份有限公司</t>
  </si>
  <si>
    <t>530152100701520251030001254846</t>
  </si>
  <si>
    <t>000000000001-000022358303</t>
  </si>
  <si>
    <t>湖南湘江关西涂料（长沙）有限公司</t>
  </si>
  <si>
    <t>530152100701520251030101251435</t>
  </si>
  <si>
    <t>000000000001-000050000000</t>
  </si>
  <si>
    <t>上海凯密特尔化学品有限公司</t>
  </si>
  <si>
    <t>530152100701520251030101251291</t>
  </si>
  <si>
    <t>000000000001-000025963559</t>
  </si>
  <si>
    <t>广西盛百汇电子股份有限公司</t>
  </si>
  <si>
    <t>530152100701520251030001254879</t>
  </si>
  <si>
    <t>000000000001-000025600000</t>
  </si>
  <si>
    <t>530152100701520251030001255017</t>
  </si>
  <si>
    <t>000000000001-000166350971</t>
  </si>
  <si>
    <t>530152100701520251030101251525</t>
  </si>
  <si>
    <t>000000000001-000085000000</t>
  </si>
  <si>
    <t>已承兑-已锁定</t>
  </si>
  <si>
    <t>骆驼集团蓄电池销售有限公司</t>
  </si>
  <si>
    <t>530152100701520251030101251398</t>
  </si>
  <si>
    <t>000000000001-000007500000</t>
  </si>
  <si>
    <t>湖北敏实汽车零部件有限公司</t>
  </si>
  <si>
    <t>530152100701520251030101251478</t>
  </si>
  <si>
    <t>000000000001-000000237820</t>
  </si>
  <si>
    <t>培奇爱汽车配件（太仓）有限公司</t>
  </si>
  <si>
    <t>530152100701520251030001255121</t>
  </si>
  <si>
    <t>000000000001-000011916188</t>
  </si>
  <si>
    <t>瀚德（中国）汽车密封系统有限公司</t>
  </si>
  <si>
    <t>530152100701520251030101251613</t>
  </si>
  <si>
    <t>000000000001-000113992874</t>
  </si>
  <si>
    <t>530152100701520251030001255009</t>
  </si>
  <si>
    <t>000000000001-000031846296</t>
  </si>
  <si>
    <t>上海寅申实业有限公司</t>
  </si>
  <si>
    <t>530152100701520251030001255033</t>
  </si>
  <si>
    <t>000000000001-000031675842</t>
  </si>
  <si>
    <t>武汉神通模塑有限公司</t>
  </si>
  <si>
    <t>530152100701520251030001255041</t>
  </si>
  <si>
    <t>000000000001-000041961162</t>
  </si>
  <si>
    <t>深圳市航盛电子股份有限公司</t>
  </si>
  <si>
    <t>530152100701520251030101251494</t>
  </si>
  <si>
    <t>000000000001-000300000000</t>
  </si>
  <si>
    <t>530152100701520251030101251460</t>
  </si>
  <si>
    <t>530152100701520251030101251275</t>
  </si>
  <si>
    <t>000000000001-000007465720</t>
  </si>
  <si>
    <t>湖州安达汽车配件股份有限公司</t>
  </si>
  <si>
    <t>530152100701520251030001254926</t>
  </si>
  <si>
    <t>000000000001-000008786762</t>
  </si>
  <si>
    <t>530152100701520251030101251314</t>
  </si>
  <si>
    <t>000000000001-000012432967</t>
  </si>
  <si>
    <t>深圳市英威腾电动汽车驱动技术有限公司</t>
  </si>
  <si>
    <t>530152100701520251030101251306</t>
  </si>
  <si>
    <t>000000000001-000111155393</t>
  </si>
  <si>
    <t>530152100701520251030001254862</t>
  </si>
  <si>
    <t>000000000001-000038805376</t>
  </si>
  <si>
    <t>天纳克（中国）有限公司</t>
  </si>
  <si>
    <t>530152100701520251030001254887</t>
  </si>
  <si>
    <t>000000000001-000120543568</t>
  </si>
  <si>
    <t>伊维氏传动系统（平湖）有限公司</t>
  </si>
  <si>
    <t>530152100701520251030101251267</t>
  </si>
  <si>
    <t>000000000001-000006311076</t>
  </si>
  <si>
    <t>东实精工齿轮（武汉）有限公司</t>
  </si>
  <si>
    <t>530152100701520251030101251380</t>
  </si>
  <si>
    <t>000000000001-000004134516</t>
  </si>
  <si>
    <t>富临精工股份有限公司</t>
  </si>
  <si>
    <t>530152100701520251030101251218</t>
  </si>
  <si>
    <t>530152100701520251030001254696</t>
  </si>
  <si>
    <t>000000000001-000009783489</t>
  </si>
  <si>
    <t>530152100701520251030101251200</t>
  </si>
  <si>
    <t>000000000001-000000018713</t>
  </si>
  <si>
    <t>迈瑞特长春汽车电子有限公司</t>
  </si>
  <si>
    <t>530152100701520251030101251120</t>
  </si>
  <si>
    <t>000000000001-000000750438</t>
  </si>
  <si>
    <t>重庆泰利思汽车零部件有限公司</t>
  </si>
  <si>
    <t>530152100701520251030101251146</t>
  </si>
  <si>
    <t>000000000001-000005100000</t>
  </si>
  <si>
    <t>530152100701520251030101251138</t>
  </si>
  <si>
    <t>000000000001-000020314287</t>
  </si>
  <si>
    <t>530152100701520251030101251103</t>
  </si>
  <si>
    <t>000000000001-000030100000</t>
  </si>
  <si>
    <t>宁波汽车软轴软管有限公司</t>
  </si>
  <si>
    <t>530152100701520251030101251509</t>
  </si>
  <si>
    <t>000000000001-000027191425</t>
  </si>
  <si>
    <t>PPG涂料（张家港）有限公司</t>
  </si>
  <si>
    <t>530152100701520251030101251584</t>
  </si>
  <si>
    <t>000000000001-000003200000</t>
  </si>
  <si>
    <t>十堰银轮汽车零部件有限公司</t>
  </si>
  <si>
    <t>530152100701520251030101332430</t>
  </si>
  <si>
    <t>000000000001-000001930379</t>
  </si>
  <si>
    <t>重庆三爱海陵实业有限责任公司</t>
  </si>
  <si>
    <t>530152100701520251030101730902</t>
  </si>
  <si>
    <t>000000000001-000036041851</t>
  </si>
  <si>
    <t>重庆胜维德赫华翔汽车零部件有限公司</t>
  </si>
  <si>
    <t>20260630</t>
  </si>
  <si>
    <t>510552100105820251230001500050</t>
  </si>
  <si>
    <t>000000000001-000186123562</t>
  </si>
  <si>
    <t>中国建设银行股份有限公司武汉经济技术开发区支行</t>
  </si>
  <si>
    <t>已出票-待收票</t>
  </si>
  <si>
    <t>20260629</t>
  </si>
  <si>
    <t>510552100105820251229102578757</t>
  </si>
  <si>
    <t>000000000001-000375000000</t>
  </si>
  <si>
    <t>安波福连接器系统(武汉)有限公司</t>
  </si>
  <si>
    <t>510552100105820251229102578724</t>
  </si>
  <si>
    <t>000000000001-000113779357</t>
  </si>
  <si>
    <t>510552100105820251229102578749</t>
  </si>
  <si>
    <t>000000000001-000310474933</t>
  </si>
  <si>
    <t>510552100105820251229002581677</t>
  </si>
  <si>
    <t>000000000001-000150000000</t>
  </si>
  <si>
    <t>510552100105820251229002581685</t>
  </si>
  <si>
    <t>000000000001-000120000000</t>
  </si>
  <si>
    <t>510552100105820251229002581888</t>
  </si>
  <si>
    <t>510552100105820251229002581693</t>
  </si>
  <si>
    <t>000000000001-000400970972</t>
  </si>
  <si>
    <t>510552100105820251229102578732</t>
  </si>
  <si>
    <t>000000000001-000203095711</t>
  </si>
  <si>
    <t>南京奥特佳新能源科技有限公司</t>
  </si>
  <si>
    <t>510552100105820251229002581915</t>
  </si>
  <si>
    <t>000000000001-000417752032</t>
  </si>
  <si>
    <t>510552100105820251229102578853</t>
  </si>
  <si>
    <t>000000000001-000160255575</t>
  </si>
  <si>
    <t>安庆雅德帝伯活塞有限公司</t>
  </si>
  <si>
    <t>510552100105820251229002581837</t>
  </si>
  <si>
    <t>000000000001-000240900000</t>
  </si>
  <si>
    <t>510552100105820251229102578845</t>
  </si>
  <si>
    <t>湖北诺克合成橡塑密封科技有限公司</t>
  </si>
  <si>
    <t>510552100105820251229002581861</t>
  </si>
  <si>
    <t>DPCC</t>
    <phoneticPr fontId="74" type="noConversion"/>
  </si>
  <si>
    <t>530152100701520251030001574475</t>
  </si>
  <si>
    <t>000000000001-000028431567</t>
  </si>
  <si>
    <t>2025-11-04 11:15:40</t>
  </si>
  <si>
    <t>1100002821</t>
  </si>
  <si>
    <t>530152100701520251030101570915</t>
  </si>
  <si>
    <t>000000000001-000162300000</t>
  </si>
  <si>
    <t>2025-11-02 14:12:21</t>
  </si>
  <si>
    <t>1100002814</t>
  </si>
  <si>
    <t>530152100701520251030101314037</t>
  </si>
  <si>
    <t>000000000001-000026900000</t>
  </si>
  <si>
    <t>2025-10-31 18:34:20</t>
  </si>
  <si>
    <t>1100002831</t>
  </si>
  <si>
    <t>530152100701520251030001316401</t>
  </si>
  <si>
    <t>000000000001-000011800000</t>
  </si>
  <si>
    <t>2025-10-31 17:44:17</t>
  </si>
  <si>
    <t>1100002837</t>
  </si>
  <si>
    <t>530152100701520251030001316410</t>
  </si>
  <si>
    <t>000000000001-000011747998</t>
  </si>
  <si>
    <t>1100002836</t>
  </si>
  <si>
    <t>530152100701520251030001316590</t>
  </si>
  <si>
    <t>000000000001-000387852146</t>
  </si>
  <si>
    <t>库博汽车标准配件（昆山）有限公司</t>
  </si>
  <si>
    <t>2025-10-31 18:27:11</t>
  </si>
  <si>
    <t>1100002818</t>
  </si>
  <si>
    <t>530152100701520251030101314053</t>
  </si>
  <si>
    <t>000000000001-000016885922</t>
  </si>
  <si>
    <t>2025-11-03 12:28:09</t>
  </si>
  <si>
    <t>1100002822</t>
  </si>
  <si>
    <t>530152100701520251030001316604</t>
  </si>
  <si>
    <t>000000000001-000052364533</t>
  </si>
  <si>
    <t>2025-10-31 19:59:15</t>
  </si>
  <si>
    <t>1100002813</t>
  </si>
  <si>
    <t>530152100701520251030001316372</t>
  </si>
  <si>
    <t>000000000001-000043743137</t>
  </si>
  <si>
    <t>2025-11-07 09:04:12</t>
  </si>
  <si>
    <t>1100002834</t>
  </si>
  <si>
    <t>530152100701520251030101314061</t>
  </si>
  <si>
    <t>000000000001-000004400000</t>
  </si>
  <si>
    <t>武汉新环球汽车内饰件有限公司</t>
  </si>
  <si>
    <t>2025-11-17 10:44:24</t>
  </si>
  <si>
    <t>1100002824</t>
  </si>
  <si>
    <t>530152100701520251030001316532</t>
  </si>
  <si>
    <t>000000000001-000005327453</t>
  </si>
  <si>
    <t>2025-11-03 10:39:44</t>
  </si>
  <si>
    <t>1100002829</t>
  </si>
  <si>
    <t>530152100701520251030001316397</t>
  </si>
  <si>
    <t>000000000001-000008131117</t>
  </si>
  <si>
    <t>2025-11-06 15:51:03</t>
  </si>
  <si>
    <t>1100002827</t>
  </si>
  <si>
    <t>530152100701520251030101314088</t>
  </si>
  <si>
    <t>000000000001-000009900000</t>
  </si>
  <si>
    <t>武汉萨克橡胶有限公司</t>
  </si>
  <si>
    <t>2025-11-03 08:52:39</t>
  </si>
  <si>
    <t>1100002826</t>
  </si>
  <si>
    <t>530152100701520251030101314070</t>
  </si>
  <si>
    <t>000000000001-000085800000</t>
  </si>
  <si>
    <t>2025-11-03 09:48:05</t>
  </si>
  <si>
    <t>1100002820</t>
  </si>
  <si>
    <t>530152100701520251030001316493</t>
  </si>
  <si>
    <t>000000000001-000001080461</t>
  </si>
  <si>
    <t>2025-11-03 10:39:37</t>
  </si>
  <si>
    <t>1100002828</t>
  </si>
  <si>
    <t>530152100701520251030001316581</t>
  </si>
  <si>
    <t>000000000001-000066403274</t>
  </si>
  <si>
    <t>瑞福珂（武汉）有限公司</t>
  </si>
  <si>
    <t>2025-10-31 19:11:55</t>
  </si>
  <si>
    <t>1100002817</t>
  </si>
  <si>
    <t>530152100701520251030101314115</t>
  </si>
  <si>
    <t>000000000001-000012762898</t>
  </si>
  <si>
    <t>瀚德（贵阳）汽车密封系统有限公司</t>
  </si>
  <si>
    <t>2025-11-03 10:15:38</t>
  </si>
  <si>
    <t>1100002819</t>
  </si>
  <si>
    <t>530152100701520251030101314123</t>
  </si>
  <si>
    <t>000000000001-000061141367</t>
  </si>
  <si>
    <t>2025-10-31 19:17:54</t>
  </si>
  <si>
    <t>1100002812</t>
  </si>
  <si>
    <t>530152100701520251030101314045</t>
  </si>
  <si>
    <t>000000000001-000009948586</t>
  </si>
  <si>
    <t>2025-11-03 08:53:56</t>
  </si>
  <si>
    <t>1100002825</t>
  </si>
  <si>
    <t>530152100701520251030001316612</t>
  </si>
  <si>
    <t>000000000001-000046922382</t>
  </si>
  <si>
    <t>2025-11-07 15:13:15</t>
  </si>
  <si>
    <t>1100002816</t>
  </si>
  <si>
    <t>530152100701520251030001316485</t>
  </si>
  <si>
    <t>000000000001-000027387584</t>
  </si>
  <si>
    <t>2025-10-31 19:33:20</t>
  </si>
  <si>
    <t>1100002815</t>
  </si>
  <si>
    <t>530152100701520251030001316549</t>
  </si>
  <si>
    <t>000000000001-000026955219</t>
  </si>
  <si>
    <t>2025-10-31 18:34:37</t>
  </si>
  <si>
    <t>1100002830</t>
  </si>
  <si>
    <t>530152100701520251030001316477</t>
  </si>
  <si>
    <t>000000000001-000006750529</t>
  </si>
  <si>
    <t>2025-10-31 18:22:29</t>
  </si>
  <si>
    <t>1100002832</t>
  </si>
  <si>
    <t>530152100701520251030001316428</t>
  </si>
  <si>
    <t>000000000001-000010900000</t>
  </si>
  <si>
    <t>2025-11-07 09:04:32</t>
  </si>
  <si>
    <t>1100002835</t>
  </si>
  <si>
    <t>530152100701520251030001316389</t>
  </si>
  <si>
    <t>000000000001-000006196320</t>
  </si>
  <si>
    <t>无锡峰璟汽车零部件有限公司</t>
  </si>
  <si>
    <t>2025-11-03 15:21:50</t>
  </si>
  <si>
    <t>1100002839</t>
  </si>
  <si>
    <t>530152100701520251030101313930</t>
  </si>
  <si>
    <t>000000000001-000005031000</t>
  </si>
  <si>
    <t>成都峰璟汽车零部件有限公司</t>
  </si>
  <si>
    <t>2025-10-31 17:43:17</t>
  </si>
  <si>
    <t>1100002840</t>
  </si>
  <si>
    <t>530152100701520251030101314107</t>
  </si>
  <si>
    <t>000000000001-000017803356</t>
  </si>
  <si>
    <t>2025-11-17 10:44:23</t>
  </si>
  <si>
    <t>1100002823</t>
  </si>
  <si>
    <t>530152100701520251030101313964</t>
  </si>
  <si>
    <t>1100002833</t>
  </si>
  <si>
    <r>
      <t>/M.01&amp;02.01</t>
    </r>
    <r>
      <rPr>
        <b/>
        <sz val="10"/>
        <color rgb="FFFF0000"/>
        <rFont val="微软雅黑"/>
        <family val="2"/>
        <charset val="134"/>
      </rPr>
      <t>明细账</t>
    </r>
    <r>
      <rPr>
        <b/>
        <sz val="10"/>
        <color rgb="FFFF0000"/>
        <rFont val="Arial"/>
        <family val="2"/>
      </rPr>
      <t>&amp;</t>
    </r>
    <r>
      <rPr>
        <b/>
        <sz val="10"/>
        <color rgb="FFFF0000"/>
        <rFont val="等线"/>
        <family val="2"/>
        <charset val="134"/>
      </rPr>
      <t>回函</t>
    </r>
    <r>
      <rPr>
        <b/>
        <sz val="10"/>
        <color rgb="FFFF0000"/>
        <rFont val="Arial"/>
        <family val="2"/>
      </rPr>
      <t>7.</t>
    </r>
    <r>
      <rPr>
        <b/>
        <sz val="10"/>
        <color rgb="FFFF0000"/>
        <rFont val="等线"/>
        <family val="2"/>
        <charset val="134"/>
      </rPr>
      <t>尚未支付的银行承兑汇票</t>
    </r>
    <phoneticPr fontId="74" type="noConversion"/>
  </si>
  <si>
    <t>NA</t>
    <phoneticPr fontId="72" type="noConversion"/>
  </si>
  <si>
    <t>DPCC</t>
    <phoneticPr fontId="72" type="noConversion"/>
  </si>
  <si>
    <t>函证信息</t>
  </si>
  <si>
    <t>回函信息</t>
  </si>
  <si>
    <t>跟进措施</t>
  </si>
  <si>
    <t>函证编号</t>
  </si>
  <si>
    <t>公司名称</t>
  </si>
  <si>
    <t>银行名称</t>
  </si>
  <si>
    <t>银行承兑汇票号码</t>
  </si>
  <si>
    <t>结算账户账号</t>
  </si>
  <si>
    <t>币种</t>
  </si>
  <si>
    <t>票面金额</t>
  </si>
  <si>
    <t>出票日</t>
  </si>
  <si>
    <t>抵（质）押品</t>
  </si>
  <si>
    <t>回函信息跟进工作
底稿索引</t>
  </si>
  <si>
    <t>11424548-147068/CC5</t>
  </si>
  <si>
    <t>中国建设银行股份有限公司</t>
  </si>
  <si>
    <t>42001258136050000680</t>
  </si>
  <si>
    <t>人民币元</t>
  </si>
  <si>
    <t>20251229</t>
  </si>
  <si>
    <t>510552100105820251229002578732</t>
  </si>
  <si>
    <t>20251230</t>
  </si>
  <si>
    <t>11424548-147068/CC8</t>
  </si>
  <si>
    <t>交通银行湖北省分行</t>
  </si>
  <si>
    <t>421865258010123005508</t>
  </si>
  <si>
    <t>人民币</t>
  </si>
  <si>
    <t>20251030</t>
  </si>
  <si>
    <t>20260427</t>
  </si>
  <si>
    <t>无</t>
  </si>
  <si>
    <t>11424548-147068/CC16</t>
  </si>
  <si>
    <t>130152100701520231228742681596</t>
  </si>
  <si>
    <t>421421052012002912395</t>
  </si>
  <si>
    <t>20231228</t>
  </si>
  <si>
    <t>20240626</t>
  </si>
  <si>
    <t xml:space="preserve">公司 </t>
    <phoneticPr fontId="72" type="noConversion"/>
  </si>
  <si>
    <r>
      <t>/M.01&amp;02.01</t>
    </r>
    <r>
      <rPr>
        <b/>
        <sz val="10"/>
        <color rgb="FFFF0000"/>
        <rFont val="微软雅黑"/>
        <family val="2"/>
        <charset val="134"/>
      </rPr>
      <t>明细账</t>
    </r>
    <r>
      <rPr>
        <b/>
        <sz val="10"/>
        <color rgb="FFFF0000"/>
        <rFont val="Arial"/>
        <family val="2"/>
      </rPr>
      <t>&amp;</t>
    </r>
    <r>
      <rPr>
        <b/>
        <sz val="10"/>
        <color rgb="FFFF0000"/>
        <rFont val="等线"/>
        <family val="2"/>
        <charset val="134"/>
      </rPr>
      <t>回函</t>
    </r>
    <r>
      <rPr>
        <b/>
        <sz val="10"/>
        <color rgb="FFFF0000"/>
        <rFont val="Arial"/>
        <family val="2"/>
      </rPr>
      <t>8.尚未支付的银行承兑汇票</t>
    </r>
    <r>
      <rPr>
        <b/>
        <sz val="10"/>
        <color rgb="FFFF0000"/>
        <rFont val="等线"/>
        <family val="2"/>
        <charset val="134"/>
      </rPr>
      <t/>
    </r>
  </si>
  <si>
    <r>
      <t>/M.01&amp;02.01</t>
    </r>
    <r>
      <rPr>
        <b/>
        <sz val="10"/>
        <color rgb="FFFF0000"/>
        <rFont val="微软雅黑"/>
        <family val="2"/>
        <charset val="134"/>
      </rPr>
      <t>明细账</t>
    </r>
    <r>
      <rPr>
        <b/>
        <sz val="10"/>
        <color rgb="FFFF0000"/>
        <rFont val="Arial"/>
        <family val="2"/>
      </rPr>
      <t>&amp;</t>
    </r>
    <r>
      <rPr>
        <b/>
        <sz val="10"/>
        <color rgb="FFFF0000"/>
        <rFont val="等线"/>
        <family val="2"/>
        <charset val="134"/>
      </rPr>
      <t>回函</t>
    </r>
    <r>
      <rPr>
        <b/>
        <sz val="10"/>
        <color rgb="FFFF0000"/>
        <rFont val="Arial"/>
        <family val="2"/>
      </rPr>
      <t>9.尚未支付的银行承兑汇票</t>
    </r>
    <r>
      <rPr>
        <b/>
        <sz val="10"/>
        <color rgb="FFFF0000"/>
        <rFont val="等线"/>
        <family val="2"/>
        <charset val="134"/>
      </rPr>
      <t/>
    </r>
  </si>
  <si>
    <t>EY Ref.</t>
  </si>
  <si>
    <t>Tab Ref.</t>
  </si>
  <si>
    <t>Cell Ref.</t>
  </si>
  <si>
    <t>Question/Comment</t>
  </si>
  <si>
    <t>Answer/Comment</t>
  </si>
  <si>
    <t>Closed?</t>
  </si>
  <si>
    <t>No</t>
  </si>
  <si>
    <t>M.01 银承BKD</t>
  </si>
  <si>
    <t>$B$31</t>
  </si>
  <si>
    <t xml:space="preserve">Dana D Li:_x000D_
这里要写选样的策略，如果没有符合标准的样本，记录在第38行的表里_x000D_
</t>
  </si>
  <si>
    <t>$G$48</t>
  </si>
  <si>
    <t xml:space="preserve">Dana D Li:_x000D_
差异原因是什么？补充_x000D_
</t>
  </si>
  <si>
    <t>NO</t>
    <phoneticPr fontId="72" type="noConversion"/>
  </si>
  <si>
    <r>
      <rPr>
        <sz val="10"/>
        <color theme="1"/>
        <rFont val="宋体"/>
        <family val="2"/>
        <charset val="134"/>
      </rPr>
      <t>截止期末，被审单位商业承兑汇票期末余额为</t>
    </r>
    <r>
      <rPr>
        <sz val="10"/>
        <color theme="1"/>
        <rFont val="Arial"/>
        <family val="2"/>
      </rPr>
      <t>0</t>
    </r>
    <r>
      <rPr>
        <sz val="10"/>
        <color theme="1"/>
        <rFont val="宋体"/>
        <family val="2"/>
        <charset val="134"/>
      </rPr>
      <t>，不适用此程序。</t>
    </r>
    <phoneticPr fontId="72" type="noConversion"/>
  </si>
  <si>
    <t>详见&lt;DPCC-银承&gt;、&lt;DPCA-银承&gt;</t>
    <phoneticPr fontId="72" type="noConversion"/>
  </si>
  <si>
    <t>我们对被审单位所有银行承兑汇票执行发函程序，未发现账面金额与回函金额不符以及逾期的情况，也无大于TT的票据，故不适用此表。</t>
    <phoneticPr fontId="72" type="noConversion"/>
  </si>
  <si>
    <t>预期减少，相关单体银承到期结清。</t>
    <phoneticPr fontId="72" type="noConversion"/>
  </si>
  <si>
    <t xml:space="preserve">Jayla Zhang:_x000D_
已补充_x000D_
</t>
  </si>
  <si>
    <t>[A]本期应付票据减少621,068k，本期应付票据下降主要受商业承兑汇票减少影响。经了解，主要原因为部分供应商已不再接受商票结算，导致公司本期未新增商票，原有票据已兑付结清。</t>
    <phoneticPr fontId="72" type="noConversion"/>
  </si>
  <si>
    <t xml:space="preserve">Jayla Zhang:_x000D_
已修改_x000D_
Dana D Li:_x000D_
参考SOP写  公司的银行承兑汇票主要用于货款结算，公司已统一使用了集团公司的资金管理系统，对包括银行承兑汇票在内资金业务统一核算管理；根据连续审计，未发现公司存在应付票据的错报，故在执行表2获取承兑余额与总账金额一致的基础上，我们按以下选样标准对单张票据执行发函或检查：
a.在执行表1的总账与明细账核对中，涉及差异的单张票据；
b.异常的供应商（收票人），如与实体名称相近却并未被识别为关联方的供应商，或不属于该实体行业的供应商；
c.除上述情况外，票面金额超过测试阈值的未逾期单张票据；
d.已逾期单张票据（如有）。
_x000D_
</t>
  </si>
  <si>
    <t>$B$55</t>
  </si>
  <si>
    <t xml:space="preserve">Dana D Li:_x000D_
这里要和2.2表格的选样策略保持一致，应该也是没有符合条件的样本，下方的内容删掉吧_x000D_
</t>
  </si>
  <si>
    <t>差异金额系银行系统更新导致的回函错误，经询问客户并检查支付的银行回单417886852494，该票据2024/6/26已支付，未见其他异常。</t>
    <phoneticPr fontId="72" type="noConversion"/>
  </si>
  <si>
    <t>同表2.2的测试条件，无符合要求的测试样本，不适用此程序。</t>
    <phoneticPr fontId="72" type="noConversion"/>
  </si>
  <si>
    <t>公司的银行承兑汇票主要用于货款结算，公司已统一使用了集团公司的资金管理系统，对包括银行承兑汇票在内资金业务统一核算管理；根据连续审计，未发现公司存在应付票据的错报，故在执行表2.3获取承兑余额与总账金额一致的基础上，我们按以下选样标准对单张票据执行发函或检查：
a.在执行表1的总账与明细账核对中，涉及差异的单张票据；
b.异常的供应商（收票人），如与实体名称相近却并未被识别为关联方的供应商，或不属于该实体行业的供应商；
c.除上述情况外，票面金额超过测试阈值的未逾期单张票据；
d.已逾期单张票据（如有）。</t>
    <phoneticPr fontId="74" type="noConversion"/>
  </si>
  <si>
    <t>ABC7ZjPj9tEFMfvlfo/RBHHnWj8KxNz202yNGJbwiYSQtUexpnnrdmxvbLHLBGqtIdW2woQFJCAghARIK04FHrhwKrqH1Oc3Z74Fxg7ceqsHdSVsiqIXKLkfd+beX6f5zd2/jp5evPqlUrlw+SjUqm+Job7UH29Um2/W+vtDQ8cj9Xe8YO9Lt2HoNbx9iPRuwUg1iplDtW16TIdlqyBiaIoRMNIZ8xGukYMZJkDjAyKByZQU8V1OgvpRVbfF5S3PWpxSOJtykM4L286wNPFZ4H9a/KnF3GeGW5QN72E8eOj8eHJi5zCLaCFdTvhRgB0j/kH3nlp2z9o+pEnpF0nmbHp88xY1zNj2xOOcCCUxpsT06yiC6va5A54opaGDmtvWe/BQDi2M6DC8b3aph+4EacTda7Yc3HZxaW7TGN6ggZC5t7xGHwgN1XreadrsgYQ5GWSl7Pgvj9zbDm2nfjl3TpeCP+wyZYTimk2TeA8KctOXn87gmAYFsw94LIIwFLGbW/KMYe26NVc5JWmEPhu39/kdLe41S3/YMMP5BWuBxLn+bZIfSZ6Twx52QaTFmd4gA0DG0jRFYL0uqYgC9gAaXXLbOhgAdFZtazAb0QOK1m17bHFYpcGEn2nTCpAN4qrzjSzECm7OnK9zEE7FzuvKkpe7k86u1Adz4MguxHnC5CMjwXQSgP6yTxIIGZqV5nTt8AWXeoBT5iWrhCKoM3BlbWbZluNH43OHo1Ojz+K//g0vvfV2eh4QUDSxVS8RIgso4iSlpYTwt3nIGBO7oQtSI3TPsuk25MvO7OZA67/PrD8QJlpvch1aTBM67FwSr5wSRu3WOjq+nb3hi+gdItu4O8G1N10OG8Gfhhug33dZ3NZ3157+fOiBTaN+AVODM3EismAINIg8nbS5dlBFQMjrFmqbtiYga1d4okxTa8HQjjebpr2Uo4PMxue+eNDmc3MaimL/3krYK1BGsAAATUspNumgRp1hSJLJQNVUahNNLjEVrhew7iSEi80gAiiC/KvayX8VW2FfzF+QkgCXkeKSnWkW7qNLGZQVMcWAYaZbpPG5eJXKs+/+H18/+nGm60LDYF8e+R6wGiUzQBNXTXBwibIp7l8xK1ucx1NEC9lyBt6GeAV31fIt7lMvppSwlfFK76viG/87ffx0RNSi397OP7ul/GXv/558vXpwzuS+NnoYwk9vvtg/Pjo9OfjpdBvrO7ufxV9+ZaVvJ+Fzw4/i598Ph79GN//JL73w/Nvfnp2+GA5//mUAP/PP7FfvbLzN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</si>
</sst>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_(* #,##0.00_);_(* \(#,##0.00\);_(* &quot;-&quot;??_);_(@_)"/>
    <numFmt numFmtId="177" formatCode="_(\¥* #,##0.00_);_(\¥* \(#,##0.00\);_(\¥* &quot;-&quot;??_);_(@_)"/>
    <numFmt numFmtId="178" formatCode="_(* #,##0_);_(* \(#,##0\);_(* &quot;-&quot;_);_(@_)"/>
    <numFmt numFmtId="179" formatCode="0.0%"/>
    <numFmt numFmtId="180" formatCode="_([$€-2]* #,##0.00000_);_([$€-2]* \(#,##0.00000\);_([$€-2]* &quot;-&quot;??_)"/>
    <numFmt numFmtId="181" formatCode="_(* #,##0_);_(* \(#,##0\);_(* &quot;-&quot;??_);_(@_)"/>
    <numFmt numFmtId="182" formatCode="0_);\(0\)"/>
    <numFmt numFmtId="183" formatCode="#,##0;\(#,##0\);0"/>
    <numFmt numFmtId="184" formatCode="#,##0;\(#,##0\);\-#,##0"/>
  </numFmts>
  <fonts count="89" x14ac:knownFonts="1">
    <font>
      <sz val="11"/>
      <color theme="1"/>
      <name val="等线"/>
      <charset val="134"/>
      <scheme val="minor"/>
    </font>
    <font>
      <sz val="10"/>
      <name val="微软雅黑"/>
      <family val="2"/>
      <charset val="134"/>
    </font>
    <font>
      <sz val="11"/>
      <color theme="1"/>
      <name val="等线"/>
      <family val="3"/>
      <charset val="134"/>
      <scheme val="minor"/>
    </font>
    <font>
      <sz val="11"/>
      <color indexed="8"/>
      <name val="等线"/>
      <family val="3"/>
      <charset val="134"/>
      <scheme val="minor"/>
    </font>
    <font>
      <sz val="10"/>
      <color theme="1"/>
      <name val="微软雅黑"/>
      <family val="2"/>
      <charset val="134"/>
    </font>
    <font>
      <sz val="10"/>
      <color rgb="FF000000"/>
      <name val="微软雅黑"/>
      <family val="2"/>
      <charset val="134"/>
    </font>
    <font>
      <u/>
      <sz val="10"/>
      <color rgb="FFFF0000"/>
      <name val="微软雅黑"/>
      <family val="2"/>
      <charset val="134"/>
    </font>
    <font>
      <b/>
      <sz val="10"/>
      <color rgb="FF000000"/>
      <name val="微软雅黑"/>
      <family val="2"/>
      <charset val="134"/>
    </font>
    <font>
      <b/>
      <sz val="10"/>
      <name val="微软雅黑"/>
      <family val="2"/>
      <charset val="134"/>
    </font>
    <font>
      <sz val="10"/>
      <color theme="1"/>
      <name val="Arial"/>
      <family val="2"/>
    </font>
    <font>
      <b/>
      <sz val="10"/>
      <name val="Arial"/>
      <family val="2"/>
    </font>
    <font>
      <b/>
      <sz val="10"/>
      <color indexed="10"/>
      <name val="Arial"/>
      <family val="2"/>
    </font>
    <font>
      <sz val="10"/>
      <name val="Arial"/>
      <family val="2"/>
    </font>
    <font>
      <b/>
      <sz val="10"/>
      <color rgb="FFFFFFFF"/>
      <name val="Arial"/>
      <family val="2"/>
    </font>
    <font>
      <u/>
      <sz val="10"/>
      <color rgb="FFFF0000"/>
      <name val="Arial"/>
      <family val="2"/>
    </font>
    <font>
      <b/>
      <sz val="10"/>
      <color theme="1"/>
      <name val="Arial"/>
      <family val="2"/>
    </font>
    <font>
      <b/>
      <sz val="14"/>
      <name val="Arial"/>
      <family val="2"/>
    </font>
    <font>
      <sz val="14"/>
      <name val="Arial"/>
      <family val="2"/>
    </font>
    <font>
      <sz val="14"/>
      <color rgb="FF000000"/>
      <name val="Arial"/>
      <family val="2"/>
    </font>
    <font>
      <b/>
      <sz val="14"/>
      <color theme="1"/>
      <name val="Arial"/>
      <family val="2"/>
    </font>
    <font>
      <b/>
      <sz val="14"/>
      <color rgb="FFFF0000"/>
      <name val="Arial"/>
      <family val="2"/>
    </font>
    <font>
      <sz val="14"/>
      <color theme="1"/>
      <name val="Arial"/>
      <family val="2"/>
    </font>
    <font>
      <b/>
      <sz val="10"/>
      <color rgb="FFFF0000"/>
      <name val="Arial"/>
      <family val="2"/>
    </font>
    <font>
      <sz val="10"/>
      <color rgb="FF000000"/>
      <name val="Arial"/>
      <family val="2"/>
    </font>
    <font>
      <b/>
      <sz val="10"/>
      <color rgb="FF000000"/>
      <name val="Arial"/>
      <family val="2"/>
    </font>
    <font>
      <i/>
      <sz val="10"/>
      <name val="Arial"/>
      <family val="2"/>
    </font>
    <font>
      <sz val="10"/>
      <color theme="0"/>
      <name val="Arial"/>
      <family val="2"/>
    </font>
    <font>
      <b/>
      <sz val="10"/>
      <color indexed="8"/>
      <name val="Arial"/>
      <family val="2"/>
    </font>
    <font>
      <sz val="10"/>
      <color rgb="FFFF0000"/>
      <name val="Arial"/>
      <family val="2"/>
    </font>
    <font>
      <sz val="10"/>
      <color indexed="10"/>
      <name val="Arial"/>
      <family val="2"/>
    </font>
    <font>
      <b/>
      <sz val="11"/>
      <color theme="1"/>
      <name val="Arial"/>
      <family val="2"/>
    </font>
    <font>
      <b/>
      <u/>
      <sz val="14"/>
      <name val="Arial"/>
      <family val="2"/>
    </font>
    <font>
      <b/>
      <u/>
      <sz val="10"/>
      <color indexed="10"/>
      <name val="Arial"/>
      <family val="2"/>
    </font>
    <font>
      <b/>
      <sz val="10"/>
      <color rgb="FF0000FF"/>
      <name val="Arial"/>
      <family val="2"/>
    </font>
    <font>
      <b/>
      <u/>
      <sz val="10"/>
      <color rgb="FFFF0000"/>
      <name val="Arial"/>
      <family val="2"/>
    </font>
    <font>
      <b/>
      <sz val="10"/>
      <color rgb="FFFF0000"/>
      <name val="微软雅黑"/>
      <family val="2"/>
      <charset val="134"/>
    </font>
    <font>
      <b/>
      <sz val="16"/>
      <color rgb="FFFF0000"/>
      <name val="Arial"/>
      <family val="2"/>
    </font>
    <font>
      <u/>
      <sz val="10"/>
      <color theme="10"/>
      <name val="Arial"/>
      <family val="2"/>
    </font>
    <font>
      <sz val="11"/>
      <color theme="1"/>
      <name val="Arial"/>
      <family val="2"/>
    </font>
    <font>
      <b/>
      <sz val="10"/>
      <color rgb="FFFF0000"/>
      <name val="宋体"/>
      <family val="3"/>
      <charset val="134"/>
    </font>
    <font>
      <b/>
      <i/>
      <sz val="9"/>
      <color rgb="FFFF0000"/>
      <name val="Arial"/>
      <family val="2"/>
    </font>
    <font>
      <b/>
      <u/>
      <sz val="10"/>
      <color theme="10"/>
      <name val="Arial"/>
      <family val="2"/>
    </font>
    <font>
      <sz val="10"/>
      <color theme="4" tint="-0.249977111117893"/>
      <name val="Arial"/>
      <family val="2"/>
    </font>
    <font>
      <b/>
      <strike/>
      <sz val="10"/>
      <color rgb="FF0000FF"/>
      <name val="Arial"/>
      <family val="2"/>
    </font>
    <font>
      <u/>
      <sz val="11"/>
      <color theme="10"/>
      <name val="等线"/>
      <family val="3"/>
      <charset val="134"/>
      <scheme val="minor"/>
    </font>
    <font>
      <b/>
      <sz val="11"/>
      <color theme="0"/>
      <name val="等线"/>
      <family val="3"/>
      <charset val="134"/>
      <scheme val="minor"/>
    </font>
    <font>
      <sz val="12"/>
      <name val="宋体"/>
      <family val="3"/>
      <charset val="134"/>
    </font>
    <font>
      <sz val="11"/>
      <color rgb="FF000000"/>
      <name val="Calibri"/>
      <family val="2"/>
    </font>
    <font>
      <sz val="11"/>
      <color rgb="FF006100"/>
      <name val="等线"/>
      <family val="3"/>
      <charset val="134"/>
      <scheme val="minor"/>
    </font>
    <font>
      <sz val="10"/>
      <name val="宋体"/>
      <family val="3"/>
      <charset val="134"/>
    </font>
    <font>
      <sz val="8"/>
      <name val="EYInterstate Light"/>
    </font>
    <font>
      <strike/>
      <sz val="10"/>
      <name val="Arial"/>
      <family val="2"/>
    </font>
    <font>
      <sz val="10"/>
      <name val="等线"/>
      <family val="3"/>
      <charset val="134"/>
      <scheme val="minor"/>
    </font>
    <font>
      <sz val="11"/>
      <color indexed="8"/>
      <name val="Calibri"/>
      <family val="2"/>
    </font>
    <font>
      <u/>
      <sz val="10"/>
      <color indexed="12"/>
      <name val="宋体"/>
      <family val="3"/>
      <charset val="134"/>
    </font>
    <font>
      <sz val="12"/>
      <name val="楷体"/>
      <family val="3"/>
      <charset val="134"/>
    </font>
    <font>
      <sz val="14"/>
      <color rgb="FF000000"/>
      <name val="微软雅黑"/>
      <family val="2"/>
      <charset val="134"/>
    </font>
    <font>
      <b/>
      <sz val="14"/>
      <color rgb="FFFF0000"/>
      <name val="微软雅黑"/>
      <family val="2"/>
      <charset val="134"/>
    </font>
    <font>
      <b/>
      <sz val="14"/>
      <color theme="1"/>
      <name val="微软雅黑"/>
      <family val="2"/>
      <charset val="134"/>
    </font>
    <font>
      <sz val="10"/>
      <color theme="0"/>
      <name val="微软雅黑"/>
      <family val="2"/>
      <charset val="134"/>
    </font>
    <font>
      <sz val="14"/>
      <color theme="1"/>
      <name val="微软雅黑"/>
      <family val="2"/>
      <charset val="134"/>
    </font>
    <font>
      <b/>
      <i/>
      <sz val="9"/>
      <color rgb="FFFF0000"/>
      <name val="微软雅黑"/>
      <family val="2"/>
      <charset val="134"/>
    </font>
    <font>
      <b/>
      <sz val="10"/>
      <color theme="1"/>
      <name val="微软雅黑"/>
      <family val="2"/>
      <charset val="134"/>
    </font>
    <font>
      <b/>
      <sz val="14"/>
      <name val="微软雅黑"/>
      <family val="2"/>
      <charset val="134"/>
    </font>
    <font>
      <b/>
      <sz val="10"/>
      <color indexed="8"/>
      <name val="微软雅黑"/>
      <family val="2"/>
      <charset val="134"/>
    </font>
    <font>
      <b/>
      <u/>
      <sz val="14"/>
      <name val="微软雅黑"/>
      <family val="2"/>
      <charset val="134"/>
    </font>
    <font>
      <b/>
      <u/>
      <sz val="10"/>
      <color theme="10"/>
      <name val="微软雅黑"/>
      <family val="2"/>
      <charset val="134"/>
    </font>
    <font>
      <i/>
      <sz val="10"/>
      <name val="微软雅黑"/>
      <family val="2"/>
      <charset val="134"/>
    </font>
    <font>
      <b/>
      <i/>
      <sz val="10"/>
      <color rgb="FFFF0000"/>
      <name val="微软雅黑"/>
      <family val="2"/>
      <charset val="134"/>
    </font>
    <font>
      <b/>
      <vertAlign val="superscript"/>
      <sz val="10"/>
      <color rgb="FFFF0000"/>
      <name val="Arial"/>
      <family val="2"/>
    </font>
    <font>
      <b/>
      <u/>
      <sz val="14"/>
      <color indexed="8"/>
      <name val="微软雅黑"/>
      <family val="2"/>
      <charset val="134"/>
    </font>
    <font>
      <b/>
      <u/>
      <sz val="14"/>
      <color indexed="8"/>
      <name val="Arial"/>
      <family val="2"/>
    </font>
    <font>
      <sz val="9"/>
      <name val="等线"/>
      <family val="3"/>
      <charset val="134"/>
      <scheme val="minor"/>
    </font>
    <font>
      <sz val="10"/>
      <name val="微软雅黑"/>
      <family val="2"/>
      <charset val="134"/>
    </font>
    <font>
      <sz val="9"/>
      <name val="等线"/>
      <family val="3"/>
      <charset val="134"/>
      <scheme val="minor"/>
    </font>
    <font>
      <sz val="9"/>
      <name val="等线"/>
      <family val="2"/>
      <charset val="134"/>
      <scheme val="minor"/>
    </font>
    <font>
      <b/>
      <sz val="10"/>
      <color rgb="FFFF0000"/>
      <name val="等线"/>
      <family val="2"/>
      <charset val="134"/>
    </font>
    <font>
      <sz val="11"/>
      <color theme="1"/>
      <name val="等线"/>
      <family val="2"/>
      <scheme val="minor"/>
    </font>
    <font>
      <sz val="9"/>
      <color theme="1"/>
      <name val="Arial"/>
      <family val="2"/>
    </font>
    <font>
      <b/>
      <sz val="9"/>
      <color rgb="FFFF0000"/>
      <name val="Arial"/>
      <family val="2"/>
    </font>
    <font>
      <sz val="9"/>
      <name val="Arial"/>
      <family val="2"/>
    </font>
    <font>
      <b/>
      <sz val="9"/>
      <color theme="1"/>
      <name val="Arial"/>
      <family val="2"/>
    </font>
    <font>
      <b/>
      <sz val="9"/>
      <color rgb="FF000000"/>
      <name val="Arial"/>
      <family val="2"/>
    </font>
    <font>
      <sz val="9"/>
      <color rgb="FF000000"/>
      <name val="Arial"/>
      <family val="2"/>
    </font>
    <font>
      <sz val="11"/>
      <color rgb="FF9C0006"/>
      <name val="等线"/>
      <family val="3"/>
      <charset val="134"/>
      <scheme val="minor"/>
    </font>
    <font>
      <b/>
      <sz val="11"/>
      <color theme="1"/>
      <name val="等线"/>
      <family val="3"/>
      <charset val="134"/>
      <scheme val="minor"/>
    </font>
    <font>
      <sz val="10"/>
      <color theme="1"/>
      <name val="宋体"/>
      <family val="2"/>
      <charset val="134"/>
    </font>
    <font>
      <sz val="10"/>
      <color theme="1"/>
      <name val="Arial"/>
      <family val="2"/>
      <charset val="134"/>
    </font>
    <font>
      <sz val="10"/>
      <name val="宋体"/>
      <family val="2"/>
      <charset val="134"/>
    </font>
  </fonts>
  <fills count="17">
    <fill>
      <patternFill patternType="none"/>
    </fill>
    <fill>
      <patternFill patternType="gray125"/>
    </fill>
    <fill>
      <patternFill patternType="solid">
        <fgColor rgb="FFFFFF00"/>
        <bgColor indexed="64"/>
      </patternFill>
    </fill>
    <fill>
      <patternFill patternType="solid">
        <fgColor theme="0" tint="-0.3499252296517838"/>
        <bgColor indexed="64"/>
      </patternFill>
    </fill>
    <fill>
      <patternFill patternType="solid">
        <fgColor theme="0"/>
        <bgColor indexed="64"/>
      </patternFill>
    </fill>
    <fill>
      <patternFill patternType="solid">
        <fgColor theme="4" tint="0.79992065187536243"/>
        <bgColor indexed="64"/>
      </patternFill>
    </fill>
    <fill>
      <patternFill patternType="solid">
        <fgColor theme="0" tint="-0.34998626667073579"/>
        <bgColor indexed="64"/>
      </patternFill>
    </fill>
    <fill>
      <patternFill patternType="solid">
        <fgColor rgb="FFA6A6A6"/>
        <bgColor rgb="FF000000"/>
      </patternFill>
    </fill>
    <fill>
      <patternFill patternType="solid">
        <fgColor theme="0" tint="-0.34998626667073579"/>
        <bgColor rgb="FF000000"/>
      </patternFill>
    </fill>
    <fill>
      <patternFill patternType="solid">
        <fgColor rgb="FFFFFFFF"/>
        <bgColor rgb="FF000000"/>
      </patternFill>
    </fill>
    <fill>
      <patternFill patternType="solid">
        <fgColor rgb="FFFFFFFF"/>
        <bgColor indexed="64"/>
      </patternFill>
    </fill>
    <fill>
      <patternFill patternType="solid">
        <fgColor theme="6"/>
        <bgColor indexed="64"/>
      </patternFill>
    </fill>
    <fill>
      <patternFill patternType="solid">
        <fgColor rgb="FFA5A5A5"/>
        <bgColor indexed="64"/>
      </patternFill>
    </fill>
    <fill>
      <patternFill patternType="solid">
        <fgColor rgb="FFC6EFCE"/>
        <bgColor indexed="64"/>
      </patternFill>
    </fill>
    <fill>
      <patternFill patternType="solid">
        <fgColor theme="0" tint="-0.14996795556505021"/>
        <bgColor indexed="64"/>
      </patternFill>
    </fill>
    <fill>
      <patternFill patternType="solid">
        <fgColor rgb="FFFFC7CE"/>
        <bgColor indexed="64"/>
      </patternFill>
    </fill>
    <fill>
      <patternFill patternType="solid">
        <fgColor rgb="FFD3D3D3"/>
        <bgColor indexed="64"/>
      </patternFill>
    </fill>
  </fills>
  <borders count="91">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rgb="FF000000"/>
      </top>
      <bottom/>
      <diagonal/>
    </border>
    <border>
      <left style="thin">
        <color rgb="FF000000"/>
      </left>
      <right/>
      <top/>
      <bottom style="thin">
        <color rgb="FF000000"/>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thin">
        <color auto="1"/>
      </top>
      <bottom style="double">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style="thin">
        <color auto="1"/>
      </bottom>
      <diagonal/>
    </border>
    <border>
      <left/>
      <right/>
      <top style="thin">
        <color auto="1"/>
      </top>
      <bottom/>
      <diagonal/>
    </border>
    <border>
      <left style="thin">
        <color auto="1"/>
      </left>
      <right/>
      <top style="medium">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medium">
        <color auto="1"/>
      </bottom>
      <diagonal/>
    </border>
    <border>
      <left style="medium">
        <color rgb="FF000000"/>
      </left>
      <right style="thin">
        <color auto="1"/>
      </right>
      <top style="medium">
        <color rgb="FF000000"/>
      </top>
      <bottom/>
      <diagonal/>
    </border>
    <border>
      <left style="thin">
        <color auto="1"/>
      </left>
      <right style="thin">
        <color auto="1"/>
      </right>
      <top style="medium">
        <color rgb="FF000000"/>
      </top>
      <bottom/>
      <diagonal/>
    </border>
    <border>
      <left style="thin">
        <color auto="1"/>
      </left>
      <right/>
      <top style="medium">
        <color rgb="FF000000"/>
      </top>
      <bottom/>
      <diagonal/>
    </border>
    <border>
      <left style="thin">
        <color auto="1"/>
      </left>
      <right style="medium">
        <color rgb="FF000000"/>
      </right>
      <top style="medium">
        <color rgb="FF000000"/>
      </top>
      <bottom/>
      <diagonal/>
    </border>
    <border>
      <left style="medium">
        <color rgb="FF000000"/>
      </left>
      <right style="thin">
        <color auto="1"/>
      </right>
      <top style="thin">
        <color auto="1"/>
      </top>
      <bottom style="thin">
        <color auto="1"/>
      </bottom>
      <diagonal/>
    </border>
    <border>
      <left style="thin">
        <color auto="1"/>
      </left>
      <right style="medium">
        <color rgb="FF000000"/>
      </right>
      <top style="thin">
        <color auto="1"/>
      </top>
      <bottom style="thin">
        <color auto="1"/>
      </bottom>
      <diagonal/>
    </border>
    <border>
      <left style="medium">
        <color rgb="FF000000"/>
      </left>
      <right style="thin">
        <color auto="1"/>
      </right>
      <top style="thin">
        <color auto="1"/>
      </top>
      <bottom style="medium">
        <color rgb="FF000000"/>
      </bottom>
      <diagonal/>
    </border>
    <border>
      <left style="thin">
        <color auto="1"/>
      </left>
      <right style="thin">
        <color auto="1"/>
      </right>
      <top style="thin">
        <color auto="1"/>
      </top>
      <bottom style="medium">
        <color rgb="FF000000"/>
      </bottom>
      <diagonal/>
    </border>
    <border>
      <left/>
      <right style="thin">
        <color auto="1"/>
      </right>
      <top style="thin">
        <color auto="1"/>
      </top>
      <bottom style="medium">
        <color rgb="FF000000"/>
      </bottom>
      <diagonal/>
    </border>
    <border>
      <left style="thin">
        <color auto="1"/>
      </left>
      <right style="medium">
        <color rgb="FF000000"/>
      </right>
      <top style="thin">
        <color auto="1"/>
      </top>
      <bottom style="medium">
        <color rgb="FF000000"/>
      </bottom>
      <diagonal/>
    </border>
    <border>
      <left/>
      <right style="medium">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rgb="FF000000"/>
      </right>
      <top style="medium">
        <color auto="1"/>
      </top>
      <bottom style="thin">
        <color rgb="FF000000"/>
      </bottom>
      <diagonal/>
    </border>
    <border>
      <left/>
      <right style="thin">
        <color rgb="FF000000"/>
      </right>
      <top style="medium">
        <color auto="1"/>
      </top>
      <bottom style="thin">
        <color rgb="FF000000"/>
      </bottom>
      <diagonal/>
    </border>
    <border>
      <left style="thin">
        <color rgb="FF000000"/>
      </left>
      <right style="thin">
        <color rgb="FF000000"/>
      </right>
      <top style="medium">
        <color auto="1"/>
      </top>
      <bottom style="thin">
        <color rgb="FF000000"/>
      </bottom>
      <diagonal/>
    </border>
    <border>
      <left/>
      <right style="thin">
        <color rgb="FF000000"/>
      </right>
      <top style="medium">
        <color auto="1"/>
      </top>
      <bottom/>
      <diagonal/>
    </border>
    <border>
      <left style="thin">
        <color rgb="FF000000"/>
      </left>
      <right style="medium">
        <color auto="1"/>
      </right>
      <top style="medium">
        <color auto="1"/>
      </top>
      <bottom style="thin">
        <color rgb="FF000000"/>
      </bottom>
      <diagonal/>
    </border>
    <border>
      <left style="medium">
        <color auto="1"/>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auto="1"/>
      </left>
      <right style="thin">
        <color rgb="FF000000"/>
      </right>
      <top style="thin">
        <color rgb="FF000000"/>
      </top>
      <bottom/>
      <diagonal/>
    </border>
    <border>
      <left style="thin">
        <color rgb="FF000000"/>
      </left>
      <right style="medium">
        <color auto="1"/>
      </right>
      <top style="thin">
        <color rgb="FF000000"/>
      </top>
      <bottom style="thin">
        <color rgb="FF000000"/>
      </bottom>
      <diagonal/>
    </border>
    <border>
      <left style="thin">
        <color auto="1"/>
      </left>
      <right style="thin">
        <color auto="1"/>
      </right>
      <top/>
      <bottom style="thin">
        <color rgb="FF000000"/>
      </bottom>
      <diagonal/>
    </border>
    <border>
      <left style="thin">
        <color auto="1"/>
      </left>
      <right style="thin">
        <color rgb="FF000000"/>
      </right>
      <top/>
      <bottom style="thin">
        <color auto="1"/>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1"/>
      </left>
      <right/>
      <top/>
      <bottom style="thin">
        <color auto="1"/>
      </bottom>
      <diagonal/>
    </border>
    <border>
      <left/>
      <right style="thin">
        <color rgb="FF000000"/>
      </right>
      <top style="thin">
        <color rgb="FF000000"/>
      </top>
      <bottom style="medium">
        <color auto="1"/>
      </bottom>
      <diagonal/>
    </border>
    <border>
      <left style="thin">
        <color rgb="FF000000"/>
      </left>
      <right style="thin">
        <color rgb="FF000000"/>
      </right>
      <top style="thin">
        <color rgb="FF000000"/>
      </top>
      <bottom style="medium">
        <color auto="1"/>
      </bottom>
      <diagonal/>
    </border>
    <border>
      <left style="thin">
        <color rgb="FF000000"/>
      </left>
      <right/>
      <top style="thin">
        <color rgb="FF000000"/>
      </top>
      <bottom style="medium">
        <color auto="1"/>
      </bottom>
      <diagonal/>
    </border>
    <border>
      <left style="thin">
        <color rgb="FF000000"/>
      </left>
      <right style="medium">
        <color auto="1"/>
      </right>
      <top style="thin">
        <color rgb="FF000000"/>
      </top>
      <bottom style="medium">
        <color auto="1"/>
      </bottom>
      <diagonal/>
    </border>
    <border>
      <left style="thin">
        <color auto="1"/>
      </left>
      <right style="medium">
        <color auto="1"/>
      </right>
      <top/>
      <bottom style="thin">
        <color auto="1"/>
      </bottom>
      <diagonal/>
    </border>
    <border>
      <left/>
      <right/>
      <top/>
      <bottom style="thin">
        <color auto="1"/>
      </bottom>
      <diagonal/>
    </border>
    <border>
      <left/>
      <right style="thin">
        <color auto="1"/>
      </right>
      <top/>
      <bottom style="medium">
        <color auto="1"/>
      </bottom>
      <diagonal/>
    </border>
    <border>
      <left style="thin">
        <color auto="1"/>
      </left>
      <right style="medium">
        <color auto="1"/>
      </right>
      <top style="medium">
        <color auto="1"/>
      </top>
      <bottom/>
      <diagonal/>
    </border>
    <border>
      <left style="medium">
        <color auto="1"/>
      </left>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medium">
        <color auto="1"/>
      </right>
      <top/>
      <bottom style="medium">
        <color auto="1"/>
      </bottom>
      <diagonal/>
    </border>
    <border>
      <left/>
      <right style="medium">
        <color rgb="FF000000"/>
      </right>
      <top style="medium">
        <color rgb="FF000000"/>
      </top>
      <bottom/>
      <diagonal/>
    </border>
    <border>
      <left style="medium">
        <color auto="1"/>
      </left>
      <right style="thin">
        <color auto="1"/>
      </right>
      <top style="thin">
        <color auto="1"/>
      </top>
      <bottom/>
      <diagonal/>
    </border>
    <border>
      <left style="thin">
        <color auto="1"/>
      </left>
      <right/>
      <top/>
      <bottom/>
      <diagonal/>
    </border>
    <border>
      <left style="thin">
        <color auto="1"/>
      </left>
      <right/>
      <top/>
      <bottom style="medium">
        <color auto="1"/>
      </bottom>
      <diagonal/>
    </border>
    <border>
      <left/>
      <right style="medium">
        <color auto="1"/>
      </right>
      <top style="thin">
        <color auto="1"/>
      </top>
      <bottom style="thin">
        <color auto="1"/>
      </bottom>
      <diagonal/>
    </border>
    <border>
      <left/>
      <right/>
      <top style="thin">
        <color rgb="FF000000"/>
      </top>
      <bottom style="thin">
        <color rgb="FF000000"/>
      </bottom>
      <diagonal/>
    </border>
    <border>
      <left style="medium">
        <color auto="1"/>
      </left>
      <right style="thin">
        <color rgb="FF000000"/>
      </right>
      <top style="thin">
        <color rgb="FF000000"/>
      </top>
      <bottom style="medium">
        <color auto="1"/>
      </bottom>
      <diagonal/>
    </border>
    <border>
      <left style="thin">
        <color rgb="FF000000"/>
      </left>
      <right/>
      <top style="thin">
        <color auto="1"/>
      </top>
      <bottom style="medium">
        <color auto="1"/>
      </bottom>
      <diagonal/>
    </border>
    <border>
      <left style="double">
        <color rgb="FF3F3F3F"/>
      </left>
      <right style="double">
        <color rgb="FF3F3F3F"/>
      </right>
      <top style="double">
        <color rgb="FF3F3F3F"/>
      </top>
      <bottom style="double">
        <color rgb="FF3F3F3F"/>
      </bottom>
      <diagonal/>
    </border>
    <border>
      <left style="thin">
        <color auto="1"/>
      </left>
      <right style="thin">
        <color auto="1"/>
      </right>
      <top/>
      <bottom/>
      <diagonal/>
    </border>
    <border>
      <left style="medium">
        <color auto="1"/>
      </left>
      <right style="thin">
        <color auto="1"/>
      </right>
      <top/>
      <bottom/>
      <diagonal/>
    </border>
    <border>
      <left style="medium">
        <color indexed="64"/>
      </left>
      <right/>
      <top style="thin">
        <color auto="1"/>
      </top>
      <bottom/>
      <diagonal/>
    </border>
    <border>
      <left/>
      <right style="medium">
        <color indexed="64"/>
      </right>
      <top style="thin">
        <color auto="1"/>
      </top>
      <bottom/>
      <diagonal/>
    </border>
  </borders>
  <cellStyleXfs count="189">
    <xf numFmtId="0" fontId="0" fillId="0" borderId="0">
      <alignment vertical="center"/>
    </xf>
    <xf numFmtId="176" fontId="2" fillId="0" borderId="0" applyFont="0" applyFill="0" applyBorder="0" applyProtection="0"/>
    <xf numFmtId="177" fontId="2" fillId="0" borderId="0" applyFont="0" applyFill="0" applyBorder="0" applyProtection="0"/>
    <xf numFmtId="9" fontId="2" fillId="0" borderId="0" applyFont="0" applyFill="0" applyBorder="0" applyAlignment="0" applyProtection="0"/>
    <xf numFmtId="0" fontId="44" fillId="0" borderId="0" applyNumberFormat="0" applyFill="0" applyBorder="0" applyProtection="0"/>
    <xf numFmtId="4" fontId="2" fillId="0" borderId="12">
      <alignment horizontal="right"/>
    </xf>
    <xf numFmtId="0" fontId="45" fillId="12" borderId="86" applyNumberFormat="0" applyAlignment="0" applyProtection="0"/>
    <xf numFmtId="0" fontId="45" fillId="12" borderId="86" applyNumberFormat="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46" fillId="0" borderId="0" applyFont="0" applyFill="0" applyBorder="0" applyAlignment="0" applyProtection="0"/>
    <xf numFmtId="178" fontId="46" fillId="0" borderId="0" applyFont="0" applyFill="0" applyBorder="0" applyAlignment="0" applyProtection="0"/>
    <xf numFmtId="176" fontId="2" fillId="0" borderId="0" applyFont="0" applyFill="0" applyBorder="0" applyProtection="0"/>
    <xf numFmtId="176" fontId="2" fillId="0" borderId="0" applyFont="0" applyFill="0" applyBorder="0" applyProtection="0"/>
    <xf numFmtId="176" fontId="2" fillId="0" borderId="0" applyFont="0" applyAlignment="0" applyProtection="0"/>
    <xf numFmtId="176" fontId="2" fillId="0" borderId="0" applyFont="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6" fontId="12" fillId="0" borderId="0" applyFont="0" applyFill="0" applyBorder="0" applyAlignment="0" applyProtection="0"/>
    <xf numFmtId="176" fontId="12" fillId="0" borderId="0" applyFont="0" applyFill="0" applyBorder="0" applyAlignment="0" applyProtection="0"/>
    <xf numFmtId="178" fontId="2" fillId="0" borderId="0" applyFont="0" applyFill="0" applyBorder="0" applyAlignment="0" applyProtection="0"/>
    <xf numFmtId="176" fontId="47" fillId="0" borderId="0" applyAlignment="0"/>
    <xf numFmtId="176" fontId="2" fillId="0" borderId="0" applyFont="0" applyFill="0" applyBorder="0" applyAlignment="0" applyProtection="0"/>
    <xf numFmtId="176" fontId="2" fillId="0" borderId="0" applyFont="0" applyFill="0" applyBorder="0" applyAlignment="0" applyProtection="0"/>
    <xf numFmtId="176" fontId="2" fillId="0" borderId="0" applyFont="0" applyFill="0" applyBorder="0" applyAlignment="0" applyProtection="0"/>
    <xf numFmtId="176" fontId="2" fillId="0" borderId="0" applyFont="0" applyFill="0" applyBorder="0" applyAlignment="0" applyProtection="0"/>
    <xf numFmtId="176" fontId="46" fillId="0" borderId="0" applyFont="0" applyFill="0" applyBorder="0" applyAlignment="0" applyProtection="0"/>
    <xf numFmtId="176" fontId="46" fillId="0" borderId="0" applyFont="0" applyFill="0" applyBorder="0" applyAlignment="0" applyProtection="0"/>
    <xf numFmtId="176" fontId="3" fillId="0" borderId="0" applyFont="0" applyFill="0" applyBorder="0" applyAlignment="0" applyProtection="0">
      <alignment vertical="center"/>
    </xf>
    <xf numFmtId="176" fontId="2" fillId="0" borderId="0" applyFont="0" applyFill="0" applyBorder="0" applyAlignment="0" applyProtection="0"/>
    <xf numFmtId="176" fontId="2" fillId="0" borderId="0" applyFont="0" applyFill="0" applyBorder="0" applyAlignment="0" applyProtection="0"/>
    <xf numFmtId="176" fontId="2" fillId="0" borderId="0" applyFont="0" applyFill="0" applyBorder="0" applyAlignment="0" applyProtection="0">
      <alignment vertical="center"/>
    </xf>
    <xf numFmtId="0" fontId="2" fillId="0" borderId="12" applyAlignment="0"/>
    <xf numFmtId="0" fontId="2" fillId="0" borderId="12" applyAlignment="0"/>
    <xf numFmtId="0" fontId="48" fillId="13" borderId="0" applyNumberFormat="0" applyBorder="0" applyAlignment="0" applyProtection="0"/>
    <xf numFmtId="0" fontId="48" fillId="13" borderId="0" applyNumberFormat="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Protection="0"/>
    <xf numFmtId="0" fontId="44" fillId="0" borderId="0" applyNumberFormat="0" applyFill="0" applyBorder="0" applyAlignment="0" applyProtection="0"/>
    <xf numFmtId="0" fontId="44" fillId="0" borderId="0" applyNumberFormat="0" applyFill="0" applyBorder="0" applyAlignment="0" applyProtection="0"/>
    <xf numFmtId="0" fontId="2" fillId="0" borderId="0" applyAlignment="0"/>
    <xf numFmtId="0" fontId="12" fillId="0" borderId="0"/>
    <xf numFmtId="0" fontId="2" fillId="0" borderId="0"/>
    <xf numFmtId="0" fontId="2" fillId="0" borderId="0"/>
    <xf numFmtId="0" fontId="2" fillId="0" borderId="0"/>
    <xf numFmtId="0" fontId="2" fillId="0" borderId="0" applyAlignment="0"/>
    <xf numFmtId="0" fontId="2" fillId="0" borderId="0">
      <alignment vertical="center"/>
    </xf>
    <xf numFmtId="0" fontId="2" fillId="0" borderId="0"/>
    <xf numFmtId="0" fontId="2" fillId="0" borderId="0"/>
    <xf numFmtId="0" fontId="2" fillId="0" borderId="0"/>
    <xf numFmtId="0" fontId="2"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protection locked="0"/>
    </xf>
    <xf numFmtId="0" fontId="2" fillId="0" borderId="0">
      <protection locked="0"/>
    </xf>
    <xf numFmtId="0" fontId="49" fillId="0" borderId="0"/>
    <xf numFmtId="0" fontId="3" fillId="0" borderId="0">
      <alignment vertical="center"/>
    </xf>
    <xf numFmtId="0" fontId="2" fillId="0" borderId="0">
      <alignment vertical="center"/>
    </xf>
    <xf numFmtId="0" fontId="2" fillId="0" borderId="0"/>
    <xf numFmtId="0" fontId="2" fillId="0" borderId="0">
      <alignment vertical="center"/>
    </xf>
    <xf numFmtId="0" fontId="2" fillId="0" borderId="0"/>
    <xf numFmtId="0" fontId="12" fillId="0" borderId="0"/>
    <xf numFmtId="0" fontId="50" fillId="0" borderId="0">
      <alignment vertical="center"/>
    </xf>
    <xf numFmtId="0" fontId="50" fillId="0" borderId="0">
      <alignment vertical="center"/>
    </xf>
    <xf numFmtId="0" fontId="50" fillId="0" borderId="0">
      <alignment vertical="center"/>
    </xf>
    <xf numFmtId="0" fontId="12" fillId="0" borderId="0"/>
    <xf numFmtId="0" fontId="50" fillId="0" borderId="0">
      <alignment vertical="center"/>
    </xf>
    <xf numFmtId="0" fontId="50" fillId="0" borderId="0">
      <alignment vertical="center"/>
    </xf>
    <xf numFmtId="0" fontId="47" fillId="0" borderId="0" applyAlignment="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2" fillId="0" borderId="0" applyAlignment="0"/>
    <xf numFmtId="0" fontId="2" fillId="0" borderId="0" applyAlignment="0"/>
    <xf numFmtId="0" fontId="2" fillId="0" borderId="0"/>
    <xf numFmtId="0" fontId="49" fillId="0" borderId="0"/>
    <xf numFmtId="0" fontId="9" fillId="0" borderId="0"/>
    <xf numFmtId="0" fontId="46" fillId="0" borderId="0"/>
    <xf numFmtId="0" fontId="2" fillId="0" borderId="0"/>
    <xf numFmtId="0" fontId="2" fillId="0" borderId="0"/>
    <xf numFmtId="0" fontId="49" fillId="0" borderId="0"/>
    <xf numFmtId="0" fontId="2" fillId="0" borderId="0">
      <alignment vertical="center"/>
    </xf>
    <xf numFmtId="0" fontId="2" fillId="0" borderId="0">
      <alignment vertical="center"/>
    </xf>
    <xf numFmtId="0" fontId="51" fillId="0" borderId="0"/>
    <xf numFmtId="179" fontId="2" fillId="0" borderId="0" applyFont="0" applyFill="0" applyBorder="0" applyAlignment="0" applyProtection="0"/>
    <xf numFmtId="17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Protection="0"/>
    <xf numFmtId="9" fontId="46" fillId="0" borderId="0" applyFont="0" applyFill="0" applyBorder="0" applyAlignment="0" applyProtection="0"/>
    <xf numFmtId="9" fontId="12" fillId="0" borderId="0" applyFont="0" applyFill="0" applyBorder="0" applyAlignment="0" applyProtection="0"/>
    <xf numFmtId="9" fontId="2" fillId="0" borderId="0" applyFont="0" applyFill="0" applyBorder="0" applyProtection="0"/>
    <xf numFmtId="9" fontId="2" fillId="0" borderId="0" applyFont="0" applyFill="0" applyBorder="0" applyProtection="0"/>
    <xf numFmtId="9" fontId="2" fillId="0" borderId="0" applyFont="0" applyFill="0" applyBorder="0" applyAlignment="0" applyProtection="0"/>
    <xf numFmtId="0" fontId="2" fillId="0" borderId="0">
      <alignment vertical="center"/>
    </xf>
    <xf numFmtId="0" fontId="2" fillId="0" borderId="0"/>
    <xf numFmtId="180" fontId="49" fillId="0" borderId="0"/>
    <xf numFmtId="180" fontId="52" fillId="0" borderId="0"/>
    <xf numFmtId="180" fontId="52" fillId="0" borderId="0"/>
    <xf numFmtId="0" fontId="12" fillId="0" borderId="0">
      <protection locked="0"/>
    </xf>
    <xf numFmtId="0" fontId="53" fillId="0" borderId="0">
      <protection locked="0"/>
    </xf>
    <xf numFmtId="0" fontId="2" fillId="0" borderId="0"/>
    <xf numFmtId="0" fontId="53" fillId="0" borderId="0">
      <protection locked="0"/>
    </xf>
    <xf numFmtId="0" fontId="53" fillId="0" borderId="0">
      <protection locked="0"/>
    </xf>
    <xf numFmtId="0" fontId="46"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53" fillId="0" borderId="0">
      <protection locked="0"/>
    </xf>
    <xf numFmtId="0" fontId="2" fillId="0" borderId="0">
      <alignment vertical="center"/>
    </xf>
    <xf numFmtId="0" fontId="12" fillId="0" borderId="0">
      <protection locked="0"/>
    </xf>
    <xf numFmtId="0" fontId="49" fillId="0" borderId="0"/>
    <xf numFmtId="0" fontId="2" fillId="0" borderId="0"/>
    <xf numFmtId="0" fontId="49" fillId="0" borderId="0"/>
    <xf numFmtId="0" fontId="2" fillId="0" borderId="0"/>
    <xf numFmtId="0" fontId="2" fillId="0" borderId="0">
      <alignment vertical="center"/>
    </xf>
    <xf numFmtId="0" fontId="2" fillId="0" borderId="0"/>
    <xf numFmtId="0" fontId="2" fillId="0" borderId="0"/>
    <xf numFmtId="0" fontId="2" fillId="0" borderId="0">
      <alignment vertical="center"/>
    </xf>
    <xf numFmtId="0" fontId="44" fillId="0" borderId="0" applyNumberFormat="0" applyFill="0" applyBorder="0" applyProtection="0"/>
    <xf numFmtId="0" fontId="54" fillId="0" borderId="0" applyNumberFormat="0" applyFill="0" applyBorder="0">
      <protection locked="0"/>
    </xf>
    <xf numFmtId="0" fontId="55" fillId="0" borderId="0"/>
    <xf numFmtId="176" fontId="12" fillId="0" borderId="0" applyFont="0" applyFill="0" applyBorder="0" applyAlignment="0" applyProtection="0"/>
    <xf numFmtId="176" fontId="12" fillId="0" borderId="0" applyFont="0" applyFill="0" applyBorder="0" applyAlignment="0" applyProtection="0"/>
    <xf numFmtId="176" fontId="53" fillId="0" borderId="0" applyFont="0" applyAlignment="0" applyProtection="0"/>
    <xf numFmtId="176" fontId="53" fillId="0" borderId="0" applyFont="0" applyAlignment="0" applyProtection="0"/>
    <xf numFmtId="176" fontId="2" fillId="0" borderId="0" applyFont="0" applyFill="0" applyBorder="0" applyProtection="0"/>
    <xf numFmtId="176" fontId="2" fillId="0" borderId="0" applyFont="0" applyFill="0" applyBorder="0" applyProtection="0"/>
    <xf numFmtId="176" fontId="12" fillId="0" borderId="0" applyFont="0" applyFill="0" applyBorder="0" applyAlignment="0" applyProtection="0"/>
    <xf numFmtId="176" fontId="2" fillId="0" borderId="0" applyFont="0" applyFill="0" applyBorder="0" applyProtection="0"/>
    <xf numFmtId="176" fontId="2" fillId="0" borderId="0" applyFont="0" applyFill="0" applyBorder="0" applyProtection="0"/>
    <xf numFmtId="176" fontId="12" fillId="0" borderId="0" applyFont="0" applyFill="0" applyBorder="0" applyAlignment="0" applyProtection="0"/>
    <xf numFmtId="176" fontId="46" fillId="0" borderId="0" applyFont="0" applyFill="0" applyBorder="0" applyAlignment="0" applyProtection="0"/>
    <xf numFmtId="176" fontId="46" fillId="0" borderId="0" applyFont="0" applyFill="0" applyBorder="0" applyAlignment="0" applyProtection="0"/>
    <xf numFmtId="176" fontId="2" fillId="0" borderId="0" applyFont="0" applyFill="0" applyBorder="0" applyProtection="0"/>
    <xf numFmtId="176" fontId="2" fillId="0" borderId="0" applyFont="0" applyFill="0" applyBorder="0" applyProtection="0"/>
    <xf numFmtId="176" fontId="2" fillId="0" borderId="0" applyFont="0" applyFill="0" applyBorder="0" applyProtection="0"/>
    <xf numFmtId="176" fontId="2" fillId="0" borderId="0" applyFont="0" applyFill="0" applyBorder="0" applyProtection="0"/>
    <xf numFmtId="176" fontId="2" fillId="0" borderId="0" applyFont="0" applyFill="0" applyBorder="0" applyProtection="0"/>
    <xf numFmtId="176" fontId="2" fillId="0" borderId="0" applyFont="0" applyFill="0" applyBorder="0" applyProtection="0"/>
    <xf numFmtId="176" fontId="2" fillId="0" borderId="0" applyFont="0" applyFill="0" applyBorder="0" applyProtection="0"/>
    <xf numFmtId="176" fontId="2" fillId="0" borderId="0" applyFont="0" applyFill="0" applyBorder="0" applyAlignment="0" applyProtection="0"/>
    <xf numFmtId="178" fontId="46" fillId="0" borderId="0" applyFont="0" applyFill="0" applyBorder="0" applyAlignment="0" applyProtection="0"/>
    <xf numFmtId="178" fontId="46" fillId="0" borderId="0" applyFont="0" applyFill="0" applyBorder="0" applyAlignment="0" applyProtection="0"/>
    <xf numFmtId="0" fontId="77" fillId="0" borderId="0"/>
    <xf numFmtId="0" fontId="77" fillId="0" borderId="0">
      <alignment vertical="center"/>
    </xf>
    <xf numFmtId="0" fontId="77" fillId="0" borderId="0"/>
    <xf numFmtId="0" fontId="77" fillId="0" borderId="0"/>
    <xf numFmtId="0" fontId="49" fillId="0" borderId="0"/>
    <xf numFmtId="0" fontId="48" fillId="13" borderId="0" applyNumberFormat="0" applyBorder="0" applyAlignment="0" applyProtection="0"/>
    <xf numFmtId="0" fontId="49" fillId="0" borderId="0"/>
    <xf numFmtId="0" fontId="84" fillId="15" borderId="0" applyNumberFormat="0" applyBorder="0" applyProtection="0"/>
  </cellStyleXfs>
  <cellXfs count="541">
    <xf numFmtId="0" fontId="0" fillId="0" borderId="0" xfId="0">
      <alignment vertical="center"/>
    </xf>
    <xf numFmtId="49" fontId="0" fillId="0" borderId="0" xfId="0" applyNumberFormat="1">
      <alignment vertical="center"/>
    </xf>
    <xf numFmtId="0" fontId="1" fillId="0" borderId="0" xfId="85" applyFont="1">
      <alignment vertical="center"/>
    </xf>
    <xf numFmtId="176" fontId="1" fillId="0" borderId="0" xfId="48" applyFont="1">
      <alignment vertical="center"/>
    </xf>
    <xf numFmtId="0" fontId="2" fillId="0" borderId="0" xfId="85">
      <alignment vertical="center"/>
    </xf>
    <xf numFmtId="0" fontId="9" fillId="4" borderId="0" xfId="0" applyFont="1" applyFill="1">
      <alignment vertical="center"/>
    </xf>
    <xf numFmtId="0" fontId="9" fillId="0" borderId="0" xfId="154" applyFont="1" applyAlignment="1" applyProtection="1">
      <alignment vertical="center"/>
      <protection locked="0"/>
    </xf>
    <xf numFmtId="0" fontId="9" fillId="0" borderId="0" xfId="116" applyFont="1" applyAlignment="1">
      <alignment vertical="center"/>
    </xf>
    <xf numFmtId="0" fontId="10" fillId="4" borderId="0" xfId="116" applyFont="1" applyFill="1" applyAlignment="1">
      <alignment vertical="center"/>
    </xf>
    <xf numFmtId="0" fontId="11" fillId="4" borderId="0" xfId="116" applyFont="1" applyFill="1" applyAlignment="1">
      <alignment vertical="center"/>
    </xf>
    <xf numFmtId="0" fontId="12" fillId="4" borderId="0" xfId="116" applyFont="1" applyFill="1" applyAlignment="1">
      <alignment vertical="center"/>
    </xf>
    <xf numFmtId="0" fontId="9" fillId="0" borderId="0" xfId="148" applyFont="1" applyAlignment="1">
      <alignment vertical="center"/>
    </xf>
    <xf numFmtId="9" fontId="9" fillId="0" borderId="0" xfId="124" applyFont="1" applyAlignment="1" applyProtection="1">
      <alignment vertical="center"/>
    </xf>
    <xf numFmtId="0" fontId="12" fillId="0" borderId="0" xfId="148" applyFont="1" applyAlignment="1">
      <alignment vertical="center"/>
    </xf>
    <xf numFmtId="0" fontId="13" fillId="4" borderId="0" xfId="0" applyFont="1" applyFill="1">
      <alignment vertical="center"/>
    </xf>
    <xf numFmtId="9" fontId="9" fillId="0" borderId="0" xfId="3" applyFont="1" applyAlignment="1" applyProtection="1">
      <alignment vertical="center"/>
    </xf>
    <xf numFmtId="0" fontId="11" fillId="4" borderId="0" xfId="0" applyFont="1" applyFill="1">
      <alignment vertical="center"/>
    </xf>
    <xf numFmtId="0" fontId="14" fillId="3" borderId="0" xfId="4" applyFont="1" applyFill="1" applyAlignment="1" applyProtection="1">
      <alignment vertical="center"/>
    </xf>
    <xf numFmtId="0" fontId="15" fillId="0" borderId="0" xfId="95" applyFont="1" applyAlignment="1">
      <alignment vertical="center"/>
    </xf>
    <xf numFmtId="0" fontId="9" fillId="0" borderId="0" xfId="116" applyFont="1" applyAlignment="1">
      <alignment horizontal="left" vertical="center" wrapText="1"/>
    </xf>
    <xf numFmtId="0" fontId="9" fillId="0" borderId="0" xfId="116" applyFont="1" applyAlignment="1">
      <alignment horizontal="left" vertical="center"/>
    </xf>
    <xf numFmtId="9" fontId="9" fillId="0" borderId="0" xfId="116" applyNumberFormat="1" applyFont="1" applyAlignment="1">
      <alignment horizontal="left" vertical="center"/>
    </xf>
    <xf numFmtId="9" fontId="9" fillId="0" borderId="0" xfId="148" applyNumberFormat="1" applyFont="1" applyAlignment="1">
      <alignment vertical="center"/>
    </xf>
    <xf numFmtId="0" fontId="16" fillId="0" borderId="6" xfId="116" applyFont="1" applyBorder="1" applyAlignment="1">
      <alignment vertical="center"/>
    </xf>
    <xf numFmtId="0" fontId="16" fillId="0" borderId="7" xfId="116" applyFont="1" applyBorder="1" applyAlignment="1">
      <alignment vertical="center"/>
    </xf>
    <xf numFmtId="0" fontId="17" fillId="4" borderId="8" xfId="116" applyFont="1" applyFill="1" applyBorder="1" applyAlignment="1">
      <alignment horizontal="left" vertical="center" wrapText="1"/>
    </xf>
    <xf numFmtId="0" fontId="12" fillId="4" borderId="0" xfId="116" applyFont="1" applyFill="1" applyAlignment="1">
      <alignment horizontal="left" vertical="center" wrapText="1"/>
    </xf>
    <xf numFmtId="0" fontId="9" fillId="4" borderId="0" xfId="116" applyFont="1" applyFill="1" applyAlignment="1">
      <alignment vertical="center"/>
    </xf>
    <xf numFmtId="0" fontId="18" fillId="0" borderId="9" xfId="116" applyFont="1" applyBorder="1" applyAlignment="1">
      <alignment vertical="center"/>
    </xf>
    <xf numFmtId="0" fontId="16" fillId="0" borderId="0" xfId="116" applyFont="1" applyAlignment="1">
      <alignment vertical="center"/>
    </xf>
    <xf numFmtId="0" fontId="17" fillId="4" borderId="10" xfId="116" applyFont="1" applyFill="1" applyBorder="1" applyAlignment="1">
      <alignment horizontal="left" vertical="center" wrapText="1"/>
    </xf>
    <xf numFmtId="176" fontId="9" fillId="4" borderId="0" xfId="116" applyNumberFormat="1" applyFont="1" applyFill="1" applyAlignment="1">
      <alignment vertical="center" shrinkToFit="1"/>
    </xf>
    <xf numFmtId="0" fontId="9" fillId="4" borderId="0" xfId="148" applyFont="1" applyFill="1" applyAlignment="1">
      <alignment vertical="center"/>
    </xf>
    <xf numFmtId="9" fontId="9" fillId="4" borderId="0" xfId="124" applyFont="1" applyFill="1" applyAlignment="1" applyProtection="1">
      <alignment vertical="center"/>
    </xf>
    <xf numFmtId="0" fontId="16" fillId="0" borderId="9" xfId="116" applyFont="1" applyBorder="1" applyAlignment="1">
      <alignment vertical="center"/>
    </xf>
    <xf numFmtId="9" fontId="9" fillId="4" borderId="0" xfId="124" applyFont="1" applyFill="1" applyAlignment="1" applyProtection="1">
      <alignment vertical="center" shrinkToFit="1"/>
    </xf>
    <xf numFmtId="0" fontId="19" fillId="5" borderId="11" xfId="0" applyFont="1" applyFill="1" applyBorder="1">
      <alignment vertical="center"/>
    </xf>
    <xf numFmtId="0" fontId="16" fillId="5" borderId="12" xfId="105" applyFont="1" applyFill="1" applyBorder="1" applyAlignment="1">
      <alignment horizontal="left" vertical="center" wrapText="1"/>
    </xf>
    <xf numFmtId="0" fontId="19" fillId="5" borderId="13" xfId="105" applyFont="1" applyFill="1" applyBorder="1" applyAlignment="1">
      <alignment vertical="center"/>
    </xf>
    <xf numFmtId="0" fontId="9" fillId="4" borderId="0" xfId="116" applyFont="1" applyFill="1" applyAlignment="1">
      <alignment vertical="center" shrinkToFit="1"/>
    </xf>
    <xf numFmtId="0" fontId="9" fillId="4" borderId="0" xfId="110" applyFont="1" applyFill="1" applyAlignment="1">
      <alignment vertical="center"/>
    </xf>
    <xf numFmtId="0" fontId="17" fillId="0" borderId="11" xfId="116" applyFont="1" applyBorder="1" applyAlignment="1">
      <alignment horizontal="left" vertical="center"/>
    </xf>
    <xf numFmtId="0" fontId="20" fillId="0" borderId="12" xfId="0" applyFont="1" applyBorder="1">
      <alignment vertical="center"/>
    </xf>
    <xf numFmtId="0" fontId="17" fillId="0" borderId="12" xfId="86" applyFont="1" applyBorder="1" applyAlignment="1">
      <alignment horizontal="left" vertical="center" wrapText="1"/>
    </xf>
    <xf numFmtId="0" fontId="21" fillId="0" borderId="13" xfId="0" applyFont="1" applyBorder="1">
      <alignment vertical="center"/>
    </xf>
    <xf numFmtId="0" fontId="9" fillId="4" borderId="0" xfId="116" applyFont="1" applyFill="1" applyAlignment="1">
      <alignment horizontal="left" vertical="center" wrapText="1"/>
    </xf>
    <xf numFmtId="0" fontId="12" fillId="4" borderId="0" xfId="116" applyFont="1" applyFill="1" applyAlignment="1">
      <alignment vertical="center" shrinkToFit="1"/>
    </xf>
    <xf numFmtId="0" fontId="17" fillId="0" borderId="11" xfId="116" applyFont="1" applyBorder="1" applyAlignment="1">
      <alignment horizontal="left" vertical="center" wrapText="1"/>
    </xf>
    <xf numFmtId="0" fontId="20" fillId="0" borderId="12" xfId="116" applyFont="1" applyBorder="1" applyAlignment="1">
      <alignment vertical="center" wrapText="1"/>
    </xf>
    <xf numFmtId="176" fontId="12" fillId="4" borderId="0" xfId="116" applyNumberFormat="1" applyFont="1" applyFill="1" applyAlignment="1">
      <alignment vertical="center" shrinkToFit="1"/>
    </xf>
    <xf numFmtId="0" fontId="18" fillId="0" borderId="11" xfId="116" applyFont="1" applyBorder="1" applyAlignment="1">
      <alignment horizontal="left" vertical="center" wrapText="1"/>
    </xf>
    <xf numFmtId="0" fontId="12" fillId="4" borderId="0" xfId="110" applyFont="1" applyFill="1" applyAlignment="1">
      <alignment vertical="center"/>
    </xf>
    <xf numFmtId="0" fontId="18" fillId="0" borderId="14" xfId="116" applyFont="1" applyBorder="1" applyAlignment="1">
      <alignment vertical="center"/>
    </xf>
    <xf numFmtId="0" fontId="16" fillId="0" borderId="15" xfId="116" applyFont="1" applyBorder="1" applyAlignment="1">
      <alignment vertical="center"/>
    </xf>
    <xf numFmtId="0" fontId="17" fillId="4" borderId="16" xfId="116" applyFont="1" applyFill="1" applyBorder="1" applyAlignment="1">
      <alignment horizontal="left" vertical="center" wrapText="1"/>
    </xf>
    <xf numFmtId="0" fontId="22" fillId="0" borderId="0" xfId="0" applyFont="1">
      <alignment vertical="center"/>
    </xf>
    <xf numFmtId="0" fontId="15" fillId="0" borderId="0" xfId="154" applyFont="1" applyAlignment="1" applyProtection="1">
      <alignment vertical="center"/>
      <protection locked="0"/>
    </xf>
    <xf numFmtId="0" fontId="22" fillId="0" borderId="0" xfId="154" applyFont="1" applyAlignment="1" applyProtection="1">
      <alignment horizontal="center" vertical="center"/>
      <protection locked="0"/>
    </xf>
    <xf numFmtId="0" fontId="12" fillId="0" borderId="0" xfId="116" applyFont="1" applyAlignment="1">
      <alignment horizontal="left" vertical="center" wrapText="1"/>
    </xf>
    <xf numFmtId="0" fontId="12" fillId="0" borderId="12" xfId="1" applyNumberFormat="1" applyFont="1" applyFill="1" applyBorder="1" applyAlignment="1" applyProtection="1">
      <alignment horizontal="left" vertical="center" shrinkToFit="1"/>
    </xf>
    <xf numFmtId="176" fontId="12" fillId="0" borderId="12" xfId="178" applyFont="1" applyFill="1" applyBorder="1" applyAlignment="1" applyProtection="1">
      <alignment horizontal="right" vertical="center"/>
      <protection locked="0"/>
    </xf>
    <xf numFmtId="0" fontId="22" fillId="0" borderId="12" xfId="178" applyNumberFormat="1" applyFont="1" applyFill="1" applyBorder="1" applyAlignment="1" applyProtection="1">
      <alignment horizontal="left" vertical="center"/>
      <protection locked="0"/>
    </xf>
    <xf numFmtId="176" fontId="12" fillId="0" borderId="3" xfId="0" applyNumberFormat="1" applyFont="1" applyBorder="1" applyAlignment="1">
      <alignment horizontal="right" vertical="center"/>
    </xf>
    <xf numFmtId="176" fontId="9" fillId="0" borderId="0" xfId="154" applyNumberFormat="1" applyFont="1" applyAlignment="1" applyProtection="1">
      <alignment vertical="center"/>
      <protection locked="0"/>
    </xf>
    <xf numFmtId="0" fontId="15" fillId="0" borderId="0" xfId="154" applyFont="1" applyAlignment="1" applyProtection="1">
      <alignment horizontal="center" vertical="center"/>
      <protection locked="0"/>
    </xf>
    <xf numFmtId="176" fontId="15" fillId="0" borderId="23" xfId="154" applyNumberFormat="1" applyFont="1" applyBorder="1" applyAlignment="1" applyProtection="1">
      <alignment horizontal="right" vertical="center"/>
      <protection locked="0"/>
    </xf>
    <xf numFmtId="0" fontId="11" fillId="0" borderId="0" xfId="139" applyFont="1" applyAlignment="1">
      <alignment vertical="center"/>
    </xf>
    <xf numFmtId="0" fontId="10" fillId="0" borderId="0" xfId="110" applyFont="1" applyAlignment="1">
      <alignment vertical="center"/>
    </xf>
    <xf numFmtId="176" fontId="9" fillId="0" borderId="0" xfId="43" applyFont="1" applyAlignment="1" applyProtection="1">
      <alignment vertical="center" shrinkToFit="1"/>
    </xf>
    <xf numFmtId="0" fontId="12" fillId="0" borderId="0" xfId="139" applyFont="1" applyAlignment="1">
      <alignment vertical="center"/>
    </xf>
    <xf numFmtId="9" fontId="9" fillId="0" borderId="0" xfId="124" applyFont="1" applyFill="1" applyAlignment="1" applyProtection="1">
      <alignment vertical="center"/>
    </xf>
    <xf numFmtId="0" fontId="22" fillId="0" borderId="33" xfId="0" applyFont="1" applyBorder="1" applyProtection="1">
      <alignment vertical="center"/>
      <protection locked="0"/>
    </xf>
    <xf numFmtId="0" fontId="12" fillId="0" borderId="0" xfId="0" applyFont="1" applyAlignment="1" applyProtection="1">
      <alignment horizontal="left" vertical="center" indent="2"/>
      <protection locked="0"/>
    </xf>
    <xf numFmtId="0" fontId="10" fillId="0" borderId="0" xfId="0" applyFont="1" applyProtection="1">
      <alignment vertical="center"/>
      <protection locked="0"/>
    </xf>
    <xf numFmtId="0" fontId="26" fillId="4" borderId="0" xfId="116" applyFont="1" applyFill="1" applyAlignment="1">
      <alignment horizontal="left" vertical="center"/>
    </xf>
    <xf numFmtId="0" fontId="10" fillId="0" borderId="0" xfId="116" applyFont="1" applyAlignment="1">
      <alignment vertical="center"/>
    </xf>
    <xf numFmtId="0" fontId="27" fillId="6" borderId="17" xfId="148" applyFont="1" applyFill="1" applyBorder="1" applyAlignment="1">
      <alignment vertical="center"/>
    </xf>
    <xf numFmtId="0" fontId="27" fillId="6" borderId="18" xfId="148" applyFont="1" applyFill="1" applyBorder="1" applyAlignment="1">
      <alignment vertical="center"/>
    </xf>
    <xf numFmtId="0" fontId="10" fillId="6" borderId="18" xfId="116" applyFont="1" applyFill="1" applyBorder="1" applyAlignment="1">
      <alignment vertical="center"/>
    </xf>
    <xf numFmtId="0" fontId="10" fillId="6" borderId="18" xfId="116" applyFont="1" applyFill="1" applyBorder="1" applyAlignment="1">
      <alignment vertical="center" wrapText="1"/>
    </xf>
    <xf numFmtId="0" fontId="15" fillId="0" borderId="0" xfId="148" applyFont="1" applyAlignment="1">
      <alignment vertical="center"/>
    </xf>
    <xf numFmtId="9" fontId="15" fillId="0" borderId="0" xfId="124" applyFont="1" applyAlignment="1" applyProtection="1">
      <alignment vertical="center"/>
    </xf>
    <xf numFmtId="0" fontId="10" fillId="0" borderId="0" xfId="148" applyFont="1" applyAlignment="1">
      <alignment vertical="center"/>
    </xf>
    <xf numFmtId="0" fontId="10" fillId="6" borderId="35" xfId="148" applyFont="1" applyFill="1" applyBorder="1" applyAlignment="1">
      <alignment horizontal="center" vertical="top"/>
    </xf>
    <xf numFmtId="0" fontId="10" fillId="6" borderId="36" xfId="148" applyFont="1" applyFill="1" applyBorder="1" applyAlignment="1">
      <alignment horizontal="center" vertical="top"/>
    </xf>
    <xf numFmtId="0" fontId="10" fillId="6" borderId="36" xfId="116" applyFont="1" applyFill="1" applyBorder="1" applyAlignment="1">
      <alignment horizontal="center" vertical="top"/>
    </xf>
    <xf numFmtId="0" fontId="10" fillId="6" borderId="36" xfId="116" applyFont="1" applyFill="1" applyBorder="1" applyAlignment="1">
      <alignment horizontal="center" vertical="top" wrapText="1"/>
    </xf>
    <xf numFmtId="0" fontId="10" fillId="7" borderId="36" xfId="0" applyFont="1" applyFill="1" applyBorder="1" applyAlignment="1">
      <alignment horizontal="center" vertical="top" wrapText="1"/>
    </xf>
    <xf numFmtId="0" fontId="10" fillId="6" borderId="3" xfId="116" applyFont="1" applyFill="1" applyBorder="1" applyAlignment="1">
      <alignment horizontal="center" vertical="center" wrapText="1"/>
    </xf>
    <xf numFmtId="0" fontId="12" fillId="0" borderId="12" xfId="116" applyFont="1" applyBorder="1" applyAlignment="1">
      <alignment horizontal="left" vertical="center"/>
    </xf>
    <xf numFmtId="0" fontId="12" fillId="0" borderId="12" xfId="116" applyFont="1" applyBorder="1" applyAlignment="1">
      <alignment horizontal="left" vertical="center" shrinkToFit="1"/>
    </xf>
    <xf numFmtId="14" fontId="12" fillId="0" borderId="12" xfId="116" applyNumberFormat="1" applyFont="1" applyBorder="1" applyAlignment="1">
      <alignment horizontal="left" vertical="center" shrinkToFit="1"/>
    </xf>
    <xf numFmtId="182" fontId="12" fillId="0" borderId="21" xfId="148" applyNumberFormat="1" applyFont="1" applyBorder="1" applyAlignment="1">
      <alignment horizontal="left" vertical="center" shrinkToFit="1"/>
    </xf>
    <xf numFmtId="0" fontId="12" fillId="0" borderId="21" xfId="116" applyFont="1" applyBorder="1" applyAlignment="1">
      <alignment horizontal="left" vertical="center"/>
    </xf>
    <xf numFmtId="176" fontId="11" fillId="0" borderId="0" xfId="148" applyNumberFormat="1" applyFont="1" applyAlignment="1">
      <alignment horizontal="center" vertical="center" shrinkToFit="1"/>
    </xf>
    <xf numFmtId="176" fontId="12" fillId="4" borderId="0" xfId="116" applyNumberFormat="1" applyFont="1" applyFill="1" applyAlignment="1">
      <alignment horizontal="right" vertical="center" shrinkToFit="1"/>
    </xf>
    <xf numFmtId="0" fontId="12" fillId="0" borderId="0" xfId="116" applyFont="1" applyAlignment="1">
      <alignment vertical="center"/>
    </xf>
    <xf numFmtId="0" fontId="12" fillId="4" borderId="0" xfId="116" applyFont="1" applyFill="1" applyAlignment="1">
      <alignment vertical="center" wrapText="1"/>
    </xf>
    <xf numFmtId="0" fontId="10" fillId="4" borderId="0" xfId="116" applyFont="1" applyFill="1" applyAlignment="1">
      <alignment vertical="center" wrapText="1"/>
    </xf>
    <xf numFmtId="0" fontId="10" fillId="6" borderId="38" xfId="154" applyFont="1" applyFill="1" applyBorder="1" applyAlignment="1">
      <alignment horizontal="center" vertical="center" wrapText="1"/>
    </xf>
    <xf numFmtId="0" fontId="10" fillId="6" borderId="39" xfId="154" applyFont="1" applyFill="1" applyBorder="1" applyAlignment="1">
      <alignment horizontal="center" vertical="center" wrapText="1"/>
    </xf>
    <xf numFmtId="0" fontId="10" fillId="6" borderId="40" xfId="154" applyFont="1" applyFill="1" applyBorder="1" applyAlignment="1">
      <alignment horizontal="center" vertical="center" wrapText="1"/>
    </xf>
    <xf numFmtId="0" fontId="10" fillId="6" borderId="41" xfId="153" applyFont="1" applyFill="1" applyBorder="1" applyAlignment="1">
      <alignment horizontal="center" vertical="center" wrapText="1"/>
    </xf>
    <xf numFmtId="0" fontId="12" fillId="0" borderId="42" xfId="1" applyNumberFormat="1" applyFont="1" applyFill="1" applyBorder="1" applyAlignment="1" applyProtection="1">
      <alignment horizontal="left" vertical="center" shrinkToFit="1"/>
    </xf>
    <xf numFmtId="176" fontId="12" fillId="0" borderId="43" xfId="1" applyFont="1" applyBorder="1" applyProtection="1">
      <protection locked="0"/>
    </xf>
    <xf numFmtId="0" fontId="12" fillId="0" borderId="44" xfId="1" applyNumberFormat="1" applyFont="1" applyFill="1" applyBorder="1" applyAlignment="1" applyProtection="1">
      <alignment horizontal="left" vertical="center" shrinkToFit="1"/>
    </xf>
    <xf numFmtId="0" fontId="12" fillId="0" borderId="45" xfId="1" applyNumberFormat="1" applyFont="1" applyFill="1" applyBorder="1" applyAlignment="1" applyProtection="1">
      <alignment horizontal="left" vertical="center" shrinkToFit="1"/>
    </xf>
    <xf numFmtId="176" fontId="12" fillId="0" borderId="45" xfId="178" applyFont="1" applyFill="1" applyBorder="1" applyAlignment="1" applyProtection="1">
      <alignment horizontal="right" vertical="center"/>
      <protection locked="0"/>
    </xf>
    <xf numFmtId="49" fontId="12" fillId="0" borderId="45" xfId="148" applyNumberFormat="1" applyFont="1" applyBorder="1" applyAlignment="1">
      <alignment horizontal="left" vertical="center" shrinkToFit="1"/>
    </xf>
    <xf numFmtId="176" fontId="12" fillId="0" borderId="46" xfId="0" applyNumberFormat="1" applyFont="1" applyBorder="1" applyAlignment="1">
      <alignment horizontal="right" vertical="center"/>
    </xf>
    <xf numFmtId="176" fontId="12" fillId="0" borderId="47" xfId="1" applyFont="1" applyFill="1" applyBorder="1" applyProtection="1">
      <protection locked="0"/>
    </xf>
    <xf numFmtId="176" fontId="9" fillId="0" borderId="0" xfId="1" applyFont="1" applyProtection="1">
      <protection locked="0"/>
    </xf>
    <xf numFmtId="176" fontId="15" fillId="0" borderId="23" xfId="1" applyFont="1" applyBorder="1" applyProtection="1">
      <protection locked="0"/>
    </xf>
    <xf numFmtId="0" fontId="12" fillId="0" borderId="0" xfId="0" applyFont="1" applyProtection="1">
      <alignment vertical="center"/>
      <protection locked="0"/>
    </xf>
    <xf numFmtId="0" fontId="28" fillId="0" borderId="0" xfId="148" applyFont="1" applyAlignment="1">
      <alignment horizontal="left" vertical="center" shrinkToFit="1"/>
    </xf>
    <xf numFmtId="0" fontId="26" fillId="0" borderId="0" xfId="116" applyFont="1" applyAlignment="1">
      <alignment horizontal="left" vertical="center"/>
    </xf>
    <xf numFmtId="0" fontId="29" fillId="4" borderId="0" xfId="116" applyFont="1" applyFill="1" applyAlignment="1">
      <alignment vertical="center"/>
    </xf>
    <xf numFmtId="0" fontId="22" fillId="6" borderId="28" xfId="139" applyFont="1" applyFill="1" applyBorder="1" applyAlignment="1">
      <alignment horizontal="centerContinuous" vertical="center"/>
    </xf>
    <xf numFmtId="0" fontId="29" fillId="4" borderId="0" xfId="116" applyFont="1" applyFill="1" applyAlignment="1">
      <alignment vertical="center" wrapText="1"/>
    </xf>
    <xf numFmtId="0" fontId="15" fillId="6" borderId="36" xfId="116" applyFont="1" applyFill="1" applyBorder="1" applyAlignment="1">
      <alignment horizontal="center" vertical="top" wrapText="1"/>
    </xf>
    <xf numFmtId="0" fontId="9" fillId="0" borderId="0" xfId="148" applyFont="1" applyAlignment="1">
      <alignment vertical="center" wrapText="1"/>
    </xf>
    <xf numFmtId="9" fontId="9" fillId="0" borderId="0" xfId="124" applyFont="1" applyAlignment="1" applyProtection="1">
      <alignment vertical="center" wrapText="1"/>
    </xf>
    <xf numFmtId="0" fontId="12" fillId="0" borderId="0" xfId="148" applyFont="1" applyAlignment="1">
      <alignment vertical="center" wrapText="1"/>
    </xf>
    <xf numFmtId="176" fontId="12" fillId="0" borderId="12" xfId="1" applyFont="1" applyFill="1" applyBorder="1" applyAlignment="1" applyProtection="1">
      <alignment vertical="center" shrinkToFit="1"/>
    </xf>
    <xf numFmtId="49" fontId="12" fillId="0" borderId="12" xfId="1" applyNumberFormat="1" applyFont="1" applyFill="1" applyBorder="1" applyAlignment="1" applyProtection="1">
      <alignment horizontal="left" vertical="center" shrinkToFit="1"/>
    </xf>
    <xf numFmtId="10" fontId="12" fillId="0" borderId="1" xfId="139" applyNumberFormat="1" applyFont="1" applyBorder="1" applyAlignment="1">
      <alignment horizontal="center" vertical="center" shrinkToFit="1"/>
    </xf>
    <xf numFmtId="0" fontId="12" fillId="0" borderId="12" xfId="116" applyFont="1" applyBorder="1" applyAlignment="1">
      <alignment horizontal="center" vertical="center" shrinkToFit="1"/>
    </xf>
    <xf numFmtId="0" fontId="12" fillId="4" borderId="12" xfId="139" applyFont="1" applyFill="1" applyBorder="1" applyAlignment="1">
      <alignment horizontal="left" vertical="center" shrinkToFit="1"/>
    </xf>
    <xf numFmtId="0" fontId="12" fillId="0" borderId="36" xfId="139" applyFont="1" applyBorder="1" applyAlignment="1">
      <alignment horizontal="left" vertical="center" shrinkToFit="1"/>
    </xf>
    <xf numFmtId="0" fontId="12" fillId="0" borderId="13" xfId="139" applyFont="1" applyBorder="1" applyAlignment="1">
      <alignment horizontal="left" vertical="center" shrinkToFit="1"/>
    </xf>
    <xf numFmtId="0" fontId="9" fillId="0" borderId="20" xfId="148" applyFont="1" applyBorder="1" applyAlignment="1">
      <alignment horizontal="center" vertical="center" shrinkToFit="1"/>
    </xf>
    <xf numFmtId="0" fontId="12" fillId="0" borderId="21" xfId="116" applyFont="1" applyBorder="1" applyAlignment="1">
      <alignment horizontal="left" vertical="center" shrinkToFit="1"/>
    </xf>
    <xf numFmtId="14" fontId="12" fillId="0" borderId="21" xfId="116" applyNumberFormat="1" applyFont="1" applyBorder="1" applyAlignment="1">
      <alignment horizontal="left" vertical="center" shrinkToFit="1"/>
    </xf>
    <xf numFmtId="176" fontId="12" fillId="0" borderId="21" xfId="1" applyFont="1" applyFill="1" applyBorder="1" applyAlignment="1" applyProtection="1">
      <alignment vertical="center" shrinkToFit="1"/>
    </xf>
    <xf numFmtId="49" fontId="12" fillId="0" borderId="21" xfId="1" applyNumberFormat="1" applyFont="1" applyFill="1" applyBorder="1" applyAlignment="1" applyProtection="1">
      <alignment horizontal="left" vertical="center" shrinkToFit="1"/>
    </xf>
    <xf numFmtId="0" fontId="12" fillId="0" borderId="37" xfId="116" applyFont="1" applyBorder="1" applyAlignment="1">
      <alignment vertical="center" shrinkToFit="1"/>
    </xf>
    <xf numFmtId="0" fontId="12" fillId="0" borderId="21" xfId="116" applyFont="1" applyBorder="1" applyAlignment="1">
      <alignment horizontal="center" vertical="center" shrinkToFit="1"/>
    </xf>
    <xf numFmtId="0" fontId="12" fillId="4" borderId="21" xfId="116" applyFont="1" applyFill="1" applyBorder="1" applyAlignment="1">
      <alignment horizontal="left" vertical="center" shrinkToFit="1"/>
    </xf>
    <xf numFmtId="0" fontId="12" fillId="0" borderId="22" xfId="116" applyFont="1" applyBorder="1" applyAlignment="1">
      <alignment horizontal="left" vertical="center" shrinkToFit="1"/>
    </xf>
    <xf numFmtId="0" fontId="15" fillId="4" borderId="0" xfId="116" applyFont="1" applyFill="1" applyAlignment="1">
      <alignment vertical="center"/>
    </xf>
    <xf numFmtId="0" fontId="10" fillId="6" borderId="49" xfId="116" applyFont="1" applyFill="1" applyBorder="1" applyAlignment="1">
      <alignment horizontal="center" vertical="center"/>
    </xf>
    <xf numFmtId="0" fontId="30" fillId="6" borderId="30" xfId="0" applyFont="1" applyFill="1" applyBorder="1" applyAlignment="1">
      <alignment horizontal="center" vertical="center"/>
    </xf>
    <xf numFmtId="0" fontId="10" fillId="6" borderId="30" xfId="116" applyFont="1" applyFill="1" applyBorder="1" applyAlignment="1">
      <alignment horizontal="center" vertical="center"/>
    </xf>
    <xf numFmtId="0" fontId="10" fillId="6" borderId="31" xfId="116" applyFont="1" applyFill="1" applyBorder="1" applyAlignment="1">
      <alignment horizontal="center" vertical="center"/>
    </xf>
    <xf numFmtId="176" fontId="29" fillId="0" borderId="0" xfId="148" applyNumberFormat="1" applyFont="1" applyAlignment="1">
      <alignment horizontal="center" vertical="center" shrinkToFit="1"/>
    </xf>
    <xf numFmtId="0" fontId="12" fillId="0" borderId="11" xfId="116" applyFont="1" applyBorder="1" applyAlignment="1">
      <alignment vertical="center" shrinkToFit="1"/>
    </xf>
    <xf numFmtId="0" fontId="12" fillId="0" borderId="12" xfId="116" applyFont="1" applyBorder="1" applyAlignment="1">
      <alignment vertical="center" shrinkToFit="1"/>
    </xf>
    <xf numFmtId="176" fontId="12" fillId="0" borderId="12" xfId="1" applyFont="1" applyFill="1" applyBorder="1" applyAlignment="1">
      <alignment horizontal="right" vertical="center"/>
    </xf>
    <xf numFmtId="0" fontId="22" fillId="0" borderId="12" xfId="116" applyFont="1" applyBorder="1" applyAlignment="1">
      <alignment horizontal="left" vertical="center" shrinkToFit="1"/>
    </xf>
    <xf numFmtId="0" fontId="12" fillId="0" borderId="13" xfId="116" applyFont="1" applyBorder="1" applyAlignment="1">
      <alignment vertical="center" shrinkToFit="1"/>
    </xf>
    <xf numFmtId="0" fontId="12" fillId="4" borderId="12" xfId="116" applyFont="1" applyFill="1" applyBorder="1" applyAlignment="1">
      <alignment horizontal="left" vertical="center" shrinkToFit="1"/>
    </xf>
    <xf numFmtId="0" fontId="12" fillId="0" borderId="20" xfId="116" applyFont="1" applyBorder="1" applyAlignment="1">
      <alignment vertical="center" shrinkToFit="1"/>
    </xf>
    <xf numFmtId="0" fontId="12" fillId="0" borderId="21" xfId="116" applyFont="1" applyBorder="1" applyAlignment="1">
      <alignment vertical="center" shrinkToFit="1"/>
    </xf>
    <xf numFmtId="176" fontId="12" fillId="0" borderId="21" xfId="1" applyFont="1" applyFill="1" applyBorder="1" applyAlignment="1">
      <alignment horizontal="right" vertical="center"/>
    </xf>
    <xf numFmtId="0" fontId="12" fillId="0" borderId="22" xfId="116" applyFont="1" applyBorder="1" applyAlignment="1">
      <alignment vertical="center" shrinkToFit="1"/>
    </xf>
    <xf numFmtId="0" fontId="15" fillId="0" borderId="0" xfId="116" applyFont="1" applyAlignment="1">
      <alignment vertical="center"/>
    </xf>
    <xf numFmtId="0" fontId="22" fillId="0" borderId="0" xfId="116" applyFont="1" applyAlignment="1">
      <alignment horizontal="center" vertical="center"/>
    </xf>
    <xf numFmtId="176" fontId="10" fillId="4" borderId="0" xfId="116" applyNumberFormat="1" applyFont="1" applyFill="1" applyAlignment="1">
      <alignment horizontal="right" vertical="center" shrinkToFit="1"/>
    </xf>
    <xf numFmtId="0" fontId="11" fillId="4" borderId="0" xfId="116" applyFont="1" applyFill="1" applyAlignment="1">
      <alignment vertical="center" wrapText="1"/>
    </xf>
    <xf numFmtId="0" fontId="15" fillId="6" borderId="12" xfId="116" applyFont="1" applyFill="1" applyBorder="1" applyAlignment="1">
      <alignment horizontal="center" vertical="center" wrapText="1"/>
    </xf>
    <xf numFmtId="0" fontId="10" fillId="8" borderId="12" xfId="0" applyFont="1" applyFill="1" applyBorder="1" applyAlignment="1">
      <alignment horizontal="center" vertical="center" wrapText="1"/>
    </xf>
    <xf numFmtId="0" fontId="22" fillId="0" borderId="0" xfId="116" applyFont="1" applyAlignment="1">
      <alignment horizontal="center" vertical="center" wrapText="1"/>
    </xf>
    <xf numFmtId="0" fontId="15" fillId="0" borderId="0" xfId="148" applyFont="1" applyAlignment="1">
      <alignment vertical="center" wrapText="1"/>
    </xf>
    <xf numFmtId="9" fontId="15" fillId="0" borderId="0" xfId="124" applyFont="1" applyAlignment="1" applyProtection="1">
      <alignment vertical="center" wrapText="1"/>
    </xf>
    <xf numFmtId="0" fontId="10" fillId="0" borderId="0" xfId="148" applyFont="1" applyAlignment="1">
      <alignment vertical="center" wrapText="1"/>
    </xf>
    <xf numFmtId="0" fontId="22" fillId="6" borderId="12" xfId="116" applyFont="1" applyFill="1" applyBorder="1" applyAlignment="1">
      <alignment horizontal="center" vertical="center"/>
    </xf>
    <xf numFmtId="0" fontId="22" fillId="6" borderId="12" xfId="0" applyFont="1" applyFill="1" applyBorder="1" applyAlignment="1">
      <alignment horizontal="center" vertical="center"/>
    </xf>
    <xf numFmtId="176" fontId="22" fillId="0" borderId="0" xfId="1" applyFont="1" applyFill="1" applyProtection="1"/>
    <xf numFmtId="0" fontId="12" fillId="0" borderId="11" xfId="148" applyFont="1" applyBorder="1" applyAlignment="1">
      <alignment horizontal="left" vertical="center" shrinkToFit="1"/>
    </xf>
    <xf numFmtId="0" fontId="12" fillId="0" borderId="56" xfId="116" applyFont="1" applyBorder="1" applyAlignment="1">
      <alignment horizontal="left"/>
    </xf>
    <xf numFmtId="0" fontId="12" fillId="0" borderId="57" xfId="116" applyFont="1" applyBorder="1" applyAlignment="1">
      <alignment horizontal="left" vertical="center"/>
    </xf>
    <xf numFmtId="176" fontId="12" fillId="0" borderId="57" xfId="116" applyNumberFormat="1" applyFont="1" applyBorder="1" applyAlignment="1">
      <alignment horizontal="right" vertical="center" shrinkToFit="1"/>
    </xf>
    <xf numFmtId="0" fontId="22" fillId="0" borderId="57" xfId="43" applyNumberFormat="1" applyFont="1" applyBorder="1" applyAlignment="1">
      <alignment horizontal="left" vertical="center"/>
    </xf>
    <xf numFmtId="176" fontId="12" fillId="0" borderId="57" xfId="3" applyNumberFormat="1" applyFont="1" applyFill="1" applyBorder="1" applyAlignment="1">
      <alignment horizontal="right" vertical="center" shrinkToFit="1"/>
    </xf>
    <xf numFmtId="10" fontId="12" fillId="0" borderId="63" xfId="3" applyNumberFormat="1" applyFont="1" applyFill="1" applyBorder="1" applyAlignment="1">
      <alignment horizontal="left" vertical="center" shrinkToFit="1"/>
    </xf>
    <xf numFmtId="176" fontId="12" fillId="0" borderId="12" xfId="116" applyNumberFormat="1" applyFont="1" applyBorder="1" applyAlignment="1">
      <alignment horizontal="right" vertical="center" shrinkToFit="1"/>
    </xf>
    <xf numFmtId="176" fontId="12" fillId="0" borderId="1" xfId="1" applyFont="1" applyFill="1" applyBorder="1" applyAlignment="1">
      <alignment horizontal="right" vertical="center" shrinkToFit="1"/>
    </xf>
    <xf numFmtId="0" fontId="12" fillId="4" borderId="60" xfId="116" applyFont="1" applyFill="1" applyBorder="1" applyAlignment="1">
      <alignment horizontal="left" vertical="center"/>
    </xf>
    <xf numFmtId="176" fontId="28" fillId="0" borderId="0" xfId="1" applyFont="1" applyFill="1" applyProtection="1"/>
    <xf numFmtId="10" fontId="12" fillId="0" borderId="57" xfId="3" applyNumberFormat="1" applyFont="1" applyFill="1" applyBorder="1" applyAlignment="1">
      <alignment horizontal="left" vertical="center" shrinkToFit="1"/>
    </xf>
    <xf numFmtId="176" fontId="12" fillId="0" borderId="64" xfId="116" applyNumberFormat="1" applyFont="1" applyBorder="1" applyAlignment="1">
      <alignment horizontal="right" vertical="center" shrinkToFit="1"/>
    </xf>
    <xf numFmtId="176" fontId="12" fillId="0" borderId="5" xfId="116" applyNumberFormat="1" applyFont="1" applyBorder="1" applyAlignment="1">
      <alignment horizontal="right" vertical="center" shrinkToFit="1"/>
    </xf>
    <xf numFmtId="176" fontId="12" fillId="0" borderId="65" xfId="1" applyFont="1" applyFill="1" applyBorder="1" applyAlignment="1">
      <alignment horizontal="right" vertical="center" shrinkToFit="1"/>
    </xf>
    <xf numFmtId="176" fontId="12" fillId="0" borderId="63" xfId="116" applyNumberFormat="1" applyFont="1" applyBorder="1" applyAlignment="1">
      <alignment horizontal="right" vertical="center" shrinkToFit="1"/>
    </xf>
    <xf numFmtId="0" fontId="12" fillId="0" borderId="20" xfId="148" applyFont="1" applyBorder="1" applyAlignment="1">
      <alignment horizontal="left" vertical="center" shrinkToFit="1"/>
    </xf>
    <xf numFmtId="0" fontId="12" fillId="0" borderId="66" xfId="116" applyFont="1" applyBorder="1" applyAlignment="1">
      <alignment horizontal="left" vertical="center"/>
    </xf>
    <xf numFmtId="0" fontId="12" fillId="0" borderId="67" xfId="43" applyNumberFormat="1" applyFont="1" applyFill="1" applyBorder="1" applyAlignment="1" applyProtection="1">
      <alignment horizontal="left" vertical="center"/>
    </xf>
    <xf numFmtId="176" fontId="12" fillId="0" borderId="67" xfId="43" applyFont="1" applyFill="1" applyBorder="1" applyAlignment="1" applyProtection="1">
      <alignment horizontal="right" vertical="center" shrinkToFit="1"/>
    </xf>
    <xf numFmtId="176" fontId="22" fillId="0" borderId="67" xfId="43" applyFont="1" applyFill="1" applyBorder="1" applyAlignment="1" applyProtection="1">
      <alignment horizontal="left" vertical="center"/>
    </xf>
    <xf numFmtId="176" fontId="12" fillId="0" borderId="67" xfId="3" applyNumberFormat="1" applyFont="1" applyFill="1" applyBorder="1" applyAlignment="1">
      <alignment horizontal="right" vertical="center" shrinkToFit="1"/>
    </xf>
    <xf numFmtId="10" fontId="12" fillId="0" borderId="67" xfId="3" applyNumberFormat="1" applyFont="1" applyFill="1" applyBorder="1" applyAlignment="1" applyProtection="1">
      <alignment horizontal="left" vertical="center" shrinkToFit="1"/>
    </xf>
    <xf numFmtId="176" fontId="12" fillId="0" borderId="67" xfId="116" applyNumberFormat="1" applyFont="1" applyBorder="1" applyAlignment="1">
      <alignment horizontal="right" vertical="center" shrinkToFit="1"/>
    </xf>
    <xf numFmtId="176" fontId="12" fillId="0" borderId="68" xfId="116" applyNumberFormat="1" applyFont="1" applyBorder="1" applyAlignment="1">
      <alignment horizontal="right" vertical="center" shrinkToFit="1"/>
    </xf>
    <xf numFmtId="176" fontId="12" fillId="0" borderId="37" xfId="1" applyFont="1" applyFill="1" applyBorder="1" applyAlignment="1">
      <alignment horizontal="right" vertical="center" shrinkToFit="1"/>
    </xf>
    <xf numFmtId="0" fontId="12" fillId="4" borderId="69" xfId="116" applyFont="1" applyFill="1" applyBorder="1" applyAlignment="1">
      <alignment horizontal="left" vertical="center"/>
    </xf>
    <xf numFmtId="0" fontId="11" fillId="0" borderId="0" xfId="116" applyFont="1" applyAlignment="1">
      <alignment vertical="center"/>
    </xf>
    <xf numFmtId="0" fontId="31" fillId="0" borderId="6" xfId="0" applyFont="1" applyBorder="1">
      <alignment vertical="center"/>
    </xf>
    <xf numFmtId="0" fontId="21" fillId="0" borderId="7" xfId="69" applyFont="1" applyBorder="1" applyAlignment="1">
      <alignment vertical="center"/>
    </xf>
    <xf numFmtId="0" fontId="21" fillId="4" borderId="8" xfId="0" applyFont="1" applyFill="1" applyBorder="1">
      <alignment vertical="center"/>
    </xf>
    <xf numFmtId="0" fontId="21" fillId="0" borderId="9" xfId="0" applyFont="1" applyBorder="1">
      <alignment vertical="center"/>
    </xf>
    <xf numFmtId="0" fontId="21" fillId="0" borderId="0" xfId="69" applyFont="1" applyAlignment="1">
      <alignment vertical="center"/>
    </xf>
    <xf numFmtId="0" fontId="21" fillId="4" borderId="10" xfId="0" applyFont="1" applyFill="1" applyBorder="1">
      <alignment vertical="center"/>
    </xf>
    <xf numFmtId="0" fontId="12" fillId="4" borderId="0" xfId="0" applyFont="1" applyFill="1">
      <alignment vertical="center"/>
    </xf>
    <xf numFmtId="0" fontId="17" fillId="0" borderId="9" xfId="0" applyFont="1" applyBorder="1">
      <alignment vertical="center"/>
    </xf>
    <xf numFmtId="17" fontId="17" fillId="0" borderId="0" xfId="0" applyNumberFormat="1" applyFont="1" applyAlignment="1">
      <alignment horizontal="center" vertical="center"/>
    </xf>
    <xf numFmtId="0" fontId="16" fillId="0" borderId="0" xfId="0" applyFont="1">
      <alignment vertical="center"/>
    </xf>
    <xf numFmtId="0" fontId="32" fillId="4" borderId="0" xfId="0" applyFont="1" applyFill="1" applyAlignment="1">
      <alignment horizontal="left" vertical="center"/>
    </xf>
    <xf numFmtId="0" fontId="17" fillId="0" borderId="11" xfId="0" applyFont="1" applyBorder="1" applyAlignment="1">
      <alignment horizontal="left" vertical="center"/>
    </xf>
    <xf numFmtId="0" fontId="21" fillId="4" borderId="13" xfId="0" applyFont="1" applyFill="1" applyBorder="1">
      <alignment vertical="center"/>
    </xf>
    <xf numFmtId="0" fontId="21" fillId="0" borderId="11" xfId="0" applyFont="1" applyBorder="1" applyAlignment="1">
      <alignment horizontal="left" vertical="center"/>
    </xf>
    <xf numFmtId="17" fontId="17" fillId="0" borderId="24" xfId="0" applyNumberFormat="1" applyFont="1" applyBorder="1" applyAlignment="1">
      <alignment horizontal="center" vertical="center"/>
    </xf>
    <xf numFmtId="17" fontId="17" fillId="0" borderId="25" xfId="0" applyNumberFormat="1" applyFont="1" applyBorder="1" applyAlignment="1">
      <alignment horizontal="center" vertical="center"/>
    </xf>
    <xf numFmtId="0" fontId="16" fillId="0" borderId="25" xfId="0" applyFont="1" applyBorder="1">
      <alignment vertical="center"/>
    </xf>
    <xf numFmtId="0" fontId="17" fillId="4" borderId="26" xfId="0" applyFont="1" applyFill="1" applyBorder="1">
      <alignment vertical="center"/>
    </xf>
    <xf numFmtId="183" fontId="12" fillId="4" borderId="0" xfId="69" applyNumberFormat="1" applyFont="1" applyFill="1" applyAlignment="1">
      <alignment vertical="center" wrapText="1"/>
    </xf>
    <xf numFmtId="0" fontId="22" fillId="4" borderId="0" xfId="0" applyFont="1" applyFill="1" applyAlignment="1">
      <alignment horizontal="center" vertical="center"/>
    </xf>
    <xf numFmtId="0" fontId="10" fillId="0" borderId="0" xfId="148" applyFont="1" applyAlignment="1" applyProtection="1">
      <alignment horizontal="left" vertical="center"/>
      <protection locked="0"/>
    </xf>
    <xf numFmtId="183" fontId="12" fillId="0" borderId="0" xfId="69" applyNumberFormat="1" applyFont="1" applyAlignment="1">
      <alignment vertical="center" wrapText="1"/>
    </xf>
    <xf numFmtId="0" fontId="10" fillId="6" borderId="35" xfId="91" applyFont="1" applyFill="1" applyBorder="1" applyAlignment="1">
      <alignment horizontal="left" vertical="center"/>
    </xf>
    <xf numFmtId="181" fontId="12" fillId="0" borderId="70" xfId="1" applyNumberFormat="1" applyFont="1" applyFill="1" applyBorder="1" applyAlignment="1" applyProtection="1">
      <alignment vertical="center" wrapText="1"/>
      <protection locked="0"/>
    </xf>
    <xf numFmtId="0" fontId="24" fillId="6" borderId="20" xfId="91" applyFont="1" applyFill="1" applyBorder="1" applyAlignment="1">
      <alignment horizontal="left" vertical="center"/>
    </xf>
    <xf numFmtId="9" fontId="12" fillId="0" borderId="22" xfId="93" applyNumberFormat="1" applyFont="1" applyBorder="1" applyAlignment="1" applyProtection="1">
      <alignment vertical="center" wrapText="1"/>
      <protection locked="0"/>
    </xf>
    <xf numFmtId="0" fontId="22" fillId="0" borderId="0" xfId="0" applyFont="1" applyAlignment="1">
      <alignment horizontal="center" vertical="center"/>
    </xf>
    <xf numFmtId="183" fontId="22" fillId="4" borderId="0" xfId="69" applyNumberFormat="1" applyFont="1" applyFill="1" applyAlignment="1">
      <alignment horizontal="center" vertical="center" wrapText="1"/>
    </xf>
    <xf numFmtId="0" fontId="22" fillId="9" borderId="0" xfId="0" applyFont="1" applyFill="1" applyAlignment="1">
      <alignment horizontal="center" vertical="center"/>
    </xf>
    <xf numFmtId="0" fontId="33" fillId="0" borderId="0" xfId="0" applyFont="1" applyAlignment="1">
      <alignment horizontal="center" vertical="center"/>
    </xf>
    <xf numFmtId="0" fontId="22" fillId="0" borderId="0" xfId="86" applyFont="1" applyAlignment="1">
      <alignment vertical="center"/>
    </xf>
    <xf numFmtId="14" fontId="27" fillId="0" borderId="34" xfId="148" applyNumberFormat="1" applyFont="1" applyBorder="1" applyAlignment="1">
      <alignment vertical="center" wrapText="1"/>
    </xf>
    <xf numFmtId="14" fontId="27" fillId="0" borderId="28" xfId="148" applyNumberFormat="1" applyFont="1" applyBorder="1" applyAlignment="1">
      <alignment vertical="center" wrapText="1"/>
    </xf>
    <xf numFmtId="14" fontId="27" fillId="0" borderId="28" xfId="148" applyNumberFormat="1" applyFont="1" applyBorder="1" applyAlignment="1">
      <alignment horizontal="center" vertical="center" wrapText="1"/>
    </xf>
    <xf numFmtId="0" fontId="24" fillId="0" borderId="29" xfId="0" applyFont="1" applyBorder="1" applyAlignment="1">
      <alignment horizontal="center" vertical="center" wrapText="1"/>
    </xf>
    <xf numFmtId="14" fontId="27" fillId="0" borderId="30" xfId="148" applyNumberFormat="1" applyFont="1" applyBorder="1" applyAlignment="1">
      <alignment horizontal="center" vertical="center" wrapText="1"/>
    </xf>
    <xf numFmtId="0" fontId="24" fillId="4" borderId="34" xfId="148" applyFont="1" applyFill="1" applyBorder="1" applyAlignment="1">
      <alignment horizontal="right" vertical="center" shrinkToFit="1"/>
    </xf>
    <xf numFmtId="0" fontId="27" fillId="4" borderId="29" xfId="148" applyFont="1" applyFill="1" applyBorder="1" applyAlignment="1">
      <alignment vertical="center" shrinkToFit="1"/>
    </xf>
    <xf numFmtId="0" fontId="22" fillId="6" borderId="7" xfId="0" applyFont="1" applyFill="1" applyBorder="1">
      <alignment vertical="center"/>
    </xf>
    <xf numFmtId="0" fontId="9" fillId="0" borderId="0" xfId="0" applyFont="1">
      <alignment vertical="center"/>
    </xf>
    <xf numFmtId="0" fontId="28" fillId="0" borderId="0" xfId="0" applyFont="1" applyAlignment="1">
      <alignment vertical="top"/>
    </xf>
    <xf numFmtId="0" fontId="27" fillId="10" borderId="12" xfId="148" applyFont="1" applyFill="1" applyBorder="1" applyAlignment="1">
      <alignment horizontal="center" vertical="center" wrapText="1"/>
    </xf>
    <xf numFmtId="0" fontId="7" fillId="6" borderId="12" xfId="148" applyFont="1" applyFill="1" applyBorder="1" applyAlignment="1">
      <alignment horizontal="center" vertical="center" wrapText="1"/>
    </xf>
    <xf numFmtId="0" fontId="27" fillId="4" borderId="12" xfId="148" applyFont="1" applyFill="1" applyBorder="1" applyAlignment="1">
      <alignment horizontal="center" vertical="center" wrapText="1"/>
    </xf>
    <xf numFmtId="0" fontId="24" fillId="9" borderId="36" xfId="0" applyFont="1" applyFill="1" applyBorder="1" applyAlignment="1">
      <alignment horizontal="center" vertical="center" wrapText="1"/>
    </xf>
    <xf numFmtId="0" fontId="10" fillId="4" borderId="12" xfId="148" applyFont="1" applyFill="1" applyBorder="1" applyAlignment="1">
      <alignment horizontal="center" vertical="center"/>
    </xf>
    <xf numFmtId="0" fontId="22" fillId="6" borderId="71" xfId="0" applyFont="1" applyFill="1" applyBorder="1" applyAlignment="1">
      <alignment horizontal="center" vertical="top"/>
    </xf>
    <xf numFmtId="0" fontId="9" fillId="4" borderId="10" xfId="0" applyFont="1" applyFill="1" applyBorder="1">
      <alignment vertical="center"/>
    </xf>
    <xf numFmtId="0" fontId="1" fillId="0" borderId="3" xfId="119" applyFont="1" applyBorder="1" applyAlignment="1">
      <alignment horizontal="left" vertical="center"/>
    </xf>
    <xf numFmtId="0" fontId="1" fillId="0" borderId="12" xfId="119" applyFont="1" applyBorder="1" applyAlignment="1">
      <alignment horizontal="left" vertical="center"/>
    </xf>
    <xf numFmtId="0" fontId="34" fillId="0" borderId="56" xfId="4" applyFont="1" applyBorder="1" applyAlignment="1">
      <alignment horizontal="center"/>
    </xf>
    <xf numFmtId="176" fontId="12" fillId="0" borderId="3" xfId="148" applyNumberFormat="1" applyFont="1" applyBorder="1" applyAlignment="1">
      <alignment horizontal="right" vertical="center" shrinkToFit="1"/>
    </xf>
    <xf numFmtId="176" fontId="12" fillId="4" borderId="12" xfId="148" applyNumberFormat="1" applyFont="1" applyFill="1" applyBorder="1" applyAlignment="1">
      <alignment horizontal="right" vertical="center" shrinkToFit="1"/>
    </xf>
    <xf numFmtId="176" fontId="12" fillId="0" borderId="12" xfId="148" applyNumberFormat="1" applyFont="1" applyBorder="1" applyAlignment="1">
      <alignment horizontal="right" vertical="center" shrinkToFit="1"/>
    </xf>
    <xf numFmtId="10" fontId="12" fillId="4" borderId="12" xfId="123" applyNumberFormat="1" applyFont="1" applyFill="1" applyBorder="1" applyAlignment="1" applyProtection="1">
      <alignment horizontal="center" vertical="center" shrinkToFit="1"/>
    </xf>
    <xf numFmtId="49" fontId="22" fillId="4" borderId="2" xfId="0" applyNumberFormat="1" applyFont="1" applyFill="1" applyBorder="1" applyAlignment="1">
      <alignment horizontal="left" vertical="center" shrinkToFit="1"/>
    </xf>
    <xf numFmtId="9" fontId="9" fillId="0" borderId="12" xfId="107" applyNumberFormat="1" applyFont="1" applyBorder="1" applyAlignment="1" applyProtection="1">
      <alignment horizontal="center" vertical="center"/>
      <protection locked="0"/>
    </xf>
    <xf numFmtId="0" fontId="23" fillId="0" borderId="13" xfId="129" applyFont="1" applyBorder="1" applyAlignment="1">
      <alignment horizontal="left" vertical="center"/>
    </xf>
    <xf numFmtId="49" fontId="12" fillId="4" borderId="2" xfId="0" applyNumberFormat="1" applyFont="1" applyFill="1" applyBorder="1" applyAlignment="1">
      <alignment horizontal="left" vertical="center" shrinkToFit="1"/>
    </xf>
    <xf numFmtId="0" fontId="1" fillId="0" borderId="20" xfId="119" applyFont="1" applyBorder="1" applyAlignment="1">
      <alignment horizontal="left" vertical="center"/>
    </xf>
    <xf numFmtId="0" fontId="1" fillId="0" borderId="58" xfId="119" applyFont="1" applyBorder="1" applyAlignment="1">
      <alignment horizontal="left" vertical="center"/>
    </xf>
    <xf numFmtId="176" fontId="12" fillId="4" borderId="21" xfId="148" applyNumberFormat="1" applyFont="1" applyFill="1" applyBorder="1" applyAlignment="1">
      <alignment horizontal="right" vertical="center" shrinkToFit="1"/>
    </xf>
    <xf numFmtId="10" fontId="12" fillId="4" borderId="21" xfId="123" applyNumberFormat="1" applyFont="1" applyFill="1" applyBorder="1" applyAlignment="1" applyProtection="1">
      <alignment horizontal="center" vertical="center" shrinkToFit="1"/>
    </xf>
    <xf numFmtId="9" fontId="9" fillId="0" borderId="21" xfId="107" applyNumberFormat="1" applyFont="1" applyBorder="1" applyAlignment="1" applyProtection="1">
      <alignment horizontal="center" vertical="center"/>
      <protection locked="0"/>
    </xf>
    <xf numFmtId="0" fontId="23" fillId="0" borderId="22" xfId="129" applyFont="1" applyBorder="1" applyAlignment="1">
      <alignment horizontal="left" vertical="center"/>
    </xf>
    <xf numFmtId="0" fontId="22" fillId="0" borderId="7" xfId="0" applyFont="1" applyBorder="1" applyAlignment="1">
      <alignment horizontal="center" vertical="center"/>
    </xf>
    <xf numFmtId="184" fontId="10" fillId="0" borderId="0" xfId="119" applyNumberFormat="1" applyFont="1" applyAlignment="1">
      <alignment vertical="center" wrapText="1"/>
    </xf>
    <xf numFmtId="176" fontId="12" fillId="0" borderId="0" xfId="86" applyNumberFormat="1" applyFont="1" applyAlignment="1">
      <alignment horizontal="right" vertical="center" shrinkToFit="1"/>
    </xf>
    <xf numFmtId="176" fontId="9" fillId="0" borderId="0" xfId="41" applyFont="1" applyFill="1" applyBorder="1" applyAlignment="1" applyProtection="1">
      <alignment horizontal="right" vertical="center" shrinkToFit="1"/>
    </xf>
    <xf numFmtId="0" fontId="22" fillId="4" borderId="0" xfId="0" applyFont="1" applyFill="1" applyAlignment="1">
      <alignment horizontal="right" vertical="center"/>
    </xf>
    <xf numFmtId="0" fontId="22" fillId="0" borderId="0" xfId="0" applyFont="1" applyAlignment="1">
      <alignment horizontal="left" vertical="center"/>
    </xf>
    <xf numFmtId="0" fontId="28" fillId="4" borderId="0" xfId="0" applyFont="1" applyFill="1">
      <alignment vertical="center"/>
    </xf>
    <xf numFmtId="178" fontId="28" fillId="4" borderId="0" xfId="0" applyNumberFormat="1" applyFont="1" applyFill="1">
      <alignment vertical="center"/>
    </xf>
    <xf numFmtId="0" fontId="8" fillId="0" borderId="0" xfId="148" applyFont="1" applyAlignment="1">
      <alignment horizontal="left" vertical="center"/>
    </xf>
    <xf numFmtId="0" fontId="35" fillId="0" borderId="0" xfId="148" applyFont="1" applyAlignment="1">
      <alignment horizontal="left" vertical="center"/>
    </xf>
    <xf numFmtId="0" fontId="12" fillId="0" borderId="0" xfId="148" applyFont="1" applyAlignment="1">
      <alignment horizontal="center" vertical="center"/>
    </xf>
    <xf numFmtId="0" fontId="1" fillId="0" borderId="0" xfId="148" applyFont="1" applyAlignment="1">
      <alignment horizontal="left" vertical="center"/>
    </xf>
    <xf numFmtId="0" fontId="22" fillId="0" borderId="0" xfId="148" applyFont="1" applyAlignment="1">
      <alignment horizontal="left" vertical="center"/>
    </xf>
    <xf numFmtId="0" fontId="12" fillId="0" borderId="6" xfId="148" applyFont="1" applyBorder="1" applyAlignment="1">
      <alignment vertical="center" wrapText="1"/>
    </xf>
    <xf numFmtId="0" fontId="12" fillId="0" borderId="7" xfId="148" applyFont="1" applyBorder="1" applyAlignment="1">
      <alignment vertical="center" wrapText="1"/>
    </xf>
    <xf numFmtId="0" fontId="12" fillId="0" borderId="8" xfId="148" applyFont="1" applyBorder="1" applyAlignment="1">
      <alignment vertical="center" wrapText="1"/>
    </xf>
    <xf numFmtId="0" fontId="12" fillId="0" borderId="9" xfId="148" applyFont="1" applyBorder="1" applyAlignment="1">
      <alignment vertical="center" wrapText="1"/>
    </xf>
    <xf numFmtId="0" fontId="12" fillId="0" borderId="10" xfId="148" applyFont="1" applyBorder="1" applyAlignment="1">
      <alignment vertical="center" wrapText="1"/>
    </xf>
    <xf numFmtId="0" fontId="12" fillId="0" borderId="24" xfId="148" applyFont="1" applyBorder="1" applyAlignment="1">
      <alignment vertical="center" wrapText="1"/>
    </xf>
    <xf numFmtId="0" fontId="12" fillId="0" borderId="25" xfId="148" applyFont="1" applyBorder="1" applyAlignment="1">
      <alignment vertical="center" wrapText="1"/>
    </xf>
    <xf numFmtId="0" fontId="12" fillId="0" borderId="26" xfId="148" applyFont="1" applyBorder="1" applyAlignment="1">
      <alignment vertical="center" wrapText="1"/>
    </xf>
    <xf numFmtId="0" fontId="9" fillId="4" borderId="0" xfId="0" applyFont="1" applyFill="1" applyAlignment="1">
      <alignment horizontal="center" vertical="center"/>
    </xf>
    <xf numFmtId="0" fontId="9" fillId="0" borderId="0" xfId="0" applyFont="1" applyAlignment="1">
      <alignment vertical="center" wrapText="1"/>
    </xf>
    <xf numFmtId="0" fontId="36" fillId="0" borderId="0" xfId="0" applyFont="1">
      <alignment vertical="center"/>
    </xf>
    <xf numFmtId="0" fontId="9" fillId="0" borderId="0" xfId="0" applyFont="1" applyAlignment="1"/>
    <xf numFmtId="0" fontId="37" fillId="0" borderId="0" xfId="4" applyFont="1" applyAlignment="1" applyProtection="1">
      <alignment horizontal="center" vertical="center"/>
    </xf>
    <xf numFmtId="0" fontId="23" fillId="0" borderId="0" xfId="0" applyFont="1" applyAlignment="1">
      <alignment horizontal="left" vertical="center"/>
    </xf>
    <xf numFmtId="0" fontId="9" fillId="3" borderId="6" xfId="0" applyFont="1" applyFill="1" applyBorder="1">
      <alignment vertical="center"/>
    </xf>
    <xf numFmtId="0" fontId="9" fillId="3" borderId="7" xfId="0" applyFont="1" applyFill="1" applyBorder="1">
      <alignment vertical="center"/>
    </xf>
    <xf numFmtId="0" fontId="9" fillId="3" borderId="7" xfId="0" applyFont="1" applyFill="1" applyBorder="1" applyAlignment="1">
      <alignment vertical="center" wrapText="1"/>
    </xf>
    <xf numFmtId="0" fontId="9" fillId="3" borderId="8" xfId="0" applyFont="1" applyFill="1" applyBorder="1">
      <alignment vertical="center"/>
    </xf>
    <xf numFmtId="0" fontId="38" fillId="0" borderId="0" xfId="0" applyFont="1">
      <alignment vertical="center"/>
    </xf>
    <xf numFmtId="0" fontId="37" fillId="0" borderId="0" xfId="4" applyFont="1" applyProtection="1"/>
    <xf numFmtId="0" fontId="9" fillId="4" borderId="9" xfId="0" applyFont="1" applyFill="1" applyBorder="1" applyAlignment="1">
      <alignment horizontal="left" vertical="center"/>
    </xf>
    <xf numFmtId="49" fontId="9" fillId="10" borderId="0" xfId="0" applyNumberFormat="1" applyFont="1" applyFill="1" applyAlignment="1">
      <alignment horizontal="center" vertical="center" shrinkToFit="1"/>
    </xf>
    <xf numFmtId="0" fontId="9" fillId="3" borderId="0" xfId="0" applyFont="1" applyFill="1" applyAlignment="1">
      <alignment vertical="center" wrapText="1"/>
    </xf>
    <xf numFmtId="0" fontId="9" fillId="4" borderId="0" xfId="0" applyFont="1" applyFill="1" applyAlignment="1">
      <alignment horizontal="left" vertical="center"/>
    </xf>
    <xf numFmtId="176" fontId="9" fillId="4" borderId="10" xfId="0" applyNumberFormat="1" applyFont="1" applyFill="1" applyBorder="1" applyAlignment="1">
      <alignment horizontal="right" vertical="center" shrinkToFit="1"/>
    </xf>
    <xf numFmtId="0" fontId="12" fillId="0" borderId="0" xfId="59" applyAlignment="1">
      <alignment horizontal="right"/>
    </xf>
    <xf numFmtId="0" fontId="9" fillId="3" borderId="9" xfId="0" applyFont="1" applyFill="1" applyBorder="1">
      <alignment vertical="center"/>
    </xf>
    <xf numFmtId="0" fontId="9" fillId="3" borderId="0" xfId="0" applyFont="1" applyFill="1">
      <alignment vertical="center"/>
    </xf>
    <xf numFmtId="0" fontId="9" fillId="3" borderId="0" xfId="0" applyFont="1" applyFill="1" applyAlignment="1">
      <alignment horizontal="left" vertical="center"/>
    </xf>
    <xf numFmtId="176" fontId="9" fillId="3" borderId="10" xfId="0" applyNumberFormat="1" applyFont="1" applyFill="1" applyBorder="1" applyAlignment="1">
      <alignment horizontal="right" vertical="center" shrinkToFit="1"/>
    </xf>
    <xf numFmtId="0" fontId="23" fillId="9" borderId="9" xfId="0" applyFont="1" applyFill="1" applyBorder="1" applyAlignment="1">
      <alignment horizontal="left" vertical="center"/>
    </xf>
    <xf numFmtId="14" fontId="9" fillId="10" borderId="0" xfId="0" applyNumberFormat="1" applyFont="1" applyFill="1" applyAlignment="1">
      <alignment horizontal="center" vertical="center" shrinkToFit="1"/>
    </xf>
    <xf numFmtId="0" fontId="23" fillId="0" borderId="0" xfId="0" applyFont="1" applyAlignment="1">
      <alignment vertical="center" wrapText="1"/>
    </xf>
    <xf numFmtId="0" fontId="37" fillId="0" borderId="0" xfId="4" applyFont="1" applyAlignment="1" applyProtection="1">
      <alignment vertical="center" wrapText="1"/>
    </xf>
    <xf numFmtId="0" fontId="28" fillId="3" borderId="0" xfId="0" applyFont="1" applyFill="1">
      <alignment vertical="center"/>
    </xf>
    <xf numFmtId="0" fontId="23" fillId="0" borderId="0" xfId="0" applyFont="1" applyAlignment="1"/>
    <xf numFmtId="0" fontId="9" fillId="6" borderId="9" xfId="0" applyFont="1" applyFill="1" applyBorder="1" applyAlignment="1">
      <alignment horizontal="left" vertical="center"/>
    </xf>
    <xf numFmtId="49" fontId="9" fillId="6" borderId="0" xfId="0" applyNumberFormat="1" applyFont="1" applyFill="1" applyAlignment="1">
      <alignment horizontal="center" vertical="center" shrinkToFit="1"/>
    </xf>
    <xf numFmtId="0" fontId="9" fillId="6" borderId="0" xfId="0" applyFont="1" applyFill="1" applyAlignment="1">
      <alignment horizontal="left" vertical="center"/>
    </xf>
    <xf numFmtId="176" fontId="9" fillId="6" borderId="10" xfId="0" applyNumberFormat="1" applyFont="1" applyFill="1" applyBorder="1" applyAlignment="1">
      <alignment horizontal="right" vertical="center" shrinkToFit="1"/>
    </xf>
    <xf numFmtId="0" fontId="9" fillId="3" borderId="24" xfId="0" applyFont="1" applyFill="1" applyBorder="1">
      <alignment vertical="center"/>
    </xf>
    <xf numFmtId="0" fontId="9" fillId="3" borderId="25" xfId="0" applyFont="1" applyFill="1" applyBorder="1">
      <alignment vertical="center"/>
    </xf>
    <xf numFmtId="0" fontId="9" fillId="3" borderId="25" xfId="0" applyFont="1" applyFill="1" applyBorder="1" applyAlignment="1">
      <alignment vertical="center" wrapText="1"/>
    </xf>
    <xf numFmtId="0" fontId="9" fillId="3" borderId="26" xfId="0" applyFont="1" applyFill="1" applyBorder="1">
      <alignment vertical="center"/>
    </xf>
    <xf numFmtId="0" fontId="12" fillId="0" borderId="0" xfId="0" applyFont="1" applyAlignment="1">
      <alignment vertical="center" wrapText="1"/>
    </xf>
    <xf numFmtId="0" fontId="9" fillId="0" borderId="0" xfId="0" applyFont="1" applyAlignment="1" applyProtection="1">
      <alignment horizontal="center" vertical="center"/>
      <protection locked="0"/>
    </xf>
    <xf numFmtId="0" fontId="10" fillId="6" borderId="73" xfId="0" applyFont="1" applyFill="1" applyBorder="1" applyAlignment="1">
      <alignment horizontal="center" vertical="center"/>
    </xf>
    <xf numFmtId="0" fontId="10" fillId="6" borderId="49" xfId="0" applyFont="1" applyFill="1" applyBorder="1" applyAlignment="1">
      <alignment horizontal="center" vertical="center"/>
    </xf>
    <xf numFmtId="0" fontId="10" fillId="6" borderId="34" xfId="0" applyFont="1" applyFill="1" applyBorder="1" applyAlignment="1">
      <alignment horizontal="center" vertical="center"/>
    </xf>
    <xf numFmtId="0" fontId="10" fillId="0" borderId="0" xfId="0" applyFont="1" applyAlignment="1">
      <alignment horizontal="center" vertical="center"/>
    </xf>
    <xf numFmtId="0" fontId="23" fillId="4" borderId="11" xfId="0" applyFont="1" applyFill="1" applyBorder="1" applyAlignment="1">
      <alignment horizontal="center" vertical="center"/>
    </xf>
    <xf numFmtId="0" fontId="23" fillId="0" borderId="1" xfId="0" applyFont="1" applyBorder="1" applyAlignment="1">
      <alignment horizontal="center" vertical="center"/>
    </xf>
    <xf numFmtId="181" fontId="23" fillId="0" borderId="74" xfId="1" applyNumberFormat="1" applyFont="1" applyFill="1" applyBorder="1" applyAlignment="1" applyProtection="1">
      <alignment horizontal="right" vertical="center"/>
      <protection locked="0"/>
    </xf>
    <xf numFmtId="181" fontId="9" fillId="0" borderId="75" xfId="1" applyNumberFormat="1" applyFont="1" applyFill="1" applyBorder="1" applyAlignment="1" applyProtection="1">
      <alignment vertical="center"/>
      <protection locked="0"/>
    </xf>
    <xf numFmtId="0" fontId="39" fillId="0" borderId="0" xfId="0" applyFont="1" applyAlignment="1">
      <alignment horizontal="center" vertical="center"/>
    </xf>
    <xf numFmtId="9" fontId="10" fillId="0" borderId="0" xfId="3" applyFont="1" applyFill="1" applyBorder="1" applyAlignment="1">
      <alignment horizontal="center" vertical="center"/>
    </xf>
    <xf numFmtId="0" fontId="38" fillId="0" borderId="11" xfId="0" applyFont="1" applyBorder="1" applyAlignment="1">
      <alignment horizontal="center" vertical="center"/>
    </xf>
    <xf numFmtId="181" fontId="9" fillId="0" borderId="76" xfId="1" applyNumberFormat="1" applyFont="1" applyFill="1" applyBorder="1" applyAlignment="1" applyProtection="1">
      <alignment vertical="center"/>
      <protection locked="0"/>
    </xf>
    <xf numFmtId="0" fontId="23" fillId="4" borderId="20" xfId="0" applyFont="1" applyFill="1" applyBorder="1" applyAlignment="1">
      <alignment horizontal="center" vertical="center" wrapText="1"/>
    </xf>
    <xf numFmtId="0" fontId="23" fillId="0" borderId="37" xfId="0" applyFont="1" applyBorder="1" applyAlignment="1">
      <alignment horizontal="center" vertical="center"/>
    </xf>
    <xf numFmtId="181" fontId="23" fillId="0" borderId="14" xfId="1" applyNumberFormat="1" applyFont="1" applyFill="1" applyBorder="1" applyAlignment="1" applyProtection="1">
      <alignment horizontal="right" vertical="center"/>
      <protection locked="0"/>
    </xf>
    <xf numFmtId="181" fontId="9" fillId="0" borderId="77" xfId="1" applyNumberFormat="1" applyFont="1" applyFill="1" applyBorder="1" applyAlignment="1" applyProtection="1">
      <alignment vertical="center"/>
      <protection locked="0"/>
    </xf>
    <xf numFmtId="0" fontId="40" fillId="0" borderId="0" xfId="0" applyFont="1" applyAlignment="1">
      <alignment horizontal="left" vertical="center" wrapText="1"/>
    </xf>
    <xf numFmtId="0" fontId="40" fillId="0" borderId="0" xfId="0" applyFont="1" applyAlignment="1">
      <alignment horizontal="left" vertical="center"/>
    </xf>
    <xf numFmtId="0" fontId="12" fillId="0" borderId="0" xfId="59" applyAlignment="1">
      <alignment horizontal="left" vertical="top"/>
    </xf>
    <xf numFmtId="0" fontId="12" fillId="0" borderId="0" xfId="59" applyAlignment="1">
      <alignment horizontal="left" vertical="top" wrapText="1"/>
    </xf>
    <xf numFmtId="0" fontId="22" fillId="4" borderId="0" xfId="0" applyFont="1" applyFill="1">
      <alignment vertical="center"/>
    </xf>
    <xf numFmtId="0" fontId="10" fillId="3" borderId="49" xfId="0" applyFont="1" applyFill="1" applyBorder="1" applyAlignment="1">
      <alignment horizontal="center" vertical="center" wrapText="1"/>
    </xf>
    <xf numFmtId="0" fontId="10" fillId="3" borderId="30" xfId="0" applyFont="1" applyFill="1" applyBorder="1" applyAlignment="1">
      <alignment horizontal="center" vertical="center" wrapText="1"/>
    </xf>
    <xf numFmtId="0" fontId="24" fillId="6" borderId="78" xfId="0" applyFont="1" applyFill="1" applyBorder="1" applyAlignment="1">
      <alignment horizontal="center" vertical="center" wrapText="1"/>
    </xf>
    <xf numFmtId="0" fontId="9" fillId="0" borderId="12" xfId="0" applyFont="1" applyBorder="1" applyAlignment="1">
      <alignment horizontal="center" vertical="center"/>
    </xf>
    <xf numFmtId="0" fontId="12" fillId="4" borderId="13" xfId="0" applyFont="1" applyFill="1" applyBorder="1" applyAlignment="1">
      <alignment horizontal="left" vertical="center" wrapText="1"/>
    </xf>
    <xf numFmtId="0" fontId="9" fillId="4" borderId="11" xfId="0" applyFont="1" applyFill="1" applyBorder="1" applyAlignment="1">
      <alignment horizontal="center" vertical="center"/>
    </xf>
    <xf numFmtId="0" fontId="12" fillId="4" borderId="12" xfId="0" applyFont="1" applyFill="1" applyBorder="1" applyAlignment="1">
      <alignment horizontal="left" vertical="center"/>
    </xf>
    <xf numFmtId="0" fontId="9" fillId="4" borderId="58" xfId="0" applyFont="1" applyFill="1" applyBorder="1" applyAlignment="1">
      <alignment vertical="center" wrapText="1"/>
    </xf>
    <xf numFmtId="0" fontId="9" fillId="4" borderId="12" xfId="0" applyFont="1" applyFill="1" applyBorder="1" applyAlignment="1">
      <alignment horizontal="center" vertical="center"/>
    </xf>
    <xf numFmtId="0" fontId="9" fillId="0" borderId="12" xfId="0" applyFont="1" applyBorder="1" applyAlignment="1">
      <alignment horizontal="left" vertical="center" wrapText="1"/>
    </xf>
    <xf numFmtId="0" fontId="12" fillId="4" borderId="20" xfId="0" applyFont="1" applyFill="1" applyBorder="1" applyAlignment="1">
      <alignment horizontal="center" vertical="center"/>
    </xf>
    <xf numFmtId="0" fontId="12" fillId="4" borderId="21" xfId="0" applyFont="1" applyFill="1" applyBorder="1" applyAlignment="1">
      <alignment horizontal="left" vertical="center"/>
    </xf>
    <xf numFmtId="0" fontId="9" fillId="4" borderId="21" xfId="0" applyFont="1" applyFill="1" applyBorder="1" applyAlignment="1">
      <alignment vertical="center" wrapText="1"/>
    </xf>
    <xf numFmtId="0" fontId="9" fillId="4" borderId="21" xfId="0" applyFont="1" applyFill="1" applyBorder="1" applyAlignment="1">
      <alignment horizontal="center" vertical="center"/>
    </xf>
    <xf numFmtId="0" fontId="9" fillId="0" borderId="21" xfId="0" applyFont="1" applyBorder="1" applyAlignment="1">
      <alignment horizontal="left" vertical="center" wrapText="1"/>
    </xf>
    <xf numFmtId="0" fontId="9" fillId="0" borderId="21" xfId="0" applyFont="1" applyBorder="1" applyAlignment="1">
      <alignment horizontal="center" vertical="center"/>
    </xf>
    <xf numFmtId="0" fontId="24" fillId="11" borderId="6" xfId="74" applyFont="1" applyFill="1" applyBorder="1" applyAlignment="1">
      <alignment horizontal="left" vertical="center"/>
    </xf>
    <xf numFmtId="0" fontId="9" fillId="11" borderId="7" xfId="74" applyFont="1" applyFill="1" applyBorder="1" applyAlignment="1">
      <alignment vertical="center"/>
    </xf>
    <xf numFmtId="0" fontId="22" fillId="11" borderId="7" xfId="74" applyFont="1" applyFill="1" applyBorder="1" applyAlignment="1">
      <alignment vertical="center"/>
    </xf>
    <xf numFmtId="0" fontId="9" fillId="11" borderId="8" xfId="74" applyFont="1" applyFill="1" applyBorder="1" applyAlignment="1">
      <alignment vertical="center"/>
    </xf>
    <xf numFmtId="0" fontId="24" fillId="0" borderId="9" xfId="74" applyFont="1" applyBorder="1" applyAlignment="1">
      <alignment horizontal="left" vertical="center"/>
    </xf>
    <xf numFmtId="0" fontId="9" fillId="0" borderId="0" xfId="74" applyFont="1" applyAlignment="1">
      <alignment vertical="center"/>
    </xf>
    <xf numFmtId="0" fontId="22" fillId="0" borderId="0" xfId="74" applyFont="1" applyAlignment="1">
      <alignment vertical="center"/>
    </xf>
    <xf numFmtId="0" fontId="9" fillId="0" borderId="10" xfId="74" applyFont="1" applyBorder="1" applyAlignment="1">
      <alignment vertical="center"/>
    </xf>
    <xf numFmtId="0" fontId="12" fillId="4" borderId="11" xfId="89" applyFont="1" applyFill="1" applyBorder="1" applyAlignment="1" applyProtection="1">
      <alignment horizontal="center" vertical="top"/>
      <protection locked="0"/>
    </xf>
    <xf numFmtId="0" fontId="12" fillId="4" borderId="20" xfId="89" applyFont="1" applyFill="1" applyBorder="1" applyAlignment="1" applyProtection="1">
      <alignment horizontal="center" vertical="top"/>
      <protection locked="0"/>
    </xf>
    <xf numFmtId="0" fontId="12" fillId="0" borderId="0" xfId="0" applyFont="1" applyAlignment="1">
      <alignment horizontal="left" vertical="top" wrapText="1"/>
    </xf>
    <xf numFmtId="0" fontId="22" fillId="0" borderId="11" xfId="129" applyFont="1" applyBorder="1" applyAlignment="1">
      <alignment horizontal="center" vertical="center"/>
    </xf>
    <xf numFmtId="0" fontId="9" fillId="0" borderId="1" xfId="129" applyFont="1" applyBorder="1">
      <alignment vertical="center"/>
    </xf>
    <xf numFmtId="0" fontId="9" fillId="0" borderId="71" xfId="129" applyFont="1" applyBorder="1">
      <alignment vertical="center"/>
    </xf>
    <xf numFmtId="0" fontId="9" fillId="0" borderId="48" xfId="129" applyFont="1" applyBorder="1">
      <alignment vertical="center"/>
    </xf>
    <xf numFmtId="0" fontId="33" fillId="0" borderId="11" xfId="129" applyFont="1" applyBorder="1" applyAlignment="1">
      <alignment horizontal="center" vertical="center"/>
    </xf>
    <xf numFmtId="0" fontId="9" fillId="0" borderId="33" xfId="129" applyFont="1" applyBorder="1">
      <alignment vertical="center"/>
    </xf>
    <xf numFmtId="0" fontId="9" fillId="0" borderId="2" xfId="129" applyFont="1" applyBorder="1">
      <alignment vertical="center"/>
    </xf>
    <xf numFmtId="0" fontId="9" fillId="0" borderId="82" xfId="129" applyFont="1" applyBorder="1">
      <alignment vertical="center"/>
    </xf>
    <xf numFmtId="0" fontId="12" fillId="0" borderId="1" xfId="72" applyFont="1" applyBorder="1" applyAlignment="1">
      <alignment vertical="center"/>
    </xf>
    <xf numFmtId="0" fontId="9" fillId="0" borderId="4" xfId="129" applyFont="1" applyBorder="1">
      <alignment vertical="center"/>
    </xf>
    <xf numFmtId="0" fontId="9" fillId="0" borderId="83" xfId="129" applyFont="1" applyBorder="1">
      <alignment vertical="center"/>
    </xf>
    <xf numFmtId="0" fontId="22" fillId="0" borderId="11" xfId="129" applyFont="1" applyBorder="1" applyAlignment="1" applyProtection="1">
      <alignment horizontal="center" vertical="center"/>
      <protection locked="0"/>
    </xf>
    <xf numFmtId="0" fontId="9" fillId="0" borderId="71" xfId="129" applyFont="1" applyBorder="1" applyProtection="1">
      <alignment vertical="center"/>
      <protection locked="0"/>
    </xf>
    <xf numFmtId="0" fontId="9" fillId="0" borderId="2" xfId="129" applyFont="1" applyBorder="1" applyProtection="1">
      <alignment vertical="center"/>
      <protection locked="0"/>
    </xf>
    <xf numFmtId="0" fontId="9" fillId="0" borderId="82" xfId="129" applyFont="1" applyBorder="1" applyProtection="1">
      <alignment vertical="center"/>
      <protection locked="0"/>
    </xf>
    <xf numFmtId="0" fontId="43" fillId="0" borderId="11" xfId="129" applyFont="1" applyBorder="1" applyAlignment="1">
      <alignment horizontal="center" vertical="center"/>
    </xf>
    <xf numFmtId="0" fontId="22" fillId="0" borderId="84" xfId="129" applyFont="1" applyBorder="1" applyAlignment="1">
      <alignment horizontal="center" vertical="center"/>
    </xf>
    <xf numFmtId="0" fontId="23" fillId="0" borderId="85" xfId="129" applyFont="1" applyBorder="1">
      <alignment vertical="center"/>
    </xf>
    <xf numFmtId="0" fontId="9" fillId="0" borderId="25" xfId="129" applyFont="1" applyBorder="1" applyProtection="1">
      <alignment vertical="center"/>
      <protection locked="0"/>
    </xf>
    <xf numFmtId="0" fontId="9" fillId="0" borderId="26" xfId="129" applyFont="1" applyBorder="1" applyProtection="1">
      <alignment vertical="center"/>
      <protection locked="0"/>
    </xf>
    <xf numFmtId="0" fontId="41" fillId="0" borderId="12" xfId="4" quotePrefix="1" applyFont="1" applyFill="1" applyBorder="1" applyAlignment="1" applyProtection="1">
      <alignment horizontal="center" vertical="center"/>
    </xf>
    <xf numFmtId="0" fontId="41" fillId="0" borderId="21" xfId="4" quotePrefix="1" applyFont="1" applyBorder="1" applyAlignment="1">
      <alignment horizontal="center" vertical="center"/>
    </xf>
    <xf numFmtId="0" fontId="34" fillId="0" borderId="56" xfId="4" quotePrefix="1" applyFont="1" applyBorder="1" applyAlignment="1">
      <alignment horizontal="center"/>
    </xf>
    <xf numFmtId="0" fontId="9" fillId="0" borderId="72" xfId="4" quotePrefix="1" applyNumberFormat="1" applyFont="1" applyFill="1" applyBorder="1" applyAlignment="1" applyProtection="1">
      <alignment horizontal="center" vertical="center" wrapText="1"/>
    </xf>
    <xf numFmtId="0" fontId="73" fillId="3" borderId="18" xfId="116" applyFont="1" applyFill="1" applyBorder="1" applyAlignment="1" applyProtection="1">
      <alignment horizontal="center" vertical="center"/>
      <protection locked="0"/>
    </xf>
    <xf numFmtId="176" fontId="73" fillId="3" borderId="18" xfId="1" applyFont="1" applyFill="1" applyBorder="1" applyAlignment="1" applyProtection="1">
      <alignment horizontal="center" vertical="center" wrapText="1"/>
      <protection locked="0"/>
    </xf>
    <xf numFmtId="0" fontId="73" fillId="3" borderId="18" xfId="116" applyFont="1" applyFill="1" applyBorder="1" applyAlignment="1" applyProtection="1">
      <alignment horizontal="center" vertical="center" wrapText="1"/>
      <protection locked="0"/>
    </xf>
    <xf numFmtId="0" fontId="73" fillId="3" borderId="87" xfId="116" applyFont="1" applyFill="1" applyBorder="1" applyAlignment="1" applyProtection="1">
      <alignment horizontal="center" vertical="center" wrapText="1"/>
      <protection locked="0"/>
    </xf>
    <xf numFmtId="0" fontId="73" fillId="2" borderId="18" xfId="116" applyFont="1" applyFill="1" applyBorder="1" applyAlignment="1" applyProtection="1">
      <alignment horizontal="center" vertical="center"/>
      <protection locked="0"/>
    </xf>
    <xf numFmtId="0" fontId="73" fillId="0" borderId="0" xfId="0" applyFont="1">
      <alignment vertical="center"/>
    </xf>
    <xf numFmtId="176" fontId="73" fillId="0" borderId="0" xfId="1" applyFont="1" applyAlignment="1">
      <alignment vertical="center"/>
    </xf>
    <xf numFmtId="14" fontId="73" fillId="0" borderId="0" xfId="0" applyNumberFormat="1" applyFont="1">
      <alignment vertical="center"/>
    </xf>
    <xf numFmtId="0" fontId="73" fillId="0" borderId="0" xfId="85" applyFont="1">
      <alignment vertical="center"/>
    </xf>
    <xf numFmtId="0" fontId="2" fillId="0" borderId="0" xfId="151" applyAlignment="1">
      <alignment vertical="center"/>
    </xf>
    <xf numFmtId="4" fontId="2" fillId="0" borderId="0" xfId="151" applyNumberFormat="1"/>
    <xf numFmtId="0" fontId="78" fillId="0" borderId="0" xfId="182" applyFont="1" applyAlignment="1" applyProtection="1">
      <alignment horizontal="center" vertical="center"/>
      <protection locked="0"/>
    </xf>
    <xf numFmtId="0" fontId="79" fillId="0" borderId="0" xfId="183" applyFont="1" applyAlignment="1" applyProtection="1">
      <alignment horizontal="center" vertical="center"/>
      <protection locked="0"/>
    </xf>
    <xf numFmtId="0" fontId="80" fillId="0" borderId="0" xfId="182" applyFont="1" applyAlignment="1" applyProtection="1">
      <alignment horizontal="center" vertical="center"/>
      <protection locked="0"/>
    </xf>
    <xf numFmtId="176" fontId="78" fillId="0" borderId="12" xfId="1" applyFont="1" applyFill="1" applyBorder="1" applyProtection="1">
      <protection locked="0"/>
    </xf>
    <xf numFmtId="176" fontId="78" fillId="0" borderId="12" xfId="1" applyFont="1" applyBorder="1"/>
    <xf numFmtId="0" fontId="82" fillId="14" borderId="12" xfId="184" applyFont="1" applyFill="1" applyBorder="1" applyAlignment="1">
      <alignment horizontal="center" vertical="center"/>
    </xf>
    <xf numFmtId="49" fontId="82" fillId="0" borderId="12" xfId="185" applyNumberFormat="1" applyFont="1" applyBorder="1" applyAlignment="1">
      <alignment horizontal="center" vertical="center"/>
    </xf>
    <xf numFmtId="49" fontId="81" fillId="0" borderId="12" xfId="186" applyNumberFormat="1" applyFont="1" applyFill="1" applyBorder="1" applyAlignment="1" applyProtection="1">
      <alignment horizontal="center" vertical="center"/>
      <protection locked="0"/>
    </xf>
    <xf numFmtId="49" fontId="80" fillId="4" borderId="12" xfId="148" applyNumberFormat="1" applyFont="1" applyFill="1" applyBorder="1" applyAlignment="1">
      <alignment horizontal="center" vertical="center" shrinkToFit="1"/>
    </xf>
    <xf numFmtId="0" fontId="80" fillId="4" borderId="12" xfId="187" applyFont="1" applyFill="1" applyBorder="1" applyAlignment="1">
      <alignment horizontal="center" vertical="center" shrinkToFit="1"/>
    </xf>
    <xf numFmtId="0" fontId="83" fillId="0" borderId="12" xfId="185" applyFont="1" applyBorder="1" applyAlignment="1">
      <alignment horizontal="center" vertical="center"/>
    </xf>
    <xf numFmtId="0" fontId="78" fillId="0" borderId="12" xfId="188" applyFont="1" applyFill="1" applyBorder="1" applyAlignment="1" applyProtection="1">
      <alignment horizontal="center" vertical="center"/>
      <protection locked="0"/>
    </xf>
    <xf numFmtId="49" fontId="78" fillId="0" borderId="12" xfId="188" applyNumberFormat="1" applyFont="1" applyFill="1" applyBorder="1" applyAlignment="1" applyProtection="1">
      <alignment horizontal="center" vertical="center"/>
      <protection locked="0"/>
    </xf>
    <xf numFmtId="0" fontId="78" fillId="0" borderId="12" xfId="0" applyFont="1" applyBorder="1" applyAlignment="1">
      <alignment horizontal="center" vertical="center"/>
    </xf>
    <xf numFmtId="0" fontId="2" fillId="0" borderId="0" xfId="0" applyFont="1">
      <alignment vertical="center"/>
    </xf>
    <xf numFmtId="0" fontId="12" fillId="0" borderId="88" xfId="116" applyFont="1" applyBorder="1" applyAlignment="1">
      <alignment vertical="center" shrinkToFit="1"/>
    </xf>
    <xf numFmtId="49" fontId="22" fillId="4" borderId="15" xfId="0" applyNumberFormat="1" applyFont="1" applyFill="1" applyBorder="1" applyAlignment="1">
      <alignment horizontal="left" vertical="center" shrinkToFit="1"/>
    </xf>
    <xf numFmtId="0" fontId="10" fillId="6" borderId="27" xfId="0" applyFont="1" applyFill="1" applyBorder="1" applyProtection="1">
      <alignment vertical="center"/>
      <protection locked="0"/>
    </xf>
    <xf numFmtId="0" fontId="22" fillId="6" borderId="28" xfId="0" applyFont="1" applyFill="1" applyBorder="1" applyProtection="1">
      <alignment vertical="center"/>
      <protection locked="0"/>
    </xf>
    <xf numFmtId="0" fontId="22" fillId="6" borderId="32" xfId="0" applyFont="1" applyFill="1" applyBorder="1" applyProtection="1">
      <alignment vertical="center"/>
      <protection locked="0"/>
    </xf>
    <xf numFmtId="0" fontId="25" fillId="0" borderId="89" xfId="0" applyFont="1" applyBorder="1">
      <alignment vertical="center"/>
    </xf>
    <xf numFmtId="0" fontId="22" fillId="0" borderId="90" xfId="0" applyFont="1" applyBorder="1" applyProtection="1">
      <alignment vertical="center"/>
      <protection locked="0"/>
    </xf>
    <xf numFmtId="0" fontId="12" fillId="0" borderId="9" xfId="0" applyFont="1" applyBorder="1" applyAlignment="1" applyProtection="1">
      <alignment horizontal="left" vertical="center" indent="2"/>
      <protection locked="0"/>
    </xf>
    <xf numFmtId="0" fontId="12" fillId="0" borderId="10" xfId="0" applyFont="1" applyBorder="1" applyProtection="1">
      <alignment vertical="center"/>
      <protection locked="0"/>
    </xf>
    <xf numFmtId="0" fontId="12" fillId="0" borderId="0" xfId="0" applyFont="1" applyAlignment="1" applyProtection="1">
      <alignment horizontal="left" vertical="center" wrapText="1" indent="2"/>
      <protection locked="0"/>
    </xf>
    <xf numFmtId="0" fontId="12" fillId="0" borderId="10" xfId="0" applyFont="1" applyBorder="1" applyAlignment="1" applyProtection="1">
      <alignment horizontal="left" vertical="center" wrapText="1" indent="2"/>
      <protection locked="0"/>
    </xf>
    <xf numFmtId="0" fontId="12" fillId="0" borderId="24" xfId="0" applyFont="1" applyBorder="1" applyAlignment="1" applyProtection="1">
      <alignment horizontal="left" vertical="center" indent="2"/>
      <protection locked="0"/>
    </xf>
    <xf numFmtId="0" fontId="12" fillId="0" borderId="25" xfId="0" applyFont="1" applyBorder="1" applyAlignment="1" applyProtection="1">
      <alignment horizontal="left" vertical="center" wrapText="1" indent="2"/>
      <protection locked="0"/>
    </xf>
    <xf numFmtId="0" fontId="12" fillId="0" borderId="26" xfId="0" applyFont="1" applyBorder="1" applyAlignment="1" applyProtection="1">
      <alignment horizontal="left" vertical="center" wrapText="1" indent="2"/>
      <protection locked="0"/>
    </xf>
    <xf numFmtId="0" fontId="85" fillId="16" borderId="0" xfId="0" applyFont="1" applyFill="1" applyAlignment="1">
      <alignment horizontal="center" vertical="center"/>
    </xf>
    <xf numFmtId="0" fontId="0" fillId="0" borderId="0" xfId="0" applyAlignment="1">
      <alignment vertical="center" wrapText="1"/>
    </xf>
    <xf numFmtId="0" fontId="44" fillId="0" borderId="0" xfId="4"/>
    <xf numFmtId="0" fontId="88" fillId="4" borderId="13" xfId="0" applyFont="1" applyFill="1" applyBorder="1" applyAlignment="1">
      <alignment horizontal="left" vertical="center" wrapText="1"/>
    </xf>
    <xf numFmtId="49" fontId="80" fillId="0" borderId="12" xfId="148" applyNumberFormat="1" applyFont="1" applyBorder="1" applyAlignment="1">
      <alignment horizontal="center" vertical="center" shrinkToFit="1"/>
    </xf>
    <xf numFmtId="0" fontId="80" fillId="0" borderId="12" xfId="187" applyFont="1" applyBorder="1" applyAlignment="1">
      <alignment horizontal="center" vertical="center" shrinkToFit="1"/>
    </xf>
    <xf numFmtId="0" fontId="87" fillId="4" borderId="22" xfId="0" applyFont="1" applyFill="1" applyBorder="1" applyAlignment="1">
      <alignment horizontal="left" vertical="center" wrapText="1"/>
    </xf>
    <xf numFmtId="4" fontId="38" fillId="0" borderId="0" xfId="0" applyNumberFormat="1" applyFont="1" applyAlignment="1"/>
    <xf numFmtId="0" fontId="4" fillId="0" borderId="11" xfId="148" applyFont="1" applyBorder="1" applyAlignment="1">
      <alignment horizontal="center" vertical="center" wrapText="1" shrinkToFit="1"/>
    </xf>
    <xf numFmtId="0" fontId="12" fillId="0" borderId="12" xfId="148" applyFont="1" applyBorder="1" applyAlignment="1">
      <alignment horizontal="left" vertical="center" wrapText="1" shrinkToFit="1"/>
    </xf>
    <xf numFmtId="0" fontId="1" fillId="0" borderId="13" xfId="116" applyFont="1" applyBorder="1" applyAlignment="1">
      <alignment vertical="center" wrapText="1" shrinkToFit="1"/>
    </xf>
    <xf numFmtId="0" fontId="1" fillId="0" borderId="11" xfId="148" applyFont="1" applyBorder="1" applyAlignment="1">
      <alignment horizontal="left" vertical="center" wrapText="1" shrinkToFit="1"/>
    </xf>
    <xf numFmtId="0" fontId="10" fillId="6" borderId="17" xfId="0" applyFont="1" applyFill="1" applyBorder="1" applyAlignment="1">
      <alignment horizontal="center" vertical="center"/>
    </xf>
    <xf numFmtId="0" fontId="10" fillId="6" borderId="73" xfId="0" applyFont="1" applyFill="1" applyBorder="1" applyAlignment="1">
      <alignment horizontal="center" vertical="center"/>
    </xf>
    <xf numFmtId="0" fontId="40" fillId="0" borderId="0" xfId="0" applyFont="1" applyAlignment="1">
      <alignment horizontal="left" vertical="center" wrapText="1"/>
    </xf>
    <xf numFmtId="0" fontId="9" fillId="0" borderId="80" xfId="0" applyFont="1" applyBorder="1" applyAlignment="1">
      <alignment horizontal="left" vertical="top" wrapText="1"/>
    </xf>
    <xf numFmtId="0" fontId="42" fillId="0" borderId="0" xfId="0" applyFont="1" applyAlignment="1">
      <alignment horizontal="left" vertical="top" wrapText="1"/>
    </xf>
    <xf numFmtId="0" fontId="42" fillId="0" borderId="10" xfId="0" applyFont="1" applyBorder="1" applyAlignment="1">
      <alignment horizontal="left" vertical="top" wrapText="1"/>
    </xf>
    <xf numFmtId="0" fontId="12" fillId="0" borderId="81" xfId="0" applyFont="1" applyBorder="1" applyAlignment="1">
      <alignment horizontal="left" vertical="top" wrapText="1"/>
    </xf>
    <xf numFmtId="0" fontId="12" fillId="0" borderId="25" xfId="0" applyFont="1" applyBorder="1" applyAlignment="1">
      <alignment horizontal="left" vertical="top" wrapText="1"/>
    </xf>
    <xf numFmtId="0" fontId="12" fillId="0" borderId="26" xfId="0" applyFont="1" applyBorder="1" applyAlignment="1">
      <alignment horizontal="left" vertical="top" wrapText="1"/>
    </xf>
    <xf numFmtId="0" fontId="9" fillId="4" borderId="58" xfId="0" applyFont="1" applyFill="1" applyBorder="1" applyAlignment="1">
      <alignment horizontal="left" vertical="center" wrapText="1"/>
    </xf>
    <xf numFmtId="0" fontId="9" fillId="4" borderId="36" xfId="0" applyFont="1" applyFill="1" applyBorder="1" applyAlignment="1">
      <alignment horizontal="left" vertical="center" wrapText="1"/>
    </xf>
    <xf numFmtId="0" fontId="10" fillId="8" borderId="27" xfId="129" applyFont="1" applyFill="1" applyBorder="1" applyAlignment="1">
      <alignment horizontal="center" vertical="center"/>
    </xf>
    <xf numFmtId="0" fontId="10" fillId="8" borderId="28" xfId="129" applyFont="1" applyFill="1" applyBorder="1" applyAlignment="1">
      <alignment horizontal="center" vertical="center"/>
    </xf>
    <xf numFmtId="0" fontId="10" fillId="8" borderId="32" xfId="129" applyFont="1" applyFill="1" applyBorder="1" applyAlignment="1">
      <alignment horizontal="center" vertical="center"/>
    </xf>
    <xf numFmtId="0" fontId="12" fillId="4" borderId="79" xfId="0" applyFont="1" applyFill="1" applyBorder="1" applyAlignment="1">
      <alignment horizontal="center" vertical="center"/>
    </xf>
    <xf numFmtId="0" fontId="12" fillId="4" borderId="35" xfId="0" applyFont="1" applyFill="1" applyBorder="1" applyAlignment="1">
      <alignment horizontal="center" vertical="center"/>
    </xf>
    <xf numFmtId="0" fontId="12" fillId="4" borderId="58" xfId="0" applyFont="1" applyFill="1" applyBorder="1" applyAlignment="1">
      <alignment horizontal="left" vertical="center"/>
    </xf>
    <xf numFmtId="0" fontId="12" fillId="4" borderId="36" xfId="0" applyFont="1" applyFill="1" applyBorder="1" applyAlignment="1">
      <alignment horizontal="left" vertical="center"/>
    </xf>
    <xf numFmtId="0" fontId="23" fillId="4" borderId="58" xfId="0" applyFont="1" applyFill="1" applyBorder="1" applyAlignment="1">
      <alignment horizontal="left" vertical="center" wrapText="1"/>
    </xf>
    <xf numFmtId="0" fontId="23" fillId="4" borderId="36" xfId="0" applyFont="1" applyFill="1" applyBorder="1" applyAlignment="1">
      <alignment horizontal="left" vertical="center" wrapText="1"/>
    </xf>
    <xf numFmtId="0" fontId="9" fillId="4" borderId="58" xfId="0" applyFont="1" applyFill="1" applyBorder="1" applyAlignment="1">
      <alignment horizontal="center" vertical="center"/>
    </xf>
    <xf numFmtId="0" fontId="9" fillId="4" borderId="36" xfId="0" applyFont="1" applyFill="1" applyBorder="1" applyAlignment="1">
      <alignment horizontal="center" vertical="center"/>
    </xf>
    <xf numFmtId="0" fontId="9" fillId="0" borderId="58" xfId="0" applyFont="1" applyBorder="1" applyAlignment="1">
      <alignment horizontal="left" vertical="center" wrapText="1"/>
    </xf>
    <xf numFmtId="0" fontId="9" fillId="0" borderId="36" xfId="0" applyFont="1" applyBorder="1" applyAlignment="1">
      <alignment horizontal="left" vertical="center" wrapText="1"/>
    </xf>
    <xf numFmtId="0" fontId="24" fillId="0" borderId="30" xfId="129" applyFont="1" applyBorder="1" applyAlignment="1">
      <alignment horizontal="center" vertical="center" wrapText="1"/>
    </xf>
    <xf numFmtId="0" fontId="24" fillId="0" borderId="12" xfId="129" applyFont="1" applyBorder="1" applyAlignment="1">
      <alignment horizontal="center" vertical="center" wrapText="1"/>
    </xf>
    <xf numFmtId="0" fontId="24" fillId="0" borderId="31" xfId="129" applyFont="1" applyBorder="1" applyAlignment="1">
      <alignment horizontal="center" vertical="center" wrapText="1"/>
    </xf>
    <xf numFmtId="0" fontId="24" fillId="0" borderId="13" xfId="129" applyFont="1" applyBorder="1" applyAlignment="1">
      <alignment horizontal="center" vertical="center"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4" fillId="0" borderId="8" xfId="0" applyFont="1" applyBorder="1" applyAlignment="1">
      <alignment horizontal="left" vertical="center" wrapText="1"/>
    </xf>
    <xf numFmtId="0" fontId="4" fillId="0" borderId="9" xfId="0" applyFont="1" applyBorder="1" applyAlignment="1">
      <alignment horizontal="left" vertical="center" wrapText="1"/>
    </xf>
    <xf numFmtId="0" fontId="4" fillId="0" borderId="0" xfId="0" applyFont="1" applyAlignment="1">
      <alignment horizontal="left" vertical="center" wrapText="1"/>
    </xf>
    <xf numFmtId="0" fontId="4" fillId="0" borderId="10" xfId="0" applyFont="1" applyBorder="1" applyAlignment="1">
      <alignment horizontal="left" vertical="center" wrapText="1"/>
    </xf>
    <xf numFmtId="0" fontId="4" fillId="0" borderId="24" xfId="0" applyFont="1" applyBorder="1" applyAlignment="1">
      <alignment horizontal="left" vertical="center" wrapText="1"/>
    </xf>
    <xf numFmtId="0" fontId="4" fillId="0" borderId="25" xfId="0" applyFont="1" applyBorder="1" applyAlignment="1">
      <alignment horizontal="left" vertical="center" wrapText="1"/>
    </xf>
    <xf numFmtId="0" fontId="4" fillId="0" borderId="26" xfId="0" applyFont="1" applyBorder="1" applyAlignment="1">
      <alignment horizontal="left" vertical="center" wrapText="1"/>
    </xf>
    <xf numFmtId="0" fontId="1" fillId="0" borderId="6" xfId="148" applyFont="1" applyBorder="1" applyAlignment="1" applyProtection="1">
      <alignment horizontal="left" vertical="center" wrapText="1"/>
      <protection locked="0"/>
    </xf>
    <xf numFmtId="0" fontId="1" fillId="0" borderId="7" xfId="148" applyFont="1" applyBorder="1" applyAlignment="1" applyProtection="1">
      <alignment horizontal="left" vertical="center" wrapText="1"/>
      <protection locked="0"/>
    </xf>
    <xf numFmtId="0" fontId="1" fillId="0" borderId="8" xfId="148" applyFont="1" applyBorder="1" applyAlignment="1" applyProtection="1">
      <alignment horizontal="left" vertical="center" wrapText="1"/>
      <protection locked="0"/>
    </xf>
    <xf numFmtId="0" fontId="1" fillId="0" borderId="9" xfId="148" applyFont="1" applyBorder="1" applyAlignment="1" applyProtection="1">
      <alignment horizontal="left" vertical="center" wrapText="1"/>
      <protection locked="0"/>
    </xf>
    <xf numFmtId="0" fontId="1" fillId="0" borderId="0" xfId="148" applyFont="1" applyAlignment="1" applyProtection="1">
      <alignment horizontal="left" vertical="center" wrapText="1"/>
      <protection locked="0"/>
    </xf>
    <xf numFmtId="0" fontId="1" fillId="0" borderId="10" xfId="148" applyFont="1" applyBorder="1" applyAlignment="1" applyProtection="1">
      <alignment horizontal="left" vertical="center" wrapText="1"/>
      <protection locked="0"/>
    </xf>
    <xf numFmtId="0" fontId="1" fillId="0" borderId="24" xfId="148" applyFont="1" applyBorder="1" applyAlignment="1" applyProtection="1">
      <alignment horizontal="left" vertical="center" wrapText="1"/>
      <protection locked="0"/>
    </xf>
    <xf numFmtId="0" fontId="1" fillId="0" borderId="25" xfId="148" applyFont="1" applyBorder="1" applyAlignment="1" applyProtection="1">
      <alignment horizontal="left" vertical="center" wrapText="1"/>
      <protection locked="0"/>
    </xf>
    <xf numFmtId="0" fontId="1" fillId="0" borderId="26" xfId="148" applyFont="1" applyBorder="1" applyAlignment="1" applyProtection="1">
      <alignment horizontal="left" vertical="center" wrapText="1"/>
      <protection locked="0"/>
    </xf>
    <xf numFmtId="0" fontId="16" fillId="5" borderId="1" xfId="0" applyFont="1" applyFill="1" applyBorder="1" applyAlignment="1">
      <alignment horizontal="left" vertical="center"/>
    </xf>
    <xf numFmtId="0" fontId="16" fillId="5" borderId="2" xfId="0" applyFont="1" applyFill="1" applyBorder="1" applyAlignment="1">
      <alignment horizontal="left" vertical="center"/>
    </xf>
    <xf numFmtId="0" fontId="16" fillId="5" borderId="3" xfId="0" applyFont="1" applyFill="1" applyBorder="1" applyAlignment="1">
      <alignment horizontal="left" vertical="center"/>
    </xf>
    <xf numFmtId="0" fontId="21" fillId="0" borderId="1" xfId="0" applyFont="1" applyBorder="1" applyAlignment="1">
      <alignment vertical="center" wrapText="1"/>
    </xf>
    <xf numFmtId="0" fontId="21" fillId="0" borderId="2" xfId="0" applyFont="1" applyBorder="1" applyAlignment="1">
      <alignment vertical="center" wrapText="1"/>
    </xf>
    <xf numFmtId="0" fontId="21" fillId="0" borderId="3" xfId="0" applyFont="1" applyBorder="1" applyAlignment="1">
      <alignment vertical="center" wrapText="1"/>
    </xf>
    <xf numFmtId="183" fontId="8" fillId="6" borderId="27" xfId="69" applyNumberFormat="1" applyFont="1" applyFill="1" applyBorder="1" applyAlignment="1">
      <alignment horizontal="center" vertical="center" wrapText="1"/>
    </xf>
    <xf numFmtId="183" fontId="8" fillId="6" borderId="32" xfId="69" applyNumberFormat="1" applyFont="1" applyFill="1" applyBorder="1" applyAlignment="1">
      <alignment horizontal="center" vertical="center" wrapText="1"/>
    </xf>
    <xf numFmtId="0" fontId="8" fillId="0" borderId="17" xfId="148" applyFont="1" applyBorder="1" applyAlignment="1">
      <alignment horizontal="center" vertical="center"/>
    </xf>
    <xf numFmtId="0" fontId="8" fillId="0" borderId="35" xfId="148" applyFont="1" applyBorder="1" applyAlignment="1">
      <alignment horizontal="center" vertical="center"/>
    </xf>
    <xf numFmtId="0" fontId="8" fillId="0" borderId="18" xfId="148" applyFont="1" applyBorder="1" applyAlignment="1">
      <alignment horizontal="center" vertical="center"/>
    </xf>
    <xf numFmtId="0" fontId="8" fillId="0" borderId="36" xfId="148" applyFont="1" applyBorder="1" applyAlignment="1">
      <alignment horizontal="center" vertical="center"/>
    </xf>
    <xf numFmtId="0" fontId="24" fillId="0" borderId="18" xfId="148" applyFont="1" applyBorder="1" applyAlignment="1">
      <alignment horizontal="center" vertical="center" wrapText="1"/>
    </xf>
    <xf numFmtId="0" fontId="24" fillId="0" borderId="61" xfId="148" applyFont="1" applyBorder="1" applyAlignment="1">
      <alignment horizontal="center" vertical="center" wrapText="1"/>
    </xf>
    <xf numFmtId="0" fontId="10" fillId="6" borderId="52" xfId="116" applyFont="1" applyFill="1" applyBorder="1" applyAlignment="1">
      <alignment horizontal="center" vertical="center" wrapText="1"/>
    </xf>
    <xf numFmtId="0" fontId="10" fillId="6" borderId="57" xfId="116" applyFont="1" applyFill="1" applyBorder="1" applyAlignment="1">
      <alignment horizontal="center" vertical="center" wrapText="1"/>
    </xf>
    <xf numFmtId="0" fontId="10" fillId="8" borderId="58" xfId="0" applyFont="1" applyFill="1" applyBorder="1" applyAlignment="1">
      <alignment horizontal="center" vertical="center" wrapText="1"/>
    </xf>
    <xf numFmtId="0" fontId="10" fillId="8" borderId="36" xfId="0" applyFont="1" applyFill="1" applyBorder="1" applyAlignment="1">
      <alignment horizontal="center" vertical="center" wrapText="1"/>
    </xf>
    <xf numFmtId="0" fontId="18" fillId="0" borderId="12" xfId="129" applyFont="1" applyBorder="1" applyAlignment="1">
      <alignment vertical="center" wrapText="1"/>
    </xf>
    <xf numFmtId="176" fontId="12" fillId="0" borderId="58" xfId="1" applyFont="1" applyFill="1" applyBorder="1" applyAlignment="1">
      <alignment horizontal="center" vertical="center"/>
    </xf>
    <xf numFmtId="176" fontId="12" fillId="0" borderId="36" xfId="1" applyFont="1" applyFill="1" applyBorder="1" applyAlignment="1">
      <alignment horizontal="center" vertical="center"/>
    </xf>
    <xf numFmtId="0" fontId="15" fillId="6" borderId="54" xfId="116" applyFont="1" applyFill="1" applyBorder="1" applyAlignment="1">
      <alignment horizontal="center" vertical="center" wrapText="1"/>
    </xf>
    <xf numFmtId="0" fontId="15" fillId="6" borderId="60" xfId="116" applyFont="1" applyFill="1" applyBorder="1" applyAlignment="1">
      <alignment horizontal="center" vertical="center" wrapText="1"/>
    </xf>
    <xf numFmtId="0" fontId="5" fillId="0" borderId="6" xfId="148" applyFont="1" applyBorder="1" applyAlignment="1">
      <alignment horizontal="left" vertical="center" wrapText="1" shrinkToFit="1"/>
    </xf>
    <xf numFmtId="0" fontId="5" fillId="0" borderId="7" xfId="148" applyFont="1" applyBorder="1" applyAlignment="1">
      <alignment horizontal="left" vertical="center" shrinkToFit="1"/>
    </xf>
    <xf numFmtId="0" fontId="5" fillId="0" borderId="8" xfId="148" applyFont="1" applyBorder="1" applyAlignment="1">
      <alignment horizontal="left" vertical="center" shrinkToFit="1"/>
    </xf>
    <xf numFmtId="0" fontId="5" fillId="0" borderId="9" xfId="148" applyFont="1" applyBorder="1" applyAlignment="1">
      <alignment horizontal="left" vertical="center" wrapText="1" shrinkToFit="1"/>
    </xf>
    <xf numFmtId="0" fontId="5" fillId="0" borderId="0" xfId="148" applyFont="1" applyAlignment="1">
      <alignment horizontal="left" vertical="center" shrinkToFit="1"/>
    </xf>
    <xf numFmtId="0" fontId="5" fillId="0" borderId="10" xfId="148" applyFont="1" applyBorder="1" applyAlignment="1">
      <alignment horizontal="left" vertical="center" shrinkToFit="1"/>
    </xf>
    <xf numFmtId="0" fontId="5" fillId="0" borderId="24" xfId="148" applyFont="1" applyBorder="1" applyAlignment="1">
      <alignment horizontal="left" vertical="center" shrinkToFit="1"/>
    </xf>
    <xf numFmtId="0" fontId="5" fillId="0" borderId="25" xfId="148" applyFont="1" applyBorder="1" applyAlignment="1">
      <alignment horizontal="left" vertical="center" shrinkToFit="1"/>
    </xf>
    <xf numFmtId="0" fontId="5" fillId="0" borderId="26" xfId="148" applyFont="1" applyBorder="1" applyAlignment="1">
      <alignment horizontal="left" vertical="center" shrinkToFit="1"/>
    </xf>
    <xf numFmtId="177" fontId="10" fillId="6" borderId="34" xfId="2" applyFont="1" applyFill="1" applyBorder="1" applyAlignment="1" applyProtection="1">
      <alignment horizontal="center" vertical="center" wrapText="1"/>
    </xf>
    <xf numFmtId="177" fontId="10" fillId="6" borderId="1" xfId="2" applyFont="1" applyFill="1" applyBorder="1" applyAlignment="1" applyProtection="1">
      <alignment horizontal="center" vertical="center" wrapText="1"/>
    </xf>
    <xf numFmtId="0" fontId="15" fillId="6" borderId="30" xfId="116" applyFont="1" applyFill="1" applyBorder="1" applyAlignment="1">
      <alignment horizontal="center" vertical="center" wrapText="1"/>
    </xf>
    <xf numFmtId="0" fontId="15" fillId="6" borderId="12" xfId="116" applyFont="1" applyFill="1" applyBorder="1" applyAlignment="1">
      <alignment horizontal="center" vertical="center"/>
    </xf>
    <xf numFmtId="0" fontId="8" fillId="6" borderId="18" xfId="2" applyNumberFormat="1" applyFont="1" applyFill="1" applyBorder="1" applyAlignment="1">
      <alignment horizontal="center" vertical="center" wrapText="1"/>
    </xf>
    <xf numFmtId="0" fontId="10" fillId="6" borderId="36" xfId="2" applyNumberFormat="1" applyFont="1" applyFill="1" applyBorder="1" applyAlignment="1">
      <alignment horizontal="center" vertical="center" wrapText="1"/>
    </xf>
    <xf numFmtId="0" fontId="15" fillId="6" borderId="58" xfId="116" applyFont="1" applyFill="1" applyBorder="1" applyAlignment="1">
      <alignment horizontal="center" vertical="center" wrapText="1"/>
    </xf>
    <xf numFmtId="0" fontId="15" fillId="6" borderId="61" xfId="116" applyFont="1" applyFill="1" applyBorder="1" applyAlignment="1">
      <alignment horizontal="center" vertical="center" wrapText="1"/>
    </xf>
    <xf numFmtId="177" fontId="10" fillId="6" borderId="8" xfId="2" applyFont="1" applyFill="1" applyBorder="1" applyAlignment="1">
      <alignment horizontal="center" vertical="center" wrapText="1"/>
    </xf>
    <xf numFmtId="177" fontId="10" fillId="6" borderId="48" xfId="2" applyFont="1" applyFill="1" applyBorder="1" applyAlignment="1">
      <alignment horizontal="center" vertical="center" wrapText="1"/>
    </xf>
    <xf numFmtId="0" fontId="15" fillId="6" borderId="59" xfId="116" applyFont="1" applyFill="1" applyBorder="1" applyAlignment="1">
      <alignment horizontal="center" vertical="center" wrapText="1"/>
    </xf>
    <xf numFmtId="0" fontId="15" fillId="6" borderId="62" xfId="116" applyFont="1" applyFill="1" applyBorder="1" applyAlignment="1">
      <alignment horizontal="center" vertical="center" wrapText="1"/>
    </xf>
    <xf numFmtId="0" fontId="15" fillId="6" borderId="30" xfId="116" applyFont="1" applyFill="1" applyBorder="1" applyAlignment="1">
      <alignment horizontal="center" vertical="center"/>
    </xf>
    <xf numFmtId="0" fontId="22" fillId="6" borderId="19" xfId="116" applyFont="1" applyFill="1" applyBorder="1" applyAlignment="1">
      <alignment horizontal="center" vertical="center" wrapText="1"/>
    </xf>
    <xf numFmtId="0" fontId="22" fillId="6" borderId="53" xfId="116" applyFont="1" applyFill="1" applyBorder="1" applyAlignment="1">
      <alignment horizontal="center" vertical="center" wrapText="1"/>
    </xf>
    <xf numFmtId="0" fontId="10" fillId="6" borderId="50" xfId="116" applyFont="1" applyFill="1" applyBorder="1" applyAlignment="1">
      <alignment horizontal="center" vertical="center" wrapText="1"/>
    </xf>
    <xf numFmtId="0" fontId="10" fillId="6" borderId="55" xfId="116" applyFont="1" applyFill="1" applyBorder="1" applyAlignment="1">
      <alignment horizontal="center" vertical="center" wrapText="1"/>
    </xf>
    <xf numFmtId="0" fontId="10" fillId="6" borderId="51" xfId="116" applyFont="1" applyFill="1" applyBorder="1" applyAlignment="1">
      <alignment horizontal="center" vertical="center" wrapText="1"/>
    </xf>
    <xf numFmtId="0" fontId="10" fillId="6" borderId="56" xfId="116" applyFont="1" applyFill="1" applyBorder="1" applyAlignment="1">
      <alignment horizontal="center" vertical="center" wrapText="1"/>
    </xf>
  </cellXfs>
  <cellStyles count="189">
    <cellStyle name="Bad 2" xfId="188" xr:uid="{2E24D372-2488-4D30-9CEA-0672605B9F6E}"/>
    <cellStyle name="cellStyleNum 2" xfId="5" xr:uid="{00000000-0005-0000-0000-000031000000}"/>
    <cellStyle name="Check Cell 2" xfId="6" xr:uid="{00000000-0005-0000-0000-000032000000}"/>
    <cellStyle name="Check Cell 2 2" xfId="7" xr:uid="{00000000-0005-0000-0000-000033000000}"/>
    <cellStyle name="Comma [0] 2" xfId="8" xr:uid="{00000000-0005-0000-0000-000034000000}"/>
    <cellStyle name="Comma [0] 2 2" xfId="9" xr:uid="{00000000-0005-0000-0000-000035000000}"/>
    <cellStyle name="Comma [0] 2 2 2" xfId="10" xr:uid="{00000000-0005-0000-0000-000036000000}"/>
    <cellStyle name="Comma [0] 2 2 2 2" xfId="11" xr:uid="{00000000-0005-0000-0000-000037000000}"/>
    <cellStyle name="Comma [0] 2 2 2 2 2" xfId="12" xr:uid="{00000000-0005-0000-0000-000038000000}"/>
    <cellStyle name="Comma [0] 2 2 2 3" xfId="13" xr:uid="{00000000-0005-0000-0000-000039000000}"/>
    <cellStyle name="Comma [0] 2 2 3" xfId="14" xr:uid="{00000000-0005-0000-0000-00003A000000}"/>
    <cellStyle name="Comma [0] 2 2 3 2" xfId="15" xr:uid="{00000000-0005-0000-0000-00003B000000}"/>
    <cellStyle name="Comma [0] 2 2 4" xfId="16" xr:uid="{00000000-0005-0000-0000-00003C000000}"/>
    <cellStyle name="Comma [0] 2 3" xfId="17" xr:uid="{00000000-0005-0000-0000-00003D000000}"/>
    <cellStyle name="Comma [0] 2 3 2" xfId="18" xr:uid="{00000000-0005-0000-0000-00003E000000}"/>
    <cellStyle name="Comma [0] 2 4" xfId="19" xr:uid="{00000000-0005-0000-0000-00003F000000}"/>
    <cellStyle name="Comma [0] 2 4 2" xfId="20" xr:uid="{00000000-0005-0000-0000-000040000000}"/>
    <cellStyle name="Comma [0] 2 5" xfId="21" xr:uid="{00000000-0005-0000-0000-000041000000}"/>
    <cellStyle name="Comma [0] 3" xfId="22" xr:uid="{00000000-0005-0000-0000-000042000000}"/>
    <cellStyle name="Comma [0] 3 2" xfId="23" xr:uid="{00000000-0005-0000-0000-000043000000}"/>
    <cellStyle name="Comma 12" xfId="24" xr:uid="{00000000-0005-0000-0000-000044000000}"/>
    <cellStyle name="Comma 12 2" xfId="25" xr:uid="{00000000-0005-0000-0000-000045000000}"/>
    <cellStyle name="Comma 15" xfId="26" xr:uid="{00000000-0005-0000-0000-000046000000}"/>
    <cellStyle name="Comma 15 2" xfId="27" xr:uid="{00000000-0005-0000-0000-000047000000}"/>
    <cellStyle name="Comma 2" xfId="28" xr:uid="{00000000-0005-0000-0000-000048000000}"/>
    <cellStyle name="Comma 2 2" xfId="29" xr:uid="{00000000-0005-0000-0000-000049000000}"/>
    <cellStyle name="Comma 2 2 2" xfId="30" xr:uid="{00000000-0005-0000-0000-00004A000000}"/>
    <cellStyle name="Comma 2 2 2 2" xfId="31" xr:uid="{00000000-0005-0000-0000-00004B000000}"/>
    <cellStyle name="Comma 2 2 3" xfId="32" xr:uid="{00000000-0005-0000-0000-00004C000000}"/>
    <cellStyle name="Comma 2 3" xfId="33" xr:uid="{00000000-0005-0000-0000-00004D000000}"/>
    <cellStyle name="Comma 2 3 2" xfId="34" xr:uid="{00000000-0005-0000-0000-00004E000000}"/>
    <cellStyle name="Comma 2 4" xfId="35" xr:uid="{00000000-0005-0000-0000-00004F000000}"/>
    <cellStyle name="Comma 2 4 2" xfId="36" xr:uid="{00000000-0005-0000-0000-000050000000}"/>
    <cellStyle name="Comma 2 5" xfId="37" xr:uid="{00000000-0005-0000-0000-000051000000}"/>
    <cellStyle name="Comma 2_1" xfId="38" xr:uid="{00000000-0005-0000-0000-000052000000}"/>
    <cellStyle name="Comma 3" xfId="39" xr:uid="{00000000-0005-0000-0000-000053000000}"/>
    <cellStyle name="Comma 3 2" xfId="40" xr:uid="{00000000-0005-0000-0000-000054000000}"/>
    <cellStyle name="Comma 4" xfId="41" xr:uid="{00000000-0005-0000-0000-000055000000}"/>
    <cellStyle name="Comma 4 2" xfId="42" xr:uid="{00000000-0005-0000-0000-000056000000}"/>
    <cellStyle name="Comma 5" xfId="43" xr:uid="{00000000-0005-0000-0000-000057000000}"/>
    <cellStyle name="Comma 5 2" xfId="44" xr:uid="{00000000-0005-0000-0000-000058000000}"/>
    <cellStyle name="Comma 6" xfId="45" xr:uid="{00000000-0005-0000-0000-000059000000}"/>
    <cellStyle name="Comma 7" xfId="46" xr:uid="{00000000-0005-0000-0000-00005A000000}"/>
    <cellStyle name="Comma 7 2" xfId="47" xr:uid="{00000000-0005-0000-0000-00005B000000}"/>
    <cellStyle name="Comma 8" xfId="48" xr:uid="{00000000-0005-0000-0000-00005C000000}"/>
    <cellStyle name="dataStyle 2" xfId="49" xr:uid="{00000000-0005-0000-0000-00005D000000}"/>
    <cellStyle name="dataStyle 3" xfId="50" xr:uid="{00000000-0005-0000-0000-00005E000000}"/>
    <cellStyle name="Good 2" xfId="51" xr:uid="{00000000-0005-0000-0000-00005F000000}"/>
    <cellStyle name="Good 2 2" xfId="52" xr:uid="{00000000-0005-0000-0000-000060000000}"/>
    <cellStyle name="Good 2 3 2" xfId="186" xr:uid="{F14862B7-D238-42F0-AB03-BF8319684F08}"/>
    <cellStyle name="Hyperlink 2" xfId="53" xr:uid="{00000000-0005-0000-0000-000061000000}"/>
    <cellStyle name="Hyperlink 2 2" xfId="54" xr:uid="{00000000-0005-0000-0000-000062000000}"/>
    <cellStyle name="Hyperlink 2 2 3" xfId="55" xr:uid="{00000000-0005-0000-0000-000063000000}"/>
    <cellStyle name="Hyperlink 4" xfId="56" xr:uid="{00000000-0005-0000-0000-000064000000}"/>
    <cellStyle name="Hyperlink 4 2" xfId="57" xr:uid="{00000000-0005-0000-0000-000065000000}"/>
    <cellStyle name="Normal 10" xfId="58" xr:uid="{00000000-0005-0000-0000-000066000000}"/>
    <cellStyle name="Normal 10 10" xfId="59" xr:uid="{00000000-0005-0000-0000-000067000000}"/>
    <cellStyle name="Normal 103" xfId="60" xr:uid="{00000000-0005-0000-0000-000068000000}"/>
    <cellStyle name="Normal 103 2" xfId="61" xr:uid="{00000000-0005-0000-0000-000069000000}"/>
    <cellStyle name="Normal 103 3" xfId="62" xr:uid="{00000000-0005-0000-0000-00006A000000}"/>
    <cellStyle name="Normal 11" xfId="63" xr:uid="{00000000-0005-0000-0000-00006B000000}"/>
    <cellStyle name="Normal 12" xfId="64" xr:uid="{00000000-0005-0000-0000-00006C000000}"/>
    <cellStyle name="Normal 12 2" xfId="65" xr:uid="{00000000-0005-0000-0000-00006D000000}"/>
    <cellStyle name="Normal 12 2 2 2 2" xfId="66" xr:uid="{00000000-0005-0000-0000-00006E000000}"/>
    <cellStyle name="Normal 12 2 3" xfId="67" xr:uid="{00000000-0005-0000-0000-00006F000000}"/>
    <cellStyle name="Normal 12 5" xfId="68" xr:uid="{00000000-0005-0000-0000-000070000000}"/>
    <cellStyle name="Normal 121 2" xfId="69" xr:uid="{00000000-0005-0000-0000-000071000000}"/>
    <cellStyle name="Normal 121 2 2" xfId="70" xr:uid="{00000000-0005-0000-0000-000072000000}"/>
    <cellStyle name="Normal 121 2 2 2" xfId="71" xr:uid="{00000000-0005-0000-0000-000073000000}"/>
    <cellStyle name="Normal 121 2 2 2 4" xfId="72" xr:uid="{00000000-0005-0000-0000-000074000000}"/>
    <cellStyle name="Normal 121 2 3" xfId="73" xr:uid="{00000000-0005-0000-0000-000075000000}"/>
    <cellStyle name="Normal 121 4" xfId="74" xr:uid="{00000000-0005-0000-0000-000076000000}"/>
    <cellStyle name="Normal 125" xfId="75" xr:uid="{00000000-0005-0000-0000-000077000000}"/>
    <cellStyle name="Normal 125 2" xfId="76" xr:uid="{00000000-0005-0000-0000-000078000000}"/>
    <cellStyle name="Normal 126" xfId="77" xr:uid="{00000000-0005-0000-0000-000079000000}"/>
    <cellStyle name="Normal 126 2" xfId="78" xr:uid="{00000000-0005-0000-0000-00007A000000}"/>
    <cellStyle name="Normal 13" xfId="79" xr:uid="{00000000-0005-0000-0000-00007B000000}"/>
    <cellStyle name="Normal 13 2" xfId="80" xr:uid="{00000000-0005-0000-0000-00007C000000}"/>
    <cellStyle name="Normal 14" xfId="81" xr:uid="{00000000-0005-0000-0000-00007D000000}"/>
    <cellStyle name="Normal 14 2" xfId="184" xr:uid="{E72BE745-564F-4759-9E1D-1B88E1FD80A3}"/>
    <cellStyle name="Normal 14 3" xfId="185" xr:uid="{B58F3813-F0E2-4C96-8A50-E5B005EBFF09}"/>
    <cellStyle name="Normal 15" xfId="82" xr:uid="{00000000-0005-0000-0000-00007E000000}"/>
    <cellStyle name="Normal 16" xfId="83" xr:uid="{00000000-0005-0000-0000-00007F000000}"/>
    <cellStyle name="Normal 17" xfId="84" xr:uid="{00000000-0005-0000-0000-000080000000}"/>
    <cellStyle name="Normal 18" xfId="85" xr:uid="{00000000-0005-0000-0000-000081000000}"/>
    <cellStyle name="Normal 2" xfId="86" xr:uid="{00000000-0005-0000-0000-000082000000}"/>
    <cellStyle name="Normal 2 10 2" xfId="87" xr:uid="{00000000-0005-0000-0000-000083000000}"/>
    <cellStyle name="Normal 2 10 3" xfId="183" xr:uid="{F5E845CB-CFCF-49C2-AF56-CCB66E0469C5}"/>
    <cellStyle name="Normal 2 2" xfId="88" xr:uid="{00000000-0005-0000-0000-000084000000}"/>
    <cellStyle name="Normal 2 2 2" xfId="89" xr:uid="{00000000-0005-0000-0000-000085000000}"/>
    <cellStyle name="Normal 2 2 2 2" xfId="90" xr:uid="{00000000-0005-0000-0000-000086000000}"/>
    <cellStyle name="Normal 2 2 3" xfId="91" xr:uid="{00000000-0005-0000-0000-000087000000}"/>
    <cellStyle name="Normal 2 2 3 2" xfId="92" xr:uid="{00000000-0005-0000-0000-000088000000}"/>
    <cellStyle name="Normal 2 2 4" xfId="93" xr:uid="{00000000-0005-0000-0000-000089000000}"/>
    <cellStyle name="Normal 2 2_1" xfId="94" xr:uid="{00000000-0005-0000-0000-00008A000000}"/>
    <cellStyle name="Normal 2 3" xfId="95" xr:uid="{00000000-0005-0000-0000-00008B000000}"/>
    <cellStyle name="Normal 2 3 2" xfId="96" xr:uid="{00000000-0005-0000-0000-00008C000000}"/>
    <cellStyle name="Normal 2 3 2 2" xfId="97" xr:uid="{00000000-0005-0000-0000-00008D000000}"/>
    <cellStyle name="Normal 2 3 2 2 3" xfId="98" xr:uid="{00000000-0005-0000-0000-00008E000000}"/>
    <cellStyle name="Normal 2 3 2 2 4" xfId="99" xr:uid="{00000000-0005-0000-0000-00008F000000}"/>
    <cellStyle name="Normal 2 3 2 4" xfId="100" xr:uid="{00000000-0005-0000-0000-000090000000}"/>
    <cellStyle name="Normal 2 3 3" xfId="101" xr:uid="{00000000-0005-0000-0000-000091000000}"/>
    <cellStyle name="Normal 2 3 3 2" xfId="102" xr:uid="{00000000-0005-0000-0000-000092000000}"/>
    <cellStyle name="Normal 2 3 4" xfId="103" xr:uid="{00000000-0005-0000-0000-000093000000}"/>
    <cellStyle name="Normal 2 3 5" xfId="104" xr:uid="{00000000-0005-0000-0000-000094000000}"/>
    <cellStyle name="Normal 2 3 6" xfId="105" xr:uid="{00000000-0005-0000-0000-000095000000}"/>
    <cellStyle name="Normal 2 4" xfId="106" xr:uid="{00000000-0005-0000-0000-000096000000}"/>
    <cellStyle name="Normal 2 5" xfId="182" xr:uid="{4D5E34FB-DE0C-41E7-A6EA-18F1BFA730A6}"/>
    <cellStyle name="Normal 2 6" xfId="107" xr:uid="{00000000-0005-0000-0000-000097000000}"/>
    <cellStyle name="Normal 3" xfId="108" xr:uid="{00000000-0005-0000-0000-000098000000}"/>
    <cellStyle name="Normal 3 2" xfId="109" xr:uid="{00000000-0005-0000-0000-000099000000}"/>
    <cellStyle name="Normal 3 3" xfId="110" xr:uid="{00000000-0005-0000-0000-00009A000000}"/>
    <cellStyle name="Normal 4" xfId="111" xr:uid="{00000000-0005-0000-0000-00009B000000}"/>
    <cellStyle name="Normal 4 3" xfId="112" xr:uid="{00000000-0005-0000-0000-00009C000000}"/>
    <cellStyle name="Normal 5" xfId="113" xr:uid="{00000000-0005-0000-0000-00009D000000}"/>
    <cellStyle name="Normal 6" xfId="114" xr:uid="{00000000-0005-0000-0000-00009E000000}"/>
    <cellStyle name="Normal 7" xfId="115" xr:uid="{00000000-0005-0000-0000-00009F000000}"/>
    <cellStyle name="Normal 8" xfId="116" xr:uid="{00000000-0005-0000-0000-0000A0000000}"/>
    <cellStyle name="Normal 8 2" xfId="187" xr:uid="{13819A02-1897-4A27-A51D-A1C169F0CF1D}"/>
    <cellStyle name="Normal 9" xfId="117" xr:uid="{00000000-0005-0000-0000-0000A1000000}"/>
    <cellStyle name="Normal 9 2 2" xfId="118" xr:uid="{00000000-0005-0000-0000-0000A2000000}"/>
    <cellStyle name="Normal_Sheet2" xfId="119" xr:uid="{00000000-0005-0000-0000-0000A3000000}"/>
    <cellStyle name="Percent 2" xfId="120" xr:uid="{00000000-0005-0000-0000-0000A4000000}"/>
    <cellStyle name="Percent 2 2" xfId="121" xr:uid="{00000000-0005-0000-0000-0000A5000000}"/>
    <cellStyle name="Percent 3" xfId="122" xr:uid="{00000000-0005-0000-0000-0000A6000000}"/>
    <cellStyle name="Percent 4" xfId="123" xr:uid="{00000000-0005-0000-0000-0000A7000000}"/>
    <cellStyle name="Percent 5" xfId="124" xr:uid="{00000000-0005-0000-0000-0000A8000000}"/>
    <cellStyle name="百分比" xfId="3" builtinId="5"/>
    <cellStyle name="百分比 2" xfId="125" xr:uid="{00000000-0005-0000-0000-0000A9000000}"/>
    <cellStyle name="百分比 2 2" xfId="126" xr:uid="{00000000-0005-0000-0000-0000AA000000}"/>
    <cellStyle name="百分比 3" xfId="127" xr:uid="{00000000-0005-0000-0000-0000AB000000}"/>
    <cellStyle name="百分比 4" xfId="128" xr:uid="{00000000-0005-0000-0000-0000AC000000}"/>
    <cellStyle name="常规" xfId="0" builtinId="0"/>
    <cellStyle name="常规 10" xfId="129" xr:uid="{00000000-0005-0000-0000-0000AD000000}"/>
    <cellStyle name="常规 11" xfId="130" xr:uid="{00000000-0005-0000-0000-0000AE000000}"/>
    <cellStyle name="常规 2" xfId="131" xr:uid="{00000000-0005-0000-0000-0000AF000000}"/>
    <cellStyle name="常规 2- " xfId="132" xr:uid="{00000000-0005-0000-0000-0000B0000000}"/>
    <cellStyle name="常规 2-  2" xfId="133" xr:uid="{00000000-0005-0000-0000-0000B1000000}"/>
    <cellStyle name="常规 2 2" xfId="134" xr:uid="{00000000-0005-0000-0000-0000B2000000}"/>
    <cellStyle name="常规 2 2 2" xfId="135" xr:uid="{00000000-0005-0000-0000-0000B3000000}"/>
    <cellStyle name="常规 2 2 2 2" xfId="136" xr:uid="{00000000-0005-0000-0000-0000B4000000}"/>
    <cellStyle name="常规 2 2 2 3" xfId="137" xr:uid="{00000000-0005-0000-0000-0000B5000000}"/>
    <cellStyle name="常规 2 2 2 3 2" xfId="138" xr:uid="{00000000-0005-0000-0000-0000B6000000}"/>
    <cellStyle name="常规 2 2 3" xfId="139" xr:uid="{00000000-0005-0000-0000-0000B7000000}"/>
    <cellStyle name="常规 2 2 5" xfId="140" xr:uid="{00000000-0005-0000-0000-0000B8000000}"/>
    <cellStyle name="常规 2 2 5 2" xfId="141" xr:uid="{00000000-0005-0000-0000-0000B9000000}"/>
    <cellStyle name="常规 2 2 5 2 2" xfId="142" xr:uid="{00000000-0005-0000-0000-0000BA000000}"/>
    <cellStyle name="常规 2 2 5 3" xfId="143" xr:uid="{00000000-0005-0000-0000-0000BB000000}"/>
    <cellStyle name="常规 2 2 5 3 2" xfId="144" xr:uid="{00000000-0005-0000-0000-0000BC000000}"/>
    <cellStyle name="常规 2 3" xfId="145" xr:uid="{00000000-0005-0000-0000-0000BD000000}"/>
    <cellStyle name="常规 2 4" xfId="146" xr:uid="{00000000-0005-0000-0000-0000BE000000}"/>
    <cellStyle name="常规 3" xfId="147" xr:uid="{00000000-0005-0000-0000-0000BF000000}"/>
    <cellStyle name="常规 3 2" xfId="148" xr:uid="{00000000-0005-0000-0000-0000C0000000}"/>
    <cellStyle name="常规 3 2 2" xfId="149" xr:uid="{00000000-0005-0000-0000-0000C1000000}"/>
    <cellStyle name="常规 3 2 3" xfId="150" xr:uid="{00000000-0005-0000-0000-0000C2000000}"/>
    <cellStyle name="常规 4" xfId="151" xr:uid="{00000000-0005-0000-0000-0000C3000000}"/>
    <cellStyle name="常规 5" xfId="152" xr:uid="{00000000-0005-0000-0000-0000C4000000}"/>
    <cellStyle name="常规 6" xfId="153" xr:uid="{00000000-0005-0000-0000-0000C5000000}"/>
    <cellStyle name="常规 6 3" xfId="154" xr:uid="{00000000-0005-0000-0000-0000C6000000}"/>
    <cellStyle name="常规 7" xfId="155" xr:uid="{00000000-0005-0000-0000-0000C7000000}"/>
    <cellStyle name="常规 8" xfId="181" xr:uid="{49BBD8D9-F7B0-4CEA-A73E-5C6A53EE61DA}"/>
    <cellStyle name="超链接" xfId="4" builtinId="8"/>
    <cellStyle name="超链接 2" xfId="156" xr:uid="{00000000-0005-0000-0000-0000C8000000}"/>
    <cellStyle name="超链接 3" xfId="157" xr:uid="{00000000-0005-0000-0000-0000C9000000}"/>
    <cellStyle name="货币" xfId="2" builtinId="4"/>
    <cellStyle name="普通_附23_PBC4" xfId="158" xr:uid="{00000000-0005-0000-0000-0000CA000000}"/>
    <cellStyle name="千位分隔" xfId="1" builtinId="3"/>
    <cellStyle name="千位分隔 2" xfId="159" xr:uid="{00000000-0005-0000-0000-0000CB000000}"/>
    <cellStyle name="千位分隔 2 2" xfId="160" xr:uid="{00000000-0005-0000-0000-0000CC000000}"/>
    <cellStyle name="千位分隔 2 2 2" xfId="161" xr:uid="{00000000-0005-0000-0000-0000CD000000}"/>
    <cellStyle name="千位分隔 2 2 2 2" xfId="162" xr:uid="{00000000-0005-0000-0000-0000CE000000}"/>
    <cellStyle name="千位分隔 2 2 3" xfId="163" xr:uid="{00000000-0005-0000-0000-0000CF000000}"/>
    <cellStyle name="千位分隔 2 2 3 2" xfId="164" xr:uid="{00000000-0005-0000-0000-0000D0000000}"/>
    <cellStyle name="千位分隔 2 2 4" xfId="165" xr:uid="{00000000-0005-0000-0000-0000D1000000}"/>
    <cellStyle name="千位分隔 2 3" xfId="166" xr:uid="{00000000-0005-0000-0000-0000D2000000}"/>
    <cellStyle name="千位分隔 2 3 2" xfId="167" xr:uid="{00000000-0005-0000-0000-0000D3000000}"/>
    <cellStyle name="千位分隔 2 4" xfId="168" xr:uid="{00000000-0005-0000-0000-0000D4000000}"/>
    <cellStyle name="千位分隔 2 7" xfId="169" xr:uid="{00000000-0005-0000-0000-0000D5000000}"/>
    <cellStyle name="千位分隔 2 7 2" xfId="170" xr:uid="{00000000-0005-0000-0000-0000D6000000}"/>
    <cellStyle name="千位分隔 3" xfId="171" xr:uid="{00000000-0005-0000-0000-0000D7000000}"/>
    <cellStyle name="千位分隔 3 2" xfId="172" xr:uid="{00000000-0005-0000-0000-0000D8000000}"/>
    <cellStyle name="千位分隔 3 4" xfId="173" xr:uid="{00000000-0005-0000-0000-0000D9000000}"/>
    <cellStyle name="千位分隔 3 4 2" xfId="174" xr:uid="{00000000-0005-0000-0000-0000DA000000}"/>
    <cellStyle name="千位分隔 4" xfId="175" xr:uid="{00000000-0005-0000-0000-0000DB000000}"/>
    <cellStyle name="千位分隔 4 2" xfId="176" xr:uid="{00000000-0005-0000-0000-0000DC000000}"/>
    <cellStyle name="千位分隔 5" xfId="177" xr:uid="{00000000-0005-0000-0000-0000DD000000}"/>
    <cellStyle name="千位分隔 7" xfId="178" xr:uid="{00000000-0005-0000-0000-0000DE000000}"/>
    <cellStyle name="千位分隔[0] 2" xfId="179" xr:uid="{00000000-0005-0000-0000-0000DF000000}"/>
    <cellStyle name="千位分隔[0] 2 2" xfId="180" xr:uid="{00000000-0005-0000-0000-0000E0000000}"/>
  </cellStyles>
  <dxfs count="15">
    <dxf>
      <fill>
        <patternFill patternType="solid">
          <bgColor rgb="FFFFFFCC"/>
        </patternFill>
      </fill>
    </dxf>
    <dxf>
      <fill>
        <patternFill patternType="solid">
          <bgColor rgb="FFFFFFCC"/>
        </patternFill>
      </fill>
    </dxf>
    <dxf>
      <fill>
        <patternFill>
          <bgColor rgb="FFFFFFCC"/>
        </patternFill>
      </fill>
    </dxf>
    <dxf>
      <fill>
        <patternFill patternType="solid">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theme="0" tint="-0.34998626667073579"/>
        </patternFill>
      </fill>
    </dxf>
    <dxf>
      <fill>
        <patternFill patternType="solid">
          <bgColor theme="0" tint="-0.34998626667073579"/>
        </patternFill>
      </fill>
    </dxf>
    <dxf>
      <fill>
        <patternFill patternType="solid">
          <bgColor rgb="FFFFFFCC"/>
        </patternFill>
      </fill>
    </dxf>
    <dxf>
      <fill>
        <patternFill patternType="solid">
          <bgColor theme="0" tint="-0.34998626667073579"/>
        </patternFill>
      </fill>
    </dxf>
  </dxfs>
  <tableStyles count="0" defaultTableStyle="TableStyleMedium2" defaultPivotStyle="PivotStyleLight16"/>
  <colors>
    <mruColors>
      <color rgb="FFFFFF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hyperlink" Target="https://eychinamanaged.sharepoint.cn/sites/GCknowledgecenter/SitePages/%E6%A0%87%E5%87%86%E5%BA%95%E7%A8%BF%E6%A8%A1%E6%9D%BF%E7%AD%94%E7%96%91%E9%93%BE%E6%8E%A5.aspx" TargetMode="External"/><Relationship Id="rId2" Type="http://schemas.openxmlformats.org/officeDocument/2006/relationships/image" Target="../media/image1.png"/><Relationship Id="rId1" Type="http://schemas.openxmlformats.org/officeDocument/2006/relationships/hyperlink" Target="https://eychinamanaged.sharepoint.cn/sites/GCknowledgecenter/SitePages/Altas-PSP-%E9%93%BE%E6%8E%A5.aspx#:~:text=%E7%9B%B8%E5%85%B3PSP%E4%BB%A5%E5%8F%8AOSP%E5%8F%AF%E4%BB%8EAtlas%E4%B8%AD%E8%8E%B7%E5%BE%97%EF%BC%8CAtlas%20Link%3A%C2%A0%C2%A0%C2%A0%C2%A0%C2%A0%C2%A0%C2%A0%C2%A0%0A(CN)%20M%2DNotes%20payable%0A%E6%9B%B4%E5%A4%9A%E8%AF%A5%E7%A7%91%E7%9B%AE%E7%9B%B8%E5%85%B3%E5%AE%A1%E8%AE%A1%E4%BC%9A%E8%AE%A1%E7%9F%A5%E8%AF%86%E5%8F%AF%E5%8F%82%E8%80%83%E2%80%9C%E5%A4%A7%E4%B8%AD%E5%8D%8E%E5%8C%BA%E4%BC%9A%E8%AE%A1%E5%AE%A1%E8%AE%A1%E7%9F%A5%E8%AF%86%E5%BA%93%E2%80%9D%C2%A0%C2%A0%C2%A0%C2%A0%C2%A0%C2%A0%C2%A0%C2%A0%0AN_%E5%BA%94%E4%BB%98%E8%B4%A6%E6%AC%BE%26%E5%BA%94%E4%BB%98%E7%A5%A8%E6%8D%AE%C2%A0" TargetMode="Externa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E9%A2%84%E5%AE%A1&amp;%E5%B9%B4%E5%AE%A1%E5%B7%A5%E4%BD%9C%E6%B3%A8%E6%84%8F%E4%BA%8B%E9%A1%B9.aspx" TargetMode="External"/></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E9%A2%84%E5%AE%A1&amp;%E5%B9%B4%E5%AE%A1%E5%B7%A5%E4%BD%9C%E6%B3%A8%E6%84%8F%E4%BA%8B%E9%A1%B9.aspx" TargetMode="External"/></Relationships>
</file>

<file path=xl/drawings/drawing1.xml><?xml version="1.0" encoding="utf-8"?>
<xdr:wsDr xmlns:xdr="http://schemas.openxmlformats.org/drawingml/2006/spreadsheetDrawing" xmlns:a="http://schemas.openxmlformats.org/drawingml/2006/main">
  <xdr:twoCellAnchor>
    <xdr:from>
      <xdr:col>4</xdr:col>
      <xdr:colOff>1451428</xdr:colOff>
      <xdr:row>24</xdr:row>
      <xdr:rowOff>217714</xdr:rowOff>
    </xdr:from>
    <xdr:to>
      <xdr:col>4</xdr:col>
      <xdr:colOff>1737178</xdr:colOff>
      <xdr:row>24</xdr:row>
      <xdr:rowOff>480545</xdr:rowOff>
    </xdr:to>
    <xdr:pic>
      <xdr:nvPicPr>
        <xdr:cNvPr id="4" name="图片 3">
          <a:hlinkClick xmlns:r="http://schemas.openxmlformats.org/officeDocument/2006/relationships" r:id="rId1"/>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stretch>
          <a:fillRect/>
        </a:stretch>
      </xdr:blipFill>
      <xdr:spPr>
        <a:xfrm>
          <a:off x="5015230" y="4947285"/>
          <a:ext cx="285750" cy="262890"/>
        </a:xfrm>
        <a:prstGeom prst="rect">
          <a:avLst/>
        </a:prstGeom>
      </xdr:spPr>
    </xdr:pic>
    <xdr:clientData/>
  </xdr:twoCellAnchor>
  <xdr:oneCellAnchor>
    <xdr:from>
      <xdr:col>7</xdr:col>
      <xdr:colOff>2685142</xdr:colOff>
      <xdr:row>24</xdr:row>
      <xdr:rowOff>181429</xdr:rowOff>
    </xdr:from>
    <xdr:ext cx="290287" cy="281748"/>
    <xdr:pic>
      <xdr:nvPicPr>
        <xdr:cNvPr id="2" name="图片 1">
          <a:hlinkClick xmlns:r="http://schemas.openxmlformats.org/officeDocument/2006/relationships" r:id="rId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a:stretch>
          <a:fillRect/>
        </a:stretch>
      </xdr:blipFill>
      <xdr:spPr>
        <a:xfrm>
          <a:off x="10448290" y="4911090"/>
          <a:ext cx="290195" cy="28194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6</xdr:col>
      <xdr:colOff>707572</xdr:colOff>
      <xdr:row>7</xdr:row>
      <xdr:rowOff>27214</xdr:rowOff>
    </xdr:from>
    <xdr:to>
      <xdr:col>6</xdr:col>
      <xdr:colOff>947602</xdr:colOff>
      <xdr:row>7</xdr:row>
      <xdr:rowOff>244384</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stretch>
          <a:fillRect/>
        </a:stretch>
      </xdr:blipFill>
      <xdr:spPr>
        <a:xfrm>
          <a:off x="6785610" y="1505585"/>
          <a:ext cx="240030" cy="21717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994833</xdr:colOff>
      <xdr:row>6</xdr:row>
      <xdr:rowOff>21167</xdr:rowOff>
    </xdr:from>
    <xdr:to>
      <xdr:col>5</xdr:col>
      <xdr:colOff>1228513</xdr:colOff>
      <xdr:row>6</xdr:row>
      <xdr:rowOff>238337</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2"/>
        <a:stretch>
          <a:fillRect/>
        </a:stretch>
      </xdr:blipFill>
      <xdr:spPr>
        <a:xfrm>
          <a:off x="7496175" y="1177925"/>
          <a:ext cx="233680" cy="217170"/>
        </a:xfrm>
        <a:prstGeom prst="rect">
          <a:avLst/>
        </a:prstGeom>
      </xdr:spPr>
    </xdr:pic>
    <xdr:clientData/>
  </xdr:twoCellAnchor>
  <xdr:twoCellAnchor>
    <xdr:from>
      <xdr:col>4</xdr:col>
      <xdr:colOff>415471</xdr:colOff>
      <xdr:row>15</xdr:row>
      <xdr:rowOff>54427</xdr:rowOff>
    </xdr:from>
    <xdr:to>
      <xdr:col>4</xdr:col>
      <xdr:colOff>489858</xdr:colOff>
      <xdr:row>16</xdr:row>
      <xdr:rowOff>145142</xdr:rowOff>
    </xdr:to>
    <xdr:grpSp>
      <xdr:nvGrpSpPr>
        <xdr:cNvPr id="3" name="Group 8">
          <a:extLst>
            <a:ext uri="{FF2B5EF4-FFF2-40B4-BE49-F238E27FC236}">
              <a16:creationId xmlns:a16="http://schemas.microsoft.com/office/drawing/2014/main" id="{00000000-0008-0000-0200-000003000000}"/>
            </a:ext>
          </a:extLst>
        </xdr:cNvPr>
        <xdr:cNvGrpSpPr/>
      </xdr:nvGrpSpPr>
      <xdr:grpSpPr>
        <a:xfrm flipV="1">
          <a:off x="8117114" y="6377213"/>
          <a:ext cx="74387" cy="281215"/>
          <a:chOff x="7753350" y="3327400"/>
          <a:chExt cx="114300" cy="758825"/>
        </a:xfrm>
      </xdr:grpSpPr>
      <xdr:cxnSp macro="">
        <xdr:nvCxnSpPr>
          <xdr:cNvPr id="4" name="Straight Connector 6">
            <a:extLst>
              <a:ext uri="{FF2B5EF4-FFF2-40B4-BE49-F238E27FC236}">
                <a16:creationId xmlns:a16="http://schemas.microsoft.com/office/drawing/2014/main" id="{00000000-0008-0000-0200-000004000000}"/>
              </a:ext>
            </a:extLst>
          </xdr:cNvPr>
          <xdr:cNvCxnSpPr/>
        </xdr:nvCxnSpPr>
        <xdr:spPr>
          <a:xfrm>
            <a:off x="7804150" y="3327400"/>
            <a:ext cx="0" cy="758825"/>
          </a:xfrm>
          <a:prstGeom prst="line">
            <a:avLst/>
          </a:prstGeom>
          <a:ln w="1">
            <a:solidFill>
              <a:srgbClr xmlns:mc="http://schemas.openxmlformats.org/markup-compatibility/2006" xmlns:a14="http://schemas.microsoft.com/office/drawing/2010/main" val="FF0000" mc:Ignorable="a14" a14:legacySpreadsheetColorIndex="10"/>
            </a:solidFill>
            <a:prstDash val="solid"/>
            <a:headEnd type="none" w="med" len="sm"/>
            <a:tailEnd type="none" w="med" len="sm"/>
          </a:ln>
        </xdr:spPr>
        <xdr:style>
          <a:lnRef idx="1">
            <a:schemeClr val="accent1"/>
          </a:lnRef>
          <a:fillRef idx="0">
            <a:schemeClr val="accent1"/>
          </a:fillRef>
          <a:effectRef idx="0">
            <a:schemeClr val="accent1"/>
          </a:effectRef>
          <a:fontRef idx="minor">
            <a:schemeClr val="tx1"/>
          </a:fontRef>
        </xdr:style>
      </xdr:cxnSp>
      <xdr:cxnSp macro="">
        <xdr:nvCxnSpPr>
          <xdr:cNvPr id="5" name="Straight Connector 7">
            <a:extLst>
              <a:ext uri="{FF2B5EF4-FFF2-40B4-BE49-F238E27FC236}">
                <a16:creationId xmlns:a16="http://schemas.microsoft.com/office/drawing/2014/main" id="{00000000-0008-0000-0200-000005000000}"/>
              </a:ext>
            </a:extLst>
          </xdr:cNvPr>
          <xdr:cNvCxnSpPr/>
        </xdr:nvCxnSpPr>
        <xdr:spPr>
          <a:xfrm>
            <a:off x="7753350" y="4086225"/>
            <a:ext cx="114300" cy="0"/>
          </a:xfrm>
          <a:prstGeom prst="line">
            <a:avLst/>
          </a:prstGeom>
          <a:ln w="1">
            <a:solidFill>
              <a:srgbClr xmlns:mc="http://schemas.openxmlformats.org/markup-compatibility/2006" xmlns:a14="http://schemas.microsoft.com/office/drawing/2010/main" val="FF0000" mc:Ignorable="a14" a14:legacySpreadsheetColorIndex="10"/>
            </a:solidFill>
            <a:prstDash val="solid"/>
            <a:headEnd type="none" w="med" len="sm"/>
            <a:tailEnd type="none" w="med" len="sm"/>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eychinamanaged.sharepoint.cn/sites/DPCADPCS/Shared%20Documents/2025&#24180;&#24180;&#23457;/4&#12289;A3/A3A5_&#21333;&#20307;&#27169;&#26495;_20251231%20-%20DPCA.xlsx" TargetMode="External"/><Relationship Id="rId1" Type="http://schemas.openxmlformats.org/officeDocument/2006/relationships/externalLinkPath" Target="https://eychinamanaged.sharepoint.cn/sites/DPCADPCS/Shared%20Documents/2025&#24180;&#24180;&#23457;/4&#12289;A3/A3A5_&#21333;&#20307;&#27169;&#26495;_20251231%20-%20DPC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kywind"/>
      <sheetName val="Lead"/>
      <sheetName val="cache"/>
      <sheetName val="A3_Consol"/>
      <sheetName val="Modify_A3_Control"/>
      <sheetName val="Roll_A3"/>
      <sheetName val="使用手册"/>
      <sheetName val="control List"/>
      <sheetName val="per man对比"/>
      <sheetName val="调整check"/>
      <sheetName val="两期对比"/>
      <sheetName val="AFS_单体"/>
      <sheetName val="所有者权益变动表"/>
      <sheetName val="BS_历史"/>
      <sheetName val="PL_历史"/>
      <sheetName val="A3_单体报表审定数"/>
      <sheetName val="A5_审计调整明细"/>
      <sheetName val="AA#2"/>
      <sheetName val="AA#7"/>
      <sheetName val="AA#9"/>
      <sheetName val="AA#6"/>
      <sheetName val="BPC原报数_资产负债表"/>
      <sheetName val="BPC原报数_利润表"/>
      <sheetName val="抵消核对"/>
      <sheetName val="A5_合并客户调整（无法拆分）"/>
      <sheetName val="A4_TBVSFS"/>
      <sheetName val="A5_Adj_sum"/>
      <sheetName val="所有者权益变动情况表"/>
      <sheetName val="DS_INTERNAL_SETTINGS_STORAGE"/>
      <sheetName val="DS_INTERNAL_DOCGROUP_STORAGE"/>
      <sheetName val="DS_INTERNAL_DOCUMENT_STORAGE"/>
      <sheetName val="DS_INTERNAL_SNIP_STORAG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78">
          <cell r="F78">
            <v>62186879.659999996</v>
          </cell>
          <cell r="DL78">
            <v>62186879.659999996</v>
          </cell>
          <cell r="DN78">
            <v>683255577.60000002</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persons/person.xml><?xml version="1.0" encoding="utf-8"?>
<personList xmlns="http://schemas.microsoft.com/office/spreadsheetml/2018/threadedcomments" xmlns:x="http://schemas.openxmlformats.org/spreadsheetml/2006/main">
  <person displayName="Dana D Li" id="{605C378B-F2F2-48A8-9E01-E02DE15A210E}" userId="S::Dana.D.Li1@cn.ey.com::e8e9757c-2580-47ca-adc7-0fc57035227d" providerId="AD"/>
  <person displayName="Jayla Zhang" id="{886985A8-6CD6-45F8-86BB-C2EFBF97947B}" userId="S::Jayla.Zhang@cn.ey.com::91c1526b-4b1a-4068-ab25-822c908ebbf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31" dT="2026-02-07T08:13:47.14" personId="{605C378B-F2F2-48A8-9E01-E02DE15A210E}" id="{EF1F65F7-E3BF-4CD9-94A0-18F8EB9711B2}">
    <text>这里要写选样的策略，如果没有符合标准的样本，记录在第38行的表里</text>
  </threadedComment>
  <threadedComment ref="B31" dT="2026-02-07T08:39:54.54" personId="{886985A8-6CD6-45F8-86BB-C2EFBF97947B}" id="{19D5974D-EDBA-4076-B1BF-708A8CD6091D}" parentId="{EF1F65F7-E3BF-4CD9-94A0-18F8EB9711B2}">
    <text>已修改</text>
  </threadedComment>
  <threadedComment ref="B31" dT="2026-03-14T08:42:24.28" personId="{605C378B-F2F2-48A8-9E01-E02DE15A210E}" id="{E52FF460-1AA7-4830-BC30-36BC4DA1BC33}" parentId="{EF1F65F7-E3BF-4CD9-94A0-18F8EB9711B2}">
    <text xml:space="preserve">参考SOP写  公司的银行承兑汇票主要用于货款结算，公司已统一使用了集团公司的资金管理系统，对包括银行承兑汇票在内资金业务统一核算管理；根据连续审计，未发现公司存在应付票据的错报，故在执行表2获取承兑余额与总账金额一致的基础上，我们按以下选样标准对单张票据执行发函或检查：
a.在执行表1的总账与明细账核对中，涉及差异的单张票据；
b.异常的供应商（收票人），如与实体名称相近却并未被识别为关联方的供应商，或不属于该实体行业的供应商；
c.除上述情况外，票面金额超过测试阈值的未逾期单张票据；
d.已逾期单张票据（如有）。
</text>
  </threadedComment>
  <threadedComment ref="B31" dT="2026-03-16T02:23:28.83" personId="{886985A8-6CD6-45F8-86BB-C2EFBF97947B}" id="{8B2F55FC-5CA5-44CB-80A2-3951555DA084}" parentId="{EF1F65F7-E3BF-4CD9-94A0-18F8EB9711B2}">
    <text>已修改</text>
  </threadedComment>
  <threadedComment ref="G43" dT="2026-02-07T08:14:11.59" personId="{605C378B-F2F2-48A8-9E01-E02DE15A210E}" id="{CC840752-2F2C-457F-92C6-594E95F5B3FC}">
    <text>差异原因是什么？补充</text>
  </threadedComment>
  <threadedComment ref="G43" dT="2026-02-25T03:31:11.07" personId="{886985A8-6CD6-45F8-86BB-C2EFBF97947B}" id="{C5955012-7D72-46B4-86D4-A181C5613CA3}" parentId="{CC840752-2F2C-457F-92C6-594E95F5B3FC}">
    <text>已补充</text>
  </threadedComment>
  <threadedComment ref="B50" dT="2026-03-14T08:49:05.81" personId="{605C378B-F2F2-48A8-9E01-E02DE15A210E}" id="{72CB07B3-E240-40C1-B266-138CDF92A356}">
    <text>这里要和2.2表格的选样策略保持一致，应该也是没有符合条件的样本，下方的内容删掉吧</text>
  </threadedComment>
  <threadedComment ref="B50" dT="2026-03-16T02:23:12.53" personId="{886985A8-6CD6-45F8-86BB-C2EFBF97947B}" id="{84276CFD-1188-45CE-8CE1-4B1B387B4CE3}" parentId="{72CB07B3-E240-40C1-B266-138CDF92A356}">
    <text>已修改</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M%20SWP%20&#24212;&#20184;&#31080;&#25454;%2020251231%20DPCA.xlsx" TargetMode="External"/><Relationship Id="rId2" Type="http://schemas.openxmlformats.org/officeDocument/2006/relationships/hyperlink" Target="M%20SWP%20&#24212;&#20184;&#31080;&#25454;%2020251231%20DPCA.xlsx" TargetMode="External"/><Relationship Id="rId1" Type="http://schemas.openxmlformats.org/officeDocument/2006/relationships/hyperlink" Target="M%20SWP%20&#24212;&#20184;&#31080;&#25454;%2020251231%20DPCA.xlsx"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3.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2A122-6F4E-4F19-9493-AAB7A6F7F3C7}">
  <sheetPr>
    <tabColor rgb="FFFF0000"/>
  </sheetPr>
  <dimension ref="A1:F4"/>
  <sheetViews>
    <sheetView topLeftCell="A2" zoomScale="85" zoomScaleNormal="85" workbookViewId="0">
      <selection activeCell="C4" sqref="C4"/>
    </sheetView>
  </sheetViews>
  <sheetFormatPr defaultRowHeight="14" x14ac:dyDescent="0.3"/>
  <cols>
    <col min="1" max="2" width="8.75" customWidth="1"/>
    <col min="3" max="3" width="12.75" customWidth="1"/>
    <col min="4" max="5" width="70.75" customWidth="1"/>
    <col min="6" max="6" width="8.75" customWidth="1"/>
  </cols>
  <sheetData>
    <row r="1" spans="1:6" x14ac:dyDescent="0.3">
      <c r="A1" s="432" t="s">
        <v>748</v>
      </c>
      <c r="B1" s="432" t="s">
        <v>749</v>
      </c>
      <c r="C1" s="432" t="s">
        <v>750</v>
      </c>
      <c r="D1" s="432" t="s">
        <v>751</v>
      </c>
      <c r="E1" s="432" t="s">
        <v>752</v>
      </c>
      <c r="F1" s="432" t="s">
        <v>753</v>
      </c>
    </row>
    <row r="2" spans="1:6" ht="196" x14ac:dyDescent="0.3">
      <c r="A2">
        <v>1</v>
      </c>
      <c r="B2" t="s">
        <v>755</v>
      </c>
      <c r="C2" s="434" t="s">
        <v>756</v>
      </c>
      <c r="D2" s="433" t="s">
        <v>757</v>
      </c>
      <c r="E2" s="433" t="s">
        <v>767</v>
      </c>
      <c r="F2" t="s">
        <v>754</v>
      </c>
    </row>
    <row r="3" spans="1:6" ht="42" x14ac:dyDescent="0.3">
      <c r="A3">
        <v>2</v>
      </c>
      <c r="B3" t="s">
        <v>755</v>
      </c>
      <c r="C3" s="434" t="s">
        <v>758</v>
      </c>
      <c r="D3" s="433" t="s">
        <v>759</v>
      </c>
      <c r="E3" s="433" t="s">
        <v>765</v>
      </c>
      <c r="F3" t="s">
        <v>754</v>
      </c>
    </row>
    <row r="4" spans="1:6" ht="56" x14ac:dyDescent="0.3">
      <c r="A4">
        <v>3</v>
      </c>
      <c r="B4" t="s">
        <v>755</v>
      </c>
      <c r="C4" s="434" t="s">
        <v>768</v>
      </c>
      <c r="D4" s="433" t="s">
        <v>769</v>
      </c>
      <c r="F4" t="s">
        <v>754</v>
      </c>
    </row>
  </sheetData>
  <phoneticPr fontId="72" type="noConversion"/>
  <hyperlinks>
    <hyperlink ref="C2" r:id="rId1" location="'M.01 银承BKD'!$B$31" xr:uid="{2F330CB0-373A-4FD6-A39B-A914EE51C69F}"/>
    <hyperlink ref="C3" r:id="rId2" location="'M.01 银承BKD'!$G$48" xr:uid="{865ECCDA-6DB8-4ECB-8657-42AFA5BAE61C}"/>
    <hyperlink ref="C4" r:id="rId3" location="'M.01 银承BKD'!$B$55" xr:uid="{327B65A8-6A60-49E3-9668-05AA7C29D3A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BL47"/>
  <sheetViews>
    <sheetView showGridLines="0" tabSelected="1" zoomScale="70" zoomScaleNormal="70" workbookViewId="0">
      <selection activeCell="H14" sqref="H14"/>
    </sheetView>
  </sheetViews>
  <sheetFormatPr defaultColWidth="9.08203125" defaultRowHeight="13.25" customHeight="1" x14ac:dyDescent="0.3"/>
  <cols>
    <col min="1" max="1" width="2.33203125" style="55" customWidth="1"/>
    <col min="2" max="2" width="5.33203125" style="235" customWidth="1"/>
    <col min="3" max="3" width="16.75" style="235" customWidth="1"/>
    <col min="4" max="4" width="22.33203125" style="235" customWidth="1"/>
    <col min="5" max="5" width="23.33203125" style="283" customWidth="1"/>
    <col min="6" max="6" width="13.75" style="235" customWidth="1"/>
    <col min="7" max="7" width="18" style="235" customWidth="1"/>
    <col min="8" max="8" width="57.08203125" style="235" customWidth="1"/>
    <col min="9" max="9" width="10.08203125" style="235" customWidth="1"/>
    <col min="10" max="10" width="25.33203125" style="235" customWidth="1"/>
    <col min="11" max="11" width="21.75" style="235" customWidth="1"/>
    <col min="12" max="59" width="9.08203125" style="235"/>
    <col min="60" max="60" width="51.33203125" style="235" customWidth="1"/>
    <col min="61" max="61" width="11.75" style="235" customWidth="1"/>
    <col min="62" max="62" width="9.08203125" style="235"/>
    <col min="63" max="63" width="61.75" style="235" customWidth="1"/>
    <col min="64" max="16384" width="9.08203125" style="235"/>
  </cols>
  <sheetData>
    <row r="1" spans="1:64" ht="21.65" customHeight="1" x14ac:dyDescent="0.25">
      <c r="A1" s="284" t="s">
        <v>0</v>
      </c>
      <c r="BA1" s="285"/>
      <c r="BH1" s="266"/>
      <c r="BK1" s="286"/>
      <c r="BL1" s="287"/>
    </row>
    <row r="2" spans="1:64" ht="13.25" customHeight="1" x14ac:dyDescent="0.25">
      <c r="C2" s="288"/>
      <c r="D2" s="289"/>
      <c r="E2" s="290"/>
      <c r="F2" s="289"/>
      <c r="G2" s="291"/>
      <c r="I2" s="292"/>
      <c r="AY2" s="285"/>
      <c r="BA2" s="285"/>
      <c r="BB2" s="293"/>
      <c r="BC2" s="287"/>
    </row>
    <row r="3" spans="1:64" ht="13.25" customHeight="1" x14ac:dyDescent="0.25">
      <c r="C3" s="294" t="s">
        <v>1</v>
      </c>
      <c r="D3" s="295" t="s">
        <v>2</v>
      </c>
      <c r="E3" s="296"/>
      <c r="F3" s="297" t="s">
        <v>3</v>
      </c>
      <c r="G3" s="298">
        <v>449080000</v>
      </c>
      <c r="I3" s="299"/>
      <c r="AY3" s="285"/>
      <c r="BA3" s="285"/>
      <c r="BB3" s="293"/>
      <c r="BC3" s="287"/>
    </row>
    <row r="4" spans="1:64" ht="13.25" customHeight="1" x14ac:dyDescent="0.25">
      <c r="C4" s="300"/>
      <c r="D4" s="301"/>
      <c r="E4" s="296"/>
      <c r="F4" s="302"/>
      <c r="G4" s="303"/>
      <c r="AY4" s="285"/>
      <c r="BA4" s="285"/>
      <c r="BB4" s="293"/>
      <c r="BC4" s="287"/>
    </row>
    <row r="5" spans="1:64" ht="13.25" customHeight="1" x14ac:dyDescent="0.25">
      <c r="C5" s="304" t="s">
        <v>4</v>
      </c>
      <c r="D5" s="305">
        <v>46022</v>
      </c>
      <c r="E5" s="296"/>
      <c r="F5" s="297" t="s">
        <v>5</v>
      </c>
      <c r="G5" s="298">
        <v>337000000</v>
      </c>
      <c r="H5" s="236"/>
      <c r="AY5" s="306"/>
      <c r="BA5" s="285"/>
      <c r="BB5" s="307"/>
      <c r="BC5" s="287"/>
    </row>
    <row r="6" spans="1:64" ht="13.25" customHeight="1" x14ac:dyDescent="0.25">
      <c r="C6" s="300"/>
      <c r="D6" s="308"/>
      <c r="E6" s="296"/>
      <c r="F6" s="302"/>
      <c r="G6" s="303"/>
      <c r="AY6" s="309"/>
      <c r="BA6" s="285"/>
      <c r="BB6" s="293"/>
      <c r="BC6" s="287"/>
    </row>
    <row r="7" spans="1:64" ht="13.25" customHeight="1" x14ac:dyDescent="0.25">
      <c r="C7" s="294" t="s">
        <v>6</v>
      </c>
      <c r="D7" s="295" t="s">
        <v>7</v>
      </c>
      <c r="E7" s="296"/>
      <c r="F7" s="297" t="s">
        <v>8</v>
      </c>
      <c r="G7" s="298">
        <v>16750000</v>
      </c>
      <c r="AY7" s="285"/>
      <c r="BA7" s="285"/>
      <c r="BB7" s="293"/>
      <c r="BC7" s="287"/>
    </row>
    <row r="8" spans="1:64" ht="13.25" customHeight="1" x14ac:dyDescent="0.25">
      <c r="C8" s="310"/>
      <c r="D8" s="311"/>
      <c r="E8" s="296"/>
      <c r="F8" s="312"/>
      <c r="G8" s="313"/>
      <c r="AY8" s="285"/>
      <c r="BA8" s="285"/>
      <c r="BB8" s="293"/>
      <c r="BC8" s="287"/>
    </row>
    <row r="9" spans="1:64" ht="13.25" customHeight="1" x14ac:dyDescent="0.25">
      <c r="C9" s="304" t="s">
        <v>9</v>
      </c>
      <c r="D9" s="295" t="s">
        <v>10</v>
      </c>
      <c r="E9" s="296"/>
      <c r="F9" s="312"/>
      <c r="G9" s="313"/>
      <c r="AY9" s="285"/>
      <c r="BA9" s="285"/>
      <c r="BB9" s="293"/>
      <c r="BC9" s="287"/>
    </row>
    <row r="10" spans="1:64" ht="13.25" customHeight="1" x14ac:dyDescent="0.25">
      <c r="C10" s="314"/>
      <c r="D10" s="315"/>
      <c r="E10" s="316"/>
      <c r="F10" s="315"/>
      <c r="G10" s="317"/>
      <c r="AY10" s="309"/>
      <c r="BA10" s="285"/>
      <c r="BB10" s="293"/>
      <c r="BC10" s="287"/>
    </row>
    <row r="11" spans="1:64" ht="13" x14ac:dyDescent="0.25">
      <c r="C11" s="318"/>
      <c r="E11" s="235"/>
      <c r="AY11" s="309"/>
      <c r="BA11" s="285"/>
      <c r="BB11" s="293"/>
      <c r="BC11" s="287"/>
    </row>
    <row r="12" spans="1:64" ht="13" x14ac:dyDescent="0.25">
      <c r="C12" s="318"/>
      <c r="E12" s="235"/>
      <c r="AY12" s="309"/>
      <c r="BA12" s="285"/>
      <c r="BB12" s="293"/>
      <c r="BC12" s="287"/>
    </row>
    <row r="13" spans="1:64" ht="13" x14ac:dyDescent="0.25">
      <c r="C13" s="319"/>
      <c r="D13" s="319"/>
      <c r="E13" s="444" t="s">
        <v>11</v>
      </c>
      <c r="F13" s="445"/>
      <c r="AY13" s="309"/>
      <c r="BA13" s="285"/>
      <c r="BB13" s="293"/>
      <c r="BC13" s="287"/>
    </row>
    <row r="14" spans="1:64" ht="15" x14ac:dyDescent="0.25">
      <c r="C14" s="321" t="s">
        <v>12</v>
      </c>
      <c r="D14" s="322" t="s">
        <v>13</v>
      </c>
      <c r="E14" s="321" t="s">
        <v>14</v>
      </c>
      <c r="F14" s="320" t="s">
        <v>15</v>
      </c>
      <c r="G14" s="222"/>
      <c r="J14" s="323"/>
      <c r="AZ14" s="309"/>
      <c r="BB14" s="285"/>
      <c r="BC14" s="293"/>
      <c r="BD14" s="287"/>
    </row>
    <row r="15" spans="1:64" ht="14.5" x14ac:dyDescent="0.25">
      <c r="C15" s="324" t="s">
        <v>16</v>
      </c>
      <c r="D15" s="325" t="s">
        <v>17</v>
      </c>
      <c r="E15" s="326" t="str">
        <f>IF(D15="Minimal",$G$5*50%,IF(D15="Low",$G$5*25%,IF(D15="Moderate",$G$5*15%,IF(D15="High",$G$5*10%,IF(D15="N/A","-",)))))</f>
        <v>-</v>
      </c>
      <c r="F15" s="327">
        <f>G5*100%</f>
        <v>337000000</v>
      </c>
      <c r="G15" s="328" t="s">
        <v>18</v>
      </c>
      <c r="J15" s="329"/>
      <c r="AZ15" s="309"/>
      <c r="BB15" s="285"/>
      <c r="BC15" s="293"/>
      <c r="BD15" s="287"/>
    </row>
    <row r="16" spans="1:64" ht="14.5" x14ac:dyDescent="0.25">
      <c r="C16" s="330" t="s">
        <v>19</v>
      </c>
      <c r="D16" s="325" t="s">
        <v>17</v>
      </c>
      <c r="E16" s="326" t="str">
        <f>IF(D16="Minimal",$G$5*100%,IF(D16="Low",$G$5*75%,IF(D16="Moderate",$G$5*50%,IF(D16="High",$G$5*25%,IF(D16="N/A","-",)))))</f>
        <v>-</v>
      </c>
      <c r="F16" s="331"/>
      <c r="G16" s="222"/>
      <c r="J16" s="329"/>
      <c r="AZ16" s="309"/>
      <c r="BB16" s="285"/>
      <c r="BC16" s="293"/>
      <c r="BD16" s="287"/>
    </row>
    <row r="17" spans="1:56" ht="14.5" x14ac:dyDescent="0.25">
      <c r="C17" s="324" t="s">
        <v>20</v>
      </c>
      <c r="D17" s="325" t="s">
        <v>17</v>
      </c>
      <c r="E17" s="326" t="str">
        <f>IF(D17="Minimal",$G$5*100%,IF(D17="Low",$G$5*75%,IF(D17="Moderate",$G$5*50%,IF(D17="High",$G$5*25%,IF(D17="N/A","-",)))))</f>
        <v>-</v>
      </c>
      <c r="F17" s="331"/>
      <c r="G17" s="222"/>
      <c r="J17" s="329"/>
      <c r="AZ17" s="309"/>
      <c r="BB17" s="285"/>
      <c r="BC17" s="293"/>
      <c r="BD17" s="287"/>
    </row>
    <row r="18" spans="1:56" ht="14.5" x14ac:dyDescent="0.25">
      <c r="C18" s="324" t="s">
        <v>21</v>
      </c>
      <c r="D18" s="325" t="s">
        <v>17</v>
      </c>
      <c r="E18" s="326" t="str">
        <f>IF(D18="Minimal",$G$5*100%,IF(D18="Low",$G$5*75%,IF(D18="Moderate",$G$5*50%,IF(D18="High",$G$5*25%,IF(D18="N/A","-",)))))</f>
        <v>-</v>
      </c>
      <c r="F18" s="331"/>
      <c r="G18" s="222"/>
      <c r="J18" s="329"/>
      <c r="AZ18" s="309"/>
      <c r="BB18" s="285"/>
      <c r="BC18" s="293"/>
      <c r="BD18" s="287"/>
    </row>
    <row r="19" spans="1:56" ht="14.5" x14ac:dyDescent="0.25">
      <c r="C19" s="332" t="s">
        <v>22</v>
      </c>
      <c r="D19" s="333" t="s">
        <v>17</v>
      </c>
      <c r="E19" s="334" t="str">
        <f>IF(D19="Minimal",$G$5*100%,IF(D19="Low",$G$5*75%,IF(D19="Moderate",$G$5*50%,IF(D19="High",$G$5*25%,IF(D19="N/A","-",)))))</f>
        <v>-</v>
      </c>
      <c r="F19" s="335"/>
      <c r="G19" s="222"/>
      <c r="J19" s="323"/>
      <c r="AZ19" s="309"/>
      <c r="BB19" s="285"/>
      <c r="BC19" s="293"/>
      <c r="BD19" s="287"/>
    </row>
    <row r="20" spans="1:56" ht="13" x14ac:dyDescent="0.25">
      <c r="C20" s="446" t="s">
        <v>23</v>
      </c>
      <c r="D20" s="446"/>
      <c r="E20" s="446"/>
      <c r="F20" s="446"/>
      <c r="G20" s="222"/>
      <c r="J20" s="323"/>
      <c r="AZ20" s="309"/>
      <c r="BB20" s="285"/>
      <c r="BC20" s="293"/>
      <c r="BD20" s="287"/>
    </row>
    <row r="21" spans="1:56" ht="12.75" customHeight="1" x14ac:dyDescent="0.25">
      <c r="C21" s="337" t="s">
        <v>24</v>
      </c>
      <c r="D21" s="336"/>
      <c r="E21" s="336"/>
      <c r="F21" s="336"/>
      <c r="G21" s="222"/>
      <c r="J21" s="323"/>
      <c r="AZ21" s="309"/>
      <c r="BB21" s="285"/>
      <c r="BC21" s="293"/>
      <c r="BD21" s="287"/>
    </row>
    <row r="22" spans="1:56" ht="13.5" x14ac:dyDescent="0.25">
      <c r="C22" s="337" t="s">
        <v>25</v>
      </c>
      <c r="D22" s="336"/>
      <c r="E22" s="336"/>
      <c r="F22" s="336"/>
      <c r="G22" s="222"/>
      <c r="J22" s="323"/>
      <c r="AZ22" s="309"/>
      <c r="BB22" s="285"/>
      <c r="BC22" s="293"/>
      <c r="BD22" s="287"/>
    </row>
    <row r="23" spans="1:56" ht="47.25" customHeight="1" x14ac:dyDescent="0.25">
      <c r="C23" s="446" t="s">
        <v>26</v>
      </c>
      <c r="D23" s="446"/>
      <c r="E23" s="446"/>
      <c r="F23" s="446"/>
      <c r="G23" s="222"/>
      <c r="J23" s="113"/>
      <c r="AZ23" s="309"/>
      <c r="BB23" s="285"/>
      <c r="BC23" s="293"/>
      <c r="BD23" s="287"/>
    </row>
    <row r="24" spans="1:56" ht="16.5" customHeight="1" x14ac:dyDescent="0.3">
      <c r="C24" s="338"/>
      <c r="D24" s="339"/>
      <c r="E24" s="339"/>
      <c r="J24" s="5"/>
    </row>
    <row r="25" spans="1:56" s="5" customFormat="1" ht="55.5" customHeight="1" x14ac:dyDescent="0.3">
      <c r="A25" s="340" t="s">
        <v>27</v>
      </c>
      <c r="C25" s="341" t="s">
        <v>28</v>
      </c>
      <c r="D25" s="342" t="s">
        <v>29</v>
      </c>
      <c r="E25" s="342" t="s">
        <v>30</v>
      </c>
      <c r="F25" s="342" t="s">
        <v>31</v>
      </c>
      <c r="G25" s="342" t="s">
        <v>12</v>
      </c>
      <c r="H25" s="342" t="s">
        <v>32</v>
      </c>
      <c r="I25" s="342" t="s">
        <v>33</v>
      </c>
      <c r="J25" s="342" t="s">
        <v>34</v>
      </c>
      <c r="K25" s="343" t="s">
        <v>35</v>
      </c>
    </row>
    <row r="26" spans="1:56" s="5" customFormat="1" ht="25.5" customHeight="1" x14ac:dyDescent="0.3">
      <c r="A26" s="340"/>
      <c r="C26" s="458">
        <v>1</v>
      </c>
      <c r="D26" s="460" t="s">
        <v>36</v>
      </c>
      <c r="E26" s="462" t="s">
        <v>37</v>
      </c>
      <c r="F26" s="464" t="s">
        <v>38</v>
      </c>
      <c r="G26" s="466" t="s">
        <v>39</v>
      </c>
      <c r="H26" s="453" t="s">
        <v>40</v>
      </c>
      <c r="I26" s="344" t="s">
        <v>41</v>
      </c>
      <c r="J26" s="388" t="s">
        <v>42</v>
      </c>
      <c r="K26" s="345"/>
    </row>
    <row r="27" spans="1:56" s="5" customFormat="1" ht="25.5" customHeight="1" x14ac:dyDescent="0.3">
      <c r="A27" s="340"/>
      <c r="C27" s="459"/>
      <c r="D27" s="461"/>
      <c r="E27" s="463"/>
      <c r="F27" s="465"/>
      <c r="G27" s="467"/>
      <c r="H27" s="454"/>
      <c r="I27" s="344" t="s">
        <v>41</v>
      </c>
      <c r="J27" s="388" t="s">
        <v>43</v>
      </c>
      <c r="K27" s="435" t="s">
        <v>762</v>
      </c>
    </row>
    <row r="28" spans="1:56" s="5" customFormat="1" ht="69.650000000000006" customHeight="1" x14ac:dyDescent="0.3">
      <c r="A28" s="340"/>
      <c r="C28" s="346">
        <v>2</v>
      </c>
      <c r="D28" s="347" t="s">
        <v>44</v>
      </c>
      <c r="E28" s="348" t="s">
        <v>45</v>
      </c>
      <c r="F28" s="349" t="s">
        <v>38</v>
      </c>
      <c r="G28" s="350" t="s">
        <v>39</v>
      </c>
      <c r="H28" s="348" t="s">
        <v>46</v>
      </c>
      <c r="I28" s="344" t="s">
        <v>41</v>
      </c>
      <c r="J28" s="388" t="s">
        <v>47</v>
      </c>
      <c r="K28" s="345"/>
    </row>
    <row r="29" spans="1:56" s="5" customFormat="1" ht="58.5" customHeight="1" x14ac:dyDescent="0.3">
      <c r="A29" s="340" t="s">
        <v>48</v>
      </c>
      <c r="C29" s="351">
        <v>3</v>
      </c>
      <c r="D29" s="352" t="s">
        <v>49</v>
      </c>
      <c r="E29" s="353" t="s">
        <v>45</v>
      </c>
      <c r="F29" s="354" t="s">
        <v>38</v>
      </c>
      <c r="G29" s="355" t="s">
        <v>39</v>
      </c>
      <c r="H29" s="353" t="s">
        <v>50</v>
      </c>
      <c r="I29" s="356" t="s">
        <v>760</v>
      </c>
      <c r="J29" s="389" t="s">
        <v>51</v>
      </c>
      <c r="K29" s="438" t="s">
        <v>761</v>
      </c>
    </row>
    <row r="30" spans="1:56" ht="13" x14ac:dyDescent="0.3"/>
    <row r="32" spans="1:56" ht="12.75" customHeight="1" x14ac:dyDescent="0.3">
      <c r="C32" s="357" t="s">
        <v>52</v>
      </c>
      <c r="D32" s="358"/>
      <c r="E32" s="359"/>
      <c r="F32" s="358"/>
      <c r="G32" s="360"/>
    </row>
    <row r="33" spans="3:7" ht="12.75" customHeight="1" x14ac:dyDescent="0.3">
      <c r="C33" s="361" t="s">
        <v>53</v>
      </c>
      <c r="D33" s="362"/>
      <c r="E33" s="363"/>
      <c r="F33" s="362"/>
      <c r="G33" s="364"/>
    </row>
    <row r="34" spans="3:7" ht="13" x14ac:dyDescent="0.3">
      <c r="C34" s="365" t="s">
        <v>54</v>
      </c>
      <c r="D34" s="447" t="s">
        <v>55</v>
      </c>
      <c r="E34" s="448"/>
      <c r="F34" s="448"/>
      <c r="G34" s="449"/>
    </row>
    <row r="35" spans="3:7" ht="41.25" customHeight="1" x14ac:dyDescent="0.3">
      <c r="C35" s="366"/>
      <c r="D35" s="450" t="s">
        <v>56</v>
      </c>
      <c r="E35" s="451"/>
      <c r="F35" s="451"/>
      <c r="G35" s="452"/>
    </row>
    <row r="36" spans="3:7" ht="13" x14ac:dyDescent="0.3">
      <c r="C36" s="367"/>
      <c r="E36" s="235"/>
      <c r="G36" s="367"/>
    </row>
    <row r="38" spans="3:7" ht="15" customHeight="1" x14ac:dyDescent="0.3">
      <c r="C38" s="455" t="s">
        <v>57</v>
      </c>
      <c r="D38" s="456"/>
      <c r="E38" s="456"/>
      <c r="F38" s="456"/>
      <c r="G38" s="457"/>
    </row>
    <row r="39" spans="3:7" ht="15" customHeight="1" x14ac:dyDescent="0.3">
      <c r="C39" s="368" t="s">
        <v>58</v>
      </c>
      <c r="D39" s="369" t="s">
        <v>59</v>
      </c>
      <c r="E39" s="370"/>
      <c r="F39" s="370"/>
      <c r="G39" s="371"/>
    </row>
    <row r="40" spans="3:7" ht="15" customHeight="1" x14ac:dyDescent="0.3">
      <c r="C40" s="372" t="s">
        <v>60</v>
      </c>
      <c r="D40" s="369" t="s">
        <v>61</v>
      </c>
      <c r="E40" s="373"/>
      <c r="F40" s="374"/>
      <c r="G40" s="375"/>
    </row>
    <row r="41" spans="3:7" ht="15" customHeight="1" x14ac:dyDescent="0.3">
      <c r="C41" s="368" t="s">
        <v>62</v>
      </c>
      <c r="D41" s="376" t="s">
        <v>63</v>
      </c>
      <c r="E41" s="377"/>
      <c r="F41" s="374"/>
      <c r="G41" s="375"/>
    </row>
    <row r="42" spans="3:7" ht="15" customHeight="1" x14ac:dyDescent="0.3">
      <c r="C42" s="368" t="s">
        <v>64</v>
      </c>
      <c r="D42" s="376" t="s">
        <v>65</v>
      </c>
      <c r="E42" s="378"/>
      <c r="F42" s="374"/>
      <c r="G42" s="375"/>
    </row>
    <row r="43" spans="3:7" ht="15" customHeight="1" x14ac:dyDescent="0.3">
      <c r="C43" s="379" t="s">
        <v>66</v>
      </c>
      <c r="D43" s="369" t="s">
        <v>67</v>
      </c>
      <c r="E43" s="380"/>
      <c r="F43" s="381"/>
      <c r="G43" s="382"/>
    </row>
    <row r="44" spans="3:7" ht="15" customHeight="1" x14ac:dyDescent="0.3">
      <c r="C44" s="383" t="s">
        <v>68</v>
      </c>
      <c r="D44" s="369" t="s">
        <v>69</v>
      </c>
      <c r="E44" s="374"/>
      <c r="F44" s="374"/>
      <c r="G44" s="375"/>
    </row>
    <row r="45" spans="3:7" ht="15" customHeight="1" x14ac:dyDescent="0.3">
      <c r="C45" s="368" t="s">
        <v>70</v>
      </c>
      <c r="D45" s="369" t="s">
        <v>71</v>
      </c>
      <c r="E45" s="374"/>
      <c r="F45" s="374"/>
      <c r="G45" s="375"/>
    </row>
    <row r="46" spans="3:7" ht="15" customHeight="1" x14ac:dyDescent="0.3">
      <c r="C46" s="383" t="s">
        <v>72</v>
      </c>
      <c r="D46" s="369" t="s">
        <v>73</v>
      </c>
      <c r="E46" s="374"/>
      <c r="F46" s="374"/>
      <c r="G46" s="375"/>
    </row>
    <row r="47" spans="3:7" ht="15" customHeight="1" x14ac:dyDescent="0.3">
      <c r="C47" s="384" t="s">
        <v>74</v>
      </c>
      <c r="D47" s="385" t="s">
        <v>75</v>
      </c>
      <c r="E47" s="386"/>
      <c r="F47" s="386"/>
      <c r="G47" s="387"/>
    </row>
  </sheetData>
  <mergeCells count="12">
    <mergeCell ref="H26:H27"/>
    <mergeCell ref="C38:G38"/>
    <mergeCell ref="C26:C27"/>
    <mergeCell ref="D26:D27"/>
    <mergeCell ref="E26:E27"/>
    <mergeCell ref="F26:F27"/>
    <mergeCell ref="G26:G27"/>
    <mergeCell ref="E13:F13"/>
    <mergeCell ref="C20:F20"/>
    <mergeCell ref="C23:F23"/>
    <mergeCell ref="D34:G34"/>
    <mergeCell ref="D35:G35"/>
  </mergeCells>
  <phoneticPr fontId="72" type="noConversion"/>
  <conditionalFormatting sqref="C34">
    <cfRule type="expression" dxfId="14" priority="2">
      <formula>C35="√"</formula>
    </cfRule>
  </conditionalFormatting>
  <conditionalFormatting sqref="C34:C35">
    <cfRule type="containsBlanks" dxfId="13" priority="4">
      <formula>LEN(TRIM(C34))=0</formula>
    </cfRule>
  </conditionalFormatting>
  <conditionalFormatting sqref="C35">
    <cfRule type="expression" dxfId="12" priority="1">
      <formula>C34="√"</formula>
    </cfRule>
    <cfRule type="expression" dxfId="11" priority="3">
      <formula>"if($C$46=""√"","""")"</formula>
    </cfRule>
  </conditionalFormatting>
  <conditionalFormatting sqref="D3 G3 D5 G5 D7 G7 D9 D15:D20 I26:I29">
    <cfRule type="containsBlanks" dxfId="10" priority="6">
      <formula>LEN(TRIM(D3))=0</formula>
    </cfRule>
  </conditionalFormatting>
  <conditionalFormatting sqref="K26:K29">
    <cfRule type="expression" dxfId="9" priority="36">
      <formula>SUMPRODUCT((I26="No")*(LEN(K26)=0))</formula>
    </cfRule>
  </conditionalFormatting>
  <dataValidations count="3">
    <dataValidation type="list" allowBlank="1" showInputMessage="1" sqref="C34:C35" xr:uid="{00000000-0002-0000-0000-000000000000}">
      <formula1>"√,"</formula1>
    </dataValidation>
    <dataValidation type="list" allowBlank="1" showInputMessage="1" sqref="D15:D22" xr:uid="{00000000-0002-0000-0000-000001000000}">
      <formula1>"Minimal,Low,Moderate,High,N/A"</formula1>
    </dataValidation>
    <dataValidation type="list" allowBlank="1" showInputMessage="1" sqref="I26:I29" xr:uid="{00000000-0002-0000-0000-000002000000}">
      <formula1>" ,Yes, No"</formula1>
    </dataValidation>
  </dataValidations>
  <hyperlinks>
    <hyperlink ref="J26" location="'M.00 Lead'!A1" display="M.00 Lead" xr:uid="{00000000-0004-0000-0000-000000000000}"/>
    <hyperlink ref="J28" location="'M.01 银承BKD'!A1" display="M.01 银承BKD" xr:uid="{00000000-0004-0000-0000-000001000000}"/>
    <hyperlink ref="J29" location="'M.02 商承BKD'!A1" display="M.02 商承BKD" xr:uid="{00000000-0004-0000-0000-000002000000}"/>
    <hyperlink ref="J27" location="'M.01.01&amp;02.01明细账'!A1" display="M.01.01&amp;02.01明细账" xr:uid="{00000000-0004-0000-0000-000003000000}"/>
  </hyperlinks>
  <pageMargins left="0.7" right="0.7" top="0.75" bottom="0.75" header="0.3" footer="0.3"/>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W63"/>
  <sheetViews>
    <sheetView showGridLines="0" zoomScale="70" zoomScaleNormal="70" workbookViewId="0">
      <selection activeCell="C35" sqref="C35:G38"/>
    </sheetView>
  </sheetViews>
  <sheetFormatPr defaultColWidth="8.75" defaultRowHeight="12.75" customHeight="1" outlineLevelRow="1" x14ac:dyDescent="0.3"/>
  <cols>
    <col min="1" max="1" width="2.33203125" style="16" customWidth="1"/>
    <col min="2" max="2" width="5.33203125" style="5" customWidth="1"/>
    <col min="3" max="3" width="16.33203125" style="5" customWidth="1"/>
    <col min="4" max="4" width="24.4140625" style="5" customWidth="1"/>
    <col min="5" max="5" width="15.25" style="5" customWidth="1"/>
    <col min="6" max="6" width="16.08203125" style="5" customWidth="1"/>
    <col min="7" max="9" width="15" style="5" customWidth="1"/>
    <col min="10" max="10" width="15.9140625" style="5" customWidth="1"/>
    <col min="11" max="11" width="14.25" style="5" customWidth="1"/>
    <col min="12" max="12" width="13.08203125" style="5" customWidth="1"/>
    <col min="13" max="14" width="11.33203125" style="5" customWidth="1"/>
    <col min="15" max="17" width="17.6640625" style="5" customWidth="1"/>
    <col min="18" max="18" width="9.33203125" style="5" customWidth="1"/>
    <col min="19" max="19" width="12.4140625" style="5" customWidth="1"/>
    <col min="20" max="20" width="11.08203125" style="5" customWidth="1"/>
    <col min="21" max="21" width="12.75" style="5" customWidth="1"/>
    <col min="22" max="16384" width="8.75" style="5"/>
  </cols>
  <sheetData>
    <row r="1" spans="1:14" ht="12.75" customHeight="1" x14ac:dyDescent="0.3">
      <c r="A1" s="14" t="s">
        <v>76</v>
      </c>
    </row>
    <row r="2" spans="1:14" ht="12.75" customHeight="1" x14ac:dyDescent="0.3">
      <c r="J2" s="17" t="s">
        <v>77</v>
      </c>
    </row>
    <row r="4" spans="1:14" ht="20" x14ac:dyDescent="0.3">
      <c r="C4" s="196" t="s">
        <v>78</v>
      </c>
      <c r="D4" s="197"/>
      <c r="E4" s="197"/>
      <c r="F4" s="197"/>
      <c r="G4" s="197"/>
      <c r="H4" s="197"/>
      <c r="I4" s="197"/>
      <c r="J4" s="198"/>
    </row>
    <row r="5" spans="1:14" ht="20.149999999999999" customHeight="1" x14ac:dyDescent="0.3">
      <c r="C5" s="199" t="s">
        <v>79</v>
      </c>
      <c r="D5" s="200"/>
      <c r="E5" s="200"/>
      <c r="F5" s="200"/>
      <c r="G5" s="200"/>
      <c r="H5" s="200"/>
      <c r="I5" s="200"/>
      <c r="J5" s="201"/>
    </row>
    <row r="6" spans="1:14" ht="20.149999999999999" customHeight="1" x14ac:dyDescent="0.3">
      <c r="C6" s="199"/>
      <c r="D6" s="200"/>
      <c r="E6" s="200"/>
      <c r="F6" s="200"/>
      <c r="G6" s="200"/>
      <c r="H6" s="200"/>
      <c r="I6" s="200"/>
      <c r="J6" s="201"/>
    </row>
    <row r="7" spans="1:14" ht="18" x14ac:dyDescent="0.3">
      <c r="B7" s="202"/>
      <c r="C7" s="203"/>
      <c r="D7" s="204"/>
      <c r="E7" s="204"/>
      <c r="F7" s="204"/>
      <c r="G7" s="205"/>
      <c r="H7" s="205"/>
      <c r="I7" s="205"/>
      <c r="J7" s="201"/>
    </row>
    <row r="8" spans="1:14" ht="20" x14ac:dyDescent="0.3">
      <c r="A8" s="206"/>
      <c r="B8" s="206"/>
      <c r="C8" s="36" t="s">
        <v>80</v>
      </c>
      <c r="D8" s="490" t="s">
        <v>81</v>
      </c>
      <c r="E8" s="491"/>
      <c r="F8" s="492"/>
      <c r="G8" s="37" t="s">
        <v>82</v>
      </c>
      <c r="H8" s="37" t="s">
        <v>83</v>
      </c>
      <c r="I8" s="37" t="s">
        <v>84</v>
      </c>
      <c r="J8" s="38" t="s">
        <v>85</v>
      </c>
    </row>
    <row r="9" spans="1:14" ht="47.15" customHeight="1" outlineLevel="1" x14ac:dyDescent="0.3">
      <c r="B9" s="202"/>
      <c r="C9" s="207">
        <v>1</v>
      </c>
      <c r="D9" s="493" t="s">
        <v>86</v>
      </c>
      <c r="E9" s="494"/>
      <c r="F9" s="495"/>
      <c r="G9" s="42" t="s">
        <v>87</v>
      </c>
      <c r="H9" s="43" t="s">
        <v>88</v>
      </c>
      <c r="I9" s="43" t="s">
        <v>88</v>
      </c>
      <c r="J9" s="208"/>
    </row>
    <row r="10" spans="1:14" ht="64.25" customHeight="1" outlineLevel="1" x14ac:dyDescent="0.3">
      <c r="B10" s="202"/>
      <c r="C10" s="209">
        <v>2</v>
      </c>
      <c r="D10" s="493" t="s">
        <v>89</v>
      </c>
      <c r="E10" s="494"/>
      <c r="F10" s="495"/>
      <c r="G10" s="42" t="s">
        <v>87</v>
      </c>
      <c r="H10" s="43" t="s">
        <v>88</v>
      </c>
      <c r="I10" s="43" t="s">
        <v>88</v>
      </c>
      <c r="J10" s="208"/>
    </row>
    <row r="11" spans="1:14" ht="18" x14ac:dyDescent="0.3">
      <c r="B11" s="202"/>
      <c r="C11" s="210"/>
      <c r="D11" s="211"/>
      <c r="E11" s="211"/>
      <c r="F11" s="211"/>
      <c r="G11" s="212"/>
      <c r="H11" s="212"/>
      <c r="I11" s="212"/>
      <c r="J11" s="213"/>
      <c r="K11" s="202"/>
      <c r="L11" s="202"/>
    </row>
    <row r="12" spans="1:14" ht="12.75" customHeight="1" x14ac:dyDescent="0.3">
      <c r="B12" s="202"/>
      <c r="C12" s="214"/>
      <c r="D12" s="214"/>
      <c r="E12" s="214"/>
      <c r="F12" s="214"/>
      <c r="G12" s="214"/>
      <c r="H12" s="202"/>
      <c r="I12" s="202"/>
      <c r="M12" s="215"/>
      <c r="N12" s="215"/>
    </row>
    <row r="13" spans="1:14" ht="12.75" customHeight="1" x14ac:dyDescent="0.3">
      <c r="B13" s="202"/>
      <c r="C13" s="216" t="s">
        <v>90</v>
      </c>
      <c r="D13" s="217"/>
      <c r="E13" s="217"/>
      <c r="F13" s="217"/>
      <c r="G13" s="217"/>
      <c r="H13" s="202"/>
      <c r="I13" s="202"/>
      <c r="M13" s="215"/>
      <c r="N13" s="215"/>
    </row>
    <row r="14" spans="1:14" ht="12.75" customHeight="1" x14ac:dyDescent="0.3">
      <c r="B14" s="202"/>
      <c r="C14" s="481" t="s">
        <v>764</v>
      </c>
      <c r="D14" s="482"/>
      <c r="E14" s="482"/>
      <c r="F14" s="482"/>
      <c r="G14" s="483"/>
      <c r="H14" s="202"/>
      <c r="I14" s="202"/>
      <c r="M14" s="215"/>
      <c r="N14" s="215"/>
    </row>
    <row r="15" spans="1:14" ht="12.75" customHeight="1" x14ac:dyDescent="0.3">
      <c r="B15" s="202"/>
      <c r="C15" s="484"/>
      <c r="D15" s="485"/>
      <c r="E15" s="485"/>
      <c r="F15" s="485"/>
      <c r="G15" s="486"/>
      <c r="H15" s="202"/>
      <c r="I15" s="202"/>
      <c r="M15" s="215"/>
      <c r="N15" s="215"/>
    </row>
    <row r="16" spans="1:14" ht="12.75" customHeight="1" x14ac:dyDescent="0.3">
      <c r="B16" s="202"/>
      <c r="C16" s="484"/>
      <c r="D16" s="485"/>
      <c r="E16" s="485"/>
      <c r="F16" s="485"/>
      <c r="G16" s="486"/>
      <c r="H16" s="202"/>
      <c r="I16" s="202"/>
      <c r="M16" s="215"/>
      <c r="N16" s="215"/>
    </row>
    <row r="17" spans="2:23" ht="12.75" customHeight="1" x14ac:dyDescent="0.3">
      <c r="B17" s="202"/>
      <c r="C17" s="487"/>
      <c r="D17" s="488"/>
      <c r="E17" s="488"/>
      <c r="F17" s="488"/>
      <c r="G17" s="489"/>
      <c r="H17" s="202"/>
      <c r="I17" s="202"/>
      <c r="M17" s="215"/>
      <c r="N17" s="215"/>
    </row>
    <row r="18" spans="2:23" ht="12.65" customHeight="1" x14ac:dyDescent="0.3">
      <c r="B18" s="202"/>
      <c r="C18" s="214"/>
      <c r="D18" s="214"/>
      <c r="E18" s="214"/>
      <c r="F18" s="214"/>
      <c r="G18" s="214"/>
      <c r="H18" s="202"/>
      <c r="I18" s="202"/>
      <c r="M18" s="215"/>
      <c r="N18" s="215"/>
    </row>
    <row r="19" spans="2:23" ht="12.65" customHeight="1" x14ac:dyDescent="0.3">
      <c r="B19" s="202"/>
      <c r="C19" s="496" t="s">
        <v>91</v>
      </c>
      <c r="D19" s="497"/>
      <c r="E19" s="214"/>
      <c r="F19" s="214"/>
      <c r="G19" s="214"/>
      <c r="H19" s="202"/>
      <c r="I19" s="202"/>
      <c r="M19" s="215"/>
      <c r="N19" s="215"/>
    </row>
    <row r="20" spans="2:23" ht="12.65" customHeight="1" x14ac:dyDescent="0.3">
      <c r="B20" s="202"/>
      <c r="C20" s="218" t="str">
        <f>"波动幅度 ("&amp;汇总!D11&amp;"):"</f>
        <v>波动幅度 ():</v>
      </c>
      <c r="D20" s="219">
        <f>汇总!$F$15</f>
        <v>337000000</v>
      </c>
      <c r="E20" s="214"/>
      <c r="F20" s="214"/>
      <c r="G20" s="214"/>
      <c r="H20" s="202"/>
      <c r="I20" s="202"/>
      <c r="M20" s="215"/>
      <c r="N20" s="215"/>
    </row>
    <row r="21" spans="2:23" ht="12.65" customHeight="1" x14ac:dyDescent="0.3">
      <c r="B21" s="202"/>
      <c r="C21" s="220" t="s">
        <v>92</v>
      </c>
      <c r="D21" s="221">
        <v>0.1</v>
      </c>
      <c r="E21" s="214"/>
      <c r="F21" s="214"/>
      <c r="G21" s="214"/>
      <c r="H21" s="202"/>
      <c r="I21" s="202"/>
      <c r="J21" s="202"/>
      <c r="N21" s="215"/>
      <c r="O21" s="215"/>
    </row>
    <row r="22" spans="2:23" ht="12.65" customHeight="1" x14ac:dyDescent="0.3">
      <c r="B22" s="202"/>
      <c r="C22" s="214"/>
      <c r="D22" s="214"/>
      <c r="E22" s="214"/>
      <c r="F22" s="222" t="s">
        <v>93</v>
      </c>
      <c r="G22" s="223"/>
      <c r="H22" s="215"/>
      <c r="I22" s="215"/>
      <c r="J22" s="224"/>
      <c r="K22" s="225" t="s">
        <v>94</v>
      </c>
      <c r="L22" s="215"/>
      <c r="M22" s="215"/>
      <c r="N22" s="215"/>
      <c r="O22" s="215"/>
    </row>
    <row r="23" spans="2:23" ht="12.75" customHeight="1" x14ac:dyDescent="0.3">
      <c r="B23" s="226" t="s">
        <v>95</v>
      </c>
      <c r="C23" s="498" t="s">
        <v>96</v>
      </c>
      <c r="D23" s="500" t="s">
        <v>97</v>
      </c>
      <c r="E23" s="502" t="s">
        <v>98</v>
      </c>
      <c r="F23" s="227"/>
      <c r="G23" s="228"/>
      <c r="H23" s="229">
        <f>汇总!D5</f>
        <v>46022</v>
      </c>
      <c r="I23" s="228"/>
      <c r="J23" s="230" t="s">
        <v>99</v>
      </c>
      <c r="K23" s="231">
        <f>DATE(YEAR($H$23)-1,12,31)</f>
        <v>45657</v>
      </c>
      <c r="L23" s="232" t="s">
        <v>100</v>
      </c>
      <c r="M23" s="233"/>
      <c r="N23" s="234"/>
      <c r="O23" s="468" t="s">
        <v>101</v>
      </c>
      <c r="P23" s="470" t="s">
        <v>102</v>
      </c>
      <c r="Q23" s="235"/>
      <c r="R23" s="236"/>
    </row>
    <row r="24" spans="2:23" ht="24.65" customHeight="1" x14ac:dyDescent="0.3">
      <c r="C24" s="499"/>
      <c r="D24" s="501"/>
      <c r="E24" s="503"/>
      <c r="F24" s="237" t="s">
        <v>103</v>
      </c>
      <c r="G24" s="238" t="s">
        <v>104</v>
      </c>
      <c r="H24" s="239" t="s">
        <v>105</v>
      </c>
      <c r="I24" s="238" t="s">
        <v>106</v>
      </c>
      <c r="J24" s="240" t="s">
        <v>107</v>
      </c>
      <c r="K24" s="239" t="s">
        <v>108</v>
      </c>
      <c r="L24" s="241" t="s">
        <v>109</v>
      </c>
      <c r="M24" s="239" t="s">
        <v>110</v>
      </c>
      <c r="N24" s="242" t="s">
        <v>111</v>
      </c>
      <c r="O24" s="469"/>
      <c r="P24" s="471"/>
      <c r="Q24" s="235"/>
      <c r="R24" s="236"/>
    </row>
    <row r="25" spans="2:23" ht="14.5" x14ac:dyDescent="0.3">
      <c r="B25" s="243"/>
      <c r="C25" s="244" t="s">
        <v>2</v>
      </c>
      <c r="D25" s="245" t="s">
        <v>112</v>
      </c>
      <c r="E25" s="390" t="s">
        <v>113</v>
      </c>
      <c r="F25" s="247">
        <v>50570211.170000002</v>
      </c>
      <c r="G25" s="248"/>
      <c r="H25" s="248">
        <f>F25+G25</f>
        <v>50570211.170000002</v>
      </c>
      <c r="I25" s="248"/>
      <c r="J25" s="248">
        <f>H25+I25</f>
        <v>50570211.170000002</v>
      </c>
      <c r="K25" s="249">
        <v>78462838.319999993</v>
      </c>
      <c r="L25" s="248">
        <f>J25-K25</f>
        <v>-27892627.149999999</v>
      </c>
      <c r="M25" s="250">
        <f>IFERROR(L25/K25,1)</f>
        <v>-0.355488378284809</v>
      </c>
      <c r="N25" s="251"/>
      <c r="O25" s="252" t="str">
        <f>IF(AND(L25&lt;&gt;0,ABS(L25)&gt;=$D$20,OR(M25="N/A",ABS(IFERROR(L25/K25,0))&gt;=$D$21)),"是","否")</f>
        <v>否</v>
      </c>
      <c r="P25" s="253" t="s">
        <v>114</v>
      </c>
      <c r="Q25" s="235"/>
      <c r="R25" s="236"/>
    </row>
    <row r="26" spans="2:23" ht="14.5" x14ac:dyDescent="0.3">
      <c r="B26" s="243"/>
      <c r="C26" s="244" t="s">
        <v>115</v>
      </c>
      <c r="D26" s="245" t="s">
        <v>112</v>
      </c>
      <c r="E26" s="246"/>
      <c r="F26" s="439">
        <v>11616668.49</v>
      </c>
      <c r="G26" s="248"/>
      <c r="H26" s="248">
        <f>F26+G26</f>
        <v>11616668.49</v>
      </c>
      <c r="I26" s="248"/>
      <c r="J26" s="248">
        <f>H26+I26</f>
        <v>11616668.49</v>
      </c>
      <c r="K26" s="249">
        <v>56425688.420000002</v>
      </c>
      <c r="L26" s="248">
        <f t="shared" ref="L26:L27" si="0">J26-K26</f>
        <v>-44809019.93</v>
      </c>
      <c r="M26" s="250">
        <f t="shared" ref="M26:M27" si="1">IFERROR(L26/K26,1)</f>
        <v>-0.79412447033818601</v>
      </c>
      <c r="N26" s="251"/>
      <c r="O26" s="252" t="str">
        <f t="shared" ref="O26:O27" si="2">IF(AND(L26&lt;&gt;0,ABS(L26)&gt;=$D$20,OR(M26="N/A",ABS(IFERROR(L26/K26,0))&gt;=$D$21)),"是","否")</f>
        <v>否</v>
      </c>
      <c r="P26" s="253" t="s">
        <v>114</v>
      </c>
      <c r="Q26" s="235"/>
      <c r="R26" s="236"/>
    </row>
    <row r="27" spans="2:23" ht="14.5" x14ac:dyDescent="0.3">
      <c r="B27" s="243"/>
      <c r="C27" s="244" t="s">
        <v>2</v>
      </c>
      <c r="D27" s="245" t="s">
        <v>117</v>
      </c>
      <c r="E27" s="390" t="s">
        <v>118</v>
      </c>
      <c r="F27" s="247">
        <v>0</v>
      </c>
      <c r="G27" s="248"/>
      <c r="H27" s="248">
        <f>F27+G27</f>
        <v>0</v>
      </c>
      <c r="I27" s="248"/>
      <c r="J27" s="248">
        <f>H27+I27</f>
        <v>0</v>
      </c>
      <c r="K27" s="249">
        <v>320570070.97000003</v>
      </c>
      <c r="L27" s="248">
        <f t="shared" si="0"/>
        <v>-320570070.97000003</v>
      </c>
      <c r="M27" s="250">
        <f t="shared" si="1"/>
        <v>-1</v>
      </c>
      <c r="N27" s="251"/>
      <c r="O27" s="252" t="str">
        <f t="shared" si="2"/>
        <v>否</v>
      </c>
      <c r="P27" s="253" t="s">
        <v>114</v>
      </c>
      <c r="Q27" s="235"/>
      <c r="R27" s="236"/>
    </row>
    <row r="28" spans="2:23" ht="14.5" x14ac:dyDescent="0.3">
      <c r="B28" s="243"/>
      <c r="C28" s="244" t="s">
        <v>115</v>
      </c>
      <c r="D28" s="245" t="s">
        <v>117</v>
      </c>
      <c r="E28" s="390" t="s">
        <v>118</v>
      </c>
      <c r="F28" s="247">
        <v>0</v>
      </c>
      <c r="G28" s="248"/>
      <c r="H28" s="248">
        <f>F28+G28</f>
        <v>0</v>
      </c>
      <c r="I28" s="248"/>
      <c r="J28" s="248">
        <f>H28+I28</f>
        <v>0</v>
      </c>
      <c r="K28" s="249">
        <v>227796979.88999999</v>
      </c>
      <c r="L28" s="248">
        <f t="shared" ref="L28:L29" si="3">J28-K28</f>
        <v>-227796979.88999999</v>
      </c>
      <c r="M28" s="250">
        <f t="shared" ref="M28:M29" si="4">IFERROR(L28/K28,1)</f>
        <v>-1</v>
      </c>
      <c r="N28" s="254"/>
      <c r="O28" s="252" t="str">
        <f t="shared" ref="O28:O29" si="5">IF(AND(L28&lt;&gt;0,ABS(L28)&gt;=$D$20,OR(M28="N/A",ABS(IFERROR(L28/K28,0))&gt;=$D$21)),"是","否")</f>
        <v>否</v>
      </c>
      <c r="P28" s="253" t="s">
        <v>114</v>
      </c>
      <c r="Q28" s="235"/>
      <c r="R28" s="236"/>
    </row>
    <row r="29" spans="2:23" ht="14.5" x14ac:dyDescent="0.3">
      <c r="B29" s="243"/>
      <c r="C29" s="255"/>
      <c r="D29" s="256"/>
      <c r="E29" s="391" t="s">
        <v>119</v>
      </c>
      <c r="F29" s="257">
        <f>SUM(F25:F28)</f>
        <v>62186879.659999996</v>
      </c>
      <c r="G29" s="257">
        <f t="shared" ref="G29:K29" si="6">SUM(G25:G28)</f>
        <v>0</v>
      </c>
      <c r="H29" s="257">
        <f>F29+G29</f>
        <v>62186879.659999996</v>
      </c>
      <c r="I29" s="257">
        <f t="shared" si="6"/>
        <v>0</v>
      </c>
      <c r="J29" s="257">
        <f>H29+I29</f>
        <v>62186879.659999996</v>
      </c>
      <c r="K29" s="257">
        <f t="shared" si="6"/>
        <v>683255577.60000002</v>
      </c>
      <c r="L29" s="257">
        <f t="shared" si="3"/>
        <v>-621068697.94000006</v>
      </c>
      <c r="M29" s="258">
        <f t="shared" si="4"/>
        <v>-0.90898445369675995</v>
      </c>
      <c r="N29" s="419" t="s">
        <v>116</v>
      </c>
      <c r="O29" s="259" t="str">
        <f t="shared" si="5"/>
        <v>是</v>
      </c>
      <c r="P29" s="260" t="s">
        <v>114</v>
      </c>
      <c r="Q29" s="235"/>
      <c r="R29" s="236"/>
    </row>
    <row r="30" spans="2:23" ht="12.75" customHeight="1" x14ac:dyDescent="0.3">
      <c r="C30" s="222"/>
      <c r="D30" s="261"/>
      <c r="E30" s="222"/>
      <c r="F30" s="222" t="s">
        <v>120</v>
      </c>
      <c r="G30" s="222" t="s">
        <v>120</v>
      </c>
      <c r="H30" s="222"/>
      <c r="I30" s="222" t="s">
        <v>120</v>
      </c>
      <c r="J30" s="222"/>
      <c r="K30" s="222" t="s">
        <v>120</v>
      </c>
      <c r="L30" s="222"/>
      <c r="M30" s="222"/>
      <c r="N30" s="222"/>
      <c r="O30" s="222"/>
      <c r="P30" s="222"/>
      <c r="Q30" s="222"/>
      <c r="R30" s="222"/>
      <c r="S30" s="222"/>
      <c r="T30" s="222"/>
      <c r="U30" s="222"/>
      <c r="V30" s="235"/>
      <c r="W30" s="236"/>
    </row>
    <row r="31" spans="2:23" ht="12.75" customHeight="1" x14ac:dyDescent="0.3">
      <c r="C31" s="222"/>
      <c r="D31" s="222"/>
      <c r="E31" s="94"/>
      <c r="F31" s="262"/>
      <c r="G31" s="94" t="s">
        <v>62</v>
      </c>
      <c r="H31" s="263">
        <f>[1]A3_单体报表审定数!$F$78</f>
        <v>62186879.659999996</v>
      </c>
      <c r="I31" s="262"/>
      <c r="J31" s="263">
        <f>[1]A3_单体报表审定数!$DL$78</f>
        <v>62186879.659999996</v>
      </c>
      <c r="K31" s="263">
        <f>[1]A3_单体报表审定数!$DN$78</f>
        <v>683255577.60000002</v>
      </c>
      <c r="L31" s="222"/>
      <c r="M31" s="222"/>
      <c r="N31" s="222"/>
      <c r="O31" s="222"/>
      <c r="P31" s="222"/>
      <c r="Q31" s="222"/>
      <c r="R31" s="222"/>
      <c r="S31" s="222"/>
      <c r="T31" s="222"/>
      <c r="U31" s="222"/>
      <c r="V31" s="235"/>
      <c r="W31" s="236"/>
    </row>
    <row r="32" spans="2:23" ht="12.75" customHeight="1" x14ac:dyDescent="0.3">
      <c r="C32" s="222"/>
      <c r="D32" s="222"/>
      <c r="E32" s="94"/>
      <c r="F32" s="262"/>
      <c r="G32" s="94" t="s">
        <v>121</v>
      </c>
      <c r="H32" s="264">
        <f>H29-H31</f>
        <v>0</v>
      </c>
      <c r="I32" s="262"/>
      <c r="J32" s="264">
        <f>J29-J31</f>
        <v>0</v>
      </c>
      <c r="K32" s="264">
        <f t="shared" ref="K32" si="7">K29-K31</f>
        <v>0</v>
      </c>
      <c r="L32" s="222"/>
      <c r="M32" s="222"/>
      <c r="N32" s="222"/>
      <c r="O32" s="222"/>
      <c r="P32" s="222"/>
      <c r="Q32" s="222"/>
      <c r="R32" s="222"/>
      <c r="S32" s="222"/>
      <c r="T32" s="222"/>
      <c r="U32" s="222"/>
      <c r="V32" s="235"/>
      <c r="W32" s="236"/>
    </row>
    <row r="33" spans="2:23" ht="12.75" customHeight="1" x14ac:dyDescent="0.3">
      <c r="C33" s="222"/>
      <c r="D33" s="222"/>
      <c r="E33" s="222"/>
      <c r="F33" s="262"/>
      <c r="G33" s="222"/>
      <c r="H33" s="262"/>
      <c r="I33" s="262"/>
      <c r="J33" s="262"/>
      <c r="K33" s="222"/>
      <c r="L33" s="222"/>
      <c r="M33" s="222"/>
      <c r="N33" s="222"/>
      <c r="O33" s="222"/>
      <c r="P33" s="222"/>
      <c r="Q33" s="222"/>
      <c r="R33" s="222"/>
      <c r="S33" s="222"/>
      <c r="T33" s="222"/>
      <c r="U33" s="222"/>
      <c r="V33" s="235"/>
      <c r="W33" s="236"/>
    </row>
    <row r="34" spans="2:23" ht="12.75" customHeight="1" x14ac:dyDescent="0.3">
      <c r="B34" s="265"/>
      <c r="C34" s="266" t="s">
        <v>122</v>
      </c>
      <c r="D34" s="222"/>
      <c r="E34" s="222"/>
      <c r="F34" s="262"/>
      <c r="G34" s="222"/>
      <c r="H34" s="262"/>
      <c r="I34" s="262"/>
      <c r="J34" s="222"/>
      <c r="K34" s="222"/>
      <c r="L34" s="222"/>
      <c r="M34" s="222"/>
      <c r="N34" s="222"/>
      <c r="O34" s="222"/>
      <c r="P34" s="222"/>
      <c r="Q34" s="222"/>
      <c r="R34" s="222"/>
      <c r="S34" s="222"/>
      <c r="T34" s="222"/>
      <c r="U34" s="235"/>
      <c r="V34" s="236"/>
    </row>
    <row r="35" spans="2:23" ht="14.15" customHeight="1" x14ac:dyDescent="0.3">
      <c r="C35" s="472" t="s">
        <v>766</v>
      </c>
      <c r="D35" s="473"/>
      <c r="E35" s="473"/>
      <c r="F35" s="473"/>
      <c r="G35" s="474"/>
      <c r="H35" s="262"/>
      <c r="I35" s="262"/>
      <c r="J35" s="222"/>
      <c r="K35" s="222"/>
      <c r="L35" s="222"/>
      <c r="M35" s="222"/>
      <c r="N35" s="222"/>
      <c r="O35" s="222"/>
      <c r="P35" s="222"/>
      <c r="Q35" s="222"/>
      <c r="R35" s="222"/>
      <c r="S35" s="222"/>
      <c r="T35" s="222"/>
      <c r="U35" s="222"/>
      <c r="V35" s="235"/>
      <c r="W35" s="236"/>
    </row>
    <row r="36" spans="2:23" ht="14.15" customHeight="1" x14ac:dyDescent="0.3">
      <c r="C36" s="475"/>
      <c r="D36" s="476"/>
      <c r="E36" s="476"/>
      <c r="F36" s="476"/>
      <c r="G36" s="477"/>
      <c r="H36" s="262"/>
      <c r="I36" s="262"/>
      <c r="J36" s="222"/>
      <c r="K36" s="222"/>
      <c r="L36" s="222"/>
      <c r="M36" s="222"/>
      <c r="N36" s="222"/>
      <c r="O36" s="222"/>
      <c r="P36" s="222"/>
      <c r="Q36" s="222"/>
      <c r="R36" s="222"/>
      <c r="S36" s="222"/>
      <c r="T36" s="222"/>
      <c r="U36" s="235"/>
      <c r="V36" s="236"/>
    </row>
    <row r="37" spans="2:23" ht="12.75" customHeight="1" x14ac:dyDescent="0.3">
      <c r="C37" s="475"/>
      <c r="D37" s="476"/>
      <c r="E37" s="476"/>
      <c r="F37" s="476"/>
      <c r="G37" s="477"/>
      <c r="H37" s="262"/>
      <c r="I37" s="262"/>
      <c r="J37" s="222"/>
      <c r="K37" s="222"/>
      <c r="L37" s="222"/>
      <c r="M37" s="222"/>
      <c r="N37" s="222"/>
      <c r="O37" s="222"/>
      <c r="P37" s="222"/>
      <c r="Q37" s="222"/>
      <c r="R37" s="222"/>
      <c r="S37" s="222"/>
      <c r="T37" s="222"/>
      <c r="U37" s="235"/>
      <c r="V37" s="236"/>
    </row>
    <row r="38" spans="2:23" ht="12.75" customHeight="1" x14ac:dyDescent="0.3">
      <c r="C38" s="478"/>
      <c r="D38" s="479"/>
      <c r="E38" s="479"/>
      <c r="F38" s="479"/>
      <c r="G38" s="480"/>
      <c r="H38" s="262"/>
      <c r="I38" s="262"/>
      <c r="J38" s="222"/>
      <c r="K38" s="222"/>
      <c r="L38" s="222"/>
      <c r="M38" s="222"/>
      <c r="N38" s="222"/>
      <c r="O38" s="222"/>
      <c r="P38" s="222"/>
      <c r="Q38" s="222"/>
      <c r="R38" s="222"/>
      <c r="S38" s="222"/>
      <c r="T38" s="222"/>
      <c r="U38" s="235"/>
      <c r="V38" s="236"/>
    </row>
    <row r="39" spans="2:23" ht="12.75" customHeight="1" x14ac:dyDescent="0.3">
      <c r="C39" s="267"/>
      <c r="D39" s="268"/>
      <c r="E39" s="268"/>
      <c r="F39" s="268"/>
      <c r="G39" s="268"/>
      <c r="H39" s="262"/>
      <c r="I39" s="262"/>
      <c r="J39" s="222"/>
      <c r="K39" s="222"/>
      <c r="L39" s="222"/>
      <c r="M39" s="222"/>
      <c r="N39" s="222"/>
      <c r="O39" s="222"/>
      <c r="P39" s="222"/>
      <c r="Q39" s="222"/>
      <c r="R39" s="222"/>
      <c r="S39" s="222"/>
      <c r="T39" s="222"/>
      <c r="U39" s="235"/>
      <c r="V39" s="236"/>
    </row>
    <row r="40" spans="2:23" ht="12.75" hidden="1" customHeight="1" x14ac:dyDescent="0.3">
      <c r="C40" s="267"/>
      <c r="D40" s="268"/>
      <c r="E40" s="268"/>
      <c r="F40" s="268"/>
      <c r="G40" s="268"/>
      <c r="H40" s="262"/>
      <c r="I40" s="262"/>
      <c r="J40" s="222"/>
      <c r="K40" s="222"/>
      <c r="L40" s="222"/>
      <c r="M40" s="222"/>
      <c r="N40" s="222"/>
      <c r="O40" s="222"/>
      <c r="P40" s="222"/>
      <c r="Q40" s="222"/>
      <c r="R40" s="222"/>
      <c r="S40" s="222"/>
      <c r="T40" s="222"/>
      <c r="U40" s="235"/>
      <c r="V40" s="236"/>
    </row>
    <row r="41" spans="2:23" ht="12.75" hidden="1" customHeight="1" x14ac:dyDescent="0.3">
      <c r="C41" s="269" t="s">
        <v>123</v>
      </c>
      <c r="D41" s="270"/>
      <c r="E41" s="271"/>
      <c r="F41" s="268"/>
      <c r="G41" s="268"/>
      <c r="H41" s="262"/>
      <c r="I41" s="262"/>
      <c r="J41" s="222"/>
      <c r="K41" s="222"/>
      <c r="L41" s="222"/>
      <c r="M41" s="222"/>
      <c r="N41" s="222"/>
      <c r="O41" s="222"/>
      <c r="P41" s="222"/>
      <c r="Q41" s="222"/>
      <c r="R41" s="222"/>
      <c r="S41" s="222"/>
      <c r="T41" s="222"/>
      <c r="U41" s="235"/>
      <c r="V41" s="236"/>
    </row>
    <row r="42" spans="2:23" ht="12.75" hidden="1" customHeight="1" x14ac:dyDescent="0.3">
      <c r="C42" s="272" t="s">
        <v>124</v>
      </c>
      <c r="D42" s="273"/>
      <c r="E42" s="271"/>
      <c r="F42" s="268"/>
      <c r="G42" s="268"/>
      <c r="H42" s="262"/>
      <c r="I42" s="262"/>
      <c r="J42" s="222"/>
      <c r="K42" s="222"/>
      <c r="L42" s="222"/>
      <c r="M42" s="222"/>
      <c r="N42" s="222"/>
      <c r="O42" s="222"/>
      <c r="P42" s="222"/>
      <c r="Q42" s="222"/>
      <c r="R42" s="222"/>
      <c r="S42" s="222"/>
      <c r="T42" s="222"/>
      <c r="U42" s="235"/>
      <c r="V42" s="236"/>
    </row>
    <row r="43" spans="2:23" ht="12.75" hidden="1" customHeight="1" x14ac:dyDescent="0.3">
      <c r="C43" s="274"/>
      <c r="D43" s="275"/>
      <c r="E43" s="275"/>
      <c r="F43" s="276"/>
      <c r="G43" s="268"/>
      <c r="H43" s="262"/>
      <c r="I43" s="262"/>
      <c r="J43" s="222"/>
      <c r="K43" s="222"/>
      <c r="L43" s="222"/>
      <c r="M43" s="222"/>
      <c r="N43" s="222"/>
      <c r="O43" s="222"/>
      <c r="P43" s="222"/>
      <c r="Q43" s="222"/>
      <c r="R43" s="222"/>
      <c r="S43" s="222"/>
      <c r="T43" s="222"/>
      <c r="U43" s="235"/>
      <c r="V43" s="236"/>
    </row>
    <row r="44" spans="2:23" ht="12.75" hidden="1" customHeight="1" x14ac:dyDescent="0.3">
      <c r="C44" s="277"/>
      <c r="D44" s="122"/>
      <c r="E44" s="122"/>
      <c r="F44" s="278"/>
      <c r="G44" s="268"/>
      <c r="H44" s="262"/>
      <c r="I44" s="262"/>
      <c r="J44" s="222"/>
      <c r="K44" s="222"/>
      <c r="L44" s="222"/>
      <c r="M44" s="222"/>
      <c r="N44" s="222"/>
      <c r="O44" s="222"/>
      <c r="P44" s="222"/>
      <c r="Q44" s="222"/>
      <c r="R44" s="222"/>
      <c r="S44" s="222"/>
      <c r="T44" s="222"/>
      <c r="U44" s="235"/>
      <c r="V44" s="236"/>
    </row>
    <row r="45" spans="2:23" ht="12.75" hidden="1" customHeight="1" x14ac:dyDescent="0.3">
      <c r="C45" s="277"/>
      <c r="D45" s="122"/>
      <c r="E45" s="122"/>
      <c r="F45" s="278"/>
      <c r="G45" s="267"/>
      <c r="H45" s="262"/>
      <c r="I45" s="262"/>
      <c r="J45" s="222"/>
      <c r="K45" s="222"/>
      <c r="L45" s="222"/>
      <c r="M45" s="222"/>
      <c r="N45" s="222"/>
      <c r="O45" s="222"/>
      <c r="P45" s="222"/>
      <c r="Q45" s="222"/>
      <c r="R45" s="222"/>
      <c r="S45" s="222"/>
      <c r="T45" s="222"/>
      <c r="U45" s="235"/>
      <c r="V45" s="236"/>
    </row>
    <row r="46" spans="2:23" ht="12.75" hidden="1" customHeight="1" x14ac:dyDescent="0.3">
      <c r="C46" s="279"/>
      <c r="D46" s="280"/>
      <c r="E46" s="280"/>
      <c r="F46" s="281"/>
      <c r="G46" s="267"/>
      <c r="H46" s="262"/>
      <c r="I46" s="262"/>
      <c r="J46" s="222"/>
      <c r="K46" s="222"/>
      <c r="L46" s="222"/>
      <c r="M46" s="222"/>
      <c r="N46" s="222"/>
      <c r="O46" s="222"/>
      <c r="P46" s="222"/>
      <c r="Q46" s="222"/>
      <c r="R46" s="222"/>
      <c r="S46" s="222"/>
      <c r="T46" s="222"/>
      <c r="U46" s="235"/>
      <c r="V46" s="236"/>
    </row>
    <row r="47" spans="2:23" ht="12.75" hidden="1" customHeight="1" x14ac:dyDescent="0.3">
      <c r="C47" s="267"/>
      <c r="D47" s="268"/>
      <c r="E47" s="268"/>
      <c r="F47" s="267"/>
      <c r="G47" s="267"/>
      <c r="H47" s="262"/>
      <c r="I47" s="262"/>
      <c r="J47" s="222"/>
      <c r="K47" s="222"/>
      <c r="L47" s="222"/>
      <c r="M47" s="222"/>
      <c r="N47" s="222"/>
      <c r="O47" s="222"/>
      <c r="P47" s="222"/>
      <c r="Q47" s="222"/>
      <c r="R47" s="222"/>
      <c r="S47" s="222"/>
      <c r="T47" s="222"/>
      <c r="U47" s="235"/>
      <c r="V47" s="236"/>
    </row>
    <row r="48" spans="2:23" ht="12.75" customHeight="1" x14ac:dyDescent="0.3">
      <c r="C48" s="267"/>
      <c r="D48" s="268"/>
      <c r="E48" s="268"/>
      <c r="F48" s="267"/>
      <c r="G48" s="267"/>
      <c r="H48" s="262"/>
      <c r="I48" s="262"/>
      <c r="J48" s="222"/>
      <c r="K48" s="222"/>
      <c r="L48" s="222"/>
      <c r="M48" s="222"/>
      <c r="N48" s="222"/>
      <c r="O48" s="222"/>
      <c r="P48" s="222"/>
      <c r="Q48" s="222"/>
      <c r="R48" s="222"/>
      <c r="S48" s="222"/>
      <c r="T48" s="222"/>
      <c r="U48" s="235"/>
      <c r="V48" s="236"/>
    </row>
    <row r="49" spans="3:22" ht="12.75" customHeight="1" x14ac:dyDescent="0.3">
      <c r="C49" s="267"/>
      <c r="D49" s="268"/>
      <c r="E49" s="267"/>
      <c r="F49" s="267"/>
      <c r="G49" s="267"/>
      <c r="H49" s="262"/>
      <c r="I49" s="262"/>
      <c r="J49" s="222"/>
      <c r="K49" s="222"/>
      <c r="L49" s="222"/>
      <c r="M49" s="222"/>
      <c r="N49" s="222"/>
      <c r="O49" s="222"/>
      <c r="P49" s="222"/>
      <c r="Q49" s="222"/>
      <c r="R49" s="222"/>
      <c r="S49" s="222"/>
      <c r="T49" s="222"/>
      <c r="U49" s="235"/>
      <c r="V49" s="236"/>
    </row>
    <row r="50" spans="3:22" ht="43.5" customHeight="1" x14ac:dyDescent="0.3">
      <c r="C50" s="267"/>
      <c r="D50" s="268"/>
      <c r="E50" s="267"/>
      <c r="F50" s="267"/>
      <c r="G50" s="267"/>
      <c r="H50" s="262"/>
      <c r="I50" s="262"/>
      <c r="J50" s="222"/>
      <c r="K50" s="222"/>
      <c r="L50" s="222"/>
      <c r="M50" s="222"/>
      <c r="N50" s="222"/>
      <c r="O50" s="222"/>
      <c r="P50" s="222"/>
      <c r="Q50" s="222"/>
      <c r="R50" s="222"/>
      <c r="S50" s="222"/>
      <c r="T50" s="222"/>
      <c r="U50" s="235"/>
      <c r="V50" s="236"/>
    </row>
    <row r="51" spans="3:22" ht="12.75" customHeight="1" x14ac:dyDescent="0.3">
      <c r="C51" s="267"/>
      <c r="D51" s="268"/>
      <c r="E51" s="267"/>
      <c r="F51" s="282"/>
      <c r="H51" s="262"/>
      <c r="I51" s="262"/>
      <c r="J51" s="222"/>
      <c r="K51" s="222"/>
      <c r="L51" s="222"/>
      <c r="M51" s="222"/>
      <c r="N51" s="222"/>
      <c r="O51" s="222"/>
      <c r="P51" s="222"/>
      <c r="Q51" s="222"/>
      <c r="R51" s="222"/>
      <c r="S51" s="222"/>
      <c r="T51" s="222"/>
      <c r="U51" s="235"/>
      <c r="V51" s="236"/>
    </row>
    <row r="52" spans="3:22" ht="12.75" customHeight="1" x14ac:dyDescent="0.3">
      <c r="C52" s="267"/>
      <c r="D52" s="268"/>
      <c r="E52" s="267"/>
      <c r="F52" s="282"/>
      <c r="H52" s="262"/>
      <c r="I52" s="262"/>
      <c r="J52" s="222"/>
      <c r="K52" s="222"/>
      <c r="L52" s="222"/>
      <c r="M52" s="222"/>
      <c r="N52" s="222"/>
      <c r="O52" s="222"/>
      <c r="P52" s="222"/>
      <c r="Q52" s="222"/>
      <c r="R52" s="222"/>
      <c r="S52" s="222"/>
      <c r="T52" s="222"/>
      <c r="U52" s="235"/>
      <c r="V52" s="236"/>
    </row>
    <row r="53" spans="3:22" ht="12.75" customHeight="1" x14ac:dyDescent="0.3">
      <c r="C53" s="267"/>
      <c r="D53" s="268"/>
      <c r="E53" s="267"/>
      <c r="H53" s="262"/>
      <c r="I53" s="262"/>
      <c r="J53" s="222"/>
      <c r="K53" s="222"/>
      <c r="L53" s="222"/>
      <c r="M53" s="222"/>
      <c r="N53" s="222"/>
      <c r="O53" s="222"/>
      <c r="P53" s="222"/>
      <c r="Q53" s="222"/>
      <c r="R53" s="222"/>
      <c r="S53" s="222"/>
      <c r="T53" s="222"/>
      <c r="U53" s="235"/>
      <c r="V53" s="236"/>
    </row>
    <row r="54" spans="3:22" ht="12.75" customHeight="1" x14ac:dyDescent="0.3">
      <c r="C54" s="267"/>
      <c r="D54" s="268"/>
      <c r="E54" s="267"/>
    </row>
    <row r="55" spans="3:22" ht="12.75" customHeight="1" x14ac:dyDescent="0.3">
      <c r="C55" s="267"/>
      <c r="D55" s="268"/>
      <c r="E55" s="267"/>
    </row>
    <row r="56" spans="3:22" ht="12.75" customHeight="1" x14ac:dyDescent="0.3">
      <c r="C56" s="267"/>
      <c r="D56" s="268"/>
      <c r="E56" s="267"/>
    </row>
    <row r="57" spans="3:22" ht="30" customHeight="1" x14ac:dyDescent="0.3">
      <c r="C57" s="267"/>
      <c r="D57" s="268"/>
      <c r="E57" s="267"/>
    </row>
    <row r="58" spans="3:22" ht="12.75" customHeight="1" x14ac:dyDescent="0.3">
      <c r="C58" s="267"/>
      <c r="D58" s="268"/>
      <c r="E58" s="267"/>
    </row>
    <row r="59" spans="3:22" ht="12.75" customHeight="1" x14ac:dyDescent="0.3">
      <c r="C59" s="267"/>
      <c r="D59" s="268"/>
      <c r="E59" s="267"/>
    </row>
    <row r="60" spans="3:22" ht="12.75" customHeight="1" x14ac:dyDescent="0.3">
      <c r="C60" s="267"/>
      <c r="D60" s="268"/>
    </row>
    <row r="61" spans="3:22" ht="12.75" customHeight="1" x14ac:dyDescent="0.3">
      <c r="C61" s="267"/>
      <c r="D61" s="268"/>
    </row>
    <row r="62" spans="3:22" ht="12.75" customHeight="1" x14ac:dyDescent="0.3">
      <c r="C62" s="267"/>
      <c r="D62" s="268"/>
    </row>
    <row r="63" spans="3:22" ht="12.75" customHeight="1" x14ac:dyDescent="0.3">
      <c r="C63" s="267"/>
      <c r="D63" s="268"/>
    </row>
  </sheetData>
  <mergeCells count="11">
    <mergeCell ref="O23:O24"/>
    <mergeCell ref="P23:P24"/>
    <mergeCell ref="C35:G38"/>
    <mergeCell ref="C14:G17"/>
    <mergeCell ref="D8:F8"/>
    <mergeCell ref="D9:F9"/>
    <mergeCell ref="D10:F10"/>
    <mergeCell ref="C19:D19"/>
    <mergeCell ref="C23:C24"/>
    <mergeCell ref="D23:D24"/>
    <mergeCell ref="E23:E24"/>
  </mergeCells>
  <phoneticPr fontId="72" type="noConversion"/>
  <conditionalFormatting sqref="C25:C28">
    <cfRule type="containsBlanks" dxfId="8" priority="1">
      <formula>LEN(TRIM(C25))=0</formula>
    </cfRule>
  </conditionalFormatting>
  <conditionalFormatting sqref="F25:F28 K25:K28">
    <cfRule type="containsBlanks" dxfId="7" priority="2">
      <formula>LEN(TRIM(F25))=0</formula>
    </cfRule>
  </conditionalFormatting>
  <conditionalFormatting sqref="G9:I10 C14:G17 D21 H31 J31:K31 C35:G38 C43:F46">
    <cfRule type="containsBlanks" dxfId="6" priority="4">
      <formula>LEN(TRIM(C9))=0</formula>
    </cfRule>
  </conditionalFormatting>
  <conditionalFormatting sqref="P25:P29">
    <cfRule type="containsBlanks" dxfId="5" priority="3">
      <formula>LEN(TRIM(P25))=0</formula>
    </cfRule>
  </conditionalFormatting>
  <dataValidations count="3">
    <dataValidation type="list" allowBlank="1" showInputMessage="1" sqref="P29 H9:H10 P25:P28" xr:uid="{00000000-0002-0000-0100-000000000000}">
      <formula1>"是,否"</formula1>
    </dataValidation>
    <dataValidation type="list" allowBlank="1" showInputMessage="1" sqref="C43:C46" xr:uid="{00000000-0002-0000-0100-000001000000}">
      <formula1>"管理层账表调整(CLA),已更正审计调整(AA/RA/OA),未更正审计调整(SAD)"</formula1>
    </dataValidation>
    <dataValidation type="list" allowBlank="1" showInputMessage="1" sqref="I9:I10" xr:uid="{00000000-0002-0000-0100-000002000000}">
      <formula1>"是,不适用"</formula1>
    </dataValidation>
  </dataValidations>
  <hyperlinks>
    <hyperlink ref="J2" location="汇总!A1" display="返回汇总页" xr:uid="{00000000-0004-0000-0100-000000000000}"/>
  </hyperlinks>
  <pageMargins left="0.7" right="0.7" top="0.75" bottom="0.75" header="0.3" footer="0.3"/>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EB58"/>
  <sheetViews>
    <sheetView showGridLines="0" topLeftCell="A28" zoomScale="70" zoomScaleNormal="70" workbookViewId="0">
      <selection activeCell="E38" sqref="E38"/>
    </sheetView>
  </sheetViews>
  <sheetFormatPr defaultColWidth="7.33203125" defaultRowHeight="12.75" customHeight="1" outlineLevelRow="1" x14ac:dyDescent="0.3"/>
  <cols>
    <col min="1" max="1" width="2.33203125" style="9" customWidth="1"/>
    <col min="2" max="2" width="18.58203125" style="10" customWidth="1"/>
    <col min="3" max="3" width="43.58203125" style="10" customWidth="1"/>
    <col min="4" max="4" width="36.58203125" style="10" customWidth="1"/>
    <col min="5" max="5" width="23.4140625" style="10" customWidth="1"/>
    <col min="6" max="6" width="29.75" style="10" customWidth="1"/>
    <col min="7" max="7" width="16.75" style="10" customWidth="1"/>
    <col min="8" max="9" width="18.08203125" style="10" customWidth="1"/>
    <col min="10" max="14" width="18.33203125" style="10" customWidth="1"/>
    <col min="15" max="17" width="13.75" style="10" customWidth="1"/>
    <col min="18" max="18" width="18.25" style="10" customWidth="1"/>
    <col min="19" max="19" width="13.4140625" style="10" customWidth="1"/>
    <col min="20" max="20" width="12.75" style="10" customWidth="1"/>
    <col min="21" max="21" width="10.75" style="10" customWidth="1"/>
    <col min="22" max="24" width="13.33203125" style="10" customWidth="1"/>
    <col min="25" max="35" width="7.33203125" style="10" customWidth="1"/>
    <col min="36" max="93" width="7.33203125" style="10"/>
    <col min="94" max="94" width="13.08203125" style="11" customWidth="1"/>
    <col min="95" max="105" width="7.33203125" style="11"/>
    <col min="106" max="106" width="14.33203125" style="11" customWidth="1"/>
    <col min="107" max="112" width="7.33203125" style="11"/>
    <col min="113" max="113" width="10.33203125" style="11" customWidth="1"/>
    <col min="114" max="117" width="7.33203125" style="11"/>
    <col min="118" max="118" width="10.08203125" style="11" customWidth="1"/>
    <col min="119" max="119" width="12.33203125" style="11" customWidth="1"/>
    <col min="120" max="120" width="7.33203125" style="12"/>
    <col min="121" max="121" width="7.33203125" style="11"/>
    <col min="122" max="122" width="7.33203125" style="13"/>
    <col min="123" max="16384" width="7.33203125" style="10"/>
  </cols>
  <sheetData>
    <row r="1" spans="1:125" s="5" customFormat="1" ht="12.75" customHeight="1" x14ac:dyDescent="0.3">
      <c r="A1" s="14" t="s">
        <v>125</v>
      </c>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5"/>
      <c r="DH1" s="11"/>
      <c r="DI1" s="13"/>
    </row>
    <row r="2" spans="1:125" s="5" customFormat="1" ht="12.75" customHeight="1" x14ac:dyDescent="0.3">
      <c r="A2" s="16"/>
      <c r="I2" s="17" t="s">
        <v>77</v>
      </c>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5"/>
      <c r="DJ2" s="11"/>
      <c r="DK2" s="13"/>
    </row>
    <row r="3" spans="1:125" ht="12.75" customHeight="1" x14ac:dyDescent="0.3">
      <c r="CP3" s="18"/>
      <c r="CQ3" s="7"/>
      <c r="CR3" s="7"/>
      <c r="DA3" s="7"/>
      <c r="DH3" s="7"/>
      <c r="DI3" s="19"/>
      <c r="DJ3" s="20"/>
      <c r="DK3" s="21"/>
      <c r="DL3" s="21"/>
      <c r="DM3" s="7"/>
      <c r="DO3" s="22"/>
    </row>
    <row r="4" spans="1:125" ht="20" x14ac:dyDescent="0.3">
      <c r="B4" s="23" t="s">
        <v>126</v>
      </c>
      <c r="C4" s="24"/>
      <c r="D4" s="24"/>
      <c r="E4" s="24"/>
      <c r="F4" s="24"/>
      <c r="G4" s="24"/>
      <c r="H4" s="24"/>
      <c r="I4" s="25"/>
      <c r="J4" s="26"/>
      <c r="K4" s="26"/>
      <c r="L4" s="26"/>
      <c r="M4" s="26"/>
      <c r="N4" s="26"/>
      <c r="O4" s="26"/>
      <c r="P4" s="27"/>
      <c r="Q4" s="27"/>
      <c r="R4" s="26"/>
      <c r="S4" s="26"/>
      <c r="T4" s="26"/>
      <c r="CP4" s="10"/>
      <c r="CQ4" s="10"/>
      <c r="CR4" s="10"/>
      <c r="CS4" s="7"/>
      <c r="CT4" s="7"/>
      <c r="CU4" s="7"/>
      <c r="DD4" s="7"/>
      <c r="DJ4" s="7"/>
      <c r="DK4" s="7"/>
      <c r="DL4" s="7"/>
      <c r="DM4" s="7"/>
      <c r="DN4" s="7"/>
      <c r="DO4" s="7"/>
      <c r="DP4" s="7"/>
      <c r="DQ4" s="7"/>
      <c r="DR4" s="7"/>
      <c r="DS4" s="12"/>
      <c r="DT4" s="7"/>
      <c r="DU4" s="7"/>
    </row>
    <row r="5" spans="1:125" ht="20.149999999999999" customHeight="1" x14ac:dyDescent="0.3">
      <c r="B5" s="28" t="s">
        <v>127</v>
      </c>
      <c r="C5" s="29"/>
      <c r="D5" s="29"/>
      <c r="E5" s="29"/>
      <c r="F5" s="29"/>
      <c r="G5" s="29"/>
      <c r="H5" s="29"/>
      <c r="I5" s="30"/>
      <c r="J5" s="26"/>
      <c r="K5" s="26"/>
      <c r="L5" s="26"/>
      <c r="M5" s="26"/>
      <c r="N5" s="26"/>
      <c r="O5" s="26"/>
      <c r="P5" s="27"/>
      <c r="Q5" s="27"/>
      <c r="R5" s="26"/>
      <c r="S5" s="26"/>
      <c r="T5" s="26"/>
      <c r="CP5" s="10"/>
      <c r="CQ5" s="10"/>
      <c r="CR5" s="10"/>
      <c r="CS5" s="27"/>
      <c r="CT5" s="27"/>
      <c r="CU5" s="31"/>
      <c r="CV5" s="32"/>
      <c r="CW5" s="32"/>
      <c r="CX5" s="32"/>
      <c r="CY5" s="32"/>
      <c r="CZ5" s="32"/>
      <c r="DA5" s="32"/>
      <c r="DB5" s="32"/>
      <c r="DC5" s="32"/>
      <c r="DD5" s="27"/>
      <c r="DE5" s="32"/>
      <c r="DF5" s="32"/>
      <c r="DG5" s="32"/>
      <c r="DH5" s="32"/>
      <c r="DI5" s="32"/>
      <c r="DJ5" s="27"/>
      <c r="DK5" s="27"/>
      <c r="DL5" s="27"/>
      <c r="DM5" s="27"/>
      <c r="DN5" s="27"/>
      <c r="DO5" s="27"/>
      <c r="DP5" s="27"/>
      <c r="DQ5" s="27"/>
      <c r="DR5" s="27"/>
      <c r="DS5" s="33"/>
      <c r="DT5" s="27"/>
      <c r="DU5" s="27"/>
    </row>
    <row r="6" spans="1:125" ht="12.75" customHeight="1" x14ac:dyDescent="0.3">
      <c r="B6" s="34"/>
      <c r="C6" s="29"/>
      <c r="D6" s="29"/>
      <c r="E6" s="29"/>
      <c r="F6" s="29"/>
      <c r="G6" s="29"/>
      <c r="H6" s="29"/>
      <c r="I6" s="30"/>
      <c r="J6" s="26"/>
      <c r="K6" s="26"/>
      <c r="L6" s="26"/>
      <c r="M6" s="26"/>
      <c r="N6" s="26"/>
      <c r="O6" s="26"/>
      <c r="P6" s="27"/>
      <c r="Q6" s="27"/>
      <c r="R6" s="26"/>
      <c r="S6" s="26"/>
      <c r="T6" s="26"/>
      <c r="CP6" s="10"/>
      <c r="CQ6" s="10"/>
      <c r="CR6" s="10"/>
      <c r="CS6" s="27"/>
      <c r="CT6" s="31"/>
      <c r="CU6" s="31"/>
      <c r="CV6" s="32"/>
      <c r="CW6" s="32"/>
      <c r="CX6" s="32"/>
      <c r="CY6" s="32"/>
      <c r="CZ6" s="32"/>
      <c r="DA6" s="32"/>
      <c r="DB6" s="32"/>
      <c r="DC6" s="32"/>
      <c r="DD6" s="31"/>
      <c r="DE6" s="32"/>
      <c r="DF6" s="32"/>
      <c r="DG6" s="32"/>
      <c r="DH6" s="32"/>
      <c r="DI6" s="32"/>
      <c r="DJ6" s="31"/>
      <c r="DK6" s="27"/>
      <c r="DL6" s="27"/>
      <c r="DM6" s="27"/>
      <c r="DN6" s="27"/>
      <c r="DO6" s="27"/>
      <c r="DP6" s="31"/>
      <c r="DQ6" s="31"/>
      <c r="DR6" s="31"/>
      <c r="DS6" s="35"/>
      <c r="DT6" s="27"/>
      <c r="DU6" s="27"/>
    </row>
    <row r="7" spans="1:125" ht="20" x14ac:dyDescent="0.3">
      <c r="B7" s="36" t="s">
        <v>80</v>
      </c>
      <c r="C7" s="490" t="s">
        <v>81</v>
      </c>
      <c r="D7" s="491"/>
      <c r="E7" s="492"/>
      <c r="F7" s="37" t="s">
        <v>82</v>
      </c>
      <c r="G7" s="37" t="s">
        <v>83</v>
      </c>
      <c r="H7" s="37" t="s">
        <v>84</v>
      </c>
      <c r="I7" s="38" t="s">
        <v>85</v>
      </c>
      <c r="J7" s="26"/>
      <c r="K7" s="26"/>
      <c r="L7" s="26"/>
      <c r="M7" s="26"/>
      <c r="N7" s="26"/>
      <c r="O7" s="26"/>
      <c r="P7" s="27"/>
      <c r="Q7" s="27"/>
      <c r="R7" s="26"/>
      <c r="S7" s="26"/>
      <c r="T7" s="26"/>
      <c r="CP7" s="10"/>
      <c r="CQ7" s="10"/>
      <c r="CR7" s="10"/>
      <c r="CS7" s="39"/>
      <c r="CT7" s="31"/>
      <c r="CU7" s="40"/>
      <c r="CV7" s="32"/>
      <c r="CW7" s="32"/>
      <c r="CX7" s="32"/>
      <c r="CY7" s="32"/>
      <c r="CZ7" s="32"/>
      <c r="DA7" s="32"/>
      <c r="DB7" s="32"/>
      <c r="DC7" s="32"/>
      <c r="DD7" s="31"/>
      <c r="DE7" s="32"/>
      <c r="DF7" s="32"/>
      <c r="DG7" s="32"/>
      <c r="DH7" s="32"/>
      <c r="DI7" s="32"/>
      <c r="DJ7" s="31"/>
      <c r="DK7" s="39"/>
      <c r="DL7" s="39"/>
      <c r="DM7" s="39"/>
      <c r="DN7" s="39"/>
      <c r="DO7" s="39"/>
      <c r="DP7" s="31"/>
      <c r="DQ7" s="31"/>
      <c r="DR7" s="31"/>
      <c r="DS7" s="35"/>
      <c r="DT7" s="39"/>
      <c r="DU7" s="39"/>
    </row>
    <row r="8" spans="1:125" ht="83.15" customHeight="1" outlineLevel="1" x14ac:dyDescent="0.3">
      <c r="B8" s="41">
        <v>1</v>
      </c>
      <c r="C8" s="508" t="s">
        <v>128</v>
      </c>
      <c r="D8" s="508"/>
      <c r="E8" s="508"/>
      <c r="F8" s="42" t="s">
        <v>129</v>
      </c>
      <c r="G8" s="43" t="s">
        <v>88</v>
      </c>
      <c r="H8" s="43" t="s">
        <v>88</v>
      </c>
      <c r="I8" s="44"/>
      <c r="J8" s="26"/>
      <c r="K8" s="26"/>
      <c r="L8" s="26"/>
      <c r="M8" s="26"/>
      <c r="N8" s="45"/>
      <c r="O8" s="45"/>
      <c r="P8" s="26"/>
      <c r="Q8" s="26"/>
      <c r="R8" s="26"/>
      <c r="S8" s="26"/>
      <c r="CP8" s="10"/>
      <c r="CQ8" s="39"/>
      <c r="CR8" s="40"/>
      <c r="CS8" s="40"/>
      <c r="CT8" s="32"/>
      <c r="CU8" s="32"/>
      <c r="CV8" s="32"/>
      <c r="CW8" s="32"/>
      <c r="CX8" s="32"/>
      <c r="CY8" s="32"/>
      <c r="CZ8" s="32"/>
      <c r="DA8" s="32"/>
      <c r="DB8" s="40"/>
      <c r="DC8" s="32"/>
      <c r="DD8" s="32"/>
      <c r="DE8" s="32"/>
      <c r="DF8" s="32"/>
      <c r="DG8" s="32"/>
      <c r="DH8" s="40"/>
      <c r="DI8" s="31"/>
      <c r="DJ8" s="31"/>
      <c r="DK8" s="31"/>
      <c r="DL8" s="31"/>
      <c r="DM8" s="31"/>
      <c r="DN8" s="40"/>
      <c r="DO8" s="40"/>
      <c r="DP8" s="40"/>
      <c r="DQ8" s="33"/>
      <c r="DR8" s="39"/>
      <c r="DS8" s="46"/>
    </row>
    <row r="9" spans="1:125" ht="83.15" customHeight="1" outlineLevel="1" x14ac:dyDescent="0.3">
      <c r="B9" s="47">
        <v>2</v>
      </c>
      <c r="C9" s="508" t="s">
        <v>130</v>
      </c>
      <c r="D9" s="508"/>
      <c r="E9" s="508"/>
      <c r="F9" s="48" t="s">
        <v>131</v>
      </c>
      <c r="G9" s="43" t="s">
        <v>88</v>
      </c>
      <c r="H9" s="43" t="s">
        <v>88</v>
      </c>
      <c r="I9" s="44"/>
      <c r="J9" s="26"/>
      <c r="K9" s="26"/>
      <c r="L9" s="26"/>
      <c r="M9" s="26"/>
      <c r="N9" s="45"/>
      <c r="O9" s="45"/>
      <c r="P9" s="26"/>
      <c r="Q9" s="26"/>
      <c r="R9" s="26"/>
      <c r="S9" s="26"/>
      <c r="CP9" s="10"/>
      <c r="CQ9" s="31"/>
      <c r="CR9" s="40"/>
      <c r="CS9" s="40"/>
      <c r="CT9" s="32"/>
      <c r="CU9" s="32"/>
      <c r="CV9" s="32"/>
      <c r="CW9" s="32"/>
      <c r="CX9" s="32"/>
      <c r="CY9" s="32"/>
      <c r="CZ9" s="32"/>
      <c r="DA9" s="32"/>
      <c r="DB9" s="40"/>
      <c r="DC9" s="32"/>
      <c r="DD9" s="32"/>
      <c r="DE9" s="32"/>
      <c r="DF9" s="32"/>
      <c r="DG9" s="32"/>
      <c r="DH9" s="40"/>
      <c r="DI9" s="40"/>
      <c r="DJ9" s="40"/>
      <c r="DK9" s="40"/>
      <c r="DL9" s="40"/>
      <c r="DM9" s="40"/>
      <c r="DN9" s="40"/>
      <c r="DO9" s="40"/>
      <c r="DP9" s="40"/>
      <c r="DQ9" s="33"/>
      <c r="DR9" s="31"/>
      <c r="DS9" s="49"/>
    </row>
    <row r="10" spans="1:125" ht="72.900000000000006" customHeight="1" outlineLevel="1" x14ac:dyDescent="0.3">
      <c r="B10" s="47">
        <v>3</v>
      </c>
      <c r="C10" s="508" t="s">
        <v>132</v>
      </c>
      <c r="D10" s="508"/>
      <c r="E10" s="508"/>
      <c r="F10" s="48" t="s">
        <v>133</v>
      </c>
      <c r="G10" s="43" t="s">
        <v>88</v>
      </c>
      <c r="H10" s="43" t="s">
        <v>88</v>
      </c>
      <c r="I10" s="44"/>
      <c r="J10" s="26"/>
      <c r="K10" s="26"/>
      <c r="L10" s="26"/>
      <c r="M10" s="26"/>
      <c r="N10" s="45"/>
      <c r="O10" s="45"/>
      <c r="P10" s="26"/>
      <c r="Q10" s="26"/>
      <c r="R10" s="26"/>
      <c r="S10" s="26"/>
      <c r="CP10" s="10"/>
      <c r="CQ10" s="40"/>
      <c r="CR10" s="40"/>
      <c r="CS10" s="40"/>
      <c r="CT10" s="32"/>
      <c r="CU10" s="32"/>
      <c r="CV10" s="32"/>
      <c r="CW10" s="32"/>
      <c r="CX10" s="32"/>
      <c r="CY10" s="32"/>
      <c r="CZ10" s="32"/>
      <c r="DA10" s="32"/>
      <c r="DB10" s="40"/>
      <c r="DC10" s="32"/>
      <c r="DD10" s="32"/>
      <c r="DE10" s="32"/>
      <c r="DF10" s="32"/>
      <c r="DG10" s="32"/>
      <c r="DH10" s="40"/>
      <c r="DI10" s="40"/>
      <c r="DJ10" s="40"/>
      <c r="DK10" s="40"/>
      <c r="DL10" s="40"/>
      <c r="DM10" s="40"/>
      <c r="DN10" s="40"/>
      <c r="DO10" s="40"/>
      <c r="DP10" s="40"/>
      <c r="DQ10" s="33"/>
      <c r="DR10" s="40"/>
      <c r="DS10" s="51"/>
    </row>
    <row r="11" spans="1:125" ht="75" customHeight="1" outlineLevel="1" x14ac:dyDescent="0.3">
      <c r="B11" s="50">
        <v>4</v>
      </c>
      <c r="C11" s="508" t="s">
        <v>134</v>
      </c>
      <c r="D11" s="508"/>
      <c r="E11" s="508"/>
      <c r="F11" s="48" t="s">
        <v>135</v>
      </c>
      <c r="G11" s="43" t="s">
        <v>88</v>
      </c>
      <c r="H11" s="43" t="s">
        <v>88</v>
      </c>
      <c r="I11" s="44"/>
      <c r="J11" s="26"/>
      <c r="K11" s="26"/>
      <c r="L11" s="26"/>
      <c r="M11" s="26"/>
      <c r="N11" s="45"/>
      <c r="O11" s="45"/>
      <c r="P11" s="26"/>
      <c r="Q11" s="26"/>
      <c r="R11" s="26"/>
      <c r="S11" s="26"/>
      <c r="CP11" s="10"/>
      <c r="CQ11" s="31"/>
      <c r="CR11" s="40"/>
      <c r="CS11" s="40"/>
      <c r="CT11" s="32"/>
      <c r="CU11" s="32"/>
      <c r="CV11" s="32"/>
      <c r="CW11" s="32"/>
      <c r="CX11" s="32"/>
      <c r="CY11" s="32"/>
      <c r="CZ11" s="32"/>
      <c r="DA11" s="32"/>
      <c r="DB11" s="40"/>
      <c r="DC11" s="32"/>
      <c r="DD11" s="32"/>
      <c r="DE11" s="32"/>
      <c r="DF11" s="32"/>
      <c r="DG11" s="32"/>
      <c r="DH11" s="40"/>
      <c r="DI11" s="40"/>
      <c r="DJ11" s="40"/>
      <c r="DK11" s="40"/>
      <c r="DL11" s="40"/>
      <c r="DM11" s="40"/>
      <c r="DN11" s="40"/>
      <c r="DO11" s="40"/>
      <c r="DP11" s="40"/>
      <c r="DQ11" s="33"/>
      <c r="DR11" s="31"/>
      <c r="DS11" s="49"/>
    </row>
    <row r="12" spans="1:125" ht="12.75" customHeight="1" x14ac:dyDescent="0.3">
      <c r="B12" s="52"/>
      <c r="C12" s="53"/>
      <c r="D12" s="53"/>
      <c r="E12" s="53"/>
      <c r="F12" s="53"/>
      <c r="G12" s="53"/>
      <c r="H12" s="53"/>
      <c r="I12" s="54"/>
      <c r="J12" s="26"/>
      <c r="K12" s="26"/>
      <c r="L12" s="26"/>
      <c r="M12" s="26"/>
      <c r="N12" s="26"/>
      <c r="O12" s="26"/>
      <c r="P12" s="26"/>
      <c r="Q12" s="26"/>
      <c r="R12" s="26"/>
      <c r="S12" s="26"/>
      <c r="T12" s="26"/>
      <c r="U12" s="26"/>
      <c r="V12" s="26"/>
      <c r="W12" s="26"/>
      <c r="X12" s="26"/>
      <c r="Y12" s="26"/>
      <c r="Z12" s="26"/>
      <c r="AA12" s="26"/>
      <c r="AB12" s="26"/>
      <c r="AC12" s="26"/>
      <c r="CP12" s="10"/>
      <c r="CQ12" s="10"/>
      <c r="CR12" s="10"/>
      <c r="CS12" s="40"/>
      <c r="CT12" s="27"/>
      <c r="CU12" s="27"/>
      <c r="CV12" s="32"/>
      <c r="CW12" s="32"/>
      <c r="CX12" s="32"/>
      <c r="CY12" s="32"/>
      <c r="CZ12" s="32"/>
      <c r="DA12" s="32"/>
      <c r="DB12" s="32"/>
      <c r="DC12" s="32"/>
      <c r="DD12" s="27"/>
      <c r="DE12" s="32"/>
      <c r="DF12" s="32"/>
      <c r="DG12" s="32"/>
      <c r="DH12" s="32"/>
      <c r="DI12" s="32"/>
      <c r="DJ12" s="27"/>
      <c r="DK12" s="27"/>
      <c r="DL12" s="27"/>
      <c r="DM12" s="27"/>
      <c r="DN12" s="27"/>
      <c r="DO12" s="27"/>
      <c r="DP12" s="27"/>
      <c r="DQ12" s="27"/>
      <c r="DR12" s="27"/>
      <c r="DS12" s="33"/>
      <c r="DT12" s="40"/>
      <c r="DU12" s="51"/>
    </row>
    <row r="13" spans="1:125" ht="12.75" customHeight="1" x14ac:dyDescent="0.3">
      <c r="B13" s="55"/>
      <c r="C13" s="8"/>
      <c r="D13" s="8"/>
      <c r="E13" s="8"/>
      <c r="F13" s="8"/>
      <c r="G13" s="26"/>
      <c r="H13" s="26"/>
      <c r="I13" s="26"/>
      <c r="J13" s="26"/>
      <c r="K13" s="26"/>
      <c r="L13" s="26"/>
      <c r="M13" s="26"/>
      <c r="N13" s="26"/>
      <c r="O13" s="26"/>
      <c r="P13" s="26"/>
      <c r="Q13" s="26"/>
      <c r="R13" s="26"/>
      <c r="S13" s="26"/>
      <c r="T13" s="26"/>
      <c r="U13" s="26"/>
      <c r="V13" s="26"/>
      <c r="W13" s="26"/>
      <c r="X13" s="26"/>
      <c r="Y13" s="26"/>
      <c r="Z13" s="26"/>
      <c r="CP13" s="10"/>
      <c r="CQ13" s="27"/>
      <c r="CR13" s="27"/>
      <c r="CS13" s="27"/>
      <c r="CT13" s="32"/>
      <c r="CU13" s="32"/>
      <c r="CV13" s="32"/>
      <c r="CW13" s="32"/>
      <c r="CX13" s="32"/>
      <c r="CY13" s="32"/>
      <c r="CZ13" s="32"/>
      <c r="DA13" s="32"/>
      <c r="DB13" s="27"/>
      <c r="DC13" s="32"/>
      <c r="DD13" s="32"/>
      <c r="DE13" s="32"/>
      <c r="DF13" s="32"/>
      <c r="DG13" s="32"/>
      <c r="DH13" s="27"/>
      <c r="DI13" s="27"/>
      <c r="DJ13" s="27"/>
      <c r="DK13" s="27"/>
      <c r="DL13" s="27"/>
      <c r="DM13" s="27"/>
      <c r="DN13" s="27"/>
      <c r="DO13" s="27"/>
      <c r="DP13" s="27"/>
      <c r="DQ13" s="33"/>
      <c r="DR13" s="27"/>
      <c r="DS13" s="27"/>
    </row>
    <row r="14" spans="1:125" s="6" customFormat="1" ht="15" customHeight="1" x14ac:dyDescent="0.3">
      <c r="B14" s="56" t="s">
        <v>136</v>
      </c>
      <c r="G14" s="57"/>
      <c r="H14" s="57"/>
      <c r="I14" s="57"/>
      <c r="J14" s="57"/>
      <c r="K14" s="57"/>
      <c r="L14" s="57"/>
      <c r="M14" s="57"/>
      <c r="N14" s="57"/>
      <c r="O14" s="57"/>
      <c r="P14" s="26"/>
      <c r="Q14" s="26"/>
      <c r="R14" s="26"/>
      <c r="S14" s="26"/>
    </row>
    <row r="15" spans="1:125" s="6" customFormat="1" ht="32.15" customHeight="1" x14ac:dyDescent="0.3">
      <c r="B15" s="99" t="s">
        <v>137</v>
      </c>
      <c r="C15" s="100" t="s">
        <v>138</v>
      </c>
      <c r="D15" s="101" t="s">
        <v>139</v>
      </c>
      <c r="E15" s="100" t="s">
        <v>140</v>
      </c>
      <c r="F15" s="100" t="s">
        <v>141</v>
      </c>
      <c r="G15" s="100" t="s">
        <v>142</v>
      </c>
      <c r="H15" s="102" t="s">
        <v>143</v>
      </c>
      <c r="I15" s="57"/>
      <c r="J15" s="10"/>
      <c r="K15" s="10"/>
      <c r="L15" s="10"/>
      <c r="M15" s="10"/>
      <c r="N15" s="10"/>
      <c r="P15" s="26"/>
      <c r="Q15" s="26"/>
      <c r="R15" s="26"/>
      <c r="S15" s="26"/>
    </row>
    <row r="16" spans="1:125" s="6" customFormat="1" ht="15" customHeight="1" x14ac:dyDescent="0.25">
      <c r="B16" s="103" t="s">
        <v>2</v>
      </c>
      <c r="C16" s="59" t="s">
        <v>144</v>
      </c>
      <c r="D16" s="60">
        <f>'M.00 Lead'!F25</f>
        <v>50570211.170000002</v>
      </c>
      <c r="E16" s="61" t="s">
        <v>145</v>
      </c>
      <c r="F16" s="62">
        <f>'DPCA-银承'!G54</f>
        <v>50570211.170000002</v>
      </c>
      <c r="G16" s="61" t="s">
        <v>146</v>
      </c>
      <c r="H16" s="104">
        <f>D16-F16</f>
        <v>0</v>
      </c>
      <c r="I16" s="57"/>
      <c r="J16" s="10"/>
      <c r="K16" s="10"/>
      <c r="L16" s="10"/>
      <c r="M16" s="10"/>
      <c r="N16" s="10"/>
      <c r="P16" s="26"/>
      <c r="Q16" s="26"/>
      <c r="R16" s="26"/>
      <c r="S16" s="26"/>
    </row>
    <row r="17" spans="1:127" s="6" customFormat="1" ht="15" customHeight="1" x14ac:dyDescent="0.25">
      <c r="B17" s="105" t="s">
        <v>115</v>
      </c>
      <c r="C17" s="106" t="s">
        <v>112</v>
      </c>
      <c r="D17" s="107">
        <f>'M.00 Lead'!F26</f>
        <v>11616668.49</v>
      </c>
      <c r="E17" s="108"/>
      <c r="F17" s="109">
        <f>'DPCC-银承'!I31</f>
        <v>11616668.489999998</v>
      </c>
      <c r="G17" s="108"/>
      <c r="H17" s="110">
        <f t="shared" ref="H17" si="0">D17-F17</f>
        <v>0</v>
      </c>
      <c r="I17" s="57"/>
      <c r="J17" s="10"/>
      <c r="K17" s="10"/>
      <c r="L17" s="10"/>
      <c r="M17" s="10"/>
      <c r="N17" s="10"/>
      <c r="P17" s="26"/>
      <c r="Q17" s="26"/>
      <c r="R17" s="26"/>
      <c r="S17" s="26"/>
    </row>
    <row r="18" spans="1:127" s="6" customFormat="1" ht="15" customHeight="1" x14ac:dyDescent="0.25">
      <c r="D18" s="63"/>
      <c r="F18" s="63"/>
      <c r="H18" s="111"/>
      <c r="I18" s="57"/>
      <c r="O18" s="10"/>
      <c r="P18" s="26"/>
      <c r="Q18" s="26"/>
      <c r="R18" s="26"/>
      <c r="S18" s="26"/>
    </row>
    <row r="19" spans="1:127" s="6" customFormat="1" ht="15" customHeight="1" x14ac:dyDescent="0.3">
      <c r="C19" s="64" t="s">
        <v>147</v>
      </c>
      <c r="D19" s="65">
        <f>SUM(D16:D17)</f>
        <v>62186879.660000004</v>
      </c>
      <c r="E19"/>
      <c r="F19" s="65">
        <f>SUM(F16:F17)</f>
        <v>62186879.659999996</v>
      </c>
      <c r="G19"/>
      <c r="H19" s="112">
        <f>SUM(H16:H17)</f>
        <v>0</v>
      </c>
      <c r="I19" s="57"/>
      <c r="O19" s="10"/>
      <c r="P19" s="26"/>
      <c r="Q19" s="26"/>
      <c r="R19" s="26"/>
      <c r="S19" s="26"/>
    </row>
    <row r="20" spans="1:127" s="6" customFormat="1" ht="15" customHeight="1" x14ac:dyDescent="0.3">
      <c r="C20" s="64"/>
      <c r="D20" s="57" t="s">
        <v>120</v>
      </c>
      <c r="E20" s="57"/>
      <c r="F20" s="57" t="s">
        <v>120</v>
      </c>
      <c r="G20" s="57"/>
      <c r="H20" s="57" t="s">
        <v>120</v>
      </c>
      <c r="I20" s="57"/>
      <c r="O20" s="10"/>
      <c r="P20" s="26"/>
      <c r="Q20" s="26"/>
      <c r="R20" s="26"/>
      <c r="S20" s="26"/>
    </row>
    <row r="21" spans="1:127" ht="12.75" customHeight="1" x14ac:dyDescent="0.3">
      <c r="B21" s="8"/>
      <c r="C21" s="8"/>
      <c r="D21" s="8"/>
      <c r="E21" s="8"/>
      <c r="F21" s="8"/>
      <c r="G21" s="26"/>
      <c r="H21" s="26"/>
      <c r="I21" s="26"/>
      <c r="J21" s="26"/>
      <c r="K21" s="26"/>
      <c r="L21" s="26"/>
      <c r="M21" s="26"/>
      <c r="N21" s="26"/>
      <c r="O21" s="26"/>
      <c r="P21" s="26"/>
      <c r="Q21" s="26"/>
      <c r="R21" s="26"/>
      <c r="S21" s="26"/>
      <c r="T21" s="26"/>
      <c r="U21" s="26"/>
      <c r="V21" s="26"/>
      <c r="W21" s="26"/>
      <c r="X21" s="26"/>
      <c r="Y21" s="26"/>
      <c r="Z21" s="26"/>
      <c r="CP21" s="10"/>
      <c r="CQ21" s="27"/>
      <c r="CR21" s="27"/>
      <c r="CS21" s="27"/>
      <c r="CT21" s="32"/>
      <c r="CU21" s="32"/>
      <c r="CV21" s="32"/>
      <c r="CW21" s="32"/>
      <c r="CX21" s="32"/>
      <c r="CY21" s="32"/>
      <c r="CZ21" s="32"/>
      <c r="DA21" s="32"/>
      <c r="DB21" s="27"/>
      <c r="DC21" s="32"/>
      <c r="DD21" s="32"/>
      <c r="DE21" s="32"/>
      <c r="DF21" s="32"/>
      <c r="DG21" s="32"/>
      <c r="DH21" s="27"/>
      <c r="DI21" s="27"/>
      <c r="DJ21" s="27"/>
      <c r="DK21" s="27"/>
      <c r="DL21" s="27"/>
      <c r="DM21" s="27"/>
      <c r="DN21" s="27"/>
      <c r="DO21" s="27"/>
      <c r="DP21" s="27"/>
      <c r="DQ21" s="33"/>
      <c r="DR21" s="27"/>
      <c r="DS21" s="27"/>
    </row>
    <row r="22" spans="1:127" s="7" customFormat="1" ht="12.75" customHeight="1" thickBot="1" x14ac:dyDescent="0.35">
      <c r="A22" s="66"/>
      <c r="B22" s="67"/>
      <c r="C22" s="67"/>
      <c r="D22" s="67"/>
      <c r="E22" s="67"/>
      <c r="F22" s="67"/>
      <c r="G22" s="68"/>
      <c r="H22" s="68"/>
      <c r="I22" s="68"/>
      <c r="J22" s="68"/>
      <c r="K22" s="68"/>
      <c r="L22" s="68"/>
      <c r="M22" s="68"/>
      <c r="N22" s="68"/>
      <c r="O22" s="69"/>
      <c r="P22" s="26"/>
      <c r="Q22" s="26"/>
      <c r="R22" s="26"/>
      <c r="S22" s="26"/>
      <c r="CP22" s="11"/>
      <c r="CQ22" s="11"/>
      <c r="CR22" s="11"/>
      <c r="CS22" s="11"/>
      <c r="CT22" s="11"/>
      <c r="CU22" s="11"/>
      <c r="CV22" s="11"/>
      <c r="CW22" s="11"/>
      <c r="CX22" s="11"/>
      <c r="CY22" s="11"/>
      <c r="CZ22" s="11"/>
      <c r="DA22" s="11"/>
      <c r="DB22" s="11"/>
      <c r="DC22" s="11"/>
      <c r="DD22" s="11"/>
      <c r="DE22" s="11"/>
      <c r="DF22" s="11"/>
      <c r="DG22" s="11"/>
      <c r="DH22" s="11"/>
      <c r="DI22" s="11"/>
      <c r="DJ22" s="11"/>
      <c r="DK22" s="11"/>
      <c r="DL22" s="11"/>
      <c r="DM22" s="11"/>
      <c r="DN22" s="11"/>
      <c r="DO22" s="11"/>
      <c r="DP22" s="70"/>
      <c r="DQ22" s="11"/>
      <c r="DR22" s="13"/>
    </row>
    <row r="23" spans="1:127" ht="12.75" customHeight="1" x14ac:dyDescent="0.3">
      <c r="B23" s="420" t="s">
        <v>148</v>
      </c>
      <c r="C23" s="421"/>
      <c r="D23" s="421"/>
      <c r="E23" s="422"/>
      <c r="P23" s="26"/>
      <c r="Q23" s="26"/>
      <c r="R23" s="26"/>
      <c r="S23" s="26"/>
      <c r="CF23" s="11"/>
      <c r="CG23" s="11"/>
      <c r="CH23" s="11"/>
      <c r="CI23" s="11"/>
      <c r="CJ23" s="11"/>
      <c r="CK23" s="11"/>
      <c r="CL23" s="11"/>
      <c r="CM23" s="11"/>
      <c r="CN23" s="11"/>
      <c r="CO23" s="11"/>
      <c r="DF23" s="12"/>
      <c r="DH23" s="13"/>
      <c r="DI23" s="10"/>
      <c r="DJ23" s="10"/>
      <c r="DK23" s="10"/>
      <c r="DL23" s="10"/>
      <c r="DM23" s="10"/>
      <c r="DN23" s="10"/>
      <c r="DO23" s="10"/>
      <c r="DP23" s="10"/>
      <c r="DQ23" s="10"/>
      <c r="DR23" s="10"/>
      <c r="DW23" s="74" t="s">
        <v>149</v>
      </c>
    </row>
    <row r="24" spans="1:127" ht="12.75" customHeight="1" x14ac:dyDescent="0.3">
      <c r="B24" s="423" t="s">
        <v>150</v>
      </c>
      <c r="C24" s="71"/>
      <c r="D24" s="71"/>
      <c r="E24" s="424"/>
      <c r="CF24" s="11"/>
      <c r="CG24" s="11"/>
      <c r="CH24" s="11"/>
      <c r="CI24" s="11"/>
      <c r="CJ24" s="11"/>
      <c r="CK24" s="11"/>
      <c r="CL24" s="11"/>
      <c r="CM24" s="11"/>
      <c r="CN24" s="11"/>
      <c r="CO24" s="11"/>
      <c r="DF24" s="12"/>
      <c r="DH24" s="13"/>
      <c r="DI24" s="10"/>
      <c r="DJ24" s="10"/>
      <c r="DK24" s="10"/>
      <c r="DL24" s="10"/>
      <c r="DM24" s="10"/>
      <c r="DN24" s="10"/>
      <c r="DO24" s="10"/>
      <c r="DP24" s="10"/>
      <c r="DQ24" s="10"/>
      <c r="DR24" s="10"/>
      <c r="DW24" s="74" t="s">
        <v>151</v>
      </c>
    </row>
    <row r="25" spans="1:127" ht="12.75" customHeight="1" x14ac:dyDescent="0.3">
      <c r="B25" s="425" t="s">
        <v>152</v>
      </c>
      <c r="C25" s="113"/>
      <c r="D25" s="113"/>
      <c r="E25" s="426"/>
      <c r="CF25" s="11"/>
      <c r="CG25" s="11"/>
      <c r="CH25" s="11"/>
      <c r="CI25" s="11"/>
      <c r="CJ25" s="11"/>
      <c r="CK25" s="11"/>
      <c r="CL25" s="11"/>
      <c r="CM25" s="11"/>
      <c r="CN25" s="11"/>
      <c r="CO25" s="11"/>
      <c r="DF25" s="12"/>
      <c r="DH25" s="13"/>
      <c r="DI25" s="10"/>
      <c r="DJ25" s="10"/>
      <c r="DK25" s="10"/>
      <c r="DL25" s="10"/>
      <c r="DM25" s="10"/>
      <c r="DN25" s="10"/>
      <c r="DO25" s="10"/>
      <c r="DP25" s="10"/>
      <c r="DQ25" s="10"/>
      <c r="DR25" s="10"/>
      <c r="DW25" s="74" t="s">
        <v>153</v>
      </c>
    </row>
    <row r="26" spans="1:127" ht="12.75" customHeight="1" x14ac:dyDescent="0.3">
      <c r="B26" s="425" t="s">
        <v>154</v>
      </c>
      <c r="C26" s="113"/>
      <c r="D26" s="113"/>
      <c r="E26" s="426"/>
      <c r="CF26" s="11"/>
      <c r="CG26" s="11"/>
      <c r="CH26" s="11"/>
      <c r="CI26" s="11"/>
      <c r="CJ26" s="11"/>
      <c r="CK26" s="11"/>
      <c r="CL26" s="11"/>
      <c r="CM26" s="11"/>
      <c r="CN26" s="11"/>
      <c r="CO26" s="11"/>
      <c r="DF26" s="12"/>
      <c r="DH26" s="13"/>
      <c r="DI26" s="10"/>
      <c r="DJ26" s="10"/>
      <c r="DK26" s="10"/>
      <c r="DL26" s="10"/>
      <c r="DM26" s="10"/>
      <c r="DN26" s="10"/>
      <c r="DO26" s="10"/>
      <c r="DP26" s="10"/>
      <c r="DQ26" s="10"/>
      <c r="DR26" s="10"/>
      <c r="DW26" s="74"/>
    </row>
    <row r="27" spans="1:127" ht="12.75" customHeight="1" x14ac:dyDescent="0.3">
      <c r="B27" s="425" t="s">
        <v>155</v>
      </c>
      <c r="C27" s="427"/>
      <c r="D27" s="427"/>
      <c r="E27" s="428"/>
      <c r="CF27" s="11"/>
      <c r="CG27" s="11"/>
      <c r="CH27" s="11"/>
      <c r="CI27" s="11"/>
      <c r="CJ27" s="11"/>
      <c r="CK27" s="11"/>
      <c r="CL27" s="11"/>
      <c r="CM27" s="11"/>
      <c r="CN27" s="11"/>
      <c r="CO27" s="11"/>
      <c r="DF27" s="12"/>
      <c r="DH27" s="13"/>
      <c r="DI27" s="10"/>
      <c r="DJ27" s="10"/>
      <c r="DK27" s="10"/>
      <c r="DL27" s="10"/>
      <c r="DM27" s="10"/>
      <c r="DN27" s="10"/>
      <c r="DO27" s="10"/>
      <c r="DP27" s="10"/>
      <c r="DQ27" s="10"/>
      <c r="DR27" s="10"/>
      <c r="DW27" s="74" t="s">
        <v>156</v>
      </c>
    </row>
    <row r="28" spans="1:127" ht="12.75" customHeight="1" thickBot="1" x14ac:dyDescent="0.35">
      <c r="B28" s="429" t="s">
        <v>157</v>
      </c>
      <c r="C28" s="430"/>
      <c r="D28" s="430"/>
      <c r="E28" s="431"/>
      <c r="CF28" s="11"/>
      <c r="CG28" s="11"/>
      <c r="CH28" s="11"/>
      <c r="CI28" s="11"/>
      <c r="CJ28" s="11"/>
      <c r="CK28" s="11"/>
      <c r="CL28" s="11"/>
      <c r="CM28" s="11"/>
      <c r="CN28" s="11"/>
      <c r="CO28" s="11"/>
      <c r="DF28" s="12"/>
      <c r="DH28" s="13"/>
      <c r="DI28" s="10"/>
      <c r="DJ28" s="10"/>
      <c r="DK28" s="10"/>
      <c r="DL28" s="10"/>
      <c r="DM28" s="10"/>
      <c r="DN28" s="10"/>
      <c r="DO28" s="10"/>
      <c r="DP28" s="10"/>
      <c r="DQ28" s="10"/>
      <c r="DR28" s="10"/>
      <c r="DW28" s="74" t="s">
        <v>158</v>
      </c>
    </row>
    <row r="29" spans="1:127" ht="12.75" customHeight="1" x14ac:dyDescent="0.3">
      <c r="B29" s="72"/>
      <c r="C29" s="72"/>
      <c r="D29" s="72"/>
      <c r="E29" s="72"/>
      <c r="F29" s="72"/>
      <c r="H29" s="72"/>
      <c r="I29" s="72"/>
      <c r="J29" s="72"/>
      <c r="K29" s="72"/>
      <c r="L29" s="72"/>
      <c r="M29" s="72"/>
      <c r="N29" s="72"/>
      <c r="O29" s="72"/>
      <c r="CO29" s="11"/>
      <c r="DO29" s="12"/>
      <c r="DP29" s="11"/>
      <c r="DQ29" s="13"/>
      <c r="DR29" s="10"/>
      <c r="DW29" s="74" t="s">
        <v>159</v>
      </c>
    </row>
    <row r="30" spans="1:127" ht="12.75" customHeight="1" thickBot="1" x14ac:dyDescent="0.35">
      <c r="A30" s="10"/>
      <c r="B30" s="73" t="s">
        <v>160</v>
      </c>
      <c r="C30" s="72"/>
      <c r="D30" s="72"/>
      <c r="E30" s="72"/>
      <c r="F30" s="72"/>
      <c r="H30" s="72"/>
      <c r="I30" s="72"/>
      <c r="J30" s="72"/>
      <c r="K30" s="72"/>
      <c r="L30" s="26"/>
      <c r="M30" s="26"/>
      <c r="N30" s="26"/>
      <c r="O30" s="26"/>
      <c r="P30" s="6"/>
      <c r="Q30" s="72"/>
      <c r="R30" s="72"/>
      <c r="CN30" s="11"/>
      <c r="CO30" s="11"/>
      <c r="DN30" s="12"/>
      <c r="DP30" s="13"/>
      <c r="DQ30" s="10"/>
      <c r="DR30" s="10"/>
      <c r="DV30" s="74"/>
    </row>
    <row r="31" spans="1:127" ht="37.5" customHeight="1" x14ac:dyDescent="0.3">
      <c r="A31" s="10"/>
      <c r="B31" s="513" t="s">
        <v>772</v>
      </c>
      <c r="C31" s="514"/>
      <c r="D31" s="514"/>
      <c r="E31" s="514"/>
      <c r="F31" s="515"/>
      <c r="G31" s="72"/>
      <c r="L31" s="26"/>
      <c r="M31" s="26"/>
      <c r="N31" s="26"/>
      <c r="O31" s="26"/>
      <c r="P31" s="6"/>
      <c r="CO31" s="11"/>
      <c r="DO31" s="12"/>
      <c r="DP31" s="11"/>
      <c r="DQ31" s="13"/>
      <c r="DR31" s="10"/>
    </row>
    <row r="32" spans="1:127" ht="41" customHeight="1" x14ac:dyDescent="0.3">
      <c r="A32" s="10"/>
      <c r="B32" s="516"/>
      <c r="C32" s="517"/>
      <c r="D32" s="517"/>
      <c r="E32" s="517"/>
      <c r="F32" s="518"/>
      <c r="G32" s="72"/>
      <c r="L32" s="26"/>
      <c r="M32" s="26"/>
      <c r="N32" s="26"/>
      <c r="O32" s="26"/>
      <c r="P32" s="6"/>
      <c r="CO32" s="11"/>
      <c r="DO32" s="12"/>
      <c r="DP32" s="11"/>
      <c r="DQ32" s="13"/>
      <c r="DR32" s="10"/>
    </row>
    <row r="33" spans="1:126" ht="13" thickBot="1" x14ac:dyDescent="0.35">
      <c r="A33" s="10"/>
      <c r="B33" s="519"/>
      <c r="C33" s="520"/>
      <c r="D33" s="520"/>
      <c r="E33" s="520"/>
      <c r="F33" s="521"/>
      <c r="G33" s="72"/>
      <c r="H33" s="72"/>
      <c r="I33" s="72"/>
      <c r="J33" s="72"/>
      <c r="L33" s="26"/>
      <c r="M33" s="26"/>
      <c r="N33" s="26"/>
      <c r="O33" s="26"/>
      <c r="P33" s="6"/>
      <c r="Q33" s="72"/>
      <c r="R33" s="72"/>
      <c r="CN33" s="11"/>
      <c r="CO33" s="11"/>
      <c r="DN33" s="12"/>
      <c r="DP33" s="13"/>
      <c r="DQ33" s="10"/>
      <c r="DR33" s="10"/>
      <c r="DV33" s="74"/>
    </row>
    <row r="34" spans="1:126" s="96" customFormat="1" ht="12.75" customHeight="1" x14ac:dyDescent="0.3">
      <c r="B34" s="114"/>
      <c r="C34" s="114"/>
      <c r="D34" s="114"/>
      <c r="E34" s="114"/>
      <c r="F34" s="114"/>
      <c r="G34" s="72"/>
      <c r="H34" s="72"/>
      <c r="I34" s="72"/>
      <c r="J34" s="72"/>
      <c r="L34" s="58"/>
      <c r="M34" s="58"/>
      <c r="N34" s="58"/>
      <c r="O34" s="58"/>
      <c r="P34" s="6"/>
      <c r="Q34" s="72"/>
      <c r="R34" s="72"/>
      <c r="CN34" s="11"/>
      <c r="CO34" s="11"/>
      <c r="CP34" s="11"/>
      <c r="CQ34" s="11"/>
      <c r="CR34" s="11"/>
      <c r="CS34" s="11"/>
      <c r="CT34" s="11"/>
      <c r="CU34" s="11"/>
      <c r="CV34" s="11"/>
      <c r="CW34" s="11"/>
      <c r="CX34" s="11"/>
      <c r="CY34" s="11"/>
      <c r="CZ34" s="11"/>
      <c r="DA34" s="11"/>
      <c r="DB34" s="11"/>
      <c r="DC34" s="11"/>
      <c r="DD34" s="11"/>
      <c r="DE34" s="11"/>
      <c r="DF34" s="11"/>
      <c r="DG34" s="11"/>
      <c r="DH34" s="11"/>
      <c r="DI34" s="11"/>
      <c r="DJ34" s="11"/>
      <c r="DK34" s="11"/>
      <c r="DL34" s="11"/>
      <c r="DM34" s="11"/>
      <c r="DN34" s="70"/>
      <c r="DO34" s="11"/>
      <c r="DP34" s="13"/>
      <c r="DV34" s="115"/>
    </row>
    <row r="35" spans="1:126" ht="12.75" customHeight="1" x14ac:dyDescent="0.3">
      <c r="B35" s="8" t="s">
        <v>161</v>
      </c>
      <c r="CN35" s="11"/>
      <c r="CO35" s="11"/>
      <c r="DN35" s="12"/>
      <c r="DP35" s="13"/>
      <c r="DQ35" s="10"/>
      <c r="DR35" s="10"/>
    </row>
    <row r="36" spans="1:126" ht="18" customHeight="1" x14ac:dyDescent="0.3">
      <c r="A36" s="116"/>
      <c r="B36" s="76"/>
      <c r="C36" s="77"/>
      <c r="D36" s="78"/>
      <c r="E36" s="78"/>
      <c r="F36" s="78"/>
      <c r="G36" s="78"/>
      <c r="H36" s="78"/>
      <c r="I36" s="79"/>
      <c r="J36" s="79"/>
      <c r="K36" s="79"/>
      <c r="L36" s="79"/>
      <c r="M36" s="79"/>
      <c r="N36" s="117" t="s">
        <v>162</v>
      </c>
      <c r="O36" s="117"/>
      <c r="P36" s="522" t="s">
        <v>163</v>
      </c>
      <c r="Q36" s="526" t="s">
        <v>164</v>
      </c>
      <c r="R36" s="530" t="s">
        <v>165</v>
      </c>
      <c r="CL36" s="11"/>
      <c r="CM36" s="11"/>
      <c r="CN36" s="11"/>
      <c r="CO36" s="11"/>
      <c r="DL36" s="12"/>
      <c r="DN36" s="13"/>
      <c r="DO36" s="10"/>
      <c r="DP36" s="10"/>
      <c r="DQ36" s="10"/>
      <c r="DR36" s="10"/>
    </row>
    <row r="37" spans="1:126" s="97" customFormat="1" ht="21.9" customHeight="1" x14ac:dyDescent="0.3">
      <c r="A37" s="118"/>
      <c r="B37" s="83" t="s">
        <v>166</v>
      </c>
      <c r="C37" s="84" t="s">
        <v>137</v>
      </c>
      <c r="D37" s="85" t="s">
        <v>167</v>
      </c>
      <c r="E37" s="85" t="s">
        <v>168</v>
      </c>
      <c r="F37" s="85" t="s">
        <v>169</v>
      </c>
      <c r="G37" s="85" t="s">
        <v>170</v>
      </c>
      <c r="H37" s="85" t="s">
        <v>171</v>
      </c>
      <c r="I37" s="86" t="s">
        <v>172</v>
      </c>
      <c r="J37" s="87" t="s">
        <v>173</v>
      </c>
      <c r="K37" s="86" t="s">
        <v>174</v>
      </c>
      <c r="L37" s="119" t="s">
        <v>175</v>
      </c>
      <c r="M37" s="119" t="s">
        <v>176</v>
      </c>
      <c r="N37" s="88">
        <v>1</v>
      </c>
      <c r="O37" s="88">
        <v>2</v>
      </c>
      <c r="P37" s="523"/>
      <c r="Q37" s="527"/>
      <c r="R37" s="531"/>
      <c r="CL37" s="120"/>
      <c r="CM37" s="120"/>
      <c r="CN37" s="120"/>
      <c r="CO37" s="120"/>
      <c r="CP37" s="120"/>
      <c r="CQ37" s="120"/>
      <c r="CR37" s="120"/>
      <c r="CS37" s="120"/>
      <c r="CT37" s="120"/>
      <c r="CU37" s="120"/>
      <c r="CV37" s="120"/>
      <c r="CW37" s="120"/>
      <c r="CX37" s="120"/>
      <c r="CY37" s="120"/>
      <c r="CZ37" s="120"/>
      <c r="DA37" s="120"/>
      <c r="DB37" s="120"/>
      <c r="DC37" s="120"/>
      <c r="DD37" s="120"/>
      <c r="DE37" s="120"/>
      <c r="DF37" s="120"/>
      <c r="DG37" s="120"/>
      <c r="DH37" s="120"/>
      <c r="DI37" s="120"/>
      <c r="DJ37" s="120"/>
      <c r="DK37" s="120"/>
      <c r="DL37" s="121"/>
      <c r="DM37" s="120"/>
      <c r="DN37" s="122"/>
    </row>
    <row r="38" spans="1:126" ht="87" x14ac:dyDescent="0.3">
      <c r="B38" s="440" t="s">
        <v>763</v>
      </c>
      <c r="C38" s="441"/>
      <c r="D38" s="90"/>
      <c r="E38" s="90"/>
      <c r="F38" s="90"/>
      <c r="G38" s="91"/>
      <c r="H38" s="91"/>
      <c r="I38" s="123"/>
      <c r="J38" s="124"/>
      <c r="K38" s="90"/>
      <c r="L38" s="90"/>
      <c r="M38" s="125"/>
      <c r="N38" s="126"/>
      <c r="O38" s="126"/>
      <c r="P38" s="127"/>
      <c r="Q38" s="128"/>
      <c r="R38" s="129"/>
      <c r="CL38" s="11"/>
      <c r="CM38" s="11"/>
      <c r="CN38" s="11"/>
      <c r="CO38" s="11"/>
      <c r="DL38" s="12"/>
      <c r="DN38" s="13"/>
      <c r="DO38" s="10"/>
      <c r="DP38" s="10"/>
      <c r="DQ38" s="10"/>
      <c r="DR38" s="10"/>
    </row>
    <row r="39" spans="1:126" ht="12.65" customHeight="1" thickBot="1" x14ac:dyDescent="0.35">
      <c r="B39" s="130"/>
      <c r="C39" s="92"/>
      <c r="D39" s="131"/>
      <c r="E39" s="131"/>
      <c r="F39" s="131"/>
      <c r="G39" s="132"/>
      <c r="H39" s="132"/>
      <c r="I39" s="133"/>
      <c r="J39" s="134"/>
      <c r="K39" s="131"/>
      <c r="L39" s="131"/>
      <c r="M39" s="135"/>
      <c r="N39" s="136"/>
      <c r="O39" s="136"/>
      <c r="P39" s="137"/>
      <c r="Q39" s="131"/>
      <c r="R39" s="138"/>
      <c r="CL39" s="11"/>
      <c r="CM39" s="11"/>
      <c r="CN39" s="11"/>
      <c r="CO39" s="11"/>
      <c r="DL39" s="12"/>
      <c r="DN39" s="13"/>
      <c r="DO39" s="10"/>
      <c r="DP39" s="10"/>
      <c r="DQ39" s="10"/>
      <c r="DR39" s="10"/>
    </row>
    <row r="40" spans="1:126" ht="12.75" customHeight="1" x14ac:dyDescent="0.3">
      <c r="H40" s="94"/>
      <c r="I40" s="94"/>
      <c r="P40" s="95"/>
    </row>
    <row r="41" spans="1:126" ht="12.75" customHeight="1" x14ac:dyDescent="0.3">
      <c r="B41" s="139" t="s">
        <v>177</v>
      </c>
      <c r="H41" s="94"/>
      <c r="I41" s="94"/>
      <c r="P41" s="95"/>
    </row>
    <row r="42" spans="1:126" ht="27.65" customHeight="1" x14ac:dyDescent="0.3">
      <c r="A42" s="116"/>
      <c r="B42" s="140" t="s">
        <v>137</v>
      </c>
      <c r="C42" s="141" t="s">
        <v>178</v>
      </c>
      <c r="D42" s="142" t="s">
        <v>179</v>
      </c>
      <c r="E42" s="142" t="s">
        <v>180</v>
      </c>
      <c r="F42" s="142" t="s">
        <v>140</v>
      </c>
      <c r="G42" s="142" t="s">
        <v>181</v>
      </c>
      <c r="H42" s="143" t="s">
        <v>182</v>
      </c>
      <c r="I42" s="144"/>
      <c r="J42" s="144"/>
      <c r="Q42" s="95"/>
      <c r="CP42" s="10"/>
      <c r="DP42" s="11"/>
      <c r="DQ42" s="12"/>
      <c r="DR42" s="11"/>
      <c r="DS42" s="13"/>
    </row>
    <row r="43" spans="1:126" ht="101.5" x14ac:dyDescent="0.3">
      <c r="B43" s="145" t="s">
        <v>115</v>
      </c>
      <c r="C43" s="146" t="s">
        <v>222</v>
      </c>
      <c r="D43" s="147">
        <f>SUMIF('回函7.尚未支付的银行承兑汇票'!A:A,'M.01 银承BKD'!B43,'回函7.尚未支付的银行承兑汇票'!H:H)</f>
        <v>11640668.490000004</v>
      </c>
      <c r="E43" s="147">
        <f>D17</f>
        <v>11616668.49</v>
      </c>
      <c r="F43" s="148" t="s">
        <v>710</v>
      </c>
      <c r="G43" s="147">
        <f>D43-E43</f>
        <v>24000.000000003725</v>
      </c>
      <c r="H43" s="442" t="s">
        <v>770</v>
      </c>
      <c r="I43" s="94"/>
      <c r="J43" s="94"/>
      <c r="Q43" s="95"/>
      <c r="CP43" s="10"/>
      <c r="DP43" s="11"/>
      <c r="DQ43" s="12"/>
      <c r="DR43" s="11"/>
      <c r="DS43" s="13"/>
    </row>
    <row r="44" spans="1:126" ht="12.75" customHeight="1" x14ac:dyDescent="0.3">
      <c r="B44" s="145" t="s">
        <v>2</v>
      </c>
      <c r="C44" s="146" t="s">
        <v>563</v>
      </c>
      <c r="D44" s="509">
        <f>SUMIF('回函7.尚未支付的银行承兑汇票'!A:A,'M.01 银承BKD'!B44,'回函7.尚未支付的银行承兑汇票'!H:H)</f>
        <v>50570211.170000009</v>
      </c>
      <c r="E44" s="509">
        <f>D16</f>
        <v>50570211.170000002</v>
      </c>
      <c r="F44" s="148" t="s">
        <v>746</v>
      </c>
      <c r="G44" s="509">
        <f>D44-E44</f>
        <v>0</v>
      </c>
      <c r="H44" s="149" t="s">
        <v>711</v>
      </c>
      <c r="I44" s="94"/>
      <c r="J44" s="94"/>
      <c r="Q44" s="95"/>
      <c r="CP44" s="10"/>
      <c r="DP44" s="11"/>
      <c r="DQ44" s="12"/>
      <c r="DR44" s="11"/>
      <c r="DS44" s="13"/>
    </row>
    <row r="45" spans="1:126" ht="12.75" customHeight="1" x14ac:dyDescent="0.3">
      <c r="B45" s="145" t="s">
        <v>2</v>
      </c>
      <c r="C45" s="146" t="s">
        <v>222</v>
      </c>
      <c r="D45" s="510"/>
      <c r="E45" s="510"/>
      <c r="F45" s="148" t="s">
        <v>747</v>
      </c>
      <c r="G45" s="510"/>
      <c r="H45" s="149" t="s">
        <v>711</v>
      </c>
      <c r="I45" s="94"/>
      <c r="J45" s="94"/>
      <c r="Q45" s="95"/>
      <c r="CP45" s="10"/>
      <c r="DP45" s="11"/>
      <c r="DQ45" s="12"/>
      <c r="DR45" s="11"/>
      <c r="DS45" s="13"/>
    </row>
    <row r="46" spans="1:126" ht="12.75" customHeight="1" x14ac:dyDescent="0.3">
      <c r="B46" s="145"/>
      <c r="C46" s="146"/>
      <c r="D46" s="147"/>
      <c r="E46" s="147"/>
      <c r="F46" s="150"/>
      <c r="G46" s="147">
        <f>D46-E46</f>
        <v>0</v>
      </c>
      <c r="H46" s="149"/>
      <c r="I46" s="94"/>
      <c r="J46" s="94"/>
      <c r="Q46" s="95"/>
      <c r="CP46" s="10"/>
      <c r="DP46" s="11"/>
      <c r="DQ46" s="12"/>
      <c r="DR46" s="11"/>
      <c r="DS46" s="13"/>
    </row>
    <row r="47" spans="1:126" ht="12.75" customHeight="1" x14ac:dyDescent="0.3">
      <c r="B47" s="151"/>
      <c r="C47" s="152"/>
      <c r="D47" s="153"/>
      <c r="E47" s="153"/>
      <c r="F47" s="137"/>
      <c r="G47" s="153">
        <f>D47-E47</f>
        <v>0</v>
      </c>
      <c r="H47" s="154"/>
      <c r="I47" s="94"/>
      <c r="J47" s="94"/>
      <c r="Q47" s="95"/>
      <c r="CP47" s="10"/>
      <c r="DP47" s="11"/>
      <c r="DQ47" s="12"/>
      <c r="DR47" s="11"/>
      <c r="DS47" s="13"/>
    </row>
    <row r="48" spans="1:126" ht="12.75" customHeight="1" x14ac:dyDescent="0.3">
      <c r="I48" s="96"/>
      <c r="Q48" s="95"/>
      <c r="CP48" s="10"/>
      <c r="DP48" s="11"/>
      <c r="DQ48" s="12"/>
      <c r="DR48" s="11"/>
      <c r="DS48" s="13"/>
    </row>
    <row r="49" spans="1:132" ht="12.75" customHeight="1" x14ac:dyDescent="0.3">
      <c r="B49" s="155" t="s">
        <v>183</v>
      </c>
      <c r="C49" s="75"/>
      <c r="D49" s="96"/>
      <c r="E49" s="96"/>
      <c r="F49" s="156"/>
      <c r="G49" s="96"/>
      <c r="H49" s="96"/>
      <c r="I49" s="96"/>
      <c r="J49" s="96"/>
      <c r="K49" s="96"/>
      <c r="L49" s="96"/>
      <c r="M49" s="96"/>
      <c r="Q49" s="95"/>
      <c r="CP49" s="10"/>
      <c r="CQ49" s="10"/>
      <c r="DP49" s="11"/>
      <c r="DR49" s="12"/>
      <c r="DS49" s="11"/>
      <c r="DT49" s="13"/>
    </row>
    <row r="50" spans="1:132" s="8" customFormat="1" ht="14.15" customHeight="1" x14ac:dyDescent="0.3">
      <c r="A50" s="9"/>
      <c r="B50" s="537" t="s">
        <v>166</v>
      </c>
      <c r="C50" s="539" t="s">
        <v>137</v>
      </c>
      <c r="D50" s="504" t="s">
        <v>184</v>
      </c>
      <c r="E50" s="504" t="s">
        <v>185</v>
      </c>
      <c r="F50" s="504" t="s">
        <v>140</v>
      </c>
      <c r="G50" s="504" t="s">
        <v>186</v>
      </c>
      <c r="H50" s="504" t="s">
        <v>187</v>
      </c>
      <c r="I50" s="504" t="s">
        <v>188</v>
      </c>
      <c r="J50" s="534" t="s">
        <v>189</v>
      </c>
      <c r="K50" s="534"/>
      <c r="L50" s="534"/>
      <c r="M50" s="534"/>
      <c r="N50" s="534"/>
      <c r="O50" s="534"/>
      <c r="P50" s="524" t="s">
        <v>190</v>
      </c>
      <c r="Q50" s="535" t="s">
        <v>162</v>
      </c>
      <c r="R50" s="536"/>
      <c r="S50" s="511" t="s">
        <v>191</v>
      </c>
      <c r="T50" s="157"/>
      <c r="X50" s="75"/>
      <c r="Y50" s="75"/>
      <c r="CX50" s="80"/>
      <c r="CY50" s="80"/>
      <c r="CZ50" s="80"/>
      <c r="DA50" s="80"/>
      <c r="DB50" s="80"/>
      <c r="DC50" s="80"/>
      <c r="DD50" s="80"/>
      <c r="DE50" s="80"/>
      <c r="DF50" s="80"/>
      <c r="DG50" s="80"/>
      <c r="DH50" s="80"/>
      <c r="DI50" s="80"/>
      <c r="DJ50" s="80"/>
      <c r="DK50" s="80"/>
      <c r="DL50" s="80"/>
      <c r="DM50" s="80"/>
      <c r="DN50" s="80"/>
      <c r="DO50" s="80"/>
      <c r="DP50" s="80"/>
      <c r="DQ50" s="80"/>
      <c r="DR50" s="80"/>
      <c r="DS50" s="80"/>
      <c r="DT50" s="80"/>
      <c r="DU50" s="80"/>
      <c r="DV50" s="80"/>
      <c r="DW50" s="80"/>
      <c r="DX50" s="81"/>
      <c r="DY50" s="80"/>
      <c r="DZ50" s="82"/>
    </row>
    <row r="51" spans="1:132" s="98" customFormat="1" ht="28.5" customHeight="1" x14ac:dyDescent="0.3">
      <c r="A51" s="158"/>
      <c r="B51" s="538"/>
      <c r="C51" s="540"/>
      <c r="D51" s="505"/>
      <c r="E51" s="505"/>
      <c r="F51" s="505"/>
      <c r="G51" s="505"/>
      <c r="H51" s="505"/>
      <c r="I51" s="505"/>
      <c r="J51" s="159" t="s">
        <v>192</v>
      </c>
      <c r="K51" s="159" t="s">
        <v>193</v>
      </c>
      <c r="L51" s="159" t="s">
        <v>194</v>
      </c>
      <c r="M51" s="160" t="s">
        <v>195</v>
      </c>
      <c r="N51" s="160" t="s">
        <v>196</v>
      </c>
      <c r="O51" s="506" t="s">
        <v>197</v>
      </c>
      <c r="P51" s="525"/>
      <c r="Q51" s="528">
        <v>3</v>
      </c>
      <c r="R51" s="532">
        <v>4</v>
      </c>
      <c r="S51" s="512"/>
      <c r="T51" s="157"/>
      <c r="U51" s="8"/>
      <c r="V51" s="8"/>
      <c r="W51" s="8"/>
      <c r="X51" s="161"/>
      <c r="Y51" s="161"/>
      <c r="CZ51" s="162"/>
      <c r="DA51" s="162"/>
      <c r="DB51" s="162"/>
      <c r="DC51" s="162"/>
      <c r="DD51" s="162"/>
      <c r="DE51" s="162"/>
      <c r="DF51" s="162"/>
      <c r="DG51" s="162"/>
      <c r="DH51" s="162"/>
      <c r="DI51" s="162"/>
      <c r="DJ51" s="162"/>
      <c r="DK51" s="162"/>
      <c r="DL51" s="162"/>
      <c r="DM51" s="162"/>
      <c r="DN51" s="162"/>
      <c r="DO51" s="162"/>
      <c r="DP51" s="162"/>
      <c r="DQ51" s="162"/>
      <c r="DR51" s="162"/>
      <c r="DS51" s="162"/>
      <c r="DT51" s="162"/>
      <c r="DU51" s="162"/>
      <c r="DV51" s="162"/>
      <c r="DW51" s="162"/>
      <c r="DX51" s="162"/>
      <c r="DY51" s="162"/>
      <c r="DZ51" s="163"/>
      <c r="EA51" s="162"/>
      <c r="EB51" s="164"/>
    </row>
    <row r="52" spans="1:132" s="8" customFormat="1" ht="18.75" customHeight="1" x14ac:dyDescent="0.3">
      <c r="A52" s="9"/>
      <c r="B52" s="538"/>
      <c r="C52" s="540"/>
      <c r="D52" s="505"/>
      <c r="E52" s="505"/>
      <c r="F52" s="505"/>
      <c r="G52" s="505"/>
      <c r="H52" s="505"/>
      <c r="I52" s="505"/>
      <c r="J52" s="165" t="s">
        <v>198</v>
      </c>
      <c r="K52" s="165" t="s">
        <v>199</v>
      </c>
      <c r="L52" s="165" t="s">
        <v>200</v>
      </c>
      <c r="M52" s="166" t="s">
        <v>201</v>
      </c>
      <c r="N52" s="166" t="s">
        <v>202</v>
      </c>
      <c r="O52" s="507"/>
      <c r="P52" s="525"/>
      <c r="Q52" s="529"/>
      <c r="R52" s="533"/>
      <c r="S52" s="512"/>
      <c r="T52" s="157"/>
      <c r="X52" s="167"/>
      <c r="Y52" s="167"/>
      <c r="CZ52" s="80"/>
      <c r="DA52" s="80"/>
      <c r="DB52" s="80"/>
      <c r="DC52" s="80"/>
      <c r="DD52" s="80"/>
      <c r="DE52" s="80"/>
      <c r="DF52" s="80"/>
      <c r="DG52" s="80"/>
      <c r="DH52" s="80"/>
      <c r="DI52" s="80"/>
      <c r="DJ52" s="80"/>
      <c r="DK52" s="80"/>
      <c r="DL52" s="80"/>
      <c r="DM52" s="80"/>
      <c r="DN52" s="80"/>
      <c r="DO52" s="80"/>
      <c r="DP52" s="80"/>
      <c r="DQ52" s="80"/>
      <c r="DR52" s="80"/>
      <c r="DS52" s="80"/>
      <c r="DT52" s="80"/>
      <c r="DU52" s="80"/>
      <c r="DV52" s="80"/>
      <c r="DW52" s="80"/>
      <c r="DX52" s="80"/>
      <c r="DY52" s="80"/>
      <c r="DZ52" s="81"/>
      <c r="EA52" s="80"/>
      <c r="EB52" s="82"/>
    </row>
    <row r="53" spans="1:132" ht="43.5" x14ac:dyDescent="0.25">
      <c r="B53" s="443" t="s">
        <v>771</v>
      </c>
      <c r="C53" s="169"/>
      <c r="D53" s="170"/>
      <c r="E53" s="171"/>
      <c r="F53" s="172"/>
      <c r="G53" s="90"/>
      <c r="H53" s="173"/>
      <c r="I53" s="174"/>
      <c r="J53" s="175"/>
      <c r="K53" s="175"/>
      <c r="L53" s="175"/>
      <c r="M53" s="175"/>
      <c r="N53" s="175"/>
      <c r="O53" s="176"/>
      <c r="P53" s="89"/>
      <c r="Q53" s="90"/>
      <c r="R53" s="90"/>
      <c r="S53" s="177"/>
      <c r="T53" s="95"/>
      <c r="X53" s="178"/>
      <c r="Y53" s="178"/>
      <c r="CP53" s="10"/>
      <c r="CQ53" s="10"/>
      <c r="CR53" s="10"/>
      <c r="CS53" s="10"/>
      <c r="CT53" s="10"/>
      <c r="CU53" s="10"/>
      <c r="CV53" s="10"/>
      <c r="CW53" s="10"/>
      <c r="CX53" s="10"/>
      <c r="DP53" s="11"/>
      <c r="DR53" s="11"/>
      <c r="DS53" s="11"/>
      <c r="DT53" s="11"/>
      <c r="DU53" s="11"/>
      <c r="DV53" s="11"/>
      <c r="DW53" s="11"/>
      <c r="DX53" s="11"/>
      <c r="DY53" s="12"/>
      <c r="DZ53" s="11"/>
      <c r="EA53" s="13"/>
    </row>
    <row r="54" spans="1:132" ht="12.75" customHeight="1" x14ac:dyDescent="0.25">
      <c r="B54" s="168"/>
      <c r="C54" s="169"/>
      <c r="D54" s="170"/>
      <c r="E54" s="171"/>
      <c r="F54" s="172"/>
      <c r="G54" s="90"/>
      <c r="H54" s="173"/>
      <c r="I54" s="174"/>
      <c r="J54" s="175"/>
      <c r="K54" s="175"/>
      <c r="L54" s="175"/>
      <c r="M54" s="175"/>
      <c r="N54" s="175"/>
      <c r="O54" s="176"/>
      <c r="P54" s="89"/>
      <c r="Q54" s="90"/>
      <c r="R54" s="90"/>
      <c r="S54" s="177"/>
      <c r="T54" s="95"/>
      <c r="X54" s="178"/>
      <c r="Y54" s="178"/>
      <c r="CP54" s="10"/>
      <c r="CQ54" s="10"/>
      <c r="CR54" s="10"/>
      <c r="CS54" s="10"/>
      <c r="CT54" s="10"/>
      <c r="CU54" s="10"/>
      <c r="CV54" s="10"/>
      <c r="CW54" s="10"/>
      <c r="CX54" s="10"/>
      <c r="DP54" s="11"/>
      <c r="DR54" s="11"/>
      <c r="DS54" s="11"/>
      <c r="DT54" s="11"/>
      <c r="DU54" s="11"/>
      <c r="DV54" s="11"/>
      <c r="DW54" s="11"/>
      <c r="DX54" s="11"/>
      <c r="DY54" s="12"/>
      <c r="DZ54" s="11"/>
      <c r="EA54" s="13"/>
    </row>
    <row r="55" spans="1:132" ht="12.75" customHeight="1" x14ac:dyDescent="0.25">
      <c r="B55" s="168"/>
      <c r="C55" s="169"/>
      <c r="D55" s="170"/>
      <c r="E55" s="171"/>
      <c r="F55" s="172"/>
      <c r="G55" s="90"/>
      <c r="H55" s="173"/>
      <c r="I55" s="179"/>
      <c r="J55" s="180"/>
      <c r="K55" s="180"/>
      <c r="L55" s="180"/>
      <c r="M55" s="180"/>
      <c r="N55" s="181"/>
      <c r="O55" s="182"/>
      <c r="P55" s="89"/>
      <c r="Q55" s="90"/>
      <c r="S55" s="177"/>
      <c r="T55" s="95"/>
      <c r="X55" s="178"/>
      <c r="Y55" s="178"/>
      <c r="CP55" s="10"/>
      <c r="CQ55" s="10"/>
      <c r="CR55" s="10"/>
      <c r="CS55" s="10"/>
      <c r="CT55" s="10"/>
      <c r="CU55" s="10"/>
      <c r="CV55" s="10"/>
      <c r="CW55" s="10"/>
      <c r="CX55" s="10"/>
      <c r="DP55" s="11"/>
      <c r="DR55" s="11"/>
      <c r="DS55" s="11"/>
      <c r="DT55" s="11"/>
      <c r="DU55" s="11"/>
      <c r="DV55" s="11"/>
      <c r="DW55" s="11"/>
      <c r="DX55" s="11"/>
      <c r="DY55" s="12"/>
      <c r="DZ55" s="11"/>
      <c r="EA55" s="13"/>
    </row>
    <row r="56" spans="1:132" ht="12.75" customHeight="1" x14ac:dyDescent="0.25">
      <c r="B56" s="168"/>
      <c r="C56" s="169"/>
      <c r="D56" s="170"/>
      <c r="E56" s="171"/>
      <c r="F56" s="172"/>
      <c r="G56" s="90"/>
      <c r="H56" s="173"/>
      <c r="I56" s="179"/>
      <c r="J56" s="171"/>
      <c r="K56" s="171"/>
      <c r="L56" s="171"/>
      <c r="M56" s="171"/>
      <c r="N56" s="183"/>
      <c r="O56" s="176"/>
      <c r="P56" s="89"/>
      <c r="Q56" s="90"/>
      <c r="R56" s="90"/>
      <c r="S56" s="177"/>
      <c r="T56" s="95"/>
      <c r="X56" s="178"/>
      <c r="Y56" s="178"/>
      <c r="CP56" s="10"/>
      <c r="CQ56" s="10"/>
      <c r="CR56" s="10"/>
      <c r="CS56" s="10"/>
      <c r="CT56" s="10"/>
      <c r="CU56" s="10"/>
      <c r="CV56" s="10"/>
      <c r="CW56" s="10"/>
      <c r="CX56" s="10"/>
      <c r="DP56" s="11"/>
      <c r="DR56" s="11"/>
      <c r="DS56" s="11"/>
      <c r="DT56" s="11"/>
      <c r="DU56" s="11"/>
      <c r="DV56" s="11"/>
      <c r="DW56" s="11"/>
      <c r="DX56" s="11"/>
      <c r="DY56" s="12"/>
      <c r="DZ56" s="11"/>
      <c r="EA56" s="13"/>
    </row>
    <row r="57" spans="1:132" ht="12.75" customHeight="1" x14ac:dyDescent="0.25">
      <c r="B57" s="184"/>
      <c r="C57" s="185"/>
      <c r="D57" s="186"/>
      <c r="E57" s="187"/>
      <c r="F57" s="188"/>
      <c r="G57" s="131"/>
      <c r="H57" s="189"/>
      <c r="I57" s="190"/>
      <c r="J57" s="191"/>
      <c r="K57" s="191"/>
      <c r="L57" s="191"/>
      <c r="M57" s="191"/>
      <c r="N57" s="192"/>
      <c r="O57" s="193">
        <f t="shared" ref="O57" si="1">SUM(J57:N57)</f>
        <v>0</v>
      </c>
      <c r="P57" s="93" t="str">
        <f t="shared" ref="P57" si="2">IF(B57=3,"不适用",IF(E57="","",IF(O57&gt;=E57*I57,"是","否")))</f>
        <v/>
      </c>
      <c r="Q57" s="131"/>
      <c r="R57" s="131"/>
      <c r="S57" s="194"/>
      <c r="T57" s="95"/>
      <c r="X57" s="178"/>
      <c r="Y57" s="178"/>
      <c r="CP57" s="10"/>
      <c r="CQ57" s="10"/>
      <c r="CR57" s="10"/>
      <c r="CS57" s="10"/>
      <c r="CT57" s="10"/>
      <c r="CU57" s="10"/>
      <c r="CV57" s="10"/>
      <c r="CW57" s="10"/>
      <c r="DP57" s="11"/>
      <c r="DR57" s="11"/>
      <c r="DS57" s="11"/>
      <c r="DT57" s="11"/>
      <c r="DU57" s="11"/>
      <c r="DV57" s="11"/>
      <c r="DW57" s="11"/>
      <c r="DX57" s="12"/>
      <c r="DY57" s="11"/>
      <c r="DZ57" s="13"/>
    </row>
    <row r="58" spans="1:132" s="96" customFormat="1" ht="12.75" customHeight="1" x14ac:dyDescent="0.25">
      <c r="A58" s="195"/>
      <c r="B58" s="195"/>
      <c r="C58" s="195"/>
      <c r="D58" s="195"/>
      <c r="E58" s="195"/>
      <c r="F58" s="195"/>
      <c r="G58" s="195"/>
      <c r="H58" s="195"/>
      <c r="I58" s="195"/>
      <c r="J58" s="195"/>
      <c r="K58" s="195"/>
      <c r="L58" s="195"/>
      <c r="M58" s="195"/>
      <c r="N58" s="195"/>
      <c r="O58" s="195"/>
      <c r="P58" s="195"/>
      <c r="Q58" s="95"/>
      <c r="R58" s="10"/>
      <c r="S58" s="10"/>
      <c r="T58" s="10"/>
      <c r="U58" s="178"/>
      <c r="V58" s="178"/>
      <c r="CU58" s="11"/>
      <c r="CV58" s="11"/>
      <c r="CW58" s="11"/>
      <c r="CX58" s="11"/>
      <c r="CY58" s="11"/>
      <c r="CZ58" s="11"/>
      <c r="DA58" s="11"/>
      <c r="DB58" s="11"/>
      <c r="DC58" s="11"/>
      <c r="DD58" s="11"/>
      <c r="DE58" s="11"/>
      <c r="DF58" s="11"/>
      <c r="DG58" s="11"/>
      <c r="DH58" s="11"/>
      <c r="DI58" s="11"/>
      <c r="DJ58" s="11"/>
      <c r="DK58" s="11"/>
      <c r="DL58" s="11"/>
      <c r="DM58" s="11"/>
      <c r="DN58" s="11"/>
      <c r="DO58" s="11"/>
      <c r="DP58" s="11"/>
      <c r="DQ58" s="11"/>
      <c r="DR58" s="11"/>
      <c r="DS58" s="11"/>
      <c r="DT58" s="11"/>
      <c r="DU58" s="70"/>
      <c r="DV58" s="11"/>
      <c r="DW58" s="13"/>
    </row>
  </sheetData>
  <mergeCells count="27">
    <mergeCell ref="S50:S52"/>
    <mergeCell ref="B31:F33"/>
    <mergeCell ref="P36:P37"/>
    <mergeCell ref="P50:P52"/>
    <mergeCell ref="Q36:Q37"/>
    <mergeCell ref="Q51:Q52"/>
    <mergeCell ref="R36:R37"/>
    <mergeCell ref="R51:R52"/>
    <mergeCell ref="J50:O50"/>
    <mergeCell ref="Q50:R50"/>
    <mergeCell ref="B50:B52"/>
    <mergeCell ref="C50:C52"/>
    <mergeCell ref="D50:D52"/>
    <mergeCell ref="E50:E52"/>
    <mergeCell ref="F50:F52"/>
    <mergeCell ref="G50:G52"/>
    <mergeCell ref="H50:H52"/>
    <mergeCell ref="I50:I52"/>
    <mergeCell ref="O51:O52"/>
    <mergeCell ref="C7:E7"/>
    <mergeCell ref="C8:E8"/>
    <mergeCell ref="C9:E9"/>
    <mergeCell ref="C10:E10"/>
    <mergeCell ref="C11:E11"/>
    <mergeCell ref="E44:E45"/>
    <mergeCell ref="G44:G45"/>
    <mergeCell ref="D44:D45"/>
  </mergeCells>
  <phoneticPr fontId="72" type="noConversion"/>
  <conditionalFormatting sqref="B31:B32">
    <cfRule type="containsBlanks" dxfId="4" priority="2">
      <formula>LEN(TRIM(B31))=0</formula>
    </cfRule>
  </conditionalFormatting>
  <conditionalFormatting sqref="B16:C16 F16:F17 B17:D17 B43:E44 G43:G44 B45:C45">
    <cfRule type="containsBlanks" dxfId="3" priority="35">
      <formula>LEN(TRIM(B16))=0</formula>
    </cfRule>
  </conditionalFormatting>
  <conditionalFormatting sqref="F43:F45">
    <cfRule type="containsBlanks" dxfId="2" priority="1">
      <formula>LEN(TRIM(F43))=0</formula>
    </cfRule>
  </conditionalFormatting>
  <conditionalFormatting sqref="F8:H11">
    <cfRule type="containsBlanks" dxfId="1" priority="39">
      <formula>LEN(TRIM(F8))=0</formula>
    </cfRule>
  </conditionalFormatting>
  <dataValidations count="6">
    <dataValidation type="list" allowBlank="1" showInputMessage="1" sqref="B53:B57" xr:uid="{00000000-0002-0000-0200-000001000000}">
      <formula1>"3,4"</formula1>
    </dataValidation>
    <dataValidation type="list" allowBlank="1" showInputMessage="1" sqref="G8:G11" xr:uid="{00000000-0002-0000-0200-000002000000}">
      <formula1>"是,否"</formula1>
    </dataValidation>
    <dataValidation type="list" allowBlank="1" showInputMessage="1" sqref="G53:G57 L38:L39" xr:uid="{00000000-0002-0000-0200-000003000000}">
      <formula1>"使用授信,第三方担保,保证金,抵押/质押（不含保证金）,其他"</formula1>
    </dataValidation>
    <dataValidation type="list" allowBlank="1" showInputMessage="1" sqref="H8:H11" xr:uid="{00000000-0002-0000-0200-000004000000}">
      <formula1>"是,不适用"</formula1>
    </dataValidation>
    <dataValidation type="list" allowBlank="1" showInputMessage="1" sqref="R54 Q53:R53 Q56:R57 Q54:Q55 N38:O39" xr:uid="{00000000-0002-0000-0200-000005000000}">
      <formula1>"Y,N"</formula1>
    </dataValidation>
    <dataValidation type="list" allowBlank="1" showInputMessage="1" sqref="B38:B39" xr:uid="{00000000-0002-0000-0200-000000000000}">
      <formula1>"1,2"</formula1>
    </dataValidation>
  </dataValidations>
  <hyperlinks>
    <hyperlink ref="I2" location="汇总!A1" display="返回汇总页" xr:uid="{00000000-0004-0000-0200-000000000000}"/>
  </hyperlinks>
  <pageMargins left="0.74791660000000004" right="0.74791660000000004" top="0.98402780000000001" bottom="0.98402780000000001" header="0.51180550000000002" footer="0.51180550000000002"/>
  <pageSetup paperSize="9" orientation="landscape" errors="blank"/>
  <headerFooter alignWithMargins="0"/>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BA1E1-8821-4921-B55F-9E98C9017395}">
  <sheetPr>
    <pageSetUpPr fitToPage="1"/>
  </sheetPr>
  <dimension ref="A1:T31"/>
  <sheetViews>
    <sheetView zoomScale="70" zoomScaleNormal="70" workbookViewId="0">
      <pane ySplit="1" topLeftCell="A14" activePane="bottomLeft" state="frozen"/>
      <selection pane="bottomLeft" activeCell="I22" sqref="I22"/>
    </sheetView>
  </sheetViews>
  <sheetFormatPr defaultColWidth="8.6640625" defaultRowHeight="14.5" x14ac:dyDescent="0.3"/>
  <cols>
    <col min="1" max="1" width="25.75" style="2" customWidth="1"/>
    <col min="2" max="2" width="15.75" style="2" customWidth="1"/>
    <col min="3" max="3" width="19.33203125" style="2" customWidth="1"/>
    <col min="4" max="4" width="52.25" style="2" customWidth="1"/>
    <col min="5" max="5" width="15.75" style="2" customWidth="1"/>
    <col min="6" max="6" width="13.9140625" style="2" customWidth="1"/>
    <col min="7" max="7" width="20.58203125" style="3" customWidth="1"/>
    <col min="8" max="8" width="39.6640625" style="2" customWidth="1"/>
    <col min="9" max="9" width="16.08203125" style="2" bestFit="1" customWidth="1"/>
    <col min="10" max="10" width="20" style="2" customWidth="1"/>
    <col min="11" max="11" width="17.75" style="2" customWidth="1"/>
    <col min="12" max="12" width="15.75" style="2" customWidth="1"/>
    <col min="13" max="13" width="13.6640625" style="2" customWidth="1"/>
    <col min="14" max="16384" width="8.6640625" style="2"/>
  </cols>
  <sheetData>
    <row r="1" spans="1:20" ht="14.4" customHeight="1" x14ac:dyDescent="0.3">
      <c r="A1" s="4" t="s">
        <v>241</v>
      </c>
      <c r="B1" s="392" t="s">
        <v>242</v>
      </c>
      <c r="C1" s="401" t="s">
        <v>203</v>
      </c>
      <c r="D1" s="401" t="s">
        <v>204</v>
      </c>
      <c r="E1" s="401" t="s">
        <v>205</v>
      </c>
      <c r="F1" s="401" t="s">
        <v>206</v>
      </c>
      <c r="G1" s="401" t="s">
        <v>207</v>
      </c>
      <c r="H1" s="401" t="s">
        <v>208</v>
      </c>
      <c r="I1" s="401" t="s">
        <v>209</v>
      </c>
      <c r="J1" s="401" t="s">
        <v>210</v>
      </c>
      <c r="K1" s="401" t="s">
        <v>211</v>
      </c>
      <c r="L1" s="401" t="s">
        <v>212</v>
      </c>
      <c r="M1" s="401" t="s">
        <v>213</v>
      </c>
      <c r="N1" s="401" t="s">
        <v>214</v>
      </c>
      <c r="O1" s="401" t="s">
        <v>215</v>
      </c>
      <c r="P1" s="401" t="s">
        <v>216</v>
      </c>
      <c r="Q1" s="401" t="s">
        <v>217</v>
      </c>
      <c r="R1" s="401" t="s">
        <v>218</v>
      </c>
      <c r="S1" s="401" t="s">
        <v>219</v>
      </c>
      <c r="T1" s="401" t="s">
        <v>220</v>
      </c>
    </row>
    <row r="2" spans="1:20" x14ac:dyDescent="0.3">
      <c r="A2" s="400" t="s">
        <v>593</v>
      </c>
      <c r="B2" s="397" t="s">
        <v>459</v>
      </c>
      <c r="C2" s="401" t="s">
        <v>594</v>
      </c>
      <c r="D2" s="401" t="s">
        <v>595</v>
      </c>
      <c r="E2" s="401" t="s">
        <v>250</v>
      </c>
      <c r="F2" s="401" t="s">
        <v>221</v>
      </c>
      <c r="G2" s="401" t="s">
        <v>222</v>
      </c>
      <c r="H2" s="401" t="s">
        <v>553</v>
      </c>
      <c r="I2" s="402">
        <v>284315.67</v>
      </c>
      <c r="J2" s="401" t="s">
        <v>460</v>
      </c>
      <c r="K2" s="401" t="s">
        <v>461</v>
      </c>
      <c r="L2" s="401" t="s">
        <v>222</v>
      </c>
      <c r="M2" s="401" t="s">
        <v>224</v>
      </c>
      <c r="N2" s="401" t="s">
        <v>88</v>
      </c>
      <c r="O2" s="401" t="s">
        <v>460</v>
      </c>
      <c r="P2" s="401" t="s">
        <v>596</v>
      </c>
      <c r="Q2" s="401" t="s">
        <v>597</v>
      </c>
      <c r="R2" s="401" t="s">
        <v>597</v>
      </c>
      <c r="S2" s="401" t="s">
        <v>225</v>
      </c>
      <c r="T2" s="401" t="s">
        <v>226</v>
      </c>
    </row>
    <row r="3" spans="1:20" x14ac:dyDescent="0.3">
      <c r="A3" s="400" t="s">
        <v>593</v>
      </c>
      <c r="B3" s="397" t="s">
        <v>459</v>
      </c>
      <c r="C3" s="401" t="s">
        <v>598</v>
      </c>
      <c r="D3" s="401" t="s">
        <v>599</v>
      </c>
      <c r="E3" s="401" t="s">
        <v>250</v>
      </c>
      <c r="F3" s="401" t="s">
        <v>221</v>
      </c>
      <c r="G3" s="401" t="s">
        <v>222</v>
      </c>
      <c r="H3" s="401" t="s">
        <v>227</v>
      </c>
      <c r="I3" s="402">
        <v>1623000</v>
      </c>
      <c r="J3" s="401" t="s">
        <v>460</v>
      </c>
      <c r="K3" s="401" t="s">
        <v>461</v>
      </c>
      <c r="L3" s="401" t="s">
        <v>222</v>
      </c>
      <c r="M3" s="401" t="s">
        <v>224</v>
      </c>
      <c r="N3" s="401" t="s">
        <v>88</v>
      </c>
      <c r="O3" s="401" t="s">
        <v>460</v>
      </c>
      <c r="P3" s="401" t="s">
        <v>600</v>
      </c>
      <c r="Q3" s="401" t="s">
        <v>601</v>
      </c>
      <c r="R3" s="401" t="s">
        <v>601</v>
      </c>
      <c r="S3" s="401" t="s">
        <v>225</v>
      </c>
      <c r="T3" s="401" t="s">
        <v>226</v>
      </c>
    </row>
    <row r="4" spans="1:20" x14ac:dyDescent="0.3">
      <c r="A4" s="400" t="s">
        <v>593</v>
      </c>
      <c r="B4" s="397" t="s">
        <v>459</v>
      </c>
      <c r="C4" s="401" t="s">
        <v>602</v>
      </c>
      <c r="D4" s="401" t="s">
        <v>603</v>
      </c>
      <c r="E4" s="401" t="s">
        <v>250</v>
      </c>
      <c r="F4" s="401" t="s">
        <v>221</v>
      </c>
      <c r="G4" s="401" t="s">
        <v>222</v>
      </c>
      <c r="H4" s="401" t="s">
        <v>229</v>
      </c>
      <c r="I4" s="402">
        <v>269000</v>
      </c>
      <c r="J4" s="401" t="s">
        <v>460</v>
      </c>
      <c r="K4" s="401" t="s">
        <v>461</v>
      </c>
      <c r="L4" s="401" t="s">
        <v>222</v>
      </c>
      <c r="M4" s="401" t="s">
        <v>224</v>
      </c>
      <c r="N4" s="401" t="s">
        <v>88</v>
      </c>
      <c r="O4" s="401" t="s">
        <v>460</v>
      </c>
      <c r="P4" s="401" t="s">
        <v>604</v>
      </c>
      <c r="Q4" s="401" t="s">
        <v>605</v>
      </c>
      <c r="R4" s="401" t="s">
        <v>605</v>
      </c>
      <c r="S4" s="401" t="s">
        <v>225</v>
      </c>
      <c r="T4" s="401" t="s">
        <v>226</v>
      </c>
    </row>
    <row r="5" spans="1:20" x14ac:dyDescent="0.3">
      <c r="A5" s="400" t="s">
        <v>593</v>
      </c>
      <c r="B5" s="397" t="s">
        <v>459</v>
      </c>
      <c r="C5" s="401" t="s">
        <v>606</v>
      </c>
      <c r="D5" s="401" t="s">
        <v>607</v>
      </c>
      <c r="E5" s="401" t="s">
        <v>250</v>
      </c>
      <c r="F5" s="401" t="s">
        <v>221</v>
      </c>
      <c r="G5" s="401" t="s">
        <v>222</v>
      </c>
      <c r="H5" s="401" t="s">
        <v>469</v>
      </c>
      <c r="I5" s="402">
        <v>118000</v>
      </c>
      <c r="J5" s="401" t="s">
        <v>460</v>
      </c>
      <c r="K5" s="401" t="s">
        <v>461</v>
      </c>
      <c r="L5" s="401" t="s">
        <v>222</v>
      </c>
      <c r="M5" s="401" t="s">
        <v>224</v>
      </c>
      <c r="N5" s="401" t="s">
        <v>88</v>
      </c>
      <c r="O5" s="401" t="s">
        <v>460</v>
      </c>
      <c r="P5" s="401" t="s">
        <v>608</v>
      </c>
      <c r="Q5" s="401" t="s">
        <v>609</v>
      </c>
      <c r="R5" s="401" t="s">
        <v>609</v>
      </c>
      <c r="S5" s="401" t="s">
        <v>225</v>
      </c>
      <c r="T5" s="401" t="s">
        <v>226</v>
      </c>
    </row>
    <row r="6" spans="1:20" x14ac:dyDescent="0.3">
      <c r="A6" s="400" t="s">
        <v>593</v>
      </c>
      <c r="B6" s="397" t="s">
        <v>459</v>
      </c>
      <c r="C6" s="401" t="s">
        <v>610</v>
      </c>
      <c r="D6" s="401" t="s">
        <v>611</v>
      </c>
      <c r="E6" s="401" t="s">
        <v>250</v>
      </c>
      <c r="F6" s="401" t="s">
        <v>221</v>
      </c>
      <c r="G6" s="401" t="s">
        <v>222</v>
      </c>
      <c r="H6" s="401" t="s">
        <v>469</v>
      </c>
      <c r="I6" s="402">
        <v>117479.98</v>
      </c>
      <c r="J6" s="401" t="s">
        <v>460</v>
      </c>
      <c r="K6" s="401" t="s">
        <v>461</v>
      </c>
      <c r="L6" s="401" t="s">
        <v>222</v>
      </c>
      <c r="M6" s="401" t="s">
        <v>224</v>
      </c>
      <c r="N6" s="401" t="s">
        <v>88</v>
      </c>
      <c r="O6" s="401" t="s">
        <v>460</v>
      </c>
      <c r="P6" s="401" t="s">
        <v>608</v>
      </c>
      <c r="Q6" s="401" t="s">
        <v>612</v>
      </c>
      <c r="R6" s="401" t="s">
        <v>612</v>
      </c>
      <c r="S6" s="401" t="s">
        <v>225</v>
      </c>
      <c r="T6" s="401" t="s">
        <v>226</v>
      </c>
    </row>
    <row r="7" spans="1:20" x14ac:dyDescent="0.3">
      <c r="A7" s="400" t="s">
        <v>593</v>
      </c>
      <c r="B7" s="397" t="s">
        <v>459</v>
      </c>
      <c r="C7" s="401" t="s">
        <v>613</v>
      </c>
      <c r="D7" s="401" t="s">
        <v>614</v>
      </c>
      <c r="E7" s="401" t="s">
        <v>250</v>
      </c>
      <c r="F7" s="401" t="s">
        <v>221</v>
      </c>
      <c r="G7" s="401" t="s">
        <v>222</v>
      </c>
      <c r="H7" s="401" t="s">
        <v>615</v>
      </c>
      <c r="I7" s="402">
        <v>3878521.46</v>
      </c>
      <c r="J7" s="401" t="s">
        <v>460</v>
      </c>
      <c r="K7" s="401" t="s">
        <v>461</v>
      </c>
      <c r="L7" s="401" t="s">
        <v>222</v>
      </c>
      <c r="M7" s="401" t="s">
        <v>224</v>
      </c>
      <c r="N7" s="401" t="s">
        <v>88</v>
      </c>
      <c r="O7" s="401" t="s">
        <v>460</v>
      </c>
      <c r="P7" s="401" t="s">
        <v>616</v>
      </c>
      <c r="Q7" s="401" t="s">
        <v>617</v>
      </c>
      <c r="R7" s="401" t="s">
        <v>617</v>
      </c>
      <c r="S7" s="401" t="s">
        <v>225</v>
      </c>
      <c r="T7" s="401" t="s">
        <v>226</v>
      </c>
    </row>
    <row r="8" spans="1:20" x14ac:dyDescent="0.3">
      <c r="A8" s="400" t="s">
        <v>593</v>
      </c>
      <c r="B8" s="397" t="s">
        <v>459</v>
      </c>
      <c r="C8" s="401" t="s">
        <v>618</v>
      </c>
      <c r="D8" s="401" t="s">
        <v>619</v>
      </c>
      <c r="E8" s="401" t="s">
        <v>250</v>
      </c>
      <c r="F8" s="401" t="s">
        <v>221</v>
      </c>
      <c r="G8" s="401" t="s">
        <v>222</v>
      </c>
      <c r="H8" s="401" t="s">
        <v>475</v>
      </c>
      <c r="I8" s="402">
        <v>168859.22</v>
      </c>
      <c r="J8" s="401" t="s">
        <v>460</v>
      </c>
      <c r="K8" s="401" t="s">
        <v>461</v>
      </c>
      <c r="L8" s="401" t="s">
        <v>222</v>
      </c>
      <c r="M8" s="401" t="s">
        <v>224</v>
      </c>
      <c r="N8" s="401" t="s">
        <v>88</v>
      </c>
      <c r="O8" s="401" t="s">
        <v>460</v>
      </c>
      <c r="P8" s="401" t="s">
        <v>620</v>
      </c>
      <c r="Q8" s="401" t="s">
        <v>621</v>
      </c>
      <c r="R8" s="401" t="s">
        <v>621</v>
      </c>
      <c r="S8" s="401" t="s">
        <v>225</v>
      </c>
      <c r="T8" s="401" t="s">
        <v>226</v>
      </c>
    </row>
    <row r="9" spans="1:20" x14ac:dyDescent="0.3">
      <c r="A9" s="400" t="s">
        <v>593</v>
      </c>
      <c r="B9" s="397" t="s">
        <v>459</v>
      </c>
      <c r="C9" s="401" t="s">
        <v>622</v>
      </c>
      <c r="D9" s="401" t="s">
        <v>623</v>
      </c>
      <c r="E9" s="401" t="s">
        <v>250</v>
      </c>
      <c r="F9" s="401" t="s">
        <v>221</v>
      </c>
      <c r="G9" s="401" t="s">
        <v>222</v>
      </c>
      <c r="H9" s="401" t="s">
        <v>478</v>
      </c>
      <c r="I9" s="402">
        <v>523645.33</v>
      </c>
      <c r="J9" s="401" t="s">
        <v>460</v>
      </c>
      <c r="K9" s="401" t="s">
        <v>461</v>
      </c>
      <c r="L9" s="401" t="s">
        <v>222</v>
      </c>
      <c r="M9" s="401" t="s">
        <v>224</v>
      </c>
      <c r="N9" s="401" t="s">
        <v>88</v>
      </c>
      <c r="O9" s="401" t="s">
        <v>460</v>
      </c>
      <c r="P9" s="401" t="s">
        <v>624</v>
      </c>
      <c r="Q9" s="401" t="s">
        <v>625</v>
      </c>
      <c r="R9" s="401" t="s">
        <v>625</v>
      </c>
      <c r="S9" s="401" t="s">
        <v>225</v>
      </c>
      <c r="T9" s="401" t="s">
        <v>226</v>
      </c>
    </row>
    <row r="10" spans="1:20" x14ac:dyDescent="0.3">
      <c r="A10" s="400" t="s">
        <v>593</v>
      </c>
      <c r="B10" s="397" t="s">
        <v>459</v>
      </c>
      <c r="C10" s="401" t="s">
        <v>626</v>
      </c>
      <c r="D10" s="401" t="s">
        <v>627</v>
      </c>
      <c r="E10" s="401" t="s">
        <v>250</v>
      </c>
      <c r="F10" s="401" t="s">
        <v>221</v>
      </c>
      <c r="G10" s="401" t="s">
        <v>222</v>
      </c>
      <c r="H10" s="401" t="s">
        <v>537</v>
      </c>
      <c r="I10" s="402">
        <v>437431.37</v>
      </c>
      <c r="J10" s="401" t="s">
        <v>460</v>
      </c>
      <c r="K10" s="401" t="s">
        <v>461</v>
      </c>
      <c r="L10" s="401" t="s">
        <v>222</v>
      </c>
      <c r="M10" s="401" t="s">
        <v>224</v>
      </c>
      <c r="N10" s="401" t="s">
        <v>88</v>
      </c>
      <c r="O10" s="401" t="s">
        <v>460</v>
      </c>
      <c r="P10" s="401" t="s">
        <v>628</v>
      </c>
      <c r="Q10" s="401" t="s">
        <v>629</v>
      </c>
      <c r="R10" s="401" t="s">
        <v>629</v>
      </c>
      <c r="S10" s="401" t="s">
        <v>225</v>
      </c>
      <c r="T10" s="401" t="s">
        <v>226</v>
      </c>
    </row>
    <row r="11" spans="1:20" x14ac:dyDescent="0.3">
      <c r="A11" s="400" t="s">
        <v>593</v>
      </c>
      <c r="B11" s="397" t="s">
        <v>459</v>
      </c>
      <c r="C11" s="401" t="s">
        <v>630</v>
      </c>
      <c r="D11" s="401" t="s">
        <v>631</v>
      </c>
      <c r="E11" s="401" t="s">
        <v>250</v>
      </c>
      <c r="F11" s="401" t="s">
        <v>221</v>
      </c>
      <c r="G11" s="401" t="s">
        <v>222</v>
      </c>
      <c r="H11" s="401" t="s">
        <v>632</v>
      </c>
      <c r="I11" s="402">
        <v>44000</v>
      </c>
      <c r="J11" s="401" t="s">
        <v>460</v>
      </c>
      <c r="K11" s="401" t="s">
        <v>461</v>
      </c>
      <c r="L11" s="401" t="s">
        <v>222</v>
      </c>
      <c r="M11" s="401" t="s">
        <v>224</v>
      </c>
      <c r="N11" s="401" t="s">
        <v>88</v>
      </c>
      <c r="O11" s="401" t="s">
        <v>460</v>
      </c>
      <c r="P11" s="401" t="s">
        <v>633</v>
      </c>
      <c r="Q11" s="401" t="s">
        <v>634</v>
      </c>
      <c r="R11" s="401" t="s">
        <v>634</v>
      </c>
      <c r="S11" s="401" t="s">
        <v>225</v>
      </c>
      <c r="T11" s="401" t="s">
        <v>226</v>
      </c>
    </row>
    <row r="12" spans="1:20" x14ac:dyDescent="0.3">
      <c r="A12" s="400" t="s">
        <v>593</v>
      </c>
      <c r="B12" s="397" t="s">
        <v>459</v>
      </c>
      <c r="C12" s="401" t="s">
        <v>635</v>
      </c>
      <c r="D12" s="401" t="s">
        <v>636</v>
      </c>
      <c r="E12" s="401" t="s">
        <v>250</v>
      </c>
      <c r="F12" s="401" t="s">
        <v>221</v>
      </c>
      <c r="G12" s="401" t="s">
        <v>222</v>
      </c>
      <c r="H12" s="401" t="s">
        <v>512</v>
      </c>
      <c r="I12" s="402">
        <v>53274.53</v>
      </c>
      <c r="J12" s="401" t="s">
        <v>460</v>
      </c>
      <c r="K12" s="401" t="s">
        <v>461</v>
      </c>
      <c r="L12" s="401" t="s">
        <v>222</v>
      </c>
      <c r="M12" s="401" t="s">
        <v>224</v>
      </c>
      <c r="N12" s="401" t="s">
        <v>88</v>
      </c>
      <c r="O12" s="401" t="s">
        <v>460</v>
      </c>
      <c r="P12" s="401" t="s">
        <v>637</v>
      </c>
      <c r="Q12" s="401" t="s">
        <v>638</v>
      </c>
      <c r="R12" s="401" t="s">
        <v>638</v>
      </c>
      <c r="S12" s="401" t="s">
        <v>225</v>
      </c>
      <c r="T12" s="401" t="s">
        <v>226</v>
      </c>
    </row>
    <row r="13" spans="1:20" x14ac:dyDescent="0.3">
      <c r="A13" s="400" t="s">
        <v>593</v>
      </c>
      <c r="B13" s="397" t="s">
        <v>459</v>
      </c>
      <c r="C13" s="401" t="s">
        <v>639</v>
      </c>
      <c r="D13" s="401" t="s">
        <v>640</v>
      </c>
      <c r="E13" s="401" t="s">
        <v>250</v>
      </c>
      <c r="F13" s="401" t="s">
        <v>221</v>
      </c>
      <c r="G13" s="401" t="s">
        <v>222</v>
      </c>
      <c r="H13" s="401" t="s">
        <v>500</v>
      </c>
      <c r="I13" s="402">
        <v>81311.17</v>
      </c>
      <c r="J13" s="401" t="s">
        <v>460</v>
      </c>
      <c r="K13" s="401" t="s">
        <v>461</v>
      </c>
      <c r="L13" s="401" t="s">
        <v>222</v>
      </c>
      <c r="M13" s="401" t="s">
        <v>224</v>
      </c>
      <c r="N13" s="401" t="s">
        <v>88</v>
      </c>
      <c r="O13" s="401" t="s">
        <v>460</v>
      </c>
      <c r="P13" s="401" t="s">
        <v>641</v>
      </c>
      <c r="Q13" s="401" t="s">
        <v>642</v>
      </c>
      <c r="R13" s="401" t="s">
        <v>642</v>
      </c>
      <c r="S13" s="401" t="s">
        <v>225</v>
      </c>
      <c r="T13" s="401" t="s">
        <v>226</v>
      </c>
    </row>
    <row r="14" spans="1:20" x14ac:dyDescent="0.3">
      <c r="A14" s="400" t="s">
        <v>593</v>
      </c>
      <c r="B14" s="397" t="s">
        <v>459</v>
      </c>
      <c r="C14" s="401" t="s">
        <v>643</v>
      </c>
      <c r="D14" s="401" t="s">
        <v>644</v>
      </c>
      <c r="E14" s="401" t="s">
        <v>250</v>
      </c>
      <c r="F14" s="401" t="s">
        <v>221</v>
      </c>
      <c r="G14" s="401" t="s">
        <v>222</v>
      </c>
      <c r="H14" s="401" t="s">
        <v>645</v>
      </c>
      <c r="I14" s="402">
        <v>99000</v>
      </c>
      <c r="J14" s="401" t="s">
        <v>460</v>
      </c>
      <c r="K14" s="401" t="s">
        <v>461</v>
      </c>
      <c r="L14" s="401" t="s">
        <v>222</v>
      </c>
      <c r="M14" s="401" t="s">
        <v>224</v>
      </c>
      <c r="N14" s="401" t="s">
        <v>88</v>
      </c>
      <c r="O14" s="401" t="s">
        <v>460</v>
      </c>
      <c r="P14" s="401" t="s">
        <v>646</v>
      </c>
      <c r="Q14" s="401" t="s">
        <v>647</v>
      </c>
      <c r="R14" s="401" t="s">
        <v>647</v>
      </c>
      <c r="S14" s="401" t="s">
        <v>225</v>
      </c>
      <c r="T14" s="401" t="s">
        <v>226</v>
      </c>
    </row>
    <row r="15" spans="1:20" x14ac:dyDescent="0.3">
      <c r="A15" s="400" t="s">
        <v>593</v>
      </c>
      <c r="B15" s="397" t="s">
        <v>459</v>
      </c>
      <c r="C15" s="401" t="s">
        <v>648</v>
      </c>
      <c r="D15" s="401" t="s">
        <v>649</v>
      </c>
      <c r="E15" s="401" t="s">
        <v>250</v>
      </c>
      <c r="F15" s="401" t="s">
        <v>221</v>
      </c>
      <c r="G15" s="401" t="s">
        <v>222</v>
      </c>
      <c r="H15" s="401" t="s">
        <v>253</v>
      </c>
      <c r="I15" s="402">
        <v>858000</v>
      </c>
      <c r="J15" s="401" t="s">
        <v>460</v>
      </c>
      <c r="K15" s="401" t="s">
        <v>461</v>
      </c>
      <c r="L15" s="401" t="s">
        <v>222</v>
      </c>
      <c r="M15" s="401" t="s">
        <v>224</v>
      </c>
      <c r="N15" s="401" t="s">
        <v>88</v>
      </c>
      <c r="O15" s="401" t="s">
        <v>460</v>
      </c>
      <c r="P15" s="401" t="s">
        <v>650</v>
      </c>
      <c r="Q15" s="401" t="s">
        <v>651</v>
      </c>
      <c r="R15" s="401" t="s">
        <v>651</v>
      </c>
      <c r="S15" s="401" t="s">
        <v>225</v>
      </c>
      <c r="T15" s="401" t="s">
        <v>226</v>
      </c>
    </row>
    <row r="16" spans="1:20" x14ac:dyDescent="0.3">
      <c r="A16" s="400" t="s">
        <v>593</v>
      </c>
      <c r="B16" s="397" t="s">
        <v>459</v>
      </c>
      <c r="C16" s="401" t="s">
        <v>652</v>
      </c>
      <c r="D16" s="401" t="s">
        <v>653</v>
      </c>
      <c r="E16" s="401" t="s">
        <v>250</v>
      </c>
      <c r="F16" s="401" t="s">
        <v>221</v>
      </c>
      <c r="G16" s="401" t="s">
        <v>222</v>
      </c>
      <c r="H16" s="401" t="s">
        <v>512</v>
      </c>
      <c r="I16" s="402">
        <v>10804.61</v>
      </c>
      <c r="J16" s="401" t="s">
        <v>460</v>
      </c>
      <c r="K16" s="401" t="s">
        <v>461</v>
      </c>
      <c r="L16" s="401" t="s">
        <v>222</v>
      </c>
      <c r="M16" s="401" t="s">
        <v>224</v>
      </c>
      <c r="N16" s="401" t="s">
        <v>88</v>
      </c>
      <c r="O16" s="401" t="s">
        <v>460</v>
      </c>
      <c r="P16" s="401" t="s">
        <v>654</v>
      </c>
      <c r="Q16" s="401" t="s">
        <v>655</v>
      </c>
      <c r="R16" s="401" t="s">
        <v>655</v>
      </c>
      <c r="S16" s="401" t="s">
        <v>225</v>
      </c>
      <c r="T16" s="401" t="s">
        <v>226</v>
      </c>
    </row>
    <row r="17" spans="1:20" x14ac:dyDescent="0.3">
      <c r="A17" s="400" t="s">
        <v>593</v>
      </c>
      <c r="B17" s="397" t="s">
        <v>459</v>
      </c>
      <c r="C17" s="401" t="s">
        <v>656</v>
      </c>
      <c r="D17" s="401" t="s">
        <v>657</v>
      </c>
      <c r="E17" s="401" t="s">
        <v>250</v>
      </c>
      <c r="F17" s="401" t="s">
        <v>221</v>
      </c>
      <c r="G17" s="401" t="s">
        <v>222</v>
      </c>
      <c r="H17" s="401" t="s">
        <v>658</v>
      </c>
      <c r="I17" s="402">
        <v>664032.74</v>
      </c>
      <c r="J17" s="401" t="s">
        <v>460</v>
      </c>
      <c r="K17" s="401" t="s">
        <v>461</v>
      </c>
      <c r="L17" s="401" t="s">
        <v>222</v>
      </c>
      <c r="M17" s="401" t="s">
        <v>224</v>
      </c>
      <c r="N17" s="401" t="s">
        <v>88</v>
      </c>
      <c r="O17" s="401" t="s">
        <v>460</v>
      </c>
      <c r="P17" s="401" t="s">
        <v>659</v>
      </c>
      <c r="Q17" s="401" t="s">
        <v>660</v>
      </c>
      <c r="R17" s="401" t="s">
        <v>660</v>
      </c>
      <c r="S17" s="401" t="s">
        <v>225</v>
      </c>
      <c r="T17" s="401" t="s">
        <v>226</v>
      </c>
    </row>
    <row r="18" spans="1:20" x14ac:dyDescent="0.3">
      <c r="A18" s="400" t="s">
        <v>593</v>
      </c>
      <c r="B18" s="397" t="s">
        <v>459</v>
      </c>
      <c r="C18" s="401" t="s">
        <v>661</v>
      </c>
      <c r="D18" s="401" t="s">
        <v>662</v>
      </c>
      <c r="E18" s="401" t="s">
        <v>250</v>
      </c>
      <c r="F18" s="401" t="s">
        <v>221</v>
      </c>
      <c r="G18" s="401" t="s">
        <v>222</v>
      </c>
      <c r="H18" s="401" t="s">
        <v>663</v>
      </c>
      <c r="I18" s="402">
        <v>127628.98</v>
      </c>
      <c r="J18" s="401" t="s">
        <v>460</v>
      </c>
      <c r="K18" s="401" t="s">
        <v>461</v>
      </c>
      <c r="L18" s="401" t="s">
        <v>222</v>
      </c>
      <c r="M18" s="401" t="s">
        <v>224</v>
      </c>
      <c r="N18" s="401" t="s">
        <v>88</v>
      </c>
      <c r="O18" s="401" t="s">
        <v>460</v>
      </c>
      <c r="P18" s="401" t="s">
        <v>664</v>
      </c>
      <c r="Q18" s="401" t="s">
        <v>665</v>
      </c>
      <c r="R18" s="401" t="s">
        <v>665</v>
      </c>
      <c r="S18" s="401" t="s">
        <v>225</v>
      </c>
      <c r="T18" s="401" t="s">
        <v>226</v>
      </c>
    </row>
    <row r="19" spans="1:20" x14ac:dyDescent="0.3">
      <c r="A19" s="400" t="s">
        <v>593</v>
      </c>
      <c r="B19" s="397" t="s">
        <v>459</v>
      </c>
      <c r="C19" s="401" t="s">
        <v>666</v>
      </c>
      <c r="D19" s="401" t="s">
        <v>667</v>
      </c>
      <c r="E19" s="401" t="s">
        <v>250</v>
      </c>
      <c r="F19" s="401" t="s">
        <v>221</v>
      </c>
      <c r="G19" s="401" t="s">
        <v>222</v>
      </c>
      <c r="H19" s="401" t="s">
        <v>550</v>
      </c>
      <c r="I19" s="402">
        <v>611413.67000000004</v>
      </c>
      <c r="J19" s="401" t="s">
        <v>460</v>
      </c>
      <c r="K19" s="401" t="s">
        <v>461</v>
      </c>
      <c r="L19" s="401" t="s">
        <v>222</v>
      </c>
      <c r="M19" s="401" t="s">
        <v>224</v>
      </c>
      <c r="N19" s="401" t="s">
        <v>88</v>
      </c>
      <c r="O19" s="401" t="s">
        <v>460</v>
      </c>
      <c r="P19" s="401" t="s">
        <v>668</v>
      </c>
      <c r="Q19" s="401" t="s">
        <v>669</v>
      </c>
      <c r="R19" s="401" t="s">
        <v>669</v>
      </c>
      <c r="S19" s="401" t="s">
        <v>225</v>
      </c>
      <c r="T19" s="401" t="s">
        <v>226</v>
      </c>
    </row>
    <row r="20" spans="1:20" x14ac:dyDescent="0.3">
      <c r="A20" s="400" t="s">
        <v>593</v>
      </c>
      <c r="B20" s="397" t="s">
        <v>459</v>
      </c>
      <c r="C20" s="401" t="s">
        <v>670</v>
      </c>
      <c r="D20" s="401" t="s">
        <v>671</v>
      </c>
      <c r="E20" s="401" t="s">
        <v>250</v>
      </c>
      <c r="F20" s="401" t="s">
        <v>221</v>
      </c>
      <c r="G20" s="401" t="s">
        <v>222</v>
      </c>
      <c r="H20" s="401" t="s">
        <v>645</v>
      </c>
      <c r="I20" s="402">
        <v>99485.86</v>
      </c>
      <c r="J20" s="401" t="s">
        <v>460</v>
      </c>
      <c r="K20" s="401" t="s">
        <v>461</v>
      </c>
      <c r="L20" s="401" t="s">
        <v>222</v>
      </c>
      <c r="M20" s="401" t="s">
        <v>224</v>
      </c>
      <c r="N20" s="401" t="s">
        <v>88</v>
      </c>
      <c r="O20" s="401" t="s">
        <v>460</v>
      </c>
      <c r="P20" s="401" t="s">
        <v>672</v>
      </c>
      <c r="Q20" s="401" t="s">
        <v>673</v>
      </c>
      <c r="R20" s="401" t="s">
        <v>673</v>
      </c>
      <c r="S20" s="401" t="s">
        <v>225</v>
      </c>
      <c r="T20" s="401" t="s">
        <v>226</v>
      </c>
    </row>
    <row r="21" spans="1:20" x14ac:dyDescent="0.3">
      <c r="A21" s="400" t="s">
        <v>593</v>
      </c>
      <c r="B21" s="397" t="s">
        <v>459</v>
      </c>
      <c r="C21" s="401" t="s">
        <v>674</v>
      </c>
      <c r="D21" s="401" t="s">
        <v>675</v>
      </c>
      <c r="E21" s="401" t="s">
        <v>250</v>
      </c>
      <c r="F21" s="401" t="s">
        <v>221</v>
      </c>
      <c r="G21" s="401" t="s">
        <v>222</v>
      </c>
      <c r="H21" s="401" t="s">
        <v>492</v>
      </c>
      <c r="I21" s="402">
        <v>469223.82</v>
      </c>
      <c r="J21" s="401" t="s">
        <v>460</v>
      </c>
      <c r="K21" s="401" t="s">
        <v>461</v>
      </c>
      <c r="L21" s="401" t="s">
        <v>222</v>
      </c>
      <c r="M21" s="401" t="s">
        <v>224</v>
      </c>
      <c r="N21" s="401" t="s">
        <v>88</v>
      </c>
      <c r="O21" s="401" t="s">
        <v>460</v>
      </c>
      <c r="P21" s="401" t="s">
        <v>676</v>
      </c>
      <c r="Q21" s="401" t="s">
        <v>677</v>
      </c>
      <c r="R21" s="401" t="s">
        <v>677</v>
      </c>
      <c r="S21" s="401" t="s">
        <v>225</v>
      </c>
      <c r="T21" s="401" t="s">
        <v>226</v>
      </c>
    </row>
    <row r="22" spans="1:20" x14ac:dyDescent="0.3">
      <c r="A22" s="400" t="s">
        <v>593</v>
      </c>
      <c r="B22" s="397" t="s">
        <v>459</v>
      </c>
      <c r="C22" s="401" t="s">
        <v>678</v>
      </c>
      <c r="D22" s="401" t="s">
        <v>679</v>
      </c>
      <c r="E22" s="401" t="s">
        <v>250</v>
      </c>
      <c r="F22" s="401" t="s">
        <v>221</v>
      </c>
      <c r="G22" s="401" t="s">
        <v>222</v>
      </c>
      <c r="H22" s="401" t="s">
        <v>489</v>
      </c>
      <c r="I22" s="402">
        <v>273875.84000000003</v>
      </c>
      <c r="J22" s="401" t="s">
        <v>460</v>
      </c>
      <c r="K22" s="401" t="s">
        <v>461</v>
      </c>
      <c r="L22" s="401" t="s">
        <v>222</v>
      </c>
      <c r="M22" s="401" t="s">
        <v>224</v>
      </c>
      <c r="N22" s="401" t="s">
        <v>88</v>
      </c>
      <c r="O22" s="401" t="s">
        <v>460</v>
      </c>
      <c r="P22" s="401" t="s">
        <v>680</v>
      </c>
      <c r="Q22" s="401" t="s">
        <v>681</v>
      </c>
      <c r="R22" s="401" t="s">
        <v>681</v>
      </c>
      <c r="S22" s="401" t="s">
        <v>225</v>
      </c>
      <c r="T22" s="401" t="s">
        <v>226</v>
      </c>
    </row>
    <row r="23" spans="1:20" x14ac:dyDescent="0.3">
      <c r="A23" s="400" t="s">
        <v>593</v>
      </c>
      <c r="B23" s="397" t="s">
        <v>459</v>
      </c>
      <c r="C23" s="401" t="s">
        <v>682</v>
      </c>
      <c r="D23" s="401" t="s">
        <v>683</v>
      </c>
      <c r="E23" s="401" t="s">
        <v>250</v>
      </c>
      <c r="F23" s="401" t="s">
        <v>221</v>
      </c>
      <c r="G23" s="401" t="s">
        <v>222</v>
      </c>
      <c r="H23" s="401" t="s">
        <v>229</v>
      </c>
      <c r="I23" s="402">
        <v>269552.19</v>
      </c>
      <c r="J23" s="401" t="s">
        <v>460</v>
      </c>
      <c r="K23" s="401" t="s">
        <v>461</v>
      </c>
      <c r="L23" s="401" t="s">
        <v>222</v>
      </c>
      <c r="M23" s="401" t="s">
        <v>224</v>
      </c>
      <c r="N23" s="401" t="s">
        <v>88</v>
      </c>
      <c r="O23" s="401" t="s">
        <v>460</v>
      </c>
      <c r="P23" s="401" t="s">
        <v>684</v>
      </c>
      <c r="Q23" s="401" t="s">
        <v>685</v>
      </c>
      <c r="R23" s="401" t="s">
        <v>685</v>
      </c>
      <c r="S23" s="401" t="s">
        <v>225</v>
      </c>
      <c r="T23" s="401" t="s">
        <v>226</v>
      </c>
    </row>
    <row r="24" spans="1:20" x14ac:dyDescent="0.3">
      <c r="A24" s="400" t="s">
        <v>593</v>
      </c>
      <c r="B24" s="397" t="s">
        <v>459</v>
      </c>
      <c r="C24" s="401" t="s">
        <v>686</v>
      </c>
      <c r="D24" s="401" t="s">
        <v>687</v>
      </c>
      <c r="E24" s="401" t="s">
        <v>250</v>
      </c>
      <c r="F24" s="401" t="s">
        <v>221</v>
      </c>
      <c r="G24" s="401" t="s">
        <v>222</v>
      </c>
      <c r="H24" s="401" t="s">
        <v>486</v>
      </c>
      <c r="I24" s="402">
        <v>67505.289999999994</v>
      </c>
      <c r="J24" s="401" t="s">
        <v>460</v>
      </c>
      <c r="K24" s="401" t="s">
        <v>461</v>
      </c>
      <c r="L24" s="401" t="s">
        <v>222</v>
      </c>
      <c r="M24" s="401" t="s">
        <v>224</v>
      </c>
      <c r="N24" s="401" t="s">
        <v>88</v>
      </c>
      <c r="O24" s="401" t="s">
        <v>460</v>
      </c>
      <c r="P24" s="401" t="s">
        <v>688</v>
      </c>
      <c r="Q24" s="401" t="s">
        <v>689</v>
      </c>
      <c r="R24" s="401" t="s">
        <v>689</v>
      </c>
      <c r="S24" s="401" t="s">
        <v>225</v>
      </c>
      <c r="T24" s="401" t="s">
        <v>226</v>
      </c>
    </row>
    <row r="25" spans="1:20" x14ac:dyDescent="0.3">
      <c r="A25" s="400" t="s">
        <v>593</v>
      </c>
      <c r="B25" s="397" t="s">
        <v>459</v>
      </c>
      <c r="C25" s="401" t="s">
        <v>690</v>
      </c>
      <c r="D25" s="401" t="s">
        <v>691</v>
      </c>
      <c r="E25" s="401" t="s">
        <v>250</v>
      </c>
      <c r="F25" s="401" t="s">
        <v>221</v>
      </c>
      <c r="G25" s="401" t="s">
        <v>222</v>
      </c>
      <c r="H25" s="401" t="s">
        <v>537</v>
      </c>
      <c r="I25" s="402">
        <v>109000</v>
      </c>
      <c r="J25" s="401" t="s">
        <v>460</v>
      </c>
      <c r="K25" s="401" t="s">
        <v>461</v>
      </c>
      <c r="L25" s="401" t="s">
        <v>222</v>
      </c>
      <c r="M25" s="401" t="s">
        <v>224</v>
      </c>
      <c r="N25" s="401" t="s">
        <v>88</v>
      </c>
      <c r="O25" s="401" t="s">
        <v>460</v>
      </c>
      <c r="P25" s="401" t="s">
        <v>692</v>
      </c>
      <c r="Q25" s="401" t="s">
        <v>693</v>
      </c>
      <c r="R25" s="401" t="s">
        <v>693</v>
      </c>
      <c r="S25" s="401" t="s">
        <v>225</v>
      </c>
      <c r="T25" s="401" t="s">
        <v>226</v>
      </c>
    </row>
    <row r="26" spans="1:20" x14ac:dyDescent="0.3">
      <c r="A26" s="400" t="s">
        <v>593</v>
      </c>
      <c r="B26" s="397" t="s">
        <v>459</v>
      </c>
      <c r="C26" s="401" t="s">
        <v>694</v>
      </c>
      <c r="D26" s="401" t="s">
        <v>695</v>
      </c>
      <c r="E26" s="401" t="s">
        <v>250</v>
      </c>
      <c r="F26" s="401" t="s">
        <v>221</v>
      </c>
      <c r="G26" s="401" t="s">
        <v>222</v>
      </c>
      <c r="H26" s="401" t="s">
        <v>696</v>
      </c>
      <c r="I26" s="402">
        <v>61963.199999999997</v>
      </c>
      <c r="J26" s="401" t="s">
        <v>460</v>
      </c>
      <c r="K26" s="401" t="s">
        <v>461</v>
      </c>
      <c r="L26" s="401" t="s">
        <v>222</v>
      </c>
      <c r="M26" s="401" t="s">
        <v>224</v>
      </c>
      <c r="N26" s="401" t="s">
        <v>88</v>
      </c>
      <c r="O26" s="401" t="s">
        <v>460</v>
      </c>
      <c r="P26" s="401" t="s">
        <v>697</v>
      </c>
      <c r="Q26" s="401" t="s">
        <v>698</v>
      </c>
      <c r="R26" s="401" t="s">
        <v>698</v>
      </c>
      <c r="S26" s="401" t="s">
        <v>225</v>
      </c>
      <c r="T26" s="401" t="s">
        <v>226</v>
      </c>
    </row>
    <row r="27" spans="1:20" x14ac:dyDescent="0.3">
      <c r="A27" s="400" t="s">
        <v>593</v>
      </c>
      <c r="B27" s="397" t="s">
        <v>459</v>
      </c>
      <c r="C27" s="401" t="s">
        <v>699</v>
      </c>
      <c r="D27" s="401" t="s">
        <v>700</v>
      </c>
      <c r="E27" s="401" t="s">
        <v>250</v>
      </c>
      <c r="F27" s="401" t="s">
        <v>221</v>
      </c>
      <c r="G27" s="401" t="s">
        <v>222</v>
      </c>
      <c r="H27" s="401" t="s">
        <v>701</v>
      </c>
      <c r="I27" s="402">
        <v>50310</v>
      </c>
      <c r="J27" s="401" t="s">
        <v>460</v>
      </c>
      <c r="K27" s="401" t="s">
        <v>461</v>
      </c>
      <c r="L27" s="401" t="s">
        <v>222</v>
      </c>
      <c r="M27" s="401" t="s">
        <v>224</v>
      </c>
      <c r="N27" s="401" t="s">
        <v>88</v>
      </c>
      <c r="O27" s="401" t="s">
        <v>460</v>
      </c>
      <c r="P27" s="401" t="s">
        <v>702</v>
      </c>
      <c r="Q27" s="401" t="s">
        <v>703</v>
      </c>
      <c r="R27" s="401" t="s">
        <v>703</v>
      </c>
      <c r="S27" s="401" t="s">
        <v>225</v>
      </c>
      <c r="T27" s="401" t="s">
        <v>226</v>
      </c>
    </row>
    <row r="28" spans="1:20" x14ac:dyDescent="0.3">
      <c r="A28" s="400" t="s">
        <v>593</v>
      </c>
      <c r="B28" s="397" t="s">
        <v>459</v>
      </c>
      <c r="C28" s="401" t="s">
        <v>704</v>
      </c>
      <c r="D28" s="401" t="s">
        <v>705</v>
      </c>
      <c r="E28" s="401" t="s">
        <v>250</v>
      </c>
      <c r="F28" s="401" t="s">
        <v>221</v>
      </c>
      <c r="G28" s="401" t="s">
        <v>222</v>
      </c>
      <c r="H28" s="401" t="s">
        <v>632</v>
      </c>
      <c r="I28" s="402">
        <v>178033.56</v>
      </c>
      <c r="J28" s="401" t="s">
        <v>460</v>
      </c>
      <c r="K28" s="401" t="s">
        <v>461</v>
      </c>
      <c r="L28" s="401" t="s">
        <v>222</v>
      </c>
      <c r="M28" s="401" t="s">
        <v>224</v>
      </c>
      <c r="N28" s="401" t="s">
        <v>88</v>
      </c>
      <c r="O28" s="401" t="s">
        <v>460</v>
      </c>
      <c r="P28" s="401" t="s">
        <v>706</v>
      </c>
      <c r="Q28" s="401" t="s">
        <v>707</v>
      </c>
      <c r="R28" s="401" t="s">
        <v>707</v>
      </c>
      <c r="S28" s="401" t="s">
        <v>225</v>
      </c>
      <c r="T28" s="401" t="s">
        <v>226</v>
      </c>
    </row>
    <row r="29" spans="1:20" x14ac:dyDescent="0.3">
      <c r="A29" s="400" t="s">
        <v>593</v>
      </c>
      <c r="B29" s="397" t="s">
        <v>459</v>
      </c>
      <c r="C29" s="401" t="s">
        <v>708</v>
      </c>
      <c r="D29" s="401" t="s">
        <v>236</v>
      </c>
      <c r="E29" s="401" t="s">
        <v>250</v>
      </c>
      <c r="F29" s="401" t="s">
        <v>221</v>
      </c>
      <c r="G29" s="401" t="s">
        <v>222</v>
      </c>
      <c r="H29" s="401" t="s">
        <v>486</v>
      </c>
      <c r="I29" s="402">
        <v>68000</v>
      </c>
      <c r="J29" s="401" t="s">
        <v>460</v>
      </c>
      <c r="K29" s="401" t="s">
        <v>461</v>
      </c>
      <c r="L29" s="401" t="s">
        <v>222</v>
      </c>
      <c r="M29" s="401" t="s">
        <v>224</v>
      </c>
      <c r="N29" s="401" t="s">
        <v>88</v>
      </c>
      <c r="O29" s="401" t="s">
        <v>460</v>
      </c>
      <c r="P29" s="401" t="s">
        <v>688</v>
      </c>
      <c r="Q29" s="401" t="s">
        <v>709</v>
      </c>
      <c r="R29" s="401" t="s">
        <v>709</v>
      </c>
      <c r="S29" s="401" t="s">
        <v>225</v>
      </c>
      <c r="T29" s="401" t="s">
        <v>226</v>
      </c>
    </row>
    <row r="31" spans="1:20" x14ac:dyDescent="0.3">
      <c r="I31" s="3">
        <f>SUM(I2:I30)</f>
        <v>11616668.489999998</v>
      </c>
    </row>
  </sheetData>
  <autoFilter ref="A1:L29" xr:uid="{00000000-0009-0000-0000-000007000000}"/>
  <phoneticPr fontId="74" type="noConversion"/>
  <pageMargins left="0.7" right="0.7" top="0.75" bottom="0.75" header="0.3" footer="0.3"/>
  <pageSetup paperSize="9" scale="51" fitToHeight="0"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L54"/>
  <sheetViews>
    <sheetView zoomScale="86" zoomScaleNormal="86" workbookViewId="0">
      <pane ySplit="1" topLeftCell="A29" activePane="bottomLeft" state="frozen"/>
      <selection pane="bottomLeft" activeCell="G55" sqref="G55"/>
    </sheetView>
  </sheetViews>
  <sheetFormatPr defaultColWidth="8.6640625" defaultRowHeight="14.5" x14ac:dyDescent="0.3"/>
  <cols>
    <col min="1" max="1" width="25.75" style="2" customWidth="1"/>
    <col min="2" max="2" width="15.75" style="2" customWidth="1"/>
    <col min="3" max="3" width="19.33203125" style="2" customWidth="1"/>
    <col min="4" max="4" width="52.25" style="2" customWidth="1"/>
    <col min="5" max="5" width="15.75" style="2" customWidth="1"/>
    <col min="6" max="6" width="13.9140625" style="2" customWidth="1"/>
    <col min="7" max="7" width="20.58203125" style="3" customWidth="1"/>
    <col min="8" max="8" width="39.6640625" style="2" customWidth="1"/>
    <col min="9" max="9" width="31.58203125" style="2" customWidth="1"/>
    <col min="10" max="10" width="20" style="2" customWidth="1"/>
    <col min="11" max="11" width="17.75" style="2" customWidth="1"/>
    <col min="12" max="12" width="15.75" style="2" customWidth="1"/>
    <col min="13" max="13" width="13.6640625" style="2" customWidth="1"/>
    <col min="14" max="16384" width="8.6640625" style="2"/>
  </cols>
  <sheetData>
    <row r="1" spans="1:12" ht="14.4" customHeight="1" x14ac:dyDescent="0.3">
      <c r="A1" s="4" t="s">
        <v>241</v>
      </c>
      <c r="B1" s="392" t="s">
        <v>242</v>
      </c>
      <c r="C1" s="392" t="s">
        <v>243</v>
      </c>
      <c r="D1" s="392" t="s">
        <v>244</v>
      </c>
      <c r="E1" s="392" t="s">
        <v>245</v>
      </c>
      <c r="F1" s="392" t="s">
        <v>246</v>
      </c>
      <c r="G1" s="393" t="s">
        <v>457</v>
      </c>
      <c r="H1" s="394" t="s">
        <v>247</v>
      </c>
      <c r="I1" s="395" t="s">
        <v>248</v>
      </c>
      <c r="J1" s="395" t="s">
        <v>249</v>
      </c>
      <c r="K1" s="394" t="s">
        <v>212</v>
      </c>
      <c r="L1" s="396" t="s">
        <v>458</v>
      </c>
    </row>
    <row r="2" spans="1:12" x14ac:dyDescent="0.3">
      <c r="A2" s="2" t="s">
        <v>2</v>
      </c>
      <c r="B2" s="397" t="s">
        <v>459</v>
      </c>
      <c r="C2" t="s">
        <v>238</v>
      </c>
      <c r="D2" s="397" t="s">
        <v>234</v>
      </c>
      <c r="E2" s="397" t="s">
        <v>460</v>
      </c>
      <c r="F2" s="397" t="s">
        <v>461</v>
      </c>
      <c r="G2" s="398">
        <v>1000000</v>
      </c>
      <c r="H2" s="397" t="s">
        <v>462</v>
      </c>
      <c r="I2" s="397" t="s">
        <v>463</v>
      </c>
      <c r="J2" s="397"/>
      <c r="K2" s="397" t="s">
        <v>222</v>
      </c>
      <c r="L2" s="397" t="s">
        <v>251</v>
      </c>
    </row>
    <row r="3" spans="1:12" x14ac:dyDescent="0.3">
      <c r="A3" s="2" t="s">
        <v>2</v>
      </c>
      <c r="B3" s="397" t="s">
        <v>459</v>
      </c>
      <c r="C3" t="s">
        <v>238</v>
      </c>
      <c r="D3" s="397" t="s">
        <v>464</v>
      </c>
      <c r="E3" s="397" t="s">
        <v>460</v>
      </c>
      <c r="F3" s="397" t="s">
        <v>461</v>
      </c>
      <c r="G3" s="398">
        <v>327000</v>
      </c>
      <c r="H3" s="397" t="s">
        <v>465</v>
      </c>
      <c r="I3" s="397" t="s">
        <v>466</v>
      </c>
      <c r="J3" s="397"/>
      <c r="K3" s="397" t="s">
        <v>222</v>
      </c>
      <c r="L3" s="397" t="s">
        <v>251</v>
      </c>
    </row>
    <row r="4" spans="1:12" x14ac:dyDescent="0.3">
      <c r="A4" s="2" t="s">
        <v>2</v>
      </c>
      <c r="B4" s="397" t="s">
        <v>459</v>
      </c>
      <c r="C4" t="s">
        <v>238</v>
      </c>
      <c r="D4" s="397" t="s">
        <v>231</v>
      </c>
      <c r="E4" s="397" t="s">
        <v>460</v>
      </c>
      <c r="F4" s="397" t="s">
        <v>461</v>
      </c>
      <c r="G4" s="398">
        <v>2000000</v>
      </c>
      <c r="H4" s="397" t="s">
        <v>467</v>
      </c>
      <c r="I4" s="397" t="s">
        <v>468</v>
      </c>
      <c r="J4" s="397"/>
      <c r="K4" s="397" t="s">
        <v>222</v>
      </c>
      <c r="L4" s="397" t="s">
        <v>251</v>
      </c>
    </row>
    <row r="5" spans="1:12" x14ac:dyDescent="0.3">
      <c r="A5" s="2" t="s">
        <v>2</v>
      </c>
      <c r="B5" s="397" t="s">
        <v>459</v>
      </c>
      <c r="C5" t="s">
        <v>238</v>
      </c>
      <c r="D5" s="397" t="s">
        <v>469</v>
      </c>
      <c r="E5" s="397" t="s">
        <v>460</v>
      </c>
      <c r="F5" s="397" t="s">
        <v>461</v>
      </c>
      <c r="G5" s="398">
        <v>223583.03</v>
      </c>
      <c r="H5" s="397" t="s">
        <v>470</v>
      </c>
      <c r="I5" s="397" t="s">
        <v>471</v>
      </c>
      <c r="J5" s="397"/>
      <c r="K5" s="397" t="s">
        <v>222</v>
      </c>
      <c r="L5" s="397" t="s">
        <v>251</v>
      </c>
    </row>
    <row r="6" spans="1:12" x14ac:dyDescent="0.3">
      <c r="A6" s="2" t="s">
        <v>2</v>
      </c>
      <c r="B6" s="397" t="s">
        <v>459</v>
      </c>
      <c r="C6" t="s">
        <v>238</v>
      </c>
      <c r="D6" s="397" t="s">
        <v>472</v>
      </c>
      <c r="E6" s="397" t="s">
        <v>460</v>
      </c>
      <c r="F6" s="397" t="s">
        <v>461</v>
      </c>
      <c r="G6" s="398">
        <v>500000</v>
      </c>
      <c r="H6" s="397" t="s">
        <v>473</v>
      </c>
      <c r="I6" s="397" t="s">
        <v>474</v>
      </c>
      <c r="J6" s="397"/>
      <c r="K6" s="397" t="s">
        <v>222</v>
      </c>
      <c r="L6" s="397" t="s">
        <v>251</v>
      </c>
    </row>
    <row r="7" spans="1:12" x14ac:dyDescent="0.3">
      <c r="A7" s="2" t="s">
        <v>2</v>
      </c>
      <c r="B7" s="397" t="s">
        <v>459</v>
      </c>
      <c r="C7" t="s">
        <v>238</v>
      </c>
      <c r="D7" s="397" t="s">
        <v>475</v>
      </c>
      <c r="E7" s="397" t="s">
        <v>460</v>
      </c>
      <c r="F7" s="397" t="s">
        <v>461</v>
      </c>
      <c r="G7" s="398">
        <v>259635.59</v>
      </c>
      <c r="H7" s="397" t="s">
        <v>476</v>
      </c>
      <c r="I7" s="397" t="s">
        <v>477</v>
      </c>
      <c r="J7" s="397"/>
      <c r="K7" s="397" t="s">
        <v>222</v>
      </c>
      <c r="L7" s="397" t="s">
        <v>251</v>
      </c>
    </row>
    <row r="8" spans="1:12" x14ac:dyDescent="0.3">
      <c r="A8" s="2" t="s">
        <v>2</v>
      </c>
      <c r="B8" s="397" t="s">
        <v>459</v>
      </c>
      <c r="C8" t="s">
        <v>238</v>
      </c>
      <c r="D8" s="397" t="s">
        <v>478</v>
      </c>
      <c r="E8" s="397" t="s">
        <v>460</v>
      </c>
      <c r="F8" s="397" t="s">
        <v>461</v>
      </c>
      <c r="G8" s="398">
        <v>256000</v>
      </c>
      <c r="H8" s="397" t="s">
        <v>479</v>
      </c>
      <c r="I8" s="397" t="s">
        <v>480</v>
      </c>
      <c r="J8" s="397"/>
      <c r="K8" s="397" t="s">
        <v>222</v>
      </c>
      <c r="L8" s="397" t="s">
        <v>251</v>
      </c>
    </row>
    <row r="9" spans="1:12" x14ac:dyDescent="0.3">
      <c r="A9" s="2" t="s">
        <v>2</v>
      </c>
      <c r="B9" s="397" t="s">
        <v>459</v>
      </c>
      <c r="C9" t="s">
        <v>238</v>
      </c>
      <c r="D9" s="397" t="s">
        <v>227</v>
      </c>
      <c r="E9" s="397" t="s">
        <v>460</v>
      </c>
      <c r="F9" s="397" t="s">
        <v>461</v>
      </c>
      <c r="G9" s="398">
        <v>1663509.71</v>
      </c>
      <c r="H9" s="397" t="s">
        <v>481</v>
      </c>
      <c r="I9" s="397" t="s">
        <v>482</v>
      </c>
      <c r="J9" s="397"/>
      <c r="K9" s="397" t="s">
        <v>222</v>
      </c>
      <c r="L9" s="397" t="s">
        <v>251</v>
      </c>
    </row>
    <row r="10" spans="1:12" x14ac:dyDescent="0.3">
      <c r="A10" s="2" t="s">
        <v>2</v>
      </c>
      <c r="B10" s="397" t="s">
        <v>459</v>
      </c>
      <c r="C10" t="s">
        <v>238</v>
      </c>
      <c r="D10" s="397" t="s">
        <v>254</v>
      </c>
      <c r="E10" s="397" t="s">
        <v>460</v>
      </c>
      <c r="F10" s="397" t="s">
        <v>461</v>
      </c>
      <c r="G10" s="398">
        <v>850000</v>
      </c>
      <c r="H10" s="397" t="s">
        <v>483</v>
      </c>
      <c r="I10" s="397" t="s">
        <v>484</v>
      </c>
      <c r="J10" s="397"/>
      <c r="K10" s="397" t="s">
        <v>222</v>
      </c>
      <c r="L10" s="397" t="s">
        <v>485</v>
      </c>
    </row>
    <row r="11" spans="1:12" x14ac:dyDescent="0.3">
      <c r="A11" s="2" t="s">
        <v>2</v>
      </c>
      <c r="B11" s="397" t="s">
        <v>459</v>
      </c>
      <c r="C11" t="s">
        <v>238</v>
      </c>
      <c r="D11" s="397" t="s">
        <v>486</v>
      </c>
      <c r="E11" s="397" t="s">
        <v>460</v>
      </c>
      <c r="F11" s="397" t="s">
        <v>461</v>
      </c>
      <c r="G11" s="398">
        <v>75000</v>
      </c>
      <c r="H11" s="397" t="s">
        <v>487</v>
      </c>
      <c r="I11" s="397" t="s">
        <v>488</v>
      </c>
      <c r="J11" s="397"/>
      <c r="K11" s="397" t="s">
        <v>222</v>
      </c>
      <c r="L11" s="397" t="s">
        <v>251</v>
      </c>
    </row>
    <row r="12" spans="1:12" x14ac:dyDescent="0.3">
      <c r="A12" s="2" t="s">
        <v>2</v>
      </c>
      <c r="B12" s="397" t="s">
        <v>459</v>
      </c>
      <c r="C12" t="s">
        <v>238</v>
      </c>
      <c r="D12" s="397" t="s">
        <v>489</v>
      </c>
      <c r="E12" s="397" t="s">
        <v>460</v>
      </c>
      <c r="F12" s="397" t="s">
        <v>461</v>
      </c>
      <c r="G12" s="398">
        <v>2378.1999999999998</v>
      </c>
      <c r="H12" s="397" t="s">
        <v>490</v>
      </c>
      <c r="I12" s="397" t="s">
        <v>491</v>
      </c>
      <c r="J12" s="397"/>
      <c r="K12" s="397" t="s">
        <v>222</v>
      </c>
      <c r="L12" s="397" t="s">
        <v>251</v>
      </c>
    </row>
    <row r="13" spans="1:12" x14ac:dyDescent="0.3">
      <c r="A13" s="2" t="s">
        <v>2</v>
      </c>
      <c r="B13" s="397" t="s">
        <v>459</v>
      </c>
      <c r="C13" t="s">
        <v>238</v>
      </c>
      <c r="D13" s="397" t="s">
        <v>492</v>
      </c>
      <c r="E13" s="397" t="s">
        <v>460</v>
      </c>
      <c r="F13" s="397" t="s">
        <v>461</v>
      </c>
      <c r="G13" s="398">
        <v>119161.88</v>
      </c>
      <c r="H13" s="397" t="s">
        <v>493</v>
      </c>
      <c r="I13" s="397" t="s">
        <v>494</v>
      </c>
      <c r="J13" s="397"/>
      <c r="K13" s="397" t="s">
        <v>222</v>
      </c>
      <c r="L13" s="397" t="s">
        <v>485</v>
      </c>
    </row>
    <row r="14" spans="1:12" x14ac:dyDescent="0.3">
      <c r="A14" s="2" t="s">
        <v>2</v>
      </c>
      <c r="B14" s="397" t="s">
        <v>459</v>
      </c>
      <c r="C14" t="s">
        <v>238</v>
      </c>
      <c r="D14" s="397" t="s">
        <v>495</v>
      </c>
      <c r="E14" s="397" t="s">
        <v>460</v>
      </c>
      <c r="F14" s="397" t="s">
        <v>461</v>
      </c>
      <c r="G14" s="398">
        <v>1139928.74</v>
      </c>
      <c r="H14" s="397" t="s">
        <v>496</v>
      </c>
      <c r="I14" s="397" t="s">
        <v>497</v>
      </c>
      <c r="J14" s="397"/>
      <c r="K14" s="397" t="s">
        <v>222</v>
      </c>
      <c r="L14" s="397" t="s">
        <v>251</v>
      </c>
    </row>
    <row r="15" spans="1:12" x14ac:dyDescent="0.3">
      <c r="A15" s="2" t="s">
        <v>2</v>
      </c>
      <c r="B15" s="397" t="s">
        <v>459</v>
      </c>
      <c r="C15" t="s">
        <v>238</v>
      </c>
      <c r="D15" s="397" t="s">
        <v>252</v>
      </c>
      <c r="E15" s="397" t="s">
        <v>460</v>
      </c>
      <c r="F15" s="397" t="s">
        <v>461</v>
      </c>
      <c r="G15" s="398">
        <v>318462.96000000002</v>
      </c>
      <c r="H15" s="397" t="s">
        <v>498</v>
      </c>
      <c r="I15" s="397" t="s">
        <v>499</v>
      </c>
      <c r="J15" s="397"/>
      <c r="K15" s="397" t="s">
        <v>222</v>
      </c>
      <c r="L15" s="397" t="s">
        <v>251</v>
      </c>
    </row>
    <row r="16" spans="1:12" x14ac:dyDescent="0.3">
      <c r="A16" s="2" t="s">
        <v>2</v>
      </c>
      <c r="B16" s="397" t="s">
        <v>459</v>
      </c>
      <c r="C16" t="s">
        <v>238</v>
      </c>
      <c r="D16" s="397" t="s">
        <v>500</v>
      </c>
      <c r="E16" s="397" t="s">
        <v>460</v>
      </c>
      <c r="F16" s="397" t="s">
        <v>461</v>
      </c>
      <c r="G16" s="398">
        <v>316758.42</v>
      </c>
      <c r="H16" s="397" t="s">
        <v>501</v>
      </c>
      <c r="I16" s="397" t="s">
        <v>502</v>
      </c>
      <c r="J16" s="397"/>
      <c r="K16" s="397" t="s">
        <v>222</v>
      </c>
      <c r="L16" s="397" t="s">
        <v>485</v>
      </c>
    </row>
    <row r="17" spans="1:12" x14ac:dyDescent="0.3">
      <c r="A17" s="2" t="s">
        <v>2</v>
      </c>
      <c r="B17" s="397" t="s">
        <v>459</v>
      </c>
      <c r="C17" t="s">
        <v>238</v>
      </c>
      <c r="D17" s="397" t="s">
        <v>503</v>
      </c>
      <c r="E17" s="397" t="s">
        <v>460</v>
      </c>
      <c r="F17" s="397" t="s">
        <v>461</v>
      </c>
      <c r="G17" s="398">
        <v>419611.62</v>
      </c>
      <c r="H17" s="397" t="s">
        <v>504</v>
      </c>
      <c r="I17" s="397" t="s">
        <v>505</v>
      </c>
      <c r="J17" s="397"/>
      <c r="K17" s="397" t="s">
        <v>222</v>
      </c>
      <c r="L17" s="397" t="s">
        <v>485</v>
      </c>
    </row>
    <row r="18" spans="1:12" x14ac:dyDescent="0.3">
      <c r="A18" s="2" t="s">
        <v>2</v>
      </c>
      <c r="B18" s="397" t="s">
        <v>459</v>
      </c>
      <c r="C18" t="s">
        <v>238</v>
      </c>
      <c r="D18" s="397" t="s">
        <v>506</v>
      </c>
      <c r="E18" s="397" t="s">
        <v>460</v>
      </c>
      <c r="F18" s="397" t="s">
        <v>461</v>
      </c>
      <c r="G18" s="398">
        <v>3000000</v>
      </c>
      <c r="H18" s="397" t="s">
        <v>507</v>
      </c>
      <c r="I18" s="397" t="s">
        <v>508</v>
      </c>
      <c r="J18" s="397"/>
      <c r="K18" s="397" t="s">
        <v>222</v>
      </c>
      <c r="L18" s="397" t="s">
        <v>251</v>
      </c>
    </row>
    <row r="19" spans="1:12" x14ac:dyDescent="0.3">
      <c r="A19" s="2" t="s">
        <v>2</v>
      </c>
      <c r="B19" s="397" t="s">
        <v>459</v>
      </c>
      <c r="C19" t="s">
        <v>238</v>
      </c>
      <c r="D19" s="397" t="s">
        <v>235</v>
      </c>
      <c r="E19" s="397" t="s">
        <v>460</v>
      </c>
      <c r="F19" s="397" t="s">
        <v>461</v>
      </c>
      <c r="G19" s="398">
        <v>850000</v>
      </c>
      <c r="H19" s="397" t="s">
        <v>509</v>
      </c>
      <c r="I19" s="397" t="s">
        <v>484</v>
      </c>
      <c r="J19" s="397"/>
      <c r="K19" s="397" t="s">
        <v>222</v>
      </c>
      <c r="L19" s="397" t="s">
        <v>251</v>
      </c>
    </row>
    <row r="20" spans="1:12" x14ac:dyDescent="0.3">
      <c r="A20" s="2" t="s">
        <v>2</v>
      </c>
      <c r="B20" s="397" t="s">
        <v>459</v>
      </c>
      <c r="C20" t="s">
        <v>238</v>
      </c>
      <c r="D20" s="397" t="s">
        <v>486</v>
      </c>
      <c r="E20" s="397" t="s">
        <v>460</v>
      </c>
      <c r="F20" s="397" t="s">
        <v>461</v>
      </c>
      <c r="G20" s="398">
        <v>74657.2</v>
      </c>
      <c r="H20" s="397" t="s">
        <v>510</v>
      </c>
      <c r="I20" s="397" t="s">
        <v>511</v>
      </c>
      <c r="J20" s="397"/>
      <c r="K20" s="397" t="s">
        <v>222</v>
      </c>
      <c r="L20" s="397" t="s">
        <v>251</v>
      </c>
    </row>
    <row r="21" spans="1:12" x14ac:dyDescent="0.3">
      <c r="A21" s="2" t="s">
        <v>2</v>
      </c>
      <c r="B21" s="397" t="s">
        <v>459</v>
      </c>
      <c r="C21" t="s">
        <v>238</v>
      </c>
      <c r="D21" s="397" t="s">
        <v>512</v>
      </c>
      <c r="E21" s="397" t="s">
        <v>460</v>
      </c>
      <c r="F21" s="397" t="s">
        <v>461</v>
      </c>
      <c r="G21" s="398">
        <v>87867.62</v>
      </c>
      <c r="H21" s="397" t="s">
        <v>513</v>
      </c>
      <c r="I21" s="397" t="s">
        <v>514</v>
      </c>
      <c r="J21" s="397"/>
      <c r="K21" s="397" t="s">
        <v>222</v>
      </c>
      <c r="L21" s="397" t="s">
        <v>251</v>
      </c>
    </row>
    <row r="22" spans="1:12" x14ac:dyDescent="0.3">
      <c r="A22" s="2" t="s">
        <v>2</v>
      </c>
      <c r="B22" s="397" t="s">
        <v>459</v>
      </c>
      <c r="C22" t="s">
        <v>238</v>
      </c>
      <c r="D22" s="397" t="s">
        <v>239</v>
      </c>
      <c r="E22" s="397" t="s">
        <v>460</v>
      </c>
      <c r="F22" s="397" t="s">
        <v>461</v>
      </c>
      <c r="G22" s="398">
        <v>124329.67</v>
      </c>
      <c r="H22" s="397" t="s">
        <v>515</v>
      </c>
      <c r="I22" s="397" t="s">
        <v>516</v>
      </c>
      <c r="J22" s="397"/>
      <c r="K22" s="397" t="s">
        <v>222</v>
      </c>
      <c r="L22" s="397" t="s">
        <v>251</v>
      </c>
    </row>
    <row r="23" spans="1:12" x14ac:dyDescent="0.3">
      <c r="A23" s="2" t="s">
        <v>2</v>
      </c>
      <c r="B23" s="397" t="s">
        <v>459</v>
      </c>
      <c r="C23" t="s">
        <v>238</v>
      </c>
      <c r="D23" s="397" t="s">
        <v>517</v>
      </c>
      <c r="E23" s="397" t="s">
        <v>460</v>
      </c>
      <c r="F23" s="397" t="s">
        <v>461</v>
      </c>
      <c r="G23" s="398">
        <v>1111553.93</v>
      </c>
      <c r="H23" s="397" t="s">
        <v>518</v>
      </c>
      <c r="I23" s="397" t="s">
        <v>519</v>
      </c>
      <c r="J23" s="397"/>
      <c r="K23" s="397" t="s">
        <v>222</v>
      </c>
      <c r="L23" s="397" t="s">
        <v>251</v>
      </c>
    </row>
    <row r="24" spans="1:12" x14ac:dyDescent="0.3">
      <c r="A24" s="2" t="s">
        <v>2</v>
      </c>
      <c r="B24" s="397" t="s">
        <v>459</v>
      </c>
      <c r="C24" t="s">
        <v>238</v>
      </c>
      <c r="D24" s="397" t="s">
        <v>240</v>
      </c>
      <c r="E24" s="397" t="s">
        <v>460</v>
      </c>
      <c r="F24" s="397" t="s">
        <v>461</v>
      </c>
      <c r="G24" s="398">
        <v>388053.76000000001</v>
      </c>
      <c r="H24" s="397" t="s">
        <v>520</v>
      </c>
      <c r="I24" s="397" t="s">
        <v>521</v>
      </c>
      <c r="J24" s="397"/>
      <c r="K24" s="397" t="s">
        <v>222</v>
      </c>
      <c r="L24" s="397" t="s">
        <v>251</v>
      </c>
    </row>
    <row r="25" spans="1:12" x14ac:dyDescent="0.3">
      <c r="A25" s="2" t="s">
        <v>2</v>
      </c>
      <c r="B25" s="397" t="s">
        <v>459</v>
      </c>
      <c r="C25" t="s">
        <v>238</v>
      </c>
      <c r="D25" s="397" t="s">
        <v>522</v>
      </c>
      <c r="E25" s="397" t="s">
        <v>460</v>
      </c>
      <c r="F25" s="397" t="s">
        <v>461</v>
      </c>
      <c r="G25" s="398">
        <v>1205435.68</v>
      </c>
      <c r="H25" s="397" t="s">
        <v>523</v>
      </c>
      <c r="I25" s="397" t="s">
        <v>524</v>
      </c>
      <c r="J25" s="397"/>
      <c r="K25" s="397" t="s">
        <v>222</v>
      </c>
      <c r="L25" s="397" t="s">
        <v>251</v>
      </c>
    </row>
    <row r="26" spans="1:12" x14ac:dyDescent="0.3">
      <c r="A26" s="2" t="s">
        <v>2</v>
      </c>
      <c r="B26" s="397" t="s">
        <v>459</v>
      </c>
      <c r="C26" t="s">
        <v>238</v>
      </c>
      <c r="D26" s="397" t="s">
        <v>525</v>
      </c>
      <c r="E26" s="397" t="s">
        <v>460</v>
      </c>
      <c r="F26" s="397" t="s">
        <v>461</v>
      </c>
      <c r="G26" s="398">
        <v>63110.76</v>
      </c>
      <c r="H26" s="397" t="s">
        <v>526</v>
      </c>
      <c r="I26" s="397" t="s">
        <v>527</v>
      </c>
      <c r="J26" s="397"/>
      <c r="K26" s="397" t="s">
        <v>222</v>
      </c>
      <c r="L26" s="397" t="s">
        <v>251</v>
      </c>
    </row>
    <row r="27" spans="1:12" x14ac:dyDescent="0.3">
      <c r="A27" s="2" t="s">
        <v>2</v>
      </c>
      <c r="B27" s="397" t="s">
        <v>459</v>
      </c>
      <c r="C27" t="s">
        <v>238</v>
      </c>
      <c r="D27" s="397" t="s">
        <v>528</v>
      </c>
      <c r="E27" s="397" t="s">
        <v>460</v>
      </c>
      <c r="F27" s="397" t="s">
        <v>461</v>
      </c>
      <c r="G27" s="398">
        <v>41345.160000000003</v>
      </c>
      <c r="H27" s="397" t="s">
        <v>529</v>
      </c>
      <c r="I27" s="397" t="s">
        <v>530</v>
      </c>
      <c r="J27" s="397"/>
      <c r="K27" s="397" t="s">
        <v>222</v>
      </c>
      <c r="L27" s="397" t="s">
        <v>251</v>
      </c>
    </row>
    <row r="28" spans="1:12" x14ac:dyDescent="0.3">
      <c r="A28" s="2" t="s">
        <v>2</v>
      </c>
      <c r="B28" s="397" t="s">
        <v>459</v>
      </c>
      <c r="C28" t="s">
        <v>238</v>
      </c>
      <c r="D28" s="397" t="s">
        <v>531</v>
      </c>
      <c r="E28" s="397" t="s">
        <v>460</v>
      </c>
      <c r="F28" s="397" t="s">
        <v>461</v>
      </c>
      <c r="G28" s="398">
        <v>25000</v>
      </c>
      <c r="H28" s="397" t="s">
        <v>532</v>
      </c>
      <c r="I28" s="397" t="s">
        <v>237</v>
      </c>
      <c r="J28" s="397"/>
      <c r="K28" s="397" t="s">
        <v>222</v>
      </c>
      <c r="L28" s="397" t="s">
        <v>251</v>
      </c>
    </row>
    <row r="29" spans="1:12" x14ac:dyDescent="0.3">
      <c r="A29" s="2" t="s">
        <v>2</v>
      </c>
      <c r="B29" s="397" t="s">
        <v>459</v>
      </c>
      <c r="C29" t="s">
        <v>238</v>
      </c>
      <c r="D29" s="397" t="s">
        <v>531</v>
      </c>
      <c r="E29" s="397" t="s">
        <v>460</v>
      </c>
      <c r="F29" s="397" t="s">
        <v>461</v>
      </c>
      <c r="G29" s="398">
        <v>97834.89</v>
      </c>
      <c r="H29" s="397" t="s">
        <v>533</v>
      </c>
      <c r="I29" s="397" t="s">
        <v>534</v>
      </c>
      <c r="J29" s="397"/>
      <c r="K29" s="397" t="s">
        <v>222</v>
      </c>
      <c r="L29" s="397" t="s">
        <v>251</v>
      </c>
    </row>
    <row r="30" spans="1:12" x14ac:dyDescent="0.3">
      <c r="A30" s="2" t="s">
        <v>2</v>
      </c>
      <c r="B30" s="397" t="s">
        <v>459</v>
      </c>
      <c r="C30" t="s">
        <v>238</v>
      </c>
      <c r="D30" s="397" t="s">
        <v>531</v>
      </c>
      <c r="E30" s="397" t="s">
        <v>460</v>
      </c>
      <c r="F30" s="397" t="s">
        <v>461</v>
      </c>
      <c r="G30" s="398">
        <v>187.13</v>
      </c>
      <c r="H30" s="397" t="s">
        <v>535</v>
      </c>
      <c r="I30" s="397" t="s">
        <v>536</v>
      </c>
      <c r="J30" s="397"/>
      <c r="K30" s="397" t="s">
        <v>222</v>
      </c>
      <c r="L30" s="397" t="s">
        <v>251</v>
      </c>
    </row>
    <row r="31" spans="1:12" x14ac:dyDescent="0.3">
      <c r="A31" s="2" t="s">
        <v>2</v>
      </c>
      <c r="B31" s="397" t="s">
        <v>459</v>
      </c>
      <c r="C31" t="s">
        <v>238</v>
      </c>
      <c r="D31" s="397" t="s">
        <v>537</v>
      </c>
      <c r="E31" s="397" t="s">
        <v>460</v>
      </c>
      <c r="F31" s="397" t="s">
        <v>461</v>
      </c>
      <c r="G31" s="398">
        <v>7504.38</v>
      </c>
      <c r="H31" s="397" t="s">
        <v>538</v>
      </c>
      <c r="I31" s="397" t="s">
        <v>539</v>
      </c>
      <c r="J31" s="397"/>
      <c r="K31" s="397" t="s">
        <v>222</v>
      </c>
      <c r="L31" s="397" t="s">
        <v>485</v>
      </c>
    </row>
    <row r="32" spans="1:12" x14ac:dyDescent="0.3">
      <c r="A32" s="2" t="s">
        <v>2</v>
      </c>
      <c r="B32" s="397" t="s">
        <v>459</v>
      </c>
      <c r="C32" t="s">
        <v>238</v>
      </c>
      <c r="D32" s="397" t="s">
        <v>540</v>
      </c>
      <c r="E32" s="397" t="s">
        <v>460</v>
      </c>
      <c r="F32" s="397" t="s">
        <v>461</v>
      </c>
      <c r="G32" s="398">
        <v>51000</v>
      </c>
      <c r="H32" s="397" t="s">
        <v>541</v>
      </c>
      <c r="I32" s="397" t="s">
        <v>542</v>
      </c>
      <c r="J32" s="397"/>
      <c r="K32" s="397" t="s">
        <v>222</v>
      </c>
      <c r="L32" s="397" t="s">
        <v>251</v>
      </c>
    </row>
    <row r="33" spans="1:12" x14ac:dyDescent="0.3">
      <c r="A33" s="2" t="s">
        <v>2</v>
      </c>
      <c r="B33" s="397" t="s">
        <v>459</v>
      </c>
      <c r="C33" t="s">
        <v>238</v>
      </c>
      <c r="D33" s="397" t="s">
        <v>540</v>
      </c>
      <c r="E33" s="397" t="s">
        <v>460</v>
      </c>
      <c r="F33" s="397" t="s">
        <v>461</v>
      </c>
      <c r="G33" s="398">
        <v>203142.87</v>
      </c>
      <c r="H33" s="397" t="s">
        <v>543</v>
      </c>
      <c r="I33" s="397" t="s">
        <v>544</v>
      </c>
      <c r="J33" s="397"/>
      <c r="K33" s="397" t="s">
        <v>222</v>
      </c>
      <c r="L33" s="397" t="s">
        <v>251</v>
      </c>
    </row>
    <row r="34" spans="1:12" x14ac:dyDescent="0.3">
      <c r="A34" s="2" t="s">
        <v>2</v>
      </c>
      <c r="B34" s="397" t="s">
        <v>459</v>
      </c>
      <c r="C34" t="s">
        <v>238</v>
      </c>
      <c r="D34" s="397" t="s">
        <v>522</v>
      </c>
      <c r="E34" s="397" t="s">
        <v>460</v>
      </c>
      <c r="F34" s="397" t="s">
        <v>461</v>
      </c>
      <c r="G34" s="398">
        <v>301000</v>
      </c>
      <c r="H34" s="397" t="s">
        <v>545</v>
      </c>
      <c r="I34" s="397" t="s">
        <v>546</v>
      </c>
      <c r="J34" s="397"/>
      <c r="K34" s="397" t="s">
        <v>222</v>
      </c>
      <c r="L34" s="397" t="s">
        <v>251</v>
      </c>
    </row>
    <row r="35" spans="1:12" x14ac:dyDescent="0.3">
      <c r="A35" s="2" t="s">
        <v>2</v>
      </c>
      <c r="B35" s="397" t="s">
        <v>459</v>
      </c>
      <c r="C35" t="s">
        <v>238</v>
      </c>
      <c r="D35" s="397" t="s">
        <v>547</v>
      </c>
      <c r="E35" s="397" t="s">
        <v>460</v>
      </c>
      <c r="F35" s="397" t="s">
        <v>461</v>
      </c>
      <c r="G35" s="398">
        <v>271914.25</v>
      </c>
      <c r="H35" s="397" t="s">
        <v>548</v>
      </c>
      <c r="I35" s="397" t="s">
        <v>549</v>
      </c>
      <c r="J35" s="397"/>
      <c r="K35" s="397" t="s">
        <v>222</v>
      </c>
      <c r="L35" s="397" t="s">
        <v>251</v>
      </c>
    </row>
    <row r="36" spans="1:12" x14ac:dyDescent="0.3">
      <c r="A36" s="2" t="s">
        <v>2</v>
      </c>
      <c r="B36" s="397" t="s">
        <v>459</v>
      </c>
      <c r="C36" t="s">
        <v>238</v>
      </c>
      <c r="D36" s="397" t="s">
        <v>550</v>
      </c>
      <c r="E36" s="397" t="s">
        <v>460</v>
      </c>
      <c r="F36" s="397" t="s">
        <v>461</v>
      </c>
      <c r="G36" s="398">
        <v>32000</v>
      </c>
      <c r="H36" s="397" t="s">
        <v>551</v>
      </c>
      <c r="I36" s="397" t="s">
        <v>552</v>
      </c>
      <c r="J36" s="397"/>
      <c r="K36" s="397" t="s">
        <v>222</v>
      </c>
      <c r="L36" s="397" t="s">
        <v>251</v>
      </c>
    </row>
    <row r="37" spans="1:12" x14ac:dyDescent="0.3">
      <c r="A37" s="2" t="s">
        <v>2</v>
      </c>
      <c r="B37" s="397" t="s">
        <v>459</v>
      </c>
      <c r="C37" t="s">
        <v>238</v>
      </c>
      <c r="D37" s="397" t="s">
        <v>553</v>
      </c>
      <c r="E37" s="397" t="s">
        <v>460</v>
      </c>
      <c r="F37" s="397" t="s">
        <v>461</v>
      </c>
      <c r="G37" s="398">
        <v>19303.79</v>
      </c>
      <c r="H37" s="397" t="s">
        <v>554</v>
      </c>
      <c r="I37" s="397" t="s">
        <v>555</v>
      </c>
      <c r="J37" s="397"/>
      <c r="K37" s="397" t="s">
        <v>222</v>
      </c>
      <c r="L37" s="397" t="s">
        <v>251</v>
      </c>
    </row>
    <row r="38" spans="1:12" x14ac:dyDescent="0.3">
      <c r="A38" s="2" t="s">
        <v>2</v>
      </c>
      <c r="B38" s="397" t="s">
        <v>459</v>
      </c>
      <c r="C38" t="s">
        <v>238</v>
      </c>
      <c r="D38" s="397" t="s">
        <v>556</v>
      </c>
      <c r="E38" s="397" t="s">
        <v>460</v>
      </c>
      <c r="F38" s="397" t="s">
        <v>461</v>
      </c>
      <c r="G38" s="398">
        <v>360418.51</v>
      </c>
      <c r="H38" s="397" t="s">
        <v>557</v>
      </c>
      <c r="I38" s="397" t="s">
        <v>558</v>
      </c>
      <c r="J38" s="397"/>
      <c r="K38" s="397" t="s">
        <v>222</v>
      </c>
      <c r="L38" s="397" t="s">
        <v>251</v>
      </c>
    </row>
    <row r="39" spans="1:12" x14ac:dyDescent="0.3">
      <c r="A39" s="2" t="s">
        <v>2</v>
      </c>
      <c r="B39" s="397" t="s">
        <v>459</v>
      </c>
      <c r="C39" t="s">
        <v>238</v>
      </c>
      <c r="D39" s="397" t="s">
        <v>559</v>
      </c>
      <c r="E39" s="399">
        <v>46021</v>
      </c>
      <c r="F39" s="397" t="s">
        <v>560</v>
      </c>
      <c r="G39" s="398">
        <v>1861235.62</v>
      </c>
      <c r="H39" s="397" t="s">
        <v>561</v>
      </c>
      <c r="I39" s="397" t="s">
        <v>562</v>
      </c>
      <c r="J39" s="397"/>
      <c r="K39" s="397" t="s">
        <v>563</v>
      </c>
      <c r="L39" s="397" t="s">
        <v>564</v>
      </c>
    </row>
    <row r="40" spans="1:12" x14ac:dyDescent="0.3">
      <c r="A40" s="2" t="s">
        <v>2</v>
      </c>
      <c r="B40" s="397" t="s">
        <v>459</v>
      </c>
      <c r="C40" t="s">
        <v>238</v>
      </c>
      <c r="D40" s="397" t="s">
        <v>489</v>
      </c>
      <c r="E40" s="399">
        <v>46020</v>
      </c>
      <c r="F40" s="397" t="s">
        <v>565</v>
      </c>
      <c r="G40" s="398">
        <v>3750000</v>
      </c>
      <c r="H40" s="397" t="s">
        <v>566</v>
      </c>
      <c r="I40" s="397" t="s">
        <v>567</v>
      </c>
      <c r="J40" s="397"/>
      <c r="K40" s="397" t="s">
        <v>563</v>
      </c>
      <c r="L40" s="397" t="s">
        <v>564</v>
      </c>
    </row>
    <row r="41" spans="1:12" x14ac:dyDescent="0.3">
      <c r="A41" s="2" t="s">
        <v>2</v>
      </c>
      <c r="B41" s="397" t="s">
        <v>459</v>
      </c>
      <c r="C41" t="s">
        <v>238</v>
      </c>
      <c r="D41" s="397" t="s">
        <v>568</v>
      </c>
      <c r="E41" s="399">
        <v>46020</v>
      </c>
      <c r="F41" s="397" t="s">
        <v>565</v>
      </c>
      <c r="G41" s="398">
        <v>1137793.57</v>
      </c>
      <c r="H41" s="397" t="s">
        <v>569</v>
      </c>
      <c r="I41" s="397" t="s">
        <v>570</v>
      </c>
      <c r="J41" s="397"/>
      <c r="K41" s="397" t="s">
        <v>563</v>
      </c>
      <c r="L41" s="397" t="s">
        <v>564</v>
      </c>
    </row>
    <row r="42" spans="1:12" x14ac:dyDescent="0.3">
      <c r="A42" s="2" t="s">
        <v>2</v>
      </c>
      <c r="B42" s="397" t="s">
        <v>459</v>
      </c>
      <c r="C42" t="s">
        <v>238</v>
      </c>
      <c r="D42" s="397" t="s">
        <v>517</v>
      </c>
      <c r="E42" s="399">
        <v>46020</v>
      </c>
      <c r="F42" s="397" t="s">
        <v>565</v>
      </c>
      <c r="G42" s="398">
        <v>3104749.33</v>
      </c>
      <c r="H42" s="397" t="s">
        <v>571</v>
      </c>
      <c r="I42" s="397" t="s">
        <v>572</v>
      </c>
      <c r="J42" s="397"/>
      <c r="K42" s="397" t="s">
        <v>563</v>
      </c>
      <c r="L42" s="397" t="s">
        <v>564</v>
      </c>
    </row>
    <row r="43" spans="1:12" x14ac:dyDescent="0.3">
      <c r="A43" s="2" t="s">
        <v>2</v>
      </c>
      <c r="B43" s="397" t="s">
        <v>459</v>
      </c>
      <c r="C43" t="s">
        <v>238</v>
      </c>
      <c r="D43" s="397" t="s">
        <v>230</v>
      </c>
      <c r="E43" s="399">
        <v>46020</v>
      </c>
      <c r="F43" s="397" t="s">
        <v>565</v>
      </c>
      <c r="G43" s="398">
        <v>1500000</v>
      </c>
      <c r="H43" s="397" t="s">
        <v>573</v>
      </c>
      <c r="I43" s="397" t="s">
        <v>574</v>
      </c>
      <c r="J43" s="397"/>
      <c r="K43" s="397" t="s">
        <v>563</v>
      </c>
      <c r="L43" s="397" t="s">
        <v>564</v>
      </c>
    </row>
    <row r="44" spans="1:12" x14ac:dyDescent="0.3">
      <c r="A44" s="2" t="s">
        <v>2</v>
      </c>
      <c r="B44" s="397" t="s">
        <v>459</v>
      </c>
      <c r="C44" t="s">
        <v>238</v>
      </c>
      <c r="D44" s="397" t="s">
        <v>233</v>
      </c>
      <c r="E44" s="399">
        <v>46020</v>
      </c>
      <c r="F44" s="397" t="s">
        <v>565</v>
      </c>
      <c r="G44" s="398">
        <v>1200000</v>
      </c>
      <c r="H44" s="397" t="s">
        <v>575</v>
      </c>
      <c r="I44" s="397" t="s">
        <v>576</v>
      </c>
      <c r="J44" s="397"/>
      <c r="K44" s="397" t="s">
        <v>563</v>
      </c>
      <c r="L44" s="397" t="s">
        <v>564</v>
      </c>
    </row>
    <row r="45" spans="1:12" x14ac:dyDescent="0.3">
      <c r="A45" s="2" t="s">
        <v>2</v>
      </c>
      <c r="B45" s="397" t="s">
        <v>459</v>
      </c>
      <c r="C45" t="s">
        <v>238</v>
      </c>
      <c r="D45" s="397" t="s">
        <v>232</v>
      </c>
      <c r="E45" s="399">
        <v>46020</v>
      </c>
      <c r="F45" s="397" t="s">
        <v>565</v>
      </c>
      <c r="G45" s="398">
        <v>1000000</v>
      </c>
      <c r="H45" s="397" t="s">
        <v>577</v>
      </c>
      <c r="I45" s="397" t="s">
        <v>463</v>
      </c>
      <c r="J45" s="397"/>
      <c r="K45" s="397" t="s">
        <v>563</v>
      </c>
      <c r="L45" s="397" t="s">
        <v>564</v>
      </c>
    </row>
    <row r="46" spans="1:12" x14ac:dyDescent="0.3">
      <c r="A46" s="2" t="s">
        <v>2</v>
      </c>
      <c r="B46" s="397" t="s">
        <v>459</v>
      </c>
      <c r="C46" t="s">
        <v>238</v>
      </c>
      <c r="D46" s="397" t="s">
        <v>506</v>
      </c>
      <c r="E46" s="399">
        <v>46020</v>
      </c>
      <c r="F46" s="397" t="s">
        <v>565</v>
      </c>
      <c r="G46" s="398">
        <v>4009709.72</v>
      </c>
      <c r="H46" s="397" t="s">
        <v>578</v>
      </c>
      <c r="I46" s="397" t="s">
        <v>579</v>
      </c>
      <c r="J46" s="397"/>
      <c r="K46" s="397" t="s">
        <v>563</v>
      </c>
      <c r="L46" s="397" t="s">
        <v>564</v>
      </c>
    </row>
    <row r="47" spans="1:12" x14ac:dyDescent="0.3">
      <c r="A47" s="2" t="s">
        <v>2</v>
      </c>
      <c r="B47" s="397" t="s">
        <v>459</v>
      </c>
      <c r="C47" t="s">
        <v>238</v>
      </c>
      <c r="D47" s="397" t="s">
        <v>223</v>
      </c>
      <c r="E47" s="399">
        <v>46020</v>
      </c>
      <c r="F47" s="397" t="s">
        <v>565</v>
      </c>
      <c r="G47" s="398">
        <v>2030957.11</v>
      </c>
      <c r="H47" s="397" t="s">
        <v>580</v>
      </c>
      <c r="I47" s="397" t="s">
        <v>581</v>
      </c>
      <c r="J47" s="397"/>
      <c r="K47" s="397" t="s">
        <v>563</v>
      </c>
      <c r="L47" s="397" t="s">
        <v>564</v>
      </c>
    </row>
    <row r="48" spans="1:12" x14ac:dyDescent="0.3">
      <c r="A48" s="2" t="s">
        <v>2</v>
      </c>
      <c r="B48" s="397" t="s">
        <v>459</v>
      </c>
      <c r="C48" t="s">
        <v>238</v>
      </c>
      <c r="D48" s="397" t="s">
        <v>582</v>
      </c>
      <c r="E48" s="399">
        <v>46020</v>
      </c>
      <c r="F48" s="397" t="s">
        <v>565</v>
      </c>
      <c r="G48" s="398">
        <v>4177520.32</v>
      </c>
      <c r="H48" s="397" t="s">
        <v>583</v>
      </c>
      <c r="I48" s="397" t="s">
        <v>584</v>
      </c>
      <c r="J48" s="397"/>
      <c r="K48" s="397" t="s">
        <v>563</v>
      </c>
      <c r="L48" s="397" t="s">
        <v>564</v>
      </c>
    </row>
    <row r="49" spans="1:12" x14ac:dyDescent="0.3">
      <c r="A49" s="2" t="s">
        <v>2</v>
      </c>
      <c r="B49" s="397" t="s">
        <v>459</v>
      </c>
      <c r="C49" t="s">
        <v>238</v>
      </c>
      <c r="D49" s="397" t="s">
        <v>231</v>
      </c>
      <c r="E49" s="399">
        <v>46020</v>
      </c>
      <c r="F49" s="397" t="s">
        <v>565</v>
      </c>
      <c r="G49" s="398">
        <v>1602555.75</v>
      </c>
      <c r="H49" s="397" t="s">
        <v>585</v>
      </c>
      <c r="I49" s="397" t="s">
        <v>586</v>
      </c>
      <c r="J49" s="397"/>
      <c r="K49" s="397" t="s">
        <v>563</v>
      </c>
      <c r="L49" s="397" t="s">
        <v>564</v>
      </c>
    </row>
    <row r="50" spans="1:12" x14ac:dyDescent="0.3">
      <c r="A50" s="2" t="s">
        <v>2</v>
      </c>
      <c r="B50" s="397" t="s">
        <v>459</v>
      </c>
      <c r="C50" t="s">
        <v>238</v>
      </c>
      <c r="D50" s="397" t="s">
        <v>587</v>
      </c>
      <c r="E50" s="399">
        <v>46020</v>
      </c>
      <c r="F50" s="397" t="s">
        <v>565</v>
      </c>
      <c r="G50" s="398">
        <v>2409000</v>
      </c>
      <c r="H50" s="397" t="s">
        <v>588</v>
      </c>
      <c r="I50" s="397" t="s">
        <v>589</v>
      </c>
      <c r="J50" s="397"/>
      <c r="K50" s="397" t="s">
        <v>563</v>
      </c>
      <c r="L50" s="397" t="s">
        <v>564</v>
      </c>
    </row>
    <row r="51" spans="1:12" x14ac:dyDescent="0.3">
      <c r="A51" s="2" t="s">
        <v>2</v>
      </c>
      <c r="B51" s="397" t="s">
        <v>459</v>
      </c>
      <c r="C51" t="s">
        <v>238</v>
      </c>
      <c r="D51" s="397" t="s">
        <v>228</v>
      </c>
      <c r="E51" s="399">
        <v>46020</v>
      </c>
      <c r="F51" s="397" t="s">
        <v>565</v>
      </c>
      <c r="G51" s="398">
        <v>3000000</v>
      </c>
      <c r="H51" s="397" t="s">
        <v>590</v>
      </c>
      <c r="I51" s="397" t="s">
        <v>508</v>
      </c>
      <c r="J51" s="397"/>
      <c r="K51" s="397" t="s">
        <v>563</v>
      </c>
      <c r="L51" s="397" t="s">
        <v>564</v>
      </c>
    </row>
    <row r="52" spans="1:12" x14ac:dyDescent="0.3">
      <c r="A52" s="2" t="s">
        <v>2</v>
      </c>
      <c r="B52" s="397" t="s">
        <v>459</v>
      </c>
      <c r="C52" t="s">
        <v>238</v>
      </c>
      <c r="D52" s="397" t="s">
        <v>591</v>
      </c>
      <c r="E52" s="399">
        <v>46020</v>
      </c>
      <c r="F52" s="397" t="s">
        <v>565</v>
      </c>
      <c r="G52" s="398">
        <v>2000000</v>
      </c>
      <c r="H52" s="397" t="s">
        <v>592</v>
      </c>
      <c r="I52" s="397" t="s">
        <v>468</v>
      </c>
      <c r="J52" s="397"/>
      <c r="K52" s="397" t="s">
        <v>563</v>
      </c>
      <c r="L52" s="397" t="s">
        <v>564</v>
      </c>
    </row>
    <row r="54" spans="1:12" x14ac:dyDescent="0.3">
      <c r="G54" s="3">
        <f>SUM(G2:G53)</f>
        <v>50570211.170000002</v>
      </c>
    </row>
  </sheetData>
  <autoFilter ref="A1:L52" xr:uid="{00000000-0009-0000-0000-000007000000}"/>
  <phoneticPr fontId="72" type="noConversion"/>
  <pageMargins left="0.7" right="0.7" top="0.75" bottom="0.75" header="0.3" footer="0.3"/>
  <pageSetup paperSize="9" scale="51" fitToHeight="0"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0C417-35C9-44D1-AC3D-A688EDCA4177}">
  <dimension ref="A1:L84"/>
  <sheetViews>
    <sheetView topLeftCell="A52" zoomScale="85" zoomScaleNormal="85" workbookViewId="0">
      <selection activeCell="E24" sqref="E24"/>
    </sheetView>
  </sheetViews>
  <sheetFormatPr defaultRowHeight="14" x14ac:dyDescent="0.3"/>
  <cols>
    <col min="1" max="1" width="6.75" customWidth="1"/>
    <col min="2" max="2" width="18.08203125" bestFit="1" customWidth="1"/>
    <col min="3" max="3" width="21.4140625" bestFit="1" customWidth="1"/>
    <col min="4" max="4" width="19.75" bestFit="1" customWidth="1"/>
    <col min="5" max="5" width="31.75" customWidth="1"/>
    <col min="6" max="6" width="23.4140625" customWidth="1"/>
    <col min="8" max="8" width="14.6640625" bestFit="1" customWidth="1"/>
    <col min="11" max="11" width="18.75" bestFit="1" customWidth="1"/>
    <col min="12" max="12" width="31.9140625" bestFit="1" customWidth="1"/>
  </cols>
  <sheetData>
    <row r="1" spans="1:12" x14ac:dyDescent="0.3">
      <c r="B1" s="403" t="s">
        <v>713</v>
      </c>
      <c r="C1" s="403" t="s">
        <v>713</v>
      </c>
      <c r="D1" s="403" t="s">
        <v>713</v>
      </c>
      <c r="E1" s="404" t="s">
        <v>714</v>
      </c>
      <c r="F1" s="404" t="s">
        <v>714</v>
      </c>
      <c r="G1" s="404" t="s">
        <v>714</v>
      </c>
      <c r="H1" s="404" t="s">
        <v>714</v>
      </c>
      <c r="I1" s="404" t="s">
        <v>714</v>
      </c>
      <c r="J1" s="404" t="s">
        <v>714</v>
      </c>
      <c r="K1" s="404" t="s">
        <v>714</v>
      </c>
      <c r="L1" s="405" t="s">
        <v>715</v>
      </c>
    </row>
    <row r="2" spans="1:12" x14ac:dyDescent="0.3">
      <c r="A2" s="417" t="s">
        <v>745</v>
      </c>
      <c r="B2" s="408" t="s">
        <v>716</v>
      </c>
      <c r="C2" s="408" t="s">
        <v>717</v>
      </c>
      <c r="D2" s="408" t="s">
        <v>718</v>
      </c>
      <c r="E2" s="409" t="s">
        <v>719</v>
      </c>
      <c r="F2" s="410" t="s">
        <v>720</v>
      </c>
      <c r="G2" s="409" t="s">
        <v>721</v>
      </c>
      <c r="H2" s="410" t="s">
        <v>722</v>
      </c>
      <c r="I2" s="410" t="s">
        <v>723</v>
      </c>
      <c r="J2" s="409" t="s">
        <v>246</v>
      </c>
      <c r="K2" s="409" t="s">
        <v>724</v>
      </c>
      <c r="L2" s="408" t="s">
        <v>725</v>
      </c>
    </row>
    <row r="3" spans="1:12" x14ac:dyDescent="0.25">
      <c r="A3" s="145" t="s">
        <v>2</v>
      </c>
      <c r="B3" s="411" t="s">
        <v>726</v>
      </c>
      <c r="C3" s="412" t="s">
        <v>238</v>
      </c>
      <c r="D3" s="412" t="s">
        <v>727</v>
      </c>
      <c r="E3" s="413" t="s">
        <v>583</v>
      </c>
      <c r="F3" s="414" t="s">
        <v>728</v>
      </c>
      <c r="G3" s="414" t="s">
        <v>729</v>
      </c>
      <c r="H3" s="406">
        <v>4177520.32</v>
      </c>
      <c r="I3" s="414" t="s">
        <v>730</v>
      </c>
      <c r="J3" s="414" t="s">
        <v>565</v>
      </c>
      <c r="K3" s="415"/>
      <c r="L3" s="415"/>
    </row>
    <row r="4" spans="1:12" x14ac:dyDescent="0.25">
      <c r="A4" s="145" t="s">
        <v>2</v>
      </c>
      <c r="B4" s="411" t="s">
        <v>726</v>
      </c>
      <c r="C4" s="412" t="s">
        <v>238</v>
      </c>
      <c r="D4" s="412" t="s">
        <v>727</v>
      </c>
      <c r="E4" s="413" t="s">
        <v>569</v>
      </c>
      <c r="F4" s="414" t="s">
        <v>728</v>
      </c>
      <c r="G4" s="414" t="s">
        <v>729</v>
      </c>
      <c r="H4" s="406">
        <v>1137793.57</v>
      </c>
      <c r="I4" s="414" t="s">
        <v>730</v>
      </c>
      <c r="J4" s="414" t="s">
        <v>565</v>
      </c>
      <c r="K4" s="415"/>
      <c r="L4" s="415"/>
    </row>
    <row r="5" spans="1:12" x14ac:dyDescent="0.25">
      <c r="A5" s="145" t="s">
        <v>2</v>
      </c>
      <c r="B5" s="411" t="s">
        <v>726</v>
      </c>
      <c r="C5" s="412" t="s">
        <v>238</v>
      </c>
      <c r="D5" s="412" t="s">
        <v>727</v>
      </c>
      <c r="E5" s="413" t="s">
        <v>731</v>
      </c>
      <c r="F5" s="414" t="s">
        <v>728</v>
      </c>
      <c r="G5" s="414" t="s">
        <v>729</v>
      </c>
      <c r="H5" s="406">
        <v>2030957.11</v>
      </c>
      <c r="I5" s="414" t="s">
        <v>730</v>
      </c>
      <c r="J5" s="414" t="s">
        <v>565</v>
      </c>
      <c r="K5" s="415"/>
      <c r="L5" s="415"/>
    </row>
    <row r="6" spans="1:12" x14ac:dyDescent="0.25">
      <c r="A6" s="145" t="s">
        <v>2</v>
      </c>
      <c r="B6" s="411" t="s">
        <v>726</v>
      </c>
      <c r="C6" s="412" t="s">
        <v>238</v>
      </c>
      <c r="D6" s="412" t="s">
        <v>727</v>
      </c>
      <c r="E6" s="413" t="s">
        <v>588</v>
      </c>
      <c r="F6" s="414" t="s">
        <v>728</v>
      </c>
      <c r="G6" s="414" t="s">
        <v>729</v>
      </c>
      <c r="H6" s="406">
        <v>2409000</v>
      </c>
      <c r="I6" s="414" t="s">
        <v>730</v>
      </c>
      <c r="J6" s="414" t="s">
        <v>565</v>
      </c>
      <c r="K6" s="415"/>
      <c r="L6" s="415"/>
    </row>
    <row r="7" spans="1:12" x14ac:dyDescent="0.25">
      <c r="A7" s="145" t="s">
        <v>2</v>
      </c>
      <c r="B7" s="411" t="s">
        <v>726</v>
      </c>
      <c r="C7" s="412" t="s">
        <v>238</v>
      </c>
      <c r="D7" s="412" t="s">
        <v>727</v>
      </c>
      <c r="E7" s="413" t="s">
        <v>590</v>
      </c>
      <c r="F7" s="414" t="s">
        <v>728</v>
      </c>
      <c r="G7" s="414" t="s">
        <v>729</v>
      </c>
      <c r="H7" s="406">
        <v>3000000</v>
      </c>
      <c r="I7" s="414" t="s">
        <v>730</v>
      </c>
      <c r="J7" s="414" t="s">
        <v>565</v>
      </c>
      <c r="K7" s="415"/>
      <c r="L7" s="415"/>
    </row>
    <row r="8" spans="1:12" x14ac:dyDescent="0.25">
      <c r="A8" s="145" t="s">
        <v>2</v>
      </c>
      <c r="B8" s="411" t="s">
        <v>726</v>
      </c>
      <c r="C8" s="412" t="s">
        <v>238</v>
      </c>
      <c r="D8" s="412" t="s">
        <v>727</v>
      </c>
      <c r="E8" s="413" t="s">
        <v>571</v>
      </c>
      <c r="F8" s="414" t="s">
        <v>728</v>
      </c>
      <c r="G8" s="414" t="s">
        <v>729</v>
      </c>
      <c r="H8" s="406">
        <v>3104749.33</v>
      </c>
      <c r="I8" s="414" t="s">
        <v>730</v>
      </c>
      <c r="J8" s="414" t="s">
        <v>565</v>
      </c>
      <c r="K8" s="415"/>
      <c r="L8" s="415"/>
    </row>
    <row r="9" spans="1:12" x14ac:dyDescent="0.25">
      <c r="A9" s="145" t="s">
        <v>2</v>
      </c>
      <c r="B9" s="411" t="s">
        <v>726</v>
      </c>
      <c r="C9" s="412" t="s">
        <v>238</v>
      </c>
      <c r="D9" s="412" t="s">
        <v>727</v>
      </c>
      <c r="E9" s="413" t="s">
        <v>561</v>
      </c>
      <c r="F9" s="414" t="s">
        <v>728</v>
      </c>
      <c r="G9" s="414" t="s">
        <v>729</v>
      </c>
      <c r="H9" s="406">
        <v>1861235.62</v>
      </c>
      <c r="I9" s="414" t="s">
        <v>732</v>
      </c>
      <c r="J9" s="414" t="s">
        <v>560</v>
      </c>
      <c r="K9" s="415"/>
      <c r="L9" s="415"/>
    </row>
    <row r="10" spans="1:12" x14ac:dyDescent="0.25">
      <c r="A10" s="145" t="s">
        <v>2</v>
      </c>
      <c r="B10" s="411" t="s">
        <v>726</v>
      </c>
      <c r="C10" s="412" t="s">
        <v>238</v>
      </c>
      <c r="D10" s="412" t="s">
        <v>727</v>
      </c>
      <c r="E10" s="413" t="s">
        <v>585</v>
      </c>
      <c r="F10" s="414" t="s">
        <v>728</v>
      </c>
      <c r="G10" s="414" t="s">
        <v>729</v>
      </c>
      <c r="H10" s="406">
        <v>1602555.75</v>
      </c>
      <c r="I10" s="414" t="s">
        <v>730</v>
      </c>
      <c r="J10" s="414" t="s">
        <v>565</v>
      </c>
      <c r="K10" s="415"/>
      <c r="L10" s="415"/>
    </row>
    <row r="11" spans="1:12" x14ac:dyDescent="0.25">
      <c r="A11" s="145" t="s">
        <v>2</v>
      </c>
      <c r="B11" s="411" t="s">
        <v>726</v>
      </c>
      <c r="C11" s="412" t="s">
        <v>238</v>
      </c>
      <c r="D11" s="412" t="s">
        <v>727</v>
      </c>
      <c r="E11" s="413" t="s">
        <v>566</v>
      </c>
      <c r="F11" s="414" t="s">
        <v>728</v>
      </c>
      <c r="G11" s="414" t="s">
        <v>729</v>
      </c>
      <c r="H11" s="406">
        <v>3750000</v>
      </c>
      <c r="I11" s="414" t="s">
        <v>730</v>
      </c>
      <c r="J11" s="414" t="s">
        <v>565</v>
      </c>
      <c r="K11" s="415"/>
      <c r="L11" s="415"/>
    </row>
    <row r="12" spans="1:12" x14ac:dyDescent="0.25">
      <c r="A12" s="145" t="s">
        <v>2</v>
      </c>
      <c r="B12" s="411" t="s">
        <v>726</v>
      </c>
      <c r="C12" s="412" t="s">
        <v>238</v>
      </c>
      <c r="D12" s="412" t="s">
        <v>727</v>
      </c>
      <c r="E12" s="413" t="s">
        <v>592</v>
      </c>
      <c r="F12" s="414" t="s">
        <v>728</v>
      </c>
      <c r="G12" s="414" t="s">
        <v>729</v>
      </c>
      <c r="H12" s="406">
        <v>2000000</v>
      </c>
      <c r="I12" s="414" t="s">
        <v>730</v>
      </c>
      <c r="J12" s="414" t="s">
        <v>565</v>
      </c>
      <c r="K12" s="415"/>
      <c r="L12" s="415"/>
    </row>
    <row r="13" spans="1:12" x14ac:dyDescent="0.25">
      <c r="A13" s="145" t="s">
        <v>2</v>
      </c>
      <c r="B13" s="411" t="s">
        <v>726</v>
      </c>
      <c r="C13" s="412" t="s">
        <v>238</v>
      </c>
      <c r="D13" s="412" t="s">
        <v>727</v>
      </c>
      <c r="E13" s="413" t="s">
        <v>573</v>
      </c>
      <c r="F13" s="414" t="s">
        <v>728</v>
      </c>
      <c r="G13" s="414" t="s">
        <v>729</v>
      </c>
      <c r="H13" s="406">
        <v>1500000</v>
      </c>
      <c r="I13" s="414" t="s">
        <v>730</v>
      </c>
      <c r="J13" s="414" t="s">
        <v>565</v>
      </c>
      <c r="K13" s="415"/>
      <c r="L13" s="415"/>
    </row>
    <row r="14" spans="1:12" x14ac:dyDescent="0.25">
      <c r="A14" s="145" t="s">
        <v>2</v>
      </c>
      <c r="B14" s="411" t="s">
        <v>726</v>
      </c>
      <c r="C14" s="412" t="s">
        <v>238</v>
      </c>
      <c r="D14" s="412" t="s">
        <v>727</v>
      </c>
      <c r="E14" s="413" t="s">
        <v>575</v>
      </c>
      <c r="F14" s="414" t="s">
        <v>728</v>
      </c>
      <c r="G14" s="414" t="s">
        <v>729</v>
      </c>
      <c r="H14" s="406">
        <v>1200000</v>
      </c>
      <c r="I14" s="414" t="s">
        <v>730</v>
      </c>
      <c r="J14" s="414" t="s">
        <v>565</v>
      </c>
      <c r="K14" s="415"/>
      <c r="L14" s="415"/>
    </row>
    <row r="15" spans="1:12" x14ac:dyDescent="0.25">
      <c r="A15" s="145" t="s">
        <v>2</v>
      </c>
      <c r="B15" s="411" t="s">
        <v>726</v>
      </c>
      <c r="C15" s="412" t="s">
        <v>238</v>
      </c>
      <c r="D15" s="412" t="s">
        <v>727</v>
      </c>
      <c r="E15" s="413" t="s">
        <v>577</v>
      </c>
      <c r="F15" s="414" t="s">
        <v>728</v>
      </c>
      <c r="G15" s="414" t="s">
        <v>729</v>
      </c>
      <c r="H15" s="406">
        <v>1000000</v>
      </c>
      <c r="I15" s="414" t="s">
        <v>730</v>
      </c>
      <c r="J15" s="414" t="s">
        <v>565</v>
      </c>
      <c r="K15" s="415"/>
      <c r="L15" s="415"/>
    </row>
    <row r="16" spans="1:12" x14ac:dyDescent="0.25">
      <c r="A16" s="145" t="s">
        <v>2</v>
      </c>
      <c r="B16" s="411" t="s">
        <v>726</v>
      </c>
      <c r="C16" s="412" t="s">
        <v>238</v>
      </c>
      <c r="D16" s="412" t="s">
        <v>727</v>
      </c>
      <c r="E16" s="413" t="s">
        <v>578</v>
      </c>
      <c r="F16" s="414" t="s">
        <v>728</v>
      </c>
      <c r="G16" s="414" t="s">
        <v>729</v>
      </c>
      <c r="H16" s="406">
        <v>4009709.72</v>
      </c>
      <c r="I16" s="414" t="s">
        <v>730</v>
      </c>
      <c r="J16" s="414" t="s">
        <v>565</v>
      </c>
      <c r="K16" s="415"/>
      <c r="L16" s="415"/>
    </row>
    <row r="17" spans="1:12" x14ac:dyDescent="0.25">
      <c r="A17" s="145" t="s">
        <v>2</v>
      </c>
      <c r="B17" s="411" t="s">
        <v>733</v>
      </c>
      <c r="C17" s="412" t="s">
        <v>238</v>
      </c>
      <c r="D17" s="412" t="s">
        <v>734</v>
      </c>
      <c r="E17" s="413" t="s">
        <v>533</v>
      </c>
      <c r="F17" s="414" t="s">
        <v>735</v>
      </c>
      <c r="G17" s="414" t="s">
        <v>736</v>
      </c>
      <c r="H17" s="406">
        <v>97834.89</v>
      </c>
      <c r="I17" s="414" t="s">
        <v>737</v>
      </c>
      <c r="J17" s="414" t="s">
        <v>738</v>
      </c>
      <c r="K17" s="415" t="s">
        <v>739</v>
      </c>
      <c r="L17" s="415"/>
    </row>
    <row r="18" spans="1:12" x14ac:dyDescent="0.25">
      <c r="A18" s="145" t="s">
        <v>2</v>
      </c>
      <c r="B18" s="411" t="s">
        <v>733</v>
      </c>
      <c r="C18" s="412" t="s">
        <v>238</v>
      </c>
      <c r="D18" s="412" t="s">
        <v>734</v>
      </c>
      <c r="E18" s="413" t="s">
        <v>470</v>
      </c>
      <c r="F18" s="414" t="s">
        <v>735</v>
      </c>
      <c r="G18" s="414" t="s">
        <v>736</v>
      </c>
      <c r="H18" s="406">
        <v>223583.03</v>
      </c>
      <c r="I18" s="414" t="s">
        <v>737</v>
      </c>
      <c r="J18" s="414" t="s">
        <v>738</v>
      </c>
      <c r="K18" s="415" t="s">
        <v>739</v>
      </c>
      <c r="L18" s="415"/>
    </row>
    <row r="19" spans="1:12" x14ac:dyDescent="0.25">
      <c r="A19" s="145" t="s">
        <v>2</v>
      </c>
      <c r="B19" s="411" t="s">
        <v>733</v>
      </c>
      <c r="C19" s="412" t="s">
        <v>238</v>
      </c>
      <c r="D19" s="412" t="s">
        <v>734</v>
      </c>
      <c r="E19" s="413" t="s">
        <v>465</v>
      </c>
      <c r="F19" s="414" t="s">
        <v>735</v>
      </c>
      <c r="G19" s="414" t="s">
        <v>736</v>
      </c>
      <c r="H19" s="406">
        <v>327000</v>
      </c>
      <c r="I19" s="414" t="s">
        <v>737</v>
      </c>
      <c r="J19" s="414" t="s">
        <v>738</v>
      </c>
      <c r="K19" s="415" t="s">
        <v>739</v>
      </c>
      <c r="L19" s="415"/>
    </row>
    <row r="20" spans="1:12" x14ac:dyDescent="0.25">
      <c r="A20" s="145" t="s">
        <v>2</v>
      </c>
      <c r="B20" s="411" t="s">
        <v>733</v>
      </c>
      <c r="C20" s="412" t="s">
        <v>238</v>
      </c>
      <c r="D20" s="412" t="s">
        <v>734</v>
      </c>
      <c r="E20" s="413" t="s">
        <v>479</v>
      </c>
      <c r="F20" s="414" t="s">
        <v>735</v>
      </c>
      <c r="G20" s="414" t="s">
        <v>736</v>
      </c>
      <c r="H20" s="406">
        <v>256000</v>
      </c>
      <c r="I20" s="414" t="s">
        <v>737</v>
      </c>
      <c r="J20" s="414" t="s">
        <v>738</v>
      </c>
      <c r="K20" s="415" t="s">
        <v>739</v>
      </c>
      <c r="L20" s="415"/>
    </row>
    <row r="21" spans="1:12" x14ac:dyDescent="0.25">
      <c r="A21" s="145" t="s">
        <v>2</v>
      </c>
      <c r="B21" s="411" t="s">
        <v>733</v>
      </c>
      <c r="C21" s="412" t="s">
        <v>238</v>
      </c>
      <c r="D21" s="412" t="s">
        <v>734</v>
      </c>
      <c r="E21" s="413" t="s">
        <v>520</v>
      </c>
      <c r="F21" s="414" t="s">
        <v>735</v>
      </c>
      <c r="G21" s="414" t="s">
        <v>736</v>
      </c>
      <c r="H21" s="406">
        <v>388053.76000000001</v>
      </c>
      <c r="I21" s="414" t="s">
        <v>737</v>
      </c>
      <c r="J21" s="414" t="s">
        <v>738</v>
      </c>
      <c r="K21" s="415" t="s">
        <v>739</v>
      </c>
      <c r="L21" s="415"/>
    </row>
    <row r="22" spans="1:12" x14ac:dyDescent="0.25">
      <c r="A22" s="145" t="s">
        <v>2</v>
      </c>
      <c r="B22" s="411" t="s">
        <v>733</v>
      </c>
      <c r="C22" s="412" t="s">
        <v>238</v>
      </c>
      <c r="D22" s="412" t="s">
        <v>734</v>
      </c>
      <c r="E22" s="413" t="s">
        <v>513</v>
      </c>
      <c r="F22" s="414" t="s">
        <v>735</v>
      </c>
      <c r="G22" s="414" t="s">
        <v>736</v>
      </c>
      <c r="H22" s="406">
        <v>87867.62</v>
      </c>
      <c r="I22" s="414" t="s">
        <v>737</v>
      </c>
      <c r="J22" s="414" t="s">
        <v>738</v>
      </c>
      <c r="K22" s="415" t="s">
        <v>739</v>
      </c>
      <c r="L22" s="415"/>
    </row>
    <row r="23" spans="1:12" x14ac:dyDescent="0.25">
      <c r="A23" s="145" t="s">
        <v>2</v>
      </c>
      <c r="B23" s="411" t="s">
        <v>733</v>
      </c>
      <c r="C23" s="412" t="s">
        <v>238</v>
      </c>
      <c r="D23" s="412" t="s">
        <v>734</v>
      </c>
      <c r="E23" s="413" t="s">
        <v>498</v>
      </c>
      <c r="F23" s="414" t="s">
        <v>735</v>
      </c>
      <c r="G23" s="414" t="s">
        <v>736</v>
      </c>
      <c r="H23" s="406">
        <v>318462.96000000002</v>
      </c>
      <c r="I23" s="414" t="s">
        <v>737</v>
      </c>
      <c r="J23" s="414" t="s">
        <v>738</v>
      </c>
      <c r="K23" s="415" t="s">
        <v>739</v>
      </c>
      <c r="L23" s="415"/>
    </row>
    <row r="24" spans="1:12" x14ac:dyDescent="0.25">
      <c r="A24" s="145" t="s">
        <v>2</v>
      </c>
      <c r="B24" s="411" t="s">
        <v>733</v>
      </c>
      <c r="C24" s="412" t="s">
        <v>238</v>
      </c>
      <c r="D24" s="412" t="s">
        <v>734</v>
      </c>
      <c r="E24" s="413" t="s">
        <v>481</v>
      </c>
      <c r="F24" s="414" t="s">
        <v>735</v>
      </c>
      <c r="G24" s="414" t="s">
        <v>736</v>
      </c>
      <c r="H24" s="406">
        <v>1663509.71</v>
      </c>
      <c r="I24" s="414" t="s">
        <v>737</v>
      </c>
      <c r="J24" s="414" t="s">
        <v>738</v>
      </c>
      <c r="K24" s="415" t="s">
        <v>739</v>
      </c>
      <c r="L24" s="415"/>
    </row>
    <row r="25" spans="1:12" x14ac:dyDescent="0.25">
      <c r="A25" s="145" t="s">
        <v>2</v>
      </c>
      <c r="B25" s="411" t="s">
        <v>733</v>
      </c>
      <c r="C25" s="412" t="s">
        <v>238</v>
      </c>
      <c r="D25" s="412" t="s">
        <v>734</v>
      </c>
      <c r="E25" s="413" t="s">
        <v>462</v>
      </c>
      <c r="F25" s="414" t="s">
        <v>735</v>
      </c>
      <c r="G25" s="414" t="s">
        <v>736</v>
      </c>
      <c r="H25" s="406">
        <v>1000000</v>
      </c>
      <c r="I25" s="414" t="s">
        <v>737</v>
      </c>
      <c r="J25" s="414" t="s">
        <v>738</v>
      </c>
      <c r="K25" s="415" t="s">
        <v>739</v>
      </c>
      <c r="L25" s="415"/>
    </row>
    <row r="26" spans="1:12" x14ac:dyDescent="0.25">
      <c r="A26" s="145" t="s">
        <v>2</v>
      </c>
      <c r="B26" s="411" t="s">
        <v>733</v>
      </c>
      <c r="C26" s="412" t="s">
        <v>238</v>
      </c>
      <c r="D26" s="412" t="s">
        <v>734</v>
      </c>
      <c r="E26" s="413" t="s">
        <v>523</v>
      </c>
      <c r="F26" s="414" t="s">
        <v>735</v>
      </c>
      <c r="G26" s="414" t="s">
        <v>736</v>
      </c>
      <c r="H26" s="406">
        <v>1205435.68</v>
      </c>
      <c r="I26" s="414" t="s">
        <v>737</v>
      </c>
      <c r="J26" s="414" t="s">
        <v>738</v>
      </c>
      <c r="K26" s="415" t="s">
        <v>739</v>
      </c>
      <c r="L26" s="415"/>
    </row>
    <row r="27" spans="1:12" x14ac:dyDescent="0.25">
      <c r="A27" s="145" t="s">
        <v>2</v>
      </c>
      <c r="B27" s="411" t="s">
        <v>733</v>
      </c>
      <c r="C27" s="412" t="s">
        <v>238</v>
      </c>
      <c r="D27" s="412" t="s">
        <v>734</v>
      </c>
      <c r="E27" s="413" t="s">
        <v>493</v>
      </c>
      <c r="F27" s="414" t="s">
        <v>735</v>
      </c>
      <c r="G27" s="414" t="s">
        <v>736</v>
      </c>
      <c r="H27" s="406">
        <v>119161.88</v>
      </c>
      <c r="I27" s="414" t="s">
        <v>737</v>
      </c>
      <c r="J27" s="414" t="s">
        <v>738</v>
      </c>
      <c r="K27" s="415" t="s">
        <v>739</v>
      </c>
      <c r="L27" s="415"/>
    </row>
    <row r="28" spans="1:12" x14ac:dyDescent="0.25">
      <c r="A28" s="145" t="s">
        <v>2</v>
      </c>
      <c r="B28" s="411" t="s">
        <v>733</v>
      </c>
      <c r="C28" s="412" t="s">
        <v>238</v>
      </c>
      <c r="D28" s="412" t="s">
        <v>734</v>
      </c>
      <c r="E28" s="413" t="s">
        <v>501</v>
      </c>
      <c r="F28" s="414" t="s">
        <v>735</v>
      </c>
      <c r="G28" s="414" t="s">
        <v>736</v>
      </c>
      <c r="H28" s="406">
        <v>316758.42</v>
      </c>
      <c r="I28" s="414" t="s">
        <v>737</v>
      </c>
      <c r="J28" s="414" t="s">
        <v>738</v>
      </c>
      <c r="K28" s="415" t="s">
        <v>739</v>
      </c>
      <c r="L28" s="415"/>
    </row>
    <row r="29" spans="1:12" x14ac:dyDescent="0.25">
      <c r="A29" s="145" t="s">
        <v>2</v>
      </c>
      <c r="B29" s="411" t="s">
        <v>733</v>
      </c>
      <c r="C29" s="412" t="s">
        <v>238</v>
      </c>
      <c r="D29" s="412" t="s">
        <v>734</v>
      </c>
      <c r="E29" s="413" t="s">
        <v>504</v>
      </c>
      <c r="F29" s="414" t="s">
        <v>735</v>
      </c>
      <c r="G29" s="414" t="s">
        <v>736</v>
      </c>
      <c r="H29" s="406">
        <v>419611.62</v>
      </c>
      <c r="I29" s="414" t="s">
        <v>737</v>
      </c>
      <c r="J29" s="414" t="s">
        <v>738</v>
      </c>
      <c r="K29" s="415" t="s">
        <v>739</v>
      </c>
      <c r="L29" s="415"/>
    </row>
    <row r="30" spans="1:12" x14ac:dyDescent="0.25">
      <c r="A30" s="145" t="s">
        <v>2</v>
      </c>
      <c r="B30" s="411" t="s">
        <v>733</v>
      </c>
      <c r="C30" s="412" t="s">
        <v>238</v>
      </c>
      <c r="D30" s="412" t="s">
        <v>734</v>
      </c>
      <c r="E30" s="413" t="s">
        <v>545</v>
      </c>
      <c r="F30" s="414" t="s">
        <v>735</v>
      </c>
      <c r="G30" s="414" t="s">
        <v>736</v>
      </c>
      <c r="H30" s="406">
        <v>301000</v>
      </c>
      <c r="I30" s="414" t="s">
        <v>737</v>
      </c>
      <c r="J30" s="414" t="s">
        <v>738</v>
      </c>
      <c r="K30" s="415" t="s">
        <v>739</v>
      </c>
      <c r="L30" s="415"/>
    </row>
    <row r="31" spans="1:12" x14ac:dyDescent="0.25">
      <c r="A31" s="145" t="s">
        <v>2</v>
      </c>
      <c r="B31" s="411" t="s">
        <v>733</v>
      </c>
      <c r="C31" s="412" t="s">
        <v>238</v>
      </c>
      <c r="D31" s="412" t="s">
        <v>734</v>
      </c>
      <c r="E31" s="413" t="s">
        <v>538</v>
      </c>
      <c r="F31" s="414" t="s">
        <v>735</v>
      </c>
      <c r="G31" s="414" t="s">
        <v>736</v>
      </c>
      <c r="H31" s="406">
        <v>7504.38</v>
      </c>
      <c r="I31" s="414" t="s">
        <v>737</v>
      </c>
      <c r="J31" s="414" t="s">
        <v>738</v>
      </c>
      <c r="K31" s="415" t="s">
        <v>739</v>
      </c>
      <c r="L31" s="415"/>
    </row>
    <row r="32" spans="1:12" x14ac:dyDescent="0.25">
      <c r="A32" s="145" t="s">
        <v>2</v>
      </c>
      <c r="B32" s="411" t="s">
        <v>733</v>
      </c>
      <c r="C32" s="412" t="s">
        <v>238</v>
      </c>
      <c r="D32" s="412" t="s">
        <v>734</v>
      </c>
      <c r="E32" s="413" t="s">
        <v>541</v>
      </c>
      <c r="F32" s="414" t="s">
        <v>735</v>
      </c>
      <c r="G32" s="414" t="s">
        <v>736</v>
      </c>
      <c r="H32" s="406">
        <v>51000</v>
      </c>
      <c r="I32" s="414" t="s">
        <v>737</v>
      </c>
      <c r="J32" s="414" t="s">
        <v>738</v>
      </c>
      <c r="K32" s="415" t="s">
        <v>739</v>
      </c>
      <c r="L32" s="415"/>
    </row>
    <row r="33" spans="1:12" x14ac:dyDescent="0.25">
      <c r="A33" s="145" t="s">
        <v>2</v>
      </c>
      <c r="B33" s="411" t="s">
        <v>733</v>
      </c>
      <c r="C33" s="412" t="s">
        <v>238</v>
      </c>
      <c r="D33" s="412" t="s">
        <v>734</v>
      </c>
      <c r="E33" s="413" t="s">
        <v>535</v>
      </c>
      <c r="F33" s="414" t="s">
        <v>735</v>
      </c>
      <c r="G33" s="414" t="s">
        <v>736</v>
      </c>
      <c r="H33" s="406">
        <v>187.13</v>
      </c>
      <c r="I33" s="414" t="s">
        <v>737</v>
      </c>
      <c r="J33" s="414" t="s">
        <v>738</v>
      </c>
      <c r="K33" s="415" t="s">
        <v>739</v>
      </c>
      <c r="L33" s="415"/>
    </row>
    <row r="34" spans="1:12" x14ac:dyDescent="0.25">
      <c r="A34" s="145" t="s">
        <v>2</v>
      </c>
      <c r="B34" s="411" t="s">
        <v>733</v>
      </c>
      <c r="C34" s="412" t="s">
        <v>238</v>
      </c>
      <c r="D34" s="412" t="s">
        <v>734</v>
      </c>
      <c r="E34" s="413" t="s">
        <v>532</v>
      </c>
      <c r="F34" s="414" t="s">
        <v>735</v>
      </c>
      <c r="G34" s="414" t="s">
        <v>736</v>
      </c>
      <c r="H34" s="406">
        <v>25000</v>
      </c>
      <c r="I34" s="414" t="s">
        <v>737</v>
      </c>
      <c r="J34" s="414" t="s">
        <v>738</v>
      </c>
      <c r="K34" s="415" t="s">
        <v>739</v>
      </c>
      <c r="L34" s="415"/>
    </row>
    <row r="35" spans="1:12" x14ac:dyDescent="0.25">
      <c r="A35" s="145" t="s">
        <v>2</v>
      </c>
      <c r="B35" s="411" t="s">
        <v>733</v>
      </c>
      <c r="C35" s="412" t="s">
        <v>238</v>
      </c>
      <c r="D35" s="412" t="s">
        <v>734</v>
      </c>
      <c r="E35" s="413" t="s">
        <v>543</v>
      </c>
      <c r="F35" s="414" t="s">
        <v>735</v>
      </c>
      <c r="G35" s="414" t="s">
        <v>736</v>
      </c>
      <c r="H35" s="406">
        <v>203142.87</v>
      </c>
      <c r="I35" s="414" t="s">
        <v>737</v>
      </c>
      <c r="J35" s="414" t="s">
        <v>738</v>
      </c>
      <c r="K35" s="415" t="s">
        <v>739</v>
      </c>
      <c r="L35" s="415"/>
    </row>
    <row r="36" spans="1:12" x14ac:dyDescent="0.25">
      <c r="A36" s="145" t="s">
        <v>2</v>
      </c>
      <c r="B36" s="411" t="s">
        <v>733</v>
      </c>
      <c r="C36" s="412" t="s">
        <v>238</v>
      </c>
      <c r="D36" s="412" t="s">
        <v>734</v>
      </c>
      <c r="E36" s="413" t="s">
        <v>526</v>
      </c>
      <c r="F36" s="414" t="s">
        <v>735</v>
      </c>
      <c r="G36" s="414" t="s">
        <v>736</v>
      </c>
      <c r="H36" s="406">
        <v>63110.76</v>
      </c>
      <c r="I36" s="414" t="s">
        <v>737</v>
      </c>
      <c r="J36" s="414" t="s">
        <v>738</v>
      </c>
      <c r="K36" s="415" t="s">
        <v>739</v>
      </c>
      <c r="L36" s="415"/>
    </row>
    <row r="37" spans="1:12" x14ac:dyDescent="0.25">
      <c r="A37" s="145" t="s">
        <v>2</v>
      </c>
      <c r="B37" s="411" t="s">
        <v>733</v>
      </c>
      <c r="C37" s="412" t="s">
        <v>238</v>
      </c>
      <c r="D37" s="412" t="s">
        <v>734</v>
      </c>
      <c r="E37" s="413" t="s">
        <v>467</v>
      </c>
      <c r="F37" s="414" t="s">
        <v>735</v>
      </c>
      <c r="G37" s="414" t="s">
        <v>736</v>
      </c>
      <c r="H37" s="406">
        <v>2000000</v>
      </c>
      <c r="I37" s="414" t="s">
        <v>737</v>
      </c>
      <c r="J37" s="414" t="s">
        <v>738</v>
      </c>
      <c r="K37" s="415" t="s">
        <v>739</v>
      </c>
      <c r="L37" s="415"/>
    </row>
    <row r="38" spans="1:12" x14ac:dyDescent="0.25">
      <c r="A38" s="145" t="s">
        <v>2</v>
      </c>
      <c r="B38" s="411" t="s">
        <v>733</v>
      </c>
      <c r="C38" s="412" t="s">
        <v>238</v>
      </c>
      <c r="D38" s="412" t="s">
        <v>734</v>
      </c>
      <c r="E38" s="413" t="s">
        <v>476</v>
      </c>
      <c r="F38" s="414" t="s">
        <v>735</v>
      </c>
      <c r="G38" s="414" t="s">
        <v>736</v>
      </c>
      <c r="H38" s="406">
        <v>259635.59</v>
      </c>
      <c r="I38" s="414" t="s">
        <v>737</v>
      </c>
      <c r="J38" s="414" t="s">
        <v>738</v>
      </c>
      <c r="K38" s="415" t="s">
        <v>739</v>
      </c>
      <c r="L38" s="415"/>
    </row>
    <row r="39" spans="1:12" x14ac:dyDescent="0.25">
      <c r="A39" s="145" t="s">
        <v>2</v>
      </c>
      <c r="B39" s="411" t="s">
        <v>733</v>
      </c>
      <c r="C39" s="412" t="s">
        <v>238</v>
      </c>
      <c r="D39" s="412" t="s">
        <v>734</v>
      </c>
      <c r="E39" s="413" t="s">
        <v>510</v>
      </c>
      <c r="F39" s="414" t="s">
        <v>735</v>
      </c>
      <c r="G39" s="414" t="s">
        <v>736</v>
      </c>
      <c r="H39" s="406">
        <v>74657.2</v>
      </c>
      <c r="I39" s="414" t="s">
        <v>737</v>
      </c>
      <c r="J39" s="414" t="s">
        <v>738</v>
      </c>
      <c r="K39" s="415" t="s">
        <v>739</v>
      </c>
      <c r="L39" s="415"/>
    </row>
    <row r="40" spans="1:12" x14ac:dyDescent="0.25">
      <c r="A40" s="145" t="s">
        <v>2</v>
      </c>
      <c r="B40" s="411" t="s">
        <v>733</v>
      </c>
      <c r="C40" s="412" t="s">
        <v>238</v>
      </c>
      <c r="D40" s="412" t="s">
        <v>734</v>
      </c>
      <c r="E40" s="413" t="s">
        <v>515</v>
      </c>
      <c r="F40" s="414" t="s">
        <v>735</v>
      </c>
      <c r="G40" s="414" t="s">
        <v>736</v>
      </c>
      <c r="H40" s="406">
        <v>124329.67</v>
      </c>
      <c r="I40" s="414" t="s">
        <v>737</v>
      </c>
      <c r="J40" s="414" t="s">
        <v>738</v>
      </c>
      <c r="K40" s="415" t="s">
        <v>739</v>
      </c>
      <c r="L40" s="415"/>
    </row>
    <row r="41" spans="1:12" x14ac:dyDescent="0.25">
      <c r="A41" s="145" t="s">
        <v>2</v>
      </c>
      <c r="B41" s="411" t="s">
        <v>733</v>
      </c>
      <c r="C41" s="412" t="s">
        <v>238</v>
      </c>
      <c r="D41" s="412" t="s">
        <v>734</v>
      </c>
      <c r="E41" s="413" t="s">
        <v>518</v>
      </c>
      <c r="F41" s="414" t="s">
        <v>735</v>
      </c>
      <c r="G41" s="414" t="s">
        <v>736</v>
      </c>
      <c r="H41" s="406">
        <v>1111553.93</v>
      </c>
      <c r="I41" s="414" t="s">
        <v>737</v>
      </c>
      <c r="J41" s="414" t="s">
        <v>738</v>
      </c>
      <c r="K41" s="415" t="s">
        <v>739</v>
      </c>
      <c r="L41" s="415"/>
    </row>
    <row r="42" spans="1:12" x14ac:dyDescent="0.25">
      <c r="A42" s="145" t="s">
        <v>2</v>
      </c>
      <c r="B42" s="411" t="s">
        <v>733</v>
      </c>
      <c r="C42" s="412" t="s">
        <v>238</v>
      </c>
      <c r="D42" s="412" t="s">
        <v>734</v>
      </c>
      <c r="E42" s="413" t="s">
        <v>529</v>
      </c>
      <c r="F42" s="414" t="s">
        <v>735</v>
      </c>
      <c r="G42" s="414" t="s">
        <v>736</v>
      </c>
      <c r="H42" s="406">
        <v>41345.160000000003</v>
      </c>
      <c r="I42" s="414" t="s">
        <v>737</v>
      </c>
      <c r="J42" s="414" t="s">
        <v>738</v>
      </c>
      <c r="K42" s="415" t="s">
        <v>739</v>
      </c>
      <c r="L42" s="415"/>
    </row>
    <row r="43" spans="1:12" x14ac:dyDescent="0.25">
      <c r="A43" s="145" t="s">
        <v>2</v>
      </c>
      <c r="B43" s="411" t="s">
        <v>733</v>
      </c>
      <c r="C43" s="412" t="s">
        <v>238</v>
      </c>
      <c r="D43" s="412" t="s">
        <v>734</v>
      </c>
      <c r="E43" s="413" t="s">
        <v>487</v>
      </c>
      <c r="F43" s="414" t="s">
        <v>735</v>
      </c>
      <c r="G43" s="414" t="s">
        <v>736</v>
      </c>
      <c r="H43" s="406">
        <v>75000</v>
      </c>
      <c r="I43" s="414" t="s">
        <v>737</v>
      </c>
      <c r="J43" s="414" t="s">
        <v>738</v>
      </c>
      <c r="K43" s="415" t="s">
        <v>739</v>
      </c>
      <c r="L43" s="415"/>
    </row>
    <row r="44" spans="1:12" x14ac:dyDescent="0.25">
      <c r="A44" s="145" t="s">
        <v>2</v>
      </c>
      <c r="B44" s="411" t="s">
        <v>733</v>
      </c>
      <c r="C44" s="412" t="s">
        <v>238</v>
      </c>
      <c r="D44" s="412" t="s">
        <v>734</v>
      </c>
      <c r="E44" s="413" t="s">
        <v>509</v>
      </c>
      <c r="F44" s="414" t="s">
        <v>735</v>
      </c>
      <c r="G44" s="414" t="s">
        <v>736</v>
      </c>
      <c r="H44" s="406">
        <v>850000</v>
      </c>
      <c r="I44" s="414" t="s">
        <v>737</v>
      </c>
      <c r="J44" s="414" t="s">
        <v>738</v>
      </c>
      <c r="K44" s="415" t="s">
        <v>739</v>
      </c>
      <c r="L44" s="415"/>
    </row>
    <row r="45" spans="1:12" x14ac:dyDescent="0.25">
      <c r="A45" s="145" t="s">
        <v>2</v>
      </c>
      <c r="B45" s="411" t="s">
        <v>733</v>
      </c>
      <c r="C45" s="412" t="s">
        <v>238</v>
      </c>
      <c r="D45" s="412" t="s">
        <v>734</v>
      </c>
      <c r="E45" s="413" t="s">
        <v>473</v>
      </c>
      <c r="F45" s="414" t="s">
        <v>735</v>
      </c>
      <c r="G45" s="414" t="s">
        <v>736</v>
      </c>
      <c r="H45" s="406">
        <v>500000</v>
      </c>
      <c r="I45" s="414" t="s">
        <v>737</v>
      </c>
      <c r="J45" s="414" t="s">
        <v>738</v>
      </c>
      <c r="K45" s="415" t="s">
        <v>739</v>
      </c>
      <c r="L45" s="415"/>
    </row>
    <row r="46" spans="1:12" x14ac:dyDescent="0.25">
      <c r="A46" s="145" t="s">
        <v>2</v>
      </c>
      <c r="B46" s="411" t="s">
        <v>733</v>
      </c>
      <c r="C46" s="412" t="s">
        <v>238</v>
      </c>
      <c r="D46" s="412" t="s">
        <v>734</v>
      </c>
      <c r="E46" s="413" t="s">
        <v>548</v>
      </c>
      <c r="F46" s="414" t="s">
        <v>735</v>
      </c>
      <c r="G46" s="414" t="s">
        <v>736</v>
      </c>
      <c r="H46" s="406">
        <v>271914.25</v>
      </c>
      <c r="I46" s="414" t="s">
        <v>737</v>
      </c>
      <c r="J46" s="414" t="s">
        <v>738</v>
      </c>
      <c r="K46" s="415" t="s">
        <v>739</v>
      </c>
      <c r="L46" s="415"/>
    </row>
    <row r="47" spans="1:12" x14ac:dyDescent="0.25">
      <c r="A47" s="145" t="s">
        <v>2</v>
      </c>
      <c r="B47" s="411" t="s">
        <v>733</v>
      </c>
      <c r="C47" s="412" t="s">
        <v>238</v>
      </c>
      <c r="D47" s="412" t="s">
        <v>734</v>
      </c>
      <c r="E47" s="413" t="s">
        <v>507</v>
      </c>
      <c r="F47" s="414" t="s">
        <v>735</v>
      </c>
      <c r="G47" s="414" t="s">
        <v>736</v>
      </c>
      <c r="H47" s="406">
        <v>3000000</v>
      </c>
      <c r="I47" s="414" t="s">
        <v>737</v>
      </c>
      <c r="J47" s="414" t="s">
        <v>738</v>
      </c>
      <c r="K47" s="415" t="s">
        <v>739</v>
      </c>
      <c r="L47" s="415"/>
    </row>
    <row r="48" spans="1:12" x14ac:dyDescent="0.25">
      <c r="A48" s="145" t="s">
        <v>2</v>
      </c>
      <c r="B48" s="411" t="s">
        <v>733</v>
      </c>
      <c r="C48" s="412" t="s">
        <v>238</v>
      </c>
      <c r="D48" s="412" t="s">
        <v>734</v>
      </c>
      <c r="E48" s="413" t="s">
        <v>483</v>
      </c>
      <c r="F48" s="414" t="s">
        <v>735</v>
      </c>
      <c r="G48" s="414" t="s">
        <v>736</v>
      </c>
      <c r="H48" s="406">
        <v>850000</v>
      </c>
      <c r="I48" s="414" t="s">
        <v>737</v>
      </c>
      <c r="J48" s="414" t="s">
        <v>738</v>
      </c>
      <c r="K48" s="415" t="s">
        <v>739</v>
      </c>
      <c r="L48" s="415"/>
    </row>
    <row r="49" spans="1:12" x14ac:dyDescent="0.25">
      <c r="A49" s="145" t="s">
        <v>2</v>
      </c>
      <c r="B49" s="411" t="s">
        <v>733</v>
      </c>
      <c r="C49" s="412" t="s">
        <v>238</v>
      </c>
      <c r="D49" s="412" t="s">
        <v>734</v>
      </c>
      <c r="E49" s="413" t="s">
        <v>490</v>
      </c>
      <c r="F49" s="414" t="s">
        <v>735</v>
      </c>
      <c r="G49" s="414" t="s">
        <v>736</v>
      </c>
      <c r="H49" s="406">
        <v>2378.1999999999998</v>
      </c>
      <c r="I49" s="414" t="s">
        <v>737</v>
      </c>
      <c r="J49" s="414" t="s">
        <v>738</v>
      </c>
      <c r="K49" s="415" t="s">
        <v>739</v>
      </c>
      <c r="L49" s="415"/>
    </row>
    <row r="50" spans="1:12" x14ac:dyDescent="0.25">
      <c r="A50" s="145" t="s">
        <v>2</v>
      </c>
      <c r="B50" s="411" t="s">
        <v>733</v>
      </c>
      <c r="C50" s="412" t="s">
        <v>238</v>
      </c>
      <c r="D50" s="412" t="s">
        <v>734</v>
      </c>
      <c r="E50" s="413" t="s">
        <v>551</v>
      </c>
      <c r="F50" s="414" t="s">
        <v>735</v>
      </c>
      <c r="G50" s="414" t="s">
        <v>736</v>
      </c>
      <c r="H50" s="406">
        <v>32000</v>
      </c>
      <c r="I50" s="414" t="s">
        <v>737</v>
      </c>
      <c r="J50" s="414" t="s">
        <v>738</v>
      </c>
      <c r="K50" s="415" t="s">
        <v>739</v>
      </c>
      <c r="L50" s="415"/>
    </row>
    <row r="51" spans="1:12" x14ac:dyDescent="0.25">
      <c r="A51" s="145" t="s">
        <v>2</v>
      </c>
      <c r="B51" s="411" t="s">
        <v>733</v>
      </c>
      <c r="C51" s="412" t="s">
        <v>238</v>
      </c>
      <c r="D51" s="412" t="s">
        <v>734</v>
      </c>
      <c r="E51" s="413" t="s">
        <v>496</v>
      </c>
      <c r="F51" s="414" t="s">
        <v>735</v>
      </c>
      <c r="G51" s="414" t="s">
        <v>736</v>
      </c>
      <c r="H51" s="406">
        <v>1139928.74</v>
      </c>
      <c r="I51" s="414" t="s">
        <v>737</v>
      </c>
      <c r="J51" s="414" t="s">
        <v>738</v>
      </c>
      <c r="K51" s="415" t="s">
        <v>739</v>
      </c>
      <c r="L51" s="415"/>
    </row>
    <row r="52" spans="1:12" x14ac:dyDescent="0.25">
      <c r="A52" s="145" t="s">
        <v>2</v>
      </c>
      <c r="B52" s="411" t="s">
        <v>733</v>
      </c>
      <c r="C52" s="412" t="s">
        <v>238</v>
      </c>
      <c r="D52" s="412" t="s">
        <v>734</v>
      </c>
      <c r="E52" s="413" t="s">
        <v>554</v>
      </c>
      <c r="F52" s="414" t="s">
        <v>735</v>
      </c>
      <c r="G52" s="414" t="s">
        <v>736</v>
      </c>
      <c r="H52" s="406">
        <v>19303.79</v>
      </c>
      <c r="I52" s="414" t="s">
        <v>737</v>
      </c>
      <c r="J52" s="414" t="s">
        <v>738</v>
      </c>
      <c r="K52" s="415" t="s">
        <v>739</v>
      </c>
      <c r="L52" s="415"/>
    </row>
    <row r="53" spans="1:12" x14ac:dyDescent="0.25">
      <c r="A53" s="145" t="s">
        <v>2</v>
      </c>
      <c r="B53" s="411" t="s">
        <v>733</v>
      </c>
      <c r="C53" s="412" t="s">
        <v>238</v>
      </c>
      <c r="D53" s="412" t="s">
        <v>734</v>
      </c>
      <c r="E53" s="413" t="s">
        <v>557</v>
      </c>
      <c r="F53" s="414" t="s">
        <v>735</v>
      </c>
      <c r="G53" s="414" t="s">
        <v>736</v>
      </c>
      <c r="H53" s="406">
        <v>360418.51</v>
      </c>
      <c r="I53" s="414" t="s">
        <v>737</v>
      </c>
      <c r="J53" s="414" t="s">
        <v>738</v>
      </c>
      <c r="K53" s="415" t="s">
        <v>739</v>
      </c>
      <c r="L53" s="415"/>
    </row>
    <row r="54" spans="1:12" x14ac:dyDescent="0.25">
      <c r="A54" s="418" t="s">
        <v>712</v>
      </c>
      <c r="B54" s="436" t="s">
        <v>740</v>
      </c>
      <c r="C54" s="437" t="s">
        <v>221</v>
      </c>
      <c r="D54" s="437" t="s">
        <v>734</v>
      </c>
      <c r="E54" s="413" t="s">
        <v>741</v>
      </c>
      <c r="F54" s="414" t="s">
        <v>742</v>
      </c>
      <c r="G54" s="414" t="s">
        <v>736</v>
      </c>
      <c r="H54" s="406">
        <v>24000</v>
      </c>
      <c r="I54" s="414" t="s">
        <v>743</v>
      </c>
      <c r="J54" s="414" t="s">
        <v>744</v>
      </c>
      <c r="K54" s="415" t="s">
        <v>739</v>
      </c>
      <c r="L54" s="415"/>
    </row>
    <row r="55" spans="1:12" x14ac:dyDescent="0.25">
      <c r="A55" s="418" t="s">
        <v>712</v>
      </c>
      <c r="B55" s="411" t="s">
        <v>740</v>
      </c>
      <c r="C55" s="412" t="s">
        <v>221</v>
      </c>
      <c r="D55" s="412" t="s">
        <v>734</v>
      </c>
      <c r="E55" s="413" t="s">
        <v>626</v>
      </c>
      <c r="F55" s="414" t="s">
        <v>742</v>
      </c>
      <c r="G55" s="414" t="s">
        <v>736</v>
      </c>
      <c r="H55" s="406">
        <v>437431.37</v>
      </c>
      <c r="I55" s="414" t="s">
        <v>737</v>
      </c>
      <c r="J55" s="414" t="s">
        <v>738</v>
      </c>
      <c r="K55" s="415" t="s">
        <v>739</v>
      </c>
      <c r="L55" s="415"/>
    </row>
    <row r="56" spans="1:12" x14ac:dyDescent="0.25">
      <c r="A56" s="418" t="s">
        <v>712</v>
      </c>
      <c r="B56" s="411" t="s">
        <v>740</v>
      </c>
      <c r="C56" s="412" t="s">
        <v>221</v>
      </c>
      <c r="D56" s="412" t="s">
        <v>734</v>
      </c>
      <c r="E56" s="413" t="s">
        <v>639</v>
      </c>
      <c r="F56" s="414" t="s">
        <v>742</v>
      </c>
      <c r="G56" s="414" t="s">
        <v>736</v>
      </c>
      <c r="H56" s="406">
        <v>81311.17</v>
      </c>
      <c r="I56" s="414" t="s">
        <v>737</v>
      </c>
      <c r="J56" s="414" t="s">
        <v>738</v>
      </c>
      <c r="K56" s="415" t="s">
        <v>739</v>
      </c>
      <c r="L56" s="415"/>
    </row>
    <row r="57" spans="1:12" x14ac:dyDescent="0.25">
      <c r="A57" s="418" t="s">
        <v>712</v>
      </c>
      <c r="B57" s="411" t="s">
        <v>740</v>
      </c>
      <c r="C57" s="412" t="s">
        <v>221</v>
      </c>
      <c r="D57" s="412" t="s">
        <v>734</v>
      </c>
      <c r="E57" s="413" t="s">
        <v>694</v>
      </c>
      <c r="F57" s="414" t="s">
        <v>742</v>
      </c>
      <c r="G57" s="414" t="s">
        <v>736</v>
      </c>
      <c r="H57" s="406">
        <v>61963.199999999997</v>
      </c>
      <c r="I57" s="414" t="s">
        <v>737</v>
      </c>
      <c r="J57" s="414" t="s">
        <v>738</v>
      </c>
      <c r="K57" s="415" t="s">
        <v>739</v>
      </c>
      <c r="L57" s="415"/>
    </row>
    <row r="58" spans="1:12" x14ac:dyDescent="0.25">
      <c r="A58" s="418" t="s">
        <v>712</v>
      </c>
      <c r="B58" s="411" t="s">
        <v>740</v>
      </c>
      <c r="C58" s="412" t="s">
        <v>221</v>
      </c>
      <c r="D58" s="412" t="s">
        <v>734</v>
      </c>
      <c r="E58" s="413" t="s">
        <v>606</v>
      </c>
      <c r="F58" s="414" t="s">
        <v>742</v>
      </c>
      <c r="G58" s="414" t="s">
        <v>736</v>
      </c>
      <c r="H58" s="406">
        <v>118000</v>
      </c>
      <c r="I58" s="414" t="s">
        <v>737</v>
      </c>
      <c r="J58" s="414" t="s">
        <v>738</v>
      </c>
      <c r="K58" s="415" t="s">
        <v>739</v>
      </c>
      <c r="L58" s="415"/>
    </row>
    <row r="59" spans="1:12" x14ac:dyDescent="0.25">
      <c r="A59" s="418" t="s">
        <v>712</v>
      </c>
      <c r="B59" s="411" t="s">
        <v>740</v>
      </c>
      <c r="C59" s="412" t="s">
        <v>221</v>
      </c>
      <c r="D59" s="412" t="s">
        <v>734</v>
      </c>
      <c r="E59" s="413" t="s">
        <v>610</v>
      </c>
      <c r="F59" s="414" t="s">
        <v>742</v>
      </c>
      <c r="G59" s="414" t="s">
        <v>736</v>
      </c>
      <c r="H59" s="406">
        <v>117479.98</v>
      </c>
      <c r="I59" s="414" t="s">
        <v>737</v>
      </c>
      <c r="J59" s="414" t="s">
        <v>738</v>
      </c>
      <c r="K59" s="415" t="s">
        <v>739</v>
      </c>
      <c r="L59" s="415"/>
    </row>
    <row r="60" spans="1:12" x14ac:dyDescent="0.25">
      <c r="A60" s="418" t="s">
        <v>712</v>
      </c>
      <c r="B60" s="411" t="s">
        <v>740</v>
      </c>
      <c r="C60" s="412" t="s">
        <v>221</v>
      </c>
      <c r="D60" s="412" t="s">
        <v>734</v>
      </c>
      <c r="E60" s="413" t="s">
        <v>690</v>
      </c>
      <c r="F60" s="414" t="s">
        <v>742</v>
      </c>
      <c r="G60" s="414" t="s">
        <v>736</v>
      </c>
      <c r="H60" s="406">
        <v>109000</v>
      </c>
      <c r="I60" s="414" t="s">
        <v>737</v>
      </c>
      <c r="J60" s="414" t="s">
        <v>738</v>
      </c>
      <c r="K60" s="415" t="s">
        <v>739</v>
      </c>
      <c r="L60" s="415"/>
    </row>
    <row r="61" spans="1:12" x14ac:dyDescent="0.25">
      <c r="A61" s="418" t="s">
        <v>712</v>
      </c>
      <c r="B61" s="411" t="s">
        <v>740</v>
      </c>
      <c r="C61" s="412" t="s">
        <v>221</v>
      </c>
      <c r="D61" s="412" t="s">
        <v>734</v>
      </c>
      <c r="E61" s="413" t="s">
        <v>686</v>
      </c>
      <c r="F61" s="414" t="s">
        <v>742</v>
      </c>
      <c r="G61" s="414" t="s">
        <v>736</v>
      </c>
      <c r="H61" s="406">
        <v>67505.289999999994</v>
      </c>
      <c r="I61" s="414" t="s">
        <v>737</v>
      </c>
      <c r="J61" s="414" t="s">
        <v>738</v>
      </c>
      <c r="K61" s="415" t="s">
        <v>739</v>
      </c>
      <c r="L61" s="415"/>
    </row>
    <row r="62" spans="1:12" x14ac:dyDescent="0.25">
      <c r="A62" s="418" t="s">
        <v>712</v>
      </c>
      <c r="B62" s="411" t="s">
        <v>740</v>
      </c>
      <c r="C62" s="412" t="s">
        <v>221</v>
      </c>
      <c r="D62" s="412" t="s">
        <v>734</v>
      </c>
      <c r="E62" s="413" t="s">
        <v>678</v>
      </c>
      <c r="F62" s="414" t="s">
        <v>742</v>
      </c>
      <c r="G62" s="414" t="s">
        <v>736</v>
      </c>
      <c r="H62" s="406">
        <v>273875.84000000003</v>
      </c>
      <c r="I62" s="414" t="s">
        <v>737</v>
      </c>
      <c r="J62" s="414" t="s">
        <v>738</v>
      </c>
      <c r="K62" s="415" t="s">
        <v>739</v>
      </c>
      <c r="L62" s="415"/>
    </row>
    <row r="63" spans="1:12" x14ac:dyDescent="0.25">
      <c r="A63" s="418" t="s">
        <v>712</v>
      </c>
      <c r="B63" s="411" t="s">
        <v>740</v>
      </c>
      <c r="C63" s="412" t="s">
        <v>221</v>
      </c>
      <c r="D63" s="412" t="s">
        <v>734</v>
      </c>
      <c r="E63" s="413" t="s">
        <v>652</v>
      </c>
      <c r="F63" s="414" t="s">
        <v>742</v>
      </c>
      <c r="G63" s="414" t="s">
        <v>736</v>
      </c>
      <c r="H63" s="406">
        <v>10804.61</v>
      </c>
      <c r="I63" s="414" t="s">
        <v>737</v>
      </c>
      <c r="J63" s="414" t="s">
        <v>738</v>
      </c>
      <c r="K63" s="415" t="s">
        <v>739</v>
      </c>
      <c r="L63" s="415"/>
    </row>
    <row r="64" spans="1:12" x14ac:dyDescent="0.25">
      <c r="A64" s="418" t="s">
        <v>712</v>
      </c>
      <c r="B64" s="411" t="s">
        <v>740</v>
      </c>
      <c r="C64" s="412" t="s">
        <v>221</v>
      </c>
      <c r="D64" s="412" t="s">
        <v>734</v>
      </c>
      <c r="E64" s="413" t="s">
        <v>682</v>
      </c>
      <c r="F64" s="414" t="s">
        <v>742</v>
      </c>
      <c r="G64" s="414" t="s">
        <v>736</v>
      </c>
      <c r="H64" s="406">
        <v>269552.19</v>
      </c>
      <c r="I64" s="414" t="s">
        <v>737</v>
      </c>
      <c r="J64" s="414" t="s">
        <v>738</v>
      </c>
      <c r="K64" s="415" t="s">
        <v>739</v>
      </c>
      <c r="L64" s="415"/>
    </row>
    <row r="65" spans="1:12" x14ac:dyDescent="0.25">
      <c r="A65" s="418" t="s">
        <v>712</v>
      </c>
      <c r="B65" s="411" t="s">
        <v>740</v>
      </c>
      <c r="C65" s="412" t="s">
        <v>221</v>
      </c>
      <c r="D65" s="412" t="s">
        <v>734</v>
      </c>
      <c r="E65" s="413" t="s">
        <v>635</v>
      </c>
      <c r="F65" s="414" t="s">
        <v>742</v>
      </c>
      <c r="G65" s="414" t="s">
        <v>736</v>
      </c>
      <c r="H65" s="406">
        <v>53274.53</v>
      </c>
      <c r="I65" s="414" t="s">
        <v>737</v>
      </c>
      <c r="J65" s="414" t="s">
        <v>738</v>
      </c>
      <c r="K65" s="415" t="s">
        <v>739</v>
      </c>
      <c r="L65" s="415"/>
    </row>
    <row r="66" spans="1:12" x14ac:dyDescent="0.25">
      <c r="A66" s="418" t="s">
        <v>712</v>
      </c>
      <c r="B66" s="411" t="s">
        <v>740</v>
      </c>
      <c r="C66" s="412" t="s">
        <v>221</v>
      </c>
      <c r="D66" s="412" t="s">
        <v>734</v>
      </c>
      <c r="E66" s="413" t="s">
        <v>613</v>
      </c>
      <c r="F66" s="414" t="s">
        <v>742</v>
      </c>
      <c r="G66" s="414" t="s">
        <v>736</v>
      </c>
      <c r="H66" s="406">
        <v>3878521.46</v>
      </c>
      <c r="I66" s="414" t="s">
        <v>737</v>
      </c>
      <c r="J66" s="414" t="s">
        <v>738</v>
      </c>
      <c r="K66" s="415" t="s">
        <v>739</v>
      </c>
      <c r="L66" s="415"/>
    </row>
    <row r="67" spans="1:12" x14ac:dyDescent="0.25">
      <c r="A67" s="418" t="s">
        <v>712</v>
      </c>
      <c r="B67" s="411" t="s">
        <v>740</v>
      </c>
      <c r="C67" s="412" t="s">
        <v>221</v>
      </c>
      <c r="D67" s="412" t="s">
        <v>734</v>
      </c>
      <c r="E67" s="413" t="s">
        <v>656</v>
      </c>
      <c r="F67" s="414" t="s">
        <v>742</v>
      </c>
      <c r="G67" s="414" t="s">
        <v>736</v>
      </c>
      <c r="H67" s="406">
        <v>664032.74</v>
      </c>
      <c r="I67" s="414" t="s">
        <v>737</v>
      </c>
      <c r="J67" s="414" t="s">
        <v>738</v>
      </c>
      <c r="K67" s="415" t="s">
        <v>739</v>
      </c>
      <c r="L67" s="415"/>
    </row>
    <row r="68" spans="1:12" x14ac:dyDescent="0.25">
      <c r="A68" s="418" t="s">
        <v>712</v>
      </c>
      <c r="B68" s="411" t="s">
        <v>740</v>
      </c>
      <c r="C68" s="412" t="s">
        <v>221</v>
      </c>
      <c r="D68" s="412" t="s">
        <v>734</v>
      </c>
      <c r="E68" s="413" t="s">
        <v>594</v>
      </c>
      <c r="F68" s="414" t="s">
        <v>742</v>
      </c>
      <c r="G68" s="414" t="s">
        <v>736</v>
      </c>
      <c r="H68" s="406">
        <v>284315.67</v>
      </c>
      <c r="I68" s="414" t="s">
        <v>737</v>
      </c>
      <c r="J68" s="414" t="s">
        <v>738</v>
      </c>
      <c r="K68" s="415" t="s">
        <v>739</v>
      </c>
      <c r="L68" s="415"/>
    </row>
    <row r="69" spans="1:12" x14ac:dyDescent="0.25">
      <c r="A69" s="418" t="s">
        <v>712</v>
      </c>
      <c r="B69" s="411" t="s">
        <v>740</v>
      </c>
      <c r="C69" s="412" t="s">
        <v>221</v>
      </c>
      <c r="D69" s="412" t="s">
        <v>734</v>
      </c>
      <c r="E69" s="413" t="s">
        <v>622</v>
      </c>
      <c r="F69" s="414" t="s">
        <v>742</v>
      </c>
      <c r="G69" s="414" t="s">
        <v>736</v>
      </c>
      <c r="H69" s="406">
        <v>523645.33</v>
      </c>
      <c r="I69" s="414" t="s">
        <v>737</v>
      </c>
      <c r="J69" s="414" t="s">
        <v>738</v>
      </c>
      <c r="K69" s="415" t="s">
        <v>739</v>
      </c>
      <c r="L69" s="415"/>
    </row>
    <row r="70" spans="1:12" x14ac:dyDescent="0.25">
      <c r="A70" s="418" t="s">
        <v>712</v>
      </c>
      <c r="B70" s="411" t="s">
        <v>740</v>
      </c>
      <c r="C70" s="412" t="s">
        <v>221</v>
      </c>
      <c r="D70" s="412" t="s">
        <v>734</v>
      </c>
      <c r="E70" s="413" t="s">
        <v>699</v>
      </c>
      <c r="F70" s="414" t="s">
        <v>742</v>
      </c>
      <c r="G70" s="414" t="s">
        <v>736</v>
      </c>
      <c r="H70" s="406">
        <v>50310</v>
      </c>
      <c r="I70" s="414" t="s">
        <v>737</v>
      </c>
      <c r="J70" s="414" t="s">
        <v>738</v>
      </c>
      <c r="K70" s="415" t="s">
        <v>739</v>
      </c>
      <c r="L70" s="415"/>
    </row>
    <row r="71" spans="1:12" x14ac:dyDescent="0.25">
      <c r="A71" s="418" t="s">
        <v>712</v>
      </c>
      <c r="B71" s="411" t="s">
        <v>740</v>
      </c>
      <c r="C71" s="412" t="s">
        <v>221</v>
      </c>
      <c r="D71" s="412" t="s">
        <v>734</v>
      </c>
      <c r="E71" s="413" t="s">
        <v>674</v>
      </c>
      <c r="F71" s="414" t="s">
        <v>742</v>
      </c>
      <c r="G71" s="414" t="s">
        <v>736</v>
      </c>
      <c r="H71" s="406">
        <v>469223.82</v>
      </c>
      <c r="I71" s="414" t="s">
        <v>737</v>
      </c>
      <c r="J71" s="414" t="s">
        <v>738</v>
      </c>
      <c r="K71" s="415" t="s">
        <v>739</v>
      </c>
      <c r="L71" s="415"/>
    </row>
    <row r="72" spans="1:12" x14ac:dyDescent="0.25">
      <c r="A72" s="418" t="s">
        <v>712</v>
      </c>
      <c r="B72" s="411" t="s">
        <v>740</v>
      </c>
      <c r="C72" s="412" t="s">
        <v>221</v>
      </c>
      <c r="D72" s="412" t="s">
        <v>734</v>
      </c>
      <c r="E72" s="413" t="s">
        <v>708</v>
      </c>
      <c r="F72" s="414" t="s">
        <v>742</v>
      </c>
      <c r="G72" s="414" t="s">
        <v>736</v>
      </c>
      <c r="H72" s="406">
        <v>68000</v>
      </c>
      <c r="I72" s="414" t="s">
        <v>737</v>
      </c>
      <c r="J72" s="414" t="s">
        <v>738</v>
      </c>
      <c r="K72" s="415" t="s">
        <v>739</v>
      </c>
      <c r="L72" s="415"/>
    </row>
    <row r="73" spans="1:12" x14ac:dyDescent="0.25">
      <c r="A73" s="418" t="s">
        <v>712</v>
      </c>
      <c r="B73" s="411" t="s">
        <v>740</v>
      </c>
      <c r="C73" s="412" t="s">
        <v>221</v>
      </c>
      <c r="D73" s="412" t="s">
        <v>734</v>
      </c>
      <c r="E73" s="413" t="s">
        <v>670</v>
      </c>
      <c r="F73" s="414" t="s">
        <v>742</v>
      </c>
      <c r="G73" s="414" t="s">
        <v>736</v>
      </c>
      <c r="H73" s="406">
        <v>99485.86</v>
      </c>
      <c r="I73" s="414" t="s">
        <v>737</v>
      </c>
      <c r="J73" s="414" t="s">
        <v>738</v>
      </c>
      <c r="K73" s="415" t="s">
        <v>739</v>
      </c>
      <c r="L73" s="415"/>
    </row>
    <row r="74" spans="1:12" x14ac:dyDescent="0.25">
      <c r="A74" s="418" t="s">
        <v>712</v>
      </c>
      <c r="B74" s="411" t="s">
        <v>740</v>
      </c>
      <c r="C74" s="412" t="s">
        <v>221</v>
      </c>
      <c r="D74" s="412" t="s">
        <v>734</v>
      </c>
      <c r="E74" s="413" t="s">
        <v>602</v>
      </c>
      <c r="F74" s="414" t="s">
        <v>742</v>
      </c>
      <c r="G74" s="414" t="s">
        <v>736</v>
      </c>
      <c r="H74" s="406">
        <v>269000</v>
      </c>
      <c r="I74" s="414" t="s">
        <v>737</v>
      </c>
      <c r="J74" s="414" t="s">
        <v>738</v>
      </c>
      <c r="K74" s="415" t="s">
        <v>739</v>
      </c>
      <c r="L74" s="415"/>
    </row>
    <row r="75" spans="1:12" x14ac:dyDescent="0.25">
      <c r="A75" s="418" t="s">
        <v>712</v>
      </c>
      <c r="B75" s="411" t="s">
        <v>740</v>
      </c>
      <c r="C75" s="412" t="s">
        <v>221</v>
      </c>
      <c r="D75" s="412" t="s">
        <v>734</v>
      </c>
      <c r="E75" s="413" t="s">
        <v>630</v>
      </c>
      <c r="F75" s="414" t="s">
        <v>742</v>
      </c>
      <c r="G75" s="414" t="s">
        <v>736</v>
      </c>
      <c r="H75" s="406">
        <v>44000</v>
      </c>
      <c r="I75" s="414" t="s">
        <v>737</v>
      </c>
      <c r="J75" s="414" t="s">
        <v>738</v>
      </c>
      <c r="K75" s="415" t="s">
        <v>739</v>
      </c>
      <c r="L75" s="415"/>
    </row>
    <row r="76" spans="1:12" x14ac:dyDescent="0.25">
      <c r="A76" s="418" t="s">
        <v>712</v>
      </c>
      <c r="B76" s="411" t="s">
        <v>740</v>
      </c>
      <c r="C76" s="412" t="s">
        <v>221</v>
      </c>
      <c r="D76" s="412" t="s">
        <v>734</v>
      </c>
      <c r="E76" s="413" t="s">
        <v>648</v>
      </c>
      <c r="F76" s="414" t="s">
        <v>742</v>
      </c>
      <c r="G76" s="414" t="s">
        <v>736</v>
      </c>
      <c r="H76" s="406">
        <v>858000</v>
      </c>
      <c r="I76" s="414" t="s">
        <v>737</v>
      </c>
      <c r="J76" s="414" t="s">
        <v>738</v>
      </c>
      <c r="K76" s="415" t="s">
        <v>739</v>
      </c>
      <c r="L76" s="415"/>
    </row>
    <row r="77" spans="1:12" x14ac:dyDescent="0.25">
      <c r="A77" s="418" t="s">
        <v>712</v>
      </c>
      <c r="B77" s="411" t="s">
        <v>740</v>
      </c>
      <c r="C77" s="412" t="s">
        <v>221</v>
      </c>
      <c r="D77" s="412" t="s">
        <v>734</v>
      </c>
      <c r="E77" s="413" t="s">
        <v>618</v>
      </c>
      <c r="F77" s="414" t="s">
        <v>742</v>
      </c>
      <c r="G77" s="414" t="s">
        <v>736</v>
      </c>
      <c r="H77" s="406">
        <v>168859.22</v>
      </c>
      <c r="I77" s="414" t="s">
        <v>737</v>
      </c>
      <c r="J77" s="414" t="s">
        <v>738</v>
      </c>
      <c r="K77" s="415" t="s">
        <v>739</v>
      </c>
      <c r="L77" s="415"/>
    </row>
    <row r="78" spans="1:12" x14ac:dyDescent="0.25">
      <c r="A78" s="418" t="s">
        <v>712</v>
      </c>
      <c r="B78" s="411" t="s">
        <v>740</v>
      </c>
      <c r="C78" s="412" t="s">
        <v>221</v>
      </c>
      <c r="D78" s="412" t="s">
        <v>734</v>
      </c>
      <c r="E78" s="413" t="s">
        <v>643</v>
      </c>
      <c r="F78" s="414" t="s">
        <v>742</v>
      </c>
      <c r="G78" s="414" t="s">
        <v>736</v>
      </c>
      <c r="H78" s="406">
        <v>99000</v>
      </c>
      <c r="I78" s="414" t="s">
        <v>737</v>
      </c>
      <c r="J78" s="414" t="s">
        <v>738</v>
      </c>
      <c r="K78" s="415" t="s">
        <v>739</v>
      </c>
      <c r="L78" s="415"/>
    </row>
    <row r="79" spans="1:12" x14ac:dyDescent="0.25">
      <c r="A79" s="418" t="s">
        <v>712</v>
      </c>
      <c r="B79" s="411" t="s">
        <v>740</v>
      </c>
      <c r="C79" s="412" t="s">
        <v>221</v>
      </c>
      <c r="D79" s="412" t="s">
        <v>734</v>
      </c>
      <c r="E79" s="413" t="s">
        <v>704</v>
      </c>
      <c r="F79" s="414" t="s">
        <v>742</v>
      </c>
      <c r="G79" s="414" t="s">
        <v>736</v>
      </c>
      <c r="H79" s="406">
        <v>178033.56</v>
      </c>
      <c r="I79" s="414" t="s">
        <v>737</v>
      </c>
      <c r="J79" s="414" t="s">
        <v>738</v>
      </c>
      <c r="K79" s="415" t="s">
        <v>739</v>
      </c>
      <c r="L79" s="415"/>
    </row>
    <row r="80" spans="1:12" x14ac:dyDescent="0.25">
      <c r="A80" s="418" t="s">
        <v>712</v>
      </c>
      <c r="B80" s="411" t="s">
        <v>740</v>
      </c>
      <c r="C80" s="412" t="s">
        <v>221</v>
      </c>
      <c r="D80" s="412" t="s">
        <v>734</v>
      </c>
      <c r="E80" s="413" t="s">
        <v>661</v>
      </c>
      <c r="F80" s="414" t="s">
        <v>742</v>
      </c>
      <c r="G80" s="414" t="s">
        <v>736</v>
      </c>
      <c r="H80" s="406">
        <v>127628.98</v>
      </c>
      <c r="I80" s="414" t="s">
        <v>737</v>
      </c>
      <c r="J80" s="414" t="s">
        <v>738</v>
      </c>
      <c r="K80" s="415" t="s">
        <v>739</v>
      </c>
      <c r="L80" s="415"/>
    </row>
    <row r="81" spans="1:12" x14ac:dyDescent="0.25">
      <c r="A81" s="418" t="s">
        <v>712</v>
      </c>
      <c r="B81" s="411" t="s">
        <v>740</v>
      </c>
      <c r="C81" s="412" t="s">
        <v>221</v>
      </c>
      <c r="D81" s="412" t="s">
        <v>734</v>
      </c>
      <c r="E81" s="413" t="s">
        <v>598</v>
      </c>
      <c r="F81" s="414" t="s">
        <v>742</v>
      </c>
      <c r="G81" s="414" t="s">
        <v>736</v>
      </c>
      <c r="H81" s="406">
        <v>1623000</v>
      </c>
      <c r="I81" s="414" t="s">
        <v>737</v>
      </c>
      <c r="J81" s="414" t="s">
        <v>738</v>
      </c>
      <c r="K81" s="415" t="s">
        <v>739</v>
      </c>
      <c r="L81" s="415"/>
    </row>
    <row r="82" spans="1:12" x14ac:dyDescent="0.25">
      <c r="A82" s="418" t="s">
        <v>712</v>
      </c>
      <c r="B82" s="416" t="s">
        <v>740</v>
      </c>
      <c r="C82" s="416" t="s">
        <v>221</v>
      </c>
      <c r="D82" s="416" t="s">
        <v>734</v>
      </c>
      <c r="E82" s="416" t="s">
        <v>666</v>
      </c>
      <c r="F82" s="416" t="s">
        <v>742</v>
      </c>
      <c r="G82" s="416" t="s">
        <v>736</v>
      </c>
      <c r="H82" s="407">
        <v>611413.67000000004</v>
      </c>
      <c r="I82" s="416" t="s">
        <v>737</v>
      </c>
      <c r="J82" s="416" t="s">
        <v>738</v>
      </c>
      <c r="K82" s="416" t="s">
        <v>739</v>
      </c>
      <c r="L82" s="416"/>
    </row>
    <row r="84" spans="1:12" ht="14.5" x14ac:dyDescent="0.3">
      <c r="H84" s="3"/>
    </row>
  </sheetData>
  <autoFilter ref="A2:L82" xr:uid="{9CF0C417-35C9-44D1-AC3D-A688EDCA4177}"/>
  <phoneticPr fontId="72" type="noConversion"/>
  <conditionalFormatting sqref="A3:A82">
    <cfRule type="containsBlanks" dxfId="0" priority="1">
      <formula>LEN(TRIM(A3))=0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3"/>
  <dimension ref="A1:DV92"/>
  <sheetViews>
    <sheetView workbookViewId="0"/>
  </sheetViews>
  <sheetFormatPr defaultColWidth="9" defaultRowHeight="14" x14ac:dyDescent="0.3"/>
  <cols>
    <col min="1" max="1" width="8.203125E-2" customWidth="1"/>
  </cols>
  <sheetData>
    <row r="1" spans="1:126" x14ac:dyDescent="0.3">
      <c r="A1" t="s">
        <v>255</v>
      </c>
    </row>
    <row r="6" spans="1:126" x14ac:dyDescent="0.3">
      <c r="E6" t="s">
        <v>773</v>
      </c>
      <c r="Y6" t="s">
        <v>256</v>
      </c>
      <c r="Z6" t="s">
        <v>257</v>
      </c>
      <c r="AA6" t="s">
        <v>258</v>
      </c>
      <c r="AB6" t="s">
        <v>259</v>
      </c>
      <c r="AC6" t="s">
        <v>260</v>
      </c>
      <c r="AD6" t="s">
        <v>261</v>
      </c>
      <c r="AE6" t="s">
        <v>262</v>
      </c>
      <c r="AF6" t="s">
        <v>263</v>
      </c>
      <c r="AG6" t="s">
        <v>264</v>
      </c>
      <c r="AH6" t="s">
        <v>265</v>
      </c>
      <c r="AI6" t="s">
        <v>266</v>
      </c>
      <c r="AJ6" t="s">
        <v>267</v>
      </c>
      <c r="AK6" t="s">
        <v>268</v>
      </c>
      <c r="AL6" t="s">
        <v>269</v>
      </c>
      <c r="AM6" t="s">
        <v>270</v>
      </c>
      <c r="AN6" t="s">
        <v>271</v>
      </c>
      <c r="AO6" t="s">
        <v>272</v>
      </c>
      <c r="AP6" t="s">
        <v>273</v>
      </c>
      <c r="AQ6" t="s">
        <v>274</v>
      </c>
      <c r="AR6" t="s">
        <v>275</v>
      </c>
      <c r="AS6" t="s">
        <v>276</v>
      </c>
      <c r="AT6" t="s">
        <v>277</v>
      </c>
      <c r="AU6" t="s">
        <v>278</v>
      </c>
      <c r="AV6" t="s">
        <v>279</v>
      </c>
      <c r="AW6" t="s">
        <v>280</v>
      </c>
      <c r="AX6" t="s">
        <v>281</v>
      </c>
      <c r="AY6" t="s">
        <v>282</v>
      </c>
      <c r="AZ6" t="s">
        <v>283</v>
      </c>
      <c r="BA6" t="s">
        <v>284</v>
      </c>
      <c r="BB6" t="s">
        <v>285</v>
      </c>
      <c r="BC6" t="s">
        <v>286</v>
      </c>
      <c r="BD6" t="s">
        <v>287</v>
      </c>
      <c r="BE6" t="s">
        <v>288</v>
      </c>
      <c r="BF6" t="s">
        <v>289</v>
      </c>
      <c r="BG6" t="s">
        <v>290</v>
      </c>
      <c r="BH6" t="s">
        <v>291</v>
      </c>
      <c r="BI6" t="s">
        <v>292</v>
      </c>
      <c r="BJ6" t="s">
        <v>293</v>
      </c>
      <c r="BK6" t="s">
        <v>294</v>
      </c>
      <c r="BL6" t="s">
        <v>295</v>
      </c>
      <c r="BM6" t="s">
        <v>296</v>
      </c>
      <c r="BN6" t="s">
        <v>297</v>
      </c>
      <c r="BO6" t="s">
        <v>298</v>
      </c>
      <c r="BP6" t="s">
        <v>299</v>
      </c>
      <c r="BQ6" t="s">
        <v>300</v>
      </c>
      <c r="BR6" t="s">
        <v>301</v>
      </c>
      <c r="BS6" t="s">
        <v>302</v>
      </c>
      <c r="BT6" t="s">
        <v>303</v>
      </c>
      <c r="BU6" t="s">
        <v>304</v>
      </c>
      <c r="BV6" t="s">
        <v>305</v>
      </c>
      <c r="BW6" t="s">
        <v>306</v>
      </c>
      <c r="BX6" t="s">
        <v>307</v>
      </c>
      <c r="BY6" t="s">
        <v>308</v>
      </c>
      <c r="BZ6" t="s">
        <v>309</v>
      </c>
      <c r="CA6" t="s">
        <v>310</v>
      </c>
      <c r="CB6" t="s">
        <v>311</v>
      </c>
      <c r="CC6" t="s">
        <v>312</v>
      </c>
      <c r="CD6" t="s">
        <v>313</v>
      </c>
      <c r="CE6" t="s">
        <v>314</v>
      </c>
      <c r="CF6" t="s">
        <v>315</v>
      </c>
      <c r="CG6" t="s">
        <v>316</v>
      </c>
      <c r="CH6" t="s">
        <v>317</v>
      </c>
      <c r="CI6" t="s">
        <v>318</v>
      </c>
      <c r="CJ6" t="s">
        <v>319</v>
      </c>
      <c r="CK6" t="s">
        <v>320</v>
      </c>
      <c r="CL6" t="s">
        <v>321</v>
      </c>
      <c r="CM6" t="s">
        <v>322</v>
      </c>
      <c r="CN6" t="s">
        <v>323</v>
      </c>
      <c r="CO6" t="s">
        <v>324</v>
      </c>
      <c r="CP6" t="s">
        <v>325</v>
      </c>
      <c r="CQ6" t="s">
        <v>326</v>
      </c>
      <c r="CR6" t="s">
        <v>327</v>
      </c>
      <c r="CS6" t="s">
        <v>328</v>
      </c>
      <c r="CT6" t="s">
        <v>329</v>
      </c>
      <c r="CU6" t="s">
        <v>330</v>
      </c>
      <c r="CV6" t="s">
        <v>331</v>
      </c>
      <c r="CW6" t="s">
        <v>332</v>
      </c>
      <c r="CX6" t="s">
        <v>333</v>
      </c>
      <c r="CY6" t="s">
        <v>334</v>
      </c>
      <c r="CZ6" t="s">
        <v>335</v>
      </c>
      <c r="DA6" t="s">
        <v>336</v>
      </c>
      <c r="DB6" t="s">
        <v>337</v>
      </c>
      <c r="DC6" t="s">
        <v>338</v>
      </c>
      <c r="DD6" t="s">
        <v>339</v>
      </c>
      <c r="DE6" t="s">
        <v>340</v>
      </c>
      <c r="DF6" t="s">
        <v>341</v>
      </c>
      <c r="DG6" t="s">
        <v>342</v>
      </c>
      <c r="DH6" t="s">
        <v>343</v>
      </c>
      <c r="DI6" t="s">
        <v>344</v>
      </c>
      <c r="DJ6" t="s">
        <v>345</v>
      </c>
      <c r="DK6" t="s">
        <v>346</v>
      </c>
      <c r="DL6" t="s">
        <v>347</v>
      </c>
      <c r="DM6" t="s">
        <v>348</v>
      </c>
      <c r="DN6" t="s">
        <v>349</v>
      </c>
      <c r="DO6" t="s">
        <v>350</v>
      </c>
      <c r="DP6" t="s">
        <v>351</v>
      </c>
      <c r="DQ6" t="s">
        <v>352</v>
      </c>
      <c r="DR6" t="s">
        <v>353</v>
      </c>
      <c r="DS6" t="s">
        <v>354</v>
      </c>
      <c r="DT6" t="s">
        <v>355</v>
      </c>
      <c r="DU6" t="s">
        <v>356</v>
      </c>
      <c r="DV6" t="s">
        <v>357</v>
      </c>
    </row>
    <row r="10" spans="1:126" x14ac:dyDescent="0.3">
      <c r="F10" t="e">
        <f>#REF!</f>
        <v>#REF!</v>
      </c>
      <c r="G10" t="s">
        <v>358</v>
      </c>
    </row>
    <row r="11" spans="1:126" x14ac:dyDescent="0.3">
      <c r="A11" s="1">
        <v>92</v>
      </c>
      <c r="F11" t="e">
        <f>#REF!</f>
        <v>#REF!</v>
      </c>
      <c r="G11" t="s">
        <v>359</v>
      </c>
    </row>
    <row r="12" spans="1:126" x14ac:dyDescent="0.3">
      <c r="F12" t="e">
        <f>#REF!</f>
        <v>#REF!</v>
      </c>
      <c r="G12" t="s">
        <v>360</v>
      </c>
    </row>
    <row r="13" spans="1:126" x14ac:dyDescent="0.3">
      <c r="F13" t="e">
        <f>#REF!</f>
        <v>#REF!</v>
      </c>
      <c r="G13" t="s">
        <v>361</v>
      </c>
    </row>
    <row r="14" spans="1:126" x14ac:dyDescent="0.3">
      <c r="F14" t="e">
        <f>#REF!</f>
        <v>#REF!</v>
      </c>
      <c r="G14" t="s">
        <v>362</v>
      </c>
    </row>
    <row r="15" spans="1:126" x14ac:dyDescent="0.3">
      <c r="A15" s="1">
        <v>30</v>
      </c>
      <c r="F15" t="e">
        <f>#REF!</f>
        <v>#REF!</v>
      </c>
      <c r="G15" t="s">
        <v>363</v>
      </c>
      <c r="R15" t="str">
        <f>汇总!A25</f>
        <v>P1</v>
      </c>
      <c r="S15" t="s">
        <v>364</v>
      </c>
    </row>
    <row r="16" spans="1:126" x14ac:dyDescent="0.3">
      <c r="F16" t="e">
        <f>#REF!</f>
        <v>#REF!</v>
      </c>
      <c r="G16" t="s">
        <v>365</v>
      </c>
      <c r="R16" t="e">
        <f>汇总!#REF!</f>
        <v>#REF!</v>
      </c>
      <c r="S16" t="s">
        <v>366</v>
      </c>
    </row>
    <row r="17" spans="6:19" x14ac:dyDescent="0.3">
      <c r="F17" t="e">
        <f>#REF!</f>
        <v>#REF!</v>
      </c>
      <c r="G17" t="s">
        <v>367</v>
      </c>
      <c r="R17">
        <f>汇总!A32</f>
        <v>0</v>
      </c>
      <c r="S17" t="s">
        <v>368</v>
      </c>
    </row>
    <row r="18" spans="6:19" x14ac:dyDescent="0.3">
      <c r="F18" t="e">
        <f>#REF!</f>
        <v>#REF!</v>
      </c>
      <c r="G18" t="s">
        <v>369</v>
      </c>
      <c r="R18" t="e">
        <f>汇总!#REF!</f>
        <v>#REF!</v>
      </c>
      <c r="S18" t="s">
        <v>370</v>
      </c>
    </row>
    <row r="19" spans="6:19" x14ac:dyDescent="0.3">
      <c r="F19" t="e">
        <f>#REF!</f>
        <v>#REF!</v>
      </c>
      <c r="G19" t="s">
        <v>371</v>
      </c>
      <c r="R19" t="e">
        <f>'M.01 银承BKD'!#REF!</f>
        <v>#REF!</v>
      </c>
      <c r="S19" t="s">
        <v>372</v>
      </c>
    </row>
    <row r="20" spans="6:19" x14ac:dyDescent="0.3">
      <c r="F20" t="e">
        <f>#REF!</f>
        <v>#REF!</v>
      </c>
      <c r="G20" t="s">
        <v>373</v>
      </c>
      <c r="R20" t="e">
        <f>'M.01 银承BKD'!#REF!</f>
        <v>#REF!</v>
      </c>
      <c r="S20" t="s">
        <v>374</v>
      </c>
    </row>
    <row r="21" spans="6:19" x14ac:dyDescent="0.3">
      <c r="F21" t="e">
        <f>#REF!</f>
        <v>#REF!</v>
      </c>
      <c r="G21" t="s">
        <v>375</v>
      </c>
      <c r="R21" t="e">
        <f>#REF!</f>
        <v>#REF!</v>
      </c>
      <c r="S21" t="s">
        <v>376</v>
      </c>
    </row>
    <row r="22" spans="6:19" x14ac:dyDescent="0.3">
      <c r="F22" t="e">
        <f>#REF!</f>
        <v>#REF!</v>
      </c>
      <c r="G22" t="s">
        <v>377</v>
      </c>
      <c r="R22" t="e">
        <f>#REF!</f>
        <v>#REF!</v>
      </c>
      <c r="S22" t="s">
        <v>378</v>
      </c>
    </row>
    <row r="23" spans="6:19" x14ac:dyDescent="0.3">
      <c r="F23" t="e">
        <f>#REF!</f>
        <v>#REF!</v>
      </c>
      <c r="G23" t="s">
        <v>379</v>
      </c>
      <c r="R23" t="e">
        <f>#REF!</f>
        <v>#REF!</v>
      </c>
      <c r="S23" t="s">
        <v>380</v>
      </c>
    </row>
    <row r="24" spans="6:19" x14ac:dyDescent="0.3">
      <c r="F24" t="e">
        <f>#REF!</f>
        <v>#REF!</v>
      </c>
      <c r="G24" t="s">
        <v>381</v>
      </c>
      <c r="R24" t="e">
        <f>#REF!</f>
        <v>#REF!</v>
      </c>
      <c r="S24" t="s">
        <v>382</v>
      </c>
    </row>
    <row r="25" spans="6:19" x14ac:dyDescent="0.3">
      <c r="F25" t="e">
        <f>#REF!</f>
        <v>#REF!</v>
      </c>
      <c r="G25" t="s">
        <v>383</v>
      </c>
      <c r="R25" t="str">
        <f>汇总!A25</f>
        <v>P1</v>
      </c>
      <c r="S25" t="s">
        <v>384</v>
      </c>
    </row>
    <row r="26" spans="6:19" x14ac:dyDescent="0.3">
      <c r="F26" t="e">
        <f>#REF!</f>
        <v>#REF!</v>
      </c>
      <c r="G26" t="s">
        <v>385</v>
      </c>
      <c r="R26" t="e">
        <f>汇总!#REF!</f>
        <v>#REF!</v>
      </c>
      <c r="S26" t="s">
        <v>386</v>
      </c>
    </row>
    <row r="27" spans="6:19" x14ac:dyDescent="0.3">
      <c r="F27" t="e">
        <f>#REF!</f>
        <v>#REF!</v>
      </c>
      <c r="G27" t="s">
        <v>387</v>
      </c>
      <c r="R27" t="e">
        <f>'M.01 银承BKD'!#REF!</f>
        <v>#REF!</v>
      </c>
      <c r="S27" t="s">
        <v>388</v>
      </c>
    </row>
    <row r="28" spans="6:19" x14ac:dyDescent="0.3">
      <c r="F28" t="e">
        <f>#REF!</f>
        <v>#REF!</v>
      </c>
      <c r="G28" t="s">
        <v>389</v>
      </c>
      <c r="R28" t="e">
        <f>'M.01 银承BKD'!#REF!</f>
        <v>#REF!</v>
      </c>
      <c r="S28" t="s">
        <v>390</v>
      </c>
    </row>
    <row r="29" spans="6:19" x14ac:dyDescent="0.3">
      <c r="F29" t="e">
        <f>#REF!</f>
        <v>#REF!</v>
      </c>
      <c r="G29" t="s">
        <v>391</v>
      </c>
      <c r="R29" t="e">
        <f>#REF!</f>
        <v>#REF!</v>
      </c>
      <c r="S29" t="s">
        <v>392</v>
      </c>
    </row>
    <row r="30" spans="6:19" x14ac:dyDescent="0.3">
      <c r="F30" t="e">
        <f>#REF!</f>
        <v>#REF!</v>
      </c>
      <c r="G30" t="s">
        <v>393</v>
      </c>
      <c r="R30" t="e">
        <f>#REF!</f>
        <v>#REF!</v>
      </c>
      <c r="S30" t="s">
        <v>394</v>
      </c>
    </row>
    <row r="31" spans="6:19" x14ac:dyDescent="0.3">
      <c r="F31" t="e">
        <f>#REF!</f>
        <v>#REF!</v>
      </c>
      <c r="G31" t="s">
        <v>395</v>
      </c>
    </row>
    <row r="32" spans="6:19" x14ac:dyDescent="0.3">
      <c r="F32" t="e">
        <f>#REF!</f>
        <v>#REF!</v>
      </c>
      <c r="G32" t="s">
        <v>396</v>
      </c>
    </row>
    <row r="33" spans="6:7" x14ac:dyDescent="0.3">
      <c r="F33" t="e">
        <f>#REF!</f>
        <v>#REF!</v>
      </c>
      <c r="G33" t="s">
        <v>397</v>
      </c>
    </row>
    <row r="34" spans="6:7" x14ac:dyDescent="0.3">
      <c r="F34" t="e">
        <f>#REF!</f>
        <v>#REF!</v>
      </c>
      <c r="G34" t="s">
        <v>398</v>
      </c>
    </row>
    <row r="35" spans="6:7" x14ac:dyDescent="0.3">
      <c r="F35" t="e">
        <f>#REF!</f>
        <v>#REF!</v>
      </c>
      <c r="G35" t="s">
        <v>399</v>
      </c>
    </row>
    <row r="36" spans="6:7" x14ac:dyDescent="0.3">
      <c r="F36" t="e">
        <f>#REF!</f>
        <v>#REF!</v>
      </c>
      <c r="G36" t="s">
        <v>400</v>
      </c>
    </row>
    <row r="37" spans="6:7" x14ac:dyDescent="0.3">
      <c r="F37" t="e">
        <f>#REF!</f>
        <v>#REF!</v>
      </c>
      <c r="G37" t="s">
        <v>401</v>
      </c>
    </row>
    <row r="38" spans="6:7" x14ac:dyDescent="0.3">
      <c r="F38" t="e">
        <f>#REF!</f>
        <v>#REF!</v>
      </c>
      <c r="G38" t="s">
        <v>402</v>
      </c>
    </row>
    <row r="39" spans="6:7" x14ac:dyDescent="0.3">
      <c r="F39" t="e">
        <f>#REF!</f>
        <v>#REF!</v>
      </c>
      <c r="G39" t="s">
        <v>403</v>
      </c>
    </row>
    <row r="40" spans="6:7" x14ac:dyDescent="0.3">
      <c r="F40" t="e">
        <f>#REF!</f>
        <v>#REF!</v>
      </c>
      <c r="G40" t="s">
        <v>404</v>
      </c>
    </row>
    <row r="41" spans="6:7" x14ac:dyDescent="0.3">
      <c r="F41" t="e">
        <f>#REF!</f>
        <v>#REF!</v>
      </c>
      <c r="G41" t="s">
        <v>405</v>
      </c>
    </row>
    <row r="42" spans="6:7" x14ac:dyDescent="0.3">
      <c r="F42" t="e">
        <f>#REF!</f>
        <v>#REF!</v>
      </c>
      <c r="G42" t="s">
        <v>406</v>
      </c>
    </row>
    <row r="43" spans="6:7" x14ac:dyDescent="0.3">
      <c r="F43" t="e">
        <f>#REF!</f>
        <v>#REF!</v>
      </c>
      <c r="G43" t="s">
        <v>407</v>
      </c>
    </row>
    <row r="44" spans="6:7" x14ac:dyDescent="0.3">
      <c r="F44" t="e">
        <f>'M.01 银承BKD'!#REF!</f>
        <v>#REF!</v>
      </c>
      <c r="G44" t="s">
        <v>408</v>
      </c>
    </row>
    <row r="45" spans="6:7" x14ac:dyDescent="0.3">
      <c r="F45" t="e">
        <f>'M.01 银承BKD'!#REF!</f>
        <v>#REF!</v>
      </c>
      <c r="G45" t="s">
        <v>409</v>
      </c>
    </row>
    <row r="46" spans="6:7" x14ac:dyDescent="0.3">
      <c r="F46" t="e">
        <f>'M.01 银承BKD'!#REF!</f>
        <v>#REF!</v>
      </c>
      <c r="G46" t="s">
        <v>410</v>
      </c>
    </row>
    <row r="47" spans="6:7" x14ac:dyDescent="0.3">
      <c r="F47" t="e">
        <f>'M.01 银承BKD'!#REF!</f>
        <v>#REF!</v>
      </c>
      <c r="G47" t="s">
        <v>411</v>
      </c>
    </row>
    <row r="48" spans="6:7" x14ac:dyDescent="0.3">
      <c r="F48" t="e">
        <f>'M.01 银承BKD'!#REF!</f>
        <v>#REF!</v>
      </c>
      <c r="G48" t="s">
        <v>412</v>
      </c>
    </row>
    <row r="49" spans="6:7" x14ac:dyDescent="0.3">
      <c r="F49" t="e">
        <f>'M.01 银承BKD'!#REF!</f>
        <v>#REF!</v>
      </c>
      <c r="G49" t="s">
        <v>413</v>
      </c>
    </row>
    <row r="50" spans="6:7" x14ac:dyDescent="0.3">
      <c r="F50" t="e">
        <f>'M.01 银承BKD'!#REF!</f>
        <v>#REF!</v>
      </c>
      <c r="G50" t="s">
        <v>414</v>
      </c>
    </row>
    <row r="51" spans="6:7" x14ac:dyDescent="0.3">
      <c r="F51" t="e">
        <f>'M.01 银承BKD'!#REF!</f>
        <v>#REF!</v>
      </c>
      <c r="G51" t="s">
        <v>415</v>
      </c>
    </row>
    <row r="52" spans="6:7" x14ac:dyDescent="0.3">
      <c r="F52" t="e">
        <f>'M.01 银承BKD'!#REF!</f>
        <v>#REF!</v>
      </c>
      <c r="G52" t="s">
        <v>416</v>
      </c>
    </row>
    <row r="53" spans="6:7" x14ac:dyDescent="0.3">
      <c r="F53" t="e">
        <f>'M.01 银承BKD'!#REF!</f>
        <v>#REF!</v>
      </c>
      <c r="G53" t="s">
        <v>417</v>
      </c>
    </row>
    <row r="54" spans="6:7" x14ac:dyDescent="0.3">
      <c r="F54" t="e">
        <f>'M.01 银承BKD'!#REF!</f>
        <v>#REF!</v>
      </c>
      <c r="G54" t="s">
        <v>418</v>
      </c>
    </row>
    <row r="55" spans="6:7" x14ac:dyDescent="0.3">
      <c r="F55" t="e">
        <f>#REF!</f>
        <v>#REF!</v>
      </c>
      <c r="G55" t="s">
        <v>419</v>
      </c>
    </row>
    <row r="56" spans="6:7" x14ac:dyDescent="0.3">
      <c r="F56" t="e">
        <f>#REF!</f>
        <v>#REF!</v>
      </c>
      <c r="G56" t="s">
        <v>420</v>
      </c>
    </row>
    <row r="57" spans="6:7" x14ac:dyDescent="0.3">
      <c r="F57" t="e">
        <f>#REF!</f>
        <v>#REF!</v>
      </c>
      <c r="G57" t="s">
        <v>421</v>
      </c>
    </row>
    <row r="58" spans="6:7" x14ac:dyDescent="0.3">
      <c r="F58" t="e">
        <f>#REF!</f>
        <v>#REF!</v>
      </c>
      <c r="G58" t="s">
        <v>422</v>
      </c>
    </row>
    <row r="59" spans="6:7" x14ac:dyDescent="0.3">
      <c r="F59" t="e">
        <f>#REF!</f>
        <v>#REF!</v>
      </c>
      <c r="G59" t="s">
        <v>423</v>
      </c>
    </row>
    <row r="60" spans="6:7" x14ac:dyDescent="0.3">
      <c r="F60" t="e">
        <f>#REF!</f>
        <v>#REF!</v>
      </c>
      <c r="G60" t="s">
        <v>424</v>
      </c>
    </row>
    <row r="61" spans="6:7" x14ac:dyDescent="0.3">
      <c r="F61" t="e">
        <f>#REF!</f>
        <v>#REF!</v>
      </c>
      <c r="G61" t="s">
        <v>425</v>
      </c>
    </row>
    <row r="62" spans="6:7" x14ac:dyDescent="0.3">
      <c r="F62" t="e">
        <f>#REF!</f>
        <v>#REF!</v>
      </c>
      <c r="G62" t="s">
        <v>426</v>
      </c>
    </row>
    <row r="63" spans="6:7" x14ac:dyDescent="0.3">
      <c r="F63" t="e">
        <f>#REF!</f>
        <v>#REF!</v>
      </c>
      <c r="G63" t="s">
        <v>427</v>
      </c>
    </row>
    <row r="64" spans="6:7" x14ac:dyDescent="0.3">
      <c r="F64" t="e">
        <f>#REF!</f>
        <v>#REF!</v>
      </c>
      <c r="G64" t="s">
        <v>428</v>
      </c>
    </row>
    <row r="65" spans="6:7" x14ac:dyDescent="0.3">
      <c r="F65" t="e">
        <f>#REF!</f>
        <v>#REF!</v>
      </c>
      <c r="G65" t="s">
        <v>429</v>
      </c>
    </row>
    <row r="66" spans="6:7" x14ac:dyDescent="0.3">
      <c r="F66" t="e">
        <f>#REF!</f>
        <v>#REF!</v>
      </c>
      <c r="G66" t="s">
        <v>430</v>
      </c>
    </row>
    <row r="67" spans="6:7" x14ac:dyDescent="0.3">
      <c r="F67" t="e">
        <f>#REF!</f>
        <v>#REF!</v>
      </c>
      <c r="G67" t="s">
        <v>431</v>
      </c>
    </row>
    <row r="68" spans="6:7" x14ac:dyDescent="0.3">
      <c r="F68" t="e">
        <f>#REF!</f>
        <v>#REF!</v>
      </c>
      <c r="G68" t="s">
        <v>432</v>
      </c>
    </row>
    <row r="69" spans="6:7" x14ac:dyDescent="0.3">
      <c r="F69" t="e">
        <f>#REF!</f>
        <v>#REF!</v>
      </c>
      <c r="G69" t="s">
        <v>433</v>
      </c>
    </row>
    <row r="70" spans="6:7" x14ac:dyDescent="0.3">
      <c r="F70" t="e">
        <f>#REF!</f>
        <v>#REF!</v>
      </c>
      <c r="G70" t="s">
        <v>434</v>
      </c>
    </row>
    <row r="71" spans="6:7" x14ac:dyDescent="0.3">
      <c r="F71" t="e">
        <f>#REF!</f>
        <v>#REF!</v>
      </c>
      <c r="G71" t="s">
        <v>435</v>
      </c>
    </row>
    <row r="72" spans="6:7" x14ac:dyDescent="0.3">
      <c r="F72" t="e">
        <f>#REF!</f>
        <v>#REF!</v>
      </c>
      <c r="G72" t="s">
        <v>436</v>
      </c>
    </row>
    <row r="73" spans="6:7" x14ac:dyDescent="0.3">
      <c r="F73" t="e">
        <f>#REF!</f>
        <v>#REF!</v>
      </c>
      <c r="G73" t="s">
        <v>437</v>
      </c>
    </row>
    <row r="74" spans="6:7" x14ac:dyDescent="0.3">
      <c r="F74" t="e">
        <f>#REF!</f>
        <v>#REF!</v>
      </c>
      <c r="G74" t="s">
        <v>438</v>
      </c>
    </row>
    <row r="75" spans="6:7" x14ac:dyDescent="0.3">
      <c r="F75" t="e">
        <f>#REF!</f>
        <v>#REF!</v>
      </c>
      <c r="G75" t="s">
        <v>439</v>
      </c>
    </row>
    <row r="76" spans="6:7" x14ac:dyDescent="0.3">
      <c r="F76" t="e">
        <f>#REF!</f>
        <v>#REF!</v>
      </c>
      <c r="G76" t="s">
        <v>440</v>
      </c>
    </row>
    <row r="77" spans="6:7" x14ac:dyDescent="0.3">
      <c r="F77" t="e">
        <f>#REF!</f>
        <v>#REF!</v>
      </c>
      <c r="G77" t="s">
        <v>441</v>
      </c>
    </row>
    <row r="78" spans="6:7" x14ac:dyDescent="0.3">
      <c r="F78" t="e">
        <f>#REF!</f>
        <v>#REF!</v>
      </c>
      <c r="G78" t="s">
        <v>442</v>
      </c>
    </row>
    <row r="79" spans="6:7" x14ac:dyDescent="0.3">
      <c r="F79" t="e">
        <f>#REF!</f>
        <v>#REF!</v>
      </c>
      <c r="G79" t="s">
        <v>443</v>
      </c>
    </row>
    <row r="80" spans="6:7" x14ac:dyDescent="0.3">
      <c r="F80" t="e">
        <f>#REF!</f>
        <v>#REF!</v>
      </c>
      <c r="G80" t="s">
        <v>444</v>
      </c>
    </row>
    <row r="81" spans="6:7" x14ac:dyDescent="0.3">
      <c r="F81" t="e">
        <f>#REF!</f>
        <v>#REF!</v>
      </c>
      <c r="G81" t="s">
        <v>445</v>
      </c>
    </row>
    <row r="82" spans="6:7" x14ac:dyDescent="0.3">
      <c r="F82" t="e">
        <f>#REF!</f>
        <v>#REF!</v>
      </c>
      <c r="G82" t="s">
        <v>446</v>
      </c>
    </row>
    <row r="83" spans="6:7" x14ac:dyDescent="0.3">
      <c r="F83" t="e">
        <f>#REF!</f>
        <v>#REF!</v>
      </c>
      <c r="G83" t="s">
        <v>447</v>
      </c>
    </row>
    <row r="84" spans="6:7" x14ac:dyDescent="0.3">
      <c r="F84" t="e">
        <f>#REF!</f>
        <v>#REF!</v>
      </c>
      <c r="G84" t="s">
        <v>448</v>
      </c>
    </row>
    <row r="85" spans="6:7" x14ac:dyDescent="0.3">
      <c r="F85" t="e">
        <f>#REF!</f>
        <v>#REF!</v>
      </c>
      <c r="G85" t="s">
        <v>449</v>
      </c>
    </row>
    <row r="86" spans="6:7" x14ac:dyDescent="0.3">
      <c r="F86" t="e">
        <f>#REF!</f>
        <v>#REF!</v>
      </c>
      <c r="G86" t="s">
        <v>450</v>
      </c>
    </row>
    <row r="87" spans="6:7" x14ac:dyDescent="0.3">
      <c r="F87" t="e">
        <f>#REF!</f>
        <v>#REF!</v>
      </c>
      <c r="G87" t="s">
        <v>451</v>
      </c>
    </row>
    <row r="88" spans="6:7" x14ac:dyDescent="0.3">
      <c r="F88" t="e">
        <f>#REF!</f>
        <v>#REF!</v>
      </c>
      <c r="G88" t="s">
        <v>452</v>
      </c>
    </row>
    <row r="89" spans="6:7" x14ac:dyDescent="0.3">
      <c r="F89" t="e">
        <f>#REF!</f>
        <v>#REF!</v>
      </c>
      <c r="G89" t="s">
        <v>453</v>
      </c>
    </row>
    <row r="90" spans="6:7" x14ac:dyDescent="0.3">
      <c r="F90" t="e">
        <f>#REF!</f>
        <v>#REF!</v>
      </c>
      <c r="G90" t="s">
        <v>454</v>
      </c>
    </row>
    <row r="91" spans="6:7" x14ac:dyDescent="0.3">
      <c r="F91" t="e">
        <f>#REF!</f>
        <v>#REF!</v>
      </c>
      <c r="G91" t="s">
        <v>455</v>
      </c>
    </row>
    <row r="92" spans="6:7" x14ac:dyDescent="0.3">
      <c r="F92" t="e">
        <f>#REF!</f>
        <v>#REF!</v>
      </c>
      <c r="G92" t="s">
        <v>456</v>
      </c>
    </row>
  </sheetData>
  <phoneticPr fontId="72" type="noConversion"/>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CE631BD6E7C4224EA35D6179E169DE4E" ma:contentTypeVersion="2" ma:contentTypeDescription="新建文档。" ma:contentTypeScope="" ma:versionID="7c117095d113bf2bd5ddd147da288a30">
  <xsd:schema xmlns:xsd="http://www.w3.org/2001/XMLSchema" xmlns:xs="http://www.w3.org/2001/XMLSchema" xmlns:p="http://schemas.microsoft.com/office/2006/metadata/properties" xmlns:ns2="cc0b555d-f9c8-498e-9de6-a2f3a89074c8" targetNamespace="http://schemas.microsoft.com/office/2006/metadata/properties" ma:root="true" ma:fieldsID="55b8e1a1782e4bb1fcd4ade4029690d1" ns2:_="">
    <xsd:import namespace="cc0b555d-f9c8-498e-9de6-a2f3a89074c8"/>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0b555d-f9c8-498e-9de6-a2f3a89074c8"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3B5A666-3D4C-4D2C-A598-F6DC2A0C69B3}">
  <ds:schemaRefs/>
</ds:datastoreItem>
</file>

<file path=customXml/itemProps2.xml><?xml version="1.0" encoding="utf-8"?>
<ds:datastoreItem xmlns:ds="http://schemas.openxmlformats.org/officeDocument/2006/customXml" ds:itemID="{FCCC291B-C9D7-44A2-A7F8-AEBB36E4B26B}">
  <ds:schemaRefs/>
</ds:datastoreItem>
</file>

<file path=customXml/itemProps3.xml><?xml version="1.0" encoding="utf-8"?>
<ds:datastoreItem xmlns:ds="http://schemas.openxmlformats.org/officeDocument/2006/customXml" ds:itemID="{B82A8A3A-7894-4663-9030-12CEC61881F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Comments【归档前删除】</vt:lpstr>
      <vt:lpstr>汇总</vt:lpstr>
      <vt:lpstr>M.00 Lead</vt:lpstr>
      <vt:lpstr>M.01 银承BKD</vt:lpstr>
      <vt:lpstr>DPCC-银承</vt:lpstr>
      <vt:lpstr>DPCA-银承</vt:lpstr>
      <vt:lpstr>回函7.尚未支付的银行承兑汇票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Skywind_N_应付账款_20191231_测试账套穿透模板1.xlsx</dc:title>
  <dc:creator>Helen HL Qiao</dc:creator>
  <cp:keywords>Final Audit.V6.M.0901</cp:keywords>
  <dc:description>10124938-818F-4C5F-A38C-5EC3345A3A16</dc:description>
  <cp:lastModifiedBy>Jayla Zhang</cp:lastModifiedBy>
  <dcterms:created xsi:type="dcterms:W3CDTF">2019-08-16T09:12:00Z</dcterms:created>
  <dcterms:modified xsi:type="dcterms:W3CDTF">2026-03-16T03:57:43Z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0x010100CE631BD6E7C4224EA35D6179E169DE4E</vt:lpwstr>
  </property>
  <property fmtid="{D5CDD505-2E9C-101B-9397-08002B2CF9AE}" pid="3" name="ICV">
    <vt:lpwstr>DAB51CA01B73440982348705B3F4B6B0</vt:lpwstr>
  </property>
  <property fmtid="{D5CDD505-2E9C-101B-9397-08002B2CF9AE}" pid="4" name="KSOProductBuildVer">
    <vt:lpwstr>2052-12.1.0.24657</vt:lpwstr>
  </property>
  <property fmtid="{D5CDD505-2E9C-101B-9397-08002B2CF9AE}" pid="5" name="CalculationRule">
    <vt:i4>0</vt:i4>
  </property>
</Properties>
</file>
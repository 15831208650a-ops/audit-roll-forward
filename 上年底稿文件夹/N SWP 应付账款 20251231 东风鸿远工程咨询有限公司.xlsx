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XF852QL\AppData\Local\CanvasDocHelper\Evidence\dbf8b1fc2ad147079718e327afd89778\"/>
    </mc:Choice>
  </mc:AlternateContent>
  <xr:revisionPtr revIDLastSave="0" documentId="13_ncr:1_{3AD343B0-8E17-47C4-B471-E20977EFF5C7}" xr6:coauthVersionLast="47" xr6:coauthVersionMax="47" xr10:uidLastSave="{00000000-0000-0000-0000-000000000000}"/>
  <bookViews>
    <workbookView xWindow="-108" yWindow="-108" windowWidth="30936" windowHeight="16776" tabRatio="824" xr2:uid="{00000000-000D-0000-FFFF-FFFF00000000}"/>
  </bookViews>
  <sheets>
    <sheet name="Comments【归档前删除】" sheetId="90" r:id="rId1"/>
    <sheet name="汇总" sheetId="73" r:id="rId2"/>
    <sheet name="N.00 Lead sheet" sheetId="4" r:id="rId3"/>
    <sheet name="N.01 明细账与总账核对" sheetId="86" r:id="rId4"/>
    <sheet name="N.01 明细账与总账核对 (20241231)" sheetId="88" r:id="rId5"/>
    <sheet name="N.01.01明细账" sheetId="87" r:id="rId6"/>
    <sheet name="N.01.01明细账 (20241231)" sheetId="89" r:id="rId7"/>
    <sheet name="N.02 异常项复核" sheetId="52" r:id="rId8"/>
    <sheet name="N.03 截止测试" sheetId="12" r:id="rId9"/>
    <sheet name="N.04 寻找未入账负债" sheetId="74" r:id="rId10"/>
    <sheet name="SkywindSettingSheet" sheetId="42" state="veryHidden" r:id="rId11"/>
    <sheet name="DS_INTERNAL_SETTINGS_STORAGE" sheetId="69" state="veryHidden" r:id="rId12"/>
    <sheet name="DS_INTERNAL_DOCGROUP_STORAGE" sheetId="70" state="veryHidden" r:id="rId13"/>
    <sheet name="DS_INTERNAL_DOCUMENT_STORAGE" sheetId="71" state="veryHidden" r:id="rId14"/>
    <sheet name="DS_INTERNAL_SNIP_STORAGE" sheetId="72" state="veryHidden" r:id="rId15"/>
  </sheets>
  <externalReferences>
    <externalReference r:id="rId16"/>
  </externalReferences>
  <definedNames>
    <definedName name="_____dod1" localSheetId="5" hidden="1">{#N/A,#N/A,TRUE,"CPRD";#N/A,#N/A,TRUE,"BCCPDR";#N/A,#N/A,TRUE,"EWRD";#N/A,#N/A,TRUE,"5100";#N/A,#N/A,TRUE,"5110"}</definedName>
    <definedName name="_____dod1" localSheetId="6" hidden="1">{#N/A,#N/A,TRUE,"CPRD";#N/A,#N/A,TRUE,"BCCPDR";#N/A,#N/A,TRUE,"EWRD";#N/A,#N/A,TRUE,"5100";#N/A,#N/A,TRUE,"5110"}</definedName>
    <definedName name="_____dod1" localSheetId="9" hidden="1">{#N/A,#N/A,TRUE,"CPRD";#N/A,#N/A,TRUE,"BCCPDR";#N/A,#N/A,TRUE,"EWRD";#N/A,#N/A,TRUE,"5100";#N/A,#N/A,TRUE,"5110"}</definedName>
    <definedName name="_____dod1" localSheetId="1" hidden="1">{#N/A,#N/A,TRUE,"CPRD";#N/A,#N/A,TRUE,"BCCPDR";#N/A,#N/A,TRUE,"EWRD";#N/A,#N/A,TRUE,"5100";#N/A,#N/A,TRUE,"5110"}</definedName>
    <definedName name="_____dod1" hidden="1">{#N/A,#N/A,TRUE,"CPRD";#N/A,#N/A,TRUE,"BCCPDR";#N/A,#N/A,TRUE,"EWRD";#N/A,#N/A,TRUE,"5100";#N/A,#N/A,TRUE,"5110"}</definedName>
    <definedName name="____dod1" localSheetId="5" hidden="1">{#N/A,#N/A,TRUE,"CPRD";#N/A,#N/A,TRUE,"BCCPDR";#N/A,#N/A,TRUE,"EWRD";#N/A,#N/A,TRUE,"5100";#N/A,#N/A,TRUE,"5110"}</definedName>
    <definedName name="____dod1" localSheetId="6" hidden="1">{#N/A,#N/A,TRUE,"CPRD";#N/A,#N/A,TRUE,"BCCPDR";#N/A,#N/A,TRUE,"EWRD";#N/A,#N/A,TRUE,"5100";#N/A,#N/A,TRUE,"5110"}</definedName>
    <definedName name="____dod1" localSheetId="9" hidden="1">{#N/A,#N/A,TRUE,"CPRD";#N/A,#N/A,TRUE,"BCCPDR";#N/A,#N/A,TRUE,"EWRD";#N/A,#N/A,TRUE,"5100";#N/A,#N/A,TRUE,"5110"}</definedName>
    <definedName name="____dod1" localSheetId="1" hidden="1">{#N/A,#N/A,TRUE,"CPRD";#N/A,#N/A,TRUE,"BCCPDR";#N/A,#N/A,TRUE,"EWRD";#N/A,#N/A,TRUE,"5100";#N/A,#N/A,TRUE,"5110"}</definedName>
    <definedName name="____dod1" hidden="1">{#N/A,#N/A,TRUE,"CPRD";#N/A,#N/A,TRUE,"BCCPDR";#N/A,#N/A,TRUE,"EWRD";#N/A,#N/A,TRUE,"5100";#N/A,#N/A,TRUE,"5110"}</definedName>
    <definedName name="___dod1" localSheetId="5" hidden="1">{#N/A,#N/A,TRUE,"CPRD";#N/A,#N/A,TRUE,"BCCPDR";#N/A,#N/A,TRUE,"EWRD";#N/A,#N/A,TRUE,"5100";#N/A,#N/A,TRUE,"5110"}</definedName>
    <definedName name="___dod1" localSheetId="6" hidden="1">{#N/A,#N/A,TRUE,"CPRD";#N/A,#N/A,TRUE,"BCCPDR";#N/A,#N/A,TRUE,"EWRD";#N/A,#N/A,TRUE,"5100";#N/A,#N/A,TRUE,"5110"}</definedName>
    <definedName name="___dod1" localSheetId="9" hidden="1">{#N/A,#N/A,TRUE,"CPRD";#N/A,#N/A,TRUE,"BCCPDR";#N/A,#N/A,TRUE,"EWRD";#N/A,#N/A,TRUE,"5100";#N/A,#N/A,TRUE,"5110"}</definedName>
    <definedName name="___dod1" localSheetId="1" hidden="1">{#N/A,#N/A,TRUE,"CPRD";#N/A,#N/A,TRUE,"BCCPDR";#N/A,#N/A,TRUE,"EWRD";#N/A,#N/A,TRUE,"5100";#N/A,#N/A,TRUE,"5110"}</definedName>
    <definedName name="___dod1" hidden="1">{#N/A,#N/A,TRUE,"CPRD";#N/A,#N/A,TRUE,"BCCPDR";#N/A,#N/A,TRUE,"EWRD";#N/A,#N/A,TRUE,"5100";#N/A,#N/A,TRUE,"5110"}</definedName>
    <definedName name="___dog1" localSheetId="5" hidden="1">{#N/A,#N/A,TRUE,"CPRD";#N/A,#N/A,TRUE,"BCCPDR";#N/A,#N/A,TRUE,"EWRD";#N/A,#N/A,TRUE,"5100";#N/A,#N/A,TRUE,"5110"}</definedName>
    <definedName name="___dog1" localSheetId="6" hidden="1">{#N/A,#N/A,TRUE,"CPRD";#N/A,#N/A,TRUE,"BCCPDR";#N/A,#N/A,TRUE,"EWRD";#N/A,#N/A,TRUE,"5100";#N/A,#N/A,TRUE,"5110"}</definedName>
    <definedName name="___dog1" localSheetId="9" hidden="1">{#N/A,#N/A,TRUE,"CPRD";#N/A,#N/A,TRUE,"BCCPDR";#N/A,#N/A,TRUE,"EWRD";#N/A,#N/A,TRUE,"5100";#N/A,#N/A,TRUE,"5110"}</definedName>
    <definedName name="___dog1" localSheetId="1" hidden="1">{#N/A,#N/A,TRUE,"CPRD";#N/A,#N/A,TRUE,"BCCPDR";#N/A,#N/A,TRUE,"EWRD";#N/A,#N/A,TRUE,"5100";#N/A,#N/A,TRUE,"5110"}</definedName>
    <definedName name="___dog1" hidden="1">{#N/A,#N/A,TRUE,"CPRD";#N/A,#N/A,TRUE,"BCCPDR";#N/A,#N/A,TRUE,"EWRD";#N/A,#N/A,TRUE,"5100";#N/A,#N/A,TRUE,"5110"}</definedName>
    <definedName name="__123Graph_A" localSheetId="9" hidden="1">#REF!</definedName>
    <definedName name="__123Graph_A" hidden="1">#REF!</definedName>
    <definedName name="__123Graph_AGraph1" localSheetId="9" hidden="1">#REF!</definedName>
    <definedName name="__123Graph_AGraph1" hidden="1">#REF!</definedName>
    <definedName name="__123Graph_B" localSheetId="9" hidden="1">#REF!</definedName>
    <definedName name="__123Graph_B" hidden="1">#REF!</definedName>
    <definedName name="__123Graph_BGraph1" localSheetId="9" hidden="1">#REF!</definedName>
    <definedName name="__123Graph_BGraph1" hidden="1">#REF!</definedName>
    <definedName name="__123Graph_C" hidden="1">#REF!</definedName>
    <definedName name="__123Graph_CGraph1" hidden="1">#REF!</definedName>
    <definedName name="__123Graph_D" localSheetId="9"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localSheetId="5" hidden="1">{#N/A,#N/A,TRUE,"CPRD";#N/A,#N/A,TRUE,"BCCPDR";#N/A,#N/A,TRUE,"EWRD";#N/A,#N/A,TRUE,"5100";#N/A,#N/A,TRUE,"5110"}</definedName>
    <definedName name="__dod1" localSheetId="6" hidden="1">{#N/A,#N/A,TRUE,"CPRD";#N/A,#N/A,TRUE,"BCCPDR";#N/A,#N/A,TRUE,"EWRD";#N/A,#N/A,TRUE,"5100";#N/A,#N/A,TRUE,"5110"}</definedName>
    <definedName name="__dod1" localSheetId="9" hidden="1">{#N/A,#N/A,TRUE,"CPRD";#N/A,#N/A,TRUE,"BCCPDR";#N/A,#N/A,TRUE,"EWRD";#N/A,#N/A,TRUE,"5100";#N/A,#N/A,TRUE,"5110"}</definedName>
    <definedName name="__dod1" localSheetId="1" hidden="1">{#N/A,#N/A,TRUE,"CPRD";#N/A,#N/A,TRUE,"BCCPDR";#N/A,#N/A,TRUE,"EWRD";#N/A,#N/A,TRUE,"5100";#N/A,#N/A,TRUE,"5110"}</definedName>
    <definedName name="__dod1" hidden="1">{#N/A,#N/A,TRUE,"CPRD";#N/A,#N/A,TRUE,"BCCPDR";#N/A,#N/A,TRUE,"EWRD";#N/A,#N/A,TRUE,"5100";#N/A,#N/A,TRUE,"5110"}</definedName>
    <definedName name="__dog1" localSheetId="5" hidden="1">{#N/A,#N/A,TRUE,"CPRD";#N/A,#N/A,TRUE,"BCCPDR";#N/A,#N/A,TRUE,"EWRD";#N/A,#N/A,TRUE,"5100";#N/A,#N/A,TRUE,"5110"}</definedName>
    <definedName name="__dog1" localSheetId="6" hidden="1">{#N/A,#N/A,TRUE,"CPRD";#N/A,#N/A,TRUE,"BCCPDR";#N/A,#N/A,TRUE,"EWRD";#N/A,#N/A,TRUE,"5100";#N/A,#N/A,TRUE,"5110"}</definedName>
    <definedName name="__dog1" localSheetId="9" hidden="1">{#N/A,#N/A,TRUE,"CPRD";#N/A,#N/A,TRUE,"BCCPDR";#N/A,#N/A,TRUE,"EWRD";#N/A,#N/A,TRUE,"5100";#N/A,#N/A,TRUE,"5110"}</definedName>
    <definedName name="__dog1" localSheetI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5" hidden="1">{#N/A,#N/A,TRUE,"CPRD";#N/A,#N/A,TRUE,"BCCPDR";#N/A,#N/A,TRUE,"EWRD";#N/A,#N/A,TRUE,"5100";#N/A,#N/A,TRUE,"5110"}</definedName>
    <definedName name="_dod1" localSheetId="6" hidden="1">{#N/A,#N/A,TRUE,"CPRD";#N/A,#N/A,TRUE,"BCCPDR";#N/A,#N/A,TRUE,"EWRD";#N/A,#N/A,TRUE,"5100";#N/A,#N/A,TRUE,"5110"}</definedName>
    <definedName name="_dod1" localSheetId="9" hidden="1">{#N/A,#N/A,TRUE,"CPRD";#N/A,#N/A,TRUE,"BCCPDR";#N/A,#N/A,TRUE,"EWRD";#N/A,#N/A,TRUE,"5100";#N/A,#N/A,TRUE,"5110"}</definedName>
    <definedName name="_dod1" localSheetId="1" hidden="1">{#N/A,#N/A,TRUE,"CPRD";#N/A,#N/A,TRUE,"BCCPDR";#N/A,#N/A,TRUE,"EWRD";#N/A,#N/A,TRUE,"5100";#N/A,#N/A,TRUE,"5110"}</definedName>
    <definedName name="_dod1" hidden="1">{#N/A,#N/A,TRUE,"CPRD";#N/A,#N/A,TRUE,"BCCPDR";#N/A,#N/A,TRUE,"EWRD";#N/A,#N/A,TRUE,"5100";#N/A,#N/A,TRUE,"5110"}</definedName>
    <definedName name="_dog1" localSheetId="5" hidden="1">{#N/A,#N/A,TRUE,"CPRD";#N/A,#N/A,TRUE,"BCCPDR";#N/A,#N/A,TRUE,"EWRD";#N/A,#N/A,TRUE,"5100";#N/A,#N/A,TRUE,"5110"}</definedName>
    <definedName name="_dog1" localSheetId="6" hidden="1">{#N/A,#N/A,TRUE,"CPRD";#N/A,#N/A,TRUE,"BCCPDR";#N/A,#N/A,TRUE,"EWRD";#N/A,#N/A,TRUE,"5100";#N/A,#N/A,TRUE,"5110"}</definedName>
    <definedName name="_dog1" localSheetId="9" hidden="1">{#N/A,#N/A,TRUE,"CPRD";#N/A,#N/A,TRUE,"BCCPDR";#N/A,#N/A,TRUE,"EWRD";#N/A,#N/A,TRUE,"5100";#N/A,#N/A,TRUE,"5110"}</definedName>
    <definedName name="_dog1" localSheetId="1" hidden="1">{#N/A,#N/A,TRUE,"CPRD";#N/A,#N/A,TRUE,"BCCPDR";#N/A,#N/A,TRUE,"EWRD";#N/A,#N/A,TRUE,"5100";#N/A,#N/A,TRUE,"5110"}</definedName>
    <definedName name="_dog1" hidden="1">{#N/A,#N/A,TRUE,"CPRD";#N/A,#N/A,TRUE,"BCCPDR";#N/A,#N/A,TRUE,"EWRD";#N/A,#N/A,TRUE,"5100";#N/A,#N/A,TRUE,"5110"}</definedName>
    <definedName name="_Fill" localSheetId="9" hidden="1">#REF!</definedName>
    <definedName name="_Fill" hidden="1">#REF!</definedName>
    <definedName name="_xlnm._FilterDatabase" localSheetId="5" hidden="1">'N.01.01明细账'!$A$6:$X$222</definedName>
    <definedName name="_xlnm._FilterDatabase" localSheetId="9" hidden="1">#REF!</definedName>
    <definedName name="_xlnm._FilterDatabase" hidden="1">#REF!</definedName>
    <definedName name="_Key1" localSheetId="9" hidden="1">#REF!</definedName>
    <definedName name="_Key1" hidden="1">#REF!</definedName>
    <definedName name="_Key2" localSheetId="9"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localSheetId="9"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localSheetId="5"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9" hidden="1">#REF!</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localSheetId="5" hidden="1">{#N/A,#N/A,TRUE,"CPRD";#N/A,#N/A,TRUE,"BCCPDR";#N/A,#N/A,TRUE,"EWRD";#N/A,#N/A,TRUE,"5100";#N/A,#N/A,TRUE,"5110"}</definedName>
    <definedName name="ass" localSheetId="6" hidden="1">{#N/A,#N/A,TRUE,"CPRD";#N/A,#N/A,TRUE,"BCCPDR";#N/A,#N/A,TRUE,"EWRD";#N/A,#N/A,TRUE,"5100";#N/A,#N/A,TRUE,"5110"}</definedName>
    <definedName name="ass" localSheetId="9" hidden="1">{#N/A,#N/A,TRUE,"CPRD";#N/A,#N/A,TRUE,"BCCPDR";#N/A,#N/A,TRUE,"EWRD";#N/A,#N/A,TRUE,"5100";#N/A,#N/A,TRUE,"5110"}</definedName>
    <definedName name="ass" localSheetId="1"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localSheetId="9"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5" hidden="1">{#N/A,#N/A,TRUE,"CPRD";#N/A,#N/A,TRUE,"BCCPDR";#N/A,#N/A,TRUE,"EWRD";#N/A,#N/A,TRUE,"5100";#N/A,#N/A,TRUE,"5110"}</definedName>
    <definedName name="doddd" localSheetId="6" hidden="1">{#N/A,#N/A,TRUE,"CPRD";#N/A,#N/A,TRUE,"BCCPDR";#N/A,#N/A,TRUE,"EWRD";#N/A,#N/A,TRUE,"5100";#N/A,#N/A,TRUE,"5110"}</definedName>
    <definedName name="doddd" localSheetId="9" hidden="1">{#N/A,#N/A,TRUE,"CPRD";#N/A,#N/A,TRUE,"BCCPDR";#N/A,#N/A,TRUE,"EWRD";#N/A,#N/A,TRUE,"5100";#N/A,#N/A,TRUE,"5110"}</definedName>
    <definedName name="doddd" localSheetId="1" hidden="1">{#N/A,#N/A,TRUE,"CPRD";#N/A,#N/A,TRUE,"BCCPDR";#N/A,#N/A,TRUE,"EWRD";#N/A,#N/A,TRUE,"5100";#N/A,#N/A,TRUE,"5110"}</definedName>
    <definedName name="doddd" hidden="1">{#N/A,#N/A,TRUE,"CPRD";#N/A,#N/A,TRUE,"BCCPDR";#N/A,#N/A,TRUE,"EWRD";#N/A,#N/A,TRUE,"5100";#N/A,#N/A,TRUE,"5110"}</definedName>
    <definedName name="dog" localSheetId="5" hidden="1">{#N/A,#N/A,TRUE,"CPRD";#N/A,#N/A,TRUE,"BCCPDR";#N/A,#N/A,TRUE,"EWRD";#N/A,#N/A,TRUE,"5100";#N/A,#N/A,TRUE,"5110"}</definedName>
    <definedName name="dog" localSheetId="6" hidden="1">{#N/A,#N/A,TRUE,"CPRD";#N/A,#N/A,TRUE,"BCCPDR";#N/A,#N/A,TRUE,"EWRD";#N/A,#N/A,TRUE,"5100";#N/A,#N/A,TRUE,"5110"}</definedName>
    <definedName name="dog" localSheetId="9" hidden="1">{#N/A,#N/A,TRUE,"CPRD";#N/A,#N/A,TRUE,"BCCPDR";#N/A,#N/A,TRUE,"EWRD";#N/A,#N/A,TRUE,"5100";#N/A,#N/A,TRUE,"5110"}</definedName>
    <definedName name="dog" localSheetId="1"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localSheetId="5" hidden="1">{#N/A,#N/A,FALSE,"Jan"}</definedName>
    <definedName name="ehdg" localSheetId="6" hidden="1">{#N/A,#N/A,FALSE,"Jan"}</definedName>
    <definedName name="ehdg" localSheetId="9" hidden="1">{#N/A,#N/A,FALSE,"Jan"}</definedName>
    <definedName name="ehdg" localSheetId="1" hidden="1">{#N/A,#N/A,FALSE,"Jan"}</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localSheetId="5" hidden="1">{#N/A,#N/A,TRUE,"CPRD";#N/A,#N/A,TRUE,"BCCPDR";#N/A,#N/A,TRUE,"EWRD";#N/A,#N/A,TRUE,"5100";#N/A,#N/A,TRUE,"5110"}</definedName>
    <definedName name="ExpenseUpload" localSheetId="6" hidden="1">{#N/A,#N/A,TRUE,"CPRD";#N/A,#N/A,TRUE,"BCCPDR";#N/A,#N/A,TRUE,"EWRD";#N/A,#N/A,TRUE,"5100";#N/A,#N/A,TRUE,"5110"}</definedName>
    <definedName name="ExpenseUpload" localSheetId="9" hidden="1">{#N/A,#N/A,TRUE,"CPRD";#N/A,#N/A,TRUE,"BCCPDR";#N/A,#N/A,TRUE,"EWRD";#N/A,#N/A,TRUE,"5100";#N/A,#N/A,TRUE,"5110"}</definedName>
    <definedName name="ExpenseUpload" localSheetId="1" hidden="1">{#N/A,#N/A,TRUE,"CPRD";#N/A,#N/A,TRUE,"BCCPDR";#N/A,#N/A,TRUE,"EWRD";#N/A,#N/A,TRUE,"5100";#N/A,#N/A,TRUE,"5110"}</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localSheetId="5" hidden="1">{#N/A,#N/A,TRUE,"CPRD";#N/A,#N/A,TRUE,"BCCPDR";#N/A,#N/A,TRUE,"EWRD";#N/A,#N/A,TRUE,"5100";#N/A,#N/A,TRUE,"5110"}</definedName>
    <definedName name="feedback" localSheetId="6" hidden="1">{#N/A,#N/A,TRUE,"CPRD";#N/A,#N/A,TRUE,"BCCPDR";#N/A,#N/A,TRUE,"EWRD";#N/A,#N/A,TRUE,"5100";#N/A,#N/A,TRUE,"5110"}</definedName>
    <definedName name="feedback" localSheetId="9" hidden="1">{#N/A,#N/A,TRUE,"CPRD";#N/A,#N/A,TRUE,"BCCPDR";#N/A,#N/A,TRUE,"EWRD";#N/A,#N/A,TRUE,"5100";#N/A,#N/A,TRUE,"5110"}</definedName>
    <definedName name="feedback" localSheetId="1" hidden="1">{#N/A,#N/A,TRUE,"CPRD";#N/A,#N/A,TRUE,"BCCPDR";#N/A,#N/A,TRUE,"EWRD";#N/A,#N/A,TRUE,"5100";#N/A,#N/A,TRUE,"5110"}</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localSheetId="5" hidden="1">{#N/A,#N/A,TRUE,"CPRD";#N/A,#N/A,TRUE,"BCCPDR";#N/A,#N/A,TRUE,"EWRD";#N/A,#N/A,TRUE,"5100";#N/A,#N/A,TRUE,"5110"}</definedName>
    <definedName name="HdctTrnd" localSheetId="6" hidden="1">{#N/A,#N/A,TRUE,"CPRD";#N/A,#N/A,TRUE,"BCCPDR";#N/A,#N/A,TRUE,"EWRD";#N/A,#N/A,TRUE,"5100";#N/A,#N/A,TRUE,"5110"}</definedName>
    <definedName name="HdctTrnd" localSheetId="9" hidden="1">{#N/A,#N/A,TRUE,"CPRD";#N/A,#N/A,TRUE,"BCCPDR";#N/A,#N/A,TRUE,"EWRD";#N/A,#N/A,TRUE,"5100";#N/A,#N/A,TRUE,"5110"}</definedName>
    <definedName name="HdctTrnd" localSheetId="1" hidden="1">{#N/A,#N/A,TRUE,"CPRD";#N/A,#N/A,TRUE,"BCCPDR";#N/A,#N/A,TRUE,"EWRD";#N/A,#N/A,TRUE,"5100";#N/A,#N/A,TRUE,"5110"}</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localSheetId="5" hidden="1">{"'Vxxe_times_J750 (2)'!$A$3:$E$14"}</definedName>
    <definedName name="HTML_Control" localSheetId="6" hidden="1">{"'Vxxe_times_J750 (2)'!$A$3:$E$14"}</definedName>
    <definedName name="HTML_Control" localSheetId="9" hidden="1">{"'Vxxe_times_J750 (2)'!$A$3:$E$14"}</definedName>
    <definedName name="HTML_Control" localSheetId="1"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localSheetId="9" hidden="1">#REF!</definedName>
    <definedName name="LotusGraphChart1" hidden="1">#REF!</definedName>
    <definedName name="lotusgraphchart1b" localSheetId="9" hidden="1">#REF!</definedName>
    <definedName name="lotusgraphchart1b" hidden="1">#REF!</definedName>
    <definedName name="lotusgraphchart1x" localSheetId="9"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localSheetId="5" hidden="1">{#N/A,#N/A,TRUE,"CPRD";#N/A,#N/A,TRUE,"BCCPDR";#N/A,#N/A,TRUE,"EWRD";#N/A,#N/A,TRUE,"5100";#N/A,#N/A,TRUE,"5110"}</definedName>
    <definedName name="notused" localSheetId="6" hidden="1">{#N/A,#N/A,TRUE,"CPRD";#N/A,#N/A,TRUE,"BCCPDR";#N/A,#N/A,TRUE,"EWRD";#N/A,#N/A,TRUE,"5100";#N/A,#N/A,TRUE,"5110"}</definedName>
    <definedName name="notused" localSheetId="9" hidden="1">{#N/A,#N/A,TRUE,"CPRD";#N/A,#N/A,TRUE,"BCCPDR";#N/A,#N/A,TRUE,"EWRD";#N/A,#N/A,TRUE,"5100";#N/A,#N/A,TRUE,"5110"}</definedName>
    <definedName name="notused" localSheetId="1" hidden="1">{#N/A,#N/A,TRUE,"CPRD";#N/A,#N/A,TRUE,"BCCPDR";#N/A,#N/A,TRUE,"EWRD";#N/A,#N/A,TRUE,"5100";#N/A,#N/A,TRUE,"5110"}</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5" hidden="1">{"M2aPrint",#N/A,FALSE,"M2a"}</definedName>
    <definedName name="qwertyuiopasdfghjkl" localSheetId="6" hidden="1">{"M2aPrint",#N/A,FALSE,"M2a"}</definedName>
    <definedName name="qwertyuiopasdfghjkl" localSheetId="9" hidden="1">{"M2aPrint",#N/A,FALSE,"M2a"}</definedName>
    <definedName name="qwertyuiopasdfghjkl" localSheetId="1" hidden="1">{"M2aPrint",#N/A,FALSE,"M2a"}</definedName>
    <definedName name="qwertyuiopasdfghjkl" hidden="1">{"M2aPrint",#N/A,FALSE,"M2a"}</definedName>
    <definedName name="qwwertyuiop" localSheetId="5" hidden="1">{"M2Print",#N/A,FALSE,"M2"}</definedName>
    <definedName name="qwwertyuiop" localSheetId="6" hidden="1">{"M2Print",#N/A,FALSE,"M2"}</definedName>
    <definedName name="qwwertyuiop" localSheetId="9" hidden="1">{"M2Print",#N/A,FALSE,"M2"}</definedName>
    <definedName name="qwwertyuiop" localSheetId="1" hidden="1">{"M2Print",#N/A,FALSE,"M2"}</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localSheetId="9" hidden="1">#REF!</definedName>
    <definedName name="Sheet1_BNE_MESSAGES" hidden="1">#REF!</definedName>
    <definedName name="Sheet1_BNE_MESSAGES_HIDDEN" localSheetId="9" hidden="1">#REF!</definedName>
    <definedName name="Sheet1_BNE_MESSAGES_HIDDEN" hidden="1">#REF!</definedName>
    <definedName name="Sheet1_BNE_MESSAGES_LAMP" localSheetId="9" hidden="1">#REF!</definedName>
    <definedName name="Sheet1_BNE_MESSAGES_LAMP" hidden="1">#REF!</definedName>
    <definedName name="Sheet1_BNE_UPLOAD" localSheetId="9" hidden="1">#REF!</definedName>
    <definedName name="Sheet1_BNE_UPLOAD" hidden="1">#REF!</definedName>
    <definedName name="Sheet1_GL_INTERFACE_ACCOUNTING_DATE" localSheetId="9" hidden="1">#REF!</definedName>
    <definedName name="Sheet1_GL_INTERFACE_ACCOUNTING_DATE" hidden="1">#REF!</definedName>
    <definedName name="Sheet1_GL_INTERFACE_ACTUAL_FLAG" localSheetId="9" hidden="1">#REF!</definedName>
    <definedName name="Sheet1_GL_INTERFACE_ACTUAL_FLAG" hidden="1">#REF!</definedName>
    <definedName name="Sheet1_GL_INTERFACE_CURRENCY_CODE" localSheetId="9" hidden="1">#REF!</definedName>
    <definedName name="Sheet1_GL_INTERFACE_CURRENCY_CODE" hidden="1">#REF!</definedName>
    <definedName name="Sheet1_GL_INTERFACE_DATABASE" localSheetId="9" hidden="1">#REF!</definedName>
    <definedName name="Sheet1_GL_INTERFACE_DATABASE" hidden="1">#REF!</definedName>
    <definedName name="Sheet1_GL_INTERFACE_ENTERED_CR" localSheetId="9" hidden="1">#REF!</definedName>
    <definedName name="Sheet1_GL_INTERFACE_ENTERED_CR" hidden="1">#REF!</definedName>
    <definedName name="Sheet1_GL_INTERFACE_ENTERED_DR" localSheetId="9" hidden="1">#REF!</definedName>
    <definedName name="Sheet1_GL_INTERFACE_ENTERED_DR" hidden="1">#REF!</definedName>
    <definedName name="Sheet1_GL_INTERFACE_REFERENCE1" localSheetId="9" hidden="1">#REF!</definedName>
    <definedName name="Sheet1_GL_INTERFACE_REFERENCE1" hidden="1">#REF!</definedName>
    <definedName name="Sheet1_GL_INTERFACE_REFERENCE10" localSheetId="9" hidden="1">#REF!</definedName>
    <definedName name="Sheet1_GL_INTERFACE_REFERENCE10" hidden="1">#REF!</definedName>
    <definedName name="Sheet1_GL_INTERFACE_REFERENCE4" localSheetId="9" hidden="1">#REF!</definedName>
    <definedName name="Sheet1_GL_INTERFACE_REFERENCE4" hidden="1">#REF!</definedName>
    <definedName name="Sheet1_GL_INTERFACE_REFERENCE5" localSheetId="9" hidden="1">#REF!</definedName>
    <definedName name="Sheet1_GL_INTERFACE_REFERENCE5" hidden="1">#REF!</definedName>
    <definedName name="Sheet1_GL_INTERFACE_REFERENCE6" localSheetId="9" hidden="1">#REF!</definedName>
    <definedName name="Sheet1_GL_INTERFACE_REFERENCE6" hidden="1">#REF!</definedName>
    <definedName name="Sheet1_GL_INTERFACE_REFERENCE7" localSheetId="9" hidden="1">#REF!</definedName>
    <definedName name="Sheet1_GL_INTERFACE_REFERENCE7" hidden="1">#REF!</definedName>
    <definedName name="Sheet1_GL_INTERFACE_REFERENCE8" localSheetId="9" hidden="1">#REF!</definedName>
    <definedName name="Sheet1_GL_INTERFACE_REFERENCE8" hidden="1">#REF!</definedName>
    <definedName name="Sheet1_GL_INTERFACE_SEGMENT1" localSheetId="9" hidden="1">#REF!</definedName>
    <definedName name="Sheet1_GL_INTERFACE_SEGMENT1" hidden="1">#REF!</definedName>
    <definedName name="Sheet1_GL_INTERFACE_SEGMENT2" localSheetId="9" hidden="1">#REF!</definedName>
    <definedName name="Sheet1_GL_INTERFACE_SEGMENT2" hidden="1">#REF!</definedName>
    <definedName name="Sheet1_GL_INTERFACE_SEGMENT3" localSheetId="9" hidden="1">#REF!</definedName>
    <definedName name="Sheet1_GL_INTERFACE_SEGMENT3" hidden="1">#REF!</definedName>
    <definedName name="Sheet1_GL_INTERFACE_SEGMENT4" localSheetId="9" hidden="1">#REF!</definedName>
    <definedName name="Sheet1_GL_INTERFACE_SEGMENT4" hidden="1">#REF!</definedName>
    <definedName name="Sheet1_GL_INTERFACE_SEGMENT5" localSheetId="9" hidden="1">#REF!</definedName>
    <definedName name="Sheet1_GL_INTERFACE_SEGMENT5" hidden="1">#REF!</definedName>
    <definedName name="Sheet1_GL_INTERFACE_SEGMENT6" localSheetId="9" hidden="1">#REF!</definedName>
    <definedName name="Sheet1_GL_INTERFACE_SEGMENT6" hidden="1">#REF!</definedName>
    <definedName name="Sheet1_GL_INTERFACE_SET_OF_BOOKS_ID" localSheetId="9" hidden="1">#REF!</definedName>
    <definedName name="Sheet1_GL_INTERFACE_SET_OF_BOOKS_ID" hidden="1">#REF!</definedName>
    <definedName name="Sheet1_GL_INTERFACE_USER_JE_CATEGORY_NAME" localSheetId="9" hidden="1">#REF!</definedName>
    <definedName name="Sheet1_GL_INTERFACE_USER_JE_CATEGORY_NAME" hidden="1">#REF!</definedName>
    <definedName name="Sheet1_GL_INTERFACE_USER_JE_SOURCE_NAME" localSheetId="9"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5" hidden="1">{#N/A,#N/A,FALSE,"SUM";#N/A,#N/A,FALSE,"SK_TOT";#N/A,#N/A,FALSE,"YM";#N/A,#N/A,FALSE,"TSMC";#N/A,#N/A,FALSE,"ICW";#N/A,#N/A,FALSE,"Sheet1"}</definedName>
    <definedName name="wrn.ALL." localSheetId="6" hidden="1">{#N/A,#N/A,FALSE,"SUM";#N/A,#N/A,FALSE,"SK_TOT";#N/A,#N/A,FALSE,"YM";#N/A,#N/A,FALSE,"TSMC";#N/A,#N/A,FALSE,"ICW";#N/A,#N/A,FALSE,"Sheet1"}</definedName>
    <definedName name="wrn.ALL." localSheetId="9" hidden="1">{#N/A,#N/A,FALSE,"SUM";#N/A,#N/A,FALSE,"SK_TOT";#N/A,#N/A,FALSE,"YM";#N/A,#N/A,FALSE,"TSMC";#N/A,#N/A,FALSE,"ICW";#N/A,#N/A,FALSE,"Sheet1"}</definedName>
    <definedName name="wrn.ALL." localSheetId="1" hidden="1">{#N/A,#N/A,FALSE,"SUM";#N/A,#N/A,FALSE,"SK_TOT";#N/A,#N/A,FALSE,"YM";#N/A,#N/A,FALSE,"TSMC";#N/A,#N/A,FALSE,"ICW";#N/A,#N/A,FALSE,"Sheet1"}</definedName>
    <definedName name="wrn.ALL."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5"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localSheetId="9"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5" hidden="1">{#N/A,#N/A,FALSE,"Deposits by day"}</definedName>
    <definedName name="wrn.Deposit._.By._.Day." localSheetId="6" hidden="1">{#N/A,#N/A,FALSE,"Deposits by day"}</definedName>
    <definedName name="wrn.Deposit._.By._.Day." localSheetId="9" hidden="1">{#N/A,#N/A,FALSE,"Deposits by day"}</definedName>
    <definedName name="wrn.Deposit._.By._.Day." localSheetId="1" hidden="1">{#N/A,#N/A,FALSE,"Deposits by day"}</definedName>
    <definedName name="wrn.Deposit._.By._.Day." hidden="1">{#N/A,#N/A,FALSE,"Deposits by day"}</definedName>
    <definedName name="wrn.Deptartment._.Expenses." localSheetId="5" hidden="1">{#N/A,#N/A,TRUE,"CPRD";#N/A,#N/A,TRUE,"BCCPDR";#N/A,#N/A,TRUE,"EWRD";#N/A,#N/A,TRUE,"5100";#N/A,#N/A,TRUE,"5110"}</definedName>
    <definedName name="wrn.Deptartment._.Expenses." localSheetId="6" hidden="1">{#N/A,#N/A,TRUE,"CPRD";#N/A,#N/A,TRUE,"BCCPDR";#N/A,#N/A,TRUE,"EWRD";#N/A,#N/A,TRUE,"5100";#N/A,#N/A,TRUE,"5110"}</definedName>
    <definedName name="wrn.Deptartment._.Expenses." localSheetId="9" hidden="1">{#N/A,#N/A,TRUE,"CPRD";#N/A,#N/A,TRUE,"BCCPDR";#N/A,#N/A,TRUE,"EWRD";#N/A,#N/A,TRUE,"5100";#N/A,#N/A,TRUE,"5110"}</definedName>
    <definedName name="wrn.Deptartment._.Expenses." localSheetId="1" hidden="1">{#N/A,#N/A,TRUE,"CPRD";#N/A,#N/A,TRUE,"BCCPDR";#N/A,#N/A,TRUE,"EWRD";#N/A,#N/A,TRUE,"5100";#N/A,#N/A,TRUE,"5110"}</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localSheetId="5" hidden="1">{#N/A,#N/A,FALSE,"Jan"}</definedName>
    <definedName name="wrn.jan." localSheetId="6" hidden="1">{#N/A,#N/A,FALSE,"Jan"}</definedName>
    <definedName name="wrn.jan." localSheetId="9" hidden="1">{#N/A,#N/A,FALSE,"Jan"}</definedName>
    <definedName name="wrn.jan." localSheetId="1" hidden="1">{#N/A,#N/A,FALSE,"Jan"}</definedName>
    <definedName name="wrn.jan." hidden="1">{#N/A,#N/A,FALSE,"Jan"}</definedName>
    <definedName name="wrn.M1._.Operating._.Statement." localSheetId="5" hidden="1">{"M1Print",#N/A,FALSE,"M1"}</definedName>
    <definedName name="wrn.M1._.Operating._.Statement." localSheetId="6" hidden="1">{"M1Print",#N/A,FALSE,"M1"}</definedName>
    <definedName name="wrn.M1._.Operating._.Statement." localSheetId="9" hidden="1">{"M1Print",#N/A,FALSE,"M1"}</definedName>
    <definedName name="wrn.M1._.Operating._.Statement." localSheetId="1" hidden="1">{"M1Print",#N/A,FALSE,"M1"}</definedName>
    <definedName name="wrn.M1._.Operating._.Statement." hidden="1">{"M1Print",#N/A,FALSE,"M1"}</definedName>
    <definedName name="wrn.M1s._.Statistics." localSheetId="5" hidden="1">{"M1sPrint",#N/A,FALSE,"M1s"}</definedName>
    <definedName name="wrn.M1s._.Statistics." localSheetId="6" hidden="1">{"M1sPrint",#N/A,FALSE,"M1s"}</definedName>
    <definedName name="wrn.M1s._.Statistics." localSheetId="9" hidden="1">{"M1sPrint",#N/A,FALSE,"M1s"}</definedName>
    <definedName name="wrn.M1s._.Statistics." localSheetId="1" hidden="1">{"M1sPrint",#N/A,FALSE,"M1s"}</definedName>
    <definedName name="wrn.M1s._.Statistics." hidden="1">{"M1sPrint",#N/A,FALSE,"M1s"}</definedName>
    <definedName name="wrn.M2._.Balance._.Sheet." localSheetId="5" hidden="1">{"M2Print",#N/A,FALSE,"M2"}</definedName>
    <definedName name="wrn.M2._.Balance._.Sheet." localSheetId="6" hidden="1">{"M2Print",#N/A,FALSE,"M2"}</definedName>
    <definedName name="wrn.M2._.Balance._.Sheet." localSheetId="9" hidden="1">{"M2Print",#N/A,FALSE,"M2"}</definedName>
    <definedName name="wrn.M2._.Balance._.Sheet." localSheetId="1" hidden="1">{"M2Print",#N/A,FALSE,"M2"}</definedName>
    <definedName name="wrn.M2._.Balance._.Sheet." hidden="1">{"M2Print",#N/A,FALSE,"M2"}</definedName>
    <definedName name="wrn.M2a._.Cashflow." localSheetId="5" hidden="1">{"M2aPrint",#N/A,FALSE,"M2a"}</definedName>
    <definedName name="wrn.M2a._.Cashflow." localSheetId="6" hidden="1">{"M2aPrint",#N/A,FALSE,"M2a"}</definedName>
    <definedName name="wrn.M2a._.Cashflow." localSheetId="9" hidden="1">{"M2aPrint",#N/A,FALSE,"M2a"}</definedName>
    <definedName name="wrn.M2a._.Cashflow." localSheetId="1" hidden="1">{"M2aPrint",#N/A,FALSE,"M2a"}</definedName>
    <definedName name="wrn.M2a._.Cashflow." hidden="1">{"M2aPrint",#N/A,FALSE,"M2a"}</definedName>
    <definedName name="wrn.M4._.Inventories." localSheetId="5" hidden="1">{"M4Print",#N/A,FALSE,"M4"}</definedName>
    <definedName name="wrn.M4._.Inventories." localSheetId="6" hidden="1">{"M4Print",#N/A,FALSE,"M4"}</definedName>
    <definedName name="wrn.M4._.Inventories." localSheetId="9" hidden="1">{"M4Print",#N/A,FALSE,"M4"}</definedName>
    <definedName name="wrn.M4._.Inventories." localSheetId="1" hidden="1">{"M4Print",#N/A,FALSE,"M4"}</definedName>
    <definedName name="wrn.M4._.Inventories." hidden="1">{"M4Print",#N/A,FALSE,"M4"}</definedName>
    <definedName name="wrn.M5._.Flash._.and._.Forecast." localSheetId="5" hidden="1">{"M5Print",#N/A,FALSE,"M5"}</definedName>
    <definedName name="wrn.M5._.Flash._.and._.Forecast." localSheetId="6" hidden="1">{"M5Print",#N/A,FALSE,"M5"}</definedName>
    <definedName name="wrn.M5._.Flash._.and._.Forecast." localSheetId="9" hidden="1">{"M5Print",#N/A,FALSE,"M5"}</definedName>
    <definedName name="wrn.M5._.Flash._.and._.Forecast." localSheetId="1" hidden="1">{"M5Print",#N/A,FALSE,"M5"}</definedName>
    <definedName name="wrn.M5._.Flash._.and._.Forecast." hidden="1">{"M5Print",#N/A,FALSE,"M5"}</definedName>
    <definedName name="wrn.M6._.Management._.Summary." localSheetId="5" hidden="1">{"M6Print",#N/A,FALSE,"M6";"M6_1Print",#N/A,FALSE,"M6_1";"M6_2Print",#N/A,FALSE,"M6_2"}</definedName>
    <definedName name="wrn.M6._.Management._.Summary." localSheetId="6" hidden="1">{"M6Print",#N/A,FALSE,"M6";"M6_1Print",#N/A,FALSE,"M6_1";"M6_2Print",#N/A,FALSE,"M6_2"}</definedName>
    <definedName name="wrn.M6._.Management._.Summary." localSheetId="9" hidden="1">{"M6Print",#N/A,FALSE,"M6";"M6_1Print",#N/A,FALSE,"M6_1";"M6_2Print",#N/A,FALSE,"M6_2"}</definedName>
    <definedName name="wrn.M6._.Management._.Summary." localSheetId="1" hidden="1">{"M6Print",#N/A,FALSE,"M6";"M6_1Print",#N/A,FALSE,"M6_1";"M6_2Print",#N/A,FALSE,"M6_2"}</definedName>
    <definedName name="wrn.M6._.Management._.Summary." hidden="1">{"M6Print",#N/A,FALSE,"M6";"M6_1Print",#N/A,FALSE,"M6_1";"M6_2Print",#N/A,FALSE,"M6_2"}</definedName>
    <definedName name="wrn.M7._.Financial._.Controllers._.report." localSheetId="5" hidden="1">{"M7_1Print",#N/A,TRUE,"M7_1";"M7_2Print",#N/A,TRUE,"M7_2"}</definedName>
    <definedName name="wrn.M7._.Financial._.Controllers._.report." localSheetId="6" hidden="1">{"M7_1Print",#N/A,TRUE,"M7_1";"M7_2Print",#N/A,TRUE,"M7_2"}</definedName>
    <definedName name="wrn.M7._.Financial._.Controllers._.report." localSheetId="9" hidden="1">{"M7_1Print",#N/A,TRUE,"M7_1";"M7_2Print",#N/A,TRUE,"M7_2"}</definedName>
    <definedName name="wrn.M7._.Financial._.Controllers._.report." localSheetId="1" hidden="1">{"M7_1Print",#N/A,TRUE,"M7_1";"M7_2Print",#N/A,TRUE,"M7_2"}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localSheetId="5" hidden="1">{#N/A,#N/A,FALSE,"YTD"}</definedName>
    <definedName name="wrn.ytd." localSheetId="6" hidden="1">{#N/A,#N/A,FALSE,"YTD"}</definedName>
    <definedName name="wrn.ytd." localSheetId="9" hidden="1">{#N/A,#N/A,FALSE,"YTD"}</definedName>
    <definedName name="wrn.ytd." localSheetId="1" hidden="1">{#N/A,#N/A,FALSE,"YTD"}</definedName>
    <definedName name="wrn.ytd." hidden="1">{#N/A,#N/A,FALSE,"YTD"}</definedName>
    <definedName name="wrn100.gb" hidden="1">{#N/A,#N/A,FALSE,"资产负债表";#N/A,#N/A,FALSE,"资产负债表"}</definedName>
    <definedName name="wrnn.all." localSheetId="5" hidden="1">{#N/A,#N/A,FALSE,"SUM";#N/A,#N/A,FALSE,"SK_TOT";#N/A,#N/A,FALSE,"YM";#N/A,#N/A,FALSE,"TSMC";#N/A,#N/A,FALSE,"ICW";#N/A,#N/A,FALSE,"Sheet1"}</definedName>
    <definedName name="wrnn.all." localSheetId="6" hidden="1">{#N/A,#N/A,FALSE,"SUM";#N/A,#N/A,FALSE,"SK_TOT";#N/A,#N/A,FALSE,"YM";#N/A,#N/A,FALSE,"TSMC";#N/A,#N/A,FALSE,"ICW";#N/A,#N/A,FALSE,"Sheet1"}</definedName>
    <definedName name="wrnn.all." localSheetId="9" hidden="1">{#N/A,#N/A,FALSE,"SUM";#N/A,#N/A,FALSE,"SK_TOT";#N/A,#N/A,FALSE,"YM";#N/A,#N/A,FALSE,"TSMC";#N/A,#N/A,FALSE,"ICW";#N/A,#N/A,FALSE,"Sheet1"}</definedName>
    <definedName name="wrnn.all." localSheetId="1" hidden="1">{#N/A,#N/A,FALSE,"SUM";#N/A,#N/A,FALSE,"SK_TOT";#N/A,#N/A,FALSE,"YM";#N/A,#N/A,FALSE,"TSMC";#N/A,#N/A,FALSE,"ICW";#N/A,#N/A,FALSE,"Sheet1"}</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localSheetId="9" hidden="1">#REF!</definedName>
    <definedName name="XREF_COLUMN_1" hidden="1">#REF!</definedName>
    <definedName name="XREF_COLUMN_10" localSheetId="9" hidden="1">#REF!</definedName>
    <definedName name="XREF_COLUMN_10" hidden="1">#REF!</definedName>
    <definedName name="XREF_COLUMN_11" localSheetId="9" hidden="1">#REF!</definedName>
    <definedName name="XREF_COLUMN_11" hidden="1">#REF!</definedName>
    <definedName name="XREF_COLUMN_12" localSheetId="9" hidden="1">#REF!</definedName>
    <definedName name="XREF_COLUMN_12" hidden="1">#REF!</definedName>
    <definedName name="XREF_COLUMN_19" localSheetId="9" hidden="1">#REF!</definedName>
    <definedName name="XREF_COLUMN_19" hidden="1">#REF!</definedName>
    <definedName name="XREF_COLUMN_2" localSheetId="9" hidden="1">#REF!</definedName>
    <definedName name="XREF_COLUMN_2" hidden="1">#REF!</definedName>
    <definedName name="XREF_COLUMN_20" localSheetId="9" hidden="1">#REF!</definedName>
    <definedName name="XREF_COLUMN_20" hidden="1">#REF!</definedName>
    <definedName name="XREF_COLUMN_21" localSheetId="9" hidden="1">#REF!</definedName>
    <definedName name="XREF_COLUMN_21" hidden="1">#REF!</definedName>
    <definedName name="XREF_COLUMN_3" localSheetId="9" hidden="1">#REF!</definedName>
    <definedName name="XREF_COLUMN_3" hidden="1">#REF!</definedName>
    <definedName name="XREF_COLUMN_4" localSheetId="9" hidden="1">#REF!</definedName>
    <definedName name="XREF_COLUMN_4" hidden="1">#REF!</definedName>
    <definedName name="XREF_COLUMN_5" localSheetId="9" hidden="1">#REF!</definedName>
    <definedName name="XREF_COLUMN_5" hidden="1">#REF!</definedName>
    <definedName name="XREF_COLUMN_6" localSheetId="9" hidden="1">#REF!</definedName>
    <definedName name="XREF_COLUMN_6" hidden="1">#REF!</definedName>
    <definedName name="XREF_COLUMN_7" localSheetId="9" hidden="1">#REF!</definedName>
    <definedName name="XREF_COLUMN_7" hidden="1">#REF!</definedName>
    <definedName name="XRefActiveRow" localSheetId="9" hidden="1">#REF!</definedName>
    <definedName name="XRefActiveRow" hidden="1">#REF!</definedName>
    <definedName name="XRefColumnsCount" hidden="1">2</definedName>
    <definedName name="XRefCopy1" localSheetId="9" hidden="1">#REF!</definedName>
    <definedName name="XRefCopy1" hidden="1">#REF!</definedName>
    <definedName name="XRefCopy10" localSheetId="9" hidden="1">#REF!</definedName>
    <definedName name="XRefCopy10" hidden="1">#REF!</definedName>
    <definedName name="XRefCopy10Row" localSheetId="9" hidden="1">#REF!</definedName>
    <definedName name="XRefCopy10Row" hidden="1">#REF!</definedName>
    <definedName name="XRefCopy11" localSheetId="9" hidden="1">#REF!</definedName>
    <definedName name="XRefCopy11" hidden="1">#REF!</definedName>
    <definedName name="XRefCopy11Row" localSheetId="9" hidden="1">#REF!</definedName>
    <definedName name="XRefCopy11Row" hidden="1">#REF!</definedName>
    <definedName name="XRefCopy12" localSheetId="9" hidden="1">#REF!</definedName>
    <definedName name="XRefCopy12" hidden="1">#REF!</definedName>
    <definedName name="XRefCopy13" localSheetId="9" hidden="1">#REF!</definedName>
    <definedName name="XRefCopy13" hidden="1">#REF!</definedName>
    <definedName name="XRefCopy13Row" localSheetId="9" hidden="1">#REF!</definedName>
    <definedName name="XRefCopy13Row" hidden="1">#REF!</definedName>
    <definedName name="XRefCopy14" localSheetId="9" hidden="1">#REF!</definedName>
    <definedName name="XRefCopy14" hidden="1">#REF!</definedName>
    <definedName name="XRefCopy15" localSheetId="9" hidden="1">#REF!</definedName>
    <definedName name="XRefCopy15" hidden="1">#REF!</definedName>
    <definedName name="XRefCopy16Row" localSheetId="9" hidden="1">#REF!</definedName>
    <definedName name="XRefCopy16Row" hidden="1">#REF!</definedName>
    <definedName name="XRefCopy1Row" localSheetId="9" hidden="1">#REF!</definedName>
    <definedName name="XRefCopy1Row" hidden="1">#REF!</definedName>
    <definedName name="XRefCopy2" localSheetId="9" hidden="1">#REF!</definedName>
    <definedName name="XRefCopy2" hidden="1">#REF!</definedName>
    <definedName name="XRefCopy2Row" localSheetId="9" hidden="1">#REF!</definedName>
    <definedName name="XRefCopy2Row" hidden="1">#REF!</definedName>
    <definedName name="XRefCopy3" localSheetId="9" hidden="1">#REF!</definedName>
    <definedName name="XRefCopy3" hidden="1">#REF!</definedName>
    <definedName name="XRefCopy3Row" localSheetId="9" hidden="1">#REF!</definedName>
    <definedName name="XRefCopy3Row" hidden="1">#REF!</definedName>
    <definedName name="XRefCopy4" localSheetId="9" hidden="1">#REF!</definedName>
    <definedName name="XRefCopy4" hidden="1">#REF!</definedName>
    <definedName name="XRefCopy46" localSheetId="9" hidden="1">#REF!</definedName>
    <definedName name="XRefCopy46" hidden="1">#REF!</definedName>
    <definedName name="XRefCopy47" localSheetId="9" hidden="1">#REF!</definedName>
    <definedName name="XRefCopy47" hidden="1">#REF!</definedName>
    <definedName name="XRefCopy47Row" localSheetId="9" hidden="1">#REF!</definedName>
    <definedName name="XRefCopy47Row" hidden="1">#REF!</definedName>
    <definedName name="XRefCopy48" localSheetId="9" hidden="1">#REF!</definedName>
    <definedName name="XRefCopy48" hidden="1">#REF!</definedName>
    <definedName name="XRefCopy48Row" localSheetId="9" hidden="1">#REF!</definedName>
    <definedName name="XRefCopy48Row" hidden="1">#REF!</definedName>
    <definedName name="XRefCopy49" localSheetId="9" hidden="1">#REF!</definedName>
    <definedName name="XRefCopy49" hidden="1">#REF!</definedName>
    <definedName name="XRefCopy49Row" localSheetId="9" hidden="1">#REF!</definedName>
    <definedName name="XRefCopy49Row" hidden="1">#REF!</definedName>
    <definedName name="XRefCopy4Row" localSheetId="9" hidden="1">#REF!</definedName>
    <definedName name="XRefCopy4Row" hidden="1">#REF!</definedName>
    <definedName name="XRefCopy5" localSheetId="9" hidden="1">#REF!</definedName>
    <definedName name="XRefCopy5" hidden="1">#REF!</definedName>
    <definedName name="XRefCopy50" localSheetId="9" hidden="1">#REF!</definedName>
    <definedName name="XRefCopy50" hidden="1">#REF!</definedName>
    <definedName name="XRefCopy50Row" localSheetId="9" hidden="1">#REF!</definedName>
    <definedName name="XRefCopy50Row" hidden="1">#REF!</definedName>
    <definedName name="XRefCopy51" localSheetId="9" hidden="1">#REF!</definedName>
    <definedName name="XRefCopy51" hidden="1">#REF!</definedName>
    <definedName name="XRefCopy52" localSheetId="9" hidden="1">#REF!</definedName>
    <definedName name="XRefCopy52" hidden="1">#REF!</definedName>
    <definedName name="XRefCopy52Row" localSheetId="9" hidden="1">#REF!</definedName>
    <definedName name="XRefCopy52Row" hidden="1">#REF!</definedName>
    <definedName name="XRefCopy53" localSheetId="9" hidden="1">#REF!</definedName>
    <definedName name="XRefCopy53" hidden="1">#REF!</definedName>
    <definedName name="XRefCopy53Row" localSheetId="9" hidden="1">#REF!</definedName>
    <definedName name="XRefCopy53Row" hidden="1">#REF!</definedName>
    <definedName name="XRefCopy54" localSheetId="9" hidden="1">#REF!</definedName>
    <definedName name="XRefCopy54" hidden="1">#REF!</definedName>
    <definedName name="XRefCopy54Row" localSheetId="9" hidden="1">#REF!</definedName>
    <definedName name="XRefCopy54Row" hidden="1">#REF!</definedName>
    <definedName name="XRefCopy55" localSheetId="9" hidden="1">#REF!</definedName>
    <definedName name="XRefCopy55" hidden="1">#REF!</definedName>
    <definedName name="XRefCopy55Row" localSheetId="9" hidden="1">#REF!</definedName>
    <definedName name="XRefCopy55Row" hidden="1">#REF!</definedName>
    <definedName name="XRefCopy56" localSheetId="9" hidden="1">#REF!</definedName>
    <definedName name="XRefCopy56" hidden="1">#REF!</definedName>
    <definedName name="XRefCopy56Row" localSheetId="9" hidden="1">#REF!</definedName>
    <definedName name="XRefCopy56Row" hidden="1">#REF!</definedName>
    <definedName name="XRefCopy57" localSheetId="9" hidden="1">#REF!</definedName>
    <definedName name="XRefCopy57" hidden="1">#REF!</definedName>
    <definedName name="XRefCopy57Row" localSheetId="9" hidden="1">#REF!</definedName>
    <definedName name="XRefCopy57Row" hidden="1">#REF!</definedName>
    <definedName name="XRefCopy5Row" localSheetId="9" hidden="1">#REF!</definedName>
    <definedName name="XRefCopy5Row" hidden="1">#REF!</definedName>
    <definedName name="XRefCopy6" localSheetId="9" hidden="1">#REF!</definedName>
    <definedName name="XRefCopy6" hidden="1">#REF!</definedName>
    <definedName name="XRefCopy6Row" localSheetId="9" hidden="1">#REF!</definedName>
    <definedName name="XRefCopy6Row" hidden="1">#REF!</definedName>
    <definedName name="XRefCopy7" localSheetId="9" hidden="1">#REF!</definedName>
    <definedName name="XRefCopy7" hidden="1">#REF!</definedName>
    <definedName name="XRefCopy7Row" localSheetId="9" hidden="1">#REF!</definedName>
    <definedName name="XRefCopy7Row" hidden="1">#REF!</definedName>
    <definedName name="XRefCopy8" localSheetId="9" hidden="1">#REF!</definedName>
    <definedName name="XRefCopy8" hidden="1">#REF!</definedName>
    <definedName name="XRefCopy8Row" localSheetId="9" hidden="1">#REF!</definedName>
    <definedName name="XRefCopy8Row" hidden="1">#REF!</definedName>
    <definedName name="XRefCopy9" localSheetId="9" hidden="1">#REF!</definedName>
    <definedName name="XRefCopy9" hidden="1">#REF!</definedName>
    <definedName name="XRefCopy9Row" localSheetId="9" hidden="1">#REF!</definedName>
    <definedName name="XRefCopy9Row" hidden="1">#REF!</definedName>
    <definedName name="XRefCopyRangeCount" hidden="1">3</definedName>
    <definedName name="XRefPaste1" localSheetId="9" hidden="1">#REF!</definedName>
    <definedName name="XRefPaste1" hidden="1">#REF!</definedName>
    <definedName name="XRefPaste10" localSheetId="9" hidden="1">#REF!</definedName>
    <definedName name="XRefPaste10" hidden="1">#REF!</definedName>
    <definedName name="XRefPaste11" localSheetId="9" hidden="1">#REF!</definedName>
    <definedName name="XRefPaste11" hidden="1">#REF!</definedName>
    <definedName name="XRefPaste1Row" localSheetId="9" hidden="1">#REF!</definedName>
    <definedName name="XRefPaste1Row" hidden="1">#REF!</definedName>
    <definedName name="XRefPaste2" localSheetId="9" hidden="1">#REF!</definedName>
    <definedName name="XRefPaste2" hidden="1">#REF!</definedName>
    <definedName name="XRefPaste24" localSheetId="9" hidden="1">#REF!</definedName>
    <definedName name="XRefPaste24" hidden="1">#REF!</definedName>
    <definedName name="XRefPaste24Row" localSheetId="9" hidden="1">#REF!</definedName>
    <definedName name="XRefPaste24Row" hidden="1">#REF!</definedName>
    <definedName name="XRefPaste25" localSheetId="9" hidden="1">#REF!</definedName>
    <definedName name="XRefPaste25" hidden="1">#REF!</definedName>
    <definedName name="XRefPaste25Row" localSheetId="9" hidden="1">#REF!</definedName>
    <definedName name="XRefPaste25Row" hidden="1">#REF!</definedName>
    <definedName name="XRefPaste26" localSheetId="9" hidden="1">#REF!</definedName>
    <definedName name="XRefPaste26" hidden="1">#REF!</definedName>
    <definedName name="XRefPaste26Row" localSheetId="9" hidden="1">#REF!</definedName>
    <definedName name="XRefPaste26Row" hidden="1">#REF!</definedName>
    <definedName name="XRefPaste27" localSheetId="9" hidden="1">#REF!</definedName>
    <definedName name="XRefPaste27" hidden="1">#REF!</definedName>
    <definedName name="XRefPaste27Row" localSheetId="9" hidden="1">#REF!</definedName>
    <definedName name="XRefPaste27Row" hidden="1">#REF!</definedName>
    <definedName name="XRefPaste28" localSheetId="9" hidden="1">#REF!</definedName>
    <definedName name="XRefPaste28" hidden="1">#REF!</definedName>
    <definedName name="XRefPaste28Row" localSheetId="9" hidden="1">#REF!</definedName>
    <definedName name="XRefPaste28Row" hidden="1">#REF!</definedName>
    <definedName name="XRefPaste29" localSheetId="9" hidden="1">#REF!</definedName>
    <definedName name="XRefPaste29" hidden="1">#REF!</definedName>
    <definedName name="XRefPaste29Row" localSheetId="9" hidden="1">#REF!</definedName>
    <definedName name="XRefPaste29Row" hidden="1">#REF!</definedName>
    <definedName name="XRefPaste2Row" localSheetId="9" hidden="1">#REF!</definedName>
    <definedName name="XRefPaste2Row" hidden="1">#REF!</definedName>
    <definedName name="XRefPaste3" localSheetId="9" hidden="1">#REF!</definedName>
    <definedName name="XRefPaste3" hidden="1">#REF!</definedName>
    <definedName name="XRefPaste3Row" localSheetId="9" hidden="1">#REF!</definedName>
    <definedName name="XRefPaste3Row" hidden="1">#REF!</definedName>
    <definedName name="XRefPaste4" localSheetId="9" hidden="1">#REF!</definedName>
    <definedName name="XRefPaste4" hidden="1">#REF!</definedName>
    <definedName name="XRefPaste4Row" localSheetId="9" hidden="1">#REF!</definedName>
    <definedName name="XRefPaste4Row" hidden="1">#REF!</definedName>
    <definedName name="XRefPaste5" localSheetId="9" hidden="1">#REF!</definedName>
    <definedName name="XRefPaste5" hidden="1">#REF!</definedName>
    <definedName name="XRefPaste6" localSheetId="9" hidden="1">#REF!</definedName>
    <definedName name="XRefPaste6" hidden="1">#REF!</definedName>
    <definedName name="XRefPaste6Row" localSheetId="9" hidden="1">#REF!</definedName>
    <definedName name="XRefPaste6Row" hidden="1">#REF!</definedName>
    <definedName name="XRefPaste7" localSheetId="9" hidden="1">#REF!</definedName>
    <definedName name="XRefPaste7" hidden="1">#REF!</definedName>
    <definedName name="XRefPaste8" localSheetId="9" hidden="1">#REF!</definedName>
    <definedName name="XRefPaste8" hidden="1">#REF!</definedName>
    <definedName name="XRefPaste9" localSheetId="9"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5" hidden="1">{"M1Print",#N/A,FALSE,"M1"}</definedName>
    <definedName name="xzxsfd" localSheetId="6" hidden="1">{"M1Print",#N/A,FALSE,"M1"}</definedName>
    <definedName name="xzxsfd" localSheetId="9" hidden="1">{"M1Print",#N/A,FALSE,"M1"}</definedName>
    <definedName name="xzxsfd" localSheetId="1" hidden="1">{"M1Print",#N/A,FALSE,"M1"}</definedName>
    <definedName name="xzxsfd" hidden="1">{"M1Print",#N/A,FALSE,"M1"}</definedName>
    <definedName name="y" hidden="1">{#N/A,#N/A,FALSE,"970301";#N/A,#N/A,FALSE,"970302";#N/A,#N/A,FALSE,"970303";#N/A,#N/A,FALSE,"970304";#N/A,#N/A,FALSE,"COM1";#N/A,#N/A,FALSE,"COM2"}</definedName>
    <definedName name="Z_1711050D_B2D8_42FB_A40D_E4BD90297684_.wvu.Cols" localSheetId="9" hidden="1">#REF!,#REF!,#REF!,#REF!,#REF!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9" hidden="1">#REF!</definedName>
    <definedName name="Z_E738B51C_56AE_4F9F_8D8A_36AD6137B90D_.wvu.Cols" hidden="1">#REF!</definedName>
    <definedName name="Z_E738B51C_56AE_4F9F_8D8A_36AD6137B90D_.wvu.PrintArea" localSheetId="9" hidden="1">#REF!</definedName>
    <definedName name="Z_E738B51C_56AE_4F9F_8D8A_36AD6137B90D_.wvu.PrintArea" hidden="1">#REF!</definedName>
    <definedName name="Z_E738B51C_56AE_4F9F_8D8A_36AD6137B90D_.wvu.PrintTitles" localSheetId="9" hidden="1">#REF!,#REF!</definedName>
    <definedName name="Z_E738B51C_56AE_4F9F_8D8A_36AD6137B90D_.wvu.PrintTitles" hidden="1">#REF!,#REF!</definedName>
    <definedName name="Z_E738B51C_56AE_4F9F_8D8A_36AD6137B90D_.wvu.Rows" localSheetId="9" hidden="1">#REF!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localSheetId="5" hidden="1">{"M1sPrint",#N/A,FALSE,"M1s"}</definedName>
    <definedName name="苛" localSheetId="6" hidden="1">{"M1sPrint",#N/A,FALSE,"M1s"}</definedName>
    <definedName name="苛" localSheetId="9" hidden="1">{"M1sPrint",#N/A,FALSE,"M1s"}</definedName>
    <definedName name="苛" localSheetId="1" hidden="1">{"M1sPrint",#N/A,FALSE,"M1s"}</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5" i="87" l="1"/>
  <c r="G12" i="88"/>
  <c r="E12" i="86"/>
  <c r="X8" i="87"/>
  <c r="X9" i="87"/>
  <c r="X10" i="87"/>
  <c r="X11" i="87"/>
  <c r="X12" i="87"/>
  <c r="X13" i="87"/>
  <c r="X14" i="87"/>
  <c r="X15" i="87"/>
  <c r="X16" i="87"/>
  <c r="X17" i="87"/>
  <c r="X18" i="87"/>
  <c r="X19" i="87"/>
  <c r="X20" i="87"/>
  <c r="X21" i="87"/>
  <c r="X22" i="87"/>
  <c r="X23" i="87"/>
  <c r="X24" i="87"/>
  <c r="X25" i="87"/>
  <c r="X26" i="87"/>
  <c r="X27" i="87"/>
  <c r="X28" i="87"/>
  <c r="X29" i="87"/>
  <c r="X30" i="87"/>
  <c r="X31" i="87"/>
  <c r="X32" i="87"/>
  <c r="X33" i="87"/>
  <c r="X34" i="87"/>
  <c r="X35" i="87"/>
  <c r="X36" i="87"/>
  <c r="X37" i="87"/>
  <c r="X38" i="87"/>
  <c r="X39" i="87"/>
  <c r="X40" i="87"/>
  <c r="X41" i="87"/>
  <c r="X42" i="87"/>
  <c r="X43" i="87"/>
  <c r="X44" i="87"/>
  <c r="X45" i="87"/>
  <c r="X46" i="87"/>
  <c r="X47" i="87"/>
  <c r="X48" i="87"/>
  <c r="X49" i="87"/>
  <c r="X50" i="87"/>
  <c r="X51" i="87"/>
  <c r="X52" i="87"/>
  <c r="X53" i="87"/>
  <c r="X54" i="87"/>
  <c r="X56" i="87"/>
  <c r="X57" i="87"/>
  <c r="X58" i="87"/>
  <c r="X59" i="87"/>
  <c r="X60" i="87"/>
  <c r="X61" i="87"/>
  <c r="X62" i="87"/>
  <c r="X63" i="87"/>
  <c r="X64" i="87"/>
  <c r="X65" i="87"/>
  <c r="X66" i="87"/>
  <c r="X67" i="87"/>
  <c r="X68" i="87"/>
  <c r="X69" i="87"/>
  <c r="X70" i="87"/>
  <c r="X71" i="87"/>
  <c r="X72" i="87"/>
  <c r="X73" i="87"/>
  <c r="X74" i="87"/>
  <c r="X75" i="87"/>
  <c r="X76" i="87"/>
  <c r="X77" i="87"/>
  <c r="X78" i="87"/>
  <c r="X79" i="87"/>
  <c r="X80" i="87"/>
  <c r="X81" i="87"/>
  <c r="X82" i="87"/>
  <c r="X83" i="87"/>
  <c r="X84" i="87"/>
  <c r="X85" i="87"/>
  <c r="X86" i="87"/>
  <c r="X87" i="87"/>
  <c r="X88" i="87"/>
  <c r="X89" i="87"/>
  <c r="X90" i="87"/>
  <c r="X91" i="87"/>
  <c r="X92" i="87"/>
  <c r="X93" i="87"/>
  <c r="X94" i="87"/>
  <c r="X95" i="87"/>
  <c r="X96" i="87"/>
  <c r="X97" i="87"/>
  <c r="X98" i="87"/>
  <c r="X99" i="87"/>
  <c r="X100" i="87"/>
  <c r="X101" i="87"/>
  <c r="X102" i="87"/>
  <c r="X103" i="87"/>
  <c r="X104" i="87"/>
  <c r="X105" i="87"/>
  <c r="X106" i="87"/>
  <c r="X107" i="87"/>
  <c r="X108" i="87"/>
  <c r="X109" i="87"/>
  <c r="X110" i="87"/>
  <c r="X111" i="87"/>
  <c r="X112" i="87"/>
  <c r="X113" i="87"/>
  <c r="X114" i="87"/>
  <c r="X115" i="87"/>
  <c r="X116" i="87"/>
  <c r="X117" i="87"/>
  <c r="X118" i="87"/>
  <c r="X119" i="87"/>
  <c r="X120" i="87"/>
  <c r="X121" i="87"/>
  <c r="X122" i="87"/>
  <c r="X123" i="87"/>
  <c r="X124" i="87"/>
  <c r="X125" i="87"/>
  <c r="X126" i="87"/>
  <c r="X127" i="87"/>
  <c r="X128" i="87"/>
  <c r="X129" i="87"/>
  <c r="X130" i="87"/>
  <c r="X131" i="87"/>
  <c r="X132" i="87"/>
  <c r="X133" i="87"/>
  <c r="X134" i="87"/>
  <c r="X135" i="87"/>
  <c r="X136" i="87"/>
  <c r="X137" i="87"/>
  <c r="X138" i="87"/>
  <c r="X139" i="87"/>
  <c r="X140" i="87"/>
  <c r="X141" i="87"/>
  <c r="X142" i="87"/>
  <c r="X143" i="87"/>
  <c r="X144" i="87"/>
  <c r="X145" i="87"/>
  <c r="X146" i="87"/>
  <c r="X147" i="87"/>
  <c r="X148" i="87"/>
  <c r="X149" i="87"/>
  <c r="X150" i="87"/>
  <c r="X151" i="87"/>
  <c r="X152" i="87"/>
  <c r="X153" i="87"/>
  <c r="X154" i="87"/>
  <c r="X155" i="87"/>
  <c r="X156" i="87"/>
  <c r="X157" i="87"/>
  <c r="X158" i="87"/>
  <c r="X159" i="87"/>
  <c r="X160" i="87"/>
  <c r="X161" i="87"/>
  <c r="X162" i="87"/>
  <c r="X163" i="87"/>
  <c r="X164" i="87"/>
  <c r="X165" i="87"/>
  <c r="X166" i="87"/>
  <c r="X167" i="87"/>
  <c r="X168" i="87"/>
  <c r="X169" i="87"/>
  <c r="X170" i="87"/>
  <c r="X171" i="87"/>
  <c r="X172" i="87"/>
  <c r="X173" i="87"/>
  <c r="X174" i="87"/>
  <c r="X175" i="87"/>
  <c r="X176" i="87"/>
  <c r="X177" i="87"/>
  <c r="X178" i="87"/>
  <c r="X179" i="87"/>
  <c r="X180" i="87"/>
  <c r="X181" i="87"/>
  <c r="X182" i="87"/>
  <c r="X183" i="87"/>
  <c r="X184" i="87"/>
  <c r="X185" i="87"/>
  <c r="X186" i="87"/>
  <c r="X187" i="87"/>
  <c r="X188" i="87"/>
  <c r="X189" i="87"/>
  <c r="X190" i="87"/>
  <c r="X191" i="87"/>
  <c r="X192" i="87"/>
  <c r="X193" i="87"/>
  <c r="X194" i="87"/>
  <c r="X195" i="87"/>
  <c r="X196" i="87"/>
  <c r="X197" i="87"/>
  <c r="X198" i="87"/>
  <c r="X199" i="87"/>
  <c r="X200" i="87"/>
  <c r="X201" i="87"/>
  <c r="X202" i="87"/>
  <c r="X203" i="87"/>
  <c r="X204" i="87"/>
  <c r="X205" i="87"/>
  <c r="X206" i="87"/>
  <c r="X207" i="87"/>
  <c r="X208" i="87"/>
  <c r="X209" i="87"/>
  <c r="X210" i="87"/>
  <c r="X211" i="87"/>
  <c r="X212" i="87"/>
  <c r="X213" i="87"/>
  <c r="X214" i="87"/>
  <c r="X215" i="87"/>
  <c r="X216" i="87"/>
  <c r="X217" i="87"/>
  <c r="X218" i="87"/>
  <c r="X219" i="87"/>
  <c r="X220" i="87"/>
  <c r="X7" i="87"/>
  <c r="D15" i="4"/>
  <c r="D17" i="4"/>
  <c r="D18" i="4"/>
  <c r="D19" i="4"/>
  <c r="D16" i="4"/>
  <c r="F244" i="87" l="1"/>
  <c r="G244" i="87" s="1"/>
  <c r="F243" i="87"/>
  <c r="G243" i="87" s="1"/>
  <c r="F242" i="87"/>
  <c r="F241" i="87"/>
  <c r="G241" i="87" s="1"/>
  <c r="F240" i="87"/>
  <c r="G240" i="87" s="1"/>
  <c r="E233" i="87"/>
  <c r="J221" i="87"/>
  <c r="F28" i="86" s="1"/>
  <c r="K221" i="87"/>
  <c r="L221" i="87"/>
  <c r="N221" i="87"/>
  <c r="R221" i="87"/>
  <c r="C226" i="87" s="1"/>
  <c r="D226" i="87" s="1"/>
  <c r="S221" i="87"/>
  <c r="C227" i="87" s="1"/>
  <c r="T221" i="87"/>
  <c r="U221" i="87"/>
  <c r="C229" i="87" s="1"/>
  <c r="V221" i="87"/>
  <c r="C230" i="87" s="1"/>
  <c r="F230" i="87" s="1"/>
  <c r="I221" i="87"/>
  <c r="C28" i="86" s="1"/>
  <c r="P12" i="87"/>
  <c r="P13" i="87"/>
  <c r="P21" i="87"/>
  <c r="P34" i="87"/>
  <c r="P35" i="87"/>
  <c r="P45" i="87"/>
  <c r="P53" i="87"/>
  <c r="P79" i="87"/>
  <c r="P81" i="87"/>
  <c r="P91" i="87"/>
  <c r="P92" i="87"/>
  <c r="P105" i="87"/>
  <c r="P106" i="87"/>
  <c r="P109" i="87"/>
  <c r="P111" i="87"/>
  <c r="P112" i="87"/>
  <c r="P116" i="87"/>
  <c r="P122" i="87"/>
  <c r="P124" i="87"/>
  <c r="P126" i="87"/>
  <c r="P129" i="87"/>
  <c r="P130" i="87"/>
  <c r="P131" i="87"/>
  <c r="P135" i="87"/>
  <c r="P136" i="87"/>
  <c r="P138" i="87"/>
  <c r="P143" i="87"/>
  <c r="P144" i="87"/>
  <c r="P158" i="87"/>
  <c r="P162" i="87"/>
  <c r="P164" i="87"/>
  <c r="P166" i="87"/>
  <c r="P168" i="87"/>
  <c r="P169" i="87"/>
  <c r="P174" i="87"/>
  <c r="P175" i="87"/>
  <c r="P179" i="87"/>
  <c r="P180" i="87"/>
  <c r="P191" i="87"/>
  <c r="P193" i="87"/>
  <c r="P200" i="87"/>
  <c r="P204" i="87"/>
  <c r="P205" i="87"/>
  <c r="P210" i="87"/>
  <c r="P211" i="87"/>
  <c r="P213" i="87"/>
  <c r="P214" i="87"/>
  <c r="P215" i="87"/>
  <c r="P216" i="87"/>
  <c r="M11" i="87"/>
  <c r="M12" i="87"/>
  <c r="O12" i="87" s="1"/>
  <c r="M13" i="87"/>
  <c r="O13" i="87" s="1"/>
  <c r="M14" i="87"/>
  <c r="O14" i="87" s="1"/>
  <c r="P14" i="87" s="1"/>
  <c r="M15" i="87"/>
  <c r="O15" i="87" s="1"/>
  <c r="P15" i="87" s="1"/>
  <c r="M16" i="87"/>
  <c r="M17" i="87"/>
  <c r="W17" i="87" s="1"/>
  <c r="M18" i="87"/>
  <c r="O18" i="87" s="1"/>
  <c r="P18" i="87" s="1"/>
  <c r="M19" i="87"/>
  <c r="W19" i="87" s="1"/>
  <c r="M20" i="87"/>
  <c r="W20" i="87" s="1"/>
  <c r="M21" i="87"/>
  <c r="O21" i="87" s="1"/>
  <c r="M22" i="87"/>
  <c r="O22" i="87" s="1"/>
  <c r="P22" i="87" s="1"/>
  <c r="M23" i="87"/>
  <c r="W23" i="87" s="1"/>
  <c r="M24" i="87"/>
  <c r="M25" i="87"/>
  <c r="W25" i="87" s="1"/>
  <c r="M26" i="87"/>
  <c r="W26" i="87" s="1"/>
  <c r="M27" i="87"/>
  <c r="M28" i="87"/>
  <c r="W28" i="87" s="1"/>
  <c r="M29" i="87"/>
  <c r="W29" i="87" s="1"/>
  <c r="M30" i="87"/>
  <c r="O30" i="87" s="1"/>
  <c r="P30" i="87" s="1"/>
  <c r="M31" i="87"/>
  <c r="W31" i="87" s="1"/>
  <c r="M32" i="87"/>
  <c r="M33" i="87"/>
  <c r="O33" i="87" s="1"/>
  <c r="P33" i="87" s="1"/>
  <c r="M34" i="87"/>
  <c r="W34" i="87" s="1"/>
  <c r="M35" i="87"/>
  <c r="M36" i="87"/>
  <c r="O36" i="87" s="1"/>
  <c r="P36" i="87" s="1"/>
  <c r="M37" i="87"/>
  <c r="W37" i="87" s="1"/>
  <c r="M38" i="87"/>
  <c r="W38" i="87" s="1"/>
  <c r="M39" i="87"/>
  <c r="O39" i="87" s="1"/>
  <c r="P39" i="87" s="1"/>
  <c r="M40" i="87"/>
  <c r="W40" i="87" s="1"/>
  <c r="M41" i="87"/>
  <c r="O41" i="87" s="1"/>
  <c r="P41" i="87" s="1"/>
  <c r="M42" i="87"/>
  <c r="O42" i="87" s="1"/>
  <c r="P42" i="87" s="1"/>
  <c r="M43" i="87"/>
  <c r="M44" i="87"/>
  <c r="W44" i="87" s="1"/>
  <c r="M45" i="87"/>
  <c r="O45" i="87" s="1"/>
  <c r="M46" i="87"/>
  <c r="W46" i="87" s="1"/>
  <c r="M47" i="87"/>
  <c r="W47" i="87" s="1"/>
  <c r="M48" i="87"/>
  <c r="M49" i="87"/>
  <c r="O49" i="87" s="1"/>
  <c r="P49" i="87" s="1"/>
  <c r="M50" i="87"/>
  <c r="O50" i="87" s="1"/>
  <c r="P50" i="87" s="1"/>
  <c r="M51" i="87"/>
  <c r="M52" i="87"/>
  <c r="O52" i="87" s="1"/>
  <c r="P52" i="87" s="1"/>
  <c r="M53" i="87"/>
  <c r="O53" i="87" s="1"/>
  <c r="M54" i="87"/>
  <c r="O54" i="87" s="1"/>
  <c r="P54" i="87" s="1"/>
  <c r="M55" i="87"/>
  <c r="O55" i="87" s="1"/>
  <c r="P55" i="87" s="1"/>
  <c r="M56" i="87"/>
  <c r="M57" i="87"/>
  <c r="O57" i="87" s="1"/>
  <c r="P57" i="87" s="1"/>
  <c r="M58" i="87"/>
  <c r="O58" i="87" s="1"/>
  <c r="P58" i="87" s="1"/>
  <c r="M59" i="87"/>
  <c r="M60" i="87"/>
  <c r="W60" i="87" s="1"/>
  <c r="M61" i="87"/>
  <c r="O61" i="87" s="1"/>
  <c r="P61" i="87" s="1"/>
  <c r="M62" i="87"/>
  <c r="O62" i="87" s="1"/>
  <c r="P62" i="87" s="1"/>
  <c r="M63" i="87"/>
  <c r="W63" i="87" s="1"/>
  <c r="M64" i="87"/>
  <c r="O64" i="87" s="1"/>
  <c r="P64" i="87" s="1"/>
  <c r="M65" i="87"/>
  <c r="O65" i="87" s="1"/>
  <c r="P65" i="87" s="1"/>
  <c r="M66" i="87"/>
  <c r="W66" i="87" s="1"/>
  <c r="M67" i="87"/>
  <c r="M68" i="87"/>
  <c r="W68" i="87" s="1"/>
  <c r="M69" i="87"/>
  <c r="W69" i="87" s="1"/>
  <c r="M70" i="87"/>
  <c r="O70" i="87" s="1"/>
  <c r="P70" i="87" s="1"/>
  <c r="M71" i="87"/>
  <c r="W71" i="87" s="1"/>
  <c r="M72" i="87"/>
  <c r="M73" i="87"/>
  <c r="O73" i="87" s="1"/>
  <c r="P73" i="87" s="1"/>
  <c r="M74" i="87"/>
  <c r="W74" i="87" s="1"/>
  <c r="M75" i="87"/>
  <c r="M76" i="87"/>
  <c r="O76" i="87" s="1"/>
  <c r="P76" i="87" s="1"/>
  <c r="M77" i="87"/>
  <c r="W77" i="87" s="1"/>
  <c r="M78" i="87"/>
  <c r="W78" i="87" s="1"/>
  <c r="M79" i="87"/>
  <c r="O79" i="87" s="1"/>
  <c r="M80" i="87"/>
  <c r="W80" i="87" s="1"/>
  <c r="M81" i="87"/>
  <c r="W81" i="87" s="1"/>
  <c r="M82" i="87"/>
  <c r="O82" i="87" s="1"/>
  <c r="P82" i="87" s="1"/>
  <c r="M83" i="87"/>
  <c r="M84" i="87"/>
  <c r="W84" i="87" s="1"/>
  <c r="M85" i="87"/>
  <c r="O85" i="87" s="1"/>
  <c r="P85" i="87" s="1"/>
  <c r="M86" i="87"/>
  <c r="W86" i="87" s="1"/>
  <c r="M87" i="87"/>
  <c r="W87" i="87" s="1"/>
  <c r="M88" i="87"/>
  <c r="M89" i="87"/>
  <c r="W89" i="87" s="1"/>
  <c r="M90" i="87"/>
  <c r="W90" i="87" s="1"/>
  <c r="M91" i="87"/>
  <c r="O91" i="87" s="1"/>
  <c r="M92" i="87"/>
  <c r="O92" i="87" s="1"/>
  <c r="M93" i="87"/>
  <c r="O93" i="87" s="1"/>
  <c r="P93" i="87" s="1"/>
  <c r="M94" i="87"/>
  <c r="O94" i="87" s="1"/>
  <c r="P94" i="87" s="1"/>
  <c r="M95" i="87"/>
  <c r="O95" i="87" s="1"/>
  <c r="P95" i="87" s="1"/>
  <c r="M96" i="87"/>
  <c r="M97" i="87"/>
  <c r="W97" i="87" s="1"/>
  <c r="M98" i="87"/>
  <c r="W98" i="87" s="1"/>
  <c r="M99" i="87"/>
  <c r="M100" i="87"/>
  <c r="O100" i="87" s="1"/>
  <c r="P100" i="87" s="1"/>
  <c r="M101" i="87"/>
  <c r="O101" i="87" s="1"/>
  <c r="P101" i="87" s="1"/>
  <c r="M102" i="87"/>
  <c r="O102" i="87" s="1"/>
  <c r="P102" i="87" s="1"/>
  <c r="M103" i="87"/>
  <c r="O103" i="87" s="1"/>
  <c r="P103" i="87" s="1"/>
  <c r="M104" i="87"/>
  <c r="M105" i="87"/>
  <c r="O105" i="87" s="1"/>
  <c r="M106" i="87"/>
  <c r="W106" i="87" s="1"/>
  <c r="M107" i="87"/>
  <c r="M108" i="87"/>
  <c r="O108" i="87" s="1"/>
  <c r="P108" i="87" s="1"/>
  <c r="M109" i="87"/>
  <c r="O109" i="87" s="1"/>
  <c r="M110" i="87"/>
  <c r="O110" i="87" s="1"/>
  <c r="P110" i="87" s="1"/>
  <c r="M111" i="87"/>
  <c r="W111" i="87" s="1"/>
  <c r="M112" i="87"/>
  <c r="O112" i="87" s="1"/>
  <c r="M113" i="87"/>
  <c r="O113" i="87" s="1"/>
  <c r="P113" i="87" s="1"/>
  <c r="M114" i="87"/>
  <c r="O114" i="87" s="1"/>
  <c r="P114" i="87" s="1"/>
  <c r="M115" i="87"/>
  <c r="O115" i="87" s="1"/>
  <c r="P115" i="87" s="1"/>
  <c r="M116" i="87"/>
  <c r="O116" i="87" s="1"/>
  <c r="M117" i="87"/>
  <c r="O117" i="87" s="1"/>
  <c r="P117" i="87" s="1"/>
  <c r="M118" i="87"/>
  <c r="W118" i="87" s="1"/>
  <c r="M119" i="87"/>
  <c r="O119" i="87" s="1"/>
  <c r="P119" i="87" s="1"/>
  <c r="M120" i="87"/>
  <c r="M121" i="87"/>
  <c r="W121" i="87" s="1"/>
  <c r="M122" i="87"/>
  <c r="W122" i="87" s="1"/>
  <c r="M123" i="87"/>
  <c r="M124" i="87"/>
  <c r="W124" i="87" s="1"/>
  <c r="M125" i="87"/>
  <c r="W125" i="87" s="1"/>
  <c r="M126" i="87"/>
  <c r="O126" i="87" s="1"/>
  <c r="M127" i="87"/>
  <c r="W127" i="87" s="1"/>
  <c r="M128" i="87"/>
  <c r="M129" i="87"/>
  <c r="O129" i="87" s="1"/>
  <c r="M130" i="87"/>
  <c r="W130" i="87" s="1"/>
  <c r="M131" i="87"/>
  <c r="M132" i="87"/>
  <c r="O132" i="87" s="1"/>
  <c r="P132" i="87" s="1"/>
  <c r="M133" i="87"/>
  <c r="W133" i="87" s="1"/>
  <c r="M134" i="87"/>
  <c r="W134" i="87" s="1"/>
  <c r="M135" i="87"/>
  <c r="O135" i="87" s="1"/>
  <c r="M136" i="87"/>
  <c r="M137" i="87"/>
  <c r="O137" i="87" s="1"/>
  <c r="P137" i="87" s="1"/>
  <c r="M138" i="87"/>
  <c r="W138" i="87" s="1"/>
  <c r="M139" i="87"/>
  <c r="M140" i="87"/>
  <c r="O140" i="87" s="1"/>
  <c r="P140" i="87" s="1"/>
  <c r="M141" i="87"/>
  <c r="O141" i="87" s="1"/>
  <c r="P141" i="87" s="1"/>
  <c r="M142" i="87"/>
  <c r="O142" i="87" s="1"/>
  <c r="P142" i="87" s="1"/>
  <c r="M143" i="87"/>
  <c r="O143" i="87" s="1"/>
  <c r="M144" i="87"/>
  <c r="M145" i="87"/>
  <c r="W145" i="87" s="1"/>
  <c r="M146" i="87"/>
  <c r="O146" i="87" s="1"/>
  <c r="P146" i="87" s="1"/>
  <c r="M147" i="87"/>
  <c r="W147" i="87" s="1"/>
  <c r="M148" i="87"/>
  <c r="O148" i="87" s="1"/>
  <c r="P148" i="87" s="1"/>
  <c r="M149" i="87"/>
  <c r="O149" i="87" s="1"/>
  <c r="P149" i="87" s="1"/>
  <c r="M150" i="87"/>
  <c r="W150" i="87" s="1"/>
  <c r="M151" i="87"/>
  <c r="W151" i="87" s="1"/>
  <c r="M152" i="87"/>
  <c r="M153" i="87"/>
  <c r="W153" i="87" s="1"/>
  <c r="M154" i="87"/>
  <c r="W154" i="87" s="1"/>
  <c r="M155" i="87"/>
  <c r="M156" i="87"/>
  <c r="W156" i="87" s="1"/>
  <c r="M157" i="87"/>
  <c r="W157" i="87" s="1"/>
  <c r="M158" i="87"/>
  <c r="O158" i="87" s="1"/>
  <c r="M159" i="87"/>
  <c r="W159" i="87" s="1"/>
  <c r="M160" i="87"/>
  <c r="M161" i="87"/>
  <c r="O161" i="87" s="1"/>
  <c r="P161" i="87" s="1"/>
  <c r="M162" i="87"/>
  <c r="O162" i="87" s="1"/>
  <c r="M163" i="87"/>
  <c r="M164" i="87"/>
  <c r="O164" i="87" s="1"/>
  <c r="M165" i="87"/>
  <c r="O165" i="87" s="1"/>
  <c r="P165" i="87" s="1"/>
  <c r="M166" i="87"/>
  <c r="O166" i="87" s="1"/>
  <c r="M167" i="87"/>
  <c r="O167" i="87" s="1"/>
  <c r="P167" i="87" s="1"/>
  <c r="M168" i="87"/>
  <c r="M169" i="87"/>
  <c r="O169" i="87" s="1"/>
  <c r="M170" i="87"/>
  <c r="W170" i="87" s="1"/>
  <c r="M171" i="87"/>
  <c r="M172" i="87"/>
  <c r="O172" i="87" s="1"/>
  <c r="P172" i="87" s="1"/>
  <c r="M173" i="87"/>
  <c r="W173" i="87" s="1"/>
  <c r="M174" i="87"/>
  <c r="W174" i="87" s="1"/>
  <c r="M175" i="87"/>
  <c r="O175" i="87" s="1"/>
  <c r="M176" i="87"/>
  <c r="W176" i="87" s="1"/>
  <c r="M177" i="87"/>
  <c r="W177" i="87" s="1"/>
  <c r="M178" i="87"/>
  <c r="O178" i="87" s="1"/>
  <c r="P178" i="87" s="1"/>
  <c r="M179" i="87"/>
  <c r="M180" i="87"/>
  <c r="O180" i="87" s="1"/>
  <c r="M181" i="87"/>
  <c r="W181" i="87" s="1"/>
  <c r="M182" i="87"/>
  <c r="O182" i="87" s="1"/>
  <c r="P182" i="87" s="1"/>
  <c r="M183" i="87"/>
  <c r="O183" i="87" s="1"/>
  <c r="P183" i="87" s="1"/>
  <c r="M184" i="87"/>
  <c r="O184" i="87" s="1"/>
  <c r="P184" i="87" s="1"/>
  <c r="M185" i="87"/>
  <c r="O185" i="87" s="1"/>
  <c r="P185" i="87" s="1"/>
  <c r="M186" i="87"/>
  <c r="O186" i="87" s="1"/>
  <c r="P186" i="87" s="1"/>
  <c r="M187" i="87"/>
  <c r="O187" i="87" s="1"/>
  <c r="P187" i="87" s="1"/>
  <c r="M188" i="87"/>
  <c r="O188" i="87" s="1"/>
  <c r="P188" i="87" s="1"/>
  <c r="M189" i="87"/>
  <c r="O189" i="87" s="1"/>
  <c r="P189" i="87" s="1"/>
  <c r="M190" i="87"/>
  <c r="W190" i="87" s="1"/>
  <c r="M191" i="87"/>
  <c r="O191" i="87" s="1"/>
  <c r="M192" i="87"/>
  <c r="M193" i="87"/>
  <c r="W193" i="87" s="1"/>
  <c r="M194" i="87"/>
  <c r="W194" i="87" s="1"/>
  <c r="M195" i="87"/>
  <c r="M196" i="87"/>
  <c r="W196" i="87" s="1"/>
  <c r="M197" i="87"/>
  <c r="W197" i="87" s="1"/>
  <c r="M198" i="87"/>
  <c r="O198" i="87" s="1"/>
  <c r="P198" i="87" s="1"/>
  <c r="M199" i="87"/>
  <c r="O199" i="87" s="1"/>
  <c r="P199" i="87" s="1"/>
  <c r="M200" i="87"/>
  <c r="M201" i="87"/>
  <c r="O201" i="87" s="1"/>
  <c r="P201" i="87" s="1"/>
  <c r="M202" i="87"/>
  <c r="W202" i="87" s="1"/>
  <c r="M203" i="87"/>
  <c r="M204" i="87"/>
  <c r="O204" i="87" s="1"/>
  <c r="M205" i="87"/>
  <c r="W205" i="87" s="1"/>
  <c r="M206" i="87"/>
  <c r="O206" i="87" s="1"/>
  <c r="P206" i="87" s="1"/>
  <c r="M207" i="87"/>
  <c r="O207" i="87" s="1"/>
  <c r="P207" i="87" s="1"/>
  <c r="M208" i="87"/>
  <c r="O208" i="87" s="1"/>
  <c r="P208" i="87" s="1"/>
  <c r="M209" i="87"/>
  <c r="O209" i="87" s="1"/>
  <c r="P209" i="87" s="1"/>
  <c r="M210" i="87"/>
  <c r="O210" i="87" s="1"/>
  <c r="M211" i="87"/>
  <c r="M212" i="87"/>
  <c r="W212" i="87" s="1"/>
  <c r="M213" i="87"/>
  <c r="O213" i="87" s="1"/>
  <c r="M214" i="87"/>
  <c r="W214" i="87" s="1"/>
  <c r="M215" i="87"/>
  <c r="W215" i="87" s="1"/>
  <c r="M216" i="87"/>
  <c r="O216" i="87" s="1"/>
  <c r="M217" i="87"/>
  <c r="O217" i="87" s="1"/>
  <c r="P217" i="87" s="1"/>
  <c r="M218" i="87"/>
  <c r="W218" i="87" s="1"/>
  <c r="M219" i="87"/>
  <c r="M220" i="87"/>
  <c r="W220" i="87" s="1"/>
  <c r="P10" i="87"/>
  <c r="M10" i="87"/>
  <c r="O10" i="87" s="1"/>
  <c r="M9" i="87"/>
  <c r="W9" i="87" s="1"/>
  <c r="M8" i="87"/>
  <c r="W8" i="87" s="1"/>
  <c r="P7" i="87"/>
  <c r="M7" i="87"/>
  <c r="W7" i="87" l="1"/>
  <c r="C16" i="52"/>
  <c r="C228" i="87"/>
  <c r="F228" i="87" s="1"/>
  <c r="W85" i="87"/>
  <c r="W188" i="87"/>
  <c r="O25" i="87"/>
  <c r="P25" i="87" s="1"/>
  <c r="W209" i="87"/>
  <c r="O66" i="87"/>
  <c r="P66" i="87" s="1"/>
  <c r="O106" i="87"/>
  <c r="W50" i="87"/>
  <c r="W49" i="87"/>
  <c r="W13" i="87"/>
  <c r="O77" i="87"/>
  <c r="P77" i="87" s="1"/>
  <c r="O37" i="87"/>
  <c r="P37" i="87" s="1"/>
  <c r="W178" i="87"/>
  <c r="W116" i="87"/>
  <c r="W94" i="87"/>
  <c r="W76" i="87"/>
  <c r="W36" i="87"/>
  <c r="O177" i="87"/>
  <c r="P177" i="87" s="1"/>
  <c r="W132" i="87"/>
  <c r="W61" i="87"/>
  <c r="O190" i="87"/>
  <c r="P190" i="87" s="1"/>
  <c r="W141" i="87"/>
  <c r="W161" i="87"/>
  <c r="O86" i="87"/>
  <c r="P86" i="87" s="1"/>
  <c r="O28" i="87"/>
  <c r="P28" i="87" s="1"/>
  <c r="F227" i="87"/>
  <c r="D227" i="87"/>
  <c r="F229" i="87"/>
  <c r="D229" i="87"/>
  <c r="W206" i="87"/>
  <c r="D230" i="87"/>
  <c r="O170" i="87"/>
  <c r="P170" i="87" s="1"/>
  <c r="W162" i="87"/>
  <c r="O153" i="87"/>
  <c r="P153" i="87" s="1"/>
  <c r="W142" i="87"/>
  <c r="O133" i="87"/>
  <c r="P133" i="87" s="1"/>
  <c r="W126" i="87"/>
  <c r="O118" i="87"/>
  <c r="P118" i="87" s="1"/>
  <c r="O97" i="87"/>
  <c r="P97" i="87" s="1"/>
  <c r="O89" i="87"/>
  <c r="P89" i="87" s="1"/>
  <c r="O78" i="87"/>
  <c r="P78" i="87" s="1"/>
  <c r="O68" i="87"/>
  <c r="P68" i="87" s="1"/>
  <c r="W52" i="87"/>
  <c r="O38" i="87"/>
  <c r="P38" i="87" s="1"/>
  <c r="O29" i="87"/>
  <c r="P29" i="87" s="1"/>
  <c r="O17" i="87"/>
  <c r="P17" i="87" s="1"/>
  <c r="O196" i="87"/>
  <c r="P196" i="87" s="1"/>
  <c r="W185" i="87"/>
  <c r="W167" i="87"/>
  <c r="O159" i="87"/>
  <c r="P159" i="87" s="1"/>
  <c r="W148" i="87"/>
  <c r="O138" i="87"/>
  <c r="O124" i="87"/>
  <c r="W113" i="87"/>
  <c r="W103" i="87"/>
  <c r="W92" i="87"/>
  <c r="O84" i="87"/>
  <c r="P84" i="87" s="1"/>
  <c r="O74" i="87"/>
  <c r="P74" i="87" s="1"/>
  <c r="O60" i="87"/>
  <c r="P60" i="87" s="1"/>
  <c r="W21" i="87"/>
  <c r="O214" i="87"/>
  <c r="O205" i="87"/>
  <c r="W182" i="87"/>
  <c r="W158" i="87"/>
  <c r="O147" i="87"/>
  <c r="P147" i="87" s="1"/>
  <c r="O130" i="87"/>
  <c r="W101" i="87"/>
  <c r="W82" i="87"/>
  <c r="W73" i="87"/>
  <c r="W58" i="87"/>
  <c r="O46" i="87"/>
  <c r="P46" i="87" s="1"/>
  <c r="W12" i="87"/>
  <c r="E234" i="87"/>
  <c r="W213" i="87"/>
  <c r="O193" i="87"/>
  <c r="W165" i="87"/>
  <c r="W146" i="87"/>
  <c r="W135" i="87"/>
  <c r="W129" i="87"/>
  <c r="W100" i="87"/>
  <c r="W91" i="87"/>
  <c r="O71" i="87"/>
  <c r="P71" i="87" s="1"/>
  <c r="W55" i="87"/>
  <c r="W45" i="87"/>
  <c r="O34" i="87"/>
  <c r="O20" i="87"/>
  <c r="P20" i="87" s="1"/>
  <c r="W15" i="87"/>
  <c r="O220" i="87"/>
  <c r="P220" i="87" s="1"/>
  <c r="W191" i="87"/>
  <c r="O181" i="87"/>
  <c r="P181" i="87" s="1"/>
  <c r="O173" i="87"/>
  <c r="P173" i="87" s="1"/>
  <c r="W164" i="87"/>
  <c r="O156" i="87"/>
  <c r="P156" i="87" s="1"/>
  <c r="O121" i="87"/>
  <c r="P121" i="87" s="1"/>
  <c r="W109" i="87"/>
  <c r="O81" i="87"/>
  <c r="W70" i="87"/>
  <c r="W53" i="87"/>
  <c r="O31" i="87"/>
  <c r="P31" i="87" s="1"/>
  <c r="O19" i="87"/>
  <c r="P19" i="87" s="1"/>
  <c r="W199" i="87"/>
  <c r="O215" i="87"/>
  <c r="O150" i="87"/>
  <c r="P150" i="87" s="1"/>
  <c r="O218" i="87"/>
  <c r="P218" i="87" s="1"/>
  <c r="O202" i="87"/>
  <c r="P202" i="87" s="1"/>
  <c r="O154" i="87"/>
  <c r="P154" i="87" s="1"/>
  <c r="O134" i="87"/>
  <c r="P134" i="87" s="1"/>
  <c r="O127" i="87"/>
  <c r="P127" i="87" s="1"/>
  <c r="O90" i="87"/>
  <c r="P90" i="87" s="1"/>
  <c r="O69" i="87"/>
  <c r="P69" i="87" s="1"/>
  <c r="W41" i="87"/>
  <c r="W30" i="87"/>
  <c r="W18" i="87"/>
  <c r="M221" i="87"/>
  <c r="G12" i="86" s="1"/>
  <c r="O168" i="87"/>
  <c r="W168" i="87"/>
  <c r="W128" i="87"/>
  <c r="O128" i="87"/>
  <c r="P128" i="87" s="1"/>
  <c r="O104" i="87"/>
  <c r="P104" i="87" s="1"/>
  <c r="W104" i="87"/>
  <c r="O48" i="87"/>
  <c r="P48" i="87" s="1"/>
  <c r="W48" i="87"/>
  <c r="W32" i="87"/>
  <c r="O32" i="87"/>
  <c r="P32" i="87" s="1"/>
  <c r="O40" i="87"/>
  <c r="P40" i="87" s="1"/>
  <c r="O211" i="87"/>
  <c r="W211" i="87"/>
  <c r="W203" i="87"/>
  <c r="O203" i="87"/>
  <c r="P203" i="87" s="1"/>
  <c r="O179" i="87"/>
  <c r="W179" i="87"/>
  <c r="O155" i="87"/>
  <c r="P155" i="87" s="1"/>
  <c r="W155" i="87"/>
  <c r="W131" i="87"/>
  <c r="O131" i="87"/>
  <c r="O51" i="87"/>
  <c r="P51" i="87" s="1"/>
  <c r="W51" i="87"/>
  <c r="W187" i="87"/>
  <c r="O200" i="87"/>
  <c r="W200" i="87"/>
  <c r="W160" i="87"/>
  <c r="O160" i="87"/>
  <c r="P160" i="87" s="1"/>
  <c r="O136" i="87"/>
  <c r="W136" i="87"/>
  <c r="O96" i="87"/>
  <c r="P96" i="87" s="1"/>
  <c r="W96" i="87"/>
  <c r="W88" i="87"/>
  <c r="O88" i="87"/>
  <c r="P88" i="87" s="1"/>
  <c r="W72" i="87"/>
  <c r="O72" i="87"/>
  <c r="P72" i="87" s="1"/>
  <c r="O56" i="87"/>
  <c r="P56" i="87" s="1"/>
  <c r="W56" i="87"/>
  <c r="O24" i="87"/>
  <c r="P24" i="87" s="1"/>
  <c r="W24" i="87"/>
  <c r="W64" i="87"/>
  <c r="W171" i="87"/>
  <c r="O171" i="87"/>
  <c r="P171" i="87" s="1"/>
  <c r="O99" i="87"/>
  <c r="P99" i="87" s="1"/>
  <c r="W99" i="87"/>
  <c r="W75" i="87"/>
  <c r="O75" i="87"/>
  <c r="P75" i="87" s="1"/>
  <c r="W67" i="87"/>
  <c r="O67" i="87"/>
  <c r="P67" i="87" s="1"/>
  <c r="O43" i="87"/>
  <c r="P43" i="87" s="1"/>
  <c r="W43" i="87"/>
  <c r="O11" i="87"/>
  <c r="P11" i="87" s="1"/>
  <c r="W11" i="87"/>
  <c r="O80" i="87"/>
  <c r="P80" i="87" s="1"/>
  <c r="O192" i="87"/>
  <c r="P192" i="87" s="1"/>
  <c r="W192" i="87"/>
  <c r="O152" i="87"/>
  <c r="P152" i="87" s="1"/>
  <c r="W152" i="87"/>
  <c r="O144" i="87"/>
  <c r="W144" i="87"/>
  <c r="O120" i="87"/>
  <c r="P120" i="87" s="1"/>
  <c r="W120" i="87"/>
  <c r="W112" i="87"/>
  <c r="W208" i="87"/>
  <c r="O219" i="87"/>
  <c r="P219" i="87" s="1"/>
  <c r="W219" i="87"/>
  <c r="O195" i="87"/>
  <c r="P195" i="87" s="1"/>
  <c r="W195" i="87"/>
  <c r="O163" i="87"/>
  <c r="P163" i="87" s="1"/>
  <c r="W163" i="87"/>
  <c r="W139" i="87"/>
  <c r="O139" i="87"/>
  <c r="P139" i="87" s="1"/>
  <c r="O123" i="87"/>
  <c r="P123" i="87" s="1"/>
  <c r="W123" i="87"/>
  <c r="W107" i="87"/>
  <c r="O107" i="87"/>
  <c r="P107" i="87" s="1"/>
  <c r="O83" i="87"/>
  <c r="P83" i="87" s="1"/>
  <c r="W83" i="87"/>
  <c r="O59" i="87"/>
  <c r="P59" i="87" s="1"/>
  <c r="W59" i="87"/>
  <c r="W35" i="87"/>
  <c r="O35" i="87"/>
  <c r="O27" i="87"/>
  <c r="P27" i="87" s="1"/>
  <c r="W27" i="87"/>
  <c r="W184" i="87"/>
  <c r="O176" i="87"/>
  <c r="P176" i="87" s="1"/>
  <c r="O16" i="87"/>
  <c r="P16" i="87" s="1"/>
  <c r="W16" i="87"/>
  <c r="W216" i="87"/>
  <c r="W115" i="87"/>
  <c r="W119" i="87"/>
  <c r="O111" i="87"/>
  <c r="O63" i="87"/>
  <c r="P63" i="87" s="1"/>
  <c r="O23" i="87"/>
  <c r="P23" i="87" s="1"/>
  <c r="W217" i="87"/>
  <c r="O212" i="87"/>
  <c r="P212" i="87" s="1"/>
  <c r="O197" i="87"/>
  <c r="P197" i="87" s="1"/>
  <c r="O194" i="87"/>
  <c r="P194" i="87" s="1"/>
  <c r="O174" i="87"/>
  <c r="O157" i="87"/>
  <c r="P157" i="87" s="1"/>
  <c r="O151" i="87"/>
  <c r="P151" i="87" s="1"/>
  <c r="O145" i="87"/>
  <c r="P145" i="87" s="1"/>
  <c r="O125" i="87"/>
  <c r="P125" i="87" s="1"/>
  <c r="O122" i="87"/>
  <c r="W110" i="87"/>
  <c r="O98" i="87"/>
  <c r="P98" i="87" s="1"/>
  <c r="O87" i="87"/>
  <c r="P87" i="87" s="1"/>
  <c r="W65" i="87"/>
  <c r="W62" i="87"/>
  <c r="O47" i="87"/>
  <c r="P47" i="87" s="1"/>
  <c r="O44" i="87"/>
  <c r="P44" i="87" s="1"/>
  <c r="O26" i="87"/>
  <c r="P26" i="87" s="1"/>
  <c r="W22" i="87"/>
  <c r="W95" i="87"/>
  <c r="W39" i="87"/>
  <c r="W175" i="87"/>
  <c r="W210" i="87"/>
  <c r="W204" i="87"/>
  <c r="W201" i="87"/>
  <c r="W198" i="87"/>
  <c r="W189" i="87"/>
  <c r="W186" i="87"/>
  <c r="W180" i="87"/>
  <c r="W172" i="87"/>
  <c r="W169" i="87"/>
  <c r="W166" i="87"/>
  <c r="W149" i="87"/>
  <c r="W143" i="87"/>
  <c r="W137" i="87"/>
  <c r="W117" i="87"/>
  <c r="W114" i="87"/>
  <c r="W105" i="87"/>
  <c r="W93" i="87"/>
  <c r="W42" i="87"/>
  <c r="W33" i="87"/>
  <c r="W79" i="87"/>
  <c r="O8" i="87"/>
  <c r="P8" i="87" s="1"/>
  <c r="W207" i="87"/>
  <c r="W183" i="87"/>
  <c r="W140" i="87"/>
  <c r="W108" i="87"/>
  <c r="W102" i="87"/>
  <c r="W57" i="87"/>
  <c r="W54" i="87"/>
  <c r="W14" i="87"/>
  <c r="W10" i="87"/>
  <c r="O9" i="87"/>
  <c r="P9" i="87" s="1"/>
  <c r="O7" i="87"/>
  <c r="C233" i="87" l="1"/>
  <c r="C234" i="87" s="1"/>
  <c r="D228" i="87"/>
  <c r="W221" i="87"/>
  <c r="O221" i="87"/>
  <c r="F61" i="4" l="1"/>
  <c r="E64" i="4"/>
  <c r="E63" i="4"/>
  <c r="K44" i="4"/>
  <c r="H44" i="4"/>
  <c r="J44" i="4"/>
  <c r="L196" i="89" l="1"/>
  <c r="G196" i="89"/>
  <c r="H196" i="89"/>
  <c r="I196" i="89"/>
  <c r="J196" i="89"/>
  <c r="K196" i="89"/>
  <c r="F196" i="89"/>
  <c r="C28" i="88" s="1"/>
  <c r="E28" i="88" s="1"/>
  <c r="E12" i="88"/>
  <c r="E29" i="88"/>
  <c r="G29" i="88" s="1"/>
  <c r="E27" i="88"/>
  <c r="G27" i="88" s="1"/>
  <c r="G16" i="88"/>
  <c r="F28" i="88" s="1"/>
  <c r="K14" i="88"/>
  <c r="E14" i="88"/>
  <c r="I14" i="88" s="1"/>
  <c r="K13" i="88"/>
  <c r="E13" i="88"/>
  <c r="I13" i="88" s="1"/>
  <c r="K12" i="88"/>
  <c r="G29" i="86"/>
  <c r="G27" i="86"/>
  <c r="E29" i="86"/>
  <c r="E28" i="86"/>
  <c r="G28" i="86" s="1"/>
  <c r="E27" i="86"/>
  <c r="E14" i="86"/>
  <c r="I14" i="86" s="1"/>
  <c r="E13" i="86"/>
  <c r="I13" i="86" s="1"/>
  <c r="K13" i="86"/>
  <c r="K14" i="86"/>
  <c r="K12" i="86"/>
  <c r="C18" i="52"/>
  <c r="G16" i="86"/>
  <c r="K42" i="4"/>
  <c r="N222" i="87" s="1"/>
  <c r="I42" i="4"/>
  <c r="G42" i="4"/>
  <c r="F42" i="4"/>
  <c r="J222" i="87" s="1"/>
  <c r="H40" i="4"/>
  <c r="H39" i="4"/>
  <c r="J39" i="4" s="1"/>
  <c r="K37" i="4"/>
  <c r="F37" i="4"/>
  <c r="E16" i="86" l="1"/>
  <c r="F46" i="4" s="1"/>
  <c r="E16" i="88"/>
  <c r="G28" i="88"/>
  <c r="K45" i="4"/>
  <c r="I12" i="88"/>
  <c r="I16" i="88" s="1"/>
  <c r="I12" i="86"/>
  <c r="L39" i="4"/>
  <c r="J40" i="4"/>
  <c r="L40" i="4" s="1"/>
  <c r="I16" i="86" l="1"/>
  <c r="M40" i="4"/>
  <c r="B6" i="88"/>
  <c r="F36" i="4" l="1"/>
  <c r="E58" i="4"/>
  <c r="D58" i="4"/>
  <c r="B31" i="4"/>
  <c r="H42" i="4" l="1"/>
  <c r="H45" i="4" s="1"/>
  <c r="E15" i="4"/>
  <c r="C17" i="52" s="1"/>
  <c r="B6" i="86"/>
  <c r="J42" i="4" l="1"/>
  <c r="C31" i="4"/>
  <c r="B6" i="52"/>
  <c r="M222" i="87" l="1"/>
  <c r="D60" i="4"/>
  <c r="L42" i="4"/>
  <c r="J45" i="4"/>
  <c r="M39" i="4"/>
  <c r="O39" i="4" s="1"/>
  <c r="F60" i="4" l="1"/>
  <c r="D63" i="4"/>
  <c r="M42" i="4"/>
  <c r="O42" i="4" s="1"/>
  <c r="D64" i="4"/>
  <c r="R34" i="42"/>
  <c r="R33" i="42"/>
  <c r="F102" i="42"/>
  <c r="F101" i="42"/>
  <c r="F100" i="42"/>
  <c r="F99" i="42"/>
  <c r="F98" i="42"/>
  <c r="F97" i="42"/>
  <c r="F96" i="42"/>
  <c r="F95" i="42"/>
  <c r="F94" i="42"/>
  <c r="F93" i="42"/>
  <c r="R32" i="42"/>
  <c r="R31" i="42"/>
  <c r="R28" i="42" l="1"/>
  <c r="R22" i="42"/>
  <c r="R27" i="42"/>
  <c r="R21" i="42"/>
  <c r="F81" i="42" l="1"/>
  <c r="F19" i="42"/>
  <c r="F18" i="42"/>
  <c r="F17" i="42"/>
  <c r="F16" i="42"/>
  <c r="F15" i="42"/>
  <c r="F14" i="42"/>
  <c r="F13" i="42"/>
  <c r="F12" i="42"/>
  <c r="F11" i="42"/>
  <c r="F10" i="42"/>
  <c r="R30" i="42"/>
  <c r="R29" i="42"/>
  <c r="R26" i="42"/>
  <c r="R25" i="42"/>
  <c r="R24" i="42" l="1"/>
  <c r="R23" i="42"/>
  <c r="R20" i="42"/>
  <c r="R19" i="42"/>
  <c r="R18" i="42"/>
  <c r="R17" i="42"/>
  <c r="R16" i="42"/>
  <c r="R15" i="42"/>
  <c r="F82" i="42" l="1"/>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64" i="4" l="1"/>
  <c r="F6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tc={612E05B1-319D-47BB-8D79-409206C54378}</author>
  </authors>
  <commentList>
    <comment ref="H15" authorId="0" shapeId="0" xr:uid="{612E05B1-319D-47BB-8D79-409206C54378}">
      <text>
        <t>[线程批注]
你的Excel版本可读取此线程批注; 但如果在更新版本的Excel中打开文件，则对批注所作的任何改动都将被删除。了解详细信息: https://go.microsoft.com/fwlink/?linkid=870924
注释:
    补充索引</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tc={E37BB3FA-A7CB-4BAE-97E3-6783A3FA6F9D}</author>
    <author>tc={B18D5F63-107F-47C8-AF70-45E6F9355635}</author>
  </authors>
  <commentList>
    <comment ref="G28" authorId="0" shapeId="0" xr:uid="{E37BB3FA-A7CB-4BAE-97E3-6783A3FA6F9D}">
      <text>
        <t>[线程批注]
你的Excel版本可读取此线程批注; 但如果在更新版本的Excel中打开文件，则对批注所作的任何改动都将被删除。了解详细信息: https://go.microsoft.com/fwlink/?linkid=870924
注释:
    正负反了</t>
      </text>
    </comment>
    <comment ref="F36" authorId="1" shapeId="0" xr:uid="{B18D5F63-107F-47C8-AF70-45E6F9355635}">
      <text>
        <t>[线程批注]
你的Excel版本可读取此线程批注; 但如果在更新版本的Excel中打开文件，则对批注所作的任何改动都将被删除。了解详细信息: https://go.microsoft.com/fwlink/?linkid=870924
注释:
    为什么还有24年的表？项目组要求的吗</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xr:uid="{668FA237-424A-4BDB-AD82-53F2A9ADE947}">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xr:uid="{4821C6F6-7640-4971-87C9-72CDAC55A449}">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xr:uid="{222248E9-5385-4CB6-B652-6D5646CE707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xr:uid="{3CF9B36D-D834-4B98-9665-EDC9B5E1E89A}">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xr:uid="{1D65A878-799B-4507-97F6-777CF93977D1}">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xr:uid="{507577BA-7187-422E-BE33-07D772D79CDD}">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xr:uid="{269D05AB-46F8-4474-A3C7-5FA7BF1C3CBB}">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xr:uid="{02C0EB77-B635-4979-B602-04EC3780621A}">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xr:uid="{1FD92BCB-0928-44A2-91CF-6A103EBC72E1}">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xr:uid="{3CF57968-194D-4E9D-851F-282BEFC9A369}">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xr:uid="{A57F8084-8C5C-4C69-94DD-15B221C0220F}">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xr:uid="{BB6BDDBF-2072-4C0D-A2AE-BB44372F9CFC}">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tc={065E772E-8031-46AE-ACA3-CEF63A2A92AF}</author>
    <author>tc={B8CF8CF4-20A3-466C-B5FF-63C8D1FB4B7F}</author>
  </authors>
  <commentList>
    <comment ref="E2" authorId="0" shapeId="0" xr:uid="{065E772E-8031-46AE-ACA3-CEF63A2A92AF}">
      <text>
        <t>[线程批注]
你的Excel版本可读取此线程批注; 但如果在更新版本的Excel中打开文件，则对批注所作的任何改动都将被删除。了解详细信息: https://go.microsoft.com/fwlink/?linkid=870924
注释:
    为啥24年单独一个明细表，是想看24年的账龄吗？直接加在25年明细账后面不行吗？</t>
      </text>
    </comment>
    <comment ref="M7" authorId="1" shapeId="0" xr:uid="{B8CF8CF4-20A3-466C-B5FF-63C8D1FB4B7F}">
      <text>
        <t>[线程批注]
你的Excel版本可读取此线程批注; 但如果在更新版本的Excel中打开文件，则对批注所作的任何改动都将被删除。了解详细信息: https://go.microsoft.com/fwlink/?linkid=870924
注释:
    账龄check列补充</t>
      </text>
    </comment>
  </commentList>
</comments>
</file>

<file path=xl/sharedStrings.xml><?xml version="1.0" encoding="utf-8"?>
<sst xmlns="http://schemas.openxmlformats.org/spreadsheetml/2006/main" count="3278" uniqueCount="1076">
  <si>
    <t>V6 SWP</t>
    <phoneticPr fontId="25" type="noConversion"/>
  </si>
  <si>
    <r>
      <rPr>
        <b/>
        <sz val="14"/>
        <color rgb="FF000000"/>
        <rFont val="微软雅黑"/>
        <family val="2"/>
        <charset val="134"/>
      </rPr>
      <t>该科目涉及</t>
    </r>
    <r>
      <rPr>
        <b/>
        <sz val="14"/>
        <color rgb="FF000000"/>
        <rFont val="Arial"/>
        <family val="2"/>
      </rPr>
      <t>OSP</t>
    </r>
    <r>
      <rPr>
        <b/>
        <sz val="14"/>
        <color rgb="FF000000"/>
        <rFont val="微软雅黑"/>
        <family val="2"/>
      </rPr>
      <t>底稿及函证底稿可参考此链接</t>
    </r>
  </si>
  <si>
    <t>OSP N SWP 应付账款账龄复核 202YMMDD XYZ公司.xlsx</t>
  </si>
  <si>
    <t>函证 SWP 负债类科目 202YMMDD XYZ公司.xlsx</t>
  </si>
  <si>
    <t>N.00</t>
    <phoneticPr fontId="25" type="noConversion"/>
  </si>
  <si>
    <r>
      <t xml:space="preserve">N.00 </t>
    </r>
    <r>
      <rPr>
        <b/>
        <sz val="10"/>
        <color rgb="FF000000"/>
        <rFont val="微软雅黑"/>
        <family val="2"/>
      </rPr>
      <t>应付账款引导表（认定：</t>
    </r>
    <r>
      <rPr>
        <b/>
        <sz val="10"/>
        <color rgb="FF000000"/>
        <rFont val="Arial"/>
        <family val="2"/>
      </rPr>
      <t>E</t>
    </r>
    <r>
      <rPr>
        <b/>
        <sz val="10"/>
        <color rgb="FF000000"/>
        <rFont val="微软雅黑"/>
        <family val="2"/>
      </rPr>
      <t>、</t>
    </r>
    <r>
      <rPr>
        <b/>
        <sz val="10"/>
        <color rgb="FF000000"/>
        <rFont val="Arial"/>
        <family val="2"/>
      </rPr>
      <t>C</t>
    </r>
    <r>
      <rPr>
        <b/>
        <sz val="10"/>
        <color rgb="FF000000"/>
        <rFont val="微软雅黑"/>
        <family val="2"/>
      </rPr>
      <t>）</t>
    </r>
    <phoneticPr fontId="25" type="noConversion"/>
  </si>
  <si>
    <r>
      <rPr>
        <b/>
        <sz val="10"/>
        <rFont val="微软雅黑"/>
        <family val="2"/>
      </rPr>
      <t>程序页</t>
    </r>
    <phoneticPr fontId="24" type="noConversion"/>
  </si>
  <si>
    <r>
      <rPr>
        <b/>
        <sz val="10"/>
        <rFont val="微软雅黑"/>
        <family val="2"/>
      </rPr>
      <t>执行</t>
    </r>
  </si>
  <si>
    <r>
      <rPr>
        <b/>
        <sz val="10"/>
        <rFont val="微软雅黑"/>
        <family val="2"/>
      </rPr>
      <t>不执行的原因</t>
    </r>
  </si>
  <si>
    <r>
      <rPr>
        <b/>
        <sz val="10"/>
        <rFont val="微软雅黑"/>
        <family val="2"/>
      </rPr>
      <t>注意事项</t>
    </r>
    <phoneticPr fontId="24" type="noConversion"/>
  </si>
  <si>
    <r>
      <rPr>
        <sz val="10"/>
        <color theme="1"/>
        <rFont val="微软雅黑"/>
        <family val="2"/>
      </rPr>
      <t>我们将两期金额进行比对，对那些变动大于范围或异常的事项，获得管理层解释并对解释是否合理进行调查并获取相关的支持性文件。</t>
    </r>
    <phoneticPr fontId="25" type="noConversion"/>
  </si>
  <si>
    <t>N.00 Lead sheet</t>
    <phoneticPr fontId="25" type="noConversion"/>
  </si>
  <si>
    <t>是</t>
  </si>
  <si>
    <r>
      <rPr>
        <sz val="10"/>
        <rFont val="微软雅黑"/>
        <family val="2"/>
      </rPr>
      <t>如果项目仅对部分总账科目执行程序，需评估未执行程序的总账科目加总金额是否大于</t>
    </r>
    <r>
      <rPr>
        <sz val="10"/>
        <rFont val="Arial"/>
        <family val="2"/>
      </rPr>
      <t>TE</t>
    </r>
    <r>
      <rPr>
        <sz val="10"/>
        <rFont val="微软雅黑"/>
        <family val="2"/>
      </rPr>
      <t>，如大于</t>
    </r>
    <r>
      <rPr>
        <sz val="10"/>
        <rFont val="Arial"/>
        <family val="2"/>
      </rPr>
      <t>TE</t>
    </r>
    <r>
      <rPr>
        <sz val="10"/>
        <rFont val="微软雅黑"/>
        <family val="2"/>
      </rPr>
      <t>，请项目组执行额外的测试程序。</t>
    </r>
  </si>
  <si>
    <t>N.01</t>
  </si>
  <si>
    <r>
      <t xml:space="preserve">N.01 </t>
    </r>
    <r>
      <rPr>
        <b/>
        <sz val="10"/>
        <rFont val="微软雅黑"/>
        <family val="2"/>
      </rPr>
      <t>将明细账与总账核对一致（认定：</t>
    </r>
    <r>
      <rPr>
        <b/>
        <sz val="10"/>
        <rFont val="Arial"/>
        <family val="2"/>
      </rPr>
      <t>E</t>
    </r>
    <r>
      <rPr>
        <b/>
        <sz val="10"/>
        <rFont val="微软雅黑"/>
        <family val="2"/>
      </rPr>
      <t>、</t>
    </r>
    <r>
      <rPr>
        <b/>
        <sz val="10"/>
        <rFont val="Arial"/>
        <family val="2"/>
      </rPr>
      <t>C</t>
    </r>
    <r>
      <rPr>
        <b/>
        <sz val="10"/>
        <rFont val="微软雅黑"/>
        <family val="2"/>
      </rPr>
      <t>、</t>
    </r>
    <r>
      <rPr>
        <b/>
        <sz val="10"/>
        <rFont val="Arial"/>
        <family val="2"/>
      </rPr>
      <t>V</t>
    </r>
    <r>
      <rPr>
        <b/>
        <sz val="10"/>
        <rFont val="微软雅黑"/>
        <family val="2"/>
      </rPr>
      <t>）</t>
    </r>
    <phoneticPr fontId="25" type="noConversion"/>
  </si>
  <si>
    <r>
      <rPr>
        <b/>
        <sz val="10"/>
        <rFont val="微软雅黑"/>
        <family val="2"/>
      </rPr>
      <t>程序页</t>
    </r>
    <phoneticPr fontId="25" type="noConversion"/>
  </si>
  <si>
    <r>
      <rPr>
        <b/>
        <sz val="10"/>
        <rFont val="微软雅黑"/>
        <family val="2"/>
      </rPr>
      <t>注意事项</t>
    </r>
    <phoneticPr fontId="25" type="noConversion"/>
  </si>
  <si>
    <r>
      <rPr>
        <sz val="10"/>
        <color rgb="FF000000"/>
        <rFont val="微软雅黑"/>
        <family val="2"/>
      </rPr>
      <t>获取应付账款明细账（列示至各供应商的余额）</t>
    </r>
    <r>
      <rPr>
        <sz val="10"/>
        <color rgb="FFFF0000"/>
        <rFont val="Arial"/>
        <family val="2"/>
      </rPr>
      <t>N.01.01</t>
    </r>
    <r>
      <rPr>
        <sz val="10"/>
        <color rgb="FFFF0000"/>
        <rFont val="微软雅黑"/>
        <family val="2"/>
      </rPr>
      <t>明细账</t>
    </r>
    <r>
      <rPr>
        <sz val="10"/>
        <color rgb="FFFF0000"/>
        <rFont val="Arial"/>
        <family val="2"/>
      </rPr>
      <t>BKD</t>
    </r>
    <r>
      <rPr>
        <sz val="10"/>
        <color rgb="FF000000"/>
        <rFont val="微软雅黑"/>
        <family val="2"/>
      </rPr>
      <t>，与总账核对，如差异</t>
    </r>
    <r>
      <rPr>
        <b/>
        <sz val="10"/>
        <color rgb="FFFF0000"/>
        <rFont val="微软雅黑"/>
        <family val="2"/>
      </rPr>
      <t>大于</t>
    </r>
    <r>
      <rPr>
        <b/>
        <sz val="10"/>
        <color rgb="FFFF0000"/>
        <rFont val="Arial"/>
        <family val="2"/>
      </rPr>
      <t>SAD</t>
    </r>
    <r>
      <rPr>
        <sz val="10"/>
        <color rgb="FF000000"/>
        <rFont val="微软雅黑"/>
        <family val="2"/>
      </rPr>
      <t>，获取差异差异调节表并对调节项金额大于测试阈值及性质异常的项目执行进一步测试。</t>
    </r>
  </si>
  <si>
    <r>
      <t xml:space="preserve">N.01 </t>
    </r>
    <r>
      <rPr>
        <b/>
        <u/>
        <sz val="10"/>
        <color theme="4"/>
        <rFont val="微软雅黑"/>
        <family val="2"/>
      </rPr>
      <t>明细账与总账核对</t>
    </r>
    <phoneticPr fontId="25" type="noConversion"/>
  </si>
  <si>
    <r>
      <rPr>
        <sz val="10"/>
        <color theme="1"/>
        <rFont val="微软雅黑"/>
        <family val="2"/>
      </rPr>
      <t>对应付账款外币余额，我们使用第三方汇率</t>
    </r>
    <r>
      <rPr>
        <sz val="10"/>
        <color theme="1"/>
        <rFont val="Arial"/>
        <family val="2"/>
      </rPr>
      <t>(</t>
    </r>
    <r>
      <rPr>
        <sz val="10"/>
        <color theme="1"/>
        <rFont val="微软雅黑"/>
        <family val="2"/>
      </rPr>
      <t>独立于被审计单位获得汇率</t>
    </r>
    <r>
      <rPr>
        <sz val="10"/>
        <color theme="1"/>
        <rFont val="Arial"/>
        <family val="2"/>
      </rPr>
      <t>)</t>
    </r>
    <r>
      <rPr>
        <sz val="10"/>
        <color theme="1"/>
        <rFont val="微软雅黑"/>
        <family val="2"/>
      </rPr>
      <t>重新计算，并将重新计算的余额与被审计单位的余额进行比较。</t>
    </r>
  </si>
  <si>
    <t>N.02</t>
  </si>
  <si>
    <r>
      <t xml:space="preserve">N.02 </t>
    </r>
    <r>
      <rPr>
        <b/>
        <sz val="10"/>
        <color rgb="FF000000"/>
        <rFont val="微软雅黑"/>
        <family val="2"/>
      </rPr>
      <t>异常项复核（认定：</t>
    </r>
    <r>
      <rPr>
        <b/>
        <sz val="10"/>
        <color rgb="FF000000"/>
        <rFont val="Arial"/>
        <family val="2"/>
      </rPr>
      <t>E</t>
    </r>
    <r>
      <rPr>
        <b/>
        <sz val="10"/>
        <color rgb="FF000000"/>
        <rFont val="微软雅黑"/>
        <family val="2"/>
      </rPr>
      <t>、</t>
    </r>
    <r>
      <rPr>
        <b/>
        <sz val="10"/>
        <color rgb="FF000000"/>
        <rFont val="Arial"/>
        <family val="2"/>
      </rPr>
      <t>C</t>
    </r>
    <r>
      <rPr>
        <b/>
        <sz val="10"/>
        <color rgb="FF000000"/>
        <rFont val="微软雅黑"/>
        <family val="2"/>
      </rPr>
      <t>、</t>
    </r>
    <r>
      <rPr>
        <b/>
        <sz val="10"/>
        <color rgb="FF000000"/>
        <rFont val="Arial"/>
        <family val="2"/>
      </rPr>
      <t>V</t>
    </r>
    <r>
      <rPr>
        <b/>
        <sz val="10"/>
        <color rgb="FF000000"/>
        <rFont val="微软雅黑"/>
        <family val="2"/>
      </rPr>
      <t>、</t>
    </r>
    <r>
      <rPr>
        <b/>
        <sz val="10"/>
        <color rgb="FF000000"/>
        <rFont val="Arial"/>
        <family val="2"/>
      </rPr>
      <t>R&amp;O</t>
    </r>
    <r>
      <rPr>
        <b/>
        <sz val="10"/>
        <color rgb="FF000000"/>
        <rFont val="微软雅黑"/>
        <family val="2"/>
      </rPr>
      <t>、</t>
    </r>
    <r>
      <rPr>
        <b/>
        <sz val="10"/>
        <color rgb="FF000000"/>
        <rFont val="Arial"/>
        <family val="2"/>
      </rPr>
      <t>P&amp;D</t>
    </r>
    <r>
      <rPr>
        <b/>
        <sz val="10"/>
        <color rgb="FF000000"/>
        <rFont val="微软雅黑"/>
        <family val="2"/>
      </rPr>
      <t>）</t>
    </r>
  </si>
  <si>
    <r>
      <rPr>
        <sz val="10"/>
        <color theme="1"/>
        <rFont val="微软雅黑"/>
        <family val="2"/>
      </rPr>
      <t>对（单独或合计）大于测试阈值的借方余额，获取记账分录并检查对应支持性文件，确定对方科目账务处理是否正确，应付账款借方余额是否有必要根据名义金额进行重分类调整。</t>
    </r>
  </si>
  <si>
    <r>
      <t xml:space="preserve">N.02 </t>
    </r>
    <r>
      <rPr>
        <b/>
        <u/>
        <sz val="10"/>
        <color theme="4"/>
        <rFont val="微软雅黑"/>
        <family val="2"/>
      </rPr>
      <t>异常项复核</t>
    </r>
    <phoneticPr fontId="25" type="noConversion"/>
  </si>
  <si>
    <r>
      <rPr>
        <sz val="10"/>
        <color rgb="FF000000"/>
        <rFont val="微软雅黑"/>
        <family val="2"/>
      </rPr>
      <t>根据应付账款明细账，</t>
    </r>
    <r>
      <rPr>
        <sz val="10"/>
        <color rgb="FFFF0000"/>
        <rFont val="微软雅黑"/>
        <family val="2"/>
      </rPr>
      <t>我们识别金额、供应商或其他被认为异常或预期外的项目（例如，关联方、员工、客户、严重逾期余额）</t>
    </r>
    <r>
      <rPr>
        <sz val="10"/>
        <color rgb="FF000000"/>
        <rFont val="微软雅黑"/>
        <family val="2"/>
      </rPr>
      <t>，选择项目并记录做出此决定的依据；我们获取这些项目的支持性证据并记录检查结果。</t>
    </r>
    <phoneticPr fontId="25" type="noConversion"/>
  </si>
  <si>
    <t>N.03</t>
  </si>
  <si>
    <r>
      <t xml:space="preserve">N.03 </t>
    </r>
    <r>
      <rPr>
        <b/>
        <sz val="10"/>
        <rFont val="微软雅黑"/>
        <family val="2"/>
      </rPr>
      <t>应付账款截止测试（认定：</t>
    </r>
    <r>
      <rPr>
        <b/>
        <sz val="10"/>
        <rFont val="Arial"/>
        <family val="2"/>
      </rPr>
      <t>E</t>
    </r>
    <r>
      <rPr>
        <b/>
        <sz val="10"/>
        <rFont val="微软雅黑"/>
        <family val="2"/>
      </rPr>
      <t>、</t>
    </r>
    <r>
      <rPr>
        <b/>
        <sz val="10"/>
        <rFont val="Arial"/>
        <family val="2"/>
      </rPr>
      <t>C</t>
    </r>
    <r>
      <rPr>
        <b/>
        <sz val="10"/>
        <rFont val="微软雅黑"/>
        <family val="2"/>
      </rPr>
      <t>、</t>
    </r>
    <r>
      <rPr>
        <b/>
        <sz val="10"/>
        <rFont val="Arial"/>
        <family val="2"/>
      </rPr>
      <t>R&amp;O</t>
    </r>
    <r>
      <rPr>
        <b/>
        <sz val="10"/>
        <rFont val="微软雅黑"/>
        <family val="2"/>
      </rPr>
      <t>）</t>
    </r>
    <phoneticPr fontId="25" type="noConversion"/>
  </si>
  <si>
    <r>
      <rPr>
        <sz val="10"/>
        <color rgb="FF000000"/>
        <rFont val="Arial"/>
        <family val="2"/>
      </rPr>
      <t xml:space="preserve">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t>
    </r>
    <r>
      <rPr>
        <b/>
        <sz val="10"/>
        <color rgb="FFFF0000"/>
        <rFont val="Arial"/>
        <family val="2"/>
      </rPr>
      <t>IPE 考虑：</t>
    </r>
  </si>
  <si>
    <r>
      <t xml:space="preserve">N.03 </t>
    </r>
    <r>
      <rPr>
        <b/>
        <u/>
        <sz val="10"/>
        <color theme="4"/>
        <rFont val="微软雅黑"/>
        <family val="2"/>
      </rPr>
      <t>截止测试</t>
    </r>
    <phoneticPr fontId="25" type="noConversion"/>
  </si>
  <si>
    <t>N.04</t>
  </si>
  <si>
    <r>
      <t>N.04</t>
    </r>
    <r>
      <rPr>
        <b/>
        <sz val="10"/>
        <rFont val="微软雅黑"/>
        <family val="2"/>
      </rPr>
      <t>寻找未入账负债（认定：</t>
    </r>
    <r>
      <rPr>
        <b/>
        <sz val="10"/>
        <rFont val="Arial"/>
        <family val="2"/>
      </rPr>
      <t>C</t>
    </r>
    <r>
      <rPr>
        <b/>
        <sz val="10"/>
        <rFont val="微软雅黑"/>
        <family val="2"/>
      </rPr>
      <t>、</t>
    </r>
    <r>
      <rPr>
        <b/>
        <sz val="10"/>
        <rFont val="Arial"/>
        <family val="2"/>
      </rPr>
      <t>V</t>
    </r>
    <r>
      <rPr>
        <b/>
        <sz val="10"/>
        <rFont val="微软雅黑"/>
        <family val="2"/>
      </rPr>
      <t>）</t>
    </r>
    <phoneticPr fontId="25" type="noConversion"/>
  </si>
  <si>
    <r>
      <rPr>
        <sz val="10"/>
        <color rgb="FF000000"/>
        <rFont val="微软雅黑"/>
        <family val="2"/>
      </rPr>
      <t>通过寻找未入账的应付账款，验证资产负债表日应付账款的计价和完整性。</t>
    </r>
  </si>
  <si>
    <r>
      <t xml:space="preserve">N.04 </t>
    </r>
    <r>
      <rPr>
        <b/>
        <u/>
        <sz val="10"/>
        <color theme="4"/>
        <rFont val="微软雅黑"/>
        <family val="2"/>
      </rPr>
      <t>寻找未入账负债</t>
    </r>
    <phoneticPr fontId="25" type="noConversion"/>
  </si>
  <si>
    <t>标准工作底稿: N SWP 应付账款</t>
    <phoneticPr fontId="39"/>
  </si>
  <si>
    <t>客户名称</t>
    <phoneticPr fontId="39"/>
  </si>
  <si>
    <t>东风鸿远工程咨询有限公司</t>
    <phoneticPr fontId="25" type="noConversion"/>
  </si>
  <si>
    <r>
      <t xml:space="preserve">此工作底稿需要与以下 Canvas PSP guided workflow forms一起使用：
</t>
    </r>
    <r>
      <rPr>
        <b/>
        <sz val="12"/>
        <color rgb="FFFF0000"/>
        <rFont val="Arial"/>
        <family val="2"/>
      </rPr>
      <t xml:space="preserve">    </t>
    </r>
    <r>
      <rPr>
        <b/>
        <sz val="12"/>
        <color rgb="FF000000"/>
        <rFont val="Arial"/>
        <family val="2"/>
      </rPr>
      <t xml:space="preserve"> •N.00应付账款引导表
     •N.01将明细账与总账核对一致
     •N.02异常项复核
     •N.03应付账款截止测试
     •N.04寻找未入账负债
     •账户结论</t>
    </r>
  </si>
  <si>
    <t>期末</t>
    <phoneticPr fontId="28" type="noConversion"/>
  </si>
  <si>
    <t>分析日期</t>
    <phoneticPr fontId="39"/>
  </si>
  <si>
    <t>可容忍误差（TE）</t>
    <phoneticPr fontId="28" type="noConversion"/>
  </si>
  <si>
    <t>名义金额（SAD）</t>
    <phoneticPr fontId="28" type="noConversion"/>
  </si>
  <si>
    <t>适用会计准则</t>
    <phoneticPr fontId="28" type="noConversion"/>
  </si>
  <si>
    <t>企业会计准则</t>
    <phoneticPr fontId="0" type="noConversion"/>
  </si>
  <si>
    <t>记账本位币</t>
    <phoneticPr fontId="28" type="noConversion"/>
  </si>
  <si>
    <t>CNY</t>
    <phoneticPr fontId="25" type="noConversion"/>
  </si>
  <si>
    <t>N.00 编制引导表并比较余额</t>
    <phoneticPr fontId="39"/>
  </si>
  <si>
    <t>返回汇总页</t>
    <phoneticPr fontId="25" type="noConversion"/>
  </si>
  <si>
    <t>Threshold(s)</t>
  </si>
  <si>
    <t>安永标记</t>
  </si>
  <si>
    <t>认定</t>
    <phoneticPr fontId="25" type="noConversion"/>
  </si>
  <si>
    <t>CRA</t>
  </si>
  <si>
    <r>
      <t>各项认定</t>
    </r>
    <r>
      <rPr>
        <b/>
        <vertAlign val="superscript"/>
        <sz val="10"/>
        <color rgb="FFFF0000"/>
        <rFont val="Arial"/>
        <family val="2"/>
      </rPr>
      <t>1</t>
    </r>
    <phoneticPr fontId="25" type="noConversion"/>
  </si>
  <si>
    <r>
      <t xml:space="preserve">所有相关认定 </t>
    </r>
    <r>
      <rPr>
        <b/>
        <vertAlign val="superscript"/>
        <sz val="10"/>
        <color rgb="FFFF0000"/>
        <rFont val="Arial"/>
        <family val="2"/>
      </rPr>
      <t>2</t>
    </r>
    <phoneticPr fontId="25" type="noConversion"/>
  </si>
  <si>
    <t>TB</t>
  </si>
  <si>
    <t>已与科目余额表核对无误</t>
  </si>
  <si>
    <t>完整性 (C)</t>
  </si>
  <si>
    <t>PY</t>
  </si>
  <si>
    <t>与上年最终审定数核对一致</t>
  </si>
  <si>
    <t>存在性 (E)</t>
    <phoneticPr fontId="25" type="noConversion"/>
  </si>
  <si>
    <t>A3</t>
  </si>
  <si>
    <t>与未审数、审定数核对一致</t>
  </si>
  <si>
    <t>计价（V）</t>
  </si>
  <si>
    <t>A5</t>
  </si>
  <si>
    <t>与审计调整核对一致</t>
  </si>
  <si>
    <t>权利和义务（R&amp;O）</t>
    <phoneticPr fontId="25" type="noConversion"/>
  </si>
  <si>
    <t>FS</t>
  </si>
  <si>
    <t>与FS.0x与财务报表核对无误</t>
  </si>
  <si>
    <t>列报和披露（P&amp;D）</t>
    <phoneticPr fontId="25" type="noConversion"/>
  </si>
  <si>
    <t>w</t>
  </si>
  <si>
    <t>低于SAD的金额——放弃进一步调查</t>
  </si>
  <si>
    <t>Rx</t>
  </si>
  <si>
    <t>重新计算，无异常</t>
  </si>
  <si>
    <t>m</t>
  </si>
  <si>
    <t>余额/活动不符合测试范围–无需进一步调查</t>
  </si>
  <si>
    <t>SL</t>
  </si>
  <si>
    <t>已与明细账核对无误</t>
  </si>
  <si>
    <t>在下文中描述我们对应付账款在此期间的相关账户余额和相关波动的预期，以及我们对这些预期的依据和理由。</t>
  </si>
  <si>
    <t>波动范围</t>
    <phoneticPr fontId="28" type="noConversion"/>
  </si>
  <si>
    <t>波动幅度 (%):</t>
    <phoneticPr fontId="28" type="noConversion"/>
  </si>
  <si>
    <t>|------- TB -------|</t>
  </si>
  <si>
    <t>|------- PY -------|</t>
    <phoneticPr fontId="44"/>
  </si>
  <si>
    <t>表1</t>
    <phoneticPr fontId="25" type="noConversion"/>
  </si>
  <si>
    <t>账套名称/账套编码</t>
  </si>
  <si>
    <t>总账科目编码</t>
    <phoneticPr fontId="25" type="noConversion"/>
  </si>
  <si>
    <t>科目名称</t>
    <phoneticPr fontId="25" type="noConversion"/>
  </si>
  <si>
    <t>索引号</t>
    <phoneticPr fontId="25" type="noConversion"/>
  </si>
  <si>
    <t>本期和上期期末余额</t>
  </si>
  <si>
    <t>Notes</t>
  </si>
  <si>
    <t>基于波动幅度判断，是否进一步调查？</t>
  </si>
  <si>
    <t>基于定性考虑判断，是否进一步调查？</t>
  </si>
  <si>
    <t>期末账面数</t>
    <phoneticPr fontId="25" type="noConversion"/>
  </si>
  <si>
    <t>账表调整数</t>
    <phoneticPr fontId="25" type="noConversion"/>
  </si>
  <si>
    <t>期末未审数</t>
  </si>
  <si>
    <t>审计调整数</t>
  </si>
  <si>
    <t>期末审定数</t>
  </si>
  <si>
    <t>上期末审定数</t>
    <phoneticPr fontId="25" type="noConversion"/>
  </si>
  <si>
    <t>变动金额</t>
  </si>
  <si>
    <t>变动%</t>
  </si>
  <si>
    <t>东风鸿远工程咨询有限公司</t>
  </si>
  <si>
    <t>应付账款</t>
    <phoneticPr fontId="25" type="noConversion"/>
  </si>
  <si>
    <t>N.01/</t>
    <phoneticPr fontId="25" type="noConversion"/>
  </si>
  <si>
    <t>[A]</t>
    <phoneticPr fontId="25" type="noConversion"/>
  </si>
  <si>
    <t>合计</t>
    <phoneticPr fontId="25" type="noConversion"/>
  </si>
  <si>
    <t>RX</t>
    <phoneticPr fontId="25" type="noConversion"/>
  </si>
  <si>
    <t>Diff</t>
  </si>
  <si>
    <t>未执行程序的总账科目加总金额是否大于TE</t>
  </si>
  <si>
    <t>Note2</t>
  </si>
  <si>
    <t>波动说明</t>
  </si>
  <si>
    <r>
      <rPr>
        <b/>
        <sz val="10"/>
        <color rgb="FFFF0000"/>
        <rFont val="Arial"/>
        <family val="2"/>
      </rPr>
      <t>表2</t>
    </r>
    <r>
      <rPr>
        <b/>
        <sz val="10"/>
        <rFont val="Arial"/>
        <family val="2"/>
      </rPr>
      <t xml:space="preserve"> 应付账款周转率分析</t>
    </r>
    <phoneticPr fontId="25" type="noConversion"/>
  </si>
  <si>
    <t>应付账款平均余额 a</t>
  </si>
  <si>
    <t>销售成本 b</t>
  </si>
  <si>
    <t>/UGP_Lead</t>
    <phoneticPr fontId="25" type="noConversion"/>
  </si>
  <si>
    <t>周转天数 c=a/b*365</t>
  </si>
  <si>
    <t>周转率 d=b/a</t>
  </si>
  <si>
    <t>分析:</t>
  </si>
  <si>
    <r>
      <rPr>
        <b/>
        <sz val="14"/>
        <color theme="0"/>
        <rFont val="微软雅黑"/>
        <family val="2"/>
      </rPr>
      <t>标准工作底稿</t>
    </r>
    <r>
      <rPr>
        <b/>
        <sz val="14"/>
        <color theme="0"/>
        <rFont val="Arial"/>
        <family val="2"/>
      </rPr>
      <t xml:space="preserve">: N SWP </t>
    </r>
    <r>
      <rPr>
        <b/>
        <sz val="14"/>
        <color theme="0"/>
        <rFont val="微软雅黑"/>
        <family val="2"/>
      </rPr>
      <t>应付账款</t>
    </r>
    <phoneticPr fontId="48" type="noConversion"/>
  </si>
  <si>
    <r>
      <t xml:space="preserve">N.01: </t>
    </r>
    <r>
      <rPr>
        <b/>
        <sz val="12"/>
        <color rgb="FF000000"/>
        <rFont val="微软雅黑"/>
        <family val="2"/>
      </rPr>
      <t>明细账与总账核对并执行细节测试</t>
    </r>
    <phoneticPr fontId="25" type="noConversion"/>
  </si>
  <si>
    <r>
      <rPr>
        <u/>
        <sz val="11"/>
        <color rgb="FFFF0000"/>
        <rFont val="微软雅黑"/>
        <family val="2"/>
      </rPr>
      <t>返回汇总页</t>
    </r>
    <phoneticPr fontId="25" type="noConversion"/>
  </si>
  <si>
    <r>
      <rPr>
        <b/>
        <sz val="10"/>
        <color theme="1"/>
        <rFont val="微软雅黑"/>
        <family val="2"/>
      </rPr>
      <t>用于识别总账和明细账之间差异的测试阈值</t>
    </r>
    <phoneticPr fontId="25" type="noConversion"/>
  </si>
  <si>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将明细账与总账核对一致。</t>
    </r>
    <phoneticPr fontId="25" type="noConversion"/>
  </si>
  <si>
    <t>|------- Rx -------|</t>
  </si>
  <si>
    <r>
      <rPr>
        <b/>
        <sz val="10"/>
        <rFont val="微软雅黑"/>
        <family val="2"/>
      </rPr>
      <t>账套名称</t>
    </r>
    <r>
      <rPr>
        <b/>
        <sz val="10"/>
        <rFont val="Arial"/>
        <family val="2"/>
      </rPr>
      <t>/</t>
    </r>
    <r>
      <rPr>
        <b/>
        <sz val="10"/>
        <rFont val="微软雅黑"/>
        <family val="2"/>
      </rPr>
      <t>账套编码</t>
    </r>
    <phoneticPr fontId="25" type="noConversion"/>
  </si>
  <si>
    <r>
      <rPr>
        <b/>
        <sz val="10"/>
        <rFont val="微软雅黑"/>
        <family val="2"/>
      </rPr>
      <t>总账科目编码</t>
    </r>
    <phoneticPr fontId="25" type="noConversion"/>
  </si>
  <si>
    <r>
      <rPr>
        <b/>
        <sz val="10"/>
        <rFont val="微软雅黑"/>
        <family val="2"/>
      </rPr>
      <t>科目名称</t>
    </r>
    <phoneticPr fontId="25" type="noConversion"/>
  </si>
  <si>
    <r>
      <t>Lead</t>
    </r>
    <r>
      <rPr>
        <b/>
        <sz val="10"/>
        <rFont val="微软雅黑"/>
        <family val="2"/>
      </rPr>
      <t>页余额</t>
    </r>
    <phoneticPr fontId="25" type="noConversion"/>
  </si>
  <si>
    <r>
      <rPr>
        <b/>
        <sz val="10"/>
        <rFont val="微软雅黑"/>
        <family val="2"/>
      </rPr>
      <t>索引号</t>
    </r>
    <phoneticPr fontId="48" type="noConversion"/>
  </si>
  <si>
    <r>
      <rPr>
        <b/>
        <sz val="10"/>
        <rFont val="微软雅黑"/>
        <family val="2"/>
      </rPr>
      <t>明细账余额</t>
    </r>
  </si>
  <si>
    <r>
      <rPr>
        <b/>
        <sz val="10"/>
        <rFont val="微软雅黑"/>
        <family val="2"/>
      </rPr>
      <t>明细账索引</t>
    </r>
    <phoneticPr fontId="25" type="noConversion"/>
  </si>
  <si>
    <r>
      <rPr>
        <b/>
        <sz val="10"/>
        <color rgb="FF000000"/>
        <rFont val="微软雅黑"/>
        <family val="2"/>
      </rPr>
      <t xml:space="preserve">差异重新计算
</t>
    </r>
    <r>
      <rPr>
        <b/>
        <sz val="10"/>
        <color rgb="FFFF0000"/>
        <rFont val="微软雅黑"/>
        <family val="2"/>
      </rPr>
      <t>（</t>
    </r>
    <r>
      <rPr>
        <b/>
        <sz val="10"/>
        <color rgb="FFFF0000"/>
        <rFont val="Arial"/>
        <family val="2"/>
      </rPr>
      <t>Note1</t>
    </r>
    <r>
      <rPr>
        <b/>
        <sz val="10"/>
        <color rgb="FFFF0000"/>
        <rFont val="微软雅黑"/>
        <family val="2"/>
      </rPr>
      <t>）</t>
    </r>
  </si>
  <si>
    <r>
      <rPr>
        <b/>
        <sz val="10"/>
        <rFont val="微软雅黑"/>
        <family val="2"/>
      </rPr>
      <t>外币余额</t>
    </r>
    <phoneticPr fontId="25" type="noConversion"/>
  </si>
  <si>
    <r>
      <rPr>
        <b/>
        <sz val="10"/>
        <color rgb="FF000000"/>
        <rFont val="微软雅黑"/>
        <family val="2"/>
      </rPr>
      <t>是否适当重新计量</t>
    </r>
    <r>
      <rPr>
        <b/>
        <sz val="10"/>
        <color rgb="FF000000"/>
        <rFont val="Arial"/>
        <family val="2"/>
      </rPr>
      <t xml:space="preserve">?
</t>
    </r>
    <r>
      <rPr>
        <b/>
        <i/>
        <sz val="10"/>
        <color rgb="FFFF0000"/>
        <rFont val="Arial"/>
        <family val="2"/>
      </rPr>
      <t>(</t>
    </r>
    <r>
      <rPr>
        <b/>
        <i/>
        <sz val="10"/>
        <color rgb="FFFF0000"/>
        <rFont val="微软雅黑"/>
        <family val="2"/>
      </rPr>
      <t>使用下拉列表</t>
    </r>
    <r>
      <rPr>
        <b/>
        <i/>
        <sz val="10"/>
        <color rgb="FFFF0000"/>
        <rFont val="Arial"/>
        <family val="2"/>
      </rPr>
      <t>)</t>
    </r>
    <phoneticPr fontId="25" type="noConversion"/>
  </si>
  <si>
    <r>
      <rPr>
        <b/>
        <sz val="10"/>
        <rFont val="微软雅黑"/>
        <family val="2"/>
      </rPr>
      <t>工作底稿参考</t>
    </r>
    <phoneticPr fontId="25" type="noConversion"/>
  </si>
  <si>
    <t xml:space="preserve">/N.00 </t>
  </si>
  <si>
    <r>
      <t>/N.01.01</t>
    </r>
    <r>
      <rPr>
        <b/>
        <sz val="10"/>
        <color rgb="FFFF0000"/>
        <rFont val="微软雅黑"/>
        <family val="2"/>
      </rPr>
      <t>明细账</t>
    </r>
  </si>
  <si>
    <r>
      <rPr>
        <b/>
        <sz val="10"/>
        <color theme="1"/>
        <rFont val="微软雅黑"/>
        <family val="2"/>
      </rPr>
      <t>合计</t>
    </r>
    <phoneticPr fontId="48" type="noConversion"/>
  </si>
  <si>
    <r>
      <rPr>
        <b/>
        <sz val="10"/>
        <color rgb="FFFF0000"/>
        <rFont val="Arial"/>
        <family val="2"/>
      </rPr>
      <t>Note1</t>
    </r>
    <r>
      <rPr>
        <b/>
        <sz val="10"/>
        <color rgb="FFFF0000"/>
        <rFont val="微软雅黑"/>
        <family val="2"/>
        <charset val="134"/>
      </rPr>
      <t>：</t>
    </r>
    <r>
      <rPr>
        <sz val="10"/>
        <color rgb="FF000000"/>
        <rFont val="微软雅黑"/>
        <family val="2"/>
        <charset val="134"/>
      </rPr>
      <t>如果总账和明细账差异金额大于</t>
    </r>
    <r>
      <rPr>
        <sz val="10"/>
        <color rgb="FF000000"/>
        <rFont val="Arial"/>
        <family val="2"/>
      </rPr>
      <t>SAD</t>
    </r>
    <r>
      <rPr>
        <sz val="10"/>
        <color rgb="FF000000"/>
        <rFont val="微软雅黑"/>
        <family val="2"/>
        <charset val="134"/>
      </rPr>
      <t>请在以下解释差异并执行相应的程序：针对金额大于测试阈值及性质异常的项目我们需进一步进行测试。</t>
    </r>
    <r>
      <rPr>
        <b/>
        <sz val="10"/>
        <color rgb="FFFF0000"/>
        <rFont val="Arial"/>
        <family val="2"/>
      </rPr>
      <t>(</t>
    </r>
    <r>
      <rPr>
        <b/>
        <sz val="10"/>
        <color rgb="FFFF0000"/>
        <rFont val="微软雅黑"/>
        <family val="2"/>
        <charset val="134"/>
      </rPr>
      <t>如不适用请删除）</t>
    </r>
  </si>
  <si>
    <r>
      <rPr>
        <b/>
        <sz val="10"/>
        <color rgb="FFFF0000"/>
        <rFont val="Arial"/>
        <family val="2"/>
      </rPr>
      <t>Note2</t>
    </r>
    <r>
      <rPr>
        <b/>
        <sz val="10"/>
        <color rgb="FFFF0000"/>
        <rFont val="微软雅黑"/>
        <family val="2"/>
        <charset val="134"/>
      </rPr>
      <t>：</t>
    </r>
    <r>
      <rPr>
        <sz val="10"/>
        <color rgb="FF000000"/>
        <rFont val="微软雅黑"/>
        <family val="2"/>
        <charset val="134"/>
      </rPr>
      <t>对外币余额，我们使用第三方汇率（独立于客户获得汇率）重新计算，并将重新计算的余额与客户的余额进行比较。</t>
    </r>
    <r>
      <rPr>
        <b/>
        <sz val="10"/>
        <color rgb="FFFF0000"/>
        <rFont val="Arial"/>
        <family val="2"/>
      </rPr>
      <t>(</t>
    </r>
    <r>
      <rPr>
        <b/>
        <sz val="10"/>
        <color rgb="FFFF0000"/>
        <rFont val="微软雅黑"/>
        <family val="2"/>
        <charset val="134"/>
      </rPr>
      <t>如不适用请删除）</t>
    </r>
  </si>
  <si>
    <r>
      <rPr>
        <b/>
        <sz val="10"/>
        <color rgb="FFFF0000"/>
        <rFont val="Arial"/>
        <family val="2"/>
      </rPr>
      <t>|------- N.01.01</t>
    </r>
    <r>
      <rPr>
        <b/>
        <sz val="10"/>
        <color rgb="FFFF0000"/>
        <rFont val="微软雅黑"/>
        <family val="2"/>
        <charset val="134"/>
      </rPr>
      <t>明细账</t>
    </r>
    <r>
      <rPr>
        <b/>
        <sz val="10"/>
        <color rgb="FFFF0000"/>
        <rFont val="Arial"/>
        <family val="2"/>
      </rPr>
      <t xml:space="preserve"> -------|</t>
    </r>
  </si>
  <si>
    <t>EY Works</t>
  </si>
  <si>
    <r>
      <rPr>
        <sz val="10"/>
        <color rgb="FF000000"/>
        <rFont val="微软雅黑"/>
        <family val="2"/>
      </rPr>
      <t>原币币种</t>
    </r>
  </si>
  <si>
    <r>
      <rPr>
        <sz val="10"/>
        <color rgb="FF000000"/>
        <rFont val="微软雅黑"/>
        <family val="2"/>
      </rPr>
      <t>原币金额</t>
    </r>
  </si>
  <si>
    <r>
      <rPr>
        <sz val="10"/>
        <color rgb="FF000000"/>
        <rFont val="微软雅黑"/>
        <family val="2"/>
      </rPr>
      <t>折算汇率</t>
    </r>
  </si>
  <si>
    <r>
      <rPr>
        <sz val="10"/>
        <color rgb="FF000000"/>
        <rFont val="微软雅黑"/>
        <family val="2"/>
      </rPr>
      <t>折合本位币</t>
    </r>
  </si>
  <si>
    <r>
      <rPr>
        <sz val="10"/>
        <color rgb="FF000000"/>
        <rFont val="微软雅黑"/>
        <family val="2"/>
      </rPr>
      <t>账面本位币金额</t>
    </r>
  </si>
  <si>
    <r>
      <rPr>
        <sz val="10"/>
        <color rgb="FF000000"/>
        <rFont val="微软雅黑"/>
        <family val="2"/>
      </rPr>
      <t>差异</t>
    </r>
  </si>
  <si>
    <t>USD</t>
  </si>
  <si>
    <t>CNY</t>
  </si>
  <si>
    <r>
      <rPr>
        <b/>
        <sz val="14"/>
        <color rgb="FFFFFFFF"/>
        <rFont val="微软雅黑"/>
        <family val="2"/>
      </rPr>
      <t>标准底稿</t>
    </r>
    <r>
      <rPr>
        <b/>
        <sz val="14"/>
        <color rgb="FFFFFFFF"/>
        <rFont val="Arial"/>
        <family val="2"/>
      </rPr>
      <t xml:space="preserve">: N SWP </t>
    </r>
    <r>
      <rPr>
        <b/>
        <sz val="14"/>
        <color rgb="FFFFFFFF"/>
        <rFont val="微软雅黑"/>
        <family val="2"/>
      </rPr>
      <t>应付账款</t>
    </r>
    <phoneticPr fontId="25" type="noConversion"/>
  </si>
  <si>
    <t> </t>
  </si>
  <si>
    <r>
      <t xml:space="preserve">N.01.01 </t>
    </r>
    <r>
      <rPr>
        <b/>
        <sz val="12"/>
        <color rgb="FF000000"/>
        <rFont val="微软雅黑"/>
        <family val="2"/>
      </rPr>
      <t>获取应付账款明细账</t>
    </r>
    <phoneticPr fontId="25" type="noConversion"/>
  </si>
  <si>
    <t>账龄</t>
    <phoneticPr fontId="25" type="noConversion"/>
  </si>
  <si>
    <t>供应商名称</t>
    <phoneticPr fontId="25" type="noConversion"/>
  </si>
  <si>
    <t>供应商代码</t>
    <phoneticPr fontId="25" type="noConversion"/>
  </si>
  <si>
    <t>供应商性质</t>
    <phoneticPr fontId="25" type="noConversion"/>
  </si>
  <si>
    <t>原币币种</t>
    <phoneticPr fontId="25" type="noConversion"/>
  </si>
  <si>
    <t>原币金额</t>
    <phoneticPr fontId="25" type="noConversion"/>
  </si>
  <si>
    <t>账面金额</t>
    <phoneticPr fontId="25" type="noConversion"/>
  </si>
  <si>
    <t>3个月以内</t>
  </si>
  <si>
    <t>3个月-1年</t>
  </si>
  <si>
    <t>1-2年</t>
  </si>
  <si>
    <t>2-3年</t>
  </si>
  <si>
    <t>&gt;3年</t>
  </si>
  <si>
    <t>襄阳绘景园艺设计工程有限公司</t>
  </si>
  <si>
    <t>E_614399</t>
  </si>
  <si>
    <t>第三方</t>
    <phoneticPr fontId="25" type="noConversion"/>
  </si>
  <si>
    <t>上海丽骅设计事务所</t>
  </si>
  <si>
    <t>E_601460</t>
  </si>
  <si>
    <t>上海中建建筑设计院有限公司</t>
  </si>
  <si>
    <t>E_601375</t>
  </si>
  <si>
    <t>临海市华意建筑设计有限公司</t>
  </si>
  <si>
    <t>E_602726</t>
  </si>
  <si>
    <t>武汉固德孪生数据技术有限公司</t>
  </si>
  <si>
    <t>E_658681</t>
  </si>
  <si>
    <t>成都云上古舍建筑设计有限公司</t>
  </si>
  <si>
    <t>E_607034</t>
  </si>
  <si>
    <t>湖北南诚工程咨询有限公司</t>
  </si>
  <si>
    <t>E_624681</t>
  </si>
  <si>
    <t>武汉实为信息技术股份有限公司</t>
  </si>
  <si>
    <t>E_607980</t>
  </si>
  <si>
    <t>湖北汉江亿辉设备租赁有限公司</t>
  </si>
  <si>
    <t>E_614350</t>
  </si>
  <si>
    <t>武汉金东方智能景观股份有限公司</t>
  </si>
  <si>
    <t>E_015226</t>
  </si>
  <si>
    <t>中国建筑设计研究院有限公司</t>
  </si>
  <si>
    <t>E_601843</t>
  </si>
  <si>
    <t>襄阳市金枫叶装饰设计工程有限公司</t>
  </si>
  <si>
    <t>E_614260</t>
  </si>
  <si>
    <t>宜兴市金岩工程仪器有限公司</t>
  </si>
  <si>
    <t>E_620830</t>
  </si>
  <si>
    <t>亿企赢企业服务（广州）有限公司</t>
  </si>
  <si>
    <t>E_602949</t>
  </si>
  <si>
    <t>清华大学建筑设计研究院有限公司</t>
  </si>
  <si>
    <t>E_599650</t>
  </si>
  <si>
    <t>北京盈建科软件股份有限公司</t>
  </si>
  <si>
    <t>E_618178</t>
  </si>
  <si>
    <t>中瀚设计集团有限公司湖北分公司</t>
  </si>
  <si>
    <t>E_623726</t>
  </si>
  <si>
    <t>陕西明远城乡规划咨询有限公司</t>
  </si>
  <si>
    <t>E_627817</t>
  </si>
  <si>
    <t>湖北省鄂西北工程勘察有限责任公司</t>
  </si>
  <si>
    <t>E_600087</t>
  </si>
  <si>
    <t>武汉固地鼎兴工程技术有限公司</t>
  </si>
  <si>
    <t>E_623582</t>
  </si>
  <si>
    <t>襄阳君和盛建筑装饰设计工程有限公司</t>
  </si>
  <si>
    <t>E_613970</t>
  </si>
  <si>
    <t>亳州市谯城区恒研建筑设计中心</t>
  </si>
  <si>
    <t>E_668815</t>
  </si>
  <si>
    <t>汉川市宏昌劳务有限责任公司</t>
  </si>
  <si>
    <t>E_625279</t>
  </si>
  <si>
    <t>广东建筑艺术设计院有限公司华中分公司</t>
  </si>
  <si>
    <t>E_606429</t>
  </si>
  <si>
    <t>湖北省地源洁能工程有限公司</t>
  </si>
  <si>
    <t>E_622567</t>
  </si>
  <si>
    <t>襄阳市盛世达人力资源服务有限公司</t>
  </si>
  <si>
    <t>E_624233</t>
  </si>
  <si>
    <t>中瀚设计集团有限公司</t>
  </si>
  <si>
    <t>E_621392</t>
  </si>
  <si>
    <t>北京飞马航遥科技有限公司</t>
  </si>
  <si>
    <t>E_618391</t>
  </si>
  <si>
    <t>湖北冠霖咏拓科技有限公司</t>
  </si>
  <si>
    <t>E_624977</t>
  </si>
  <si>
    <t>悉地国际设计顾问（深圳）有限公司</t>
  </si>
  <si>
    <t>E_606826</t>
  </si>
  <si>
    <t>襄阳刚威岩土工程有限公司</t>
  </si>
  <si>
    <t>E_614431</t>
  </si>
  <si>
    <t>襄阳晨迪地质勘查技术服务有限公司</t>
  </si>
  <si>
    <t>E_614610</t>
  </si>
  <si>
    <t>襄阳市城市规划设计院有限公司</t>
  </si>
  <si>
    <t>E_614419</t>
  </si>
  <si>
    <t>湖北天洋机电工程有限公司</t>
  </si>
  <si>
    <t>E_146677</t>
  </si>
  <si>
    <t>广州氢氦照明设计有限公司</t>
  </si>
  <si>
    <t>E_606612</t>
  </si>
  <si>
    <t>上海志贺建筑设计事务所（普通合伙）</t>
  </si>
  <si>
    <t>E_601027</t>
  </si>
  <si>
    <t>保定岩墨工程勘察有限公司</t>
  </si>
  <si>
    <t>E_619388</t>
  </si>
  <si>
    <t>上海邮电设计咨询研究院有限公司</t>
  </si>
  <si>
    <t>E_600904</t>
  </si>
  <si>
    <t>正弘设计有限公司襄阳分公司</t>
  </si>
  <si>
    <t>E_686478</t>
  </si>
  <si>
    <t>武汉市勘察设计有限公司</t>
  </si>
  <si>
    <t>E_155145</t>
  </si>
  <si>
    <t>三峡大学</t>
  </si>
  <si>
    <t>E_596969</t>
  </si>
  <si>
    <t>中建三局工程设计有限公司</t>
  </si>
  <si>
    <t>E_602883</t>
  </si>
  <si>
    <t>四川浩翔誉腾建设工程有限公司</t>
  </si>
  <si>
    <t>E_627311</t>
  </si>
  <si>
    <t>湖北顺泰岩土工程勘察有限公司</t>
  </si>
  <si>
    <t>E_624962</t>
  </si>
  <si>
    <t>湖北志明电子科技有限公司</t>
  </si>
  <si>
    <t>E_216546</t>
  </si>
  <si>
    <t>湖北王壹建筑装饰工程有限公司</t>
  </si>
  <si>
    <t>E_624605</t>
  </si>
  <si>
    <t>中伦国际设计集团有限公司襄阳分公司</t>
  </si>
  <si>
    <t>E_624793</t>
  </si>
  <si>
    <t>中诚圣苑工程设计有限公司</t>
  </si>
  <si>
    <t>E_627828</t>
  </si>
  <si>
    <t>中昕圣苑工程设计有限公司雁塔分公司</t>
  </si>
  <si>
    <t>E_627733</t>
  </si>
  <si>
    <t>中机三勘岩土工程有限公司</t>
  </si>
  <si>
    <t>E_175725</t>
  </si>
  <si>
    <t>福建丰盈园林古建工程有限公司</t>
  </si>
  <si>
    <t>E_621898</t>
  </si>
  <si>
    <t>供应商</t>
  </si>
  <si>
    <t>E_628682</t>
  </si>
  <si>
    <t>中城科泽工程设计集团有限责任公司襄阳分院</t>
  </si>
  <si>
    <t>E_625077</t>
  </si>
  <si>
    <t>南岸区品建建筑设计工作室</t>
  </si>
  <si>
    <t>E_606083</t>
  </si>
  <si>
    <t>中核勘察设计研究有限公司</t>
  </si>
  <si>
    <t>E_227041</t>
  </si>
  <si>
    <t>中安广源检测评价技术服务股份有限公司湖北分公司</t>
  </si>
  <si>
    <t>E_176567</t>
  </si>
  <si>
    <t>中交远洲交通科技集团有限公司湖北分公司</t>
  </si>
  <si>
    <t>E_601503</t>
  </si>
  <si>
    <t>湖北禾汇工程造价咨询有限公司</t>
  </si>
  <si>
    <t>E_614267</t>
  </si>
  <si>
    <t>山东新岳工程勘察有限公司</t>
  </si>
  <si>
    <t>E_605798</t>
  </si>
  <si>
    <t>长江地球物理探测（武汉）有限公司</t>
  </si>
  <si>
    <t>E_623044</t>
  </si>
  <si>
    <t>湖北弘毅建设有限公司襄阳分公司</t>
  </si>
  <si>
    <t>E_614137</t>
  </si>
  <si>
    <t>武汉游途网络科技有限公司</t>
  </si>
  <si>
    <t>E_622843</t>
  </si>
  <si>
    <t>武汉奥创世纪建筑工程有限公司</t>
  </si>
  <si>
    <t>E_623193</t>
  </si>
  <si>
    <t>湖北铭盛博工程设计咨询有限公司</t>
  </si>
  <si>
    <t>E_614306</t>
  </si>
  <si>
    <t>武汉蕃华施工图设计审查有限公司</t>
  </si>
  <si>
    <t>E_623952</t>
  </si>
  <si>
    <t>艾比蒙（武汉）信息技术有限公司</t>
  </si>
  <si>
    <t>E_612535</t>
  </si>
  <si>
    <t>湖北伟利德商贸有限公司</t>
  </si>
  <si>
    <t>E_614102</t>
  </si>
  <si>
    <t>湖北政泽建设工程有限公司</t>
  </si>
  <si>
    <t>E_614100</t>
  </si>
  <si>
    <t>深圳市建筑设计研究总院有限公司</t>
  </si>
  <si>
    <t>E_615147</t>
  </si>
  <si>
    <t>武汉狮山风景园林规划设计有限公司</t>
  </si>
  <si>
    <t>E_612459</t>
  </si>
  <si>
    <t>襄阳鑫瑞杰文化用品有限公司</t>
  </si>
  <si>
    <t>E_177127</t>
  </si>
  <si>
    <t>武汉颠三文化传媒有限公司</t>
  </si>
  <si>
    <t>E_623468</t>
  </si>
  <si>
    <t>湖北沃岱岩土工程勘察有限公司</t>
  </si>
  <si>
    <t>E_614512</t>
  </si>
  <si>
    <t>武汉轻工建筑设计有限公司</t>
  </si>
  <si>
    <t>E_612830</t>
  </si>
  <si>
    <t>中南建筑设计院股份有限公司</t>
  </si>
  <si>
    <t>E_598233</t>
  </si>
  <si>
    <t>湖北省林业勘察设计院</t>
  </si>
  <si>
    <t>E_613535</t>
  </si>
  <si>
    <t>武汉江城建设咨询有限公司襄阳分公司</t>
  </si>
  <si>
    <t>E_614437</t>
  </si>
  <si>
    <t>湖南筑龙工程项目管理有限公司襄阳分公司</t>
  </si>
  <si>
    <t>E_624858</t>
  </si>
  <si>
    <t>杭州瀚也文化创意有限公司</t>
  </si>
  <si>
    <t>E_621398</t>
  </si>
  <si>
    <t>襄阳虎威建筑工程有限公司</t>
  </si>
  <si>
    <t>E_625053</t>
  </si>
  <si>
    <t>枣阳市建筑设计研究院</t>
  </si>
  <si>
    <t>E_668714</t>
  </si>
  <si>
    <t>上海清映数字科技有限公司</t>
  </si>
  <si>
    <t>E_620049</t>
  </si>
  <si>
    <t>湖北大成嘉业建设工程有限公司襄阳分公司</t>
  </si>
  <si>
    <t>E_624647</t>
  </si>
  <si>
    <t>襄阳市建筑设计院</t>
  </si>
  <si>
    <t>E_016087</t>
  </si>
  <si>
    <t>深圳市景鸿建设工程有限公司</t>
  </si>
  <si>
    <t>E_626371</t>
  </si>
  <si>
    <t>湖北科远环境检测有限公司</t>
  </si>
  <si>
    <t>E_227520</t>
  </si>
  <si>
    <t>武汉意创格致建筑工程设计有限公司</t>
  </si>
  <si>
    <t>E_613804</t>
  </si>
  <si>
    <t>湖北君邦工程咨询有限公司</t>
  </si>
  <si>
    <t>E_614484</t>
  </si>
  <si>
    <t>湖北建研立科低碳科技有限公司</t>
  </si>
  <si>
    <t>E_612717</t>
  </si>
  <si>
    <t>武汉江城建设咨询有限公司谷城分公司</t>
  </si>
  <si>
    <t>E_668731</t>
  </si>
  <si>
    <t>襄阳市永通广告传播有限公司</t>
  </si>
  <si>
    <t>E_624410</t>
  </si>
  <si>
    <t>武汉峰境俪致园林景观工程设计有限公司</t>
  </si>
  <si>
    <t>E_607898</t>
  </si>
  <si>
    <t>襄阳佳珩商贸有限公司</t>
  </si>
  <si>
    <t>E_614035</t>
  </si>
  <si>
    <t>襄城区隗鹏雕塑工作室</t>
  </si>
  <si>
    <t>E_628047</t>
  </si>
  <si>
    <t>山东昊立工程勘察有限公司</t>
  </si>
  <si>
    <t>E_605799</t>
  </si>
  <si>
    <t>襄阳市环知管业有限公司</t>
  </si>
  <si>
    <t>E_613979</t>
  </si>
  <si>
    <t>湖北晋襄源工程机械制造有限公司</t>
  </si>
  <si>
    <t>E_614544</t>
  </si>
  <si>
    <t>襄阳市高新技术开发区典雅造型建材厂</t>
  </si>
  <si>
    <t>E_616709</t>
  </si>
  <si>
    <t>武汉汇沐家居有限公司</t>
  </si>
  <si>
    <t>E_613334</t>
  </si>
  <si>
    <t>上海赢顶标识有限公司</t>
  </si>
  <si>
    <t>E_601379</t>
  </si>
  <si>
    <t>建科环能科技有限公司</t>
  </si>
  <si>
    <t>E_617737</t>
  </si>
  <si>
    <t>襄州区嘉泰建材商行</t>
  </si>
  <si>
    <t>E_616717</t>
  </si>
  <si>
    <t>随州市宜鸿机电有限公司</t>
  </si>
  <si>
    <t>E_614845</t>
  </si>
  <si>
    <t>襄阳路桥建设集团有限公司</t>
  </si>
  <si>
    <t>E_614212</t>
  </si>
  <si>
    <t>杭州熠然文化创意有限公司</t>
  </si>
  <si>
    <t>E_621353</t>
  </si>
  <si>
    <t>湖北地智劳务有限公司</t>
  </si>
  <si>
    <t>E_617035</t>
  </si>
  <si>
    <t>佛山市亿存新型材料有限公司</t>
  </si>
  <si>
    <t>E_602987</t>
  </si>
  <si>
    <t>中招名鼎(泉州)项目管理有限公司</t>
  </si>
  <si>
    <t>E_633694</t>
  </si>
  <si>
    <t>湖北津信项目管理有限公司</t>
  </si>
  <si>
    <t>E_624644</t>
  </si>
  <si>
    <t>湖北固石岩土工程勘察有限公司</t>
  </si>
  <si>
    <t>E_624959</t>
  </si>
  <si>
    <t>云龙区佳和雨建筑设计工作室</t>
  </si>
  <si>
    <t>E_603120</t>
  </si>
  <si>
    <t>十堰城控建筑设计有限公司</t>
  </si>
  <si>
    <t>E_187830</t>
  </si>
  <si>
    <t>襄阳科力电气化工程有限公司</t>
  </si>
  <si>
    <t>E_614609</t>
  </si>
  <si>
    <t>湖北襄阳松涛建筑工程有限公司</t>
  </si>
  <si>
    <t>E_614472</t>
  </si>
  <si>
    <t>中信建筑设计研究总院有限公司</t>
  </si>
  <si>
    <t>E_598238</t>
  </si>
  <si>
    <t>武汉天绘时空科技有限公司</t>
  </si>
  <si>
    <t>E_623978</t>
  </si>
  <si>
    <t>湖北基纳于斯建筑劳务有限公司</t>
  </si>
  <si>
    <t>E_613573</t>
  </si>
  <si>
    <t>襄阳市丹墨数码技术有限公司</t>
  </si>
  <si>
    <t>E_614017</t>
  </si>
  <si>
    <t>智汇城设计咨询集团有限公司襄阳分公司</t>
  </si>
  <si>
    <t>E_608276</t>
  </si>
  <si>
    <t>南京优佳建筑设计有限公司湖北分公司</t>
  </si>
  <si>
    <t>E_689216</t>
  </si>
  <si>
    <t>襄阳园冶风景园林集团有限公司</t>
  </si>
  <si>
    <t>E_614195</t>
  </si>
  <si>
    <t>襄阳市市政工程设计院有限公司</t>
  </si>
  <si>
    <t>E_614092</t>
  </si>
  <si>
    <t>老河口市蕴航工程勘察有限公司</t>
  </si>
  <si>
    <t>E_625163</t>
  </si>
  <si>
    <t>四川省建筑设计研究院有限公司</t>
  </si>
  <si>
    <t>E_605958</t>
  </si>
  <si>
    <t>武汉力天视觉数字科技有限公司</t>
  </si>
  <si>
    <t>E_607903</t>
  </si>
  <si>
    <t>北桥中七设计有限公司襄阳分公司</t>
  </si>
  <si>
    <t>E_605887</t>
  </si>
  <si>
    <t>武汉管陈岩土工程有限公司</t>
  </si>
  <si>
    <t>E_622929</t>
  </si>
  <si>
    <t>襄阳地质工程勘察院有限责任公司</t>
  </si>
  <si>
    <t>E_176980</t>
  </si>
  <si>
    <t>武汉鸿利源岩土工程劳务有限公司</t>
  </si>
  <si>
    <t>E_629280</t>
  </si>
  <si>
    <t>襄阳市水利规划设计院有限公司</t>
  </si>
  <si>
    <t>E_614093</t>
  </si>
  <si>
    <t>浙江杭萧钢构股份有限公司</t>
  </si>
  <si>
    <t>E_120763</t>
  </si>
  <si>
    <t>谷城县今胜岩土工程有限责任公司</t>
  </si>
  <si>
    <t>E_614634</t>
  </si>
  <si>
    <t>湖北梵烨建筑装饰设计有限公司</t>
  </si>
  <si>
    <t>E_686470</t>
  </si>
  <si>
    <t>襄阳强力蒙劳务有限公司</t>
  </si>
  <si>
    <t>E_614590</t>
  </si>
  <si>
    <t>新泰市泉沟镇华中钻井队</t>
  </si>
  <si>
    <t>E_608358</t>
  </si>
  <si>
    <t>湖北精准四维勘测技术有限公司</t>
  </si>
  <si>
    <t>E_614460</t>
  </si>
  <si>
    <t>城安工程技术集团有限公司</t>
  </si>
  <si>
    <t>E_622115</t>
  </si>
  <si>
    <t>山东庆辉联达地质勘察有限公司</t>
  </si>
  <si>
    <t>E_622215</t>
  </si>
  <si>
    <t>湖北省德易科技有限公司</t>
  </si>
  <si>
    <t>E_624348</t>
  </si>
  <si>
    <t>湖北重远岩土工程有限公司</t>
  </si>
  <si>
    <t>E_624758</t>
  </si>
  <si>
    <t>湖北省建筑工程质量监督检验测试中心</t>
  </si>
  <si>
    <t>E_014859</t>
  </si>
  <si>
    <t>武汉源景实创数字科技有限公司</t>
  </si>
  <si>
    <t>E_623969</t>
  </si>
  <si>
    <t>武汉地质工程勘察院有限公司</t>
  </si>
  <si>
    <t>E_353446</t>
  </si>
  <si>
    <t>湖北省华亿达建筑劳务有限公司</t>
  </si>
  <si>
    <t>E_624966</t>
  </si>
  <si>
    <t>深圳市联合创艺建筑设计有限公司</t>
  </si>
  <si>
    <t>E_615161</t>
  </si>
  <si>
    <t>湖北筑美空间装饰设计有限公司</t>
  </si>
  <si>
    <t>E_624943</t>
  </si>
  <si>
    <t>襄阳市佰世欣广告传媒有限公司</t>
  </si>
  <si>
    <t>E_624926</t>
  </si>
  <si>
    <t>中建三局集团有限公司</t>
  </si>
  <si>
    <t>E_580949</t>
  </si>
  <si>
    <t>武汉博理建筑工程质量检测有限公司</t>
  </si>
  <si>
    <t>E_562760</t>
  </si>
  <si>
    <t>襄阳东津新区（经开区）蔡邦莹工程机械租赁部</t>
  </si>
  <si>
    <t>E_628039</t>
  </si>
  <si>
    <t>四川中翼凯威科技有限公司</t>
  </si>
  <si>
    <t>E_627240</t>
  </si>
  <si>
    <t>湖北永勘地质勘查技术有限公司</t>
  </si>
  <si>
    <t>E_659776</t>
  </si>
  <si>
    <t>襄阳市金真彩广告印务有限公司</t>
  </si>
  <si>
    <t>E_614310</t>
  </si>
  <si>
    <t>襄阳惠创劳务服务有限公司</t>
  </si>
  <si>
    <t>E_614367</t>
  </si>
  <si>
    <t>湖北岗达地信科技有限公司</t>
  </si>
  <si>
    <t>E_658821</t>
  </si>
  <si>
    <t>湖北广怡基础建筑劳务有限公司</t>
  </si>
  <si>
    <t>E_624672</t>
  </si>
  <si>
    <t>湖北襄拓建工程有限公司</t>
  </si>
  <si>
    <t>E_614445</t>
  </si>
  <si>
    <t>襄阳瑞喜钻探工程有限公司</t>
  </si>
  <si>
    <t>E_624955</t>
  </si>
  <si>
    <t>湖北汽车工业学院</t>
  </si>
  <si>
    <t>E_006150</t>
  </si>
  <si>
    <t>城安工程技术集团有限公司即墨分公司</t>
  </si>
  <si>
    <t>E_617451</t>
  </si>
  <si>
    <t>襄阳市建筑设计院有限公司</t>
  </si>
  <si>
    <t>E_429557</t>
  </si>
  <si>
    <t>枣阳瀚创项目管理有限公司</t>
  </si>
  <si>
    <t>E_625220</t>
  </si>
  <si>
    <t>河北大地数字信息技术有限公司</t>
  </si>
  <si>
    <t>E_610139</t>
  </si>
  <si>
    <t>黄山市新睿钻探劳务有限公司</t>
  </si>
  <si>
    <t>E_621782</t>
  </si>
  <si>
    <t>重庆睿宸建筑设计有限公司</t>
  </si>
  <si>
    <t>E_626855</t>
  </si>
  <si>
    <t>中国太平洋人寿保险股份有限公司襄阳中心支公司</t>
  </si>
  <si>
    <t>E_407662</t>
  </si>
  <si>
    <t>湖北建科国际工程有限公司</t>
  </si>
  <si>
    <t>E_468464</t>
  </si>
  <si>
    <t>谷城县建筑设计院</t>
  </si>
  <si>
    <t>E_625115</t>
  </si>
  <si>
    <t>翰森（北京）建筑设计有限公司</t>
  </si>
  <si>
    <t>E_686451</t>
  </si>
  <si>
    <t>湖北省工业建筑总承包集团</t>
  </si>
  <si>
    <t>E_014855</t>
  </si>
  <si>
    <t>武汉炽炫数字科技有限公司</t>
  </si>
  <si>
    <t>E_659630</t>
  </si>
  <si>
    <t>湖北州环建设工程有限公司</t>
  </si>
  <si>
    <t>E_672185</t>
  </si>
  <si>
    <t>湖北承信项目管理有限公司</t>
  </si>
  <si>
    <t>E_659743</t>
  </si>
  <si>
    <t>中合一工程设计有限公司襄阳分公司</t>
  </si>
  <si>
    <t>E_658818</t>
  </si>
  <si>
    <t>襄阳云上家建筑装饰工程有限公司</t>
  </si>
  <si>
    <t>E_699582</t>
  </si>
  <si>
    <t>襄阳富思特建设工程质量检测有限公司</t>
  </si>
  <si>
    <t>E_466380</t>
  </si>
  <si>
    <t>浙江城建规划设计院有限公司</t>
  </si>
  <si>
    <t>E_599743</t>
  </si>
  <si>
    <t>中兵北勘(河北)工程检测有限公司</t>
  </si>
  <si>
    <t>E_619093</t>
  </si>
  <si>
    <t>武汉德创志远科技有限公司</t>
  </si>
  <si>
    <t>E_679789</t>
  </si>
  <si>
    <t>李晓微</t>
  </si>
  <si>
    <t>E_597576</t>
  </si>
  <si>
    <t>罗婷婷</t>
  </si>
  <si>
    <t>E_597680</t>
  </si>
  <si>
    <t>东风鸿远工程咨询有限公司武汉分公司</t>
  </si>
  <si>
    <t>I_9201</t>
  </si>
  <si>
    <t>关联方</t>
    <phoneticPr fontId="25" type="noConversion"/>
  </si>
  <si>
    <t>襄阳致远工程咨询有限公司</t>
  </si>
  <si>
    <t>I_9207</t>
  </si>
  <si>
    <t>东风咨询有限公司</t>
  </si>
  <si>
    <t>I_9149</t>
  </si>
  <si>
    <t>东风鸿远工程咨询有限公司监理分公司</t>
  </si>
  <si>
    <t>I_9202</t>
  </si>
  <si>
    <t>东风国际招标有限公司</t>
  </si>
  <si>
    <t>I_9151</t>
  </si>
  <si>
    <t>上海东南联合工程设计有限公司武汉分公司</t>
  </si>
  <si>
    <t>I_9205</t>
  </si>
  <si>
    <t>标准工作底稿: N SWP 应付账款</t>
    <phoneticPr fontId="48" type="noConversion"/>
  </si>
  <si>
    <t>N.02: 借方余额测试和异常项目复核</t>
  </si>
  <si>
    <t>用于识别和测试项目的测试阈值</t>
  </si>
  <si>
    <t>安永属性测试说明：</t>
    <phoneticPr fontId="25" type="noConversion"/>
  </si>
  <si>
    <r>
      <rPr>
        <sz val="10"/>
        <color rgb="FF000000"/>
        <rFont val="Arial"/>
        <family val="2"/>
      </rPr>
      <t>1）获取并检查支持异常项目/借方余额的文档（例如，供应商发票、合同、采购订单、</t>
    </r>
    <r>
      <rPr>
        <sz val="10"/>
        <rFont val="Arial"/>
        <family val="2"/>
      </rPr>
      <t>付款水单等</t>
    </r>
    <r>
      <rPr>
        <sz val="10"/>
        <color rgb="FF000000"/>
        <rFont val="Arial"/>
        <family val="2"/>
      </rPr>
      <t>），以及与应付账款明细账的相关详细信息（例如，供应商名称、发票编号、发票金额和商品/服务的性质）核对一致。</t>
    </r>
    <phoneticPr fontId="25" type="noConversion"/>
  </si>
  <si>
    <t>2） 我们获取了与所选交易相关的记账分录。我们确认应付账款记账分录的对方科目账务处理正确‌。</t>
  </si>
  <si>
    <t>3） 根据我们对支持性文件（包括记账分录）的审查，得出结论认为，所选交易在应付账款中的分类是适当的。</t>
    <phoneticPr fontId="25" type="noConversion"/>
  </si>
  <si>
    <t>借方余额测试</t>
    <phoneticPr fontId="25" type="noConversion"/>
  </si>
  <si>
    <r>
      <rPr>
        <b/>
        <sz val="10"/>
        <color rgb="FFFF0000"/>
        <rFont val="Arial"/>
        <family val="2"/>
      </rPr>
      <t>表1</t>
    </r>
    <r>
      <rPr>
        <sz val="10"/>
        <color rgb="FF000000"/>
        <rFont val="Arial"/>
        <family val="2"/>
      </rPr>
      <t xml:space="preserve"> 我们获取了</t>
    </r>
    <r>
      <rPr>
        <sz val="10"/>
        <color rgb="FFFF0000"/>
        <rFont val="Arial"/>
        <family val="2"/>
      </rPr>
      <t>N.01.01明细账BKD</t>
    </r>
    <r>
      <rPr>
        <sz val="10"/>
        <color rgb="FF000000"/>
        <rFont val="Arial"/>
        <family val="2"/>
      </rPr>
      <t>中期末余额为借方的供应商，对（单独或合计）大于测试阈值的借方余额，检查了对应的支持文件，确认是否需要进行重分类。</t>
    </r>
  </si>
  <si>
    <t>借项期末余额合计</t>
  </si>
  <si>
    <t>是否执行借方余额测试</t>
  </si>
  <si>
    <t>是否调整</t>
  </si>
  <si>
    <t>分析所选项目，以进行了解和正确分类。</t>
  </si>
  <si>
    <t>供应商名称</t>
  </si>
  <si>
    <t>借方余额</t>
  </si>
  <si>
    <t>形成应付账款借方余额入账凭证</t>
    <phoneticPr fontId="25" type="noConversion"/>
  </si>
  <si>
    <t>根据交易性质获取的支持性证据信息</t>
    <phoneticPr fontId="25" type="noConversion"/>
  </si>
  <si>
    <t>备注</t>
    <phoneticPr fontId="25" type="noConversion"/>
  </si>
  <si>
    <t>凭证编号</t>
  </si>
  <si>
    <t>日期</t>
  </si>
  <si>
    <t>金额</t>
  </si>
  <si>
    <t>交易性质</t>
  </si>
  <si>
    <t>交易凭据名称</t>
  </si>
  <si>
    <t>交易凭据编号</t>
  </si>
  <si>
    <t>交易凭据日期</t>
  </si>
  <si>
    <t>交易凭据金额</t>
  </si>
  <si>
    <t>其他异常项测试</t>
    <phoneticPr fontId="25" type="noConversion"/>
  </si>
  <si>
    <r>
      <rPr>
        <b/>
        <sz val="10"/>
        <color rgb="FFFF0000"/>
        <rFont val="Arial"/>
        <family val="2"/>
      </rPr>
      <t xml:space="preserve">表2 </t>
    </r>
    <r>
      <rPr>
        <sz val="10"/>
        <color rgb="FF000000"/>
        <rFont val="Arial"/>
        <family val="2"/>
      </rPr>
      <t>在下面记录选择关键项目的理由</t>
    </r>
  </si>
  <si>
    <t>EY Works</t>
    <phoneticPr fontId="25" type="noConversion"/>
  </si>
  <si>
    <t>选择标准</t>
    <phoneticPr fontId="25" type="noConversion"/>
  </si>
  <si>
    <t>应付账款入账凭证</t>
    <phoneticPr fontId="25" type="noConversion"/>
  </si>
  <si>
    <t>支持性证据信息
（确认控制权转移/接受服务的交易凭据，如提单、运输单据（GDN)、第三方交货证明等）</t>
    <phoneticPr fontId="25" type="noConversion"/>
  </si>
  <si>
    <r>
      <t>Notes：</t>
    </r>
    <r>
      <rPr>
        <sz val="10"/>
        <color theme="1"/>
        <rFont val="Arial"/>
        <family val="2"/>
      </rPr>
      <t>记录识别的异常情况的详细信息以及如何解决这些异常情况，包括执行的额外实质性程序</t>
    </r>
    <phoneticPr fontId="25" type="noConversion"/>
  </si>
  <si>
    <r>
      <rPr>
        <b/>
        <sz val="14"/>
        <color theme="0"/>
        <rFont val="微软雅黑"/>
        <family val="2"/>
      </rPr>
      <t>标准工作底稿: N SWP 应付账款</t>
    </r>
    <phoneticPr fontId="48" type="noConversion"/>
  </si>
  <si>
    <r>
      <t xml:space="preserve">N.03: </t>
    </r>
    <r>
      <rPr>
        <b/>
        <sz val="12"/>
        <color rgb="FF000000"/>
        <rFont val="微软雅黑"/>
        <family val="2"/>
      </rPr>
      <t>应付账款截止测试</t>
    </r>
    <phoneticPr fontId="25" type="noConversion"/>
  </si>
  <si>
    <r>
      <rPr>
        <b/>
        <sz val="10"/>
        <color rgb="FFFF0000"/>
        <rFont val="微软雅黑"/>
        <family val="2"/>
      </rPr>
      <t>表1</t>
    </r>
    <r>
      <rPr>
        <b/>
        <sz val="10"/>
        <rFont val="微软雅黑"/>
        <family val="2"/>
      </rPr>
      <t xml:space="preserve"> 记录确定测试期间和样本策略的理由。</t>
    </r>
    <phoneticPr fontId="25" type="noConversion"/>
  </si>
  <si>
    <t>　</t>
  </si>
  <si>
    <r>
      <rPr>
        <b/>
        <sz val="10"/>
        <color rgb="FFFF0000"/>
        <rFont val="微软雅黑"/>
        <family val="2"/>
        <charset val="134"/>
      </rPr>
      <t>表2</t>
    </r>
    <r>
      <rPr>
        <b/>
        <sz val="10"/>
        <color rgb="FF000000"/>
        <rFont val="微软雅黑"/>
        <family val="2"/>
        <charset val="134"/>
      </rPr>
      <t xml:space="preserve"> 记录用于执行程序的总体</t>
    </r>
  </si>
  <si>
    <t>资料名称</t>
  </si>
  <si>
    <t>涵盖期间</t>
  </si>
  <si>
    <t xml:space="preserve"> 测试：用于在正确期间正确评估交易记录的截止测试项目 </t>
  </si>
  <si>
    <t>安永属性测试说明：</t>
  </si>
  <si>
    <t xml:space="preserve">根据支持性证据（例如，提单、运输单据（GDN)、第三方交货证明等）确定所选交易已记录在适当会计期间，包含所有关联的总账账户（如，资产负债表和利润表账户）中。 </t>
    <phoneticPr fontId="25" type="noConversion"/>
  </si>
  <si>
    <t>金额涉及：
（用“√”标记）</t>
  </si>
  <si>
    <t>日期</t>
    <phoneticPr fontId="25" type="noConversion"/>
  </si>
  <si>
    <t>交易凭据名称</t>
    <phoneticPr fontId="25" type="noConversion"/>
  </si>
  <si>
    <t>交易凭据编号</t>
    <phoneticPr fontId="25" type="noConversion"/>
  </si>
  <si>
    <t>交易发生日期</t>
    <phoneticPr fontId="25" type="noConversion"/>
  </si>
  <si>
    <t>本期</t>
  </si>
  <si>
    <t>资产负债表日后期间</t>
    <phoneticPr fontId="25" type="noConversion"/>
  </si>
  <si>
    <t>截止日前的交易测试</t>
  </si>
  <si>
    <t>截止日后的交易测试</t>
  </si>
  <si>
    <r>
      <rPr>
        <b/>
        <sz val="10"/>
        <color rgb="FFFF0000"/>
        <rFont val="微软雅黑"/>
        <family val="2"/>
      </rPr>
      <t>Notes：</t>
    </r>
    <r>
      <rPr>
        <sz val="10"/>
        <color theme="1"/>
        <rFont val="微软雅黑"/>
        <family val="2"/>
      </rPr>
      <t>记录识别的异常情况的详细信息以及如何解决这些异常情况，包括执行的额外实质性程序</t>
    </r>
    <phoneticPr fontId="25" type="noConversion"/>
  </si>
  <si>
    <r>
      <t xml:space="preserve">N.04: </t>
    </r>
    <r>
      <rPr>
        <b/>
        <sz val="12"/>
        <color rgb="FF000000"/>
        <rFont val="微软雅黑"/>
        <family val="2"/>
        <charset val="134"/>
      </rPr>
      <t>寻找未入账负债</t>
    </r>
    <phoneticPr fontId="25" type="noConversion"/>
  </si>
  <si>
    <r>
      <rPr>
        <u/>
        <sz val="11"/>
        <color rgb="FFFF0000"/>
        <rFont val="微软雅黑"/>
        <family val="2"/>
        <charset val="134"/>
      </rPr>
      <t>返回汇总页</t>
    </r>
    <phoneticPr fontId="25" type="noConversion"/>
  </si>
  <si>
    <t>请项目组使用以下链接获取标准底稿执行Search For程序：</t>
  </si>
  <si>
    <t>N&amp;P SURL SWP 寻找未入账负债 202YMMDD XYZ公司.xlsx</t>
  </si>
  <si>
    <t>eca72055-06d3-4dd3-bf25-5248c0ca8d3d</t>
    <phoneticPr fontId="25" type="noConversion"/>
  </si>
  <si>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phoneticPr fontId="25" type="noConversion"/>
  </si>
  <si>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phoneticPr fontId="25" type="noConversion"/>
  </si>
  <si>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phoneticPr fontId="25" type="noConversion"/>
  </si>
  <si>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phoneticPr fontId="25" type="noConversion"/>
  </si>
  <si>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phoneticPr fontId="25" type="noConversion"/>
  </si>
  <si>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phoneticPr fontId="25" type="noConversion"/>
  </si>
  <si>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phoneticPr fontId="25" type="noConversion"/>
  </si>
  <si>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phoneticPr fontId="25" type="noConversion"/>
  </si>
  <si>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phoneticPr fontId="25" type="noConversion"/>
  </si>
  <si>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phoneticPr fontId="25" type="noConversion"/>
  </si>
  <si>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phoneticPr fontId="25" type="noConversion"/>
  </si>
  <si>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phoneticPr fontId="25" type="noConversion"/>
  </si>
  <si>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phoneticPr fontId="25" type="noConversion"/>
  </si>
  <si>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phoneticPr fontId="25" type="noConversion"/>
  </si>
  <si>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phoneticPr fontId="25" type="noConversion"/>
  </si>
  <si>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phoneticPr fontId="25" type="noConversion"/>
  </si>
  <si>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phoneticPr fontId="25" type="noConversion"/>
  </si>
  <si>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phoneticPr fontId="25" type="noConversion"/>
  </si>
  <si>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phoneticPr fontId="25" type="noConversion"/>
  </si>
  <si>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phoneticPr fontId="25" type="noConversion"/>
  </si>
  <si>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phoneticPr fontId="25" type="noConversion"/>
  </si>
  <si>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phoneticPr fontId="25" type="noConversion"/>
  </si>
  <si>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phoneticPr fontId="25" type="noConversion"/>
  </si>
  <si>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phoneticPr fontId="25" type="noConversion"/>
  </si>
  <si>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phoneticPr fontId="25" type="noConversion"/>
  </si>
  <si>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phoneticPr fontId="25" type="noConversion"/>
  </si>
  <si>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phoneticPr fontId="25" type="noConversion"/>
  </si>
  <si>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phoneticPr fontId="25" type="noConversion"/>
  </si>
  <si>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phoneticPr fontId="25" type="noConversion"/>
  </si>
  <si>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phoneticPr fontId="25" type="noConversion"/>
  </si>
  <si>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phoneticPr fontId="25" type="noConversion"/>
  </si>
  <si>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phoneticPr fontId="25" type="noConversion"/>
  </si>
  <si>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phoneticPr fontId="25" type="noConversion"/>
  </si>
  <si>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phoneticPr fontId="25" type="noConversion"/>
  </si>
  <si>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phoneticPr fontId="25" type="noConversion"/>
  </si>
  <si>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phoneticPr fontId="25" type="noConversion"/>
  </si>
  <si>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phoneticPr fontId="25" type="noConversion"/>
  </si>
  <si>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phoneticPr fontId="25" type="noConversion"/>
  </si>
  <si>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phoneticPr fontId="25" type="noConversion"/>
  </si>
  <si>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phoneticPr fontId="25" type="noConversion"/>
  </si>
  <si>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phoneticPr fontId="25" type="noConversion"/>
  </si>
  <si>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phoneticPr fontId="25" type="noConversion"/>
  </si>
  <si>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</si>
  <si>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</si>
  <si>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</si>
  <si>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</si>
  <si>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</si>
  <si>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</si>
  <si>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</si>
  <si>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</si>
  <si>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</si>
  <si>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</si>
  <si>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</si>
  <si>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</si>
  <si>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</si>
  <si>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</si>
  <si>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</si>
  <si>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</si>
  <si>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</si>
  <si>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</si>
  <si>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</si>
  <si>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</si>
  <si>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</si>
  <si>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</si>
  <si>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</si>
  <si>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</si>
  <si>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</si>
  <si>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</si>
  <si>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</si>
  <si>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</si>
  <si>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</si>
  <si>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</si>
  <si>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</si>
  <si>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</si>
  <si>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</si>
  <si>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</si>
  <si>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</si>
  <si>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</si>
  <si>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</si>
  <si>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</si>
  <si>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</si>
  <si>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</si>
  <si>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</si>
  <si>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</si>
  <si>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</si>
  <si>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</si>
  <si>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</si>
  <si>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</si>
  <si>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</si>
  <si>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</si>
  <si>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</si>
  <si>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</si>
  <si>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</si>
  <si>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</si>
  <si>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</si>
  <si>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</si>
  <si>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</si>
  <si>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</si>
  <si>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</si>
  <si>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</si>
  <si>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</si>
  <si>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</si>
  <si>
    <t>0c1d5614-b719-4375-ab0b-c2eb36356630</t>
  </si>
  <si>
    <t>0ed1578d-c3d1-41cb-bf1a-0b8b16fe351b</t>
  </si>
  <si>
    <t>26b6c32d-5456-4a6c-ac24-0404a9fd88c6</t>
  </si>
  <si>
    <t>9d623d85-412f-4078-bd1e-abb140c171a2</t>
  </si>
  <si>
    <t>db74efef-4f05-4c4b-8d14-9ebc7f4e763a</t>
  </si>
  <si>
    <t>689964e5-d5ce-4506-866e-828ad946c4bc</t>
  </si>
  <si>
    <t>4aa8172f-bebf-428a-9d40-18ed13d529d9</t>
  </si>
  <si>
    <t>4959c36f-fd69-4143-8d60-2b90c61f6a4c</t>
  </si>
  <si>
    <t>dd1e28ba-81f1-40db-909c-26609433bb85</t>
  </si>
  <si>
    <t>22571d99-3693-465f-ae30-2f43f1397d18</t>
  </si>
  <si>
    <t>b4884ca6-2039-4441-9b03-287adfed6a07</t>
  </si>
  <si>
    <t>e4619576-8474-4cdc-8fc7-59e483ac3504</t>
  </si>
  <si>
    <t>28b6083d-dc79-4094-a62c-6b73750656e4</t>
  </si>
  <si>
    <t>552c3f0d-69a9-4fa1-9be8-62c927f2e3cf</t>
  </si>
  <si>
    <t>13def8fe-7e41-41fa-b5a7-b6f1b2e2d8fa</t>
  </si>
  <si>
    <t>5f0f71df-1c80-47fe-8049-01a984ad9c1d</t>
  </si>
  <si>
    <t>7afcc3d8-9f45-4912-8a96-e0d2b277a1be</t>
  </si>
  <si>
    <t>a7470e28-4f68-4cf2-bf33-253f6b3c1c98</t>
  </si>
  <si>
    <t>6b56a18e-8d3e-445b-9a0e-09933a1e05eb</t>
  </si>
  <si>
    <t>3b797bc9-8be6-4848-bbf3-33d143c5b8b3</t>
  </si>
  <si>
    <t>6208c3b6-26d8-435e-b99c-682effc18916</t>
  </si>
  <si>
    <t>3ef6b9a5-3833-496b-b845-bf9f5db4d434</t>
  </si>
  <si>
    <t>e8846001-be3a-4aea-a491-d2fbb2122966</t>
  </si>
  <si>
    <t>4ca549cb-037b-430c-aa51-380f5019b27d</t>
  </si>
  <si>
    <t>1dc8af52-c1ea-4ad6-9a98-63057c8c8513</t>
  </si>
  <si>
    <t>fab660f9-dc4b-4b51-a6af-61035481fe90</t>
  </si>
  <si>
    <t>783e1890-b601-4298-aa18-6179e238c645</t>
  </si>
  <si>
    <t>dbb84dfd-190c-45bb-902b-9e704d3c642c</t>
  </si>
  <si>
    <t>482e0bcd-32c9-4c96-b524-ce853ad5ee66</t>
  </si>
  <si>
    <t>d44c6c7e-4db0-4b9b-a7e4-3a23f9247412</t>
  </si>
  <si>
    <t>e0fa5039-ad71-4881-b58b-304d7a53cd7e</t>
  </si>
  <si>
    <t>f3800d40-973a-4cb6-9d51-b904e3691ef8</t>
  </si>
  <si>
    <t>625a02e1-5e82-41ef-b44c-1b268f3fe5d2</t>
  </si>
  <si>
    <t>56073803-5b18-47e9-b3e0-564a1b3a40bb</t>
  </si>
  <si>
    <t>dcfdac53-b669-43c3-9157-026b15cd0915</t>
  </si>
  <si>
    <t>52f0b29d-081d-4168-93bb-65e2ab693a66</t>
  </si>
  <si>
    <t>487d7efa-d6b4-4b0a-b9e7-b962353d8ecc</t>
  </si>
  <si>
    <t>96a250db-1922-486b-a688-3a5361161662</t>
  </si>
  <si>
    <t>18f18d6f-1d32-44e2-b5fc-a36f90976bb9</t>
  </si>
  <si>
    <t>1852ae93-0d62-4256-b665-f0ead08452bb</t>
  </si>
  <si>
    <t>ed82514b-5183-4b54-8d85-257a77ac1f54</t>
  </si>
  <si>
    <t>c8e4a9f7-af6f-4f9c-8c12-596f22a27109</t>
  </si>
  <si>
    <t>160fa604-87ef-4905-9773-31a2e9d26d94</t>
  </si>
  <si>
    <t>6ba2f11d-9dd1-48da-ac2d-9bf607f1fff0</t>
  </si>
  <si>
    <t>3b6dee10-70aa-4085-8c6b-95ffc977b79b</t>
  </si>
  <si>
    <t>b6ac9a73-4f34-4b71-9bd7-7adcb676d02c</t>
  </si>
  <si>
    <t>12c5d681-3216-418c-a18b-661c1eb33f88</t>
  </si>
  <si>
    <t>234d2168-9826-4d25-ba37-ed08e1ae0aab</t>
  </si>
  <si>
    <t>ce3b9236-86d6-40b5-8185-57af9fc4da99</t>
  </si>
  <si>
    <t>c5708e83-e8f3-4c06-96cd-69e27a89637f</t>
  </si>
  <si>
    <t>398ea5a8-6c4e-4358-b5d4-a1b87036c8fd</t>
  </si>
  <si>
    <t>4bb7c75a-c80c-4144-8e6c-c754bf51b61f</t>
  </si>
  <si>
    <t>b959fed2-9578-406a-b998-252b17674eda</t>
  </si>
  <si>
    <t>22253777-cde4-4b5b-b981-ab79d68251ec</t>
  </si>
  <si>
    <t>d6c05b82-167e-4305-b9e7-fd7bd6569c7f</t>
  </si>
  <si>
    <t>dfb12828-0b5c-4f25-88f5-086a4fd07901</t>
  </si>
  <si>
    <t>91b18949-d720-42b7-ad75-5b5db8f35567</t>
  </si>
  <si>
    <t>1ca60eba-d2f9-465c-abf4-19096b1464d3</t>
  </si>
  <si>
    <t>5157e35a-c93a-4995-b56d-c99b68f90981</t>
  </si>
  <si>
    <t>464b96a0-8de1-41bc-80c3-11557c7b305a</t>
  </si>
  <si>
    <t>179b73f8-59f8-4a8f-9190-efb2626873db</t>
  </si>
  <si>
    <t>0a78da83-d4dc-4024-94e4-5f2854834912</t>
  </si>
  <si>
    <t>ce39da16-2ab3-40a4-8095-f68c8bd26a2f</t>
  </si>
  <si>
    <t>c74234c6-b84c-424f-9341-04c80799954a</t>
  </si>
  <si>
    <t>b11b7060-e455-4e15-93b4-3ea59fe6ef4c</t>
  </si>
  <si>
    <t>7ab64df1-8648-4d27-bc11-4ec98def67e7</t>
  </si>
  <si>
    <t>eb387db5-811b-4cc5-b5cd-6df3e675c8d8</t>
  </si>
  <si>
    <t>d3ef5377-fe87-4dbc-8b00-7b00cced4b79</t>
  </si>
  <si>
    <t>8cd0b9dd-d09e-46cb-9099-543bd4d79a77</t>
  </si>
  <si>
    <t>f94f06a5-6a73-491c-865a-631536d6729f</t>
  </si>
  <si>
    <t>d80419ce-33eb-433e-b73d-6b70774a566f</t>
  </si>
  <si>
    <t>aa9ecb0d-ec47-4302-8b8d-6a79bc8f1456</t>
  </si>
  <si>
    <t>e54c2393-2c15-4937-bf5b-20252c488fd6</t>
  </si>
  <si>
    <t>ff4fb21f-8e41-4fd4-83c9-e1c4ffc8c99f</t>
  </si>
  <si>
    <t>cccd48d4-51b8-466e-a206-ce9be336f22a</t>
  </si>
  <si>
    <t>6dac5168-7b11-43cf-a281-c691dd1b8b44</t>
  </si>
  <si>
    <t>3f8cafd9-360f-4a34-bf6c-121509c03887</t>
  </si>
  <si>
    <t>2b145555-bd79-47b3-856b-259185c383b0</t>
  </si>
  <si>
    <t>3a7d64c9-f994-4354-b225-7503e738bbb0</t>
  </si>
  <si>
    <t>5683dff8-3224-41af-89a5-5118db40f95f</t>
  </si>
  <si>
    <t>922e077f-92f9-4f4f-93ac-8a5689fc02e7</t>
  </si>
  <si>
    <t>ead358eb-a4c9-4e01-a638-03513e38a2b5</t>
  </si>
  <si>
    <t>bbd0705c-b00c-40ce-9065-119b84dd71be</t>
  </si>
  <si>
    <t>5c30ae2d-6d41-4ff8-a411-5f897ce61216</t>
  </si>
  <si>
    <t>c7c9a683-e94f-40fb-9572-0dd3dc50115d</t>
  </si>
  <si>
    <t>3af9b26d-d651-4ee2-8874-8f2890688466</t>
  </si>
  <si>
    <t>b3fd2119-e7f3-4c28-99f2-486a798d345a</t>
  </si>
  <si>
    <t>0e003c5b-4188-463b-86f8-0690cf0046be</t>
  </si>
  <si>
    <t>a700e625-bc68-41da-ba2a-126ace1f25a8</t>
  </si>
  <si>
    <t>d5361656-61c6-49cb-9b7b-6c0d3a8bb1ad</t>
  </si>
  <si>
    <t>f0a1fe97-7dfa-4c80-9f52-903af60dbd35</t>
  </si>
  <si>
    <t>79325a34-d3dc-45f4-b760-86d0a32c8362</t>
  </si>
  <si>
    <t>11be7677-adc9-4c5f-8af6-c4f076353d07</t>
  </si>
  <si>
    <t>a8b58c94-90d7-4151-8c57-b0a0967486af</t>
  </si>
  <si>
    <t>82ce88dd-6a81-4332-bc06-8e54af5df5b0</t>
  </si>
  <si>
    <t>d8095dab-7f4c-4fe2-b664-7afb72f59298</t>
  </si>
  <si>
    <t>02c11b5a-74b7-48fb-9c42-a65c5c295b27</t>
  </si>
  <si>
    <t>4755e4f9-4374-4bed-a644-22c547cfecb0</t>
  </si>
  <si>
    <t>e3f4373d-e874-467d-b378-40e6f5c59aeb</t>
  </si>
  <si>
    <t>2bfe7a7a-63fa-4a68-937a-345381c69512</t>
  </si>
  <si>
    <t>93c05a6b-293f-442f-9ad0-41f3846507e2</t>
  </si>
  <si>
    <t>07290702-d941-425d-8b91-723fedf780a7</t>
  </si>
  <si>
    <t>b1982b0b-39b0-4f86-8496-bdf572cac346</t>
  </si>
  <si>
    <t>fa3cbc80-6baa-4302-8a87-f7fb63c17ca5</t>
    <phoneticPr fontId="25" type="noConversion"/>
  </si>
  <si>
    <t>VZTN83DQ0PNV1SC86TPFW2CC99KYK2XZ14KACGNDYCRQJ22XYD90</t>
  </si>
  <si>
    <t>Tony XD Dong</t>
  </si>
  <si>
    <t>YG0DNYWJ8NZCWJNY2PCG8613MM6FEXYYHF70GAHMCNX0Q9Y2QFBG</t>
  </si>
  <si>
    <t>Danny YF Deng</t>
  </si>
  <si>
    <t>K5ZAXJ2E9XP125K3V6VCZ229PXMT9QCYE231BYVH63CK85DC0770</t>
  </si>
  <si>
    <t>Margo Bo</t>
  </si>
  <si>
    <t>G7KX5FMG1R3QH83GQBFZHN3Z9N294HNAAMSW34CTJT51MC4J8R8G</t>
  </si>
  <si>
    <t>Barry B Li</t>
  </si>
  <si>
    <t>Q775XYNM7JGDVAMWSN3NR5KKNQM5NY4YPDM7W5EXVBGM3AB475NG</t>
  </si>
  <si>
    <t>Maikey Jin</t>
  </si>
  <si>
    <t>NJCBKWVS3J4F3HCA2MJBBCQ6HKD0ZSBEP3AX4S89TK4M9EY3DH60</t>
  </si>
  <si>
    <t>Phoebe YH Wang</t>
  </si>
  <si>
    <t>9QKVRYJWFZ38Q15SSC9F8R37HJH3965E74F5R92CN1PGMMZQECQ0</t>
  </si>
  <si>
    <t>Dan Y Yao</t>
  </si>
  <si>
    <t>T5WMV5MGJB59WZ0K302MPWMWM5G98C28W9B39WCZBPJXG5847NB0</t>
  </si>
  <si>
    <t>Grace YT Dai</t>
  </si>
  <si>
    <t>MQFDQD6SPH3FMJP2N0PQQ3N4PZ6XNH4T373A7HWSDE5TZ4A7V1DG</t>
  </si>
  <si>
    <t>Zelda Zhang</t>
  </si>
  <si>
    <t>6MHDXJSY0EZ4FTY38FAWS1RBQMJ5SQF0K82YD6H5SGJP9T080D20</t>
  </si>
  <si>
    <t>Esther WY Wang</t>
  </si>
  <si>
    <t>ESRXDMFF301213JT3ZH9F7ZDSK4QQHFF3A9ZCB0821P05Y900W90</t>
  </si>
  <si>
    <t>Alina Ye</t>
  </si>
  <si>
    <t>1P2X1MX3XYWCZ8E2MX2Y07YGB3MV287QRPBD8BFP4A63CGJFS7B0</t>
  </si>
  <si>
    <t>Evelyn Z Zhao</t>
  </si>
  <si>
    <t>6S9TPF8H3ZN4N0CHB8MYGHFTK6TQSV6Z8E1J7QSW8R4883X21Q5G</t>
  </si>
  <si>
    <t>Yu Qing YQ Cheng</t>
  </si>
  <si>
    <t>Create</t>
  </si>
  <si>
    <t>e7785d87-b682-482e-a159-fe0e639e953f</t>
  </si>
  <si>
    <t>{"id":"e7785d87-b682-482e-a159-fe0e639e953f","type":1,"name":"workbookId","value":"c21f929e-0173-4ea4-a1cf-db50a5afa408"}</t>
  </si>
  <si>
    <t>1876fc14-bd5a-44ec-911a-255e9e63e861</t>
  </si>
  <si>
    <t>{"id":"1876fc14-bd5a-44ec-911a-255e9e63e861","type":0,"name":"dataSnipperSheetDeleted","value":"false"}</t>
  </si>
  <si>
    <t>a39a968e-c881-4c8e-97b4-ebceef18d2a2</t>
  </si>
  <si>
    <t>{"id":"a39a968e-c881-4c8e-97b4-ebceef18d2a2","type":0,"name":"embed-documents","value":"false"}</t>
  </si>
  <si>
    <t>c7d281ae-769b-4ecb-96a6-e3a5ac273429</t>
  </si>
  <si>
    <t>{"id":"c7d281ae-769b-4ecb-96a6-e3a5ac273429","type":0,"name":"table-snip-suggestions","value":"true"}</t>
  </si>
  <si>
    <t>c4ce4c64-519b-4c7d-a240-ff0aa00e17bd</t>
  </si>
  <si>
    <t>{"id":"c4ce4c64-519b-4c7d-a240-ff0aa00e17bd","type":1,"name":"migratedFssProjectId","value":""}</t>
  </si>
  <si>
    <t>{"id":"e7785d87-b682-482e-a159-fe0e639e953f","type":1,"name":"workbookId","value":"2467d5f5-7552-4c0e-859f-558468e903dc"}</t>
  </si>
  <si>
    <t>{"id":"a39a968e-c881-4c8e-97b4-ebceef18d2a2","type":0,"name":"embed-documents","value":"true"}</t>
  </si>
  <si>
    <t>ffd713b1-9af1-48a2-8863-2da7898409aa</t>
    <phoneticPr fontId="25" type="noConversion"/>
  </si>
  <si>
    <t>274beda0-5518-436e-b3b2-259f5e17eca4</t>
    <phoneticPr fontId="25" type="noConversion"/>
  </si>
  <si>
    <t>e329b5f6-2a62-4d23-9056-a1799579c52e</t>
    <phoneticPr fontId="25" type="noConversion"/>
  </si>
  <si>
    <t>Moderate</t>
  </si>
  <si>
    <t>N/A</t>
  </si>
  <si>
    <r>
      <rPr>
        <sz val="9"/>
        <color theme="1"/>
        <rFont val="微软雅黑"/>
        <family val="2"/>
      </rPr>
      <t>账套名称</t>
    </r>
    <r>
      <rPr>
        <sz val="9"/>
        <color theme="1"/>
        <rFont val="Arial"/>
        <family val="2"/>
      </rPr>
      <t>/</t>
    </r>
    <r>
      <rPr>
        <sz val="9"/>
        <color theme="1"/>
        <rFont val="微软雅黑"/>
        <family val="2"/>
      </rPr>
      <t>账套编码</t>
    </r>
    <r>
      <rPr>
        <sz val="9"/>
        <color theme="1"/>
        <rFont val="Arial"/>
        <family val="2"/>
      </rPr>
      <t xml:space="preserve"> </t>
    </r>
  </si>
  <si>
    <r>
      <rPr>
        <sz val="9"/>
        <color indexed="8"/>
        <rFont val="微软雅黑"/>
        <family val="2"/>
      </rPr>
      <t>科目编码</t>
    </r>
  </si>
  <si>
    <t>供应商代码</t>
  </si>
  <si>
    <r>
      <rPr>
        <sz val="9"/>
        <color rgb="FF000000"/>
        <rFont val="微软雅黑"/>
        <family val="2"/>
      </rPr>
      <t>款项性质</t>
    </r>
  </si>
  <si>
    <t>供应商性质</t>
  </si>
  <si>
    <t>2025/12/31</t>
    <phoneticPr fontId="28" type="noConversion"/>
  </si>
  <si>
    <r>
      <rPr>
        <sz val="9"/>
        <color rgb="FF000000"/>
        <rFont val="微软雅黑"/>
        <family val="2"/>
      </rPr>
      <t>变动</t>
    </r>
  </si>
  <si>
    <t>应付账款分账龄</t>
  </si>
  <si>
    <r>
      <rPr>
        <sz val="9"/>
        <color indexed="8"/>
        <rFont val="微软雅黑"/>
        <family val="2"/>
      </rPr>
      <t>原币币种</t>
    </r>
  </si>
  <si>
    <r>
      <rPr>
        <sz val="9"/>
        <color indexed="8"/>
        <rFont val="微软雅黑"/>
        <family val="2"/>
      </rPr>
      <t>原币金额</t>
    </r>
  </si>
  <si>
    <r>
      <rPr>
        <sz val="9"/>
        <color indexed="8"/>
        <rFont val="微软雅黑"/>
        <family val="2"/>
      </rPr>
      <t>期末账面数</t>
    </r>
  </si>
  <si>
    <r>
      <rPr>
        <sz val="9"/>
        <color rgb="FF000000"/>
        <rFont val="微软雅黑"/>
        <family val="2"/>
      </rPr>
      <t>本期审计调整编号</t>
    </r>
  </si>
  <si>
    <t>重分类调整</t>
    <phoneticPr fontId="28" type="noConversion"/>
  </si>
  <si>
    <r>
      <rPr>
        <sz val="9"/>
        <color indexed="8"/>
        <rFont val="微软雅黑"/>
        <family val="2"/>
      </rPr>
      <t>期末审定数</t>
    </r>
  </si>
  <si>
    <r>
      <rPr>
        <sz val="9"/>
        <color indexed="8"/>
        <rFont val="微软雅黑"/>
        <family val="2"/>
      </rPr>
      <t>上期末审定数</t>
    </r>
  </si>
  <si>
    <r>
      <rPr>
        <sz val="9"/>
        <rFont val="微软雅黑"/>
        <family val="2"/>
      </rPr>
      <t>金额</t>
    </r>
  </si>
  <si>
    <t>%</t>
  </si>
  <si>
    <r>
      <t>0-90</t>
    </r>
    <r>
      <rPr>
        <sz val="9"/>
        <rFont val="微软雅黑"/>
        <family val="2"/>
      </rPr>
      <t>天</t>
    </r>
  </si>
  <si>
    <r>
      <t>91-365</t>
    </r>
    <r>
      <rPr>
        <sz val="9"/>
        <rFont val="宋体"/>
        <family val="3"/>
        <charset val="134"/>
      </rPr>
      <t>天</t>
    </r>
  </si>
  <si>
    <r>
      <t>1</t>
    </r>
    <r>
      <rPr>
        <sz val="9"/>
        <rFont val="微软雅黑"/>
        <family val="2"/>
      </rPr>
      <t>年至</t>
    </r>
    <r>
      <rPr>
        <sz val="9"/>
        <rFont val="Arial"/>
        <family val="2"/>
      </rPr>
      <t>2</t>
    </r>
    <r>
      <rPr>
        <sz val="9"/>
        <rFont val="微软雅黑"/>
        <family val="2"/>
      </rPr>
      <t>年</t>
    </r>
  </si>
  <si>
    <r>
      <t>2</t>
    </r>
    <r>
      <rPr>
        <sz val="9"/>
        <rFont val="微软雅黑"/>
        <family val="2"/>
      </rPr>
      <t>年至</t>
    </r>
    <r>
      <rPr>
        <sz val="9"/>
        <rFont val="Arial"/>
        <family val="2"/>
      </rPr>
      <t>3</t>
    </r>
    <r>
      <rPr>
        <sz val="9"/>
        <rFont val="微软雅黑"/>
        <family val="2"/>
      </rPr>
      <t>年</t>
    </r>
  </si>
  <si>
    <r>
      <t>3</t>
    </r>
    <r>
      <rPr>
        <sz val="9"/>
        <rFont val="微软雅黑"/>
        <family val="2"/>
      </rPr>
      <t>年以上</t>
    </r>
  </si>
  <si>
    <t>check</t>
  </si>
  <si>
    <t>2121</t>
    <phoneticPr fontId="25" type="noConversion"/>
  </si>
  <si>
    <t>采购款</t>
    <phoneticPr fontId="25" type="noConversion"/>
  </si>
  <si>
    <t>关联方</t>
  </si>
  <si>
    <t>I_9204</t>
  </si>
  <si>
    <t>上海东南联合工程设计有限公司</t>
  </si>
  <si>
    <t>I_2446</t>
  </si>
  <si>
    <t>联友智连科技有限公司</t>
  </si>
  <si>
    <t>E_679403</t>
  </si>
  <si>
    <t>襄阳汇达讯财务咨询有限公司</t>
  </si>
  <si>
    <t>E_683167</t>
  </si>
  <si>
    <t>武汉企创通企业服务有限公司</t>
  </si>
  <si>
    <t>E_146666</t>
  </si>
  <si>
    <t>襄阳市好邻居连锁超市有限公司</t>
  </si>
  <si>
    <t>E_624456</t>
  </si>
  <si>
    <t>湖北勤业会计师事务所（普通合伙）</t>
  </si>
  <si>
    <t>E_614043</t>
  </si>
  <si>
    <t>汉江中保信保安服务集团有限公司</t>
  </si>
  <si>
    <t>E_789192</t>
  </si>
  <si>
    <t>保定宏棠资本工程咨询有限公司</t>
  </si>
  <si>
    <t>E_169054</t>
  </si>
  <si>
    <t>湖北华炬会计师事务有限公司</t>
  </si>
  <si>
    <t>E_599731</t>
  </si>
  <si>
    <t>江苏华里设计有限公司</t>
  </si>
  <si>
    <t>E_600189</t>
  </si>
  <si>
    <t>湖北襄投物业管理有限公司</t>
  </si>
  <si>
    <t>E_013569</t>
  </si>
  <si>
    <t>华诚博远工程技术集团有限公司</t>
  </si>
  <si>
    <t>E_725139</t>
  </si>
  <si>
    <t>程晓明</t>
  </si>
  <si>
    <t>E_171469</t>
  </si>
  <si>
    <t>襄阳市测绘研究院</t>
  </si>
  <si>
    <t>深圳市建筑设计��究总院有限公司</t>
  </si>
  <si>
    <t>E_624759</t>
  </si>
  <si>
    <t>湖北路云信息技术有限公司</t>
  </si>
  <si>
    <t>E_599621</t>
  </si>
  <si>
    <t>湖北省地质局第八地质大队</t>
  </si>
  <si>
    <t>中诚圣苑工程设计有限公司雁塔分公司</t>
  </si>
  <si>
    <t>E_146627</t>
  </si>
  <si>
    <t>湖北华炬税务师事务有限公司</t>
  </si>
  <si>
    <t>湖北省汉江亿辉工程有限公司</t>
  </si>
  <si>
    <t>E_765323</t>
  </si>
  <si>
    <t>秦皇岛市天垚地质勘查施工队</t>
  </si>
  <si>
    <t>E_736186</t>
  </si>
  <si>
    <t>湖北汉江京福科技发展有限公司</t>
  </si>
  <si>
    <t>E_823758</t>
  </si>
  <si>
    <t>河北中天环保有限公司</t>
  </si>
  <si>
    <t>E_857900</t>
  </si>
  <si>
    <t>湖北省锦安工程设计咨询有限公司</t>
  </si>
  <si>
    <t>E_609898</t>
  </si>
  <si>
    <t>河北陆源土地规划咨询有限公司</t>
  </si>
  <si>
    <t>E_598585</t>
  </si>
  <si>
    <t>容海川城乡规划设计有限公司</t>
  </si>
  <si>
    <t>E_007798</t>
  </si>
  <si>
    <t>湖北顺丰速运有限公司</t>
  </si>
  <si>
    <t>E_171525</t>
  </si>
  <si>
    <t>湖北思扬律师事务所</t>
  </si>
  <si>
    <t>E_695163</t>
  </si>
  <si>
    <t>湖北纬屹测绘科技有限公司</t>
  </si>
  <si>
    <t>E_612422</t>
  </si>
  <si>
    <t>湖北盈创建筑装饰设计工程股份有限公司</t>
  </si>
  <si>
    <t>E_719753</t>
  </si>
  <si>
    <t>普洛斯企业发展(上海)有限公司</t>
  </si>
  <si>
    <t>E_151442</t>
  </si>
  <si>
    <t>武汉理工大设计研究院有限公司</t>
  </si>
  <si>
    <t>E_310853</t>
  </si>
  <si>
    <t>武汉琴台生态环境建设有限公司</t>
  </si>
  <si>
    <t>E_177287</t>
  </si>
  <si>
    <t>襄阳诚智电力设计有限公司</t>
  </si>
  <si>
    <t>E_628037</t>
  </si>
  <si>
    <t>襄阳市高新技术开发区一米森林园艺商行</t>
  </si>
  <si>
    <t>E_032471</t>
  </si>
  <si>
    <t>罗蒙集团股份有限公司</t>
  </si>
  <si>
    <t>E_617033</t>
  </si>
  <si>
    <t>襄阳市慢生活体育文化传媒有限公司</t>
  </si>
  <si>
    <t>E_791242</t>
  </si>
  <si>
    <t>襄阳市高新区鑫永昌物流部</t>
  </si>
  <si>
    <t>E_855078</t>
  </si>
  <si>
    <t>湖北星火合筑工程服务有限公司</t>
  </si>
  <si>
    <t>杭萧钢构股份有限公司</t>
  </si>
  <si>
    <t>E_787488</t>
  </si>
  <si>
    <t>襄阳立弘汽车服务有限公司</t>
  </si>
  <si>
    <t>E_624564</t>
  </si>
  <si>
    <t>襄阳新航盛劳务有限公司</t>
  </si>
  <si>
    <t>E_628064</t>
  </si>
  <si>
    <t>襄阳市樊城区俊美新食代餐馆</t>
  </si>
  <si>
    <t>E_624253</t>
  </si>
  <si>
    <t>中德华建（北京）国际工程技术有限公司襄阳分公司</t>
  </si>
  <si>
    <t>E_680313</t>
  </si>
  <si>
    <t>四川三问室内设计有限公司</t>
  </si>
  <si>
    <t>E_586904</t>
  </si>
  <si>
    <t>上木(武汉)建筑设计有限公司</t>
  </si>
  <si>
    <t>E_177460</t>
  </si>
  <si>
    <t>平安好医襄阳综合门诊部有限公司</t>
  </si>
  <si>
    <t>E_843944</t>
  </si>
  <si>
    <t>武汉都市耕野建筑设计事务所（有限合伙）</t>
  </si>
  <si>
    <t>E_789222</t>
  </si>
  <si>
    <t>湖北水之清环保工程有限公司</t>
  </si>
  <si>
    <t>E_727626</t>
  </si>
  <si>
    <t>武汉融讯弘毅信息技术有限公司</t>
  </si>
  <si>
    <t>E_604466</t>
  </si>
  <si>
    <t>华信咨询设计研究院有限公司</t>
  </si>
  <si>
    <t>E_676937</t>
  </si>
  <si>
    <t>湖北杰锐电力工程有限公司</t>
  </si>
  <si>
    <t>E_791225</t>
  </si>
  <si>
    <t>湖北启盛丰建筑劳务分包有限公司</t>
  </si>
  <si>
    <t>东风鸿远工程咨询有限公司</t>
    <phoneticPr fontId="25" type="noConversion"/>
  </si>
  <si>
    <t>合计</t>
    <phoneticPr fontId="25" type="noConversion"/>
  </si>
  <si>
    <t>check</t>
    <phoneticPr fontId="25" type="noConversion"/>
  </si>
  <si>
    <r>
      <rPr>
        <sz val="10"/>
        <color theme="1"/>
        <rFont val="微软雅黑"/>
        <family val="2"/>
      </rPr>
      <t>账龄汇总表</t>
    </r>
  </si>
  <si>
    <r>
      <rPr>
        <sz val="10"/>
        <color theme="1"/>
        <rFont val="微软雅黑"/>
        <family val="2"/>
      </rPr>
      <t>账龄段</t>
    </r>
  </si>
  <si>
    <t>% Coverage</t>
  </si>
  <si>
    <r>
      <rPr>
        <sz val="10"/>
        <rFont val="微软雅黑"/>
        <family val="2"/>
      </rPr>
      <t>合理性</t>
    </r>
    <r>
      <rPr>
        <sz val="10"/>
        <rFont val="Arial"/>
        <family val="2"/>
      </rPr>
      <t>Check</t>
    </r>
  </si>
  <si>
    <t>0-90天</t>
  </si>
  <si>
    <t>91-365天</t>
  </si>
  <si>
    <t>1年至2年</t>
  </si>
  <si>
    <t>2年至3年</t>
  </si>
  <si>
    <t>3年以上</t>
  </si>
  <si>
    <t>Total</t>
  </si>
  <si>
    <t>check</t>
    <phoneticPr fontId="25" type="noConversion"/>
  </si>
  <si>
    <t>期末账面数</t>
  </si>
  <si>
    <t>上期末审定数</t>
  </si>
  <si>
    <t>变动金额</t>
    <phoneticPr fontId="25" type="noConversion"/>
  </si>
  <si>
    <t>变动比例</t>
  </si>
  <si>
    <t>NB1</t>
    <phoneticPr fontId="25" type="noConversion"/>
  </si>
  <si>
    <t>NB2</t>
    <phoneticPr fontId="25" type="noConversion"/>
  </si>
  <si>
    <t>NB3</t>
    <phoneticPr fontId="25" type="noConversion"/>
  </si>
  <si>
    <t>NB4</t>
    <phoneticPr fontId="25" type="noConversion"/>
  </si>
  <si>
    <t>NB5</t>
    <phoneticPr fontId="25" type="noConversion"/>
  </si>
  <si>
    <r>
      <t>1.</t>
    </r>
    <r>
      <rPr>
        <sz val="11"/>
        <color theme="1"/>
        <rFont val="微软雅黑"/>
        <family val="2"/>
        <charset val="134"/>
      </rPr>
      <t>对于单项变动金额超过58</t>
    </r>
    <r>
      <rPr>
        <sz val="11"/>
        <color theme="1"/>
        <rFont val="Arial"/>
        <family val="2"/>
      </rPr>
      <t>5,000</t>
    </r>
    <r>
      <rPr>
        <sz val="11"/>
        <color theme="1"/>
        <rFont val="微软雅黑"/>
        <family val="2"/>
        <charset val="134"/>
      </rPr>
      <t>元，或金额较大的长账龄的变动，筛选项较多，我们选取前五大在此处进行变动原因分析。</t>
    </r>
    <phoneticPr fontId="25" type="noConversion"/>
  </si>
  <si>
    <t>长账龄分析：</t>
    <phoneticPr fontId="25" type="noConversion"/>
  </si>
  <si>
    <t>供应商代码</t>
    <phoneticPr fontId="25" type="noConversion"/>
  </si>
  <si>
    <t>NB6</t>
    <phoneticPr fontId="25" type="noConversion"/>
  </si>
  <si>
    <t>NB7</t>
    <phoneticPr fontId="25" type="noConversion"/>
  </si>
  <si>
    <t>NB8</t>
    <phoneticPr fontId="25" type="noConversion"/>
  </si>
  <si>
    <t>1年以上账龄</t>
    <phoneticPr fontId="25" type="noConversion"/>
  </si>
  <si>
    <t>NA</t>
    <phoneticPr fontId="25" type="noConversion"/>
  </si>
  <si>
    <t>否</t>
  </si>
  <si>
    <t>不适用</t>
  </si>
  <si>
    <t>明细账与总账无差异，未见异常。</t>
    <phoneticPr fontId="25" type="noConversion"/>
  </si>
  <si>
    <t>本期末鸿远的应付账款余额较上期减少5%，周转天数较上期增加34天，周转率下降9%，主要系本期主营业务成本较上期减少14%，变化较大，导致周转率的计算结果波动较大。</t>
    <phoneticPr fontId="25" type="noConversion"/>
  </si>
  <si>
    <t>根据对被审计单位的了解，东风鸿远工程咨询主营建筑工程勘察设计、建筑工程总承包、工程监理等，由于本年鸿远的经营活动较上期稍有变动，成本较上期有明显减少，工程量减少，预计对应的应付款项较上期末也会有所减少。</t>
    <phoneticPr fontId="25" type="noConversion"/>
  </si>
  <si>
    <t>[A]被审计单位本期末应付账款余额57,526k，较上期末减少6,661k，降幅10.38%，主要系本期工程量有所减少，对应本期营业成本较上期减少11,038k，降幅11%,从经营情况来看，应付款项的变动与业务变动情况一致，与预期一致，未见异常。</t>
    <phoneticPr fontId="25" type="noConversion"/>
  </si>
  <si>
    <t>虚拟客商</t>
    <phoneticPr fontId="25" type="noConversion"/>
  </si>
  <si>
    <t>根据我们对东风鸿远工程咨询有限公司采购与付款流程和实质性测试识别出的应付账款流程的理解，我们认为以下情况属于异常项目：账龄超过90天的重大余额、公司应付账款供应商的重大变化，以及超过我们对同一供应商的测试阈值的逾期重大余额。我们注意到部分应付账款的重大变化，已在&lt;明细账&gt;中进行了分析。除此之外，未识别到其他异常项。</t>
    <phoneticPr fontId="25" type="noConversion"/>
  </si>
  <si>
    <t>湖北省工业建筑总承包集团</t>
    <phoneticPr fontId="25" type="noConversion"/>
  </si>
  <si>
    <t>湖北省鄂西北工程勘察有限责任公司</t>
    <phoneticPr fontId="25" type="noConversion"/>
  </si>
  <si>
    <t>四川省建筑设计研究院有限公司</t>
    <phoneticPr fontId="25" type="noConversion"/>
  </si>
  <si>
    <t>NB1：东风咨询有限公司系东风鸿远工程咨询的内部关联方供应商，对于满足鸿远工程包需求的业务，鸿远会选择咨询提供服务。24年业务量较大，分给咨询的工程包也多，25年有所减少，对应的应付款项也减少了25%。</t>
    <phoneticPr fontId="25" type="noConversion"/>
  </si>
  <si>
    <t>NB3：该供应商系被审计单位本年新纳入供应商体系的公司，由于24年没有与该供应商的业务往来，24年末就没有对其的应付款项，25年因为工程包有对应的业务合作，才导致25年末对其的应付款项较24年末增加1,160k。</t>
    <phoneticPr fontId="25" type="noConversion"/>
  </si>
  <si>
    <t>NB4：该供应商系被审计单位24年合作的供应商，由于24年工程包合作结束后没有再进行业务往来，导致25年末对其应付款项减少较多，账面显示的变动较大。</t>
    <phoneticPr fontId="25" type="noConversion"/>
  </si>
  <si>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phoneticPr fontId="25" type="noConversion"/>
  </si>
  <si>
    <t>虚拟客商</t>
    <phoneticPr fontId="25" type="noConversion"/>
  </si>
  <si>
    <t>NB8：对该供应商的余额系往年分包确认的应付款项。主要系湖北省科技工程学校实训基地及附属建设项目、襄阳市汉江水环境保护建设项目（襄阳市第二期乡镇污水收集处理工程）工程相关款项</t>
    <phoneticPr fontId="25" type="noConversion"/>
  </si>
  <si>
    <t>NB7：对该供应商的余额系往年分包确认的应付款项。湖北文理学院迁建项目设计</t>
    <phoneticPr fontId="25" type="noConversion"/>
  </si>
  <si>
    <t>中机三勘岩土工程有限公司</t>
    <phoneticPr fontId="25" type="noConversion"/>
  </si>
  <si>
    <t>NB6：对该供应商的余额系往年分包确认的应付款项。负责襄城经开区产业园基础设施提档升级项目定制化厂房（东风鸿泰项目一期）等勘察项目抽水试验任务等</t>
    <phoneticPr fontId="25" type="noConversion"/>
  </si>
  <si>
    <t>8FYGPQKC1046Y3JN44MJH8JRYMY9MG15FZA2B6VX5K909WKJATJG</t>
  </si>
  <si>
    <t>Dana D Li</t>
  </si>
  <si>
    <t>供应商名称</t>
    <phoneticPr fontId="25" type="noConversion"/>
  </si>
  <si>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phoneticPr fontId="25" type="noConversion"/>
  </si>
  <si>
    <t>EY Ref.</t>
  </si>
  <si>
    <t>Tab Ref.</t>
  </si>
  <si>
    <t>Cell Ref.</t>
  </si>
  <si>
    <t>Question/Comment</t>
  </si>
  <si>
    <t>Answer/Comment</t>
  </si>
  <si>
    <t>Closed?</t>
  </si>
  <si>
    <t>汇总</t>
  </si>
  <si>
    <t>$H$15</t>
  </si>
  <si>
    <t xml:space="preserve">Dana D Li:_x000D_
补充索引_x000D_
</t>
  </si>
  <si>
    <t>No</t>
  </si>
  <si>
    <t>N.01 明细账与总账核对 (20241231)</t>
  </si>
  <si>
    <t>$G$28</t>
  </si>
  <si>
    <t xml:space="preserve">Dana D Li:_x000D_
正负反了_x000D_
</t>
  </si>
  <si>
    <t>$F$36</t>
  </si>
  <si>
    <t xml:space="preserve">Dana D Li:_x000D_
为什么还有24年的表？项目组要求的吗_x000D_
</t>
  </si>
  <si>
    <t>N.01.01明细账</t>
  </si>
  <si>
    <t>$G$11</t>
  </si>
  <si>
    <t xml:space="preserve">Dana D Li:_x000D_
这是关联方？_x000D_
</t>
  </si>
  <si>
    <t>$G$12</t>
  </si>
  <si>
    <t xml:space="preserve">Dana D Li:_x000D_
这是关联方/？_x000D_
</t>
  </si>
  <si>
    <t>$G$13</t>
  </si>
  <si>
    <t xml:space="preserve">Dana D Li:_x000D_
确定是关联方？_x000D_
</t>
  </si>
  <si>
    <t>$B$246</t>
  </si>
  <si>
    <t xml:space="preserve">Dana D Li:_x000D_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_x000D_
</t>
  </si>
  <si>
    <t>$B$248</t>
  </si>
  <si>
    <t xml:space="preserve">Dana D Li:_x000D_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_x000D_
</t>
  </si>
  <si>
    <t>$B$250</t>
  </si>
  <si>
    <t xml:space="preserve">Dana D Li:_x000D_
写的太口语化了，参考上方cmts修改描述_x000D_
</t>
  </si>
  <si>
    <t>$B$252</t>
  </si>
  <si>
    <t xml:space="preserve">Dana D Li:_x000D_
太口语化了，修改，”账面显示的变动较大“---是想表达什么_x000D_
</t>
  </si>
  <si>
    <t>$B$254</t>
  </si>
  <si>
    <t xml:space="preserve">Dana D Li:_x000D_
25年合作工程较24年量大----新增了什么合作工程？补充_x000D_
</t>
  </si>
  <si>
    <t>$B$257</t>
  </si>
  <si>
    <t xml:space="preserve">Dana D Li:_x000D_
为啥只有4个，上面的描述是说选取前五大
_x000D_
</t>
  </si>
  <si>
    <t>$B$263</t>
  </si>
  <si>
    <t xml:space="preserve">Dana D Li:_x000D_
补充资料（合同，工程形象进度，产值表，结算单等），下同_x000D_
</t>
  </si>
  <si>
    <t>$B$265</t>
  </si>
  <si>
    <t xml:space="preserve">Dana D Li:_x000D_
补充资料检查，这是还没分析完吗？_x000D_
</t>
  </si>
  <si>
    <t>$B$267</t>
  </si>
  <si>
    <t xml:space="preserve">Dana D Li:_x000D_
补充资料_x000D_
</t>
  </si>
  <si>
    <t>N.01.01明细账 (20241231)</t>
  </si>
  <si>
    <t>$E$2</t>
  </si>
  <si>
    <t xml:space="preserve">Dana D Li:_x000D_
为啥24年单独一个明细表，是想看24年的账龄吗？直接加在25年明细账后面不行吗？_x000D_
</t>
  </si>
  <si>
    <t>$M$7</t>
  </si>
  <si>
    <t xml:space="preserve">Dana D Li:_x000D_
账龄check列补充_x000D_
</t>
  </si>
  <si>
    <t>ABC7Zhta9NQFMffD/YdQvGFwm7JvTePvptdNwsuK02GyBjjJrmZZWkyktRRRCiCuiEbKggKgptOXwxkCBM268OHmYnbK7+C6Vi7MaMwyNbKAiGk5z4efv977jn91fo+NTjAMHfbL4bJXQoa8zR3lckVb+XVucZC1THzN11vrkzmqZcfoRap24F6m9JgiEnqkhs6nKhktmehBhERy/OAFUwMODN+6RbiAY84yWANIpnY7A5R67rmBsQuOkS3aXu8RWyfnmwerVL7YPLuQO16/NOp23bHoJDagROH21NpEFSd2YNtH23Qv0HJH4uU/GseJXOmu+CcbKq4CwW37gSxHbKoYy24dteKhI616ATVoEr92Do13Z2A1tw71ExsU+u1GvEaWtvzv/p/1EUNGjY99PK448OVsuIGNHGJsufOeqQ2WrXtguf6foVa465JO8u0e90bOkMtWAQbuiGxQNAJARxmEZCIJAJLtHQBG1A0CH+GWhhRZ0qKVqwowzdm1KKmlZQxdUbVJirDY8VURCElSILPFPEvRVimCLEOgUwsCDiJxIqQBAyQSURJljhWJuScFDEyURirTEyWU1UEzBRxSkUgkdOpSVjA81CKY4RAgY51BBAvWzyFYnyfcOeniMnxoqJliuipIihGss5bAkBEQHEGgTCQWV4ABIqyzIuywSN6XreGUsriQ0/VcHyb6bNW8ixkohcrP1sP97be/9heiZqt+CNa3Q43d1IBjpOIw4x4D4kjJvxyP9ze3l/bCdeXY9apgJZxYn0gZaR7Rxoz0eJG9OFN9Onx3ubzdFL+pJwfIv4CYS458/V+gRx9fBSH7FTIIjaJLHuBwPbd+WWZNk7GT/4XJ/Dqp0QsigmIcRaie4iYY8LNVrT0LXq1ET54F+dee1uvw+bndK7kxFDNZbh7mG3HTzffTidsi0lxO6PcnzUVcxmxiIMIwyvplFdC0hnPyqt+OeJp84ZyInCcAe8R8IJbq1En8HebT8Kvz6K1t+HScri4uv9yfbf5NB3kSRXXf3/CBwemf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</si>
</sst>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76" formatCode="_(* #,##0_);_(* \(#,##0\);_(* &quot;-&quot;_);_(@_)"/>
    <numFmt numFmtId="177" formatCode="_(* #,##0.00_);_(* \(#,##0.00\);_(* &quot;-&quot;??_);_(@_)"/>
    <numFmt numFmtId="178" formatCode="0.0%"/>
    <numFmt numFmtId="179" formatCode="_([$€-2]* #,##0.00000_);_([$€-2]* \(#,##0.00000\);_([$€-2]* &quot;-&quot;??_)"/>
    <numFmt numFmtId="180" formatCode="#,##0;\(#,##0\);\-#,##0"/>
    <numFmt numFmtId="181" formatCode="_(* #,##0_);_(* \(#,##0\);_(* &quot;-&quot;??_);_(@_)"/>
    <numFmt numFmtId="182" formatCode="_(&quot;$&quot;* #,##0.00_);_(&quot;$&quot;* \(#,##0.00\);_(&quot;$&quot;* &quot;-&quot;??_);_(@_)"/>
    <numFmt numFmtId="183" formatCode="_(&quot;$&quot;* #,##0_);_(&quot;$&quot;* \(#,##0\);_(&quot;$&quot;* &quot;-&quot;??_);_(@_)"/>
    <numFmt numFmtId="184" formatCode="m/d/yy;@"/>
    <numFmt numFmtId="185" formatCode="yyyy/m/d;@"/>
  </numFmts>
  <fonts count="141">
    <font>
      <sz val="11"/>
      <color theme="1"/>
      <name val="等线"/>
      <charset val="134"/>
      <scheme val="minor"/>
    </font>
    <font>
      <sz val="11"/>
      <color theme="1"/>
      <name val="等线"/>
      <family val="2"/>
      <charset val="134"/>
      <scheme val="minor"/>
    </font>
    <font>
      <sz val="11"/>
      <color theme="1"/>
      <name val="等线"/>
      <family val="2"/>
      <charset val="134"/>
      <scheme val="minor"/>
    </font>
    <font>
      <sz val="11"/>
      <color theme="1"/>
      <name val="Arial"/>
      <family val="2"/>
    </font>
    <font>
      <sz val="10"/>
      <color rgb="FF000000"/>
      <name val="Arial"/>
      <family val="2"/>
    </font>
    <font>
      <sz val="10"/>
      <name val="Arial"/>
      <family val="2"/>
    </font>
    <font>
      <sz val="10"/>
      <color theme="1"/>
      <name val="Arial"/>
      <family val="2"/>
    </font>
    <font>
      <b/>
      <sz val="10"/>
      <color rgb="FF000000"/>
      <name val="Arial"/>
      <family val="2"/>
    </font>
    <font>
      <u/>
      <sz val="11"/>
      <color theme="10"/>
      <name val="等线"/>
      <family val="3"/>
      <charset val="134"/>
      <scheme val="minor"/>
    </font>
    <font>
      <sz val="12"/>
      <name val="宋体"/>
      <family val="3"/>
      <charset val="134"/>
    </font>
    <font>
      <b/>
      <sz val="11"/>
      <color theme="0"/>
      <name val="等线"/>
      <family val="3"/>
      <charset val="134"/>
      <scheme val="minor"/>
    </font>
    <font>
      <sz val="11"/>
      <color rgb="FF000000"/>
      <name val="Calibri"/>
      <family val="2"/>
    </font>
    <font>
      <sz val="11"/>
      <color rgb="FF006100"/>
      <name val="等线"/>
      <family val="3"/>
      <charset val="134"/>
      <scheme val="minor"/>
    </font>
    <font>
      <sz val="8"/>
      <name val="EYInterstate Light"/>
    </font>
    <font>
      <sz val="10"/>
      <name val="宋体"/>
      <family val="3"/>
      <charset val="134"/>
    </font>
    <font>
      <strike/>
      <sz val="10"/>
      <name val="Arial"/>
      <family val="2"/>
    </font>
    <font>
      <sz val="10"/>
      <name val="等线"/>
      <family val="3"/>
      <charset val="134"/>
      <scheme val="minor"/>
    </font>
    <font>
      <sz val="11"/>
      <color indexed="8"/>
      <name val="Calibri"/>
      <family val="2"/>
    </font>
    <font>
      <sz val="12"/>
      <name val="楷体"/>
      <family val="3"/>
      <charset val="134"/>
    </font>
    <font>
      <sz val="10"/>
      <color rgb="FF000000"/>
      <name val="微软雅黑"/>
      <family val="2"/>
      <charset val="134"/>
    </font>
    <font>
      <sz val="10"/>
      <color theme="1"/>
      <name val="微软雅黑"/>
      <family val="2"/>
      <charset val="134"/>
    </font>
    <font>
      <b/>
      <sz val="10"/>
      <color rgb="FFFF0000"/>
      <name val="微软雅黑"/>
      <family val="2"/>
      <charset val="134"/>
    </font>
    <font>
      <b/>
      <sz val="10"/>
      <color theme="1"/>
      <name val="微软雅黑"/>
      <family val="2"/>
      <charset val="134"/>
    </font>
    <font>
      <b/>
      <sz val="10"/>
      <name val="微软雅黑"/>
      <family val="2"/>
      <charset val="134"/>
    </font>
    <font>
      <sz val="11"/>
      <color theme="1"/>
      <name val="等线"/>
      <family val="3"/>
      <charset val="134"/>
      <scheme val="minor"/>
    </font>
    <font>
      <sz val="9"/>
      <name val="等线"/>
      <family val="3"/>
      <charset val="134"/>
      <scheme val="minor"/>
    </font>
    <font>
      <sz val="11"/>
      <color theme="1"/>
      <name val="等线"/>
      <family val="2"/>
      <charset val="134"/>
      <scheme val="minor"/>
    </font>
    <font>
      <u/>
      <sz val="10"/>
      <color indexed="12"/>
      <name val="宋体"/>
      <family val="3"/>
      <charset val="134"/>
    </font>
    <font>
      <sz val="9"/>
      <name val="等线"/>
      <family val="2"/>
      <charset val="134"/>
      <scheme val="minor"/>
    </font>
    <font>
      <b/>
      <sz val="10"/>
      <color rgb="FFFF0000"/>
      <name val="Arial"/>
      <family val="2"/>
    </font>
    <font>
      <sz val="10"/>
      <color rgb="FFFF0000"/>
      <name val="Arial"/>
      <family val="2"/>
    </font>
    <font>
      <b/>
      <sz val="10"/>
      <name val="Arial"/>
      <family val="2"/>
    </font>
    <font>
      <u/>
      <sz val="11"/>
      <color theme="10"/>
      <name val="Arial"/>
      <family val="2"/>
    </font>
    <font>
      <sz val="14"/>
      <color theme="1"/>
      <name val="Arial"/>
      <family val="2"/>
    </font>
    <font>
      <b/>
      <sz val="10"/>
      <color indexed="10"/>
      <name val="Arial"/>
      <family val="2"/>
    </font>
    <font>
      <b/>
      <sz val="10"/>
      <color theme="1"/>
      <name val="Arial"/>
      <family val="2"/>
    </font>
    <font>
      <sz val="11"/>
      <color theme="1"/>
      <name val="等线"/>
      <family val="2"/>
      <scheme val="minor"/>
    </font>
    <font>
      <b/>
      <sz val="10"/>
      <color theme="1"/>
      <name val="Arial"/>
      <family val="2"/>
      <charset val="134"/>
    </font>
    <font>
      <b/>
      <sz val="14"/>
      <color theme="0"/>
      <name val="Arial"/>
      <family val="2"/>
    </font>
    <font>
      <sz val="6"/>
      <name val="等线"/>
      <family val="3"/>
      <charset val="128"/>
      <scheme val="minor"/>
    </font>
    <font>
      <b/>
      <sz val="14"/>
      <color rgb="FFFFC000"/>
      <name val="Arial"/>
      <family val="2"/>
    </font>
    <font>
      <b/>
      <sz val="12"/>
      <color rgb="FF000000"/>
      <name val="Arial"/>
      <family val="2"/>
    </font>
    <font>
      <sz val="8"/>
      <name val="EYInterstate Light"/>
      <family val="2"/>
    </font>
    <font>
      <b/>
      <i/>
      <sz val="10"/>
      <color rgb="FFFF0000"/>
      <name val="Arial"/>
      <family val="2"/>
    </font>
    <font>
      <b/>
      <i/>
      <sz val="10"/>
      <color theme="0"/>
      <name val="EYInterstate Light"/>
    </font>
    <font>
      <sz val="11"/>
      <color theme="1"/>
      <name val="SimSun"/>
      <family val="3"/>
      <charset val="134"/>
    </font>
    <font>
      <u/>
      <sz val="11"/>
      <color theme="10"/>
      <name val="SimSun"/>
      <family val="3"/>
      <charset val="134"/>
    </font>
    <font>
      <sz val="11"/>
      <color theme="1"/>
      <name val="SimSun"/>
      <family val="3"/>
      <charset val="134"/>
    </font>
    <font>
      <sz val="8"/>
      <name val="等线"/>
      <family val="2"/>
      <scheme val="minor"/>
    </font>
    <font>
      <b/>
      <sz val="12"/>
      <color indexed="8"/>
      <name val="Arial"/>
      <family val="2"/>
    </font>
    <font>
      <b/>
      <sz val="18"/>
      <color indexed="8"/>
      <name val="Arial"/>
      <family val="2"/>
    </font>
    <font>
      <u/>
      <sz val="11"/>
      <color theme="10"/>
      <name val="等线"/>
      <family val="2"/>
      <scheme val="minor"/>
    </font>
    <font>
      <b/>
      <strike/>
      <sz val="10"/>
      <color rgb="FFFF0000"/>
      <name val="Arial"/>
      <family val="2"/>
    </font>
    <font>
      <b/>
      <sz val="14"/>
      <color rgb="FFFFFFFF"/>
      <name val="Arial"/>
      <family val="2"/>
    </font>
    <font>
      <sz val="10"/>
      <color rgb="FFFFFFFF"/>
      <name val="Arial"/>
      <family val="2"/>
    </font>
    <font>
      <u/>
      <sz val="10"/>
      <color theme="10"/>
      <name val="Arial"/>
      <family val="2"/>
    </font>
    <font>
      <u/>
      <sz val="11"/>
      <color rgb="FFFF0000"/>
      <name val="等线"/>
      <family val="3"/>
      <charset val="134"/>
      <scheme val="minor"/>
    </font>
    <font>
      <u/>
      <sz val="11"/>
      <color rgb="FFFF0000"/>
      <name val="Arial"/>
      <family val="2"/>
    </font>
    <font>
      <b/>
      <sz val="14"/>
      <color rgb="FFFF0000"/>
      <name val="微软雅黑"/>
      <family val="2"/>
      <charset val="134"/>
    </font>
    <font>
      <b/>
      <sz val="14"/>
      <color rgb="FF000000"/>
      <name val="Arial"/>
      <family val="2"/>
    </font>
    <font>
      <b/>
      <u/>
      <sz val="10"/>
      <color theme="4"/>
      <name val="Arial"/>
      <family val="2"/>
    </font>
    <font>
      <u/>
      <sz val="11"/>
      <color rgb="FFFF0000"/>
      <name val="微软雅黑"/>
      <family val="2"/>
      <charset val="134"/>
    </font>
    <font>
      <sz val="10"/>
      <color rgb="FF000000"/>
      <name val="微软雅黑"/>
      <family val="2"/>
    </font>
    <font>
      <sz val="10"/>
      <name val="微软雅黑"/>
      <family val="2"/>
    </font>
    <font>
      <b/>
      <sz val="14"/>
      <name val="Arial"/>
      <family val="2"/>
    </font>
    <font>
      <sz val="10"/>
      <color theme="1"/>
      <name val="微软雅黑"/>
      <family val="2"/>
      <charset val="134"/>
    </font>
    <font>
      <sz val="10"/>
      <color theme="1"/>
      <name val="微软雅黑"/>
      <family val="2"/>
    </font>
    <font>
      <b/>
      <sz val="10"/>
      <color rgb="FFFF0000"/>
      <name val="微软雅黑"/>
      <family val="2"/>
    </font>
    <font>
      <b/>
      <sz val="10"/>
      <color theme="1"/>
      <name val="微软雅黑"/>
      <family val="2"/>
    </font>
    <font>
      <sz val="10"/>
      <color rgb="FFFF0000"/>
      <name val="微软雅黑"/>
      <family val="2"/>
    </font>
    <font>
      <b/>
      <sz val="14"/>
      <color rgb="FF000000"/>
      <name val="微软雅黑"/>
      <family val="2"/>
      <charset val="134"/>
    </font>
    <font>
      <b/>
      <sz val="14"/>
      <color rgb="FF000000"/>
      <name val="微软雅黑"/>
      <family val="2"/>
    </font>
    <font>
      <b/>
      <sz val="10"/>
      <color rgb="FF000000"/>
      <name val="微软雅黑"/>
      <family val="2"/>
    </font>
    <font>
      <b/>
      <sz val="10"/>
      <name val="微软雅黑"/>
      <family val="2"/>
    </font>
    <font>
      <b/>
      <u/>
      <sz val="10"/>
      <color theme="4"/>
      <name val="微软雅黑"/>
      <family val="2"/>
    </font>
    <font>
      <b/>
      <sz val="14"/>
      <color theme="0"/>
      <name val="微软雅黑"/>
      <family val="2"/>
      <charset val="134"/>
    </font>
    <font>
      <sz val="14"/>
      <color theme="1"/>
      <name val="微软雅黑"/>
      <family val="2"/>
    </font>
    <font>
      <b/>
      <sz val="14"/>
      <color rgb="FFFFC000"/>
      <name val="微软雅黑"/>
      <family val="2"/>
    </font>
    <font>
      <b/>
      <sz val="12"/>
      <color rgb="FF000000"/>
      <name val="微软雅黑"/>
      <family val="2"/>
    </font>
    <font>
      <sz val="11"/>
      <color theme="1"/>
      <name val="微软雅黑"/>
      <family val="2"/>
    </font>
    <font>
      <u/>
      <sz val="11"/>
      <color rgb="FFFF0000"/>
      <name val="微软雅黑"/>
      <family val="2"/>
    </font>
    <font>
      <b/>
      <sz val="10"/>
      <color indexed="10"/>
      <name val="微软雅黑"/>
      <family val="2"/>
    </font>
    <font>
      <b/>
      <i/>
      <sz val="10"/>
      <color rgb="FFFF0000"/>
      <name val="微软雅黑"/>
      <family val="2"/>
    </font>
    <font>
      <i/>
      <sz val="10"/>
      <name val="微软雅黑"/>
      <family val="2"/>
    </font>
    <font>
      <b/>
      <sz val="14"/>
      <color theme="0"/>
      <name val="微软雅黑"/>
      <family val="2"/>
    </font>
    <font>
      <b/>
      <sz val="12"/>
      <color indexed="8"/>
      <name val="微软雅黑"/>
      <family val="2"/>
    </font>
    <font>
      <b/>
      <sz val="14"/>
      <color rgb="FFFFFFFF"/>
      <name val="微软雅黑"/>
      <family val="2"/>
    </font>
    <font>
      <b/>
      <i/>
      <sz val="10"/>
      <name val="微软雅黑"/>
      <family val="2"/>
    </font>
    <font>
      <b/>
      <sz val="18"/>
      <color indexed="8"/>
      <name val="微软雅黑"/>
      <family val="2"/>
    </font>
    <font>
      <sz val="7"/>
      <color rgb="FF2E2E38"/>
      <name val="微软雅黑"/>
      <family val="2"/>
    </font>
    <font>
      <sz val="10"/>
      <color theme="1"/>
      <name val="Arial"/>
      <family val="2"/>
    </font>
    <font>
      <sz val="12"/>
      <color rgb="FF000000"/>
      <name val="Arial"/>
      <family val="2"/>
    </font>
    <font>
      <sz val="12"/>
      <color theme="1"/>
      <name val="Arial"/>
      <family val="2"/>
    </font>
    <font>
      <sz val="11"/>
      <color theme="1"/>
      <name val="Arial"/>
      <family val="2"/>
    </font>
    <font>
      <sz val="10"/>
      <color indexed="10"/>
      <name val="Arial"/>
      <family val="2"/>
    </font>
    <font>
      <sz val="10"/>
      <color rgb="FF242424"/>
      <name val="Arial"/>
      <family val="2"/>
    </font>
    <font>
      <b/>
      <sz val="12"/>
      <name val="Arial"/>
      <family val="2"/>
    </font>
    <font>
      <b/>
      <sz val="12"/>
      <color rgb="FFFF0000"/>
      <name val="Arial"/>
      <family val="2"/>
    </font>
    <font>
      <b/>
      <vertAlign val="superscript"/>
      <sz val="10"/>
      <color rgb="FFFF0000"/>
      <name val="Arial"/>
      <family val="2"/>
    </font>
    <font>
      <b/>
      <sz val="10"/>
      <color rgb="FF0000FF"/>
      <name val="Arial"/>
      <family val="2"/>
    </font>
    <font>
      <b/>
      <strike/>
      <sz val="10"/>
      <color rgb="FF0000FF"/>
      <name val="Arial"/>
      <family val="2"/>
    </font>
    <font>
      <b/>
      <sz val="10"/>
      <color indexed="10"/>
      <name val="Arial"/>
      <family val="2"/>
    </font>
    <font>
      <i/>
      <sz val="10"/>
      <color rgb="FF000000"/>
      <name val="Arial"/>
      <family val="2"/>
    </font>
    <font>
      <b/>
      <i/>
      <sz val="10"/>
      <color theme="1"/>
      <name val="Arial"/>
      <family val="2"/>
    </font>
    <font>
      <b/>
      <sz val="12"/>
      <color indexed="8"/>
      <name val="微软雅黑"/>
      <family val="2"/>
      <charset val="134"/>
    </font>
    <font>
      <b/>
      <sz val="12"/>
      <color rgb="FF000000"/>
      <name val="微软雅黑"/>
      <family val="2"/>
      <charset val="134"/>
    </font>
    <font>
      <sz val="14"/>
      <color theme="1"/>
      <name val="微软雅黑"/>
      <family val="2"/>
      <charset val="134"/>
    </font>
    <font>
      <b/>
      <sz val="14"/>
      <color rgb="FFFFC000"/>
      <name val="微软雅黑"/>
      <family val="2"/>
      <charset val="134"/>
    </font>
    <font>
      <b/>
      <sz val="18"/>
      <color indexed="8"/>
      <name val="微软雅黑"/>
      <family val="2"/>
      <charset val="134"/>
    </font>
    <font>
      <b/>
      <i/>
      <sz val="9"/>
      <color rgb="FFFF0000"/>
      <name val="Arial"/>
      <family val="2"/>
    </font>
    <font>
      <sz val="10"/>
      <color theme="1"/>
      <name val="Arial"/>
      <family val="2"/>
    </font>
    <font>
      <b/>
      <sz val="10"/>
      <color indexed="10"/>
      <name val="Arial"/>
      <family val="2"/>
    </font>
    <font>
      <sz val="10"/>
      <name val="Arial"/>
      <family val="2"/>
    </font>
    <font>
      <i/>
      <sz val="10"/>
      <color theme="1"/>
      <name val="Arial"/>
      <family val="2"/>
    </font>
    <font>
      <u/>
      <sz val="10"/>
      <color rgb="FFFF0000"/>
      <name val="Arial"/>
      <family val="2"/>
    </font>
    <font>
      <b/>
      <sz val="10"/>
      <color rgb="FF000000"/>
      <name val="微软雅黑"/>
      <family val="2"/>
      <charset val="134"/>
    </font>
    <font>
      <u/>
      <sz val="11"/>
      <color theme="10"/>
      <name val="等线"/>
      <family val="3"/>
      <charset val="134"/>
      <scheme val="minor"/>
    </font>
    <font>
      <sz val="10"/>
      <name val="微软雅黑"/>
      <family val="2"/>
      <charset val="134"/>
    </font>
    <font>
      <u/>
      <sz val="11"/>
      <color theme="10"/>
      <name val="等线"/>
      <family val="3"/>
      <charset val="134"/>
      <scheme val="minor"/>
    </font>
    <font>
      <b/>
      <sz val="16"/>
      <color rgb="FFFF0000"/>
      <name val="Arial"/>
      <family val="2"/>
    </font>
    <font>
      <sz val="10"/>
      <color rgb="FF000000"/>
      <name val="宋体"/>
      <family val="2"/>
      <charset val="134"/>
    </font>
    <font>
      <sz val="11"/>
      <color theme="1"/>
      <name val="微软雅黑"/>
      <family val="2"/>
      <charset val="134"/>
    </font>
    <font>
      <sz val="11"/>
      <color theme="1"/>
      <name val="Arial"/>
      <family val="2"/>
      <charset val="134"/>
    </font>
    <font>
      <b/>
      <sz val="12"/>
      <name val="微软雅黑"/>
      <family val="2"/>
      <charset val="134"/>
    </font>
    <font>
      <b/>
      <sz val="9"/>
      <color rgb="FFFF0000"/>
      <name val="Arial"/>
      <family val="2"/>
    </font>
    <font>
      <sz val="9"/>
      <name val="Arial"/>
      <family val="2"/>
    </font>
    <font>
      <sz val="9"/>
      <name val="微软雅黑"/>
      <family val="2"/>
      <charset val="134"/>
    </font>
    <font>
      <sz val="9"/>
      <color theme="1"/>
      <name val="Arial"/>
      <family val="2"/>
    </font>
    <font>
      <sz val="9"/>
      <color theme="1"/>
      <name val="微软雅黑"/>
      <family val="2"/>
    </font>
    <font>
      <sz val="9"/>
      <color indexed="8"/>
      <name val="Arial"/>
      <family val="2"/>
    </font>
    <font>
      <sz val="9"/>
      <color indexed="8"/>
      <name val="微软雅黑"/>
      <family val="2"/>
    </font>
    <font>
      <sz val="9"/>
      <color rgb="FF000000"/>
      <name val="Arial"/>
      <family val="2"/>
    </font>
    <font>
      <sz val="9"/>
      <color rgb="FF000000"/>
      <name val="微软雅黑"/>
      <family val="2"/>
    </font>
    <font>
      <sz val="9"/>
      <color theme="1"/>
      <name val="微软雅黑"/>
      <family val="2"/>
      <charset val="134"/>
    </font>
    <font>
      <sz val="9"/>
      <color rgb="FF000000"/>
      <name val="宋体"/>
      <family val="2"/>
      <charset val="134"/>
    </font>
    <font>
      <sz val="9"/>
      <name val="微软雅黑"/>
      <family val="2"/>
    </font>
    <font>
      <sz val="9"/>
      <name val="宋体"/>
      <family val="3"/>
      <charset val="134"/>
    </font>
    <font>
      <sz val="10"/>
      <color indexed="8"/>
      <name val="Arial"/>
      <family val="2"/>
    </font>
    <font>
      <sz val="9"/>
      <color indexed="81"/>
      <name val="宋体"/>
      <family val="3"/>
      <charset val="134"/>
    </font>
    <font>
      <sz val="9"/>
      <color rgb="FF000000"/>
      <name val="微软雅黑"/>
      <family val="2"/>
      <charset val="134"/>
    </font>
    <font>
      <b/>
      <sz val="11"/>
      <color theme="1"/>
      <name val="等线"/>
      <family val="3"/>
      <charset val="134"/>
      <scheme val="minor"/>
    </font>
  </fonts>
  <fills count="21">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79"/>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2"/>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4.9989318521683403E-2"/>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79"/>
        <bgColor rgb="FF000000"/>
      </patternFill>
    </fill>
    <fill>
      <patternFill patternType="solid">
        <fgColor rgb="FFFFFFFF"/>
        <bgColor rgb="FF000000"/>
      </patternFill>
    </fill>
    <fill>
      <patternFill patternType="solid">
        <fgColor theme="0" tint="-0.3498947111423078"/>
        <bgColor indexed="64"/>
      </patternFill>
    </fill>
    <fill>
      <patternFill patternType="solid">
        <fgColor theme="0" tint="-0.34995574816125979"/>
        <bgColor indexed="64"/>
      </patternFill>
    </fill>
    <fill>
      <patternFill patternType="solid">
        <fgColor rgb="FFD3D3D3"/>
        <bgColor indexed="64"/>
      </patternFill>
    </fill>
  </fills>
  <borders count="89">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medium">
        <color auto="1"/>
      </top>
      <bottom style="thin">
        <color auto="1"/>
      </bottom>
      <diagonal/>
    </border>
    <border>
      <left style="medium">
        <color indexed="64"/>
      </left>
      <right style="medium">
        <color auto="1"/>
      </right>
      <top style="medium">
        <color indexed="64"/>
      </top>
      <bottom style="thin">
        <color auto="1"/>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s>
  <cellStyleXfs count="337">
    <xf numFmtId="0" fontId="0" fillId="0" borderId="0">
      <alignment vertical="center"/>
    </xf>
    <xf numFmtId="0" fontId="24" fillId="0" borderId="0"/>
    <xf numFmtId="177" fontId="24" fillId="0" borderId="0" applyFont="0" applyFill="0" applyBorder="0" applyProtection="0"/>
    <xf numFmtId="176" fontId="9" fillId="0" borderId="0" applyFont="0" applyFill="0" applyBorder="0" applyAlignment="0" applyProtection="0"/>
    <xf numFmtId="0" fontId="10" fillId="6" borderId="11" applyNumberFormat="0" applyAlignment="0" applyProtection="0"/>
    <xf numFmtId="9"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0" fontId="24" fillId="0" borderId="0"/>
    <xf numFmtId="0" fontId="24" fillId="0" borderId="0"/>
    <xf numFmtId="176" fontId="9"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4" fontId="24" fillId="0" borderId="5">
      <alignment horizontal="right"/>
    </xf>
    <xf numFmtId="0" fontId="24" fillId="0" borderId="0"/>
    <xf numFmtId="0" fontId="10" fillId="6" borderId="11" applyNumberFormat="0" applyAlignment="0" applyProtection="0"/>
    <xf numFmtId="177" fontId="24" fillId="0" borderId="0" applyFont="0" applyFill="0" applyBorder="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0" fontId="24" fillId="0" borderId="0"/>
    <xf numFmtId="177" fontId="24" fillId="0" borderId="0" applyFont="0" applyFill="0" applyBorder="0" applyProtection="0"/>
    <xf numFmtId="177" fontId="24" fillId="0" borderId="0" applyFont="0" applyAlignment="0" applyProtection="0"/>
    <xf numFmtId="176" fontId="24" fillId="0" borderId="0" applyFont="0" applyFill="0" applyBorder="0" applyAlignment="0" applyProtection="0"/>
    <xf numFmtId="177" fontId="24" fillId="0" borderId="0" applyFont="0" applyFill="0" applyBorder="0" applyProtection="0"/>
    <xf numFmtId="176" fontId="24" fillId="0" borderId="0" applyFont="0" applyFill="0" applyBorder="0" applyAlignment="0" applyProtection="0"/>
    <xf numFmtId="177" fontId="5" fillId="0" borderId="0" applyFont="0" applyFill="0" applyBorder="0" applyAlignment="0" applyProtection="0"/>
    <xf numFmtId="177" fontId="11" fillId="0" borderId="0" applyAlignment="0"/>
    <xf numFmtId="177" fontId="24" fillId="0" borderId="0" applyFont="0" applyFill="0" applyBorder="0" applyAlignment="0" applyProtection="0"/>
    <xf numFmtId="177" fontId="24" fillId="0" borderId="0" applyFont="0" applyFill="0" applyBorder="0" applyAlignment="0" applyProtection="0"/>
    <xf numFmtId="177" fontId="9" fillId="0" borderId="0" applyFont="0" applyFill="0" applyBorder="0" applyAlignment="0" applyProtection="0"/>
    <xf numFmtId="0" fontId="24" fillId="0" borderId="5" applyAlignment="0"/>
    <xf numFmtId="0" fontId="24" fillId="0" borderId="5" applyAlignment="0"/>
    <xf numFmtId="0" fontId="12" fillId="7" borderId="0" applyNumberFormat="0" applyBorder="0" applyAlignment="0" applyProtection="0"/>
    <xf numFmtId="0" fontId="12" fillId="7"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4" fillId="0" borderId="0" applyAlignment="0"/>
    <xf numFmtId="0" fontId="5" fillId="0" borderId="0"/>
    <xf numFmtId="0" fontId="24" fillId="0" borderId="0"/>
    <xf numFmtId="0" fontId="24" fillId="0" borderId="0"/>
    <xf numFmtId="0" fontId="24" fillId="0" borderId="0"/>
    <xf numFmtId="0" fontId="24" fillId="0" borderId="0" applyAlignment="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protection locked="0"/>
    </xf>
    <xf numFmtId="0" fontId="24" fillId="0" borderId="0">
      <protection locked="0"/>
    </xf>
    <xf numFmtId="0" fontId="24" fillId="0" borderId="0"/>
    <xf numFmtId="0" fontId="24" fillId="0" borderId="0"/>
    <xf numFmtId="0" fontId="5" fillId="0" borderId="0"/>
    <xf numFmtId="0" fontId="13" fillId="0" borderId="0">
      <alignment vertical="center"/>
    </xf>
    <xf numFmtId="0" fontId="13" fillId="0" borderId="0">
      <alignment vertical="center"/>
    </xf>
    <xf numFmtId="0" fontId="13" fillId="0" borderId="0">
      <alignment vertical="center"/>
    </xf>
    <xf numFmtId="0" fontId="11" fillId="0" borderId="0" applyAlignment="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Alignment="0"/>
    <xf numFmtId="0" fontId="24" fillId="0" borderId="0" applyAlignment="0"/>
    <xf numFmtId="0" fontId="24" fillId="0" borderId="0"/>
    <xf numFmtId="0" fontId="14" fillId="0" borderId="0"/>
    <xf numFmtId="0" fontId="6" fillId="0" borderId="0"/>
    <xf numFmtId="0" fontId="9" fillId="0" borderId="0"/>
    <xf numFmtId="0" fontId="24" fillId="0" borderId="0"/>
    <xf numFmtId="0" fontId="24" fillId="0" borderId="0"/>
    <xf numFmtId="0" fontId="14" fillId="0" borderId="0"/>
    <xf numFmtId="0" fontId="24" fillId="0" borderId="0">
      <alignment vertical="center"/>
    </xf>
    <xf numFmtId="9" fontId="9" fillId="0" borderId="0" applyFont="0" applyFill="0" applyBorder="0" applyAlignment="0" applyProtection="0"/>
    <xf numFmtId="0" fontId="5" fillId="0" borderId="0"/>
    <xf numFmtId="0" fontId="15" fillId="0" borderId="0"/>
    <xf numFmtId="178" fontId="24" fillId="0" borderId="0" applyFont="0" applyFill="0" applyBorder="0" applyAlignment="0" applyProtection="0"/>
    <xf numFmtId="178"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Protection="0"/>
    <xf numFmtId="9" fontId="5" fillId="0" borderId="0" applyFont="0" applyFill="0" applyBorder="0" applyAlignment="0" applyProtection="0"/>
    <xf numFmtId="9" fontId="24" fillId="0" borderId="0" applyFont="0" applyFill="0" applyBorder="0" applyProtection="0"/>
    <xf numFmtId="9" fontId="24" fillId="0" borderId="0" applyFont="0" applyFill="0" applyBorder="0" applyProtection="0"/>
    <xf numFmtId="179" fontId="14" fillId="0" borderId="0"/>
    <xf numFmtId="179" fontId="16" fillId="0" borderId="0"/>
    <xf numFmtId="179" fontId="16" fillId="0" borderId="0"/>
    <xf numFmtId="0" fontId="5" fillId="0" borderId="0">
      <protection locked="0"/>
    </xf>
    <xf numFmtId="0" fontId="17" fillId="0" borderId="0">
      <protection locked="0"/>
    </xf>
    <xf numFmtId="0" fontId="24" fillId="0" borderId="0"/>
    <xf numFmtId="0" fontId="17" fillId="0" borderId="0">
      <protection locked="0"/>
    </xf>
    <xf numFmtId="0" fontId="17" fillId="0" borderId="0">
      <protection locked="0"/>
    </xf>
    <xf numFmtId="0" fontId="9" fillId="0" borderId="0"/>
    <xf numFmtId="0" fontId="17" fillId="0" borderId="0">
      <protection locked="0"/>
    </xf>
    <xf numFmtId="0" fontId="5" fillId="0" borderId="0">
      <protection locked="0"/>
    </xf>
    <xf numFmtId="0" fontId="14" fillId="0" borderId="0"/>
    <xf numFmtId="0" fontId="24" fillId="0" borderId="0"/>
    <xf numFmtId="0" fontId="24" fillId="0" borderId="0"/>
    <xf numFmtId="0" fontId="8" fillId="0" borderId="0" applyNumberFormat="0" applyFill="0" applyBorder="0" applyProtection="0"/>
    <xf numFmtId="0" fontId="18" fillId="0" borderId="0"/>
    <xf numFmtId="177" fontId="5" fillId="0" borderId="0" applyFont="0" applyFill="0" applyBorder="0" applyAlignment="0" applyProtection="0"/>
    <xf numFmtId="177" fontId="5" fillId="0" borderId="0" applyFont="0" applyFill="0" applyBorder="0" applyAlignment="0" applyProtection="0"/>
    <xf numFmtId="177" fontId="17" fillId="0" borderId="0" applyFont="0" applyAlignment="0" applyProtection="0"/>
    <xf numFmtId="177" fontId="24" fillId="0" borderId="0" applyFont="0" applyFill="0" applyBorder="0" applyProtection="0"/>
    <xf numFmtId="177" fontId="24" fillId="0" borderId="0" applyFont="0" applyFill="0" applyBorder="0" applyProtection="0"/>
    <xf numFmtId="177" fontId="9" fillId="0" borderId="0" applyFont="0" applyFill="0" applyBorder="0" applyAlignment="0" applyProtection="0"/>
    <xf numFmtId="177" fontId="24" fillId="0" borderId="0" applyFont="0" applyFill="0" applyBorder="0" applyProtection="0"/>
    <xf numFmtId="177" fontId="26" fillId="0" borderId="0" applyFont="0" applyFill="0" applyBorder="0" applyAlignment="0" applyProtection="0"/>
    <xf numFmtId="0" fontId="14" fillId="0" borderId="0"/>
    <xf numFmtId="0" fontId="14" fillId="0" borderId="0"/>
    <xf numFmtId="0" fontId="26" fillId="0" borderId="0">
      <alignment vertical="center"/>
    </xf>
    <xf numFmtId="0" fontId="27" fillId="0" borderId="0" applyNumberFormat="0" applyFill="0" applyBorder="0">
      <protection locked="0"/>
    </xf>
    <xf numFmtId="0" fontId="26" fillId="0" borderId="0">
      <alignment vertical="center"/>
    </xf>
    <xf numFmtId="177" fontId="24" fillId="0" borderId="0" applyFont="0" applyFill="0" applyBorder="0" applyProtection="0"/>
    <xf numFmtId="176" fontId="9"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9" fillId="0" borderId="0" applyFont="0" applyFill="0" applyBorder="0" applyAlignment="0" applyProtection="0"/>
    <xf numFmtId="177" fontId="24" fillId="0" borderId="0" applyFont="0" applyFill="0" applyBorder="0" applyProtection="0"/>
    <xf numFmtId="176"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7" fontId="24" fillId="0" borderId="0" applyFont="0" applyFill="0" applyBorder="0" applyProtection="0"/>
    <xf numFmtId="177" fontId="24" fillId="0" borderId="0" applyFont="0" applyAlignment="0" applyProtection="0"/>
    <xf numFmtId="176" fontId="24" fillId="0" borderId="0" applyFont="0" applyFill="0" applyBorder="0" applyAlignment="0" applyProtection="0"/>
    <xf numFmtId="177" fontId="24" fillId="0" borderId="0" applyFont="0" applyFill="0" applyBorder="0" applyProtection="0"/>
    <xf numFmtId="176" fontId="24" fillId="0" borderId="0" applyFont="0" applyFill="0" applyBorder="0" applyAlignment="0" applyProtection="0"/>
    <xf numFmtId="177" fontId="5" fillId="0" borderId="0" applyFont="0" applyFill="0" applyBorder="0" applyAlignment="0" applyProtection="0"/>
    <xf numFmtId="177" fontId="24" fillId="0" borderId="0" applyFont="0" applyFill="0" applyBorder="0" applyAlignment="0" applyProtection="0"/>
    <xf numFmtId="177" fontId="24" fillId="0" borderId="0" applyFont="0" applyFill="0" applyBorder="0" applyAlignment="0" applyProtection="0"/>
    <xf numFmtId="177" fontId="9"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17" fillId="0" borderId="0" applyFont="0" applyAlignment="0" applyProtection="0"/>
    <xf numFmtId="177" fontId="24" fillId="0" borderId="0" applyFont="0" applyFill="0" applyBorder="0" applyProtection="0"/>
    <xf numFmtId="177" fontId="24" fillId="0" borderId="0" applyFont="0" applyFill="0" applyBorder="0" applyProtection="0"/>
    <xf numFmtId="177" fontId="9" fillId="0" borderId="0" applyFont="0" applyFill="0" applyBorder="0" applyAlignment="0" applyProtection="0"/>
    <xf numFmtId="177" fontId="24" fillId="0" borderId="0" applyFont="0" applyFill="0" applyBorder="0" applyProtection="0"/>
    <xf numFmtId="177" fontId="26" fillId="0" borderId="0" applyFont="0" applyFill="0" applyBorder="0" applyAlignment="0" applyProtection="0"/>
    <xf numFmtId="0" fontId="24" fillId="0" borderId="0">
      <alignment vertical="center"/>
    </xf>
    <xf numFmtId="0" fontId="24" fillId="0" borderId="0">
      <alignment vertical="center"/>
    </xf>
    <xf numFmtId="0" fontId="24" fillId="0" borderId="0">
      <alignment vertical="center"/>
    </xf>
    <xf numFmtId="0" fontId="24" fillId="0" borderId="0"/>
    <xf numFmtId="0" fontId="24" fillId="0" borderId="0"/>
    <xf numFmtId="0" fontId="26" fillId="0" borderId="0"/>
    <xf numFmtId="0" fontId="24" fillId="0" borderId="0"/>
    <xf numFmtId="0" fontId="24" fillId="0" borderId="0">
      <alignment vertical="center"/>
    </xf>
    <xf numFmtId="0" fontId="26" fillId="0" borderId="0">
      <alignment vertical="center"/>
    </xf>
    <xf numFmtId="0" fontId="24" fillId="0" borderId="0"/>
    <xf numFmtId="0" fontId="24" fillId="0" borderId="0">
      <alignment vertical="center"/>
    </xf>
    <xf numFmtId="0" fontId="13" fillId="0" borderId="0">
      <alignment vertical="center"/>
    </xf>
    <xf numFmtId="0" fontId="26" fillId="0" borderId="0">
      <alignment vertical="center"/>
    </xf>
    <xf numFmtId="0" fontId="5" fillId="0" borderId="0"/>
    <xf numFmtId="0" fontId="13" fillId="0" borderId="0">
      <alignment vertical="center"/>
    </xf>
    <xf numFmtId="0" fontId="8" fillId="0" borderId="0" applyNumberFormat="0" applyFill="0" applyBorder="0" applyProtection="0"/>
    <xf numFmtId="0" fontId="24" fillId="0" borderId="0">
      <alignment vertical="center"/>
    </xf>
    <xf numFmtId="9" fontId="24" fillId="0" borderId="0" applyFont="0" applyFill="0" applyBorder="0" applyAlignment="0" applyProtection="0"/>
    <xf numFmtId="0" fontId="24" fillId="0" borderId="0">
      <alignment vertical="center"/>
    </xf>
    <xf numFmtId="0" fontId="24" fillId="0" borderId="0"/>
    <xf numFmtId="0" fontId="8" fillId="0" borderId="0" applyNumberFormat="0" applyFill="0" applyBorder="0" applyAlignment="0" applyProtection="0">
      <alignment vertical="center"/>
    </xf>
    <xf numFmtId="0" fontId="2" fillId="0" borderId="0"/>
    <xf numFmtId="0" fontId="2" fillId="0" borderId="0">
      <alignment vertical="center"/>
    </xf>
    <xf numFmtId="0" fontId="36" fillId="0" borderId="0"/>
    <xf numFmtId="0" fontId="1" fillId="0" borderId="0"/>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0" fontId="1" fillId="0" borderId="0">
      <alignment vertical="center"/>
    </xf>
    <xf numFmtId="0" fontId="1" fillId="0" borderId="0">
      <alignment vertical="center"/>
    </xf>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alignment vertical="center"/>
    </xf>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43" fontId="24" fillId="0" borderId="0" applyFont="0" applyFill="0" applyBorder="0" applyProtection="0"/>
    <xf numFmtId="41" fontId="9"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1" fontId="9"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1"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Protection="0"/>
    <xf numFmtId="43" fontId="24" fillId="0" borderId="0" applyFont="0" applyAlignment="0" applyProtection="0"/>
    <xf numFmtId="41" fontId="24" fillId="0" borderId="0" applyFont="0" applyFill="0" applyBorder="0" applyAlignment="0" applyProtection="0"/>
    <xf numFmtId="43" fontId="24" fillId="0" borderId="0" applyFont="0" applyFill="0" applyBorder="0" applyProtection="0"/>
    <xf numFmtId="41" fontId="24" fillId="0" borderId="0" applyFont="0" applyFill="0" applyBorder="0" applyAlignment="0" applyProtection="0"/>
    <xf numFmtId="43" fontId="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 fillId="0" borderId="0" applyFont="0" applyAlignment="0" applyProtection="0"/>
    <xf numFmtId="43" fontId="24" fillId="0" borderId="0" applyFont="0" applyFill="0" applyBorder="0" applyProtection="0"/>
    <xf numFmtId="43" fontId="24" fillId="0" borderId="0" applyFont="0" applyFill="0" applyBorder="0" applyProtection="0"/>
    <xf numFmtId="43" fontId="9" fillId="0" borderId="0" applyFont="0" applyFill="0" applyBorder="0" applyAlignment="0" applyProtection="0"/>
    <xf numFmtId="43" fontId="24" fillId="0" borderId="0" applyFont="0" applyFill="0" applyBorder="0" applyProtection="0"/>
    <xf numFmtId="43" fontId="1" fillId="0" borderId="0" applyFont="0" applyFill="0" applyBorder="0" applyAlignment="0" applyProtection="0"/>
    <xf numFmtId="0" fontId="36" fillId="0" borderId="0"/>
    <xf numFmtId="0" fontId="42" fillId="0" borderId="0">
      <alignment vertical="center"/>
    </xf>
    <xf numFmtId="0" fontId="3" fillId="0" borderId="0"/>
    <xf numFmtId="177" fontId="36" fillId="0" borderId="0" applyFont="0" applyFill="0" applyBorder="0" applyAlignment="0" applyProtection="0"/>
    <xf numFmtId="0" fontId="45" fillId="0" borderId="0"/>
    <xf numFmtId="0" fontId="46" fillId="0" borderId="0" applyNumberFormat="0" applyFill="0" applyBorder="0" applyAlignment="0" applyProtection="0"/>
    <xf numFmtId="0" fontId="47" fillId="0" borderId="0"/>
    <xf numFmtId="177" fontId="47" fillId="0" borderId="0" applyFont="0" applyFill="0" applyBorder="0" applyAlignment="0" applyProtection="0"/>
    <xf numFmtId="38" fontId="47" fillId="0" borderId="0" applyFont="0" applyFill="0" applyBorder="0" applyAlignment="0" applyProtection="0">
      <alignment vertical="center"/>
    </xf>
    <xf numFmtId="182" fontId="47" fillId="0" borderId="0" applyFont="0" applyFill="0" applyBorder="0" applyAlignment="0" applyProtection="0"/>
    <xf numFmtId="0" fontId="51" fillId="0" borderId="0" applyNumberFormat="0" applyFill="0" applyBorder="0" applyAlignment="0" applyProtection="0"/>
    <xf numFmtId="38" fontId="36" fillId="0" borderId="0" applyFont="0" applyFill="0" applyBorder="0" applyAlignment="0" applyProtection="0">
      <alignment vertical="center"/>
    </xf>
    <xf numFmtId="182" fontId="36" fillId="0" borderId="0" applyFont="0" applyFill="0" applyBorder="0" applyAlignment="0" applyProtection="0"/>
    <xf numFmtId="0" fontId="36" fillId="0" borderId="0"/>
    <xf numFmtId="41" fontId="9" fillId="0" borderId="0" applyFont="0" applyFill="0" applyBorder="0" applyAlignment="0" applyProtection="0"/>
    <xf numFmtId="43" fontId="24" fillId="0" borderId="0" applyFont="0" applyAlignment="0" applyProtection="0"/>
    <xf numFmtId="43" fontId="24" fillId="0" borderId="0" applyFont="0" applyFill="0" applyBorder="0" applyProtection="0"/>
    <xf numFmtId="43" fontId="24" fillId="0" borderId="0" applyFont="0" applyFill="0" applyBorder="0" applyAlignment="0" applyProtection="0"/>
    <xf numFmtId="0" fontId="55" fillId="0" borderId="0" applyNumberFormat="0" applyFill="0" applyBorder="0" applyAlignment="0" applyProtection="0"/>
    <xf numFmtId="0" fontId="1" fillId="0" borderId="0">
      <alignment vertical="center"/>
    </xf>
    <xf numFmtId="0" fontId="14" fillId="0" borderId="0"/>
    <xf numFmtId="0" fontId="42" fillId="0" borderId="0">
      <alignment vertical="center"/>
    </xf>
    <xf numFmtId="0" fontId="1" fillId="0" borderId="0"/>
    <xf numFmtId="0" fontId="1" fillId="0" borderId="0"/>
    <xf numFmtId="0" fontId="17" fillId="0" borderId="0"/>
    <xf numFmtId="9" fontId="24" fillId="0" borderId="0" applyFont="0" applyFill="0" applyBorder="0" applyAlignment="0" applyProtection="0"/>
    <xf numFmtId="9" fontId="24" fillId="0" borderId="0" applyFont="0" applyFill="0" applyBorder="0" applyAlignment="0" applyProtection="0"/>
    <xf numFmtId="0" fontId="9" fillId="0" borderId="0"/>
    <xf numFmtId="0" fontId="1" fillId="0" borderId="0">
      <alignment vertical="center"/>
    </xf>
    <xf numFmtId="0" fontId="1" fillId="0" borderId="0">
      <alignment vertical="center"/>
    </xf>
    <xf numFmtId="0" fontId="1" fillId="0" borderId="0">
      <alignment vertical="center"/>
    </xf>
    <xf numFmtId="0" fontId="1" fillId="0" borderId="0"/>
    <xf numFmtId="43" fontId="5" fillId="0" borderId="0" applyFont="0" applyFill="0" applyBorder="0" applyAlignment="0" applyProtection="0"/>
    <xf numFmtId="43" fontId="1" fillId="0" borderId="0" applyFont="0" applyFill="0" applyBorder="0" applyProtection="0"/>
    <xf numFmtId="0" fontId="36" fillId="0" borderId="0"/>
    <xf numFmtId="43" fontId="36" fillId="0" borderId="0" applyFont="0" applyFill="0" applyBorder="0" applyAlignment="0" applyProtection="0">
      <alignment vertical="center"/>
    </xf>
    <xf numFmtId="0" fontId="116" fillId="0" borderId="0" applyNumberFormat="0" applyFill="0" applyBorder="0" applyAlignment="0" applyProtection="0">
      <alignment vertical="center"/>
    </xf>
    <xf numFmtId="0" fontId="118" fillId="0" borderId="0" applyNumberFormat="0" applyFill="0" applyBorder="0" applyAlignment="0" applyProtection="0">
      <alignment vertical="center"/>
    </xf>
  </cellStyleXfs>
  <cellXfs count="736">
    <xf numFmtId="0" fontId="0" fillId="0" borderId="0" xfId="0">
      <alignment vertical="center"/>
    </xf>
    <xf numFmtId="49" fontId="0" fillId="0" borderId="0" xfId="0" applyNumberFormat="1">
      <alignment vertical="center"/>
    </xf>
    <xf numFmtId="0" fontId="6" fillId="0" borderId="0" xfId="0" applyFont="1">
      <alignment vertical="center"/>
    </xf>
    <xf numFmtId="0" fontId="5" fillId="0" borderId="0" xfId="0" applyFont="1">
      <alignment vertical="center"/>
    </xf>
    <xf numFmtId="0" fontId="5" fillId="0" borderId="0" xfId="0" applyFont="1" applyAlignment="1">
      <alignment horizontal="left" vertical="center"/>
    </xf>
    <xf numFmtId="0" fontId="6" fillId="2" borderId="0" xfId="164" applyFont="1" applyFill="1">
      <alignment vertical="center"/>
    </xf>
    <xf numFmtId="0" fontId="6" fillId="0" borderId="0" xfId="100" applyFont="1" applyAlignment="1" applyProtection="1">
      <alignment vertical="center"/>
      <protection locked="0"/>
    </xf>
    <xf numFmtId="0" fontId="5" fillId="0" borderId="0" xfId="100" applyFont="1" applyAlignment="1" applyProtection="1">
      <alignment vertical="center"/>
      <protection locked="0"/>
    </xf>
    <xf numFmtId="9" fontId="6" fillId="0" borderId="0" xfId="165" applyFont="1" applyAlignment="1" applyProtection="1">
      <alignment vertical="center"/>
      <protection locked="0"/>
    </xf>
    <xf numFmtId="0" fontId="29" fillId="2" borderId="0" xfId="164" applyFont="1" applyFill="1">
      <alignment vertical="center"/>
    </xf>
    <xf numFmtId="0" fontId="6" fillId="0" borderId="0" xfId="171" applyFont="1" applyAlignment="1" applyProtection="1">
      <alignment vertical="center"/>
      <protection locked="0"/>
    </xf>
    <xf numFmtId="0" fontId="6" fillId="0" borderId="0" xfId="171" applyFont="1" applyAlignment="1" applyProtection="1">
      <alignment horizontal="center" vertical="center" wrapText="1"/>
      <protection locked="0"/>
    </xf>
    <xf numFmtId="0" fontId="4" fillId="0" borderId="0" xfId="171" applyFont="1" applyAlignment="1" applyProtection="1">
      <alignment horizontal="left" vertical="center"/>
      <protection locked="0"/>
    </xf>
    <xf numFmtId="0" fontId="29" fillId="0" borderId="0" xfId="171" applyFont="1" applyAlignment="1" applyProtection="1">
      <alignment horizontal="center" vertical="center"/>
      <protection locked="0"/>
    </xf>
    <xf numFmtId="0" fontId="33" fillId="10" borderId="8" xfId="171" applyFont="1" applyFill="1" applyBorder="1" applyAlignment="1" applyProtection="1">
      <alignment horizontal="centerContinuous" vertical="center"/>
      <protection locked="0"/>
    </xf>
    <xf numFmtId="0" fontId="40" fillId="11" borderId="10" xfId="171" applyFont="1" applyFill="1" applyBorder="1" applyAlignment="1" applyProtection="1">
      <alignment horizontal="centerContinuous" vertical="center"/>
      <protection locked="0"/>
    </xf>
    <xf numFmtId="0" fontId="40" fillId="11" borderId="3" xfId="171" applyFont="1" applyFill="1" applyBorder="1" applyAlignment="1" applyProtection="1">
      <alignment horizontal="centerContinuous" vertical="center"/>
      <protection locked="0"/>
    </xf>
    <xf numFmtId="0" fontId="6" fillId="14" borderId="0" xfId="171" applyFont="1" applyFill="1" applyAlignment="1" applyProtection="1">
      <alignment vertical="center"/>
      <protection locked="0"/>
    </xf>
    <xf numFmtId="0" fontId="49" fillId="13" borderId="7" xfId="171" applyFont="1" applyFill="1" applyBorder="1" applyAlignment="1" applyProtection="1">
      <alignment vertical="center"/>
      <protection locked="0"/>
    </xf>
    <xf numFmtId="0" fontId="49" fillId="13" borderId="8" xfId="171" applyFont="1" applyFill="1" applyBorder="1" applyAlignment="1" applyProtection="1">
      <alignment vertical="center"/>
      <protection locked="0"/>
    </xf>
    <xf numFmtId="0" fontId="49" fillId="13" borderId="4" xfId="171" applyFont="1" applyFill="1" applyBorder="1" applyAlignment="1" applyProtection="1">
      <alignment vertical="center"/>
      <protection locked="0"/>
    </xf>
    <xf numFmtId="0" fontId="50" fillId="0" borderId="0" xfId="171" applyFont="1" applyAlignment="1" applyProtection="1">
      <alignment vertical="center" wrapText="1"/>
      <protection locked="0"/>
    </xf>
    <xf numFmtId="0" fontId="35" fillId="0" borderId="0" xfId="171" applyFont="1" applyAlignment="1" applyProtection="1">
      <alignment vertical="center"/>
      <protection locked="0"/>
    </xf>
    <xf numFmtId="0" fontId="52" fillId="0" borderId="0" xfId="171" applyFont="1" applyAlignment="1" applyProtection="1">
      <alignment horizontal="center" vertical="center"/>
      <protection locked="0"/>
    </xf>
    <xf numFmtId="0" fontId="29" fillId="0" borderId="5" xfId="302" applyNumberFormat="1" applyFont="1" applyFill="1" applyBorder="1" applyAlignment="1" applyProtection="1">
      <alignment vertical="center"/>
      <protection locked="0"/>
    </xf>
    <xf numFmtId="183" fontId="4" fillId="0" borderId="0" xfId="311" applyNumberFormat="1" applyFont="1" applyFill="1" applyBorder="1" applyAlignment="1" applyProtection="1">
      <alignment horizontal="center" vertical="center"/>
      <protection locked="0"/>
    </xf>
    <xf numFmtId="0" fontId="3" fillId="0" borderId="0" xfId="171" applyFont="1" applyAlignment="1" applyProtection="1">
      <alignment horizontal="center" vertical="center"/>
      <protection locked="0"/>
    </xf>
    <xf numFmtId="181" fontId="35" fillId="0" borderId="0" xfId="171" applyNumberFormat="1" applyFont="1" applyAlignment="1" applyProtection="1">
      <alignment vertical="center"/>
      <protection locked="0"/>
    </xf>
    <xf numFmtId="181" fontId="29" fillId="0" borderId="0" xfId="171" applyNumberFormat="1" applyFont="1" applyAlignment="1" applyProtection="1">
      <alignment horizontal="center" vertical="center"/>
      <protection locked="0"/>
    </xf>
    <xf numFmtId="0" fontId="6" fillId="0" borderId="0" xfId="312" applyFont="1" applyAlignment="1" applyProtection="1">
      <alignment vertical="center"/>
      <protection locked="0"/>
    </xf>
    <xf numFmtId="0" fontId="4" fillId="0" borderId="0" xfId="312" applyFont="1"/>
    <xf numFmtId="0" fontId="4" fillId="15" borderId="0" xfId="312" applyFont="1" applyFill="1"/>
    <xf numFmtId="0" fontId="4" fillId="0" borderId="0" xfId="312" applyFont="1" applyAlignment="1">
      <alignment vertical="center"/>
    </xf>
    <xf numFmtId="0" fontId="41" fillId="13" borderId="26" xfId="312" applyFont="1" applyFill="1" applyBorder="1" applyAlignment="1">
      <alignment vertical="center"/>
    </xf>
    <xf numFmtId="0" fontId="41" fillId="13" borderId="27" xfId="312" applyFont="1" applyFill="1" applyBorder="1" applyAlignment="1">
      <alignment vertical="center"/>
    </xf>
    <xf numFmtId="0" fontId="54" fillId="0" borderId="0" xfId="312" applyFont="1"/>
    <xf numFmtId="0" fontId="5" fillId="0" borderId="0" xfId="312" applyFont="1"/>
    <xf numFmtId="0" fontId="49" fillId="0" borderId="0" xfId="171" applyFont="1" applyAlignment="1" applyProtection="1">
      <alignment vertical="center"/>
      <protection locked="0"/>
    </xf>
    <xf numFmtId="0" fontId="5" fillId="0" borderId="0" xfId="58" applyFont="1" applyAlignment="1" applyProtection="1">
      <alignment horizontal="left" vertical="top" wrapText="1"/>
      <protection locked="0"/>
    </xf>
    <xf numFmtId="0" fontId="4" fillId="0" borderId="0" xfId="150" applyFont="1">
      <alignment vertical="center"/>
    </xf>
    <xf numFmtId="0" fontId="6" fillId="0" borderId="0" xfId="150" applyFont="1" applyAlignment="1">
      <alignment horizontal="center" vertical="center"/>
    </xf>
    <xf numFmtId="0" fontId="6" fillId="0" borderId="0" xfId="150" applyFont="1">
      <alignment vertical="center"/>
    </xf>
    <xf numFmtId="0" fontId="35" fillId="0" borderId="0" xfId="150" applyFont="1" applyAlignment="1">
      <alignment horizontal="center" vertical="center"/>
    </xf>
    <xf numFmtId="0" fontId="30" fillId="0" borderId="0" xfId="150" applyFont="1">
      <alignment vertical="center"/>
    </xf>
    <xf numFmtId="0" fontId="6" fillId="0" borderId="0" xfId="150" applyFont="1" applyAlignment="1">
      <alignment horizontal="left" vertical="center"/>
    </xf>
    <xf numFmtId="0" fontId="57" fillId="5" borderId="0" xfId="335" applyFont="1" applyFill="1" applyAlignment="1" applyProtection="1">
      <alignment vertical="center"/>
      <protection locked="0"/>
    </xf>
    <xf numFmtId="0" fontId="6" fillId="5" borderId="4" xfId="171" applyFont="1" applyFill="1" applyBorder="1" applyAlignment="1" applyProtection="1">
      <alignment vertical="center"/>
      <protection locked="0"/>
    </xf>
    <xf numFmtId="0" fontId="5" fillId="0" borderId="5" xfId="2" applyNumberFormat="1" applyFont="1" applyFill="1" applyBorder="1" applyAlignment="1" applyProtection="1">
      <alignment horizontal="left" vertical="center" shrinkToFit="1"/>
    </xf>
    <xf numFmtId="0" fontId="6" fillId="14" borderId="18" xfId="171" applyFont="1" applyFill="1" applyBorder="1" applyAlignment="1" applyProtection="1">
      <alignment vertical="center"/>
      <protection locked="0"/>
    </xf>
    <xf numFmtId="0" fontId="29" fillId="0" borderId="0" xfId="0" applyFont="1" applyAlignment="1" applyProtection="1">
      <alignment horizontal="center" vertical="center"/>
      <protection locked="0"/>
    </xf>
    <xf numFmtId="0" fontId="56" fillId="0" borderId="0" xfId="335" applyFont="1" applyFill="1" applyAlignment="1" applyProtection="1">
      <alignment vertical="center"/>
      <protection locked="0"/>
    </xf>
    <xf numFmtId="0" fontId="58" fillId="0" borderId="0" xfId="0" applyFont="1" applyAlignment="1"/>
    <xf numFmtId="0" fontId="6" fillId="0" borderId="13" xfId="0" applyFont="1" applyBorder="1" applyAlignment="1" applyProtection="1">
      <alignment horizontal="left" vertical="center"/>
      <protection locked="0"/>
    </xf>
    <xf numFmtId="0" fontId="6" fillId="0" borderId="0" xfId="333" applyFont="1" applyAlignment="1">
      <alignment vertical="center"/>
    </xf>
    <xf numFmtId="43" fontId="6" fillId="0" borderId="5" xfId="334" applyFont="1" applyBorder="1" applyAlignment="1" applyProtection="1">
      <alignment vertical="center" shrinkToFit="1"/>
    </xf>
    <xf numFmtId="43" fontId="6" fillId="0" borderId="5" xfId="333" applyNumberFormat="1" applyFont="1" applyBorder="1" applyAlignment="1">
      <alignment vertical="center" shrinkToFit="1"/>
    </xf>
    <xf numFmtId="0" fontId="5" fillId="0" borderId="4" xfId="2" applyNumberFormat="1" applyFont="1" applyFill="1" applyBorder="1" applyAlignment="1" applyProtection="1">
      <alignment horizontal="left" vertical="center" shrinkToFit="1"/>
    </xf>
    <xf numFmtId="0" fontId="5" fillId="0" borderId="24" xfId="2" applyNumberFormat="1" applyFont="1" applyFill="1" applyBorder="1" applyAlignment="1" applyProtection="1">
      <alignment horizontal="left" vertical="center" shrinkToFit="1"/>
    </xf>
    <xf numFmtId="0" fontId="35" fillId="8" borderId="13" xfId="150" applyFont="1" applyFill="1" applyBorder="1" applyAlignment="1">
      <alignment horizontal="center" vertical="center"/>
    </xf>
    <xf numFmtId="0" fontId="31" fillId="8" borderId="13" xfId="169" applyFont="1" applyFill="1" applyBorder="1" applyAlignment="1">
      <alignment horizontal="center" vertical="center" wrapText="1"/>
    </xf>
    <xf numFmtId="0" fontId="5" fillId="0" borderId="13" xfId="150" applyFont="1" applyBorder="1" applyAlignment="1">
      <alignment horizontal="center" vertical="center"/>
    </xf>
    <xf numFmtId="0" fontId="6" fillId="0" borderId="13" xfId="150" applyFont="1" applyBorder="1" applyAlignment="1">
      <alignment horizontal="center" vertical="center"/>
    </xf>
    <xf numFmtId="0" fontId="5" fillId="0" borderId="13" xfId="150" applyFont="1" applyBorder="1" applyAlignment="1">
      <alignment horizontal="center" vertical="center" wrapText="1"/>
    </xf>
    <xf numFmtId="0" fontId="30" fillId="0" borderId="13" xfId="150" applyFont="1" applyBorder="1" applyAlignment="1">
      <alignment horizontal="center" vertical="center" wrapText="1"/>
    </xf>
    <xf numFmtId="0" fontId="60" fillId="0" borderId="13" xfId="335" quotePrefix="1" applyFont="1" applyFill="1" applyBorder="1" applyAlignment="1">
      <alignment horizontal="center" vertical="center" wrapText="1"/>
    </xf>
    <xf numFmtId="0" fontId="64" fillId="0" borderId="0" xfId="0" applyFont="1">
      <alignment vertical="center"/>
    </xf>
    <xf numFmtId="0" fontId="66" fillId="0" borderId="0" xfId="0" applyFont="1">
      <alignment vertical="center"/>
    </xf>
    <xf numFmtId="0" fontId="68" fillId="0" borderId="0" xfId="0" applyFont="1">
      <alignment vertical="center"/>
    </xf>
    <xf numFmtId="0" fontId="32" fillId="0" borderId="0" xfId="335" applyFont="1">
      <alignment vertical="center"/>
    </xf>
    <xf numFmtId="0" fontId="65" fillId="0" borderId="0" xfId="171" applyFont="1" applyAlignment="1" applyProtection="1">
      <alignment vertical="center"/>
      <protection locked="0"/>
    </xf>
    <xf numFmtId="0" fontId="80" fillId="5" borderId="0" xfId="335" applyFont="1" applyFill="1" applyAlignment="1" applyProtection="1">
      <alignment vertical="center"/>
      <protection locked="0"/>
    </xf>
    <xf numFmtId="0" fontId="66" fillId="0" borderId="0" xfId="0" applyFont="1" applyProtection="1">
      <alignment vertical="center"/>
      <protection locked="0"/>
    </xf>
    <xf numFmtId="0" fontId="66" fillId="2" borderId="0" xfId="0" applyFont="1" applyFill="1">
      <alignment vertical="center"/>
    </xf>
    <xf numFmtId="0" fontId="81" fillId="2" borderId="0" xfId="0" applyFont="1" applyFill="1">
      <alignment vertical="center"/>
    </xf>
    <xf numFmtId="0" fontId="66" fillId="0" borderId="0" xfId="0" applyFont="1" applyAlignment="1">
      <alignment vertical="center" shrinkToFit="1"/>
    </xf>
    <xf numFmtId="0" fontId="63" fillId="0" borderId="0" xfId="0" applyFont="1" applyAlignment="1">
      <alignment horizontal="left" vertical="center"/>
    </xf>
    <xf numFmtId="0" fontId="75" fillId="10" borderId="7" xfId="171" applyFont="1" applyFill="1" applyBorder="1" applyAlignment="1" applyProtection="1">
      <alignment horizontal="centerContinuous" vertical="center"/>
      <protection locked="0"/>
    </xf>
    <xf numFmtId="0" fontId="76" fillId="10" borderId="8" xfId="171" applyFont="1" applyFill="1" applyBorder="1" applyAlignment="1" applyProtection="1">
      <alignment horizontal="centerContinuous" vertical="center"/>
      <protection locked="0"/>
    </xf>
    <xf numFmtId="0" fontId="77" fillId="11" borderId="10" xfId="171" applyFont="1" applyFill="1" applyBorder="1" applyAlignment="1" applyProtection="1">
      <alignment horizontal="centerContinuous" vertical="center"/>
      <protection locked="0"/>
    </xf>
    <xf numFmtId="0" fontId="77" fillId="11" borderId="3" xfId="171" applyFont="1" applyFill="1" applyBorder="1" applyAlignment="1" applyProtection="1">
      <alignment horizontal="centerContinuous" vertical="center"/>
      <protection locked="0"/>
    </xf>
    <xf numFmtId="0" fontId="66" fillId="14" borderId="0" xfId="171" applyFont="1" applyFill="1" applyAlignment="1" applyProtection="1">
      <alignment vertical="center"/>
      <protection locked="0"/>
    </xf>
    <xf numFmtId="0" fontId="85" fillId="13" borderId="7" xfId="171" applyFont="1" applyFill="1" applyBorder="1" applyAlignment="1" applyProtection="1">
      <alignment vertical="center"/>
      <protection locked="0"/>
    </xf>
    <xf numFmtId="0" fontId="85" fillId="13" borderId="8" xfId="171" applyFont="1" applyFill="1" applyBorder="1" applyAlignment="1" applyProtection="1">
      <alignment vertical="center"/>
      <protection locked="0"/>
    </xf>
    <xf numFmtId="0" fontId="85" fillId="13" borderId="4" xfId="171" applyFont="1" applyFill="1" applyBorder="1" applyAlignment="1" applyProtection="1">
      <alignment vertical="center"/>
      <protection locked="0"/>
    </xf>
    <xf numFmtId="0" fontId="38" fillId="10" borderId="7" xfId="171" applyFont="1" applyFill="1" applyBorder="1" applyAlignment="1" applyProtection="1">
      <alignment horizontal="centerContinuous" vertical="center"/>
      <protection locked="0"/>
    </xf>
    <xf numFmtId="0" fontId="35" fillId="5" borderId="7" xfId="171" applyFont="1" applyFill="1" applyBorder="1" applyAlignment="1">
      <alignment vertical="center"/>
    </xf>
    <xf numFmtId="0" fontId="35" fillId="0" borderId="0" xfId="171" applyFont="1" applyAlignment="1" applyProtection="1">
      <alignment horizontal="center" vertical="center"/>
      <protection locked="0"/>
    </xf>
    <xf numFmtId="0" fontId="6" fillId="0" borderId="2" xfId="301" applyFont="1" applyBorder="1" applyAlignment="1" applyProtection="1">
      <alignment horizontal="center" vertical="center"/>
      <protection locked="0"/>
    </xf>
    <xf numFmtId="0" fontId="6" fillId="0" borderId="50" xfId="301" applyFont="1" applyBorder="1" applyAlignment="1" applyProtection="1">
      <alignment horizontal="center" vertical="center"/>
      <protection locked="0"/>
    </xf>
    <xf numFmtId="0" fontId="30" fillId="0" borderId="5" xfId="333" applyFont="1" applyBorder="1" applyAlignment="1">
      <alignment vertical="center"/>
    </xf>
    <xf numFmtId="0" fontId="6" fillId="2" borderId="5" xfId="333" applyFont="1" applyFill="1" applyBorder="1" applyAlignment="1">
      <alignment vertical="center"/>
    </xf>
    <xf numFmtId="0" fontId="3" fillId="0" borderId="0" xfId="312" applyFont="1"/>
    <xf numFmtId="0" fontId="41" fillId="13" borderId="25" xfId="312" applyFont="1" applyFill="1" applyBorder="1" applyAlignment="1">
      <alignment vertical="center"/>
    </xf>
    <xf numFmtId="0" fontId="3" fillId="0" borderId="0" xfId="312" applyFont="1" applyAlignment="1">
      <alignment vertical="center"/>
    </xf>
    <xf numFmtId="0" fontId="88" fillId="0" borderId="0" xfId="171" applyFont="1" applyAlignment="1" applyProtection="1">
      <alignment vertical="center" wrapText="1"/>
      <protection locked="0"/>
    </xf>
    <xf numFmtId="0" fontId="66" fillId="0" borderId="0" xfId="100" applyFont="1" applyAlignment="1">
      <alignment vertical="center"/>
    </xf>
    <xf numFmtId="9" fontId="66" fillId="0" borderId="0" xfId="5" applyFont="1" applyAlignment="1" applyProtection="1">
      <alignment vertical="center"/>
    </xf>
    <xf numFmtId="0" fontId="81" fillId="2" borderId="0" xfId="65" applyFont="1" applyFill="1" applyAlignment="1">
      <alignment vertical="center"/>
    </xf>
    <xf numFmtId="0" fontId="73" fillId="0" borderId="0" xfId="0" applyFont="1">
      <alignment vertical="center"/>
    </xf>
    <xf numFmtId="176" fontId="66" fillId="2" borderId="0" xfId="7" applyFont="1" applyFill="1" applyAlignment="1">
      <alignment vertical="center"/>
    </xf>
    <xf numFmtId="0" fontId="66" fillId="2" borderId="0" xfId="65" applyFont="1" applyFill="1" applyAlignment="1">
      <alignment vertical="center"/>
    </xf>
    <xf numFmtId="0" fontId="66" fillId="0" borderId="0" xfId="100" applyFont="1" applyAlignment="1" applyProtection="1">
      <alignment vertical="center"/>
      <protection locked="0"/>
    </xf>
    <xf numFmtId="9" fontId="66" fillId="0" borderId="0" xfId="87" applyFont="1" applyAlignment="1" applyProtection="1">
      <alignment vertical="center"/>
      <protection locked="0"/>
    </xf>
    <xf numFmtId="0" fontId="63" fillId="0" borderId="0" xfId="100" applyFont="1" applyAlignment="1" applyProtection="1">
      <alignment vertical="center"/>
      <protection locked="0"/>
    </xf>
    <xf numFmtId="0" fontId="81" fillId="0" borderId="0" xfId="65" applyFont="1" applyAlignment="1">
      <alignment vertical="center"/>
    </xf>
    <xf numFmtId="0" fontId="66" fillId="0" borderId="0" xfId="65" applyFont="1" applyAlignment="1">
      <alignment vertical="center"/>
    </xf>
    <xf numFmtId="9" fontId="66" fillId="0" borderId="0" xfId="87" applyFont="1" applyFill="1" applyAlignment="1" applyProtection="1">
      <alignment vertical="center"/>
      <protection locked="0"/>
    </xf>
    <xf numFmtId="0" fontId="67" fillId="17" borderId="0" xfId="0" applyFont="1" applyFill="1">
      <alignment vertical="center"/>
    </xf>
    <xf numFmtId="0" fontId="62" fillId="17" borderId="0" xfId="0" applyFont="1" applyFill="1">
      <alignment vertical="center"/>
    </xf>
    <xf numFmtId="0" fontId="62" fillId="0" borderId="0" xfId="0" applyFont="1">
      <alignment vertical="center"/>
    </xf>
    <xf numFmtId="0" fontId="66" fillId="0" borderId="0" xfId="164" applyFont="1">
      <alignment vertical="center"/>
    </xf>
    <xf numFmtId="0" fontId="66" fillId="2" borderId="0" xfId="164" applyFont="1" applyFill="1">
      <alignment vertical="center"/>
    </xf>
    <xf numFmtId="0" fontId="81" fillId="2" borderId="0" xfId="164" applyFont="1" applyFill="1">
      <alignment vertical="center"/>
    </xf>
    <xf numFmtId="9" fontId="66" fillId="0" borderId="0" xfId="165" applyFont="1" applyAlignment="1">
      <alignment vertical="center"/>
    </xf>
    <xf numFmtId="176" fontId="66" fillId="0" borderId="0" xfId="7" applyFont="1" applyFill="1" applyAlignment="1">
      <alignment vertical="center"/>
    </xf>
    <xf numFmtId="0" fontId="72" fillId="17" borderId="0" xfId="0" applyFont="1" applyFill="1">
      <alignment vertical="center"/>
    </xf>
    <xf numFmtId="0" fontId="72" fillId="0" borderId="0" xfId="0" applyFont="1">
      <alignment vertical="center"/>
    </xf>
    <xf numFmtId="0" fontId="66" fillId="0" borderId="0" xfId="0" applyFont="1" applyAlignment="1" applyProtection="1">
      <alignment horizontal="center" vertical="center"/>
      <protection locked="0"/>
    </xf>
    <xf numFmtId="177" fontId="63" fillId="2" borderId="0" xfId="111" applyFont="1" applyFill="1" applyBorder="1" applyAlignment="1">
      <alignment vertical="center"/>
    </xf>
    <xf numFmtId="0" fontId="73" fillId="5" borderId="36" xfId="0" applyFont="1" applyFill="1" applyBorder="1" applyAlignment="1">
      <alignment horizontal="center" vertical="center"/>
    </xf>
    <xf numFmtId="14" fontId="87" fillId="5" borderId="35" xfId="0" applyNumberFormat="1" applyFont="1" applyFill="1" applyBorder="1">
      <alignment vertical="center"/>
    </xf>
    <xf numFmtId="0" fontId="63" fillId="0" borderId="5" xfId="0" applyFont="1" applyBorder="1" applyAlignment="1">
      <alignment horizontal="left" vertical="center" wrapText="1" shrinkToFit="1"/>
    </xf>
    <xf numFmtId="0" fontId="63" fillId="0" borderId="36" xfId="0" applyFont="1" applyBorder="1" applyAlignment="1">
      <alignment horizontal="left" vertical="center" wrapText="1" shrinkToFit="1"/>
    </xf>
    <xf numFmtId="14" fontId="87" fillId="0" borderId="0" xfId="0" applyNumberFormat="1" applyFont="1" applyAlignment="1">
      <alignment horizontal="center" vertical="center"/>
    </xf>
    <xf numFmtId="14" fontId="63" fillId="0" borderId="0" xfId="0" applyNumberFormat="1" applyFont="1">
      <alignment vertical="center"/>
    </xf>
    <xf numFmtId="9" fontId="63" fillId="0" borderId="0" xfId="0" applyNumberFormat="1" applyFont="1">
      <alignment vertical="center"/>
    </xf>
    <xf numFmtId="177" fontId="63" fillId="0" borderId="0" xfId="111" applyFont="1" applyAlignment="1">
      <alignment vertical="center"/>
    </xf>
    <xf numFmtId="0" fontId="63" fillId="0" borderId="0" xfId="100" applyFont="1" applyAlignment="1">
      <alignment vertical="center"/>
    </xf>
    <xf numFmtId="0" fontId="79" fillId="3" borderId="0" xfId="0" applyFont="1" applyFill="1" applyAlignment="1">
      <alignment vertical="center" wrapText="1"/>
    </xf>
    <xf numFmtId="0" fontId="89" fillId="3" borderId="0" xfId="0" applyFont="1" applyFill="1" applyAlignment="1">
      <alignment vertical="center" wrapText="1"/>
    </xf>
    <xf numFmtId="0" fontId="30" fillId="0" borderId="13" xfId="0" applyFont="1" applyBorder="1" applyAlignment="1">
      <alignment vertical="center" wrapText="1"/>
    </xf>
    <xf numFmtId="0" fontId="90" fillId="0" borderId="0" xfId="171" applyFont="1" applyAlignment="1" applyProtection="1">
      <alignment vertical="center"/>
      <protection locked="0"/>
    </xf>
    <xf numFmtId="0" fontId="91" fillId="0" borderId="0" xfId="171" applyFont="1" applyAlignment="1">
      <alignment vertical="center"/>
    </xf>
    <xf numFmtId="0" fontId="91" fillId="12" borderId="18" xfId="171" applyFont="1" applyFill="1" applyBorder="1" applyAlignment="1">
      <alignment vertical="center"/>
    </xf>
    <xf numFmtId="0" fontId="92" fillId="0" borderId="0" xfId="171" applyFont="1" applyAlignment="1" applyProtection="1">
      <alignment vertical="center"/>
      <protection locked="0"/>
    </xf>
    <xf numFmtId="0" fontId="93" fillId="0" borderId="0" xfId="171" applyFont="1" applyAlignment="1" applyProtection="1">
      <alignment vertical="center"/>
      <protection locked="0"/>
    </xf>
    <xf numFmtId="0" fontId="90" fillId="0" borderId="0" xfId="300" applyFont="1" applyProtection="1">
      <alignment vertical="center"/>
      <protection locked="0"/>
    </xf>
    <xf numFmtId="0" fontId="90" fillId="2" borderId="0" xfId="0" applyFont="1" applyFill="1">
      <alignment vertical="center"/>
    </xf>
    <xf numFmtId="0" fontId="90" fillId="0" borderId="0" xfId="171" applyFont="1" applyAlignment="1" applyProtection="1">
      <alignment horizontal="left" vertical="center"/>
      <protection locked="0"/>
    </xf>
    <xf numFmtId="0" fontId="90" fillId="0" borderId="0" xfId="171" applyFont="1" applyAlignment="1" applyProtection="1">
      <alignment horizontal="left" vertical="center" wrapText="1"/>
      <protection locked="0"/>
    </xf>
    <xf numFmtId="0" fontId="95" fillId="0" borderId="0" xfId="0" applyFont="1" applyAlignment="1" applyProtection="1">
      <alignment horizontal="center" vertical="center"/>
      <protection locked="0"/>
    </xf>
    <xf numFmtId="0" fontId="90" fillId="2" borderId="0" xfId="171" applyFont="1" applyFill="1" applyAlignment="1">
      <alignment vertical="center"/>
    </xf>
    <xf numFmtId="0" fontId="90" fillId="0" borderId="0" xfId="312" applyFont="1" applyAlignment="1" applyProtection="1">
      <alignment vertical="center"/>
      <protection locked="0"/>
    </xf>
    <xf numFmtId="177" fontId="94" fillId="0" borderId="0" xfId="80" applyNumberFormat="1" applyFont="1" applyAlignment="1">
      <alignment horizontal="left" shrinkToFit="1"/>
    </xf>
    <xf numFmtId="0" fontId="96" fillId="0" borderId="56" xfId="171" applyFont="1" applyBorder="1" applyAlignment="1">
      <alignment horizontal="left" vertical="center"/>
    </xf>
    <xf numFmtId="0" fontId="96" fillId="0" borderId="33" xfId="171" applyFont="1" applyBorder="1" applyAlignment="1">
      <alignment horizontal="left" vertical="center"/>
    </xf>
    <xf numFmtId="0" fontId="96" fillId="0" borderId="57" xfId="171" applyFont="1" applyBorder="1" applyAlignment="1">
      <alignment horizontal="left" vertical="center"/>
    </xf>
    <xf numFmtId="0" fontId="99" fillId="0" borderId="5" xfId="0" applyFont="1" applyBorder="1" applyAlignment="1">
      <alignment horizontal="center" vertical="center"/>
    </xf>
    <xf numFmtId="0" fontId="100" fillId="0" borderId="5" xfId="0" applyFont="1" applyBorder="1" applyAlignment="1">
      <alignment horizontal="center" vertical="center"/>
    </xf>
    <xf numFmtId="0" fontId="101" fillId="2" borderId="0" xfId="0" applyFont="1" applyFill="1">
      <alignment vertical="center"/>
    </xf>
    <xf numFmtId="0" fontId="102" fillId="0" borderId="0" xfId="171" applyFont="1" applyAlignment="1" applyProtection="1">
      <alignment horizontal="left" vertical="center" wrapText="1"/>
      <protection locked="0"/>
    </xf>
    <xf numFmtId="0" fontId="99" fillId="0" borderId="0" xfId="0" applyFont="1" applyAlignment="1" applyProtection="1">
      <alignment horizontal="center" vertical="center"/>
      <protection locked="0"/>
    </xf>
    <xf numFmtId="0" fontId="103" fillId="0" borderId="0" xfId="301" applyFont="1" applyAlignment="1" applyProtection="1">
      <alignment horizontal="right" vertical="center"/>
      <protection locked="0"/>
    </xf>
    <xf numFmtId="177" fontId="99" fillId="0" borderId="0" xfId="105" applyFont="1" applyBorder="1" applyAlignment="1">
      <alignment horizontal="center" shrinkToFit="1"/>
    </xf>
    <xf numFmtId="0" fontId="20" fillId="0" borderId="0" xfId="171" applyFont="1" applyAlignment="1" applyProtection="1">
      <alignment vertical="center"/>
      <protection locked="0"/>
    </xf>
    <xf numFmtId="0" fontId="31" fillId="0" borderId="0" xfId="100" applyFont="1" applyAlignment="1">
      <alignment horizontal="left" vertical="center"/>
    </xf>
    <xf numFmtId="0" fontId="67" fillId="0" borderId="0" xfId="0" applyFont="1">
      <alignment vertical="center"/>
    </xf>
    <xf numFmtId="0" fontId="73" fillId="5" borderId="16" xfId="0" applyFont="1" applyFill="1" applyBorder="1" applyProtection="1">
      <alignment vertical="center"/>
      <protection locked="0"/>
    </xf>
    <xf numFmtId="0" fontId="73" fillId="5" borderId="17" xfId="0" applyFont="1" applyFill="1" applyBorder="1" applyProtection="1">
      <alignment vertical="center"/>
      <protection locked="0"/>
    </xf>
    <xf numFmtId="0" fontId="73" fillId="5" borderId="20" xfId="0" applyFont="1" applyFill="1" applyBorder="1" applyProtection="1">
      <alignment vertical="center"/>
      <protection locked="0"/>
    </xf>
    <xf numFmtId="0" fontId="73" fillId="5" borderId="5" xfId="0" applyFont="1" applyFill="1" applyBorder="1" applyAlignment="1">
      <alignment horizontal="center" vertical="center"/>
    </xf>
    <xf numFmtId="0" fontId="6" fillId="0" borderId="17" xfId="0" applyFont="1" applyBorder="1">
      <alignment vertical="center"/>
    </xf>
    <xf numFmtId="0" fontId="6" fillId="2" borderId="0" xfId="0" applyFont="1" applyFill="1">
      <alignment vertical="center"/>
    </xf>
    <xf numFmtId="0" fontId="6" fillId="0" borderId="1" xfId="0" applyFont="1" applyBorder="1">
      <alignment vertical="center"/>
    </xf>
    <xf numFmtId="0" fontId="6" fillId="0" borderId="21" xfId="0" applyFont="1" applyBorder="1">
      <alignment vertical="center"/>
    </xf>
    <xf numFmtId="0" fontId="20" fillId="14" borderId="18" xfId="171" applyFont="1" applyFill="1" applyBorder="1" applyAlignment="1" applyProtection="1">
      <alignment vertical="center"/>
      <protection locked="0"/>
    </xf>
    <xf numFmtId="0" fontId="108" fillId="0" borderId="0" xfId="171" applyFont="1" applyAlignment="1" applyProtection="1">
      <alignment vertical="center" wrapText="1"/>
      <protection locked="0"/>
    </xf>
    <xf numFmtId="0" fontId="4" fillId="0" borderId="0" xfId="0" applyFont="1">
      <alignment vertical="center"/>
    </xf>
    <xf numFmtId="0" fontId="72" fillId="5" borderId="43" xfId="0" applyFont="1" applyFill="1" applyBorder="1">
      <alignment vertical="center"/>
    </xf>
    <xf numFmtId="0" fontId="109" fillId="0" borderId="0" xfId="0" applyFont="1">
      <alignment vertical="center"/>
    </xf>
    <xf numFmtId="0" fontId="63" fillId="0" borderId="35" xfId="0" applyFont="1" applyBorder="1" applyAlignment="1">
      <alignment horizontal="left" vertical="center" wrapText="1" shrinkToFit="1"/>
    </xf>
    <xf numFmtId="0" fontId="67" fillId="5" borderId="34" xfId="0" applyFont="1" applyFill="1" applyBorder="1" applyAlignment="1">
      <alignment horizontal="center" vertical="center" wrapText="1"/>
    </xf>
    <xf numFmtId="12" fontId="4" fillId="5" borderId="5" xfId="333" applyNumberFormat="1" applyFont="1" applyFill="1" applyBorder="1" applyAlignment="1">
      <alignment horizontal="left" vertical="center" wrapText="1"/>
    </xf>
    <xf numFmtId="12" fontId="4" fillId="5" borderId="5" xfId="333" applyNumberFormat="1" applyFont="1" applyFill="1" applyBorder="1" applyAlignment="1">
      <alignment horizontal="center" vertical="center" wrapText="1"/>
    </xf>
    <xf numFmtId="14" fontId="31" fillId="5" borderId="63" xfId="0" applyNumberFormat="1" applyFont="1" applyFill="1" applyBorder="1" applyAlignment="1" applyProtection="1">
      <alignment horizontal="center" vertical="center"/>
      <protection locked="0"/>
    </xf>
    <xf numFmtId="0" fontId="31" fillId="5" borderId="62" xfId="0" applyFont="1" applyFill="1" applyBorder="1" applyAlignment="1">
      <alignment horizontal="center" vertical="center" wrapText="1"/>
    </xf>
    <xf numFmtId="0" fontId="31" fillId="5" borderId="63" xfId="0" applyFont="1" applyFill="1" applyBorder="1" applyAlignment="1">
      <alignment horizontal="center" vertical="center" wrapText="1"/>
    </xf>
    <xf numFmtId="0" fontId="31" fillId="5" borderId="16" xfId="0" applyFont="1" applyFill="1" applyBorder="1" applyAlignment="1" applyProtection="1">
      <alignment horizontal="centerContinuous" vertical="center"/>
      <protection locked="0"/>
    </xf>
    <xf numFmtId="0" fontId="31" fillId="5" borderId="17" xfId="0" applyFont="1" applyFill="1" applyBorder="1" applyAlignment="1" applyProtection="1">
      <alignment horizontal="centerContinuous" vertical="center"/>
      <protection locked="0"/>
    </xf>
    <xf numFmtId="0" fontId="31" fillId="5" borderId="20" xfId="0" applyFont="1" applyFill="1" applyBorder="1" applyAlignment="1" applyProtection="1">
      <alignment horizontal="centerContinuous" vertical="center"/>
      <protection locked="0"/>
    </xf>
    <xf numFmtId="0" fontId="29" fillId="0" borderId="5" xfId="302" applyNumberFormat="1" applyFont="1" applyFill="1" applyBorder="1" applyAlignment="1" applyProtection="1">
      <alignment horizontal="left" vertical="center"/>
      <protection locked="0"/>
    </xf>
    <xf numFmtId="0" fontId="29" fillId="0" borderId="5" xfId="302" applyNumberFormat="1" applyFont="1" applyFill="1" applyBorder="1" applyAlignment="1" applyProtection="1">
      <alignment horizontal="center" vertical="center"/>
      <protection locked="0"/>
    </xf>
    <xf numFmtId="0" fontId="73" fillId="5" borderId="35" xfId="0" applyFont="1" applyFill="1" applyBorder="1" applyAlignment="1">
      <alignment horizontal="center" vertical="center"/>
    </xf>
    <xf numFmtId="0" fontId="73" fillId="5" borderId="5" xfId="0" applyFont="1" applyFill="1" applyBorder="1" applyAlignment="1">
      <alignment horizontal="center" vertical="center" wrapText="1"/>
    </xf>
    <xf numFmtId="0" fontId="72" fillId="5" borderId="5" xfId="0" applyFont="1" applyFill="1" applyBorder="1" applyAlignment="1">
      <alignment horizontal="center" vertical="center" wrapText="1"/>
    </xf>
    <xf numFmtId="14" fontId="68" fillId="5" borderId="5" xfId="0" applyNumberFormat="1" applyFont="1" applyFill="1" applyBorder="1" applyAlignment="1">
      <alignment horizontal="center" vertical="center" wrapText="1"/>
    </xf>
    <xf numFmtId="0" fontId="110" fillId="0" borderId="0" xfId="171" applyFont="1" applyAlignment="1" applyProtection="1">
      <alignment vertical="center"/>
      <protection locked="0"/>
    </xf>
    <xf numFmtId="0" fontId="111" fillId="0" borderId="0" xfId="0" applyFont="1">
      <alignment vertical="center"/>
    </xf>
    <xf numFmtId="0" fontId="110" fillId="0" borderId="0" xfId="0" applyFont="1">
      <alignment vertical="center"/>
    </xf>
    <xf numFmtId="0" fontId="110" fillId="0" borderId="0" xfId="100" applyFont="1" applyAlignment="1">
      <alignment vertical="center"/>
    </xf>
    <xf numFmtId="9" fontId="110" fillId="0" borderId="0" xfId="85" applyFont="1" applyAlignment="1" applyProtection="1">
      <alignment vertical="center"/>
    </xf>
    <xf numFmtId="0" fontId="112" fillId="0" borderId="0" xfId="100" applyFont="1" applyAlignment="1">
      <alignment vertical="center"/>
    </xf>
    <xf numFmtId="0" fontId="110" fillId="0" borderId="0" xfId="0" applyFont="1" applyAlignment="1">
      <alignment horizontal="right" vertical="center"/>
    </xf>
    <xf numFmtId="0" fontId="110" fillId="0" borderId="0" xfId="100" applyFont="1" applyAlignment="1">
      <alignment horizontal="center" vertical="center"/>
    </xf>
    <xf numFmtId="0" fontId="114" fillId="5" borderId="0" xfId="335" applyFont="1" applyFill="1" applyAlignment="1" applyProtection="1">
      <alignment vertical="center"/>
      <protection locked="0"/>
    </xf>
    <xf numFmtId="43" fontId="63" fillId="0" borderId="5" xfId="0" applyNumberFormat="1" applyFont="1" applyBorder="1" applyAlignment="1">
      <alignment horizontal="right" vertical="center" wrapText="1" shrinkToFit="1"/>
    </xf>
    <xf numFmtId="0" fontId="75" fillId="10" borderId="60" xfId="171" applyFont="1" applyFill="1" applyBorder="1" applyAlignment="1" applyProtection="1">
      <alignment horizontal="centerContinuous" vertical="center"/>
      <protection locked="0"/>
    </xf>
    <xf numFmtId="0" fontId="75" fillId="10" borderId="26" xfId="171" applyFont="1" applyFill="1" applyBorder="1" applyAlignment="1" applyProtection="1">
      <alignment horizontal="centerContinuous" vertical="center"/>
      <protection locked="0"/>
    </xf>
    <xf numFmtId="0" fontId="106" fillId="10" borderId="26" xfId="171" applyFont="1" applyFill="1" applyBorder="1" applyAlignment="1" applyProtection="1">
      <alignment horizontal="centerContinuous" vertical="center"/>
      <protection locked="0"/>
    </xf>
    <xf numFmtId="0" fontId="107" fillId="11" borderId="66" xfId="171" applyFont="1" applyFill="1" applyBorder="1" applyAlignment="1" applyProtection="1">
      <alignment horizontal="centerContinuous" vertical="center"/>
      <protection locked="0"/>
    </xf>
    <xf numFmtId="0" fontId="107" fillId="11" borderId="68" xfId="171" applyFont="1" applyFill="1" applyBorder="1" applyAlignment="1" applyProtection="1">
      <alignment horizontal="centerContinuous" vertical="center"/>
      <protection locked="0"/>
    </xf>
    <xf numFmtId="0" fontId="104" fillId="13" borderId="53" xfId="171" applyFont="1" applyFill="1" applyBorder="1" applyAlignment="1" applyProtection="1">
      <alignment vertical="center"/>
      <protection locked="0"/>
    </xf>
    <xf numFmtId="0" fontId="104" fillId="13" borderId="23" xfId="171" applyFont="1" applyFill="1" applyBorder="1" applyAlignment="1" applyProtection="1">
      <alignment vertical="center"/>
      <protection locked="0"/>
    </xf>
    <xf numFmtId="0" fontId="104" fillId="13" borderId="52" xfId="171" applyFont="1" applyFill="1" applyBorder="1" applyAlignment="1" applyProtection="1">
      <alignment vertical="center"/>
      <protection locked="0"/>
    </xf>
    <xf numFmtId="0" fontId="37" fillId="5" borderId="0" xfId="171" applyFont="1" applyFill="1" applyAlignment="1" applyProtection="1">
      <alignment vertical="center"/>
      <protection locked="0"/>
    </xf>
    <xf numFmtId="0" fontId="6" fillId="5" borderId="0" xfId="171" applyFont="1" applyFill="1" applyAlignment="1" applyProtection="1">
      <alignment vertical="center"/>
      <protection locked="0"/>
    </xf>
    <xf numFmtId="0" fontId="38" fillId="10" borderId="39" xfId="171" applyFont="1" applyFill="1" applyBorder="1" applyAlignment="1" applyProtection="1">
      <alignment horizontal="centerContinuous" vertical="center"/>
      <protection locked="0"/>
    </xf>
    <xf numFmtId="0" fontId="33" fillId="10" borderId="28" xfId="171" applyFont="1" applyFill="1" applyBorder="1" applyAlignment="1" applyProtection="1">
      <alignment horizontal="centerContinuous" vertical="center"/>
      <protection locked="0"/>
    </xf>
    <xf numFmtId="0" fontId="40" fillId="11" borderId="54" xfId="171" applyFont="1" applyFill="1" applyBorder="1" applyAlignment="1" applyProtection="1">
      <alignment horizontal="centerContinuous" vertical="center"/>
      <protection locked="0"/>
    </xf>
    <xf numFmtId="0" fontId="40" fillId="11" borderId="55" xfId="171" applyFont="1" applyFill="1" applyBorder="1" applyAlignment="1" applyProtection="1">
      <alignment horizontal="centerContinuous" vertical="center"/>
      <protection locked="0"/>
    </xf>
    <xf numFmtId="0" fontId="4" fillId="0" borderId="0" xfId="171" applyFont="1" applyAlignment="1">
      <alignment vertical="center"/>
    </xf>
    <xf numFmtId="0" fontId="4" fillId="12" borderId="18" xfId="171" applyFont="1" applyFill="1" applyBorder="1" applyAlignment="1">
      <alignment vertical="center"/>
    </xf>
    <xf numFmtId="0" fontId="41" fillId="13" borderId="53" xfId="171" applyFont="1" applyFill="1" applyBorder="1" applyAlignment="1" applyProtection="1">
      <alignment vertical="center"/>
      <protection locked="0"/>
    </xf>
    <xf numFmtId="0" fontId="41" fillId="13" borderId="23" xfId="171" applyFont="1" applyFill="1" applyBorder="1" applyAlignment="1" applyProtection="1">
      <alignment vertical="center" wrapText="1"/>
      <protection locked="0"/>
    </xf>
    <xf numFmtId="0" fontId="41" fillId="13" borderId="52" xfId="171" applyFont="1" applyFill="1" applyBorder="1" applyAlignment="1" applyProtection="1">
      <alignment vertical="center" wrapText="1"/>
      <protection locked="0"/>
    </xf>
    <xf numFmtId="0" fontId="6" fillId="0" borderId="0" xfId="0" applyFont="1" applyProtection="1">
      <alignment vertical="center"/>
      <protection locked="0"/>
    </xf>
    <xf numFmtId="0" fontId="31" fillId="5" borderId="7" xfId="0" applyFont="1" applyFill="1" applyBorder="1" applyAlignment="1">
      <alignment horizontal="centerContinuous" vertical="center"/>
    </xf>
    <xf numFmtId="0" fontId="31" fillId="5" borderId="4" xfId="0" applyFont="1" applyFill="1" applyBorder="1" applyAlignment="1">
      <alignment horizontal="centerContinuous" vertical="center"/>
    </xf>
    <xf numFmtId="0" fontId="29" fillId="0" borderId="5" xfId="0" applyFont="1" applyBorder="1" applyAlignment="1">
      <alignment horizontal="center" vertical="center"/>
    </xf>
    <xf numFmtId="0" fontId="6" fillId="0" borderId="7" xfId="0" applyFont="1" applyBorder="1">
      <alignment vertical="center"/>
    </xf>
    <xf numFmtId="0" fontId="5" fillId="0" borderId="5" xfId="173" applyNumberFormat="1" applyFont="1" applyFill="1" applyBorder="1" applyAlignment="1">
      <alignment horizontal="left" vertical="center" shrinkToFit="1"/>
    </xf>
    <xf numFmtId="0" fontId="6" fillId="0" borderId="8" xfId="0" applyFont="1" applyBorder="1">
      <alignment vertical="center"/>
    </xf>
    <xf numFmtId="0" fontId="6" fillId="0" borderId="4" xfId="0" applyFont="1" applyBorder="1">
      <alignment vertical="center"/>
    </xf>
    <xf numFmtId="0" fontId="5" fillId="0" borderId="7" xfId="167" applyFont="1" applyBorder="1" applyAlignment="1">
      <alignment vertical="center"/>
    </xf>
    <xf numFmtId="0" fontId="6" fillId="0" borderId="28" xfId="0" applyFont="1" applyBorder="1">
      <alignment vertical="center"/>
    </xf>
    <xf numFmtId="0" fontId="6" fillId="0" borderId="29" xfId="0" applyFont="1" applyBorder="1">
      <alignment vertical="center"/>
    </xf>
    <xf numFmtId="0" fontId="29" fillId="0" borderId="5" xfId="0" applyFont="1" applyBorder="1" applyAlignment="1" applyProtection="1">
      <alignment horizontal="center" vertical="center"/>
      <protection locked="0"/>
    </xf>
    <xf numFmtId="0" fontId="6" fillId="0" borderId="1" xfId="0" applyFont="1" applyBorder="1" applyProtection="1">
      <alignment vertical="center"/>
      <protection locked="0"/>
    </xf>
    <xf numFmtId="0" fontId="6" fillId="0" borderId="8" xfId="0" applyFont="1" applyBorder="1" applyProtection="1">
      <alignment vertical="center"/>
      <protection locked="0"/>
    </xf>
    <xf numFmtId="0" fontId="6" fillId="0" borderId="4" xfId="0" applyFont="1" applyBorder="1" applyProtection="1">
      <alignment vertical="center"/>
      <protection locked="0"/>
    </xf>
    <xf numFmtId="0" fontId="5" fillId="0" borderId="30" xfId="173" applyNumberFormat="1" applyFont="1" applyFill="1" applyBorder="1" applyAlignment="1">
      <alignment horizontal="left" vertical="center" shrinkToFit="1"/>
    </xf>
    <xf numFmtId="0" fontId="6" fillId="0" borderId="0" xfId="300" applyFont="1" applyProtection="1">
      <alignment vertical="center"/>
      <protection locked="0"/>
    </xf>
    <xf numFmtId="0" fontId="29" fillId="0" borderId="34" xfId="0" applyFont="1" applyBorder="1" applyAlignment="1">
      <alignment horizontal="center" vertical="center"/>
    </xf>
    <xf numFmtId="0" fontId="4" fillId="0" borderId="61" xfId="0" applyFont="1" applyBorder="1">
      <alignment vertical="center"/>
    </xf>
    <xf numFmtId="0" fontId="6" fillId="0" borderId="21" xfId="0" applyFont="1" applyBorder="1" applyProtection="1">
      <alignment vertical="center"/>
      <protection locked="0"/>
    </xf>
    <xf numFmtId="0" fontId="29" fillId="0" borderId="0" xfId="0" applyFont="1" applyAlignment="1">
      <alignment horizontal="center" vertical="center"/>
    </xf>
    <xf numFmtId="0" fontId="31" fillId="0" borderId="0" xfId="171" applyFont="1" applyAlignment="1">
      <alignment vertical="center"/>
    </xf>
    <xf numFmtId="0" fontId="43" fillId="0" borderId="0" xfId="171" applyFont="1" applyAlignment="1" applyProtection="1">
      <alignment vertical="center" wrapText="1"/>
      <protection locked="0"/>
    </xf>
    <xf numFmtId="0" fontId="31" fillId="5" borderId="7" xfId="171" applyFont="1" applyFill="1" applyBorder="1" applyAlignment="1">
      <alignment horizontal="centerContinuous" vertical="center"/>
    </xf>
    <xf numFmtId="0" fontId="31" fillId="5" borderId="4" xfId="171" applyFont="1" applyFill="1" applyBorder="1" applyAlignment="1">
      <alignment horizontal="centerContinuous" vertical="center"/>
    </xf>
    <xf numFmtId="181" fontId="5" fillId="0" borderId="0" xfId="173" applyNumberFormat="1" applyFont="1" applyFill="1" applyBorder="1" applyAlignment="1" applyProtection="1">
      <alignment vertical="center" wrapText="1"/>
      <protection locked="0"/>
    </xf>
    <xf numFmtId="0" fontId="5" fillId="0" borderId="0" xfId="162" applyFont="1" applyAlignment="1" applyProtection="1">
      <alignment horizontal="center" vertical="center" wrapText="1"/>
      <protection locked="0"/>
    </xf>
    <xf numFmtId="0" fontId="30" fillId="0" borderId="0" xfId="171" applyFont="1" applyAlignment="1" applyProtection="1">
      <alignment vertical="center"/>
      <protection locked="0"/>
    </xf>
    <xf numFmtId="0" fontId="31" fillId="5" borderId="5" xfId="161" applyFont="1" applyFill="1" applyBorder="1" applyAlignment="1">
      <alignment horizontal="left" vertical="center"/>
    </xf>
    <xf numFmtId="181" fontId="5" fillId="2" borderId="5" xfId="173" applyNumberFormat="1" applyFont="1" applyFill="1" applyBorder="1" applyAlignment="1" applyProtection="1">
      <alignment horizontal="right" vertical="center" wrapText="1"/>
      <protection locked="0"/>
    </xf>
    <xf numFmtId="9" fontId="5" fillId="0" borderId="0" xfId="162" applyNumberFormat="1" applyFont="1" applyAlignment="1" applyProtection="1">
      <alignment vertical="center" wrapText="1"/>
      <protection locked="0"/>
    </xf>
    <xf numFmtId="9" fontId="5" fillId="0" borderId="5" xfId="173" applyNumberFormat="1" applyFont="1" applyFill="1" applyBorder="1" applyAlignment="1">
      <alignment horizontal="right" vertical="center" shrinkToFit="1"/>
    </xf>
    <xf numFmtId="9" fontId="5" fillId="0" borderId="0" xfId="162" applyNumberFormat="1" applyFont="1" applyAlignment="1" applyProtection="1">
      <alignment horizontal="left" vertical="center" wrapText="1"/>
      <protection locked="0"/>
    </xf>
    <xf numFmtId="0" fontId="6" fillId="0" borderId="0" xfId="171" applyFont="1" applyAlignment="1" applyProtection="1">
      <alignment horizontal="left" vertical="center"/>
      <protection locked="0"/>
    </xf>
    <xf numFmtId="0" fontId="30" fillId="0" borderId="0" xfId="171" applyFont="1" applyAlignment="1" applyProtection="1">
      <alignment horizontal="left" vertical="center"/>
      <protection locked="0"/>
    </xf>
    <xf numFmtId="0" fontId="31" fillId="0" borderId="0" xfId="161" applyFont="1" applyAlignment="1">
      <alignment horizontal="left" vertical="center"/>
    </xf>
    <xf numFmtId="9" fontId="5" fillId="0" borderId="0" xfId="161" applyNumberFormat="1" applyAlignment="1" applyProtection="1">
      <alignment horizontal="right" vertical="center" wrapText="1"/>
      <protection locked="0"/>
    </xf>
    <xf numFmtId="0" fontId="29" fillId="0" borderId="0" xfId="171" applyFont="1" applyAlignment="1" applyProtection="1">
      <alignment horizontal="left" vertical="center"/>
      <protection locked="0"/>
    </xf>
    <xf numFmtId="0" fontId="30" fillId="0" borderId="0" xfId="171" applyFont="1" applyAlignment="1" applyProtection="1">
      <alignment horizontal="left" vertical="center" wrapText="1"/>
      <protection locked="0"/>
    </xf>
    <xf numFmtId="0" fontId="6" fillId="0" borderId="0" xfId="171" applyFont="1" applyAlignment="1" applyProtection="1">
      <alignment horizontal="left" vertical="center" wrapText="1"/>
      <protection locked="0"/>
    </xf>
    <xf numFmtId="0" fontId="4" fillId="0" borderId="0" xfId="171" applyFont="1" applyAlignment="1">
      <alignment vertical="center" wrapText="1"/>
    </xf>
    <xf numFmtId="0" fontId="5" fillId="0" borderId="0" xfId="173" applyNumberFormat="1" applyFont="1" applyFill="1" applyBorder="1" applyAlignment="1">
      <alignment horizontal="left" vertical="center" shrinkToFit="1"/>
    </xf>
    <xf numFmtId="0" fontId="29" fillId="0" borderId="0" xfId="0" applyFont="1" applyAlignment="1" applyProtection="1">
      <alignment horizontal="left" vertical="center"/>
      <protection locked="0"/>
    </xf>
    <xf numFmtId="10" fontId="5" fillId="0" borderId="0" xfId="5" applyNumberFormat="1" applyFont="1" applyBorder="1" applyAlignment="1" applyProtection="1">
      <alignment horizontal="center"/>
      <protection locked="0"/>
    </xf>
    <xf numFmtId="0" fontId="29" fillId="0" borderId="0" xfId="301" applyFont="1" applyAlignment="1" applyProtection="1">
      <alignment horizontal="left" vertical="center"/>
      <protection locked="0"/>
    </xf>
    <xf numFmtId="0" fontId="4" fillId="0" borderId="0" xfId="0" applyFont="1" applyAlignment="1">
      <alignment horizontal="center" vertical="center"/>
    </xf>
    <xf numFmtId="0" fontId="6" fillId="0" borderId="0" xfId="301" applyFont="1" applyAlignment="1" applyProtection="1">
      <alignment horizontal="left" vertical="center"/>
      <protection locked="0"/>
    </xf>
    <xf numFmtId="0" fontId="5" fillId="0" borderId="0" xfId="301" applyFont="1" applyAlignment="1" applyProtection="1">
      <alignment horizontal="right" vertical="center"/>
      <protection locked="0"/>
    </xf>
    <xf numFmtId="181" fontId="6" fillId="0" borderId="0" xfId="302" applyNumberFormat="1" applyFont="1" applyFill="1" applyAlignment="1" applyProtection="1">
      <alignment horizontal="right" vertical="center"/>
      <protection locked="0"/>
    </xf>
    <xf numFmtId="181" fontId="6" fillId="0" borderId="0" xfId="302" applyNumberFormat="1" applyFont="1" applyFill="1" applyAlignment="1" applyProtection="1">
      <alignment vertical="center"/>
      <protection locked="0"/>
    </xf>
    <xf numFmtId="10" fontId="6" fillId="0" borderId="0" xfId="5" applyNumberFormat="1" applyFont="1" applyAlignment="1" applyProtection="1">
      <alignment horizontal="center"/>
      <protection locked="0"/>
    </xf>
    <xf numFmtId="0" fontId="30" fillId="0" borderId="0" xfId="301" applyFont="1" applyAlignment="1" applyProtection="1">
      <alignment vertical="center"/>
      <protection locked="0"/>
    </xf>
    <xf numFmtId="9" fontId="6" fillId="0" borderId="0" xfId="301" applyNumberFormat="1" applyFont="1" applyAlignment="1" applyProtection="1">
      <alignment horizontal="center" vertical="center"/>
      <protection locked="0"/>
    </xf>
    <xf numFmtId="0" fontId="35" fillId="0" borderId="0" xfId="0" applyFont="1" applyAlignment="1">
      <alignment horizontal="right" vertical="center"/>
    </xf>
    <xf numFmtId="0" fontId="35" fillId="0" borderId="0" xfId="0" applyFont="1" applyAlignment="1">
      <alignment horizontal="left" vertical="center"/>
    </xf>
    <xf numFmtId="10" fontId="6" fillId="0" borderId="9" xfId="5" applyNumberFormat="1" applyFont="1" applyFill="1" applyBorder="1" applyAlignment="1" applyProtection="1">
      <alignment horizontal="center"/>
      <protection locked="0"/>
    </xf>
    <xf numFmtId="177" fontId="34" fillId="0" borderId="0" xfId="100" applyNumberFormat="1" applyFont="1" applyAlignment="1">
      <alignment horizontal="center" vertical="center" shrinkToFit="1"/>
    </xf>
    <xf numFmtId="177" fontId="5" fillId="0" borderId="0" xfId="56" applyNumberFormat="1" applyFont="1" applyAlignment="1">
      <alignment horizontal="right" vertical="center" shrinkToFit="1"/>
    </xf>
    <xf numFmtId="177" fontId="6" fillId="0" borderId="0" xfId="33" applyFont="1" applyFill="1" applyBorder="1" applyAlignment="1" applyProtection="1">
      <alignment horizontal="right" vertical="center" shrinkToFit="1"/>
    </xf>
    <xf numFmtId="0" fontId="29" fillId="0" borderId="0" xfId="171" applyFont="1" applyAlignment="1" applyProtection="1">
      <alignment horizontal="right" vertical="center"/>
      <protection locked="0"/>
    </xf>
    <xf numFmtId="0" fontId="6" fillId="2" borderId="0" xfId="171" applyFont="1" applyFill="1" applyAlignment="1">
      <alignment vertical="center"/>
    </xf>
    <xf numFmtId="0" fontId="29" fillId="2" borderId="0" xfId="171" applyFont="1" applyFill="1" applyAlignment="1">
      <alignment horizontal="center" vertical="center"/>
    </xf>
    <xf numFmtId="0" fontId="6" fillId="2" borderId="0" xfId="171" applyFont="1" applyFill="1" applyAlignment="1">
      <alignment horizontal="center" vertical="center"/>
    </xf>
    <xf numFmtId="180" fontId="31" fillId="0" borderId="0" xfId="81" applyNumberFormat="1" applyFont="1" applyAlignment="1">
      <alignment vertical="center" wrapText="1"/>
    </xf>
    <xf numFmtId="0" fontId="29" fillId="0" borderId="0" xfId="8" applyNumberFormat="1" applyFont="1" applyAlignment="1" applyProtection="1">
      <alignment horizontal="left" vertical="center"/>
      <protection locked="0"/>
    </xf>
    <xf numFmtId="0" fontId="30" fillId="2" borderId="0" xfId="0" applyFont="1" applyFill="1">
      <alignment vertical="center"/>
    </xf>
    <xf numFmtId="176" fontId="30" fillId="2" borderId="0" xfId="0" applyNumberFormat="1" applyFont="1" applyFill="1">
      <alignment vertical="center"/>
    </xf>
    <xf numFmtId="0" fontId="34" fillId="2" borderId="0" xfId="0" applyFont="1" applyFill="1">
      <alignment vertical="center"/>
    </xf>
    <xf numFmtId="0" fontId="30" fillId="0" borderId="0" xfId="0" applyFont="1" applyAlignment="1">
      <alignment vertical="top"/>
    </xf>
    <xf numFmtId="0" fontId="31" fillId="5" borderId="0" xfId="0" applyFont="1" applyFill="1">
      <alignment vertical="center"/>
    </xf>
    <xf numFmtId="0" fontId="6" fillId="0" borderId="0" xfId="0" applyFont="1" applyAlignment="1">
      <alignment vertical="center" shrinkToFit="1"/>
    </xf>
    <xf numFmtId="0" fontId="31" fillId="5" borderId="39" xfId="0" applyFont="1" applyFill="1" applyBorder="1">
      <alignment vertical="center"/>
    </xf>
    <xf numFmtId="0" fontId="31" fillId="5" borderId="28" xfId="0" applyFont="1" applyFill="1" applyBorder="1">
      <alignment vertical="center"/>
    </xf>
    <xf numFmtId="14" fontId="31" fillId="5" borderId="28" xfId="0" applyNumberFormat="1" applyFont="1" applyFill="1" applyBorder="1" applyAlignment="1">
      <alignment horizontal="center" vertical="center"/>
    </xf>
    <xf numFmtId="0" fontId="31" fillId="5" borderId="40" xfId="0" applyFont="1" applyFill="1" applyBorder="1" applyAlignment="1">
      <alignment horizontal="center" vertical="center"/>
    </xf>
    <xf numFmtId="0" fontId="5" fillId="0" borderId="33" xfId="80" applyBorder="1" applyAlignment="1">
      <alignment shrinkToFit="1"/>
    </xf>
    <xf numFmtId="0" fontId="5" fillId="0" borderId="0" xfId="80" applyAlignment="1">
      <alignment shrinkToFit="1"/>
    </xf>
    <xf numFmtId="9" fontId="6" fillId="0" borderId="41" xfId="80" applyNumberFormat="1" applyFont="1" applyBorder="1" applyAlignment="1">
      <alignment horizontal="center" shrinkToFit="1"/>
    </xf>
    <xf numFmtId="177" fontId="31" fillId="0" borderId="33" xfId="105" applyFont="1" applyFill="1" applyBorder="1" applyAlignment="1" applyProtection="1">
      <alignment vertical="top" shrinkToFit="1"/>
    </xf>
    <xf numFmtId="177" fontId="31" fillId="0" borderId="0" xfId="105" applyFont="1" applyFill="1" applyBorder="1" applyAlignment="1" applyProtection="1">
      <alignment vertical="top" shrinkToFit="1"/>
    </xf>
    <xf numFmtId="177" fontId="29" fillId="0" borderId="0" xfId="140" applyFont="1" applyFill="1" applyBorder="1" applyAlignment="1" applyProtection="1">
      <alignment vertical="top" shrinkToFit="1"/>
    </xf>
    <xf numFmtId="177" fontId="5" fillId="0" borderId="0" xfId="0" applyNumberFormat="1" applyFont="1" applyAlignment="1">
      <alignment horizontal="center" shrinkToFit="1"/>
    </xf>
    <xf numFmtId="10" fontId="6" fillId="2" borderId="41" xfId="5" applyNumberFormat="1" applyFont="1" applyFill="1" applyBorder="1" applyAlignment="1" applyProtection="1">
      <alignment horizontal="center" shrinkToFit="1"/>
    </xf>
    <xf numFmtId="181" fontId="5" fillId="0" borderId="0" xfId="2" applyNumberFormat="1" applyFont="1" applyFill="1" applyBorder="1" applyProtection="1"/>
    <xf numFmtId="10" fontId="5" fillId="2" borderId="41" xfId="5" applyNumberFormat="1" applyFont="1" applyFill="1" applyBorder="1" applyAlignment="1" applyProtection="1">
      <alignment horizontal="center" shrinkToFit="1"/>
    </xf>
    <xf numFmtId="0" fontId="5" fillId="0" borderId="33" xfId="0" applyFont="1" applyBorder="1">
      <alignment vertical="center"/>
    </xf>
    <xf numFmtId="176" fontId="5" fillId="4" borderId="0" xfId="0" applyNumberFormat="1" applyFont="1" applyFill="1">
      <alignment vertical="center"/>
    </xf>
    <xf numFmtId="176" fontId="5" fillId="0" borderId="41" xfId="0" applyNumberFormat="1" applyFont="1" applyBorder="1">
      <alignment vertical="center"/>
    </xf>
    <xf numFmtId="0" fontId="31" fillId="0" borderId="33" xfId="0" applyFont="1" applyBorder="1" applyAlignment="1">
      <alignment horizontal="left" vertical="center"/>
    </xf>
    <xf numFmtId="0" fontId="31" fillId="0" borderId="0" xfId="0" applyFont="1" applyAlignment="1">
      <alignment horizontal="left" vertical="center"/>
    </xf>
    <xf numFmtId="0" fontId="5" fillId="0" borderId="41" xfId="0" applyFont="1" applyBorder="1" applyAlignment="1">
      <alignment horizontal="left" vertical="center"/>
    </xf>
    <xf numFmtId="0" fontId="4" fillId="12" borderId="0" xfId="171" applyFont="1" applyFill="1" applyAlignment="1">
      <alignment vertical="center"/>
    </xf>
    <xf numFmtId="0" fontId="38" fillId="10" borderId="60" xfId="171" applyFont="1" applyFill="1" applyBorder="1" applyAlignment="1" applyProtection="1">
      <alignment horizontal="centerContinuous" vertical="center"/>
      <protection locked="0"/>
    </xf>
    <xf numFmtId="0" fontId="33" fillId="10" borderId="26" xfId="171" applyFont="1" applyFill="1" applyBorder="1" applyAlignment="1" applyProtection="1">
      <alignment horizontal="centerContinuous" vertical="center"/>
      <protection locked="0"/>
    </xf>
    <xf numFmtId="0" fontId="40" fillId="11" borderId="66" xfId="171" applyFont="1" applyFill="1" applyBorder="1" applyAlignment="1" applyProtection="1">
      <alignment horizontal="centerContinuous" vertical="center"/>
      <protection locked="0"/>
    </xf>
    <xf numFmtId="0" fontId="40" fillId="11" borderId="67" xfId="171" applyFont="1" applyFill="1" applyBorder="1" applyAlignment="1" applyProtection="1">
      <alignment horizontal="centerContinuous" vertical="center"/>
      <protection locked="0"/>
    </xf>
    <xf numFmtId="0" fontId="40" fillId="11" borderId="68" xfId="171" applyFont="1" applyFill="1" applyBorder="1" applyAlignment="1" applyProtection="1">
      <alignment horizontal="centerContinuous" vertical="center"/>
      <protection locked="0"/>
    </xf>
    <xf numFmtId="0" fontId="49" fillId="13" borderId="53" xfId="171" applyFont="1" applyFill="1" applyBorder="1" applyAlignment="1" applyProtection="1">
      <alignment vertical="center"/>
      <protection locked="0"/>
    </xf>
    <xf numFmtId="0" fontId="49" fillId="13" borderId="23" xfId="171" applyFont="1" applyFill="1" applyBorder="1" applyAlignment="1" applyProtection="1">
      <alignment vertical="center"/>
      <protection locked="0"/>
    </xf>
    <xf numFmtId="0" fontId="49" fillId="13" borderId="52" xfId="171" applyFont="1" applyFill="1" applyBorder="1" applyAlignment="1" applyProtection="1">
      <alignment vertical="center"/>
      <protection locked="0"/>
    </xf>
    <xf numFmtId="0" fontId="32" fillId="0" borderId="0" xfId="309" applyFont="1" applyFill="1" applyAlignment="1" applyProtection="1">
      <alignment horizontal="right" vertical="center"/>
      <protection locked="0"/>
    </xf>
    <xf numFmtId="0" fontId="55" fillId="0" borderId="0" xfId="309" applyFont="1" applyFill="1" applyAlignment="1" applyProtection="1">
      <alignment horizontal="right" vertical="center"/>
      <protection locked="0"/>
    </xf>
    <xf numFmtId="0" fontId="34" fillId="0" borderId="0" xfId="0" applyFont="1">
      <alignment vertical="center"/>
    </xf>
    <xf numFmtId="0" fontId="35" fillId="0" borderId="0" xfId="0" applyFont="1">
      <alignment vertical="center"/>
    </xf>
    <xf numFmtId="0" fontId="6" fillId="0" borderId="0" xfId="78" applyFont="1">
      <alignment vertical="center"/>
    </xf>
    <xf numFmtId="0" fontId="6" fillId="0" borderId="0" xfId="56" applyFont="1" applyAlignment="1">
      <alignment horizontal="left" vertical="top" wrapText="1"/>
    </xf>
    <xf numFmtId="0" fontId="6" fillId="0" borderId="0" xfId="100" applyFont="1" applyAlignment="1">
      <alignment vertical="center"/>
    </xf>
    <xf numFmtId="9" fontId="6" fillId="0" borderId="0" xfId="85" applyFont="1" applyFill="1" applyAlignment="1" applyProtection="1">
      <alignment vertical="center"/>
    </xf>
    <xf numFmtId="0" fontId="34" fillId="0" borderId="0" xfId="100" applyFont="1" applyAlignment="1">
      <alignment vertical="center"/>
    </xf>
    <xf numFmtId="177" fontId="6" fillId="0" borderId="0" xfId="2" applyFont="1" applyFill="1" applyBorder="1" applyAlignment="1" applyProtection="1">
      <alignment horizontal="left" vertical="top" wrapText="1"/>
    </xf>
    <xf numFmtId="9" fontId="6" fillId="0" borderId="0" xfId="85" applyFont="1" applyAlignment="1" applyProtection="1">
      <alignment vertical="center"/>
    </xf>
    <xf numFmtId="0" fontId="5" fillId="0" borderId="0" xfId="100" applyFont="1" applyAlignment="1">
      <alignment vertical="center"/>
    </xf>
    <xf numFmtId="177" fontId="6" fillId="0" borderId="0" xfId="2" applyFont="1" applyAlignment="1">
      <alignment horizontal="left" vertical="top" wrapText="1"/>
    </xf>
    <xf numFmtId="0" fontId="35" fillId="5" borderId="43" xfId="0" applyFont="1" applyFill="1" applyBorder="1">
      <alignment vertical="center"/>
    </xf>
    <xf numFmtId="0" fontId="6" fillId="5" borderId="43" xfId="0" applyFont="1" applyFill="1" applyBorder="1" applyProtection="1">
      <alignment vertical="center"/>
      <protection locked="0"/>
    </xf>
    <xf numFmtId="177" fontId="6" fillId="5" borderId="43" xfId="2" applyFont="1" applyFill="1" applyBorder="1" applyAlignment="1">
      <alignment horizontal="left" vertical="top" wrapText="1"/>
    </xf>
    <xf numFmtId="0" fontId="6" fillId="0" borderId="16" xfId="0" applyFont="1" applyBorder="1">
      <alignment vertical="center"/>
    </xf>
    <xf numFmtId="0" fontId="30" fillId="0" borderId="17" xfId="0" applyFont="1" applyBorder="1">
      <alignment vertical="center"/>
    </xf>
    <xf numFmtId="0" fontId="35" fillId="0" borderId="20" xfId="0" applyFont="1" applyBorder="1">
      <alignment vertical="center"/>
    </xf>
    <xf numFmtId="0" fontId="6" fillId="0" borderId="19" xfId="0" applyFont="1" applyBorder="1">
      <alignment vertical="center"/>
    </xf>
    <xf numFmtId="0" fontId="6" fillId="0" borderId="0" xfId="0" applyFont="1" applyAlignment="1">
      <alignment horizontal="right" vertical="center"/>
    </xf>
    <xf numFmtId="0" fontId="6" fillId="0" borderId="18" xfId="0" applyFont="1" applyBorder="1">
      <alignment vertical="center"/>
    </xf>
    <xf numFmtId="0" fontId="6" fillId="2" borderId="14" xfId="0" applyFont="1" applyFill="1" applyBorder="1">
      <alignment vertical="center"/>
    </xf>
    <xf numFmtId="0" fontId="6" fillId="2" borderId="1" xfId="0" applyFont="1" applyFill="1" applyBorder="1" applyAlignment="1">
      <alignment horizontal="right" vertical="center"/>
    </xf>
    <xf numFmtId="0" fontId="6" fillId="2" borderId="1" xfId="0" applyFont="1" applyFill="1" applyBorder="1">
      <alignment vertical="center"/>
    </xf>
    <xf numFmtId="0" fontId="6" fillId="5" borderId="43" xfId="0" applyFont="1" applyFill="1" applyBorder="1">
      <alignment vertical="center"/>
    </xf>
    <xf numFmtId="0" fontId="6" fillId="5" borderId="43" xfId="100" applyFont="1" applyFill="1" applyBorder="1" applyAlignment="1">
      <alignment vertical="center"/>
    </xf>
    <xf numFmtId="0" fontId="34" fillId="0" borderId="0" xfId="100" applyFont="1" applyAlignment="1">
      <alignment horizontal="center" vertical="center"/>
    </xf>
    <xf numFmtId="177" fontId="6" fillId="0" borderId="0" xfId="2" applyFont="1" applyFill="1" applyBorder="1" applyAlignment="1" applyProtection="1">
      <alignment horizontal="center" vertical="center" wrapText="1"/>
    </xf>
    <xf numFmtId="0" fontId="6" fillId="0" borderId="0" xfId="0" applyFont="1" applyAlignment="1">
      <alignment horizontal="center" vertical="center"/>
    </xf>
    <xf numFmtId="0" fontId="6" fillId="0" borderId="0" xfId="100" applyFont="1" applyAlignment="1">
      <alignment horizontal="center" vertical="center"/>
    </xf>
    <xf numFmtId="9" fontId="6" fillId="0" borderId="0" xfId="85" applyFont="1" applyAlignment="1" applyProtection="1">
      <alignment horizontal="center" vertical="center"/>
    </xf>
    <xf numFmtId="0" fontId="5" fillId="0" borderId="0" xfId="100" applyFont="1" applyAlignment="1">
      <alignment horizontal="center" vertical="center"/>
    </xf>
    <xf numFmtId="0" fontId="7" fillId="5" borderId="5" xfId="0" applyFont="1" applyFill="1" applyBorder="1" applyAlignment="1">
      <alignment horizontal="center" vertical="center"/>
    </xf>
    <xf numFmtId="0" fontId="7" fillId="5" borderId="14" xfId="0" applyFont="1" applyFill="1" applyBorder="1" applyAlignment="1">
      <alignment horizontal="center" vertical="center" wrapText="1"/>
    </xf>
    <xf numFmtId="0" fontId="6" fillId="0" borderId="35" xfId="0" applyFont="1" applyBorder="1" applyAlignment="1">
      <alignment horizontal="left" vertical="center"/>
    </xf>
    <xf numFmtId="0" fontId="6" fillId="0" borderId="7" xfId="0" applyFont="1" applyBorder="1" applyAlignment="1">
      <alignment horizontal="left" vertical="center"/>
    </xf>
    <xf numFmtId="14" fontId="6" fillId="0" borderId="7" xfId="0" applyNumberFormat="1" applyFont="1" applyBorder="1" applyAlignment="1">
      <alignment horizontal="left" vertical="center"/>
    </xf>
    <xf numFmtId="43" fontId="6" fillId="0" borderId="7" xfId="0" applyNumberFormat="1" applyFont="1" applyBorder="1" applyAlignment="1">
      <alignment horizontal="right" vertical="center"/>
    </xf>
    <xf numFmtId="0" fontId="6" fillId="0" borderId="8" xfId="0" applyFont="1" applyBorder="1" applyAlignment="1">
      <alignment horizontal="left" vertical="center"/>
    </xf>
    <xf numFmtId="0" fontId="6" fillId="0" borderId="36" xfId="0" applyFont="1" applyBorder="1" applyAlignment="1">
      <alignment horizontal="left" vertical="center"/>
    </xf>
    <xf numFmtId="177" fontId="6" fillId="0" borderId="0" xfId="2" applyFont="1" applyFill="1" applyBorder="1" applyAlignment="1" applyProtection="1">
      <alignment horizontal="left" vertical="center" wrapText="1"/>
    </xf>
    <xf numFmtId="0" fontId="6" fillId="0" borderId="37"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6" fillId="0" borderId="38" xfId="0" applyFont="1" applyBorder="1" applyAlignment="1">
      <alignment horizontal="left" vertical="center"/>
    </xf>
    <xf numFmtId="0" fontId="6" fillId="0" borderId="0" xfId="0" applyFont="1" applyAlignment="1"/>
    <xf numFmtId="0" fontId="35" fillId="0" borderId="0" xfId="100" applyFont="1" applyAlignment="1">
      <alignment horizontal="left" vertical="center"/>
    </xf>
    <xf numFmtId="176" fontId="5" fillId="0" borderId="0" xfId="0" applyNumberFormat="1" applyFont="1">
      <alignment vertical="center"/>
    </xf>
    <xf numFmtId="0" fontId="31" fillId="0" borderId="0" xfId="0" applyFont="1">
      <alignment vertical="center"/>
    </xf>
    <xf numFmtId="176" fontId="31" fillId="0" borderId="0" xfId="0" applyNumberFormat="1" applyFont="1">
      <alignment vertical="center"/>
    </xf>
    <xf numFmtId="9" fontId="6" fillId="0" borderId="0" xfId="85" applyFont="1" applyFill="1" applyBorder="1" applyAlignment="1" applyProtection="1">
      <alignment vertical="center"/>
    </xf>
    <xf numFmtId="0" fontId="31" fillId="16" borderId="5" xfId="0" applyFont="1" applyFill="1" applyBorder="1" applyAlignment="1">
      <alignment horizontal="center" vertical="center" wrapText="1"/>
    </xf>
    <xf numFmtId="0" fontId="7" fillId="16" borderId="5" xfId="0" applyFont="1" applyFill="1" applyBorder="1" applyAlignment="1">
      <alignment horizontal="center" vertical="center" wrapText="1"/>
    </xf>
    <xf numFmtId="0" fontId="6" fillId="0" borderId="5" xfId="0" applyFont="1" applyBorder="1" applyAlignment="1">
      <alignment horizontal="left" vertical="center"/>
    </xf>
    <xf numFmtId="14" fontId="6" fillId="0" borderId="5" xfId="0" applyNumberFormat="1" applyFont="1" applyBorder="1" applyAlignment="1">
      <alignment horizontal="left" vertical="center"/>
    </xf>
    <xf numFmtId="43" fontId="6" fillId="0" borderId="5" xfId="0" applyNumberFormat="1" applyFont="1" applyBorder="1" applyAlignment="1">
      <alignment horizontal="left" vertical="center"/>
    </xf>
    <xf numFmtId="0" fontId="6" fillId="0" borderId="13" xfId="0" applyFont="1" applyBorder="1" applyAlignment="1">
      <alignment horizontal="left" vertical="center"/>
    </xf>
    <xf numFmtId="0" fontId="6" fillId="0" borderId="30" xfId="0" applyFont="1" applyBorder="1" applyAlignment="1">
      <alignment horizontal="left" vertical="center"/>
    </xf>
    <xf numFmtId="14" fontId="6" fillId="0" borderId="30" xfId="0" applyNumberFormat="1" applyFont="1" applyBorder="1" applyAlignment="1">
      <alignment horizontal="left" vertical="center"/>
    </xf>
    <xf numFmtId="43" fontId="6" fillId="0" borderId="30" xfId="0" applyNumberFormat="1" applyFont="1" applyBorder="1" applyAlignment="1">
      <alignment horizontal="left" vertical="center"/>
    </xf>
    <xf numFmtId="0" fontId="34" fillId="0" borderId="0" xfId="0" applyFont="1" applyAlignment="1">
      <alignment horizontal="right" vertical="center"/>
    </xf>
    <xf numFmtId="0" fontId="29" fillId="0" borderId="0" xfId="0" applyFont="1" applyAlignment="1">
      <alignment horizontal="left" vertical="center"/>
    </xf>
    <xf numFmtId="0" fontId="30" fillId="0" borderId="0" xfId="0" applyFont="1">
      <alignment vertical="center"/>
    </xf>
    <xf numFmtId="0" fontId="5" fillId="0" borderId="0" xfId="0" applyFont="1" applyAlignment="1"/>
    <xf numFmtId="0" fontId="21" fillId="0" borderId="0" xfId="0" applyFont="1">
      <alignment vertical="center"/>
    </xf>
    <xf numFmtId="0" fontId="31" fillId="5" borderId="5" xfId="0" applyFont="1" applyFill="1" applyBorder="1" applyAlignment="1">
      <alignment horizontal="center" vertical="center"/>
    </xf>
    <xf numFmtId="0" fontId="31" fillId="5" borderId="6" xfId="0" applyFont="1" applyFill="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83" fillId="0" borderId="0" xfId="0" applyFont="1" applyAlignment="1">
      <alignment horizontal="center" vertical="center" wrapText="1" shrinkToFit="1"/>
    </xf>
    <xf numFmtId="177" fontId="5" fillId="0" borderId="0" xfId="173" applyNumberFormat="1" applyFont="1" applyFill="1" applyBorder="1" applyAlignment="1">
      <alignment horizontal="right" vertical="center" shrinkToFit="1"/>
    </xf>
    <xf numFmtId="177" fontId="5" fillId="0" borderId="0" xfId="0" applyNumberFormat="1" applyFont="1" applyAlignment="1">
      <alignment horizontal="right" vertical="center"/>
    </xf>
    <xf numFmtId="177" fontId="5" fillId="0" borderId="0" xfId="302" applyFont="1" applyFill="1" applyBorder="1" applyAlignment="1" applyProtection="1">
      <alignment vertical="center"/>
      <protection locked="0"/>
    </xf>
    <xf numFmtId="177" fontId="6" fillId="0" borderId="0" xfId="302" applyFont="1" applyFill="1" applyBorder="1" applyAlignment="1" applyProtection="1">
      <alignment vertical="center"/>
      <protection locked="0"/>
    </xf>
    <xf numFmtId="177" fontId="35" fillId="0" borderId="9" xfId="302" applyFont="1" applyFill="1" applyBorder="1" applyAlignment="1" applyProtection="1">
      <alignment horizontal="right" vertical="center"/>
      <protection locked="0"/>
    </xf>
    <xf numFmtId="177" fontId="5" fillId="0" borderId="0" xfId="2" applyFont="1" applyFill="1" applyBorder="1" applyAlignment="1" applyProtection="1">
      <alignment vertical="center"/>
    </xf>
    <xf numFmtId="177" fontId="5" fillId="0" borderId="1" xfId="0" applyNumberFormat="1" applyFont="1" applyBorder="1" applyAlignment="1">
      <alignment horizontal="right" vertical="center"/>
    </xf>
    <xf numFmtId="177" fontId="5" fillId="0" borderId="0" xfId="80" applyNumberFormat="1" applyAlignment="1">
      <alignment horizontal="right" shrinkToFit="1"/>
    </xf>
    <xf numFmtId="0" fontId="5" fillId="0" borderId="30" xfId="2" applyNumberFormat="1" applyFont="1" applyFill="1" applyBorder="1" applyAlignment="1" applyProtection="1">
      <alignment horizontal="left" vertical="center" shrinkToFit="1"/>
    </xf>
    <xf numFmtId="177" fontId="6" fillId="0" borderId="5" xfId="333" applyNumberFormat="1" applyFont="1" applyBorder="1" applyAlignment="1">
      <alignment horizontal="right" vertical="center" shrinkToFit="1"/>
    </xf>
    <xf numFmtId="177" fontId="5" fillId="0" borderId="5" xfId="302" applyFont="1" applyFill="1" applyBorder="1" applyAlignment="1" applyProtection="1">
      <alignment horizontal="right" vertical="center" shrinkToFit="1"/>
      <protection locked="0"/>
    </xf>
    <xf numFmtId="177" fontId="5" fillId="0" borderId="5" xfId="302" applyFont="1" applyBorder="1" applyAlignment="1" applyProtection="1">
      <alignment horizontal="right" vertical="center" shrinkToFit="1"/>
      <protection locked="0"/>
    </xf>
    <xf numFmtId="177" fontId="31" fillId="0" borderId="4" xfId="0" applyNumberFormat="1" applyFont="1" applyBorder="1" applyAlignment="1">
      <alignment horizontal="right" vertical="center" shrinkToFit="1"/>
    </xf>
    <xf numFmtId="177" fontId="5" fillId="0" borderId="4" xfId="0" applyNumberFormat="1" applyFont="1" applyBorder="1" applyAlignment="1">
      <alignment horizontal="right" vertical="center" shrinkToFit="1"/>
    </xf>
    <xf numFmtId="177" fontId="5" fillId="0" borderId="24" xfId="0" applyNumberFormat="1" applyFont="1" applyBorder="1" applyAlignment="1">
      <alignment horizontal="right" vertical="center" shrinkToFit="1"/>
    </xf>
    <xf numFmtId="177" fontId="35" fillId="0" borderId="9" xfId="171" applyNumberFormat="1" applyFont="1" applyBorder="1" applyAlignment="1" applyProtection="1">
      <alignment horizontal="right" vertical="center" shrinkToFit="1"/>
      <protection locked="0"/>
    </xf>
    <xf numFmtId="177" fontId="6" fillId="0" borderId="7" xfId="171" applyNumberFormat="1" applyFont="1" applyBorder="1" applyAlignment="1" applyProtection="1">
      <alignment vertical="center"/>
      <protection locked="0"/>
    </xf>
    <xf numFmtId="177" fontId="6" fillId="0" borderId="17" xfId="0" applyNumberFormat="1" applyFont="1" applyBorder="1" applyAlignment="1">
      <alignment horizontal="right"/>
    </xf>
    <xf numFmtId="177" fontId="6" fillId="0" borderId="5" xfId="0" applyNumberFormat="1" applyFont="1" applyBorder="1" applyAlignment="1">
      <alignment horizontal="right" vertical="center"/>
    </xf>
    <xf numFmtId="177" fontId="6" fillId="0" borderId="30" xfId="0" applyNumberFormat="1" applyFont="1" applyBorder="1" applyAlignment="1">
      <alignment horizontal="right" vertical="center"/>
    </xf>
    <xf numFmtId="0" fontId="6" fillId="0" borderId="58" xfId="0" applyFont="1" applyBorder="1" applyAlignment="1">
      <alignment horizontal="left" vertical="center"/>
    </xf>
    <xf numFmtId="0" fontId="6" fillId="0" borderId="51" xfId="0" applyFont="1" applyBorder="1" applyAlignment="1">
      <alignment horizontal="left" vertical="center"/>
    </xf>
    <xf numFmtId="177" fontId="6" fillId="0" borderId="30" xfId="0" applyNumberFormat="1" applyFont="1" applyBorder="1" applyAlignment="1">
      <alignment horizontal="left" vertical="center"/>
    </xf>
    <xf numFmtId="14" fontId="63" fillId="0" borderId="5" xfId="2" applyNumberFormat="1" applyFont="1" applyFill="1" applyBorder="1" applyAlignment="1">
      <alignment horizontal="left" shrinkToFit="1"/>
    </xf>
    <xf numFmtId="14" fontId="63" fillId="0" borderId="5" xfId="0" applyNumberFormat="1" applyFont="1" applyBorder="1" applyAlignment="1">
      <alignment horizontal="left" vertical="center" shrinkToFit="1"/>
    </xf>
    <xf numFmtId="0" fontId="66" fillId="0" borderId="5" xfId="164" applyFont="1" applyBorder="1" applyAlignment="1">
      <alignment horizontal="left" vertical="center"/>
    </xf>
    <xf numFmtId="0" fontId="59" fillId="0" borderId="0" xfId="0" applyFont="1">
      <alignment vertical="center"/>
    </xf>
    <xf numFmtId="177" fontId="6" fillId="2" borderId="0" xfId="0" applyNumberFormat="1" applyFont="1" applyFill="1">
      <alignment vertical="center"/>
    </xf>
    <xf numFmtId="0" fontId="55" fillId="0" borderId="0" xfId="336" applyFont="1">
      <alignment vertical="center"/>
    </xf>
    <xf numFmtId="0" fontId="119" fillId="0" borderId="0" xfId="150" applyFont="1">
      <alignment vertical="center"/>
    </xf>
    <xf numFmtId="0" fontId="29" fillId="0" borderId="2" xfId="301" applyFont="1" applyBorder="1" applyAlignment="1" applyProtection="1">
      <alignment horizontal="left" vertical="center"/>
      <protection locked="0"/>
    </xf>
    <xf numFmtId="0" fontId="60" fillId="0" borderId="13" xfId="335" quotePrefix="1" applyFont="1" applyBorder="1" applyAlignment="1">
      <alignment horizontal="center" vertical="center"/>
    </xf>
    <xf numFmtId="0" fontId="109" fillId="0" borderId="0" xfId="0" applyFont="1" applyAlignment="1">
      <alignment vertical="center" wrapText="1"/>
    </xf>
    <xf numFmtId="0" fontId="31" fillId="5" borderId="13" xfId="0" applyFont="1" applyFill="1" applyBorder="1" applyAlignment="1">
      <alignment horizontal="center" vertical="center" wrapText="1"/>
    </xf>
    <xf numFmtId="0" fontId="31" fillId="5" borderId="2" xfId="171" applyFont="1" applyFill="1" applyBorder="1" applyAlignment="1">
      <alignment horizontal="center" vertical="center" wrapText="1"/>
    </xf>
    <xf numFmtId="0" fontId="35" fillId="5" borderId="5" xfId="0" applyFont="1" applyFill="1" applyBorder="1" applyAlignment="1">
      <alignment horizontal="center" vertical="center"/>
    </xf>
    <xf numFmtId="0" fontId="31" fillId="5" borderId="14" xfId="0" applyFont="1" applyFill="1" applyBorder="1" applyAlignment="1">
      <alignment horizontal="center" vertical="center" wrapText="1"/>
    </xf>
    <xf numFmtId="0" fontId="120" fillId="0" borderId="0" xfId="312" applyFont="1"/>
    <xf numFmtId="177" fontId="4" fillId="0" borderId="5" xfId="2" applyFont="1" applyBorder="1"/>
    <xf numFmtId="177" fontId="3" fillId="0" borderId="5" xfId="2" applyFont="1" applyBorder="1"/>
    <xf numFmtId="177" fontId="4" fillId="0" borderId="72" xfId="2" applyFont="1" applyBorder="1"/>
    <xf numFmtId="177" fontId="3" fillId="0" borderId="72" xfId="2" applyFont="1" applyBorder="1"/>
    <xf numFmtId="177" fontId="3" fillId="0" borderId="74" xfId="312" applyNumberFormat="1" applyFont="1" applyBorder="1"/>
    <xf numFmtId="177" fontId="3" fillId="0" borderId="75" xfId="312" applyNumberFormat="1" applyFont="1" applyBorder="1"/>
    <xf numFmtId="177" fontId="6" fillId="0" borderId="5" xfId="2" applyFont="1" applyBorder="1" applyProtection="1"/>
    <xf numFmtId="177" fontId="6" fillId="0" borderId="5" xfId="2" applyFont="1" applyBorder="1"/>
    <xf numFmtId="177" fontId="4" fillId="2" borderId="7" xfId="2" applyFont="1" applyFill="1" applyBorder="1" applyProtection="1">
      <protection locked="0"/>
    </xf>
    <xf numFmtId="177" fontId="6" fillId="2" borderId="15" xfId="2" applyFont="1" applyFill="1" applyBorder="1" applyProtection="1">
      <protection locked="0"/>
    </xf>
    <xf numFmtId="177" fontId="6" fillId="2" borderId="31" xfId="2" applyFont="1" applyFill="1" applyBorder="1" applyProtection="1">
      <protection locked="0"/>
    </xf>
    <xf numFmtId="177" fontId="6" fillId="2" borderId="32" xfId="2" applyFont="1" applyFill="1" applyBorder="1" applyProtection="1">
      <protection locked="0"/>
    </xf>
    <xf numFmtId="0" fontId="123" fillId="13" borderId="6" xfId="173" applyNumberFormat="1" applyFont="1" applyFill="1" applyBorder="1" applyAlignment="1">
      <alignment horizontal="right" vertical="center" shrinkToFit="1"/>
    </xf>
    <xf numFmtId="14" fontId="123" fillId="13" borderId="12" xfId="161" applyNumberFormat="1" applyFont="1" applyFill="1" applyBorder="1" applyAlignment="1" applyProtection="1">
      <alignment horizontal="right" vertical="center"/>
      <protection locked="0"/>
    </xf>
    <xf numFmtId="14" fontId="123" fillId="13" borderId="12" xfId="173" applyNumberFormat="1" applyFont="1" applyFill="1" applyBorder="1" applyAlignment="1">
      <alignment horizontal="right" vertical="center" shrinkToFit="1"/>
    </xf>
    <xf numFmtId="43" fontId="23" fillId="13" borderId="19" xfId="0" applyNumberFormat="1" applyFont="1" applyFill="1" applyBorder="1" applyAlignment="1">
      <alignment horizontal="right" vertical="center"/>
    </xf>
    <xf numFmtId="0" fontId="23" fillId="13" borderId="19" xfId="0" applyFont="1" applyFill="1" applyBorder="1" applyAlignment="1">
      <alignment horizontal="right" vertical="center"/>
    </xf>
    <xf numFmtId="0" fontId="123" fillId="13" borderId="2" xfId="173" applyNumberFormat="1" applyFont="1" applyFill="1" applyBorder="1" applyAlignment="1">
      <alignment horizontal="right" vertical="center" shrinkToFit="1"/>
    </xf>
    <xf numFmtId="0" fontId="126" fillId="0" borderId="0" xfId="0" applyFont="1">
      <alignment vertical="center"/>
    </xf>
    <xf numFmtId="0" fontId="117" fillId="0" borderId="2" xfId="2" applyNumberFormat="1" applyFont="1" applyFill="1" applyBorder="1" applyAlignment="1" applyProtection="1">
      <alignment horizontal="left" vertical="center" shrinkToFit="1"/>
    </xf>
    <xf numFmtId="0" fontId="117" fillId="0" borderId="4" xfId="2" applyNumberFormat="1" applyFont="1" applyFill="1" applyBorder="1" applyAlignment="1" applyProtection="1">
      <alignment horizontal="left" vertical="center" shrinkToFit="1"/>
    </xf>
    <xf numFmtId="0" fontId="117" fillId="0" borderId="5" xfId="2" applyNumberFormat="1" applyFont="1" applyFill="1" applyBorder="1" applyAlignment="1" applyProtection="1">
      <alignment horizontal="left" vertical="center" shrinkToFit="1"/>
    </xf>
    <xf numFmtId="0" fontId="129" fillId="3" borderId="5" xfId="100" applyFont="1" applyFill="1" applyBorder="1" applyAlignment="1" applyProtection="1">
      <alignment horizontal="center" vertical="center" wrapText="1"/>
      <protection locked="0"/>
    </xf>
    <xf numFmtId="177" fontId="131" fillId="18" borderId="5" xfId="2" applyFont="1" applyFill="1" applyBorder="1" applyAlignment="1" applyProtection="1">
      <alignment horizontal="center" vertical="center" wrapText="1"/>
      <protection locked="0"/>
    </xf>
    <xf numFmtId="177" fontId="134" fillId="18" borderId="5" xfId="2" applyFont="1" applyFill="1" applyBorder="1" applyAlignment="1" applyProtection="1">
      <alignment horizontal="center" vertical="center" wrapText="1"/>
      <protection locked="0"/>
    </xf>
    <xf numFmtId="177" fontId="129" fillId="0" borderId="72" xfId="2" applyFont="1" applyFill="1" applyBorder="1" applyAlignment="1" applyProtection="1">
      <alignment horizontal="center" vertical="center" wrapText="1"/>
      <protection locked="0"/>
    </xf>
    <xf numFmtId="177" fontId="125" fillId="2" borderId="4" xfId="2" applyFont="1" applyFill="1" applyBorder="1" applyProtection="1">
      <protection locked="0"/>
    </xf>
    <xf numFmtId="0" fontId="129" fillId="2" borderId="5" xfId="100" applyFont="1" applyFill="1" applyBorder="1" applyAlignment="1" applyProtection="1">
      <alignment horizontal="center" vertical="center" wrapText="1"/>
      <protection locked="0"/>
    </xf>
    <xf numFmtId="177" fontId="125" fillId="3" borderId="5" xfId="2" applyFont="1" applyFill="1" applyBorder="1"/>
    <xf numFmtId="177" fontId="125" fillId="0" borderId="72" xfId="2" applyFont="1" applyBorder="1"/>
    <xf numFmtId="49" fontId="127" fillId="0" borderId="5" xfId="2" applyNumberFormat="1" applyFont="1" applyFill="1" applyBorder="1" applyAlignment="1" applyProtection="1">
      <alignment horizontal="left" vertical="center" shrinkToFit="1"/>
      <protection locked="0"/>
    </xf>
    <xf numFmtId="49" fontId="133" fillId="0" borderId="5" xfId="2" applyNumberFormat="1" applyFont="1" applyFill="1" applyBorder="1" applyAlignment="1" applyProtection="1">
      <alignment vertical="center"/>
      <protection locked="0"/>
    </xf>
    <xf numFmtId="177" fontId="127" fillId="0" borderId="5" xfId="2" applyFont="1" applyFill="1" applyBorder="1" applyProtection="1">
      <protection locked="0"/>
    </xf>
    <xf numFmtId="177" fontId="127" fillId="0" borderId="5" xfId="2" applyFont="1" applyFill="1" applyBorder="1" applyAlignment="1" applyProtection="1">
      <alignment horizontal="right" vertical="center" shrinkToFit="1"/>
      <protection locked="0"/>
    </xf>
    <xf numFmtId="177" fontId="127" fillId="0" borderId="72" xfId="2" applyFont="1" applyFill="1" applyBorder="1" applyAlignment="1" applyProtection="1">
      <alignment horizontal="right" vertical="center" shrinkToFit="1"/>
      <protection locked="0"/>
    </xf>
    <xf numFmtId="177" fontId="127" fillId="0" borderId="4" xfId="2" applyFont="1" applyFill="1" applyBorder="1" applyProtection="1">
      <protection locked="0"/>
    </xf>
    <xf numFmtId="10" fontId="127" fillId="0" borderId="5" xfId="2" applyNumberFormat="1" applyFont="1" applyFill="1" applyBorder="1" applyAlignment="1" applyProtection="1">
      <alignment horizontal="right" vertical="center" shrinkToFit="1"/>
      <protection locked="0"/>
    </xf>
    <xf numFmtId="177" fontId="127" fillId="0" borderId="72" xfId="2" applyFont="1" applyFill="1" applyBorder="1" applyProtection="1">
      <protection locked="0"/>
    </xf>
    <xf numFmtId="49" fontId="133" fillId="0" borderId="5" xfId="2" applyNumberFormat="1" applyFont="1" applyFill="1" applyBorder="1" applyAlignment="1" applyProtection="1">
      <alignment horizontal="left" vertical="center" shrinkToFit="1"/>
      <protection locked="0"/>
    </xf>
    <xf numFmtId="0" fontId="19" fillId="0" borderId="5" xfId="312" applyFont="1" applyBorder="1"/>
    <xf numFmtId="0" fontId="121" fillId="0" borderId="0" xfId="312" applyFont="1"/>
    <xf numFmtId="0" fontId="121" fillId="0" borderId="5" xfId="312" applyFont="1" applyBorder="1"/>
    <xf numFmtId="0" fontId="121" fillId="0" borderId="3" xfId="312" applyFont="1" applyBorder="1"/>
    <xf numFmtId="0" fontId="133" fillId="0" borderId="72" xfId="2" applyNumberFormat="1" applyFont="1" applyFill="1" applyBorder="1" applyAlignment="1">
      <alignment vertical="center" shrinkToFit="1"/>
    </xf>
    <xf numFmtId="0" fontId="129" fillId="0" borderId="3" xfId="100" applyFont="1" applyBorder="1" applyAlignment="1" applyProtection="1">
      <alignment horizontal="center" vertical="center" wrapText="1"/>
      <protection locked="0"/>
    </xf>
    <xf numFmtId="49" fontId="127" fillId="0" borderId="3" xfId="2" applyNumberFormat="1" applyFont="1" applyFill="1" applyBorder="1" applyAlignment="1">
      <alignment horizontal="left" vertical="center" shrinkToFit="1"/>
    </xf>
    <xf numFmtId="49" fontId="127" fillId="0" borderId="73" xfId="2" applyNumberFormat="1" applyFont="1" applyFill="1" applyBorder="1" applyAlignment="1">
      <alignment horizontal="left" vertical="center" shrinkToFit="1"/>
    </xf>
    <xf numFmtId="177" fontId="4" fillId="0" borderId="74" xfId="2" applyFont="1" applyBorder="1"/>
    <xf numFmtId="49" fontId="127" fillId="0" borderId="74" xfId="2" applyNumberFormat="1" applyFont="1" applyFill="1" applyBorder="1" applyAlignment="1" applyProtection="1">
      <alignment horizontal="left" vertical="center" shrinkToFit="1"/>
      <protection locked="0"/>
    </xf>
    <xf numFmtId="177" fontId="127" fillId="0" borderId="74" xfId="2" applyFont="1" applyFill="1" applyBorder="1" applyAlignment="1" applyProtection="1">
      <alignment horizontal="right" vertical="center" shrinkToFit="1"/>
      <protection locked="0"/>
    </xf>
    <xf numFmtId="177" fontId="127" fillId="0" borderId="75" xfId="2" applyFont="1" applyFill="1" applyBorder="1" applyAlignment="1" applyProtection="1">
      <alignment horizontal="right" vertical="center" shrinkToFit="1"/>
      <protection locked="0"/>
    </xf>
    <xf numFmtId="14" fontId="131" fillId="3" borderId="77" xfId="2" applyNumberFormat="1" applyFont="1" applyFill="1" applyBorder="1" applyProtection="1">
      <protection locked="0"/>
    </xf>
    <xf numFmtId="177" fontId="129" fillId="0" borderId="10" xfId="2" applyFont="1" applyFill="1" applyBorder="1" applyProtection="1">
      <protection locked="0"/>
    </xf>
    <xf numFmtId="177" fontId="127" fillId="0" borderId="10" xfId="2" applyFont="1" applyFill="1" applyBorder="1" applyProtection="1">
      <protection locked="0"/>
    </xf>
    <xf numFmtId="177" fontId="3" fillId="0" borderId="10" xfId="2" applyFont="1" applyBorder="1"/>
    <xf numFmtId="177" fontId="3" fillId="0" borderId="78" xfId="2" applyFont="1" applyBorder="1"/>
    <xf numFmtId="177" fontId="127" fillId="0" borderId="79" xfId="2" applyFont="1" applyFill="1" applyBorder="1" applyProtection="1">
      <protection locked="0"/>
    </xf>
    <xf numFmtId="10" fontId="127" fillId="0" borderId="74" xfId="2" applyNumberFormat="1" applyFont="1" applyFill="1" applyBorder="1" applyAlignment="1" applyProtection="1">
      <alignment horizontal="right" vertical="center" shrinkToFit="1"/>
      <protection locked="0"/>
    </xf>
    <xf numFmtId="177" fontId="127" fillId="0" borderId="74" xfId="2" applyFont="1" applyFill="1" applyBorder="1" applyProtection="1">
      <protection locked="0"/>
    </xf>
    <xf numFmtId="177" fontId="127" fillId="0" borderId="75" xfId="2" applyFont="1" applyFill="1" applyBorder="1" applyProtection="1">
      <protection locked="0"/>
    </xf>
    <xf numFmtId="0" fontId="121" fillId="0" borderId="73" xfId="312" applyFont="1" applyBorder="1"/>
    <xf numFmtId="0" fontId="121" fillId="0" borderId="74" xfId="312" applyFont="1" applyBorder="1"/>
    <xf numFmtId="0" fontId="133" fillId="0" borderId="75" xfId="2" applyNumberFormat="1" applyFont="1" applyFill="1" applyBorder="1" applyAlignment="1">
      <alignment vertical="center" shrinkToFit="1"/>
    </xf>
    <xf numFmtId="177" fontId="3" fillId="0" borderId="0" xfId="2" applyFont="1"/>
    <xf numFmtId="44" fontId="3" fillId="0" borderId="0" xfId="312" applyNumberFormat="1" applyFont="1"/>
    <xf numFmtId="0" fontId="6" fillId="19" borderId="80" xfId="0" applyFont="1" applyFill="1" applyBorder="1" applyAlignment="1">
      <alignment horizontal="center" vertical="center"/>
    </xf>
    <xf numFmtId="14" fontId="6" fillId="19" borderId="81" xfId="0" applyNumberFormat="1" applyFont="1" applyFill="1" applyBorder="1" applyAlignment="1">
      <alignment horizontal="center" vertical="center"/>
    </xf>
    <xf numFmtId="184" fontId="5" fillId="19" borderId="81" xfId="0" applyNumberFormat="1" applyFont="1" applyFill="1" applyBorder="1" applyAlignment="1">
      <alignment horizontal="center" vertical="center"/>
    </xf>
    <xf numFmtId="185" fontId="5" fillId="19" borderId="82" xfId="0" applyNumberFormat="1" applyFont="1" applyFill="1" applyBorder="1" applyAlignment="1">
      <alignment horizontal="center" vertical="center"/>
    </xf>
    <xf numFmtId="0" fontId="30" fillId="0" borderId="83" xfId="0" applyFont="1" applyBorder="1">
      <alignment vertical="center"/>
    </xf>
    <xf numFmtId="10" fontId="6" fillId="2" borderId="0" xfId="0" applyNumberFormat="1" applyFont="1" applyFill="1">
      <alignment vertical="center"/>
    </xf>
    <xf numFmtId="0" fontId="137" fillId="0" borderId="84" xfId="67" applyFont="1" applyBorder="1" applyAlignment="1">
      <alignment horizontal="center" vertical="center"/>
    </xf>
    <xf numFmtId="0" fontId="4" fillId="0" borderId="84" xfId="67" applyFont="1" applyBorder="1" applyAlignment="1">
      <alignment horizontal="center" vertical="center"/>
    </xf>
    <xf numFmtId="0" fontId="30" fillId="0" borderId="85" xfId="0" applyFont="1" applyBorder="1">
      <alignment vertical="center"/>
    </xf>
    <xf numFmtId="0" fontId="6" fillId="2" borderId="86" xfId="0" applyFont="1" applyFill="1" applyBorder="1">
      <alignment vertical="center"/>
    </xf>
    <xf numFmtId="10" fontId="6" fillId="2" borderId="86" xfId="0" applyNumberFormat="1" applyFont="1" applyFill="1" applyBorder="1">
      <alignment vertical="center"/>
    </xf>
    <xf numFmtId="0" fontId="6" fillId="2" borderId="87" xfId="0" applyFont="1" applyFill="1" applyBorder="1">
      <alignment vertical="center"/>
    </xf>
    <xf numFmtId="177" fontId="5" fillId="2" borderId="0" xfId="105" applyFont="1" applyFill="1" applyBorder="1" applyAlignment="1">
      <alignment horizontal="center" vertical="center"/>
    </xf>
    <xf numFmtId="177" fontId="6" fillId="0" borderId="88" xfId="2" applyFont="1" applyBorder="1" applyAlignment="1">
      <alignment vertical="center"/>
    </xf>
    <xf numFmtId="0" fontId="20" fillId="19" borderId="81" xfId="0" applyFont="1" applyFill="1" applyBorder="1" applyAlignment="1">
      <alignment horizontal="center" vertical="center"/>
    </xf>
    <xf numFmtId="0" fontId="117" fillId="0" borderId="83" xfId="0" applyFont="1" applyBorder="1" applyAlignment="1">
      <alignment vertical="center" wrapText="1" shrinkToFit="1"/>
    </xf>
    <xf numFmtId="177" fontId="117" fillId="0" borderId="0" xfId="2" applyFont="1" applyBorder="1"/>
    <xf numFmtId="9" fontId="117" fillId="0" borderId="0" xfId="5" applyFont="1" applyBorder="1" applyAlignment="1">
      <alignment vertical="center" wrapText="1" shrinkToFit="1"/>
    </xf>
    <xf numFmtId="0" fontId="3" fillId="0" borderId="84" xfId="312" applyFont="1" applyBorder="1"/>
    <xf numFmtId="0" fontId="3" fillId="0" borderId="83" xfId="312" applyFont="1" applyBorder="1"/>
    <xf numFmtId="0" fontId="122" fillId="0" borderId="0" xfId="312" applyFont="1"/>
    <xf numFmtId="177" fontId="3" fillId="0" borderId="0" xfId="2" applyFont="1" applyBorder="1"/>
    <xf numFmtId="0" fontId="122" fillId="0" borderId="84" xfId="312" applyFont="1" applyBorder="1"/>
    <xf numFmtId="0" fontId="3" fillId="0" borderId="85" xfId="312" applyFont="1" applyBorder="1"/>
    <xf numFmtId="0" fontId="3" fillId="0" borderId="86" xfId="312" applyFont="1" applyBorder="1"/>
    <xf numFmtId="0" fontId="3" fillId="0" borderId="87" xfId="312" applyFont="1" applyBorder="1"/>
    <xf numFmtId="177" fontId="117" fillId="5" borderId="0" xfId="2" applyFont="1" applyFill="1" applyBorder="1"/>
    <xf numFmtId="0" fontId="3" fillId="5" borderId="84" xfId="312" applyFont="1" applyFill="1" applyBorder="1"/>
    <xf numFmtId="0" fontId="121" fillId="0" borderId="83" xfId="312" applyFont="1" applyBorder="1"/>
    <xf numFmtId="0" fontId="121" fillId="5" borderId="83" xfId="312" applyFont="1" applyFill="1" applyBorder="1"/>
    <xf numFmtId="0" fontId="121" fillId="5" borderId="0" xfId="312" applyFont="1" applyFill="1"/>
    <xf numFmtId="14" fontId="121" fillId="5" borderId="0" xfId="2" applyNumberFormat="1" applyFont="1" applyFill="1" applyBorder="1"/>
    <xf numFmtId="177" fontId="121" fillId="5" borderId="0" xfId="2" applyFont="1" applyFill="1" applyBorder="1" applyAlignment="1">
      <alignment horizontal="right"/>
    </xf>
    <xf numFmtId="177" fontId="121" fillId="0" borderId="0" xfId="2" applyFont="1" applyBorder="1"/>
    <xf numFmtId="0" fontId="20" fillId="19" borderId="80" xfId="0" applyFont="1" applyFill="1" applyBorder="1" applyAlignment="1">
      <alignment horizontal="center" vertical="center"/>
    </xf>
    <xf numFmtId="0" fontId="20" fillId="19" borderId="82" xfId="0" applyFont="1" applyFill="1" applyBorder="1" applyAlignment="1">
      <alignment horizontal="center" vertical="center"/>
    </xf>
    <xf numFmtId="0" fontId="121" fillId="0" borderId="84" xfId="312" applyFont="1" applyBorder="1"/>
    <xf numFmtId="0" fontId="117" fillId="0" borderId="0" xfId="173" applyNumberFormat="1" applyFont="1" applyFill="1" applyBorder="1" applyAlignment="1">
      <alignment horizontal="left" vertical="center" shrinkToFit="1"/>
    </xf>
    <xf numFmtId="0" fontId="5" fillId="0" borderId="0" xfId="301" applyFont="1" applyAlignment="1" applyProtection="1">
      <alignment horizontal="left" vertical="center"/>
      <protection locked="0"/>
    </xf>
    <xf numFmtId="177" fontId="31" fillId="0" borderId="0" xfId="2" applyFont="1"/>
    <xf numFmtId="49" fontId="133" fillId="0" borderId="74" xfId="2" applyNumberFormat="1" applyFont="1" applyFill="1" applyBorder="1" applyAlignment="1" applyProtection="1">
      <alignment horizontal="left" vertical="center" shrinkToFit="1"/>
      <protection locked="0"/>
    </xf>
    <xf numFmtId="0" fontId="19" fillId="0" borderId="69" xfId="312" applyFont="1" applyBorder="1"/>
    <xf numFmtId="0" fontId="121" fillId="0" borderId="70" xfId="312" applyFont="1" applyBorder="1"/>
    <xf numFmtId="0" fontId="19" fillId="0" borderId="70" xfId="312" applyFont="1" applyBorder="1"/>
    <xf numFmtId="0" fontId="19" fillId="0" borderId="3" xfId="312" applyFont="1" applyBorder="1"/>
    <xf numFmtId="0" fontId="121" fillId="0" borderId="5" xfId="312" applyFont="1" applyBorder="1" applyAlignment="1">
      <alignment horizontal="left"/>
    </xf>
    <xf numFmtId="0" fontId="19" fillId="0" borderId="71" xfId="312" applyFont="1" applyBorder="1"/>
    <xf numFmtId="177" fontId="117" fillId="0" borderId="0" xfId="2" applyFont="1" applyFill="1" applyBorder="1"/>
    <xf numFmtId="177" fontId="6" fillId="2" borderId="0" xfId="2" applyFont="1" applyFill="1"/>
    <xf numFmtId="0" fontId="31" fillId="9" borderId="13" xfId="150" applyFont="1" applyFill="1" applyBorder="1" applyAlignment="1">
      <alignment horizontal="left" vertical="center" wrapText="1"/>
    </xf>
    <xf numFmtId="0" fontId="4" fillId="0" borderId="13" xfId="150" applyFont="1" applyBorder="1" applyAlignment="1">
      <alignment horizontal="left" vertical="center" wrapText="1"/>
    </xf>
    <xf numFmtId="0" fontId="4" fillId="0" borderId="13" xfId="148" applyFont="1" applyBorder="1" applyAlignment="1">
      <alignment horizontal="left" vertical="center" wrapText="1"/>
    </xf>
    <xf numFmtId="0" fontId="31" fillId="0" borderId="13" xfId="148" applyFont="1" applyBorder="1" applyAlignment="1">
      <alignment horizontal="left" vertical="center" wrapText="1"/>
    </xf>
    <xf numFmtId="0" fontId="60" fillId="0" borderId="13" xfId="335" quotePrefix="1" applyFont="1" applyBorder="1" applyAlignment="1">
      <alignment horizontal="center" vertical="center"/>
    </xf>
    <xf numFmtId="0" fontId="60" fillId="0" borderId="13" xfId="335" applyFont="1" applyBorder="1" applyAlignment="1">
      <alignment horizontal="center" vertical="center"/>
    </xf>
    <xf numFmtId="0" fontId="6" fillId="0" borderId="13" xfId="150" applyFont="1" applyBorder="1" applyAlignment="1">
      <alignment horizontal="left" vertical="center" wrapText="1"/>
    </xf>
    <xf numFmtId="0" fontId="31" fillId="8" borderId="13" xfId="150" applyFont="1" applyFill="1" applyBorder="1" applyAlignment="1">
      <alignment horizontal="left" vertical="center" wrapText="1"/>
    </xf>
    <xf numFmtId="0" fontId="7" fillId="8" borderId="13" xfId="150" applyFont="1" applyFill="1" applyBorder="1" applyAlignment="1">
      <alignment horizontal="left" vertical="center" wrapText="1"/>
    </xf>
    <xf numFmtId="0" fontId="6" fillId="0" borderId="13" xfId="150" applyFont="1" applyBorder="1" applyAlignment="1">
      <alignment vertical="center" wrapText="1"/>
    </xf>
    <xf numFmtId="0" fontId="7" fillId="8" borderId="13" xfId="150" applyFont="1" applyFill="1" applyBorder="1" applyAlignment="1">
      <alignment horizontal="left" vertical="center"/>
    </xf>
    <xf numFmtId="0" fontId="31" fillId="8" borderId="13" xfId="150" applyFont="1" applyFill="1" applyBorder="1" applyAlignment="1">
      <alignment horizontal="left" vertical="center"/>
    </xf>
    <xf numFmtId="0" fontId="5" fillId="0" borderId="13" xfId="148" applyFont="1" applyBorder="1" applyAlignment="1">
      <alignment horizontal="left" vertical="center" wrapText="1"/>
    </xf>
    <xf numFmtId="0" fontId="29" fillId="5" borderId="13" xfId="0" applyFont="1" applyFill="1" applyBorder="1" applyAlignment="1">
      <alignment horizontal="center" vertical="center" wrapText="1"/>
    </xf>
    <xf numFmtId="0" fontId="41" fillId="13" borderId="19" xfId="171" applyFont="1" applyFill="1" applyBorder="1" applyAlignment="1">
      <alignment horizontal="left" vertical="center" wrapText="1" indent="16"/>
    </xf>
    <xf numFmtId="0" fontId="41" fillId="13" borderId="0" xfId="171" applyFont="1" applyFill="1" applyAlignment="1">
      <alignment horizontal="left" vertical="center" wrapText="1" indent="16"/>
    </xf>
    <xf numFmtId="0" fontId="41" fillId="13" borderId="41" xfId="171" applyFont="1" applyFill="1" applyBorder="1" applyAlignment="1">
      <alignment horizontal="left" vertical="center" wrapText="1" indent="16"/>
    </xf>
    <xf numFmtId="0" fontId="41" fillId="13" borderId="14" xfId="171" applyFont="1" applyFill="1" applyBorder="1" applyAlignment="1">
      <alignment horizontal="left" vertical="center" wrapText="1" indent="16"/>
    </xf>
    <xf numFmtId="0" fontId="41" fillId="13" borderId="1" xfId="171" applyFont="1" applyFill="1" applyBorder="1" applyAlignment="1">
      <alignment horizontal="left" vertical="center" wrapText="1" indent="16"/>
    </xf>
    <xf numFmtId="0" fontId="41" fillId="13" borderId="58" xfId="171" applyFont="1" applyFill="1" applyBorder="1" applyAlignment="1">
      <alignment horizontal="left" vertical="center" wrapText="1" indent="16"/>
    </xf>
    <xf numFmtId="0" fontId="117" fillId="0" borderId="39" xfId="171" applyFont="1" applyBorder="1" applyAlignment="1" applyProtection="1">
      <alignment horizontal="left" vertical="center" wrapText="1"/>
      <protection locked="0"/>
    </xf>
    <xf numFmtId="0" fontId="117" fillId="0" borderId="28" xfId="171" applyFont="1" applyBorder="1" applyAlignment="1" applyProtection="1">
      <alignment horizontal="left" vertical="center" wrapText="1"/>
      <protection locked="0"/>
    </xf>
    <xf numFmtId="0" fontId="117" fillId="0" borderId="40" xfId="171" applyFont="1" applyBorder="1" applyAlignment="1" applyProtection="1">
      <alignment horizontal="left" vertical="center" wrapText="1"/>
      <protection locked="0"/>
    </xf>
    <xf numFmtId="0" fontId="117" fillId="0" borderId="33" xfId="171" applyFont="1" applyBorder="1" applyAlignment="1" applyProtection="1">
      <alignment horizontal="left" vertical="center" wrapText="1"/>
      <protection locked="0"/>
    </xf>
    <xf numFmtId="0" fontId="117" fillId="0" borderId="0" xfId="171" applyFont="1" applyAlignment="1" applyProtection="1">
      <alignment horizontal="left" vertical="center" wrapText="1"/>
      <protection locked="0"/>
    </xf>
    <xf numFmtId="0" fontId="117" fillId="0" borderId="41" xfId="171" applyFont="1" applyBorder="1" applyAlignment="1" applyProtection="1">
      <alignment horizontal="left" vertical="center" wrapText="1"/>
      <protection locked="0"/>
    </xf>
    <xf numFmtId="0" fontId="117" fillId="0" borderId="42" xfId="171" applyFont="1" applyBorder="1" applyAlignment="1" applyProtection="1">
      <alignment horizontal="left" vertical="center" wrapText="1"/>
      <protection locked="0"/>
    </xf>
    <xf numFmtId="0" fontId="117" fillId="0" borderId="43" xfId="171" applyFont="1" applyBorder="1" applyAlignment="1" applyProtection="1">
      <alignment horizontal="left" vertical="center" wrapText="1"/>
      <protection locked="0"/>
    </xf>
    <xf numFmtId="0" fontId="117" fillId="0" borderId="44" xfId="171" applyFont="1" applyBorder="1" applyAlignment="1" applyProtection="1">
      <alignment horizontal="left" vertical="center" wrapText="1"/>
      <protection locked="0"/>
    </xf>
    <xf numFmtId="0" fontId="31" fillId="16" borderId="7" xfId="0" applyFont="1" applyFill="1" applyBorder="1" applyAlignment="1">
      <alignment horizontal="center" vertical="center"/>
    </xf>
    <xf numFmtId="0" fontId="31" fillId="16" borderId="8" xfId="0" applyFont="1" applyFill="1" applyBorder="1" applyAlignment="1">
      <alignment horizontal="center" vertical="center"/>
    </xf>
    <xf numFmtId="0" fontId="31" fillId="16" borderId="4" xfId="0" applyFont="1" applyFill="1" applyBorder="1" applyAlignment="1">
      <alignment horizontal="center" vertical="center"/>
    </xf>
    <xf numFmtId="0" fontId="117" fillId="0" borderId="42" xfId="0" applyFont="1" applyBorder="1" applyAlignment="1">
      <alignment horizontal="left" vertical="top" wrapText="1"/>
    </xf>
    <xf numFmtId="0" fontId="117" fillId="0" borderId="43" xfId="0" applyFont="1" applyBorder="1" applyAlignment="1">
      <alignment horizontal="left" vertical="top" wrapText="1"/>
    </xf>
    <xf numFmtId="0" fontId="117" fillId="0" borderId="44" xfId="0" applyFont="1" applyBorder="1" applyAlignment="1">
      <alignment horizontal="left" vertical="top" wrapText="1"/>
    </xf>
    <xf numFmtId="0" fontId="7" fillId="5" borderId="13" xfId="0" applyFont="1" applyFill="1" applyBorder="1" applyAlignment="1">
      <alignment horizontal="center" vertical="center" wrapText="1"/>
    </xf>
    <xf numFmtId="0" fontId="109" fillId="0" borderId="0" xfId="0" applyFont="1" applyAlignment="1">
      <alignment vertical="center" wrapText="1"/>
    </xf>
    <xf numFmtId="0" fontId="23" fillId="5" borderId="13" xfId="0" applyFont="1" applyFill="1" applyBorder="1" applyAlignment="1">
      <alignment horizontal="center" vertical="center" wrapText="1"/>
    </xf>
    <xf numFmtId="0" fontId="31" fillId="5" borderId="13" xfId="0" applyFont="1" applyFill="1" applyBorder="1" applyAlignment="1">
      <alignment horizontal="center" vertical="center" wrapText="1"/>
    </xf>
    <xf numFmtId="14" fontId="31" fillId="5" borderId="62" xfId="0" applyNumberFormat="1" applyFont="1" applyFill="1" applyBorder="1" applyAlignment="1">
      <alignment horizontal="center" vertical="center"/>
    </xf>
    <xf numFmtId="14" fontId="31" fillId="5" borderId="13" xfId="0" applyNumberFormat="1" applyFont="1" applyFill="1" applyBorder="1" applyAlignment="1">
      <alignment horizontal="center" vertical="center"/>
    </xf>
    <xf numFmtId="0" fontId="117" fillId="0" borderId="16" xfId="2" applyNumberFormat="1" applyFont="1" applyBorder="1" applyAlignment="1">
      <alignment horizontal="left" vertical="center" wrapText="1" shrinkToFit="1"/>
    </xf>
    <xf numFmtId="0" fontId="117" fillId="0" borderId="17" xfId="2" applyNumberFormat="1" applyFont="1" applyBorder="1" applyAlignment="1">
      <alignment horizontal="left" vertical="center" wrapText="1" shrinkToFit="1"/>
    </xf>
    <xf numFmtId="0" fontId="117" fillId="0" borderId="20" xfId="2" applyNumberFormat="1" applyFont="1" applyBorder="1" applyAlignment="1">
      <alignment horizontal="left" vertical="center" wrapText="1" shrinkToFit="1"/>
    </xf>
    <xf numFmtId="0" fontId="117" fillId="0" borderId="19" xfId="2" applyNumberFormat="1" applyFont="1" applyBorder="1" applyAlignment="1">
      <alignment horizontal="left" vertical="center" wrapText="1" shrinkToFit="1"/>
    </xf>
    <xf numFmtId="0" fontId="117" fillId="0" borderId="0" xfId="2" applyNumberFormat="1" applyFont="1" applyBorder="1" applyAlignment="1">
      <alignment horizontal="left" vertical="center" wrapText="1" shrinkToFit="1"/>
    </xf>
    <xf numFmtId="0" fontId="117" fillId="0" borderId="18" xfId="2" applyNumberFormat="1" applyFont="1" applyBorder="1" applyAlignment="1">
      <alignment horizontal="left" vertical="center" wrapText="1" shrinkToFit="1"/>
    </xf>
    <xf numFmtId="0" fontId="117" fillId="0" borderId="14" xfId="2" applyNumberFormat="1" applyFont="1" applyBorder="1" applyAlignment="1">
      <alignment horizontal="left" vertical="center" wrapText="1" shrinkToFit="1"/>
    </xf>
    <xf numFmtId="0" fontId="117" fillId="0" borderId="1" xfId="2" applyNumberFormat="1" applyFont="1" applyBorder="1" applyAlignment="1">
      <alignment horizontal="left" vertical="center" wrapText="1" shrinkToFit="1"/>
    </xf>
    <xf numFmtId="0" fontId="117" fillId="0" borderId="21" xfId="2" applyNumberFormat="1" applyFont="1" applyBorder="1" applyAlignment="1">
      <alignment horizontal="left" vertical="center" wrapText="1" shrinkToFit="1"/>
    </xf>
    <xf numFmtId="0" fontId="31" fillId="5" borderId="64" xfId="0" applyFont="1" applyFill="1" applyBorder="1" applyAlignment="1">
      <alignment horizontal="center" vertical="center" wrapText="1"/>
    </xf>
    <xf numFmtId="0" fontId="31" fillId="5" borderId="65" xfId="0" applyFont="1" applyFill="1" applyBorder="1" applyAlignment="1">
      <alignment horizontal="center" vertical="center" wrapText="1"/>
    </xf>
    <xf numFmtId="0" fontId="31" fillId="5" borderId="15" xfId="0" applyFont="1" applyFill="1" applyBorder="1" applyAlignment="1">
      <alignment horizontal="center" vertical="center" wrapText="1"/>
    </xf>
    <xf numFmtId="0" fontId="31" fillId="5" borderId="32" xfId="0" applyFont="1" applyFill="1" applyBorder="1" applyAlignment="1">
      <alignment horizontal="center" vertical="center" wrapText="1"/>
    </xf>
    <xf numFmtId="0" fontId="29" fillId="5" borderId="7" xfId="333" applyFont="1" applyFill="1" applyBorder="1" applyAlignment="1">
      <alignment horizontal="center" vertical="center"/>
    </xf>
    <xf numFmtId="0" fontId="29" fillId="5" borderId="4" xfId="333" applyFont="1" applyFill="1" applyBorder="1" applyAlignment="1">
      <alignment horizontal="center" vertical="center"/>
    </xf>
    <xf numFmtId="0" fontId="31" fillId="5" borderId="25" xfId="171" applyFont="1" applyFill="1" applyBorder="1" applyAlignment="1" applyProtection="1">
      <alignment horizontal="center" vertical="center"/>
      <protection locked="0"/>
    </xf>
    <xf numFmtId="0" fontId="31" fillId="5" borderId="27" xfId="171" applyFont="1" applyFill="1" applyBorder="1" applyAlignment="1" applyProtection="1">
      <alignment horizontal="center" vertical="center"/>
      <protection locked="0"/>
    </xf>
    <xf numFmtId="0" fontId="31" fillId="5" borderId="46" xfId="171" applyFont="1" applyFill="1" applyBorder="1" applyAlignment="1">
      <alignment horizontal="center" vertical="center" wrapText="1"/>
    </xf>
    <xf numFmtId="0" fontId="31" fillId="5" borderId="2" xfId="171" applyFont="1" applyFill="1" applyBorder="1" applyAlignment="1">
      <alignment horizontal="center" vertical="center" wrapText="1"/>
    </xf>
    <xf numFmtId="0" fontId="31" fillId="5" borderId="15" xfId="171" applyFont="1" applyFill="1" applyBorder="1" applyAlignment="1">
      <alignment horizontal="center" vertical="center" wrapText="1"/>
    </xf>
    <xf numFmtId="0" fontId="31" fillId="5" borderId="32" xfId="171" applyFont="1" applyFill="1" applyBorder="1" applyAlignment="1">
      <alignment horizontal="center" vertical="center" wrapText="1"/>
    </xf>
    <xf numFmtId="0" fontId="117" fillId="0" borderId="16" xfId="2" applyNumberFormat="1" applyFont="1" applyFill="1" applyBorder="1" applyAlignment="1">
      <alignment horizontal="left" vertical="center" wrapText="1" shrinkToFit="1"/>
    </xf>
    <xf numFmtId="0" fontId="117" fillId="0" borderId="17" xfId="2" applyNumberFormat="1" applyFont="1" applyFill="1" applyBorder="1" applyAlignment="1">
      <alignment horizontal="left" vertical="center" wrapText="1" shrinkToFit="1"/>
    </xf>
    <xf numFmtId="0" fontId="117" fillId="0" borderId="20" xfId="2" applyNumberFormat="1" applyFont="1" applyFill="1" applyBorder="1" applyAlignment="1">
      <alignment horizontal="left" vertical="center" wrapText="1" shrinkToFit="1"/>
    </xf>
    <xf numFmtId="0" fontId="117" fillId="0" borderId="19" xfId="2" applyNumberFormat="1" applyFont="1" applyFill="1" applyBorder="1" applyAlignment="1">
      <alignment horizontal="left" vertical="center" wrapText="1" shrinkToFit="1"/>
    </xf>
    <xf numFmtId="0" fontId="117" fillId="0" borderId="0" xfId="2" applyNumberFormat="1" applyFont="1" applyFill="1" applyBorder="1" applyAlignment="1">
      <alignment horizontal="left" vertical="center" wrapText="1" shrinkToFit="1"/>
    </xf>
    <xf numFmtId="0" fontId="117" fillId="0" borderId="18" xfId="2" applyNumberFormat="1" applyFont="1" applyFill="1" applyBorder="1" applyAlignment="1">
      <alignment horizontal="left" vertical="center" wrapText="1" shrinkToFit="1"/>
    </xf>
    <xf numFmtId="0" fontId="117" fillId="0" borderId="14" xfId="2" applyNumberFormat="1" applyFont="1" applyFill="1" applyBorder="1" applyAlignment="1">
      <alignment horizontal="left" vertical="center" wrapText="1" shrinkToFit="1"/>
    </xf>
    <xf numFmtId="0" fontId="117" fillId="0" borderId="1" xfId="2" applyNumberFormat="1" applyFont="1" applyFill="1" applyBorder="1" applyAlignment="1">
      <alignment horizontal="left" vertical="center" wrapText="1" shrinkToFit="1"/>
    </xf>
    <xf numFmtId="0" fontId="117" fillId="0" borderId="21" xfId="2" applyNumberFormat="1" applyFont="1" applyFill="1" applyBorder="1" applyAlignment="1">
      <alignment horizontal="left" vertical="center" wrapText="1" shrinkToFit="1"/>
    </xf>
    <xf numFmtId="0" fontId="31" fillId="5" borderId="47" xfId="171" applyFont="1" applyFill="1" applyBorder="1" applyAlignment="1">
      <alignment horizontal="center" vertical="center" wrapText="1"/>
    </xf>
    <xf numFmtId="0" fontId="31" fillId="5" borderId="21" xfId="171" applyFont="1" applyFill="1" applyBorder="1" applyAlignment="1">
      <alignment horizontal="center" vertical="center" wrapText="1"/>
    </xf>
    <xf numFmtId="0" fontId="31" fillId="5" borderId="49" xfId="171" applyFont="1" applyFill="1" applyBorder="1" applyAlignment="1">
      <alignment horizontal="center" vertical="center"/>
    </xf>
    <xf numFmtId="0" fontId="31" fillId="5" borderId="14" xfId="171" applyFont="1" applyFill="1" applyBorder="1" applyAlignment="1">
      <alignment horizontal="center" vertical="center"/>
    </xf>
    <xf numFmtId="0" fontId="31" fillId="5" borderId="49" xfId="171" applyFont="1" applyFill="1" applyBorder="1" applyAlignment="1">
      <alignment horizontal="center" vertical="center" wrapText="1"/>
    </xf>
    <xf numFmtId="0" fontId="31" fillId="5" borderId="14" xfId="171" applyFont="1" applyFill="1" applyBorder="1" applyAlignment="1">
      <alignment horizontal="center" vertical="center" wrapText="1"/>
    </xf>
    <xf numFmtId="177" fontId="131" fillId="0" borderId="76" xfId="2" applyFont="1" applyFill="1" applyBorder="1" applyAlignment="1" applyProtection="1">
      <alignment horizontal="center" vertical="center" shrinkToFit="1"/>
      <protection locked="0"/>
    </xf>
    <xf numFmtId="177" fontId="129" fillId="0" borderId="70" xfId="2" applyFont="1" applyFill="1" applyBorder="1" applyAlignment="1" applyProtection="1">
      <alignment horizontal="center" vertical="center" shrinkToFit="1"/>
      <protection locked="0"/>
    </xf>
    <xf numFmtId="177" fontId="124" fillId="18" borderId="70" xfId="2" applyFont="1" applyFill="1" applyBorder="1" applyAlignment="1" applyProtection="1">
      <alignment horizontal="center" vertical="center" shrinkToFit="1"/>
      <protection locked="0"/>
    </xf>
    <xf numFmtId="177" fontId="125" fillId="18" borderId="5" xfId="2" applyFont="1" applyFill="1" applyBorder="1" applyAlignment="1" applyProtection="1">
      <alignment horizontal="center" vertical="center" shrinkToFit="1"/>
      <protection locked="0"/>
    </xf>
    <xf numFmtId="177" fontId="133" fillId="2" borderId="70" xfId="2" applyFont="1" applyFill="1" applyBorder="1"/>
    <xf numFmtId="177" fontId="133" fillId="2" borderId="71" xfId="2" applyFont="1" applyFill="1" applyBorder="1"/>
    <xf numFmtId="0" fontId="53" fillId="11" borderId="22" xfId="312" applyFont="1" applyFill="1" applyBorder="1" applyAlignment="1">
      <alignment horizontal="center" vertical="center"/>
    </xf>
    <xf numFmtId="0" fontId="53" fillId="11" borderId="23" xfId="312" applyFont="1" applyFill="1" applyBorder="1" applyAlignment="1">
      <alignment horizontal="center" vertical="center"/>
    </xf>
    <xf numFmtId="0" fontId="53" fillId="11" borderId="24" xfId="312" applyFont="1" applyFill="1" applyBorder="1" applyAlignment="1">
      <alignment horizontal="center" vertical="center"/>
    </xf>
    <xf numFmtId="0" fontId="127" fillId="3" borderId="69" xfId="0" applyFont="1" applyFill="1" applyBorder="1" applyAlignment="1">
      <alignment horizontal="center" vertical="center" wrapText="1"/>
    </xf>
    <xf numFmtId="0" fontId="127" fillId="0" borderId="3" xfId="0" applyFont="1" applyBorder="1" applyAlignment="1">
      <alignment horizontal="center" vertical="center" wrapText="1"/>
    </xf>
    <xf numFmtId="177" fontId="129" fillId="3" borderId="70" xfId="2" applyFont="1" applyFill="1" applyBorder="1" applyAlignment="1" applyProtection="1">
      <alignment horizontal="center" vertical="center" wrapText="1"/>
      <protection locked="0"/>
    </xf>
    <xf numFmtId="177" fontId="125" fillId="0" borderId="5" xfId="2" applyFont="1" applyFill="1" applyBorder="1" applyAlignment="1" applyProtection="1">
      <alignment vertical="center"/>
      <protection locked="0"/>
    </xf>
    <xf numFmtId="177" fontId="131" fillId="3" borderId="70" xfId="2" applyFont="1" applyFill="1" applyBorder="1" applyAlignment="1" applyProtection="1">
      <alignment horizontal="center" vertical="center" wrapText="1"/>
      <protection locked="0"/>
    </xf>
    <xf numFmtId="177" fontId="131" fillId="0" borderId="70" xfId="2" applyFont="1" applyFill="1" applyBorder="1" applyAlignment="1" applyProtection="1">
      <alignment horizontal="center" vertical="center" wrapText="1"/>
      <protection locked="0"/>
    </xf>
    <xf numFmtId="177" fontId="131" fillId="0" borderId="5" xfId="2" applyFont="1" applyFill="1" applyBorder="1" applyAlignment="1" applyProtection="1">
      <alignment horizontal="center" vertical="center" wrapText="1"/>
      <protection locked="0"/>
    </xf>
    <xf numFmtId="177" fontId="131" fillId="3" borderId="71" xfId="2" applyFont="1" applyFill="1" applyBorder="1" applyAlignment="1" applyProtection="1">
      <alignment horizontal="center" vertical="center" wrapText="1"/>
      <protection locked="0"/>
    </xf>
    <xf numFmtId="177" fontId="125" fillId="0" borderId="72" xfId="2" applyFont="1" applyFill="1" applyBorder="1" applyAlignment="1" applyProtection="1">
      <alignment vertical="center"/>
      <protection locked="0"/>
    </xf>
    <xf numFmtId="49" fontId="131" fillId="3" borderId="69" xfId="100" applyNumberFormat="1" applyFont="1" applyFill="1" applyBorder="1" applyAlignment="1" applyProtection="1">
      <alignment horizontal="center" vertical="center" wrapText="1"/>
      <protection locked="0"/>
    </xf>
    <xf numFmtId="14" fontId="131" fillId="3" borderId="70" xfId="100" applyNumberFormat="1" applyFont="1" applyFill="1" applyBorder="1" applyAlignment="1" applyProtection="1">
      <alignment horizontal="center" vertical="center" wrapText="1"/>
      <protection locked="0"/>
    </xf>
    <xf numFmtId="14" fontId="131" fillId="3" borderId="71" xfId="100" applyNumberFormat="1" applyFont="1" applyFill="1" applyBorder="1" applyAlignment="1" applyProtection="1">
      <alignment horizontal="center" vertical="center" wrapText="1"/>
      <protection locked="0"/>
    </xf>
    <xf numFmtId="0" fontId="121" fillId="0" borderId="83" xfId="312" applyFont="1" applyBorder="1" applyAlignment="1">
      <alignment horizontal="left" vertical="top" wrapText="1"/>
    </xf>
    <xf numFmtId="0" fontId="121" fillId="0" borderId="0" xfId="312" applyFont="1" applyAlignment="1">
      <alignment horizontal="left" vertical="top" wrapText="1"/>
    </xf>
    <xf numFmtId="0" fontId="121" fillId="0" borderId="84" xfId="312" applyFont="1" applyBorder="1" applyAlignment="1">
      <alignment horizontal="left" vertical="top" wrapText="1"/>
    </xf>
    <xf numFmtId="0" fontId="31" fillId="5" borderId="63" xfId="0" applyFont="1" applyFill="1" applyBorder="1" applyAlignment="1" applyProtection="1">
      <alignment horizontal="left" vertical="center"/>
      <protection locked="0"/>
    </xf>
    <xf numFmtId="0" fontId="31" fillId="5" borderId="29" xfId="0" applyFont="1" applyFill="1" applyBorder="1" applyAlignment="1" applyProtection="1">
      <alignment horizontal="left" vertical="center"/>
      <protection locked="0"/>
    </xf>
    <xf numFmtId="0" fontId="31" fillId="5" borderId="62" xfId="0" applyFont="1" applyFill="1" applyBorder="1" applyAlignment="1" applyProtection="1">
      <alignment horizontal="left" vertical="center"/>
      <protection locked="0"/>
    </xf>
    <xf numFmtId="0" fontId="29" fillId="5" borderId="13" xfId="100" applyFont="1" applyFill="1" applyBorder="1" applyAlignment="1">
      <alignment horizontal="center" vertical="center"/>
    </xf>
    <xf numFmtId="0" fontId="31" fillId="5" borderId="21" xfId="0" applyFont="1" applyFill="1" applyBorder="1" applyAlignment="1">
      <alignment horizontal="center" vertical="center" wrapText="1"/>
    </xf>
    <xf numFmtId="0" fontId="31" fillId="5" borderId="5" xfId="0" applyFont="1" applyFill="1" applyBorder="1" applyAlignment="1">
      <alignment horizontal="center" vertical="center" wrapText="1"/>
    </xf>
    <xf numFmtId="0" fontId="31" fillId="5" borderId="2" xfId="100" applyFont="1" applyFill="1" applyBorder="1" applyAlignment="1">
      <alignment horizontal="center" vertical="center"/>
    </xf>
    <xf numFmtId="0" fontId="31" fillId="5" borderId="5" xfId="100" applyFont="1" applyFill="1" applyBorder="1" applyAlignment="1">
      <alignment horizontal="center" vertical="center"/>
    </xf>
    <xf numFmtId="0" fontId="31" fillId="5" borderId="14"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5" fillId="0" borderId="33" xfId="0" applyFont="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41" xfId="0" applyFont="1" applyBorder="1" applyAlignment="1" applyProtection="1">
      <alignment horizontal="left" vertical="center" wrapText="1"/>
      <protection locked="0"/>
    </xf>
    <xf numFmtId="0" fontId="6" fillId="0" borderId="42" xfId="0" applyFont="1" applyBorder="1" applyAlignment="1" applyProtection="1">
      <alignment horizontal="left" vertical="center" wrapText="1"/>
      <protection locked="0"/>
    </xf>
    <xf numFmtId="0" fontId="5" fillId="0" borderId="43" xfId="0" applyFont="1" applyBorder="1" applyAlignment="1" applyProtection="1">
      <alignment horizontal="left" vertical="center" wrapText="1"/>
      <protection locked="0"/>
    </xf>
    <xf numFmtId="0" fontId="5" fillId="0" borderId="44" xfId="0" applyFont="1" applyBorder="1" applyAlignment="1" applyProtection="1">
      <alignment horizontal="left" vertical="center" wrapText="1"/>
      <protection locked="0"/>
    </xf>
    <xf numFmtId="0" fontId="6" fillId="0" borderId="33" xfId="0" applyFont="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6" fillId="0" borderId="41" xfId="0" applyFont="1" applyBorder="1" applyAlignment="1" applyProtection="1">
      <alignment horizontal="left" vertical="center"/>
      <protection locked="0"/>
    </xf>
    <xf numFmtId="0" fontId="31" fillId="5" borderId="45" xfId="100" applyFont="1" applyFill="1" applyBorder="1" applyAlignment="1">
      <alignment horizontal="center" vertical="center"/>
    </xf>
    <xf numFmtId="0" fontId="31" fillId="5" borderId="48" xfId="100" applyFont="1" applyFill="1" applyBorder="1" applyAlignment="1">
      <alignment horizontal="center" vertical="center"/>
    </xf>
    <xf numFmtId="0" fontId="31" fillId="5" borderId="46" xfId="100" applyFont="1" applyFill="1" applyBorder="1" applyAlignment="1">
      <alignment horizontal="center" vertical="center"/>
    </xf>
    <xf numFmtId="0" fontId="35" fillId="5" borderId="16" xfId="0" applyFont="1" applyFill="1" applyBorder="1" applyAlignment="1">
      <alignment horizontal="center" vertical="center"/>
    </xf>
    <xf numFmtId="0" fontId="35" fillId="5" borderId="17" xfId="0" applyFont="1" applyFill="1" applyBorder="1" applyAlignment="1">
      <alignment horizontal="center" vertical="center"/>
    </xf>
    <xf numFmtId="0" fontId="6" fillId="0" borderId="0" xfId="0" applyFont="1" applyAlignment="1">
      <alignment horizontal="left" vertical="center" wrapText="1"/>
    </xf>
    <xf numFmtId="0" fontId="113" fillId="0" borderId="16" xfId="0" applyFont="1" applyBorder="1" applyAlignment="1">
      <alignment horizontal="left" vertical="center" wrapText="1"/>
    </xf>
    <xf numFmtId="0" fontId="113" fillId="0" borderId="17" xfId="0" applyFont="1" applyBorder="1" applyAlignment="1">
      <alignment horizontal="left" vertical="center" wrapText="1"/>
    </xf>
    <xf numFmtId="0" fontId="113" fillId="0" borderId="20" xfId="0" applyFont="1" applyBorder="1" applyAlignment="1">
      <alignment horizontal="left" vertical="center" wrapText="1"/>
    </xf>
    <xf numFmtId="0" fontId="113" fillId="0" borderId="19" xfId="0" applyFont="1" applyBorder="1" applyAlignment="1">
      <alignment horizontal="left" vertical="center" wrapText="1"/>
    </xf>
    <xf numFmtId="0" fontId="113" fillId="0" borderId="0" xfId="0" applyFont="1" applyAlignment="1">
      <alignment horizontal="left" vertical="center" wrapText="1"/>
    </xf>
    <xf numFmtId="0" fontId="113" fillId="0" borderId="18" xfId="0" applyFont="1" applyBorder="1" applyAlignment="1">
      <alignment horizontal="left" vertical="center" wrapText="1"/>
    </xf>
    <xf numFmtId="0" fontId="113" fillId="0" borderId="14" xfId="0" applyFont="1" applyBorder="1" applyAlignment="1">
      <alignment horizontal="left" vertical="center" wrapText="1"/>
    </xf>
    <xf numFmtId="0" fontId="113" fillId="0" borderId="1" xfId="0" applyFont="1" applyBorder="1" applyAlignment="1">
      <alignment horizontal="left" vertical="center" wrapText="1"/>
    </xf>
    <xf numFmtId="0" fontId="113" fillId="0" borderId="21" xfId="0" applyFont="1" applyBorder="1" applyAlignment="1">
      <alignment horizontal="left" vertical="center" wrapText="1"/>
    </xf>
    <xf numFmtId="0" fontId="117" fillId="0" borderId="39" xfId="0" applyFont="1" applyBorder="1" applyAlignment="1">
      <alignment horizontal="left" vertical="center" wrapText="1"/>
    </xf>
    <xf numFmtId="0" fontId="117" fillId="0" borderId="28" xfId="0" applyFont="1" applyBorder="1" applyAlignment="1">
      <alignment horizontal="left" vertical="center" wrapText="1"/>
    </xf>
    <xf numFmtId="0" fontId="117" fillId="0" borderId="40" xfId="0" applyFont="1" applyBorder="1" applyAlignment="1">
      <alignment horizontal="left" vertical="center" wrapText="1"/>
    </xf>
    <xf numFmtId="0" fontId="117" fillId="0" borderId="33" xfId="0" applyFont="1" applyBorder="1" applyAlignment="1">
      <alignment horizontal="left" vertical="center" wrapText="1"/>
    </xf>
    <xf numFmtId="0" fontId="117" fillId="0" borderId="0" xfId="0" applyFont="1" applyAlignment="1">
      <alignment horizontal="left" vertical="center" wrapText="1"/>
    </xf>
    <xf numFmtId="0" fontId="117" fillId="0" borderId="41" xfId="0" applyFont="1" applyBorder="1" applyAlignment="1">
      <alignment horizontal="left" vertical="center" wrapText="1"/>
    </xf>
    <xf numFmtId="0" fontId="117" fillId="0" borderId="42" xfId="0" applyFont="1" applyBorder="1" applyAlignment="1">
      <alignment horizontal="left" vertical="center" wrapText="1"/>
    </xf>
    <xf numFmtId="0" fontId="117" fillId="0" borderId="43" xfId="0" applyFont="1" applyBorder="1" applyAlignment="1">
      <alignment horizontal="left" vertical="center" wrapText="1"/>
    </xf>
    <xf numFmtId="0" fontId="117" fillId="0" borderId="44" xfId="0" applyFont="1" applyBorder="1" applyAlignment="1">
      <alignment horizontal="left" vertical="center" wrapText="1"/>
    </xf>
    <xf numFmtId="0" fontId="35" fillId="5" borderId="5" xfId="0" applyFont="1" applyFill="1" applyBorder="1" applyAlignment="1">
      <alignment horizontal="center" vertical="center"/>
    </xf>
    <xf numFmtId="0" fontId="7" fillId="16" borderId="7"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6" borderId="51" xfId="0" applyFont="1" applyFill="1" applyBorder="1" applyAlignment="1">
      <alignment horizontal="center" vertical="center" wrapText="1"/>
    </xf>
    <xf numFmtId="0" fontId="35" fillId="5" borderId="6" xfId="0" applyFont="1" applyFill="1" applyBorder="1" applyAlignment="1">
      <alignment horizontal="center" vertical="center"/>
    </xf>
    <xf numFmtId="0" fontId="35" fillId="5" borderId="2" xfId="0" applyFont="1" applyFill="1" applyBorder="1" applyAlignment="1">
      <alignment horizontal="center" vertical="center"/>
    </xf>
    <xf numFmtId="0" fontId="31" fillId="5" borderId="13" xfId="100" applyFont="1" applyFill="1" applyBorder="1" applyAlignment="1">
      <alignment horizontal="center" vertical="center"/>
    </xf>
    <xf numFmtId="0" fontId="29" fillId="5" borderId="13" xfId="0" applyFont="1" applyFill="1" applyBorder="1" applyAlignment="1">
      <alignment horizontal="center" vertical="center"/>
    </xf>
    <xf numFmtId="0" fontId="35" fillId="5" borderId="40" xfId="0" applyFont="1" applyFill="1" applyBorder="1" applyAlignment="1">
      <alignment horizontal="center" vertical="center" wrapText="1"/>
    </xf>
    <xf numFmtId="0" fontId="35" fillId="5" borderId="44" xfId="0" applyFont="1" applyFill="1" applyBorder="1" applyAlignment="1">
      <alignment horizontal="center" vertical="center" wrapText="1"/>
    </xf>
    <xf numFmtId="0" fontId="35" fillId="5" borderId="15" xfId="0" applyFont="1" applyFill="1" applyBorder="1" applyAlignment="1">
      <alignment horizontal="center" vertical="center" wrapText="1"/>
    </xf>
    <xf numFmtId="0" fontId="35" fillId="5" borderId="32" xfId="0" applyFont="1" applyFill="1" applyBorder="1" applyAlignment="1">
      <alignment horizontal="center" vertical="center" wrapText="1"/>
    </xf>
    <xf numFmtId="0" fontId="83" fillId="0" borderId="16" xfId="0" applyFont="1" applyBorder="1" applyAlignment="1">
      <alignment horizontal="left" vertical="center" wrapText="1" shrinkToFit="1"/>
    </xf>
    <xf numFmtId="0" fontId="83" fillId="0" borderId="17" xfId="0" applyFont="1" applyBorder="1" applyAlignment="1">
      <alignment horizontal="left" vertical="center" wrapText="1" shrinkToFit="1"/>
    </xf>
    <xf numFmtId="0" fontId="83" fillId="0" borderId="20" xfId="0" applyFont="1" applyBorder="1" applyAlignment="1">
      <alignment horizontal="left" vertical="center" wrapText="1" shrinkToFit="1"/>
    </xf>
    <xf numFmtId="0" fontId="83" fillId="0" borderId="19" xfId="0" applyFont="1" applyBorder="1" applyAlignment="1">
      <alignment horizontal="left" vertical="center" wrapText="1" shrinkToFit="1"/>
    </xf>
    <xf numFmtId="0" fontId="83" fillId="0" borderId="0" xfId="0" applyFont="1" applyAlignment="1">
      <alignment horizontal="left" vertical="center" wrapText="1" shrinkToFit="1"/>
    </xf>
    <xf numFmtId="0" fontId="83" fillId="0" borderId="18" xfId="0" applyFont="1" applyBorder="1" applyAlignment="1">
      <alignment horizontal="left" vertical="center" wrapText="1" shrinkToFit="1"/>
    </xf>
    <xf numFmtId="0" fontId="83" fillId="0" borderId="14" xfId="0" applyFont="1" applyBorder="1" applyAlignment="1">
      <alignment horizontal="left" vertical="center" wrapText="1" shrinkToFit="1"/>
    </xf>
    <xf numFmtId="0" fontId="83" fillId="0" borderId="1" xfId="0" applyFont="1" applyBorder="1" applyAlignment="1">
      <alignment horizontal="left" vertical="center" wrapText="1" shrinkToFit="1"/>
    </xf>
    <xf numFmtId="0" fontId="83" fillId="0" borderId="21" xfId="0" applyFont="1" applyBorder="1" applyAlignment="1">
      <alignment horizontal="left" vertical="center" wrapText="1" shrinkToFit="1"/>
    </xf>
    <xf numFmtId="0" fontId="117" fillId="0" borderId="16" xfId="0" applyFont="1" applyBorder="1" applyAlignment="1">
      <alignment horizontal="left" vertical="center" wrapText="1" shrinkToFit="1"/>
    </xf>
    <xf numFmtId="0" fontId="117" fillId="0" borderId="17" xfId="0" applyFont="1" applyBorder="1" applyAlignment="1">
      <alignment horizontal="left" vertical="center" wrapText="1" shrinkToFit="1"/>
    </xf>
    <xf numFmtId="0" fontId="117" fillId="0" borderId="20" xfId="0" applyFont="1" applyBorder="1" applyAlignment="1">
      <alignment horizontal="left" vertical="center" wrapText="1" shrinkToFit="1"/>
    </xf>
    <xf numFmtId="0" fontId="117" fillId="0" borderId="19" xfId="0" applyFont="1" applyBorder="1" applyAlignment="1">
      <alignment horizontal="left" vertical="center" wrapText="1" shrinkToFit="1"/>
    </xf>
    <xf numFmtId="0" fontId="117" fillId="0" borderId="0" xfId="0" applyFont="1" applyAlignment="1">
      <alignment horizontal="left" vertical="center" wrapText="1" shrinkToFit="1"/>
    </xf>
    <xf numFmtId="0" fontId="117" fillId="0" borderId="18" xfId="0" applyFont="1" applyBorder="1" applyAlignment="1">
      <alignment horizontal="left" vertical="center" wrapText="1" shrinkToFit="1"/>
    </xf>
    <xf numFmtId="0" fontId="117" fillId="0" borderId="14" xfId="0" applyFont="1" applyBorder="1" applyAlignment="1">
      <alignment horizontal="left" vertical="center" wrapText="1" shrinkToFit="1"/>
    </xf>
    <xf numFmtId="0" fontId="117" fillId="0" borderId="1" xfId="0" applyFont="1" applyBorder="1" applyAlignment="1">
      <alignment horizontal="left" vertical="center" wrapText="1" shrinkToFit="1"/>
    </xf>
    <xf numFmtId="0" fontId="117" fillId="0" borderId="21" xfId="0" applyFont="1" applyBorder="1" applyAlignment="1">
      <alignment horizontal="left" vertical="center" wrapText="1" shrinkToFit="1"/>
    </xf>
    <xf numFmtId="0" fontId="72" fillId="5" borderId="60" xfId="0" applyFont="1" applyFill="1" applyBorder="1" applyAlignment="1">
      <alignment horizontal="center" vertical="center" wrapText="1"/>
    </xf>
    <xf numFmtId="0" fontId="72" fillId="5" borderId="26" xfId="0" applyFont="1" applyFill="1" applyBorder="1" applyAlignment="1">
      <alignment horizontal="center" vertical="center" wrapText="1"/>
    </xf>
    <xf numFmtId="0" fontId="72" fillId="5" borderId="27" xfId="0" applyFont="1" applyFill="1" applyBorder="1" applyAlignment="1">
      <alignment horizontal="center" vertical="center" wrapText="1"/>
    </xf>
    <xf numFmtId="0" fontId="72" fillId="5" borderId="25" xfId="0" applyFont="1" applyFill="1" applyBorder="1" applyAlignment="1">
      <alignment horizontal="center" vertical="center" wrapText="1"/>
    </xf>
    <xf numFmtId="0" fontId="68" fillId="5" borderId="27" xfId="0" applyFont="1" applyFill="1" applyBorder="1" applyAlignment="1">
      <alignment horizontal="center" vertical="center" wrapText="1"/>
    </xf>
    <xf numFmtId="0" fontId="73" fillId="5" borderId="7" xfId="0" applyFont="1" applyFill="1" applyBorder="1" applyAlignment="1">
      <alignment horizontal="center" vertical="center"/>
    </xf>
    <xf numFmtId="0" fontId="73" fillId="5" borderId="8" xfId="0" applyFont="1" applyFill="1" applyBorder="1" applyAlignment="1">
      <alignment horizontal="center" vertical="center"/>
    </xf>
    <xf numFmtId="0" fontId="73" fillId="5" borderId="4" xfId="0" applyFont="1" applyFill="1" applyBorder="1" applyAlignment="1">
      <alignment horizontal="center" vertical="center"/>
    </xf>
    <xf numFmtId="14" fontId="87" fillId="5" borderId="7" xfId="0" applyNumberFormat="1" applyFont="1" applyFill="1" applyBorder="1" applyAlignment="1" applyProtection="1">
      <alignment horizontal="center" vertical="center"/>
      <protection locked="0"/>
    </xf>
    <xf numFmtId="14" fontId="87" fillId="5" borderId="8" xfId="0" applyNumberFormat="1" applyFont="1" applyFill="1" applyBorder="1" applyAlignment="1" applyProtection="1">
      <alignment horizontal="center" vertical="center"/>
      <protection locked="0"/>
    </xf>
    <xf numFmtId="14" fontId="87" fillId="5" borderId="51" xfId="0" applyNumberFormat="1" applyFont="1" applyFill="1" applyBorder="1" applyAlignment="1" applyProtection="1">
      <alignment horizontal="center" vertical="center"/>
      <protection locked="0"/>
    </xf>
    <xf numFmtId="0" fontId="68" fillId="5" borderId="15" xfId="0" applyFont="1" applyFill="1" applyBorder="1" applyAlignment="1">
      <alignment horizontal="center" vertical="center" wrapText="1"/>
    </xf>
    <xf numFmtId="0" fontId="68" fillId="5" borderId="59" xfId="0" applyFont="1" applyFill="1" applyBorder="1" applyAlignment="1">
      <alignment horizontal="center" vertical="center" wrapText="1"/>
    </xf>
    <xf numFmtId="0" fontId="62" fillId="0" borderId="7" xfId="0" applyFont="1" applyBorder="1" applyAlignment="1" applyProtection="1">
      <alignment horizontal="left" vertical="center" wrapText="1"/>
      <protection locked="0"/>
    </xf>
    <xf numFmtId="0" fontId="62" fillId="0" borderId="8" xfId="0" applyFont="1" applyBorder="1" applyAlignment="1" applyProtection="1">
      <alignment horizontal="left" vertical="center" wrapText="1"/>
      <protection locked="0"/>
    </xf>
    <xf numFmtId="0" fontId="62" fillId="0" borderId="4" xfId="0" applyFont="1" applyBorder="1" applyAlignment="1" applyProtection="1">
      <alignment horizontal="left" vertical="center" wrapText="1"/>
      <protection locked="0"/>
    </xf>
    <xf numFmtId="0" fontId="66" fillId="0" borderId="7" xfId="164" applyFont="1" applyBorder="1" applyAlignment="1">
      <alignment horizontal="left" vertical="center"/>
    </xf>
    <xf numFmtId="0" fontId="66" fillId="0" borderId="8" xfId="164" applyFont="1" applyBorder="1" applyAlignment="1">
      <alignment horizontal="left" vertical="center"/>
    </xf>
    <xf numFmtId="0" fontId="66" fillId="0" borderId="4" xfId="164" applyFont="1" applyBorder="1" applyAlignment="1">
      <alignment horizontal="left" vertical="center"/>
    </xf>
    <xf numFmtId="43" fontId="6" fillId="0" borderId="0" xfId="171" applyNumberFormat="1" applyFont="1" applyAlignment="1" applyProtection="1">
      <alignment vertical="center"/>
      <protection locked="0"/>
    </xf>
    <xf numFmtId="177" fontId="139" fillId="3" borderId="70" xfId="2" applyFont="1" applyFill="1" applyBorder="1" applyAlignment="1" applyProtection="1">
      <alignment horizontal="center" vertical="center"/>
      <protection locked="0"/>
    </xf>
    <xf numFmtId="0" fontId="140" fillId="20" borderId="0" xfId="0" applyFont="1" applyFill="1" applyAlignment="1">
      <alignment horizontal="center" vertical="center"/>
    </xf>
    <xf numFmtId="0" fontId="0" fillId="0" borderId="0" xfId="0" applyAlignment="1">
      <alignment vertical="center" wrapText="1"/>
    </xf>
    <xf numFmtId="0" fontId="118" fillId="0" borderId="0" xfId="336">
      <alignment vertical="center"/>
    </xf>
  </cellXfs>
  <cellStyles count="337">
    <cellStyle name="cellStyleNum 2" xfId="17" xr:uid="{00000000-0005-0000-0000-000040000000}"/>
    <cellStyle name="Check Cell 2" xfId="4" xr:uid="{00000000-0005-0000-0000-00000D000000}"/>
    <cellStyle name="Check Cell 2 2" xfId="19" xr:uid="{00000000-0005-0000-0000-000042000000}"/>
    <cellStyle name="Comma [0] 2" xfId="8" xr:uid="{00000000-0005-0000-0000-000015000000}"/>
    <cellStyle name="Comma [0] 2 2" xfId="22" xr:uid="{00000000-0005-0000-0000-000045000000}"/>
    <cellStyle name="Comma [0] 2 2 2" xfId="9" xr:uid="{00000000-0005-0000-0000-000018000000}"/>
    <cellStyle name="Comma [0] 2 2 2 2" xfId="10" xr:uid="{00000000-0005-0000-0000-00001C000000}"/>
    <cellStyle name="Comma [0] 2 2 2 2 2" xfId="124" xr:uid="{4E72E27F-DC0A-4E71-9DD7-4EED4140681D}"/>
    <cellStyle name="Comma [0] 2 2 2 2 2 2" xfId="211" xr:uid="{1D53592F-CCCE-43A4-92CF-671B272EB8A1}"/>
    <cellStyle name="Comma [0] 2 2 2 2 2 2 2" xfId="275" xr:uid="{B5867764-2389-42E2-A8EE-0B35FB07EB4E}"/>
    <cellStyle name="Comma [0] 2 2 2 2 3" xfId="179" xr:uid="{A0BA0575-A069-40C7-8076-1EB98D4F2AD5}"/>
    <cellStyle name="Comma [0] 2 2 2 2 3 2" xfId="245" xr:uid="{1E0DC773-C18A-4022-949B-70DF4C66A190}"/>
    <cellStyle name="Comma [0] 2 2 2 3" xfId="123" xr:uid="{4F2C947B-26B9-4FCF-B512-C20CE4BDD1DA}"/>
    <cellStyle name="Comma [0] 2 2 2 3 2" xfId="210" xr:uid="{E65892D8-B5DB-4024-8DAF-381E794AC73B}"/>
    <cellStyle name="Comma [0] 2 2 2 3 2 2" xfId="274" xr:uid="{0E8EDFC2-374A-45CD-AC2C-D2DF9A73B5E3}"/>
    <cellStyle name="Comma [0] 2 2 2 4" xfId="178" xr:uid="{4C90B7D5-F20E-4F5C-9999-008958249DE9}"/>
    <cellStyle name="Comma [0] 2 2 2 4 2" xfId="244" xr:uid="{97034D98-D7D6-4D84-A14B-A3C0E62A4C8A}"/>
    <cellStyle name="Comma [0] 2 2 3" xfId="11" xr:uid="{00000000-0005-0000-0000-000022000000}"/>
    <cellStyle name="Comma [0] 2 2 3 2" xfId="125" xr:uid="{F68247A2-B69D-4035-ACEA-59B4C7A70E7D}"/>
    <cellStyle name="Comma [0] 2 2 3 2 2" xfId="212" xr:uid="{8891F9BE-E954-454F-8403-A3E620BB96C4}"/>
    <cellStyle name="Comma [0] 2 2 3 2 2 2" xfId="276" xr:uid="{71F91AA7-2F82-4798-A376-0FFE7520E6CE}"/>
    <cellStyle name="Comma [0] 2 2 3 3" xfId="180" xr:uid="{C89A21C4-FC77-4035-81F0-0B3F30E48AED}"/>
    <cellStyle name="Comma [0] 2 2 3 3 2" xfId="246" xr:uid="{493F08EB-B234-40EA-8E34-F83B4961F05F}"/>
    <cellStyle name="Comma [0] 2 2 4" xfId="129" xr:uid="{110EC128-FFDB-4020-BA0F-A08988BDA7F6}"/>
    <cellStyle name="Comma [0] 2 2 4 2" xfId="216" xr:uid="{ADAC2905-A304-4B52-9F13-7537853FC8CC}"/>
    <cellStyle name="Comma [0] 2 2 4 2 2" xfId="280" xr:uid="{45844E09-30E9-4D14-9DB1-DDAD33D6CDD2}"/>
    <cellStyle name="Comma [0] 2 2 5" xfId="184" xr:uid="{4888996C-F2B2-498D-9805-7C52F30F4D9B}"/>
    <cellStyle name="Comma [0] 2 2 5 2" xfId="250" xr:uid="{BFCBD06E-5DA0-4904-AB9D-27864C8E07EC}"/>
    <cellStyle name="Comma [0] 2 3" xfId="6" xr:uid="{00000000-0005-0000-0000-000011000000}"/>
    <cellStyle name="Comma [0] 2 3 2" xfId="120" xr:uid="{213DFC4C-6875-4BA8-A17E-65B77394850D}"/>
    <cellStyle name="Comma [0] 2 3 2 2" xfId="207" xr:uid="{755ECB14-F600-4FA0-A8AA-35B2867C6A97}"/>
    <cellStyle name="Comma [0] 2 3 2 2 2" xfId="271" xr:uid="{15A37590-1147-4417-941A-25A45DDCD950}"/>
    <cellStyle name="Comma [0] 2 3 3" xfId="175" xr:uid="{DDBA65B2-01B9-4A42-A723-398B5305AF58}"/>
    <cellStyle name="Comma [0] 2 3 3 2" xfId="241" xr:uid="{C54287B0-445A-47B2-96AC-6B6AA73A392C}"/>
    <cellStyle name="Comma [0] 2 4" xfId="23" xr:uid="{00000000-0005-0000-0000-000046000000}"/>
    <cellStyle name="Comma [0] 2 4 2" xfId="130" xr:uid="{FBC3FCBE-8D51-4C34-A67B-25B5EE5C5097}"/>
    <cellStyle name="Comma [0] 2 4 2 2" xfId="217" xr:uid="{1B91C6F7-7D81-46CB-9ED8-A2562FF6FDE2}"/>
    <cellStyle name="Comma [0] 2 4 2 2 2" xfId="281" xr:uid="{62635C98-ACB5-48F3-90A2-F729F7B17315}"/>
    <cellStyle name="Comma [0] 2 4 3" xfId="185" xr:uid="{53EE19E2-D968-4118-8A76-85387F749338}"/>
    <cellStyle name="Comma [0] 2 4 3 2" xfId="251" xr:uid="{A567A625-3FD0-42EF-A126-0D0A682AE0B1}"/>
    <cellStyle name="Comma [0] 2 5" xfId="122" xr:uid="{5621916C-9136-4124-A587-5F29CE88EC48}"/>
    <cellStyle name="Comma [0] 2 5 2" xfId="209" xr:uid="{D08A5AE1-8E62-4A4B-877E-7920E7D319E2}"/>
    <cellStyle name="Comma [0] 2 5 2 2" xfId="273" xr:uid="{A848E03A-6307-43CA-932F-7C65CF725C00}"/>
    <cellStyle name="Comma [0] 2 6" xfId="177" xr:uid="{F92F3930-8654-4D2D-A9F2-C2C824D8F7C9}"/>
    <cellStyle name="Comma [0] 2 6 2" xfId="243" xr:uid="{5D5AD177-BCFA-4B7C-8A69-7DB0582F0BDA}"/>
    <cellStyle name="Comma [0] 3" xfId="3" xr:uid="{00000000-0005-0000-0000-00000C000000}"/>
    <cellStyle name="Comma [0] 3 2" xfId="119" xr:uid="{65BF7C5D-E9EA-463E-9BDF-84C476B90ACC}"/>
    <cellStyle name="Comma [0] 3 2 2" xfId="206" xr:uid="{B3FA8618-8AE5-4111-828E-21D05A59CCB9}"/>
    <cellStyle name="Comma [0] 3 2 2 2" xfId="270" xr:uid="{17C3FA46-05C3-4AD4-B3BB-630FC594C86D}"/>
    <cellStyle name="Comma [0] 3 2 3" xfId="313" xr:uid="{0521D7D5-FE40-472C-A130-9E11739E9CBB}"/>
    <cellStyle name="Comma [0] 3 3" xfId="174" xr:uid="{9D4BD04C-7222-4C1E-9D70-D19E147F42BD}"/>
    <cellStyle name="Comma [0] 3 3 2" xfId="240" xr:uid="{357D07B4-C045-400C-AF66-1F33BA69341B}"/>
    <cellStyle name="Comma 12" xfId="25" xr:uid="{00000000-0005-0000-0000-000048000000}"/>
    <cellStyle name="Comma 12 2" xfId="131" xr:uid="{750A6A42-31B1-49EF-B5EA-0F2518F283E3}"/>
    <cellStyle name="Comma 12 2 2" xfId="218" xr:uid="{C73816A9-6CAD-40C6-8EFE-DD72AD265931}"/>
    <cellStyle name="Comma 12 2 2 2" xfId="282" xr:uid="{F65DC52E-23DC-4D07-ACAD-292286623FAC}"/>
    <cellStyle name="Comma 12 3" xfId="186" xr:uid="{8DA26401-B027-46F9-9197-A1462A070503}"/>
    <cellStyle name="Comma 12 3 2" xfId="252" xr:uid="{61A06338-3049-4835-AA70-5AB0D74B9119}"/>
    <cellStyle name="Comma 15" xfId="26" xr:uid="{00000000-0005-0000-0000-000049000000}"/>
    <cellStyle name="Comma 15 2" xfId="132" xr:uid="{74084063-E3E0-42E6-A7B2-BD2C0CA8A661}"/>
    <cellStyle name="Comma 15 2 2" xfId="219" xr:uid="{0AFDA27F-FBDF-402E-8D9E-8E2F70E493F4}"/>
    <cellStyle name="Comma 15 2 2 2" xfId="283" xr:uid="{441B0302-120D-444C-AECC-8FEE24C4B561}"/>
    <cellStyle name="Comma 15 2 3" xfId="314" xr:uid="{66241553-6CE1-4477-B2A0-CA7AB3730A3E}"/>
    <cellStyle name="Comma 15 3" xfId="187" xr:uid="{61926C2B-C726-4127-AB03-0500E2CEF804}"/>
    <cellStyle name="Comma 15 3 2" xfId="253" xr:uid="{EA7FB4F2-BA5E-45AC-8D5E-503CBB78ACD8}"/>
    <cellStyle name="Comma 2" xfId="7" xr:uid="{00000000-0005-0000-0000-000014000000}"/>
    <cellStyle name="Comma 2 2" xfId="21" xr:uid="{00000000-0005-0000-0000-000044000000}"/>
    <cellStyle name="Comma 2 2 2" xfId="27" xr:uid="{00000000-0005-0000-0000-00004A000000}"/>
    <cellStyle name="Comma 2 2 2 2" xfId="133" xr:uid="{440D7CD1-B2E4-47F6-A81A-237FACA3B82E}"/>
    <cellStyle name="Comma 2 2 2 2 2" xfId="220" xr:uid="{D4467DBD-52CA-4D78-967E-39E861A16C3E}"/>
    <cellStyle name="Comma 2 2 2 2 2 2" xfId="284" xr:uid="{3A7E9C68-EC0A-403E-97A0-C2B9BC26697A}"/>
    <cellStyle name="Comma 2 2 2 3" xfId="188" xr:uid="{AA1529D1-BA58-4B6D-B040-3BD32F903485}"/>
    <cellStyle name="Comma 2 2 2 3 2" xfId="254" xr:uid="{AE654B13-2A4C-4A35-ACAB-7CA33C29E5FD}"/>
    <cellStyle name="Comma 2 2 3" xfId="128" xr:uid="{AAF2A450-55C5-4838-BA76-DAFD6544D251}"/>
    <cellStyle name="Comma 2 2 3 2" xfId="215" xr:uid="{43A0C136-379F-4071-9B57-BA2E52C3707B}"/>
    <cellStyle name="Comma 2 2 3 2 2" xfId="279" xr:uid="{8397FA7A-E168-484F-A2E7-B8AA0DB8DD3E}"/>
    <cellStyle name="Comma 2 2 4" xfId="183" xr:uid="{CB16E91B-85CA-4555-82B1-64BBA1EF780C}"/>
    <cellStyle name="Comma 2 2 4 2" xfId="249" xr:uid="{E5276EEB-0D4A-46F8-9AB0-57D297DA1B13}"/>
    <cellStyle name="Comma 2 3" xfId="29" xr:uid="{00000000-0005-0000-0000-00004C000000}"/>
    <cellStyle name="Comma 2 3 2" xfId="135" xr:uid="{7E77BA09-00F5-48B2-BF1C-647DF9DF3DFE}"/>
    <cellStyle name="Comma 2 3 2 2" xfId="222" xr:uid="{7E3B8212-7744-4E87-8B20-0935D0371F96}"/>
    <cellStyle name="Comma 2 3 2 2 2" xfId="286" xr:uid="{5E389C45-496E-46A0-839D-C7BC1F14EBDC}"/>
    <cellStyle name="Comma 2 3 3" xfId="190" xr:uid="{EA25CEF1-1B70-4ED2-9D7A-3983FEB9FD36}"/>
    <cellStyle name="Comma 2 3 3 2" xfId="256" xr:uid="{931626E3-0E3C-4322-BCDE-8718C6414DF0}"/>
    <cellStyle name="Comma 2 4" xfId="30" xr:uid="{00000000-0005-0000-0000-00004D000000}"/>
    <cellStyle name="Comma 2 4 2" xfId="136" xr:uid="{DC56C2DE-A7A9-4129-9440-CCAAF53E0705}"/>
    <cellStyle name="Comma 2 4 2 2" xfId="223" xr:uid="{594337BB-BAEC-4FBD-87D6-BA2E958DC7BF}"/>
    <cellStyle name="Comma 2 4 2 2 2" xfId="287" xr:uid="{7CC7B3A5-6978-492A-B6E5-6F4C1F8BF2F5}"/>
    <cellStyle name="Comma 2 4 3" xfId="191" xr:uid="{4D74CAB7-2373-4854-ABA5-DAF0ADD83B79}"/>
    <cellStyle name="Comma 2 4 3 2" xfId="257" xr:uid="{355D4E37-F1D7-49CA-9B66-053F2F30F68E}"/>
    <cellStyle name="Comma 2 5" xfId="121" xr:uid="{10585534-ABCB-4D4E-869F-069CDCCA8C39}"/>
    <cellStyle name="Comma 2 5 2" xfId="208" xr:uid="{5D5485B1-5E93-4739-B76B-BCFF144843EA}"/>
    <cellStyle name="Comma 2 5 2 2" xfId="272" xr:uid="{851169B1-31D0-4915-9444-06D35B473AB4}"/>
    <cellStyle name="Comma 2 6" xfId="176" xr:uid="{FB063588-89D2-43C8-B236-44A4E2CD1953}"/>
    <cellStyle name="Comma 2 6 2" xfId="242" xr:uid="{BD8BE1C4-AF2D-4F7E-B838-5BF047AE8D31}"/>
    <cellStyle name="Comma 2 7" xfId="315" xr:uid="{F6FCFF66-0EEB-4783-9BB2-3755E1C55EF8}"/>
    <cellStyle name="Comma 2_1" xfId="31" xr:uid="{00000000-0005-0000-0000-00004E000000}"/>
    <cellStyle name="Comma 3" xfId="32" xr:uid="{00000000-0005-0000-0000-00004F000000}"/>
    <cellStyle name="Comma 3 2" xfId="137" xr:uid="{2D7CA84B-E936-4083-A94F-0AAF08C8E4C7}"/>
    <cellStyle name="Comma 3 2 2" xfId="224" xr:uid="{CD37CD20-BA7C-47B9-B80D-09AE9DDE5DF3}"/>
    <cellStyle name="Comma 3 2 2 2" xfId="288" xr:uid="{08817351-BF46-46E3-ABBE-0A86BFA1C62C}"/>
    <cellStyle name="Comma 3 3" xfId="192" xr:uid="{2B6A364A-F015-41C0-8D22-71D264FFE01C}"/>
    <cellStyle name="Comma 3 3 2" xfId="258" xr:uid="{2A24DE10-4D46-4015-B431-7B9D0E1F9A05}"/>
    <cellStyle name="Comma 4" xfId="33" xr:uid="{00000000-0005-0000-0000-000050000000}"/>
    <cellStyle name="Comma 4 2" xfId="138" xr:uid="{856A3755-09D3-4A09-BD82-F31AA9153D2A}"/>
    <cellStyle name="Comma 4 2 2" xfId="225" xr:uid="{BE8E1FE5-BE58-42A4-9721-3263FC3F2643}"/>
    <cellStyle name="Comma 4 2 2 2" xfId="289" xr:uid="{460293A6-9ECA-467F-A906-2DF5C702348C}"/>
    <cellStyle name="Comma 4 2 3" xfId="316" xr:uid="{8BBCD851-30A9-4A3E-83BD-F947E68A3FA8}"/>
    <cellStyle name="Comma 4 3" xfId="193" xr:uid="{65EAF11A-0811-44CC-9D27-CB8451E19675}"/>
    <cellStyle name="Comma 4 3 2" xfId="259" xr:uid="{7E559311-6658-486E-8B96-63AFDE228790}"/>
    <cellStyle name="Comma 5" xfId="34" xr:uid="{00000000-0005-0000-0000-000051000000}"/>
    <cellStyle name="Comma 5 2" xfId="139" xr:uid="{C7A9EFC5-4DBA-459B-8046-2C8AD2D029A9}"/>
    <cellStyle name="Comma 5 2 2" xfId="226" xr:uid="{59B1AE32-C41B-47A1-A55D-8A939EBABECC}"/>
    <cellStyle name="Comma 5 2 2 2" xfId="290" xr:uid="{AFE159E4-877B-4320-A8BB-F12B99FA4A19}"/>
    <cellStyle name="Comma 5 3" xfId="194" xr:uid="{EBD817CC-2D21-4E18-BA88-D7CE5B2DEE20}"/>
    <cellStyle name="Comma 5 3 2" xfId="260" xr:uid="{E07A32AB-A852-44ED-AB43-105E536A9BE4}"/>
    <cellStyle name="Comma 7" xfId="112" xr:uid="{B1D07FB5-A2AD-443B-9530-1673FA155455}"/>
    <cellStyle name="Comma 7 2" xfId="147" xr:uid="{4FD34A22-F97A-4DC1-B068-926CCE7ECC5B}"/>
    <cellStyle name="Comma 7 2 2" xfId="234" xr:uid="{8EACFAC2-9269-416E-A0A4-F2D5860815A8}"/>
    <cellStyle name="Comma 7 2 2 2" xfId="298" xr:uid="{8A7E276C-B35E-4CD3-B5C4-CD061AF40838}"/>
    <cellStyle name="Comma 7 3" xfId="202" xr:uid="{B090CF2D-68E3-4428-8FF1-2D5DE928944F}"/>
    <cellStyle name="Comma 7 3 2" xfId="268" xr:uid="{A72CA39F-81F8-46D5-8D9B-3AA5F0C60614}"/>
    <cellStyle name="dataStyle 2" xfId="35" xr:uid="{00000000-0005-0000-0000-000052000000}"/>
    <cellStyle name="dataStyle 3" xfId="36" xr:uid="{00000000-0005-0000-0000-000053000000}"/>
    <cellStyle name="Good 2" xfId="37" xr:uid="{00000000-0005-0000-0000-000054000000}"/>
    <cellStyle name="Good 2 2" xfId="38" xr:uid="{00000000-0005-0000-0000-000055000000}"/>
    <cellStyle name="Hyperlink" xfId="335" xr:uid="{00000000-000B-0000-0000-000008000000}"/>
    <cellStyle name="Hyperlink 2" xfId="15" xr:uid="{00000000-0005-0000-0000-000034000000}"/>
    <cellStyle name="Hyperlink 2 2" xfId="39" xr:uid="{00000000-0005-0000-0000-000056000000}"/>
    <cellStyle name="Hyperlink 2 2 3" xfId="163" xr:uid="{C7E2CC21-5688-48CA-9BF4-0AC78934135B}"/>
    <cellStyle name="Hyperlink 2 2 4" xfId="317" xr:uid="{DA303DBF-4943-4405-B2BF-6CBA87D3F94A}"/>
    <cellStyle name="Hyperlink 4" xfId="16" xr:uid="{00000000-0005-0000-0000-000039000000}"/>
    <cellStyle name="Hyperlink 4 2" xfId="40" xr:uid="{00000000-0005-0000-0000-000057000000}"/>
    <cellStyle name="Normal 10" xfId="41" xr:uid="{00000000-0005-0000-0000-000058000000}"/>
    <cellStyle name="Normal 10 10" xfId="42" xr:uid="{00000000-0005-0000-0000-000059000000}"/>
    <cellStyle name="Normal 103" xfId="43" xr:uid="{00000000-0005-0000-0000-00005A000000}"/>
    <cellStyle name="Normal 103 2" xfId="44" xr:uid="{00000000-0005-0000-0000-00005B000000}"/>
    <cellStyle name="Normal 103 3" xfId="45" xr:uid="{00000000-0005-0000-0000-00005C000000}"/>
    <cellStyle name="Normal 11" xfId="46" xr:uid="{00000000-0005-0000-0000-00005D000000}"/>
    <cellStyle name="Normal 12" xfId="148" xr:uid="{DB4ED536-CA33-4FFD-9CFA-CD8D4FCC6525}"/>
    <cellStyle name="Normal 12 2" xfId="18" xr:uid="{00000000-0005-0000-0000-000041000000}"/>
    <cellStyle name="Normal 12 2 2 2 2" xfId="157" xr:uid="{B8A0BF45-E064-40A1-A7D5-CACE72351CC8}"/>
    <cellStyle name="Normal 12 2 3" xfId="154" xr:uid="{40E94F5D-B264-44A6-ACEF-D77168AC99EC}"/>
    <cellStyle name="Normal 12 3" xfId="318" xr:uid="{6A076F13-5366-4F4C-AACC-FD8CB6EE324E}"/>
    <cellStyle name="Normal 12 5" xfId="166" xr:uid="{820CFF23-5ABA-4F5C-9FA0-80A5A186E4D8}"/>
    <cellStyle name="Normal 121 2" xfId="47" xr:uid="{00000000-0005-0000-0000-00005E000000}"/>
    <cellStyle name="Normal 121 2 2" xfId="48" xr:uid="{00000000-0005-0000-0000-00005F000000}"/>
    <cellStyle name="Normal 121 2 2 2" xfId="49" xr:uid="{00000000-0005-0000-0000-000060000000}"/>
    <cellStyle name="Normal 121 2 2 2 4" xfId="167" xr:uid="{E73BE765-C361-4634-8172-EF27FA7E0AF9}"/>
    <cellStyle name="Normal 121 2 3" xfId="50" xr:uid="{00000000-0005-0000-0000-000061000000}"/>
    <cellStyle name="Normal 121 4" xfId="152" xr:uid="{559D00B9-8533-493E-9ED1-26DC0CF2036A}"/>
    <cellStyle name="Normal 125" xfId="13" xr:uid="{00000000-0005-0000-0000-000031000000}"/>
    <cellStyle name="Normal 125 2" xfId="51" xr:uid="{00000000-0005-0000-0000-000062000000}"/>
    <cellStyle name="Normal 126" xfId="1" xr:uid="{00000000-0005-0000-0000-000007000000}"/>
    <cellStyle name="Normal 126 2" xfId="52" xr:uid="{00000000-0005-0000-0000-000063000000}"/>
    <cellStyle name="Normal 13" xfId="53" xr:uid="{00000000-0005-0000-0000-000064000000}"/>
    <cellStyle name="Normal 13 2" xfId="54" xr:uid="{00000000-0005-0000-0000-000065000000}"/>
    <cellStyle name="Normal 14" xfId="113" xr:uid="{DF148507-09AB-4461-8F2B-0A9CE3EE4AF1}"/>
    <cellStyle name="Normal 16" xfId="155" xr:uid="{CB7589CD-8EB0-441E-BD02-59D15021A33B}"/>
    <cellStyle name="Normal 17" xfId="312" xr:uid="{421238D4-81AB-42F9-A0B9-1F5B6A81AD66}"/>
    <cellStyle name="Normal 19" xfId="299" xr:uid="{3B46BB05-77D1-4EF1-B6F6-CE8682007534}"/>
    <cellStyle name="Normal 2" xfId="56" xr:uid="{00000000-0005-0000-0000-000067000000}"/>
    <cellStyle name="Normal 2 10" xfId="319" xr:uid="{C0366258-9E82-4389-B63B-A070ECB5AF20}"/>
    <cellStyle name="Normal 2 10 2" xfId="57" xr:uid="{00000000-0005-0000-0000-000068000000}"/>
    <cellStyle name="Normal 2 2" xfId="58" xr:uid="{00000000-0005-0000-0000-000069000000}"/>
    <cellStyle name="Normal 2 2 2" xfId="59" xr:uid="{00000000-0005-0000-0000-00006A000000}"/>
    <cellStyle name="Normal 2 2 2 2" xfId="159" xr:uid="{C9AB3AE5-4AF0-4B5D-A8BC-842B11EAD99D}"/>
    <cellStyle name="Normal 2 2 2 3" xfId="320" xr:uid="{84EE7B8B-8EBC-4CAA-9163-00E4F68741B6}"/>
    <cellStyle name="Normal 2 2 3" xfId="161" xr:uid="{07565753-94B0-4BD8-B953-49E3D8F2FBDD}"/>
    <cellStyle name="Normal 2 2 3 2" xfId="60" xr:uid="{00000000-0005-0000-0000-00006B000000}"/>
    <cellStyle name="Normal 2 2 4" xfId="162" xr:uid="{29E84983-4591-4FA0-B113-EE8C1430103B}"/>
    <cellStyle name="Normal 2 2_1" xfId="61" xr:uid="{00000000-0005-0000-0000-00006C000000}"/>
    <cellStyle name="Normal 2 3" xfId="62" xr:uid="{00000000-0005-0000-0000-00006D000000}"/>
    <cellStyle name="Normal 2 3 2" xfId="63" xr:uid="{00000000-0005-0000-0000-00006E000000}"/>
    <cellStyle name="Normal 2 3 2 2" xfId="12" xr:uid="{00000000-0005-0000-0000-000028000000}"/>
    <cellStyle name="Normal 2 3 2 2 3" xfId="64" xr:uid="{00000000-0005-0000-0000-00006F000000}"/>
    <cellStyle name="Normal 2 3 2 2 4" xfId="151" xr:uid="{31B492C2-02D3-4E63-AB00-9758E02F5096}"/>
    <cellStyle name="Normal 2 3 2 4" xfId="24" xr:uid="{00000000-0005-0000-0000-000047000000}"/>
    <cellStyle name="Normal 2 3 3" xfId="65" xr:uid="{00000000-0005-0000-0000-000070000000}"/>
    <cellStyle name="Normal 2 3 3 2" xfId="66" xr:uid="{00000000-0005-0000-0000-000071000000}"/>
    <cellStyle name="Normal 2 3 4" xfId="67" xr:uid="{00000000-0005-0000-0000-000072000000}"/>
    <cellStyle name="Normal 2 3 5" xfId="55" xr:uid="{00000000-0005-0000-0000-000066000000}"/>
    <cellStyle name="Normal 2 3 6" xfId="153" xr:uid="{703BCB9B-08CE-4681-8721-3409F5BDB3AB}"/>
    <cellStyle name="Normal 2 3 6 2" xfId="169" xr:uid="{DBE659F5-3A0A-4061-8E41-98A2201397CF}"/>
    <cellStyle name="Normal 2 3 6 2 2" xfId="237" xr:uid="{20CDE02B-7FF9-439B-852E-A9A4E950EF61}"/>
    <cellStyle name="Normal 2 3 6 2 3" xfId="321" xr:uid="{4141B06E-6D3A-45F8-BD0A-1470274C74DC}"/>
    <cellStyle name="Normal 2 3 6 3" xfId="172" xr:uid="{A517E95E-FE73-4D4C-B5FE-6133AA47D160}"/>
    <cellStyle name="Normal 2 3 6 4" xfId="322" xr:uid="{1CCBAE18-FE56-43D4-9612-92D0F518C307}"/>
    <cellStyle name="Normal 2 4" xfId="68" xr:uid="{00000000-0005-0000-0000-000073000000}"/>
    <cellStyle name="Normal 2 5" xfId="300" xr:uid="{171AB1A2-57D5-4B24-93FA-0E9479ECCFC4}"/>
    <cellStyle name="Normal 2 6" xfId="301" xr:uid="{2B4015F4-9B23-4B7A-8308-644B14541A26}"/>
    <cellStyle name="Normal 2 7" xfId="305" xr:uid="{6E06C1AD-C2FA-4D47-B489-22A20DE321AC}"/>
    <cellStyle name="Normal 3" xfId="69" xr:uid="{00000000-0005-0000-0000-000074000000}"/>
    <cellStyle name="Normal 3 2" xfId="70" xr:uid="{00000000-0005-0000-0000-000075000000}"/>
    <cellStyle name="Normal 3 2 2 2 2" xfId="323" xr:uid="{10CA7C6F-E582-491C-9BA5-F01BFB283D38}"/>
    <cellStyle name="Normal 3 3" xfId="71" xr:uid="{00000000-0005-0000-0000-000076000000}"/>
    <cellStyle name="Normal 4" xfId="72" xr:uid="{00000000-0005-0000-0000-000077000000}"/>
    <cellStyle name="Normal 4 3" xfId="73" xr:uid="{00000000-0005-0000-0000-000078000000}"/>
    <cellStyle name="Normal 5" xfId="74" xr:uid="{00000000-0005-0000-0000-000079000000}"/>
    <cellStyle name="Normal 6" xfId="75" xr:uid="{00000000-0005-0000-0000-00007A000000}"/>
    <cellStyle name="Normal 7" xfId="76" xr:uid="{00000000-0005-0000-0000-00007B000000}"/>
    <cellStyle name="Normal 8" xfId="77" xr:uid="{00000000-0005-0000-0000-00007C000000}"/>
    <cellStyle name="Normal 9" xfId="78" xr:uid="{00000000-0005-0000-0000-00007D000000}"/>
    <cellStyle name="Normal 9 2 2" xfId="158" xr:uid="{2082E891-801B-4565-A4AE-27545AAB73AD}"/>
    <cellStyle name="Normal_N" xfId="80" xr:uid="{00000000-0005-0000-0000-00007F000000}"/>
    <cellStyle name="Normal_Sheet2" xfId="81" xr:uid="{00000000-0005-0000-0000-000080000000}"/>
    <cellStyle name="Percent 2" xfId="82" xr:uid="{00000000-0005-0000-0000-000081000000}"/>
    <cellStyle name="Percent 2 2" xfId="83" xr:uid="{00000000-0005-0000-0000-000082000000}"/>
    <cellStyle name="Percent 2 3" xfId="324" xr:uid="{F87081E3-5AC6-4429-B1AD-8FE7826BC143}"/>
    <cellStyle name="Percent 3" xfId="84" xr:uid="{00000000-0005-0000-0000-000083000000}"/>
    <cellStyle name="Percent 4" xfId="85" xr:uid="{00000000-0005-0000-0000-000084000000}"/>
    <cellStyle name="Percent 5" xfId="79" xr:uid="{00000000-0005-0000-0000-00007E000000}"/>
    <cellStyle name="百分比" xfId="5" builtinId="5"/>
    <cellStyle name="百分比 2" xfId="86" xr:uid="{00000000-0005-0000-0000-000085000000}"/>
    <cellStyle name="百分比 2 2" xfId="87" xr:uid="{00000000-0005-0000-0000-000086000000}"/>
    <cellStyle name="百分比 2 3" xfId="325" xr:uid="{988BB24D-14D8-483D-B0BA-12691C040EDB}"/>
    <cellStyle name="百分比 3" xfId="88" xr:uid="{00000000-0005-0000-0000-000087000000}"/>
    <cellStyle name="百分比 4" xfId="165" xr:uid="{8571A0FC-08E8-47DB-9E22-D89A529EC92F}"/>
    <cellStyle name="常规" xfId="0" builtinId="0"/>
    <cellStyle name="常规 10" xfId="150" xr:uid="{A00B73A5-08BF-4BAD-9444-B09947D79E0E}"/>
    <cellStyle name="常规 2" xfId="89" xr:uid="{00000000-0005-0000-0000-000088000000}"/>
    <cellStyle name="常规 2- " xfId="90" xr:uid="{00000000-0005-0000-0000-000089000000}"/>
    <cellStyle name="常规 2-  2" xfId="91" xr:uid="{00000000-0005-0000-0000-00008A000000}"/>
    <cellStyle name="常规 2 14" xfId="326" xr:uid="{62CE6193-7AAE-43D5-9F38-D337C2EF4C0C}"/>
    <cellStyle name="常规 2 2" xfId="92" xr:uid="{00000000-0005-0000-0000-00008B000000}"/>
    <cellStyle name="常规 2 2 2" xfId="93" xr:uid="{00000000-0005-0000-0000-00008C000000}"/>
    <cellStyle name="常规 2 2 2 2" xfId="94" xr:uid="{00000000-0005-0000-0000-00008D000000}"/>
    <cellStyle name="常规 2 2 2 3" xfId="95" xr:uid="{00000000-0005-0000-0000-00008E000000}"/>
    <cellStyle name="常规 2 2 2 3 2" xfId="96" xr:uid="{00000000-0005-0000-0000-00008F000000}"/>
    <cellStyle name="常规 2 2 3" xfId="97" xr:uid="{00000000-0005-0000-0000-000090000000}"/>
    <cellStyle name="常规 2 2 5" xfId="117" xr:uid="{81BA9D76-E918-4492-B3C8-7E842EEB597E}"/>
    <cellStyle name="常规 2 2 5 2" xfId="156" xr:uid="{063DAA16-D18B-4186-8316-5CDB63B603CB}"/>
    <cellStyle name="常规 2 2 5 2 2" xfId="160" xr:uid="{FC146E66-3552-45E5-87A3-A6578196C188}"/>
    <cellStyle name="常规 2 2 5 2 2 2" xfId="236" xr:uid="{D1866C34-6F77-4919-9F9F-7B644F2C09EA}"/>
    <cellStyle name="常规 2 2 5 2 3" xfId="235" xr:uid="{A403BD5A-6E0F-45C9-9E6E-6416710BD8FB}"/>
    <cellStyle name="常规 2 2 5 2 4" xfId="327" xr:uid="{B9796BF9-B0BA-4E97-897D-4DF51059A219}"/>
    <cellStyle name="常规 2 2 5 3" xfId="170" xr:uid="{0B35FAF1-A150-44D7-8813-3C4D40183664}"/>
    <cellStyle name="常规 2 2 5 3 2" xfId="238" xr:uid="{17840C49-DE5A-4A3B-84E1-C72D214B4C12}"/>
    <cellStyle name="常规 2 2 5 3 3" xfId="328" xr:uid="{E358FBF2-4484-4724-9F71-BD68E9FAB33E}"/>
    <cellStyle name="常规 2 2 5 4" xfId="204" xr:uid="{356E267F-95BC-4D1D-8F03-89E63B7384FC}"/>
    <cellStyle name="常规 2 2 5 5" xfId="329" xr:uid="{E02F105C-7ABA-472D-A328-765AC704F84E}"/>
    <cellStyle name="常规 2 3" xfId="98" xr:uid="{00000000-0005-0000-0000-000091000000}"/>
    <cellStyle name="常规 2 4" xfId="115" xr:uid="{D67CE6EC-7C3C-4861-8F03-CD44DCE86A7A}"/>
    <cellStyle name="常规 2 4 2" xfId="203" xr:uid="{18313679-20B2-4DE1-BCA9-DA1BBD196F2C}"/>
    <cellStyle name="常规 3" xfId="99" xr:uid="{00000000-0005-0000-0000-000092000000}"/>
    <cellStyle name="常规 3 2" xfId="100" xr:uid="{00000000-0005-0000-0000-000093000000}"/>
    <cellStyle name="常规 3 2 2" xfId="101" xr:uid="{00000000-0005-0000-0000-000094000000}"/>
    <cellStyle name="常规 3 2 3" xfId="114" xr:uid="{675A1209-6D2C-4AEE-9D87-FF7DBB458110}"/>
    <cellStyle name="常规 4" xfId="102" xr:uid="{00000000-0005-0000-0000-000095000000}"/>
    <cellStyle name="常规 5" xfId="149" xr:uid="{58A4FE20-FD09-49CA-A039-8FC6814E5DAC}"/>
    <cellStyle name="常规 6" xfId="171" xr:uid="{162C1E4D-AE13-437B-82D0-07935C6F335B}"/>
    <cellStyle name="常规 6 2" xfId="330" xr:uid="{06151D5A-2CA2-4647-AA03-4343415270E9}"/>
    <cellStyle name="常规 7" xfId="164" xr:uid="{91E723C7-29CC-43B8-A208-C5D0CB940DEC}"/>
    <cellStyle name="常规 8" xfId="303" xr:uid="{A5A7590E-92AC-48D4-941D-82D229BFC0C0}"/>
    <cellStyle name="常规 9" xfId="333" xr:uid="{1B493433-1FFB-49A0-B566-EC43AEBAF285}"/>
    <cellStyle name="超链接" xfId="336" builtinId="8"/>
    <cellStyle name="超链接 2" xfId="103" xr:uid="{00000000-0005-0000-0000-000097000000}"/>
    <cellStyle name="超链接 3" xfId="116" xr:uid="{60540B4A-9255-44DB-A344-EC6955193348}"/>
    <cellStyle name="超链接 4" xfId="168" xr:uid="{372E3602-7403-4BBC-B69D-EBCBC6697BF8}"/>
    <cellStyle name="超链接 5" xfId="304" xr:uid="{F145D2A9-C7D6-46C2-A8D6-457273958E3A}"/>
    <cellStyle name="超链接 6" xfId="309" xr:uid="{FED3A72D-A7DB-473F-9FEA-39BE45A99E5C}"/>
    <cellStyle name="货币 2" xfId="308" xr:uid="{08CF346A-74FC-451F-828D-7D5B64321960}"/>
    <cellStyle name="货币 3" xfId="311" xr:uid="{A2ABD313-88A9-4EF0-9CD3-61B28BF12A0A}"/>
    <cellStyle name="普通_附23_PBC4" xfId="104" xr:uid="{00000000-0005-0000-0000-000098000000}"/>
    <cellStyle name="千位分隔" xfId="2" builtinId="3"/>
    <cellStyle name="千位分隔 2" xfId="105" xr:uid="{00000000-0005-0000-0000-000099000000}"/>
    <cellStyle name="千位分隔 2 2" xfId="106" xr:uid="{00000000-0005-0000-0000-00009A000000}"/>
    <cellStyle name="千位分隔 2 2 2" xfId="107" xr:uid="{00000000-0005-0000-0000-00009B000000}"/>
    <cellStyle name="千位分隔 2 2 2 2" xfId="142" xr:uid="{8CEEA54F-260A-4044-B0F5-3E67BFBD0135}"/>
    <cellStyle name="千位分隔 2 2 2 2 2" xfId="229" xr:uid="{2D29AE13-0E95-4EFA-87A5-C655774415A8}"/>
    <cellStyle name="千位分隔 2 2 2 2 2 2" xfId="293" xr:uid="{8E883D7F-B3A0-46F4-A554-E40169C17381}"/>
    <cellStyle name="千位分隔 2 2 2 3" xfId="197" xr:uid="{E4C93463-89C2-4168-A40D-2E48A62F5FA3}"/>
    <cellStyle name="千位分隔 2 2 2 3 2" xfId="263" xr:uid="{27ABC3D2-B03D-4713-9B99-7A0FF24AC2D3}"/>
    <cellStyle name="千位分隔 2 2 3" xfId="108" xr:uid="{00000000-0005-0000-0000-00009C000000}"/>
    <cellStyle name="千位分隔 2 2 3 2" xfId="143" xr:uid="{AB4D8697-D268-424A-9B42-492DC66AFF62}"/>
    <cellStyle name="千位分隔 2 2 3 2 2" xfId="230" xr:uid="{66219EED-EC19-48DB-BD88-297D9A7BB29B}"/>
    <cellStyle name="千位分隔 2 2 3 2 2 2" xfId="294" xr:uid="{EC285B28-B521-4E02-8BB5-1D2559F31C45}"/>
    <cellStyle name="千位分隔 2 2 3 3" xfId="198" xr:uid="{D440D84B-41B4-4798-AD02-B453F42F76BD}"/>
    <cellStyle name="千位分隔 2 2 3 3 2" xfId="264" xr:uid="{B68F2CCB-96A2-4D4E-B4A9-18E367BB8101}"/>
    <cellStyle name="千位分隔 2 2 4" xfId="141" xr:uid="{EC873DD2-9BA2-4D2B-8182-8494E0DFE0A9}"/>
    <cellStyle name="千位分隔 2 2 4 2" xfId="228" xr:uid="{7643014C-0B62-4F9A-946F-8662FD83FCA6}"/>
    <cellStyle name="千位分隔 2 2 4 2 2" xfId="292" xr:uid="{ED0A331C-F81C-4526-B1D1-5D8A8978F59E}"/>
    <cellStyle name="千位分隔 2 2 5" xfId="196" xr:uid="{F0A378CD-17B2-4EC2-B3DF-E76827E0832A}"/>
    <cellStyle name="千位分隔 2 2 5 2" xfId="262" xr:uid="{74EE9088-4C44-459C-91E5-EA0B46E0AABF}"/>
    <cellStyle name="千位分隔 2 2 6" xfId="331" xr:uid="{57429C63-B5FD-4C2B-9508-AD23918D0B6E}"/>
    <cellStyle name="千位分隔 2 3" xfId="109" xr:uid="{00000000-0005-0000-0000-00009D000000}"/>
    <cellStyle name="千位分隔 2 3 2" xfId="144" xr:uid="{24045BBB-D59F-4681-AAC6-50FEDD07F2E2}"/>
    <cellStyle name="千位分隔 2 3 2 2" xfId="231" xr:uid="{4861C4F2-2CFF-446B-816A-ADADD395F358}"/>
    <cellStyle name="千位分隔 2 3 2 2 2" xfId="295" xr:uid="{8C75CB2C-A103-480B-8773-794330CE12C9}"/>
    <cellStyle name="千位分隔 2 3 3" xfId="199" xr:uid="{FD5D4F5A-7137-4CAE-8677-44E7070D65C5}"/>
    <cellStyle name="千位分隔 2 3 3 2" xfId="265" xr:uid="{384A40B2-2459-41C5-83CD-C3818E5F3205}"/>
    <cellStyle name="千位分隔 2 4" xfId="140" xr:uid="{FE67FD6B-4BA0-48FE-827C-D34547D126B5}"/>
    <cellStyle name="千位分隔 2 4 2" xfId="227" xr:uid="{2D4EBEF3-A80B-497E-AFB4-1549E0796B31}"/>
    <cellStyle name="千位分隔 2 4 2 2" xfId="291" xr:uid="{9E876AE4-FF52-49D6-840B-5B3E095AE640}"/>
    <cellStyle name="千位分隔 2 5" xfId="195" xr:uid="{0FD53AC3-568F-4879-8734-041A3B352141}"/>
    <cellStyle name="千位分隔 2 5 2" xfId="261" xr:uid="{C1D2CC8C-2007-4EA8-BEEB-4B411F25B9B5}"/>
    <cellStyle name="千位分隔 2 7" xfId="110" xr:uid="{00000000-0005-0000-0000-00009E000000}"/>
    <cellStyle name="千位分隔 2 7 2" xfId="145" xr:uid="{7A6B8D2F-B20F-48ED-A4BA-4594A462FA98}"/>
    <cellStyle name="千位分隔 2 7 2 2" xfId="232" xr:uid="{02F3B330-D1E0-4F98-96E6-CADA4FB9571C}"/>
    <cellStyle name="千位分隔 2 7 2 2 2" xfId="296" xr:uid="{D6EAA793-6B03-43BB-8840-6A6E1081765F}"/>
    <cellStyle name="千位分隔 2 7 3" xfId="200" xr:uid="{8B234904-17FE-46FF-BD15-D75DDCC6ED44}"/>
    <cellStyle name="千位分隔 2 7 3 2" xfId="266" xr:uid="{487745CC-9D9F-412B-8F48-AC4F5C6051F4}"/>
    <cellStyle name="千位分隔 3" xfId="20" xr:uid="{00000000-0005-0000-0000-000043000000}"/>
    <cellStyle name="千位分隔 3 2" xfId="127" xr:uid="{17758202-530E-4346-BA41-9EC2ECE1FEA4}"/>
    <cellStyle name="千位分隔 3 2 2" xfId="214" xr:uid="{FB991C71-2FB0-4CFB-8EE4-208B51C3D30A}"/>
    <cellStyle name="千位分隔 3 2 2 2" xfId="278" xr:uid="{329614F3-00BD-4B31-8F0C-2544DB71F7A3}"/>
    <cellStyle name="千位分隔 3 3" xfId="182" xr:uid="{0093AED3-FAEF-4F9F-989C-4844C2391FC7}"/>
    <cellStyle name="千位分隔 3 3 2" xfId="248" xr:uid="{00CA6674-0A01-4B99-888C-B29E94FD5476}"/>
    <cellStyle name="千位分隔 3 4" xfId="111" xr:uid="{00000000-0005-0000-0000-00009F000000}"/>
    <cellStyle name="千位分隔 3 4 2" xfId="146" xr:uid="{7F39EDBC-EE66-4DFD-8192-BC35AAE0928D}"/>
    <cellStyle name="千位分隔 3 4 2 2" xfId="233" xr:uid="{0DA979B7-029F-4874-9102-6C345A5BADC2}"/>
    <cellStyle name="千位分隔 3 4 2 2 2" xfId="297" xr:uid="{9445B5C3-C1FB-4008-AFED-08B956BDB832}"/>
    <cellStyle name="千位分隔 3 4 3" xfId="201" xr:uid="{A43C4A7E-35AA-4948-AC6E-465C6E486627}"/>
    <cellStyle name="千位分隔 3 4 3 2" xfId="267" xr:uid="{BC701CE1-BADF-4670-9592-F3A9B50D4122}"/>
    <cellStyle name="千位分隔 4" xfId="28" xr:uid="{00000000-0005-0000-0000-00004B000000}"/>
    <cellStyle name="千位分隔 4 2" xfId="134" xr:uid="{14CB809F-2054-48E4-AC33-E15177957639}"/>
    <cellStyle name="千位分隔 4 2 2" xfId="221" xr:uid="{C3DD8F20-A03E-4BCC-89AF-443971F44A89}"/>
    <cellStyle name="千位分隔 4 2 2 2" xfId="285" xr:uid="{439A25F0-5F6B-4BFA-932B-1E7DA9BC00DB}"/>
    <cellStyle name="千位分隔 4 3" xfId="189" xr:uid="{E089CFB5-62FC-4065-933E-C96E80D25B9B}"/>
    <cellStyle name="千位分隔 4 3 2" xfId="255" xr:uid="{719F1676-407F-4136-8982-612B4C2F995A}"/>
    <cellStyle name="千位分隔 5" xfId="118" xr:uid="{CEB3B5B4-D1E2-47F4-9494-B9E2246A71CF}"/>
    <cellStyle name="千位分隔 5 2" xfId="205" xr:uid="{B3C8374C-06B7-4B84-8A35-BED2BF2CC4FC}"/>
    <cellStyle name="千位分隔 5 2 2" xfId="269" xr:uid="{C424DADC-33B8-4C86-B0B8-FED78A0F1A16}"/>
    <cellStyle name="千位分隔 6" xfId="173" xr:uid="{BB8951AF-05A1-452E-A263-DAA1EB92D0D9}"/>
    <cellStyle name="千位分隔 6 2" xfId="239" xr:uid="{A290A774-B44D-4FDD-94B3-F6AE84C096D2}"/>
    <cellStyle name="千位分隔 6 3" xfId="332" xr:uid="{4F60B19F-DF6F-4A02-B092-195EB30D48C9}"/>
    <cellStyle name="千位分隔 7" xfId="302" xr:uid="{0D0B9989-B77F-4AE2-A019-9BD1CF0AEE96}"/>
    <cellStyle name="千位分隔 8" xfId="306" xr:uid="{F0BC0FAD-CE84-4AE6-8AB6-D88A4306BBC8}"/>
    <cellStyle name="千位分隔 9" xfId="334" xr:uid="{AEC77F4D-BCF1-4286-82BB-2575740E69A7}"/>
    <cellStyle name="千位分隔[0] 2" xfId="14" xr:uid="{00000000-0005-0000-0000-000033000000}"/>
    <cellStyle name="千位分隔[0] 2 2" xfId="126" xr:uid="{7E86128E-E053-4310-AB6F-C0046F70FADC}"/>
    <cellStyle name="千位分隔[0] 2 2 2" xfId="213" xr:uid="{40D4F3CD-A6C4-4A86-8B31-5EEE09A80717}"/>
    <cellStyle name="千位分隔[0] 2 2 2 2" xfId="277" xr:uid="{A0DD1A62-637D-4113-893F-99E0948D01DD}"/>
    <cellStyle name="千位分隔[0] 2 3" xfId="181" xr:uid="{92C3CA37-E835-417C-B988-E8A556614AA1}"/>
    <cellStyle name="千位分隔[0] 2 3 2" xfId="247" xr:uid="{5C10A2F7-5C0D-42A9-8E51-3758F9F0C143}"/>
    <cellStyle name="千位分隔[0] 3" xfId="307" xr:uid="{1C46B038-F66A-4D32-AB1E-6F6E84C6E45B}"/>
    <cellStyle name="千位分隔[0] 4" xfId="310" xr:uid="{42BEE4DF-EF80-429E-A849-B3DC5BE8E8C3}"/>
  </cellStyles>
  <dxfs count="39">
    <dxf>
      <font>
        <color rgb="FFFFFFCC"/>
      </font>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00"/>
        </patternFill>
      </fill>
    </dxf>
    <dxf>
      <fill>
        <patternFill patternType="solid">
          <bgColor rgb="FFFFFFCC"/>
        </patternFill>
      </fill>
    </dxf>
    <dxf>
      <fill>
        <patternFill>
          <bgColor rgb="FFFFFFCC"/>
        </patternFill>
      </fill>
    </dxf>
    <dxf>
      <fill>
        <patternFill>
          <bgColor rgb="FFFFFF00"/>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FFFFCC"/>
      </font>
    </dxf>
    <dxf>
      <fill>
        <patternFill>
          <bgColor rgb="FFFFFF00"/>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https://eychinamanaged.sharepoint.cn/sites/GCknowledgecenter/SitePages/Altas-PSP-%E9%93%BE%E6%8E%A5.aspx#:~:text=%E7%9B%B8%E5%85%B3PSP%E4%BB%A5%E5%8F%8AOSP%E5%8F%AF%E4%BB%8EAtlas%E4%B8%AD%E8%8E%B7%E5%BE%97%EF%BC%8CAtlas%20Link%3A%C2%A0%C2%A0%C2%A0%C2%A0%C2%A0%C2%A0%C2%A0%C2%A0%0A(CN)%20N%2DTrade%20payables%0A%E6%9B%B4%E5%A4%9A%E8%AF%A5%E7%A7%91%E7%9B%AE%E7%9B%B8%E5%85%B3%E5%AE%A1%E8%AE%A1%E4%BC%9A%E8%AE%A1%E7%9F%A5%E8%AF%86%E5%8F%AF%E5%8F%82%E8%80%83%E2%80%9C%E5%A4%A7%E4%B8%AD%E5%8D%8E%E5%8C%BA%E4%BC%9A%E8%AE%A1%E5%AE%A1%E8%AE%A1%E7%9F%A5%E8%AF%86%E5%BA%93%E2%80%9D%C2%A0%C2%A0%C2%A0%C2%A0%C2%A0%C2%A0%C2%A0%C2%A0%0AN_%E5%BA%94%E4%BB%98%E8%B4%A6%E6%AC%BE%26%E5%BA%94%E4%BB%98%E7%A5%A8%E6%8D%AE%C2%A0" TargetMode="External"/><Relationship Id="rId7"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03%20%E6%88%AA%E6%AD%A2%E6%B5%8B%E8%AF%95-,N.03%20%E6%88%AA%E6%AD%A2%E6%B5%8B%E8%AF%95%2D%E6%B3%A8%E9%87%8A6%EF%BC%9AAP%E6%88%AA%E6%AD%A2%E6%B5%8B%E8%AF%95%E6%B3%A8%E6%84%8F%E4%BA%8B%E9%A1%B9,%E7%9A%84%E4%BE%9B%E5%BA%94%E5%95%86%E9%80%80%E8%B4%A7%E5%8D%95/%E4%BE%9B%E5%BA%94%E5%95%86%E8%BF%94%E5%88%A9%E7%BB%93%E7%AE%97%E3%80%82,-N.03%20%E6%88%AA%E6%AD%A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6"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4,%E4%BC%B0%E9%87%91%E9%A2%9D%E6%98%AF%E5%90%A6%E5%90%88%E7%90%86%E3%80%82" TargetMode="External"/><Relationship Id="rId5"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3%20%E6%88%AA%E6%AD%A2%E6%B5%8B%E8%AF%95%2D%E6%B3%A8%E9%87%8A7,%E5%85%B6%E4%BB%96%E3%80%82" TargetMode="External"/><Relationship Id="rId4" Type="http://schemas.openxmlformats.org/officeDocument/2006/relationships/hyperlink" Target="https://eychinamanaged.sharepoint.cn/sites/GCknowledgecenter/SitePages/%E6%A0%87%E5%87%86%E5%BA%95%E7%A8%BF%E6%A8%A1%E6%9D%BF%E7%AD%94%E7%96%91%E9%93%BE%E6%8E%A5.aspx"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0%2D%E6%B3%A8%E9%87%8A,%E6%AC%BE%2B%E5%BA%94%E4%BB%98%E7%A5%A8%E6%8D%AE%E3%80%82" TargetMode="Externa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1%2D%E6%B3%A8%E9%87%8A,%E6%9D%A5%E6%BA%90Thomas%20Reuter%EF%BC%89" TargetMode="Externa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1%2D%E6%B3%A8%E9%87%8A,%E6%9D%A5%E6%BA%90Thomas%20Reuter%EF%BC%89" TargetMode="Externa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5%EF%BC%9A%E4%BE%9B%E5%BA%94%E5%95%86%E5%90%88%E5%90%8C%E7%9A%84%E5%85%B3%E6%B3%A8%E7%89%B9%E5%88%AB%E4%BA%8B%E9%A1%B9%0A%0A%E5%AE%A1%E9%98%85%E4%BE%9B%E5%BA%94%E5%95%86%E5%90%88%E5%90%8C%E4%B8%AD%E7%9A%84%E7%89%B9%E5%88%AB%E4%BA%8B%E9%A1%B9%EF%BC%8C%E5%8C%85%E6%8B%AC%E4%BD%86%E4%B8%8D%E9%99%90%E4%BA%8E%E4%B8%8E%E4%BE%9B%E5%BA%94%E5%95%86%E5%8D%8F%E5%95%86%E4%B8%80%E8%87%B4%E7%9A%84%E9%87%87%E8%B4%AD%E6%89%BF%E8%AF%BA%E7%AD%89%EF%BC%8C%E5%B9%B6%E8%80%83%E8%99%91%E6%98%AF%E5%90%A6%E9%9C%80%E5%9C%A8%E8%B4%A2%E5%8A%A1%E6%8A%A5%E8%A1%A8%E4%B8%AD%E4%BA%88%E4%BB%A5%E5%8F%8D%E6%98%A0%E6%88%96%E5%9C%A8%E8%B4%A2%E5%8A%A1%E6%8A%A5%E8%A1%A8%E9%99%84%E6%B3%A8%E4%B8%AD%E4%BA%88%E4%BB%A5%E6%8A%AB%E9%9C%B2%E3%80%82" TargetMode="External"/><Relationship Id="rId1" Type="http://schemas.openxmlformats.org/officeDocument/2006/relationships/image" Target="../media/image3.png"/><Relationship Id="rId5"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4,%E4%BC%B0%E9%87%91%E9%A2%9D%E6%98%AF%E5%90%A6%E5%90%88%E7%90%86%E3%80%82" TargetMode="External"/><Relationship Id="rId4"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2%2D%E6%B3%A8%E9%87%8A,%E5%90%8E%E7%9A%84%E6%A0%B7%E6%9C%AC%E3%80%82"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03%20%E6%88%AA%E6%AD%A2%E6%B5%8B%E8%AF%95-,N.03%20%E6%88%AA%E6%AD%A2%E6%B5%8B%E8%AF%95%2D%E6%B3%A8%E9%87%8A6%EF%BC%9AAP%E6%88%AA%E6%AD%A2%E6%B5%8B%E8%AF%95%E6%B3%A8%E6%84%8F%E4%BA%8B%E9%A1%B9,%E7%9A%84%E4%BE%9B%E5%BA%94%E5%95%86%E9%80%80%E8%B4%A7%E5%8D%95/%E4%BE%9B%E5%BA%94%E5%95%86%E8%BF%94%E5%88%A9%E7%BB%93%E7%AE%97%E3%80%82,-N.03%20%E6%88%AA%E6%AD%A2" TargetMode="External"/><Relationship Id="rId1" Type="http://schemas.openxmlformats.org/officeDocument/2006/relationships/image" Target="../media/image3.png"/><Relationship Id="rId5" Type="http://schemas.openxmlformats.org/officeDocument/2006/relationships/image" Target="../media/image1.png"/><Relationship Id="rId4" Type="http://schemas.openxmlformats.org/officeDocument/2006/relationships/hyperlink" Target="https://eychinamanaged.sharepoint.cn/sites/GCknowledgecenter/SitePages/%E6%A0%87%E5%87%86%E5%AE%A1%E8%AE%A1%E5%BA%95%E7%A8%BF%E6%A8%A1%E6%9D%BF_N_%E5%BA%94%E4%BB%98%E8%B4%A6%E6%AC%BE&amp;%E5%BA%94%E4%BB%98%E7%A5%A8%E6%8D%AE202YMMDD_XYZ%E5%85%AC%E5%8F%B8_Read-me-and-Delete-me.aspx#:~:text=N.03%20%E6%88%AA%E6%AD%A2%E6%B5%8B%E8%AF%95%2D%E6%B3%A8%E9%87%8A7,%E5%85%B6%E4%BB%96%E3%80%82" TargetMode="Externa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640872</xdr:colOff>
      <xdr:row>3</xdr:row>
      <xdr:rowOff>226339</xdr:rowOff>
    </xdr:from>
    <xdr:to>
      <xdr:col>6</xdr:col>
      <xdr:colOff>861785</xdr:colOff>
      <xdr:row>4</xdr:row>
      <xdr:rowOff>199572</xdr:rowOff>
    </xdr:to>
    <xdr:pic>
      <xdr:nvPicPr>
        <xdr:cNvPr id="9" name="图片 6">
          <a:hlinkClick xmlns:r="http://schemas.openxmlformats.org/officeDocument/2006/relationships" r:id="rId1" tooltip="预审&amp;年审工作注意事项"/>
          <a:extLst>
            <a:ext uri="{FF2B5EF4-FFF2-40B4-BE49-F238E27FC236}">
              <a16:creationId xmlns:a16="http://schemas.microsoft.com/office/drawing/2014/main" id="{0C3268D6-1C87-4FE5-AA79-553BDBEBB86F}"/>
            </a:ext>
            <a:ext uri="{147F2762-F138-4A5C-976F-8EAC2B608ADB}">
              <a16:predDERef xmlns:a16="http://schemas.microsoft.com/office/drawing/2014/main" pred="{77F4954F-341F-4933-BB21-D41FC347615B}"/>
            </a:ext>
          </a:extLst>
        </xdr:cNvPr>
        <xdr:cNvPicPr>
          <a:picLocks noChangeAspect="1"/>
        </xdr:cNvPicPr>
      </xdr:nvPicPr>
      <xdr:blipFill>
        <a:blip xmlns:r="http://schemas.openxmlformats.org/officeDocument/2006/relationships" r:embed="rId2"/>
        <a:stretch>
          <a:fillRect/>
        </a:stretch>
      </xdr:blipFill>
      <xdr:spPr>
        <a:xfrm>
          <a:off x="7462586" y="834125"/>
          <a:ext cx="220913" cy="200019"/>
        </a:xfrm>
        <a:prstGeom prst="rect">
          <a:avLst/>
        </a:prstGeom>
      </xdr:spPr>
    </xdr:pic>
    <xdr:clientData/>
  </xdr:twoCellAnchor>
  <xdr:twoCellAnchor>
    <xdr:from>
      <xdr:col>1</xdr:col>
      <xdr:colOff>657328</xdr:colOff>
      <xdr:row>4</xdr:row>
      <xdr:rowOff>9072</xdr:rowOff>
    </xdr:from>
    <xdr:to>
      <xdr:col>1</xdr:col>
      <xdr:colOff>886887</xdr:colOff>
      <xdr:row>5</xdr:row>
      <xdr:rowOff>1815</xdr:rowOff>
    </xdr:to>
    <xdr:pic>
      <xdr:nvPicPr>
        <xdr:cNvPr id="10" name="图片 1">
          <a:hlinkClick xmlns:r="http://schemas.openxmlformats.org/officeDocument/2006/relationships" r:id="rId3" tooltip="Altas PSP 链接"/>
          <a:extLst>
            <a:ext uri="{FF2B5EF4-FFF2-40B4-BE49-F238E27FC236}">
              <a16:creationId xmlns:a16="http://schemas.microsoft.com/office/drawing/2014/main" id="{F8D001EC-C20C-482B-A361-B0A718D28413}"/>
            </a:ext>
          </a:extLst>
        </xdr:cNvPr>
        <xdr:cNvPicPr>
          <a:picLocks noChangeAspect="1"/>
        </xdr:cNvPicPr>
      </xdr:nvPicPr>
      <xdr:blipFill>
        <a:blip xmlns:r="http://schemas.openxmlformats.org/officeDocument/2006/relationships" r:embed="rId2"/>
        <a:stretch>
          <a:fillRect/>
        </a:stretch>
      </xdr:blipFill>
      <xdr:spPr>
        <a:xfrm flipH="1">
          <a:off x="856899" y="843643"/>
          <a:ext cx="229559" cy="183243"/>
        </a:xfrm>
        <a:prstGeom prst="rect">
          <a:avLst/>
        </a:prstGeom>
      </xdr:spPr>
    </xdr:pic>
    <xdr:clientData/>
  </xdr:twoCellAnchor>
  <xdr:oneCellAnchor>
    <xdr:from>
      <xdr:col>8</xdr:col>
      <xdr:colOff>1605643</xdr:colOff>
      <xdr:row>4</xdr:row>
      <xdr:rowOff>9071</xdr:rowOff>
    </xdr:from>
    <xdr:ext cx="205343" cy="199303"/>
    <xdr:pic>
      <xdr:nvPicPr>
        <xdr:cNvPr id="4" name="图片 3">
          <a:hlinkClick xmlns:r="http://schemas.openxmlformats.org/officeDocument/2006/relationships" r:id="rId4" tooltip="如需帮助请点击"/>
          <a:extLst>
            <a:ext uri="{FF2B5EF4-FFF2-40B4-BE49-F238E27FC236}">
              <a16:creationId xmlns:a16="http://schemas.microsoft.com/office/drawing/2014/main" id="{53856B85-2D6C-4E4B-879F-0B1D93F624C2}"/>
            </a:ext>
          </a:extLst>
        </xdr:cNvPr>
        <xdr:cNvPicPr>
          <a:picLocks noChangeAspect="1"/>
        </xdr:cNvPicPr>
      </xdr:nvPicPr>
      <xdr:blipFill>
        <a:blip xmlns:r="http://schemas.openxmlformats.org/officeDocument/2006/relationships" r:embed="rId2"/>
        <a:stretch>
          <a:fillRect/>
        </a:stretch>
      </xdr:blipFill>
      <xdr:spPr>
        <a:xfrm>
          <a:off x="11030857" y="843642"/>
          <a:ext cx="205343" cy="199303"/>
        </a:xfrm>
        <a:prstGeom prst="rect">
          <a:avLst/>
        </a:prstGeom>
      </xdr:spPr>
    </xdr:pic>
    <xdr:clientData/>
  </xdr:oneCellAnchor>
  <xdr:twoCellAnchor>
    <xdr:from>
      <xdr:col>2</xdr:col>
      <xdr:colOff>680357</xdr:colOff>
      <xdr:row>14</xdr:row>
      <xdr:rowOff>1047750</xdr:rowOff>
    </xdr:from>
    <xdr:to>
      <xdr:col>2</xdr:col>
      <xdr:colOff>929820</xdr:colOff>
      <xdr:row>14</xdr:row>
      <xdr:rowOff>1283606</xdr:rowOff>
    </xdr:to>
    <xdr:pic>
      <xdr:nvPicPr>
        <xdr:cNvPr id="6" name="图片 5">
          <a:hlinkClick xmlns:r="http://schemas.openxmlformats.org/officeDocument/2006/relationships" r:id="rId5" tooltip="IPE考虑"/>
          <a:extLst>
            <a:ext uri="{FF2B5EF4-FFF2-40B4-BE49-F238E27FC236}">
              <a16:creationId xmlns:a16="http://schemas.microsoft.com/office/drawing/2014/main" id="{51F9D992-20B3-4614-9A08-6354C62A6799}"/>
            </a:ext>
          </a:extLst>
        </xdr:cNvPr>
        <xdr:cNvPicPr>
          <a:picLocks noChangeAspect="1"/>
        </xdr:cNvPicPr>
      </xdr:nvPicPr>
      <xdr:blipFill>
        <a:blip xmlns:r="http://schemas.openxmlformats.org/officeDocument/2006/relationships" r:embed="rId2"/>
        <a:stretch>
          <a:fillRect/>
        </a:stretch>
      </xdr:blipFill>
      <xdr:spPr>
        <a:xfrm>
          <a:off x="1796143" y="6844393"/>
          <a:ext cx="249463" cy="235856"/>
        </a:xfrm>
        <a:prstGeom prst="rect">
          <a:avLst/>
        </a:prstGeom>
      </xdr:spPr>
    </xdr:pic>
    <xdr:clientData/>
  </xdr:twoCellAnchor>
  <xdr:twoCellAnchor>
    <xdr:from>
      <xdr:col>8</xdr:col>
      <xdr:colOff>2003773</xdr:colOff>
      <xdr:row>12</xdr:row>
      <xdr:rowOff>557893</xdr:rowOff>
    </xdr:from>
    <xdr:to>
      <xdr:col>8</xdr:col>
      <xdr:colOff>2264524</xdr:colOff>
      <xdr:row>12</xdr:row>
      <xdr:rowOff>803994</xdr:rowOff>
    </xdr:to>
    <xdr:pic>
      <xdr:nvPicPr>
        <xdr:cNvPr id="7" name="图片 6">
          <a:hlinkClick xmlns:r="http://schemas.openxmlformats.org/officeDocument/2006/relationships" r:id="rId6" tooltip="应付账款异常项目举例"/>
          <a:extLst>
            <a:ext uri="{FF2B5EF4-FFF2-40B4-BE49-F238E27FC236}">
              <a16:creationId xmlns:a16="http://schemas.microsoft.com/office/drawing/2014/main" id="{173FB2F5-8C7F-45C5-BA72-4B2029BD516F}"/>
            </a:ext>
          </a:extLst>
        </xdr:cNvPr>
        <xdr:cNvPicPr>
          <a:picLocks noChangeAspect="1"/>
        </xdr:cNvPicPr>
      </xdr:nvPicPr>
      <xdr:blipFill>
        <a:blip xmlns:r="http://schemas.openxmlformats.org/officeDocument/2006/relationships" r:embed="rId2"/>
        <a:stretch>
          <a:fillRect/>
        </a:stretch>
      </xdr:blipFill>
      <xdr:spPr>
        <a:xfrm>
          <a:off x="11460737" y="5265964"/>
          <a:ext cx="260751" cy="246101"/>
        </a:xfrm>
        <a:prstGeom prst="rect">
          <a:avLst/>
        </a:prstGeom>
      </xdr:spPr>
    </xdr:pic>
    <xdr:clientData/>
  </xdr:twoCellAnchor>
  <xdr:twoCellAnchor editAs="oneCell">
    <xdr:from>
      <xdr:col>8</xdr:col>
      <xdr:colOff>2000250</xdr:colOff>
      <xdr:row>14</xdr:row>
      <xdr:rowOff>984888</xdr:rowOff>
    </xdr:from>
    <xdr:to>
      <xdr:col>8</xdr:col>
      <xdr:colOff>2263413</xdr:colOff>
      <xdr:row>14</xdr:row>
      <xdr:rowOff>1250643</xdr:rowOff>
    </xdr:to>
    <xdr:pic>
      <xdr:nvPicPr>
        <xdr:cNvPr id="8" name="图片 7">
          <a:hlinkClick xmlns:r="http://schemas.openxmlformats.org/officeDocument/2006/relationships" r:id="rId7" tooltip="AP截止测试注意事项"/>
          <a:extLst>
            <a:ext uri="{FF2B5EF4-FFF2-40B4-BE49-F238E27FC236}">
              <a16:creationId xmlns:a16="http://schemas.microsoft.com/office/drawing/2014/main" id="{476D9837-F985-4339-B0C1-CE46AB66B073}"/>
            </a:ext>
            <a:ext uri="{147F2762-F138-4A5C-976F-8EAC2B608ADB}">
              <a16:predDERef xmlns:a16="http://schemas.microsoft.com/office/drawing/2014/main" pred="{05CACC81-FAB5-AC49-CE14-33F308353514}"/>
            </a:ext>
          </a:extLst>
        </xdr:cNvPr>
        <xdr:cNvPicPr>
          <a:picLocks noChangeAspect="1"/>
        </xdr:cNvPicPr>
      </xdr:nvPicPr>
      <xdr:blipFill>
        <a:blip xmlns:r="http://schemas.openxmlformats.org/officeDocument/2006/relationships" r:embed="rId8"/>
        <a:stretch>
          <a:fillRect/>
        </a:stretch>
      </xdr:blipFill>
      <xdr:spPr>
        <a:xfrm>
          <a:off x="11457214" y="6781531"/>
          <a:ext cx="263163" cy="2657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61633</xdr:colOff>
      <xdr:row>0</xdr:row>
      <xdr:rowOff>15129</xdr:rowOff>
    </xdr:from>
    <xdr:to>
      <xdr:col>1</xdr:col>
      <xdr:colOff>554499</xdr:colOff>
      <xdr:row>0</xdr:row>
      <xdr:rowOff>480787</xdr:rowOff>
    </xdr:to>
    <xdr:pic>
      <xdr:nvPicPr>
        <xdr:cNvPr id="3" name="Picture 4">
          <a:extLst>
            <a:ext uri="{FF2B5EF4-FFF2-40B4-BE49-F238E27FC236}">
              <a16:creationId xmlns:a16="http://schemas.microsoft.com/office/drawing/2014/main" id="{C6E33F48-DA0C-400F-9EE6-6E30BF6FA33E}"/>
            </a:ext>
          </a:extLst>
        </xdr:cNvPr>
        <xdr:cNvPicPr>
          <a:picLocks noChangeAspect="1"/>
        </xdr:cNvPicPr>
      </xdr:nvPicPr>
      <xdr:blipFill>
        <a:blip xmlns:r="http://schemas.openxmlformats.org/officeDocument/2006/relationships" r:embed="rId1"/>
        <a:stretch>
          <a:fillRect/>
        </a:stretch>
      </xdr:blipFill>
      <xdr:spPr>
        <a:xfrm>
          <a:off x="578704" y="15129"/>
          <a:ext cx="492866" cy="465658"/>
        </a:xfrm>
        <a:prstGeom prst="rect">
          <a:avLst/>
        </a:prstGeom>
      </xdr:spPr>
    </xdr:pic>
    <xdr:clientData/>
  </xdr:twoCellAnchor>
  <xdr:twoCellAnchor>
    <xdr:from>
      <xdr:col>4</xdr:col>
      <xdr:colOff>539008</xdr:colOff>
      <xdr:row>39</xdr:row>
      <xdr:rowOff>0</xdr:rowOff>
    </xdr:from>
    <xdr:to>
      <xdr:col>4</xdr:col>
      <xdr:colOff>591077</xdr:colOff>
      <xdr:row>39</xdr:row>
      <xdr:rowOff>155575</xdr:rowOff>
    </xdr:to>
    <xdr:grpSp>
      <xdr:nvGrpSpPr>
        <xdr:cNvPr id="5" name="Group 10">
          <a:extLst>
            <a:ext uri="{FF2B5EF4-FFF2-40B4-BE49-F238E27FC236}">
              <a16:creationId xmlns:a16="http://schemas.microsoft.com/office/drawing/2014/main" id="{D44B72BE-CC1E-4A98-8FCB-1BBE4973830D}"/>
            </a:ext>
          </a:extLst>
        </xdr:cNvPr>
        <xdr:cNvGrpSpPr/>
      </xdr:nvGrpSpPr>
      <xdr:grpSpPr>
        <a:xfrm>
          <a:off x="6308437" y="8871857"/>
          <a:ext cx="52069" cy="155575"/>
          <a:chOff x="5778500" y="8636000"/>
          <a:chExt cx="114300" cy="758825"/>
        </a:xfrm>
      </xdr:grpSpPr>
      <xdr:cxnSp macro="">
        <xdr:nvCxnSpPr>
          <xdr:cNvPr id="6" name="Straight Connector 8">
            <a:extLst>
              <a:ext uri="{FF2B5EF4-FFF2-40B4-BE49-F238E27FC236}">
                <a16:creationId xmlns:a16="http://schemas.microsoft.com/office/drawing/2014/main" id="{AE897CF8-65C5-8118-C53B-0718B2B9E83C}"/>
              </a:ext>
            </a:extLst>
          </xdr:cNvPr>
          <xdr:cNvCxnSpPr/>
        </xdr:nvCxnSpPr>
        <xdr:spPr>
          <a:xfrm>
            <a:off x="5829300" y="86360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9">
            <a:extLst>
              <a:ext uri="{FF2B5EF4-FFF2-40B4-BE49-F238E27FC236}">
                <a16:creationId xmlns:a16="http://schemas.microsoft.com/office/drawing/2014/main" id="{196E0EAA-5EE3-B1C6-4040-DAAAA38A8F3F}"/>
              </a:ext>
            </a:extLst>
          </xdr:cNvPr>
          <xdr:cNvCxnSpPr/>
        </xdr:nvCxnSpPr>
        <xdr:spPr>
          <a:xfrm>
            <a:off x="5778500" y="93948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1524000</xdr:colOff>
      <xdr:row>56</xdr:row>
      <xdr:rowOff>40822</xdr:rowOff>
    </xdr:from>
    <xdr:to>
      <xdr:col>1</xdr:col>
      <xdr:colOff>1765528</xdr:colOff>
      <xdr:row>56</xdr:row>
      <xdr:rowOff>268780</xdr:rowOff>
    </xdr:to>
    <xdr:pic>
      <xdr:nvPicPr>
        <xdr:cNvPr id="4" name="图片 3">
          <a:hlinkClick xmlns:r="http://schemas.openxmlformats.org/officeDocument/2006/relationships" r:id="rId2" tooltip="应付账款周转率计算"/>
          <a:extLst>
            <a:ext uri="{FF2B5EF4-FFF2-40B4-BE49-F238E27FC236}">
              <a16:creationId xmlns:a16="http://schemas.microsoft.com/office/drawing/2014/main" id="{A4BB9A37-9F5B-4A0A-B2BE-B13B6DD15FDB}"/>
            </a:ext>
          </a:extLst>
        </xdr:cNvPr>
        <xdr:cNvPicPr>
          <a:picLocks noChangeAspect="1"/>
        </xdr:cNvPicPr>
      </xdr:nvPicPr>
      <xdr:blipFill>
        <a:blip xmlns:r="http://schemas.openxmlformats.org/officeDocument/2006/relationships" r:embed="rId3"/>
        <a:stretch>
          <a:fillRect/>
        </a:stretch>
      </xdr:blipFill>
      <xdr:spPr>
        <a:xfrm>
          <a:off x="1728107" y="13498286"/>
          <a:ext cx="241528" cy="2279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553100</xdr:colOff>
      <xdr:row>0</xdr:row>
      <xdr:rowOff>587102</xdr:rowOff>
    </xdr:to>
    <xdr:pic>
      <xdr:nvPicPr>
        <xdr:cNvPr id="2" name="Picture 2">
          <a:extLst>
            <a:ext uri="{FF2B5EF4-FFF2-40B4-BE49-F238E27FC236}">
              <a16:creationId xmlns:a16="http://schemas.microsoft.com/office/drawing/2014/main" id="{3B5D2882-460D-4F38-A033-1B5FB55EAF46}"/>
            </a:ext>
          </a:extLst>
        </xdr:cNvPr>
        <xdr:cNvPicPr>
          <a:picLocks noChangeAspect="1"/>
        </xdr:cNvPicPr>
      </xdr:nvPicPr>
      <xdr:blipFill>
        <a:blip xmlns:r="http://schemas.openxmlformats.org/officeDocument/2006/relationships" r:embed="rId1"/>
        <a:stretch>
          <a:fillRect/>
        </a:stretch>
      </xdr:blipFill>
      <xdr:spPr>
        <a:xfrm>
          <a:off x="251279" y="66221"/>
          <a:ext cx="498671" cy="520881"/>
        </a:xfrm>
        <a:prstGeom prst="rect">
          <a:avLst/>
        </a:prstGeom>
      </xdr:spPr>
    </xdr:pic>
    <xdr:clientData/>
  </xdr:twoCellAnchor>
  <xdr:twoCellAnchor>
    <xdr:from>
      <xdr:col>5</xdr:col>
      <xdr:colOff>424542</xdr:colOff>
      <xdr:row>11</xdr:row>
      <xdr:rowOff>72572</xdr:rowOff>
    </xdr:from>
    <xdr:to>
      <xdr:col>5</xdr:col>
      <xdr:colOff>498929</xdr:colOff>
      <xdr:row>13</xdr:row>
      <xdr:rowOff>99786</xdr:rowOff>
    </xdr:to>
    <xdr:grpSp>
      <xdr:nvGrpSpPr>
        <xdr:cNvPr id="3" name="Group 8">
          <a:extLst>
            <a:ext uri="{FF2B5EF4-FFF2-40B4-BE49-F238E27FC236}">
              <a16:creationId xmlns:a16="http://schemas.microsoft.com/office/drawing/2014/main" id="{8220EF58-6BD3-445F-A4CA-BF1CCA2D6340}"/>
            </a:ext>
          </a:extLst>
        </xdr:cNvPr>
        <xdr:cNvGrpSpPr/>
      </xdr:nvGrpSpPr>
      <xdr:grpSpPr>
        <a:xfrm flipV="1">
          <a:off x="7500256" y="3087915"/>
          <a:ext cx="74387" cy="419100"/>
          <a:chOff x="7753350" y="3327400"/>
          <a:chExt cx="114300" cy="758825"/>
        </a:xfrm>
      </xdr:grpSpPr>
      <xdr:cxnSp macro="">
        <xdr:nvCxnSpPr>
          <xdr:cNvPr id="7" name="Straight Connector 6">
            <a:extLst>
              <a:ext uri="{FF2B5EF4-FFF2-40B4-BE49-F238E27FC236}">
                <a16:creationId xmlns:a16="http://schemas.microsoft.com/office/drawing/2014/main" id="{DE9173F0-2F12-4A6C-71BF-653C3D2AC763}"/>
              </a:ext>
            </a:extLst>
          </xdr:cNvPr>
          <xdr:cNvCxnSpPr/>
        </xdr:nvCxnSpPr>
        <xdr:spPr>
          <a:xfrm>
            <a:off x="7804150" y="33274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7">
            <a:extLst>
              <a:ext uri="{FF2B5EF4-FFF2-40B4-BE49-F238E27FC236}">
                <a16:creationId xmlns:a16="http://schemas.microsoft.com/office/drawing/2014/main" id="{8B0C9ADC-14DD-F5B4-7333-ECB5A3954B93}"/>
              </a:ext>
            </a:extLst>
          </xdr:cNvPr>
          <xdr:cNvCxnSpPr/>
        </xdr:nvCxnSpPr>
        <xdr:spPr>
          <a:xfrm>
            <a:off x="7753350" y="40862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5</xdr:col>
      <xdr:colOff>108857</xdr:colOff>
      <xdr:row>22</xdr:row>
      <xdr:rowOff>176893</xdr:rowOff>
    </xdr:from>
    <xdr:to>
      <xdr:col>5</xdr:col>
      <xdr:colOff>385082</xdr:colOff>
      <xdr:row>24</xdr:row>
      <xdr:rowOff>18720</xdr:rowOff>
    </xdr:to>
    <xdr:pic>
      <xdr:nvPicPr>
        <xdr:cNvPr id="4" name="Picture 2">
          <a:hlinkClick xmlns:r="http://schemas.openxmlformats.org/officeDocument/2006/relationships" r:id="rId2" tooltip="汇率"/>
          <a:extLst>
            <a:ext uri="{FF2B5EF4-FFF2-40B4-BE49-F238E27FC236}">
              <a16:creationId xmlns:a16="http://schemas.microsoft.com/office/drawing/2014/main" id="{B218E8B9-C1F7-4895-B08E-2D42D992C052}"/>
            </a:ext>
            <a:ext uri="{147F2762-F138-4A5C-976F-8EAC2B608ADB}">
              <a16:predDERef xmlns:a16="http://schemas.microsoft.com/office/drawing/2014/main" pred="{B65C0D2E-EB9A-4A4D-A4DF-512D3F3F15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14607" y="5633357"/>
          <a:ext cx="276225" cy="222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553100</xdr:colOff>
      <xdr:row>0</xdr:row>
      <xdr:rowOff>587102</xdr:rowOff>
    </xdr:to>
    <xdr:pic>
      <xdr:nvPicPr>
        <xdr:cNvPr id="2" name="Picture 2">
          <a:extLst>
            <a:ext uri="{FF2B5EF4-FFF2-40B4-BE49-F238E27FC236}">
              <a16:creationId xmlns:a16="http://schemas.microsoft.com/office/drawing/2014/main" id="{374F9BF5-D101-402F-A891-9B5F3BBAFAB7}"/>
            </a:ext>
          </a:extLst>
        </xdr:cNvPr>
        <xdr:cNvPicPr>
          <a:picLocks noChangeAspect="1"/>
        </xdr:cNvPicPr>
      </xdr:nvPicPr>
      <xdr:blipFill>
        <a:blip xmlns:r="http://schemas.openxmlformats.org/officeDocument/2006/relationships" r:embed="rId1"/>
        <a:stretch>
          <a:fillRect/>
        </a:stretch>
      </xdr:blipFill>
      <xdr:spPr>
        <a:xfrm>
          <a:off x="251279" y="66221"/>
          <a:ext cx="498671" cy="520881"/>
        </a:xfrm>
        <a:prstGeom prst="rect">
          <a:avLst/>
        </a:prstGeom>
      </xdr:spPr>
    </xdr:pic>
    <xdr:clientData/>
  </xdr:twoCellAnchor>
  <xdr:twoCellAnchor>
    <xdr:from>
      <xdr:col>5</xdr:col>
      <xdr:colOff>424542</xdr:colOff>
      <xdr:row>11</xdr:row>
      <xdr:rowOff>72572</xdr:rowOff>
    </xdr:from>
    <xdr:to>
      <xdr:col>5</xdr:col>
      <xdr:colOff>498929</xdr:colOff>
      <xdr:row>13</xdr:row>
      <xdr:rowOff>99786</xdr:rowOff>
    </xdr:to>
    <xdr:grpSp>
      <xdr:nvGrpSpPr>
        <xdr:cNvPr id="3" name="Group 8">
          <a:extLst>
            <a:ext uri="{FF2B5EF4-FFF2-40B4-BE49-F238E27FC236}">
              <a16:creationId xmlns:a16="http://schemas.microsoft.com/office/drawing/2014/main" id="{9C5DAA99-DE5C-415D-8719-204AD181310B}"/>
            </a:ext>
          </a:extLst>
        </xdr:cNvPr>
        <xdr:cNvGrpSpPr/>
      </xdr:nvGrpSpPr>
      <xdr:grpSpPr>
        <a:xfrm flipV="1">
          <a:off x="7500256" y="3087915"/>
          <a:ext cx="74387" cy="419100"/>
          <a:chOff x="7753350" y="3327400"/>
          <a:chExt cx="114300" cy="758825"/>
        </a:xfrm>
      </xdr:grpSpPr>
      <xdr:cxnSp macro="">
        <xdr:nvCxnSpPr>
          <xdr:cNvPr id="4" name="Straight Connector 6">
            <a:extLst>
              <a:ext uri="{FF2B5EF4-FFF2-40B4-BE49-F238E27FC236}">
                <a16:creationId xmlns:a16="http://schemas.microsoft.com/office/drawing/2014/main" id="{CA5E9C5E-D652-5B17-04DC-D0E7C72441ED}"/>
              </a:ext>
            </a:extLst>
          </xdr:cNvPr>
          <xdr:cNvCxnSpPr/>
        </xdr:nvCxnSpPr>
        <xdr:spPr>
          <a:xfrm>
            <a:off x="7804150" y="33274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7">
            <a:extLst>
              <a:ext uri="{FF2B5EF4-FFF2-40B4-BE49-F238E27FC236}">
                <a16:creationId xmlns:a16="http://schemas.microsoft.com/office/drawing/2014/main" id="{3E6B1137-7644-46C2-ECFA-4877856975FC}"/>
              </a:ext>
            </a:extLst>
          </xdr:cNvPr>
          <xdr:cNvCxnSpPr/>
        </xdr:nvCxnSpPr>
        <xdr:spPr>
          <a:xfrm>
            <a:off x="7753350" y="40862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5</xdr:col>
      <xdr:colOff>108857</xdr:colOff>
      <xdr:row>22</xdr:row>
      <xdr:rowOff>176893</xdr:rowOff>
    </xdr:from>
    <xdr:to>
      <xdr:col>5</xdr:col>
      <xdr:colOff>385082</xdr:colOff>
      <xdr:row>24</xdr:row>
      <xdr:rowOff>18720</xdr:rowOff>
    </xdr:to>
    <xdr:pic>
      <xdr:nvPicPr>
        <xdr:cNvPr id="6" name="Picture 2">
          <a:hlinkClick xmlns:r="http://schemas.openxmlformats.org/officeDocument/2006/relationships" r:id="rId2" tooltip="汇率"/>
          <a:extLst>
            <a:ext uri="{FF2B5EF4-FFF2-40B4-BE49-F238E27FC236}">
              <a16:creationId xmlns:a16="http://schemas.microsoft.com/office/drawing/2014/main" id="{FEA5102A-DF3E-47ED-9204-7FD364A2B9F4}"/>
            </a:ext>
            <a:ext uri="{147F2762-F138-4A5C-976F-8EAC2B608ADB}">
              <a16:predDERef xmlns:a16="http://schemas.microsoft.com/office/drawing/2014/main" pred="{B65C0D2E-EB9A-4A4D-A4DF-512D3F3F15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82857" y="5650593"/>
          <a:ext cx="276225" cy="222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0</xdr:row>
      <xdr:rowOff>55788</xdr:rowOff>
    </xdr:from>
    <xdr:to>
      <xdr:col>1</xdr:col>
      <xdr:colOff>538676</xdr:colOff>
      <xdr:row>0</xdr:row>
      <xdr:rowOff>573494</xdr:rowOff>
    </xdr:to>
    <xdr:pic>
      <xdr:nvPicPr>
        <xdr:cNvPr id="2" name="Picture 1">
          <a:extLst>
            <a:ext uri="{FF2B5EF4-FFF2-40B4-BE49-F238E27FC236}">
              <a16:creationId xmlns:a16="http://schemas.microsoft.com/office/drawing/2014/main" id="{438F47E4-5D14-4EBD-A526-97EF50EE01A8}"/>
            </a:ext>
          </a:extLst>
        </xdr:cNvPr>
        <xdr:cNvPicPr>
          <a:picLocks noChangeAspect="1"/>
        </xdr:cNvPicPr>
      </xdr:nvPicPr>
      <xdr:blipFill>
        <a:blip xmlns:r="http://schemas.openxmlformats.org/officeDocument/2006/relationships" r:embed="rId1"/>
        <a:stretch>
          <a:fillRect/>
        </a:stretch>
      </xdr:blipFill>
      <xdr:spPr>
        <a:xfrm>
          <a:off x="257175" y="55788"/>
          <a:ext cx="491051" cy="517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0</xdr:row>
      <xdr:rowOff>55788</xdr:rowOff>
    </xdr:from>
    <xdr:to>
      <xdr:col>1</xdr:col>
      <xdr:colOff>538676</xdr:colOff>
      <xdr:row>0</xdr:row>
      <xdr:rowOff>573494</xdr:rowOff>
    </xdr:to>
    <xdr:pic>
      <xdr:nvPicPr>
        <xdr:cNvPr id="2" name="Picture 1">
          <a:extLst>
            <a:ext uri="{FF2B5EF4-FFF2-40B4-BE49-F238E27FC236}">
              <a16:creationId xmlns:a16="http://schemas.microsoft.com/office/drawing/2014/main" id="{A2C3344B-CC52-49BA-9582-048C327BA3AA}"/>
            </a:ext>
          </a:extLst>
        </xdr:cNvPr>
        <xdr:cNvPicPr>
          <a:picLocks noChangeAspect="1"/>
        </xdr:cNvPicPr>
      </xdr:nvPicPr>
      <xdr:blipFill>
        <a:blip xmlns:r="http://schemas.openxmlformats.org/officeDocument/2006/relationships" r:embed="rId1"/>
        <a:stretch>
          <a:fillRect/>
        </a:stretch>
      </xdr:blipFill>
      <xdr:spPr>
        <a:xfrm>
          <a:off x="244475" y="55788"/>
          <a:ext cx="491051" cy="5177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662215</xdr:colOff>
      <xdr:row>0</xdr:row>
      <xdr:rowOff>571500</xdr:rowOff>
    </xdr:to>
    <xdr:pic>
      <xdr:nvPicPr>
        <xdr:cNvPr id="2" name="Picture 2">
          <a:extLst>
            <a:ext uri="{FF2B5EF4-FFF2-40B4-BE49-F238E27FC236}">
              <a16:creationId xmlns:a16="http://schemas.microsoft.com/office/drawing/2014/main" id="{97379965-8078-45B8-B284-8BE1EAAFFD3D}"/>
            </a:ext>
          </a:extLst>
        </xdr:cNvPr>
        <xdr:cNvPicPr>
          <a:picLocks noChangeAspect="1"/>
        </xdr:cNvPicPr>
      </xdr:nvPicPr>
      <xdr:blipFill>
        <a:blip xmlns:r="http://schemas.openxmlformats.org/officeDocument/2006/relationships" r:embed="rId1"/>
        <a:stretch>
          <a:fillRect/>
        </a:stretch>
      </xdr:blipFill>
      <xdr:spPr>
        <a:xfrm>
          <a:off x="571500" y="66221"/>
          <a:ext cx="607786" cy="505279"/>
        </a:xfrm>
        <a:prstGeom prst="rect">
          <a:avLst/>
        </a:prstGeom>
      </xdr:spPr>
    </xdr:pic>
    <xdr:clientData/>
  </xdr:twoCellAnchor>
  <xdr:twoCellAnchor>
    <xdr:from>
      <xdr:col>3</xdr:col>
      <xdr:colOff>1415142</xdr:colOff>
      <xdr:row>8</xdr:row>
      <xdr:rowOff>195035</xdr:rowOff>
    </xdr:from>
    <xdr:to>
      <xdr:col>3</xdr:col>
      <xdr:colOff>1640681</xdr:colOff>
      <xdr:row>9</xdr:row>
      <xdr:rowOff>58964</xdr:rowOff>
    </xdr:to>
    <xdr:pic>
      <xdr:nvPicPr>
        <xdr:cNvPr id="5" name="图片 4">
          <a:hlinkClick xmlns:r="http://schemas.openxmlformats.org/officeDocument/2006/relationships" r:id="rId2" tooltip="供应商合同的关注特别事项"/>
          <a:extLst>
            <a:ext uri="{FF2B5EF4-FFF2-40B4-BE49-F238E27FC236}">
              <a16:creationId xmlns:a16="http://schemas.microsoft.com/office/drawing/2014/main" id="{0DA4A09F-8DDF-4F08-9284-AB214AB6D796}"/>
            </a:ext>
          </a:extLst>
        </xdr:cNvPr>
        <xdr:cNvPicPr>
          <a:picLocks noChangeAspect="1"/>
        </xdr:cNvPicPr>
      </xdr:nvPicPr>
      <xdr:blipFill>
        <a:blip xmlns:r="http://schemas.openxmlformats.org/officeDocument/2006/relationships" r:embed="rId3"/>
        <a:stretch>
          <a:fillRect/>
        </a:stretch>
      </xdr:blipFill>
      <xdr:spPr>
        <a:xfrm>
          <a:off x="4553856" y="2326821"/>
          <a:ext cx="225539" cy="244929"/>
        </a:xfrm>
        <a:prstGeom prst="rect">
          <a:avLst/>
        </a:prstGeom>
      </xdr:spPr>
    </xdr:pic>
    <xdr:clientData/>
  </xdr:twoCellAnchor>
  <xdr:twoCellAnchor>
    <xdr:from>
      <xdr:col>1</xdr:col>
      <xdr:colOff>857250</xdr:colOff>
      <xdr:row>12</xdr:row>
      <xdr:rowOff>13607</xdr:rowOff>
    </xdr:from>
    <xdr:to>
      <xdr:col>1</xdr:col>
      <xdr:colOff>1065893</xdr:colOff>
      <xdr:row>12</xdr:row>
      <xdr:rowOff>230168</xdr:rowOff>
    </xdr:to>
    <xdr:pic>
      <xdr:nvPicPr>
        <xdr:cNvPr id="7" name="图片 2">
          <a:hlinkClick xmlns:r="http://schemas.openxmlformats.org/officeDocument/2006/relationships" r:id="rId4" tooltip="借方余额调整对函证的影响"/>
          <a:extLst>
            <a:ext uri="{FF2B5EF4-FFF2-40B4-BE49-F238E27FC236}">
              <a16:creationId xmlns:a16="http://schemas.microsoft.com/office/drawing/2014/main" id="{780D4643-F66B-47B9-BF6C-24A417D4956A}"/>
            </a:ext>
          </a:extLst>
        </xdr:cNvPr>
        <xdr:cNvPicPr>
          <a:picLocks noChangeAspect="1"/>
        </xdr:cNvPicPr>
      </xdr:nvPicPr>
      <xdr:blipFill>
        <a:blip xmlns:r="http://schemas.openxmlformats.org/officeDocument/2006/relationships" r:embed="rId3"/>
        <a:stretch>
          <a:fillRect/>
        </a:stretch>
      </xdr:blipFill>
      <xdr:spPr>
        <a:xfrm>
          <a:off x="1061357" y="3088821"/>
          <a:ext cx="208643" cy="216561"/>
        </a:xfrm>
        <a:prstGeom prst="rect">
          <a:avLst/>
        </a:prstGeom>
      </xdr:spPr>
    </xdr:pic>
    <xdr:clientData/>
  </xdr:twoCellAnchor>
  <xdr:twoCellAnchor editAs="oneCell">
    <xdr:from>
      <xdr:col>1</xdr:col>
      <xdr:colOff>966107</xdr:colOff>
      <xdr:row>33</xdr:row>
      <xdr:rowOff>27214</xdr:rowOff>
    </xdr:from>
    <xdr:to>
      <xdr:col>1</xdr:col>
      <xdr:colOff>1207861</xdr:colOff>
      <xdr:row>33</xdr:row>
      <xdr:rowOff>248452</xdr:rowOff>
    </xdr:to>
    <xdr:pic>
      <xdr:nvPicPr>
        <xdr:cNvPr id="9" name="Picture 5">
          <a:hlinkClick xmlns:r="http://schemas.openxmlformats.org/officeDocument/2006/relationships" r:id="rId5" tooltip="应付账款异常项目举例"/>
          <a:extLst>
            <a:ext uri="{FF2B5EF4-FFF2-40B4-BE49-F238E27FC236}">
              <a16:creationId xmlns:a16="http://schemas.microsoft.com/office/drawing/2014/main" id="{45CFA061-0FDA-476B-A791-DFDE368E06A2}"/>
            </a:ext>
            <a:ext uri="{147F2762-F138-4A5C-976F-8EAC2B608ADB}">
              <a16:predDERef xmlns:a16="http://schemas.microsoft.com/office/drawing/2014/main" pred="{54F81827-59F0-4148-85B3-7B2093630FCB}"/>
            </a:ext>
          </a:extLst>
        </xdr:cNvPr>
        <xdr:cNvPicPr>
          <a:picLocks noChangeAspect="1"/>
        </xdr:cNvPicPr>
      </xdr:nvPicPr>
      <xdr:blipFill>
        <a:blip xmlns:r="http://schemas.openxmlformats.org/officeDocument/2006/relationships" r:embed="rId3"/>
        <a:stretch>
          <a:fillRect/>
        </a:stretch>
      </xdr:blipFill>
      <xdr:spPr>
        <a:xfrm>
          <a:off x="1170214" y="7660821"/>
          <a:ext cx="241754" cy="2212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662215</xdr:colOff>
      <xdr:row>1</xdr:row>
      <xdr:rowOff>0</xdr:rowOff>
    </xdr:to>
    <xdr:pic>
      <xdr:nvPicPr>
        <xdr:cNvPr id="4" name="Picture 2">
          <a:extLst>
            <a:ext uri="{FF2B5EF4-FFF2-40B4-BE49-F238E27FC236}">
              <a16:creationId xmlns:a16="http://schemas.microsoft.com/office/drawing/2014/main" id="{32AFD5B0-D713-4529-9B61-7082ACF25808}"/>
            </a:ext>
          </a:extLst>
        </xdr:cNvPr>
        <xdr:cNvPicPr>
          <a:picLocks noChangeAspect="1"/>
        </xdr:cNvPicPr>
      </xdr:nvPicPr>
      <xdr:blipFill>
        <a:blip xmlns:r="http://schemas.openxmlformats.org/officeDocument/2006/relationships" r:embed="rId1"/>
        <a:stretch>
          <a:fillRect/>
        </a:stretch>
      </xdr:blipFill>
      <xdr:spPr>
        <a:xfrm>
          <a:off x="571500" y="66221"/>
          <a:ext cx="607786" cy="568779"/>
        </a:xfrm>
        <a:prstGeom prst="rect">
          <a:avLst/>
        </a:prstGeom>
      </xdr:spPr>
    </xdr:pic>
    <xdr:clientData/>
  </xdr:twoCellAnchor>
  <xdr:twoCellAnchor editAs="oneCell">
    <xdr:from>
      <xdr:col>2</xdr:col>
      <xdr:colOff>1006928</xdr:colOff>
      <xdr:row>4</xdr:row>
      <xdr:rowOff>81642</xdr:rowOff>
    </xdr:from>
    <xdr:to>
      <xdr:col>2</xdr:col>
      <xdr:colOff>1261019</xdr:colOff>
      <xdr:row>5</xdr:row>
      <xdr:rowOff>156897</xdr:rowOff>
    </xdr:to>
    <xdr:pic>
      <xdr:nvPicPr>
        <xdr:cNvPr id="5" name="图片 5">
          <a:hlinkClick xmlns:r="http://schemas.openxmlformats.org/officeDocument/2006/relationships" r:id="rId2" tooltip="AP截止测试注意事项"/>
          <a:extLst>
            <a:ext uri="{FF2B5EF4-FFF2-40B4-BE49-F238E27FC236}">
              <a16:creationId xmlns:a16="http://schemas.microsoft.com/office/drawing/2014/main" id="{81CC16AA-0833-4A47-A5D1-C53E5C3EE4C9}"/>
            </a:ext>
            <a:ext uri="{147F2762-F138-4A5C-976F-8EAC2B608ADB}">
              <a16:predDERef xmlns:a16="http://schemas.microsoft.com/office/drawing/2014/main" pred="{05CACC81-FAB5-AC49-CE14-33F308353514}"/>
            </a:ext>
          </a:extLst>
        </xdr:cNvPr>
        <xdr:cNvPicPr>
          <a:picLocks noChangeAspect="1"/>
        </xdr:cNvPicPr>
      </xdr:nvPicPr>
      <xdr:blipFill>
        <a:blip xmlns:r="http://schemas.openxmlformats.org/officeDocument/2006/relationships" r:embed="rId3"/>
        <a:stretch>
          <a:fillRect/>
        </a:stretch>
      </xdr:blipFill>
      <xdr:spPr>
        <a:xfrm>
          <a:off x="2653392" y="1469571"/>
          <a:ext cx="254091" cy="265755"/>
        </a:xfrm>
        <a:prstGeom prst="rect">
          <a:avLst/>
        </a:prstGeom>
      </xdr:spPr>
    </xdr:pic>
    <xdr:clientData/>
  </xdr:twoCellAnchor>
  <xdr:twoCellAnchor>
    <xdr:from>
      <xdr:col>2</xdr:col>
      <xdr:colOff>272142</xdr:colOff>
      <xdr:row>9</xdr:row>
      <xdr:rowOff>149679</xdr:rowOff>
    </xdr:from>
    <xdr:to>
      <xdr:col>2</xdr:col>
      <xdr:colOff>521605</xdr:colOff>
      <xdr:row>11</xdr:row>
      <xdr:rowOff>4535</xdr:rowOff>
    </xdr:to>
    <xdr:pic>
      <xdr:nvPicPr>
        <xdr:cNvPr id="6" name="图片 5">
          <a:hlinkClick xmlns:r="http://schemas.openxmlformats.org/officeDocument/2006/relationships" r:id="rId4" tooltip="IPE考虑"/>
          <a:extLst>
            <a:ext uri="{FF2B5EF4-FFF2-40B4-BE49-F238E27FC236}">
              <a16:creationId xmlns:a16="http://schemas.microsoft.com/office/drawing/2014/main" id="{96780DAF-5CA3-45D4-AE9C-DF8A437A6A9C}"/>
            </a:ext>
          </a:extLst>
        </xdr:cNvPr>
        <xdr:cNvPicPr>
          <a:picLocks noChangeAspect="1"/>
        </xdr:cNvPicPr>
      </xdr:nvPicPr>
      <xdr:blipFill>
        <a:blip xmlns:r="http://schemas.openxmlformats.org/officeDocument/2006/relationships" r:embed="rId5"/>
        <a:stretch>
          <a:fillRect/>
        </a:stretch>
      </xdr:blipFill>
      <xdr:spPr>
        <a:xfrm>
          <a:off x="1918606" y="2490108"/>
          <a:ext cx="249463" cy="23585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642514</xdr:colOff>
      <xdr:row>0</xdr:row>
      <xdr:rowOff>607786</xdr:rowOff>
    </xdr:to>
    <xdr:pic>
      <xdr:nvPicPr>
        <xdr:cNvPr id="6" name="Picture 2">
          <a:extLst>
            <a:ext uri="{FF2B5EF4-FFF2-40B4-BE49-F238E27FC236}">
              <a16:creationId xmlns:a16="http://schemas.microsoft.com/office/drawing/2014/main" id="{E6A16F39-9334-4149-BAF6-890F15580A3E}"/>
            </a:ext>
          </a:extLst>
        </xdr:cNvPr>
        <xdr:cNvPicPr>
          <a:picLocks noChangeAspect="1"/>
        </xdr:cNvPicPr>
      </xdr:nvPicPr>
      <xdr:blipFill>
        <a:blip xmlns:r="http://schemas.openxmlformats.org/officeDocument/2006/relationships" r:embed="rId1"/>
        <a:stretch>
          <a:fillRect/>
        </a:stretch>
      </xdr:blipFill>
      <xdr:spPr>
        <a:xfrm>
          <a:off x="381000" y="66221"/>
          <a:ext cx="588085" cy="541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 Id="rId1"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A3"/>
      <sheetName val="A5"/>
      <sheetName val="A5_Adj_sum"/>
      <sheetName val="25BPC原报数_资产负债表"/>
      <sheetName val="25BPC原报数_利润表"/>
      <sheetName val="24BPC原报数_资产负债表"/>
      <sheetName val="24BPC原报数_利润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row r="79">
          <cell r="F79">
            <v>57526376.380000003</v>
          </cell>
          <cell r="H79">
            <v>57526376.380000003</v>
          </cell>
          <cell r="L79">
            <v>64187384.869999997</v>
          </cell>
        </row>
      </sheetData>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Dana D Li" id="{90FA5624-652C-4049-9C0E-49E45CEAE170}" userId="S::Dana.D.Li1@cn.ey.com::e8e9757c-2580-47ca-adc7-0fc57035227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5" dT="2026-03-22T08:56:53.12" personId="{90FA5624-652C-4049-9C0E-49E45CEAE170}" id="{612E05B1-319D-47BB-8D79-409206C54378}">
    <text>补充索引</text>
  </threadedComment>
</ThreadedComments>
</file>

<file path=xl/threadedComments/threadedComment2.xml><?xml version="1.0" encoding="utf-8"?>
<ThreadedComments xmlns="http://schemas.microsoft.com/office/spreadsheetml/2018/threadedcomments" xmlns:x="http://schemas.openxmlformats.org/spreadsheetml/2006/main">
  <threadedComment ref="G28" dT="2026-03-22T08:59:32.63" personId="{90FA5624-652C-4049-9C0E-49E45CEAE170}" id="{E37BB3FA-A7CB-4BAE-97E3-6783A3FA6F9D}">
    <text>正负反了</text>
  </threadedComment>
  <threadedComment ref="F36" dT="2026-03-22T08:59:20.39" personId="{90FA5624-652C-4049-9C0E-49E45CEAE170}" id="{B18D5F63-107F-47C8-AF70-45E6F9355635}">
    <text>为什么还有24年的表？项目组要求的吗</text>
  </threadedComment>
</ThreadedComments>
</file>

<file path=xl/threadedComments/threadedComment3.xml><?xml version="1.0" encoding="utf-8"?>
<ThreadedComments xmlns="http://schemas.microsoft.com/office/spreadsheetml/2018/threadedcomments" xmlns:x="http://schemas.openxmlformats.org/spreadsheetml/2006/main">
  <threadedComment ref="G11" dT="2026-03-22T09:01:19.24" personId="{90FA5624-652C-4049-9C0E-49E45CEAE170}" id="{668FA237-424A-4BDB-AD82-53F2A9ADE947}">
    <text>这是关联方？</text>
  </threadedComment>
  <threadedComment ref="G12" dT="2026-03-22T09:01:29.49" personId="{90FA5624-652C-4049-9C0E-49E45CEAE170}" id="{4821C6F6-7640-4971-87C9-72CDAC55A449}">
    <text>这是关联方/？</text>
  </threadedComment>
  <threadedComment ref="G13" dT="2026-03-22T09:01:38.70" personId="{90FA5624-652C-4049-9C0E-49E45CEAE170}" id="{222248E9-5385-4CB6-B652-6D5646CE7070}">
    <text>确定是关联方？</text>
  </threadedComment>
  <threadedComment ref="B246" dT="2026-03-22T09:09:26.99" personId="{90FA5624-652C-4049-9C0E-49E45CEAE170}" id="{3CF9B36D-D834-4B98-9665-EDC9B5E1E89A}">
    <text>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ext>
  </threadedComment>
  <threadedComment ref="B248" dT="2026-03-22T09:13:03.46" personId="{90FA5624-652C-4049-9C0E-49E45CEAE170}" id="{1D65A878-799B-4507-97F6-777CF93977D1}">
    <text xml:space="preserve">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ext>
  </threadedComment>
  <threadedComment ref="B250" dT="2026-03-22T09:13:38.35" personId="{90FA5624-652C-4049-9C0E-49E45CEAE170}" id="{507577BA-7187-422E-BE33-07D772D79CDD}">
    <text>写的太口语化了，参考上方cmts修改描述</text>
  </threadedComment>
  <threadedComment ref="B252" dT="2026-03-22T09:14:19.98" personId="{90FA5624-652C-4049-9C0E-49E45CEAE170}" id="{269D05AB-46F8-4474-A3C7-5FA7BF1C3CBB}">
    <text>太口语化了，修改，”账面显示的变动较大“---是想表达什么</text>
  </threadedComment>
  <threadedComment ref="B254" dT="2026-03-22T09:15:22.69" personId="{90FA5624-652C-4049-9C0E-49E45CEAE170}" id="{02C0EB77-B635-4979-B602-04EC3780621A}">
    <text>25年合作工程较24年量大----新增了什么合作工程？补充</text>
  </threadedComment>
  <threadedComment ref="B257" dT="2026-03-22T09:05:08.06" personId="{90FA5624-652C-4049-9C0E-49E45CEAE170}" id="{1FD92BCB-0928-44A2-91CF-6A103EBC72E1}">
    <text xml:space="preserve">为啥只有4个，上面的描述是说选取前五大
</text>
  </threadedComment>
  <threadedComment ref="B263" dT="2026-03-22T09:03:08.35" personId="{90FA5624-652C-4049-9C0E-49E45CEAE170}" id="{3CF57968-194D-4E9D-851F-282BEFC9A369}">
    <text>补充资料（合同，工程形象进度，产值表，结算单等），下同</text>
  </threadedComment>
  <threadedComment ref="B265" dT="2026-03-22T09:04:16.72" personId="{90FA5624-652C-4049-9C0E-49E45CEAE170}" id="{A57F8084-8C5C-4C69-94DD-15B221C0220F}">
    <text>补充资料检查，这是还没分析完吗？</text>
  </threadedComment>
  <threadedComment ref="B267" dT="2026-03-22T09:04:25.78" personId="{90FA5624-652C-4049-9C0E-49E45CEAE170}" id="{BB6BDDBF-2072-4C0D-A2AE-BB44372F9CFC}">
    <text>补充资料</text>
  </threadedComment>
</ThreadedComments>
</file>

<file path=xl/threadedComments/threadedComment4.xml><?xml version="1.0" encoding="utf-8"?>
<ThreadedComments xmlns="http://schemas.microsoft.com/office/spreadsheetml/2018/threadedcomments" xmlns:x="http://schemas.openxmlformats.org/spreadsheetml/2006/main">
  <threadedComment ref="E2" dT="2026-03-22T09:00:16.06" personId="{90FA5624-652C-4049-9C0E-49E45CEAE170}" id="{065E772E-8031-46AE-ACA3-CEF63A2A92AF}">
    <text>为啥24年单独一个明细表，是想看24年的账龄吗？直接加在25年明细账后面不行吗？</text>
  </threadedComment>
  <threadedComment ref="M7" dT="2026-03-22T09:00:36.99" personId="{90FA5624-652C-4049-9C0E-49E45CEAE170}" id="{B8CF8CF4-20A3-466C-B5FF-63C8D1FB4B7F}">
    <text>账龄check列补充</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N%20SWP%20&#24212;&#20184;&#36134;&#27454;%2020251231%20&#19996;&#39118;&#40511;&#36828;&#24037;&#31243;&#21672;&#35810;&#26377;&#38480;&#20844;&#21496;.xlsx" TargetMode="External"/><Relationship Id="rId13" Type="http://schemas.openxmlformats.org/officeDocument/2006/relationships/hyperlink" Target="N%20SWP%20&#24212;&#20184;&#36134;&#27454;%2020251231%20&#19996;&#39118;&#40511;&#36828;&#24037;&#31243;&#21672;&#35810;&#26377;&#38480;&#20844;&#21496;.xlsx" TargetMode="External"/><Relationship Id="rId3" Type="http://schemas.openxmlformats.org/officeDocument/2006/relationships/hyperlink" Target="N%20SWP%20&#24212;&#20184;&#36134;&#27454;%2020251231%20&#19996;&#39118;&#40511;&#36828;&#24037;&#31243;&#21672;&#35810;&#26377;&#38480;&#20844;&#21496;.xlsx" TargetMode="External"/><Relationship Id="rId7" Type="http://schemas.openxmlformats.org/officeDocument/2006/relationships/hyperlink" Target="N%20SWP%20&#24212;&#20184;&#36134;&#27454;%2020251231%20&#19996;&#39118;&#40511;&#36828;&#24037;&#31243;&#21672;&#35810;&#26377;&#38480;&#20844;&#21496;.xlsx" TargetMode="External"/><Relationship Id="rId12" Type="http://schemas.openxmlformats.org/officeDocument/2006/relationships/hyperlink" Target="N%20SWP%20&#24212;&#20184;&#36134;&#27454;%2020251231%20&#19996;&#39118;&#40511;&#36828;&#24037;&#31243;&#21672;&#35810;&#26377;&#38480;&#20844;&#21496;.xlsx" TargetMode="External"/><Relationship Id="rId17" Type="http://schemas.openxmlformats.org/officeDocument/2006/relationships/hyperlink" Target="N%20SWP%20&#24212;&#20184;&#36134;&#27454;%2020251231%20&#19996;&#39118;&#40511;&#36828;&#24037;&#31243;&#21672;&#35810;&#26377;&#38480;&#20844;&#21496;.xlsx" TargetMode="External"/><Relationship Id="rId2" Type="http://schemas.openxmlformats.org/officeDocument/2006/relationships/hyperlink" Target="N%20SWP%20&#24212;&#20184;&#36134;&#27454;%2020251231%20&#19996;&#39118;&#40511;&#36828;&#24037;&#31243;&#21672;&#35810;&#26377;&#38480;&#20844;&#21496;.xlsx" TargetMode="External"/><Relationship Id="rId16" Type="http://schemas.openxmlformats.org/officeDocument/2006/relationships/hyperlink" Target="N%20SWP%20&#24212;&#20184;&#36134;&#27454;%2020251231%20&#19996;&#39118;&#40511;&#36828;&#24037;&#31243;&#21672;&#35810;&#26377;&#38480;&#20844;&#21496;.xlsx" TargetMode="External"/><Relationship Id="rId1" Type="http://schemas.openxmlformats.org/officeDocument/2006/relationships/hyperlink" Target="N%20SWP%20&#24212;&#20184;&#36134;&#27454;%2020251231%20&#19996;&#39118;&#40511;&#36828;&#24037;&#31243;&#21672;&#35810;&#26377;&#38480;&#20844;&#21496;.xlsx" TargetMode="External"/><Relationship Id="rId6" Type="http://schemas.openxmlformats.org/officeDocument/2006/relationships/hyperlink" Target="N%20SWP%20&#24212;&#20184;&#36134;&#27454;%2020251231%20&#19996;&#39118;&#40511;&#36828;&#24037;&#31243;&#21672;&#35810;&#26377;&#38480;&#20844;&#21496;.xlsx" TargetMode="External"/><Relationship Id="rId11" Type="http://schemas.openxmlformats.org/officeDocument/2006/relationships/hyperlink" Target="N%20SWP%20&#24212;&#20184;&#36134;&#27454;%2020251231%20&#19996;&#39118;&#40511;&#36828;&#24037;&#31243;&#21672;&#35810;&#26377;&#38480;&#20844;&#21496;.xlsx" TargetMode="External"/><Relationship Id="rId5" Type="http://schemas.openxmlformats.org/officeDocument/2006/relationships/hyperlink" Target="N%20SWP%20&#24212;&#20184;&#36134;&#27454;%2020251231%20&#19996;&#39118;&#40511;&#36828;&#24037;&#31243;&#21672;&#35810;&#26377;&#38480;&#20844;&#21496;.xlsx" TargetMode="External"/><Relationship Id="rId15" Type="http://schemas.openxmlformats.org/officeDocument/2006/relationships/hyperlink" Target="N%20SWP%20&#24212;&#20184;&#36134;&#27454;%2020251231%20&#19996;&#39118;&#40511;&#36828;&#24037;&#31243;&#21672;&#35810;&#26377;&#38480;&#20844;&#21496;.xlsx" TargetMode="External"/><Relationship Id="rId10" Type="http://schemas.openxmlformats.org/officeDocument/2006/relationships/hyperlink" Target="N%20SWP%20&#24212;&#20184;&#36134;&#27454;%2020251231%20&#19996;&#39118;&#40511;&#36828;&#24037;&#31243;&#21672;&#35810;&#26377;&#38480;&#20844;&#21496;.xlsx" TargetMode="External"/><Relationship Id="rId4" Type="http://schemas.openxmlformats.org/officeDocument/2006/relationships/hyperlink" Target="N%20SWP%20&#24212;&#20184;&#36134;&#27454;%2020251231%20&#19996;&#39118;&#40511;&#36828;&#24037;&#31243;&#21672;&#35810;&#26377;&#38480;&#20844;&#21496;.xlsx" TargetMode="External"/><Relationship Id="rId9" Type="http://schemas.openxmlformats.org/officeDocument/2006/relationships/hyperlink" Target="N%20SWP%20&#24212;&#20184;&#36134;&#27454;%2020251231%20&#19996;&#39118;&#40511;&#36828;&#24037;&#31243;&#21672;&#35810;&#26377;&#38480;&#20844;&#21496;.xlsx" TargetMode="External"/><Relationship Id="rId14" Type="http://schemas.openxmlformats.org/officeDocument/2006/relationships/hyperlink" Target="N%20SWP%20&#24212;&#20184;&#36134;&#27454;%2020251231%20&#19996;&#39118;&#40511;&#36828;&#24037;&#31243;&#21672;&#35810;&#26377;&#38480;&#20844;&#21496;.xlsx"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Relationship Id="rId1" Type="http://schemas.openxmlformats.org/officeDocument/2006/relationships/hyperlink" Target="../../../../../: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70B8-EF2B-47E1-B298-E7718A5768D1}">
  <sheetPr>
    <tabColor rgb="FFFF0000"/>
  </sheetPr>
  <dimension ref="A1:F18"/>
  <sheetViews>
    <sheetView tabSelected="1" workbookViewId="0"/>
  </sheetViews>
  <sheetFormatPr defaultRowHeight="13.8"/>
  <cols>
    <col min="1" max="2" width="8.77734375" customWidth="1"/>
    <col min="3" max="3" width="12.77734375" customWidth="1"/>
    <col min="4" max="5" width="70.77734375" customWidth="1"/>
    <col min="6" max="6" width="8.77734375" customWidth="1"/>
  </cols>
  <sheetData>
    <row r="1" spans="1:6">
      <c r="A1" s="733" t="s">
        <v>1030</v>
      </c>
      <c r="B1" s="733" t="s">
        <v>1031</v>
      </c>
      <c r="C1" s="733" t="s">
        <v>1032</v>
      </c>
      <c r="D1" s="733" t="s">
        <v>1033</v>
      </c>
      <c r="E1" s="733" t="s">
        <v>1034</v>
      </c>
      <c r="F1" s="733" t="s">
        <v>1035</v>
      </c>
    </row>
    <row r="2" spans="1:6" ht="41.4">
      <c r="A2">
        <v>1</v>
      </c>
      <c r="B2" t="s">
        <v>1036</v>
      </c>
      <c r="C2" s="735" t="s">
        <v>1037</v>
      </c>
      <c r="D2" s="734" t="s">
        <v>1038</v>
      </c>
      <c r="F2" t="s">
        <v>1039</v>
      </c>
    </row>
    <row r="3" spans="1:6" ht="41.4">
      <c r="A3">
        <v>2</v>
      </c>
      <c r="B3" t="s">
        <v>1040</v>
      </c>
      <c r="C3" s="735" t="s">
        <v>1041</v>
      </c>
      <c r="D3" s="734" t="s">
        <v>1042</v>
      </c>
      <c r="F3" t="s">
        <v>1039</v>
      </c>
    </row>
    <row r="4" spans="1:6" ht="41.4">
      <c r="A4">
        <v>3</v>
      </c>
      <c r="B4" t="s">
        <v>1040</v>
      </c>
      <c r="C4" s="735" t="s">
        <v>1043</v>
      </c>
      <c r="D4" s="734" t="s">
        <v>1044</v>
      </c>
      <c r="F4" t="s">
        <v>1039</v>
      </c>
    </row>
    <row r="5" spans="1:6" ht="41.4">
      <c r="A5">
        <v>4</v>
      </c>
      <c r="B5" t="s">
        <v>1045</v>
      </c>
      <c r="C5" s="735" t="s">
        <v>1046</v>
      </c>
      <c r="D5" s="734" t="s">
        <v>1047</v>
      </c>
      <c r="F5" t="s">
        <v>1039</v>
      </c>
    </row>
    <row r="6" spans="1:6" ht="41.4">
      <c r="A6">
        <v>5</v>
      </c>
      <c r="B6" t="s">
        <v>1045</v>
      </c>
      <c r="C6" s="735" t="s">
        <v>1048</v>
      </c>
      <c r="D6" s="734" t="s">
        <v>1049</v>
      </c>
      <c r="F6" t="s">
        <v>1039</v>
      </c>
    </row>
    <row r="7" spans="1:6" ht="41.4">
      <c r="A7">
        <v>6</v>
      </c>
      <c r="B7" t="s">
        <v>1045</v>
      </c>
      <c r="C7" s="735" t="s">
        <v>1050</v>
      </c>
      <c r="D7" s="734" t="s">
        <v>1051</v>
      </c>
      <c r="F7" t="s">
        <v>1039</v>
      </c>
    </row>
    <row r="8" spans="1:6" ht="82.8">
      <c r="A8">
        <v>7</v>
      </c>
      <c r="B8" t="s">
        <v>1045</v>
      </c>
      <c r="C8" s="735" t="s">
        <v>1052</v>
      </c>
      <c r="D8" s="734" t="s">
        <v>1053</v>
      </c>
      <c r="F8" t="s">
        <v>1039</v>
      </c>
    </row>
    <row r="9" spans="1:6" ht="179.4">
      <c r="A9">
        <v>8</v>
      </c>
      <c r="B9" t="s">
        <v>1045</v>
      </c>
      <c r="C9" s="735" t="s">
        <v>1054</v>
      </c>
      <c r="D9" s="734" t="s">
        <v>1055</v>
      </c>
      <c r="F9" t="s">
        <v>1039</v>
      </c>
    </row>
    <row r="10" spans="1:6" ht="41.4">
      <c r="A10">
        <v>9</v>
      </c>
      <c r="B10" t="s">
        <v>1045</v>
      </c>
      <c r="C10" s="735" t="s">
        <v>1056</v>
      </c>
      <c r="D10" s="734" t="s">
        <v>1057</v>
      </c>
      <c r="F10" t="s">
        <v>1039</v>
      </c>
    </row>
    <row r="11" spans="1:6" ht="41.4">
      <c r="A11">
        <v>10</v>
      </c>
      <c r="B11" t="s">
        <v>1045</v>
      </c>
      <c r="C11" s="735" t="s">
        <v>1058</v>
      </c>
      <c r="D11" s="734" t="s">
        <v>1059</v>
      </c>
      <c r="F11" t="s">
        <v>1039</v>
      </c>
    </row>
    <row r="12" spans="1:6" ht="41.4">
      <c r="A12">
        <v>11</v>
      </c>
      <c r="B12" t="s">
        <v>1045</v>
      </c>
      <c r="C12" s="735" t="s">
        <v>1060</v>
      </c>
      <c r="D12" s="734" t="s">
        <v>1061</v>
      </c>
      <c r="F12" t="s">
        <v>1039</v>
      </c>
    </row>
    <row r="13" spans="1:6" ht="55.2">
      <c r="A13">
        <v>12</v>
      </c>
      <c r="B13" t="s">
        <v>1045</v>
      </c>
      <c r="C13" s="735" t="s">
        <v>1062</v>
      </c>
      <c r="D13" s="734" t="s">
        <v>1063</v>
      </c>
      <c r="F13" t="s">
        <v>1039</v>
      </c>
    </row>
    <row r="14" spans="1:6" ht="41.4">
      <c r="A14">
        <v>13</v>
      </c>
      <c r="B14" t="s">
        <v>1045</v>
      </c>
      <c r="C14" s="735" t="s">
        <v>1064</v>
      </c>
      <c r="D14" s="734" t="s">
        <v>1065</v>
      </c>
      <c r="F14" t="s">
        <v>1039</v>
      </c>
    </row>
    <row r="15" spans="1:6" ht="41.4">
      <c r="A15">
        <v>14</v>
      </c>
      <c r="B15" t="s">
        <v>1045</v>
      </c>
      <c r="C15" s="735" t="s">
        <v>1066</v>
      </c>
      <c r="D15" s="734" t="s">
        <v>1067</v>
      </c>
      <c r="F15" t="s">
        <v>1039</v>
      </c>
    </row>
    <row r="16" spans="1:6" ht="41.4">
      <c r="A16">
        <v>15</v>
      </c>
      <c r="B16" t="s">
        <v>1045</v>
      </c>
      <c r="C16" s="735" t="s">
        <v>1068</v>
      </c>
      <c r="D16" s="734" t="s">
        <v>1069</v>
      </c>
      <c r="F16" t="s">
        <v>1039</v>
      </c>
    </row>
    <row r="17" spans="1:6" ht="55.2">
      <c r="A17">
        <v>16</v>
      </c>
      <c r="B17" t="s">
        <v>1070</v>
      </c>
      <c r="C17" s="735" t="s">
        <v>1071</v>
      </c>
      <c r="D17" s="734" t="s">
        <v>1072</v>
      </c>
      <c r="F17" t="s">
        <v>1039</v>
      </c>
    </row>
    <row r="18" spans="1:6" ht="41.4">
      <c r="A18">
        <v>17</v>
      </c>
      <c r="B18" t="s">
        <v>1070</v>
      </c>
      <c r="C18" s="735" t="s">
        <v>1073</v>
      </c>
      <c r="D18" s="734" t="s">
        <v>1074</v>
      </c>
      <c r="F18" t="s">
        <v>1039</v>
      </c>
    </row>
  </sheetData>
  <phoneticPr fontId="25" type="noConversion"/>
  <hyperlinks>
    <hyperlink ref="C2" r:id="rId1" location="'汇总'!$H$15" xr:uid="{1C8E84A6-44E4-4F83-B875-B8354FA83B58}"/>
    <hyperlink ref="C3" r:id="rId2" location="'N.01 明细账与总账核对 (20241231)'!$G$28" xr:uid="{668CCDFE-BECD-46A8-A23F-6C058CEECF1B}"/>
    <hyperlink ref="C4" r:id="rId3" location="'N.01 明细账与总账核对 (20241231)'!$F$36" xr:uid="{C05A9147-60EF-4E63-91B2-23C07D0F5626}"/>
    <hyperlink ref="C5" r:id="rId4" location="'N.01.01明细账'!$G$11" xr:uid="{B53DD21B-AF8E-44B3-8A19-49AE54BA3515}"/>
    <hyperlink ref="C6" r:id="rId5" location="'N.01.01明细账'!$G$12" xr:uid="{3943ED47-C7F8-419A-A90F-2F9E9AE5016C}"/>
    <hyperlink ref="C7" r:id="rId6" location="'N.01.01明细账'!$G$13" xr:uid="{C91A64F4-F76E-487E-A570-6741C3F16540}"/>
    <hyperlink ref="C8" r:id="rId7" location="'N.01.01明细账'!$B$246" xr:uid="{0B244EE4-7F1E-461A-BC82-66E2A387485A}"/>
    <hyperlink ref="C9" r:id="rId8" location="'N.01.01明细账'!$B$248" xr:uid="{E8F6D358-6697-4A4A-B3C1-B2669B43BF70}"/>
    <hyperlink ref="C10" r:id="rId9" location="'N.01.01明细账'!$B$250" xr:uid="{C54A6064-F7A4-4394-AEC2-714A7A46CBBB}"/>
    <hyperlink ref="C11" r:id="rId10" location="'N.01.01明细账'!$B$252" xr:uid="{17D294E1-72C1-43C7-B492-4B971B15B535}"/>
    <hyperlink ref="C12" r:id="rId11" location="'N.01.01明细账'!$B$254" xr:uid="{ABB99477-8E12-4F88-93FF-E0116C814553}"/>
    <hyperlink ref="C13" r:id="rId12" location="'N.01.01明细账'!$B$257" xr:uid="{584EC3DA-FAFB-46C4-8735-DB199C74F855}"/>
    <hyperlink ref="C14" r:id="rId13" location="'N.01.01明细账'!$B$263" xr:uid="{3A60B3D6-30E8-4094-9C4B-65B3187E98FD}"/>
    <hyperlink ref="C15" r:id="rId14" location="'N.01.01明细账'!$B$265" xr:uid="{028CD390-7AA6-422C-A95C-39D06E4076EC}"/>
    <hyperlink ref="C16" r:id="rId15" location="'N.01.01明细账'!$B$267" xr:uid="{0AB21CC8-BF95-4824-9128-7A4812284110}"/>
    <hyperlink ref="C17" r:id="rId16" location="'N.01.01明细账 (20241231)'!$E$2" xr:uid="{0EF400C4-63CA-4BD0-8E90-32C20897C108}"/>
    <hyperlink ref="C18" r:id="rId17" location="'N.01.01明细账 (20241231)'!$M$7" xr:uid="{CD0EF2C9-C916-418F-B2D8-B3C74C5032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AAE3-6C23-488B-BD24-58D3AB84CD77}">
  <dimension ref="A1:J20"/>
  <sheetViews>
    <sheetView showGridLines="0" zoomScale="70" zoomScaleNormal="70" workbookViewId="0">
      <selection activeCell="G24" sqref="G24"/>
    </sheetView>
  </sheetViews>
  <sheetFormatPr defaultColWidth="9" defaultRowHeight="14.25" customHeight="1"/>
  <cols>
    <col min="1" max="1" width="4.5546875" style="41" customWidth="1"/>
    <col min="2" max="2" width="11.77734375" style="40" customWidth="1"/>
    <col min="3" max="3" width="14.5546875" style="44" customWidth="1"/>
    <col min="4" max="4" width="16.5546875" style="41" customWidth="1"/>
    <col min="5" max="5" width="25.109375" style="41" customWidth="1"/>
    <col min="6" max="6" width="18.77734375" style="42" customWidth="1"/>
    <col min="7" max="7" width="12.5546875" style="40" customWidth="1"/>
    <col min="8" max="8" width="21.5546875" style="41" customWidth="1"/>
    <col min="9" max="9" width="30.77734375" style="40" customWidth="1"/>
    <col min="10" max="16384" width="9" style="41"/>
  </cols>
  <sheetData>
    <row r="1" spans="1:10" ht="28.05" customHeight="1">
      <c r="A1" s="415" t="s">
        <v>0</v>
      </c>
    </row>
    <row r="2" spans="1:10" ht="20.399999999999999">
      <c r="A2" s="39"/>
      <c r="B2" s="412" t="s">
        <v>1</v>
      </c>
      <c r="C2" s="65"/>
      <c r="F2" s="68" t="s">
        <v>2</v>
      </c>
    </row>
    <row r="3" spans="1:10" ht="17.399999999999999">
      <c r="A3" s="39"/>
      <c r="B3" s="65"/>
      <c r="F3" s="68" t="s">
        <v>3</v>
      </c>
    </row>
    <row r="4" spans="1:10" ht="17.399999999999999">
      <c r="A4" s="39"/>
      <c r="B4" s="65"/>
    </row>
    <row r="5" spans="1:10" ht="18" customHeight="1">
      <c r="B5" s="58" t="s">
        <v>4</v>
      </c>
      <c r="C5" s="548" t="s">
        <v>5</v>
      </c>
      <c r="D5" s="549"/>
      <c r="E5" s="549"/>
      <c r="F5" s="59" t="s">
        <v>6</v>
      </c>
      <c r="G5" s="59" t="s">
        <v>7</v>
      </c>
      <c r="H5" s="59" t="s">
        <v>8</v>
      </c>
      <c r="I5" s="59" t="s">
        <v>9</v>
      </c>
    </row>
    <row r="6" spans="1:10" ht="33" customHeight="1">
      <c r="B6" s="60">
        <v>1</v>
      </c>
      <c r="C6" s="547" t="s">
        <v>10</v>
      </c>
      <c r="D6" s="547"/>
      <c r="E6" s="547"/>
      <c r="F6" s="542" t="s">
        <v>11</v>
      </c>
      <c r="G6" s="61" t="s">
        <v>12</v>
      </c>
      <c r="H6" s="52"/>
      <c r="I6" s="61"/>
    </row>
    <row r="7" spans="1:10" ht="33" customHeight="1">
      <c r="B7" s="60">
        <v>2</v>
      </c>
      <c r="C7" s="550" t="s">
        <v>13</v>
      </c>
      <c r="D7" s="550"/>
      <c r="E7" s="550"/>
      <c r="F7" s="543"/>
      <c r="G7" s="61" t="s">
        <v>12</v>
      </c>
      <c r="H7" s="52"/>
      <c r="I7" s="61"/>
    </row>
    <row r="8" spans="1:10" ht="15" customHeight="1">
      <c r="B8" s="58" t="s">
        <v>14</v>
      </c>
      <c r="C8" s="545" t="s">
        <v>15</v>
      </c>
      <c r="D8" s="545"/>
      <c r="E8" s="545"/>
      <c r="F8" s="59" t="s">
        <v>16</v>
      </c>
      <c r="G8" s="59" t="s">
        <v>7</v>
      </c>
      <c r="H8" s="59" t="s">
        <v>8</v>
      </c>
      <c r="I8" s="59" t="s">
        <v>17</v>
      </c>
    </row>
    <row r="9" spans="1:10" ht="74.099999999999994" customHeight="1">
      <c r="B9" s="60">
        <v>1</v>
      </c>
      <c r="C9" s="540" t="s">
        <v>18</v>
      </c>
      <c r="D9" s="541"/>
      <c r="E9" s="541"/>
      <c r="F9" s="542" t="s">
        <v>19</v>
      </c>
      <c r="G9" s="61" t="s">
        <v>12</v>
      </c>
      <c r="H9" s="52"/>
      <c r="I9" s="61"/>
    </row>
    <row r="10" spans="1:10" ht="47.55" customHeight="1">
      <c r="B10" s="60">
        <v>2</v>
      </c>
      <c r="C10" s="544" t="s">
        <v>20</v>
      </c>
      <c r="D10" s="544"/>
      <c r="E10" s="544"/>
      <c r="F10" s="543"/>
      <c r="G10" s="61" t="s">
        <v>12</v>
      </c>
      <c r="H10" s="52"/>
      <c r="I10" s="61"/>
    </row>
    <row r="11" spans="1:10" ht="15" customHeight="1">
      <c r="B11" s="58" t="s">
        <v>21</v>
      </c>
      <c r="C11" s="546" t="s">
        <v>22</v>
      </c>
      <c r="D11" s="545"/>
      <c r="E11" s="545"/>
      <c r="F11" s="59" t="s">
        <v>16</v>
      </c>
      <c r="G11" s="59" t="s">
        <v>7</v>
      </c>
      <c r="H11" s="59" t="s">
        <v>8</v>
      </c>
      <c r="I11" s="59" t="s">
        <v>17</v>
      </c>
    </row>
    <row r="12" spans="1:10" ht="70.5" customHeight="1">
      <c r="B12" s="62">
        <v>1</v>
      </c>
      <c r="C12" s="547" t="s">
        <v>23</v>
      </c>
      <c r="D12" s="547"/>
      <c r="E12" s="547"/>
      <c r="F12" s="542" t="s">
        <v>24</v>
      </c>
      <c r="G12" s="61" t="s">
        <v>12</v>
      </c>
      <c r="H12" s="52"/>
      <c r="I12" s="63"/>
      <c r="J12" s="43"/>
    </row>
    <row r="13" spans="1:10" ht="70.5" customHeight="1">
      <c r="A13"/>
      <c r="B13" s="62">
        <v>2</v>
      </c>
      <c r="C13" s="544" t="s">
        <v>25</v>
      </c>
      <c r="D13" s="544"/>
      <c r="E13" s="544"/>
      <c r="F13" s="543"/>
      <c r="G13" s="61" t="s">
        <v>12</v>
      </c>
      <c r="H13" s="52"/>
      <c r="I13" s="63"/>
      <c r="J13" s="43"/>
    </row>
    <row r="14" spans="1:10" ht="15" customHeight="1">
      <c r="A14"/>
      <c r="B14" s="58" t="s">
        <v>26</v>
      </c>
      <c r="C14" s="545" t="s">
        <v>27</v>
      </c>
      <c r="D14" s="545"/>
      <c r="E14" s="545"/>
      <c r="F14" s="59" t="s">
        <v>16</v>
      </c>
      <c r="G14" s="59" t="s">
        <v>7</v>
      </c>
      <c r="H14" s="59" t="s">
        <v>8</v>
      </c>
      <c r="I14" s="59" t="s">
        <v>17</v>
      </c>
      <c r="J14" s="43"/>
    </row>
    <row r="15" spans="1:10" ht="124.5" customHeight="1">
      <c r="A15"/>
      <c r="B15" s="62">
        <v>1</v>
      </c>
      <c r="C15" s="539" t="s">
        <v>28</v>
      </c>
      <c r="D15" s="544"/>
      <c r="E15" s="544"/>
      <c r="F15" s="417" t="s">
        <v>29</v>
      </c>
      <c r="G15" s="61" t="s">
        <v>1006</v>
      </c>
      <c r="H15" s="52"/>
      <c r="I15" s="130"/>
      <c r="J15" s="43"/>
    </row>
    <row r="16" spans="1:10" ht="15" customHeight="1">
      <c r="A16"/>
      <c r="B16" s="58" t="s">
        <v>30</v>
      </c>
      <c r="C16" s="538" t="s">
        <v>31</v>
      </c>
      <c r="D16" s="538"/>
      <c r="E16" s="538"/>
      <c r="F16" s="59" t="s">
        <v>16</v>
      </c>
      <c r="G16" s="59" t="s">
        <v>7</v>
      </c>
      <c r="H16" s="59" t="s">
        <v>8</v>
      </c>
      <c r="I16" s="59" t="s">
        <v>17</v>
      </c>
    </row>
    <row r="17" spans="1:9" ht="40.5" customHeight="1">
      <c r="A17"/>
      <c r="B17" s="62">
        <v>1</v>
      </c>
      <c r="C17" s="539" t="s">
        <v>32</v>
      </c>
      <c r="D17" s="539"/>
      <c r="E17" s="539"/>
      <c r="F17" s="64" t="s">
        <v>33</v>
      </c>
      <c r="G17" s="61" t="s">
        <v>1006</v>
      </c>
      <c r="H17" s="52"/>
      <c r="I17" s="61"/>
    </row>
    <row r="18" spans="1:9" ht="14.25" customHeight="1">
      <c r="A18"/>
    </row>
    <row r="19" spans="1:9" ht="14.25" customHeight="1">
      <c r="A19"/>
    </row>
    <row r="20" spans="1:9" ht="14.25" customHeight="1">
      <c r="A20"/>
    </row>
  </sheetData>
  <mergeCells count="16">
    <mergeCell ref="F6:F7"/>
    <mergeCell ref="C5:E5"/>
    <mergeCell ref="C6:E6"/>
    <mergeCell ref="C10:E10"/>
    <mergeCell ref="C8:E8"/>
    <mergeCell ref="C7:E7"/>
    <mergeCell ref="C16:E16"/>
    <mergeCell ref="C17:E17"/>
    <mergeCell ref="C9:E9"/>
    <mergeCell ref="F9:F10"/>
    <mergeCell ref="C13:E13"/>
    <mergeCell ref="C14:E14"/>
    <mergeCell ref="C11:E11"/>
    <mergeCell ref="C12:E12"/>
    <mergeCell ref="F12:F13"/>
    <mergeCell ref="C15:E15"/>
  </mergeCells>
  <phoneticPr fontId="25" type="noConversion"/>
  <conditionalFormatting sqref="F6 F9 G9:G10 F12 G12:G13 F15:G15">
    <cfRule type="containsBlanks" dxfId="38" priority="27">
      <formula>LEN(TRIM(F6))=0</formula>
    </cfRule>
  </conditionalFormatting>
  <conditionalFormatting sqref="F17:G17">
    <cfRule type="containsBlanks" dxfId="37" priority="1">
      <formula>LEN(TRIM(F17))=0</formula>
    </cfRule>
  </conditionalFormatting>
  <conditionalFormatting sqref="G6:G7">
    <cfRule type="containsBlanks" dxfId="36" priority="23">
      <formula>LEN(TRIM(G6))=0</formula>
    </cfRule>
  </conditionalFormatting>
  <conditionalFormatting sqref="H6:H7 H9:H10 H12:H13 H15 H17">
    <cfRule type="expression" dxfId="35" priority="10">
      <formula>SUMPRODUCT((G6="否")*(LEN(H6)=0))</formula>
    </cfRule>
  </conditionalFormatting>
  <dataValidations count="1">
    <dataValidation type="list" allowBlank="1" showInputMessage="1" sqref="G6:G7 G15 G12:G13 G9:G10 G17" xr:uid="{F845C7FE-FC90-4110-9746-C9C03A565E94}">
      <formula1>"是,否"</formula1>
    </dataValidation>
  </dataValidations>
  <hyperlinks>
    <hyperlink ref="F9:F10" location="'N.01 明细账与总账核对'!A1" display="'N.01 明细账与总账核对'!A1" xr:uid="{9067DFE9-5B6B-4285-8296-4BC934DDC1C9}"/>
    <hyperlink ref="F12:F13" location="'N.02 异常项复核'!A1" display="'N.02 异常项复核'!A1" xr:uid="{A1601B11-2C9C-43AF-9D79-D5043F3AA0E8}"/>
    <hyperlink ref="F15" location="'N.03 截止测试'!A1" display="'N.03 截止测试'!A1" xr:uid="{96866598-A2F3-4407-BE49-49FEFC154E15}"/>
    <hyperlink ref="F17" location="'N.04 寻找未入账负债'!A1" display="N.04 寻找未入账的负债" xr:uid="{3B63B45E-1580-456C-9F72-46C1533D4913}"/>
    <hyperlink ref="F6:F7" location="'N.00 Lead sheet'!A1" display="N.00 Lead sheet" xr:uid="{DA02C48B-5904-45FA-BB8E-90651DAF331D}"/>
    <hyperlink ref="F3" r:id="rId1"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xr:uid="{13FAAD61-79F4-4580-8705-24D1987D603C}"/>
    <hyperlink ref="F2" r:id="rId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xr:uid="{5983E63B-65F3-477B-9539-42D7185F0BC0}"/>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L77"/>
  <sheetViews>
    <sheetView showGridLines="0" topLeftCell="A19" zoomScale="70" zoomScaleNormal="70" workbookViewId="0">
      <selection activeCell="B49" sqref="B49:F52"/>
    </sheetView>
  </sheetViews>
  <sheetFormatPr defaultColWidth="8.77734375" defaultRowHeight="12.75" customHeight="1"/>
  <cols>
    <col min="1" max="1" width="2.5546875" style="149" customWidth="1"/>
    <col min="2" max="2" width="29" style="137" customWidth="1"/>
    <col min="3" max="3" width="23.33203125" style="137" customWidth="1"/>
    <col min="4" max="4" width="29.21875" style="137" customWidth="1"/>
    <col min="5" max="5" width="15.21875" style="137" customWidth="1"/>
    <col min="6" max="6" width="16.109375" style="137" customWidth="1"/>
    <col min="7" max="11" width="15" style="137" customWidth="1"/>
    <col min="12" max="12" width="14.21875" style="137" customWidth="1"/>
    <col min="13" max="13" width="13.109375" style="137" customWidth="1"/>
    <col min="14" max="14" width="14.109375" style="137" customWidth="1"/>
    <col min="15" max="15" width="15.5546875" style="137" customWidth="1"/>
    <col min="16" max="16" width="17.5546875" style="137" customWidth="1"/>
    <col min="17" max="17" width="2.5546875" style="137" customWidth="1"/>
    <col min="18" max="18" width="1.5546875" style="137" customWidth="1"/>
    <col min="19" max="19" width="11.109375" style="137" customWidth="1"/>
    <col min="20" max="20" width="12.77734375" style="137" customWidth="1"/>
    <col min="21" max="16384" width="8.77734375" style="137"/>
  </cols>
  <sheetData>
    <row r="1" spans="2:18" s="131" customFormat="1" ht="50.1" customHeight="1">
      <c r="B1" s="206" t="s">
        <v>34</v>
      </c>
      <c r="C1" s="207"/>
      <c r="D1" s="208"/>
      <c r="E1" s="208"/>
      <c r="F1" s="208"/>
      <c r="G1" s="208"/>
      <c r="H1" s="208"/>
      <c r="I1" s="208"/>
      <c r="J1" s="208"/>
      <c r="K1" s="208"/>
      <c r="L1" s="208"/>
      <c r="M1" s="208"/>
      <c r="N1" s="208"/>
      <c r="O1" s="208"/>
      <c r="P1" s="209"/>
      <c r="Q1" s="210"/>
      <c r="R1" s="211"/>
    </row>
    <row r="2" spans="2:18" s="134" customFormat="1" ht="25.95" customHeight="1">
      <c r="B2" s="144" t="s">
        <v>35</v>
      </c>
      <c r="C2" s="436" t="s">
        <v>36</v>
      </c>
      <c r="D2" s="552" t="s">
        <v>37</v>
      </c>
      <c r="E2" s="553"/>
      <c r="F2" s="553"/>
      <c r="G2" s="553"/>
      <c r="H2" s="553"/>
      <c r="I2" s="553"/>
      <c r="J2" s="553"/>
      <c r="K2" s="553"/>
      <c r="L2" s="553"/>
      <c r="M2" s="553"/>
      <c r="N2" s="553"/>
      <c r="O2" s="553"/>
      <c r="P2" s="554"/>
      <c r="Q2" s="132"/>
      <c r="R2" s="133"/>
    </row>
    <row r="3" spans="2:18" s="134" customFormat="1" ht="21.75" customHeight="1">
      <c r="B3" s="145" t="s">
        <v>38</v>
      </c>
      <c r="C3" s="437">
        <v>46022</v>
      </c>
      <c r="D3" s="552"/>
      <c r="E3" s="553"/>
      <c r="F3" s="553"/>
      <c r="G3" s="553"/>
      <c r="H3" s="553"/>
      <c r="I3" s="553"/>
      <c r="J3" s="553"/>
      <c r="K3" s="553"/>
      <c r="L3" s="553"/>
      <c r="M3" s="553"/>
      <c r="N3" s="553"/>
      <c r="O3" s="553"/>
      <c r="P3" s="554"/>
      <c r="Q3" s="132"/>
      <c r="R3" s="133"/>
    </row>
    <row r="4" spans="2:18" s="134" customFormat="1" ht="21.75" customHeight="1">
      <c r="B4" s="145" t="s">
        <v>39</v>
      </c>
      <c r="C4" s="438">
        <v>46094</v>
      </c>
      <c r="D4" s="552"/>
      <c r="E4" s="553"/>
      <c r="F4" s="553"/>
      <c r="G4" s="553"/>
      <c r="H4" s="553"/>
      <c r="I4" s="553"/>
      <c r="J4" s="553"/>
      <c r="K4" s="553"/>
      <c r="L4" s="553"/>
      <c r="M4" s="553"/>
      <c r="N4" s="553"/>
      <c r="O4" s="553"/>
      <c r="P4" s="554"/>
      <c r="Q4" s="132"/>
      <c r="R4" s="133"/>
    </row>
    <row r="5" spans="2:18" s="134" customFormat="1" ht="21.75" customHeight="1">
      <c r="B5" s="145" t="s">
        <v>40</v>
      </c>
      <c r="C5" s="439">
        <v>3900000</v>
      </c>
      <c r="D5" s="552"/>
      <c r="E5" s="553"/>
      <c r="F5" s="553"/>
      <c r="G5" s="553"/>
      <c r="H5" s="553"/>
      <c r="I5" s="553"/>
      <c r="J5" s="553"/>
      <c r="K5" s="553"/>
      <c r="L5" s="553"/>
      <c r="M5" s="553"/>
      <c r="N5" s="553"/>
      <c r="O5" s="553"/>
      <c r="P5" s="554"/>
      <c r="Q5" s="132"/>
      <c r="R5" s="133"/>
    </row>
    <row r="6" spans="2:18" s="134" customFormat="1" ht="21.75" customHeight="1">
      <c r="B6" s="145" t="s">
        <v>41</v>
      </c>
      <c r="C6" s="439">
        <v>260000</v>
      </c>
      <c r="D6" s="552"/>
      <c r="E6" s="553"/>
      <c r="F6" s="553"/>
      <c r="G6" s="553"/>
      <c r="H6" s="553"/>
      <c r="I6" s="553"/>
      <c r="J6" s="553"/>
      <c r="K6" s="553"/>
      <c r="L6" s="553"/>
      <c r="M6" s="553"/>
      <c r="N6" s="553"/>
      <c r="O6" s="553"/>
      <c r="P6" s="554"/>
      <c r="Q6" s="132"/>
      <c r="R6" s="133"/>
    </row>
    <row r="7" spans="2:18" s="134" customFormat="1" ht="21.75" customHeight="1">
      <c r="B7" s="145" t="s">
        <v>42</v>
      </c>
      <c r="C7" s="440" t="s">
        <v>43</v>
      </c>
      <c r="D7" s="552"/>
      <c r="E7" s="553"/>
      <c r="F7" s="553"/>
      <c r="G7" s="553"/>
      <c r="H7" s="553"/>
      <c r="I7" s="553"/>
      <c r="J7" s="553"/>
      <c r="K7" s="553"/>
      <c r="L7" s="553"/>
      <c r="M7" s="553"/>
      <c r="N7" s="553"/>
      <c r="O7" s="553"/>
      <c r="P7" s="554"/>
      <c r="Q7" s="132"/>
      <c r="R7" s="133"/>
    </row>
    <row r="8" spans="2:18" s="134" customFormat="1" ht="21.75" customHeight="1">
      <c r="B8" s="146" t="s">
        <v>44</v>
      </c>
      <c r="C8" s="441" t="s">
        <v>45</v>
      </c>
      <c r="D8" s="555"/>
      <c r="E8" s="556"/>
      <c r="F8" s="556"/>
      <c r="G8" s="556"/>
      <c r="H8" s="556"/>
      <c r="I8" s="556"/>
      <c r="J8" s="556"/>
      <c r="K8" s="556"/>
      <c r="L8" s="556"/>
      <c r="M8" s="556"/>
      <c r="N8" s="556"/>
      <c r="O8" s="556"/>
      <c r="P8" s="557"/>
      <c r="Q8" s="132"/>
      <c r="R8" s="133"/>
    </row>
    <row r="9" spans="2:18" s="135" customFormat="1" ht="30" customHeight="1">
      <c r="B9" s="212" t="s">
        <v>46</v>
      </c>
      <c r="C9" s="213"/>
      <c r="D9" s="213"/>
      <c r="E9" s="213"/>
      <c r="F9" s="213"/>
      <c r="G9" s="213"/>
      <c r="H9" s="213"/>
      <c r="I9" s="213"/>
      <c r="J9" s="213"/>
      <c r="K9" s="213"/>
      <c r="L9" s="213"/>
      <c r="M9" s="213"/>
      <c r="N9" s="213"/>
      <c r="O9" s="213"/>
      <c r="P9" s="214"/>
      <c r="Q9" s="210"/>
      <c r="R9" s="211"/>
    </row>
    <row r="10" spans="2:18" s="131" customFormat="1" ht="15" customHeight="1">
      <c r="B10" s="10"/>
      <c r="C10" s="10"/>
      <c r="D10" s="10"/>
      <c r="E10" s="10"/>
      <c r="F10" s="10"/>
      <c r="G10" s="10"/>
      <c r="H10" s="10"/>
      <c r="I10" s="10"/>
      <c r="J10" s="10"/>
      <c r="K10" s="10"/>
      <c r="L10" s="10"/>
      <c r="M10" s="10"/>
      <c r="N10" s="10"/>
      <c r="O10" s="10"/>
      <c r="P10" s="10"/>
      <c r="Q10" s="210"/>
      <c r="R10" s="211"/>
    </row>
    <row r="11" spans="2:18" s="131" customFormat="1" ht="15" customHeight="1">
      <c r="B11" s="45" t="s">
        <v>47</v>
      </c>
      <c r="C11" s="10"/>
      <c r="D11" s="10"/>
      <c r="E11" s="10"/>
      <c r="F11" s="10"/>
      <c r="G11" s="10"/>
      <c r="H11" s="10"/>
      <c r="I11" s="10"/>
      <c r="J11" s="10"/>
      <c r="K11" s="10"/>
      <c r="L11" s="10"/>
      <c r="M11" s="10"/>
      <c r="N11" s="10"/>
      <c r="O11" s="10"/>
      <c r="P11" s="10"/>
      <c r="Q11" s="210"/>
      <c r="R11" s="211"/>
    </row>
    <row r="12" spans="2:18" s="131" customFormat="1" ht="15" customHeight="1">
      <c r="B12" s="10"/>
      <c r="C12" s="10"/>
      <c r="D12" s="10"/>
      <c r="E12" s="10"/>
      <c r="F12" s="10"/>
      <c r="G12" s="10"/>
      <c r="H12" s="10"/>
      <c r="I12" s="10"/>
      <c r="J12" s="10"/>
      <c r="K12" s="10"/>
      <c r="L12" s="10"/>
      <c r="M12" s="10"/>
      <c r="N12" s="10"/>
      <c r="O12" s="10"/>
      <c r="P12" s="10"/>
      <c r="Q12" s="210"/>
      <c r="R12" s="211"/>
    </row>
    <row r="13" spans="2:18" s="131" customFormat="1" ht="15" customHeight="1">
      <c r="B13" s="215"/>
      <c r="C13" s="215"/>
      <c r="D13" s="216" t="s">
        <v>48</v>
      </c>
      <c r="E13" s="217"/>
      <c r="F13" s="10"/>
      <c r="G13" s="10"/>
      <c r="H13" s="567" t="s">
        <v>49</v>
      </c>
      <c r="I13" s="568"/>
      <c r="J13" s="568"/>
      <c r="K13" s="568"/>
      <c r="L13" s="569"/>
      <c r="M13" s="10"/>
      <c r="N13" s="10"/>
      <c r="O13" s="10"/>
      <c r="P13" s="10"/>
      <c r="Q13" s="210"/>
      <c r="R13" s="211"/>
    </row>
    <row r="14" spans="2:18" s="131" customFormat="1" ht="15" customHeight="1">
      <c r="B14" s="381" t="s">
        <v>50</v>
      </c>
      <c r="C14" s="381" t="s">
        <v>51</v>
      </c>
      <c r="D14" s="381" t="s">
        <v>52</v>
      </c>
      <c r="E14" s="382" t="s">
        <v>53</v>
      </c>
      <c r="F14" s="10"/>
      <c r="G14" s="10"/>
      <c r="H14" s="218" t="s">
        <v>54</v>
      </c>
      <c r="I14" s="219" t="s">
        <v>55</v>
      </c>
      <c r="J14" s="163"/>
      <c r="K14" s="163"/>
      <c r="L14" s="164"/>
      <c r="M14" s="10"/>
      <c r="N14" s="10"/>
      <c r="O14" s="10"/>
      <c r="P14" s="10"/>
      <c r="Q14" s="210"/>
      <c r="R14" s="211"/>
    </row>
    <row r="15" spans="2:18" s="131" customFormat="1" ht="15" customHeight="1">
      <c r="B15" s="383" t="s">
        <v>56</v>
      </c>
      <c r="C15" s="220" t="s">
        <v>845</v>
      </c>
      <c r="D15" s="432">
        <f>IF(C15="Minimal",$C$5*50%,IF(C15="Low",$C$5*25%,IF(C15="Moderate",$C$5*15%,IF(C15="High",$C$5*10%,IF(C15="N/A","-",)))))</f>
        <v>585000</v>
      </c>
      <c r="E15" s="433">
        <f>MIN($D$15:$D$19)</f>
        <v>585000</v>
      </c>
      <c r="F15" s="731"/>
      <c r="G15" s="10"/>
      <c r="H15" s="147" t="s">
        <v>57</v>
      </c>
      <c r="I15" s="219" t="s">
        <v>58</v>
      </c>
      <c r="J15" s="161"/>
      <c r="K15" s="221"/>
      <c r="L15" s="222"/>
      <c r="M15" s="10"/>
      <c r="N15" s="10"/>
      <c r="O15" s="10"/>
      <c r="P15" s="10"/>
      <c r="Q15" s="210"/>
      <c r="R15" s="211"/>
    </row>
    <row r="16" spans="2:18" s="131" customFormat="1" ht="15" customHeight="1">
      <c r="B16" s="383" t="s">
        <v>59</v>
      </c>
      <c r="C16" s="220" t="s">
        <v>846</v>
      </c>
      <c r="D16" s="432" t="str">
        <f>IF(C16="Minimal",$C$5*50%,IF(C16="Low",$C$5*25%,IF(C16="Moderate",$C$5*15%,IF(C16="High",$C$5*10%,IF(C16="N/A","-",)))))</f>
        <v>-</v>
      </c>
      <c r="E16" s="434"/>
      <c r="F16" s="10"/>
      <c r="G16" s="10"/>
      <c r="H16" s="218" t="s">
        <v>60</v>
      </c>
      <c r="I16" s="223" t="s">
        <v>61</v>
      </c>
      <c r="J16" s="224"/>
      <c r="K16" s="221"/>
      <c r="L16" s="222"/>
      <c r="M16" s="10"/>
      <c r="N16" s="10"/>
      <c r="O16" s="10"/>
      <c r="P16" s="10"/>
      <c r="Q16" s="210"/>
      <c r="R16" s="211"/>
    </row>
    <row r="17" spans="2:18" s="131" customFormat="1" ht="15" customHeight="1">
      <c r="B17" s="383" t="s">
        <v>62</v>
      </c>
      <c r="C17" s="220" t="s">
        <v>846</v>
      </c>
      <c r="D17" s="432" t="str">
        <f t="shared" ref="D17:D19" si="0">IF(C17="Minimal",$C$5*50%,IF(C17="Low",$C$5*25%,IF(C17="Moderate",$C$5*15%,IF(C17="High",$C$5*10%,IF(C17="N/A","-",)))))</f>
        <v>-</v>
      </c>
      <c r="E17" s="434"/>
      <c r="F17" s="10"/>
      <c r="G17" s="10"/>
      <c r="H17" s="218" t="s">
        <v>63</v>
      </c>
      <c r="I17" s="223" t="s">
        <v>64</v>
      </c>
      <c r="J17" s="225"/>
      <c r="K17" s="221"/>
      <c r="L17" s="222"/>
      <c r="M17" s="10"/>
      <c r="N17" s="10"/>
      <c r="O17" s="10"/>
      <c r="P17" s="10"/>
      <c r="Q17" s="210"/>
      <c r="R17" s="211"/>
    </row>
    <row r="18" spans="2:18" s="131" customFormat="1" ht="15" customHeight="1">
      <c r="B18" s="383" t="s">
        <v>65</v>
      </c>
      <c r="C18" s="220" t="s">
        <v>846</v>
      </c>
      <c r="D18" s="432" t="str">
        <f t="shared" si="0"/>
        <v>-</v>
      </c>
      <c r="E18" s="434"/>
      <c r="F18" s="10"/>
      <c r="G18" s="10"/>
      <c r="H18" s="226" t="s">
        <v>66</v>
      </c>
      <c r="I18" s="219" t="s">
        <v>67</v>
      </c>
      <c r="J18" s="227"/>
      <c r="K18" s="228"/>
      <c r="L18" s="229"/>
      <c r="M18" s="10"/>
      <c r="N18" s="10"/>
      <c r="O18" s="10"/>
      <c r="P18" s="10"/>
      <c r="Q18" s="210"/>
      <c r="R18" s="211"/>
    </row>
    <row r="19" spans="2:18" s="131" customFormat="1" ht="15" customHeight="1">
      <c r="B19" s="384" t="s">
        <v>68</v>
      </c>
      <c r="C19" s="230" t="s">
        <v>845</v>
      </c>
      <c r="D19" s="432">
        <f t="shared" si="0"/>
        <v>585000</v>
      </c>
      <c r="E19" s="435"/>
      <c r="F19" s="10"/>
      <c r="G19" s="10"/>
      <c r="H19" s="148" t="s">
        <v>69</v>
      </c>
      <c r="I19" s="219" t="s">
        <v>70</v>
      </c>
      <c r="J19" s="221"/>
      <c r="K19" s="221"/>
      <c r="L19" s="222"/>
      <c r="M19" s="10"/>
      <c r="N19" s="10"/>
      <c r="O19" s="10"/>
      <c r="P19" s="10"/>
      <c r="Q19" s="210"/>
      <c r="R19" s="211"/>
    </row>
    <row r="20" spans="2:18" s="131" customFormat="1" ht="15" customHeight="1">
      <c r="B20" s="574"/>
      <c r="C20" s="574"/>
      <c r="D20" s="574"/>
      <c r="E20" s="574"/>
      <c r="F20" s="10"/>
      <c r="G20" s="10"/>
      <c r="H20" s="218" t="s">
        <v>71</v>
      </c>
      <c r="I20" s="219" t="s">
        <v>72</v>
      </c>
      <c r="J20" s="221"/>
      <c r="K20" s="221"/>
      <c r="L20" s="222"/>
      <c r="M20" s="231"/>
      <c r="N20" s="231"/>
      <c r="O20" s="231"/>
      <c r="P20" s="231"/>
      <c r="Q20" s="210"/>
      <c r="R20" s="211"/>
    </row>
    <row r="21" spans="2:18" s="131" customFormat="1" ht="15" customHeight="1">
      <c r="B21" s="442"/>
      <c r="C21" s="418"/>
      <c r="D21" s="418"/>
      <c r="E21" s="418"/>
      <c r="F21" s="10"/>
      <c r="G21" s="10"/>
      <c r="H21" s="148" t="s">
        <v>73</v>
      </c>
      <c r="I21" s="219" t="s">
        <v>74</v>
      </c>
      <c r="J21" s="221"/>
      <c r="K21" s="221"/>
      <c r="L21" s="222"/>
      <c r="M21" s="231"/>
      <c r="N21" s="231"/>
      <c r="O21" s="231"/>
      <c r="P21" s="231"/>
      <c r="Q21" s="210"/>
      <c r="R21" s="211"/>
    </row>
    <row r="22" spans="2:18" s="131" customFormat="1" ht="15" customHeight="1">
      <c r="B22" s="169"/>
      <c r="C22" s="418"/>
      <c r="D22" s="418"/>
      <c r="E22" s="418"/>
      <c r="F22" s="10"/>
      <c r="G22" s="10"/>
      <c r="H22" s="232" t="s">
        <v>75</v>
      </c>
      <c r="I22" s="233" t="s">
        <v>76</v>
      </c>
      <c r="J22" s="227"/>
      <c r="K22" s="227"/>
      <c r="L22" s="234"/>
      <c r="M22" s="231"/>
      <c r="N22" s="231"/>
      <c r="O22" s="231"/>
      <c r="P22" s="231"/>
      <c r="Q22" s="210"/>
      <c r="R22" s="211"/>
    </row>
    <row r="23" spans="2:18" s="131" customFormat="1" ht="17.55" customHeight="1">
      <c r="B23" s="574"/>
      <c r="C23" s="574"/>
      <c r="D23" s="574"/>
      <c r="E23" s="574"/>
      <c r="F23" s="10"/>
      <c r="G23" s="10"/>
      <c r="H23" s="235"/>
      <c r="I23" s="167"/>
      <c r="J23" s="215"/>
      <c r="K23" s="215"/>
      <c r="L23" s="215"/>
      <c r="M23" s="231"/>
      <c r="N23" s="231"/>
      <c r="O23" s="231"/>
      <c r="P23" s="231"/>
      <c r="Q23" s="210"/>
      <c r="R23" s="211"/>
    </row>
    <row r="24" spans="2:18" ht="12.75" customHeight="1">
      <c r="B24" s="162"/>
      <c r="C24" s="162"/>
      <c r="D24" s="162"/>
      <c r="E24" s="162"/>
      <c r="F24" s="162"/>
      <c r="G24" s="162"/>
      <c r="H24" s="162"/>
      <c r="I24" s="162"/>
      <c r="J24" s="162"/>
      <c r="K24" s="162"/>
      <c r="L24" s="162"/>
      <c r="M24" s="162"/>
      <c r="N24" s="162"/>
      <c r="O24" s="162"/>
      <c r="P24" s="162"/>
      <c r="Q24" s="162"/>
      <c r="R24" s="211"/>
    </row>
    <row r="25" spans="2:18" s="136" customFormat="1" ht="15" customHeight="1">
      <c r="B25" s="236" t="s">
        <v>77</v>
      </c>
      <c r="C25" s="150"/>
      <c r="D25" s="150"/>
      <c r="E25" s="150"/>
      <c r="F25" s="150"/>
      <c r="G25" s="162"/>
      <c r="H25" s="162"/>
      <c r="I25" s="162"/>
      <c r="J25" s="162"/>
      <c r="K25" s="162"/>
      <c r="L25" s="162"/>
      <c r="M25" s="162"/>
      <c r="N25" s="162"/>
      <c r="O25" s="162"/>
      <c r="P25" s="162"/>
      <c r="Q25" s="210"/>
      <c r="R25" s="211"/>
    </row>
    <row r="26" spans="2:18" s="131" customFormat="1" ht="15" customHeight="1">
      <c r="B26" s="558" t="s">
        <v>1010</v>
      </c>
      <c r="C26" s="559"/>
      <c r="D26" s="559"/>
      <c r="E26" s="559"/>
      <c r="F26" s="560"/>
      <c r="G26" s="162"/>
      <c r="H26" s="162"/>
      <c r="I26" s="162"/>
      <c r="J26" s="162"/>
      <c r="K26" s="162"/>
      <c r="L26" s="162"/>
      <c r="M26" s="162"/>
      <c r="N26" s="162"/>
      <c r="O26" s="162"/>
      <c r="P26" s="162"/>
      <c r="Q26" s="210"/>
      <c r="R26" s="211"/>
    </row>
    <row r="27" spans="2:18" s="131" customFormat="1" ht="13.05" customHeight="1">
      <c r="B27" s="561"/>
      <c r="C27" s="562"/>
      <c r="D27" s="562"/>
      <c r="E27" s="562"/>
      <c r="F27" s="563"/>
      <c r="G27" s="162"/>
      <c r="H27" s="162"/>
      <c r="I27" s="162"/>
      <c r="J27" s="162"/>
      <c r="K27" s="162"/>
      <c r="L27" s="162"/>
      <c r="M27" s="162"/>
      <c r="N27" s="162"/>
      <c r="O27" s="162"/>
      <c r="P27" s="162"/>
      <c r="Q27" s="210"/>
      <c r="R27" s="211"/>
    </row>
    <row r="28" spans="2:18" s="131" customFormat="1" ht="13.05" customHeight="1">
      <c r="B28" s="564"/>
      <c r="C28" s="565"/>
      <c r="D28" s="565"/>
      <c r="E28" s="565"/>
      <c r="F28" s="566"/>
      <c r="G28" s="162"/>
      <c r="H28" s="162"/>
      <c r="I28" s="162"/>
      <c r="J28" s="162"/>
      <c r="K28" s="162"/>
      <c r="L28" s="162"/>
      <c r="M28" s="162"/>
      <c r="N28" s="162"/>
      <c r="O28" s="162"/>
      <c r="P28" s="162"/>
      <c r="Q28" s="210"/>
      <c r="R28" s="211"/>
    </row>
    <row r="29" spans="2:18" s="131" customFormat="1" ht="15" customHeight="1">
      <c r="B29" s="12"/>
      <c r="C29" s="237"/>
      <c r="D29" s="237"/>
      <c r="E29" s="237"/>
      <c r="F29" s="237"/>
      <c r="G29" s="162"/>
      <c r="H29" s="162"/>
      <c r="I29" s="162"/>
      <c r="J29" s="162"/>
      <c r="K29" s="162"/>
      <c r="L29" s="162"/>
      <c r="M29" s="162"/>
      <c r="N29" s="162"/>
      <c r="O29" s="162"/>
      <c r="P29" s="162"/>
      <c r="Q29" s="210"/>
      <c r="R29" s="211"/>
    </row>
    <row r="30" spans="2:18" s="131" customFormat="1" ht="15" customHeight="1">
      <c r="B30" s="238" t="s">
        <v>78</v>
      </c>
      <c r="C30" s="239"/>
      <c r="D30" s="240"/>
      <c r="E30" s="241"/>
      <c r="F30" s="241"/>
      <c r="G30" s="241"/>
      <c r="H30" s="241"/>
      <c r="I30" s="241"/>
      <c r="J30" s="241"/>
      <c r="K30" s="241"/>
      <c r="L30" s="10"/>
      <c r="M30" s="10"/>
      <c r="N30" s="242"/>
      <c r="O30" s="10"/>
      <c r="P30" s="10"/>
      <c r="Q30" s="210"/>
      <c r="R30" s="211"/>
    </row>
    <row r="31" spans="2:18" s="131" customFormat="1" ht="15" customHeight="1">
      <c r="B31" s="243" t="str">
        <f>"波动幅度 ("&amp;C8&amp; "):"</f>
        <v>波动幅度 (CNY):</v>
      </c>
      <c r="C31" s="244">
        <f>$E$15</f>
        <v>585000</v>
      </c>
      <c r="D31" s="245"/>
      <c r="E31" s="10"/>
      <c r="F31" s="10"/>
      <c r="G31" s="10"/>
      <c r="H31" s="10"/>
      <c r="I31" s="10"/>
      <c r="J31" s="10"/>
      <c r="K31" s="10"/>
      <c r="L31" s="10"/>
      <c r="M31" s="10"/>
      <c r="N31" s="242"/>
      <c r="O31" s="10"/>
      <c r="P31" s="10"/>
      <c r="Q31" s="210"/>
      <c r="R31" s="211"/>
    </row>
    <row r="32" spans="2:18" s="138" customFormat="1" ht="15" customHeight="1">
      <c r="B32" s="243" t="s">
        <v>79</v>
      </c>
      <c r="C32" s="246">
        <v>0.1</v>
      </c>
      <c r="D32" s="247"/>
      <c r="E32" s="248"/>
      <c r="F32" s="248"/>
      <c r="G32" s="248"/>
      <c r="H32" s="248"/>
      <c r="I32" s="248"/>
      <c r="J32" s="248"/>
      <c r="K32" s="248"/>
      <c r="L32" s="248"/>
      <c r="M32" s="10"/>
      <c r="N32" s="249"/>
      <c r="O32" s="248"/>
      <c r="P32" s="248"/>
      <c r="Q32" s="210"/>
      <c r="R32" s="211"/>
    </row>
    <row r="33" spans="1:38" s="138" customFormat="1" ht="15" customHeight="1">
      <c r="B33" s="250"/>
      <c r="C33" s="251"/>
      <c r="D33" s="247"/>
      <c r="E33" s="248"/>
      <c r="F33" s="248"/>
      <c r="G33" s="248"/>
      <c r="H33" s="248"/>
      <c r="I33" s="248"/>
      <c r="J33" s="248"/>
      <c r="K33" s="248"/>
      <c r="L33" s="248"/>
      <c r="M33" s="248"/>
      <c r="N33" s="10"/>
      <c r="O33" s="249"/>
      <c r="P33" s="248"/>
      <c r="Q33" s="248"/>
      <c r="R33" s="211"/>
      <c r="S33" s="248"/>
      <c r="T33" s="248"/>
      <c r="U33" s="248"/>
      <c r="V33" s="248"/>
    </row>
    <row r="34" spans="1:38" s="138" customFormat="1" ht="15" customHeight="1">
      <c r="B34" s="248"/>
      <c r="C34" s="215"/>
      <c r="D34" s="215"/>
      <c r="E34" s="215"/>
      <c r="F34" s="248"/>
      <c r="G34" s="49"/>
      <c r="H34" s="49"/>
      <c r="I34" s="49"/>
      <c r="J34" s="49"/>
      <c r="K34" s="248"/>
      <c r="L34" s="215"/>
      <c r="M34" s="215"/>
      <c r="N34" s="215"/>
      <c r="O34" s="215"/>
      <c r="P34" s="215"/>
      <c r="Q34" s="249"/>
      <c r="R34" s="211"/>
      <c r="S34" s="248"/>
      <c r="T34" s="248"/>
      <c r="U34" s="248"/>
      <c r="V34" s="210"/>
    </row>
    <row r="35" spans="1:38" s="138" customFormat="1" ht="15" customHeight="1">
      <c r="B35" s="248"/>
      <c r="C35" s="215"/>
      <c r="D35" s="215"/>
      <c r="E35" s="215"/>
      <c r="F35" s="49" t="s">
        <v>80</v>
      </c>
      <c r="G35" s="151"/>
      <c r="H35" s="151"/>
      <c r="I35" s="151"/>
      <c r="J35" s="151"/>
      <c r="K35" s="151" t="s">
        <v>81</v>
      </c>
      <c r="L35" s="151"/>
      <c r="M35" s="151"/>
      <c r="N35" s="215"/>
      <c r="O35" s="215"/>
      <c r="P35" s="215"/>
      <c r="Q35" s="249"/>
      <c r="R35" s="211"/>
      <c r="S35" s="248"/>
      <c r="T35" s="248"/>
      <c r="U35" s="248"/>
      <c r="V35" s="210"/>
    </row>
    <row r="36" spans="1:38" s="138" customFormat="1" ht="15" customHeight="1">
      <c r="B36" s="252" t="s">
        <v>82</v>
      </c>
      <c r="C36" s="215"/>
      <c r="D36" s="215"/>
      <c r="E36" s="215"/>
      <c r="F36" s="177" t="str">
        <f>"货币/单位: "&amp;C8</f>
        <v>货币/单位: CNY</v>
      </c>
      <c r="G36" s="178"/>
      <c r="H36" s="178"/>
      <c r="I36" s="178"/>
      <c r="J36" s="178"/>
      <c r="K36" s="179"/>
      <c r="L36" s="151"/>
      <c r="M36" s="151"/>
      <c r="N36" s="215"/>
      <c r="O36" s="215"/>
      <c r="P36" s="215"/>
      <c r="Q36" s="249"/>
      <c r="R36" s="211"/>
      <c r="S36" s="248"/>
      <c r="T36" s="248"/>
      <c r="U36" s="248"/>
      <c r="V36" s="210"/>
    </row>
    <row r="37" spans="1:38" s="138" customFormat="1" ht="15" customHeight="1">
      <c r="B37" s="588" t="s">
        <v>83</v>
      </c>
      <c r="C37" s="590" t="s">
        <v>84</v>
      </c>
      <c r="D37" s="590" t="s">
        <v>85</v>
      </c>
      <c r="E37" s="590" t="s">
        <v>86</v>
      </c>
      <c r="F37" s="577">
        <f>C3</f>
        <v>46022</v>
      </c>
      <c r="G37" s="578"/>
      <c r="H37" s="578"/>
      <c r="I37" s="578"/>
      <c r="J37" s="578"/>
      <c r="K37" s="174">
        <f>DATE(YEAR($C$3)-1,12,31)</f>
        <v>45657</v>
      </c>
      <c r="L37" s="575" t="s">
        <v>87</v>
      </c>
      <c r="M37" s="576"/>
      <c r="N37" s="551" t="s">
        <v>88</v>
      </c>
      <c r="O37" s="573" t="s">
        <v>89</v>
      </c>
      <c r="P37" s="573" t="s">
        <v>90</v>
      </c>
      <c r="Q37" s="249"/>
      <c r="R37" s="211"/>
      <c r="S37" s="248"/>
      <c r="T37" s="248"/>
      <c r="U37" s="248"/>
      <c r="V37" s="210"/>
    </row>
    <row r="38" spans="1:38" s="139" customFormat="1" ht="23.55" customHeight="1">
      <c r="B38" s="589"/>
      <c r="C38" s="591"/>
      <c r="D38" s="591"/>
      <c r="E38" s="591"/>
      <c r="F38" s="175" t="s">
        <v>91</v>
      </c>
      <c r="G38" s="419" t="s">
        <v>92</v>
      </c>
      <c r="H38" s="419" t="s">
        <v>93</v>
      </c>
      <c r="I38" s="419" t="s">
        <v>94</v>
      </c>
      <c r="J38" s="419" t="s">
        <v>95</v>
      </c>
      <c r="K38" s="176" t="s">
        <v>96</v>
      </c>
      <c r="L38" s="419" t="s">
        <v>97</v>
      </c>
      <c r="M38" s="419" t="s">
        <v>98</v>
      </c>
      <c r="N38" s="551"/>
      <c r="O38" s="573"/>
      <c r="P38" s="573"/>
      <c r="Q38" s="253"/>
      <c r="R38" s="211"/>
      <c r="S38" s="254"/>
      <c r="T38" s="254"/>
      <c r="U38" s="254"/>
      <c r="V38" s="255"/>
    </row>
    <row r="39" spans="1:38" s="138" customFormat="1" ht="15" customHeight="1">
      <c r="B39" s="256" t="s">
        <v>99</v>
      </c>
      <c r="C39" s="256">
        <v>2121</v>
      </c>
      <c r="D39" s="526" t="s">
        <v>100</v>
      </c>
      <c r="E39" s="257" t="s">
        <v>101</v>
      </c>
      <c r="F39" s="386">
        <v>-57526376.380000003</v>
      </c>
      <c r="G39" s="387"/>
      <c r="H39" s="388">
        <f>F39+G39</f>
        <v>-57526376.380000003</v>
      </c>
      <c r="I39" s="387"/>
      <c r="J39" s="388">
        <f>H39+I39</f>
        <v>-57526376.380000003</v>
      </c>
      <c r="K39" s="386">
        <v>-64187384.869999997</v>
      </c>
      <c r="L39" s="389">
        <f>J39-K39</f>
        <v>6661008.4899999946</v>
      </c>
      <c r="M39" s="258">
        <f>IFERROR(L39/K39,1)</f>
        <v>-0.10377441772227781</v>
      </c>
      <c r="N39" s="527" t="s">
        <v>102</v>
      </c>
      <c r="O39" s="260" t="str">
        <f>IF(AND(ABS(L39)&gt;=$C$31,ABS(M39)&gt;=$C$32),"是","否")</f>
        <v>是</v>
      </c>
      <c r="P39" s="256" t="s">
        <v>1006</v>
      </c>
      <c r="Q39" s="249"/>
      <c r="R39" s="211"/>
      <c r="S39" s="248"/>
      <c r="T39" s="248"/>
      <c r="U39" s="248"/>
      <c r="V39" s="210"/>
    </row>
    <row r="40" spans="1:38" s="138" customFormat="1" ht="15" customHeight="1">
      <c r="B40" s="248"/>
      <c r="C40" s="261"/>
      <c r="D40" s="262"/>
      <c r="E40" s="257"/>
      <c r="F40" s="262"/>
      <c r="G40" s="387"/>
      <c r="H40" s="388">
        <f>F40+G40</f>
        <v>0</v>
      </c>
      <c r="I40" s="387"/>
      <c r="J40" s="388">
        <f>H40+I40</f>
        <v>0</v>
      </c>
      <c r="K40" s="262"/>
      <c r="L40" s="389">
        <f>J40-K40</f>
        <v>0</v>
      </c>
      <c r="M40" s="258">
        <f>IFERROR(L40/K40,1)</f>
        <v>1</v>
      </c>
      <c r="N40" s="259"/>
      <c r="O40" s="260"/>
      <c r="P40" s="260"/>
      <c r="Q40" s="249"/>
      <c r="R40" s="211"/>
      <c r="S40" s="248"/>
      <c r="T40" s="248"/>
      <c r="U40" s="248"/>
      <c r="V40" s="210"/>
    </row>
    <row r="41" spans="1:38" s="138" customFormat="1" ht="15" customHeight="1">
      <c r="B41" s="248"/>
      <c r="C41" s="261"/>
      <c r="D41" s="262"/>
      <c r="E41" s="262"/>
      <c r="F41" s="263"/>
      <c r="G41" s="263"/>
      <c r="H41" s="263"/>
      <c r="I41" s="263"/>
      <c r="J41" s="263"/>
      <c r="K41" s="263"/>
      <c r="L41" s="264"/>
      <c r="M41" s="265"/>
      <c r="N41" s="266"/>
      <c r="O41" s="267"/>
      <c r="P41" s="140"/>
      <c r="Q41" s="249"/>
      <c r="R41" s="211"/>
      <c r="S41" s="248"/>
      <c r="T41" s="248"/>
      <c r="U41" s="248"/>
      <c r="V41" s="210"/>
    </row>
    <row r="42" spans="1:38" s="138" customFormat="1" ht="15" customHeight="1">
      <c r="B42" s="248"/>
      <c r="C42" s="152"/>
      <c r="D42" s="268" t="s">
        <v>103</v>
      </c>
      <c r="E42" s="269"/>
      <c r="F42" s="390">
        <f t="shared" ref="F42:K42" si="1">SUM(F39:F40)</f>
        <v>-57526376.380000003</v>
      </c>
      <c r="G42" s="390">
        <f t="shared" si="1"/>
        <v>0</v>
      </c>
      <c r="H42" s="390">
        <f t="shared" si="1"/>
        <v>-57526376.380000003</v>
      </c>
      <c r="I42" s="390">
        <f t="shared" si="1"/>
        <v>0</v>
      </c>
      <c r="J42" s="390">
        <f t="shared" si="1"/>
        <v>-57526376.380000003</v>
      </c>
      <c r="K42" s="390">
        <f t="shared" si="1"/>
        <v>-64187384.869999997</v>
      </c>
      <c r="L42" s="390">
        <f>J42-K42</f>
        <v>6661008.4899999946</v>
      </c>
      <c r="M42" s="270">
        <f>IFERROR(L42/K42,1)</f>
        <v>-0.10377441772227781</v>
      </c>
      <c r="N42" s="527" t="s">
        <v>102</v>
      </c>
      <c r="O42" s="260" t="str">
        <f>IF(AND(ABS(L42)&gt;=$C$31,ABS(M42)&gt;=$C$32),"是","否")</f>
        <v>是</v>
      </c>
      <c r="P42" s="256" t="s">
        <v>1006</v>
      </c>
      <c r="Q42" s="249"/>
      <c r="R42" s="211"/>
      <c r="S42" s="248"/>
      <c r="T42" s="248"/>
      <c r="U42" s="248"/>
      <c r="V42" s="210"/>
    </row>
    <row r="43" spans="1:38" s="138" customFormat="1" ht="15" customHeight="1">
      <c r="B43" s="248"/>
      <c r="C43" s="250"/>
      <c r="D43" s="251"/>
      <c r="E43" s="247"/>
      <c r="F43" s="13" t="s">
        <v>104</v>
      </c>
      <c r="G43" s="13" t="s">
        <v>104</v>
      </c>
      <c r="H43" s="13" t="s">
        <v>104</v>
      </c>
      <c r="I43" s="13" t="s">
        <v>104</v>
      </c>
      <c r="J43" s="13" t="s">
        <v>104</v>
      </c>
      <c r="K43" s="13" t="s">
        <v>104</v>
      </c>
      <c r="L43" s="10"/>
      <c r="M43" s="248"/>
      <c r="N43" s="266"/>
      <c r="O43" s="267"/>
      <c r="P43" s="235"/>
      <c r="Q43" s="249"/>
      <c r="R43" s="211"/>
      <c r="S43" s="248"/>
      <c r="T43" s="248"/>
      <c r="U43" s="248"/>
      <c r="V43" s="210"/>
    </row>
    <row r="44" spans="1:38" s="138" customFormat="1" ht="15" customHeight="1">
      <c r="B44" s="250"/>
      <c r="C44" s="251"/>
      <c r="D44" s="247"/>
      <c r="E44" s="248"/>
      <c r="F44" s="248"/>
      <c r="G44" s="271" t="s">
        <v>60</v>
      </c>
      <c r="H44" s="272">
        <f>[1]A3!$F$79*-1</f>
        <v>-57526376.380000003</v>
      </c>
      <c r="I44" s="248"/>
      <c r="J44" s="272">
        <f>[1]A3!$H$79*-1</f>
        <v>-57526376.380000003</v>
      </c>
      <c r="K44" s="272">
        <f>[1]A3!$L$79*-1</f>
        <v>-64187384.869999997</v>
      </c>
      <c r="L44" s="10"/>
      <c r="M44" s="249"/>
      <c r="N44" s="266"/>
      <c r="O44" s="267"/>
      <c r="P44" s="235"/>
      <c r="Q44" s="249"/>
      <c r="R44" s="211"/>
      <c r="S44" s="248"/>
      <c r="T44" s="248"/>
      <c r="U44" s="248"/>
      <c r="V44" s="248"/>
    </row>
    <row r="45" spans="1:38" s="138" customFormat="1" ht="15" customHeight="1">
      <c r="B45" s="250"/>
      <c r="C45" s="251"/>
      <c r="D45" s="247"/>
      <c r="E45" s="248"/>
      <c r="F45" s="248"/>
      <c r="G45" s="271" t="s">
        <v>105</v>
      </c>
      <c r="H45" s="273">
        <f>H42-H44</f>
        <v>0</v>
      </c>
      <c r="I45" s="248"/>
      <c r="J45" s="273">
        <f>J42-J44</f>
        <v>0</v>
      </c>
      <c r="K45" s="273">
        <f>K42-K44</f>
        <v>0</v>
      </c>
      <c r="L45" s="10"/>
      <c r="M45" s="249"/>
      <c r="N45" s="248"/>
      <c r="O45" s="248"/>
      <c r="P45" s="235"/>
      <c r="Q45" s="249"/>
      <c r="R45" s="211"/>
      <c r="S45" s="248"/>
      <c r="T45" s="248"/>
      <c r="U45" s="248"/>
      <c r="V45" s="248"/>
    </row>
    <row r="46" spans="1:38" s="141" customFormat="1" ht="13.2">
      <c r="A46" s="162"/>
      <c r="B46" s="10"/>
      <c r="C46" s="252"/>
      <c r="D46" s="274"/>
      <c r="E46" s="274" t="s">
        <v>106</v>
      </c>
      <c r="F46" s="13" t="str">
        <f>IF(ABS(F42-'N.01 明细账与总账核对'!E16)&gt;'N.00 Lead sheet'!$C$5,"是","否")</f>
        <v>否</v>
      </c>
      <c r="G46" s="235" t="s">
        <v>107</v>
      </c>
      <c r="H46" s="235"/>
      <c r="I46" s="235"/>
      <c r="J46" s="537"/>
      <c r="K46" s="276"/>
      <c r="L46" s="235"/>
      <c r="M46" s="249"/>
      <c r="N46" s="248"/>
      <c r="O46" s="248"/>
      <c r="P46" s="235"/>
      <c r="Q46" s="249"/>
      <c r="R46" s="211"/>
      <c r="S46" s="248"/>
      <c r="T46" s="275"/>
      <c r="U46" s="275"/>
      <c r="V46" s="275"/>
      <c r="W46" s="275"/>
      <c r="X46" s="275"/>
      <c r="Y46" s="275"/>
      <c r="Z46" s="275"/>
      <c r="AA46" s="275"/>
      <c r="AB46" s="275"/>
      <c r="AC46" s="275"/>
      <c r="AD46" s="275"/>
      <c r="AE46" s="275"/>
      <c r="AF46" s="275"/>
      <c r="AG46" s="276"/>
      <c r="AH46" s="277"/>
      <c r="AI46" s="275"/>
      <c r="AJ46" s="275"/>
      <c r="AK46" s="275"/>
      <c r="AL46" s="275"/>
    </row>
    <row r="47" spans="1:38" s="141" customFormat="1" ht="13.2">
      <c r="A47" s="162"/>
      <c r="B47" s="235"/>
      <c r="C47" s="235"/>
      <c r="D47" s="235"/>
      <c r="E47" s="278"/>
      <c r="F47" s="10"/>
      <c r="G47" s="252"/>
      <c r="H47" s="274"/>
      <c r="I47" s="274"/>
      <c r="J47" s="13"/>
      <c r="K47" s="235"/>
      <c r="L47" s="235"/>
      <c r="M47" s="235"/>
      <c r="N47" s="248"/>
      <c r="O47" s="248"/>
      <c r="P47" s="235"/>
      <c r="Q47" s="249"/>
      <c r="R47" s="211"/>
      <c r="S47" s="248"/>
      <c r="T47" s="277"/>
      <c r="U47" s="275"/>
      <c r="V47" s="275"/>
      <c r="W47" s="275"/>
      <c r="X47" s="275"/>
      <c r="Y47" s="275"/>
      <c r="Z47" s="275"/>
      <c r="AA47" s="275"/>
      <c r="AB47" s="275"/>
      <c r="AC47" s="275"/>
      <c r="AD47" s="275"/>
      <c r="AE47" s="275"/>
      <c r="AF47" s="275"/>
      <c r="AG47" s="275"/>
      <c r="AH47" s="275"/>
      <c r="AI47" s="275"/>
      <c r="AJ47" s="275"/>
      <c r="AK47" s="276"/>
      <c r="AL47" s="277"/>
    </row>
    <row r="48" spans="1:38" s="142" customFormat="1" ht="15" customHeight="1">
      <c r="A48" s="29"/>
      <c r="B48" s="279" t="s">
        <v>108</v>
      </c>
      <c r="C48" s="29"/>
      <c r="D48" s="29"/>
      <c r="E48" s="29"/>
      <c r="F48" s="29"/>
      <c r="G48" s="278"/>
      <c r="H48" s="29"/>
      <c r="I48" s="26"/>
      <c r="J48" s="29"/>
      <c r="K48" s="29"/>
      <c r="L48" s="29"/>
      <c r="M48" s="29"/>
      <c r="N48" s="248"/>
      <c r="O48" s="248"/>
      <c r="P48" s="235"/>
      <c r="Q48" s="249"/>
      <c r="R48" s="211"/>
      <c r="S48" s="248"/>
      <c r="T48" s="29"/>
      <c r="U48" s="29"/>
      <c r="V48" s="29"/>
      <c r="W48" s="29"/>
      <c r="X48" s="29"/>
      <c r="Y48" s="29"/>
      <c r="Z48" s="29"/>
      <c r="AA48" s="29"/>
      <c r="AB48" s="29"/>
      <c r="AC48" s="29"/>
      <c r="AD48" s="29"/>
      <c r="AE48" s="29"/>
      <c r="AF48" s="29"/>
      <c r="AG48" s="29"/>
      <c r="AH48" s="29"/>
      <c r="AI48" s="29"/>
      <c r="AJ48" s="29"/>
      <c r="AK48" s="29"/>
      <c r="AL48" s="29"/>
    </row>
    <row r="49" spans="1:38" s="142" customFormat="1" ht="15" customHeight="1">
      <c r="A49" s="29"/>
      <c r="B49" s="579" t="s">
        <v>1011</v>
      </c>
      <c r="C49" s="580"/>
      <c r="D49" s="580"/>
      <c r="E49" s="580"/>
      <c r="F49" s="581"/>
      <c r="G49" s="278"/>
      <c r="H49" s="29"/>
      <c r="I49" s="26"/>
      <c r="J49" s="29"/>
      <c r="K49" s="29"/>
      <c r="L49" s="29"/>
      <c r="M49" s="29"/>
      <c r="N49" s="248"/>
      <c r="O49" s="248"/>
      <c r="P49" s="235"/>
      <c r="Q49" s="249"/>
      <c r="R49" s="211"/>
      <c r="S49" s="248"/>
      <c r="T49" s="29"/>
      <c r="U49" s="29"/>
      <c r="V49" s="29"/>
      <c r="W49" s="29"/>
      <c r="X49" s="29"/>
      <c r="Y49" s="29"/>
      <c r="Z49" s="29"/>
      <c r="AA49" s="29"/>
      <c r="AB49" s="29"/>
      <c r="AC49" s="29"/>
      <c r="AD49" s="29"/>
      <c r="AE49" s="29"/>
      <c r="AF49" s="29"/>
      <c r="AG49" s="29"/>
      <c r="AH49" s="29"/>
      <c r="AI49" s="29"/>
      <c r="AJ49" s="29"/>
      <c r="AK49" s="29"/>
      <c r="AL49" s="29"/>
    </row>
    <row r="50" spans="1:38" s="142" customFormat="1" ht="15" customHeight="1">
      <c r="A50" s="29"/>
      <c r="B50" s="582"/>
      <c r="C50" s="583"/>
      <c r="D50" s="583"/>
      <c r="E50" s="583"/>
      <c r="F50" s="584"/>
      <c r="G50" s="278"/>
      <c r="H50" s="29"/>
      <c r="I50" s="26"/>
      <c r="J50" s="29"/>
      <c r="K50" s="29"/>
      <c r="L50" s="29"/>
      <c r="M50" s="29"/>
      <c r="N50" s="248"/>
      <c r="O50" s="248"/>
      <c r="P50" s="235"/>
      <c r="Q50" s="249"/>
      <c r="R50" s="211"/>
      <c r="S50" s="248"/>
      <c r="T50" s="29"/>
      <c r="U50" s="29"/>
      <c r="V50" s="29"/>
      <c r="W50" s="29"/>
      <c r="X50" s="29"/>
      <c r="Y50" s="29"/>
      <c r="Z50" s="29"/>
      <c r="AA50" s="29"/>
      <c r="AB50" s="29"/>
      <c r="AC50" s="29"/>
      <c r="AD50" s="29"/>
      <c r="AE50" s="29"/>
      <c r="AF50" s="29"/>
      <c r="AG50" s="29"/>
      <c r="AH50" s="29"/>
      <c r="AI50" s="29"/>
      <c r="AJ50" s="29"/>
      <c r="AK50" s="29"/>
      <c r="AL50" s="29"/>
    </row>
    <row r="51" spans="1:38" s="142" customFormat="1" ht="15" customHeight="1">
      <c r="A51" s="29"/>
      <c r="B51" s="582"/>
      <c r="C51" s="583"/>
      <c r="D51" s="583"/>
      <c r="E51" s="583"/>
      <c r="F51" s="584"/>
      <c r="G51" s="278"/>
      <c r="H51" s="29"/>
      <c r="I51" s="26"/>
      <c r="J51" s="29"/>
      <c r="K51" s="29"/>
      <c r="L51" s="29"/>
      <c r="M51" s="29"/>
      <c r="N51" s="248"/>
      <c r="O51" s="248"/>
      <c r="P51" s="235"/>
      <c r="Q51" s="249"/>
      <c r="R51" s="211"/>
      <c r="S51" s="248"/>
      <c r="T51" s="29"/>
      <c r="U51" s="29"/>
      <c r="V51" s="29"/>
      <c r="W51" s="29"/>
      <c r="X51" s="29"/>
      <c r="Y51" s="29"/>
      <c r="Z51" s="29"/>
      <c r="AA51" s="29"/>
      <c r="AB51" s="29"/>
      <c r="AC51" s="29"/>
      <c r="AD51" s="29"/>
      <c r="AE51" s="29"/>
      <c r="AF51" s="29"/>
      <c r="AG51" s="29"/>
      <c r="AH51" s="29"/>
      <c r="AI51" s="29"/>
      <c r="AJ51" s="29"/>
      <c r="AK51" s="29"/>
      <c r="AL51" s="29"/>
    </row>
    <row r="52" spans="1:38" s="142" customFormat="1" ht="15" customHeight="1">
      <c r="A52" s="29"/>
      <c r="B52" s="585"/>
      <c r="C52" s="586"/>
      <c r="D52" s="586"/>
      <c r="E52" s="586"/>
      <c r="F52" s="587"/>
      <c r="G52" s="278"/>
      <c r="H52" s="29"/>
      <c r="I52" s="26"/>
      <c r="J52" s="29"/>
      <c r="K52" s="29"/>
      <c r="L52" s="29"/>
      <c r="M52" s="29"/>
      <c r="N52" s="29"/>
      <c r="O52" s="29"/>
      <c r="P52" s="235"/>
      <c r="Q52" s="249"/>
      <c r="R52" s="211"/>
      <c r="S52" s="248"/>
      <c r="T52" s="29"/>
      <c r="U52" s="29"/>
      <c r="V52" s="29"/>
      <c r="W52" s="29"/>
      <c r="X52" s="29"/>
      <c r="Y52" s="29"/>
      <c r="Z52" s="29"/>
      <c r="AA52" s="29"/>
      <c r="AB52" s="29"/>
      <c r="AC52" s="29"/>
      <c r="AD52" s="29"/>
      <c r="AE52" s="29"/>
      <c r="AF52" s="29"/>
      <c r="AG52" s="29"/>
      <c r="AH52" s="29"/>
      <c r="AI52" s="29"/>
      <c r="AJ52" s="29"/>
      <c r="AK52" s="29"/>
      <c r="AL52" s="29"/>
    </row>
    <row r="53" spans="1:38" s="142" customFormat="1" ht="15" customHeight="1">
      <c r="A53" s="29"/>
      <c r="B53" s="38"/>
      <c r="C53" s="38"/>
      <c r="D53" s="38"/>
      <c r="E53" s="38"/>
      <c r="F53" s="38"/>
      <c r="G53" s="278"/>
      <c r="H53" s="29"/>
      <c r="I53" s="26"/>
      <c r="J53" s="29"/>
      <c r="K53" s="29"/>
      <c r="L53" s="29"/>
      <c r="M53" s="29"/>
      <c r="N53" s="29"/>
      <c r="O53" s="29"/>
      <c r="P53" s="235"/>
      <c r="Q53" s="249"/>
      <c r="R53" s="211"/>
      <c r="S53" s="248"/>
      <c r="T53" s="29"/>
      <c r="U53" s="29"/>
      <c r="V53" s="29"/>
      <c r="W53" s="29"/>
      <c r="X53" s="29"/>
      <c r="Y53" s="29"/>
      <c r="Z53" s="29"/>
      <c r="AA53" s="29"/>
      <c r="AB53" s="29"/>
      <c r="AC53" s="29"/>
      <c r="AD53" s="29"/>
      <c r="AE53" s="29"/>
      <c r="AF53" s="29"/>
      <c r="AG53" s="29"/>
      <c r="AH53" s="29"/>
      <c r="AI53" s="29"/>
      <c r="AJ53" s="29"/>
      <c r="AK53" s="29"/>
      <c r="AL53" s="29"/>
    </row>
    <row r="54" spans="1:38" s="141" customFormat="1" ht="13.2">
      <c r="A54" s="162"/>
      <c r="B54" s="235"/>
      <c r="C54" s="235"/>
      <c r="D54" s="235"/>
      <c r="E54" s="278"/>
      <c r="F54" s="235"/>
      <c r="G54" s="278"/>
      <c r="H54" s="278"/>
      <c r="I54" s="278"/>
      <c r="J54" s="235"/>
      <c r="K54" s="235"/>
      <c r="L54" s="235"/>
      <c r="M54" s="235"/>
      <c r="N54" s="275"/>
      <c r="O54" s="276"/>
      <c r="P54" s="235"/>
      <c r="Q54" s="249"/>
      <c r="R54" s="211"/>
      <c r="S54" s="248"/>
      <c r="T54" s="277"/>
      <c r="U54" s="275"/>
      <c r="V54" s="275"/>
      <c r="W54" s="275"/>
      <c r="X54" s="275"/>
      <c r="Y54" s="275"/>
      <c r="Z54" s="275"/>
      <c r="AA54" s="275"/>
      <c r="AB54" s="275"/>
      <c r="AC54" s="275"/>
      <c r="AD54" s="275"/>
      <c r="AE54" s="275"/>
      <c r="AF54" s="275"/>
      <c r="AG54" s="275"/>
      <c r="AH54" s="275"/>
      <c r="AI54" s="275"/>
      <c r="AJ54" s="275"/>
      <c r="AK54" s="276"/>
      <c r="AL54" s="277"/>
    </row>
    <row r="55" spans="1:38" s="141" customFormat="1" ht="13.2">
      <c r="A55" s="162"/>
      <c r="B55" s="280"/>
      <c r="C55" s="281"/>
      <c r="D55" s="281"/>
      <c r="E55" s="281"/>
      <c r="F55" s="281"/>
      <c r="G55" s="278"/>
      <c r="H55" s="278"/>
      <c r="I55" s="278"/>
      <c r="J55" s="235"/>
      <c r="K55" s="235"/>
      <c r="L55" s="235"/>
      <c r="M55" s="235"/>
      <c r="N55" s="275"/>
      <c r="O55" s="276"/>
      <c r="P55" s="235"/>
      <c r="Q55" s="249"/>
      <c r="R55" s="211"/>
      <c r="S55" s="248"/>
      <c r="T55" s="277"/>
      <c r="U55" s="275"/>
      <c r="V55" s="275"/>
      <c r="W55" s="275"/>
      <c r="X55" s="275"/>
      <c r="Y55" s="275"/>
      <c r="Z55" s="275"/>
      <c r="AA55" s="275"/>
      <c r="AB55" s="275"/>
      <c r="AC55" s="275"/>
      <c r="AD55" s="275"/>
      <c r="AE55" s="275"/>
      <c r="AF55" s="275"/>
      <c r="AG55" s="275"/>
      <c r="AH55" s="275"/>
      <c r="AI55" s="275"/>
      <c r="AJ55" s="275"/>
      <c r="AK55" s="276"/>
      <c r="AL55" s="277"/>
    </row>
    <row r="56" spans="1:38" ht="12.75" customHeight="1">
      <c r="A56" s="282"/>
      <c r="B56" s="162"/>
      <c r="C56" s="280"/>
      <c r="D56" s="281"/>
      <c r="E56" s="281"/>
      <c r="F56" s="281"/>
      <c r="G56" s="278"/>
      <c r="H56" s="278"/>
      <c r="I56" s="278"/>
      <c r="J56" s="235"/>
      <c r="K56" s="235"/>
      <c r="L56" s="235"/>
      <c r="M56" s="235"/>
      <c r="N56" s="275"/>
      <c r="O56" s="276"/>
      <c r="P56" s="235"/>
      <c r="Q56" s="249"/>
      <c r="R56" s="211"/>
      <c r="S56" s="248"/>
      <c r="T56" s="2"/>
      <c r="U56" s="283"/>
      <c r="V56" s="162"/>
      <c r="W56" s="162"/>
      <c r="X56" s="162"/>
      <c r="Y56" s="162"/>
      <c r="Z56" s="162"/>
      <c r="AA56" s="162"/>
      <c r="AB56" s="162"/>
      <c r="AC56" s="162"/>
      <c r="AD56" s="162"/>
      <c r="AE56" s="162"/>
      <c r="AF56" s="162"/>
      <c r="AG56" s="162"/>
      <c r="AH56" s="162"/>
      <c r="AI56" s="162"/>
      <c r="AJ56" s="162"/>
      <c r="AK56" s="162"/>
      <c r="AL56" s="162"/>
    </row>
    <row r="57" spans="1:38" ht="22.5" customHeight="1">
      <c r="B57" s="284" t="s">
        <v>109</v>
      </c>
      <c r="C57" s="285"/>
      <c r="D57" s="285"/>
      <c r="E57" s="285"/>
      <c r="F57" s="281"/>
      <c r="G57" s="278"/>
      <c r="H57" s="278"/>
      <c r="I57" s="278"/>
      <c r="J57" s="235"/>
      <c r="K57" s="235"/>
      <c r="L57" s="235"/>
      <c r="M57" s="235"/>
      <c r="N57" s="275"/>
      <c r="O57" s="276"/>
      <c r="P57" s="235"/>
      <c r="Q57" s="249"/>
      <c r="R57" s="211"/>
      <c r="S57" s="248"/>
      <c r="T57" s="283"/>
      <c r="U57" s="162"/>
    </row>
    <row r="58" spans="1:38" ht="12.75" customHeight="1">
      <c r="B58" s="286"/>
      <c r="C58" s="287"/>
      <c r="D58" s="288">
        <f>C3</f>
        <v>46022</v>
      </c>
      <c r="E58" s="288">
        <f>K37</f>
        <v>45657</v>
      </c>
      <c r="F58" s="289" t="s">
        <v>98</v>
      </c>
      <c r="G58" s="281"/>
      <c r="H58" s="278"/>
      <c r="I58" s="278"/>
      <c r="J58" s="235"/>
      <c r="K58" s="235"/>
      <c r="L58" s="235"/>
      <c r="M58" s="235"/>
      <c r="N58" s="235"/>
      <c r="O58" s="235"/>
      <c r="P58" s="235"/>
      <c r="Q58" s="249"/>
      <c r="R58" s="211"/>
      <c r="S58" s="248"/>
      <c r="T58" s="2"/>
      <c r="U58" s="283"/>
    </row>
    <row r="59" spans="1:38" ht="12.75" customHeight="1">
      <c r="B59" s="290"/>
      <c r="C59" s="291"/>
      <c r="D59" s="143"/>
      <c r="E59" s="153" t="s">
        <v>57</v>
      </c>
      <c r="F59" s="292"/>
      <c r="G59" s="281"/>
      <c r="H59" s="278"/>
      <c r="I59" s="278"/>
      <c r="J59" s="235"/>
      <c r="K59" s="235"/>
      <c r="L59" s="235"/>
      <c r="M59" s="235"/>
      <c r="N59" s="235"/>
      <c r="O59" s="235"/>
      <c r="P59" s="235"/>
      <c r="Q59" s="249"/>
      <c r="R59" s="211"/>
      <c r="S59" s="248"/>
      <c r="T59" s="2"/>
      <c r="U59" s="283"/>
    </row>
    <row r="60" spans="1:38" ht="12.75" customHeight="1">
      <c r="B60" s="293" t="s">
        <v>110</v>
      </c>
      <c r="C60" s="294"/>
      <c r="D60" s="391">
        <f>(J42+K42)/2</f>
        <v>-60856880.625</v>
      </c>
      <c r="E60" s="413">
        <v>-64187384.869999997</v>
      </c>
      <c r="F60" s="297">
        <f>IFERROR((D60-E60)/E60,"")</f>
        <v>-5.1887208861138907E-2</v>
      </c>
      <c r="G60" s="281"/>
      <c r="H60" s="528"/>
      <c r="I60" s="528"/>
      <c r="J60" s="235"/>
      <c r="K60" s="235"/>
      <c r="L60" s="235"/>
      <c r="M60" s="235"/>
      <c r="N60" s="235"/>
      <c r="O60" s="235"/>
      <c r="P60" s="235"/>
      <c r="Q60" s="249"/>
      <c r="R60" s="211"/>
      <c r="S60" s="248"/>
      <c r="T60" s="2"/>
      <c r="U60" s="283"/>
    </row>
    <row r="61" spans="1:38" ht="12.75" customHeight="1">
      <c r="B61" s="293" t="s">
        <v>111</v>
      </c>
      <c r="C61" s="295" t="s">
        <v>112</v>
      </c>
      <c r="D61" s="392">
        <v>64381069.149999999</v>
      </c>
      <c r="E61" s="387">
        <v>75419756.280000001</v>
      </c>
      <c r="F61" s="297">
        <f>IFERROR((D61-E61)/E61,"")</f>
        <v>-0.14636333600732238</v>
      </c>
      <c r="G61" s="281"/>
      <c r="H61" s="278"/>
      <c r="I61" s="278"/>
      <c r="J61" s="235"/>
      <c r="K61" s="235"/>
      <c r="L61" s="235"/>
      <c r="M61" s="235"/>
      <c r="N61" s="235"/>
      <c r="O61" s="235"/>
      <c r="P61" s="235"/>
      <c r="Q61" s="249"/>
      <c r="R61" s="211"/>
      <c r="S61" s="248"/>
      <c r="T61" s="2"/>
      <c r="U61" s="283"/>
    </row>
    <row r="62" spans="1:38" ht="12.75" customHeight="1">
      <c r="B62" s="293"/>
      <c r="C62" s="294"/>
      <c r="D62" s="296"/>
      <c r="E62" s="296"/>
      <c r="F62" s="297"/>
      <c r="G62" s="281"/>
      <c r="H62" s="278"/>
      <c r="I62" s="278"/>
      <c r="J62" s="235"/>
      <c r="K62" s="235"/>
      <c r="L62" s="235"/>
      <c r="M62" s="235"/>
      <c r="N62" s="235"/>
      <c r="O62" s="235"/>
      <c r="P62" s="235"/>
      <c r="Q62" s="249"/>
      <c r="R62" s="211"/>
      <c r="S62" s="248"/>
      <c r="T62" s="2"/>
      <c r="U62" s="283"/>
    </row>
    <row r="63" spans="1:38" ht="12.75" customHeight="1">
      <c r="B63" s="293" t="s">
        <v>113</v>
      </c>
      <c r="C63" s="294"/>
      <c r="D63" s="298">
        <f>IFERROR(ABS(D60)/ABS(D61)*365,0)</f>
        <v>345.02007688583097</v>
      </c>
      <c r="E63" s="298">
        <f>IFERROR(ABS(E60)/ABS(E61)*365,0)</f>
        <v>310.64003164596272</v>
      </c>
      <c r="F63" s="297">
        <f>IFERROR((D63-E63)/E63,"")</f>
        <v>0.11067487038840919</v>
      </c>
      <c r="G63" s="281"/>
      <c r="H63" s="278"/>
      <c r="I63" s="278"/>
      <c r="J63" s="235"/>
      <c r="K63" s="235"/>
      <c r="L63" s="235"/>
      <c r="M63" s="235"/>
      <c r="N63" s="235"/>
      <c r="O63" s="235"/>
      <c r="P63" s="235"/>
      <c r="Q63" s="249"/>
      <c r="R63" s="211"/>
      <c r="S63" s="248"/>
      <c r="T63" s="2"/>
      <c r="U63" s="283"/>
    </row>
    <row r="64" spans="1:38" ht="12.75" customHeight="1">
      <c r="B64" s="293" t="s">
        <v>114</v>
      </c>
      <c r="C64" s="294"/>
      <c r="D64" s="393">
        <f>IFERROR(ABS(D61)/ABS(D60),0)</f>
        <v>1.0579094506456228</v>
      </c>
      <c r="E64" s="393">
        <f>IFERROR(ABS(E61)/ABS(E60),0)</f>
        <v>1.1749934419785002</v>
      </c>
      <c r="F64" s="299">
        <f>IFERROR((D64-E64)/E64,"")</f>
        <v>-9.9646506227070303E-2</v>
      </c>
      <c r="G64" s="281"/>
      <c r="H64" s="278"/>
      <c r="I64" s="278"/>
      <c r="J64" s="235"/>
      <c r="K64" s="235"/>
      <c r="L64" s="235"/>
      <c r="M64" s="235"/>
      <c r="N64" s="235"/>
      <c r="O64" s="235"/>
      <c r="P64" s="235"/>
      <c r="Q64" s="249"/>
      <c r="R64" s="211"/>
      <c r="S64" s="248"/>
      <c r="T64" s="2"/>
      <c r="U64" s="283"/>
    </row>
    <row r="65" spans="1:21" ht="12.75" customHeight="1">
      <c r="B65" s="300"/>
      <c r="C65" s="3"/>
      <c r="D65" s="301"/>
      <c r="E65" s="301"/>
      <c r="F65" s="302"/>
      <c r="G65" s="281"/>
      <c r="H65" s="278"/>
      <c r="I65" s="278"/>
      <c r="J65" s="235"/>
      <c r="K65" s="235"/>
      <c r="L65" s="235"/>
      <c r="M65" s="235"/>
      <c r="N65" s="235"/>
      <c r="O65" s="235"/>
      <c r="P65" s="235"/>
      <c r="Q65" s="249"/>
      <c r="R65" s="211"/>
      <c r="S65" s="248"/>
      <c r="T65" s="2"/>
      <c r="U65" s="283"/>
    </row>
    <row r="66" spans="1:21" ht="12.75" customHeight="1">
      <c r="B66" s="303" t="s">
        <v>115</v>
      </c>
      <c r="C66" s="304"/>
      <c r="D66" s="4"/>
      <c r="E66" s="4"/>
      <c r="F66" s="305"/>
      <c r="G66" s="281"/>
      <c r="H66" s="278"/>
      <c r="I66" s="278"/>
      <c r="J66" s="235"/>
      <c r="K66" s="235"/>
      <c r="L66" s="235"/>
      <c r="M66" s="235"/>
      <c r="N66" s="235"/>
      <c r="O66" s="235"/>
      <c r="P66" s="235"/>
      <c r="Q66" s="249"/>
      <c r="R66" s="211"/>
      <c r="S66" s="248"/>
      <c r="T66" s="2"/>
      <c r="U66" s="283"/>
    </row>
    <row r="67" spans="1:21" ht="47.85" customHeight="1">
      <c r="B67" s="570" t="s">
        <v>1009</v>
      </c>
      <c r="C67" s="571"/>
      <c r="D67" s="571"/>
      <c r="E67" s="571"/>
      <c r="F67" s="572"/>
      <c r="G67" s="281"/>
      <c r="H67" s="278"/>
      <c r="I67" s="278"/>
      <c r="J67" s="235"/>
      <c r="K67" s="235"/>
      <c r="L67" s="235"/>
      <c r="M67" s="235"/>
      <c r="N67" s="235"/>
      <c r="O67" s="235"/>
      <c r="P67" s="235"/>
      <c r="Q67" s="249"/>
      <c r="R67" s="211"/>
      <c r="S67" s="248"/>
      <c r="T67" s="2"/>
      <c r="U67" s="283"/>
    </row>
    <row r="68" spans="1:21" ht="12.75" customHeight="1">
      <c r="B68" s="280"/>
      <c r="C68" s="281"/>
      <c r="D68" s="281"/>
      <c r="E68" s="281"/>
      <c r="F68" s="281"/>
      <c r="G68" s="278"/>
      <c r="H68" s="278"/>
      <c r="I68" s="235"/>
      <c r="J68" s="235"/>
      <c r="K68" s="235"/>
      <c r="L68" s="235"/>
      <c r="M68" s="235"/>
      <c r="N68" s="235"/>
      <c r="O68" s="235"/>
      <c r="P68" s="235"/>
      <c r="Q68" s="249"/>
      <c r="R68" s="211"/>
      <c r="S68" s="248"/>
      <c r="T68" s="283"/>
      <c r="U68" s="162"/>
    </row>
    <row r="69" spans="1:21" s="142" customFormat="1" ht="15" customHeight="1">
      <c r="B69" s="38"/>
      <c r="C69" s="38"/>
      <c r="D69" s="38"/>
      <c r="E69" s="38"/>
      <c r="F69" s="38"/>
      <c r="G69" s="278"/>
      <c r="H69" s="29"/>
      <c r="I69" s="26"/>
      <c r="J69" s="29"/>
      <c r="K69" s="29"/>
      <c r="L69" s="29"/>
      <c r="M69" s="29"/>
      <c r="N69" s="29"/>
      <c r="O69" s="29"/>
      <c r="P69" s="235"/>
      <c r="Q69" s="249"/>
      <c r="R69" s="211"/>
      <c r="S69" s="248"/>
      <c r="T69" s="29"/>
      <c r="U69" s="29"/>
    </row>
    <row r="70" spans="1:21" ht="15" customHeight="1">
      <c r="A70" s="282"/>
      <c r="B70" s="162"/>
      <c r="C70" s="280"/>
      <c r="D70" s="281"/>
      <c r="E70" s="280"/>
      <c r="F70" s="162"/>
      <c r="G70" s="162"/>
      <c r="H70" s="162"/>
      <c r="I70" s="162"/>
      <c r="J70" s="162"/>
      <c r="K70" s="162"/>
      <c r="L70" s="162"/>
      <c r="M70" s="162"/>
      <c r="N70" s="162"/>
      <c r="O70" s="162"/>
      <c r="P70" s="162"/>
      <c r="Q70" s="162"/>
      <c r="R70" s="211"/>
      <c r="S70" s="162"/>
      <c r="T70" s="162"/>
    </row>
    <row r="71" spans="1:21" ht="7.5" customHeight="1">
      <c r="A71" s="306"/>
      <c r="B71" s="306"/>
      <c r="C71" s="306"/>
      <c r="D71" s="306"/>
      <c r="E71" s="306"/>
      <c r="F71" s="306"/>
      <c r="G71" s="306"/>
      <c r="H71" s="306"/>
      <c r="I71" s="306"/>
      <c r="J71" s="306"/>
      <c r="K71" s="306"/>
      <c r="L71" s="306"/>
      <c r="M71" s="306"/>
      <c r="N71" s="306"/>
      <c r="O71" s="306"/>
      <c r="P71" s="306"/>
      <c r="Q71" s="306"/>
      <c r="R71" s="211"/>
      <c r="S71" s="162"/>
      <c r="T71" s="162"/>
    </row>
    <row r="72" spans="1:21" ht="13.2">
      <c r="A72" s="282"/>
      <c r="B72" s="162"/>
      <c r="C72" s="280"/>
      <c r="D72" s="281"/>
      <c r="E72" s="280"/>
      <c r="F72" s="162"/>
      <c r="G72" s="162"/>
      <c r="H72" s="162"/>
      <c r="I72" s="162"/>
      <c r="J72" s="162"/>
      <c r="K72" s="162"/>
      <c r="L72" s="162"/>
      <c r="M72" s="162"/>
      <c r="N72" s="162"/>
      <c r="O72" s="162"/>
      <c r="P72" s="162"/>
      <c r="Q72" s="162"/>
      <c r="R72" s="162"/>
      <c r="S72" s="162"/>
      <c r="T72" s="162"/>
    </row>
    <row r="73" spans="1:21" ht="12.75" customHeight="1">
      <c r="A73" s="282"/>
      <c r="B73" s="162"/>
      <c r="C73" s="280"/>
      <c r="D73" s="281"/>
      <c r="E73" s="280"/>
      <c r="F73" s="162"/>
      <c r="G73" s="162"/>
      <c r="H73" s="162"/>
      <c r="I73" s="162"/>
      <c r="J73" s="162"/>
      <c r="K73" s="162"/>
      <c r="L73" s="162"/>
      <c r="M73" s="162"/>
      <c r="N73" s="162"/>
      <c r="O73" s="162"/>
      <c r="P73" s="162"/>
      <c r="Q73" s="162"/>
      <c r="R73" s="162"/>
      <c r="S73" s="162"/>
      <c r="T73" s="162"/>
    </row>
    <row r="74" spans="1:21" ht="12.75" customHeight="1">
      <c r="A74" s="282"/>
      <c r="B74" s="162"/>
      <c r="C74" s="280"/>
      <c r="D74" s="281"/>
      <c r="E74" s="280"/>
      <c r="F74" s="162"/>
      <c r="G74" s="162"/>
      <c r="H74" s="162"/>
      <c r="I74" s="162"/>
      <c r="J74" s="162"/>
      <c r="K74" s="162"/>
      <c r="L74" s="162"/>
      <c r="M74" s="162"/>
      <c r="N74" s="162"/>
      <c r="O74" s="162"/>
      <c r="P74" s="162"/>
      <c r="Q74" s="162"/>
      <c r="R74" s="162"/>
      <c r="S74" s="162"/>
      <c r="T74" s="162"/>
    </row>
    <row r="75" spans="1:21" ht="12.75" customHeight="1">
      <c r="A75" s="282"/>
      <c r="B75" s="162"/>
      <c r="C75" s="280"/>
      <c r="D75" s="281"/>
      <c r="E75" s="162"/>
      <c r="F75" s="162"/>
      <c r="G75" s="162"/>
      <c r="H75" s="162"/>
      <c r="I75" s="162"/>
      <c r="J75" s="162"/>
      <c r="K75" s="162"/>
      <c r="L75" s="162"/>
      <c r="M75" s="162"/>
      <c r="N75" s="162"/>
      <c r="O75" s="162"/>
      <c r="P75" s="162"/>
      <c r="Q75" s="162"/>
      <c r="R75" s="162"/>
      <c r="S75" s="162"/>
      <c r="T75" s="162"/>
    </row>
    <row r="76" spans="1:21" ht="12.75" customHeight="1">
      <c r="A76" s="282"/>
      <c r="B76" s="162"/>
      <c r="C76" s="280"/>
      <c r="D76" s="281"/>
      <c r="E76" s="162"/>
      <c r="F76" s="162"/>
      <c r="G76" s="162"/>
      <c r="H76" s="162"/>
      <c r="I76" s="162"/>
      <c r="J76" s="162"/>
      <c r="K76" s="162"/>
      <c r="L76" s="162"/>
      <c r="M76" s="162"/>
      <c r="N76" s="162"/>
      <c r="O76" s="162"/>
      <c r="P76" s="162"/>
      <c r="Q76" s="162"/>
      <c r="R76" s="162"/>
      <c r="S76" s="162"/>
      <c r="T76" s="162"/>
    </row>
    <row r="77" spans="1:21" ht="12.75" customHeight="1">
      <c r="A77" s="282"/>
      <c r="B77" s="162"/>
      <c r="C77" s="280"/>
      <c r="D77" s="281"/>
      <c r="E77" s="162"/>
      <c r="F77" s="162"/>
      <c r="G77" s="162"/>
      <c r="H77" s="162"/>
      <c r="I77" s="162"/>
      <c r="J77" s="162"/>
      <c r="K77" s="162"/>
      <c r="L77" s="162"/>
      <c r="M77" s="162"/>
      <c r="N77" s="162"/>
      <c r="O77" s="162"/>
      <c r="P77" s="162"/>
      <c r="Q77" s="162"/>
      <c r="R77" s="162"/>
      <c r="S77" s="162"/>
      <c r="T77" s="162"/>
    </row>
  </sheetData>
  <dataConsolidate/>
  <mergeCells count="16">
    <mergeCell ref="N37:N38"/>
    <mergeCell ref="D2:P8"/>
    <mergeCell ref="B26:F28"/>
    <mergeCell ref="H13:L13"/>
    <mergeCell ref="B67:F67"/>
    <mergeCell ref="P37:P38"/>
    <mergeCell ref="B20:E20"/>
    <mergeCell ref="B23:E23"/>
    <mergeCell ref="L37:M37"/>
    <mergeCell ref="O37:O38"/>
    <mergeCell ref="F37:J37"/>
    <mergeCell ref="B49:F52"/>
    <mergeCell ref="B37:B38"/>
    <mergeCell ref="C37:C38"/>
    <mergeCell ref="D37:D38"/>
    <mergeCell ref="E37:E38"/>
  </mergeCells>
  <phoneticPr fontId="25" type="noConversion"/>
  <conditionalFormatting sqref="B26">
    <cfRule type="cellIs" dxfId="34" priority="17" operator="equal">
      <formula>0</formula>
    </cfRule>
    <cfRule type="containsBlanks" dxfId="33" priority="27">
      <formula>LEN(TRIM(B26))=0</formula>
    </cfRule>
    <cfRule type="containsBlanks" dxfId="32" priority="36">
      <formula>LEN(TRIM(B26))=0</formula>
    </cfRule>
  </conditionalFormatting>
  <conditionalFormatting sqref="B49:B51">
    <cfRule type="containsBlanks" dxfId="31" priority="6">
      <formula>LEN(TRIM(B49))=0</formula>
    </cfRule>
  </conditionalFormatting>
  <conditionalFormatting sqref="B39:D39 F39 K39 P39">
    <cfRule type="containsBlanks" dxfId="30" priority="16">
      <formula>LEN(TRIM(B39))=0</formula>
    </cfRule>
  </conditionalFormatting>
  <conditionalFormatting sqref="C2">
    <cfRule type="containsBlanks" dxfId="29" priority="29">
      <formula>LEN(TRIM(C2))=0</formula>
    </cfRule>
  </conditionalFormatting>
  <conditionalFormatting sqref="C3 H39:H40 J39:J40">
    <cfRule type="containsBlanks" dxfId="28" priority="32">
      <formula>LEN(TRIM(C3))=0</formula>
    </cfRule>
  </conditionalFormatting>
  <conditionalFormatting sqref="C4 C8">
    <cfRule type="containsBlanks" dxfId="27" priority="30">
      <formula>LEN(TRIM(C4))=0</formula>
    </cfRule>
  </conditionalFormatting>
  <conditionalFormatting sqref="C5:C7">
    <cfRule type="containsBlanks" dxfId="26" priority="1">
      <formula>LEN(TRIM(C5))=0</formula>
    </cfRule>
  </conditionalFormatting>
  <conditionalFormatting sqref="C15:C19">
    <cfRule type="containsBlanks" dxfId="25" priority="31">
      <formula>LEN(TRIM(C15))=0</formula>
    </cfRule>
  </conditionalFormatting>
  <conditionalFormatting sqref="C32">
    <cfRule type="containsBlanks" dxfId="24" priority="14">
      <formula>LEN(TRIM(C32))=0</formula>
    </cfRule>
  </conditionalFormatting>
  <conditionalFormatting sqref="D61:E61 B67:F67">
    <cfRule type="containsBlanks" dxfId="23" priority="35">
      <formula>LEN(TRIM(B61))=0</formula>
    </cfRule>
  </conditionalFormatting>
  <conditionalFormatting sqref="E39">
    <cfRule type="containsBlanks" dxfId="22" priority="25">
      <formula>LEN(TRIM(E39))=0</formula>
    </cfRule>
  </conditionalFormatting>
  <conditionalFormatting sqref="H30">
    <cfRule type="containsBlanks" dxfId="21" priority="20">
      <formula>LEN(TRIM(H30))=0</formula>
    </cfRule>
  </conditionalFormatting>
  <conditionalFormatting sqref="H44">
    <cfRule type="containsBlanks" dxfId="20" priority="24">
      <formula>LEN(TRIM(H44))=0</formula>
    </cfRule>
  </conditionalFormatting>
  <conditionalFormatting sqref="J44:K44">
    <cfRule type="containsBlanks" dxfId="19" priority="2">
      <formula>LEN(TRIM(J44))=0</formula>
    </cfRule>
  </conditionalFormatting>
  <conditionalFormatting sqref="P42">
    <cfRule type="containsBlanks" dxfId="18" priority="3">
      <formula>LEN(TRIM(P42))=0</formula>
    </cfRule>
  </conditionalFormatting>
  <dataValidations count="3">
    <dataValidation type="list" allowBlank="1" showInputMessage="1" showErrorMessage="1" sqref="P42 P39" xr:uid="{7B66B01F-C11C-490A-8D6A-37144323E97F}">
      <formula1>"是,否"</formula1>
    </dataValidation>
    <dataValidation type="list" allowBlank="1" showInputMessage="1" sqref="C15:C19" xr:uid="{D6385E63-EA45-4BE3-B73C-AAE3D68CB6CB}">
      <formula1>"Minimal,Low,Moderate,High,N/A"</formula1>
    </dataValidation>
    <dataValidation type="list" allowBlank="1" showInputMessage="1" showErrorMessage="1" sqref="P41" xr:uid="{96BF66B8-6F5A-4B9D-8530-C0D682484974}">
      <formula1>"Yes,No"</formula1>
    </dataValidation>
  </dataValidations>
  <hyperlinks>
    <hyperlink ref="B11" location="汇总!A1" display="返回汇总页" xr:uid="{434E8823-ED08-4438-BF00-D3B473335E54}"/>
  </hyperlink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7197-B091-4C3E-BC89-0AC2E2F08B9D}">
  <dimension ref="A1:P31"/>
  <sheetViews>
    <sheetView showGridLines="0" zoomScale="70" zoomScaleNormal="70" workbookViewId="0">
      <selection activeCell="E45" sqref="E45"/>
    </sheetView>
  </sheetViews>
  <sheetFormatPr defaultColWidth="8.77734375" defaultRowHeight="15" customHeight="1"/>
  <cols>
    <col min="1" max="1" width="2.5546875" style="10" customWidth="1"/>
    <col min="2" max="2" width="24" style="10" customWidth="1"/>
    <col min="3" max="6" width="25.5546875" style="10" customWidth="1"/>
    <col min="7" max="7" width="15.77734375" style="10" customWidth="1"/>
    <col min="8" max="8" width="15.5546875" style="10" customWidth="1"/>
    <col min="9" max="9" width="19.5546875" style="10" customWidth="1"/>
    <col min="10" max="11" width="20.44140625" style="10" customWidth="1"/>
    <col min="12" max="12" width="2.5546875" style="10" customWidth="1"/>
    <col min="13" max="13" width="1.5546875" style="10" customWidth="1"/>
    <col min="14" max="16" width="2.77734375" style="10" customWidth="1"/>
    <col min="17" max="17" width="11.33203125" style="10" customWidth="1"/>
    <col min="18" max="18" width="8.77734375" style="10" customWidth="1"/>
    <col min="19" max="21" width="9.77734375" style="10" customWidth="1"/>
    <col min="22" max="699" width="8.77734375" style="10"/>
    <col min="700" max="700" width="9.109375" style="10" customWidth="1"/>
    <col min="701" max="16384" width="8.77734375" style="10"/>
  </cols>
  <sheetData>
    <row r="1" spans="2:13" ht="50.1" customHeight="1">
      <c r="B1" s="84" t="s">
        <v>116</v>
      </c>
      <c r="C1" s="14"/>
      <c r="D1" s="15"/>
      <c r="E1" s="15"/>
      <c r="F1" s="15"/>
      <c r="G1" s="15"/>
      <c r="H1" s="15"/>
      <c r="I1" s="15"/>
      <c r="J1" s="15"/>
      <c r="K1" s="16"/>
      <c r="M1" s="17"/>
    </row>
    <row r="2" spans="2:13" ht="30" customHeight="1">
      <c r="B2" s="18" t="s">
        <v>117</v>
      </c>
      <c r="C2" s="19"/>
      <c r="D2" s="19"/>
      <c r="E2" s="19"/>
      <c r="F2" s="19"/>
      <c r="G2" s="19"/>
      <c r="H2" s="19"/>
      <c r="I2" s="19"/>
      <c r="J2" s="19"/>
      <c r="K2" s="20"/>
      <c r="M2" s="17"/>
    </row>
    <row r="3" spans="2:13" ht="15" customHeight="1">
      <c r="M3" s="17"/>
    </row>
    <row r="4" spans="2:13" ht="15" customHeight="1">
      <c r="B4" s="45" t="s">
        <v>118</v>
      </c>
      <c r="M4" s="17"/>
    </row>
    <row r="5" spans="2:13" ht="15" customHeight="1">
      <c r="M5" s="17"/>
    </row>
    <row r="6" spans="2:13" ht="15" customHeight="1">
      <c r="B6" s="402">
        <f>MIN('N.00 Lead sheet'!$D$15,'N.00 Lead sheet'!$D$16)</f>
        <v>585000</v>
      </c>
      <c r="C6" s="85" t="s">
        <v>119</v>
      </c>
      <c r="D6" s="46"/>
      <c r="M6" s="17"/>
    </row>
    <row r="7" spans="2:13" ht="15" customHeight="1">
      <c r="M7" s="17"/>
    </row>
    <row r="8" spans="2:13" ht="15" customHeight="1">
      <c r="B8" s="22"/>
      <c r="F8" s="23"/>
      <c r="G8" s="13"/>
      <c r="J8" s="13"/>
      <c r="M8" s="17"/>
    </row>
    <row r="9" spans="2:13" ht="19.5" customHeight="1">
      <c r="B9" s="204" t="s">
        <v>120</v>
      </c>
      <c r="C9" s="205"/>
      <c r="D9" s="205"/>
      <c r="E9" s="13"/>
      <c r="F9" s="13"/>
      <c r="H9" s="13"/>
      <c r="I9" s="13" t="s">
        <v>121</v>
      </c>
      <c r="J9" s="13"/>
      <c r="M9" s="17"/>
    </row>
    <row r="10" spans="2:13" ht="15" customHeight="1">
      <c r="B10" s="598" t="s">
        <v>122</v>
      </c>
      <c r="C10" s="609" t="s">
        <v>123</v>
      </c>
      <c r="D10" s="611" t="s">
        <v>124</v>
      </c>
      <c r="E10" s="613" t="s">
        <v>125</v>
      </c>
      <c r="F10" s="596" t="s">
        <v>126</v>
      </c>
      <c r="G10" s="596" t="s">
        <v>127</v>
      </c>
      <c r="H10" s="596" t="s">
        <v>128</v>
      </c>
      <c r="I10" s="596" t="s">
        <v>129</v>
      </c>
      <c r="J10" s="594" t="s">
        <v>130</v>
      </c>
      <c r="K10" s="595"/>
      <c r="M10" s="17"/>
    </row>
    <row r="11" spans="2:13" ht="31.5" customHeight="1">
      <c r="B11" s="599"/>
      <c r="C11" s="610"/>
      <c r="D11" s="612"/>
      <c r="E11" s="614"/>
      <c r="F11" s="597"/>
      <c r="G11" s="597"/>
      <c r="H11" s="597"/>
      <c r="I11" s="597"/>
      <c r="J11" s="420" t="s">
        <v>131</v>
      </c>
      <c r="K11" s="420" t="s">
        <v>132</v>
      </c>
      <c r="M11" s="17"/>
    </row>
    <row r="12" spans="2:13" ht="15" customHeight="1">
      <c r="B12" s="443" t="s">
        <v>99</v>
      </c>
      <c r="C12" s="444">
        <v>2121</v>
      </c>
      <c r="D12" s="445" t="s">
        <v>100</v>
      </c>
      <c r="E12" s="396">
        <f>IFERROR(_xlfn.XLOOKUP(C12,'N.00 Lead sheet'!$C$39:$C$40,'N.00 Lead sheet'!$F$39:$F$40),0)</f>
        <v>-57526376.380000003</v>
      </c>
      <c r="F12" s="180" t="s">
        <v>133</v>
      </c>
      <c r="G12" s="398">
        <f>'N.01.01明细账'!M221</f>
        <v>-57526376.380000025</v>
      </c>
      <c r="H12" s="181" t="s">
        <v>134</v>
      </c>
      <c r="I12" s="396">
        <f>E12-G12</f>
        <v>0</v>
      </c>
      <c r="J12" s="87" t="s">
        <v>1007</v>
      </c>
      <c r="K12" s="416" t="str">
        <f>IF(J12="","",IF(J12="是","Note2",IF(J12="否","Note2","不适用")))</f>
        <v>不适用</v>
      </c>
      <c r="M12" s="17"/>
    </row>
    <row r="13" spans="2:13" ht="15" customHeight="1">
      <c r="B13" s="47"/>
      <c r="C13" s="56"/>
      <c r="D13" s="47"/>
      <c r="E13" s="396">
        <f>-IFERROR(_xlfn.XLOOKUP(C13,'N.00 Lead sheet'!$C$39:$C$40,'N.00 Lead sheet'!$F$39:$F$40),0)</f>
        <v>0</v>
      </c>
      <c r="F13" s="24"/>
      <c r="G13" s="399"/>
      <c r="H13" s="24"/>
      <c r="I13" s="396">
        <f>E13-G13</f>
        <v>0</v>
      </c>
      <c r="J13" s="87"/>
      <c r="K13" s="416" t="str">
        <f t="shared" ref="K13:K14" si="0">IF(J13="","",IF(J13="是","Note2",IF(J13="否","Note2","不适用")))</f>
        <v/>
      </c>
      <c r="M13" s="17"/>
    </row>
    <row r="14" spans="2:13" ht="15" customHeight="1">
      <c r="B14" s="47"/>
      <c r="C14" s="57"/>
      <c r="D14" s="394"/>
      <c r="E14" s="397">
        <f>-IFERROR(_xlfn.XLOOKUP(C14,'N.00 Lead sheet'!$C$39:$C$40,'N.00 Lead sheet'!$F$39:$F$40),0)</f>
        <v>0</v>
      </c>
      <c r="F14" s="24"/>
      <c r="G14" s="400"/>
      <c r="H14" s="24"/>
      <c r="I14" s="396">
        <f>E14-G14</f>
        <v>0</v>
      </c>
      <c r="J14" s="88"/>
      <c r="K14" s="416" t="str">
        <f t="shared" si="0"/>
        <v/>
      </c>
      <c r="M14" s="17"/>
    </row>
    <row r="15" spans="2:13" ht="15" customHeight="1">
      <c r="M15" s="17"/>
    </row>
    <row r="16" spans="2:13" ht="15" customHeight="1">
      <c r="D16" s="86" t="s">
        <v>135</v>
      </c>
      <c r="E16" s="401">
        <f>SUM(E12:E14)</f>
        <v>-57526376.380000003</v>
      </c>
      <c r="G16" s="401">
        <f>SUM(G12:G14)</f>
        <v>-57526376.380000025</v>
      </c>
      <c r="I16" s="401">
        <f>SUM(I12:I14)</f>
        <v>0</v>
      </c>
      <c r="J16" s="28"/>
      <c r="M16" s="17"/>
    </row>
    <row r="17" spans="1:16" ht="15" customHeight="1">
      <c r="D17" s="86"/>
      <c r="E17" s="13" t="s">
        <v>104</v>
      </c>
      <c r="F17" s="27"/>
      <c r="G17" s="13" t="s">
        <v>104</v>
      </c>
      <c r="H17" s="13"/>
      <c r="I17" s="13" t="s">
        <v>104</v>
      </c>
      <c r="M17" s="17"/>
    </row>
    <row r="18" spans="1:16" ht="15" customHeight="1">
      <c r="B18" s="12"/>
      <c r="C18" s="11"/>
      <c r="D18" s="25"/>
      <c r="E18" s="25"/>
      <c r="F18" s="25"/>
      <c r="G18" s="25"/>
      <c r="H18" s="26"/>
      <c r="I18" s="26"/>
      <c r="J18" s="26"/>
      <c r="M18" s="17"/>
    </row>
    <row r="19" spans="1:16" s="29" customFormat="1" ht="15" customHeight="1">
      <c r="B19" s="29" t="s">
        <v>136</v>
      </c>
      <c r="I19" s="26"/>
      <c r="M19" s="17"/>
      <c r="N19" s="10"/>
      <c r="O19" s="10"/>
      <c r="P19" s="10"/>
    </row>
    <row r="20" spans="1:16" s="29" customFormat="1" ht="15" customHeight="1">
      <c r="B20" s="600" t="s">
        <v>1008</v>
      </c>
      <c r="C20" s="601"/>
      <c r="D20" s="601"/>
      <c r="E20" s="601"/>
      <c r="F20" s="601"/>
      <c r="G20" s="602"/>
      <c r="I20" s="26"/>
      <c r="M20" s="17"/>
      <c r="N20" s="10"/>
      <c r="O20" s="10"/>
      <c r="P20" s="10"/>
    </row>
    <row r="21" spans="1:16" s="29" customFormat="1" ht="15" customHeight="1">
      <c r="B21" s="603"/>
      <c r="C21" s="604"/>
      <c r="D21" s="604"/>
      <c r="E21" s="604"/>
      <c r="F21" s="604"/>
      <c r="G21" s="605"/>
      <c r="I21" s="26"/>
      <c r="M21" s="17"/>
      <c r="N21" s="10"/>
      <c r="O21" s="10"/>
      <c r="P21" s="10"/>
    </row>
    <row r="22" spans="1:16" s="29" customFormat="1" ht="15" customHeight="1">
      <c r="B22" s="606"/>
      <c r="C22" s="607"/>
      <c r="D22" s="607"/>
      <c r="E22" s="607"/>
      <c r="F22" s="607"/>
      <c r="G22" s="608"/>
      <c r="I22" s="26"/>
      <c r="M22" s="17"/>
      <c r="N22" s="10"/>
      <c r="O22" s="10"/>
      <c r="P22" s="10"/>
    </row>
    <row r="23" spans="1:16" s="29" customFormat="1" ht="15" customHeight="1">
      <c r="B23" s="38"/>
      <c r="C23" s="38"/>
      <c r="D23" s="38"/>
      <c r="E23" s="38"/>
      <c r="F23" s="38"/>
      <c r="I23" s="26"/>
      <c r="M23" s="17"/>
      <c r="N23" s="10"/>
      <c r="O23" s="10"/>
      <c r="P23" s="10"/>
    </row>
    <row r="24" spans="1:16" s="29" customFormat="1" ht="15" customHeight="1">
      <c r="B24" s="29" t="s">
        <v>137</v>
      </c>
      <c r="I24" s="26"/>
      <c r="M24" s="17"/>
      <c r="N24" s="10"/>
      <c r="O24" s="10"/>
      <c r="P24" s="10"/>
    </row>
    <row r="25" spans="1:16" s="29" customFormat="1" ht="15" customHeight="1">
      <c r="B25" s="155"/>
      <c r="C25" s="49" t="s">
        <v>138</v>
      </c>
      <c r="D25" s="592" t="s">
        <v>139</v>
      </c>
      <c r="E25" s="593"/>
      <c r="F25" s="49" t="s">
        <v>138</v>
      </c>
      <c r="G25" s="53"/>
      <c r="I25" s="26"/>
      <c r="M25" s="17"/>
      <c r="N25" s="10"/>
      <c r="O25" s="10"/>
      <c r="P25" s="10"/>
    </row>
    <row r="26" spans="1:16" s="29" customFormat="1" ht="15" customHeight="1">
      <c r="B26" s="172" t="s">
        <v>140</v>
      </c>
      <c r="C26" s="173" t="s">
        <v>141</v>
      </c>
      <c r="D26" s="173" t="s">
        <v>142</v>
      </c>
      <c r="E26" s="173" t="s">
        <v>143</v>
      </c>
      <c r="F26" s="173" t="s">
        <v>144</v>
      </c>
      <c r="G26" s="173" t="s">
        <v>145</v>
      </c>
      <c r="I26" s="26"/>
      <c r="M26" s="17"/>
      <c r="N26" s="10"/>
      <c r="O26" s="10"/>
      <c r="P26" s="10"/>
    </row>
    <row r="27" spans="1:16" s="29" customFormat="1" ht="15" customHeight="1">
      <c r="B27" s="89" t="s">
        <v>146</v>
      </c>
      <c r="C27" s="54"/>
      <c r="D27" s="395"/>
      <c r="E27" s="55">
        <f>C27*D27</f>
        <v>0</v>
      </c>
      <c r="F27" s="54"/>
      <c r="G27" s="54">
        <f>E27-F27</f>
        <v>0</v>
      </c>
      <c r="I27" s="26"/>
      <c r="M27" s="17"/>
      <c r="N27" s="10"/>
      <c r="O27" s="10"/>
      <c r="P27" s="10"/>
    </row>
    <row r="28" spans="1:16" s="29" customFormat="1" ht="15" customHeight="1">
      <c r="B28" s="89" t="s">
        <v>147</v>
      </c>
      <c r="C28" s="430">
        <f>'N.01.01明细账'!I221</f>
        <v>-57526376.380000025</v>
      </c>
      <c r="D28" s="395">
        <v>1</v>
      </c>
      <c r="E28" s="431">
        <f>C28*D28</f>
        <v>-57526376.380000025</v>
      </c>
      <c r="F28" s="430">
        <f>'N.01.01明细账'!J221</f>
        <v>-57526376.380000025</v>
      </c>
      <c r="G28" s="54">
        <f>E28-F28</f>
        <v>0</v>
      </c>
      <c r="I28" s="26"/>
      <c r="M28" s="17"/>
      <c r="N28" s="10"/>
      <c r="O28" s="10"/>
      <c r="P28" s="10"/>
    </row>
    <row r="29" spans="1:16" s="29" customFormat="1" ht="15" customHeight="1">
      <c r="B29" s="90"/>
      <c r="C29" s="54"/>
      <c r="D29" s="395"/>
      <c r="E29" s="55">
        <f>C29*D29</f>
        <v>0</v>
      </c>
      <c r="F29" s="54"/>
      <c r="G29" s="54">
        <f>E29-F29</f>
        <v>0</v>
      </c>
      <c r="I29" s="26"/>
      <c r="M29" s="17"/>
      <c r="N29" s="10"/>
      <c r="O29" s="10"/>
      <c r="P29" s="10"/>
    </row>
    <row r="30" spans="1:16" ht="15" customHeight="1">
      <c r="G30" s="29"/>
      <c r="H30" s="29"/>
      <c r="I30" s="26"/>
      <c r="J30" s="29"/>
      <c r="K30" s="29"/>
      <c r="L30" s="29"/>
      <c r="M30" s="17"/>
    </row>
    <row r="31" spans="1:16" ht="7.5" customHeight="1">
      <c r="A31" s="17"/>
      <c r="B31" s="17"/>
      <c r="C31" s="17"/>
      <c r="D31" s="17"/>
      <c r="E31" s="17"/>
      <c r="F31" s="17"/>
      <c r="G31" s="17"/>
      <c r="H31" s="17"/>
      <c r="I31" s="17"/>
      <c r="J31" s="17"/>
      <c r="K31" s="17"/>
      <c r="L31" s="17"/>
      <c r="M31" s="17"/>
    </row>
  </sheetData>
  <sheetProtection formatCells="0" formatColumns="0" formatRows="0" insertColumns="0" insertRows="0" insertHyperlinks="0" deleteColumns="0" deleteRows="0" sort="0" autoFilter="0" pivotTables="0"/>
  <mergeCells count="11">
    <mergeCell ref="D25:E25"/>
    <mergeCell ref="J10:K10"/>
    <mergeCell ref="I10:I11"/>
    <mergeCell ref="B10:B11"/>
    <mergeCell ref="B20:G22"/>
    <mergeCell ref="F10:F11"/>
    <mergeCell ref="H10:H11"/>
    <mergeCell ref="C10:C11"/>
    <mergeCell ref="D10:D11"/>
    <mergeCell ref="E10:E11"/>
    <mergeCell ref="G10:G11"/>
  </mergeCells>
  <phoneticPr fontId="25" type="noConversion"/>
  <conditionalFormatting sqref="B12:D14 G12:G14 J12:K14 B20:B21">
    <cfRule type="containsBlanks" dxfId="17" priority="9">
      <formula>LEN(TRIM(B12))=0</formula>
    </cfRule>
  </conditionalFormatting>
  <conditionalFormatting sqref="B27:D29 F27:F29">
    <cfRule type="containsBlanks" dxfId="16" priority="2">
      <formula>LEN(TRIM(B27))=0</formula>
    </cfRule>
  </conditionalFormatting>
  <conditionalFormatting sqref="H12 E12:E14 I12:I14">
    <cfRule type="containsBlanks" dxfId="15" priority="5">
      <formula>LEN(TRIM(E12))=0</formula>
    </cfRule>
  </conditionalFormatting>
  <dataValidations count="1">
    <dataValidation type="list" allowBlank="1" showInputMessage="1" sqref="J12:J14" xr:uid="{F285CA13-F617-4961-9421-BC0CEC482802}">
      <formula1>"是,否,不适用"</formula1>
    </dataValidation>
  </dataValidations>
  <hyperlinks>
    <hyperlink ref="B4" location="汇总!A1" display="返回汇总页" xr:uid="{F4F673E0-803F-4592-96F2-74D95CDCEA4E}"/>
  </hyperlinks>
  <pageMargins left="0.7" right="0.7" top="0.75" bottom="0.75" header="0.3" footer="0.3"/>
  <pageSetup paperSize="9" scale="57" fitToHeight="0" orientation="landscape" horizontalDpi="300" r:id="rId1"/>
  <headerFooter>
    <oddFooter>&amp;LN SWP Trade Payables
(24 June 2025)</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A976-27F0-47C8-98DB-7A53F0122BDB}">
  <dimension ref="A1:P36"/>
  <sheetViews>
    <sheetView showGridLines="0" zoomScale="70" zoomScaleNormal="70" workbookViewId="0">
      <selection activeCell="F36" sqref="F36"/>
    </sheetView>
  </sheetViews>
  <sheetFormatPr defaultColWidth="8.77734375" defaultRowHeight="15" customHeight="1"/>
  <cols>
    <col min="1" max="1" width="2.5546875" style="10" customWidth="1"/>
    <col min="2" max="2" width="24" style="10" customWidth="1"/>
    <col min="3" max="6" width="25.5546875" style="10" customWidth="1"/>
    <col min="7" max="7" width="15.77734375" style="10" customWidth="1"/>
    <col min="8" max="8" width="15.5546875" style="10" customWidth="1"/>
    <col min="9" max="9" width="19.5546875" style="10" customWidth="1"/>
    <col min="10" max="11" width="20.44140625" style="10" customWidth="1"/>
    <col min="12" max="12" width="2.5546875" style="10" customWidth="1"/>
    <col min="13" max="13" width="1.5546875" style="10" customWidth="1"/>
    <col min="14" max="16" width="2.77734375" style="10" customWidth="1"/>
    <col min="17" max="17" width="11.33203125" style="10" customWidth="1"/>
    <col min="18" max="18" width="8.77734375" style="10" customWidth="1"/>
    <col min="19" max="21" width="9.77734375" style="10" customWidth="1"/>
    <col min="22" max="699" width="8.77734375" style="10"/>
    <col min="700" max="700" width="9.109375" style="10" customWidth="1"/>
    <col min="701" max="16384" width="8.77734375" style="10"/>
  </cols>
  <sheetData>
    <row r="1" spans="2:13" ht="50.1" customHeight="1">
      <c r="B1" s="84" t="s">
        <v>116</v>
      </c>
      <c r="C1" s="14"/>
      <c r="D1" s="15"/>
      <c r="E1" s="15"/>
      <c r="F1" s="15"/>
      <c r="G1" s="15"/>
      <c r="H1" s="15"/>
      <c r="I1" s="15"/>
      <c r="J1" s="15"/>
      <c r="K1" s="16"/>
      <c r="M1" s="17"/>
    </row>
    <row r="2" spans="2:13" ht="30" customHeight="1">
      <c r="B2" s="18" t="s">
        <v>117</v>
      </c>
      <c r="C2" s="19"/>
      <c r="D2" s="19"/>
      <c r="E2" s="19"/>
      <c r="F2" s="19"/>
      <c r="G2" s="19"/>
      <c r="H2" s="19"/>
      <c r="I2" s="19"/>
      <c r="J2" s="19"/>
      <c r="K2" s="20"/>
      <c r="M2" s="17"/>
    </row>
    <row r="3" spans="2:13" ht="15" customHeight="1">
      <c r="M3" s="17"/>
    </row>
    <row r="4" spans="2:13" ht="15" customHeight="1">
      <c r="B4" s="45" t="s">
        <v>118</v>
      </c>
      <c r="M4" s="17"/>
    </row>
    <row r="5" spans="2:13" ht="15" customHeight="1">
      <c r="M5" s="17"/>
    </row>
    <row r="6" spans="2:13" ht="15" customHeight="1">
      <c r="B6" s="402">
        <f>MIN('N.00 Lead sheet'!$D$15,'N.00 Lead sheet'!$D$16)</f>
        <v>585000</v>
      </c>
      <c r="C6" s="85" t="s">
        <v>119</v>
      </c>
      <c r="D6" s="46"/>
      <c r="M6" s="17"/>
    </row>
    <row r="7" spans="2:13" ht="15" customHeight="1">
      <c r="M7" s="17"/>
    </row>
    <row r="8" spans="2:13" ht="15" customHeight="1">
      <c r="B8" s="22"/>
      <c r="F8" s="23"/>
      <c r="G8" s="13"/>
      <c r="J8" s="13"/>
      <c r="M8" s="17"/>
    </row>
    <row r="9" spans="2:13" ht="19.5" customHeight="1">
      <c r="B9" s="204" t="s">
        <v>120</v>
      </c>
      <c r="C9" s="205"/>
      <c r="D9" s="205"/>
      <c r="E9" s="13"/>
      <c r="F9" s="13"/>
      <c r="H9" s="13"/>
      <c r="I9" s="13" t="s">
        <v>121</v>
      </c>
      <c r="J9" s="13"/>
      <c r="M9" s="17"/>
    </row>
    <row r="10" spans="2:13" ht="15" customHeight="1">
      <c r="B10" s="598" t="s">
        <v>122</v>
      </c>
      <c r="C10" s="609" t="s">
        <v>123</v>
      </c>
      <c r="D10" s="611" t="s">
        <v>124</v>
      </c>
      <c r="E10" s="613" t="s">
        <v>125</v>
      </c>
      <c r="F10" s="596" t="s">
        <v>126</v>
      </c>
      <c r="G10" s="596" t="s">
        <v>127</v>
      </c>
      <c r="H10" s="596" t="s">
        <v>128</v>
      </c>
      <c r="I10" s="596" t="s">
        <v>129</v>
      </c>
      <c r="J10" s="594" t="s">
        <v>130</v>
      </c>
      <c r="K10" s="595"/>
      <c r="M10" s="17"/>
    </row>
    <row r="11" spans="2:13" ht="31.5" customHeight="1">
      <c r="B11" s="599"/>
      <c r="C11" s="610"/>
      <c r="D11" s="612"/>
      <c r="E11" s="614"/>
      <c r="F11" s="597"/>
      <c r="G11" s="597"/>
      <c r="H11" s="597"/>
      <c r="I11" s="597"/>
      <c r="J11" s="420" t="s">
        <v>131</v>
      </c>
      <c r="K11" s="420" t="s">
        <v>132</v>
      </c>
      <c r="M11" s="17"/>
    </row>
    <row r="12" spans="2:13" ht="15" customHeight="1">
      <c r="B12" s="443" t="s">
        <v>99</v>
      </c>
      <c r="C12" s="444">
        <v>2121</v>
      </c>
      <c r="D12" s="445" t="s">
        <v>100</v>
      </c>
      <c r="E12" s="396">
        <f>(-IFERROR(_xlfn.XLOOKUP(B12,'N.00 Lead sheet'!$B$39:$B$40,'N.00 Lead sheet'!$K$39:$K$40),0))*-1</f>
        <v>-64187384.869999997</v>
      </c>
      <c r="F12" s="180" t="s">
        <v>133</v>
      </c>
      <c r="G12" s="399">
        <f>'N.01.01明细账 (20241231)'!G196</f>
        <v>-64187384.869999997</v>
      </c>
      <c r="H12" s="181" t="s">
        <v>134</v>
      </c>
      <c r="I12" s="396">
        <f>E12-G12</f>
        <v>0</v>
      </c>
      <c r="J12" s="87" t="s">
        <v>1007</v>
      </c>
      <c r="K12" s="416" t="str">
        <f>IF(J12="","",IF(J12="是","Note2",IF(J12="否","Note2","不适用")))</f>
        <v>不适用</v>
      </c>
      <c r="M12" s="17"/>
    </row>
    <row r="13" spans="2:13" ht="15" customHeight="1">
      <c r="B13" s="47"/>
      <c r="C13" s="56"/>
      <c r="D13" s="47"/>
      <c r="E13" s="396">
        <f>-IFERROR(_xlfn.XLOOKUP(C13,'N.00 Lead sheet'!$C$39:$C$40,'N.00 Lead sheet'!$F$39:$F$40),0)</f>
        <v>0</v>
      </c>
      <c r="F13" s="24"/>
      <c r="G13" s="399"/>
      <c r="H13" s="24"/>
      <c r="I13" s="396">
        <f>E13-G13</f>
        <v>0</v>
      </c>
      <c r="J13" s="87"/>
      <c r="K13" s="416" t="str">
        <f t="shared" ref="K13:K14" si="0">IF(J13="","",IF(J13="是","Note2",IF(J13="否","Note2","不适用")))</f>
        <v/>
      </c>
      <c r="M13" s="17"/>
    </row>
    <row r="14" spans="2:13" ht="15" customHeight="1">
      <c r="B14" s="47"/>
      <c r="C14" s="57"/>
      <c r="D14" s="394"/>
      <c r="E14" s="397">
        <f>-IFERROR(_xlfn.XLOOKUP(C14,'N.00 Lead sheet'!$C$39:$C$40,'N.00 Lead sheet'!$F$39:$F$40),0)</f>
        <v>0</v>
      </c>
      <c r="F14" s="24"/>
      <c r="G14" s="400"/>
      <c r="H14" s="24"/>
      <c r="I14" s="396">
        <f>E14-G14</f>
        <v>0</v>
      </c>
      <c r="J14" s="88"/>
      <c r="K14" s="416" t="str">
        <f t="shared" si="0"/>
        <v/>
      </c>
      <c r="M14" s="17"/>
    </row>
    <row r="15" spans="2:13" ht="15" customHeight="1">
      <c r="M15" s="17"/>
    </row>
    <row r="16" spans="2:13" ht="15" customHeight="1" thickBot="1">
      <c r="D16" s="86" t="s">
        <v>135</v>
      </c>
      <c r="E16" s="401">
        <f>SUM(E12:E14)</f>
        <v>-64187384.869999997</v>
      </c>
      <c r="G16" s="401">
        <f>SUM(G12:G14)</f>
        <v>-64187384.869999997</v>
      </c>
      <c r="I16" s="401">
        <f>SUM(I12:I14)</f>
        <v>0</v>
      </c>
      <c r="J16" s="28"/>
      <c r="M16" s="17"/>
    </row>
    <row r="17" spans="1:16" ht="15" customHeight="1" thickTop="1">
      <c r="D17" s="86"/>
      <c r="E17" s="13" t="s">
        <v>104</v>
      </c>
      <c r="F17" s="27"/>
      <c r="G17" s="13" t="s">
        <v>104</v>
      </c>
      <c r="H17" s="13"/>
      <c r="I17" s="13" t="s">
        <v>104</v>
      </c>
      <c r="M17" s="17"/>
    </row>
    <row r="18" spans="1:16" ht="15" customHeight="1">
      <c r="B18" s="12"/>
      <c r="C18" s="11"/>
      <c r="D18" s="25"/>
      <c r="E18" s="25"/>
      <c r="F18" s="25"/>
      <c r="G18" s="25"/>
      <c r="H18" s="26"/>
      <c r="I18" s="26"/>
      <c r="J18" s="26"/>
      <c r="M18" s="17"/>
    </row>
    <row r="19" spans="1:16" s="29" customFormat="1" ht="15" customHeight="1">
      <c r="B19" s="29" t="s">
        <v>136</v>
      </c>
      <c r="I19" s="26"/>
      <c r="M19" s="17"/>
      <c r="N19" s="10"/>
      <c r="O19" s="10"/>
      <c r="P19" s="10"/>
    </row>
    <row r="20" spans="1:16" s="29" customFormat="1" ht="15" customHeight="1">
      <c r="B20" s="600" t="s">
        <v>1008</v>
      </c>
      <c r="C20" s="601"/>
      <c r="D20" s="601"/>
      <c r="E20" s="601"/>
      <c r="F20" s="601"/>
      <c r="G20" s="602"/>
      <c r="I20" s="26"/>
      <c r="M20" s="17"/>
      <c r="N20" s="10"/>
      <c r="O20" s="10"/>
      <c r="P20" s="10"/>
    </row>
    <row r="21" spans="1:16" s="29" customFormat="1" ht="15" customHeight="1">
      <c r="B21" s="603"/>
      <c r="C21" s="604"/>
      <c r="D21" s="604"/>
      <c r="E21" s="604"/>
      <c r="F21" s="604"/>
      <c r="G21" s="605"/>
      <c r="I21" s="26"/>
      <c r="M21" s="17"/>
      <c r="N21" s="10"/>
      <c r="O21" s="10"/>
      <c r="P21" s="10"/>
    </row>
    <row r="22" spans="1:16" s="29" customFormat="1" ht="15" customHeight="1">
      <c r="B22" s="606"/>
      <c r="C22" s="607"/>
      <c r="D22" s="607"/>
      <c r="E22" s="607"/>
      <c r="F22" s="607"/>
      <c r="G22" s="608"/>
      <c r="I22" s="26"/>
      <c r="M22" s="17"/>
      <c r="N22" s="10"/>
      <c r="O22" s="10"/>
      <c r="P22" s="10"/>
    </row>
    <row r="23" spans="1:16" s="29" customFormat="1" ht="15" customHeight="1">
      <c r="B23" s="38"/>
      <c r="C23" s="38"/>
      <c r="D23" s="38"/>
      <c r="E23" s="38"/>
      <c r="F23" s="38"/>
      <c r="I23" s="26"/>
      <c r="M23" s="17"/>
      <c r="N23" s="10"/>
      <c r="O23" s="10"/>
      <c r="P23" s="10"/>
    </row>
    <row r="24" spans="1:16" s="29" customFormat="1" ht="15" customHeight="1">
      <c r="B24" s="29" t="s">
        <v>137</v>
      </c>
      <c r="I24" s="26"/>
      <c r="M24" s="17"/>
      <c r="N24" s="10"/>
      <c r="O24" s="10"/>
      <c r="P24" s="10"/>
    </row>
    <row r="25" spans="1:16" s="29" customFormat="1" ht="15" customHeight="1">
      <c r="B25" s="155"/>
      <c r="C25" s="49" t="s">
        <v>138</v>
      </c>
      <c r="D25" s="592" t="s">
        <v>139</v>
      </c>
      <c r="E25" s="593"/>
      <c r="F25" s="49" t="s">
        <v>138</v>
      </c>
      <c r="G25" s="53"/>
      <c r="I25" s="26"/>
      <c r="M25" s="17"/>
      <c r="N25" s="10"/>
      <c r="O25" s="10"/>
      <c r="P25" s="10"/>
    </row>
    <row r="26" spans="1:16" s="29" customFormat="1" ht="15" customHeight="1">
      <c r="B26" s="172" t="s">
        <v>140</v>
      </c>
      <c r="C26" s="173" t="s">
        <v>141</v>
      </c>
      <c r="D26" s="173" t="s">
        <v>142</v>
      </c>
      <c r="E26" s="173" t="s">
        <v>143</v>
      </c>
      <c r="F26" s="173" t="s">
        <v>144</v>
      </c>
      <c r="G26" s="173" t="s">
        <v>145</v>
      </c>
      <c r="I26" s="26"/>
      <c r="M26" s="17"/>
      <c r="N26" s="10"/>
      <c r="O26" s="10"/>
      <c r="P26" s="10"/>
    </row>
    <row r="27" spans="1:16" s="29" customFormat="1" ht="15" customHeight="1">
      <c r="B27" s="89" t="s">
        <v>146</v>
      </c>
      <c r="C27" s="54"/>
      <c r="D27" s="395"/>
      <c r="E27" s="55">
        <f>C27*D27</f>
        <v>0</v>
      </c>
      <c r="F27" s="54"/>
      <c r="G27" s="54">
        <f>E27-F27</f>
        <v>0</v>
      </c>
      <c r="I27" s="26"/>
      <c r="M27" s="17"/>
      <c r="N27" s="10"/>
      <c r="O27" s="10"/>
      <c r="P27" s="10"/>
    </row>
    <row r="28" spans="1:16" s="29" customFormat="1" ht="15" customHeight="1">
      <c r="B28" s="89" t="s">
        <v>147</v>
      </c>
      <c r="C28" s="430">
        <f>('N.01.01明细账 (20241231)'!F196)*-1</f>
        <v>64187384.869999997</v>
      </c>
      <c r="D28" s="395">
        <v>1</v>
      </c>
      <c r="E28" s="431">
        <f>C28*D28</f>
        <v>64187384.869999997</v>
      </c>
      <c r="F28" s="430">
        <f>((G16)*-1)*-1</f>
        <v>-64187384.869999997</v>
      </c>
      <c r="G28" s="54">
        <f>E28-F28</f>
        <v>128374769.73999999</v>
      </c>
      <c r="I28" s="26"/>
      <c r="M28" s="17"/>
      <c r="N28" s="10"/>
      <c r="O28" s="10"/>
      <c r="P28" s="10"/>
    </row>
    <row r="29" spans="1:16" s="29" customFormat="1" ht="15" customHeight="1">
      <c r="B29" s="90"/>
      <c r="C29" s="54"/>
      <c r="D29" s="395"/>
      <c r="E29" s="55">
        <f>C29*D29</f>
        <v>0</v>
      </c>
      <c r="F29" s="54"/>
      <c r="G29" s="54">
        <f>E29-F29</f>
        <v>0</v>
      </c>
      <c r="I29" s="26"/>
      <c r="M29" s="17"/>
      <c r="N29" s="10"/>
      <c r="O29" s="10"/>
      <c r="P29" s="10"/>
    </row>
    <row r="30" spans="1:16" ht="15" customHeight="1">
      <c r="G30" s="29"/>
      <c r="H30" s="29"/>
      <c r="I30" s="26"/>
      <c r="J30" s="29"/>
      <c r="K30" s="29"/>
      <c r="L30" s="29"/>
      <c r="M30" s="17"/>
    </row>
    <row r="31" spans="1:16" ht="7.5" customHeight="1">
      <c r="A31" s="17"/>
      <c r="B31" s="17"/>
      <c r="C31" s="17"/>
      <c r="D31" s="17"/>
      <c r="E31" s="17"/>
      <c r="F31" s="17"/>
      <c r="G31" s="17"/>
      <c r="H31" s="17"/>
      <c r="I31" s="17"/>
      <c r="J31" s="17"/>
      <c r="K31" s="17"/>
      <c r="L31" s="17"/>
      <c r="M31" s="17"/>
    </row>
    <row r="36" spans="6:6" ht="15" customHeight="1"/>
  </sheetData>
  <sheetProtection formatCells="0" formatColumns="0" formatRows="0" insertColumns="0" insertRows="0" insertHyperlinks="0" deleteColumns="0" deleteRows="0" sort="0" autoFilter="0" pivotTables="0"/>
  <mergeCells count="11">
    <mergeCell ref="H10:H11"/>
    <mergeCell ref="I10:I11"/>
    <mergeCell ref="J10:K10"/>
    <mergeCell ref="B20:G22"/>
    <mergeCell ref="D25:E25"/>
    <mergeCell ref="B10:B11"/>
    <mergeCell ref="C10:C11"/>
    <mergeCell ref="D10:D11"/>
    <mergeCell ref="E10:E11"/>
    <mergeCell ref="F10:F11"/>
    <mergeCell ref="G10:G11"/>
  </mergeCells>
  <phoneticPr fontId="25" type="noConversion"/>
  <conditionalFormatting sqref="B12:D14 G12:G14 J12:K14 B20:B21">
    <cfRule type="containsBlanks" dxfId="14" priority="5">
      <formula>LEN(TRIM(B12))=0</formula>
    </cfRule>
  </conditionalFormatting>
  <conditionalFormatting sqref="B27:D29 F27:F29">
    <cfRule type="containsBlanks" dxfId="13" priority="1">
      <formula>LEN(TRIM(B27))=0</formula>
    </cfRule>
  </conditionalFormatting>
  <conditionalFormatting sqref="H12 E12:E14 I12:I14">
    <cfRule type="containsBlanks" dxfId="12" priority="4">
      <formula>LEN(TRIM(E12))=0</formula>
    </cfRule>
  </conditionalFormatting>
  <dataValidations disablePrompts="1" count="1">
    <dataValidation type="list" allowBlank="1" showInputMessage="1" sqref="J12:J14" xr:uid="{E945EE43-43C3-4EEA-9FA5-B048CE2708B8}">
      <formula1>"是,否,不适用"</formula1>
    </dataValidation>
  </dataValidations>
  <hyperlinks>
    <hyperlink ref="B4" location="汇总!A1" display="返回汇总页" xr:uid="{2E886CC6-8782-42BD-BC12-B48EDAAEED40}"/>
  </hyperlinks>
  <pageMargins left="0.7" right="0.7" top="0.75" bottom="0.75" header="0.3" footer="0.3"/>
  <pageSetup paperSize="9" scale="57" fitToHeight="0" orientation="landscape" horizontalDpi="300" r:id="rId1"/>
  <headerFooter>
    <oddFooter>&amp;LN SWP Trade Payables
(24 June 2025)</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DAEB2-292D-40A6-8581-0963865D829F}">
  <sheetPr filterMode="1"/>
  <dimension ref="A1:X270"/>
  <sheetViews>
    <sheetView showGridLines="0" zoomScale="70" zoomScaleNormal="70" workbookViewId="0">
      <pane xSplit="5" ySplit="6" topLeftCell="F244" activePane="bottomRight" state="frozen"/>
      <selection pane="topRight" activeCell="F1" sqref="F1"/>
      <selection pane="bottomLeft" activeCell="A7" sqref="A7"/>
      <selection pane="bottomRight" activeCell="J263" sqref="J263"/>
    </sheetView>
  </sheetViews>
  <sheetFormatPr defaultColWidth="8.77734375" defaultRowHeight="13.8"/>
  <cols>
    <col min="1" max="1" width="2.5546875" style="91" customWidth="1"/>
    <col min="2" max="2" width="50.5546875" style="91" customWidth="1"/>
    <col min="3" max="3" width="33.88671875" style="91" customWidth="1"/>
    <col min="4" max="4" width="20.77734375" style="91" customWidth="1"/>
    <col min="5" max="5" width="40.6640625" style="91" customWidth="1"/>
    <col min="6" max="7" width="20.77734375" style="91" customWidth="1"/>
    <col min="8" max="8" width="9.6640625" style="91" customWidth="1"/>
    <col min="9" max="10" width="14.77734375" style="91" bestFit="1" customWidth="1"/>
    <col min="11" max="12" width="8.88671875" style="91" bestFit="1" customWidth="1"/>
    <col min="13" max="13" width="14.77734375" style="91" bestFit="1" customWidth="1"/>
    <col min="14" max="14" width="15.21875" style="91" customWidth="1"/>
    <col min="15" max="15" width="14.109375" style="91" customWidth="1"/>
    <col min="16" max="17" width="8.88671875" style="91" bestFit="1" customWidth="1"/>
    <col min="18" max="18" width="13.5546875" style="91" customWidth="1"/>
    <col min="19" max="19" width="13.6640625" style="91" bestFit="1" customWidth="1"/>
    <col min="20" max="20" width="14.77734375" style="91" bestFit="1" customWidth="1"/>
    <col min="21" max="21" width="13.6640625" style="91" bestFit="1" customWidth="1"/>
    <col min="22" max="22" width="14.77734375" style="91" bestFit="1" customWidth="1"/>
    <col min="23" max="23" width="8.88671875" style="91" bestFit="1" customWidth="1"/>
    <col min="24" max="24" width="16.77734375" style="91" customWidth="1"/>
    <col min="25" max="16384" width="8.77734375" style="91"/>
  </cols>
  <sheetData>
    <row r="1" spans="1:24" ht="50.1" customHeight="1">
      <c r="A1" s="30"/>
      <c r="B1" s="621" t="s">
        <v>148</v>
      </c>
      <c r="C1" s="622"/>
      <c r="D1" s="622"/>
      <c r="E1" s="622"/>
      <c r="F1" s="622"/>
      <c r="G1" s="622"/>
      <c r="H1" s="623"/>
      <c r="I1" s="30"/>
      <c r="J1" s="30"/>
      <c r="K1" s="30"/>
      <c r="L1" s="30"/>
    </row>
    <row r="2" spans="1:24" s="93" customFormat="1" ht="30" customHeight="1">
      <c r="A2" s="32"/>
      <c r="B2" s="92" t="s">
        <v>150</v>
      </c>
      <c r="C2" s="33"/>
      <c r="D2" s="33"/>
      <c r="E2" s="33"/>
      <c r="F2" s="33"/>
      <c r="G2" s="33"/>
      <c r="H2" s="34"/>
      <c r="I2" s="32"/>
      <c r="J2" s="32"/>
      <c r="K2" s="32"/>
      <c r="L2" s="32"/>
    </row>
    <row r="3" spans="1:24">
      <c r="A3" s="30"/>
      <c r="B3" s="35"/>
      <c r="C3" s="35"/>
      <c r="D3" s="30"/>
      <c r="E3" s="35"/>
      <c r="F3" s="36"/>
      <c r="G3" s="36"/>
      <c r="H3" s="30"/>
      <c r="I3" s="30"/>
      <c r="J3" s="30"/>
      <c r="K3" s="30"/>
      <c r="L3" s="30"/>
    </row>
    <row r="4" spans="1:24" ht="14.4" thickBot="1">
      <c r="A4" s="30"/>
      <c r="B4" s="30"/>
      <c r="C4" s="30"/>
      <c r="D4" s="30"/>
      <c r="E4" s="30"/>
      <c r="F4" s="30"/>
      <c r="G4" s="30"/>
      <c r="H4" s="30"/>
      <c r="I4" s="30"/>
      <c r="J4" s="30"/>
      <c r="K4" s="30"/>
      <c r="L4" s="30"/>
    </row>
    <row r="5" spans="1:24" ht="14.4">
      <c r="A5" s="30"/>
      <c r="B5" s="624" t="s">
        <v>847</v>
      </c>
      <c r="C5" s="626" t="s">
        <v>848</v>
      </c>
      <c r="D5" s="628" t="s">
        <v>849</v>
      </c>
      <c r="E5" s="732" t="s">
        <v>1028</v>
      </c>
      <c r="F5" s="629" t="s">
        <v>850</v>
      </c>
      <c r="G5" s="631" t="s">
        <v>851</v>
      </c>
      <c r="H5" s="633" t="s">
        <v>852</v>
      </c>
      <c r="I5" s="634"/>
      <c r="J5" s="634"/>
      <c r="K5" s="634"/>
      <c r="L5" s="634"/>
      <c r="M5" s="635"/>
      <c r="N5" s="475">
        <v>45657</v>
      </c>
      <c r="O5" s="615" t="s">
        <v>853</v>
      </c>
      <c r="P5" s="616"/>
      <c r="Q5" s="617" t="s">
        <v>88</v>
      </c>
      <c r="R5" s="619" t="s">
        <v>854</v>
      </c>
      <c r="S5" s="619"/>
      <c r="T5" s="619"/>
      <c r="U5" s="619"/>
      <c r="V5" s="619"/>
      <c r="W5" s="620"/>
    </row>
    <row r="6" spans="1:24" ht="22.8">
      <c r="A6" s="30"/>
      <c r="B6" s="625"/>
      <c r="C6" s="627"/>
      <c r="D6" s="627"/>
      <c r="E6" s="627"/>
      <c r="F6" s="630"/>
      <c r="G6" s="632"/>
      <c r="H6" s="468" t="s">
        <v>855</v>
      </c>
      <c r="I6" s="446" t="s">
        <v>856</v>
      </c>
      <c r="J6" s="446" t="s">
        <v>857</v>
      </c>
      <c r="K6" s="447" t="s">
        <v>858</v>
      </c>
      <c r="L6" s="448" t="s">
        <v>859</v>
      </c>
      <c r="M6" s="449" t="s">
        <v>860</v>
      </c>
      <c r="N6" s="476" t="s">
        <v>861</v>
      </c>
      <c r="O6" s="450" t="s">
        <v>862</v>
      </c>
      <c r="P6" s="451" t="s">
        <v>863</v>
      </c>
      <c r="Q6" s="618"/>
      <c r="R6" s="452" t="s">
        <v>864</v>
      </c>
      <c r="S6" s="452" t="s">
        <v>865</v>
      </c>
      <c r="T6" s="452" t="s">
        <v>866</v>
      </c>
      <c r="U6" s="452" t="s">
        <v>867</v>
      </c>
      <c r="V6" s="452" t="s">
        <v>868</v>
      </c>
      <c r="W6" s="453" t="s">
        <v>869</v>
      </c>
    </row>
    <row r="7" spans="1:24" ht="15.6" hidden="1">
      <c r="A7" s="30"/>
      <c r="B7" s="466" t="s">
        <v>975</v>
      </c>
      <c r="C7" s="462" t="s">
        <v>870</v>
      </c>
      <c r="D7" s="462" t="s">
        <v>534</v>
      </c>
      <c r="E7" s="455" t="s">
        <v>533</v>
      </c>
      <c r="F7" s="465" t="s">
        <v>871</v>
      </c>
      <c r="G7" s="467" t="s">
        <v>872</v>
      </c>
      <c r="H7" s="469" t="s">
        <v>147</v>
      </c>
      <c r="I7" s="456">
        <v>0</v>
      </c>
      <c r="J7" s="456">
        <v>0</v>
      </c>
      <c r="K7" s="454"/>
      <c r="L7" s="457"/>
      <c r="M7" s="458">
        <f>J7+L7</f>
        <v>0</v>
      </c>
      <c r="N7" s="477">
        <v>0</v>
      </c>
      <c r="O7" s="459">
        <f t="shared" ref="O7:O10" si="0">M7-N7</f>
        <v>0</v>
      </c>
      <c r="P7" s="460" t="str">
        <f t="shared" ref="P7:P10" si="1">IF(N7&lt;&gt;0,O7/N7,"")</f>
        <v/>
      </c>
      <c r="Q7" s="454"/>
      <c r="R7" s="456">
        <v>0</v>
      </c>
      <c r="S7" s="456">
        <v>0</v>
      </c>
      <c r="T7" s="456">
        <v>0</v>
      </c>
      <c r="U7" s="456">
        <v>0</v>
      </c>
      <c r="V7" s="456">
        <v>0</v>
      </c>
      <c r="W7" s="461">
        <f t="shared" ref="W7:W10" si="2">SUM(R7:V7)-M7</f>
        <v>0</v>
      </c>
      <c r="X7" s="487">
        <f>T7+U7+V7</f>
        <v>0</v>
      </c>
    </row>
    <row r="8" spans="1:24" ht="15.6">
      <c r="A8" s="30"/>
      <c r="B8" s="466" t="s">
        <v>975</v>
      </c>
      <c r="C8" s="462" t="s">
        <v>870</v>
      </c>
      <c r="D8" s="455" t="s">
        <v>532</v>
      </c>
      <c r="E8" s="465" t="s">
        <v>531</v>
      </c>
      <c r="F8" s="465" t="s">
        <v>871</v>
      </c>
      <c r="G8" s="467" t="s">
        <v>872</v>
      </c>
      <c r="H8" s="469" t="s">
        <v>147</v>
      </c>
      <c r="I8" s="456">
        <v>-3874030.13</v>
      </c>
      <c r="J8" s="456">
        <v>-3874030.13</v>
      </c>
      <c r="K8" s="454"/>
      <c r="L8" s="457"/>
      <c r="M8" s="458">
        <f>J8+L8</f>
        <v>-3874030.13</v>
      </c>
      <c r="N8" s="477">
        <v>-5153204.96</v>
      </c>
      <c r="O8" s="459">
        <f t="shared" ref="O8" si="3">M8-N8</f>
        <v>1279174.83</v>
      </c>
      <c r="P8" s="460">
        <f t="shared" ref="P8" si="4">IF(N8&lt;&gt;0,O8/N8,"")</f>
        <v>-0.24822898369639076</v>
      </c>
      <c r="Q8" s="454" t="s">
        <v>993</v>
      </c>
      <c r="R8" s="456">
        <v>17923.36</v>
      </c>
      <c r="S8" s="456">
        <v>-115904.15</v>
      </c>
      <c r="T8" s="456">
        <v>-3223581.11</v>
      </c>
      <c r="U8" s="456">
        <v>-552468.23</v>
      </c>
      <c r="V8" s="456">
        <v>0</v>
      </c>
      <c r="W8" s="461">
        <f t="shared" si="2"/>
        <v>0</v>
      </c>
      <c r="X8" s="487">
        <f t="shared" ref="X8:X71" si="5">T8+U8+V8</f>
        <v>-3776049.34</v>
      </c>
    </row>
    <row r="9" spans="1:24" ht="15.6" hidden="1">
      <c r="A9" s="30"/>
      <c r="B9" s="466" t="s">
        <v>975</v>
      </c>
      <c r="C9" s="462" t="s">
        <v>870</v>
      </c>
      <c r="D9" s="463" t="s">
        <v>536</v>
      </c>
      <c r="E9" s="463" t="s">
        <v>535</v>
      </c>
      <c r="F9" s="465" t="s">
        <v>871</v>
      </c>
      <c r="G9" s="467" t="s">
        <v>872</v>
      </c>
      <c r="H9" s="469" t="s">
        <v>147</v>
      </c>
      <c r="I9" s="424">
        <v>-24168.87</v>
      </c>
      <c r="J9" s="424">
        <v>-24168.87</v>
      </c>
      <c r="K9" s="454"/>
      <c r="L9" s="457"/>
      <c r="M9" s="458">
        <f t="shared" ref="M9:M10" si="6">J9+L9</f>
        <v>-24168.87</v>
      </c>
      <c r="N9" s="478">
        <v>-58147.17</v>
      </c>
      <c r="O9" s="459">
        <f t="shared" si="0"/>
        <v>33978.300000000003</v>
      </c>
      <c r="P9" s="460">
        <f t="shared" si="1"/>
        <v>-0.58435002081786613</v>
      </c>
      <c r="Q9" s="454"/>
      <c r="R9" s="456">
        <v>0</v>
      </c>
      <c r="S9" s="456">
        <v>0</v>
      </c>
      <c r="T9" s="456">
        <v>0</v>
      </c>
      <c r="U9" s="456">
        <v>-24168.87</v>
      </c>
      <c r="V9" s="456">
        <v>0</v>
      </c>
      <c r="W9" s="461">
        <f t="shared" si="2"/>
        <v>0</v>
      </c>
      <c r="X9" s="487">
        <f t="shared" si="5"/>
        <v>-24168.87</v>
      </c>
    </row>
    <row r="10" spans="1:24" ht="15.6" hidden="1">
      <c r="A10" s="30"/>
      <c r="B10" s="466" t="s">
        <v>975</v>
      </c>
      <c r="C10" s="462" t="s">
        <v>870</v>
      </c>
      <c r="D10" s="463" t="s">
        <v>527</v>
      </c>
      <c r="E10" s="463" t="s">
        <v>526</v>
      </c>
      <c r="F10" s="465" t="s">
        <v>871</v>
      </c>
      <c r="G10" s="467" t="s">
        <v>872</v>
      </c>
      <c r="H10" s="469" t="s">
        <v>147</v>
      </c>
      <c r="I10" s="424">
        <v>0</v>
      </c>
      <c r="J10" s="424">
        <v>0</v>
      </c>
      <c r="K10" s="454"/>
      <c r="L10" s="457"/>
      <c r="M10" s="458">
        <f t="shared" si="6"/>
        <v>0</v>
      </c>
      <c r="N10" s="478">
        <v>0</v>
      </c>
      <c r="O10" s="459">
        <f t="shared" si="0"/>
        <v>0</v>
      </c>
      <c r="P10" s="460" t="str">
        <f t="shared" si="1"/>
        <v/>
      </c>
      <c r="Q10" s="454"/>
      <c r="R10" s="456">
        <v>0</v>
      </c>
      <c r="S10" s="456">
        <v>0</v>
      </c>
      <c r="T10" s="456">
        <v>0</v>
      </c>
      <c r="U10" s="456">
        <v>0</v>
      </c>
      <c r="V10" s="456">
        <v>0</v>
      </c>
      <c r="W10" s="461">
        <f t="shared" si="2"/>
        <v>0</v>
      </c>
      <c r="X10" s="487">
        <f t="shared" si="5"/>
        <v>0</v>
      </c>
    </row>
    <row r="11" spans="1:24" ht="15.6" hidden="1">
      <c r="B11" s="466" t="s">
        <v>975</v>
      </c>
      <c r="C11" s="462" t="s">
        <v>870</v>
      </c>
      <c r="D11" s="465" t="s">
        <v>538</v>
      </c>
      <c r="E11" s="465" t="s">
        <v>537</v>
      </c>
      <c r="F11" s="465" t="s">
        <v>871</v>
      </c>
      <c r="G11" s="467" t="s">
        <v>872</v>
      </c>
      <c r="H11" s="469" t="s">
        <v>147</v>
      </c>
      <c r="I11" s="424">
        <v>-321415.09999999998</v>
      </c>
      <c r="J11" s="424">
        <v>-321415.09999999998</v>
      </c>
      <c r="K11" s="454"/>
      <c r="L11" s="457"/>
      <c r="M11" s="458">
        <f t="shared" ref="M11:M74" si="7">J11+L11</f>
        <v>-321415.09999999998</v>
      </c>
      <c r="N11" s="478">
        <v>-176415.1</v>
      </c>
      <c r="O11" s="459">
        <f t="shared" ref="O11:O74" si="8">M11-N11</f>
        <v>-144999.99999999997</v>
      </c>
      <c r="P11" s="460">
        <f t="shared" ref="P11:P74" si="9">IF(N11&lt;&gt;0,O11/N11,"")</f>
        <v>0.8219251073179108</v>
      </c>
      <c r="Q11" s="454"/>
      <c r="R11" s="456">
        <v>-145000</v>
      </c>
      <c r="S11" s="456">
        <v>0</v>
      </c>
      <c r="T11" s="456">
        <v>-176415.1</v>
      </c>
      <c r="U11" s="456">
        <v>0</v>
      </c>
      <c r="V11" s="456">
        <v>0</v>
      </c>
      <c r="W11" s="461">
        <f t="shared" ref="W11:W74" si="10">SUM(R11:V11)-M11</f>
        <v>0</v>
      </c>
      <c r="X11" s="487">
        <f t="shared" si="5"/>
        <v>-176415.1</v>
      </c>
    </row>
    <row r="12" spans="1:24" ht="15.6" hidden="1">
      <c r="B12" s="466" t="s">
        <v>975</v>
      </c>
      <c r="C12" s="462" t="s">
        <v>870</v>
      </c>
      <c r="D12" s="465" t="s">
        <v>873</v>
      </c>
      <c r="E12" s="465" t="s">
        <v>874</v>
      </c>
      <c r="F12" s="465" t="s">
        <v>871</v>
      </c>
      <c r="G12" s="467" t="s">
        <v>872</v>
      </c>
      <c r="H12" s="469" t="s">
        <v>147</v>
      </c>
      <c r="I12" s="424">
        <v>-188000</v>
      </c>
      <c r="J12" s="424">
        <v>-188000</v>
      </c>
      <c r="K12" s="454"/>
      <c r="L12" s="457"/>
      <c r="M12" s="458">
        <f t="shared" si="7"/>
        <v>-188000</v>
      </c>
      <c r="N12" s="478">
        <v>0</v>
      </c>
      <c r="O12" s="459">
        <f t="shared" si="8"/>
        <v>-188000</v>
      </c>
      <c r="P12" s="460" t="str">
        <f t="shared" si="9"/>
        <v/>
      </c>
      <c r="Q12" s="454"/>
      <c r="R12" s="456">
        <v>-188000</v>
      </c>
      <c r="S12" s="456">
        <v>0</v>
      </c>
      <c r="T12" s="456">
        <v>0</v>
      </c>
      <c r="U12" s="456">
        <v>0</v>
      </c>
      <c r="V12" s="456">
        <v>0</v>
      </c>
      <c r="W12" s="461">
        <f t="shared" si="10"/>
        <v>0</v>
      </c>
      <c r="X12" s="487">
        <f t="shared" si="5"/>
        <v>0</v>
      </c>
    </row>
    <row r="13" spans="1:24" ht="15.6" hidden="1">
      <c r="B13" s="466" t="s">
        <v>975</v>
      </c>
      <c r="C13" s="462" t="s">
        <v>870</v>
      </c>
      <c r="D13" s="465" t="s">
        <v>875</v>
      </c>
      <c r="E13" s="465" t="s">
        <v>876</v>
      </c>
      <c r="F13" s="465" t="s">
        <v>871</v>
      </c>
      <c r="G13" s="467" t="s">
        <v>872</v>
      </c>
      <c r="H13" s="469" t="s">
        <v>147</v>
      </c>
      <c r="I13" s="424">
        <v>-9744.98</v>
      </c>
      <c r="J13" s="424">
        <v>-9744.98</v>
      </c>
      <c r="K13" s="454"/>
      <c r="L13" s="457"/>
      <c r="M13" s="458">
        <f t="shared" si="7"/>
        <v>-9744.98</v>
      </c>
      <c r="N13" s="478">
        <v>0</v>
      </c>
      <c r="O13" s="459">
        <f t="shared" si="8"/>
        <v>-9744.98</v>
      </c>
      <c r="P13" s="460" t="str">
        <f t="shared" si="9"/>
        <v/>
      </c>
      <c r="Q13" s="454"/>
      <c r="R13" s="456">
        <v>-9744.98</v>
      </c>
      <c r="S13" s="456">
        <v>0</v>
      </c>
      <c r="T13" s="456">
        <v>0</v>
      </c>
      <c r="U13" s="456">
        <v>0</v>
      </c>
      <c r="V13" s="456">
        <v>0</v>
      </c>
      <c r="W13" s="461">
        <f t="shared" si="10"/>
        <v>0</v>
      </c>
      <c r="X13" s="487">
        <f t="shared" si="5"/>
        <v>0</v>
      </c>
    </row>
    <row r="14" spans="1:24" ht="15.6" hidden="1">
      <c r="B14" s="466" t="s">
        <v>975</v>
      </c>
      <c r="C14" s="462" t="s">
        <v>870</v>
      </c>
      <c r="D14" s="465" t="s">
        <v>407</v>
      </c>
      <c r="E14" s="465" t="s">
        <v>406</v>
      </c>
      <c r="F14" s="465" t="s">
        <v>871</v>
      </c>
      <c r="G14" s="467" t="s">
        <v>266</v>
      </c>
      <c r="H14" s="469" t="s">
        <v>147</v>
      </c>
      <c r="I14" s="424">
        <v>-1101157.3600000001</v>
      </c>
      <c r="J14" s="424">
        <v>-1101157.3600000001</v>
      </c>
      <c r="K14" s="454"/>
      <c r="L14" s="457"/>
      <c r="M14" s="458">
        <f t="shared" si="7"/>
        <v>-1101157.3600000001</v>
      </c>
      <c r="N14" s="478">
        <v>-1101157.3600000001</v>
      </c>
      <c r="O14" s="459">
        <f t="shared" si="8"/>
        <v>0</v>
      </c>
      <c r="P14" s="460">
        <f t="shared" si="9"/>
        <v>0</v>
      </c>
      <c r="Q14" s="454"/>
      <c r="R14" s="456">
        <v>0</v>
      </c>
      <c r="S14" s="456">
        <v>0</v>
      </c>
      <c r="T14" s="456">
        <v>-183962.26</v>
      </c>
      <c r="U14" s="456">
        <v>0</v>
      </c>
      <c r="V14" s="456">
        <v>-917195.1</v>
      </c>
      <c r="W14" s="461">
        <f t="shared" si="10"/>
        <v>0</v>
      </c>
      <c r="X14" s="487">
        <f t="shared" si="5"/>
        <v>-1101157.3599999999</v>
      </c>
    </row>
    <row r="15" spans="1:24" ht="15.6" hidden="1">
      <c r="B15" s="466" t="s">
        <v>975</v>
      </c>
      <c r="C15" s="462" t="s">
        <v>870</v>
      </c>
      <c r="D15" s="465" t="s">
        <v>269</v>
      </c>
      <c r="E15" s="465" t="s">
        <v>268</v>
      </c>
      <c r="F15" s="465" t="s">
        <v>871</v>
      </c>
      <c r="G15" s="467" t="s">
        <v>266</v>
      </c>
      <c r="H15" s="469" t="s">
        <v>147</v>
      </c>
      <c r="I15" s="424">
        <v>-19417.48</v>
      </c>
      <c r="J15" s="424">
        <v>-19417.48</v>
      </c>
      <c r="K15" s="454"/>
      <c r="L15" s="457"/>
      <c r="M15" s="458">
        <f t="shared" si="7"/>
        <v>-19417.48</v>
      </c>
      <c r="N15" s="478">
        <v>-19417.48</v>
      </c>
      <c r="O15" s="459">
        <f t="shared" si="8"/>
        <v>0</v>
      </c>
      <c r="P15" s="460">
        <f t="shared" si="9"/>
        <v>0</v>
      </c>
      <c r="Q15" s="454"/>
      <c r="R15" s="456">
        <v>0</v>
      </c>
      <c r="S15" s="456">
        <v>0</v>
      </c>
      <c r="T15" s="456">
        <v>0</v>
      </c>
      <c r="U15" s="456">
        <v>0</v>
      </c>
      <c r="V15" s="456">
        <v>-19417.48</v>
      </c>
      <c r="W15" s="461">
        <f t="shared" si="10"/>
        <v>0</v>
      </c>
      <c r="X15" s="487">
        <f t="shared" si="5"/>
        <v>-19417.48</v>
      </c>
    </row>
    <row r="16" spans="1:24" ht="15.6" hidden="1">
      <c r="B16" s="466" t="s">
        <v>975</v>
      </c>
      <c r="C16" s="462" t="s">
        <v>870</v>
      </c>
      <c r="D16" s="465" t="s">
        <v>255</v>
      </c>
      <c r="E16" s="465" t="s">
        <v>254</v>
      </c>
      <c r="F16" s="465" t="s">
        <v>871</v>
      </c>
      <c r="G16" s="467" t="s">
        <v>266</v>
      </c>
      <c r="H16" s="469" t="s">
        <v>147</v>
      </c>
      <c r="I16" s="424">
        <v>0</v>
      </c>
      <c r="J16" s="424">
        <v>0</v>
      </c>
      <c r="K16" s="454"/>
      <c r="L16" s="457"/>
      <c r="M16" s="458">
        <f t="shared" si="7"/>
        <v>0</v>
      </c>
      <c r="N16" s="478">
        <v>-98058.25</v>
      </c>
      <c r="O16" s="459">
        <f t="shared" si="8"/>
        <v>98058.25</v>
      </c>
      <c r="P16" s="460">
        <f t="shared" si="9"/>
        <v>-1</v>
      </c>
      <c r="Q16" s="454"/>
      <c r="R16" s="456">
        <v>0</v>
      </c>
      <c r="S16" s="456">
        <v>0</v>
      </c>
      <c r="T16" s="456">
        <v>0</v>
      </c>
      <c r="U16" s="456">
        <v>0</v>
      </c>
      <c r="V16" s="456">
        <v>0</v>
      </c>
      <c r="W16" s="461">
        <f t="shared" si="10"/>
        <v>0</v>
      </c>
      <c r="X16" s="487">
        <f t="shared" si="5"/>
        <v>0</v>
      </c>
    </row>
    <row r="17" spans="2:24" ht="15.6" hidden="1">
      <c r="B17" s="466" t="s">
        <v>975</v>
      </c>
      <c r="C17" s="462" t="s">
        <v>870</v>
      </c>
      <c r="D17" s="465" t="s">
        <v>479</v>
      </c>
      <c r="E17" s="465" t="s">
        <v>478</v>
      </c>
      <c r="F17" s="465" t="s">
        <v>871</v>
      </c>
      <c r="G17" s="467" t="s">
        <v>266</v>
      </c>
      <c r="H17" s="469" t="s">
        <v>147</v>
      </c>
      <c r="I17" s="424">
        <v>-937233.68</v>
      </c>
      <c r="J17" s="424">
        <v>-937233.68</v>
      </c>
      <c r="K17" s="454"/>
      <c r="L17" s="457"/>
      <c r="M17" s="458">
        <f t="shared" si="7"/>
        <v>-937233.68</v>
      </c>
      <c r="N17" s="478">
        <v>-833900.72</v>
      </c>
      <c r="O17" s="459">
        <f t="shared" si="8"/>
        <v>-103332.96000000008</v>
      </c>
      <c r="P17" s="460">
        <f t="shared" si="9"/>
        <v>0.12391518261310541</v>
      </c>
      <c r="Q17" s="454"/>
      <c r="R17" s="456">
        <v>-383493.38</v>
      </c>
      <c r="S17" s="456">
        <v>-257373.5</v>
      </c>
      <c r="T17" s="456">
        <v>-296366.8</v>
      </c>
      <c r="U17" s="456">
        <v>0</v>
      </c>
      <c r="V17" s="456">
        <v>0</v>
      </c>
      <c r="W17" s="461">
        <f t="shared" si="10"/>
        <v>0</v>
      </c>
      <c r="X17" s="487">
        <f t="shared" si="5"/>
        <v>-296366.8</v>
      </c>
    </row>
    <row r="18" spans="2:24" ht="15.6" hidden="1">
      <c r="B18" s="466" t="s">
        <v>975</v>
      </c>
      <c r="C18" s="462" t="s">
        <v>870</v>
      </c>
      <c r="D18" s="465" t="s">
        <v>263</v>
      </c>
      <c r="E18" s="465" t="s">
        <v>262</v>
      </c>
      <c r="F18" s="465" t="s">
        <v>871</v>
      </c>
      <c r="G18" s="467" t="s">
        <v>266</v>
      </c>
      <c r="H18" s="469" t="s">
        <v>147</v>
      </c>
      <c r="I18" s="424">
        <v>-2565699.98</v>
      </c>
      <c r="J18" s="424">
        <v>-2565699.98</v>
      </c>
      <c r="K18" s="454"/>
      <c r="L18" s="457"/>
      <c r="M18" s="458">
        <f t="shared" si="7"/>
        <v>-2565699.98</v>
      </c>
      <c r="N18" s="478">
        <v>-2547964.15</v>
      </c>
      <c r="O18" s="459">
        <f t="shared" si="8"/>
        <v>-17735.830000000075</v>
      </c>
      <c r="P18" s="460">
        <f t="shared" si="9"/>
        <v>6.9607847504448107E-3</v>
      </c>
      <c r="Q18" s="454" t="s">
        <v>1001</v>
      </c>
      <c r="R18" s="456">
        <v>-50754.7</v>
      </c>
      <c r="S18" s="456">
        <v>0</v>
      </c>
      <c r="T18" s="456">
        <v>0</v>
      </c>
      <c r="U18" s="456">
        <v>-2514945.2799999998</v>
      </c>
      <c r="V18" s="456">
        <v>0</v>
      </c>
      <c r="W18" s="461">
        <f t="shared" si="10"/>
        <v>0</v>
      </c>
      <c r="X18" s="487">
        <f t="shared" si="5"/>
        <v>-2514945.2799999998</v>
      </c>
    </row>
    <row r="19" spans="2:24" ht="15.6" hidden="1">
      <c r="B19" s="466" t="s">
        <v>975</v>
      </c>
      <c r="C19" s="462" t="s">
        <v>870</v>
      </c>
      <c r="D19" s="465" t="s">
        <v>213</v>
      </c>
      <c r="E19" s="465" t="s">
        <v>212</v>
      </c>
      <c r="F19" s="465" t="s">
        <v>871</v>
      </c>
      <c r="G19" s="467" t="s">
        <v>266</v>
      </c>
      <c r="H19" s="469" t="s">
        <v>147</v>
      </c>
      <c r="I19" s="424">
        <v>0</v>
      </c>
      <c r="J19" s="424">
        <v>0</v>
      </c>
      <c r="K19" s="454"/>
      <c r="L19" s="457"/>
      <c r="M19" s="458">
        <f t="shared" si="7"/>
        <v>0</v>
      </c>
      <c r="N19" s="478">
        <v>-52000</v>
      </c>
      <c r="O19" s="459">
        <f t="shared" si="8"/>
        <v>52000</v>
      </c>
      <c r="P19" s="460">
        <f t="shared" si="9"/>
        <v>-1</v>
      </c>
      <c r="Q19" s="454"/>
      <c r="R19" s="456">
        <v>0</v>
      </c>
      <c r="S19" s="456">
        <v>0</v>
      </c>
      <c r="T19" s="456">
        <v>0</v>
      </c>
      <c r="U19" s="456">
        <v>0</v>
      </c>
      <c r="V19" s="456">
        <v>0</v>
      </c>
      <c r="W19" s="461">
        <f t="shared" si="10"/>
        <v>0</v>
      </c>
      <c r="X19" s="487">
        <f t="shared" si="5"/>
        <v>0</v>
      </c>
    </row>
    <row r="20" spans="2:24" ht="15.6" hidden="1">
      <c r="B20" s="466" t="s">
        <v>975</v>
      </c>
      <c r="C20" s="462" t="s">
        <v>870</v>
      </c>
      <c r="D20" s="465" t="s">
        <v>341</v>
      </c>
      <c r="E20" s="465" t="s">
        <v>340</v>
      </c>
      <c r="F20" s="465" t="s">
        <v>871</v>
      </c>
      <c r="G20" s="467" t="s">
        <v>266</v>
      </c>
      <c r="H20" s="469" t="s">
        <v>147</v>
      </c>
      <c r="I20" s="424">
        <v>-230500</v>
      </c>
      <c r="J20" s="424">
        <v>-230500</v>
      </c>
      <c r="K20" s="454"/>
      <c r="L20" s="457"/>
      <c r="M20" s="458">
        <f t="shared" si="7"/>
        <v>-230500</v>
      </c>
      <c r="N20" s="478">
        <v>-252508.89</v>
      </c>
      <c r="O20" s="459">
        <f t="shared" si="8"/>
        <v>22008.890000000014</v>
      </c>
      <c r="P20" s="460">
        <f t="shared" si="9"/>
        <v>-8.7160852039704473E-2</v>
      </c>
      <c r="Q20" s="454"/>
      <c r="R20" s="456">
        <v>-230500</v>
      </c>
      <c r="S20" s="456">
        <v>0</v>
      </c>
      <c r="T20" s="456">
        <v>0</v>
      </c>
      <c r="U20" s="456">
        <v>0</v>
      </c>
      <c r="V20" s="456">
        <v>0</v>
      </c>
      <c r="W20" s="461">
        <f t="shared" si="10"/>
        <v>0</v>
      </c>
      <c r="X20" s="487">
        <f t="shared" si="5"/>
        <v>0</v>
      </c>
    </row>
    <row r="21" spans="2:24" ht="15.6" hidden="1">
      <c r="B21" s="466" t="s">
        <v>975</v>
      </c>
      <c r="C21" s="462" t="s">
        <v>870</v>
      </c>
      <c r="D21" s="465" t="s">
        <v>877</v>
      </c>
      <c r="E21" s="465" t="s">
        <v>878</v>
      </c>
      <c r="F21" s="465" t="s">
        <v>871</v>
      </c>
      <c r="G21" s="467" t="s">
        <v>266</v>
      </c>
      <c r="H21" s="469" t="s">
        <v>147</v>
      </c>
      <c r="I21" s="424">
        <v>-16693.759999999998</v>
      </c>
      <c r="J21" s="424">
        <v>-16693.759999999998</v>
      </c>
      <c r="K21" s="454"/>
      <c r="L21" s="457"/>
      <c r="M21" s="458">
        <f t="shared" si="7"/>
        <v>-16693.759999999998</v>
      </c>
      <c r="N21" s="478">
        <v>0</v>
      </c>
      <c r="O21" s="459">
        <f t="shared" si="8"/>
        <v>-16693.759999999998</v>
      </c>
      <c r="P21" s="460" t="str">
        <f t="shared" si="9"/>
        <v/>
      </c>
      <c r="Q21" s="454"/>
      <c r="R21" s="456">
        <v>-16693.759999999998</v>
      </c>
      <c r="S21" s="456">
        <v>0</v>
      </c>
      <c r="T21" s="456">
        <v>0</v>
      </c>
      <c r="U21" s="456">
        <v>0</v>
      </c>
      <c r="V21" s="456">
        <v>0</v>
      </c>
      <c r="W21" s="461">
        <f t="shared" si="10"/>
        <v>0</v>
      </c>
      <c r="X21" s="487">
        <f t="shared" si="5"/>
        <v>0</v>
      </c>
    </row>
    <row r="22" spans="2:24" ht="15.6" hidden="1">
      <c r="B22" s="466" t="s">
        <v>975</v>
      </c>
      <c r="C22" s="462" t="s">
        <v>870</v>
      </c>
      <c r="D22" s="534">
        <v>66666</v>
      </c>
      <c r="E22" s="465" t="s">
        <v>1021</v>
      </c>
      <c r="F22" s="465" t="s">
        <v>871</v>
      </c>
      <c r="G22" s="467" t="s">
        <v>266</v>
      </c>
      <c r="H22" s="469" t="s">
        <v>147</v>
      </c>
      <c r="I22" s="424">
        <v>0</v>
      </c>
      <c r="J22" s="424">
        <v>0</v>
      </c>
      <c r="K22" s="454"/>
      <c r="L22" s="457"/>
      <c r="M22" s="458">
        <f t="shared" si="7"/>
        <v>0</v>
      </c>
      <c r="N22" s="478">
        <v>826740</v>
      </c>
      <c r="O22" s="459">
        <f t="shared" si="8"/>
        <v>-826740</v>
      </c>
      <c r="P22" s="460">
        <f t="shared" si="9"/>
        <v>-1</v>
      </c>
      <c r="Q22" s="454"/>
      <c r="R22" s="456">
        <v>0</v>
      </c>
      <c r="S22" s="456">
        <v>0</v>
      </c>
      <c r="T22" s="456">
        <v>0</v>
      </c>
      <c r="U22" s="456">
        <v>0</v>
      </c>
      <c r="V22" s="456">
        <v>0</v>
      </c>
      <c r="W22" s="461">
        <f t="shared" si="10"/>
        <v>0</v>
      </c>
      <c r="X22" s="487">
        <f t="shared" si="5"/>
        <v>0</v>
      </c>
    </row>
    <row r="23" spans="2:24" ht="15.6" hidden="1">
      <c r="B23" s="466" t="s">
        <v>975</v>
      </c>
      <c r="C23" s="462" t="s">
        <v>870</v>
      </c>
      <c r="D23" s="465" t="s">
        <v>417</v>
      </c>
      <c r="E23" s="465" t="s">
        <v>416</v>
      </c>
      <c r="F23" s="465" t="s">
        <v>871</v>
      </c>
      <c r="G23" s="467" t="s">
        <v>266</v>
      </c>
      <c r="H23" s="469" t="s">
        <v>147</v>
      </c>
      <c r="I23" s="424">
        <v>-15125.25</v>
      </c>
      <c r="J23" s="424">
        <v>-15125.25</v>
      </c>
      <c r="K23" s="454"/>
      <c r="L23" s="457"/>
      <c r="M23" s="458">
        <f t="shared" si="7"/>
        <v>-15125.25</v>
      </c>
      <c r="N23" s="478">
        <v>-39965.97</v>
      </c>
      <c r="O23" s="459">
        <f t="shared" si="8"/>
        <v>24840.720000000001</v>
      </c>
      <c r="P23" s="460">
        <f t="shared" si="9"/>
        <v>-0.62154678092387095</v>
      </c>
      <c r="Q23" s="454"/>
      <c r="R23" s="456">
        <v>0</v>
      </c>
      <c r="S23" s="456">
        <v>-5736.9</v>
      </c>
      <c r="T23" s="456">
        <v>-9388.35</v>
      </c>
      <c r="U23" s="456">
        <v>0</v>
      </c>
      <c r="V23" s="456">
        <v>0</v>
      </c>
      <c r="W23" s="461">
        <f t="shared" si="10"/>
        <v>0</v>
      </c>
      <c r="X23" s="487">
        <f t="shared" si="5"/>
        <v>-9388.35</v>
      </c>
    </row>
    <row r="24" spans="2:24" ht="15.6" hidden="1">
      <c r="B24" s="466" t="s">
        <v>975</v>
      </c>
      <c r="C24" s="462" t="s">
        <v>870</v>
      </c>
      <c r="D24" s="465" t="s">
        <v>459</v>
      </c>
      <c r="E24" s="465" t="s">
        <v>458</v>
      </c>
      <c r="F24" s="465" t="s">
        <v>871</v>
      </c>
      <c r="G24" s="467" t="s">
        <v>266</v>
      </c>
      <c r="H24" s="469" t="s">
        <v>147</v>
      </c>
      <c r="I24" s="424">
        <v>-1857538.49</v>
      </c>
      <c r="J24" s="424">
        <v>-1857538.49</v>
      </c>
      <c r="K24" s="454"/>
      <c r="L24" s="457"/>
      <c r="M24" s="458">
        <f t="shared" si="7"/>
        <v>-1857538.49</v>
      </c>
      <c r="N24" s="478">
        <v>-1344493.87</v>
      </c>
      <c r="O24" s="459">
        <f t="shared" si="8"/>
        <v>-513044.61999999988</v>
      </c>
      <c r="P24" s="460">
        <f t="shared" si="9"/>
        <v>0.3815894080647611</v>
      </c>
      <c r="Q24" s="454"/>
      <c r="R24" s="456">
        <v>-789922.53</v>
      </c>
      <c r="S24" s="456">
        <v>-14566.72</v>
      </c>
      <c r="T24" s="456">
        <v>-265550.94</v>
      </c>
      <c r="U24" s="456">
        <v>-289366.8</v>
      </c>
      <c r="V24" s="456">
        <v>-498131.5</v>
      </c>
      <c r="W24" s="461">
        <f t="shared" si="10"/>
        <v>0</v>
      </c>
      <c r="X24" s="487">
        <f t="shared" si="5"/>
        <v>-1053049.24</v>
      </c>
    </row>
    <row r="25" spans="2:24" ht="15.6" hidden="1">
      <c r="B25" s="466" t="s">
        <v>975</v>
      </c>
      <c r="C25" s="462" t="s">
        <v>870</v>
      </c>
      <c r="D25" s="465" t="s">
        <v>439</v>
      </c>
      <c r="E25" s="465" t="s">
        <v>438</v>
      </c>
      <c r="F25" s="465" t="s">
        <v>871</v>
      </c>
      <c r="G25" s="467" t="s">
        <v>266</v>
      </c>
      <c r="H25" s="469" t="s">
        <v>147</v>
      </c>
      <c r="I25" s="424">
        <v>-100602</v>
      </c>
      <c r="J25" s="424">
        <v>-100602</v>
      </c>
      <c r="K25" s="454"/>
      <c r="L25" s="457"/>
      <c r="M25" s="458">
        <f t="shared" si="7"/>
        <v>-100602</v>
      </c>
      <c r="N25" s="478">
        <v>-334827.24</v>
      </c>
      <c r="O25" s="459">
        <f t="shared" si="8"/>
        <v>234225.24</v>
      </c>
      <c r="P25" s="460">
        <f t="shared" si="9"/>
        <v>-0.69954057501414757</v>
      </c>
      <c r="Q25" s="454"/>
      <c r="R25" s="456">
        <v>-79993.399999999994</v>
      </c>
      <c r="S25" s="456">
        <v>-20608.599999999999</v>
      </c>
      <c r="T25" s="456">
        <v>0</v>
      </c>
      <c r="U25" s="456">
        <v>0</v>
      </c>
      <c r="V25" s="456">
        <v>0</v>
      </c>
      <c r="W25" s="461">
        <f t="shared" si="10"/>
        <v>0</v>
      </c>
      <c r="X25" s="487">
        <f t="shared" si="5"/>
        <v>0</v>
      </c>
    </row>
    <row r="26" spans="2:24" ht="15.6" hidden="1">
      <c r="B26" s="466" t="s">
        <v>975</v>
      </c>
      <c r="C26" s="462" t="s">
        <v>870</v>
      </c>
      <c r="D26" s="465" t="s">
        <v>477</v>
      </c>
      <c r="E26" s="465" t="s">
        <v>476</v>
      </c>
      <c r="F26" s="465" t="s">
        <v>871</v>
      </c>
      <c r="G26" s="467" t="s">
        <v>266</v>
      </c>
      <c r="H26" s="469" t="s">
        <v>147</v>
      </c>
      <c r="I26" s="424">
        <v>-380988.56</v>
      </c>
      <c r="J26" s="424">
        <v>-380988.56</v>
      </c>
      <c r="K26" s="454"/>
      <c r="L26" s="457"/>
      <c r="M26" s="458">
        <f t="shared" si="7"/>
        <v>-380988.56</v>
      </c>
      <c r="N26" s="478">
        <v>-757369.15</v>
      </c>
      <c r="O26" s="459">
        <f t="shared" si="8"/>
        <v>376380.59</v>
      </c>
      <c r="P26" s="460">
        <f t="shared" si="9"/>
        <v>-0.49695791015517338</v>
      </c>
      <c r="Q26" s="454"/>
      <c r="R26" s="456">
        <v>-149098.23999999999</v>
      </c>
      <c r="S26" s="456">
        <v>-72086</v>
      </c>
      <c r="T26" s="456">
        <v>-53369.2</v>
      </c>
      <c r="U26" s="456">
        <v>-106435.12</v>
      </c>
      <c r="V26" s="456">
        <v>0</v>
      </c>
      <c r="W26" s="461">
        <f t="shared" si="10"/>
        <v>0</v>
      </c>
      <c r="X26" s="487">
        <f t="shared" si="5"/>
        <v>-159804.32</v>
      </c>
    </row>
    <row r="27" spans="2:24" ht="15.6" hidden="1">
      <c r="B27" s="466" t="s">
        <v>975</v>
      </c>
      <c r="C27" s="462" t="s">
        <v>870</v>
      </c>
      <c r="D27" s="465" t="s">
        <v>393</v>
      </c>
      <c r="E27" s="465" t="s">
        <v>392</v>
      </c>
      <c r="F27" s="465" t="s">
        <v>871</v>
      </c>
      <c r="G27" s="467" t="s">
        <v>266</v>
      </c>
      <c r="H27" s="469" t="s">
        <v>147</v>
      </c>
      <c r="I27" s="424">
        <v>-124711.5</v>
      </c>
      <c r="J27" s="424">
        <v>-124711.5</v>
      </c>
      <c r="K27" s="454"/>
      <c r="L27" s="457"/>
      <c r="M27" s="458">
        <f t="shared" si="7"/>
        <v>-124711.5</v>
      </c>
      <c r="N27" s="478">
        <v>-839192.45</v>
      </c>
      <c r="O27" s="459">
        <f t="shared" si="8"/>
        <v>714480.95</v>
      </c>
      <c r="P27" s="460">
        <f t="shared" si="9"/>
        <v>-0.85139106053682923</v>
      </c>
      <c r="Q27" s="454"/>
      <c r="R27" s="456">
        <v>-47169.81</v>
      </c>
      <c r="S27" s="456">
        <v>0</v>
      </c>
      <c r="T27" s="456">
        <v>0</v>
      </c>
      <c r="U27" s="456">
        <v>-77541.69</v>
      </c>
      <c r="V27" s="456">
        <v>0</v>
      </c>
      <c r="W27" s="461">
        <f t="shared" si="10"/>
        <v>0</v>
      </c>
      <c r="X27" s="487">
        <f t="shared" si="5"/>
        <v>-77541.69</v>
      </c>
    </row>
    <row r="28" spans="2:24" ht="15.6" hidden="1">
      <c r="B28" s="466" t="s">
        <v>975</v>
      </c>
      <c r="C28" s="462" t="s">
        <v>870</v>
      </c>
      <c r="D28" s="465" t="s">
        <v>185</v>
      </c>
      <c r="E28" s="465" t="s">
        <v>184</v>
      </c>
      <c r="F28" s="465" t="s">
        <v>871</v>
      </c>
      <c r="G28" s="467" t="s">
        <v>266</v>
      </c>
      <c r="H28" s="469" t="s">
        <v>147</v>
      </c>
      <c r="I28" s="424">
        <v>0</v>
      </c>
      <c r="J28" s="424">
        <v>0</v>
      </c>
      <c r="K28" s="454"/>
      <c r="L28" s="457"/>
      <c r="M28" s="458">
        <f t="shared" si="7"/>
        <v>0</v>
      </c>
      <c r="N28" s="478">
        <v>-150000</v>
      </c>
      <c r="O28" s="459">
        <f t="shared" si="8"/>
        <v>150000</v>
      </c>
      <c r="P28" s="460">
        <f t="shared" si="9"/>
        <v>-1</v>
      </c>
      <c r="Q28" s="454"/>
      <c r="R28" s="456">
        <v>0</v>
      </c>
      <c r="S28" s="456">
        <v>0</v>
      </c>
      <c r="T28" s="456">
        <v>0</v>
      </c>
      <c r="U28" s="456">
        <v>0</v>
      </c>
      <c r="V28" s="456">
        <v>0</v>
      </c>
      <c r="W28" s="461">
        <f t="shared" si="10"/>
        <v>0</v>
      </c>
      <c r="X28" s="487">
        <f t="shared" si="5"/>
        <v>0</v>
      </c>
    </row>
    <row r="29" spans="2:24" ht="15.6" hidden="1">
      <c r="B29" s="466" t="s">
        <v>975</v>
      </c>
      <c r="C29" s="462" t="s">
        <v>870</v>
      </c>
      <c r="D29" s="465" t="s">
        <v>303</v>
      </c>
      <c r="E29" s="465" t="s">
        <v>302</v>
      </c>
      <c r="F29" s="465" t="s">
        <v>871</v>
      </c>
      <c r="G29" s="467" t="s">
        <v>266</v>
      </c>
      <c r="H29" s="469" t="s">
        <v>147</v>
      </c>
      <c r="I29" s="424">
        <v>-1073083.28</v>
      </c>
      <c r="J29" s="424">
        <v>-1073083.28</v>
      </c>
      <c r="K29" s="454"/>
      <c r="L29" s="457"/>
      <c r="M29" s="458">
        <f t="shared" si="7"/>
        <v>-1073083.28</v>
      </c>
      <c r="N29" s="478">
        <v>-1643207.55</v>
      </c>
      <c r="O29" s="459">
        <f t="shared" si="8"/>
        <v>570124.27</v>
      </c>
      <c r="P29" s="460">
        <f t="shared" si="9"/>
        <v>-0.34695816118907197</v>
      </c>
      <c r="Q29" s="454"/>
      <c r="R29" s="456">
        <v>0</v>
      </c>
      <c r="S29" s="456">
        <v>-12400</v>
      </c>
      <c r="T29" s="456">
        <v>0</v>
      </c>
      <c r="U29" s="456">
        <v>-1060683.28</v>
      </c>
      <c r="V29" s="456">
        <v>0</v>
      </c>
      <c r="W29" s="461">
        <f t="shared" si="10"/>
        <v>0</v>
      </c>
      <c r="X29" s="487">
        <f t="shared" si="5"/>
        <v>-1060683.28</v>
      </c>
    </row>
    <row r="30" spans="2:24" ht="15.6" hidden="1">
      <c r="B30" s="466" t="s">
        <v>975</v>
      </c>
      <c r="C30" s="462" t="s">
        <v>870</v>
      </c>
      <c r="D30" s="465" t="s">
        <v>433</v>
      </c>
      <c r="E30" s="465" t="s">
        <v>432</v>
      </c>
      <c r="F30" s="465" t="s">
        <v>871</v>
      </c>
      <c r="G30" s="467" t="s">
        <v>266</v>
      </c>
      <c r="H30" s="469" t="s">
        <v>147</v>
      </c>
      <c r="I30" s="424">
        <v>-43649.5</v>
      </c>
      <c r="J30" s="424">
        <v>-43649.5</v>
      </c>
      <c r="K30" s="454"/>
      <c r="L30" s="457"/>
      <c r="M30" s="458">
        <f t="shared" si="7"/>
        <v>-43649.5</v>
      </c>
      <c r="N30" s="478">
        <v>-139606</v>
      </c>
      <c r="O30" s="459">
        <f t="shared" si="8"/>
        <v>95956.5</v>
      </c>
      <c r="P30" s="460">
        <f t="shared" si="9"/>
        <v>-0.68733793676489552</v>
      </c>
      <c r="Q30" s="454"/>
      <c r="R30" s="456">
        <v>0</v>
      </c>
      <c r="S30" s="456">
        <v>-4005</v>
      </c>
      <c r="T30" s="456">
        <v>-39644.5</v>
      </c>
      <c r="U30" s="456">
        <v>0</v>
      </c>
      <c r="V30" s="456">
        <v>0</v>
      </c>
      <c r="W30" s="461">
        <f t="shared" si="10"/>
        <v>0</v>
      </c>
      <c r="X30" s="487">
        <f t="shared" si="5"/>
        <v>-39644.5</v>
      </c>
    </row>
    <row r="31" spans="2:24" ht="15.6" hidden="1">
      <c r="B31" s="466" t="s">
        <v>975</v>
      </c>
      <c r="C31" s="462" t="s">
        <v>870</v>
      </c>
      <c r="D31" s="465" t="s">
        <v>497</v>
      </c>
      <c r="E31" s="465" t="s">
        <v>496</v>
      </c>
      <c r="F31" s="465" t="s">
        <v>871</v>
      </c>
      <c r="G31" s="467" t="s">
        <v>266</v>
      </c>
      <c r="H31" s="469" t="s">
        <v>147</v>
      </c>
      <c r="I31" s="424">
        <v>-33909.5</v>
      </c>
      <c r="J31" s="424">
        <v>-33909.5</v>
      </c>
      <c r="K31" s="454"/>
      <c r="L31" s="457"/>
      <c r="M31" s="458">
        <f t="shared" si="7"/>
        <v>-33909.5</v>
      </c>
      <c r="N31" s="478">
        <v>-33909.5</v>
      </c>
      <c r="O31" s="459">
        <f t="shared" si="8"/>
        <v>0</v>
      </c>
      <c r="P31" s="460">
        <f t="shared" si="9"/>
        <v>0</v>
      </c>
      <c r="Q31" s="454"/>
      <c r="R31" s="456">
        <v>0</v>
      </c>
      <c r="S31" s="456">
        <v>0</v>
      </c>
      <c r="T31" s="456">
        <v>-33909.5</v>
      </c>
      <c r="U31" s="456">
        <v>0</v>
      </c>
      <c r="V31" s="456">
        <v>0</v>
      </c>
      <c r="W31" s="461">
        <f t="shared" si="10"/>
        <v>0</v>
      </c>
      <c r="X31" s="487">
        <f t="shared" si="5"/>
        <v>-33909.5</v>
      </c>
    </row>
    <row r="32" spans="2:24" ht="15.6" hidden="1">
      <c r="B32" s="466" t="s">
        <v>975</v>
      </c>
      <c r="C32" s="462" t="s">
        <v>870</v>
      </c>
      <c r="D32" s="465" t="s">
        <v>409</v>
      </c>
      <c r="E32" s="465" t="s">
        <v>408</v>
      </c>
      <c r="F32" s="465" t="s">
        <v>871</v>
      </c>
      <c r="G32" s="467" t="s">
        <v>266</v>
      </c>
      <c r="H32" s="469" t="s">
        <v>147</v>
      </c>
      <c r="I32" s="424">
        <v>-269573.71999999997</v>
      </c>
      <c r="J32" s="424">
        <v>-269573.71999999997</v>
      </c>
      <c r="K32" s="454"/>
      <c r="L32" s="457"/>
      <c r="M32" s="458">
        <f t="shared" si="7"/>
        <v>-269573.71999999997</v>
      </c>
      <c r="N32" s="478">
        <v>-294640.78999999998</v>
      </c>
      <c r="O32" s="459">
        <f t="shared" si="8"/>
        <v>25067.070000000007</v>
      </c>
      <c r="P32" s="460">
        <f t="shared" si="9"/>
        <v>-8.5076713241231838E-2</v>
      </c>
      <c r="Q32" s="454"/>
      <c r="R32" s="456">
        <v>-6000.9</v>
      </c>
      <c r="S32" s="456">
        <v>0</v>
      </c>
      <c r="T32" s="456">
        <v>-11650.49</v>
      </c>
      <c r="U32" s="456">
        <v>-251922.33</v>
      </c>
      <c r="V32" s="456">
        <v>0</v>
      </c>
      <c r="W32" s="461">
        <f t="shared" si="10"/>
        <v>0</v>
      </c>
      <c r="X32" s="487">
        <f t="shared" si="5"/>
        <v>-263572.82</v>
      </c>
    </row>
    <row r="33" spans="2:24" ht="15.6" hidden="1">
      <c r="B33" s="466" t="s">
        <v>975</v>
      </c>
      <c r="C33" s="462" t="s">
        <v>870</v>
      </c>
      <c r="D33" s="465" t="s">
        <v>293</v>
      </c>
      <c r="E33" s="465" t="s">
        <v>292</v>
      </c>
      <c r="F33" s="465" t="s">
        <v>871</v>
      </c>
      <c r="G33" s="467" t="s">
        <v>266</v>
      </c>
      <c r="H33" s="469" t="s">
        <v>147</v>
      </c>
      <c r="I33" s="424">
        <v>-3883.5</v>
      </c>
      <c r="J33" s="424">
        <v>-3883.5</v>
      </c>
      <c r="K33" s="454"/>
      <c r="L33" s="457"/>
      <c r="M33" s="458">
        <f t="shared" si="7"/>
        <v>-3883.5</v>
      </c>
      <c r="N33" s="478">
        <v>-3883.5</v>
      </c>
      <c r="O33" s="459">
        <f t="shared" si="8"/>
        <v>0</v>
      </c>
      <c r="P33" s="460">
        <f t="shared" si="9"/>
        <v>0</v>
      </c>
      <c r="Q33" s="454"/>
      <c r="R33" s="456">
        <v>0</v>
      </c>
      <c r="S33" s="456">
        <v>0</v>
      </c>
      <c r="T33" s="456">
        <v>0</v>
      </c>
      <c r="U33" s="456">
        <v>-3883.5</v>
      </c>
      <c r="V33" s="456">
        <v>0</v>
      </c>
      <c r="W33" s="461">
        <f t="shared" si="10"/>
        <v>0</v>
      </c>
      <c r="X33" s="487">
        <f t="shared" si="5"/>
        <v>-3883.5</v>
      </c>
    </row>
    <row r="34" spans="2:24" ht="15.6" hidden="1">
      <c r="B34" s="466" t="s">
        <v>975</v>
      </c>
      <c r="C34" s="462" t="s">
        <v>870</v>
      </c>
      <c r="D34" s="465" t="s">
        <v>879</v>
      </c>
      <c r="E34" s="465" t="s">
        <v>880</v>
      </c>
      <c r="F34" s="465" t="s">
        <v>871</v>
      </c>
      <c r="G34" s="467" t="s">
        <v>266</v>
      </c>
      <c r="H34" s="469" t="s">
        <v>147</v>
      </c>
      <c r="I34" s="424">
        <v>-3564.36</v>
      </c>
      <c r="J34" s="424">
        <v>-3564.36</v>
      </c>
      <c r="K34" s="454"/>
      <c r="L34" s="457"/>
      <c r="M34" s="458">
        <f t="shared" si="7"/>
        <v>-3564.36</v>
      </c>
      <c r="N34" s="478">
        <v>0</v>
      </c>
      <c r="O34" s="459">
        <f t="shared" si="8"/>
        <v>-3564.36</v>
      </c>
      <c r="P34" s="460" t="str">
        <f t="shared" si="9"/>
        <v/>
      </c>
      <c r="Q34" s="454"/>
      <c r="R34" s="456">
        <v>0</v>
      </c>
      <c r="S34" s="456">
        <v>-3564.36</v>
      </c>
      <c r="T34" s="456">
        <v>0</v>
      </c>
      <c r="U34" s="456">
        <v>0</v>
      </c>
      <c r="V34" s="456">
        <v>0</v>
      </c>
      <c r="W34" s="461">
        <f t="shared" si="10"/>
        <v>0</v>
      </c>
      <c r="X34" s="487">
        <f t="shared" si="5"/>
        <v>0</v>
      </c>
    </row>
    <row r="35" spans="2:24" ht="15.6" hidden="1">
      <c r="B35" s="466" t="s">
        <v>975</v>
      </c>
      <c r="C35" s="462" t="s">
        <v>870</v>
      </c>
      <c r="D35" s="465" t="s">
        <v>881</v>
      </c>
      <c r="E35" s="465" t="s">
        <v>882</v>
      </c>
      <c r="F35" s="465" t="s">
        <v>871</v>
      </c>
      <c r="G35" s="467" t="s">
        <v>266</v>
      </c>
      <c r="H35" s="469" t="s">
        <v>147</v>
      </c>
      <c r="I35" s="424">
        <v>-13500</v>
      </c>
      <c r="J35" s="424">
        <v>-13500</v>
      </c>
      <c r="K35" s="454"/>
      <c r="L35" s="457"/>
      <c r="M35" s="458">
        <f t="shared" si="7"/>
        <v>-13500</v>
      </c>
      <c r="N35" s="478">
        <v>0</v>
      </c>
      <c r="O35" s="459">
        <f t="shared" si="8"/>
        <v>-13500</v>
      </c>
      <c r="P35" s="460" t="str">
        <f t="shared" si="9"/>
        <v/>
      </c>
      <c r="Q35" s="454"/>
      <c r="R35" s="456">
        <v>-13500</v>
      </c>
      <c r="S35" s="456">
        <v>0</v>
      </c>
      <c r="T35" s="456">
        <v>0</v>
      </c>
      <c r="U35" s="456">
        <v>0</v>
      </c>
      <c r="V35" s="456">
        <v>0</v>
      </c>
      <c r="W35" s="461">
        <f t="shared" si="10"/>
        <v>0</v>
      </c>
      <c r="X35" s="487">
        <f t="shared" si="5"/>
        <v>0</v>
      </c>
    </row>
    <row r="36" spans="2:24" ht="15.6" hidden="1">
      <c r="B36" s="466" t="s">
        <v>975</v>
      </c>
      <c r="C36" s="462" t="s">
        <v>870</v>
      </c>
      <c r="D36" s="465" t="s">
        <v>233</v>
      </c>
      <c r="E36" s="465" t="s">
        <v>232</v>
      </c>
      <c r="F36" s="465" t="s">
        <v>871</v>
      </c>
      <c r="G36" s="467" t="s">
        <v>266</v>
      </c>
      <c r="H36" s="469" t="s">
        <v>147</v>
      </c>
      <c r="I36" s="424">
        <v>0</v>
      </c>
      <c r="J36" s="424">
        <v>0</v>
      </c>
      <c r="K36" s="454"/>
      <c r="L36" s="457"/>
      <c r="M36" s="458">
        <f t="shared" si="7"/>
        <v>0</v>
      </c>
      <c r="N36" s="478">
        <v>-12150</v>
      </c>
      <c r="O36" s="459">
        <f t="shared" si="8"/>
        <v>12150</v>
      </c>
      <c r="P36" s="460">
        <f t="shared" si="9"/>
        <v>-1</v>
      </c>
      <c r="Q36" s="454"/>
      <c r="R36" s="456">
        <v>0</v>
      </c>
      <c r="S36" s="456">
        <v>0</v>
      </c>
      <c r="T36" s="456">
        <v>0</v>
      </c>
      <c r="U36" s="456">
        <v>0</v>
      </c>
      <c r="V36" s="456">
        <v>0</v>
      </c>
      <c r="W36" s="461">
        <f t="shared" si="10"/>
        <v>0</v>
      </c>
      <c r="X36" s="487">
        <f t="shared" si="5"/>
        <v>0</v>
      </c>
    </row>
    <row r="37" spans="2:24" ht="15.6" hidden="1">
      <c r="B37" s="466" t="s">
        <v>975</v>
      </c>
      <c r="C37" s="462" t="s">
        <v>870</v>
      </c>
      <c r="D37" s="465" t="s">
        <v>399</v>
      </c>
      <c r="E37" s="465" t="s">
        <v>398</v>
      </c>
      <c r="F37" s="465" t="s">
        <v>871</v>
      </c>
      <c r="G37" s="467" t="s">
        <v>266</v>
      </c>
      <c r="H37" s="469" t="s">
        <v>147</v>
      </c>
      <c r="I37" s="424">
        <v>-206020.39</v>
      </c>
      <c r="J37" s="424">
        <v>-206020.39</v>
      </c>
      <c r="K37" s="454"/>
      <c r="L37" s="457"/>
      <c r="M37" s="458">
        <f t="shared" si="7"/>
        <v>-206020.39</v>
      </c>
      <c r="N37" s="478">
        <v>-370906.41</v>
      </c>
      <c r="O37" s="459">
        <f t="shared" si="8"/>
        <v>164886.01999999996</v>
      </c>
      <c r="P37" s="460">
        <f t="shared" si="9"/>
        <v>-0.44454885532983907</v>
      </c>
      <c r="Q37" s="454"/>
      <c r="R37" s="456">
        <v>-26700</v>
      </c>
      <c r="S37" s="456">
        <v>-38543.69</v>
      </c>
      <c r="T37" s="456">
        <v>-140776.70000000001</v>
      </c>
      <c r="U37" s="456">
        <v>0</v>
      </c>
      <c r="V37" s="456">
        <v>0</v>
      </c>
      <c r="W37" s="461">
        <f t="shared" si="10"/>
        <v>0</v>
      </c>
      <c r="X37" s="487">
        <f t="shared" si="5"/>
        <v>-140776.70000000001</v>
      </c>
    </row>
    <row r="38" spans="2:24" ht="15.6" hidden="1">
      <c r="B38" s="466" t="s">
        <v>975</v>
      </c>
      <c r="C38" s="462" t="s">
        <v>870</v>
      </c>
      <c r="D38" s="465" t="s">
        <v>275</v>
      </c>
      <c r="E38" s="465" t="s">
        <v>274</v>
      </c>
      <c r="F38" s="465" t="s">
        <v>871</v>
      </c>
      <c r="G38" s="467" t="s">
        <v>266</v>
      </c>
      <c r="H38" s="469" t="s">
        <v>147</v>
      </c>
      <c r="I38" s="424">
        <v>0</v>
      </c>
      <c r="J38" s="424">
        <v>0</v>
      </c>
      <c r="K38" s="454"/>
      <c r="L38" s="457"/>
      <c r="M38" s="458">
        <f t="shared" si="7"/>
        <v>0</v>
      </c>
      <c r="N38" s="478">
        <v>-56603.77</v>
      </c>
      <c r="O38" s="459">
        <f t="shared" si="8"/>
        <v>56603.77</v>
      </c>
      <c r="P38" s="460">
        <f t="shared" si="9"/>
        <v>-1</v>
      </c>
      <c r="Q38" s="454"/>
      <c r="R38" s="456">
        <v>0</v>
      </c>
      <c r="S38" s="456">
        <v>0</v>
      </c>
      <c r="T38" s="456">
        <v>0</v>
      </c>
      <c r="U38" s="456">
        <v>0</v>
      </c>
      <c r="V38" s="456">
        <v>0</v>
      </c>
      <c r="W38" s="461">
        <f t="shared" si="10"/>
        <v>0</v>
      </c>
      <c r="X38" s="487">
        <f t="shared" si="5"/>
        <v>0</v>
      </c>
    </row>
    <row r="39" spans="2:24" ht="15.6" hidden="1">
      <c r="B39" s="466" t="s">
        <v>975</v>
      </c>
      <c r="C39" s="462" t="s">
        <v>870</v>
      </c>
      <c r="D39" s="465" t="s">
        <v>227</v>
      </c>
      <c r="E39" s="465" t="s">
        <v>226</v>
      </c>
      <c r="F39" s="465" t="s">
        <v>871</v>
      </c>
      <c r="G39" s="467" t="s">
        <v>266</v>
      </c>
      <c r="H39" s="469" t="s">
        <v>147</v>
      </c>
      <c r="I39" s="424">
        <v>-265379.3</v>
      </c>
      <c r="J39" s="424">
        <v>-265379.3</v>
      </c>
      <c r="K39" s="454"/>
      <c r="L39" s="457"/>
      <c r="M39" s="458">
        <f t="shared" si="7"/>
        <v>-265379.3</v>
      </c>
      <c r="N39" s="478">
        <v>-272513.37</v>
      </c>
      <c r="O39" s="459">
        <f t="shared" si="8"/>
        <v>7134.070000000007</v>
      </c>
      <c r="P39" s="460">
        <f t="shared" si="9"/>
        <v>-2.6178788952630129E-2</v>
      </c>
      <c r="Q39" s="454"/>
      <c r="R39" s="456">
        <v>-126360.51</v>
      </c>
      <c r="S39" s="456">
        <v>-124335.39</v>
      </c>
      <c r="T39" s="456">
        <v>-14683.4</v>
      </c>
      <c r="U39" s="456">
        <v>0</v>
      </c>
      <c r="V39" s="456">
        <v>0</v>
      </c>
      <c r="W39" s="461">
        <f t="shared" si="10"/>
        <v>0</v>
      </c>
      <c r="X39" s="487">
        <f t="shared" si="5"/>
        <v>-14683.4</v>
      </c>
    </row>
    <row r="40" spans="2:24" ht="15.6" hidden="1">
      <c r="B40" s="466" t="s">
        <v>975</v>
      </c>
      <c r="C40" s="462" t="s">
        <v>870</v>
      </c>
      <c r="D40" s="465" t="s">
        <v>173</v>
      </c>
      <c r="E40" s="465" t="s">
        <v>172</v>
      </c>
      <c r="F40" s="465" t="s">
        <v>871</v>
      </c>
      <c r="G40" s="467" t="s">
        <v>266</v>
      </c>
      <c r="H40" s="469" t="s">
        <v>147</v>
      </c>
      <c r="I40" s="424">
        <v>-8000</v>
      </c>
      <c r="J40" s="424">
        <v>-8000</v>
      </c>
      <c r="K40" s="454"/>
      <c r="L40" s="457"/>
      <c r="M40" s="458">
        <f t="shared" si="7"/>
        <v>-8000</v>
      </c>
      <c r="N40" s="478">
        <v>-20000</v>
      </c>
      <c r="O40" s="459">
        <f t="shared" si="8"/>
        <v>12000</v>
      </c>
      <c r="P40" s="460">
        <f t="shared" si="9"/>
        <v>-0.6</v>
      </c>
      <c r="Q40" s="454"/>
      <c r="R40" s="456">
        <v>0</v>
      </c>
      <c r="S40" s="456">
        <v>0</v>
      </c>
      <c r="T40" s="456">
        <v>-8000</v>
      </c>
      <c r="U40" s="456">
        <v>0</v>
      </c>
      <c r="V40" s="456">
        <v>0</v>
      </c>
      <c r="W40" s="461">
        <f t="shared" si="10"/>
        <v>0</v>
      </c>
      <c r="X40" s="487">
        <f t="shared" si="5"/>
        <v>-8000</v>
      </c>
    </row>
    <row r="41" spans="2:24" ht="15.6" hidden="1">
      <c r="B41" s="466" t="s">
        <v>975</v>
      </c>
      <c r="C41" s="462" t="s">
        <v>870</v>
      </c>
      <c r="D41" s="465" t="s">
        <v>445</v>
      </c>
      <c r="E41" s="465" t="s">
        <v>444</v>
      </c>
      <c r="F41" s="465" t="s">
        <v>871</v>
      </c>
      <c r="G41" s="467" t="s">
        <v>266</v>
      </c>
      <c r="H41" s="469" t="s">
        <v>147</v>
      </c>
      <c r="I41" s="424">
        <v>-23584.91</v>
      </c>
      <c r="J41" s="424">
        <v>-23584.91</v>
      </c>
      <c r="K41" s="454"/>
      <c r="L41" s="457"/>
      <c r="M41" s="458">
        <f t="shared" si="7"/>
        <v>-23584.91</v>
      </c>
      <c r="N41" s="478">
        <v>-23584.91</v>
      </c>
      <c r="O41" s="459">
        <f t="shared" si="8"/>
        <v>0</v>
      </c>
      <c r="P41" s="460">
        <f t="shared" si="9"/>
        <v>0</v>
      </c>
      <c r="Q41" s="454"/>
      <c r="R41" s="456">
        <v>0</v>
      </c>
      <c r="S41" s="456">
        <v>0</v>
      </c>
      <c r="T41" s="456">
        <v>-23584.91</v>
      </c>
      <c r="U41" s="456">
        <v>0</v>
      </c>
      <c r="V41" s="456">
        <v>0</v>
      </c>
      <c r="W41" s="461">
        <f t="shared" si="10"/>
        <v>0</v>
      </c>
      <c r="X41" s="487">
        <f t="shared" si="5"/>
        <v>-23584.91</v>
      </c>
    </row>
    <row r="42" spans="2:24" ht="15.6" hidden="1">
      <c r="B42" s="466" t="s">
        <v>975</v>
      </c>
      <c r="C42" s="462" t="s">
        <v>870</v>
      </c>
      <c r="D42" s="465" t="s">
        <v>251</v>
      </c>
      <c r="E42" s="465" t="s">
        <v>250</v>
      </c>
      <c r="F42" s="465" t="s">
        <v>871</v>
      </c>
      <c r="G42" s="467" t="s">
        <v>266</v>
      </c>
      <c r="H42" s="469" t="s">
        <v>147</v>
      </c>
      <c r="I42" s="424">
        <v>-151476.14000000001</v>
      </c>
      <c r="J42" s="424">
        <v>-151476.14000000001</v>
      </c>
      <c r="K42" s="454"/>
      <c r="L42" s="457"/>
      <c r="M42" s="458">
        <f t="shared" si="7"/>
        <v>-151476.14000000001</v>
      </c>
      <c r="N42" s="478">
        <v>-286716.2</v>
      </c>
      <c r="O42" s="459">
        <f t="shared" si="8"/>
        <v>135240.06</v>
      </c>
      <c r="P42" s="460">
        <f t="shared" si="9"/>
        <v>-0.47168614818416255</v>
      </c>
      <c r="Q42" s="454"/>
      <c r="R42" s="456">
        <v>-23525.24</v>
      </c>
      <c r="S42" s="456">
        <v>-78213.5</v>
      </c>
      <c r="T42" s="456">
        <v>-49737.4</v>
      </c>
      <c r="U42" s="456">
        <v>0</v>
      </c>
      <c r="V42" s="456">
        <v>0</v>
      </c>
      <c r="W42" s="461">
        <f t="shared" si="10"/>
        <v>0</v>
      </c>
      <c r="X42" s="487">
        <f t="shared" si="5"/>
        <v>-49737.4</v>
      </c>
    </row>
    <row r="43" spans="2:24" ht="15.6" hidden="1">
      <c r="B43" s="466" t="s">
        <v>975</v>
      </c>
      <c r="C43" s="462" t="s">
        <v>870</v>
      </c>
      <c r="D43" s="465" t="s">
        <v>483</v>
      </c>
      <c r="E43" s="465" t="s">
        <v>482</v>
      </c>
      <c r="F43" s="465" t="s">
        <v>871</v>
      </c>
      <c r="G43" s="467" t="s">
        <v>266</v>
      </c>
      <c r="H43" s="469" t="s">
        <v>147</v>
      </c>
      <c r="I43" s="424">
        <v>0</v>
      </c>
      <c r="J43" s="424">
        <v>0</v>
      </c>
      <c r="K43" s="454"/>
      <c r="L43" s="457"/>
      <c r="M43" s="458">
        <f t="shared" si="7"/>
        <v>0</v>
      </c>
      <c r="N43" s="478">
        <v>-217663.61</v>
      </c>
      <c r="O43" s="459">
        <f t="shared" si="8"/>
        <v>217663.61</v>
      </c>
      <c r="P43" s="460">
        <f t="shared" si="9"/>
        <v>-1</v>
      </c>
      <c r="Q43" s="454"/>
      <c r="R43" s="456">
        <v>0</v>
      </c>
      <c r="S43" s="456">
        <v>0</v>
      </c>
      <c r="T43" s="456">
        <v>0</v>
      </c>
      <c r="U43" s="456">
        <v>0</v>
      </c>
      <c r="V43" s="456">
        <v>0</v>
      </c>
      <c r="W43" s="461">
        <f t="shared" si="10"/>
        <v>0</v>
      </c>
      <c r="X43" s="487">
        <f t="shared" si="5"/>
        <v>0</v>
      </c>
    </row>
    <row r="44" spans="2:24" ht="15.6" hidden="1">
      <c r="B44" s="466" t="s">
        <v>975</v>
      </c>
      <c r="C44" s="462" t="s">
        <v>870</v>
      </c>
      <c r="D44" s="465" t="s">
        <v>413</v>
      </c>
      <c r="E44" s="465" t="s">
        <v>412</v>
      </c>
      <c r="F44" s="465" t="s">
        <v>871</v>
      </c>
      <c r="G44" s="467" t="s">
        <v>266</v>
      </c>
      <c r="H44" s="469" t="s">
        <v>147</v>
      </c>
      <c r="I44" s="424">
        <v>-27184.47</v>
      </c>
      <c r="J44" s="424">
        <v>-27184.47</v>
      </c>
      <c r="K44" s="454"/>
      <c r="L44" s="457"/>
      <c r="M44" s="458">
        <f t="shared" si="7"/>
        <v>-27184.47</v>
      </c>
      <c r="N44" s="478">
        <v>-188990.3</v>
      </c>
      <c r="O44" s="459">
        <f t="shared" si="8"/>
        <v>161805.82999999999</v>
      </c>
      <c r="P44" s="460">
        <f t="shared" si="9"/>
        <v>-0.85615944310369363</v>
      </c>
      <c r="Q44" s="454"/>
      <c r="R44" s="456">
        <v>0</v>
      </c>
      <c r="S44" s="456">
        <v>-27184.47</v>
      </c>
      <c r="T44" s="456">
        <v>0</v>
      </c>
      <c r="U44" s="456">
        <v>0</v>
      </c>
      <c r="V44" s="456">
        <v>0</v>
      </c>
      <c r="W44" s="461">
        <f t="shared" si="10"/>
        <v>0</v>
      </c>
      <c r="X44" s="487">
        <f t="shared" si="5"/>
        <v>0</v>
      </c>
    </row>
    <row r="45" spans="2:24" ht="15.6" hidden="1">
      <c r="B45" s="466" t="s">
        <v>975</v>
      </c>
      <c r="C45" s="462" t="s">
        <v>870</v>
      </c>
      <c r="D45" s="465" t="s">
        <v>883</v>
      </c>
      <c r="E45" s="465" t="s">
        <v>884</v>
      </c>
      <c r="F45" s="465" t="s">
        <v>871</v>
      </c>
      <c r="G45" s="467" t="s">
        <v>266</v>
      </c>
      <c r="H45" s="469" t="s">
        <v>147</v>
      </c>
      <c r="I45" s="424">
        <v>-28301.89</v>
      </c>
      <c r="J45" s="424">
        <v>-28301.89</v>
      </c>
      <c r="K45" s="454"/>
      <c r="L45" s="457"/>
      <c r="M45" s="458">
        <f t="shared" si="7"/>
        <v>-28301.89</v>
      </c>
      <c r="N45" s="478">
        <v>0</v>
      </c>
      <c r="O45" s="459">
        <f t="shared" si="8"/>
        <v>-28301.89</v>
      </c>
      <c r="P45" s="460" t="str">
        <f t="shared" si="9"/>
        <v/>
      </c>
      <c r="Q45" s="454"/>
      <c r="R45" s="456">
        <v>-28301.89</v>
      </c>
      <c r="S45" s="456">
        <v>0</v>
      </c>
      <c r="T45" s="456">
        <v>0</v>
      </c>
      <c r="U45" s="456">
        <v>0</v>
      </c>
      <c r="V45" s="456">
        <v>0</v>
      </c>
      <c r="W45" s="461">
        <f t="shared" si="10"/>
        <v>0</v>
      </c>
      <c r="X45" s="487">
        <f t="shared" si="5"/>
        <v>0</v>
      </c>
    </row>
    <row r="46" spans="2:24" ht="15.6" hidden="1">
      <c r="B46" s="466" t="s">
        <v>975</v>
      </c>
      <c r="C46" s="462" t="s">
        <v>870</v>
      </c>
      <c r="D46" s="465" t="s">
        <v>247</v>
      </c>
      <c r="E46" s="465" t="s">
        <v>246</v>
      </c>
      <c r="F46" s="465" t="s">
        <v>871</v>
      </c>
      <c r="G46" s="467" t="s">
        <v>266</v>
      </c>
      <c r="H46" s="469" t="s">
        <v>147</v>
      </c>
      <c r="I46" s="424">
        <v>-512090.16</v>
      </c>
      <c r="J46" s="424">
        <v>-512090.16</v>
      </c>
      <c r="K46" s="454"/>
      <c r="L46" s="457"/>
      <c r="M46" s="458">
        <f t="shared" si="7"/>
        <v>-512090.16</v>
      </c>
      <c r="N46" s="478">
        <v>-761590.16</v>
      </c>
      <c r="O46" s="459">
        <f t="shared" si="8"/>
        <v>249500.00000000006</v>
      </c>
      <c r="P46" s="460">
        <f t="shared" si="9"/>
        <v>-0.32760402261499816</v>
      </c>
      <c r="Q46" s="454"/>
      <c r="R46" s="456">
        <v>0</v>
      </c>
      <c r="S46" s="456">
        <v>0</v>
      </c>
      <c r="T46" s="456">
        <v>-154253.56</v>
      </c>
      <c r="U46" s="456">
        <v>0</v>
      </c>
      <c r="V46" s="456">
        <v>-357836.6</v>
      </c>
      <c r="W46" s="461">
        <f t="shared" si="10"/>
        <v>0</v>
      </c>
      <c r="X46" s="487">
        <f t="shared" si="5"/>
        <v>-512090.16</v>
      </c>
    </row>
    <row r="47" spans="2:24" ht="15.6" hidden="1">
      <c r="B47" s="466" t="s">
        <v>975</v>
      </c>
      <c r="C47" s="462" t="s">
        <v>870</v>
      </c>
      <c r="D47" s="465" t="s">
        <v>385</v>
      </c>
      <c r="E47" s="465" t="s">
        <v>384</v>
      </c>
      <c r="F47" s="465" t="s">
        <v>871</v>
      </c>
      <c r="G47" s="467" t="s">
        <v>266</v>
      </c>
      <c r="H47" s="469" t="s">
        <v>147</v>
      </c>
      <c r="I47" s="424">
        <v>-10660.19</v>
      </c>
      <c r="J47" s="424">
        <v>-10660.19</v>
      </c>
      <c r="K47" s="454"/>
      <c r="L47" s="457"/>
      <c r="M47" s="458">
        <f t="shared" si="7"/>
        <v>-10660.19</v>
      </c>
      <c r="N47" s="478">
        <v>-4854.37</v>
      </c>
      <c r="O47" s="459">
        <f t="shared" si="8"/>
        <v>-5805.8200000000006</v>
      </c>
      <c r="P47" s="460">
        <f t="shared" si="9"/>
        <v>1.1959986568802956</v>
      </c>
      <c r="Q47" s="454"/>
      <c r="R47" s="456">
        <v>-10660.19</v>
      </c>
      <c r="S47" s="456">
        <v>0</v>
      </c>
      <c r="T47" s="456">
        <v>0</v>
      </c>
      <c r="U47" s="456">
        <v>0</v>
      </c>
      <c r="V47" s="456">
        <v>0</v>
      </c>
      <c r="W47" s="461">
        <f t="shared" si="10"/>
        <v>0</v>
      </c>
      <c r="X47" s="487">
        <f t="shared" si="5"/>
        <v>0</v>
      </c>
    </row>
    <row r="48" spans="2:24" ht="15.6" hidden="1">
      <c r="B48" s="466" t="s">
        <v>975</v>
      </c>
      <c r="C48" s="462" t="s">
        <v>870</v>
      </c>
      <c r="D48" s="465" t="s">
        <v>177</v>
      </c>
      <c r="E48" s="465" t="s">
        <v>176</v>
      </c>
      <c r="F48" s="465" t="s">
        <v>871</v>
      </c>
      <c r="G48" s="467" t="s">
        <v>266</v>
      </c>
      <c r="H48" s="469" t="s">
        <v>147</v>
      </c>
      <c r="I48" s="424">
        <v>-70000</v>
      </c>
      <c r="J48" s="424">
        <v>-70000</v>
      </c>
      <c r="K48" s="454"/>
      <c r="L48" s="457"/>
      <c r="M48" s="458">
        <f t="shared" si="7"/>
        <v>-70000</v>
      </c>
      <c r="N48" s="478">
        <v>-70000</v>
      </c>
      <c r="O48" s="459">
        <f t="shared" si="8"/>
        <v>0</v>
      </c>
      <c r="P48" s="460">
        <f t="shared" si="9"/>
        <v>0</v>
      </c>
      <c r="Q48" s="454"/>
      <c r="R48" s="456">
        <v>0</v>
      </c>
      <c r="S48" s="456">
        <v>0</v>
      </c>
      <c r="T48" s="456">
        <v>-67961.17</v>
      </c>
      <c r="U48" s="456">
        <v>-2038.83</v>
      </c>
      <c r="V48" s="456">
        <v>0</v>
      </c>
      <c r="W48" s="461">
        <f t="shared" si="10"/>
        <v>0</v>
      </c>
      <c r="X48" s="487">
        <f t="shared" si="5"/>
        <v>-70000</v>
      </c>
    </row>
    <row r="49" spans="2:24" ht="15.6" hidden="1">
      <c r="B49" s="466" t="s">
        <v>975</v>
      </c>
      <c r="C49" s="462" t="s">
        <v>870</v>
      </c>
      <c r="D49" s="465" t="s">
        <v>411</v>
      </c>
      <c r="E49" s="465" t="s">
        <v>410</v>
      </c>
      <c r="F49" s="465" t="s">
        <v>871</v>
      </c>
      <c r="G49" s="467" t="s">
        <v>266</v>
      </c>
      <c r="H49" s="469" t="s">
        <v>147</v>
      </c>
      <c r="I49" s="424">
        <v>-6146733.9100000001</v>
      </c>
      <c r="J49" s="424">
        <v>-6146733.9100000001</v>
      </c>
      <c r="K49" s="454"/>
      <c r="L49" s="457"/>
      <c r="M49" s="458">
        <f t="shared" si="7"/>
        <v>-6146733.9100000001</v>
      </c>
      <c r="N49" s="478">
        <v>-6529010.3200000003</v>
      </c>
      <c r="O49" s="459">
        <f t="shared" si="8"/>
        <v>382276.41000000015</v>
      </c>
      <c r="P49" s="460">
        <f t="shared" si="9"/>
        <v>-5.8550437396153503E-2</v>
      </c>
      <c r="Q49" s="454" t="s">
        <v>1002</v>
      </c>
      <c r="R49" s="456">
        <v>-500000</v>
      </c>
      <c r="S49" s="456">
        <v>-13950</v>
      </c>
      <c r="T49" s="456">
        <v>0</v>
      </c>
      <c r="U49" s="456">
        <v>0</v>
      </c>
      <c r="V49" s="456">
        <v>-5632783.9100000001</v>
      </c>
      <c r="W49" s="461">
        <f t="shared" si="10"/>
        <v>0</v>
      </c>
      <c r="X49" s="487">
        <f t="shared" si="5"/>
        <v>-5632783.9100000001</v>
      </c>
    </row>
    <row r="50" spans="2:24" ht="15.6" hidden="1">
      <c r="B50" s="466" t="s">
        <v>975</v>
      </c>
      <c r="C50" s="462" t="s">
        <v>870</v>
      </c>
      <c r="D50" s="465" t="s">
        <v>287</v>
      </c>
      <c r="E50" s="465" t="s">
        <v>286</v>
      </c>
      <c r="F50" s="465" t="s">
        <v>871</v>
      </c>
      <c r="G50" s="467" t="s">
        <v>266</v>
      </c>
      <c r="H50" s="469" t="s">
        <v>147</v>
      </c>
      <c r="I50" s="424">
        <v>0</v>
      </c>
      <c r="J50" s="424">
        <v>0</v>
      </c>
      <c r="K50" s="454"/>
      <c r="L50" s="457"/>
      <c r="M50" s="458">
        <f t="shared" si="7"/>
        <v>0</v>
      </c>
      <c r="N50" s="478">
        <v>-275843.69</v>
      </c>
      <c r="O50" s="459">
        <f t="shared" si="8"/>
        <v>275843.69</v>
      </c>
      <c r="P50" s="460">
        <f t="shared" si="9"/>
        <v>-1</v>
      </c>
      <c r="Q50" s="454"/>
      <c r="R50" s="456">
        <v>0</v>
      </c>
      <c r="S50" s="456">
        <v>0</v>
      </c>
      <c r="T50" s="456">
        <v>0</v>
      </c>
      <c r="U50" s="456">
        <v>0</v>
      </c>
      <c r="V50" s="456">
        <v>0</v>
      </c>
      <c r="W50" s="461">
        <f t="shared" si="10"/>
        <v>0</v>
      </c>
      <c r="X50" s="487">
        <f t="shared" si="5"/>
        <v>0</v>
      </c>
    </row>
    <row r="51" spans="2:24" ht="15.6" hidden="1">
      <c r="B51" s="466" t="s">
        <v>975</v>
      </c>
      <c r="C51" s="462" t="s">
        <v>870</v>
      </c>
      <c r="D51" s="465" t="s">
        <v>195</v>
      </c>
      <c r="E51" s="465" t="s">
        <v>194</v>
      </c>
      <c r="F51" s="465" t="s">
        <v>871</v>
      </c>
      <c r="G51" s="467" t="s">
        <v>266</v>
      </c>
      <c r="H51" s="469" t="s">
        <v>147</v>
      </c>
      <c r="I51" s="424">
        <v>-40000</v>
      </c>
      <c r="J51" s="424">
        <v>-40000</v>
      </c>
      <c r="K51" s="454"/>
      <c r="L51" s="457"/>
      <c r="M51" s="458">
        <f t="shared" si="7"/>
        <v>-40000</v>
      </c>
      <c r="N51" s="478">
        <v>-120000</v>
      </c>
      <c r="O51" s="459">
        <f t="shared" si="8"/>
        <v>80000</v>
      </c>
      <c r="P51" s="460">
        <f t="shared" si="9"/>
        <v>-0.66666666666666663</v>
      </c>
      <c r="Q51" s="454"/>
      <c r="R51" s="456">
        <v>0</v>
      </c>
      <c r="S51" s="456">
        <v>0</v>
      </c>
      <c r="T51" s="456">
        <v>-40000</v>
      </c>
      <c r="U51" s="456">
        <v>0</v>
      </c>
      <c r="V51" s="456">
        <v>0</v>
      </c>
      <c r="W51" s="461">
        <f t="shared" si="10"/>
        <v>0</v>
      </c>
      <c r="X51" s="487">
        <f t="shared" si="5"/>
        <v>-40000</v>
      </c>
    </row>
    <row r="52" spans="2:24" ht="15.6" hidden="1">
      <c r="B52" s="466" t="s">
        <v>975</v>
      </c>
      <c r="C52" s="462" t="s">
        <v>870</v>
      </c>
      <c r="D52" s="465" t="s">
        <v>337</v>
      </c>
      <c r="E52" s="465" t="s">
        <v>336</v>
      </c>
      <c r="F52" s="465" t="s">
        <v>871</v>
      </c>
      <c r="G52" s="467" t="s">
        <v>266</v>
      </c>
      <c r="H52" s="469" t="s">
        <v>147</v>
      </c>
      <c r="I52" s="424">
        <v>-15637.12</v>
      </c>
      <c r="J52" s="424">
        <v>-15637.12</v>
      </c>
      <c r="K52" s="454"/>
      <c r="L52" s="457"/>
      <c r="M52" s="458">
        <f t="shared" si="7"/>
        <v>-15637.12</v>
      </c>
      <c r="N52" s="478">
        <v>-42688.94</v>
      </c>
      <c r="O52" s="459">
        <f t="shared" si="8"/>
        <v>27051.82</v>
      </c>
      <c r="P52" s="460">
        <f t="shared" si="9"/>
        <v>-0.63369622201909903</v>
      </c>
      <c r="Q52" s="454"/>
      <c r="R52" s="456">
        <v>0</v>
      </c>
      <c r="S52" s="456">
        <v>0</v>
      </c>
      <c r="T52" s="456">
        <v>0</v>
      </c>
      <c r="U52" s="456">
        <v>0</v>
      </c>
      <c r="V52" s="456">
        <v>-15637.12</v>
      </c>
      <c r="W52" s="461">
        <f t="shared" si="10"/>
        <v>0</v>
      </c>
      <c r="X52" s="487">
        <f t="shared" si="5"/>
        <v>-15637.12</v>
      </c>
    </row>
    <row r="53" spans="2:24" ht="15.6" hidden="1">
      <c r="B53" s="466" t="s">
        <v>975</v>
      </c>
      <c r="C53" s="462" t="s">
        <v>870</v>
      </c>
      <c r="D53" s="465" t="s">
        <v>885</v>
      </c>
      <c r="E53" s="465" t="s">
        <v>886</v>
      </c>
      <c r="F53" s="465" t="s">
        <v>871</v>
      </c>
      <c r="G53" s="467" t="s">
        <v>266</v>
      </c>
      <c r="H53" s="469" t="s">
        <v>147</v>
      </c>
      <c r="I53" s="424">
        <v>-33300</v>
      </c>
      <c r="J53" s="424">
        <v>-33300</v>
      </c>
      <c r="K53" s="454"/>
      <c r="L53" s="457"/>
      <c r="M53" s="458">
        <f t="shared" si="7"/>
        <v>-33300</v>
      </c>
      <c r="N53" s="478">
        <v>0</v>
      </c>
      <c r="O53" s="459">
        <f t="shared" si="8"/>
        <v>-33300</v>
      </c>
      <c r="P53" s="460" t="str">
        <f t="shared" si="9"/>
        <v/>
      </c>
      <c r="Q53" s="454"/>
      <c r="R53" s="456">
        <v>-33300</v>
      </c>
      <c r="S53" s="456">
        <v>0</v>
      </c>
      <c r="T53" s="456">
        <v>0</v>
      </c>
      <c r="U53" s="456">
        <v>0</v>
      </c>
      <c r="V53" s="456">
        <v>0</v>
      </c>
      <c r="W53" s="461">
        <f t="shared" si="10"/>
        <v>0</v>
      </c>
      <c r="X53" s="487">
        <f t="shared" si="5"/>
        <v>0</v>
      </c>
    </row>
    <row r="54" spans="2:24" ht="15.6" hidden="1">
      <c r="B54" s="466" t="s">
        <v>975</v>
      </c>
      <c r="C54" s="462" t="s">
        <v>870</v>
      </c>
      <c r="D54" s="465" t="s">
        <v>519</v>
      </c>
      <c r="E54" s="465" t="s">
        <v>518</v>
      </c>
      <c r="F54" s="465" t="s">
        <v>871</v>
      </c>
      <c r="G54" s="467" t="s">
        <v>266</v>
      </c>
      <c r="H54" s="469" t="s">
        <v>147</v>
      </c>
      <c r="I54" s="424">
        <v>0</v>
      </c>
      <c r="J54" s="424">
        <v>0</v>
      </c>
      <c r="K54" s="454"/>
      <c r="L54" s="457"/>
      <c r="M54" s="458">
        <f t="shared" si="7"/>
        <v>0</v>
      </c>
      <c r="N54" s="478">
        <v>-29410.38</v>
      </c>
      <c r="O54" s="459">
        <f t="shared" si="8"/>
        <v>29410.38</v>
      </c>
      <c r="P54" s="460">
        <f t="shared" si="9"/>
        <v>-1</v>
      </c>
      <c r="Q54" s="454"/>
      <c r="R54" s="456">
        <v>0</v>
      </c>
      <c r="S54" s="456">
        <v>0</v>
      </c>
      <c r="T54" s="456">
        <v>0</v>
      </c>
      <c r="U54" s="456">
        <v>0</v>
      </c>
      <c r="V54" s="456">
        <v>0</v>
      </c>
      <c r="W54" s="461">
        <f t="shared" si="10"/>
        <v>0</v>
      </c>
      <c r="X54" s="487">
        <f t="shared" si="5"/>
        <v>0</v>
      </c>
    </row>
    <row r="55" spans="2:24" ht="15.6" hidden="1">
      <c r="B55" s="466" t="s">
        <v>975</v>
      </c>
      <c r="C55" s="462" t="s">
        <v>870</v>
      </c>
      <c r="D55" s="465" t="s">
        <v>201</v>
      </c>
      <c r="E55" s="465" t="s">
        <v>200</v>
      </c>
      <c r="F55" s="465" t="s">
        <v>871</v>
      </c>
      <c r="G55" s="467" t="s">
        <v>266</v>
      </c>
      <c r="H55" s="469" t="s">
        <v>147</v>
      </c>
      <c r="I55" s="424">
        <v>-2189774.58</v>
      </c>
      <c r="J55" s="424">
        <v>-2189774.58</v>
      </c>
      <c r="K55" s="454"/>
      <c r="L55" s="457"/>
      <c r="M55" s="458">
        <f t="shared" si="7"/>
        <v>-2189774.58</v>
      </c>
      <c r="N55" s="478">
        <v>-2957254.19</v>
      </c>
      <c r="O55" s="459">
        <f t="shared" si="8"/>
        <v>767479.60999999987</v>
      </c>
      <c r="P55" s="460">
        <f t="shared" si="9"/>
        <v>-0.25952439685274398</v>
      </c>
      <c r="Q55" s="454" t="s">
        <v>1003</v>
      </c>
      <c r="R55" s="456">
        <v>0</v>
      </c>
      <c r="S55" s="456">
        <v>-70000</v>
      </c>
      <c r="T55" s="456">
        <v>-910671.69</v>
      </c>
      <c r="U55" s="456">
        <v>-40377.35</v>
      </c>
      <c r="V55" s="456">
        <v>-1168725.54</v>
      </c>
      <c r="W55" s="461">
        <f t="shared" si="10"/>
        <v>0</v>
      </c>
      <c r="X55" s="487">
        <f>T55+U55+V55</f>
        <v>-2119774.58</v>
      </c>
    </row>
    <row r="56" spans="2:24" ht="15.6" hidden="1">
      <c r="B56" s="466" t="s">
        <v>975</v>
      </c>
      <c r="C56" s="462" t="s">
        <v>870</v>
      </c>
      <c r="D56" s="465" t="s">
        <v>171</v>
      </c>
      <c r="E56" s="465" t="s">
        <v>170</v>
      </c>
      <c r="F56" s="465" t="s">
        <v>871</v>
      </c>
      <c r="G56" s="467" t="s">
        <v>266</v>
      </c>
      <c r="H56" s="469" t="s">
        <v>147</v>
      </c>
      <c r="I56" s="424">
        <v>-28155.34</v>
      </c>
      <c r="J56" s="424">
        <v>-28155.34</v>
      </c>
      <c r="K56" s="454"/>
      <c r="L56" s="457"/>
      <c r="M56" s="458">
        <f t="shared" si="7"/>
        <v>-28155.34</v>
      </c>
      <c r="N56" s="478">
        <v>-83808.66</v>
      </c>
      <c r="O56" s="459">
        <f t="shared" si="8"/>
        <v>55653.320000000007</v>
      </c>
      <c r="P56" s="460">
        <f t="shared" si="9"/>
        <v>-0.66405213971921284</v>
      </c>
      <c r="Q56" s="454"/>
      <c r="R56" s="456">
        <v>0</v>
      </c>
      <c r="S56" s="456">
        <v>-28155.34</v>
      </c>
      <c r="T56" s="456">
        <v>0</v>
      </c>
      <c r="U56" s="456">
        <v>0</v>
      </c>
      <c r="V56" s="456">
        <v>0</v>
      </c>
      <c r="W56" s="461">
        <f t="shared" si="10"/>
        <v>0</v>
      </c>
      <c r="X56" s="487">
        <f t="shared" si="5"/>
        <v>0</v>
      </c>
    </row>
    <row r="57" spans="2:24" ht="15.6" hidden="1">
      <c r="B57" s="466" t="s">
        <v>975</v>
      </c>
      <c r="C57" s="462" t="s">
        <v>870</v>
      </c>
      <c r="D57" s="465" t="s">
        <v>391</v>
      </c>
      <c r="E57" s="465" t="s">
        <v>390</v>
      </c>
      <c r="F57" s="465" t="s">
        <v>871</v>
      </c>
      <c r="G57" s="467" t="s">
        <v>266</v>
      </c>
      <c r="H57" s="469" t="s">
        <v>147</v>
      </c>
      <c r="I57" s="424">
        <v>-216627.45</v>
      </c>
      <c r="J57" s="424">
        <v>-216627.45</v>
      </c>
      <c r="K57" s="454"/>
      <c r="L57" s="457"/>
      <c r="M57" s="458">
        <f t="shared" si="7"/>
        <v>-216627.45</v>
      </c>
      <c r="N57" s="478">
        <v>-83911.7</v>
      </c>
      <c r="O57" s="459">
        <f t="shared" si="8"/>
        <v>-132715.75</v>
      </c>
      <c r="P57" s="460">
        <f t="shared" si="9"/>
        <v>1.581611980212533</v>
      </c>
      <c r="Q57" s="454"/>
      <c r="R57" s="456">
        <v>-91766.99</v>
      </c>
      <c r="S57" s="456">
        <v>-114202.46</v>
      </c>
      <c r="T57" s="456">
        <v>-10658</v>
      </c>
      <c r="U57" s="456">
        <v>0</v>
      </c>
      <c r="V57" s="456">
        <v>0</v>
      </c>
      <c r="W57" s="461">
        <f t="shared" si="10"/>
        <v>0</v>
      </c>
      <c r="X57" s="487">
        <f t="shared" si="5"/>
        <v>-10658</v>
      </c>
    </row>
    <row r="58" spans="2:24" ht="15.6" hidden="1">
      <c r="B58" s="466" t="s">
        <v>975</v>
      </c>
      <c r="C58" s="462" t="s">
        <v>870</v>
      </c>
      <c r="D58" s="465" t="s">
        <v>467</v>
      </c>
      <c r="E58" s="465" t="s">
        <v>466</v>
      </c>
      <c r="F58" s="465" t="s">
        <v>871</v>
      </c>
      <c r="G58" s="467" t="s">
        <v>266</v>
      </c>
      <c r="H58" s="469" t="s">
        <v>147</v>
      </c>
      <c r="I58" s="424">
        <v>-914.6</v>
      </c>
      <c r="J58" s="424">
        <v>-914.6</v>
      </c>
      <c r="K58" s="454"/>
      <c r="L58" s="457"/>
      <c r="M58" s="458">
        <f t="shared" si="7"/>
        <v>-914.6</v>
      </c>
      <c r="N58" s="478">
        <v>-4573</v>
      </c>
      <c r="O58" s="459">
        <f t="shared" si="8"/>
        <v>3658.4</v>
      </c>
      <c r="P58" s="460">
        <f t="shared" si="9"/>
        <v>-0.8</v>
      </c>
      <c r="Q58" s="454"/>
      <c r="R58" s="456">
        <v>0</v>
      </c>
      <c r="S58" s="456">
        <v>0</v>
      </c>
      <c r="T58" s="456">
        <v>-914.6</v>
      </c>
      <c r="U58" s="456">
        <v>0</v>
      </c>
      <c r="V58" s="456">
        <v>0</v>
      </c>
      <c r="W58" s="461">
        <f t="shared" si="10"/>
        <v>0</v>
      </c>
      <c r="X58" s="487">
        <f t="shared" si="5"/>
        <v>-914.6</v>
      </c>
    </row>
    <row r="59" spans="2:24" ht="15.6" hidden="1">
      <c r="B59" s="466" t="s">
        <v>975</v>
      </c>
      <c r="C59" s="462" t="s">
        <v>870</v>
      </c>
      <c r="D59" s="465" t="s">
        <v>279</v>
      </c>
      <c r="E59" s="465" t="s">
        <v>278</v>
      </c>
      <c r="F59" s="465" t="s">
        <v>871</v>
      </c>
      <c r="G59" s="467" t="s">
        <v>266</v>
      </c>
      <c r="H59" s="469" t="s">
        <v>147</v>
      </c>
      <c r="I59" s="424">
        <v>-1588352.2</v>
      </c>
      <c r="J59" s="424">
        <v>-1588352.2</v>
      </c>
      <c r="K59" s="454"/>
      <c r="L59" s="457"/>
      <c r="M59" s="458">
        <f t="shared" si="7"/>
        <v>-1588352.2</v>
      </c>
      <c r="N59" s="478">
        <v>-925042.52</v>
      </c>
      <c r="O59" s="459">
        <f t="shared" si="8"/>
        <v>-663309.67999999993</v>
      </c>
      <c r="P59" s="460">
        <f t="shared" si="9"/>
        <v>0.71705858450701265</v>
      </c>
      <c r="Q59" s="454"/>
      <c r="R59" s="456">
        <v>-1372547.17</v>
      </c>
      <c r="S59" s="456">
        <v>-209675.3</v>
      </c>
      <c r="T59" s="456">
        <v>0</v>
      </c>
      <c r="U59" s="456">
        <v>-1760.8</v>
      </c>
      <c r="V59" s="456">
        <v>-4368.93</v>
      </c>
      <c r="W59" s="461">
        <f t="shared" si="10"/>
        <v>0</v>
      </c>
      <c r="X59" s="487">
        <f t="shared" si="5"/>
        <v>-6129.7300000000005</v>
      </c>
    </row>
    <row r="60" spans="2:24" ht="15.6" hidden="1">
      <c r="B60" s="466" t="s">
        <v>975</v>
      </c>
      <c r="C60" s="462" t="s">
        <v>870</v>
      </c>
      <c r="D60" s="465" t="s">
        <v>191</v>
      </c>
      <c r="E60" s="465" t="s">
        <v>190</v>
      </c>
      <c r="F60" s="465" t="s">
        <v>871</v>
      </c>
      <c r="G60" s="467" t="s">
        <v>266</v>
      </c>
      <c r="H60" s="469" t="s">
        <v>147</v>
      </c>
      <c r="I60" s="424">
        <v>-157102.51999999999</v>
      </c>
      <c r="J60" s="424">
        <v>-157102.51999999999</v>
      </c>
      <c r="K60" s="454"/>
      <c r="L60" s="457"/>
      <c r="M60" s="458">
        <f t="shared" si="7"/>
        <v>-157102.51999999999</v>
      </c>
      <c r="N60" s="478">
        <v>-280000</v>
      </c>
      <c r="O60" s="459">
        <f t="shared" si="8"/>
        <v>122897.48000000001</v>
      </c>
      <c r="P60" s="460">
        <f t="shared" si="9"/>
        <v>-0.43891957142857146</v>
      </c>
      <c r="Q60" s="454"/>
      <c r="R60" s="456">
        <v>-157102.51999999999</v>
      </c>
      <c r="S60" s="456">
        <v>0</v>
      </c>
      <c r="T60" s="456">
        <v>0</v>
      </c>
      <c r="U60" s="456">
        <v>0</v>
      </c>
      <c r="V60" s="456">
        <v>0</v>
      </c>
      <c r="W60" s="461">
        <f t="shared" si="10"/>
        <v>0</v>
      </c>
      <c r="X60" s="487">
        <f t="shared" si="5"/>
        <v>0</v>
      </c>
    </row>
    <row r="61" spans="2:24" ht="15.6" hidden="1">
      <c r="B61" s="466" t="s">
        <v>975</v>
      </c>
      <c r="C61" s="462" t="s">
        <v>870</v>
      </c>
      <c r="D61" s="465" t="s">
        <v>273</v>
      </c>
      <c r="E61" s="465" t="s">
        <v>272</v>
      </c>
      <c r="F61" s="465" t="s">
        <v>871</v>
      </c>
      <c r="G61" s="467" t="s">
        <v>266</v>
      </c>
      <c r="H61" s="469" t="s">
        <v>147</v>
      </c>
      <c r="I61" s="424">
        <v>-319104.37</v>
      </c>
      <c r="J61" s="424">
        <v>-319104.37</v>
      </c>
      <c r="K61" s="454"/>
      <c r="L61" s="457"/>
      <c r="M61" s="458">
        <f t="shared" si="7"/>
        <v>-319104.37</v>
      </c>
      <c r="N61" s="478">
        <v>-430833.61</v>
      </c>
      <c r="O61" s="459">
        <f t="shared" si="8"/>
        <v>111729.23999999999</v>
      </c>
      <c r="P61" s="460">
        <f t="shared" si="9"/>
        <v>-0.25933269226604672</v>
      </c>
      <c r="Q61" s="454"/>
      <c r="R61" s="456">
        <v>0</v>
      </c>
      <c r="S61" s="456">
        <v>-314250</v>
      </c>
      <c r="T61" s="456">
        <v>-4716.9799999999996</v>
      </c>
      <c r="U61" s="456">
        <v>-137.38999999999999</v>
      </c>
      <c r="V61" s="456">
        <v>0</v>
      </c>
      <c r="W61" s="461">
        <f t="shared" si="10"/>
        <v>0</v>
      </c>
      <c r="X61" s="487">
        <f t="shared" si="5"/>
        <v>-4854.37</v>
      </c>
    </row>
    <row r="62" spans="2:24" ht="15.6" hidden="1">
      <c r="B62" s="466" t="s">
        <v>975</v>
      </c>
      <c r="C62" s="462" t="s">
        <v>870</v>
      </c>
      <c r="D62" s="465" t="s">
        <v>297</v>
      </c>
      <c r="E62" s="465" t="s">
        <v>296</v>
      </c>
      <c r="F62" s="465" t="s">
        <v>871</v>
      </c>
      <c r="G62" s="467" t="s">
        <v>266</v>
      </c>
      <c r="H62" s="469" t="s">
        <v>147</v>
      </c>
      <c r="I62" s="424">
        <v>-13365</v>
      </c>
      <c r="J62" s="424">
        <v>-13365</v>
      </c>
      <c r="K62" s="454"/>
      <c r="L62" s="457"/>
      <c r="M62" s="458">
        <f t="shared" si="7"/>
        <v>-13365</v>
      </c>
      <c r="N62" s="478">
        <v>-11852.8</v>
      </c>
      <c r="O62" s="459">
        <f t="shared" si="8"/>
        <v>-1512.2000000000007</v>
      </c>
      <c r="P62" s="460">
        <f t="shared" si="9"/>
        <v>0.12758166846652275</v>
      </c>
      <c r="Q62" s="454"/>
      <c r="R62" s="456">
        <v>0</v>
      </c>
      <c r="S62" s="456">
        <v>0</v>
      </c>
      <c r="T62" s="456">
        <v>0</v>
      </c>
      <c r="U62" s="456">
        <v>0</v>
      </c>
      <c r="V62" s="456">
        <v>-13365</v>
      </c>
      <c r="W62" s="461">
        <f t="shared" si="10"/>
        <v>0</v>
      </c>
      <c r="X62" s="487">
        <f t="shared" si="5"/>
        <v>-13365</v>
      </c>
    </row>
    <row r="63" spans="2:24" ht="15.6" hidden="1">
      <c r="B63" s="466" t="s">
        <v>975</v>
      </c>
      <c r="C63" s="462" t="s">
        <v>870</v>
      </c>
      <c r="D63" s="465" t="s">
        <v>361</v>
      </c>
      <c r="E63" s="465" t="s">
        <v>360</v>
      </c>
      <c r="F63" s="465" t="s">
        <v>871</v>
      </c>
      <c r="G63" s="467" t="s">
        <v>266</v>
      </c>
      <c r="H63" s="469" t="s">
        <v>147</v>
      </c>
      <c r="I63" s="424">
        <v>-25767.17</v>
      </c>
      <c r="J63" s="424">
        <v>-25767.17</v>
      </c>
      <c r="K63" s="454"/>
      <c r="L63" s="457"/>
      <c r="M63" s="458">
        <f t="shared" si="7"/>
        <v>-25767.17</v>
      </c>
      <c r="N63" s="478">
        <v>-25767.17</v>
      </c>
      <c r="O63" s="459">
        <f t="shared" si="8"/>
        <v>0</v>
      </c>
      <c r="P63" s="460">
        <f t="shared" si="9"/>
        <v>0</v>
      </c>
      <c r="Q63" s="454"/>
      <c r="R63" s="456">
        <v>0</v>
      </c>
      <c r="S63" s="456">
        <v>0</v>
      </c>
      <c r="T63" s="456">
        <v>0</v>
      </c>
      <c r="U63" s="456">
        <v>0</v>
      </c>
      <c r="V63" s="456">
        <v>-25767.17</v>
      </c>
      <c r="W63" s="461">
        <f t="shared" si="10"/>
        <v>0</v>
      </c>
      <c r="X63" s="487">
        <f t="shared" si="5"/>
        <v>-25767.17</v>
      </c>
    </row>
    <row r="64" spans="2:24" ht="15.6" hidden="1">
      <c r="B64" s="466" t="s">
        <v>975</v>
      </c>
      <c r="C64" s="462" t="s">
        <v>870</v>
      </c>
      <c r="D64" s="465" t="s">
        <v>421</v>
      </c>
      <c r="E64" s="465" t="s">
        <v>420</v>
      </c>
      <c r="F64" s="465" t="s">
        <v>871</v>
      </c>
      <c r="G64" s="467" t="s">
        <v>266</v>
      </c>
      <c r="H64" s="469" t="s">
        <v>147</v>
      </c>
      <c r="I64" s="424">
        <v>-92679.61</v>
      </c>
      <c r="J64" s="424">
        <v>-92679.61</v>
      </c>
      <c r="K64" s="454"/>
      <c r="L64" s="457"/>
      <c r="M64" s="458">
        <f t="shared" si="7"/>
        <v>-92679.61</v>
      </c>
      <c r="N64" s="478">
        <v>-92679.61</v>
      </c>
      <c r="O64" s="459">
        <f t="shared" si="8"/>
        <v>0</v>
      </c>
      <c r="P64" s="460">
        <f t="shared" si="9"/>
        <v>0</v>
      </c>
      <c r="Q64" s="454"/>
      <c r="R64" s="456">
        <v>0</v>
      </c>
      <c r="S64" s="456">
        <v>0</v>
      </c>
      <c r="T64" s="456">
        <v>-92679.61</v>
      </c>
      <c r="U64" s="456">
        <v>0</v>
      </c>
      <c r="V64" s="456">
        <v>0</v>
      </c>
      <c r="W64" s="461">
        <f t="shared" si="10"/>
        <v>0</v>
      </c>
      <c r="X64" s="487">
        <f t="shared" si="5"/>
        <v>-92679.61</v>
      </c>
    </row>
    <row r="65" spans="2:24" ht="15.6" hidden="1">
      <c r="B65" s="466" t="s">
        <v>975</v>
      </c>
      <c r="C65" s="462" t="s">
        <v>870</v>
      </c>
      <c r="D65" s="465" t="s">
        <v>205</v>
      </c>
      <c r="E65" s="465" t="s">
        <v>204</v>
      </c>
      <c r="F65" s="465" t="s">
        <v>871</v>
      </c>
      <c r="G65" s="467" t="s">
        <v>266</v>
      </c>
      <c r="H65" s="469" t="s">
        <v>147</v>
      </c>
      <c r="I65" s="424">
        <v>-1030997.95</v>
      </c>
      <c r="J65" s="424">
        <v>-1030997.95</v>
      </c>
      <c r="K65" s="454"/>
      <c r="L65" s="457"/>
      <c r="M65" s="458">
        <f t="shared" si="7"/>
        <v>-1030997.95</v>
      </c>
      <c r="N65" s="478">
        <v>-178941.75</v>
      </c>
      <c r="O65" s="459">
        <f t="shared" si="8"/>
        <v>-852056.2</v>
      </c>
      <c r="P65" s="460">
        <f t="shared" si="9"/>
        <v>4.7616400309039113</v>
      </c>
      <c r="Q65" s="454"/>
      <c r="R65" s="456">
        <v>-986997.95</v>
      </c>
      <c r="S65" s="456">
        <v>0</v>
      </c>
      <c r="T65" s="456">
        <v>0</v>
      </c>
      <c r="U65" s="456">
        <v>-44000</v>
      </c>
      <c r="V65" s="456">
        <v>0</v>
      </c>
      <c r="W65" s="461">
        <f t="shared" si="10"/>
        <v>0</v>
      </c>
      <c r="X65" s="487">
        <f t="shared" si="5"/>
        <v>-44000</v>
      </c>
    </row>
    <row r="66" spans="2:24" ht="15.6" hidden="1">
      <c r="B66" s="466" t="s">
        <v>975</v>
      </c>
      <c r="C66" s="462" t="s">
        <v>870</v>
      </c>
      <c r="D66" s="465" t="s">
        <v>505</v>
      </c>
      <c r="E66" s="465" t="s">
        <v>504</v>
      </c>
      <c r="F66" s="465" t="s">
        <v>871</v>
      </c>
      <c r="G66" s="467" t="s">
        <v>266</v>
      </c>
      <c r="H66" s="469" t="s">
        <v>147</v>
      </c>
      <c r="I66" s="424">
        <v>-78178.22</v>
      </c>
      <c r="J66" s="424">
        <v>-78178.22</v>
      </c>
      <c r="K66" s="454"/>
      <c r="L66" s="457"/>
      <c r="M66" s="458">
        <f t="shared" si="7"/>
        <v>-78178.22</v>
      </c>
      <c r="N66" s="478">
        <v>-86930.69</v>
      </c>
      <c r="O66" s="459">
        <f t="shared" si="8"/>
        <v>8752.4700000000012</v>
      </c>
      <c r="P66" s="460">
        <f t="shared" si="9"/>
        <v>-0.10068331448881863</v>
      </c>
      <c r="Q66" s="454"/>
      <c r="R66" s="456">
        <v>-15000</v>
      </c>
      <c r="S66" s="456">
        <v>-63178.22</v>
      </c>
      <c r="T66" s="456">
        <v>0</v>
      </c>
      <c r="U66" s="456">
        <v>0</v>
      </c>
      <c r="V66" s="456">
        <v>0</v>
      </c>
      <c r="W66" s="461">
        <f t="shared" si="10"/>
        <v>0</v>
      </c>
      <c r="X66" s="487">
        <f t="shared" si="5"/>
        <v>0</v>
      </c>
    </row>
    <row r="67" spans="2:24" ht="15.6" hidden="1">
      <c r="B67" s="466" t="s">
        <v>975</v>
      </c>
      <c r="C67" s="462" t="s">
        <v>870</v>
      </c>
      <c r="D67" s="465" t="s">
        <v>229</v>
      </c>
      <c r="E67" s="465" t="s">
        <v>228</v>
      </c>
      <c r="F67" s="465" t="s">
        <v>871</v>
      </c>
      <c r="G67" s="467" t="s">
        <v>266</v>
      </c>
      <c r="H67" s="469" t="s">
        <v>147</v>
      </c>
      <c r="I67" s="424">
        <v>-2130188.6800000002</v>
      </c>
      <c r="J67" s="424">
        <v>-2130188.6800000002</v>
      </c>
      <c r="K67" s="454"/>
      <c r="L67" s="457"/>
      <c r="M67" s="458">
        <f t="shared" si="7"/>
        <v>-2130188.6800000002</v>
      </c>
      <c r="N67" s="478">
        <v>-1300000</v>
      </c>
      <c r="O67" s="459">
        <f t="shared" si="8"/>
        <v>-830188.68000000017</v>
      </c>
      <c r="P67" s="460">
        <f t="shared" si="9"/>
        <v>0.63860667692307704</v>
      </c>
      <c r="Q67" s="454"/>
      <c r="R67" s="456">
        <v>0</v>
      </c>
      <c r="S67" s="456">
        <v>-1130188.68</v>
      </c>
      <c r="T67" s="456">
        <v>-1000000</v>
      </c>
      <c r="U67" s="456">
        <v>0</v>
      </c>
      <c r="V67" s="456">
        <v>0</v>
      </c>
      <c r="W67" s="461">
        <f t="shared" si="10"/>
        <v>0</v>
      </c>
      <c r="X67" s="487">
        <f t="shared" si="5"/>
        <v>-1000000</v>
      </c>
    </row>
    <row r="68" spans="2:24" ht="15.6" hidden="1">
      <c r="B68" s="466" t="s">
        <v>975</v>
      </c>
      <c r="C68" s="462" t="s">
        <v>870</v>
      </c>
      <c r="D68" s="465" t="s">
        <v>423</v>
      </c>
      <c r="E68" s="465" t="s">
        <v>422</v>
      </c>
      <c r="F68" s="465" t="s">
        <v>871</v>
      </c>
      <c r="G68" s="467" t="s">
        <v>266</v>
      </c>
      <c r="H68" s="469" t="s">
        <v>147</v>
      </c>
      <c r="I68" s="424">
        <v>-1314960.69</v>
      </c>
      <c r="J68" s="424">
        <v>-1314960.69</v>
      </c>
      <c r="K68" s="454"/>
      <c r="L68" s="457"/>
      <c r="M68" s="458">
        <f t="shared" si="7"/>
        <v>-1314960.69</v>
      </c>
      <c r="N68" s="478">
        <v>-376470.12</v>
      </c>
      <c r="O68" s="459">
        <f t="shared" si="8"/>
        <v>-938490.57</v>
      </c>
      <c r="P68" s="460">
        <f t="shared" si="9"/>
        <v>2.4928686770679169</v>
      </c>
      <c r="Q68" s="454"/>
      <c r="R68" s="456">
        <v>-938490.57</v>
      </c>
      <c r="S68" s="456">
        <v>0</v>
      </c>
      <c r="T68" s="456">
        <v>0</v>
      </c>
      <c r="U68" s="456">
        <v>-103347.57</v>
      </c>
      <c r="V68" s="456">
        <v>-273122.55</v>
      </c>
      <c r="W68" s="461">
        <f t="shared" si="10"/>
        <v>0</v>
      </c>
      <c r="X68" s="487">
        <f t="shared" si="5"/>
        <v>-376470.12</v>
      </c>
    </row>
    <row r="69" spans="2:24" ht="15.6" hidden="1">
      <c r="B69" s="466" t="s">
        <v>975</v>
      </c>
      <c r="C69" s="462" t="s">
        <v>870</v>
      </c>
      <c r="D69" s="465" t="s">
        <v>387</v>
      </c>
      <c r="E69" s="465" t="s">
        <v>386</v>
      </c>
      <c r="F69" s="465" t="s">
        <v>871</v>
      </c>
      <c r="G69" s="467" t="s">
        <v>266</v>
      </c>
      <c r="H69" s="469" t="s">
        <v>147</v>
      </c>
      <c r="I69" s="424">
        <v>0</v>
      </c>
      <c r="J69" s="424">
        <v>0</v>
      </c>
      <c r="K69" s="454"/>
      <c r="L69" s="457"/>
      <c r="M69" s="458">
        <f t="shared" si="7"/>
        <v>0</v>
      </c>
      <c r="N69" s="478">
        <v>-147764</v>
      </c>
      <c r="O69" s="459">
        <f t="shared" si="8"/>
        <v>147764</v>
      </c>
      <c r="P69" s="460">
        <f t="shared" si="9"/>
        <v>-1</v>
      </c>
      <c r="Q69" s="454"/>
      <c r="R69" s="456">
        <v>0</v>
      </c>
      <c r="S69" s="456">
        <v>0</v>
      </c>
      <c r="T69" s="456">
        <v>0</v>
      </c>
      <c r="U69" s="456">
        <v>0</v>
      </c>
      <c r="V69" s="456">
        <v>0</v>
      </c>
      <c r="W69" s="461">
        <f t="shared" si="10"/>
        <v>0</v>
      </c>
      <c r="X69" s="487">
        <f t="shared" si="5"/>
        <v>0</v>
      </c>
    </row>
    <row r="70" spans="2:24" ht="15.6" hidden="1">
      <c r="B70" s="466" t="s">
        <v>975</v>
      </c>
      <c r="C70" s="462" t="s">
        <v>870</v>
      </c>
      <c r="D70" s="465" t="s">
        <v>401</v>
      </c>
      <c r="E70" s="465" t="s">
        <v>400</v>
      </c>
      <c r="F70" s="465" t="s">
        <v>871</v>
      </c>
      <c r="G70" s="467" t="s">
        <v>266</v>
      </c>
      <c r="H70" s="469" t="s">
        <v>147</v>
      </c>
      <c r="I70" s="424">
        <v>-184903.7</v>
      </c>
      <c r="J70" s="424">
        <v>-184903.7</v>
      </c>
      <c r="K70" s="454"/>
      <c r="L70" s="457"/>
      <c r="M70" s="458">
        <f t="shared" si="7"/>
        <v>-184903.7</v>
      </c>
      <c r="N70" s="478">
        <v>-184903.7</v>
      </c>
      <c r="O70" s="459">
        <f t="shared" si="8"/>
        <v>0</v>
      </c>
      <c r="P70" s="460">
        <f t="shared" si="9"/>
        <v>0</v>
      </c>
      <c r="Q70" s="454"/>
      <c r="R70" s="456">
        <v>0</v>
      </c>
      <c r="S70" s="456">
        <v>0</v>
      </c>
      <c r="T70" s="456">
        <v>0</v>
      </c>
      <c r="U70" s="456">
        <v>-58752.18</v>
      </c>
      <c r="V70" s="456">
        <v>-126151.52</v>
      </c>
      <c r="W70" s="461">
        <f t="shared" si="10"/>
        <v>0</v>
      </c>
      <c r="X70" s="487">
        <f t="shared" si="5"/>
        <v>-184903.7</v>
      </c>
    </row>
    <row r="71" spans="2:24" ht="15.6" hidden="1">
      <c r="B71" s="466" t="s">
        <v>975</v>
      </c>
      <c r="C71" s="462" t="s">
        <v>870</v>
      </c>
      <c r="D71" s="465" t="s">
        <v>525</v>
      </c>
      <c r="E71" s="465" t="s">
        <v>524</v>
      </c>
      <c r="F71" s="465" t="s">
        <v>871</v>
      </c>
      <c r="G71" s="467" t="s">
        <v>266</v>
      </c>
      <c r="H71" s="469" t="s">
        <v>147</v>
      </c>
      <c r="I71" s="424">
        <v>0</v>
      </c>
      <c r="J71" s="424">
        <v>0</v>
      </c>
      <c r="K71" s="454"/>
      <c r="L71" s="457"/>
      <c r="M71" s="458">
        <f t="shared" si="7"/>
        <v>0</v>
      </c>
      <c r="N71" s="478">
        <v>-10000</v>
      </c>
      <c r="O71" s="459">
        <f t="shared" si="8"/>
        <v>10000</v>
      </c>
      <c r="P71" s="460">
        <f t="shared" si="9"/>
        <v>-1</v>
      </c>
      <c r="Q71" s="454"/>
      <c r="R71" s="456">
        <v>0</v>
      </c>
      <c r="S71" s="456">
        <v>0</v>
      </c>
      <c r="T71" s="456">
        <v>0</v>
      </c>
      <c r="U71" s="456">
        <v>0</v>
      </c>
      <c r="V71" s="456">
        <v>0</v>
      </c>
      <c r="W71" s="461">
        <f t="shared" si="10"/>
        <v>0</v>
      </c>
      <c r="X71" s="487">
        <f t="shared" si="5"/>
        <v>0</v>
      </c>
    </row>
    <row r="72" spans="2:24" ht="15.6" hidden="1">
      <c r="B72" s="466" t="s">
        <v>975</v>
      </c>
      <c r="C72" s="462" t="s">
        <v>870</v>
      </c>
      <c r="D72" s="465" t="s">
        <v>359</v>
      </c>
      <c r="E72" s="465" t="s">
        <v>358</v>
      </c>
      <c r="F72" s="465" t="s">
        <v>871</v>
      </c>
      <c r="G72" s="467" t="s">
        <v>266</v>
      </c>
      <c r="H72" s="469" t="s">
        <v>147</v>
      </c>
      <c r="I72" s="424">
        <v>-2691.26</v>
      </c>
      <c r="J72" s="424">
        <v>-2691.26</v>
      </c>
      <c r="K72" s="454"/>
      <c r="L72" s="457"/>
      <c r="M72" s="458">
        <f t="shared" si="7"/>
        <v>-2691.26</v>
      </c>
      <c r="N72" s="478">
        <v>-2691.26</v>
      </c>
      <c r="O72" s="459">
        <f t="shared" si="8"/>
        <v>0</v>
      </c>
      <c r="P72" s="460">
        <f t="shared" si="9"/>
        <v>0</v>
      </c>
      <c r="Q72" s="454"/>
      <c r="R72" s="456">
        <v>0</v>
      </c>
      <c r="S72" s="456">
        <v>0</v>
      </c>
      <c r="T72" s="456">
        <v>0</v>
      </c>
      <c r="U72" s="456">
        <v>0</v>
      </c>
      <c r="V72" s="456">
        <v>-2691.26</v>
      </c>
      <c r="W72" s="461">
        <f t="shared" si="10"/>
        <v>0</v>
      </c>
      <c r="X72" s="487">
        <f t="shared" ref="X72:X135" si="11">T72+U72+V72</f>
        <v>-2691.26</v>
      </c>
    </row>
    <row r="73" spans="2:24" ht="15.6" hidden="1">
      <c r="B73" s="466" t="s">
        <v>975</v>
      </c>
      <c r="C73" s="462" t="s">
        <v>870</v>
      </c>
      <c r="D73" s="465" t="s">
        <v>289</v>
      </c>
      <c r="E73" s="465" t="s">
        <v>288</v>
      </c>
      <c r="F73" s="465" t="s">
        <v>871</v>
      </c>
      <c r="G73" s="467" t="s">
        <v>266</v>
      </c>
      <c r="H73" s="469" t="s">
        <v>147</v>
      </c>
      <c r="I73" s="424">
        <v>-236929.84</v>
      </c>
      <c r="J73" s="424">
        <v>-236929.84</v>
      </c>
      <c r="K73" s="454"/>
      <c r="L73" s="457"/>
      <c r="M73" s="458">
        <f t="shared" si="7"/>
        <v>-236929.84</v>
      </c>
      <c r="N73" s="478">
        <v>-369005.31</v>
      </c>
      <c r="O73" s="459">
        <f t="shared" si="8"/>
        <v>132075.47</v>
      </c>
      <c r="P73" s="460">
        <f t="shared" si="9"/>
        <v>-0.35792295238244676</v>
      </c>
      <c r="Q73" s="454"/>
      <c r="R73" s="456">
        <v>0</v>
      </c>
      <c r="S73" s="456">
        <v>0</v>
      </c>
      <c r="T73" s="456">
        <v>-132075.47</v>
      </c>
      <c r="U73" s="456">
        <v>-104854.37</v>
      </c>
      <c r="V73" s="456">
        <v>0</v>
      </c>
      <c r="W73" s="461">
        <f t="shared" si="10"/>
        <v>0</v>
      </c>
      <c r="X73" s="487">
        <f t="shared" si="11"/>
        <v>-236929.84</v>
      </c>
    </row>
    <row r="74" spans="2:24" ht="15.6" hidden="1">
      <c r="B74" s="466" t="s">
        <v>975</v>
      </c>
      <c r="C74" s="462" t="s">
        <v>870</v>
      </c>
      <c r="D74" s="465" t="s">
        <v>435</v>
      </c>
      <c r="E74" s="465" t="s">
        <v>434</v>
      </c>
      <c r="F74" s="465" t="s">
        <v>871</v>
      </c>
      <c r="G74" s="467" t="s">
        <v>266</v>
      </c>
      <c r="H74" s="469" t="s">
        <v>147</v>
      </c>
      <c r="I74" s="424">
        <v>-805973.7</v>
      </c>
      <c r="J74" s="424">
        <v>-805973.7</v>
      </c>
      <c r="K74" s="454"/>
      <c r="L74" s="457"/>
      <c r="M74" s="458">
        <f t="shared" si="7"/>
        <v>-805973.7</v>
      </c>
      <c r="N74" s="478">
        <v>-451277.71</v>
      </c>
      <c r="O74" s="459">
        <f t="shared" si="8"/>
        <v>-354695.98999999993</v>
      </c>
      <c r="P74" s="460">
        <f t="shared" si="9"/>
        <v>0.78598162980396247</v>
      </c>
      <c r="Q74" s="454"/>
      <c r="R74" s="456">
        <v>-465297.12</v>
      </c>
      <c r="S74" s="456">
        <v>-255788</v>
      </c>
      <c r="T74" s="456">
        <v>-69354.600000000006</v>
      </c>
      <c r="U74" s="456">
        <v>-15533.98</v>
      </c>
      <c r="V74" s="456">
        <v>0</v>
      </c>
      <c r="W74" s="461">
        <f t="shared" si="10"/>
        <v>0</v>
      </c>
      <c r="X74" s="487">
        <f t="shared" si="11"/>
        <v>-84888.58</v>
      </c>
    </row>
    <row r="75" spans="2:24" ht="15.6" hidden="1">
      <c r="B75" s="466" t="s">
        <v>975</v>
      </c>
      <c r="C75" s="462" t="s">
        <v>870</v>
      </c>
      <c r="D75" s="465" t="s">
        <v>471</v>
      </c>
      <c r="E75" s="465" t="s">
        <v>470</v>
      </c>
      <c r="F75" s="465" t="s">
        <v>871</v>
      </c>
      <c r="G75" s="467" t="s">
        <v>266</v>
      </c>
      <c r="H75" s="469" t="s">
        <v>147</v>
      </c>
      <c r="I75" s="424">
        <v>-620979.18999999994</v>
      </c>
      <c r="J75" s="424">
        <v>-620979.18999999994</v>
      </c>
      <c r="K75" s="454"/>
      <c r="L75" s="457"/>
      <c r="M75" s="458">
        <f t="shared" ref="M75:M138" si="12">J75+L75</f>
        <v>-620979.18999999994</v>
      </c>
      <c r="N75" s="478">
        <v>-930809.14</v>
      </c>
      <c r="O75" s="459">
        <f t="shared" ref="O75:O138" si="13">M75-N75</f>
        <v>309829.95000000007</v>
      </c>
      <c r="P75" s="460">
        <f t="shared" ref="P75:P138" si="14">IF(N75&lt;&gt;0,O75/N75,"")</f>
        <v>-0.33286088058825902</v>
      </c>
      <c r="Q75" s="454"/>
      <c r="R75" s="456">
        <v>-373560.59</v>
      </c>
      <c r="S75" s="456">
        <v>-41071.5</v>
      </c>
      <c r="T75" s="456">
        <v>-113912.5</v>
      </c>
      <c r="U75" s="456">
        <v>-92434.6</v>
      </c>
      <c r="V75" s="456">
        <v>0</v>
      </c>
      <c r="W75" s="461">
        <f t="shared" ref="W75:W138" si="15">SUM(R75:V75)-M75</f>
        <v>0</v>
      </c>
      <c r="X75" s="487">
        <f t="shared" si="11"/>
        <v>-206347.1</v>
      </c>
    </row>
    <row r="76" spans="2:24" ht="15.6" hidden="1">
      <c r="B76" s="466" t="s">
        <v>975</v>
      </c>
      <c r="C76" s="462" t="s">
        <v>870</v>
      </c>
      <c r="D76" s="465" t="s">
        <v>179</v>
      </c>
      <c r="E76" s="465" t="s">
        <v>178</v>
      </c>
      <c r="F76" s="465" t="s">
        <v>871</v>
      </c>
      <c r="G76" s="467" t="s">
        <v>266</v>
      </c>
      <c r="H76" s="469" t="s">
        <v>147</v>
      </c>
      <c r="I76" s="424">
        <v>-300000</v>
      </c>
      <c r="J76" s="424">
        <v>-300000</v>
      </c>
      <c r="K76" s="454"/>
      <c r="L76" s="457"/>
      <c r="M76" s="458">
        <f t="shared" si="12"/>
        <v>-300000</v>
      </c>
      <c r="N76" s="478">
        <v>-300000</v>
      </c>
      <c r="O76" s="459">
        <f t="shared" si="13"/>
        <v>0</v>
      </c>
      <c r="P76" s="460">
        <f t="shared" si="14"/>
        <v>0</v>
      </c>
      <c r="Q76" s="454"/>
      <c r="R76" s="456">
        <v>0</v>
      </c>
      <c r="S76" s="456">
        <v>0</v>
      </c>
      <c r="T76" s="456">
        <v>0</v>
      </c>
      <c r="U76" s="456">
        <v>0</v>
      </c>
      <c r="V76" s="456">
        <v>-300000</v>
      </c>
      <c r="W76" s="461">
        <f t="shared" si="15"/>
        <v>0</v>
      </c>
      <c r="X76" s="487">
        <f t="shared" si="11"/>
        <v>-300000</v>
      </c>
    </row>
    <row r="77" spans="2:24" ht="15.6" hidden="1">
      <c r="B77" s="466" t="s">
        <v>975</v>
      </c>
      <c r="C77" s="462" t="s">
        <v>870</v>
      </c>
      <c r="D77" s="465" t="s">
        <v>215</v>
      </c>
      <c r="E77" s="465" t="s">
        <v>214</v>
      </c>
      <c r="F77" s="465" t="s">
        <v>871</v>
      </c>
      <c r="G77" s="467" t="s">
        <v>266</v>
      </c>
      <c r="H77" s="469" t="s">
        <v>147</v>
      </c>
      <c r="I77" s="424">
        <v>-600800.55000000005</v>
      </c>
      <c r="J77" s="424">
        <v>-600800.55000000005</v>
      </c>
      <c r="K77" s="454"/>
      <c r="L77" s="457"/>
      <c r="M77" s="458">
        <f t="shared" si="12"/>
        <v>-600800.55000000005</v>
      </c>
      <c r="N77" s="478">
        <v>-513000</v>
      </c>
      <c r="O77" s="459">
        <f t="shared" si="13"/>
        <v>-87800.550000000047</v>
      </c>
      <c r="P77" s="460">
        <f t="shared" si="14"/>
        <v>0.17115116959064336</v>
      </c>
      <c r="Q77" s="454"/>
      <c r="R77" s="456">
        <v>-87800.55</v>
      </c>
      <c r="S77" s="456">
        <v>0</v>
      </c>
      <c r="T77" s="456">
        <v>0</v>
      </c>
      <c r="U77" s="456">
        <v>-183000</v>
      </c>
      <c r="V77" s="456">
        <v>-330000</v>
      </c>
      <c r="W77" s="461">
        <f t="shared" si="15"/>
        <v>0</v>
      </c>
      <c r="X77" s="487">
        <f t="shared" si="11"/>
        <v>-513000</v>
      </c>
    </row>
    <row r="78" spans="2:24" ht="15.6" hidden="1">
      <c r="B78" s="466" t="s">
        <v>975</v>
      </c>
      <c r="C78" s="462" t="s">
        <v>870</v>
      </c>
      <c r="D78" s="465" t="s">
        <v>379</v>
      </c>
      <c r="E78" s="465" t="s">
        <v>378</v>
      </c>
      <c r="F78" s="465" t="s">
        <v>871</v>
      </c>
      <c r="G78" s="467" t="s">
        <v>266</v>
      </c>
      <c r="H78" s="469" t="s">
        <v>147</v>
      </c>
      <c r="I78" s="424">
        <v>-74519.42</v>
      </c>
      <c r="J78" s="424">
        <v>-74519.42</v>
      </c>
      <c r="K78" s="454"/>
      <c r="L78" s="457"/>
      <c r="M78" s="458">
        <f t="shared" si="12"/>
        <v>-74519.42</v>
      </c>
      <c r="N78" s="478">
        <v>-74519.42</v>
      </c>
      <c r="O78" s="459">
        <f t="shared" si="13"/>
        <v>0</v>
      </c>
      <c r="P78" s="460">
        <f t="shared" si="14"/>
        <v>0</v>
      </c>
      <c r="Q78" s="454"/>
      <c r="R78" s="456">
        <v>0</v>
      </c>
      <c r="S78" s="456">
        <v>0</v>
      </c>
      <c r="T78" s="456">
        <v>0</v>
      </c>
      <c r="U78" s="456">
        <v>-74519.42</v>
      </c>
      <c r="V78" s="456">
        <v>0</v>
      </c>
      <c r="W78" s="461">
        <f t="shared" si="15"/>
        <v>0</v>
      </c>
      <c r="X78" s="487">
        <f t="shared" si="11"/>
        <v>-74519.42</v>
      </c>
    </row>
    <row r="79" spans="2:24" ht="15.6" hidden="1">
      <c r="B79" s="466" t="s">
        <v>975</v>
      </c>
      <c r="C79" s="462" t="s">
        <v>870</v>
      </c>
      <c r="D79" s="465" t="s">
        <v>887</v>
      </c>
      <c r="E79" s="465" t="s">
        <v>888</v>
      </c>
      <c r="F79" s="465" t="s">
        <v>871</v>
      </c>
      <c r="G79" s="467" t="s">
        <v>266</v>
      </c>
      <c r="H79" s="469" t="s">
        <v>147</v>
      </c>
      <c r="I79" s="424">
        <v>-164584.25</v>
      </c>
      <c r="J79" s="424">
        <v>-164584.25</v>
      </c>
      <c r="K79" s="454"/>
      <c r="L79" s="457"/>
      <c r="M79" s="458">
        <f t="shared" si="12"/>
        <v>-164584.25</v>
      </c>
      <c r="N79" s="478">
        <v>0</v>
      </c>
      <c r="O79" s="459">
        <f t="shared" si="13"/>
        <v>-164584.25</v>
      </c>
      <c r="P79" s="460" t="str">
        <f t="shared" si="14"/>
        <v/>
      </c>
      <c r="Q79" s="454"/>
      <c r="R79" s="456">
        <v>0</v>
      </c>
      <c r="S79" s="456">
        <v>-164584.25</v>
      </c>
      <c r="T79" s="456">
        <v>0</v>
      </c>
      <c r="U79" s="456">
        <v>0</v>
      </c>
      <c r="V79" s="456">
        <v>0</v>
      </c>
      <c r="W79" s="461">
        <f t="shared" si="15"/>
        <v>0</v>
      </c>
      <c r="X79" s="487">
        <f t="shared" si="11"/>
        <v>0</v>
      </c>
    </row>
    <row r="80" spans="2:24" ht="15.6" hidden="1">
      <c r="B80" s="466" t="s">
        <v>975</v>
      </c>
      <c r="C80" s="462" t="s">
        <v>870</v>
      </c>
      <c r="D80" s="465" t="s">
        <v>373</v>
      </c>
      <c r="E80" s="465" t="s">
        <v>372</v>
      </c>
      <c r="F80" s="465" t="s">
        <v>871</v>
      </c>
      <c r="G80" s="467" t="s">
        <v>266</v>
      </c>
      <c r="H80" s="469" t="s">
        <v>147</v>
      </c>
      <c r="I80" s="424">
        <v>0</v>
      </c>
      <c r="J80" s="424">
        <v>0</v>
      </c>
      <c r="K80" s="454"/>
      <c r="L80" s="457"/>
      <c r="M80" s="458">
        <f t="shared" si="12"/>
        <v>0</v>
      </c>
      <c r="N80" s="478">
        <v>-234513.26</v>
      </c>
      <c r="O80" s="459">
        <f t="shared" si="13"/>
        <v>234513.26</v>
      </c>
      <c r="P80" s="460">
        <f t="shared" si="14"/>
        <v>-1</v>
      </c>
      <c r="Q80" s="454"/>
      <c r="R80" s="456">
        <v>0</v>
      </c>
      <c r="S80" s="456">
        <v>0</v>
      </c>
      <c r="T80" s="456">
        <v>0</v>
      </c>
      <c r="U80" s="456">
        <v>0</v>
      </c>
      <c r="V80" s="456">
        <v>0</v>
      </c>
      <c r="W80" s="461">
        <f t="shared" si="15"/>
        <v>0</v>
      </c>
      <c r="X80" s="487">
        <f t="shared" si="11"/>
        <v>0</v>
      </c>
    </row>
    <row r="81" spans="2:24" ht="15.6" hidden="1">
      <c r="B81" s="466" t="s">
        <v>975</v>
      </c>
      <c r="C81" s="462" t="s">
        <v>870</v>
      </c>
      <c r="D81" s="465" t="s">
        <v>889</v>
      </c>
      <c r="E81" s="465" t="s">
        <v>890</v>
      </c>
      <c r="F81" s="465" t="s">
        <v>871</v>
      </c>
      <c r="G81" s="467" t="s">
        <v>266</v>
      </c>
      <c r="H81" s="469" t="s">
        <v>147</v>
      </c>
      <c r="I81" s="424">
        <v>-42000</v>
      </c>
      <c r="J81" s="424">
        <v>-42000</v>
      </c>
      <c r="K81" s="454"/>
      <c r="L81" s="457"/>
      <c r="M81" s="458">
        <f t="shared" si="12"/>
        <v>-42000</v>
      </c>
      <c r="N81" s="478">
        <v>0</v>
      </c>
      <c r="O81" s="459">
        <f t="shared" si="13"/>
        <v>-42000</v>
      </c>
      <c r="P81" s="460" t="str">
        <f t="shared" si="14"/>
        <v/>
      </c>
      <c r="Q81" s="454"/>
      <c r="R81" s="456">
        <v>-42000</v>
      </c>
      <c r="S81" s="456">
        <v>0</v>
      </c>
      <c r="T81" s="456">
        <v>0</v>
      </c>
      <c r="U81" s="456">
        <v>0</v>
      </c>
      <c r="V81" s="456">
        <v>0</v>
      </c>
      <c r="W81" s="461">
        <f t="shared" si="15"/>
        <v>0</v>
      </c>
      <c r="X81" s="487">
        <f t="shared" si="11"/>
        <v>0</v>
      </c>
    </row>
    <row r="82" spans="2:24" ht="15.6" hidden="1">
      <c r="B82" s="466" t="s">
        <v>975</v>
      </c>
      <c r="C82" s="462" t="s">
        <v>870</v>
      </c>
      <c r="D82" s="465" t="s">
        <v>389</v>
      </c>
      <c r="E82" s="465" t="s">
        <v>388</v>
      </c>
      <c r="F82" s="465" t="s">
        <v>871</v>
      </c>
      <c r="G82" s="467" t="s">
        <v>266</v>
      </c>
      <c r="H82" s="469" t="s">
        <v>147</v>
      </c>
      <c r="I82" s="424">
        <v>-39200.57</v>
      </c>
      <c r="J82" s="424">
        <v>-39200.57</v>
      </c>
      <c r="K82" s="454"/>
      <c r="L82" s="457"/>
      <c r="M82" s="458">
        <f t="shared" si="12"/>
        <v>-39200.57</v>
      </c>
      <c r="N82" s="478">
        <v>-146667.31</v>
      </c>
      <c r="O82" s="459">
        <f t="shared" si="13"/>
        <v>107466.73999999999</v>
      </c>
      <c r="P82" s="460">
        <f t="shared" si="14"/>
        <v>-0.7327245587309128</v>
      </c>
      <c r="Q82" s="454"/>
      <c r="R82" s="456">
        <v>-4131.07</v>
      </c>
      <c r="S82" s="456">
        <v>-6306.6</v>
      </c>
      <c r="T82" s="456">
        <v>-28762.9</v>
      </c>
      <c r="U82" s="456">
        <v>0</v>
      </c>
      <c r="V82" s="456">
        <v>0</v>
      </c>
      <c r="W82" s="461">
        <f t="shared" si="15"/>
        <v>0</v>
      </c>
      <c r="X82" s="487">
        <f t="shared" si="11"/>
        <v>-28762.9</v>
      </c>
    </row>
    <row r="83" spans="2:24" ht="15.6" hidden="1">
      <c r="B83" s="466" t="s">
        <v>975</v>
      </c>
      <c r="C83" s="462" t="s">
        <v>870</v>
      </c>
      <c r="D83" s="465" t="s">
        <v>315</v>
      </c>
      <c r="E83" s="465" t="s">
        <v>314</v>
      </c>
      <c r="F83" s="465" t="s">
        <v>871</v>
      </c>
      <c r="G83" s="467" t="s">
        <v>266</v>
      </c>
      <c r="H83" s="469" t="s">
        <v>147</v>
      </c>
      <c r="I83" s="424">
        <v>0</v>
      </c>
      <c r="J83" s="424">
        <v>0</v>
      </c>
      <c r="K83" s="454"/>
      <c r="L83" s="457"/>
      <c r="M83" s="458">
        <f t="shared" si="12"/>
        <v>0</v>
      </c>
      <c r="N83" s="478">
        <v>-71844.66</v>
      </c>
      <c r="O83" s="459">
        <f t="shared" si="13"/>
        <v>71844.66</v>
      </c>
      <c r="P83" s="460">
        <f t="shared" si="14"/>
        <v>-1</v>
      </c>
      <c r="Q83" s="454"/>
      <c r="R83" s="456">
        <v>0</v>
      </c>
      <c r="S83" s="456">
        <v>0</v>
      </c>
      <c r="T83" s="456">
        <v>0</v>
      </c>
      <c r="U83" s="456">
        <v>0</v>
      </c>
      <c r="V83" s="456">
        <v>0</v>
      </c>
      <c r="W83" s="461">
        <f t="shared" si="15"/>
        <v>0</v>
      </c>
      <c r="X83" s="487">
        <f t="shared" si="11"/>
        <v>0</v>
      </c>
    </row>
    <row r="84" spans="2:24" ht="15.6" hidden="1">
      <c r="B84" s="466" t="s">
        <v>975</v>
      </c>
      <c r="C84" s="462" t="s">
        <v>870</v>
      </c>
      <c r="D84" s="465" t="s">
        <v>431</v>
      </c>
      <c r="E84" s="465" t="s">
        <v>430</v>
      </c>
      <c r="F84" s="465" t="s">
        <v>871</v>
      </c>
      <c r="G84" s="467" t="s">
        <v>266</v>
      </c>
      <c r="H84" s="469" t="s">
        <v>147</v>
      </c>
      <c r="I84" s="424">
        <v>-301214.84999999998</v>
      </c>
      <c r="J84" s="424">
        <v>-301214.84999999998</v>
      </c>
      <c r="K84" s="454"/>
      <c r="L84" s="457"/>
      <c r="M84" s="458">
        <f t="shared" si="12"/>
        <v>-301214.84999999998</v>
      </c>
      <c r="N84" s="478">
        <v>-164196.82999999999</v>
      </c>
      <c r="O84" s="459">
        <f t="shared" si="13"/>
        <v>-137018.01999999999</v>
      </c>
      <c r="P84" s="460">
        <f t="shared" si="14"/>
        <v>0.83447421000758659</v>
      </c>
      <c r="Q84" s="454"/>
      <c r="R84" s="456">
        <v>-93601.94</v>
      </c>
      <c r="S84" s="456">
        <v>-207612.91</v>
      </c>
      <c r="T84" s="456">
        <v>0</v>
      </c>
      <c r="U84" s="456">
        <v>0</v>
      </c>
      <c r="V84" s="456">
        <v>0</v>
      </c>
      <c r="W84" s="461">
        <f t="shared" si="15"/>
        <v>0</v>
      </c>
      <c r="X84" s="487">
        <f t="shared" si="11"/>
        <v>0</v>
      </c>
    </row>
    <row r="85" spans="2:24" ht="15.6" hidden="1">
      <c r="B85" s="466" t="s">
        <v>975</v>
      </c>
      <c r="C85" s="462" t="s">
        <v>870</v>
      </c>
      <c r="D85" s="465" t="s">
        <v>461</v>
      </c>
      <c r="E85" s="465" t="s">
        <v>460</v>
      </c>
      <c r="F85" s="465" t="s">
        <v>871</v>
      </c>
      <c r="G85" s="467" t="s">
        <v>266</v>
      </c>
      <c r="H85" s="469" t="s">
        <v>147</v>
      </c>
      <c r="I85" s="424">
        <v>0</v>
      </c>
      <c r="J85" s="424">
        <v>0</v>
      </c>
      <c r="K85" s="454"/>
      <c r="L85" s="457"/>
      <c r="M85" s="458">
        <f t="shared" si="12"/>
        <v>0</v>
      </c>
      <c r="N85" s="478">
        <v>-4716.9799999999996</v>
      </c>
      <c r="O85" s="459">
        <f t="shared" si="13"/>
        <v>4716.9799999999996</v>
      </c>
      <c r="P85" s="460">
        <f t="shared" si="14"/>
        <v>-1</v>
      </c>
      <c r="Q85" s="454"/>
      <c r="R85" s="456">
        <v>0</v>
      </c>
      <c r="S85" s="456">
        <v>0</v>
      </c>
      <c r="T85" s="456">
        <v>0</v>
      </c>
      <c r="U85" s="456">
        <v>0</v>
      </c>
      <c r="V85" s="456">
        <v>0</v>
      </c>
      <c r="W85" s="461">
        <f t="shared" si="15"/>
        <v>0</v>
      </c>
      <c r="X85" s="487">
        <f t="shared" si="11"/>
        <v>0</v>
      </c>
    </row>
    <row r="86" spans="2:24" ht="15.6" hidden="1">
      <c r="B86" s="466" t="s">
        <v>975</v>
      </c>
      <c r="C86" s="462" t="s">
        <v>870</v>
      </c>
      <c r="D86" s="465" t="s">
        <v>395</v>
      </c>
      <c r="E86" s="465" t="s">
        <v>394</v>
      </c>
      <c r="F86" s="465" t="s">
        <v>871</v>
      </c>
      <c r="G86" s="467" t="s">
        <v>266</v>
      </c>
      <c r="H86" s="469" t="s">
        <v>147</v>
      </c>
      <c r="I86" s="424">
        <v>-13515</v>
      </c>
      <c r="J86" s="424">
        <v>-13515</v>
      </c>
      <c r="K86" s="454"/>
      <c r="L86" s="457"/>
      <c r="M86" s="458">
        <f t="shared" si="12"/>
        <v>-13515</v>
      </c>
      <c r="N86" s="478">
        <v>-8235</v>
      </c>
      <c r="O86" s="459">
        <f t="shared" si="13"/>
        <v>-5280</v>
      </c>
      <c r="P86" s="460">
        <f t="shared" si="14"/>
        <v>0.64116575591985425</v>
      </c>
      <c r="Q86" s="454"/>
      <c r="R86" s="456">
        <v>0</v>
      </c>
      <c r="S86" s="456">
        <v>-5280</v>
      </c>
      <c r="T86" s="456">
        <v>-8235</v>
      </c>
      <c r="U86" s="456">
        <v>0</v>
      </c>
      <c r="V86" s="456">
        <v>0</v>
      </c>
      <c r="W86" s="461">
        <f t="shared" si="15"/>
        <v>0</v>
      </c>
      <c r="X86" s="487">
        <f t="shared" si="11"/>
        <v>-8235</v>
      </c>
    </row>
    <row r="87" spans="2:24" ht="15.6" hidden="1">
      <c r="B87" s="466" t="s">
        <v>975</v>
      </c>
      <c r="C87" s="462" t="s">
        <v>870</v>
      </c>
      <c r="D87" s="465" t="s">
        <v>295</v>
      </c>
      <c r="E87" s="465" t="s">
        <v>294</v>
      </c>
      <c r="F87" s="465" t="s">
        <v>871</v>
      </c>
      <c r="G87" s="467" t="s">
        <v>266</v>
      </c>
      <c r="H87" s="469" t="s">
        <v>147</v>
      </c>
      <c r="I87" s="424">
        <v>-14563.11</v>
      </c>
      <c r="J87" s="424">
        <v>-14563.11</v>
      </c>
      <c r="K87" s="454"/>
      <c r="L87" s="457"/>
      <c r="M87" s="458">
        <f t="shared" si="12"/>
        <v>-14563.11</v>
      </c>
      <c r="N87" s="478">
        <v>-14563.11</v>
      </c>
      <c r="O87" s="459">
        <f t="shared" si="13"/>
        <v>0</v>
      </c>
      <c r="P87" s="460">
        <f t="shared" si="14"/>
        <v>0</v>
      </c>
      <c r="Q87" s="454"/>
      <c r="R87" s="456">
        <v>0</v>
      </c>
      <c r="S87" s="456">
        <v>0</v>
      </c>
      <c r="T87" s="456">
        <v>0</v>
      </c>
      <c r="U87" s="456">
        <v>0</v>
      </c>
      <c r="V87" s="456">
        <v>-14563.11</v>
      </c>
      <c r="W87" s="461">
        <f t="shared" si="15"/>
        <v>0</v>
      </c>
      <c r="X87" s="487">
        <f t="shared" si="11"/>
        <v>-14563.11</v>
      </c>
    </row>
    <row r="88" spans="2:24" ht="15.6" hidden="1">
      <c r="B88" s="466" t="s">
        <v>975</v>
      </c>
      <c r="C88" s="462" t="s">
        <v>870</v>
      </c>
      <c r="D88" s="465" t="s">
        <v>207</v>
      </c>
      <c r="E88" s="465" t="s">
        <v>206</v>
      </c>
      <c r="F88" s="465" t="s">
        <v>871</v>
      </c>
      <c r="G88" s="467" t="s">
        <v>266</v>
      </c>
      <c r="H88" s="469" t="s">
        <v>147</v>
      </c>
      <c r="I88" s="424">
        <v>-94289.94</v>
      </c>
      <c r="J88" s="424">
        <v>-94289.94</v>
      </c>
      <c r="K88" s="454"/>
      <c r="L88" s="457"/>
      <c r="M88" s="458">
        <f t="shared" si="12"/>
        <v>-94289.94</v>
      </c>
      <c r="N88" s="478">
        <v>-218257.42</v>
      </c>
      <c r="O88" s="459">
        <f t="shared" si="13"/>
        <v>123967.48000000001</v>
      </c>
      <c r="P88" s="460">
        <f t="shared" si="14"/>
        <v>-0.56798747094142321</v>
      </c>
      <c r="Q88" s="454"/>
      <c r="R88" s="456">
        <v>0</v>
      </c>
      <c r="S88" s="456">
        <v>-69422.61</v>
      </c>
      <c r="T88" s="456">
        <v>-24867.33</v>
      </c>
      <c r="U88" s="456">
        <v>0</v>
      </c>
      <c r="V88" s="456">
        <v>0</v>
      </c>
      <c r="W88" s="461">
        <f t="shared" si="15"/>
        <v>0</v>
      </c>
      <c r="X88" s="487">
        <f t="shared" si="11"/>
        <v>-24867.33</v>
      </c>
    </row>
    <row r="89" spans="2:24" ht="15.6" hidden="1">
      <c r="B89" s="466" t="s">
        <v>975</v>
      </c>
      <c r="C89" s="462" t="s">
        <v>870</v>
      </c>
      <c r="D89" s="465" t="s">
        <v>209</v>
      </c>
      <c r="E89" s="465" t="s">
        <v>208</v>
      </c>
      <c r="F89" s="465" t="s">
        <v>871</v>
      </c>
      <c r="G89" s="467" t="s">
        <v>266</v>
      </c>
      <c r="H89" s="469" t="s">
        <v>147</v>
      </c>
      <c r="I89" s="424">
        <v>-270000</v>
      </c>
      <c r="J89" s="424">
        <v>-270000</v>
      </c>
      <c r="K89" s="454"/>
      <c r="L89" s="457"/>
      <c r="M89" s="458">
        <f t="shared" si="12"/>
        <v>-270000</v>
      </c>
      <c r="N89" s="478">
        <v>-270000</v>
      </c>
      <c r="O89" s="459">
        <f t="shared" si="13"/>
        <v>0</v>
      </c>
      <c r="P89" s="460">
        <f t="shared" si="14"/>
        <v>0</v>
      </c>
      <c r="Q89" s="454"/>
      <c r="R89" s="456">
        <v>0</v>
      </c>
      <c r="S89" s="456">
        <v>0</v>
      </c>
      <c r="T89" s="456">
        <v>0</v>
      </c>
      <c r="U89" s="456">
        <v>-270000</v>
      </c>
      <c r="V89" s="456">
        <v>0</v>
      </c>
      <c r="W89" s="461">
        <f t="shared" si="15"/>
        <v>0</v>
      </c>
      <c r="X89" s="487">
        <f t="shared" si="11"/>
        <v>-270000</v>
      </c>
    </row>
    <row r="90" spans="2:24" ht="15.6" hidden="1">
      <c r="B90" s="466" t="s">
        <v>975</v>
      </c>
      <c r="C90" s="462" t="s">
        <v>870</v>
      </c>
      <c r="D90" s="465" t="s">
        <v>451</v>
      </c>
      <c r="E90" s="465" t="s">
        <v>450</v>
      </c>
      <c r="F90" s="465" t="s">
        <v>871</v>
      </c>
      <c r="G90" s="467" t="s">
        <v>266</v>
      </c>
      <c r="H90" s="469" t="s">
        <v>147</v>
      </c>
      <c r="I90" s="424">
        <v>-363847.77</v>
      </c>
      <c r="J90" s="424">
        <v>-363847.77</v>
      </c>
      <c r="K90" s="454"/>
      <c r="L90" s="457"/>
      <c r="M90" s="458">
        <f t="shared" si="12"/>
        <v>-363847.77</v>
      </c>
      <c r="N90" s="478">
        <v>-219017.02</v>
      </c>
      <c r="O90" s="459">
        <f t="shared" si="13"/>
        <v>-144830.75000000003</v>
      </c>
      <c r="P90" s="460">
        <f t="shared" si="14"/>
        <v>0.66127623323520723</v>
      </c>
      <c r="Q90" s="454"/>
      <c r="R90" s="456">
        <v>-323263.12</v>
      </c>
      <c r="S90" s="456">
        <v>-19492.55</v>
      </c>
      <c r="T90" s="456">
        <v>-21092.1</v>
      </c>
      <c r="U90" s="456">
        <v>0</v>
      </c>
      <c r="V90" s="456">
        <v>0</v>
      </c>
      <c r="W90" s="461">
        <f t="shared" si="15"/>
        <v>0</v>
      </c>
      <c r="X90" s="487">
        <f t="shared" si="11"/>
        <v>-21092.1</v>
      </c>
    </row>
    <row r="91" spans="2:24" ht="15.6" hidden="1">
      <c r="B91" s="466" t="s">
        <v>975</v>
      </c>
      <c r="C91" s="462" t="s">
        <v>870</v>
      </c>
      <c r="D91" s="465" t="s">
        <v>891</v>
      </c>
      <c r="E91" s="465" t="s">
        <v>892</v>
      </c>
      <c r="F91" s="465" t="s">
        <v>871</v>
      </c>
      <c r="G91" s="467" t="s">
        <v>266</v>
      </c>
      <c r="H91" s="469" t="s">
        <v>147</v>
      </c>
      <c r="I91" s="424">
        <v>-55301.64</v>
      </c>
      <c r="J91" s="424">
        <v>-55301.64</v>
      </c>
      <c r="K91" s="454"/>
      <c r="L91" s="457"/>
      <c r="M91" s="458">
        <f t="shared" si="12"/>
        <v>-55301.64</v>
      </c>
      <c r="N91" s="478">
        <v>0</v>
      </c>
      <c r="O91" s="459">
        <f t="shared" si="13"/>
        <v>-55301.64</v>
      </c>
      <c r="P91" s="460" t="str">
        <f t="shared" si="14"/>
        <v/>
      </c>
      <c r="Q91" s="454"/>
      <c r="R91" s="456">
        <v>-55301.64</v>
      </c>
      <c r="S91" s="456">
        <v>0</v>
      </c>
      <c r="T91" s="456">
        <v>0</v>
      </c>
      <c r="U91" s="456">
        <v>0</v>
      </c>
      <c r="V91" s="456">
        <v>0</v>
      </c>
      <c r="W91" s="461">
        <f t="shared" si="15"/>
        <v>0</v>
      </c>
      <c r="X91" s="487">
        <f t="shared" si="11"/>
        <v>0</v>
      </c>
    </row>
    <row r="92" spans="2:24" ht="15.6" hidden="1">
      <c r="B92" s="466" t="s">
        <v>975</v>
      </c>
      <c r="C92" s="462" t="s">
        <v>870</v>
      </c>
      <c r="D92" s="465" t="s">
        <v>893</v>
      </c>
      <c r="E92" s="465" t="s">
        <v>894</v>
      </c>
      <c r="F92" s="465" t="s">
        <v>871</v>
      </c>
      <c r="G92" s="467" t="s">
        <v>266</v>
      </c>
      <c r="H92" s="469" t="s">
        <v>147</v>
      </c>
      <c r="I92" s="424">
        <v>-213710.64</v>
      </c>
      <c r="J92" s="424">
        <v>-213710.64</v>
      </c>
      <c r="K92" s="454"/>
      <c r="L92" s="457"/>
      <c r="M92" s="458">
        <f t="shared" si="12"/>
        <v>-213710.64</v>
      </c>
      <c r="N92" s="478">
        <v>0</v>
      </c>
      <c r="O92" s="459">
        <f t="shared" si="13"/>
        <v>-213710.64</v>
      </c>
      <c r="P92" s="460" t="str">
        <f t="shared" si="14"/>
        <v/>
      </c>
      <c r="Q92" s="454"/>
      <c r="R92" s="456">
        <v>-213710.64</v>
      </c>
      <c r="S92" s="456">
        <v>0</v>
      </c>
      <c r="T92" s="456">
        <v>0</v>
      </c>
      <c r="U92" s="456">
        <v>0</v>
      </c>
      <c r="V92" s="456">
        <v>0</v>
      </c>
      <c r="W92" s="461">
        <f t="shared" si="15"/>
        <v>0</v>
      </c>
      <c r="X92" s="487">
        <f t="shared" si="11"/>
        <v>0</v>
      </c>
    </row>
    <row r="93" spans="2:24" ht="15.6" hidden="1">
      <c r="B93" s="466" t="s">
        <v>975</v>
      </c>
      <c r="C93" s="462" t="s">
        <v>870</v>
      </c>
      <c r="D93" s="465" t="s">
        <v>291</v>
      </c>
      <c r="E93" s="465" t="s">
        <v>290</v>
      </c>
      <c r="F93" s="465" t="s">
        <v>871</v>
      </c>
      <c r="G93" s="467" t="s">
        <v>266</v>
      </c>
      <c r="H93" s="469" t="s">
        <v>147</v>
      </c>
      <c r="I93" s="424">
        <v>-24271.84</v>
      </c>
      <c r="J93" s="424">
        <v>-24271.84</v>
      </c>
      <c r="K93" s="454"/>
      <c r="L93" s="457"/>
      <c r="M93" s="458">
        <f t="shared" si="12"/>
        <v>-24271.84</v>
      </c>
      <c r="N93" s="478">
        <v>-24271.84</v>
      </c>
      <c r="O93" s="459">
        <f t="shared" si="13"/>
        <v>0</v>
      </c>
      <c r="P93" s="460">
        <f t="shared" si="14"/>
        <v>0</v>
      </c>
      <c r="Q93" s="454"/>
      <c r="R93" s="456">
        <v>0</v>
      </c>
      <c r="S93" s="456">
        <v>0</v>
      </c>
      <c r="T93" s="456">
        <v>0</v>
      </c>
      <c r="U93" s="456">
        <v>0</v>
      </c>
      <c r="V93" s="456">
        <v>-24271.84</v>
      </c>
      <c r="W93" s="461">
        <f t="shared" si="15"/>
        <v>0</v>
      </c>
      <c r="X93" s="487">
        <f t="shared" si="11"/>
        <v>-24271.84</v>
      </c>
    </row>
    <row r="94" spans="2:24" ht="15.6" hidden="1">
      <c r="B94" s="466" t="s">
        <v>975</v>
      </c>
      <c r="C94" s="462" t="s">
        <v>870</v>
      </c>
      <c r="D94" s="465" t="s">
        <v>343</v>
      </c>
      <c r="E94" s="465" t="s">
        <v>342</v>
      </c>
      <c r="F94" s="465" t="s">
        <v>871</v>
      </c>
      <c r="G94" s="467" t="s">
        <v>266</v>
      </c>
      <c r="H94" s="469" t="s">
        <v>147</v>
      </c>
      <c r="I94" s="424">
        <v>-27766.99</v>
      </c>
      <c r="J94" s="424">
        <v>-27766.99</v>
      </c>
      <c r="K94" s="454"/>
      <c r="L94" s="457"/>
      <c r="M94" s="458">
        <f t="shared" si="12"/>
        <v>-27766.99</v>
      </c>
      <c r="N94" s="478">
        <v>-27766.99</v>
      </c>
      <c r="O94" s="459">
        <f t="shared" si="13"/>
        <v>0</v>
      </c>
      <c r="P94" s="460">
        <f t="shared" si="14"/>
        <v>0</v>
      </c>
      <c r="Q94" s="454"/>
      <c r="R94" s="456">
        <v>0</v>
      </c>
      <c r="S94" s="456">
        <v>0</v>
      </c>
      <c r="T94" s="456">
        <v>0</v>
      </c>
      <c r="U94" s="456">
        <v>-27766.99</v>
      </c>
      <c r="V94" s="456">
        <v>0</v>
      </c>
      <c r="W94" s="461">
        <f t="shared" si="15"/>
        <v>0</v>
      </c>
      <c r="X94" s="487">
        <f t="shared" si="11"/>
        <v>-27766.99</v>
      </c>
    </row>
    <row r="95" spans="2:24" ht="15.6">
      <c r="B95" s="466" t="s">
        <v>975</v>
      </c>
      <c r="C95" s="462" t="s">
        <v>870</v>
      </c>
      <c r="D95" s="465" t="s">
        <v>267</v>
      </c>
      <c r="E95" s="465" t="s">
        <v>266</v>
      </c>
      <c r="F95" s="465" t="s">
        <v>871</v>
      </c>
      <c r="G95" s="467" t="s">
        <v>266</v>
      </c>
      <c r="H95" s="469" t="s">
        <v>147</v>
      </c>
      <c r="I95" s="424">
        <v>-2743396.23</v>
      </c>
      <c r="J95" s="424">
        <v>-2743396.23</v>
      </c>
      <c r="K95" s="454"/>
      <c r="L95" s="457"/>
      <c r="M95" s="458">
        <f t="shared" si="12"/>
        <v>-2743396.23</v>
      </c>
      <c r="N95" s="478">
        <v>-7943396.2300000004</v>
      </c>
      <c r="O95" s="459">
        <f t="shared" si="13"/>
        <v>5200000</v>
      </c>
      <c r="P95" s="460">
        <f t="shared" si="14"/>
        <v>-0.6546318286831827</v>
      </c>
      <c r="Q95" s="454" t="s">
        <v>994</v>
      </c>
      <c r="R95" s="456">
        <v>0</v>
      </c>
      <c r="S95" s="456">
        <v>-943396.23</v>
      </c>
      <c r="T95" s="456">
        <v>-1800000</v>
      </c>
      <c r="U95" s="456">
        <v>0</v>
      </c>
      <c r="V95" s="456">
        <v>0</v>
      </c>
      <c r="W95" s="461">
        <f t="shared" si="15"/>
        <v>0</v>
      </c>
      <c r="X95" s="487">
        <f t="shared" si="11"/>
        <v>-1800000</v>
      </c>
    </row>
    <row r="96" spans="2:24" ht="15.6" hidden="1">
      <c r="B96" s="466" t="s">
        <v>975</v>
      </c>
      <c r="C96" s="462" t="s">
        <v>870</v>
      </c>
      <c r="D96" s="465" t="s">
        <v>369</v>
      </c>
      <c r="E96" s="465" t="s">
        <v>368</v>
      </c>
      <c r="F96" s="465" t="s">
        <v>871</v>
      </c>
      <c r="G96" s="467" t="s">
        <v>266</v>
      </c>
      <c r="H96" s="469" t="s">
        <v>147</v>
      </c>
      <c r="I96" s="424">
        <v>-16941.740000000002</v>
      </c>
      <c r="J96" s="424">
        <v>-16941.740000000002</v>
      </c>
      <c r="K96" s="454"/>
      <c r="L96" s="457"/>
      <c r="M96" s="458">
        <f t="shared" si="12"/>
        <v>-16941.740000000002</v>
      </c>
      <c r="N96" s="478">
        <v>-16941.740000000002</v>
      </c>
      <c r="O96" s="459">
        <f t="shared" si="13"/>
        <v>0</v>
      </c>
      <c r="P96" s="460">
        <f t="shared" si="14"/>
        <v>0</v>
      </c>
      <c r="Q96" s="454"/>
      <c r="R96" s="456">
        <v>0</v>
      </c>
      <c r="S96" s="456">
        <v>0</v>
      </c>
      <c r="T96" s="456">
        <v>0</v>
      </c>
      <c r="U96" s="456">
        <v>0</v>
      </c>
      <c r="V96" s="456">
        <v>-16941.740000000002</v>
      </c>
      <c r="W96" s="461">
        <f t="shared" si="15"/>
        <v>0</v>
      </c>
      <c r="X96" s="487">
        <f t="shared" si="11"/>
        <v>-16941.740000000002</v>
      </c>
    </row>
    <row r="97" spans="2:24" ht="15.6" hidden="1">
      <c r="B97" s="466" t="s">
        <v>975</v>
      </c>
      <c r="C97" s="462" t="s">
        <v>870</v>
      </c>
      <c r="D97" s="465" t="s">
        <v>345</v>
      </c>
      <c r="E97" s="465" t="s">
        <v>344</v>
      </c>
      <c r="F97" s="465" t="s">
        <v>871</v>
      </c>
      <c r="G97" s="467" t="s">
        <v>266</v>
      </c>
      <c r="H97" s="469" t="s">
        <v>147</v>
      </c>
      <c r="I97" s="424">
        <v>-16504.849999999999</v>
      </c>
      <c r="J97" s="424">
        <v>-16504.849999999999</v>
      </c>
      <c r="K97" s="454"/>
      <c r="L97" s="457"/>
      <c r="M97" s="458">
        <f t="shared" si="12"/>
        <v>-16504.849999999999</v>
      </c>
      <c r="N97" s="478">
        <v>-16504.849999999999</v>
      </c>
      <c r="O97" s="459">
        <f t="shared" si="13"/>
        <v>0</v>
      </c>
      <c r="P97" s="460">
        <f t="shared" si="14"/>
        <v>0</v>
      </c>
      <c r="Q97" s="454"/>
      <c r="R97" s="456">
        <v>0</v>
      </c>
      <c r="S97" s="456">
        <v>0</v>
      </c>
      <c r="T97" s="456">
        <v>0</v>
      </c>
      <c r="U97" s="456">
        <v>0</v>
      </c>
      <c r="V97" s="456">
        <v>-16504.849999999999</v>
      </c>
      <c r="W97" s="461">
        <f t="shared" si="15"/>
        <v>0</v>
      </c>
      <c r="X97" s="487">
        <f t="shared" si="11"/>
        <v>-16504.849999999999</v>
      </c>
    </row>
    <row r="98" spans="2:24" ht="15.6" hidden="1">
      <c r="B98" s="466" t="s">
        <v>975</v>
      </c>
      <c r="C98" s="462" t="s">
        <v>870</v>
      </c>
      <c r="D98" s="465" t="s">
        <v>313</v>
      </c>
      <c r="E98" s="465" t="s">
        <v>312</v>
      </c>
      <c r="F98" s="465" t="s">
        <v>871</v>
      </c>
      <c r="G98" s="467" t="s">
        <v>266</v>
      </c>
      <c r="H98" s="469" t="s">
        <v>147</v>
      </c>
      <c r="I98" s="424">
        <v>-603784.91</v>
      </c>
      <c r="J98" s="424">
        <v>-603784.91</v>
      </c>
      <c r="K98" s="454"/>
      <c r="L98" s="457"/>
      <c r="M98" s="458">
        <f t="shared" si="12"/>
        <v>-603784.91</v>
      </c>
      <c r="N98" s="478">
        <v>-603784.91</v>
      </c>
      <c r="O98" s="459">
        <f t="shared" si="13"/>
        <v>0</v>
      </c>
      <c r="P98" s="460">
        <f t="shared" si="14"/>
        <v>0</v>
      </c>
      <c r="Q98" s="454"/>
      <c r="R98" s="456">
        <v>0</v>
      </c>
      <c r="S98" s="456">
        <v>0</v>
      </c>
      <c r="T98" s="456">
        <v>0</v>
      </c>
      <c r="U98" s="456">
        <v>0</v>
      </c>
      <c r="V98" s="456">
        <v>-603784.91</v>
      </c>
      <c r="W98" s="461">
        <f t="shared" si="15"/>
        <v>0</v>
      </c>
      <c r="X98" s="487">
        <f t="shared" si="11"/>
        <v>-603784.91</v>
      </c>
    </row>
    <row r="99" spans="2:24" ht="15.6" hidden="1">
      <c r="B99" s="466" t="s">
        <v>975</v>
      </c>
      <c r="C99" s="462" t="s">
        <v>870</v>
      </c>
      <c r="D99" s="465" t="s">
        <v>187</v>
      </c>
      <c r="E99" s="465" t="s">
        <v>186</v>
      </c>
      <c r="F99" s="465" t="s">
        <v>871</v>
      </c>
      <c r="G99" s="467" t="s">
        <v>266</v>
      </c>
      <c r="H99" s="469" t="s">
        <v>147</v>
      </c>
      <c r="I99" s="424">
        <v>-1053032.26</v>
      </c>
      <c r="J99" s="424">
        <v>-1053032.26</v>
      </c>
      <c r="K99" s="454"/>
      <c r="L99" s="457"/>
      <c r="M99" s="458">
        <f t="shared" si="12"/>
        <v>-1053032.26</v>
      </c>
      <c r="N99" s="478">
        <v>-1548369.2</v>
      </c>
      <c r="O99" s="459">
        <f t="shared" si="13"/>
        <v>495336.93999999994</v>
      </c>
      <c r="P99" s="460">
        <f t="shared" si="14"/>
        <v>-0.31990880469593425</v>
      </c>
      <c r="Q99" s="454"/>
      <c r="R99" s="456">
        <v>-484230.24</v>
      </c>
      <c r="S99" s="456">
        <v>-436447.06</v>
      </c>
      <c r="T99" s="456">
        <v>0</v>
      </c>
      <c r="U99" s="456">
        <v>-55339.81</v>
      </c>
      <c r="V99" s="456">
        <v>-77015.149999999994</v>
      </c>
      <c r="W99" s="461">
        <f t="shared" si="15"/>
        <v>0</v>
      </c>
      <c r="X99" s="487">
        <f t="shared" si="11"/>
        <v>-132354.96</v>
      </c>
    </row>
    <row r="100" spans="2:24" ht="15.6" hidden="1">
      <c r="B100" s="466" t="s">
        <v>975</v>
      </c>
      <c r="C100" s="462" t="s">
        <v>870</v>
      </c>
      <c r="D100" s="465" t="s">
        <v>437</v>
      </c>
      <c r="E100" s="465" t="s">
        <v>436</v>
      </c>
      <c r="F100" s="465" t="s">
        <v>871</v>
      </c>
      <c r="G100" s="467" t="s">
        <v>266</v>
      </c>
      <c r="H100" s="469" t="s">
        <v>147</v>
      </c>
      <c r="I100" s="424">
        <v>-317036.99</v>
      </c>
      <c r="J100" s="424">
        <v>-317036.99</v>
      </c>
      <c r="K100" s="454"/>
      <c r="L100" s="457"/>
      <c r="M100" s="458">
        <f t="shared" si="12"/>
        <v>-317036.99</v>
      </c>
      <c r="N100" s="478">
        <v>-450017.59</v>
      </c>
      <c r="O100" s="459">
        <f t="shared" si="13"/>
        <v>132980.60000000003</v>
      </c>
      <c r="P100" s="460">
        <f t="shared" si="14"/>
        <v>-0.29550089364284632</v>
      </c>
      <c r="Q100" s="454"/>
      <c r="R100" s="456">
        <v>-46770.75</v>
      </c>
      <c r="S100" s="456">
        <v>-20337.900000000001</v>
      </c>
      <c r="T100" s="456">
        <v>-191866.99</v>
      </c>
      <c r="U100" s="456">
        <v>-58061.35</v>
      </c>
      <c r="V100" s="456">
        <v>0</v>
      </c>
      <c r="W100" s="461">
        <f t="shared" si="15"/>
        <v>0</v>
      </c>
      <c r="X100" s="487">
        <f t="shared" si="11"/>
        <v>-249928.34</v>
      </c>
    </row>
    <row r="101" spans="2:24" ht="15.6" hidden="1">
      <c r="B101" s="466" t="s">
        <v>975</v>
      </c>
      <c r="C101" s="462" t="s">
        <v>870</v>
      </c>
      <c r="D101" s="465" t="s">
        <v>245</v>
      </c>
      <c r="E101" s="465" t="s">
        <v>244</v>
      </c>
      <c r="F101" s="465" t="s">
        <v>871</v>
      </c>
      <c r="G101" s="467" t="s">
        <v>266</v>
      </c>
      <c r="H101" s="469" t="s">
        <v>147</v>
      </c>
      <c r="I101" s="424">
        <v>-75471.7</v>
      </c>
      <c r="J101" s="424">
        <v>-75471.7</v>
      </c>
      <c r="K101" s="454"/>
      <c r="L101" s="457"/>
      <c r="M101" s="458">
        <f t="shared" si="12"/>
        <v>-75471.7</v>
      </c>
      <c r="N101" s="478">
        <v>-75471.7</v>
      </c>
      <c r="O101" s="459">
        <f t="shared" si="13"/>
        <v>0</v>
      </c>
      <c r="P101" s="460">
        <f t="shared" si="14"/>
        <v>0</v>
      </c>
      <c r="Q101" s="454"/>
      <c r="R101" s="456">
        <v>0</v>
      </c>
      <c r="S101" s="456">
        <v>0</v>
      </c>
      <c r="T101" s="456">
        <v>0</v>
      </c>
      <c r="U101" s="456">
        <v>0</v>
      </c>
      <c r="V101" s="456">
        <v>-75471.7</v>
      </c>
      <c r="W101" s="461">
        <f t="shared" si="15"/>
        <v>0</v>
      </c>
      <c r="X101" s="487">
        <f t="shared" si="11"/>
        <v>-75471.7</v>
      </c>
    </row>
    <row r="102" spans="2:24" ht="15.6" hidden="1">
      <c r="B102" s="466" t="s">
        <v>975</v>
      </c>
      <c r="C102" s="462" t="s">
        <v>870</v>
      </c>
      <c r="D102" s="465" t="s">
        <v>253</v>
      </c>
      <c r="E102" s="465" t="s">
        <v>252</v>
      </c>
      <c r="F102" s="465" t="s">
        <v>871</v>
      </c>
      <c r="G102" s="467" t="s">
        <v>266</v>
      </c>
      <c r="H102" s="469" t="s">
        <v>147</v>
      </c>
      <c r="I102" s="424">
        <v>-17287.55</v>
      </c>
      <c r="J102" s="424">
        <v>-17287.55</v>
      </c>
      <c r="K102" s="454"/>
      <c r="L102" s="457"/>
      <c r="M102" s="458">
        <f t="shared" si="12"/>
        <v>-17287.55</v>
      </c>
      <c r="N102" s="478">
        <v>-218410.85</v>
      </c>
      <c r="O102" s="459">
        <f t="shared" si="13"/>
        <v>201123.30000000002</v>
      </c>
      <c r="P102" s="460">
        <f t="shared" si="14"/>
        <v>-0.92084848348880111</v>
      </c>
      <c r="Q102" s="454"/>
      <c r="R102" s="456">
        <v>0</v>
      </c>
      <c r="S102" s="456">
        <v>-17287.55</v>
      </c>
      <c r="T102" s="456">
        <v>0</v>
      </c>
      <c r="U102" s="456">
        <v>0</v>
      </c>
      <c r="V102" s="456">
        <v>0</v>
      </c>
      <c r="W102" s="461">
        <f t="shared" si="15"/>
        <v>0</v>
      </c>
      <c r="X102" s="487">
        <f t="shared" si="11"/>
        <v>0</v>
      </c>
    </row>
    <row r="103" spans="2:24" ht="15.6" hidden="1">
      <c r="B103" s="466" t="s">
        <v>975</v>
      </c>
      <c r="C103" s="462" t="s">
        <v>870</v>
      </c>
      <c r="D103" s="465" t="s">
        <v>203</v>
      </c>
      <c r="E103" s="465" t="s">
        <v>202</v>
      </c>
      <c r="F103" s="465" t="s">
        <v>871</v>
      </c>
      <c r="G103" s="467" t="s">
        <v>266</v>
      </c>
      <c r="H103" s="469" t="s">
        <v>147</v>
      </c>
      <c r="I103" s="424">
        <v>-0.5</v>
      </c>
      <c r="J103" s="424">
        <v>-0.5</v>
      </c>
      <c r="K103" s="454"/>
      <c r="L103" s="457"/>
      <c r="M103" s="458">
        <f t="shared" si="12"/>
        <v>-0.5</v>
      </c>
      <c r="N103" s="478">
        <v>-31200.5</v>
      </c>
      <c r="O103" s="459">
        <f t="shared" si="13"/>
        <v>31200</v>
      </c>
      <c r="P103" s="460">
        <f t="shared" si="14"/>
        <v>-0.99998397461579136</v>
      </c>
      <c r="Q103" s="454"/>
      <c r="R103" s="456">
        <v>0</v>
      </c>
      <c r="S103" s="456">
        <v>0</v>
      </c>
      <c r="T103" s="456">
        <v>-0.5</v>
      </c>
      <c r="U103" s="456">
        <v>0</v>
      </c>
      <c r="V103" s="456">
        <v>0</v>
      </c>
      <c r="W103" s="461">
        <f t="shared" si="15"/>
        <v>0</v>
      </c>
      <c r="X103" s="487">
        <f t="shared" si="11"/>
        <v>-0.5</v>
      </c>
    </row>
    <row r="104" spans="2:24" ht="15.6" hidden="1">
      <c r="B104" s="466" t="s">
        <v>975</v>
      </c>
      <c r="C104" s="462" t="s">
        <v>870</v>
      </c>
      <c r="D104" s="465" t="s">
        <v>405</v>
      </c>
      <c r="E104" s="465" t="s">
        <v>404</v>
      </c>
      <c r="F104" s="465" t="s">
        <v>871</v>
      </c>
      <c r="G104" s="467" t="s">
        <v>266</v>
      </c>
      <c r="H104" s="469" t="s">
        <v>147</v>
      </c>
      <c r="I104" s="424">
        <v>-340862.27</v>
      </c>
      <c r="J104" s="424">
        <v>-340862.27</v>
      </c>
      <c r="K104" s="454"/>
      <c r="L104" s="457"/>
      <c r="M104" s="458">
        <f t="shared" si="12"/>
        <v>-340862.27</v>
      </c>
      <c r="N104" s="478">
        <v>-565271.69999999995</v>
      </c>
      <c r="O104" s="459">
        <f t="shared" si="13"/>
        <v>224409.42999999993</v>
      </c>
      <c r="P104" s="460">
        <f t="shared" si="14"/>
        <v>-0.39699392345309337</v>
      </c>
      <c r="Q104" s="454"/>
      <c r="R104" s="456">
        <v>-114000</v>
      </c>
      <c r="S104" s="456">
        <v>0</v>
      </c>
      <c r="T104" s="456">
        <v>-18773.59</v>
      </c>
      <c r="U104" s="456">
        <v>-113207.55</v>
      </c>
      <c r="V104" s="456">
        <v>-94881.13</v>
      </c>
      <c r="W104" s="461">
        <f t="shared" si="15"/>
        <v>0</v>
      </c>
      <c r="X104" s="487">
        <f t="shared" si="11"/>
        <v>-226862.27000000002</v>
      </c>
    </row>
    <row r="105" spans="2:24" ht="15.6" hidden="1">
      <c r="B105" s="466" t="s">
        <v>975</v>
      </c>
      <c r="C105" s="462" t="s">
        <v>870</v>
      </c>
      <c r="D105" s="465" t="s">
        <v>895</v>
      </c>
      <c r="E105" s="465" t="s">
        <v>896</v>
      </c>
      <c r="F105" s="465" t="s">
        <v>871</v>
      </c>
      <c r="G105" s="467" t="s">
        <v>266</v>
      </c>
      <c r="H105" s="469" t="s">
        <v>147</v>
      </c>
      <c r="I105" s="424">
        <v>-2830.19</v>
      </c>
      <c r="J105" s="424">
        <v>-2830.19</v>
      </c>
      <c r="K105" s="454"/>
      <c r="L105" s="457"/>
      <c r="M105" s="458">
        <f t="shared" si="12"/>
        <v>-2830.19</v>
      </c>
      <c r="N105" s="478">
        <v>0</v>
      </c>
      <c r="O105" s="459">
        <f t="shared" si="13"/>
        <v>-2830.19</v>
      </c>
      <c r="P105" s="460" t="str">
        <f t="shared" si="14"/>
        <v/>
      </c>
      <c r="Q105" s="454"/>
      <c r="R105" s="456">
        <v>-2830.19</v>
      </c>
      <c r="S105" s="456">
        <v>0</v>
      </c>
      <c r="T105" s="456">
        <v>0</v>
      </c>
      <c r="U105" s="456">
        <v>0</v>
      </c>
      <c r="V105" s="456">
        <v>0</v>
      </c>
      <c r="W105" s="461">
        <f t="shared" si="15"/>
        <v>0</v>
      </c>
      <c r="X105" s="487">
        <f t="shared" si="11"/>
        <v>0</v>
      </c>
    </row>
    <row r="106" spans="2:24" ht="15.6" hidden="1">
      <c r="B106" s="466" t="s">
        <v>975</v>
      </c>
      <c r="C106" s="462" t="s">
        <v>870</v>
      </c>
      <c r="D106" s="465" t="s">
        <v>897</v>
      </c>
      <c r="E106" s="465" t="s">
        <v>898</v>
      </c>
      <c r="F106" s="465" t="s">
        <v>871</v>
      </c>
      <c r="G106" s="467" t="s">
        <v>266</v>
      </c>
      <c r="H106" s="469" t="s">
        <v>147</v>
      </c>
      <c r="I106" s="424">
        <v>-9600</v>
      </c>
      <c r="J106" s="424">
        <v>-9600</v>
      </c>
      <c r="K106" s="454"/>
      <c r="L106" s="457"/>
      <c r="M106" s="458">
        <f t="shared" si="12"/>
        <v>-9600</v>
      </c>
      <c r="N106" s="478">
        <v>0</v>
      </c>
      <c r="O106" s="459">
        <f t="shared" si="13"/>
        <v>-9600</v>
      </c>
      <c r="P106" s="460" t="str">
        <f t="shared" si="14"/>
        <v/>
      </c>
      <c r="Q106" s="454"/>
      <c r="R106" s="456">
        <v>-9600</v>
      </c>
      <c r="S106" s="456">
        <v>0</v>
      </c>
      <c r="T106" s="456">
        <v>0</v>
      </c>
      <c r="U106" s="456">
        <v>0</v>
      </c>
      <c r="V106" s="456">
        <v>0</v>
      </c>
      <c r="W106" s="461">
        <f t="shared" si="15"/>
        <v>0</v>
      </c>
      <c r="X106" s="487">
        <f t="shared" si="11"/>
        <v>0</v>
      </c>
    </row>
    <row r="107" spans="2:24" ht="15.6" hidden="1">
      <c r="B107" s="466" t="s">
        <v>975</v>
      </c>
      <c r="C107" s="462" t="s">
        <v>870</v>
      </c>
      <c r="D107" s="465" t="s">
        <v>515</v>
      </c>
      <c r="E107" s="465" t="s">
        <v>514</v>
      </c>
      <c r="F107" s="465" t="s">
        <v>871</v>
      </c>
      <c r="G107" s="467" t="s">
        <v>266</v>
      </c>
      <c r="H107" s="469" t="s">
        <v>147</v>
      </c>
      <c r="I107" s="424">
        <v>-406000</v>
      </c>
      <c r="J107" s="424">
        <v>-406000</v>
      </c>
      <c r="K107" s="454"/>
      <c r="L107" s="457"/>
      <c r="M107" s="458">
        <f t="shared" si="12"/>
        <v>-406000</v>
      </c>
      <c r="N107" s="478">
        <v>-163207.54999999999</v>
      </c>
      <c r="O107" s="459">
        <f t="shared" si="13"/>
        <v>-242792.45</v>
      </c>
      <c r="P107" s="460">
        <f t="shared" si="14"/>
        <v>1.4876300146653756</v>
      </c>
      <c r="Q107" s="454"/>
      <c r="R107" s="456">
        <v>-406000</v>
      </c>
      <c r="S107" s="456">
        <v>0</v>
      </c>
      <c r="T107" s="456">
        <v>0</v>
      </c>
      <c r="U107" s="456">
        <v>0</v>
      </c>
      <c r="V107" s="456">
        <v>0</v>
      </c>
      <c r="W107" s="461">
        <f t="shared" si="15"/>
        <v>0</v>
      </c>
      <c r="X107" s="487">
        <f t="shared" si="11"/>
        <v>0</v>
      </c>
    </row>
    <row r="108" spans="2:24" ht="15.6" hidden="1">
      <c r="B108" s="466" t="s">
        <v>975</v>
      </c>
      <c r="C108" s="462" t="s">
        <v>870</v>
      </c>
      <c r="D108" s="465" t="s">
        <v>211</v>
      </c>
      <c r="E108" s="465" t="s">
        <v>210</v>
      </c>
      <c r="F108" s="465" t="s">
        <v>871</v>
      </c>
      <c r="G108" s="467" t="s">
        <v>266</v>
      </c>
      <c r="H108" s="469" t="s">
        <v>147</v>
      </c>
      <c r="I108" s="424">
        <v>-56000</v>
      </c>
      <c r="J108" s="424">
        <v>-56000</v>
      </c>
      <c r="K108" s="454"/>
      <c r="L108" s="457"/>
      <c r="M108" s="458">
        <f t="shared" si="12"/>
        <v>-56000</v>
      </c>
      <c r="N108" s="478">
        <v>-56000</v>
      </c>
      <c r="O108" s="459">
        <f t="shared" si="13"/>
        <v>0</v>
      </c>
      <c r="P108" s="460">
        <f t="shared" si="14"/>
        <v>0</v>
      </c>
      <c r="Q108" s="454"/>
      <c r="R108" s="456">
        <v>0</v>
      </c>
      <c r="S108" s="456">
        <v>0</v>
      </c>
      <c r="T108" s="456">
        <v>0</v>
      </c>
      <c r="U108" s="456">
        <v>0</v>
      </c>
      <c r="V108" s="456">
        <v>-56000</v>
      </c>
      <c r="W108" s="461">
        <f t="shared" si="15"/>
        <v>0</v>
      </c>
      <c r="X108" s="487">
        <f t="shared" si="11"/>
        <v>-56000</v>
      </c>
    </row>
    <row r="109" spans="2:24" ht="15.6" hidden="1">
      <c r="B109" s="466" t="s">
        <v>975</v>
      </c>
      <c r="C109" s="462" t="s">
        <v>870</v>
      </c>
      <c r="D109" s="465" t="s">
        <v>899</v>
      </c>
      <c r="E109" s="465" t="s">
        <v>900</v>
      </c>
      <c r="F109" s="465" t="s">
        <v>871</v>
      </c>
      <c r="G109" s="467" t="s">
        <v>266</v>
      </c>
      <c r="H109" s="469" t="s">
        <v>147</v>
      </c>
      <c r="I109" s="424">
        <v>-58419.81</v>
      </c>
      <c r="J109" s="424">
        <v>-58419.81</v>
      </c>
      <c r="K109" s="454"/>
      <c r="L109" s="457"/>
      <c r="M109" s="458">
        <f t="shared" si="12"/>
        <v>-58419.81</v>
      </c>
      <c r="N109" s="478">
        <v>0</v>
      </c>
      <c r="O109" s="459">
        <f t="shared" si="13"/>
        <v>-58419.81</v>
      </c>
      <c r="P109" s="460" t="str">
        <f t="shared" si="14"/>
        <v/>
      </c>
      <c r="Q109" s="454"/>
      <c r="R109" s="456">
        <v>-58419.81</v>
      </c>
      <c r="S109" s="456">
        <v>0</v>
      </c>
      <c r="T109" s="456">
        <v>0</v>
      </c>
      <c r="U109" s="456">
        <v>0</v>
      </c>
      <c r="V109" s="456">
        <v>0</v>
      </c>
      <c r="W109" s="461">
        <f t="shared" si="15"/>
        <v>0</v>
      </c>
      <c r="X109" s="487">
        <f t="shared" si="11"/>
        <v>0</v>
      </c>
    </row>
    <row r="110" spans="2:24" ht="15.6" hidden="1">
      <c r="B110" s="466" t="s">
        <v>975</v>
      </c>
      <c r="C110" s="462" t="s">
        <v>870</v>
      </c>
      <c r="D110" s="465" t="s">
        <v>301</v>
      </c>
      <c r="E110" s="465" t="s">
        <v>901</v>
      </c>
      <c r="F110" s="465" t="s">
        <v>871</v>
      </c>
      <c r="G110" s="467" t="s">
        <v>266</v>
      </c>
      <c r="H110" s="469" t="s">
        <v>147</v>
      </c>
      <c r="I110" s="424">
        <v>-138134.91</v>
      </c>
      <c r="J110" s="424">
        <v>-138134.91</v>
      </c>
      <c r="K110" s="454"/>
      <c r="L110" s="457"/>
      <c r="M110" s="458">
        <f t="shared" si="12"/>
        <v>-138134.91</v>
      </c>
      <c r="N110" s="478">
        <v>-138134.91</v>
      </c>
      <c r="O110" s="459">
        <f t="shared" si="13"/>
        <v>0</v>
      </c>
      <c r="P110" s="460">
        <f t="shared" si="14"/>
        <v>0</v>
      </c>
      <c r="Q110" s="454"/>
      <c r="R110" s="456">
        <v>0</v>
      </c>
      <c r="S110" s="456">
        <v>0</v>
      </c>
      <c r="T110" s="456">
        <v>0</v>
      </c>
      <c r="U110" s="456">
        <v>-138134.91</v>
      </c>
      <c r="V110" s="456">
        <v>0</v>
      </c>
      <c r="W110" s="461">
        <f t="shared" si="15"/>
        <v>0</v>
      </c>
      <c r="X110" s="487">
        <f t="shared" si="11"/>
        <v>-138134.91</v>
      </c>
    </row>
    <row r="111" spans="2:24" ht="15.6" hidden="1">
      <c r="B111" s="466" t="s">
        <v>975</v>
      </c>
      <c r="C111" s="462" t="s">
        <v>870</v>
      </c>
      <c r="D111" s="465" t="s">
        <v>902</v>
      </c>
      <c r="E111" s="465" t="s">
        <v>903</v>
      </c>
      <c r="F111" s="465" t="s">
        <v>871</v>
      </c>
      <c r="G111" s="467" t="s">
        <v>266</v>
      </c>
      <c r="H111" s="469" t="s">
        <v>147</v>
      </c>
      <c r="I111" s="424">
        <v>-34346.54</v>
      </c>
      <c r="J111" s="424">
        <v>-34346.54</v>
      </c>
      <c r="K111" s="454"/>
      <c r="L111" s="457"/>
      <c r="M111" s="458">
        <f t="shared" si="12"/>
        <v>-34346.54</v>
      </c>
      <c r="N111" s="478">
        <v>0</v>
      </c>
      <c r="O111" s="459">
        <f t="shared" si="13"/>
        <v>-34346.54</v>
      </c>
      <c r="P111" s="460" t="str">
        <f t="shared" si="14"/>
        <v/>
      </c>
      <c r="Q111" s="454"/>
      <c r="R111" s="456">
        <v>-24752.48</v>
      </c>
      <c r="S111" s="456">
        <v>-9594.06</v>
      </c>
      <c r="T111" s="456">
        <v>0</v>
      </c>
      <c r="U111" s="456">
        <v>0</v>
      </c>
      <c r="V111" s="456">
        <v>0</v>
      </c>
      <c r="W111" s="461">
        <f t="shared" si="15"/>
        <v>0</v>
      </c>
      <c r="X111" s="487">
        <f t="shared" si="11"/>
        <v>0</v>
      </c>
    </row>
    <row r="112" spans="2:24" ht="15.6" hidden="1">
      <c r="B112" s="466" t="s">
        <v>975</v>
      </c>
      <c r="C112" s="462" t="s">
        <v>870</v>
      </c>
      <c r="D112" s="465" t="s">
        <v>904</v>
      </c>
      <c r="E112" s="465" t="s">
        <v>905</v>
      </c>
      <c r="F112" s="465" t="s">
        <v>871</v>
      </c>
      <c r="G112" s="467" t="s">
        <v>266</v>
      </c>
      <c r="H112" s="469" t="s">
        <v>147</v>
      </c>
      <c r="I112" s="424">
        <v>-645799.99</v>
      </c>
      <c r="J112" s="424">
        <v>-645799.99</v>
      </c>
      <c r="K112" s="454"/>
      <c r="L112" s="457"/>
      <c r="M112" s="458">
        <f t="shared" si="12"/>
        <v>-645799.99</v>
      </c>
      <c r="N112" s="478">
        <v>0</v>
      </c>
      <c r="O112" s="459">
        <f t="shared" si="13"/>
        <v>-645799.99</v>
      </c>
      <c r="P112" s="460" t="str">
        <f t="shared" si="14"/>
        <v/>
      </c>
      <c r="Q112" s="454"/>
      <c r="R112" s="456">
        <v>-645799.99</v>
      </c>
      <c r="S112" s="456">
        <v>0</v>
      </c>
      <c r="T112" s="456">
        <v>0</v>
      </c>
      <c r="U112" s="456">
        <v>0</v>
      </c>
      <c r="V112" s="456">
        <v>0</v>
      </c>
      <c r="W112" s="461">
        <f t="shared" si="15"/>
        <v>0</v>
      </c>
      <c r="X112" s="487">
        <f t="shared" si="11"/>
        <v>0</v>
      </c>
    </row>
    <row r="113" spans="2:24" ht="15.6" hidden="1">
      <c r="B113" s="466" t="s">
        <v>975</v>
      </c>
      <c r="C113" s="462" t="s">
        <v>870</v>
      </c>
      <c r="D113" s="465" t="s">
        <v>365</v>
      </c>
      <c r="E113" s="465" t="s">
        <v>364</v>
      </c>
      <c r="F113" s="465" t="s">
        <v>871</v>
      </c>
      <c r="G113" s="467" t="s">
        <v>266</v>
      </c>
      <c r="H113" s="469" t="s">
        <v>147</v>
      </c>
      <c r="I113" s="424">
        <v>-140000</v>
      </c>
      <c r="J113" s="424">
        <v>-140000</v>
      </c>
      <c r="K113" s="454"/>
      <c r="L113" s="457"/>
      <c r="M113" s="458">
        <f t="shared" si="12"/>
        <v>-140000</v>
      </c>
      <c r="N113" s="478">
        <v>-37735.85</v>
      </c>
      <c r="O113" s="459">
        <f t="shared" si="13"/>
        <v>-102264.15</v>
      </c>
      <c r="P113" s="460">
        <f t="shared" si="14"/>
        <v>2.7099999072500021</v>
      </c>
      <c r="Q113" s="454"/>
      <c r="R113" s="456">
        <v>-140000</v>
      </c>
      <c r="S113" s="456">
        <v>0</v>
      </c>
      <c r="T113" s="456">
        <v>0</v>
      </c>
      <c r="U113" s="456">
        <v>0</v>
      </c>
      <c r="V113" s="456">
        <v>0</v>
      </c>
      <c r="W113" s="461">
        <f t="shared" si="15"/>
        <v>0</v>
      </c>
      <c r="X113" s="487">
        <f t="shared" si="11"/>
        <v>0</v>
      </c>
    </row>
    <row r="114" spans="2:24" ht="15.6" hidden="1">
      <c r="B114" s="466" t="s">
        <v>975</v>
      </c>
      <c r="C114" s="462" t="s">
        <v>870</v>
      </c>
      <c r="D114" s="465" t="s">
        <v>305</v>
      </c>
      <c r="E114" s="465" t="s">
        <v>304</v>
      </c>
      <c r="F114" s="465" t="s">
        <v>871</v>
      </c>
      <c r="G114" s="467" t="s">
        <v>266</v>
      </c>
      <c r="H114" s="469" t="s">
        <v>147</v>
      </c>
      <c r="I114" s="424">
        <v>-1432.5</v>
      </c>
      <c r="J114" s="424">
        <v>-1432.5</v>
      </c>
      <c r="K114" s="454"/>
      <c r="L114" s="457"/>
      <c r="M114" s="458">
        <f t="shared" si="12"/>
        <v>-1432.5</v>
      </c>
      <c r="N114" s="478">
        <v>-1432.5</v>
      </c>
      <c r="O114" s="459">
        <f t="shared" si="13"/>
        <v>0</v>
      </c>
      <c r="P114" s="460">
        <f t="shared" si="14"/>
        <v>0</v>
      </c>
      <c r="Q114" s="454"/>
      <c r="R114" s="456">
        <v>0</v>
      </c>
      <c r="S114" s="456">
        <v>-1432.5</v>
      </c>
      <c r="T114" s="456">
        <v>0</v>
      </c>
      <c r="U114" s="456">
        <v>0</v>
      </c>
      <c r="V114" s="456">
        <v>0</v>
      </c>
      <c r="W114" s="461">
        <f t="shared" si="15"/>
        <v>0</v>
      </c>
      <c r="X114" s="487">
        <f t="shared" si="11"/>
        <v>0</v>
      </c>
    </row>
    <row r="115" spans="2:24" ht="15.6" hidden="1">
      <c r="B115" s="466" t="s">
        <v>975</v>
      </c>
      <c r="C115" s="462" t="s">
        <v>870</v>
      </c>
      <c r="D115" s="465" t="s">
        <v>261</v>
      </c>
      <c r="E115" s="465" t="s">
        <v>906</v>
      </c>
      <c r="F115" s="465" t="s">
        <v>871</v>
      </c>
      <c r="G115" s="467" t="s">
        <v>266</v>
      </c>
      <c r="H115" s="469" t="s">
        <v>147</v>
      </c>
      <c r="I115" s="424">
        <v>-306852.09999999998</v>
      </c>
      <c r="J115" s="424">
        <v>-306852.09999999998</v>
      </c>
      <c r="K115" s="454"/>
      <c r="L115" s="457"/>
      <c r="M115" s="458">
        <f t="shared" si="12"/>
        <v>-306852.09999999998</v>
      </c>
      <c r="N115" s="478">
        <v>-997552.1</v>
      </c>
      <c r="O115" s="459">
        <f t="shared" si="13"/>
        <v>690700</v>
      </c>
      <c r="P115" s="460">
        <f t="shared" si="14"/>
        <v>-0.69239491350877813</v>
      </c>
      <c r="Q115" s="454"/>
      <c r="R115" s="456">
        <v>0</v>
      </c>
      <c r="S115" s="456">
        <v>0</v>
      </c>
      <c r="T115" s="456">
        <v>-306852.09999999998</v>
      </c>
      <c r="U115" s="456">
        <v>0</v>
      </c>
      <c r="V115" s="456">
        <v>0</v>
      </c>
      <c r="W115" s="461">
        <f t="shared" si="15"/>
        <v>0</v>
      </c>
      <c r="X115" s="487">
        <f t="shared" si="11"/>
        <v>-306852.09999999998</v>
      </c>
    </row>
    <row r="116" spans="2:24" ht="15.6" hidden="1">
      <c r="B116" s="466" t="s">
        <v>975</v>
      </c>
      <c r="C116" s="462" t="s">
        <v>870</v>
      </c>
      <c r="D116" s="465" t="s">
        <v>907</v>
      </c>
      <c r="E116" s="465" t="s">
        <v>908</v>
      </c>
      <c r="F116" s="465" t="s">
        <v>871</v>
      </c>
      <c r="G116" s="467" t="s">
        <v>266</v>
      </c>
      <c r="H116" s="469" t="s">
        <v>147</v>
      </c>
      <c r="I116" s="424">
        <v>-35000</v>
      </c>
      <c r="J116" s="424">
        <v>-35000</v>
      </c>
      <c r="K116" s="454"/>
      <c r="L116" s="457"/>
      <c r="M116" s="458">
        <f t="shared" si="12"/>
        <v>-35000</v>
      </c>
      <c r="N116" s="478">
        <v>0</v>
      </c>
      <c r="O116" s="459">
        <f t="shared" si="13"/>
        <v>-35000</v>
      </c>
      <c r="P116" s="460" t="str">
        <f t="shared" si="14"/>
        <v/>
      </c>
      <c r="Q116" s="454"/>
      <c r="R116" s="456">
        <v>-35000</v>
      </c>
      <c r="S116" s="456">
        <v>0</v>
      </c>
      <c r="T116" s="456">
        <v>0</v>
      </c>
      <c r="U116" s="456">
        <v>0</v>
      </c>
      <c r="V116" s="456">
        <v>0</v>
      </c>
      <c r="W116" s="461">
        <f t="shared" si="15"/>
        <v>0</v>
      </c>
      <c r="X116" s="487">
        <f t="shared" si="11"/>
        <v>0</v>
      </c>
    </row>
    <row r="117" spans="2:24" ht="15.6" hidden="1">
      <c r="B117" s="466" t="s">
        <v>975</v>
      </c>
      <c r="C117" s="462" t="s">
        <v>870</v>
      </c>
      <c r="D117" s="465" t="s">
        <v>355</v>
      </c>
      <c r="E117" s="465" t="s">
        <v>354</v>
      </c>
      <c r="F117" s="465" t="s">
        <v>871</v>
      </c>
      <c r="G117" s="467" t="s">
        <v>266</v>
      </c>
      <c r="H117" s="469" t="s">
        <v>147</v>
      </c>
      <c r="I117" s="424">
        <v>-1458.41</v>
      </c>
      <c r="J117" s="424">
        <v>-1458.41</v>
      </c>
      <c r="K117" s="454"/>
      <c r="L117" s="457"/>
      <c r="M117" s="458">
        <f t="shared" si="12"/>
        <v>-1458.41</v>
      </c>
      <c r="N117" s="478">
        <v>-1458.41</v>
      </c>
      <c r="O117" s="459">
        <f t="shared" si="13"/>
        <v>0</v>
      </c>
      <c r="P117" s="460">
        <f t="shared" si="14"/>
        <v>0</v>
      </c>
      <c r="Q117" s="454"/>
      <c r="R117" s="456">
        <v>0</v>
      </c>
      <c r="S117" s="456">
        <v>0</v>
      </c>
      <c r="T117" s="456">
        <v>0</v>
      </c>
      <c r="U117" s="456">
        <v>0</v>
      </c>
      <c r="V117" s="456">
        <v>-1458.41</v>
      </c>
      <c r="W117" s="461">
        <f t="shared" si="15"/>
        <v>0</v>
      </c>
      <c r="X117" s="487">
        <f t="shared" si="11"/>
        <v>-1458.41</v>
      </c>
    </row>
    <row r="118" spans="2:24" ht="15.6" hidden="1">
      <c r="B118" s="466" t="s">
        <v>975</v>
      </c>
      <c r="C118" s="462" t="s">
        <v>870</v>
      </c>
      <c r="D118" s="465" t="s">
        <v>447</v>
      </c>
      <c r="E118" s="465" t="s">
        <v>446</v>
      </c>
      <c r="F118" s="465" t="s">
        <v>871</v>
      </c>
      <c r="G118" s="467" t="s">
        <v>266</v>
      </c>
      <c r="H118" s="469" t="s">
        <v>147</v>
      </c>
      <c r="I118" s="424">
        <v>-57915.09</v>
      </c>
      <c r="J118" s="424">
        <v>-57915.09</v>
      </c>
      <c r="K118" s="454"/>
      <c r="L118" s="457"/>
      <c r="M118" s="458">
        <f t="shared" si="12"/>
        <v>-57915.09</v>
      </c>
      <c r="N118" s="478">
        <v>-26566.14</v>
      </c>
      <c r="O118" s="459">
        <f t="shared" si="13"/>
        <v>-31348.949999999997</v>
      </c>
      <c r="P118" s="460">
        <f t="shared" si="14"/>
        <v>1.1800340583916218</v>
      </c>
      <c r="Q118" s="454"/>
      <c r="R118" s="456">
        <v>-57915.09</v>
      </c>
      <c r="S118" s="456">
        <v>0</v>
      </c>
      <c r="T118" s="456">
        <v>0</v>
      </c>
      <c r="U118" s="456">
        <v>0</v>
      </c>
      <c r="V118" s="456">
        <v>0</v>
      </c>
      <c r="W118" s="461">
        <f t="shared" si="15"/>
        <v>0</v>
      </c>
      <c r="X118" s="487">
        <f t="shared" si="11"/>
        <v>0</v>
      </c>
    </row>
    <row r="119" spans="2:24" ht="15.6" hidden="1">
      <c r="B119" s="466" t="s">
        <v>975</v>
      </c>
      <c r="C119" s="462" t="s">
        <v>870</v>
      </c>
      <c r="D119" s="465" t="s">
        <v>181</v>
      </c>
      <c r="E119" s="465" t="s">
        <v>909</v>
      </c>
      <c r="F119" s="465" t="s">
        <v>871</v>
      </c>
      <c r="G119" s="467" t="s">
        <v>266</v>
      </c>
      <c r="H119" s="469" t="s">
        <v>147</v>
      </c>
      <c r="I119" s="424">
        <v>0</v>
      </c>
      <c r="J119" s="424">
        <v>0</v>
      </c>
      <c r="K119" s="454"/>
      <c r="L119" s="457"/>
      <c r="M119" s="458">
        <f t="shared" si="12"/>
        <v>0</v>
      </c>
      <c r="N119" s="478">
        <v>-63000</v>
      </c>
      <c r="O119" s="459">
        <f t="shared" si="13"/>
        <v>63000</v>
      </c>
      <c r="P119" s="460">
        <f t="shared" si="14"/>
        <v>-1</v>
      </c>
      <c r="Q119" s="454"/>
      <c r="R119" s="456">
        <v>0</v>
      </c>
      <c r="S119" s="456">
        <v>0</v>
      </c>
      <c r="T119" s="456">
        <v>0</v>
      </c>
      <c r="U119" s="456">
        <v>0</v>
      </c>
      <c r="V119" s="456">
        <v>0</v>
      </c>
      <c r="W119" s="461">
        <f t="shared" si="15"/>
        <v>0</v>
      </c>
      <c r="X119" s="487">
        <f t="shared" si="11"/>
        <v>0</v>
      </c>
    </row>
    <row r="120" spans="2:24" ht="15.6" hidden="1">
      <c r="B120" s="466" t="s">
        <v>975</v>
      </c>
      <c r="C120" s="462" t="s">
        <v>870</v>
      </c>
      <c r="D120" s="465" t="s">
        <v>325</v>
      </c>
      <c r="E120" s="465" t="s">
        <v>324</v>
      </c>
      <c r="F120" s="465" t="s">
        <v>871</v>
      </c>
      <c r="G120" s="467" t="s">
        <v>266</v>
      </c>
      <c r="H120" s="469" t="s">
        <v>147</v>
      </c>
      <c r="I120" s="424">
        <v>-378207.55</v>
      </c>
      <c r="J120" s="424">
        <v>-378207.55</v>
      </c>
      <c r="K120" s="454"/>
      <c r="L120" s="457"/>
      <c r="M120" s="458">
        <f t="shared" si="12"/>
        <v>-378207.55</v>
      </c>
      <c r="N120" s="478">
        <v>-378207.55</v>
      </c>
      <c r="O120" s="459">
        <f t="shared" si="13"/>
        <v>0</v>
      </c>
      <c r="P120" s="460">
        <f t="shared" si="14"/>
        <v>0</v>
      </c>
      <c r="Q120" s="454"/>
      <c r="R120" s="456">
        <v>0</v>
      </c>
      <c r="S120" s="456">
        <v>0</v>
      </c>
      <c r="T120" s="456">
        <v>0</v>
      </c>
      <c r="U120" s="456">
        <v>0</v>
      </c>
      <c r="V120" s="456">
        <v>-378207.55</v>
      </c>
      <c r="W120" s="461">
        <f t="shared" si="15"/>
        <v>0</v>
      </c>
      <c r="X120" s="487">
        <f t="shared" si="11"/>
        <v>-378207.55</v>
      </c>
    </row>
    <row r="121" spans="2:24" ht="15.6" hidden="1">
      <c r="B121" s="466" t="s">
        <v>975</v>
      </c>
      <c r="C121" s="462" t="s">
        <v>870</v>
      </c>
      <c r="D121" s="465" t="s">
        <v>375</v>
      </c>
      <c r="E121" s="465" t="s">
        <v>374</v>
      </c>
      <c r="F121" s="465" t="s">
        <v>871</v>
      </c>
      <c r="G121" s="467" t="s">
        <v>266</v>
      </c>
      <c r="H121" s="469" t="s">
        <v>147</v>
      </c>
      <c r="I121" s="424">
        <v>0</v>
      </c>
      <c r="J121" s="424">
        <v>0</v>
      </c>
      <c r="K121" s="454"/>
      <c r="L121" s="457"/>
      <c r="M121" s="458">
        <f t="shared" si="12"/>
        <v>0</v>
      </c>
      <c r="N121" s="478">
        <v>-121576.24</v>
      </c>
      <c r="O121" s="459">
        <f t="shared" si="13"/>
        <v>121576.24</v>
      </c>
      <c r="P121" s="460">
        <f t="shared" si="14"/>
        <v>-1</v>
      </c>
      <c r="Q121" s="454"/>
      <c r="R121" s="456">
        <v>0</v>
      </c>
      <c r="S121" s="456">
        <v>0</v>
      </c>
      <c r="T121" s="456">
        <v>0</v>
      </c>
      <c r="U121" s="456">
        <v>0</v>
      </c>
      <c r="V121" s="456">
        <v>0</v>
      </c>
      <c r="W121" s="461">
        <f t="shared" si="15"/>
        <v>0</v>
      </c>
      <c r="X121" s="487">
        <f t="shared" si="11"/>
        <v>0</v>
      </c>
    </row>
    <row r="122" spans="2:24" ht="15.6" hidden="1">
      <c r="B122" s="466" t="s">
        <v>975</v>
      </c>
      <c r="C122" s="462" t="s">
        <v>870</v>
      </c>
      <c r="D122" s="465" t="s">
        <v>910</v>
      </c>
      <c r="E122" s="465" t="s">
        <v>911</v>
      </c>
      <c r="F122" s="465" t="s">
        <v>871</v>
      </c>
      <c r="G122" s="467" t="s">
        <v>266</v>
      </c>
      <c r="H122" s="469" t="s">
        <v>147</v>
      </c>
      <c r="I122" s="424">
        <v>-8453.4</v>
      </c>
      <c r="J122" s="424">
        <v>-8453.4</v>
      </c>
      <c r="K122" s="454"/>
      <c r="L122" s="457"/>
      <c r="M122" s="458">
        <f t="shared" si="12"/>
        <v>-8453.4</v>
      </c>
      <c r="N122" s="478">
        <v>0</v>
      </c>
      <c r="O122" s="459">
        <f t="shared" si="13"/>
        <v>-8453.4</v>
      </c>
      <c r="P122" s="460" t="str">
        <f t="shared" si="14"/>
        <v/>
      </c>
      <c r="Q122" s="454"/>
      <c r="R122" s="456">
        <v>0</v>
      </c>
      <c r="S122" s="456">
        <v>-8453.4</v>
      </c>
      <c r="T122" s="456">
        <v>0</v>
      </c>
      <c r="U122" s="456">
        <v>0</v>
      </c>
      <c r="V122" s="456">
        <v>0</v>
      </c>
      <c r="W122" s="461">
        <f t="shared" si="15"/>
        <v>0</v>
      </c>
      <c r="X122" s="487">
        <f t="shared" si="11"/>
        <v>0</v>
      </c>
    </row>
    <row r="123" spans="2:24" ht="15.6" hidden="1">
      <c r="B123" s="466" t="s">
        <v>975</v>
      </c>
      <c r="C123" s="462" t="s">
        <v>870</v>
      </c>
      <c r="D123" s="465" t="s">
        <v>281</v>
      </c>
      <c r="E123" s="465" t="s">
        <v>280</v>
      </c>
      <c r="F123" s="465" t="s">
        <v>871</v>
      </c>
      <c r="G123" s="467" t="s">
        <v>266</v>
      </c>
      <c r="H123" s="469" t="s">
        <v>147</v>
      </c>
      <c r="I123" s="424">
        <v>-50000</v>
      </c>
      <c r="J123" s="424">
        <v>-50000</v>
      </c>
      <c r="K123" s="454"/>
      <c r="L123" s="457"/>
      <c r="M123" s="458">
        <f t="shared" si="12"/>
        <v>-50000</v>
      </c>
      <c r="N123" s="478">
        <v>-257530.1</v>
      </c>
      <c r="O123" s="459">
        <f t="shared" si="13"/>
        <v>207530.1</v>
      </c>
      <c r="P123" s="460">
        <f t="shared" si="14"/>
        <v>-0.80584793777504071</v>
      </c>
      <c r="Q123" s="454"/>
      <c r="R123" s="456">
        <v>0</v>
      </c>
      <c r="S123" s="456">
        <v>0</v>
      </c>
      <c r="T123" s="456">
        <v>-50000</v>
      </c>
      <c r="U123" s="456">
        <v>0</v>
      </c>
      <c r="V123" s="456">
        <v>0</v>
      </c>
      <c r="W123" s="461">
        <f t="shared" si="15"/>
        <v>0</v>
      </c>
      <c r="X123" s="487">
        <f t="shared" si="11"/>
        <v>-50000</v>
      </c>
    </row>
    <row r="124" spans="2:24" ht="15.6" hidden="1">
      <c r="B124" s="466" t="s">
        <v>975</v>
      </c>
      <c r="C124" s="462" t="s">
        <v>870</v>
      </c>
      <c r="D124" s="465" t="s">
        <v>912</v>
      </c>
      <c r="E124" s="465" t="s">
        <v>913</v>
      </c>
      <c r="F124" s="465" t="s">
        <v>871</v>
      </c>
      <c r="G124" s="467" t="s">
        <v>266</v>
      </c>
      <c r="H124" s="469" t="s">
        <v>147</v>
      </c>
      <c r="I124" s="424">
        <v>-5400</v>
      </c>
      <c r="J124" s="424">
        <v>-5400</v>
      </c>
      <c r="K124" s="454"/>
      <c r="L124" s="457"/>
      <c r="M124" s="458">
        <f t="shared" si="12"/>
        <v>-5400</v>
      </c>
      <c r="N124" s="478">
        <v>0</v>
      </c>
      <c r="O124" s="459">
        <f t="shared" si="13"/>
        <v>-5400</v>
      </c>
      <c r="P124" s="460" t="str">
        <f t="shared" si="14"/>
        <v/>
      </c>
      <c r="Q124" s="454"/>
      <c r="R124" s="456">
        <v>-5400</v>
      </c>
      <c r="S124" s="456">
        <v>0</v>
      </c>
      <c r="T124" s="456">
        <v>0</v>
      </c>
      <c r="U124" s="456">
        <v>0</v>
      </c>
      <c r="V124" s="456">
        <v>0</v>
      </c>
      <c r="W124" s="461">
        <f t="shared" si="15"/>
        <v>0</v>
      </c>
      <c r="X124" s="487">
        <f t="shared" si="11"/>
        <v>0</v>
      </c>
    </row>
    <row r="125" spans="2:24" ht="15.6" hidden="1">
      <c r="B125" s="466" t="s">
        <v>975</v>
      </c>
      <c r="C125" s="462" t="s">
        <v>870</v>
      </c>
      <c r="D125" s="465" t="s">
        <v>499</v>
      </c>
      <c r="E125" s="465" t="s">
        <v>498</v>
      </c>
      <c r="F125" s="465" t="s">
        <v>871</v>
      </c>
      <c r="G125" s="467" t="s">
        <v>266</v>
      </c>
      <c r="H125" s="469" t="s">
        <v>147</v>
      </c>
      <c r="I125" s="424">
        <v>-91769.29</v>
      </c>
      <c r="J125" s="424">
        <v>-91769.29</v>
      </c>
      <c r="K125" s="454"/>
      <c r="L125" s="457"/>
      <c r="M125" s="458">
        <f t="shared" si="12"/>
        <v>-91769.29</v>
      </c>
      <c r="N125" s="478">
        <v>-183278.72</v>
      </c>
      <c r="O125" s="459">
        <f t="shared" si="13"/>
        <v>91509.430000000008</v>
      </c>
      <c r="P125" s="460">
        <f t="shared" si="14"/>
        <v>-0.4992910797281867</v>
      </c>
      <c r="Q125" s="454"/>
      <c r="R125" s="456">
        <v>0</v>
      </c>
      <c r="S125" s="456">
        <v>0</v>
      </c>
      <c r="T125" s="456">
        <v>-91769.29</v>
      </c>
      <c r="U125" s="456">
        <v>0</v>
      </c>
      <c r="V125" s="456">
        <v>0</v>
      </c>
      <c r="W125" s="461">
        <f t="shared" si="15"/>
        <v>0</v>
      </c>
      <c r="X125" s="487">
        <f t="shared" si="11"/>
        <v>-91769.29</v>
      </c>
    </row>
    <row r="126" spans="2:24" ht="15.6" hidden="1">
      <c r="B126" s="466" t="s">
        <v>975</v>
      </c>
      <c r="C126" s="462" t="s">
        <v>870</v>
      </c>
      <c r="D126" s="465" t="s">
        <v>914</v>
      </c>
      <c r="E126" s="465" t="s">
        <v>915</v>
      </c>
      <c r="F126" s="465" t="s">
        <v>871</v>
      </c>
      <c r="G126" s="467" t="s">
        <v>266</v>
      </c>
      <c r="H126" s="469" t="s">
        <v>147</v>
      </c>
      <c r="I126" s="424">
        <v>-192000</v>
      </c>
      <c r="J126" s="424">
        <v>-192000</v>
      </c>
      <c r="K126" s="454"/>
      <c r="L126" s="457"/>
      <c r="M126" s="458">
        <f t="shared" si="12"/>
        <v>-192000</v>
      </c>
      <c r="N126" s="478">
        <v>0</v>
      </c>
      <c r="O126" s="459">
        <f t="shared" si="13"/>
        <v>-192000</v>
      </c>
      <c r="P126" s="460" t="str">
        <f t="shared" si="14"/>
        <v/>
      </c>
      <c r="Q126" s="454"/>
      <c r="R126" s="456">
        <v>-192000</v>
      </c>
      <c r="S126" s="456">
        <v>0</v>
      </c>
      <c r="T126" s="456">
        <v>0</v>
      </c>
      <c r="U126" s="456">
        <v>0</v>
      </c>
      <c r="V126" s="456">
        <v>0</v>
      </c>
      <c r="W126" s="461">
        <f t="shared" si="15"/>
        <v>0</v>
      </c>
      <c r="X126" s="487">
        <f t="shared" si="11"/>
        <v>0</v>
      </c>
    </row>
    <row r="127" spans="2:24" ht="15.6" hidden="1">
      <c r="B127" s="466" t="s">
        <v>975</v>
      </c>
      <c r="C127" s="462" t="s">
        <v>870</v>
      </c>
      <c r="D127" s="465" t="s">
        <v>513</v>
      </c>
      <c r="E127" s="465" t="s">
        <v>512</v>
      </c>
      <c r="F127" s="465" t="s">
        <v>871</v>
      </c>
      <c r="G127" s="467" t="s">
        <v>266</v>
      </c>
      <c r="H127" s="469" t="s">
        <v>147</v>
      </c>
      <c r="I127" s="424">
        <v>0</v>
      </c>
      <c r="J127" s="424">
        <v>0</v>
      </c>
      <c r="K127" s="454"/>
      <c r="L127" s="457"/>
      <c r="M127" s="458">
        <f t="shared" si="12"/>
        <v>0</v>
      </c>
      <c r="N127" s="478">
        <v>-35643.56</v>
      </c>
      <c r="O127" s="459">
        <f t="shared" si="13"/>
        <v>35643.56</v>
      </c>
      <c r="P127" s="460">
        <f t="shared" si="14"/>
        <v>-1</v>
      </c>
      <c r="Q127" s="454"/>
      <c r="R127" s="456">
        <v>0</v>
      </c>
      <c r="S127" s="456">
        <v>0</v>
      </c>
      <c r="T127" s="456">
        <v>0</v>
      </c>
      <c r="U127" s="456">
        <v>0</v>
      </c>
      <c r="V127" s="456">
        <v>0</v>
      </c>
      <c r="W127" s="461">
        <f t="shared" si="15"/>
        <v>0</v>
      </c>
      <c r="X127" s="487">
        <f t="shared" si="11"/>
        <v>0</v>
      </c>
    </row>
    <row r="128" spans="2:24" ht="15.6" hidden="1">
      <c r="B128" s="466" t="s">
        <v>975</v>
      </c>
      <c r="C128" s="462" t="s">
        <v>870</v>
      </c>
      <c r="D128" s="465" t="s">
        <v>383</v>
      </c>
      <c r="E128" s="465" t="s">
        <v>382</v>
      </c>
      <c r="F128" s="465" t="s">
        <v>871</v>
      </c>
      <c r="G128" s="467" t="s">
        <v>266</v>
      </c>
      <c r="H128" s="469" t="s">
        <v>147</v>
      </c>
      <c r="I128" s="424">
        <v>-248893.31</v>
      </c>
      <c r="J128" s="424">
        <v>-248893.31</v>
      </c>
      <c r="K128" s="454"/>
      <c r="L128" s="457"/>
      <c r="M128" s="458">
        <f t="shared" si="12"/>
        <v>-248893.31</v>
      </c>
      <c r="N128" s="478">
        <v>-223029.32</v>
      </c>
      <c r="O128" s="459">
        <f t="shared" si="13"/>
        <v>-25863.989999999991</v>
      </c>
      <c r="P128" s="460">
        <f t="shared" si="14"/>
        <v>0.11596677064701623</v>
      </c>
      <c r="Q128" s="454"/>
      <c r="R128" s="456">
        <v>-144427.19</v>
      </c>
      <c r="S128" s="456">
        <v>-48261.42</v>
      </c>
      <c r="T128" s="456">
        <v>-56204.7</v>
      </c>
      <c r="U128" s="456">
        <v>0</v>
      </c>
      <c r="V128" s="456">
        <v>0</v>
      </c>
      <c r="W128" s="461">
        <f t="shared" si="15"/>
        <v>0</v>
      </c>
      <c r="X128" s="487">
        <f t="shared" si="11"/>
        <v>-56204.7</v>
      </c>
    </row>
    <row r="129" spans="2:24" ht="15.6" hidden="1">
      <c r="B129" s="466" t="s">
        <v>975</v>
      </c>
      <c r="C129" s="462" t="s">
        <v>870</v>
      </c>
      <c r="D129" s="465" t="s">
        <v>916</v>
      </c>
      <c r="E129" s="465" t="s">
        <v>917</v>
      </c>
      <c r="F129" s="465" t="s">
        <v>871</v>
      </c>
      <c r="G129" s="467" t="s">
        <v>266</v>
      </c>
      <c r="H129" s="469" t="s">
        <v>147</v>
      </c>
      <c r="I129" s="424">
        <v>-79207.92</v>
      </c>
      <c r="J129" s="424">
        <v>-79207.92</v>
      </c>
      <c r="K129" s="454"/>
      <c r="L129" s="457"/>
      <c r="M129" s="458">
        <f t="shared" si="12"/>
        <v>-79207.92</v>
      </c>
      <c r="N129" s="478">
        <v>0</v>
      </c>
      <c r="O129" s="459">
        <f t="shared" si="13"/>
        <v>-79207.92</v>
      </c>
      <c r="P129" s="460" t="str">
        <f t="shared" si="14"/>
        <v/>
      </c>
      <c r="Q129" s="454"/>
      <c r="R129" s="456">
        <v>-79207.92</v>
      </c>
      <c r="S129" s="456">
        <v>0</v>
      </c>
      <c r="T129" s="456">
        <v>0</v>
      </c>
      <c r="U129" s="456">
        <v>0</v>
      </c>
      <c r="V129" s="456">
        <v>0</v>
      </c>
      <c r="W129" s="461">
        <f t="shared" si="15"/>
        <v>0</v>
      </c>
      <c r="X129" s="487">
        <f t="shared" si="11"/>
        <v>0</v>
      </c>
    </row>
    <row r="130" spans="2:24" ht="15.6" hidden="1">
      <c r="B130" s="466" t="s">
        <v>975</v>
      </c>
      <c r="C130" s="462" t="s">
        <v>870</v>
      </c>
      <c r="D130" s="465" t="s">
        <v>918</v>
      </c>
      <c r="E130" s="465" t="s">
        <v>919</v>
      </c>
      <c r="F130" s="465" t="s">
        <v>871</v>
      </c>
      <c r="G130" s="467" t="s">
        <v>266</v>
      </c>
      <c r="H130" s="469" t="s">
        <v>147</v>
      </c>
      <c r="I130" s="424">
        <v>-112655.42</v>
      </c>
      <c r="J130" s="424">
        <v>-112655.42</v>
      </c>
      <c r="K130" s="454"/>
      <c r="L130" s="457"/>
      <c r="M130" s="458">
        <f t="shared" si="12"/>
        <v>-112655.42</v>
      </c>
      <c r="N130" s="478">
        <v>0</v>
      </c>
      <c r="O130" s="459">
        <f t="shared" si="13"/>
        <v>-112655.42</v>
      </c>
      <c r="P130" s="460" t="str">
        <f t="shared" si="14"/>
        <v/>
      </c>
      <c r="Q130" s="454"/>
      <c r="R130" s="456">
        <v>0</v>
      </c>
      <c r="S130" s="456">
        <v>-112655.42</v>
      </c>
      <c r="T130" s="456">
        <v>0</v>
      </c>
      <c r="U130" s="456">
        <v>0</v>
      </c>
      <c r="V130" s="456">
        <v>0</v>
      </c>
      <c r="W130" s="461">
        <f t="shared" si="15"/>
        <v>0</v>
      </c>
      <c r="X130" s="487">
        <f t="shared" si="11"/>
        <v>0</v>
      </c>
    </row>
    <row r="131" spans="2:24" ht="15.6" hidden="1">
      <c r="B131" s="466" t="s">
        <v>975</v>
      </c>
      <c r="C131" s="462" t="s">
        <v>870</v>
      </c>
      <c r="D131" s="465" t="s">
        <v>920</v>
      </c>
      <c r="E131" s="465" t="s">
        <v>921</v>
      </c>
      <c r="F131" s="465" t="s">
        <v>871</v>
      </c>
      <c r="G131" s="467" t="s">
        <v>266</v>
      </c>
      <c r="H131" s="469" t="s">
        <v>147</v>
      </c>
      <c r="I131" s="424">
        <v>-94339.62</v>
      </c>
      <c r="J131" s="424">
        <v>-94339.62</v>
      </c>
      <c r="K131" s="454"/>
      <c r="L131" s="457"/>
      <c r="M131" s="458">
        <f t="shared" si="12"/>
        <v>-94339.62</v>
      </c>
      <c r="N131" s="478">
        <v>0</v>
      </c>
      <c r="O131" s="459">
        <f t="shared" si="13"/>
        <v>-94339.62</v>
      </c>
      <c r="P131" s="460" t="str">
        <f t="shared" si="14"/>
        <v/>
      </c>
      <c r="Q131" s="454"/>
      <c r="R131" s="456">
        <v>0</v>
      </c>
      <c r="S131" s="456">
        <v>-94339.62</v>
      </c>
      <c r="T131" s="456">
        <v>0</v>
      </c>
      <c r="U131" s="456">
        <v>0</v>
      </c>
      <c r="V131" s="456">
        <v>0</v>
      </c>
      <c r="W131" s="461">
        <f t="shared" si="15"/>
        <v>0</v>
      </c>
      <c r="X131" s="487">
        <f t="shared" si="11"/>
        <v>0</v>
      </c>
    </row>
    <row r="132" spans="2:24" ht="15.6" hidden="1">
      <c r="B132" s="466" t="s">
        <v>975</v>
      </c>
      <c r="C132" s="462" t="s">
        <v>870</v>
      </c>
      <c r="D132" s="465" t="s">
        <v>257</v>
      </c>
      <c r="E132" s="465" t="s">
        <v>256</v>
      </c>
      <c r="F132" s="465" t="s">
        <v>871</v>
      </c>
      <c r="G132" s="467" t="s">
        <v>266</v>
      </c>
      <c r="H132" s="469" t="s">
        <v>147</v>
      </c>
      <c r="I132" s="424">
        <v>-5825.24</v>
      </c>
      <c r="J132" s="424">
        <v>-5825.24</v>
      </c>
      <c r="K132" s="454"/>
      <c r="L132" s="457"/>
      <c r="M132" s="458">
        <f t="shared" si="12"/>
        <v>-5825.24</v>
      </c>
      <c r="N132" s="478">
        <v>-5825.24</v>
      </c>
      <c r="O132" s="459">
        <f t="shared" si="13"/>
        <v>0</v>
      </c>
      <c r="P132" s="460">
        <f t="shared" si="14"/>
        <v>0</v>
      </c>
      <c r="Q132" s="454"/>
      <c r="R132" s="456">
        <v>0</v>
      </c>
      <c r="S132" s="456">
        <v>0</v>
      </c>
      <c r="T132" s="456">
        <v>0</v>
      </c>
      <c r="U132" s="456">
        <v>-5825.24</v>
      </c>
      <c r="V132" s="456">
        <v>0</v>
      </c>
      <c r="W132" s="461">
        <f t="shared" si="15"/>
        <v>0</v>
      </c>
      <c r="X132" s="487">
        <f t="shared" si="11"/>
        <v>-5825.24</v>
      </c>
    </row>
    <row r="133" spans="2:24" ht="15.6" hidden="1">
      <c r="B133" s="466" t="s">
        <v>975</v>
      </c>
      <c r="C133" s="462" t="s">
        <v>870</v>
      </c>
      <c r="D133" s="465" t="s">
        <v>349</v>
      </c>
      <c r="E133" s="465" t="s">
        <v>348</v>
      </c>
      <c r="F133" s="465" t="s">
        <v>871</v>
      </c>
      <c r="G133" s="467" t="s">
        <v>266</v>
      </c>
      <c r="H133" s="469" t="s">
        <v>147</v>
      </c>
      <c r="I133" s="424">
        <v>-10291.26</v>
      </c>
      <c r="J133" s="424">
        <v>-10291.26</v>
      </c>
      <c r="K133" s="454"/>
      <c r="L133" s="457"/>
      <c r="M133" s="458">
        <f t="shared" si="12"/>
        <v>-10291.26</v>
      </c>
      <c r="N133" s="478">
        <v>-10291.26</v>
      </c>
      <c r="O133" s="459">
        <f t="shared" si="13"/>
        <v>0</v>
      </c>
      <c r="P133" s="460">
        <f t="shared" si="14"/>
        <v>0</v>
      </c>
      <c r="Q133" s="454"/>
      <c r="R133" s="456">
        <v>0</v>
      </c>
      <c r="S133" s="456">
        <v>0</v>
      </c>
      <c r="T133" s="456">
        <v>0</v>
      </c>
      <c r="U133" s="456">
        <v>0</v>
      </c>
      <c r="V133" s="456">
        <v>-10291.26</v>
      </c>
      <c r="W133" s="461">
        <f t="shared" si="15"/>
        <v>0</v>
      </c>
      <c r="X133" s="487">
        <f t="shared" si="11"/>
        <v>-10291.26</v>
      </c>
    </row>
    <row r="134" spans="2:24" ht="15.6" hidden="1">
      <c r="B134" s="466" t="s">
        <v>975</v>
      </c>
      <c r="C134" s="462" t="s">
        <v>870</v>
      </c>
      <c r="D134" s="465" t="s">
        <v>429</v>
      </c>
      <c r="E134" s="465" t="s">
        <v>428</v>
      </c>
      <c r="F134" s="465" t="s">
        <v>871</v>
      </c>
      <c r="G134" s="467" t="s">
        <v>266</v>
      </c>
      <c r="H134" s="469" t="s">
        <v>147</v>
      </c>
      <c r="I134" s="424">
        <v>0</v>
      </c>
      <c r="J134" s="424">
        <v>0</v>
      </c>
      <c r="K134" s="454"/>
      <c r="L134" s="457"/>
      <c r="M134" s="458">
        <f t="shared" si="12"/>
        <v>0</v>
      </c>
      <c r="N134" s="478">
        <v>-116800</v>
      </c>
      <c r="O134" s="459">
        <f t="shared" si="13"/>
        <v>116800</v>
      </c>
      <c r="P134" s="460">
        <f t="shared" si="14"/>
        <v>-1</v>
      </c>
      <c r="Q134" s="454"/>
      <c r="R134" s="456">
        <v>0</v>
      </c>
      <c r="S134" s="456">
        <v>0</v>
      </c>
      <c r="T134" s="456">
        <v>0</v>
      </c>
      <c r="U134" s="456">
        <v>0</v>
      </c>
      <c r="V134" s="456">
        <v>0</v>
      </c>
      <c r="W134" s="461">
        <f t="shared" si="15"/>
        <v>0</v>
      </c>
      <c r="X134" s="487">
        <f t="shared" si="11"/>
        <v>0</v>
      </c>
    </row>
    <row r="135" spans="2:24" ht="15.6" hidden="1">
      <c r="B135" s="466" t="s">
        <v>975</v>
      </c>
      <c r="C135" s="462" t="s">
        <v>870</v>
      </c>
      <c r="D135" s="465" t="s">
        <v>922</v>
      </c>
      <c r="E135" s="465" t="s">
        <v>923</v>
      </c>
      <c r="F135" s="465" t="s">
        <v>871</v>
      </c>
      <c r="G135" s="467" t="s">
        <v>266</v>
      </c>
      <c r="H135" s="469" t="s">
        <v>147</v>
      </c>
      <c r="I135" s="424">
        <v>-1465.8</v>
      </c>
      <c r="J135" s="424">
        <v>-1465.8</v>
      </c>
      <c r="K135" s="454"/>
      <c r="L135" s="457"/>
      <c r="M135" s="458">
        <f t="shared" si="12"/>
        <v>-1465.8</v>
      </c>
      <c r="N135" s="478">
        <v>0</v>
      </c>
      <c r="O135" s="459">
        <f t="shared" si="13"/>
        <v>-1465.8</v>
      </c>
      <c r="P135" s="460" t="str">
        <f t="shared" si="14"/>
        <v/>
      </c>
      <c r="Q135" s="454"/>
      <c r="R135" s="456">
        <v>-1465.8</v>
      </c>
      <c r="S135" s="456">
        <v>0</v>
      </c>
      <c r="T135" s="456">
        <v>0</v>
      </c>
      <c r="U135" s="456">
        <v>0</v>
      </c>
      <c r="V135" s="456">
        <v>0</v>
      </c>
      <c r="W135" s="461">
        <f t="shared" si="15"/>
        <v>0</v>
      </c>
      <c r="X135" s="487">
        <f t="shared" si="11"/>
        <v>0</v>
      </c>
    </row>
    <row r="136" spans="2:24" ht="15.6" hidden="1">
      <c r="B136" s="466" t="s">
        <v>975</v>
      </c>
      <c r="C136" s="462" t="s">
        <v>870</v>
      </c>
      <c r="D136" s="465" t="s">
        <v>924</v>
      </c>
      <c r="E136" s="465" t="s">
        <v>925</v>
      </c>
      <c r="F136" s="465" t="s">
        <v>871</v>
      </c>
      <c r="G136" s="467" t="s">
        <v>266</v>
      </c>
      <c r="H136" s="469" t="s">
        <v>147</v>
      </c>
      <c r="I136" s="424">
        <v>-82000</v>
      </c>
      <c r="J136" s="424">
        <v>-82000</v>
      </c>
      <c r="K136" s="454"/>
      <c r="L136" s="457"/>
      <c r="M136" s="458">
        <f t="shared" si="12"/>
        <v>-82000</v>
      </c>
      <c r="N136" s="478">
        <v>0</v>
      </c>
      <c r="O136" s="459">
        <f t="shared" si="13"/>
        <v>-82000</v>
      </c>
      <c r="P136" s="460" t="str">
        <f t="shared" si="14"/>
        <v/>
      </c>
      <c r="Q136" s="454"/>
      <c r="R136" s="456">
        <v>-82000</v>
      </c>
      <c r="S136" s="456">
        <v>0</v>
      </c>
      <c r="T136" s="456">
        <v>0</v>
      </c>
      <c r="U136" s="456">
        <v>0</v>
      </c>
      <c r="V136" s="456">
        <v>0</v>
      </c>
      <c r="W136" s="461">
        <f t="shared" si="15"/>
        <v>0</v>
      </c>
      <c r="X136" s="487">
        <f t="shared" ref="X136:X199" si="16">T136+U136+V136</f>
        <v>0</v>
      </c>
    </row>
    <row r="137" spans="2:24" ht="15.6" hidden="1">
      <c r="B137" s="466" t="s">
        <v>975</v>
      </c>
      <c r="C137" s="462" t="s">
        <v>870</v>
      </c>
      <c r="D137" s="465" t="s">
        <v>511</v>
      </c>
      <c r="E137" s="465" t="s">
        <v>510</v>
      </c>
      <c r="F137" s="465" t="s">
        <v>871</v>
      </c>
      <c r="G137" s="467" t="s">
        <v>266</v>
      </c>
      <c r="H137" s="469" t="s">
        <v>147</v>
      </c>
      <c r="I137" s="424">
        <v>-429441.19</v>
      </c>
      <c r="J137" s="424">
        <v>-429441.19</v>
      </c>
      <c r="K137" s="454"/>
      <c r="L137" s="457"/>
      <c r="M137" s="458">
        <f t="shared" si="12"/>
        <v>-429441.19</v>
      </c>
      <c r="N137" s="478">
        <v>-345516.17</v>
      </c>
      <c r="O137" s="459">
        <f t="shared" si="13"/>
        <v>-83925.020000000019</v>
      </c>
      <c r="P137" s="460">
        <f t="shared" si="14"/>
        <v>0.24289751764729281</v>
      </c>
      <c r="Q137" s="454"/>
      <c r="R137" s="456">
        <v>-429441.19</v>
      </c>
      <c r="S137" s="456">
        <v>0</v>
      </c>
      <c r="T137" s="456">
        <v>0</v>
      </c>
      <c r="U137" s="456">
        <v>0</v>
      </c>
      <c r="V137" s="456">
        <v>0</v>
      </c>
      <c r="W137" s="461">
        <f t="shared" si="15"/>
        <v>0</v>
      </c>
      <c r="X137" s="487">
        <f t="shared" si="16"/>
        <v>0</v>
      </c>
    </row>
    <row r="138" spans="2:24" ht="15.6" hidden="1">
      <c r="B138" s="466" t="s">
        <v>975</v>
      </c>
      <c r="C138" s="462" t="s">
        <v>870</v>
      </c>
      <c r="D138" s="465" t="s">
        <v>926</v>
      </c>
      <c r="E138" s="465" t="s">
        <v>927</v>
      </c>
      <c r="F138" s="465" t="s">
        <v>871</v>
      </c>
      <c r="G138" s="467" t="s">
        <v>266</v>
      </c>
      <c r="H138" s="469" t="s">
        <v>147</v>
      </c>
      <c r="I138" s="424">
        <v>-21224.99</v>
      </c>
      <c r="J138" s="424">
        <v>-21224.99</v>
      </c>
      <c r="K138" s="454"/>
      <c r="L138" s="457"/>
      <c r="M138" s="458">
        <f t="shared" si="12"/>
        <v>-21224.99</v>
      </c>
      <c r="N138" s="478">
        <v>0</v>
      </c>
      <c r="O138" s="459">
        <f t="shared" si="13"/>
        <v>-21224.99</v>
      </c>
      <c r="P138" s="460" t="str">
        <f t="shared" si="14"/>
        <v/>
      </c>
      <c r="Q138" s="454"/>
      <c r="R138" s="456">
        <v>-7766.99</v>
      </c>
      <c r="S138" s="456">
        <v>-13458</v>
      </c>
      <c r="T138" s="456">
        <v>0</v>
      </c>
      <c r="U138" s="456">
        <v>0</v>
      </c>
      <c r="V138" s="456">
        <v>0</v>
      </c>
      <c r="W138" s="461">
        <f t="shared" si="15"/>
        <v>0</v>
      </c>
      <c r="X138" s="487">
        <f t="shared" si="16"/>
        <v>0</v>
      </c>
    </row>
    <row r="139" spans="2:24" ht="15.6" hidden="1">
      <c r="B139" s="466" t="s">
        <v>975</v>
      </c>
      <c r="C139" s="462" t="s">
        <v>870</v>
      </c>
      <c r="D139" s="465" t="s">
        <v>323</v>
      </c>
      <c r="E139" s="465" t="s">
        <v>322</v>
      </c>
      <c r="F139" s="465" t="s">
        <v>871</v>
      </c>
      <c r="G139" s="467" t="s">
        <v>266</v>
      </c>
      <c r="H139" s="469" t="s">
        <v>147</v>
      </c>
      <c r="I139" s="424">
        <v>-84407.77</v>
      </c>
      <c r="J139" s="424">
        <v>-84407.77</v>
      </c>
      <c r="K139" s="454"/>
      <c r="L139" s="457"/>
      <c r="M139" s="458">
        <f t="shared" ref="M139:M202" si="17">J139+L139</f>
        <v>-84407.77</v>
      </c>
      <c r="N139" s="478">
        <v>-84407.77</v>
      </c>
      <c r="O139" s="459">
        <f t="shared" ref="O139:O202" si="18">M139-N139</f>
        <v>0</v>
      </c>
      <c r="P139" s="460">
        <f t="shared" ref="P139:P202" si="19">IF(N139&lt;&gt;0,O139/N139,"")</f>
        <v>0</v>
      </c>
      <c r="Q139" s="454"/>
      <c r="R139" s="456">
        <v>-84407.77</v>
      </c>
      <c r="S139" s="456">
        <v>0</v>
      </c>
      <c r="T139" s="456">
        <v>0</v>
      </c>
      <c r="U139" s="456">
        <v>0</v>
      </c>
      <c r="V139" s="456">
        <v>0</v>
      </c>
      <c r="W139" s="461">
        <f t="shared" ref="W139:W202" si="20">SUM(R139:V139)-M139</f>
        <v>0</v>
      </c>
      <c r="X139" s="487">
        <f t="shared" si="16"/>
        <v>0</v>
      </c>
    </row>
    <row r="140" spans="2:24" ht="15.6" hidden="1">
      <c r="B140" s="466" t="s">
        <v>975</v>
      </c>
      <c r="C140" s="462" t="s">
        <v>870</v>
      </c>
      <c r="D140" s="465" t="s">
        <v>443</v>
      </c>
      <c r="E140" s="465" t="s">
        <v>442</v>
      </c>
      <c r="F140" s="465" t="s">
        <v>871</v>
      </c>
      <c r="G140" s="467" t="s">
        <v>266</v>
      </c>
      <c r="H140" s="469" t="s">
        <v>147</v>
      </c>
      <c r="I140" s="424">
        <v>-1341571.95</v>
      </c>
      <c r="J140" s="424">
        <v>-1341571.95</v>
      </c>
      <c r="K140" s="454"/>
      <c r="L140" s="457"/>
      <c r="M140" s="458">
        <f t="shared" si="17"/>
        <v>-1341571.95</v>
      </c>
      <c r="N140" s="478">
        <v>-2047858.03</v>
      </c>
      <c r="O140" s="459">
        <f t="shared" si="18"/>
        <v>706286.08000000007</v>
      </c>
      <c r="P140" s="460">
        <f t="shared" si="19"/>
        <v>-0.34489015823035352</v>
      </c>
      <c r="Q140" s="454"/>
      <c r="R140" s="456">
        <v>0</v>
      </c>
      <c r="S140" s="456">
        <v>0</v>
      </c>
      <c r="T140" s="456">
        <v>-867924.53</v>
      </c>
      <c r="U140" s="456">
        <v>-473647.42</v>
      </c>
      <c r="V140" s="456">
        <v>0</v>
      </c>
      <c r="W140" s="461">
        <f t="shared" si="20"/>
        <v>0</v>
      </c>
      <c r="X140" s="487">
        <f t="shared" si="16"/>
        <v>-1341571.95</v>
      </c>
    </row>
    <row r="141" spans="2:24" ht="15.6" hidden="1">
      <c r="B141" s="466" t="s">
        <v>975</v>
      </c>
      <c r="C141" s="462" t="s">
        <v>870</v>
      </c>
      <c r="D141" s="465" t="s">
        <v>415</v>
      </c>
      <c r="E141" s="465" t="s">
        <v>414</v>
      </c>
      <c r="F141" s="465" t="s">
        <v>871</v>
      </c>
      <c r="G141" s="467" t="s">
        <v>266</v>
      </c>
      <c r="H141" s="469" t="s">
        <v>147</v>
      </c>
      <c r="I141" s="424">
        <v>-214690.58</v>
      </c>
      <c r="J141" s="424">
        <v>-214690.58</v>
      </c>
      <c r="K141" s="454"/>
      <c r="L141" s="457"/>
      <c r="M141" s="458">
        <f t="shared" si="17"/>
        <v>-214690.58</v>
      </c>
      <c r="N141" s="478">
        <v>-1049848.5</v>
      </c>
      <c r="O141" s="459">
        <f t="shared" si="18"/>
        <v>835157.92</v>
      </c>
      <c r="P141" s="460">
        <f t="shared" si="19"/>
        <v>-0.79550327499634477</v>
      </c>
      <c r="Q141" s="454"/>
      <c r="R141" s="456">
        <v>0</v>
      </c>
      <c r="S141" s="456">
        <v>-26250</v>
      </c>
      <c r="T141" s="456">
        <v>0</v>
      </c>
      <c r="U141" s="456">
        <v>-39575.730000000003</v>
      </c>
      <c r="V141" s="456">
        <v>-148864.85</v>
      </c>
      <c r="W141" s="461">
        <f t="shared" si="20"/>
        <v>0</v>
      </c>
      <c r="X141" s="487">
        <f t="shared" si="16"/>
        <v>-188440.58000000002</v>
      </c>
    </row>
    <row r="142" spans="2:24" ht="15.6" hidden="1">
      <c r="B142" s="466" t="s">
        <v>975</v>
      </c>
      <c r="C142" s="462" t="s">
        <v>870</v>
      </c>
      <c r="D142" s="465" t="s">
        <v>521</v>
      </c>
      <c r="E142" s="465" t="s">
        <v>520</v>
      </c>
      <c r="F142" s="465" t="s">
        <v>871</v>
      </c>
      <c r="G142" s="467" t="s">
        <v>266</v>
      </c>
      <c r="H142" s="469" t="s">
        <v>147</v>
      </c>
      <c r="I142" s="424">
        <v>0</v>
      </c>
      <c r="J142" s="424">
        <v>0</v>
      </c>
      <c r="K142" s="454"/>
      <c r="L142" s="457"/>
      <c r="M142" s="458">
        <f t="shared" si="17"/>
        <v>0</v>
      </c>
      <c r="N142" s="478">
        <v>-186000</v>
      </c>
      <c r="O142" s="459">
        <f t="shared" si="18"/>
        <v>186000</v>
      </c>
      <c r="P142" s="460">
        <f t="shared" si="19"/>
        <v>-1</v>
      </c>
      <c r="Q142" s="454"/>
      <c r="R142" s="456">
        <v>0</v>
      </c>
      <c r="S142" s="456">
        <v>0</v>
      </c>
      <c r="T142" s="456">
        <v>0</v>
      </c>
      <c r="U142" s="456">
        <v>0</v>
      </c>
      <c r="V142" s="456">
        <v>0</v>
      </c>
      <c r="W142" s="461">
        <f t="shared" si="20"/>
        <v>0</v>
      </c>
      <c r="X142" s="487">
        <f t="shared" si="16"/>
        <v>0</v>
      </c>
    </row>
    <row r="143" spans="2:24" ht="15.6" hidden="1">
      <c r="B143" s="466" t="s">
        <v>975</v>
      </c>
      <c r="C143" s="462" t="s">
        <v>870</v>
      </c>
      <c r="D143" s="465" t="s">
        <v>928</v>
      </c>
      <c r="E143" s="465" t="s">
        <v>929</v>
      </c>
      <c r="F143" s="465" t="s">
        <v>871</v>
      </c>
      <c r="G143" s="467" t="s">
        <v>266</v>
      </c>
      <c r="H143" s="469" t="s">
        <v>147</v>
      </c>
      <c r="I143" s="424">
        <v>-124271.84</v>
      </c>
      <c r="J143" s="424">
        <v>-124271.84</v>
      </c>
      <c r="K143" s="454"/>
      <c r="L143" s="457"/>
      <c r="M143" s="458">
        <f t="shared" si="17"/>
        <v>-124271.84</v>
      </c>
      <c r="N143" s="478">
        <v>0</v>
      </c>
      <c r="O143" s="459">
        <f t="shared" si="18"/>
        <v>-124271.84</v>
      </c>
      <c r="P143" s="460" t="str">
        <f t="shared" si="19"/>
        <v/>
      </c>
      <c r="Q143" s="454"/>
      <c r="R143" s="456">
        <v>-124271.84</v>
      </c>
      <c r="S143" s="456">
        <v>0</v>
      </c>
      <c r="T143" s="456">
        <v>0</v>
      </c>
      <c r="U143" s="456">
        <v>0</v>
      </c>
      <c r="V143" s="456">
        <v>0</v>
      </c>
      <c r="W143" s="461">
        <f t="shared" si="20"/>
        <v>0</v>
      </c>
      <c r="X143" s="487">
        <f t="shared" si="16"/>
        <v>0</v>
      </c>
    </row>
    <row r="144" spans="2:24" ht="15.6" hidden="1">
      <c r="B144" s="466" t="s">
        <v>975</v>
      </c>
      <c r="C144" s="462" t="s">
        <v>870</v>
      </c>
      <c r="D144" s="465" t="s">
        <v>930</v>
      </c>
      <c r="E144" s="465" t="s">
        <v>931</v>
      </c>
      <c r="F144" s="465" t="s">
        <v>871</v>
      </c>
      <c r="G144" s="467" t="s">
        <v>266</v>
      </c>
      <c r="H144" s="469" t="s">
        <v>147</v>
      </c>
      <c r="I144" s="424">
        <v>-150943.39000000001</v>
      </c>
      <c r="J144" s="424">
        <v>-150943.39000000001</v>
      </c>
      <c r="K144" s="454"/>
      <c r="L144" s="457"/>
      <c r="M144" s="458">
        <f t="shared" si="17"/>
        <v>-150943.39000000001</v>
      </c>
      <c r="N144" s="478">
        <v>0</v>
      </c>
      <c r="O144" s="459">
        <f t="shared" si="18"/>
        <v>-150943.39000000001</v>
      </c>
      <c r="P144" s="460" t="str">
        <f t="shared" si="19"/>
        <v/>
      </c>
      <c r="Q144" s="454"/>
      <c r="R144" s="456">
        <v>0</v>
      </c>
      <c r="S144" s="456">
        <v>-150943.39000000001</v>
      </c>
      <c r="T144" s="456">
        <v>0</v>
      </c>
      <c r="U144" s="456">
        <v>0</v>
      </c>
      <c r="V144" s="456">
        <v>0</v>
      </c>
      <c r="W144" s="461">
        <f t="shared" si="20"/>
        <v>0</v>
      </c>
      <c r="X144" s="487">
        <f t="shared" si="16"/>
        <v>0</v>
      </c>
    </row>
    <row r="145" spans="2:24" ht="15.6" hidden="1">
      <c r="B145" s="466" t="s">
        <v>975</v>
      </c>
      <c r="C145" s="462" t="s">
        <v>870</v>
      </c>
      <c r="D145" s="465" t="s">
        <v>285</v>
      </c>
      <c r="E145" s="465" t="s">
        <v>284</v>
      </c>
      <c r="F145" s="465" t="s">
        <v>871</v>
      </c>
      <c r="G145" s="467" t="s">
        <v>266</v>
      </c>
      <c r="H145" s="469" t="s">
        <v>147</v>
      </c>
      <c r="I145" s="424">
        <v>-9708.74</v>
      </c>
      <c r="J145" s="424">
        <v>-9708.74</v>
      </c>
      <c r="K145" s="454"/>
      <c r="L145" s="457"/>
      <c r="M145" s="458">
        <f t="shared" si="17"/>
        <v>-9708.74</v>
      </c>
      <c r="N145" s="478">
        <v>-9708.74</v>
      </c>
      <c r="O145" s="459">
        <f t="shared" si="18"/>
        <v>0</v>
      </c>
      <c r="P145" s="460">
        <f t="shared" si="19"/>
        <v>0</v>
      </c>
      <c r="Q145" s="454"/>
      <c r="R145" s="456">
        <v>0</v>
      </c>
      <c r="S145" s="456">
        <v>0</v>
      </c>
      <c r="T145" s="456">
        <v>0</v>
      </c>
      <c r="U145" s="456">
        <v>0</v>
      </c>
      <c r="V145" s="456">
        <v>-9708.74</v>
      </c>
      <c r="W145" s="461">
        <f t="shared" si="20"/>
        <v>0</v>
      </c>
      <c r="X145" s="487">
        <f t="shared" si="16"/>
        <v>-9708.74</v>
      </c>
    </row>
    <row r="146" spans="2:24" ht="15.6" hidden="1">
      <c r="B146" s="466" t="s">
        <v>975</v>
      </c>
      <c r="C146" s="462" t="s">
        <v>870</v>
      </c>
      <c r="D146" s="465" t="s">
        <v>319</v>
      </c>
      <c r="E146" s="465" t="s">
        <v>318</v>
      </c>
      <c r="F146" s="465" t="s">
        <v>871</v>
      </c>
      <c r="G146" s="467" t="s">
        <v>266</v>
      </c>
      <c r="H146" s="469" t="s">
        <v>147</v>
      </c>
      <c r="I146" s="424">
        <v>-306037.74</v>
      </c>
      <c r="J146" s="424">
        <v>-306037.74</v>
      </c>
      <c r="K146" s="454"/>
      <c r="L146" s="457"/>
      <c r="M146" s="458">
        <f t="shared" si="17"/>
        <v>-306037.74</v>
      </c>
      <c r="N146" s="478">
        <v>-347175.44</v>
      </c>
      <c r="O146" s="459">
        <f t="shared" si="18"/>
        <v>41137.700000000012</v>
      </c>
      <c r="P146" s="460">
        <f t="shared" si="19"/>
        <v>-0.11849254083180541</v>
      </c>
      <c r="Q146" s="454"/>
      <c r="R146" s="456">
        <v>0</v>
      </c>
      <c r="S146" s="456">
        <v>0</v>
      </c>
      <c r="T146" s="456">
        <v>-194784.07</v>
      </c>
      <c r="U146" s="456">
        <v>-111253.67</v>
      </c>
      <c r="V146" s="456">
        <v>0</v>
      </c>
      <c r="W146" s="461">
        <f t="shared" si="20"/>
        <v>0</v>
      </c>
      <c r="X146" s="487">
        <f t="shared" si="16"/>
        <v>-306037.74</v>
      </c>
    </row>
    <row r="147" spans="2:24" ht="15.6" hidden="1">
      <c r="B147" s="466" t="s">
        <v>975</v>
      </c>
      <c r="C147" s="462" t="s">
        <v>870</v>
      </c>
      <c r="D147" s="465" t="s">
        <v>487</v>
      </c>
      <c r="E147" s="465" t="s">
        <v>486</v>
      </c>
      <c r="F147" s="465" t="s">
        <v>871</v>
      </c>
      <c r="G147" s="467" t="s">
        <v>266</v>
      </c>
      <c r="H147" s="469" t="s">
        <v>147</v>
      </c>
      <c r="I147" s="424">
        <v>-916791.51</v>
      </c>
      <c r="J147" s="424">
        <v>-916791.51</v>
      </c>
      <c r="K147" s="454"/>
      <c r="L147" s="457"/>
      <c r="M147" s="458">
        <f t="shared" si="17"/>
        <v>-916791.51</v>
      </c>
      <c r="N147" s="478">
        <v>-916791.51</v>
      </c>
      <c r="O147" s="459">
        <f t="shared" si="18"/>
        <v>0</v>
      </c>
      <c r="P147" s="460">
        <f t="shared" si="19"/>
        <v>0</v>
      </c>
      <c r="Q147" s="454"/>
      <c r="R147" s="456">
        <v>0</v>
      </c>
      <c r="S147" s="456">
        <v>0</v>
      </c>
      <c r="T147" s="456">
        <v>-916791.51</v>
      </c>
      <c r="U147" s="456">
        <v>0</v>
      </c>
      <c r="V147" s="456">
        <v>0</v>
      </c>
      <c r="W147" s="461">
        <f t="shared" si="20"/>
        <v>0</v>
      </c>
      <c r="X147" s="487">
        <f t="shared" si="16"/>
        <v>-916791.51</v>
      </c>
    </row>
    <row r="148" spans="2:24" ht="15.6" hidden="1">
      <c r="B148" s="466" t="s">
        <v>975</v>
      </c>
      <c r="C148" s="462" t="s">
        <v>870</v>
      </c>
      <c r="D148" s="465" t="s">
        <v>507</v>
      </c>
      <c r="E148" s="465" t="s">
        <v>506</v>
      </c>
      <c r="F148" s="465" t="s">
        <v>871</v>
      </c>
      <c r="G148" s="467" t="s">
        <v>266</v>
      </c>
      <c r="H148" s="469" t="s">
        <v>147</v>
      </c>
      <c r="I148" s="424">
        <v>-1118670.46</v>
      </c>
      <c r="J148" s="424">
        <v>-1118670.46</v>
      </c>
      <c r="K148" s="454"/>
      <c r="L148" s="457"/>
      <c r="M148" s="458">
        <f t="shared" si="17"/>
        <v>-1118670.46</v>
      </c>
      <c r="N148" s="478">
        <v>-261359.22</v>
      </c>
      <c r="O148" s="459">
        <f t="shared" si="18"/>
        <v>-857311.24</v>
      </c>
      <c r="P148" s="460">
        <f t="shared" si="19"/>
        <v>3.2802027799134081</v>
      </c>
      <c r="Q148" s="454"/>
      <c r="R148" s="456">
        <v>-247024.28</v>
      </c>
      <c r="S148" s="456">
        <v>-871646.18</v>
      </c>
      <c r="T148" s="456">
        <v>0</v>
      </c>
      <c r="U148" s="456">
        <v>0</v>
      </c>
      <c r="V148" s="456">
        <v>0</v>
      </c>
      <c r="W148" s="461">
        <f t="shared" si="20"/>
        <v>0</v>
      </c>
      <c r="X148" s="487">
        <f t="shared" si="16"/>
        <v>0</v>
      </c>
    </row>
    <row r="149" spans="2:24" ht="15.6" hidden="1">
      <c r="B149" s="466" t="s">
        <v>975</v>
      </c>
      <c r="C149" s="462" t="s">
        <v>870</v>
      </c>
      <c r="D149" s="465" t="s">
        <v>363</v>
      </c>
      <c r="E149" s="465" t="s">
        <v>362</v>
      </c>
      <c r="F149" s="465" t="s">
        <v>871</v>
      </c>
      <c r="G149" s="467" t="s">
        <v>266</v>
      </c>
      <c r="H149" s="469" t="s">
        <v>147</v>
      </c>
      <c r="I149" s="424">
        <v>-10603.3</v>
      </c>
      <c r="J149" s="424">
        <v>-10603.3</v>
      </c>
      <c r="K149" s="454"/>
      <c r="L149" s="457"/>
      <c r="M149" s="458">
        <f t="shared" si="17"/>
        <v>-10603.3</v>
      </c>
      <c r="N149" s="478">
        <v>-10603.3</v>
      </c>
      <c r="O149" s="459">
        <f t="shared" si="18"/>
        <v>0</v>
      </c>
      <c r="P149" s="460">
        <f t="shared" si="19"/>
        <v>0</v>
      </c>
      <c r="Q149" s="454"/>
      <c r="R149" s="456">
        <v>0</v>
      </c>
      <c r="S149" s="456">
        <v>0</v>
      </c>
      <c r="T149" s="456">
        <v>0</v>
      </c>
      <c r="U149" s="456">
        <v>0</v>
      </c>
      <c r="V149" s="456">
        <v>-10603.3</v>
      </c>
      <c r="W149" s="461">
        <f t="shared" si="20"/>
        <v>0</v>
      </c>
      <c r="X149" s="487">
        <f t="shared" si="16"/>
        <v>-10603.3</v>
      </c>
    </row>
    <row r="150" spans="2:24" ht="15.6" hidden="1">
      <c r="B150" s="466" t="s">
        <v>975</v>
      </c>
      <c r="C150" s="462" t="s">
        <v>870</v>
      </c>
      <c r="D150" s="465" t="s">
        <v>331</v>
      </c>
      <c r="E150" s="465" t="s">
        <v>330</v>
      </c>
      <c r="F150" s="465" t="s">
        <v>871</v>
      </c>
      <c r="G150" s="467" t="s">
        <v>266</v>
      </c>
      <c r="H150" s="469" t="s">
        <v>147</v>
      </c>
      <c r="I150" s="424">
        <v>-17516.04</v>
      </c>
      <c r="J150" s="424">
        <v>-17516.04</v>
      </c>
      <c r="K150" s="454"/>
      <c r="L150" s="457"/>
      <c r="M150" s="458">
        <f t="shared" si="17"/>
        <v>-17516.04</v>
      </c>
      <c r="N150" s="478">
        <v>-17516.04</v>
      </c>
      <c r="O150" s="459">
        <f t="shared" si="18"/>
        <v>0</v>
      </c>
      <c r="P150" s="460">
        <f t="shared" si="19"/>
        <v>0</v>
      </c>
      <c r="Q150" s="454"/>
      <c r="R150" s="456">
        <v>0</v>
      </c>
      <c r="S150" s="456">
        <v>0</v>
      </c>
      <c r="T150" s="456">
        <v>0</v>
      </c>
      <c r="U150" s="456">
        <v>0</v>
      </c>
      <c r="V150" s="456">
        <v>-17516.04</v>
      </c>
      <c r="W150" s="461">
        <f t="shared" si="20"/>
        <v>0</v>
      </c>
      <c r="X150" s="487">
        <f t="shared" si="16"/>
        <v>-17516.04</v>
      </c>
    </row>
    <row r="151" spans="2:24" ht="15.6" hidden="1">
      <c r="B151" s="466" t="s">
        <v>975</v>
      </c>
      <c r="C151" s="462" t="s">
        <v>870</v>
      </c>
      <c r="D151" s="465" t="s">
        <v>449</v>
      </c>
      <c r="E151" s="465" t="s">
        <v>448</v>
      </c>
      <c r="F151" s="465" t="s">
        <v>871</v>
      </c>
      <c r="G151" s="467" t="s">
        <v>266</v>
      </c>
      <c r="H151" s="469" t="s">
        <v>147</v>
      </c>
      <c r="I151" s="424">
        <v>-233490.57</v>
      </c>
      <c r="J151" s="424">
        <v>-233490.57</v>
      </c>
      <c r="K151" s="454"/>
      <c r="L151" s="457"/>
      <c r="M151" s="458">
        <f t="shared" si="17"/>
        <v>-233490.57</v>
      </c>
      <c r="N151" s="478">
        <v>-233490.57</v>
      </c>
      <c r="O151" s="459">
        <f t="shared" si="18"/>
        <v>0</v>
      </c>
      <c r="P151" s="460">
        <f t="shared" si="19"/>
        <v>0</v>
      </c>
      <c r="Q151" s="454"/>
      <c r="R151" s="456">
        <v>0</v>
      </c>
      <c r="S151" s="456">
        <v>0</v>
      </c>
      <c r="T151" s="456">
        <v>-233490.57</v>
      </c>
      <c r="U151" s="456">
        <v>0</v>
      </c>
      <c r="V151" s="456">
        <v>0</v>
      </c>
      <c r="W151" s="461">
        <f t="shared" si="20"/>
        <v>0</v>
      </c>
      <c r="X151" s="487">
        <f t="shared" si="16"/>
        <v>-233490.57</v>
      </c>
    </row>
    <row r="152" spans="2:24" ht="15.6" hidden="1">
      <c r="B152" s="466" t="s">
        <v>975</v>
      </c>
      <c r="C152" s="462" t="s">
        <v>870</v>
      </c>
      <c r="D152" s="465" t="s">
        <v>473</v>
      </c>
      <c r="E152" s="465" t="s">
        <v>472</v>
      </c>
      <c r="F152" s="465" t="s">
        <v>871</v>
      </c>
      <c r="G152" s="467" t="s">
        <v>266</v>
      </c>
      <c r="H152" s="469" t="s">
        <v>147</v>
      </c>
      <c r="I152" s="424">
        <v>-211303.47</v>
      </c>
      <c r="J152" s="424">
        <v>-211303.47</v>
      </c>
      <c r="K152" s="454"/>
      <c r="L152" s="457"/>
      <c r="M152" s="458">
        <f t="shared" si="17"/>
        <v>-211303.47</v>
      </c>
      <c r="N152" s="478">
        <v>-157739.5</v>
      </c>
      <c r="O152" s="459">
        <f t="shared" si="18"/>
        <v>-53563.97</v>
      </c>
      <c r="P152" s="460">
        <f t="shared" si="19"/>
        <v>0.33957233286526206</v>
      </c>
      <c r="Q152" s="454"/>
      <c r="R152" s="456">
        <v>-159981.62</v>
      </c>
      <c r="S152" s="456">
        <v>0</v>
      </c>
      <c r="T152" s="456">
        <v>-51321.85</v>
      </c>
      <c r="U152" s="456">
        <v>0</v>
      </c>
      <c r="V152" s="456">
        <v>0</v>
      </c>
      <c r="W152" s="461">
        <f t="shared" si="20"/>
        <v>0</v>
      </c>
      <c r="X152" s="487">
        <f t="shared" si="16"/>
        <v>-51321.85</v>
      </c>
    </row>
    <row r="153" spans="2:24" ht="15.6" hidden="1">
      <c r="B153" s="466" t="s">
        <v>975</v>
      </c>
      <c r="C153" s="462" t="s">
        <v>870</v>
      </c>
      <c r="D153" s="465" t="s">
        <v>353</v>
      </c>
      <c r="E153" s="465" t="s">
        <v>352</v>
      </c>
      <c r="F153" s="465" t="s">
        <v>871</v>
      </c>
      <c r="G153" s="467" t="s">
        <v>266</v>
      </c>
      <c r="H153" s="469" t="s">
        <v>147</v>
      </c>
      <c r="I153" s="424">
        <v>-126214.56</v>
      </c>
      <c r="J153" s="424">
        <v>-126214.56</v>
      </c>
      <c r="K153" s="454"/>
      <c r="L153" s="457"/>
      <c r="M153" s="458">
        <f t="shared" si="17"/>
        <v>-126214.56</v>
      </c>
      <c r="N153" s="478">
        <v>-126214.56</v>
      </c>
      <c r="O153" s="459">
        <f t="shared" si="18"/>
        <v>0</v>
      </c>
      <c r="P153" s="460">
        <f t="shared" si="19"/>
        <v>0</v>
      </c>
      <c r="Q153" s="454"/>
      <c r="R153" s="456">
        <v>0</v>
      </c>
      <c r="S153" s="456">
        <v>0</v>
      </c>
      <c r="T153" s="456">
        <v>0</v>
      </c>
      <c r="U153" s="456">
        <v>-126214.56</v>
      </c>
      <c r="V153" s="456">
        <v>0</v>
      </c>
      <c r="W153" s="461">
        <f t="shared" si="20"/>
        <v>0</v>
      </c>
      <c r="X153" s="487">
        <f t="shared" si="16"/>
        <v>-126214.56</v>
      </c>
    </row>
    <row r="154" spans="2:24" ht="15.6" hidden="1">
      <c r="B154" s="466" t="s">
        <v>975</v>
      </c>
      <c r="C154" s="462" t="s">
        <v>870</v>
      </c>
      <c r="D154" s="465" t="s">
        <v>381</v>
      </c>
      <c r="E154" s="465" t="s">
        <v>380</v>
      </c>
      <c r="F154" s="465" t="s">
        <v>871</v>
      </c>
      <c r="G154" s="467" t="s">
        <v>266</v>
      </c>
      <c r="H154" s="469" t="s">
        <v>147</v>
      </c>
      <c r="I154" s="424">
        <v>0</v>
      </c>
      <c r="J154" s="424">
        <v>0</v>
      </c>
      <c r="K154" s="454"/>
      <c r="L154" s="457"/>
      <c r="M154" s="458">
        <f t="shared" si="17"/>
        <v>0</v>
      </c>
      <c r="N154" s="478">
        <v>-31320</v>
      </c>
      <c r="O154" s="459">
        <f t="shared" si="18"/>
        <v>31320</v>
      </c>
      <c r="P154" s="460">
        <f t="shared" si="19"/>
        <v>-1</v>
      </c>
      <c r="Q154" s="454"/>
      <c r="R154" s="456">
        <v>0</v>
      </c>
      <c r="S154" s="456">
        <v>0</v>
      </c>
      <c r="T154" s="456">
        <v>0</v>
      </c>
      <c r="U154" s="456">
        <v>0</v>
      </c>
      <c r="V154" s="456">
        <v>0</v>
      </c>
      <c r="W154" s="461">
        <f t="shared" si="20"/>
        <v>0</v>
      </c>
      <c r="X154" s="487">
        <f t="shared" si="16"/>
        <v>0</v>
      </c>
    </row>
    <row r="155" spans="2:24" ht="15.6" hidden="1">
      <c r="B155" s="466" t="s">
        <v>975</v>
      </c>
      <c r="C155" s="462" t="s">
        <v>870</v>
      </c>
      <c r="D155" s="465" t="s">
        <v>197</v>
      </c>
      <c r="E155" s="465" t="s">
        <v>196</v>
      </c>
      <c r="F155" s="465" t="s">
        <v>871</v>
      </c>
      <c r="G155" s="467" t="s">
        <v>266</v>
      </c>
      <c r="H155" s="469" t="s">
        <v>147</v>
      </c>
      <c r="I155" s="424">
        <v>-101669.9</v>
      </c>
      <c r="J155" s="424">
        <v>-101669.9</v>
      </c>
      <c r="K155" s="454"/>
      <c r="L155" s="457"/>
      <c r="M155" s="458">
        <f t="shared" si="17"/>
        <v>-101669.9</v>
      </c>
      <c r="N155" s="478">
        <v>-196720.65</v>
      </c>
      <c r="O155" s="459">
        <f t="shared" si="18"/>
        <v>95050.75</v>
      </c>
      <c r="P155" s="460">
        <f t="shared" si="19"/>
        <v>-0.48317627051354295</v>
      </c>
      <c r="Q155" s="454"/>
      <c r="R155" s="456">
        <v>-77669.899999999994</v>
      </c>
      <c r="S155" s="456">
        <v>0</v>
      </c>
      <c r="T155" s="456">
        <v>-24000</v>
      </c>
      <c r="U155" s="456">
        <v>0</v>
      </c>
      <c r="V155" s="456">
        <v>0</v>
      </c>
      <c r="W155" s="461">
        <f t="shared" si="20"/>
        <v>0</v>
      </c>
      <c r="X155" s="487">
        <f t="shared" si="16"/>
        <v>-24000</v>
      </c>
    </row>
    <row r="156" spans="2:24" ht="15.6" hidden="1">
      <c r="B156" s="466" t="s">
        <v>975</v>
      </c>
      <c r="C156" s="462" t="s">
        <v>870</v>
      </c>
      <c r="D156" s="465" t="s">
        <v>419</v>
      </c>
      <c r="E156" s="465" t="s">
        <v>418</v>
      </c>
      <c r="F156" s="465" t="s">
        <v>871</v>
      </c>
      <c r="G156" s="467" t="s">
        <v>266</v>
      </c>
      <c r="H156" s="469" t="s">
        <v>147</v>
      </c>
      <c r="I156" s="424">
        <v>-1453930.12</v>
      </c>
      <c r="J156" s="424">
        <v>-1453930.12</v>
      </c>
      <c r="K156" s="454"/>
      <c r="L156" s="457"/>
      <c r="M156" s="458">
        <f t="shared" si="17"/>
        <v>-1453930.12</v>
      </c>
      <c r="N156" s="478">
        <v>-1637586.93</v>
      </c>
      <c r="O156" s="459">
        <f t="shared" si="18"/>
        <v>183656.80999999982</v>
      </c>
      <c r="P156" s="460">
        <f t="shared" si="19"/>
        <v>-0.11215087677818718</v>
      </c>
      <c r="Q156" s="454"/>
      <c r="R156" s="456">
        <v>-62145.08</v>
      </c>
      <c r="S156" s="456">
        <v>0</v>
      </c>
      <c r="T156" s="456">
        <v>-164377.62</v>
      </c>
      <c r="U156" s="456">
        <v>-27311.32</v>
      </c>
      <c r="V156" s="456">
        <v>-1200096.1000000001</v>
      </c>
      <c r="W156" s="461">
        <f t="shared" si="20"/>
        <v>0</v>
      </c>
      <c r="X156" s="487">
        <f t="shared" si="16"/>
        <v>-1391785.04</v>
      </c>
    </row>
    <row r="157" spans="2:24" ht="15.6" hidden="1">
      <c r="B157" s="466" t="s">
        <v>975</v>
      </c>
      <c r="C157" s="462" t="s">
        <v>870</v>
      </c>
      <c r="D157" s="465" t="s">
        <v>329</v>
      </c>
      <c r="E157" s="465" t="s">
        <v>328</v>
      </c>
      <c r="F157" s="465" t="s">
        <v>871</v>
      </c>
      <c r="G157" s="467" t="s">
        <v>266</v>
      </c>
      <c r="H157" s="469" t="s">
        <v>147</v>
      </c>
      <c r="I157" s="424">
        <v>-107184.47</v>
      </c>
      <c r="J157" s="424">
        <v>-107184.47</v>
      </c>
      <c r="K157" s="454"/>
      <c r="L157" s="457"/>
      <c r="M157" s="458">
        <f t="shared" si="17"/>
        <v>-107184.47</v>
      </c>
      <c r="N157" s="478">
        <v>-107184.47</v>
      </c>
      <c r="O157" s="459">
        <f t="shared" si="18"/>
        <v>0</v>
      </c>
      <c r="P157" s="460">
        <f t="shared" si="19"/>
        <v>0</v>
      </c>
      <c r="Q157" s="454"/>
      <c r="R157" s="456">
        <v>0</v>
      </c>
      <c r="S157" s="456">
        <v>0</v>
      </c>
      <c r="T157" s="456">
        <v>0</v>
      </c>
      <c r="U157" s="456">
        <v>-107184.47</v>
      </c>
      <c r="V157" s="456">
        <v>0</v>
      </c>
      <c r="W157" s="461">
        <f t="shared" si="20"/>
        <v>0</v>
      </c>
      <c r="X157" s="487">
        <f t="shared" si="16"/>
        <v>-107184.47</v>
      </c>
    </row>
    <row r="158" spans="2:24" ht="15.6" hidden="1">
      <c r="B158" s="466" t="s">
        <v>975</v>
      </c>
      <c r="C158" s="462" t="s">
        <v>870</v>
      </c>
      <c r="D158" s="465" t="s">
        <v>932</v>
      </c>
      <c r="E158" s="465" t="s">
        <v>933</v>
      </c>
      <c r="F158" s="465" t="s">
        <v>871</v>
      </c>
      <c r="G158" s="467" t="s">
        <v>266</v>
      </c>
      <c r="H158" s="469" t="s">
        <v>147</v>
      </c>
      <c r="I158" s="424">
        <v>-14626.41</v>
      </c>
      <c r="J158" s="424">
        <v>-14626.41</v>
      </c>
      <c r="K158" s="454"/>
      <c r="L158" s="457"/>
      <c r="M158" s="458">
        <f t="shared" si="17"/>
        <v>-14626.41</v>
      </c>
      <c r="N158" s="478">
        <v>0</v>
      </c>
      <c r="O158" s="459">
        <f t="shared" si="18"/>
        <v>-14626.41</v>
      </c>
      <c r="P158" s="460" t="str">
        <f t="shared" si="19"/>
        <v/>
      </c>
      <c r="Q158" s="454"/>
      <c r="R158" s="456">
        <v>0</v>
      </c>
      <c r="S158" s="456">
        <v>-14626.41</v>
      </c>
      <c r="T158" s="456">
        <v>0</v>
      </c>
      <c r="U158" s="456">
        <v>0</v>
      </c>
      <c r="V158" s="456">
        <v>0</v>
      </c>
      <c r="W158" s="461">
        <f t="shared" si="20"/>
        <v>0</v>
      </c>
      <c r="X158" s="487">
        <f t="shared" si="16"/>
        <v>0</v>
      </c>
    </row>
    <row r="159" spans="2:24" ht="15.6" hidden="1">
      <c r="B159" s="466" t="s">
        <v>975</v>
      </c>
      <c r="C159" s="462" t="s">
        <v>870</v>
      </c>
      <c r="D159" s="465" t="s">
        <v>309</v>
      </c>
      <c r="E159" s="465" t="s">
        <v>308</v>
      </c>
      <c r="F159" s="465" t="s">
        <v>871</v>
      </c>
      <c r="G159" s="467" t="s">
        <v>266</v>
      </c>
      <c r="H159" s="469" t="s">
        <v>147</v>
      </c>
      <c r="I159" s="424">
        <v>-2223</v>
      </c>
      <c r="J159" s="424">
        <v>-2223</v>
      </c>
      <c r="K159" s="454"/>
      <c r="L159" s="457"/>
      <c r="M159" s="458">
        <f t="shared" si="17"/>
        <v>-2223</v>
      </c>
      <c r="N159" s="478">
        <v>-3994</v>
      </c>
      <c r="O159" s="459">
        <f t="shared" si="18"/>
        <v>1771</v>
      </c>
      <c r="P159" s="460">
        <f t="shared" si="19"/>
        <v>-0.44341512268402605</v>
      </c>
      <c r="Q159" s="454"/>
      <c r="R159" s="456">
        <v>0</v>
      </c>
      <c r="S159" s="456">
        <v>-2223</v>
      </c>
      <c r="T159" s="456">
        <v>0</v>
      </c>
      <c r="U159" s="456">
        <v>0</v>
      </c>
      <c r="V159" s="456">
        <v>0</v>
      </c>
      <c r="W159" s="461">
        <f t="shared" si="20"/>
        <v>0</v>
      </c>
      <c r="X159" s="487">
        <f t="shared" si="16"/>
        <v>0</v>
      </c>
    </row>
    <row r="160" spans="2:24" ht="15.6" hidden="1">
      <c r="B160" s="466" t="s">
        <v>975</v>
      </c>
      <c r="C160" s="462" t="s">
        <v>870</v>
      </c>
      <c r="D160" s="465" t="s">
        <v>427</v>
      </c>
      <c r="E160" s="465" t="s">
        <v>426</v>
      </c>
      <c r="F160" s="465" t="s">
        <v>871</v>
      </c>
      <c r="G160" s="467" t="s">
        <v>266</v>
      </c>
      <c r="H160" s="469" t="s">
        <v>147</v>
      </c>
      <c r="I160" s="424">
        <v>-121749.06</v>
      </c>
      <c r="J160" s="424">
        <v>-121749.06</v>
      </c>
      <c r="K160" s="454"/>
      <c r="L160" s="457"/>
      <c r="M160" s="458">
        <f t="shared" si="17"/>
        <v>-121749.06</v>
      </c>
      <c r="N160" s="478">
        <v>-121749.06</v>
      </c>
      <c r="O160" s="459">
        <f t="shared" si="18"/>
        <v>0</v>
      </c>
      <c r="P160" s="460">
        <f t="shared" si="19"/>
        <v>0</v>
      </c>
      <c r="Q160" s="454"/>
      <c r="R160" s="456">
        <v>0</v>
      </c>
      <c r="S160" s="456">
        <v>0</v>
      </c>
      <c r="T160" s="456">
        <v>0</v>
      </c>
      <c r="U160" s="456">
        <v>0</v>
      </c>
      <c r="V160" s="456">
        <v>-121749.06</v>
      </c>
      <c r="W160" s="461">
        <f t="shared" si="20"/>
        <v>0</v>
      </c>
      <c r="X160" s="487">
        <f t="shared" si="16"/>
        <v>-121749.06</v>
      </c>
    </row>
    <row r="161" spans="2:24" ht="15.6" hidden="1">
      <c r="B161" s="466" t="s">
        <v>975</v>
      </c>
      <c r="C161" s="462" t="s">
        <v>870</v>
      </c>
      <c r="D161" s="465" t="s">
        <v>517</v>
      </c>
      <c r="E161" s="465" t="s">
        <v>516</v>
      </c>
      <c r="F161" s="465" t="s">
        <v>871</v>
      </c>
      <c r="G161" s="467" t="s">
        <v>266</v>
      </c>
      <c r="H161" s="469" t="s">
        <v>147</v>
      </c>
      <c r="I161" s="424">
        <v>-88660.49</v>
      </c>
      <c r="J161" s="424">
        <v>-88660.49</v>
      </c>
      <c r="K161" s="454"/>
      <c r="L161" s="457"/>
      <c r="M161" s="458">
        <f t="shared" si="17"/>
        <v>-88660.49</v>
      </c>
      <c r="N161" s="478">
        <v>-86028.3</v>
      </c>
      <c r="O161" s="459">
        <f t="shared" si="18"/>
        <v>-2632.1900000000023</v>
      </c>
      <c r="P161" s="460">
        <f t="shared" si="19"/>
        <v>3.0596791985893039E-2</v>
      </c>
      <c r="Q161" s="454"/>
      <c r="R161" s="456">
        <v>0</v>
      </c>
      <c r="S161" s="456">
        <v>-72952</v>
      </c>
      <c r="T161" s="456">
        <v>-15708.49</v>
      </c>
      <c r="U161" s="456">
        <v>0</v>
      </c>
      <c r="V161" s="456">
        <v>0</v>
      </c>
      <c r="W161" s="461">
        <f t="shared" si="20"/>
        <v>0</v>
      </c>
      <c r="X161" s="487">
        <f t="shared" si="16"/>
        <v>-15708.49</v>
      </c>
    </row>
    <row r="162" spans="2:24" ht="15.6" hidden="1">
      <c r="B162" s="466" t="s">
        <v>975</v>
      </c>
      <c r="C162" s="462" t="s">
        <v>870</v>
      </c>
      <c r="D162" s="465" t="s">
        <v>934</v>
      </c>
      <c r="E162" s="465" t="s">
        <v>935</v>
      </c>
      <c r="F162" s="465" t="s">
        <v>871</v>
      </c>
      <c r="G162" s="467" t="s">
        <v>266</v>
      </c>
      <c r="H162" s="469" t="s">
        <v>147</v>
      </c>
      <c r="I162" s="424">
        <v>-38400</v>
      </c>
      <c r="J162" s="424">
        <v>-38400</v>
      </c>
      <c r="K162" s="454"/>
      <c r="L162" s="457"/>
      <c r="M162" s="458">
        <f t="shared" si="17"/>
        <v>-38400</v>
      </c>
      <c r="N162" s="478">
        <v>0</v>
      </c>
      <c r="O162" s="459">
        <f t="shared" si="18"/>
        <v>-38400</v>
      </c>
      <c r="P162" s="460" t="str">
        <f t="shared" si="19"/>
        <v/>
      </c>
      <c r="Q162" s="454"/>
      <c r="R162" s="456">
        <v>-38400</v>
      </c>
      <c r="S162" s="456">
        <v>0</v>
      </c>
      <c r="T162" s="456">
        <v>0</v>
      </c>
      <c r="U162" s="456">
        <v>0</v>
      </c>
      <c r="V162" s="456">
        <v>0</v>
      </c>
      <c r="W162" s="461">
        <f t="shared" si="20"/>
        <v>0</v>
      </c>
      <c r="X162" s="487">
        <f t="shared" si="16"/>
        <v>0</v>
      </c>
    </row>
    <row r="163" spans="2:24" ht="15.6" hidden="1">
      <c r="B163" s="466" t="s">
        <v>975</v>
      </c>
      <c r="C163" s="462" t="s">
        <v>870</v>
      </c>
      <c r="D163" s="465" t="s">
        <v>347</v>
      </c>
      <c r="E163" s="465" t="s">
        <v>346</v>
      </c>
      <c r="F163" s="465" t="s">
        <v>871</v>
      </c>
      <c r="G163" s="467" t="s">
        <v>266</v>
      </c>
      <c r="H163" s="469" t="s">
        <v>147</v>
      </c>
      <c r="I163" s="424">
        <v>-271844.65999999997</v>
      </c>
      <c r="J163" s="424">
        <v>-271844.65999999997</v>
      </c>
      <c r="K163" s="454"/>
      <c r="L163" s="457"/>
      <c r="M163" s="458">
        <f t="shared" si="17"/>
        <v>-271844.65999999997</v>
      </c>
      <c r="N163" s="478">
        <v>-271844.65999999997</v>
      </c>
      <c r="O163" s="459">
        <f t="shared" si="18"/>
        <v>0</v>
      </c>
      <c r="P163" s="460">
        <f t="shared" si="19"/>
        <v>0</v>
      </c>
      <c r="Q163" s="454"/>
      <c r="R163" s="456">
        <v>0</v>
      </c>
      <c r="S163" s="456">
        <v>0</v>
      </c>
      <c r="T163" s="456">
        <v>0</v>
      </c>
      <c r="U163" s="456">
        <v>0</v>
      </c>
      <c r="V163" s="456">
        <v>-271844.65999999997</v>
      </c>
      <c r="W163" s="461">
        <f t="shared" si="20"/>
        <v>0</v>
      </c>
      <c r="X163" s="487">
        <f t="shared" si="16"/>
        <v>-271844.65999999997</v>
      </c>
    </row>
    <row r="164" spans="2:24" ht="15.6">
      <c r="B164" s="466" t="s">
        <v>975</v>
      </c>
      <c r="C164" s="462" t="s">
        <v>870</v>
      </c>
      <c r="D164" s="465" t="s">
        <v>936</v>
      </c>
      <c r="E164" s="465" t="s">
        <v>937</v>
      </c>
      <c r="F164" s="465" t="s">
        <v>871</v>
      </c>
      <c r="G164" s="467" t="s">
        <v>266</v>
      </c>
      <c r="H164" s="469" t="s">
        <v>147</v>
      </c>
      <c r="I164" s="424">
        <v>-1160377.3600000001</v>
      </c>
      <c r="J164" s="424">
        <v>-1160377.3600000001</v>
      </c>
      <c r="K164" s="454"/>
      <c r="L164" s="457"/>
      <c r="M164" s="458">
        <f t="shared" si="17"/>
        <v>-1160377.3600000001</v>
      </c>
      <c r="N164" s="478">
        <v>0</v>
      </c>
      <c r="O164" s="459">
        <f t="shared" si="18"/>
        <v>-1160377.3600000001</v>
      </c>
      <c r="P164" s="460" t="str">
        <f t="shared" si="19"/>
        <v/>
      </c>
      <c r="Q164" s="454" t="s">
        <v>995</v>
      </c>
      <c r="R164" s="456">
        <v>0</v>
      </c>
      <c r="S164" s="456">
        <v>-1160377.3600000001</v>
      </c>
      <c r="T164" s="456">
        <v>0</v>
      </c>
      <c r="U164" s="456">
        <v>0</v>
      </c>
      <c r="V164" s="456">
        <v>0</v>
      </c>
      <c r="W164" s="461">
        <f t="shared" si="20"/>
        <v>0</v>
      </c>
      <c r="X164" s="487">
        <f t="shared" si="16"/>
        <v>0</v>
      </c>
    </row>
    <row r="165" spans="2:24" ht="15.6" hidden="1">
      <c r="B165" s="466" t="s">
        <v>975</v>
      </c>
      <c r="C165" s="462" t="s">
        <v>870</v>
      </c>
      <c r="D165" s="465" t="s">
        <v>193</v>
      </c>
      <c r="E165" s="465" t="s">
        <v>192</v>
      </c>
      <c r="F165" s="465" t="s">
        <v>871</v>
      </c>
      <c r="G165" s="467" t="s">
        <v>266</v>
      </c>
      <c r="H165" s="469" t="s">
        <v>147</v>
      </c>
      <c r="I165" s="424">
        <v>-174528.3</v>
      </c>
      <c r="J165" s="424">
        <v>-174528.3</v>
      </c>
      <c r="K165" s="454"/>
      <c r="L165" s="457"/>
      <c r="M165" s="458">
        <f t="shared" si="17"/>
        <v>-174528.3</v>
      </c>
      <c r="N165" s="478">
        <v>-250000</v>
      </c>
      <c r="O165" s="459">
        <f t="shared" si="18"/>
        <v>75471.700000000012</v>
      </c>
      <c r="P165" s="460">
        <f t="shared" si="19"/>
        <v>-0.30188680000000007</v>
      </c>
      <c r="Q165" s="454"/>
      <c r="R165" s="456">
        <v>0</v>
      </c>
      <c r="S165" s="456">
        <v>0</v>
      </c>
      <c r="T165" s="456">
        <v>-174528.3</v>
      </c>
      <c r="U165" s="456">
        <v>0</v>
      </c>
      <c r="V165" s="456">
        <v>0</v>
      </c>
      <c r="W165" s="461">
        <f t="shared" si="20"/>
        <v>0</v>
      </c>
      <c r="X165" s="487">
        <f t="shared" si="16"/>
        <v>-174528.3</v>
      </c>
    </row>
    <row r="166" spans="2:24" ht="15.6" hidden="1">
      <c r="B166" s="466" t="s">
        <v>975</v>
      </c>
      <c r="C166" s="462" t="s">
        <v>870</v>
      </c>
      <c r="D166" s="465" t="s">
        <v>938</v>
      </c>
      <c r="E166" s="465" t="s">
        <v>939</v>
      </c>
      <c r="F166" s="465" t="s">
        <v>871</v>
      </c>
      <c r="G166" s="467" t="s">
        <v>266</v>
      </c>
      <c r="H166" s="469" t="s">
        <v>147</v>
      </c>
      <c r="I166" s="424">
        <v>-21636</v>
      </c>
      <c r="J166" s="424">
        <v>-21636</v>
      </c>
      <c r="K166" s="454"/>
      <c r="L166" s="457"/>
      <c r="M166" s="458">
        <f t="shared" si="17"/>
        <v>-21636</v>
      </c>
      <c r="N166" s="478">
        <v>0</v>
      </c>
      <c r="O166" s="459">
        <f t="shared" si="18"/>
        <v>-21636</v>
      </c>
      <c r="P166" s="460" t="str">
        <f t="shared" si="19"/>
        <v/>
      </c>
      <c r="Q166" s="454"/>
      <c r="R166" s="456">
        <v>-21636</v>
      </c>
      <c r="S166" s="456">
        <v>0</v>
      </c>
      <c r="T166" s="456">
        <v>0</v>
      </c>
      <c r="U166" s="456">
        <v>0</v>
      </c>
      <c r="V166" s="456">
        <v>0</v>
      </c>
      <c r="W166" s="461">
        <f t="shared" si="20"/>
        <v>0</v>
      </c>
      <c r="X166" s="487">
        <f t="shared" si="16"/>
        <v>0</v>
      </c>
    </row>
    <row r="167" spans="2:24" ht="15.6" hidden="1">
      <c r="B167" s="466" t="s">
        <v>975</v>
      </c>
      <c r="C167" s="462" t="s">
        <v>870</v>
      </c>
      <c r="D167" s="465" t="s">
        <v>235</v>
      </c>
      <c r="E167" s="465" t="s">
        <v>234</v>
      </c>
      <c r="F167" s="465" t="s">
        <v>871</v>
      </c>
      <c r="G167" s="467" t="s">
        <v>266</v>
      </c>
      <c r="H167" s="469" t="s">
        <v>147</v>
      </c>
      <c r="I167" s="424">
        <v>-48500</v>
      </c>
      <c r="J167" s="424">
        <v>-48500</v>
      </c>
      <c r="K167" s="454"/>
      <c r="L167" s="457"/>
      <c r="M167" s="458">
        <f t="shared" si="17"/>
        <v>-48500</v>
      </c>
      <c r="N167" s="478">
        <v>-48500</v>
      </c>
      <c r="O167" s="459">
        <f t="shared" si="18"/>
        <v>0</v>
      </c>
      <c r="P167" s="460">
        <f t="shared" si="19"/>
        <v>0</v>
      </c>
      <c r="Q167" s="454"/>
      <c r="R167" s="456">
        <v>0</v>
      </c>
      <c r="S167" s="456">
        <v>-48500</v>
      </c>
      <c r="T167" s="456">
        <v>0</v>
      </c>
      <c r="U167" s="456">
        <v>0</v>
      </c>
      <c r="V167" s="456">
        <v>0</v>
      </c>
      <c r="W167" s="461">
        <f t="shared" si="20"/>
        <v>0</v>
      </c>
      <c r="X167" s="487">
        <f t="shared" si="16"/>
        <v>0</v>
      </c>
    </row>
    <row r="168" spans="2:24" ht="15.6" hidden="1">
      <c r="B168" s="466" t="s">
        <v>975</v>
      </c>
      <c r="C168" s="462" t="s">
        <v>870</v>
      </c>
      <c r="D168" s="465" t="s">
        <v>940</v>
      </c>
      <c r="E168" s="465" t="s">
        <v>941</v>
      </c>
      <c r="F168" s="465" t="s">
        <v>871</v>
      </c>
      <c r="G168" s="467" t="s">
        <v>266</v>
      </c>
      <c r="H168" s="469" t="s">
        <v>147</v>
      </c>
      <c r="I168" s="424">
        <v>-52290</v>
      </c>
      <c r="J168" s="424">
        <v>-52290</v>
      </c>
      <c r="K168" s="454"/>
      <c r="L168" s="457"/>
      <c r="M168" s="458">
        <f t="shared" si="17"/>
        <v>-52290</v>
      </c>
      <c r="N168" s="478">
        <v>0</v>
      </c>
      <c r="O168" s="459">
        <f t="shared" si="18"/>
        <v>-52290</v>
      </c>
      <c r="P168" s="460" t="str">
        <f t="shared" si="19"/>
        <v/>
      </c>
      <c r="Q168" s="454"/>
      <c r="R168" s="456">
        <v>-52290</v>
      </c>
      <c r="S168" s="456">
        <v>0</v>
      </c>
      <c r="T168" s="456">
        <v>0</v>
      </c>
      <c r="U168" s="456">
        <v>0</v>
      </c>
      <c r="V168" s="456">
        <v>0</v>
      </c>
      <c r="W168" s="461">
        <f t="shared" si="20"/>
        <v>0</v>
      </c>
      <c r="X168" s="487">
        <f t="shared" si="16"/>
        <v>0</v>
      </c>
    </row>
    <row r="169" spans="2:24" ht="15.6" hidden="1">
      <c r="B169" s="466" t="s">
        <v>975</v>
      </c>
      <c r="C169" s="462" t="s">
        <v>870</v>
      </c>
      <c r="D169" s="465" t="s">
        <v>942</v>
      </c>
      <c r="E169" s="465" t="s">
        <v>943</v>
      </c>
      <c r="F169" s="465" t="s">
        <v>871</v>
      </c>
      <c r="G169" s="467" t="s">
        <v>266</v>
      </c>
      <c r="H169" s="469" t="s">
        <v>147</v>
      </c>
      <c r="I169" s="424">
        <v>-73640</v>
      </c>
      <c r="J169" s="424">
        <v>-73640</v>
      </c>
      <c r="K169" s="454"/>
      <c r="L169" s="457"/>
      <c r="M169" s="458">
        <f t="shared" si="17"/>
        <v>-73640</v>
      </c>
      <c r="N169" s="478">
        <v>0</v>
      </c>
      <c r="O169" s="459">
        <f t="shared" si="18"/>
        <v>-73640</v>
      </c>
      <c r="P169" s="460" t="str">
        <f t="shared" si="19"/>
        <v/>
      </c>
      <c r="Q169" s="454"/>
      <c r="R169" s="456">
        <v>-73640</v>
      </c>
      <c r="S169" s="456">
        <v>0</v>
      </c>
      <c r="T169" s="456">
        <v>0</v>
      </c>
      <c r="U169" s="456">
        <v>0</v>
      </c>
      <c r="V169" s="456">
        <v>0</v>
      </c>
      <c r="W169" s="461">
        <f t="shared" si="20"/>
        <v>0</v>
      </c>
      <c r="X169" s="487">
        <f t="shared" si="16"/>
        <v>0</v>
      </c>
    </row>
    <row r="170" spans="2:24" ht="15.6" hidden="1">
      <c r="B170" s="466" t="s">
        <v>975</v>
      </c>
      <c r="C170" s="462" t="s">
        <v>870</v>
      </c>
      <c r="D170" s="465" t="s">
        <v>455</v>
      </c>
      <c r="E170" s="465" t="s">
        <v>454</v>
      </c>
      <c r="F170" s="465" t="s">
        <v>871</v>
      </c>
      <c r="G170" s="467" t="s">
        <v>266</v>
      </c>
      <c r="H170" s="469" t="s">
        <v>147</v>
      </c>
      <c r="I170" s="424">
        <v>0</v>
      </c>
      <c r="J170" s="424">
        <v>0</v>
      </c>
      <c r="K170" s="454"/>
      <c r="L170" s="457"/>
      <c r="M170" s="458">
        <f t="shared" si="17"/>
        <v>0</v>
      </c>
      <c r="N170" s="478">
        <v>-23430.1</v>
      </c>
      <c r="O170" s="459">
        <f t="shared" si="18"/>
        <v>23430.1</v>
      </c>
      <c r="P170" s="460">
        <f t="shared" si="19"/>
        <v>-1</v>
      </c>
      <c r="Q170" s="454"/>
      <c r="R170" s="456">
        <v>0</v>
      </c>
      <c r="S170" s="456">
        <v>0</v>
      </c>
      <c r="T170" s="456">
        <v>0</v>
      </c>
      <c r="U170" s="456">
        <v>0</v>
      </c>
      <c r="V170" s="456">
        <v>0</v>
      </c>
      <c r="W170" s="461">
        <f t="shared" si="20"/>
        <v>0</v>
      </c>
      <c r="X170" s="487">
        <f t="shared" si="16"/>
        <v>0</v>
      </c>
    </row>
    <row r="171" spans="2:24" ht="15.6" hidden="1">
      <c r="B171" s="466" t="s">
        <v>975</v>
      </c>
      <c r="C171" s="462" t="s">
        <v>870</v>
      </c>
      <c r="D171" s="465" t="s">
        <v>243</v>
      </c>
      <c r="E171" s="465" t="s">
        <v>242</v>
      </c>
      <c r="F171" s="465" t="s">
        <v>871</v>
      </c>
      <c r="G171" s="467" t="s">
        <v>266</v>
      </c>
      <c r="H171" s="469" t="s">
        <v>147</v>
      </c>
      <c r="I171" s="424">
        <v>-75471.7</v>
      </c>
      <c r="J171" s="424">
        <v>-75471.7</v>
      </c>
      <c r="K171" s="454"/>
      <c r="L171" s="457"/>
      <c r="M171" s="458">
        <f t="shared" si="17"/>
        <v>-75471.7</v>
      </c>
      <c r="N171" s="478">
        <v>-75471.7</v>
      </c>
      <c r="O171" s="459">
        <f t="shared" si="18"/>
        <v>0</v>
      </c>
      <c r="P171" s="460">
        <f t="shared" si="19"/>
        <v>0</v>
      </c>
      <c r="Q171" s="454"/>
      <c r="R171" s="456">
        <v>0</v>
      </c>
      <c r="S171" s="456">
        <v>0</v>
      </c>
      <c r="T171" s="456">
        <v>0</v>
      </c>
      <c r="U171" s="456">
        <v>-75471.7</v>
      </c>
      <c r="V171" s="456">
        <v>0</v>
      </c>
      <c r="W171" s="461">
        <f t="shared" si="20"/>
        <v>0</v>
      </c>
      <c r="X171" s="487">
        <f t="shared" si="16"/>
        <v>-75471.7</v>
      </c>
    </row>
    <row r="172" spans="2:24" ht="15.6" hidden="1">
      <c r="B172" s="466" t="s">
        <v>975</v>
      </c>
      <c r="C172" s="462" t="s">
        <v>870</v>
      </c>
      <c r="D172" s="465" t="s">
        <v>475</v>
      </c>
      <c r="E172" s="465" t="s">
        <v>474</v>
      </c>
      <c r="F172" s="465" t="s">
        <v>871</v>
      </c>
      <c r="G172" s="467" t="s">
        <v>266</v>
      </c>
      <c r="H172" s="469" t="s">
        <v>147</v>
      </c>
      <c r="I172" s="424">
        <v>-430734.9</v>
      </c>
      <c r="J172" s="424">
        <v>-430734.9</v>
      </c>
      <c r="K172" s="454"/>
      <c r="L172" s="457"/>
      <c r="M172" s="458">
        <f t="shared" si="17"/>
        <v>-430734.9</v>
      </c>
      <c r="N172" s="478">
        <v>-379833.87</v>
      </c>
      <c r="O172" s="459">
        <f t="shared" si="18"/>
        <v>-50901.030000000028</v>
      </c>
      <c r="P172" s="460">
        <f t="shared" si="19"/>
        <v>0.13400866541996381</v>
      </c>
      <c r="Q172" s="454"/>
      <c r="R172" s="456">
        <v>-199292.39</v>
      </c>
      <c r="S172" s="456">
        <v>-132416.60999999999</v>
      </c>
      <c r="T172" s="456">
        <v>-99025.9</v>
      </c>
      <c r="U172" s="456">
        <v>0</v>
      </c>
      <c r="V172" s="456">
        <v>0</v>
      </c>
      <c r="W172" s="461">
        <f t="shared" si="20"/>
        <v>0</v>
      </c>
      <c r="X172" s="487">
        <f t="shared" si="16"/>
        <v>-99025.9</v>
      </c>
    </row>
    <row r="173" spans="2:24" ht="15.6" hidden="1">
      <c r="B173" s="466" t="s">
        <v>975</v>
      </c>
      <c r="C173" s="462" t="s">
        <v>870</v>
      </c>
      <c r="D173" s="465" t="s">
        <v>335</v>
      </c>
      <c r="E173" s="465" t="s">
        <v>334</v>
      </c>
      <c r="F173" s="465" t="s">
        <v>871</v>
      </c>
      <c r="G173" s="467" t="s">
        <v>266</v>
      </c>
      <c r="H173" s="469" t="s">
        <v>147</v>
      </c>
      <c r="I173" s="424">
        <v>-340776.7</v>
      </c>
      <c r="J173" s="424">
        <v>-340776.7</v>
      </c>
      <c r="K173" s="454"/>
      <c r="L173" s="457"/>
      <c r="M173" s="458">
        <f t="shared" si="17"/>
        <v>-340776.7</v>
      </c>
      <c r="N173" s="478">
        <v>-340776.7</v>
      </c>
      <c r="O173" s="459">
        <f t="shared" si="18"/>
        <v>0</v>
      </c>
      <c r="P173" s="460">
        <f t="shared" si="19"/>
        <v>0</v>
      </c>
      <c r="Q173" s="454"/>
      <c r="R173" s="456">
        <v>0</v>
      </c>
      <c r="S173" s="456">
        <v>0</v>
      </c>
      <c r="T173" s="456">
        <v>0</v>
      </c>
      <c r="U173" s="456">
        <v>-340776.7</v>
      </c>
      <c r="V173" s="456">
        <v>0</v>
      </c>
      <c r="W173" s="461">
        <f t="shared" si="20"/>
        <v>0</v>
      </c>
      <c r="X173" s="487">
        <f t="shared" si="16"/>
        <v>-340776.7</v>
      </c>
    </row>
    <row r="174" spans="2:24" ht="15.6" hidden="1">
      <c r="B174" s="466" t="s">
        <v>975</v>
      </c>
      <c r="C174" s="462" t="s">
        <v>870</v>
      </c>
      <c r="D174" s="465" t="s">
        <v>944</v>
      </c>
      <c r="E174" s="465" t="s">
        <v>945</v>
      </c>
      <c r="F174" s="465" t="s">
        <v>871</v>
      </c>
      <c r="G174" s="467" t="s">
        <v>266</v>
      </c>
      <c r="H174" s="469" t="s">
        <v>147</v>
      </c>
      <c r="I174" s="424">
        <v>-15200</v>
      </c>
      <c r="J174" s="424">
        <v>-15200</v>
      </c>
      <c r="K174" s="454"/>
      <c r="L174" s="457"/>
      <c r="M174" s="458">
        <f t="shared" si="17"/>
        <v>-15200</v>
      </c>
      <c r="N174" s="478">
        <v>0</v>
      </c>
      <c r="O174" s="459">
        <f t="shared" si="18"/>
        <v>-15200</v>
      </c>
      <c r="P174" s="460" t="str">
        <f t="shared" si="19"/>
        <v/>
      </c>
      <c r="Q174" s="454"/>
      <c r="R174" s="456">
        <v>-15200</v>
      </c>
      <c r="S174" s="456">
        <v>0</v>
      </c>
      <c r="T174" s="456">
        <v>0</v>
      </c>
      <c r="U174" s="456">
        <v>0</v>
      </c>
      <c r="V174" s="456">
        <v>0</v>
      </c>
      <c r="W174" s="461">
        <f t="shared" si="20"/>
        <v>0</v>
      </c>
      <c r="X174" s="487">
        <f t="shared" si="16"/>
        <v>0</v>
      </c>
    </row>
    <row r="175" spans="2:24" ht="15.6" hidden="1">
      <c r="B175" s="466" t="s">
        <v>975</v>
      </c>
      <c r="C175" s="462" t="s">
        <v>870</v>
      </c>
      <c r="D175" s="465" t="s">
        <v>946</v>
      </c>
      <c r="E175" s="465" t="s">
        <v>947</v>
      </c>
      <c r="F175" s="465" t="s">
        <v>871</v>
      </c>
      <c r="G175" s="467" t="s">
        <v>266</v>
      </c>
      <c r="H175" s="469" t="s">
        <v>147</v>
      </c>
      <c r="I175" s="424">
        <v>-15533.99</v>
      </c>
      <c r="J175" s="424">
        <v>-15533.99</v>
      </c>
      <c r="K175" s="454"/>
      <c r="L175" s="457"/>
      <c r="M175" s="458">
        <f t="shared" si="17"/>
        <v>-15533.99</v>
      </c>
      <c r="N175" s="478">
        <v>0</v>
      </c>
      <c r="O175" s="459">
        <f t="shared" si="18"/>
        <v>-15533.99</v>
      </c>
      <c r="P175" s="460" t="str">
        <f t="shared" si="19"/>
        <v/>
      </c>
      <c r="Q175" s="454"/>
      <c r="R175" s="456">
        <v>-15533.99</v>
      </c>
      <c r="S175" s="456">
        <v>0</v>
      </c>
      <c r="T175" s="456">
        <v>0</v>
      </c>
      <c r="U175" s="456">
        <v>0</v>
      </c>
      <c r="V175" s="456">
        <v>0</v>
      </c>
      <c r="W175" s="461">
        <f t="shared" si="20"/>
        <v>0</v>
      </c>
      <c r="X175" s="487">
        <f t="shared" si="16"/>
        <v>0</v>
      </c>
    </row>
    <row r="176" spans="2:24" ht="15.6" hidden="1">
      <c r="B176" s="466" t="s">
        <v>975</v>
      </c>
      <c r="C176" s="462" t="s">
        <v>870</v>
      </c>
      <c r="D176" s="465" t="s">
        <v>231</v>
      </c>
      <c r="E176" s="465" t="s">
        <v>230</v>
      </c>
      <c r="F176" s="465" t="s">
        <v>871</v>
      </c>
      <c r="G176" s="467" t="s">
        <v>266</v>
      </c>
      <c r="H176" s="469" t="s">
        <v>147</v>
      </c>
      <c r="I176" s="424">
        <v>-82964.600000000006</v>
      </c>
      <c r="J176" s="424">
        <v>-82964.600000000006</v>
      </c>
      <c r="K176" s="454"/>
      <c r="L176" s="457"/>
      <c r="M176" s="458">
        <f t="shared" si="17"/>
        <v>-82964.600000000006</v>
      </c>
      <c r="N176" s="478">
        <v>-82964.600000000006</v>
      </c>
      <c r="O176" s="459">
        <f t="shared" si="18"/>
        <v>0</v>
      </c>
      <c r="P176" s="460">
        <f t="shared" si="19"/>
        <v>0</v>
      </c>
      <c r="Q176" s="454"/>
      <c r="R176" s="456">
        <v>0</v>
      </c>
      <c r="S176" s="456">
        <v>0</v>
      </c>
      <c r="T176" s="456">
        <v>0</v>
      </c>
      <c r="U176" s="456">
        <v>0</v>
      </c>
      <c r="V176" s="456">
        <v>-82964.600000000006</v>
      </c>
      <c r="W176" s="461">
        <f t="shared" si="20"/>
        <v>0</v>
      </c>
      <c r="X176" s="487">
        <f t="shared" si="16"/>
        <v>-82964.600000000006</v>
      </c>
    </row>
    <row r="177" spans="2:24" ht="15.6" hidden="1">
      <c r="B177" s="466" t="s">
        <v>975</v>
      </c>
      <c r="C177" s="462" t="s">
        <v>870</v>
      </c>
      <c r="D177" s="465" t="s">
        <v>425</v>
      </c>
      <c r="E177" s="465" t="s">
        <v>948</v>
      </c>
      <c r="F177" s="465" t="s">
        <v>871</v>
      </c>
      <c r="G177" s="467" t="s">
        <v>266</v>
      </c>
      <c r="H177" s="469" t="s">
        <v>147</v>
      </c>
      <c r="I177" s="424">
        <v>-306603.77</v>
      </c>
      <c r="J177" s="424">
        <v>-306603.77</v>
      </c>
      <c r="K177" s="454"/>
      <c r="L177" s="457"/>
      <c r="M177" s="458">
        <f t="shared" si="17"/>
        <v>-306603.77</v>
      </c>
      <c r="N177" s="478">
        <v>-306603.77</v>
      </c>
      <c r="O177" s="459">
        <f t="shared" si="18"/>
        <v>0</v>
      </c>
      <c r="P177" s="460">
        <f t="shared" si="19"/>
        <v>0</v>
      </c>
      <c r="Q177" s="454"/>
      <c r="R177" s="456">
        <v>0</v>
      </c>
      <c r="S177" s="456">
        <v>0</v>
      </c>
      <c r="T177" s="456">
        <v>0</v>
      </c>
      <c r="U177" s="456">
        <v>0</v>
      </c>
      <c r="V177" s="456">
        <v>-306603.77</v>
      </c>
      <c r="W177" s="461">
        <f t="shared" si="20"/>
        <v>0</v>
      </c>
      <c r="X177" s="487">
        <f t="shared" si="16"/>
        <v>-306603.77</v>
      </c>
    </row>
    <row r="178" spans="2:24" ht="15.6" hidden="1">
      <c r="B178" s="466" t="s">
        <v>975</v>
      </c>
      <c r="C178" s="462" t="s">
        <v>870</v>
      </c>
      <c r="D178" s="465" t="s">
        <v>307</v>
      </c>
      <c r="E178" s="465" t="s">
        <v>306</v>
      </c>
      <c r="F178" s="465" t="s">
        <v>871</v>
      </c>
      <c r="G178" s="467" t="s">
        <v>266</v>
      </c>
      <c r="H178" s="469" t="s">
        <v>147</v>
      </c>
      <c r="I178" s="424">
        <v>-63990.29</v>
      </c>
      <c r="J178" s="424">
        <v>-63990.29</v>
      </c>
      <c r="K178" s="454"/>
      <c r="L178" s="457"/>
      <c r="M178" s="458">
        <f t="shared" si="17"/>
        <v>-63990.29</v>
      </c>
      <c r="N178" s="478">
        <v>-164883.49</v>
      </c>
      <c r="O178" s="459">
        <f t="shared" si="18"/>
        <v>100893.19999999998</v>
      </c>
      <c r="P178" s="460">
        <f t="shared" si="19"/>
        <v>-0.61190601921393095</v>
      </c>
      <c r="Q178" s="454"/>
      <c r="R178" s="456">
        <v>0</v>
      </c>
      <c r="S178" s="456">
        <v>-63990.29</v>
      </c>
      <c r="T178" s="456">
        <v>0</v>
      </c>
      <c r="U178" s="456">
        <v>0</v>
      </c>
      <c r="V178" s="456">
        <v>0</v>
      </c>
      <c r="W178" s="461">
        <f t="shared" si="20"/>
        <v>0</v>
      </c>
      <c r="X178" s="487">
        <f t="shared" si="16"/>
        <v>0</v>
      </c>
    </row>
    <row r="179" spans="2:24" ht="15.6" hidden="1">
      <c r="B179" s="466" t="s">
        <v>975</v>
      </c>
      <c r="C179" s="462" t="s">
        <v>870</v>
      </c>
      <c r="D179" s="465" t="s">
        <v>949</v>
      </c>
      <c r="E179" s="465" t="s">
        <v>950</v>
      </c>
      <c r="F179" s="465" t="s">
        <v>871</v>
      </c>
      <c r="G179" s="467" t="s">
        <v>266</v>
      </c>
      <c r="H179" s="469" t="s">
        <v>147</v>
      </c>
      <c r="I179" s="424">
        <v>-16000</v>
      </c>
      <c r="J179" s="424">
        <v>-16000</v>
      </c>
      <c r="K179" s="454"/>
      <c r="L179" s="457"/>
      <c r="M179" s="458">
        <f t="shared" si="17"/>
        <v>-16000</v>
      </c>
      <c r="N179" s="478">
        <v>0</v>
      </c>
      <c r="O179" s="459">
        <f t="shared" si="18"/>
        <v>-16000</v>
      </c>
      <c r="P179" s="460" t="str">
        <f t="shared" si="19"/>
        <v/>
      </c>
      <c r="Q179" s="454"/>
      <c r="R179" s="456">
        <v>-16000</v>
      </c>
      <c r="S179" s="456">
        <v>0</v>
      </c>
      <c r="T179" s="456">
        <v>0</v>
      </c>
      <c r="U179" s="456">
        <v>0</v>
      </c>
      <c r="V179" s="456">
        <v>0</v>
      </c>
      <c r="W179" s="461">
        <f t="shared" si="20"/>
        <v>0</v>
      </c>
      <c r="X179" s="487">
        <f t="shared" si="16"/>
        <v>0</v>
      </c>
    </row>
    <row r="180" spans="2:24" ht="15.6" hidden="1">
      <c r="B180" s="466" t="s">
        <v>975</v>
      </c>
      <c r="C180" s="462" t="s">
        <v>870</v>
      </c>
      <c r="D180" s="465" t="s">
        <v>951</v>
      </c>
      <c r="E180" s="465" t="s">
        <v>952</v>
      </c>
      <c r="F180" s="465" t="s">
        <v>871</v>
      </c>
      <c r="G180" s="467" t="s">
        <v>266</v>
      </c>
      <c r="H180" s="469" t="s">
        <v>147</v>
      </c>
      <c r="I180" s="424">
        <v>-150000</v>
      </c>
      <c r="J180" s="424">
        <v>-150000</v>
      </c>
      <c r="K180" s="454"/>
      <c r="L180" s="457"/>
      <c r="M180" s="458">
        <f t="shared" si="17"/>
        <v>-150000</v>
      </c>
      <c r="N180" s="478">
        <v>0</v>
      </c>
      <c r="O180" s="459">
        <f t="shared" si="18"/>
        <v>-150000</v>
      </c>
      <c r="P180" s="460" t="str">
        <f t="shared" si="19"/>
        <v/>
      </c>
      <c r="Q180" s="454"/>
      <c r="R180" s="456">
        <v>-150000</v>
      </c>
      <c r="S180" s="456">
        <v>0</v>
      </c>
      <c r="T180" s="456">
        <v>0</v>
      </c>
      <c r="U180" s="456">
        <v>0</v>
      </c>
      <c r="V180" s="456">
        <v>0</v>
      </c>
      <c r="W180" s="461">
        <f t="shared" si="20"/>
        <v>0</v>
      </c>
      <c r="X180" s="487">
        <f t="shared" si="16"/>
        <v>0</v>
      </c>
    </row>
    <row r="181" spans="2:24" ht="15.6" hidden="1">
      <c r="B181" s="466" t="s">
        <v>975</v>
      </c>
      <c r="C181" s="462" t="s">
        <v>870</v>
      </c>
      <c r="D181" s="465" t="s">
        <v>377</v>
      </c>
      <c r="E181" s="465" t="s">
        <v>376</v>
      </c>
      <c r="F181" s="465" t="s">
        <v>871</v>
      </c>
      <c r="G181" s="467" t="s">
        <v>266</v>
      </c>
      <c r="H181" s="469" t="s">
        <v>147</v>
      </c>
      <c r="I181" s="424">
        <v>-6924.78</v>
      </c>
      <c r="J181" s="424">
        <v>-6924.78</v>
      </c>
      <c r="K181" s="454"/>
      <c r="L181" s="457"/>
      <c r="M181" s="458">
        <f t="shared" si="17"/>
        <v>-6924.78</v>
      </c>
      <c r="N181" s="478">
        <v>-6924.78</v>
      </c>
      <c r="O181" s="459">
        <f t="shared" si="18"/>
        <v>0</v>
      </c>
      <c r="P181" s="460">
        <f t="shared" si="19"/>
        <v>0</v>
      </c>
      <c r="Q181" s="454"/>
      <c r="R181" s="456">
        <v>0</v>
      </c>
      <c r="S181" s="456">
        <v>0</v>
      </c>
      <c r="T181" s="456">
        <v>0</v>
      </c>
      <c r="U181" s="456">
        <v>0</v>
      </c>
      <c r="V181" s="456">
        <v>-6924.78</v>
      </c>
      <c r="W181" s="461">
        <f t="shared" si="20"/>
        <v>0</v>
      </c>
      <c r="X181" s="487">
        <f t="shared" si="16"/>
        <v>-6924.78</v>
      </c>
    </row>
    <row r="182" spans="2:24" ht="15.6" hidden="1">
      <c r="B182" s="466" t="s">
        <v>975</v>
      </c>
      <c r="C182" s="462" t="s">
        <v>870</v>
      </c>
      <c r="D182" s="465" t="s">
        <v>183</v>
      </c>
      <c r="E182" s="465" t="s">
        <v>182</v>
      </c>
      <c r="F182" s="465" t="s">
        <v>871</v>
      </c>
      <c r="G182" s="467" t="s">
        <v>266</v>
      </c>
      <c r="H182" s="469" t="s">
        <v>147</v>
      </c>
      <c r="I182" s="424">
        <v>-60000</v>
      </c>
      <c r="J182" s="424">
        <v>-60000</v>
      </c>
      <c r="K182" s="454"/>
      <c r="L182" s="457"/>
      <c r="M182" s="458">
        <f t="shared" si="17"/>
        <v>-60000</v>
      </c>
      <c r="N182" s="478">
        <v>-60000</v>
      </c>
      <c r="O182" s="459">
        <f t="shared" si="18"/>
        <v>0</v>
      </c>
      <c r="P182" s="460">
        <f t="shared" si="19"/>
        <v>0</v>
      </c>
      <c r="Q182" s="454"/>
      <c r="R182" s="456">
        <v>0</v>
      </c>
      <c r="S182" s="456">
        <v>0</v>
      </c>
      <c r="T182" s="456">
        <v>0</v>
      </c>
      <c r="U182" s="456">
        <v>0</v>
      </c>
      <c r="V182" s="456">
        <v>-60000</v>
      </c>
      <c r="W182" s="461">
        <f t="shared" si="20"/>
        <v>0</v>
      </c>
      <c r="X182" s="487">
        <f t="shared" si="16"/>
        <v>-60000</v>
      </c>
    </row>
    <row r="183" spans="2:24" ht="15.6" hidden="1">
      <c r="B183" s="466" t="s">
        <v>975</v>
      </c>
      <c r="C183" s="462" t="s">
        <v>870</v>
      </c>
      <c r="D183" s="465" t="s">
        <v>351</v>
      </c>
      <c r="E183" s="465" t="s">
        <v>350</v>
      </c>
      <c r="F183" s="465" t="s">
        <v>871</v>
      </c>
      <c r="G183" s="467" t="s">
        <v>266</v>
      </c>
      <c r="H183" s="469" t="s">
        <v>147</v>
      </c>
      <c r="I183" s="424">
        <v>0</v>
      </c>
      <c r="J183" s="424">
        <v>0</v>
      </c>
      <c r="K183" s="454"/>
      <c r="L183" s="457"/>
      <c r="M183" s="458">
        <f t="shared" si="17"/>
        <v>0</v>
      </c>
      <c r="N183" s="478">
        <v>-57281.55</v>
      </c>
      <c r="O183" s="459">
        <f t="shared" si="18"/>
        <v>57281.55</v>
      </c>
      <c r="P183" s="460">
        <f t="shared" si="19"/>
        <v>-1</v>
      </c>
      <c r="Q183" s="454"/>
      <c r="R183" s="456">
        <v>0</v>
      </c>
      <c r="S183" s="456">
        <v>0</v>
      </c>
      <c r="T183" s="456">
        <v>0</v>
      </c>
      <c r="U183" s="456">
        <v>0</v>
      </c>
      <c r="V183" s="456">
        <v>0</v>
      </c>
      <c r="W183" s="461">
        <f t="shared" si="20"/>
        <v>0</v>
      </c>
      <c r="X183" s="487">
        <f t="shared" si="16"/>
        <v>0</v>
      </c>
    </row>
    <row r="184" spans="2:24" ht="15.6" hidden="1">
      <c r="B184" s="466" t="s">
        <v>975</v>
      </c>
      <c r="C184" s="462" t="s">
        <v>870</v>
      </c>
      <c r="D184" s="465" t="s">
        <v>277</v>
      </c>
      <c r="E184" s="465" t="s">
        <v>276</v>
      </c>
      <c r="F184" s="465" t="s">
        <v>871</v>
      </c>
      <c r="G184" s="467" t="s">
        <v>266</v>
      </c>
      <c r="H184" s="469" t="s">
        <v>147</v>
      </c>
      <c r="I184" s="424">
        <v>-15094.34</v>
      </c>
      <c r="J184" s="424">
        <v>-15094.34</v>
      </c>
      <c r="K184" s="454"/>
      <c r="L184" s="457"/>
      <c r="M184" s="458">
        <f t="shared" si="17"/>
        <v>-15094.34</v>
      </c>
      <c r="N184" s="478">
        <v>-15094.34</v>
      </c>
      <c r="O184" s="459">
        <f t="shared" si="18"/>
        <v>0</v>
      </c>
      <c r="P184" s="460">
        <f t="shared" si="19"/>
        <v>0</v>
      </c>
      <c r="Q184" s="454"/>
      <c r="R184" s="456">
        <v>0</v>
      </c>
      <c r="S184" s="456">
        <v>0</v>
      </c>
      <c r="T184" s="456">
        <v>0</v>
      </c>
      <c r="U184" s="456">
        <v>0</v>
      </c>
      <c r="V184" s="456">
        <v>-15094.34</v>
      </c>
      <c r="W184" s="461">
        <f t="shared" si="20"/>
        <v>0</v>
      </c>
      <c r="X184" s="487">
        <f t="shared" si="16"/>
        <v>-15094.34</v>
      </c>
    </row>
    <row r="185" spans="2:24" ht="15.6" hidden="1">
      <c r="B185" s="466" t="s">
        <v>975</v>
      </c>
      <c r="C185" s="462" t="s">
        <v>870</v>
      </c>
      <c r="D185" s="465" t="s">
        <v>469</v>
      </c>
      <c r="E185" s="465" t="s">
        <v>468</v>
      </c>
      <c r="F185" s="465" t="s">
        <v>871</v>
      </c>
      <c r="G185" s="467" t="s">
        <v>266</v>
      </c>
      <c r="H185" s="469" t="s">
        <v>147</v>
      </c>
      <c r="I185" s="424">
        <v>-50200.94</v>
      </c>
      <c r="J185" s="424">
        <v>-50200.94</v>
      </c>
      <c r="K185" s="454"/>
      <c r="L185" s="457"/>
      <c r="M185" s="458">
        <f t="shared" si="17"/>
        <v>-50200.94</v>
      </c>
      <c r="N185" s="478">
        <v>-69619.759999999995</v>
      </c>
      <c r="O185" s="459">
        <f t="shared" si="18"/>
        <v>19418.819999999992</v>
      </c>
      <c r="P185" s="460">
        <f t="shared" si="19"/>
        <v>-0.27892684490725039</v>
      </c>
      <c r="Q185" s="454"/>
      <c r="R185" s="456">
        <v>0</v>
      </c>
      <c r="S185" s="456">
        <v>0</v>
      </c>
      <c r="T185" s="456">
        <v>-50200.94</v>
      </c>
      <c r="U185" s="456">
        <v>0</v>
      </c>
      <c r="V185" s="456">
        <v>0</v>
      </c>
      <c r="W185" s="461">
        <f t="shared" si="20"/>
        <v>0</v>
      </c>
      <c r="X185" s="487">
        <f t="shared" si="16"/>
        <v>-50200.94</v>
      </c>
    </row>
    <row r="186" spans="2:24" ht="15.6" hidden="1">
      <c r="B186" s="466" t="s">
        <v>975</v>
      </c>
      <c r="C186" s="462" t="s">
        <v>870</v>
      </c>
      <c r="D186" s="465" t="s">
        <v>321</v>
      </c>
      <c r="E186" s="465" t="s">
        <v>320</v>
      </c>
      <c r="F186" s="465" t="s">
        <v>871</v>
      </c>
      <c r="G186" s="467" t="s">
        <v>266</v>
      </c>
      <c r="H186" s="469" t="s">
        <v>147</v>
      </c>
      <c r="I186" s="424">
        <v>0</v>
      </c>
      <c r="J186" s="424">
        <v>0</v>
      </c>
      <c r="K186" s="454"/>
      <c r="L186" s="457"/>
      <c r="M186" s="458">
        <f t="shared" si="17"/>
        <v>0</v>
      </c>
      <c r="N186" s="478">
        <v>-86588.35</v>
      </c>
      <c r="O186" s="459">
        <f t="shared" si="18"/>
        <v>86588.35</v>
      </c>
      <c r="P186" s="460">
        <f t="shared" si="19"/>
        <v>-1</v>
      </c>
      <c r="Q186" s="454"/>
      <c r="R186" s="456">
        <v>0</v>
      </c>
      <c r="S186" s="456">
        <v>0</v>
      </c>
      <c r="T186" s="456">
        <v>0</v>
      </c>
      <c r="U186" s="456">
        <v>0</v>
      </c>
      <c r="V186" s="456">
        <v>0</v>
      </c>
      <c r="W186" s="461">
        <f t="shared" si="20"/>
        <v>0</v>
      </c>
      <c r="X186" s="487">
        <f t="shared" si="16"/>
        <v>0</v>
      </c>
    </row>
    <row r="187" spans="2:24" ht="15.6" hidden="1">
      <c r="B187" s="466" t="s">
        <v>975</v>
      </c>
      <c r="C187" s="462" t="s">
        <v>870</v>
      </c>
      <c r="D187" s="465" t="s">
        <v>523</v>
      </c>
      <c r="E187" s="465" t="s">
        <v>522</v>
      </c>
      <c r="F187" s="465" t="s">
        <v>871</v>
      </c>
      <c r="G187" s="467" t="s">
        <v>266</v>
      </c>
      <c r="H187" s="469" t="s">
        <v>147</v>
      </c>
      <c r="I187" s="424">
        <v>0</v>
      </c>
      <c r="J187" s="424">
        <v>0</v>
      </c>
      <c r="K187" s="454"/>
      <c r="L187" s="457"/>
      <c r="M187" s="458">
        <f t="shared" si="17"/>
        <v>0</v>
      </c>
      <c r="N187" s="478">
        <v>-816740</v>
      </c>
      <c r="O187" s="459">
        <f t="shared" si="18"/>
        <v>816740</v>
      </c>
      <c r="P187" s="460">
        <f t="shared" si="19"/>
        <v>-1</v>
      </c>
      <c r="Q187" s="454"/>
      <c r="R187" s="456">
        <v>0</v>
      </c>
      <c r="S187" s="456">
        <v>0</v>
      </c>
      <c r="T187" s="456">
        <v>0</v>
      </c>
      <c r="U187" s="456">
        <v>0</v>
      </c>
      <c r="V187" s="456">
        <v>0</v>
      </c>
      <c r="W187" s="461">
        <f t="shared" si="20"/>
        <v>0</v>
      </c>
      <c r="X187" s="487">
        <f t="shared" si="16"/>
        <v>0</v>
      </c>
    </row>
    <row r="188" spans="2:24" ht="15.6" hidden="1">
      <c r="B188" s="466" t="s">
        <v>975</v>
      </c>
      <c r="C188" s="462" t="s">
        <v>870</v>
      </c>
      <c r="D188" s="465" t="s">
        <v>457</v>
      </c>
      <c r="E188" s="465" t="s">
        <v>456</v>
      </c>
      <c r="F188" s="465" t="s">
        <v>871</v>
      </c>
      <c r="G188" s="467" t="s">
        <v>266</v>
      </c>
      <c r="H188" s="469" t="s">
        <v>147</v>
      </c>
      <c r="I188" s="424">
        <v>0</v>
      </c>
      <c r="J188" s="424">
        <v>0</v>
      </c>
      <c r="K188" s="454"/>
      <c r="L188" s="457"/>
      <c r="M188" s="458">
        <f t="shared" si="17"/>
        <v>0</v>
      </c>
      <c r="N188" s="478">
        <v>-24515.08</v>
      </c>
      <c r="O188" s="459">
        <f t="shared" si="18"/>
        <v>24515.08</v>
      </c>
      <c r="P188" s="460">
        <f t="shared" si="19"/>
        <v>-1</v>
      </c>
      <c r="Q188" s="454"/>
      <c r="R188" s="456">
        <v>0</v>
      </c>
      <c r="S188" s="456">
        <v>0</v>
      </c>
      <c r="T188" s="456">
        <v>0</v>
      </c>
      <c r="U188" s="456">
        <v>0</v>
      </c>
      <c r="V188" s="456">
        <v>0</v>
      </c>
      <c r="W188" s="461">
        <f t="shared" si="20"/>
        <v>0</v>
      </c>
      <c r="X188" s="487">
        <f t="shared" si="16"/>
        <v>0</v>
      </c>
    </row>
    <row r="189" spans="2:24" ht="15.6" hidden="1">
      <c r="B189" s="466" t="s">
        <v>975</v>
      </c>
      <c r="C189" s="462" t="s">
        <v>870</v>
      </c>
      <c r="D189" s="465" t="s">
        <v>225</v>
      </c>
      <c r="E189" s="465" t="s">
        <v>224</v>
      </c>
      <c r="F189" s="465" t="s">
        <v>871</v>
      </c>
      <c r="G189" s="467" t="s">
        <v>266</v>
      </c>
      <c r="H189" s="469" t="s">
        <v>147</v>
      </c>
      <c r="I189" s="424">
        <v>-34766.019999999997</v>
      </c>
      <c r="J189" s="424">
        <v>-34766.019999999997</v>
      </c>
      <c r="K189" s="454"/>
      <c r="L189" s="457"/>
      <c r="M189" s="458">
        <f t="shared" si="17"/>
        <v>-34766.019999999997</v>
      </c>
      <c r="N189" s="478">
        <v>-41927.32</v>
      </c>
      <c r="O189" s="459">
        <f t="shared" si="18"/>
        <v>7161.3000000000029</v>
      </c>
      <c r="P189" s="460">
        <f t="shared" si="19"/>
        <v>-0.17080271288505927</v>
      </c>
      <c r="Q189" s="454"/>
      <c r="R189" s="456">
        <v>0</v>
      </c>
      <c r="S189" s="456">
        <v>0</v>
      </c>
      <c r="T189" s="456">
        <v>0</v>
      </c>
      <c r="U189" s="456">
        <v>-34766.019999999997</v>
      </c>
      <c r="V189" s="456">
        <v>0</v>
      </c>
      <c r="W189" s="461">
        <f t="shared" si="20"/>
        <v>0</v>
      </c>
      <c r="X189" s="487">
        <f t="shared" si="16"/>
        <v>-34766.019999999997</v>
      </c>
    </row>
    <row r="190" spans="2:24" ht="15.6" hidden="1">
      <c r="B190" s="466" t="s">
        <v>975</v>
      </c>
      <c r="C190" s="462" t="s">
        <v>870</v>
      </c>
      <c r="D190" s="465" t="s">
        <v>441</v>
      </c>
      <c r="E190" s="465" t="s">
        <v>440</v>
      </c>
      <c r="F190" s="465" t="s">
        <v>871</v>
      </c>
      <c r="G190" s="467" t="s">
        <v>266</v>
      </c>
      <c r="H190" s="469" t="s">
        <v>147</v>
      </c>
      <c r="I190" s="424">
        <v>0</v>
      </c>
      <c r="J190" s="424">
        <v>0</v>
      </c>
      <c r="K190" s="454"/>
      <c r="L190" s="457"/>
      <c r="M190" s="458">
        <f t="shared" si="17"/>
        <v>0</v>
      </c>
      <c r="N190" s="478">
        <v>-15867.33</v>
      </c>
      <c r="O190" s="459">
        <f t="shared" si="18"/>
        <v>15867.33</v>
      </c>
      <c r="P190" s="460">
        <f t="shared" si="19"/>
        <v>-1</v>
      </c>
      <c r="Q190" s="454"/>
      <c r="R190" s="456">
        <v>0</v>
      </c>
      <c r="S190" s="456">
        <v>0</v>
      </c>
      <c r="T190" s="456">
        <v>0</v>
      </c>
      <c r="U190" s="456">
        <v>0</v>
      </c>
      <c r="V190" s="456">
        <v>0</v>
      </c>
      <c r="W190" s="461">
        <f t="shared" si="20"/>
        <v>0</v>
      </c>
      <c r="X190" s="487">
        <f t="shared" si="16"/>
        <v>0</v>
      </c>
    </row>
    <row r="191" spans="2:24" ht="15.6" hidden="1">
      <c r="B191" s="466" t="s">
        <v>975</v>
      </c>
      <c r="C191" s="462" t="s">
        <v>870</v>
      </c>
      <c r="D191" s="465" t="s">
        <v>953</v>
      </c>
      <c r="E191" s="465" t="s">
        <v>954</v>
      </c>
      <c r="F191" s="465" t="s">
        <v>871</v>
      </c>
      <c r="G191" s="467" t="s">
        <v>266</v>
      </c>
      <c r="H191" s="469" t="s">
        <v>147</v>
      </c>
      <c r="I191" s="424">
        <v>-109826</v>
      </c>
      <c r="J191" s="424">
        <v>-109826</v>
      </c>
      <c r="K191" s="454"/>
      <c r="L191" s="457"/>
      <c r="M191" s="458">
        <f t="shared" si="17"/>
        <v>-109826</v>
      </c>
      <c r="N191" s="478">
        <v>0</v>
      </c>
      <c r="O191" s="459">
        <f t="shared" si="18"/>
        <v>-109826</v>
      </c>
      <c r="P191" s="460" t="str">
        <f t="shared" si="19"/>
        <v/>
      </c>
      <c r="Q191" s="454"/>
      <c r="R191" s="456">
        <v>-109826</v>
      </c>
      <c r="S191" s="456">
        <v>0</v>
      </c>
      <c r="T191" s="456">
        <v>0</v>
      </c>
      <c r="U191" s="456">
        <v>0</v>
      </c>
      <c r="V191" s="456">
        <v>0</v>
      </c>
      <c r="W191" s="461">
        <f t="shared" si="20"/>
        <v>0</v>
      </c>
      <c r="X191" s="487">
        <f t="shared" si="16"/>
        <v>0</v>
      </c>
    </row>
    <row r="192" spans="2:24" ht="15.6" hidden="1">
      <c r="B192" s="466" t="s">
        <v>975</v>
      </c>
      <c r="C192" s="462" t="s">
        <v>870</v>
      </c>
      <c r="D192" s="465" t="s">
        <v>283</v>
      </c>
      <c r="E192" s="465" t="s">
        <v>282</v>
      </c>
      <c r="F192" s="465" t="s">
        <v>871</v>
      </c>
      <c r="G192" s="467" t="s">
        <v>266</v>
      </c>
      <c r="H192" s="469" t="s">
        <v>147</v>
      </c>
      <c r="I192" s="424">
        <v>-29240</v>
      </c>
      <c r="J192" s="424">
        <v>-29240</v>
      </c>
      <c r="K192" s="454"/>
      <c r="L192" s="457"/>
      <c r="M192" s="458">
        <f t="shared" si="17"/>
        <v>-29240</v>
      </c>
      <c r="N192" s="478">
        <v>-29240</v>
      </c>
      <c r="O192" s="459">
        <f t="shared" si="18"/>
        <v>0</v>
      </c>
      <c r="P192" s="460">
        <f t="shared" si="19"/>
        <v>0</v>
      </c>
      <c r="Q192" s="454"/>
      <c r="R192" s="456">
        <v>0</v>
      </c>
      <c r="S192" s="456">
        <v>0</v>
      </c>
      <c r="T192" s="456">
        <v>0</v>
      </c>
      <c r="U192" s="456">
        <v>-29240</v>
      </c>
      <c r="V192" s="456">
        <v>0</v>
      </c>
      <c r="W192" s="461">
        <f t="shared" si="20"/>
        <v>0</v>
      </c>
      <c r="X192" s="487">
        <f t="shared" si="16"/>
        <v>-29240</v>
      </c>
    </row>
    <row r="193" spans="2:24" ht="15.6" hidden="1">
      <c r="B193" s="466" t="s">
        <v>975</v>
      </c>
      <c r="C193" s="462" t="s">
        <v>870</v>
      </c>
      <c r="D193" s="465" t="s">
        <v>955</v>
      </c>
      <c r="E193" s="465" t="s">
        <v>956</v>
      </c>
      <c r="F193" s="465" t="s">
        <v>871</v>
      </c>
      <c r="G193" s="467" t="s">
        <v>266</v>
      </c>
      <c r="H193" s="469" t="s">
        <v>147</v>
      </c>
      <c r="I193" s="424">
        <v>-48676.5</v>
      </c>
      <c r="J193" s="424">
        <v>-48676.5</v>
      </c>
      <c r="K193" s="454"/>
      <c r="L193" s="457"/>
      <c r="M193" s="458">
        <f t="shared" si="17"/>
        <v>-48676.5</v>
      </c>
      <c r="N193" s="478">
        <v>0</v>
      </c>
      <c r="O193" s="459">
        <f t="shared" si="18"/>
        <v>-48676.5</v>
      </c>
      <c r="P193" s="460" t="str">
        <f t="shared" si="19"/>
        <v/>
      </c>
      <c r="Q193" s="454"/>
      <c r="R193" s="456">
        <v>-48676.5</v>
      </c>
      <c r="S193" s="456">
        <v>0</v>
      </c>
      <c r="T193" s="456">
        <v>0</v>
      </c>
      <c r="U193" s="456">
        <v>0</v>
      </c>
      <c r="V193" s="456">
        <v>0</v>
      </c>
      <c r="W193" s="461">
        <f t="shared" si="20"/>
        <v>0</v>
      </c>
      <c r="X193" s="487">
        <f t="shared" si="16"/>
        <v>0</v>
      </c>
    </row>
    <row r="194" spans="2:24" ht="15.6" hidden="1">
      <c r="B194" s="466" t="s">
        <v>975</v>
      </c>
      <c r="C194" s="462" t="s">
        <v>870</v>
      </c>
      <c r="D194" s="465" t="s">
        <v>317</v>
      </c>
      <c r="E194" s="465" t="s">
        <v>316</v>
      </c>
      <c r="F194" s="465" t="s">
        <v>871</v>
      </c>
      <c r="G194" s="467" t="s">
        <v>266</v>
      </c>
      <c r="H194" s="469" t="s">
        <v>147</v>
      </c>
      <c r="I194" s="424">
        <v>-27522.94</v>
      </c>
      <c r="J194" s="424">
        <v>-27522.94</v>
      </c>
      <c r="K194" s="454"/>
      <c r="L194" s="457"/>
      <c r="M194" s="458">
        <f t="shared" si="17"/>
        <v>-27522.94</v>
      </c>
      <c r="N194" s="478">
        <v>-27522.94</v>
      </c>
      <c r="O194" s="459">
        <f t="shared" si="18"/>
        <v>0</v>
      </c>
      <c r="P194" s="460">
        <f t="shared" si="19"/>
        <v>0</v>
      </c>
      <c r="Q194" s="454"/>
      <c r="R194" s="456">
        <v>0</v>
      </c>
      <c r="S194" s="456">
        <v>0</v>
      </c>
      <c r="T194" s="456">
        <v>0</v>
      </c>
      <c r="U194" s="456">
        <v>0</v>
      </c>
      <c r="V194" s="456">
        <v>-27522.94</v>
      </c>
      <c r="W194" s="461">
        <f t="shared" si="20"/>
        <v>0</v>
      </c>
      <c r="X194" s="487">
        <f t="shared" si="16"/>
        <v>-27522.94</v>
      </c>
    </row>
    <row r="195" spans="2:24" ht="15.6" hidden="1">
      <c r="B195" s="466" t="s">
        <v>975</v>
      </c>
      <c r="C195" s="462" t="s">
        <v>870</v>
      </c>
      <c r="D195" s="465" t="s">
        <v>397</v>
      </c>
      <c r="E195" s="465" t="s">
        <v>396</v>
      </c>
      <c r="F195" s="465" t="s">
        <v>871</v>
      </c>
      <c r="G195" s="467" t="s">
        <v>266</v>
      </c>
      <c r="H195" s="469" t="s">
        <v>147</v>
      </c>
      <c r="I195" s="424">
        <v>0</v>
      </c>
      <c r="J195" s="424">
        <v>0</v>
      </c>
      <c r="K195" s="454"/>
      <c r="L195" s="457"/>
      <c r="M195" s="458">
        <f t="shared" si="17"/>
        <v>0</v>
      </c>
      <c r="N195" s="478">
        <v>-5533</v>
      </c>
      <c r="O195" s="459">
        <f t="shared" si="18"/>
        <v>5533</v>
      </c>
      <c r="P195" s="460">
        <f t="shared" si="19"/>
        <v>-1</v>
      </c>
      <c r="Q195" s="454"/>
      <c r="R195" s="456">
        <v>0</v>
      </c>
      <c r="S195" s="456">
        <v>0</v>
      </c>
      <c r="T195" s="456">
        <v>0</v>
      </c>
      <c r="U195" s="456">
        <v>0</v>
      </c>
      <c r="V195" s="456">
        <v>0</v>
      </c>
      <c r="W195" s="461">
        <f t="shared" si="20"/>
        <v>0</v>
      </c>
      <c r="X195" s="487">
        <f t="shared" si="16"/>
        <v>0</v>
      </c>
    </row>
    <row r="196" spans="2:24" ht="15.6" hidden="1">
      <c r="B196" s="466" t="s">
        <v>975</v>
      </c>
      <c r="C196" s="462" t="s">
        <v>870</v>
      </c>
      <c r="D196" s="465" t="s">
        <v>509</v>
      </c>
      <c r="E196" s="465" t="s">
        <v>508</v>
      </c>
      <c r="F196" s="465" t="s">
        <v>871</v>
      </c>
      <c r="G196" s="467" t="s">
        <v>266</v>
      </c>
      <c r="H196" s="469" t="s">
        <v>147</v>
      </c>
      <c r="I196" s="424">
        <v>-125000</v>
      </c>
      <c r="J196" s="424">
        <v>-125000</v>
      </c>
      <c r="K196" s="454"/>
      <c r="L196" s="457"/>
      <c r="M196" s="458">
        <f t="shared" si="17"/>
        <v>-125000</v>
      </c>
      <c r="N196" s="478">
        <v>-50495.05</v>
      </c>
      <c r="O196" s="459">
        <f t="shared" si="18"/>
        <v>-74504.95</v>
      </c>
      <c r="P196" s="460">
        <f t="shared" si="19"/>
        <v>1.4754901718089197</v>
      </c>
      <c r="Q196" s="454"/>
      <c r="R196" s="456">
        <v>-125000</v>
      </c>
      <c r="S196" s="456">
        <v>0</v>
      </c>
      <c r="T196" s="456">
        <v>0</v>
      </c>
      <c r="U196" s="456">
        <v>0</v>
      </c>
      <c r="V196" s="456">
        <v>0</v>
      </c>
      <c r="W196" s="461">
        <f t="shared" si="20"/>
        <v>0</v>
      </c>
      <c r="X196" s="487">
        <f t="shared" si="16"/>
        <v>0</v>
      </c>
    </row>
    <row r="197" spans="2:24" ht="15.6" hidden="1">
      <c r="B197" s="466" t="s">
        <v>975</v>
      </c>
      <c r="C197" s="462" t="s">
        <v>870</v>
      </c>
      <c r="D197" s="465" t="s">
        <v>357</v>
      </c>
      <c r="E197" s="465" t="s">
        <v>356</v>
      </c>
      <c r="F197" s="465" t="s">
        <v>871</v>
      </c>
      <c r="G197" s="467" t="s">
        <v>266</v>
      </c>
      <c r="H197" s="469" t="s">
        <v>147</v>
      </c>
      <c r="I197" s="424">
        <v>-16407.77</v>
      </c>
      <c r="J197" s="424">
        <v>-16407.77</v>
      </c>
      <c r="K197" s="454"/>
      <c r="L197" s="457"/>
      <c r="M197" s="458">
        <f t="shared" si="17"/>
        <v>-16407.77</v>
      </c>
      <c r="N197" s="478">
        <v>-16407.77</v>
      </c>
      <c r="O197" s="459">
        <f t="shared" si="18"/>
        <v>0</v>
      </c>
      <c r="P197" s="460">
        <f t="shared" si="19"/>
        <v>0</v>
      </c>
      <c r="Q197" s="454"/>
      <c r="R197" s="456">
        <v>0</v>
      </c>
      <c r="S197" s="456">
        <v>0</v>
      </c>
      <c r="T197" s="456">
        <v>0</v>
      </c>
      <c r="U197" s="456">
        <v>0</v>
      </c>
      <c r="V197" s="456">
        <v>-16407.77</v>
      </c>
      <c r="W197" s="461">
        <f t="shared" si="20"/>
        <v>0</v>
      </c>
      <c r="X197" s="487">
        <f t="shared" si="16"/>
        <v>-16407.77</v>
      </c>
    </row>
    <row r="198" spans="2:24" ht="15.6" hidden="1">
      <c r="B198" s="466" t="s">
        <v>975</v>
      </c>
      <c r="C198" s="462" t="s">
        <v>870</v>
      </c>
      <c r="D198" s="465" t="s">
        <v>327</v>
      </c>
      <c r="E198" s="465" t="s">
        <v>326</v>
      </c>
      <c r="F198" s="465" t="s">
        <v>871</v>
      </c>
      <c r="G198" s="467" t="s">
        <v>266</v>
      </c>
      <c r="H198" s="469" t="s">
        <v>147</v>
      </c>
      <c r="I198" s="424">
        <v>0</v>
      </c>
      <c r="J198" s="424">
        <v>0</v>
      </c>
      <c r="K198" s="454"/>
      <c r="L198" s="457"/>
      <c r="M198" s="458">
        <f t="shared" si="17"/>
        <v>0</v>
      </c>
      <c r="N198" s="478">
        <v>-138857.94</v>
      </c>
      <c r="O198" s="459">
        <f t="shared" si="18"/>
        <v>138857.94</v>
      </c>
      <c r="P198" s="460">
        <f t="shared" si="19"/>
        <v>-1</v>
      </c>
      <c r="Q198" s="454"/>
      <c r="R198" s="456">
        <v>0</v>
      </c>
      <c r="S198" s="456">
        <v>0</v>
      </c>
      <c r="T198" s="456">
        <v>0</v>
      </c>
      <c r="U198" s="456">
        <v>0</v>
      </c>
      <c r="V198" s="456">
        <v>0</v>
      </c>
      <c r="W198" s="461">
        <f t="shared" si="20"/>
        <v>0</v>
      </c>
      <c r="X198" s="487">
        <f t="shared" si="16"/>
        <v>0</v>
      </c>
    </row>
    <row r="199" spans="2:24" ht="15.6">
      <c r="B199" s="466" t="s">
        <v>975</v>
      </c>
      <c r="C199" s="462" t="s">
        <v>870</v>
      </c>
      <c r="D199" s="465" t="s">
        <v>333</v>
      </c>
      <c r="E199" s="465" t="s">
        <v>332</v>
      </c>
      <c r="F199" s="465" t="s">
        <v>871</v>
      </c>
      <c r="G199" s="467" t="s">
        <v>266</v>
      </c>
      <c r="H199" s="469" t="s">
        <v>147</v>
      </c>
      <c r="I199" s="424">
        <v>0</v>
      </c>
      <c r="J199" s="424">
        <v>0</v>
      </c>
      <c r="K199" s="454"/>
      <c r="L199" s="457"/>
      <c r="M199" s="458">
        <f t="shared" si="17"/>
        <v>0</v>
      </c>
      <c r="N199" s="478">
        <v>-1220943.3999999999</v>
      </c>
      <c r="O199" s="459">
        <f t="shared" si="18"/>
        <v>1220943.3999999999</v>
      </c>
      <c r="P199" s="460">
        <f t="shared" si="19"/>
        <v>-1</v>
      </c>
      <c r="Q199" s="454" t="s">
        <v>996</v>
      </c>
      <c r="R199" s="456">
        <v>0</v>
      </c>
      <c r="S199" s="456">
        <v>0</v>
      </c>
      <c r="T199" s="456">
        <v>0</v>
      </c>
      <c r="U199" s="456">
        <v>0</v>
      </c>
      <c r="V199" s="456">
        <v>0</v>
      </c>
      <c r="W199" s="461">
        <f t="shared" si="20"/>
        <v>0</v>
      </c>
      <c r="X199" s="487">
        <f t="shared" si="16"/>
        <v>0</v>
      </c>
    </row>
    <row r="200" spans="2:24" ht="15.6" hidden="1">
      <c r="B200" s="466" t="s">
        <v>975</v>
      </c>
      <c r="C200" s="462" t="s">
        <v>870</v>
      </c>
      <c r="D200" s="465" t="s">
        <v>957</v>
      </c>
      <c r="E200" s="465" t="s">
        <v>958</v>
      </c>
      <c r="F200" s="465" t="s">
        <v>871</v>
      </c>
      <c r="G200" s="467" t="s">
        <v>266</v>
      </c>
      <c r="H200" s="469" t="s">
        <v>147</v>
      </c>
      <c r="I200" s="424">
        <v>-251622.77</v>
      </c>
      <c r="J200" s="424">
        <v>-251622.77</v>
      </c>
      <c r="K200" s="454"/>
      <c r="L200" s="457"/>
      <c r="M200" s="458">
        <f t="shared" si="17"/>
        <v>-251622.77</v>
      </c>
      <c r="N200" s="478">
        <v>0</v>
      </c>
      <c r="O200" s="459">
        <f t="shared" si="18"/>
        <v>-251622.77</v>
      </c>
      <c r="P200" s="460" t="str">
        <f t="shared" si="19"/>
        <v/>
      </c>
      <c r="Q200" s="454"/>
      <c r="R200" s="456">
        <v>-251622.77</v>
      </c>
      <c r="S200" s="456">
        <v>0</v>
      </c>
      <c r="T200" s="456">
        <v>0</v>
      </c>
      <c r="U200" s="456">
        <v>0</v>
      </c>
      <c r="V200" s="456">
        <v>0</v>
      </c>
      <c r="W200" s="461">
        <f t="shared" si="20"/>
        <v>0</v>
      </c>
      <c r="X200" s="487">
        <f t="shared" ref="X200:X220" si="21">T200+U200+V200</f>
        <v>0</v>
      </c>
    </row>
    <row r="201" spans="2:24" ht="15.6" hidden="1">
      <c r="B201" s="466" t="s">
        <v>975</v>
      </c>
      <c r="C201" s="462" t="s">
        <v>870</v>
      </c>
      <c r="D201" s="465" t="s">
        <v>239</v>
      </c>
      <c r="E201" s="465" t="s">
        <v>238</v>
      </c>
      <c r="F201" s="465" t="s">
        <v>871</v>
      </c>
      <c r="G201" s="467" t="s">
        <v>266</v>
      </c>
      <c r="H201" s="469" t="s">
        <v>147</v>
      </c>
      <c r="I201" s="424">
        <v>-184905.66</v>
      </c>
      <c r="J201" s="424">
        <v>-184905.66</v>
      </c>
      <c r="K201" s="454"/>
      <c r="L201" s="457"/>
      <c r="M201" s="458">
        <f t="shared" si="17"/>
        <v>-184905.66</v>
      </c>
      <c r="N201" s="478">
        <v>-184905.66</v>
      </c>
      <c r="O201" s="459">
        <f t="shared" si="18"/>
        <v>0</v>
      </c>
      <c r="P201" s="460">
        <f t="shared" si="19"/>
        <v>0</v>
      </c>
      <c r="Q201" s="454"/>
      <c r="R201" s="456">
        <v>-92452.83</v>
      </c>
      <c r="S201" s="456">
        <v>0</v>
      </c>
      <c r="T201" s="456">
        <v>0</v>
      </c>
      <c r="U201" s="456">
        <v>-92452.83</v>
      </c>
      <c r="V201" s="456">
        <v>0</v>
      </c>
      <c r="W201" s="461">
        <f t="shared" si="20"/>
        <v>0</v>
      </c>
      <c r="X201" s="487">
        <f t="shared" si="21"/>
        <v>-92452.83</v>
      </c>
    </row>
    <row r="202" spans="2:24" ht="15.6">
      <c r="B202" s="466" t="s">
        <v>975</v>
      </c>
      <c r="C202" s="462" t="s">
        <v>870</v>
      </c>
      <c r="D202" s="465" t="s">
        <v>503</v>
      </c>
      <c r="E202" s="465" t="s">
        <v>502</v>
      </c>
      <c r="F202" s="465" t="s">
        <v>871</v>
      </c>
      <c r="G202" s="467" t="s">
        <v>266</v>
      </c>
      <c r="H202" s="469" t="s">
        <v>147</v>
      </c>
      <c r="I202" s="424">
        <v>-1477909.15</v>
      </c>
      <c r="J202" s="424">
        <v>-1477909.15</v>
      </c>
      <c r="K202" s="454"/>
      <c r="L202" s="457"/>
      <c r="M202" s="458">
        <f t="shared" si="17"/>
        <v>-1477909.15</v>
      </c>
      <c r="N202" s="478">
        <v>-188679.24</v>
      </c>
      <c r="O202" s="459">
        <f t="shared" si="18"/>
        <v>-1289229.9099999999</v>
      </c>
      <c r="P202" s="460">
        <f t="shared" si="19"/>
        <v>6.8329187143217238</v>
      </c>
      <c r="Q202" s="454" t="s">
        <v>997</v>
      </c>
      <c r="R202" s="456">
        <v>0</v>
      </c>
      <c r="S202" s="456">
        <v>-1477909.15</v>
      </c>
      <c r="T202" s="456">
        <v>0</v>
      </c>
      <c r="U202" s="456">
        <v>0</v>
      </c>
      <c r="V202" s="456">
        <v>0</v>
      </c>
      <c r="W202" s="461">
        <f t="shared" si="20"/>
        <v>0</v>
      </c>
      <c r="X202" s="487">
        <f t="shared" si="21"/>
        <v>0</v>
      </c>
    </row>
    <row r="203" spans="2:24" ht="15.6" hidden="1">
      <c r="B203" s="466" t="s">
        <v>975</v>
      </c>
      <c r="C203" s="462" t="s">
        <v>870</v>
      </c>
      <c r="D203" s="465" t="s">
        <v>164</v>
      </c>
      <c r="E203" s="465" t="s">
        <v>163</v>
      </c>
      <c r="F203" s="465" t="s">
        <v>871</v>
      </c>
      <c r="G203" s="467" t="s">
        <v>266</v>
      </c>
      <c r="H203" s="469" t="s">
        <v>147</v>
      </c>
      <c r="I203" s="424">
        <v>-24466.02</v>
      </c>
      <c r="J203" s="424">
        <v>-24466.02</v>
      </c>
      <c r="K203" s="454"/>
      <c r="L203" s="457"/>
      <c r="M203" s="458">
        <f t="shared" ref="M203:M220" si="22">J203+L203</f>
        <v>-24466.02</v>
      </c>
      <c r="N203" s="478">
        <v>-24466.02</v>
      </c>
      <c r="O203" s="459">
        <f t="shared" ref="O203:O220" si="23">M203-N203</f>
        <v>0</v>
      </c>
      <c r="P203" s="460">
        <f t="shared" ref="P203:P220" si="24">IF(N203&lt;&gt;0,O203/N203,"")</f>
        <v>0</v>
      </c>
      <c r="Q203" s="454"/>
      <c r="R203" s="456">
        <v>0</v>
      </c>
      <c r="S203" s="456">
        <v>0</v>
      </c>
      <c r="T203" s="456">
        <v>0</v>
      </c>
      <c r="U203" s="456">
        <v>0</v>
      </c>
      <c r="V203" s="456">
        <v>-24466.02</v>
      </c>
      <c r="W203" s="461">
        <f t="shared" ref="W203:W220" si="25">SUM(R203:V203)-M203</f>
        <v>0</v>
      </c>
      <c r="X203" s="487">
        <f t="shared" si="21"/>
        <v>-24466.02</v>
      </c>
    </row>
    <row r="204" spans="2:24" ht="15.6" hidden="1">
      <c r="B204" s="466" t="s">
        <v>975</v>
      </c>
      <c r="C204" s="462" t="s">
        <v>870</v>
      </c>
      <c r="D204" s="465" t="s">
        <v>959</v>
      </c>
      <c r="E204" s="465" t="s">
        <v>960</v>
      </c>
      <c r="F204" s="465" t="s">
        <v>871</v>
      </c>
      <c r="G204" s="467" t="s">
        <v>266</v>
      </c>
      <c r="H204" s="469" t="s">
        <v>147</v>
      </c>
      <c r="I204" s="424">
        <v>-69465.539999999994</v>
      </c>
      <c r="J204" s="424">
        <v>-69465.539999999994</v>
      </c>
      <c r="K204" s="454"/>
      <c r="L204" s="457"/>
      <c r="M204" s="458">
        <f t="shared" si="22"/>
        <v>-69465.539999999994</v>
      </c>
      <c r="N204" s="478">
        <v>0</v>
      </c>
      <c r="O204" s="459">
        <f t="shared" si="23"/>
        <v>-69465.539999999994</v>
      </c>
      <c r="P204" s="460" t="str">
        <f t="shared" si="24"/>
        <v/>
      </c>
      <c r="Q204" s="454"/>
      <c r="R204" s="456">
        <v>-69465.539999999994</v>
      </c>
      <c r="S204" s="456">
        <v>0</v>
      </c>
      <c r="T204" s="456">
        <v>0</v>
      </c>
      <c r="U204" s="456">
        <v>0</v>
      </c>
      <c r="V204" s="456">
        <v>0</v>
      </c>
      <c r="W204" s="461">
        <f t="shared" si="25"/>
        <v>0</v>
      </c>
      <c r="X204" s="487">
        <f t="shared" si="21"/>
        <v>0</v>
      </c>
    </row>
    <row r="205" spans="2:24" ht="15.6" hidden="1">
      <c r="B205" s="466" t="s">
        <v>975</v>
      </c>
      <c r="C205" s="462" t="s">
        <v>870</v>
      </c>
      <c r="D205" s="465" t="s">
        <v>961</v>
      </c>
      <c r="E205" s="465" t="s">
        <v>962</v>
      </c>
      <c r="F205" s="465" t="s">
        <v>871</v>
      </c>
      <c r="G205" s="467" t="s">
        <v>266</v>
      </c>
      <c r="H205" s="469" t="s">
        <v>147</v>
      </c>
      <c r="I205" s="424">
        <v>-259750</v>
      </c>
      <c r="J205" s="424">
        <v>-259750</v>
      </c>
      <c r="K205" s="454"/>
      <c r="L205" s="457"/>
      <c r="M205" s="458">
        <f t="shared" si="22"/>
        <v>-259750</v>
      </c>
      <c r="N205" s="478">
        <v>0</v>
      </c>
      <c r="O205" s="459">
        <f t="shared" si="23"/>
        <v>-259750</v>
      </c>
      <c r="P205" s="460" t="str">
        <f t="shared" si="24"/>
        <v/>
      </c>
      <c r="Q205" s="454"/>
      <c r="R205" s="456">
        <v>-259750</v>
      </c>
      <c r="S205" s="456">
        <v>0</v>
      </c>
      <c r="T205" s="456">
        <v>0</v>
      </c>
      <c r="U205" s="456">
        <v>0</v>
      </c>
      <c r="V205" s="456">
        <v>0</v>
      </c>
      <c r="W205" s="461">
        <f t="shared" si="25"/>
        <v>0</v>
      </c>
      <c r="X205" s="487">
        <f t="shared" si="21"/>
        <v>0</v>
      </c>
    </row>
    <row r="206" spans="2:24" ht="15.6" hidden="1">
      <c r="B206" s="466" t="s">
        <v>975</v>
      </c>
      <c r="C206" s="462" t="s">
        <v>870</v>
      </c>
      <c r="D206" s="465" t="s">
        <v>237</v>
      </c>
      <c r="E206" s="465" t="s">
        <v>236</v>
      </c>
      <c r="F206" s="465" t="s">
        <v>871</v>
      </c>
      <c r="G206" s="467" t="s">
        <v>266</v>
      </c>
      <c r="H206" s="469" t="s">
        <v>147</v>
      </c>
      <c r="I206" s="424">
        <v>0</v>
      </c>
      <c r="J206" s="424">
        <v>0</v>
      </c>
      <c r="K206" s="454"/>
      <c r="L206" s="457"/>
      <c r="M206" s="458">
        <f t="shared" si="22"/>
        <v>0</v>
      </c>
      <c r="N206" s="478">
        <v>-3280</v>
      </c>
      <c r="O206" s="459">
        <f t="shared" si="23"/>
        <v>3280</v>
      </c>
      <c r="P206" s="460">
        <f t="shared" si="24"/>
        <v>-1</v>
      </c>
      <c r="Q206" s="454"/>
      <c r="R206" s="456">
        <v>0</v>
      </c>
      <c r="S206" s="456">
        <v>0</v>
      </c>
      <c r="T206" s="456">
        <v>0</v>
      </c>
      <c r="U206" s="456">
        <v>0</v>
      </c>
      <c r="V206" s="456">
        <v>0</v>
      </c>
      <c r="W206" s="461">
        <f t="shared" si="25"/>
        <v>0</v>
      </c>
      <c r="X206" s="487">
        <f t="shared" si="21"/>
        <v>0</v>
      </c>
    </row>
    <row r="207" spans="2:24" ht="15.6" hidden="1">
      <c r="B207" s="466" t="s">
        <v>975</v>
      </c>
      <c r="C207" s="462" t="s">
        <v>870</v>
      </c>
      <c r="D207" s="465" t="s">
        <v>367</v>
      </c>
      <c r="E207" s="465" t="s">
        <v>366</v>
      </c>
      <c r="F207" s="465" t="s">
        <v>871</v>
      </c>
      <c r="G207" s="467" t="s">
        <v>266</v>
      </c>
      <c r="H207" s="469" t="s">
        <v>147</v>
      </c>
      <c r="I207" s="424">
        <v>-46576.79</v>
      </c>
      <c r="J207" s="424">
        <v>-46576.79</v>
      </c>
      <c r="K207" s="454"/>
      <c r="L207" s="457"/>
      <c r="M207" s="458">
        <f t="shared" si="22"/>
        <v>-46576.79</v>
      </c>
      <c r="N207" s="478">
        <v>-46576.79</v>
      </c>
      <c r="O207" s="459">
        <f t="shared" si="23"/>
        <v>0</v>
      </c>
      <c r="P207" s="460">
        <f t="shared" si="24"/>
        <v>0</v>
      </c>
      <c r="Q207" s="454"/>
      <c r="R207" s="456">
        <v>0</v>
      </c>
      <c r="S207" s="456">
        <v>0</v>
      </c>
      <c r="T207" s="456">
        <v>0</v>
      </c>
      <c r="U207" s="456">
        <v>0</v>
      </c>
      <c r="V207" s="456">
        <v>-46576.79</v>
      </c>
      <c r="W207" s="461">
        <f t="shared" si="25"/>
        <v>0</v>
      </c>
      <c r="X207" s="487">
        <f t="shared" si="21"/>
        <v>-46576.79</v>
      </c>
    </row>
    <row r="208" spans="2:24" ht="15.6" hidden="1">
      <c r="B208" s="466" t="s">
        <v>975</v>
      </c>
      <c r="C208" s="462" t="s">
        <v>870</v>
      </c>
      <c r="D208" s="465" t="s">
        <v>199</v>
      </c>
      <c r="E208" s="465" t="s">
        <v>198</v>
      </c>
      <c r="F208" s="465" t="s">
        <v>871</v>
      </c>
      <c r="G208" s="467" t="s">
        <v>266</v>
      </c>
      <c r="H208" s="469" t="s">
        <v>147</v>
      </c>
      <c r="I208" s="424">
        <v>0</v>
      </c>
      <c r="J208" s="424">
        <v>0</v>
      </c>
      <c r="K208" s="454"/>
      <c r="L208" s="457"/>
      <c r="M208" s="458">
        <f t="shared" si="22"/>
        <v>0</v>
      </c>
      <c r="N208" s="478">
        <v>-16000</v>
      </c>
      <c r="O208" s="459">
        <f t="shared" si="23"/>
        <v>16000</v>
      </c>
      <c r="P208" s="460">
        <f t="shared" si="24"/>
        <v>-1</v>
      </c>
      <c r="Q208" s="454"/>
      <c r="R208" s="456">
        <v>0</v>
      </c>
      <c r="S208" s="456">
        <v>0</v>
      </c>
      <c r="T208" s="456">
        <v>0</v>
      </c>
      <c r="U208" s="456">
        <v>0</v>
      </c>
      <c r="V208" s="456">
        <v>0</v>
      </c>
      <c r="W208" s="461">
        <f t="shared" si="25"/>
        <v>0</v>
      </c>
      <c r="X208" s="487">
        <f t="shared" si="21"/>
        <v>0</v>
      </c>
    </row>
    <row r="209" spans="2:24" ht="15.6" hidden="1">
      <c r="B209" s="466" t="s">
        <v>975</v>
      </c>
      <c r="C209" s="462" t="s">
        <v>870</v>
      </c>
      <c r="D209" s="465" t="s">
        <v>371</v>
      </c>
      <c r="E209" s="465" t="s">
        <v>370</v>
      </c>
      <c r="F209" s="465" t="s">
        <v>871</v>
      </c>
      <c r="G209" s="467" t="s">
        <v>266</v>
      </c>
      <c r="H209" s="469" t="s">
        <v>147</v>
      </c>
      <c r="I209" s="424">
        <v>-875055.51</v>
      </c>
      <c r="J209" s="424">
        <v>-875055.51</v>
      </c>
      <c r="K209" s="454"/>
      <c r="L209" s="457"/>
      <c r="M209" s="458">
        <f t="shared" si="22"/>
        <v>-875055.51</v>
      </c>
      <c r="N209" s="478">
        <v>-875055.51</v>
      </c>
      <c r="O209" s="459">
        <f t="shared" si="23"/>
        <v>0</v>
      </c>
      <c r="P209" s="460">
        <f t="shared" si="24"/>
        <v>0</v>
      </c>
      <c r="Q209" s="454"/>
      <c r="R209" s="456">
        <v>0</v>
      </c>
      <c r="S209" s="456">
        <v>0</v>
      </c>
      <c r="T209" s="456">
        <v>0</v>
      </c>
      <c r="U209" s="456">
        <v>0</v>
      </c>
      <c r="V209" s="456">
        <v>-875055.51</v>
      </c>
      <c r="W209" s="461">
        <f t="shared" si="25"/>
        <v>0</v>
      </c>
      <c r="X209" s="487">
        <f t="shared" si="21"/>
        <v>-875055.51</v>
      </c>
    </row>
    <row r="210" spans="2:24" ht="15.6" hidden="1">
      <c r="B210" s="466" t="s">
        <v>975</v>
      </c>
      <c r="C210" s="462" t="s">
        <v>870</v>
      </c>
      <c r="D210" s="465" t="s">
        <v>963</v>
      </c>
      <c r="E210" s="465" t="s">
        <v>964</v>
      </c>
      <c r="F210" s="465" t="s">
        <v>871</v>
      </c>
      <c r="G210" s="467" t="s">
        <v>266</v>
      </c>
      <c r="H210" s="469" t="s">
        <v>147</v>
      </c>
      <c r="I210" s="424">
        <v>-52830.19</v>
      </c>
      <c r="J210" s="424">
        <v>-52830.19</v>
      </c>
      <c r="K210" s="454"/>
      <c r="L210" s="457"/>
      <c r="M210" s="458">
        <f t="shared" si="22"/>
        <v>-52830.19</v>
      </c>
      <c r="N210" s="478">
        <v>0</v>
      </c>
      <c r="O210" s="459">
        <f t="shared" si="23"/>
        <v>-52830.19</v>
      </c>
      <c r="P210" s="460" t="str">
        <f t="shared" si="24"/>
        <v/>
      </c>
      <c r="Q210" s="454"/>
      <c r="R210" s="456">
        <v>-52830.19</v>
      </c>
      <c r="S210" s="456">
        <v>0</v>
      </c>
      <c r="T210" s="456">
        <v>0</v>
      </c>
      <c r="U210" s="456">
        <v>0</v>
      </c>
      <c r="V210" s="456">
        <v>0</v>
      </c>
      <c r="W210" s="461">
        <f t="shared" si="25"/>
        <v>0</v>
      </c>
      <c r="X210" s="487">
        <f t="shared" si="21"/>
        <v>0</v>
      </c>
    </row>
    <row r="211" spans="2:24" ht="15.6" hidden="1">
      <c r="B211" s="466" t="s">
        <v>975</v>
      </c>
      <c r="C211" s="462" t="s">
        <v>870</v>
      </c>
      <c r="D211" s="465" t="s">
        <v>965</v>
      </c>
      <c r="E211" s="465" t="s">
        <v>966</v>
      </c>
      <c r="F211" s="465" t="s">
        <v>871</v>
      </c>
      <c r="G211" s="467" t="s">
        <v>266</v>
      </c>
      <c r="H211" s="469" t="s">
        <v>147</v>
      </c>
      <c r="I211" s="424">
        <v>-99873.79</v>
      </c>
      <c r="J211" s="424">
        <v>-99873.79</v>
      </c>
      <c r="K211" s="454"/>
      <c r="L211" s="457"/>
      <c r="M211" s="458">
        <f t="shared" si="22"/>
        <v>-99873.79</v>
      </c>
      <c r="N211" s="478">
        <v>0</v>
      </c>
      <c r="O211" s="459">
        <f t="shared" si="23"/>
        <v>-99873.79</v>
      </c>
      <c r="P211" s="460" t="str">
        <f t="shared" si="24"/>
        <v/>
      </c>
      <c r="Q211" s="454"/>
      <c r="R211" s="456">
        <v>-99873.79</v>
      </c>
      <c r="S211" s="456">
        <v>0</v>
      </c>
      <c r="T211" s="456">
        <v>0</v>
      </c>
      <c r="U211" s="456">
        <v>0</v>
      </c>
      <c r="V211" s="456">
        <v>0</v>
      </c>
      <c r="W211" s="461">
        <f t="shared" si="25"/>
        <v>0</v>
      </c>
      <c r="X211" s="487">
        <f t="shared" si="21"/>
        <v>0</v>
      </c>
    </row>
    <row r="212" spans="2:24" ht="15.6" hidden="1">
      <c r="B212" s="466" t="s">
        <v>975</v>
      </c>
      <c r="C212" s="462" t="s">
        <v>870</v>
      </c>
      <c r="D212" s="465" t="s">
        <v>403</v>
      </c>
      <c r="E212" s="465" t="s">
        <v>402</v>
      </c>
      <c r="F212" s="465" t="s">
        <v>871</v>
      </c>
      <c r="G212" s="467" t="s">
        <v>266</v>
      </c>
      <c r="H212" s="469" t="s">
        <v>147</v>
      </c>
      <c r="I212" s="424">
        <v>-56863.85</v>
      </c>
      <c r="J212" s="424">
        <v>-56863.85</v>
      </c>
      <c r="K212" s="454"/>
      <c r="L212" s="457"/>
      <c r="M212" s="458">
        <f t="shared" si="22"/>
        <v>-56863.85</v>
      </c>
      <c r="N212" s="478">
        <v>-28301.89</v>
      </c>
      <c r="O212" s="459">
        <f t="shared" si="23"/>
        <v>-28561.96</v>
      </c>
      <c r="P212" s="460">
        <f t="shared" si="24"/>
        <v>1.0091891389585643</v>
      </c>
      <c r="Q212" s="454"/>
      <c r="R212" s="456">
        <v>-56863.85</v>
      </c>
      <c r="S212" s="456">
        <v>0</v>
      </c>
      <c r="T212" s="456">
        <v>0</v>
      </c>
      <c r="U212" s="456">
        <v>0</v>
      </c>
      <c r="V212" s="456">
        <v>0</v>
      </c>
      <c r="W212" s="461">
        <f t="shared" si="25"/>
        <v>0</v>
      </c>
      <c r="X212" s="487">
        <f t="shared" si="21"/>
        <v>0</v>
      </c>
    </row>
    <row r="213" spans="2:24" ht="15.6" hidden="1">
      <c r="B213" s="466" t="s">
        <v>975</v>
      </c>
      <c r="C213" s="462" t="s">
        <v>870</v>
      </c>
      <c r="D213" s="465" t="s">
        <v>967</v>
      </c>
      <c r="E213" s="465" t="s">
        <v>968</v>
      </c>
      <c r="F213" s="465" t="s">
        <v>871</v>
      </c>
      <c r="G213" s="467" t="s">
        <v>266</v>
      </c>
      <c r="H213" s="469" t="s">
        <v>147</v>
      </c>
      <c r="I213" s="424">
        <v>-74943.399999999994</v>
      </c>
      <c r="J213" s="424">
        <v>-74943.399999999994</v>
      </c>
      <c r="K213" s="454"/>
      <c r="L213" s="457"/>
      <c r="M213" s="458">
        <f t="shared" si="22"/>
        <v>-74943.399999999994</v>
      </c>
      <c r="N213" s="478">
        <v>0</v>
      </c>
      <c r="O213" s="459">
        <f t="shared" si="23"/>
        <v>-74943.399999999994</v>
      </c>
      <c r="P213" s="460" t="str">
        <f t="shared" si="24"/>
        <v/>
      </c>
      <c r="Q213" s="454"/>
      <c r="R213" s="456">
        <v>-74943.399999999994</v>
      </c>
      <c r="S213" s="456">
        <v>0</v>
      </c>
      <c r="T213" s="456">
        <v>0</v>
      </c>
      <c r="U213" s="456">
        <v>0</v>
      </c>
      <c r="V213" s="456">
        <v>0</v>
      </c>
      <c r="W213" s="461">
        <f t="shared" si="25"/>
        <v>0</v>
      </c>
      <c r="X213" s="487">
        <f t="shared" si="21"/>
        <v>0</v>
      </c>
    </row>
    <row r="214" spans="2:24" ht="15.6" hidden="1">
      <c r="B214" s="466" t="s">
        <v>975</v>
      </c>
      <c r="C214" s="462" t="s">
        <v>870</v>
      </c>
      <c r="D214" s="465" t="s">
        <v>969</v>
      </c>
      <c r="E214" s="465" t="s">
        <v>970</v>
      </c>
      <c r="F214" s="465" t="s">
        <v>871</v>
      </c>
      <c r="G214" s="467" t="s">
        <v>266</v>
      </c>
      <c r="H214" s="469" t="s">
        <v>147</v>
      </c>
      <c r="I214" s="424">
        <v>-126169.81</v>
      </c>
      <c r="J214" s="424">
        <v>-126169.81</v>
      </c>
      <c r="K214" s="454"/>
      <c r="L214" s="457"/>
      <c r="M214" s="458">
        <f t="shared" si="22"/>
        <v>-126169.81</v>
      </c>
      <c r="N214" s="478">
        <v>0</v>
      </c>
      <c r="O214" s="459">
        <f t="shared" si="23"/>
        <v>-126169.81</v>
      </c>
      <c r="P214" s="460" t="str">
        <f t="shared" si="24"/>
        <v/>
      </c>
      <c r="Q214" s="454"/>
      <c r="R214" s="456">
        <v>-126169.81</v>
      </c>
      <c r="S214" s="456">
        <v>0</v>
      </c>
      <c r="T214" s="456">
        <v>0</v>
      </c>
      <c r="U214" s="456">
        <v>0</v>
      </c>
      <c r="V214" s="456">
        <v>0</v>
      </c>
      <c r="W214" s="461">
        <f t="shared" si="25"/>
        <v>0</v>
      </c>
      <c r="X214" s="487">
        <f t="shared" si="21"/>
        <v>0</v>
      </c>
    </row>
    <row r="215" spans="2:24" ht="15.6" hidden="1">
      <c r="B215" s="466" t="s">
        <v>975</v>
      </c>
      <c r="C215" s="462" t="s">
        <v>870</v>
      </c>
      <c r="D215" s="465" t="s">
        <v>971</v>
      </c>
      <c r="E215" s="465" t="s">
        <v>972</v>
      </c>
      <c r="F215" s="465" t="s">
        <v>871</v>
      </c>
      <c r="G215" s="467" t="s">
        <v>266</v>
      </c>
      <c r="H215" s="469" t="s">
        <v>147</v>
      </c>
      <c r="I215" s="424">
        <v>-19811.32</v>
      </c>
      <c r="J215" s="424">
        <v>-19811.32</v>
      </c>
      <c r="K215" s="454"/>
      <c r="L215" s="457"/>
      <c r="M215" s="458">
        <f t="shared" si="22"/>
        <v>-19811.32</v>
      </c>
      <c r="N215" s="478">
        <v>0</v>
      </c>
      <c r="O215" s="459">
        <f t="shared" si="23"/>
        <v>-19811.32</v>
      </c>
      <c r="P215" s="460" t="str">
        <f t="shared" si="24"/>
        <v/>
      </c>
      <c r="Q215" s="454"/>
      <c r="R215" s="456">
        <v>-19811.32</v>
      </c>
      <c r="S215" s="456">
        <v>0</v>
      </c>
      <c r="T215" s="456">
        <v>0</v>
      </c>
      <c r="U215" s="456">
        <v>0</v>
      </c>
      <c r="V215" s="456">
        <v>0</v>
      </c>
      <c r="W215" s="461">
        <f t="shared" si="25"/>
        <v>0</v>
      </c>
      <c r="X215" s="487">
        <f t="shared" si="21"/>
        <v>0</v>
      </c>
    </row>
    <row r="216" spans="2:24" ht="15.6" hidden="1">
      <c r="B216" s="466" t="s">
        <v>975</v>
      </c>
      <c r="C216" s="462" t="s">
        <v>870</v>
      </c>
      <c r="D216" s="465" t="s">
        <v>973</v>
      </c>
      <c r="E216" s="465" t="s">
        <v>974</v>
      </c>
      <c r="F216" s="465" t="s">
        <v>871</v>
      </c>
      <c r="G216" s="467" t="s">
        <v>266</v>
      </c>
      <c r="H216" s="469" t="s">
        <v>147</v>
      </c>
      <c r="I216" s="424">
        <v>-14640</v>
      </c>
      <c r="J216" s="424">
        <v>-14640</v>
      </c>
      <c r="K216" s="454"/>
      <c r="L216" s="457"/>
      <c r="M216" s="458">
        <f t="shared" si="22"/>
        <v>-14640</v>
      </c>
      <c r="N216" s="478">
        <v>0</v>
      </c>
      <c r="O216" s="459">
        <f t="shared" si="23"/>
        <v>-14640</v>
      </c>
      <c r="P216" s="460" t="str">
        <f t="shared" si="24"/>
        <v/>
      </c>
      <c r="Q216" s="454"/>
      <c r="R216" s="456">
        <v>-14640</v>
      </c>
      <c r="S216" s="456">
        <v>0</v>
      </c>
      <c r="T216" s="456">
        <v>0</v>
      </c>
      <c r="U216" s="456">
        <v>0</v>
      </c>
      <c r="V216" s="456">
        <v>0</v>
      </c>
      <c r="W216" s="461">
        <f t="shared" si="25"/>
        <v>0</v>
      </c>
      <c r="X216" s="487">
        <f t="shared" si="21"/>
        <v>0</v>
      </c>
    </row>
    <row r="217" spans="2:24" ht="15.6" hidden="1">
      <c r="B217" s="466" t="s">
        <v>975</v>
      </c>
      <c r="C217" s="462" t="s">
        <v>870</v>
      </c>
      <c r="D217" s="465" t="s">
        <v>501</v>
      </c>
      <c r="E217" s="465" t="s">
        <v>500</v>
      </c>
      <c r="F217" s="465" t="s">
        <v>871</v>
      </c>
      <c r="G217" s="467" t="s">
        <v>266</v>
      </c>
      <c r="H217" s="469" t="s">
        <v>147</v>
      </c>
      <c r="I217" s="424">
        <v>0</v>
      </c>
      <c r="J217" s="424">
        <v>0</v>
      </c>
      <c r="K217" s="454"/>
      <c r="L217" s="457"/>
      <c r="M217" s="458">
        <f t="shared" si="22"/>
        <v>0</v>
      </c>
      <c r="N217" s="478">
        <v>-159840</v>
      </c>
      <c r="O217" s="459">
        <f t="shared" si="23"/>
        <v>159840</v>
      </c>
      <c r="P217" s="460">
        <f t="shared" si="24"/>
        <v>-1</v>
      </c>
      <c r="Q217" s="454"/>
      <c r="R217" s="456">
        <v>0</v>
      </c>
      <c r="S217" s="456">
        <v>0</v>
      </c>
      <c r="T217" s="456">
        <v>0</v>
      </c>
      <c r="U217" s="456">
        <v>0</v>
      </c>
      <c r="V217" s="456">
        <v>0</v>
      </c>
      <c r="W217" s="461">
        <f t="shared" si="25"/>
        <v>0</v>
      </c>
      <c r="X217" s="487">
        <f t="shared" si="21"/>
        <v>0</v>
      </c>
    </row>
    <row r="218" spans="2:24" ht="15.6" hidden="1">
      <c r="B218" s="466" t="s">
        <v>975</v>
      </c>
      <c r="C218" s="462" t="s">
        <v>870</v>
      </c>
      <c r="D218" s="465" t="s">
        <v>339</v>
      </c>
      <c r="E218" s="465" t="s">
        <v>338</v>
      </c>
      <c r="F218" s="465" t="s">
        <v>871</v>
      </c>
      <c r="G218" s="467" t="s">
        <v>266</v>
      </c>
      <c r="H218" s="469" t="s">
        <v>147</v>
      </c>
      <c r="I218" s="424">
        <v>0</v>
      </c>
      <c r="J218" s="424">
        <v>0</v>
      </c>
      <c r="K218" s="454"/>
      <c r="L218" s="457"/>
      <c r="M218" s="458">
        <f t="shared" si="22"/>
        <v>0</v>
      </c>
      <c r="N218" s="478">
        <v>-12782.52</v>
      </c>
      <c r="O218" s="459">
        <f t="shared" si="23"/>
        <v>12782.52</v>
      </c>
      <c r="P218" s="460">
        <f t="shared" si="24"/>
        <v>-1</v>
      </c>
      <c r="Q218" s="454"/>
      <c r="R218" s="456">
        <v>0</v>
      </c>
      <c r="S218" s="456">
        <v>0</v>
      </c>
      <c r="T218" s="456">
        <v>0</v>
      </c>
      <c r="U218" s="456">
        <v>0</v>
      </c>
      <c r="V218" s="456">
        <v>0</v>
      </c>
      <c r="W218" s="461">
        <f t="shared" si="25"/>
        <v>0</v>
      </c>
      <c r="X218" s="487">
        <f t="shared" si="21"/>
        <v>0</v>
      </c>
    </row>
    <row r="219" spans="2:24" ht="15.6" hidden="1">
      <c r="B219" s="466" t="s">
        <v>975</v>
      </c>
      <c r="C219" s="462" t="s">
        <v>870</v>
      </c>
      <c r="D219" s="465" t="s">
        <v>241</v>
      </c>
      <c r="E219" s="465" t="s">
        <v>240</v>
      </c>
      <c r="F219" s="465" t="s">
        <v>871</v>
      </c>
      <c r="G219" s="467" t="s">
        <v>266</v>
      </c>
      <c r="H219" s="469" t="s">
        <v>147</v>
      </c>
      <c r="I219" s="424">
        <v>0</v>
      </c>
      <c r="J219" s="424">
        <v>0</v>
      </c>
      <c r="K219" s="454"/>
      <c r="L219" s="457"/>
      <c r="M219" s="458">
        <f t="shared" si="22"/>
        <v>0</v>
      </c>
      <c r="N219" s="478">
        <v>-159600</v>
      </c>
      <c r="O219" s="459">
        <f t="shared" si="23"/>
        <v>159600</v>
      </c>
      <c r="P219" s="460">
        <f t="shared" si="24"/>
        <v>-1</v>
      </c>
      <c r="Q219" s="454"/>
      <c r="R219" s="456">
        <v>0</v>
      </c>
      <c r="S219" s="456">
        <v>0</v>
      </c>
      <c r="T219" s="456">
        <v>0</v>
      </c>
      <c r="U219" s="456">
        <v>0</v>
      </c>
      <c r="V219" s="456">
        <v>0</v>
      </c>
      <c r="W219" s="461">
        <f t="shared" si="25"/>
        <v>0</v>
      </c>
      <c r="X219" s="487">
        <f t="shared" si="21"/>
        <v>0</v>
      </c>
    </row>
    <row r="220" spans="2:24" ht="16.2" hidden="1" thickBot="1">
      <c r="B220" s="484" t="s">
        <v>975</v>
      </c>
      <c r="C220" s="529" t="s">
        <v>870</v>
      </c>
      <c r="D220" s="485" t="s">
        <v>481</v>
      </c>
      <c r="E220" s="485" t="s">
        <v>480</v>
      </c>
      <c r="F220" s="485" t="s">
        <v>871</v>
      </c>
      <c r="G220" s="486" t="s">
        <v>266</v>
      </c>
      <c r="H220" s="470" t="s">
        <v>147</v>
      </c>
      <c r="I220" s="471">
        <v>0</v>
      </c>
      <c r="J220" s="471">
        <v>0</v>
      </c>
      <c r="K220" s="472"/>
      <c r="L220" s="473"/>
      <c r="M220" s="474">
        <f t="shared" si="22"/>
        <v>0</v>
      </c>
      <c r="N220" s="479">
        <v>-38834.949999999997</v>
      </c>
      <c r="O220" s="480">
        <f t="shared" si="23"/>
        <v>38834.949999999997</v>
      </c>
      <c r="P220" s="481">
        <f t="shared" si="24"/>
        <v>-1</v>
      </c>
      <c r="Q220" s="472"/>
      <c r="R220" s="482">
        <v>0</v>
      </c>
      <c r="S220" s="482">
        <v>0</v>
      </c>
      <c r="T220" s="482">
        <v>0</v>
      </c>
      <c r="U220" s="482">
        <v>0</v>
      </c>
      <c r="V220" s="482">
        <v>0</v>
      </c>
      <c r="W220" s="483">
        <f t="shared" si="25"/>
        <v>0</v>
      </c>
      <c r="X220" s="487">
        <f t="shared" si="21"/>
        <v>0</v>
      </c>
    </row>
    <row r="221" spans="2:24" ht="15.6">
      <c r="H221" s="464" t="s">
        <v>976</v>
      </c>
      <c r="I221" s="487">
        <f>SUM(I7:I220)</f>
        <v>-57526376.380000025</v>
      </c>
      <c r="J221" s="487">
        <f t="shared" ref="J221:W221" si="26">SUM(J7:J220)</f>
        <v>-57526376.380000025</v>
      </c>
      <c r="K221" s="487">
        <f t="shared" si="26"/>
        <v>0</v>
      </c>
      <c r="L221" s="487">
        <f t="shared" si="26"/>
        <v>0</v>
      </c>
      <c r="M221" s="487">
        <f t="shared" si="26"/>
        <v>-57526376.380000025</v>
      </c>
      <c r="N221" s="487">
        <f t="shared" si="26"/>
        <v>-64187384.87000002</v>
      </c>
      <c r="O221" s="487">
        <f t="shared" si="26"/>
        <v>6661008.4899999946</v>
      </c>
      <c r="P221" s="487"/>
      <c r="Q221" s="487"/>
      <c r="R221" s="487">
        <f t="shared" si="26"/>
        <v>-13767814.549999997</v>
      </c>
      <c r="S221" s="487">
        <f t="shared" si="26"/>
        <v>-9215178.25</v>
      </c>
      <c r="T221" s="487">
        <f t="shared" si="26"/>
        <v>-12518397.119999997</v>
      </c>
      <c r="U221" s="487">
        <f t="shared" si="26"/>
        <v>-7728401.8599999985</v>
      </c>
      <c r="V221" s="487">
        <f t="shared" si="26"/>
        <v>-14296584.599999996</v>
      </c>
      <c r="W221" s="487">
        <f t="shared" si="26"/>
        <v>0</v>
      </c>
      <c r="X221" s="488"/>
    </row>
    <row r="222" spans="2:24" hidden="1">
      <c r="H222" s="91" t="s">
        <v>977</v>
      </c>
      <c r="J222" s="487">
        <f>J221-'N.00 Lead sheet'!F42</f>
        <v>0</v>
      </c>
      <c r="K222" s="487"/>
      <c r="L222" s="487"/>
      <c r="M222" s="487">
        <f>M221-'N.00 Lead sheet'!J42</f>
        <v>0</v>
      </c>
      <c r="N222" s="487">
        <f>N221-'N.00 Lead sheet'!K42</f>
        <v>0</v>
      </c>
      <c r="O222" s="487"/>
      <c r="X222" s="487"/>
    </row>
    <row r="224" spans="2:24" ht="15.6" thickBot="1">
      <c r="B224" s="2" t="s">
        <v>978</v>
      </c>
      <c r="C224" s="2"/>
      <c r="D224" s="2"/>
      <c r="E224" s="2"/>
      <c r="F224" s="2"/>
    </row>
    <row r="225" spans="2:8" ht="15">
      <c r="B225" s="489" t="s">
        <v>979</v>
      </c>
      <c r="C225" s="490">
        <v>46022</v>
      </c>
      <c r="D225" s="491" t="s">
        <v>980</v>
      </c>
      <c r="E225" s="490">
        <v>45657</v>
      </c>
      <c r="F225" s="492" t="s">
        <v>981</v>
      </c>
    </row>
    <row r="226" spans="2:8">
      <c r="B226" s="493" t="s">
        <v>982</v>
      </c>
      <c r="C226" s="487">
        <f>R221</f>
        <v>-13767814.549999997</v>
      </c>
      <c r="D226" s="494">
        <f>IFERROR(C226/$C$104,0)</f>
        <v>-6491.1902640264016</v>
      </c>
      <c r="E226" s="487">
        <v>-18000340.150000006</v>
      </c>
      <c r="F226" s="495"/>
    </row>
    <row r="227" spans="2:8">
      <c r="B227" s="493" t="s">
        <v>983</v>
      </c>
      <c r="C227" s="487">
        <f>S221</f>
        <v>-9215178.25</v>
      </c>
      <c r="D227" s="494">
        <f t="shared" ref="D227:D230" si="27">IFERROR(C227/$C$104,0)</f>
        <v>-4344.7327911362563</v>
      </c>
      <c r="E227" s="487">
        <v>-14800560.529999997</v>
      </c>
      <c r="F227" s="496" t="str">
        <f>IF(ABS(C227)&lt;=(ABS(E226)+ABS(E227)),"True","请检查或说明原因")</f>
        <v>True</v>
      </c>
    </row>
    <row r="228" spans="2:8">
      <c r="B228" s="493" t="s">
        <v>984</v>
      </c>
      <c r="C228" s="487">
        <f>T221</f>
        <v>-12518397.119999997</v>
      </c>
      <c r="D228" s="494">
        <f>IFERROR(C228/$C$104,0)</f>
        <v>-5902.1202828854302</v>
      </c>
      <c r="E228" s="487">
        <v>-15459187.84</v>
      </c>
      <c r="F228" s="496" t="str">
        <f>IF(ABS(C228)&lt;=(ABS(E227)+ABS(E228)),"True","请检查或说明原因")</f>
        <v>True</v>
      </c>
    </row>
    <row r="229" spans="2:8">
      <c r="B229" s="493" t="s">
        <v>985</v>
      </c>
      <c r="C229" s="487">
        <f>U221</f>
        <v>-7728401.8599999985</v>
      </c>
      <c r="D229" s="494">
        <f t="shared" si="27"/>
        <v>-3643.7538236680803</v>
      </c>
      <c r="E229" s="487">
        <v>-6566550.7799999993</v>
      </c>
      <c r="F229" s="496" t="str">
        <f t="shared" ref="F229" si="28">IF(ABS(C229)&lt;=(ABS(E228)+ABS(E229)),"True","请检查或说明原因")</f>
        <v>True</v>
      </c>
    </row>
    <row r="230" spans="2:8">
      <c r="B230" s="493" t="s">
        <v>986</v>
      </c>
      <c r="C230" s="487">
        <f>V221</f>
        <v>-14296584.599999996</v>
      </c>
      <c r="D230" s="494">
        <f t="shared" si="27"/>
        <v>-6740.4925035360657</v>
      </c>
      <c r="E230" s="487">
        <v>-9360745.5699999984</v>
      </c>
      <c r="F230" s="496" t="str">
        <f>IF(ABS(C230)&lt;=(ABS(E229)+ABS(E230)),"True","请检查或说明原因")</f>
        <v>True</v>
      </c>
    </row>
    <row r="231" spans="2:8" ht="14.4" thickBot="1">
      <c r="B231" s="497"/>
      <c r="C231" s="498"/>
      <c r="D231" s="499"/>
      <c r="E231" s="498"/>
      <c r="F231" s="500"/>
    </row>
    <row r="232" spans="2:8">
      <c r="B232" s="162"/>
      <c r="C232" s="162"/>
      <c r="D232" s="162"/>
      <c r="E232" s="162"/>
      <c r="F232" s="501"/>
    </row>
    <row r="233" spans="2:8" ht="14.4" thickBot="1">
      <c r="B233" s="318" t="s">
        <v>987</v>
      </c>
      <c r="C233" s="502">
        <f>IFERROR(SUM(C226:C231),"")</f>
        <v>-57526376.379999988</v>
      </c>
      <c r="D233" s="2"/>
      <c r="E233" s="502">
        <f>IFERROR(SUM(E226:E231),"")</f>
        <v>-64187384.870000005</v>
      </c>
      <c r="F233" s="501"/>
    </row>
    <row r="234" spans="2:8" ht="14.4" thickTop="1">
      <c r="B234" s="91" t="s">
        <v>988</v>
      </c>
      <c r="C234" s="487">
        <f>C233-M221</f>
        <v>0</v>
      </c>
      <c r="D234" s="487"/>
      <c r="E234" s="487">
        <f>E233-N221</f>
        <v>0</v>
      </c>
      <c r="F234" s="487"/>
    </row>
    <row r="238" spans="2:8" ht="16.2" thickBot="1">
      <c r="B238" s="91" t="s">
        <v>998</v>
      </c>
    </row>
    <row r="239" spans="2:8" ht="15">
      <c r="B239" s="523" t="s">
        <v>153</v>
      </c>
      <c r="C239" s="503" t="s">
        <v>552</v>
      </c>
      <c r="D239" s="503" t="s">
        <v>989</v>
      </c>
      <c r="E239" s="503" t="s">
        <v>990</v>
      </c>
      <c r="F239" s="503" t="s">
        <v>991</v>
      </c>
      <c r="G239" s="503" t="s">
        <v>992</v>
      </c>
      <c r="H239" s="524"/>
    </row>
    <row r="240" spans="2:8" ht="15.6">
      <c r="B240" s="504" t="s">
        <v>532</v>
      </c>
      <c r="C240" s="505" t="s">
        <v>531</v>
      </c>
      <c r="D240" s="505">
        <v>-3874030.13</v>
      </c>
      <c r="E240" s="505">
        <v>-5153204.96</v>
      </c>
      <c r="F240" s="505">
        <f>D240-E240</f>
        <v>1279174.83</v>
      </c>
      <c r="G240" s="506">
        <f>F240/E240</f>
        <v>-0.24822898369639076</v>
      </c>
      <c r="H240" s="525" t="s">
        <v>993</v>
      </c>
    </row>
    <row r="241" spans="2:8" ht="15.6">
      <c r="B241" s="504" t="s">
        <v>267</v>
      </c>
      <c r="C241" s="505" t="s">
        <v>266</v>
      </c>
      <c r="D241" s="505">
        <v>-2743396.23</v>
      </c>
      <c r="E241" s="505">
        <v>-7943396.2300000004</v>
      </c>
      <c r="F241" s="505">
        <f t="shared" ref="F241:F244" si="29">D241-E241</f>
        <v>5200000</v>
      </c>
      <c r="G241" s="506">
        <f t="shared" ref="G241" si="30">F241/E241</f>
        <v>-0.6546318286831827</v>
      </c>
      <c r="H241" s="525" t="s">
        <v>994</v>
      </c>
    </row>
    <row r="242" spans="2:8" ht="15.6">
      <c r="B242" s="504" t="s">
        <v>936</v>
      </c>
      <c r="C242" s="505" t="s">
        <v>937</v>
      </c>
      <c r="D242" s="505">
        <v>-1160377.3600000001</v>
      </c>
      <c r="E242" s="505">
        <v>0</v>
      </c>
      <c r="F242" s="505">
        <f t="shared" si="29"/>
        <v>-1160377.3600000001</v>
      </c>
      <c r="G242" s="506">
        <v>0</v>
      </c>
      <c r="H242" s="525" t="s">
        <v>995</v>
      </c>
    </row>
    <row r="243" spans="2:8" ht="15.6">
      <c r="B243" s="504" t="s">
        <v>333</v>
      </c>
      <c r="C243" s="505" t="s">
        <v>332</v>
      </c>
      <c r="D243" s="505">
        <v>0</v>
      </c>
      <c r="E243" s="505">
        <v>-1220943.3999999999</v>
      </c>
      <c r="F243" s="505">
        <f t="shared" si="29"/>
        <v>1220943.3999999999</v>
      </c>
      <c r="G243" s="506">
        <f t="shared" ref="G243:G244" si="31">F243/E243</f>
        <v>-1</v>
      </c>
      <c r="H243" s="525" t="s">
        <v>996</v>
      </c>
    </row>
    <row r="244" spans="2:8" ht="15.6">
      <c r="B244" s="504" t="s">
        <v>503</v>
      </c>
      <c r="C244" s="536" t="s">
        <v>1014</v>
      </c>
      <c r="D244" s="505">
        <v>-1477909.15</v>
      </c>
      <c r="E244" s="505">
        <v>-188679.24</v>
      </c>
      <c r="F244" s="505">
        <f t="shared" si="29"/>
        <v>-1289229.9099999999</v>
      </c>
      <c r="G244" s="506">
        <f t="shared" si="31"/>
        <v>6.8329187143217238</v>
      </c>
      <c r="H244" s="525" t="s">
        <v>997</v>
      </c>
    </row>
    <row r="245" spans="2:8" ht="15">
      <c r="B245" s="508"/>
      <c r="C245" s="509"/>
      <c r="D245" s="510"/>
      <c r="E245" s="510"/>
      <c r="F245" s="505"/>
      <c r="G245" s="505"/>
      <c r="H245" s="511"/>
    </row>
    <row r="246" spans="2:8" ht="15" customHeight="1">
      <c r="B246" s="636" t="s">
        <v>1017</v>
      </c>
      <c r="C246" s="637"/>
      <c r="D246" s="637"/>
      <c r="E246" s="637"/>
      <c r="F246" s="637"/>
      <c r="G246" s="637"/>
      <c r="H246" s="638"/>
    </row>
    <row r="247" spans="2:8" ht="15" customHeight="1">
      <c r="B247" s="636"/>
      <c r="C247" s="637"/>
      <c r="D247" s="637"/>
      <c r="E247" s="637"/>
      <c r="F247" s="637"/>
      <c r="G247" s="637"/>
      <c r="H247" s="638"/>
    </row>
    <row r="248" spans="2:8" ht="19.5" customHeight="1">
      <c r="B248" s="636" t="s">
        <v>1029</v>
      </c>
      <c r="C248" s="637"/>
      <c r="D248" s="637"/>
      <c r="E248" s="637"/>
      <c r="F248" s="637"/>
      <c r="G248" s="637"/>
      <c r="H248" s="638"/>
    </row>
    <row r="249" spans="2:8" ht="19.5" customHeight="1">
      <c r="B249" s="636"/>
      <c r="C249" s="637"/>
      <c r="D249" s="637"/>
      <c r="E249" s="637"/>
      <c r="F249" s="637"/>
      <c r="G249" s="637"/>
      <c r="H249" s="638"/>
    </row>
    <row r="250" spans="2:8" ht="15" customHeight="1">
      <c r="B250" s="636" t="s">
        <v>1018</v>
      </c>
      <c r="C250" s="637"/>
      <c r="D250" s="637"/>
      <c r="E250" s="637"/>
      <c r="F250" s="637"/>
      <c r="G250" s="637"/>
      <c r="H250" s="638"/>
    </row>
    <row r="251" spans="2:8" ht="15" customHeight="1">
      <c r="B251" s="636"/>
      <c r="C251" s="637"/>
      <c r="D251" s="637"/>
      <c r="E251" s="637"/>
      <c r="F251" s="637"/>
      <c r="G251" s="637"/>
      <c r="H251" s="638"/>
    </row>
    <row r="252" spans="2:8">
      <c r="B252" s="636" t="s">
        <v>1019</v>
      </c>
      <c r="C252" s="637"/>
      <c r="D252" s="637"/>
      <c r="E252" s="637"/>
      <c r="F252" s="637"/>
      <c r="G252" s="637"/>
      <c r="H252" s="638"/>
    </row>
    <row r="253" spans="2:8">
      <c r="B253" s="636"/>
      <c r="C253" s="637"/>
      <c r="D253" s="637"/>
      <c r="E253" s="637"/>
      <c r="F253" s="637"/>
      <c r="G253" s="637"/>
      <c r="H253" s="638"/>
    </row>
    <row r="254" spans="2:8" ht="18.45" customHeight="1">
      <c r="B254" s="636" t="s">
        <v>1020</v>
      </c>
      <c r="C254" s="637"/>
      <c r="D254" s="637"/>
      <c r="E254" s="637"/>
      <c r="F254" s="637"/>
      <c r="G254" s="637"/>
      <c r="H254" s="638"/>
    </row>
    <row r="255" spans="2:8" ht="18.45" customHeight="1">
      <c r="B255" s="636"/>
      <c r="C255" s="637"/>
      <c r="D255" s="637"/>
      <c r="E255" s="637"/>
      <c r="F255" s="637"/>
      <c r="G255" s="637"/>
      <c r="H255" s="638"/>
    </row>
    <row r="256" spans="2:8" ht="15.6">
      <c r="B256" s="517" t="s">
        <v>999</v>
      </c>
      <c r="D256" s="510"/>
      <c r="E256" s="510"/>
      <c r="F256" s="505"/>
      <c r="G256" s="505"/>
      <c r="H256" s="507"/>
    </row>
    <row r="257" spans="2:8" ht="15.6">
      <c r="B257" s="518" t="s">
        <v>1000</v>
      </c>
      <c r="C257" s="519" t="s">
        <v>552</v>
      </c>
      <c r="D257" s="520">
        <v>46022</v>
      </c>
      <c r="E257" s="521" t="s">
        <v>1004</v>
      </c>
      <c r="F257" s="515"/>
      <c r="G257" s="515"/>
      <c r="H257" s="516"/>
    </row>
    <row r="258" spans="2:8" ht="15.6">
      <c r="B258" s="517" t="s">
        <v>532</v>
      </c>
      <c r="C258" s="464" t="s">
        <v>531</v>
      </c>
      <c r="D258" s="522">
        <v>-3874030.13</v>
      </c>
      <c r="E258" s="522">
        <v>-3776049.34</v>
      </c>
      <c r="F258" s="505" t="s">
        <v>993</v>
      </c>
      <c r="G258" s="505"/>
      <c r="H258" s="507"/>
    </row>
    <row r="259" spans="2:8" ht="15.6">
      <c r="B259" s="517" t="s">
        <v>263</v>
      </c>
      <c r="C259" s="464" t="s">
        <v>1024</v>
      </c>
      <c r="D259" s="522">
        <v>-2565699.98</v>
      </c>
      <c r="E259" s="522">
        <v>-2514945.2799999998</v>
      </c>
      <c r="F259" s="505" t="s">
        <v>1001</v>
      </c>
      <c r="G259" s="505"/>
      <c r="H259" s="507"/>
    </row>
    <row r="260" spans="2:8" ht="15.6">
      <c r="B260" s="517" t="s">
        <v>411</v>
      </c>
      <c r="C260" s="464" t="s">
        <v>1016</v>
      </c>
      <c r="D260" s="522">
        <v>-6146733.9100000001</v>
      </c>
      <c r="E260" s="522">
        <v>-5632783.9100000001</v>
      </c>
      <c r="F260" s="505" t="s">
        <v>1002</v>
      </c>
      <c r="G260" s="505"/>
      <c r="H260" s="507"/>
    </row>
    <row r="261" spans="2:8" ht="15.6">
      <c r="B261" s="517" t="s">
        <v>201</v>
      </c>
      <c r="C261" s="464" t="s">
        <v>1015</v>
      </c>
      <c r="D261" s="522">
        <v>-2189774.58</v>
      </c>
      <c r="E261" s="522">
        <v>-2119774.58</v>
      </c>
      <c r="F261" s="505" t="s">
        <v>1003</v>
      </c>
      <c r="G261" s="505"/>
      <c r="H261" s="507"/>
    </row>
    <row r="262" spans="2:8" ht="15">
      <c r="B262" s="508"/>
      <c r="D262" s="510"/>
      <c r="E262" s="510"/>
      <c r="F262" s="505"/>
      <c r="G262" s="505"/>
      <c r="H262" s="507"/>
    </row>
    <row r="263" spans="2:8" ht="18.45" customHeight="1">
      <c r="B263" s="636" t="s">
        <v>1025</v>
      </c>
      <c r="C263" s="637"/>
      <c r="D263" s="637"/>
      <c r="E263" s="637"/>
      <c r="F263" s="637"/>
      <c r="G263" s="637"/>
      <c r="H263" s="638"/>
    </row>
    <row r="264" spans="2:8" ht="18.45" customHeight="1">
      <c r="B264" s="636"/>
      <c r="C264" s="637"/>
      <c r="D264" s="637"/>
      <c r="E264" s="637"/>
      <c r="F264" s="637"/>
      <c r="G264" s="637"/>
      <c r="H264" s="638"/>
    </row>
    <row r="265" spans="2:8" ht="18.45" customHeight="1">
      <c r="B265" s="636" t="s">
        <v>1023</v>
      </c>
      <c r="C265" s="637"/>
      <c r="D265" s="637"/>
      <c r="E265" s="637"/>
      <c r="F265" s="637"/>
      <c r="G265" s="637"/>
      <c r="H265" s="638"/>
    </row>
    <row r="266" spans="2:8" ht="18.45" customHeight="1">
      <c r="B266" s="636"/>
      <c r="C266" s="637"/>
      <c r="D266" s="637"/>
      <c r="E266" s="637"/>
      <c r="F266" s="637"/>
      <c r="G266" s="637"/>
      <c r="H266" s="638"/>
    </row>
    <row r="267" spans="2:8" ht="16.95" customHeight="1">
      <c r="B267" s="636" t="s">
        <v>1022</v>
      </c>
      <c r="C267" s="637"/>
      <c r="D267" s="637"/>
      <c r="E267" s="637"/>
      <c r="F267" s="637"/>
      <c r="G267" s="637"/>
      <c r="H267" s="638"/>
    </row>
    <row r="268" spans="2:8" ht="16.95" customHeight="1">
      <c r="B268" s="636"/>
      <c r="C268" s="637"/>
      <c r="D268" s="637"/>
      <c r="E268" s="637"/>
      <c r="F268" s="637"/>
      <c r="G268" s="637"/>
      <c r="H268" s="638"/>
    </row>
    <row r="269" spans="2:8" ht="15">
      <c r="B269" s="508"/>
      <c r="D269" s="510"/>
      <c r="E269" s="510"/>
      <c r="F269" s="505"/>
      <c r="G269" s="505"/>
      <c r="H269" s="507"/>
    </row>
    <row r="270" spans="2:8" ht="14.4" thickBot="1">
      <c r="B270" s="512"/>
      <c r="C270" s="513"/>
      <c r="D270" s="513"/>
      <c r="E270" s="513"/>
      <c r="F270" s="513"/>
      <c r="G270" s="513"/>
      <c r="H270" s="514"/>
    </row>
  </sheetData>
  <autoFilter ref="A6:X222" xr:uid="{D4EDAEB2-292D-40A6-8581-0963865D829F}">
    <filterColumn colId="14">
      <filters>
        <filter val="(1,160,377.36)"/>
        <filter val="(1,289,229.91)"/>
        <filter val="1,220,943.40"/>
        <filter val="1,279,174.83"/>
        <filter val="5,200,000.00"/>
        <filter val="6,661,008.49"/>
      </filters>
    </filterColumn>
  </autoFilter>
  <mergeCells count="19">
    <mergeCell ref="B263:H264"/>
    <mergeCell ref="B265:H266"/>
    <mergeCell ref="B267:H268"/>
    <mergeCell ref="B246:H247"/>
    <mergeCell ref="B248:H249"/>
    <mergeCell ref="B250:H251"/>
    <mergeCell ref="B252:H253"/>
    <mergeCell ref="B254:H255"/>
    <mergeCell ref="O5:P5"/>
    <mergeCell ref="Q5:Q6"/>
    <mergeCell ref="R5:W5"/>
    <mergeCell ref="B1:H1"/>
    <mergeCell ref="B5:B6"/>
    <mergeCell ref="C5:C6"/>
    <mergeCell ref="D5:D6"/>
    <mergeCell ref="E5:E6"/>
    <mergeCell ref="F5:F6"/>
    <mergeCell ref="G5:G6"/>
    <mergeCell ref="H5:M5"/>
  </mergeCells>
  <phoneticPr fontId="25" type="noConversion"/>
  <conditionalFormatting sqref="B240:E244 G240:G244">
    <cfRule type="containsBlanks" dxfId="11" priority="1">
      <formula>LEN(TRIM(B240))=0</formula>
    </cfRule>
  </conditionalFormatting>
  <conditionalFormatting sqref="G7:H220">
    <cfRule type="cellIs" dxfId="10" priority="2" operator="equal">
      <formula>0</formula>
    </cfRule>
  </conditionalFormatting>
  <dataValidations count="2">
    <dataValidation type="list" allowBlank="1" showInputMessage="1" sqref="G7:G220" xr:uid="{1F8720C3-6AAA-40D3-8B0C-9B7B0D949D9E}">
      <formula1>"供应商,关联方,自定义"</formula1>
    </dataValidation>
    <dataValidation type="list" allowBlank="1" showInputMessage="1" showErrorMessage="1" sqref="H7:H220" xr:uid="{3994FAFC-1BEA-4E04-B9FE-5D54CC69519C}">
      <formula1>$C$2078:$C$2078</formula1>
    </dataValidation>
  </dataValidations>
  <pageMargins left="0.7" right="0.7" top="0.75" bottom="0.75" header="0.3" footer="0.3"/>
  <pageSetup paperSize="9" orientation="portrait" horizontalDpi="300" r:id="rId1"/>
  <headerFooter>
    <oddFooter>&amp;LPAL SWP Accrued Liabilities
(24 June 2025)</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950B-34EE-4810-817A-5AF0BB2A9C26}">
  <dimension ref="A1:M196"/>
  <sheetViews>
    <sheetView showGridLines="0" zoomScale="70" zoomScaleNormal="70" workbookViewId="0">
      <selection activeCell="M7" sqref="M7"/>
    </sheetView>
  </sheetViews>
  <sheetFormatPr defaultColWidth="8.77734375" defaultRowHeight="13.8"/>
  <cols>
    <col min="1" max="1" width="2.5546875" style="91" customWidth="1"/>
    <col min="2" max="2" width="50.5546875" style="91" customWidth="1"/>
    <col min="3" max="8" width="20.77734375" style="91" customWidth="1"/>
    <col min="9" max="12" width="16.44140625" style="91" customWidth="1"/>
    <col min="13" max="16384" width="8.77734375" style="91"/>
  </cols>
  <sheetData>
    <row r="1" spans="1:13" ht="50.1" customHeight="1">
      <c r="A1" s="30"/>
      <c r="B1" s="621" t="s">
        <v>148</v>
      </c>
      <c r="C1" s="622"/>
      <c r="D1" s="622"/>
      <c r="E1" s="622"/>
      <c r="F1" s="622"/>
      <c r="G1" s="622"/>
      <c r="H1" s="623"/>
      <c r="I1" s="30"/>
      <c r="J1" s="30" t="s">
        <v>149</v>
      </c>
      <c r="K1" s="30"/>
      <c r="L1" s="30"/>
    </row>
    <row r="2" spans="1:13" s="93" customFormat="1" ht="30" customHeight="1">
      <c r="A2" s="32"/>
      <c r="B2" s="92" t="s">
        <v>150</v>
      </c>
      <c r="C2" s="33"/>
      <c r="D2" s="33"/>
      <c r="E2" s="33"/>
      <c r="F2" s="33"/>
      <c r="G2" s="33"/>
      <c r="H2" s="34"/>
      <c r="I2" s="32"/>
      <c r="J2" s="32" t="s">
        <v>149</v>
      </c>
      <c r="K2" s="32"/>
      <c r="L2" s="32"/>
    </row>
    <row r="3" spans="1:13">
      <c r="A3" s="30"/>
      <c r="B3" s="35"/>
      <c r="C3" s="35"/>
      <c r="D3" s="30"/>
      <c r="E3" s="35"/>
      <c r="F3" s="36"/>
      <c r="G3" s="36"/>
      <c r="H3" s="30"/>
      <c r="I3" s="30"/>
      <c r="J3" s="30" t="s">
        <v>149</v>
      </c>
      <c r="K3" s="30"/>
      <c r="L3" s="30"/>
    </row>
    <row r="4" spans="1:13" ht="15" customHeight="1">
      <c r="A4" s="30"/>
      <c r="B4" s="30"/>
      <c r="C4" s="30"/>
      <c r="D4" s="30"/>
      <c r="E4" s="30"/>
      <c r="F4" s="30"/>
      <c r="G4" s="30"/>
      <c r="H4" s="30"/>
      <c r="I4" s="30"/>
      <c r="J4" s="30"/>
      <c r="K4" s="30"/>
      <c r="L4" s="30"/>
    </row>
    <row r="5" spans="1:13" ht="7.5" customHeight="1">
      <c r="A5" s="31" t="s">
        <v>149</v>
      </c>
      <c r="B5" s="31" t="s">
        <v>149</v>
      </c>
      <c r="C5" s="31" t="s">
        <v>149</v>
      </c>
      <c r="D5" s="31" t="s">
        <v>149</v>
      </c>
      <c r="E5" s="31" t="s">
        <v>149</v>
      </c>
      <c r="F5" s="31" t="s">
        <v>149</v>
      </c>
      <c r="G5" s="31" t="s">
        <v>149</v>
      </c>
      <c r="H5" s="31" t="s">
        <v>149</v>
      </c>
      <c r="I5" s="31" t="s">
        <v>149</v>
      </c>
      <c r="J5" s="31" t="s">
        <v>149</v>
      </c>
      <c r="K5" s="30"/>
      <c r="L5" s="30"/>
    </row>
    <row r="6" spans="1:13" ht="14.4" thickBot="1">
      <c r="A6" s="30"/>
      <c r="B6" s="30"/>
      <c r="C6" s="30"/>
      <c r="D6" s="30"/>
      <c r="E6" s="30"/>
      <c r="F6" s="30"/>
      <c r="G6" s="30"/>
      <c r="H6" s="423" t="s">
        <v>151</v>
      </c>
      <c r="I6" s="30"/>
      <c r="J6" s="30"/>
      <c r="K6" s="30"/>
      <c r="L6" s="30"/>
    </row>
    <row r="7" spans="1:13" ht="15.6">
      <c r="A7" s="30"/>
      <c r="B7" s="530" t="s">
        <v>152</v>
      </c>
      <c r="C7" s="531" t="s">
        <v>153</v>
      </c>
      <c r="D7" s="531" t="s">
        <v>154</v>
      </c>
      <c r="E7" s="532" t="s">
        <v>155</v>
      </c>
      <c r="F7" s="532" t="s">
        <v>156</v>
      </c>
      <c r="G7" s="532" t="s">
        <v>157</v>
      </c>
      <c r="H7" s="532" t="s">
        <v>158</v>
      </c>
      <c r="I7" s="532" t="s">
        <v>159</v>
      </c>
      <c r="J7" s="532" t="s">
        <v>160</v>
      </c>
      <c r="K7" s="532" t="s">
        <v>161</v>
      </c>
      <c r="L7" s="535" t="s">
        <v>162</v>
      </c>
    </row>
    <row r="8" spans="1:13" ht="15.6">
      <c r="A8" s="30"/>
      <c r="B8" s="533" t="s">
        <v>163</v>
      </c>
      <c r="C8" s="463" t="s">
        <v>164</v>
      </c>
      <c r="D8" s="465" t="s">
        <v>165</v>
      </c>
      <c r="E8" s="463" t="s">
        <v>45</v>
      </c>
      <c r="F8" s="424">
        <v>-24466.02</v>
      </c>
      <c r="G8" s="424">
        <v>-24466.02</v>
      </c>
      <c r="H8" s="424">
        <v>0</v>
      </c>
      <c r="I8" s="424">
        <v>0</v>
      </c>
      <c r="J8" s="424">
        <v>0</v>
      </c>
      <c r="K8" s="424">
        <v>0</v>
      </c>
      <c r="L8" s="426">
        <v>-24466.02</v>
      </c>
    </row>
    <row r="9" spans="1:13" ht="15.6">
      <c r="A9" s="30"/>
      <c r="B9" s="533" t="s">
        <v>166</v>
      </c>
      <c r="C9" s="463" t="s">
        <v>167</v>
      </c>
      <c r="D9" s="465" t="s">
        <v>165</v>
      </c>
      <c r="E9" s="463" t="s">
        <v>45</v>
      </c>
      <c r="F9" s="424">
        <v>0</v>
      </c>
      <c r="G9" s="424">
        <v>0</v>
      </c>
      <c r="H9" s="424">
        <v>0</v>
      </c>
      <c r="I9" s="424">
        <v>0</v>
      </c>
      <c r="J9" s="424">
        <v>0</v>
      </c>
      <c r="K9" s="424">
        <v>0</v>
      </c>
      <c r="L9" s="426">
        <v>0</v>
      </c>
    </row>
    <row r="10" spans="1:13" ht="15.6">
      <c r="A10" s="30"/>
      <c r="B10" s="533" t="s">
        <v>168</v>
      </c>
      <c r="C10" s="463" t="s">
        <v>169</v>
      </c>
      <c r="D10" s="465" t="s">
        <v>165</v>
      </c>
      <c r="E10" s="463" t="s">
        <v>45</v>
      </c>
      <c r="F10" s="424">
        <v>0</v>
      </c>
      <c r="G10" s="424">
        <v>0</v>
      </c>
      <c r="H10" s="424">
        <v>0</v>
      </c>
      <c r="I10" s="424">
        <v>0</v>
      </c>
      <c r="J10" s="424">
        <v>0</v>
      </c>
      <c r="K10" s="424">
        <v>0</v>
      </c>
      <c r="L10" s="426">
        <v>0</v>
      </c>
    </row>
    <row r="11" spans="1:13" ht="15.6">
      <c r="A11" s="30"/>
      <c r="B11" s="533" t="s">
        <v>170</v>
      </c>
      <c r="C11" s="463" t="s">
        <v>171</v>
      </c>
      <c r="D11" s="465" t="s">
        <v>165</v>
      </c>
      <c r="E11" s="463" t="s">
        <v>45</v>
      </c>
      <c r="F11" s="424">
        <v>-83808.66</v>
      </c>
      <c r="G11" s="424">
        <v>-83808.66</v>
      </c>
      <c r="H11" s="424">
        <v>-5825.24</v>
      </c>
      <c r="I11" s="424">
        <v>0</v>
      </c>
      <c r="J11" s="424">
        <v>0</v>
      </c>
      <c r="K11" s="424">
        <v>-77983.42</v>
      </c>
      <c r="L11" s="426">
        <v>0</v>
      </c>
    </row>
    <row r="12" spans="1:13" ht="15.6">
      <c r="A12" s="30"/>
      <c r="B12" s="533" t="s">
        <v>172</v>
      </c>
      <c r="C12" s="463" t="s">
        <v>173</v>
      </c>
      <c r="D12" s="465" t="s">
        <v>165</v>
      </c>
      <c r="E12" s="463" t="s">
        <v>45</v>
      </c>
      <c r="F12" s="424">
        <v>-20000</v>
      </c>
      <c r="G12" s="424">
        <v>-20000</v>
      </c>
      <c r="H12" s="424">
        <v>-20000</v>
      </c>
      <c r="I12" s="424">
        <v>0</v>
      </c>
      <c r="J12" s="424">
        <v>0</v>
      </c>
      <c r="K12" s="424">
        <v>0</v>
      </c>
      <c r="L12" s="426">
        <v>0</v>
      </c>
    </row>
    <row r="13" spans="1:13" ht="15.6">
      <c r="B13" s="466" t="s">
        <v>174</v>
      </c>
      <c r="C13" s="465" t="s">
        <v>175</v>
      </c>
      <c r="D13" s="465" t="s">
        <v>165</v>
      </c>
      <c r="E13" s="463" t="s">
        <v>45</v>
      </c>
      <c r="F13" s="425">
        <v>0</v>
      </c>
      <c r="G13" s="425">
        <v>0</v>
      </c>
      <c r="H13" s="425">
        <v>0</v>
      </c>
      <c r="I13" s="425">
        <v>0</v>
      </c>
      <c r="J13" s="425">
        <v>0</v>
      </c>
      <c r="K13" s="425">
        <v>0</v>
      </c>
      <c r="L13" s="427">
        <v>0</v>
      </c>
    </row>
    <row r="14" spans="1:13" ht="15.6">
      <c r="B14" s="466" t="s">
        <v>176</v>
      </c>
      <c r="C14" s="465" t="s">
        <v>177</v>
      </c>
      <c r="D14" s="465" t="s">
        <v>165</v>
      </c>
      <c r="E14" s="463" t="s">
        <v>45</v>
      </c>
      <c r="F14" s="425">
        <v>-70000</v>
      </c>
      <c r="G14" s="425">
        <v>-70000</v>
      </c>
      <c r="H14" s="425">
        <v>0</v>
      </c>
      <c r="I14" s="425">
        <v>-67961.17</v>
      </c>
      <c r="J14" s="425">
        <v>-2038.83</v>
      </c>
      <c r="K14" s="425">
        <v>0</v>
      </c>
      <c r="L14" s="427">
        <v>0</v>
      </c>
    </row>
    <row r="15" spans="1:13" ht="15.6">
      <c r="B15" s="466" t="s">
        <v>178</v>
      </c>
      <c r="C15" s="465" t="s">
        <v>179</v>
      </c>
      <c r="D15" s="465" t="s">
        <v>165</v>
      </c>
      <c r="E15" s="463" t="s">
        <v>45</v>
      </c>
      <c r="F15" s="425">
        <v>-300000</v>
      </c>
      <c r="G15" s="425">
        <v>-300000</v>
      </c>
      <c r="H15" s="425">
        <v>0</v>
      </c>
      <c r="I15" s="425">
        <v>0</v>
      </c>
      <c r="J15" s="425">
        <v>0</v>
      </c>
      <c r="K15" s="425">
        <v>-300000</v>
      </c>
      <c r="L15" s="427">
        <v>0</v>
      </c>
    </row>
    <row r="16" spans="1:13" ht="15.6">
      <c r="B16" s="466" t="s">
        <v>180</v>
      </c>
      <c r="C16" s="465" t="s">
        <v>181</v>
      </c>
      <c r="D16" s="465" t="s">
        <v>165</v>
      </c>
      <c r="E16" s="463" t="s">
        <v>45</v>
      </c>
      <c r="F16" s="425">
        <v>-63000</v>
      </c>
      <c r="G16" s="425">
        <v>-63000</v>
      </c>
      <c r="H16" s="425">
        <v>-63000</v>
      </c>
      <c r="I16" s="425">
        <v>0</v>
      </c>
      <c r="J16" s="425">
        <v>0</v>
      </c>
      <c r="K16" s="425">
        <v>0</v>
      </c>
      <c r="L16" s="427">
        <v>0</v>
      </c>
    </row>
    <row r="17" spans="2:12" ht="15.6">
      <c r="B17" s="466" t="s">
        <v>182</v>
      </c>
      <c r="C17" s="465" t="s">
        <v>183</v>
      </c>
      <c r="D17" s="465" t="s">
        <v>165</v>
      </c>
      <c r="E17" s="463" t="s">
        <v>45</v>
      </c>
      <c r="F17" s="425">
        <v>-60000</v>
      </c>
      <c r="G17" s="425">
        <v>-60000</v>
      </c>
      <c r="H17" s="425">
        <v>0</v>
      </c>
      <c r="I17" s="425">
        <v>0</v>
      </c>
      <c r="J17" s="425">
        <v>0</v>
      </c>
      <c r="K17" s="425">
        <v>0</v>
      </c>
      <c r="L17" s="427">
        <v>-60000</v>
      </c>
    </row>
    <row r="18" spans="2:12" ht="15.6">
      <c r="B18" s="466" t="s">
        <v>184</v>
      </c>
      <c r="C18" s="465" t="s">
        <v>185</v>
      </c>
      <c r="D18" s="465" t="s">
        <v>165</v>
      </c>
      <c r="E18" s="463" t="s">
        <v>45</v>
      </c>
      <c r="F18" s="425">
        <v>-150000</v>
      </c>
      <c r="G18" s="425">
        <v>-150000</v>
      </c>
      <c r="H18" s="425">
        <v>0</v>
      </c>
      <c r="I18" s="425">
        <v>-150000</v>
      </c>
      <c r="J18" s="425">
        <v>0</v>
      </c>
      <c r="K18" s="425">
        <v>0</v>
      </c>
      <c r="L18" s="427">
        <v>0</v>
      </c>
    </row>
    <row r="19" spans="2:12" ht="15.6">
      <c r="B19" s="466" t="s">
        <v>186</v>
      </c>
      <c r="C19" s="465" t="s">
        <v>187</v>
      </c>
      <c r="D19" s="465" t="s">
        <v>165</v>
      </c>
      <c r="E19" s="463" t="s">
        <v>45</v>
      </c>
      <c r="F19" s="425">
        <v>-1548369.2</v>
      </c>
      <c r="G19" s="425">
        <v>-1548369.2</v>
      </c>
      <c r="H19" s="425">
        <v>-304077.67</v>
      </c>
      <c r="I19" s="425">
        <v>-287140</v>
      </c>
      <c r="J19" s="425">
        <v>-880136.38</v>
      </c>
      <c r="K19" s="425">
        <v>0</v>
      </c>
      <c r="L19" s="427">
        <v>-77015.149999999994</v>
      </c>
    </row>
    <row r="20" spans="2:12" ht="15.6">
      <c r="B20" s="466" t="s">
        <v>188</v>
      </c>
      <c r="C20" s="465" t="s">
        <v>189</v>
      </c>
      <c r="D20" s="465" t="s">
        <v>165</v>
      </c>
      <c r="E20" s="463" t="s">
        <v>45</v>
      </c>
      <c r="F20" s="425">
        <v>0</v>
      </c>
      <c r="G20" s="425">
        <v>0</v>
      </c>
      <c r="H20" s="425">
        <v>0</v>
      </c>
      <c r="I20" s="425">
        <v>0</v>
      </c>
      <c r="J20" s="425">
        <v>0</v>
      </c>
      <c r="K20" s="425">
        <v>0</v>
      </c>
      <c r="L20" s="427">
        <v>0</v>
      </c>
    </row>
    <row r="21" spans="2:12" ht="15.6">
      <c r="B21" s="466" t="s">
        <v>190</v>
      </c>
      <c r="C21" s="465" t="s">
        <v>191</v>
      </c>
      <c r="D21" s="465" t="s">
        <v>165</v>
      </c>
      <c r="E21" s="463" t="s">
        <v>45</v>
      </c>
      <c r="F21" s="425">
        <v>-280000</v>
      </c>
      <c r="G21" s="425">
        <v>-280000</v>
      </c>
      <c r="H21" s="425">
        <v>-280000</v>
      </c>
      <c r="I21" s="425">
        <v>0</v>
      </c>
      <c r="J21" s="425">
        <v>0</v>
      </c>
      <c r="K21" s="425">
        <v>0</v>
      </c>
      <c r="L21" s="427">
        <v>0</v>
      </c>
    </row>
    <row r="22" spans="2:12" ht="15.6">
      <c r="B22" s="466" t="s">
        <v>192</v>
      </c>
      <c r="C22" s="465" t="s">
        <v>193</v>
      </c>
      <c r="D22" s="465" t="s">
        <v>165</v>
      </c>
      <c r="E22" s="463" t="s">
        <v>45</v>
      </c>
      <c r="F22" s="425">
        <v>-250000</v>
      </c>
      <c r="G22" s="425">
        <v>-250000</v>
      </c>
      <c r="H22" s="425">
        <v>0</v>
      </c>
      <c r="I22" s="425">
        <v>-250000</v>
      </c>
      <c r="J22" s="425">
        <v>0</v>
      </c>
      <c r="K22" s="425">
        <v>0</v>
      </c>
      <c r="L22" s="427">
        <v>0</v>
      </c>
    </row>
    <row r="23" spans="2:12" ht="15.6">
      <c r="B23" s="466" t="s">
        <v>194</v>
      </c>
      <c r="C23" s="465" t="s">
        <v>195</v>
      </c>
      <c r="D23" s="465" t="s">
        <v>165</v>
      </c>
      <c r="E23" s="463" t="s">
        <v>45</v>
      </c>
      <c r="F23" s="425">
        <v>-120000</v>
      </c>
      <c r="G23" s="425">
        <v>-120000</v>
      </c>
      <c r="H23" s="425">
        <v>0</v>
      </c>
      <c r="I23" s="425">
        <v>-120000</v>
      </c>
      <c r="J23" s="425">
        <v>0</v>
      </c>
      <c r="K23" s="425">
        <v>0</v>
      </c>
      <c r="L23" s="427">
        <v>0</v>
      </c>
    </row>
    <row r="24" spans="2:12" ht="15.6">
      <c r="B24" s="466" t="s">
        <v>196</v>
      </c>
      <c r="C24" s="465" t="s">
        <v>197</v>
      </c>
      <c r="D24" s="465" t="s">
        <v>165</v>
      </c>
      <c r="E24" s="463" t="s">
        <v>45</v>
      </c>
      <c r="F24" s="425">
        <v>-196720.65</v>
      </c>
      <c r="G24" s="425">
        <v>-196720.65</v>
      </c>
      <c r="H24" s="425">
        <v>0</v>
      </c>
      <c r="I24" s="425">
        <v>-167286.69</v>
      </c>
      <c r="J24" s="425">
        <v>0</v>
      </c>
      <c r="K24" s="425">
        <v>-29433.96</v>
      </c>
      <c r="L24" s="427">
        <v>0</v>
      </c>
    </row>
    <row r="25" spans="2:12" ht="15.6">
      <c r="B25" s="466" t="s">
        <v>198</v>
      </c>
      <c r="C25" s="465" t="s">
        <v>199</v>
      </c>
      <c r="D25" s="465" t="s">
        <v>165</v>
      </c>
      <c r="E25" s="463" t="s">
        <v>45</v>
      </c>
      <c r="F25" s="425">
        <v>-16000</v>
      </c>
      <c r="G25" s="425">
        <v>-16000</v>
      </c>
      <c r="H25" s="425">
        <v>0</v>
      </c>
      <c r="I25" s="425">
        <v>-16000</v>
      </c>
      <c r="J25" s="425">
        <v>0</v>
      </c>
      <c r="K25" s="425">
        <v>0</v>
      </c>
      <c r="L25" s="427">
        <v>0</v>
      </c>
    </row>
    <row r="26" spans="2:12" ht="15.6">
      <c r="B26" s="466" t="s">
        <v>200</v>
      </c>
      <c r="C26" s="465" t="s">
        <v>201</v>
      </c>
      <c r="D26" s="465" t="s">
        <v>165</v>
      </c>
      <c r="E26" s="463" t="s">
        <v>45</v>
      </c>
      <c r="F26" s="425">
        <v>-2957254.19</v>
      </c>
      <c r="G26" s="425">
        <v>-2957254.19</v>
      </c>
      <c r="H26" s="425">
        <v>-1724151.3</v>
      </c>
      <c r="I26" s="425">
        <v>-24000</v>
      </c>
      <c r="J26" s="425">
        <v>99558.65</v>
      </c>
      <c r="K26" s="425">
        <v>0</v>
      </c>
      <c r="L26" s="427">
        <v>-1308661.54</v>
      </c>
    </row>
    <row r="27" spans="2:12" ht="15.6">
      <c r="B27" s="466" t="s">
        <v>202</v>
      </c>
      <c r="C27" s="465" t="s">
        <v>203</v>
      </c>
      <c r="D27" s="465" t="s">
        <v>165</v>
      </c>
      <c r="E27" s="463" t="s">
        <v>45</v>
      </c>
      <c r="F27" s="425">
        <v>-31200.5</v>
      </c>
      <c r="G27" s="425">
        <v>-31200.5</v>
      </c>
      <c r="H27" s="425">
        <v>-31200</v>
      </c>
      <c r="I27" s="425">
        <v>-0.5</v>
      </c>
      <c r="J27" s="425">
        <v>0</v>
      </c>
      <c r="K27" s="425">
        <v>0</v>
      </c>
      <c r="L27" s="427">
        <v>0</v>
      </c>
    </row>
    <row r="28" spans="2:12" ht="15.6">
      <c r="B28" s="466" t="s">
        <v>204</v>
      </c>
      <c r="C28" s="465" t="s">
        <v>205</v>
      </c>
      <c r="D28" s="465" t="s">
        <v>165</v>
      </c>
      <c r="E28" s="463" t="s">
        <v>45</v>
      </c>
      <c r="F28" s="425">
        <v>-178941.75</v>
      </c>
      <c r="G28" s="425">
        <v>-178941.75</v>
      </c>
      <c r="H28" s="425">
        <v>0</v>
      </c>
      <c r="I28" s="425">
        <v>-134941.75</v>
      </c>
      <c r="J28" s="425">
        <v>-44000</v>
      </c>
      <c r="K28" s="425">
        <v>0</v>
      </c>
      <c r="L28" s="427">
        <v>0</v>
      </c>
    </row>
    <row r="29" spans="2:12" ht="15.6">
      <c r="B29" s="466" t="s">
        <v>206</v>
      </c>
      <c r="C29" s="465" t="s">
        <v>207</v>
      </c>
      <c r="D29" s="465" t="s">
        <v>165</v>
      </c>
      <c r="E29" s="463" t="s">
        <v>45</v>
      </c>
      <c r="F29" s="425">
        <v>-218257.42</v>
      </c>
      <c r="G29" s="425">
        <v>-218257.42</v>
      </c>
      <c r="H29" s="425">
        <v>-174257.42</v>
      </c>
      <c r="I29" s="425">
        <v>-44000</v>
      </c>
      <c r="J29" s="425">
        <v>0</v>
      </c>
      <c r="K29" s="425">
        <v>0</v>
      </c>
      <c r="L29" s="427">
        <v>0</v>
      </c>
    </row>
    <row r="30" spans="2:12" ht="15.6">
      <c r="B30" s="466" t="s">
        <v>208</v>
      </c>
      <c r="C30" s="465" t="s">
        <v>209</v>
      </c>
      <c r="D30" s="465" t="s">
        <v>165</v>
      </c>
      <c r="E30" s="463" t="s">
        <v>45</v>
      </c>
      <c r="F30" s="425">
        <v>-270000</v>
      </c>
      <c r="G30" s="425">
        <v>-270000</v>
      </c>
      <c r="H30" s="425">
        <v>0</v>
      </c>
      <c r="I30" s="425">
        <v>0</v>
      </c>
      <c r="J30" s="425">
        <v>-270000</v>
      </c>
      <c r="K30" s="425">
        <v>0</v>
      </c>
      <c r="L30" s="427">
        <v>0</v>
      </c>
    </row>
    <row r="31" spans="2:12" ht="15.6">
      <c r="B31" s="466" t="s">
        <v>210</v>
      </c>
      <c r="C31" s="465" t="s">
        <v>211</v>
      </c>
      <c r="D31" s="465" t="s">
        <v>165</v>
      </c>
      <c r="E31" s="463" t="s">
        <v>45</v>
      </c>
      <c r="F31" s="425">
        <v>-56000</v>
      </c>
      <c r="G31" s="425">
        <v>-56000</v>
      </c>
      <c r="H31" s="425">
        <v>0</v>
      </c>
      <c r="I31" s="425">
        <v>0</v>
      </c>
      <c r="J31" s="425">
        <v>0</v>
      </c>
      <c r="K31" s="425">
        <v>0</v>
      </c>
      <c r="L31" s="427">
        <v>-56000</v>
      </c>
    </row>
    <row r="32" spans="2:12" ht="15.6">
      <c r="B32" s="466" t="s">
        <v>212</v>
      </c>
      <c r="C32" s="465" t="s">
        <v>213</v>
      </c>
      <c r="D32" s="465" t="s">
        <v>165</v>
      </c>
      <c r="E32" s="463" t="s">
        <v>45</v>
      </c>
      <c r="F32" s="425">
        <v>-52000</v>
      </c>
      <c r="G32" s="425">
        <v>-52000</v>
      </c>
      <c r="H32" s="425">
        <v>0</v>
      </c>
      <c r="I32" s="425">
        <v>0</v>
      </c>
      <c r="J32" s="425">
        <v>-52000</v>
      </c>
      <c r="K32" s="425">
        <v>0</v>
      </c>
      <c r="L32" s="427">
        <v>0</v>
      </c>
    </row>
    <row r="33" spans="2:12" ht="15.6">
      <c r="B33" s="466" t="s">
        <v>214</v>
      </c>
      <c r="C33" s="465" t="s">
        <v>215</v>
      </c>
      <c r="D33" s="465" t="s">
        <v>165</v>
      </c>
      <c r="E33" s="463" t="s">
        <v>45</v>
      </c>
      <c r="F33" s="425">
        <v>-513000</v>
      </c>
      <c r="G33" s="425">
        <v>-513000</v>
      </c>
      <c r="H33" s="425">
        <v>0</v>
      </c>
      <c r="I33" s="425">
        <v>0</v>
      </c>
      <c r="J33" s="425">
        <v>-183000</v>
      </c>
      <c r="K33" s="425">
        <v>-330000</v>
      </c>
      <c r="L33" s="427">
        <v>0</v>
      </c>
    </row>
    <row r="34" spans="2:12" ht="15.6">
      <c r="B34" s="466" t="s">
        <v>216</v>
      </c>
      <c r="C34" s="465" t="s">
        <v>217</v>
      </c>
      <c r="D34" s="465" t="s">
        <v>165</v>
      </c>
      <c r="E34" s="463" t="s">
        <v>45</v>
      </c>
      <c r="F34" s="425">
        <v>0</v>
      </c>
      <c r="G34" s="425">
        <v>0</v>
      </c>
      <c r="H34" s="425">
        <v>0</v>
      </c>
      <c r="I34" s="425">
        <v>0</v>
      </c>
      <c r="J34" s="425">
        <v>0</v>
      </c>
      <c r="K34" s="425">
        <v>0</v>
      </c>
      <c r="L34" s="427">
        <v>0</v>
      </c>
    </row>
    <row r="35" spans="2:12" ht="15.6">
      <c r="B35" s="466" t="s">
        <v>218</v>
      </c>
      <c r="C35" s="465" t="s">
        <v>219</v>
      </c>
      <c r="D35" s="465" t="s">
        <v>165</v>
      </c>
      <c r="E35" s="463" t="s">
        <v>45</v>
      </c>
      <c r="F35" s="425">
        <v>0</v>
      </c>
      <c r="G35" s="425">
        <v>0</v>
      </c>
      <c r="H35" s="425">
        <v>0</v>
      </c>
      <c r="I35" s="425">
        <v>0</v>
      </c>
      <c r="J35" s="425">
        <v>0</v>
      </c>
      <c r="K35" s="425">
        <v>0</v>
      </c>
      <c r="L35" s="427">
        <v>0</v>
      </c>
    </row>
    <row r="36" spans="2:12" ht="15.6">
      <c r="B36" s="466" t="s">
        <v>220</v>
      </c>
      <c r="C36" s="465" t="s">
        <v>221</v>
      </c>
      <c r="D36" s="465" t="s">
        <v>165</v>
      </c>
      <c r="E36" s="463" t="s">
        <v>45</v>
      </c>
      <c r="F36" s="425">
        <v>0</v>
      </c>
      <c r="G36" s="425">
        <v>0</v>
      </c>
      <c r="H36" s="425">
        <v>0</v>
      </c>
      <c r="I36" s="425">
        <v>0</v>
      </c>
      <c r="J36" s="425">
        <v>0</v>
      </c>
      <c r="K36" s="425">
        <v>0</v>
      </c>
      <c r="L36" s="427">
        <v>0</v>
      </c>
    </row>
    <row r="37" spans="2:12" ht="15.6">
      <c r="B37" s="466" t="s">
        <v>222</v>
      </c>
      <c r="C37" s="465" t="s">
        <v>223</v>
      </c>
      <c r="D37" s="465" t="s">
        <v>165</v>
      </c>
      <c r="E37" s="463" t="s">
        <v>45</v>
      </c>
      <c r="F37" s="425">
        <v>0</v>
      </c>
      <c r="G37" s="425">
        <v>0</v>
      </c>
      <c r="H37" s="425">
        <v>0</v>
      </c>
      <c r="I37" s="425">
        <v>0</v>
      </c>
      <c r="J37" s="425">
        <v>0</v>
      </c>
      <c r="K37" s="425">
        <v>0</v>
      </c>
      <c r="L37" s="427">
        <v>0</v>
      </c>
    </row>
    <row r="38" spans="2:12" ht="15.6">
      <c r="B38" s="466" t="s">
        <v>224</v>
      </c>
      <c r="C38" s="465" t="s">
        <v>225</v>
      </c>
      <c r="D38" s="465" t="s">
        <v>165</v>
      </c>
      <c r="E38" s="463" t="s">
        <v>45</v>
      </c>
      <c r="F38" s="425">
        <v>-41927.32</v>
      </c>
      <c r="G38" s="425">
        <v>-41927.32</v>
      </c>
      <c r="H38" s="425">
        <v>0</v>
      </c>
      <c r="I38" s="425">
        <v>-7161.3</v>
      </c>
      <c r="J38" s="425">
        <v>-34766.019999999997</v>
      </c>
      <c r="K38" s="425">
        <v>0</v>
      </c>
      <c r="L38" s="427">
        <v>0</v>
      </c>
    </row>
    <row r="39" spans="2:12" ht="15.6">
      <c r="B39" s="466" t="s">
        <v>226</v>
      </c>
      <c r="C39" s="465" t="s">
        <v>227</v>
      </c>
      <c r="D39" s="465" t="s">
        <v>165</v>
      </c>
      <c r="E39" s="463" t="s">
        <v>45</v>
      </c>
      <c r="F39" s="425">
        <v>-272513.37</v>
      </c>
      <c r="G39" s="425">
        <v>-272513.37</v>
      </c>
      <c r="H39" s="425">
        <v>-178896.63</v>
      </c>
      <c r="I39" s="425">
        <v>-77366.600000000006</v>
      </c>
      <c r="J39" s="425">
        <v>-16250.14</v>
      </c>
      <c r="K39" s="425">
        <v>0</v>
      </c>
      <c r="L39" s="427">
        <v>0</v>
      </c>
    </row>
    <row r="40" spans="2:12" ht="15.6">
      <c r="B40" s="466" t="s">
        <v>228</v>
      </c>
      <c r="C40" s="465" t="s">
        <v>229</v>
      </c>
      <c r="D40" s="465" t="s">
        <v>165</v>
      </c>
      <c r="E40" s="463" t="s">
        <v>45</v>
      </c>
      <c r="F40" s="425">
        <v>-1300000</v>
      </c>
      <c r="G40" s="425">
        <v>-1300000</v>
      </c>
      <c r="H40" s="425">
        <v>0</v>
      </c>
      <c r="I40" s="425">
        <v>-1300000</v>
      </c>
      <c r="J40" s="425">
        <v>0</v>
      </c>
      <c r="K40" s="425">
        <v>0</v>
      </c>
      <c r="L40" s="427">
        <v>0</v>
      </c>
    </row>
    <row r="41" spans="2:12" ht="15.6">
      <c r="B41" s="466" t="s">
        <v>230</v>
      </c>
      <c r="C41" s="465" t="s">
        <v>231</v>
      </c>
      <c r="D41" s="465" t="s">
        <v>165</v>
      </c>
      <c r="E41" s="463" t="s">
        <v>45</v>
      </c>
      <c r="F41" s="425">
        <v>-82964.600000000006</v>
      </c>
      <c r="G41" s="425">
        <v>-82964.600000000006</v>
      </c>
      <c r="H41" s="425">
        <v>0</v>
      </c>
      <c r="I41" s="425">
        <v>0</v>
      </c>
      <c r="J41" s="425">
        <v>0</v>
      </c>
      <c r="K41" s="425">
        <v>0</v>
      </c>
      <c r="L41" s="427">
        <v>-82964.600000000006</v>
      </c>
    </row>
    <row r="42" spans="2:12" ht="15.6">
      <c r="B42" s="466" t="s">
        <v>232</v>
      </c>
      <c r="C42" s="465" t="s">
        <v>233</v>
      </c>
      <c r="D42" s="465" t="s">
        <v>165</v>
      </c>
      <c r="E42" s="463" t="s">
        <v>45</v>
      </c>
      <c r="F42" s="425">
        <v>-12150</v>
      </c>
      <c r="G42" s="425">
        <v>-12150</v>
      </c>
      <c r="H42" s="425">
        <v>0</v>
      </c>
      <c r="I42" s="425">
        <v>0</v>
      </c>
      <c r="J42" s="425">
        <v>0</v>
      </c>
      <c r="K42" s="425">
        <v>0</v>
      </c>
      <c r="L42" s="427">
        <v>-12150</v>
      </c>
    </row>
    <row r="43" spans="2:12" ht="15.6">
      <c r="B43" s="466" t="s">
        <v>234</v>
      </c>
      <c r="C43" s="465" t="s">
        <v>235</v>
      </c>
      <c r="D43" s="465" t="s">
        <v>165</v>
      </c>
      <c r="E43" s="463" t="s">
        <v>45</v>
      </c>
      <c r="F43" s="425">
        <v>-48500</v>
      </c>
      <c r="G43" s="425">
        <v>-48500</v>
      </c>
      <c r="H43" s="425">
        <v>0</v>
      </c>
      <c r="I43" s="425">
        <v>0</v>
      </c>
      <c r="J43" s="425">
        <v>0</v>
      </c>
      <c r="K43" s="425">
        <v>0</v>
      </c>
      <c r="L43" s="427">
        <v>-48500</v>
      </c>
    </row>
    <row r="44" spans="2:12" ht="15.6">
      <c r="B44" s="466" t="s">
        <v>236</v>
      </c>
      <c r="C44" s="465" t="s">
        <v>237</v>
      </c>
      <c r="D44" s="465" t="s">
        <v>165</v>
      </c>
      <c r="E44" s="463" t="s">
        <v>45</v>
      </c>
      <c r="F44" s="425">
        <v>-3280</v>
      </c>
      <c r="G44" s="425">
        <v>-3280</v>
      </c>
      <c r="H44" s="425">
        <v>0</v>
      </c>
      <c r="I44" s="425">
        <v>-3280</v>
      </c>
      <c r="J44" s="425">
        <v>0</v>
      </c>
      <c r="K44" s="425">
        <v>0</v>
      </c>
      <c r="L44" s="427">
        <v>0</v>
      </c>
    </row>
    <row r="45" spans="2:12" ht="15.6">
      <c r="B45" s="466" t="s">
        <v>238</v>
      </c>
      <c r="C45" s="465" t="s">
        <v>239</v>
      </c>
      <c r="D45" s="465" t="s">
        <v>165</v>
      </c>
      <c r="E45" s="463" t="s">
        <v>45</v>
      </c>
      <c r="F45" s="425">
        <v>-184905.66</v>
      </c>
      <c r="G45" s="425">
        <v>-184905.66</v>
      </c>
      <c r="H45" s="425">
        <v>0</v>
      </c>
      <c r="I45" s="425">
        <v>0</v>
      </c>
      <c r="J45" s="425">
        <v>-184905.66</v>
      </c>
      <c r="K45" s="425">
        <v>0</v>
      </c>
      <c r="L45" s="427">
        <v>0</v>
      </c>
    </row>
    <row r="46" spans="2:12" ht="15.6">
      <c r="B46" s="466" t="s">
        <v>240</v>
      </c>
      <c r="C46" s="465" t="s">
        <v>241</v>
      </c>
      <c r="D46" s="465" t="s">
        <v>165</v>
      </c>
      <c r="E46" s="463" t="s">
        <v>45</v>
      </c>
      <c r="F46" s="425">
        <v>-159600</v>
      </c>
      <c r="G46" s="425">
        <v>-159600</v>
      </c>
      <c r="H46" s="425">
        <v>-159600</v>
      </c>
      <c r="I46" s="425">
        <v>0</v>
      </c>
      <c r="J46" s="425">
        <v>0</v>
      </c>
      <c r="K46" s="425">
        <v>0</v>
      </c>
      <c r="L46" s="427">
        <v>0</v>
      </c>
    </row>
    <row r="47" spans="2:12" ht="15.6">
      <c r="B47" s="466" t="s">
        <v>242</v>
      </c>
      <c r="C47" s="465" t="s">
        <v>243</v>
      </c>
      <c r="D47" s="465" t="s">
        <v>165</v>
      </c>
      <c r="E47" s="463" t="s">
        <v>45</v>
      </c>
      <c r="F47" s="425">
        <v>-75471.7</v>
      </c>
      <c r="G47" s="425">
        <v>-75471.7</v>
      </c>
      <c r="H47" s="425">
        <v>0</v>
      </c>
      <c r="I47" s="425">
        <v>0</v>
      </c>
      <c r="J47" s="425">
        <v>-75471.7</v>
      </c>
      <c r="K47" s="425">
        <v>0</v>
      </c>
      <c r="L47" s="427">
        <v>0</v>
      </c>
    </row>
    <row r="48" spans="2:12" ht="15.6">
      <c r="B48" s="466" t="s">
        <v>244</v>
      </c>
      <c r="C48" s="465" t="s">
        <v>245</v>
      </c>
      <c r="D48" s="465" t="s">
        <v>165</v>
      </c>
      <c r="E48" s="463" t="s">
        <v>45</v>
      </c>
      <c r="F48" s="425">
        <v>-75471.7</v>
      </c>
      <c r="G48" s="425">
        <v>-75471.7</v>
      </c>
      <c r="H48" s="425">
        <v>0</v>
      </c>
      <c r="I48" s="425">
        <v>0</v>
      </c>
      <c r="J48" s="425">
        <v>0</v>
      </c>
      <c r="K48" s="425">
        <v>0</v>
      </c>
      <c r="L48" s="427">
        <v>-75471.7</v>
      </c>
    </row>
    <row r="49" spans="2:12" ht="15.6">
      <c r="B49" s="466" t="s">
        <v>246</v>
      </c>
      <c r="C49" s="465" t="s">
        <v>247</v>
      </c>
      <c r="D49" s="465" t="s">
        <v>165</v>
      </c>
      <c r="E49" s="463" t="s">
        <v>45</v>
      </c>
      <c r="F49" s="425">
        <v>-761590.16</v>
      </c>
      <c r="G49" s="425">
        <v>-761590.16</v>
      </c>
      <c r="H49" s="425">
        <v>-154253.56</v>
      </c>
      <c r="I49" s="425">
        <v>0</v>
      </c>
      <c r="J49" s="425">
        <v>-249500</v>
      </c>
      <c r="K49" s="425">
        <v>-357836.6</v>
      </c>
      <c r="L49" s="427">
        <v>0</v>
      </c>
    </row>
    <row r="50" spans="2:12" ht="15.6">
      <c r="B50" s="466" t="s">
        <v>248</v>
      </c>
      <c r="C50" s="465" t="s">
        <v>249</v>
      </c>
      <c r="D50" s="465" t="s">
        <v>165</v>
      </c>
      <c r="E50" s="463" t="s">
        <v>45</v>
      </c>
      <c r="F50" s="425">
        <v>0</v>
      </c>
      <c r="G50" s="425">
        <v>0</v>
      </c>
      <c r="H50" s="425">
        <v>0</v>
      </c>
      <c r="I50" s="425">
        <v>0</v>
      </c>
      <c r="J50" s="425">
        <v>0</v>
      </c>
      <c r="K50" s="425">
        <v>0</v>
      </c>
      <c r="L50" s="427">
        <v>0</v>
      </c>
    </row>
    <row r="51" spans="2:12" ht="15.6">
      <c r="B51" s="466" t="s">
        <v>250</v>
      </c>
      <c r="C51" s="465" t="s">
        <v>251</v>
      </c>
      <c r="D51" s="465" t="s">
        <v>165</v>
      </c>
      <c r="E51" s="463" t="s">
        <v>45</v>
      </c>
      <c r="F51" s="425">
        <v>-286716.2</v>
      </c>
      <c r="G51" s="425">
        <v>-286716.2</v>
      </c>
      <c r="H51" s="425">
        <v>-224681</v>
      </c>
      <c r="I51" s="425">
        <v>-60333.2</v>
      </c>
      <c r="J51" s="425">
        <v>-1702</v>
      </c>
      <c r="K51" s="425">
        <v>0</v>
      </c>
      <c r="L51" s="427">
        <v>0</v>
      </c>
    </row>
    <row r="52" spans="2:12" ht="15.6">
      <c r="B52" s="466" t="s">
        <v>252</v>
      </c>
      <c r="C52" s="465" t="s">
        <v>253</v>
      </c>
      <c r="D52" s="465" t="s">
        <v>165</v>
      </c>
      <c r="E52" s="463" t="s">
        <v>45</v>
      </c>
      <c r="F52" s="425">
        <v>-218410.85</v>
      </c>
      <c r="G52" s="425">
        <v>-218410.85</v>
      </c>
      <c r="H52" s="425">
        <v>-94811.32</v>
      </c>
      <c r="I52" s="425">
        <v>0</v>
      </c>
      <c r="J52" s="425">
        <v>-9433.9599999999991</v>
      </c>
      <c r="K52" s="425">
        <v>0</v>
      </c>
      <c r="L52" s="427">
        <v>-114165.57</v>
      </c>
    </row>
    <row r="53" spans="2:12" ht="15.6">
      <c r="B53" s="466" t="s">
        <v>254</v>
      </c>
      <c r="C53" s="465" t="s">
        <v>255</v>
      </c>
      <c r="D53" s="465" t="s">
        <v>165</v>
      </c>
      <c r="E53" s="463" t="s">
        <v>45</v>
      </c>
      <c r="F53" s="425">
        <v>-98058.25</v>
      </c>
      <c r="G53" s="425">
        <v>-98058.25</v>
      </c>
      <c r="H53" s="425">
        <v>-92233.01</v>
      </c>
      <c r="I53" s="425">
        <v>-5825.24</v>
      </c>
      <c r="J53" s="425">
        <v>0</v>
      </c>
      <c r="K53" s="425">
        <v>0</v>
      </c>
      <c r="L53" s="427">
        <v>0</v>
      </c>
    </row>
    <row r="54" spans="2:12" ht="15.6">
      <c r="B54" s="466" t="s">
        <v>256</v>
      </c>
      <c r="C54" s="465" t="s">
        <v>257</v>
      </c>
      <c r="D54" s="465" t="s">
        <v>165</v>
      </c>
      <c r="E54" s="463" t="s">
        <v>45</v>
      </c>
      <c r="F54" s="425">
        <v>-5825.24</v>
      </c>
      <c r="G54" s="425">
        <v>-5825.24</v>
      </c>
      <c r="H54" s="425">
        <v>0</v>
      </c>
      <c r="I54" s="425">
        <v>0</v>
      </c>
      <c r="J54" s="425">
        <v>-5825.24</v>
      </c>
      <c r="K54" s="425">
        <v>0</v>
      </c>
      <c r="L54" s="427">
        <v>0</v>
      </c>
    </row>
    <row r="55" spans="2:12" ht="15.6">
      <c r="B55" s="466" t="s">
        <v>258</v>
      </c>
      <c r="C55" s="465" t="s">
        <v>259</v>
      </c>
      <c r="D55" s="465" t="s">
        <v>165</v>
      </c>
      <c r="E55" s="463" t="s">
        <v>45</v>
      </c>
      <c r="F55" s="425">
        <v>0</v>
      </c>
      <c r="G55" s="425">
        <v>0</v>
      </c>
      <c r="H55" s="425">
        <v>0</v>
      </c>
      <c r="I55" s="425">
        <v>0</v>
      </c>
      <c r="J55" s="425">
        <v>0</v>
      </c>
      <c r="K55" s="425">
        <v>0</v>
      </c>
      <c r="L55" s="427">
        <v>0</v>
      </c>
    </row>
    <row r="56" spans="2:12" ht="15.6">
      <c r="B56" s="466" t="s">
        <v>260</v>
      </c>
      <c r="C56" s="465" t="s">
        <v>261</v>
      </c>
      <c r="D56" s="465" t="s">
        <v>165</v>
      </c>
      <c r="E56" s="463" t="s">
        <v>45</v>
      </c>
      <c r="F56" s="425">
        <v>-997552.1</v>
      </c>
      <c r="G56" s="425">
        <v>-997552.1</v>
      </c>
      <c r="H56" s="425">
        <v>0</v>
      </c>
      <c r="I56" s="425">
        <v>-997552.1</v>
      </c>
      <c r="J56" s="425">
        <v>0</v>
      </c>
      <c r="K56" s="425">
        <v>0</v>
      </c>
      <c r="L56" s="427">
        <v>0</v>
      </c>
    </row>
    <row r="57" spans="2:12" ht="15.6">
      <c r="B57" s="466" t="s">
        <v>262</v>
      </c>
      <c r="C57" s="465" t="s">
        <v>263</v>
      </c>
      <c r="D57" s="465" t="s">
        <v>165</v>
      </c>
      <c r="E57" s="463" t="s">
        <v>45</v>
      </c>
      <c r="F57" s="425">
        <v>-2547964.15</v>
      </c>
      <c r="G57" s="425">
        <v>-2547964.15</v>
      </c>
      <c r="H57" s="425">
        <v>-33018.870000000003</v>
      </c>
      <c r="I57" s="425">
        <v>0</v>
      </c>
      <c r="J57" s="425">
        <v>-2514945.2799999998</v>
      </c>
      <c r="K57" s="425">
        <v>0</v>
      </c>
      <c r="L57" s="427">
        <v>0</v>
      </c>
    </row>
    <row r="58" spans="2:12" ht="15.6">
      <c r="B58" s="466" t="s">
        <v>264</v>
      </c>
      <c r="C58" s="465" t="s">
        <v>265</v>
      </c>
      <c r="D58" s="465" t="s">
        <v>165</v>
      </c>
      <c r="E58" s="463" t="s">
        <v>45</v>
      </c>
      <c r="F58" s="425">
        <v>0</v>
      </c>
      <c r="G58" s="425">
        <v>0</v>
      </c>
      <c r="H58" s="425">
        <v>0</v>
      </c>
      <c r="I58" s="425">
        <v>0</v>
      </c>
      <c r="J58" s="425">
        <v>0</v>
      </c>
      <c r="K58" s="425">
        <v>0</v>
      </c>
      <c r="L58" s="427">
        <v>0</v>
      </c>
    </row>
    <row r="59" spans="2:12" ht="15.6">
      <c r="B59" s="466" t="s">
        <v>266</v>
      </c>
      <c r="C59" s="465" t="s">
        <v>267</v>
      </c>
      <c r="D59" s="465" t="s">
        <v>165</v>
      </c>
      <c r="E59" s="463" t="s">
        <v>45</v>
      </c>
      <c r="F59" s="425">
        <v>-7943396.2300000004</v>
      </c>
      <c r="G59" s="425">
        <v>-7943396.2300000004</v>
      </c>
      <c r="H59" s="425">
        <v>-943396.23</v>
      </c>
      <c r="I59" s="425">
        <v>-7000000</v>
      </c>
      <c r="J59" s="425">
        <v>0</v>
      </c>
      <c r="K59" s="425">
        <v>0</v>
      </c>
      <c r="L59" s="427">
        <v>0</v>
      </c>
    </row>
    <row r="60" spans="2:12" ht="15.6">
      <c r="B60" s="466" t="s">
        <v>268</v>
      </c>
      <c r="C60" s="465" t="s">
        <v>269</v>
      </c>
      <c r="D60" s="465" t="s">
        <v>165</v>
      </c>
      <c r="E60" s="463" t="s">
        <v>45</v>
      </c>
      <c r="F60" s="425">
        <v>-19417.48</v>
      </c>
      <c r="G60" s="425">
        <v>-19417.48</v>
      </c>
      <c r="H60" s="425">
        <v>0</v>
      </c>
      <c r="I60" s="425">
        <v>0</v>
      </c>
      <c r="J60" s="425">
        <v>0</v>
      </c>
      <c r="K60" s="425">
        <v>-19417.48</v>
      </c>
      <c r="L60" s="427">
        <v>0</v>
      </c>
    </row>
    <row r="61" spans="2:12" ht="15.6">
      <c r="B61" s="466" t="s">
        <v>270</v>
      </c>
      <c r="C61" s="465" t="s">
        <v>271</v>
      </c>
      <c r="D61" s="465" t="s">
        <v>165</v>
      </c>
      <c r="E61" s="463" t="s">
        <v>45</v>
      </c>
      <c r="F61" s="425">
        <v>0</v>
      </c>
      <c r="G61" s="425">
        <v>0</v>
      </c>
      <c r="H61" s="425">
        <v>0</v>
      </c>
      <c r="I61" s="425">
        <v>0</v>
      </c>
      <c r="J61" s="425">
        <v>0</v>
      </c>
      <c r="K61" s="425">
        <v>0</v>
      </c>
      <c r="L61" s="427">
        <v>0</v>
      </c>
    </row>
    <row r="62" spans="2:12" ht="15.6">
      <c r="B62" s="466" t="s">
        <v>272</v>
      </c>
      <c r="C62" s="465" t="s">
        <v>273</v>
      </c>
      <c r="D62" s="465" t="s">
        <v>165</v>
      </c>
      <c r="E62" s="463" t="s">
        <v>45</v>
      </c>
      <c r="F62" s="425">
        <v>-430833.61</v>
      </c>
      <c r="G62" s="425">
        <v>-430833.61</v>
      </c>
      <c r="H62" s="425">
        <v>-301179.24</v>
      </c>
      <c r="I62" s="425">
        <v>-124800</v>
      </c>
      <c r="J62" s="425">
        <v>-4854.37</v>
      </c>
      <c r="K62" s="425">
        <v>0</v>
      </c>
      <c r="L62" s="427">
        <v>0</v>
      </c>
    </row>
    <row r="63" spans="2:12" ht="15.6">
      <c r="B63" s="466" t="s">
        <v>274</v>
      </c>
      <c r="C63" s="465" t="s">
        <v>275</v>
      </c>
      <c r="D63" s="465" t="s">
        <v>165</v>
      </c>
      <c r="E63" s="463" t="s">
        <v>45</v>
      </c>
      <c r="F63" s="425">
        <v>-56603.77</v>
      </c>
      <c r="G63" s="425">
        <v>-56603.77</v>
      </c>
      <c r="H63" s="425">
        <v>-56603.77</v>
      </c>
      <c r="I63" s="425">
        <v>0</v>
      </c>
      <c r="J63" s="425">
        <v>0</v>
      </c>
      <c r="K63" s="425">
        <v>0</v>
      </c>
      <c r="L63" s="427">
        <v>0</v>
      </c>
    </row>
    <row r="64" spans="2:12" ht="15.6">
      <c r="B64" s="466" t="s">
        <v>276</v>
      </c>
      <c r="C64" s="465" t="s">
        <v>277</v>
      </c>
      <c r="D64" s="465" t="s">
        <v>165</v>
      </c>
      <c r="E64" s="463" t="s">
        <v>45</v>
      </c>
      <c r="F64" s="425">
        <v>-15094.34</v>
      </c>
      <c r="G64" s="425">
        <v>-15094.34</v>
      </c>
      <c r="H64" s="425">
        <v>0</v>
      </c>
      <c r="I64" s="425">
        <v>0</v>
      </c>
      <c r="J64" s="425">
        <v>0</v>
      </c>
      <c r="K64" s="425">
        <v>0</v>
      </c>
      <c r="L64" s="427">
        <v>-15094.34</v>
      </c>
    </row>
    <row r="65" spans="2:12" ht="15.6">
      <c r="B65" s="466" t="s">
        <v>278</v>
      </c>
      <c r="C65" s="465" t="s">
        <v>279</v>
      </c>
      <c r="D65" s="465" t="s">
        <v>165</v>
      </c>
      <c r="E65" s="463" t="s">
        <v>45</v>
      </c>
      <c r="F65" s="425">
        <v>-925042.52</v>
      </c>
      <c r="G65" s="425">
        <v>-925042.52</v>
      </c>
      <c r="H65" s="425">
        <v>-681603.36</v>
      </c>
      <c r="I65" s="425">
        <v>0</v>
      </c>
      <c r="J65" s="425">
        <v>-194275.72</v>
      </c>
      <c r="K65" s="425">
        <v>0</v>
      </c>
      <c r="L65" s="427">
        <v>-49163.44</v>
      </c>
    </row>
    <row r="66" spans="2:12" ht="15.6">
      <c r="B66" s="466" t="s">
        <v>280</v>
      </c>
      <c r="C66" s="465" t="s">
        <v>281</v>
      </c>
      <c r="D66" s="465" t="s">
        <v>165</v>
      </c>
      <c r="E66" s="463" t="s">
        <v>45</v>
      </c>
      <c r="F66" s="425">
        <v>-257530.1</v>
      </c>
      <c r="G66" s="425">
        <v>-257530.1</v>
      </c>
      <c r="H66" s="425">
        <v>-219044.5</v>
      </c>
      <c r="I66" s="425">
        <v>-9560</v>
      </c>
      <c r="J66" s="425">
        <v>-28925.599999999999</v>
      </c>
      <c r="K66" s="425">
        <v>0</v>
      </c>
      <c r="L66" s="427">
        <v>0</v>
      </c>
    </row>
    <row r="67" spans="2:12" ht="15.6">
      <c r="B67" s="466" t="s">
        <v>282</v>
      </c>
      <c r="C67" s="465" t="s">
        <v>283</v>
      </c>
      <c r="D67" s="465" t="s">
        <v>165</v>
      </c>
      <c r="E67" s="463" t="s">
        <v>45</v>
      </c>
      <c r="F67" s="425">
        <v>-29240</v>
      </c>
      <c r="G67" s="425">
        <v>-29240</v>
      </c>
      <c r="H67" s="425">
        <v>0</v>
      </c>
      <c r="I67" s="425">
        <v>0</v>
      </c>
      <c r="J67" s="425">
        <v>-29240</v>
      </c>
      <c r="K67" s="425">
        <v>0</v>
      </c>
      <c r="L67" s="427">
        <v>0</v>
      </c>
    </row>
    <row r="68" spans="2:12" ht="15.6">
      <c r="B68" s="466" t="s">
        <v>284</v>
      </c>
      <c r="C68" s="465" t="s">
        <v>285</v>
      </c>
      <c r="D68" s="465" t="s">
        <v>165</v>
      </c>
      <c r="E68" s="463" t="s">
        <v>45</v>
      </c>
      <c r="F68" s="425">
        <v>-9708.74</v>
      </c>
      <c r="G68" s="425">
        <v>-9708.74</v>
      </c>
      <c r="H68" s="425">
        <v>0</v>
      </c>
      <c r="I68" s="425">
        <v>0</v>
      </c>
      <c r="J68" s="425">
        <v>0</v>
      </c>
      <c r="K68" s="425">
        <v>0</v>
      </c>
      <c r="L68" s="427">
        <v>-9708.74</v>
      </c>
    </row>
    <row r="69" spans="2:12" ht="15.6">
      <c r="B69" s="466" t="s">
        <v>286</v>
      </c>
      <c r="C69" s="465" t="s">
        <v>287</v>
      </c>
      <c r="D69" s="465" t="s">
        <v>165</v>
      </c>
      <c r="E69" s="463" t="s">
        <v>45</v>
      </c>
      <c r="F69" s="425">
        <v>-275843.69</v>
      </c>
      <c r="G69" s="425">
        <v>-275843.69</v>
      </c>
      <c r="H69" s="425">
        <v>-208543.69</v>
      </c>
      <c r="I69" s="425">
        <v>-67300</v>
      </c>
      <c r="J69" s="425">
        <v>0</v>
      </c>
      <c r="K69" s="425">
        <v>0</v>
      </c>
      <c r="L69" s="427">
        <v>0</v>
      </c>
    </row>
    <row r="70" spans="2:12" ht="15.6">
      <c r="B70" s="466" t="s">
        <v>288</v>
      </c>
      <c r="C70" s="465" t="s">
        <v>289</v>
      </c>
      <c r="D70" s="465" t="s">
        <v>165</v>
      </c>
      <c r="E70" s="463" t="s">
        <v>45</v>
      </c>
      <c r="F70" s="425">
        <v>-369005.31</v>
      </c>
      <c r="G70" s="425">
        <v>-369005.31</v>
      </c>
      <c r="H70" s="425">
        <v>-132075.47</v>
      </c>
      <c r="I70" s="425">
        <v>0</v>
      </c>
      <c r="J70" s="425">
        <v>-236929.84</v>
      </c>
      <c r="K70" s="425">
        <v>0</v>
      </c>
      <c r="L70" s="427">
        <v>0</v>
      </c>
    </row>
    <row r="71" spans="2:12" ht="15.6">
      <c r="B71" s="466" t="s">
        <v>290</v>
      </c>
      <c r="C71" s="465" t="s">
        <v>291</v>
      </c>
      <c r="D71" s="465" t="s">
        <v>165</v>
      </c>
      <c r="E71" s="463" t="s">
        <v>45</v>
      </c>
      <c r="F71" s="425">
        <v>-24271.84</v>
      </c>
      <c r="G71" s="425">
        <v>-24271.84</v>
      </c>
      <c r="H71" s="425">
        <v>0</v>
      </c>
      <c r="I71" s="425">
        <v>0</v>
      </c>
      <c r="J71" s="425">
        <v>0</v>
      </c>
      <c r="K71" s="425">
        <v>0</v>
      </c>
      <c r="L71" s="427">
        <v>-24271.84</v>
      </c>
    </row>
    <row r="72" spans="2:12" ht="15.6">
      <c r="B72" s="466" t="s">
        <v>292</v>
      </c>
      <c r="C72" s="465" t="s">
        <v>293</v>
      </c>
      <c r="D72" s="465" t="s">
        <v>165</v>
      </c>
      <c r="E72" s="463" t="s">
        <v>45</v>
      </c>
      <c r="F72" s="425">
        <v>-3883.5</v>
      </c>
      <c r="G72" s="425">
        <v>-3883.5</v>
      </c>
      <c r="H72" s="425">
        <v>0</v>
      </c>
      <c r="I72" s="425">
        <v>0</v>
      </c>
      <c r="J72" s="425">
        <v>-3883.5</v>
      </c>
      <c r="K72" s="425">
        <v>0</v>
      </c>
      <c r="L72" s="427">
        <v>0</v>
      </c>
    </row>
    <row r="73" spans="2:12" ht="15.6">
      <c r="B73" s="466" t="s">
        <v>294</v>
      </c>
      <c r="C73" s="465" t="s">
        <v>295</v>
      </c>
      <c r="D73" s="465" t="s">
        <v>165</v>
      </c>
      <c r="E73" s="463" t="s">
        <v>45</v>
      </c>
      <c r="F73" s="425">
        <v>-14563.11</v>
      </c>
      <c r="G73" s="425">
        <v>-14563.11</v>
      </c>
      <c r="H73" s="425">
        <v>0</v>
      </c>
      <c r="I73" s="425">
        <v>0</v>
      </c>
      <c r="J73" s="425">
        <v>0</v>
      </c>
      <c r="K73" s="425">
        <v>0</v>
      </c>
      <c r="L73" s="427">
        <v>-14563.11</v>
      </c>
    </row>
    <row r="74" spans="2:12" ht="15.6">
      <c r="B74" s="466" t="s">
        <v>296</v>
      </c>
      <c r="C74" s="465" t="s">
        <v>297</v>
      </c>
      <c r="D74" s="465" t="s">
        <v>165</v>
      </c>
      <c r="E74" s="463" t="s">
        <v>45</v>
      </c>
      <c r="F74" s="425">
        <v>-11852.8</v>
      </c>
      <c r="G74" s="425">
        <v>-11852.8</v>
      </c>
      <c r="H74" s="425">
        <v>0</v>
      </c>
      <c r="I74" s="425">
        <v>0</v>
      </c>
      <c r="J74" s="425">
        <v>0</v>
      </c>
      <c r="K74" s="425">
        <v>0</v>
      </c>
      <c r="L74" s="427">
        <v>-11852.8</v>
      </c>
    </row>
    <row r="75" spans="2:12" ht="15.6">
      <c r="B75" s="466" t="s">
        <v>298</v>
      </c>
      <c r="C75" s="465" t="s">
        <v>299</v>
      </c>
      <c r="D75" s="465" t="s">
        <v>165</v>
      </c>
      <c r="E75" s="463" t="s">
        <v>45</v>
      </c>
      <c r="F75" s="425">
        <v>0</v>
      </c>
      <c r="G75" s="425">
        <v>0</v>
      </c>
      <c r="H75" s="425">
        <v>0</v>
      </c>
      <c r="I75" s="425">
        <v>0</v>
      </c>
      <c r="J75" s="425">
        <v>0</v>
      </c>
      <c r="K75" s="425">
        <v>0</v>
      </c>
      <c r="L75" s="427">
        <v>0</v>
      </c>
    </row>
    <row r="76" spans="2:12" ht="15.6">
      <c r="B76" s="466" t="s">
        <v>300</v>
      </c>
      <c r="C76" s="465" t="s">
        <v>301</v>
      </c>
      <c r="D76" s="465" t="s">
        <v>165</v>
      </c>
      <c r="E76" s="463" t="s">
        <v>45</v>
      </c>
      <c r="F76" s="425">
        <v>-138134.91</v>
      </c>
      <c r="G76" s="425">
        <v>-138134.91</v>
      </c>
      <c r="H76" s="425">
        <v>0</v>
      </c>
      <c r="I76" s="425">
        <v>0</v>
      </c>
      <c r="J76" s="425">
        <v>-138134.91</v>
      </c>
      <c r="K76" s="425">
        <v>0</v>
      </c>
      <c r="L76" s="427">
        <v>0</v>
      </c>
    </row>
    <row r="77" spans="2:12" ht="15.6">
      <c r="B77" s="466" t="s">
        <v>302</v>
      </c>
      <c r="C77" s="465" t="s">
        <v>303</v>
      </c>
      <c r="D77" s="465" t="s">
        <v>165</v>
      </c>
      <c r="E77" s="463" t="s">
        <v>45</v>
      </c>
      <c r="F77" s="425">
        <v>-1643207.55</v>
      </c>
      <c r="G77" s="425">
        <v>-1643207.55</v>
      </c>
      <c r="H77" s="425">
        <v>0</v>
      </c>
      <c r="I77" s="425">
        <v>0</v>
      </c>
      <c r="J77" s="425">
        <v>-1643207.55</v>
      </c>
      <c r="K77" s="425">
        <v>0</v>
      </c>
      <c r="L77" s="427">
        <v>0</v>
      </c>
    </row>
    <row r="78" spans="2:12" ht="15.6">
      <c r="B78" s="466" t="s">
        <v>304</v>
      </c>
      <c r="C78" s="465" t="s">
        <v>305</v>
      </c>
      <c r="D78" s="465" t="s">
        <v>165</v>
      </c>
      <c r="E78" s="463" t="s">
        <v>45</v>
      </c>
      <c r="F78" s="425">
        <v>-1432.5</v>
      </c>
      <c r="G78" s="425">
        <v>-1432.5</v>
      </c>
      <c r="H78" s="425">
        <v>0</v>
      </c>
      <c r="I78" s="425">
        <v>0</v>
      </c>
      <c r="J78" s="425">
        <v>0</v>
      </c>
      <c r="K78" s="425">
        <v>0</v>
      </c>
      <c r="L78" s="427">
        <v>-1432.5</v>
      </c>
    </row>
    <row r="79" spans="2:12" ht="15.6">
      <c r="B79" s="466" t="s">
        <v>306</v>
      </c>
      <c r="C79" s="465" t="s">
        <v>307</v>
      </c>
      <c r="D79" s="465" t="s">
        <v>165</v>
      </c>
      <c r="E79" s="463" t="s">
        <v>45</v>
      </c>
      <c r="F79" s="425">
        <v>-164883.49</v>
      </c>
      <c r="G79" s="425">
        <v>-164883.49</v>
      </c>
      <c r="H79" s="425">
        <v>-164883.49</v>
      </c>
      <c r="I79" s="425">
        <v>0</v>
      </c>
      <c r="J79" s="425">
        <v>0</v>
      </c>
      <c r="K79" s="425">
        <v>0</v>
      </c>
      <c r="L79" s="427">
        <v>0</v>
      </c>
    </row>
    <row r="80" spans="2:12" ht="15.6">
      <c r="B80" s="466" t="s">
        <v>308</v>
      </c>
      <c r="C80" s="465" t="s">
        <v>309</v>
      </c>
      <c r="D80" s="465" t="s">
        <v>165</v>
      </c>
      <c r="E80" s="463" t="s">
        <v>45</v>
      </c>
      <c r="F80" s="425">
        <v>-3994</v>
      </c>
      <c r="G80" s="425">
        <v>-3994</v>
      </c>
      <c r="H80" s="425">
        <v>0</v>
      </c>
      <c r="I80" s="425">
        <v>-3994</v>
      </c>
      <c r="J80" s="425">
        <v>0</v>
      </c>
      <c r="K80" s="425">
        <v>0</v>
      </c>
      <c r="L80" s="427">
        <v>0</v>
      </c>
    </row>
    <row r="81" spans="2:12" ht="15.6">
      <c r="B81" s="466" t="s">
        <v>310</v>
      </c>
      <c r="C81" s="465" t="s">
        <v>311</v>
      </c>
      <c r="D81" s="465" t="s">
        <v>165</v>
      </c>
      <c r="E81" s="463" t="s">
        <v>45</v>
      </c>
      <c r="F81" s="425">
        <v>0</v>
      </c>
      <c r="G81" s="425">
        <v>0</v>
      </c>
      <c r="H81" s="425">
        <v>0</v>
      </c>
      <c r="I81" s="425">
        <v>0</v>
      </c>
      <c r="J81" s="425">
        <v>0</v>
      </c>
      <c r="K81" s="425">
        <v>0</v>
      </c>
      <c r="L81" s="427">
        <v>0</v>
      </c>
    </row>
    <row r="82" spans="2:12" ht="15.6">
      <c r="B82" s="466" t="s">
        <v>312</v>
      </c>
      <c r="C82" s="465" t="s">
        <v>313</v>
      </c>
      <c r="D82" s="465" t="s">
        <v>165</v>
      </c>
      <c r="E82" s="463" t="s">
        <v>45</v>
      </c>
      <c r="F82" s="425">
        <v>-603784.91</v>
      </c>
      <c r="G82" s="425">
        <v>-603784.91</v>
      </c>
      <c r="H82" s="425">
        <v>0</v>
      </c>
      <c r="I82" s="425">
        <v>0</v>
      </c>
      <c r="J82" s="425">
        <v>0</v>
      </c>
      <c r="K82" s="425">
        <v>0</v>
      </c>
      <c r="L82" s="427">
        <v>-603784.91</v>
      </c>
    </row>
    <row r="83" spans="2:12" ht="15.6">
      <c r="B83" s="466" t="s">
        <v>314</v>
      </c>
      <c r="C83" s="465" t="s">
        <v>315</v>
      </c>
      <c r="D83" s="465" t="s">
        <v>165</v>
      </c>
      <c r="E83" s="463" t="s">
        <v>45</v>
      </c>
      <c r="F83" s="425">
        <v>-71844.66</v>
      </c>
      <c r="G83" s="425">
        <v>-71844.66</v>
      </c>
      <c r="H83" s="425">
        <v>0</v>
      </c>
      <c r="I83" s="425">
        <v>0</v>
      </c>
      <c r="J83" s="425">
        <v>0</v>
      </c>
      <c r="K83" s="425">
        <v>0</v>
      </c>
      <c r="L83" s="427">
        <v>-71844.66</v>
      </c>
    </row>
    <row r="84" spans="2:12" ht="15.6">
      <c r="B84" s="466" t="s">
        <v>316</v>
      </c>
      <c r="C84" s="465" t="s">
        <v>317</v>
      </c>
      <c r="D84" s="465" t="s">
        <v>165</v>
      </c>
      <c r="E84" s="463" t="s">
        <v>45</v>
      </c>
      <c r="F84" s="425">
        <v>-27522.94</v>
      </c>
      <c r="G84" s="425">
        <v>-27522.94</v>
      </c>
      <c r="H84" s="425">
        <v>0</v>
      </c>
      <c r="I84" s="425">
        <v>0</v>
      </c>
      <c r="J84" s="425">
        <v>0</v>
      </c>
      <c r="K84" s="425">
        <v>0</v>
      </c>
      <c r="L84" s="427">
        <v>-27522.94</v>
      </c>
    </row>
    <row r="85" spans="2:12" ht="15.6">
      <c r="B85" s="466" t="s">
        <v>318</v>
      </c>
      <c r="C85" s="465" t="s">
        <v>319</v>
      </c>
      <c r="D85" s="465" t="s">
        <v>165</v>
      </c>
      <c r="E85" s="463" t="s">
        <v>45</v>
      </c>
      <c r="F85" s="425">
        <v>-347175.44</v>
      </c>
      <c r="G85" s="425">
        <v>-347175.44</v>
      </c>
      <c r="H85" s="425">
        <v>-194784.07</v>
      </c>
      <c r="I85" s="425">
        <v>0</v>
      </c>
      <c r="J85" s="425">
        <v>-152391.37</v>
      </c>
      <c r="K85" s="425">
        <v>0</v>
      </c>
      <c r="L85" s="427">
        <v>0</v>
      </c>
    </row>
    <row r="86" spans="2:12" ht="15.6">
      <c r="B86" s="466" t="s">
        <v>320</v>
      </c>
      <c r="C86" s="465" t="s">
        <v>321</v>
      </c>
      <c r="D86" s="465" t="s">
        <v>165</v>
      </c>
      <c r="E86" s="463" t="s">
        <v>45</v>
      </c>
      <c r="F86" s="425">
        <v>-86588.35</v>
      </c>
      <c r="G86" s="425">
        <v>-86588.35</v>
      </c>
      <c r="H86" s="425">
        <v>0</v>
      </c>
      <c r="I86" s="425">
        <v>0</v>
      </c>
      <c r="J86" s="425">
        <v>-86588.35</v>
      </c>
      <c r="K86" s="425">
        <v>0</v>
      </c>
      <c r="L86" s="427">
        <v>0</v>
      </c>
    </row>
    <row r="87" spans="2:12" ht="15.6">
      <c r="B87" s="466" t="s">
        <v>322</v>
      </c>
      <c r="C87" s="465" t="s">
        <v>323</v>
      </c>
      <c r="D87" s="465" t="s">
        <v>165</v>
      </c>
      <c r="E87" s="463" t="s">
        <v>45</v>
      </c>
      <c r="F87" s="425">
        <v>-84407.77</v>
      </c>
      <c r="G87" s="425">
        <v>-84407.77</v>
      </c>
      <c r="H87" s="425">
        <v>0</v>
      </c>
      <c r="I87" s="425">
        <v>0</v>
      </c>
      <c r="J87" s="425">
        <v>-84407.77</v>
      </c>
      <c r="K87" s="425">
        <v>0</v>
      </c>
      <c r="L87" s="427">
        <v>0</v>
      </c>
    </row>
    <row r="88" spans="2:12" ht="15.6">
      <c r="B88" s="466" t="s">
        <v>324</v>
      </c>
      <c r="C88" s="465" t="s">
        <v>325</v>
      </c>
      <c r="D88" s="465" t="s">
        <v>165</v>
      </c>
      <c r="E88" s="463" t="s">
        <v>45</v>
      </c>
      <c r="F88" s="425">
        <v>-378207.55</v>
      </c>
      <c r="G88" s="425">
        <v>-378207.55</v>
      </c>
      <c r="H88" s="425">
        <v>0</v>
      </c>
      <c r="I88" s="425">
        <v>0</v>
      </c>
      <c r="J88" s="425">
        <v>0</v>
      </c>
      <c r="K88" s="425">
        <v>0</v>
      </c>
      <c r="L88" s="427">
        <v>-378207.55</v>
      </c>
    </row>
    <row r="89" spans="2:12" ht="15.6">
      <c r="B89" s="466" t="s">
        <v>326</v>
      </c>
      <c r="C89" s="465" t="s">
        <v>327</v>
      </c>
      <c r="D89" s="465" t="s">
        <v>165</v>
      </c>
      <c r="E89" s="463" t="s">
        <v>45</v>
      </c>
      <c r="F89" s="425">
        <v>-138857.94</v>
      </c>
      <c r="G89" s="425">
        <v>-138857.94</v>
      </c>
      <c r="H89" s="425">
        <v>0</v>
      </c>
      <c r="I89" s="425">
        <v>0</v>
      </c>
      <c r="J89" s="425">
        <v>-85707.96</v>
      </c>
      <c r="K89" s="425">
        <v>-53149.98</v>
      </c>
      <c r="L89" s="427">
        <v>0</v>
      </c>
    </row>
    <row r="90" spans="2:12" ht="15.6">
      <c r="B90" s="466" t="s">
        <v>328</v>
      </c>
      <c r="C90" s="465" t="s">
        <v>329</v>
      </c>
      <c r="D90" s="465" t="s">
        <v>165</v>
      </c>
      <c r="E90" s="463" t="s">
        <v>45</v>
      </c>
      <c r="F90" s="425">
        <v>-107184.47</v>
      </c>
      <c r="G90" s="425">
        <v>-107184.47</v>
      </c>
      <c r="H90" s="425">
        <v>0</v>
      </c>
      <c r="I90" s="425">
        <v>0</v>
      </c>
      <c r="J90" s="425">
        <v>-107184.47</v>
      </c>
      <c r="K90" s="425">
        <v>0</v>
      </c>
      <c r="L90" s="427">
        <v>0</v>
      </c>
    </row>
    <row r="91" spans="2:12" ht="15.6">
      <c r="B91" s="466" t="s">
        <v>330</v>
      </c>
      <c r="C91" s="465" t="s">
        <v>331</v>
      </c>
      <c r="D91" s="465" t="s">
        <v>165</v>
      </c>
      <c r="E91" s="463" t="s">
        <v>45</v>
      </c>
      <c r="F91" s="425">
        <v>-17516.04</v>
      </c>
      <c r="G91" s="425">
        <v>-17516.04</v>
      </c>
      <c r="H91" s="425">
        <v>0</v>
      </c>
      <c r="I91" s="425">
        <v>0</v>
      </c>
      <c r="J91" s="425">
        <v>0</v>
      </c>
      <c r="K91" s="425">
        <v>-17516.04</v>
      </c>
      <c r="L91" s="427">
        <v>0</v>
      </c>
    </row>
    <row r="92" spans="2:12" ht="15.6">
      <c r="B92" s="466" t="s">
        <v>332</v>
      </c>
      <c r="C92" s="465" t="s">
        <v>333</v>
      </c>
      <c r="D92" s="465" t="s">
        <v>165</v>
      </c>
      <c r="E92" s="463" t="s">
        <v>45</v>
      </c>
      <c r="F92" s="425">
        <v>-1220943.3999999999</v>
      </c>
      <c r="G92" s="425">
        <v>-1220943.3999999999</v>
      </c>
      <c r="H92" s="425">
        <v>0</v>
      </c>
      <c r="I92" s="425">
        <v>0</v>
      </c>
      <c r="J92" s="425">
        <v>-1220943.3999999999</v>
      </c>
      <c r="K92" s="425">
        <v>0</v>
      </c>
      <c r="L92" s="427">
        <v>0</v>
      </c>
    </row>
    <row r="93" spans="2:12" ht="15.6">
      <c r="B93" s="466" t="s">
        <v>334</v>
      </c>
      <c r="C93" s="465" t="s">
        <v>335</v>
      </c>
      <c r="D93" s="465" t="s">
        <v>165</v>
      </c>
      <c r="E93" s="463" t="s">
        <v>45</v>
      </c>
      <c r="F93" s="425">
        <v>-340776.7</v>
      </c>
      <c r="G93" s="425">
        <v>-340776.7</v>
      </c>
      <c r="H93" s="425">
        <v>0</v>
      </c>
      <c r="I93" s="425">
        <v>0</v>
      </c>
      <c r="J93" s="425">
        <v>-340776.7</v>
      </c>
      <c r="K93" s="425">
        <v>0</v>
      </c>
      <c r="L93" s="427">
        <v>0</v>
      </c>
    </row>
    <row r="94" spans="2:12" ht="15.6">
      <c r="B94" s="466" t="s">
        <v>336</v>
      </c>
      <c r="C94" s="465" t="s">
        <v>337</v>
      </c>
      <c r="D94" s="465" t="s">
        <v>165</v>
      </c>
      <c r="E94" s="463" t="s">
        <v>45</v>
      </c>
      <c r="F94" s="425">
        <v>-42688.94</v>
      </c>
      <c r="G94" s="425">
        <v>-42688.94</v>
      </c>
      <c r="H94" s="425">
        <v>0</v>
      </c>
      <c r="I94" s="425">
        <v>0</v>
      </c>
      <c r="J94" s="425">
        <v>0</v>
      </c>
      <c r="K94" s="425">
        <v>-42688.94</v>
      </c>
      <c r="L94" s="427">
        <v>0</v>
      </c>
    </row>
    <row r="95" spans="2:12" ht="15.6">
      <c r="B95" s="466" t="s">
        <v>338</v>
      </c>
      <c r="C95" s="465" t="s">
        <v>339</v>
      </c>
      <c r="D95" s="465" t="s">
        <v>165</v>
      </c>
      <c r="E95" s="463" t="s">
        <v>45</v>
      </c>
      <c r="F95" s="425">
        <v>-12782.52</v>
      </c>
      <c r="G95" s="425">
        <v>-12782.52</v>
      </c>
      <c r="H95" s="425">
        <v>0</v>
      </c>
      <c r="I95" s="425">
        <v>0</v>
      </c>
      <c r="J95" s="425">
        <v>0</v>
      </c>
      <c r="K95" s="425">
        <v>0</v>
      </c>
      <c r="L95" s="427">
        <v>-12782.52</v>
      </c>
    </row>
    <row r="96" spans="2:12" ht="15.6">
      <c r="B96" s="466" t="s">
        <v>340</v>
      </c>
      <c r="C96" s="465" t="s">
        <v>341</v>
      </c>
      <c r="D96" s="465" t="s">
        <v>165</v>
      </c>
      <c r="E96" s="463" t="s">
        <v>45</v>
      </c>
      <c r="F96" s="425">
        <v>-252508.89</v>
      </c>
      <c r="G96" s="425">
        <v>-252508.89</v>
      </c>
      <c r="H96" s="425">
        <v>-169984.62</v>
      </c>
      <c r="I96" s="425">
        <v>0</v>
      </c>
      <c r="J96" s="425">
        <v>-82524.27</v>
      </c>
      <c r="K96" s="425">
        <v>0</v>
      </c>
      <c r="L96" s="427">
        <v>0</v>
      </c>
    </row>
    <row r="97" spans="2:12" ht="15.6">
      <c r="B97" s="466" t="s">
        <v>342</v>
      </c>
      <c r="C97" s="465" t="s">
        <v>343</v>
      </c>
      <c r="D97" s="465" t="s">
        <v>165</v>
      </c>
      <c r="E97" s="463" t="s">
        <v>45</v>
      </c>
      <c r="F97" s="425">
        <v>-27766.99</v>
      </c>
      <c r="G97" s="425">
        <v>-27766.99</v>
      </c>
      <c r="H97" s="425">
        <v>0</v>
      </c>
      <c r="I97" s="425">
        <v>0</v>
      </c>
      <c r="J97" s="425">
        <v>-27766.99</v>
      </c>
      <c r="K97" s="425">
        <v>0</v>
      </c>
      <c r="L97" s="427">
        <v>0</v>
      </c>
    </row>
    <row r="98" spans="2:12" ht="15.6">
      <c r="B98" s="466" t="s">
        <v>344</v>
      </c>
      <c r="C98" s="465" t="s">
        <v>345</v>
      </c>
      <c r="D98" s="465" t="s">
        <v>165</v>
      </c>
      <c r="E98" s="463" t="s">
        <v>45</v>
      </c>
      <c r="F98" s="425">
        <v>-16504.849999999999</v>
      </c>
      <c r="G98" s="425">
        <v>-16504.849999999999</v>
      </c>
      <c r="H98" s="425">
        <v>0</v>
      </c>
      <c r="I98" s="425">
        <v>0</v>
      </c>
      <c r="J98" s="425">
        <v>0</v>
      </c>
      <c r="K98" s="425">
        <v>-16504.849999999999</v>
      </c>
      <c r="L98" s="427">
        <v>0</v>
      </c>
    </row>
    <row r="99" spans="2:12" ht="15.6">
      <c r="B99" s="466" t="s">
        <v>346</v>
      </c>
      <c r="C99" s="465" t="s">
        <v>347</v>
      </c>
      <c r="D99" s="465" t="s">
        <v>165</v>
      </c>
      <c r="E99" s="463" t="s">
        <v>45</v>
      </c>
      <c r="F99" s="425">
        <v>-271844.65999999997</v>
      </c>
      <c r="G99" s="425">
        <v>-271844.65999999997</v>
      </c>
      <c r="H99" s="425">
        <v>0</v>
      </c>
      <c r="I99" s="425">
        <v>0</v>
      </c>
      <c r="J99" s="425">
        <v>0</v>
      </c>
      <c r="K99" s="425">
        <v>-271844.65999999997</v>
      </c>
      <c r="L99" s="427">
        <v>0</v>
      </c>
    </row>
    <row r="100" spans="2:12" ht="15.6">
      <c r="B100" s="466" t="s">
        <v>348</v>
      </c>
      <c r="C100" s="465" t="s">
        <v>349</v>
      </c>
      <c r="D100" s="465" t="s">
        <v>165</v>
      </c>
      <c r="E100" s="463" t="s">
        <v>45</v>
      </c>
      <c r="F100" s="425">
        <v>-10291.26</v>
      </c>
      <c r="G100" s="425">
        <v>-10291.26</v>
      </c>
      <c r="H100" s="425">
        <v>0</v>
      </c>
      <c r="I100" s="425">
        <v>0</v>
      </c>
      <c r="J100" s="425">
        <v>0</v>
      </c>
      <c r="K100" s="425">
        <v>0</v>
      </c>
      <c r="L100" s="427">
        <v>-10291.26</v>
      </c>
    </row>
    <row r="101" spans="2:12" ht="15.6">
      <c r="B101" s="466" t="s">
        <v>350</v>
      </c>
      <c r="C101" s="465" t="s">
        <v>351</v>
      </c>
      <c r="D101" s="465" t="s">
        <v>165</v>
      </c>
      <c r="E101" s="463" t="s">
        <v>45</v>
      </c>
      <c r="F101" s="425">
        <v>-57281.55</v>
      </c>
      <c r="G101" s="425">
        <v>-57281.55</v>
      </c>
      <c r="H101" s="425">
        <v>0</v>
      </c>
      <c r="I101" s="425">
        <v>0</v>
      </c>
      <c r="J101" s="425">
        <v>-57281.55</v>
      </c>
      <c r="K101" s="425">
        <v>0</v>
      </c>
      <c r="L101" s="427">
        <v>0</v>
      </c>
    </row>
    <row r="102" spans="2:12" ht="15.6">
      <c r="B102" s="466" t="s">
        <v>352</v>
      </c>
      <c r="C102" s="465" t="s">
        <v>353</v>
      </c>
      <c r="D102" s="465" t="s">
        <v>165</v>
      </c>
      <c r="E102" s="463" t="s">
        <v>45</v>
      </c>
      <c r="F102" s="425">
        <v>-126214.56</v>
      </c>
      <c r="G102" s="425">
        <v>-126214.56</v>
      </c>
      <c r="H102" s="425">
        <v>0</v>
      </c>
      <c r="I102" s="425">
        <v>0</v>
      </c>
      <c r="J102" s="425">
        <v>-126214.56</v>
      </c>
      <c r="K102" s="425">
        <v>0</v>
      </c>
      <c r="L102" s="427">
        <v>0</v>
      </c>
    </row>
    <row r="103" spans="2:12" ht="15.6">
      <c r="B103" s="466" t="s">
        <v>354</v>
      </c>
      <c r="C103" s="465" t="s">
        <v>355</v>
      </c>
      <c r="D103" s="465" t="s">
        <v>165</v>
      </c>
      <c r="E103" s="463" t="s">
        <v>45</v>
      </c>
      <c r="F103" s="425">
        <v>-1458.41</v>
      </c>
      <c r="G103" s="425">
        <v>-1458.41</v>
      </c>
      <c r="H103" s="425">
        <v>0</v>
      </c>
      <c r="I103" s="425">
        <v>0</v>
      </c>
      <c r="J103" s="425">
        <v>0</v>
      </c>
      <c r="K103" s="425">
        <v>0</v>
      </c>
      <c r="L103" s="427">
        <v>-1458.41</v>
      </c>
    </row>
    <row r="104" spans="2:12" ht="15.6">
      <c r="B104" s="466" t="s">
        <v>356</v>
      </c>
      <c r="C104" s="465" t="s">
        <v>357</v>
      </c>
      <c r="D104" s="465" t="s">
        <v>165</v>
      </c>
      <c r="E104" s="463" t="s">
        <v>45</v>
      </c>
      <c r="F104" s="425">
        <v>-16407.77</v>
      </c>
      <c r="G104" s="425">
        <v>-16407.77</v>
      </c>
      <c r="H104" s="425">
        <v>0</v>
      </c>
      <c r="I104" s="425">
        <v>0</v>
      </c>
      <c r="J104" s="425">
        <v>0</v>
      </c>
      <c r="K104" s="425">
        <v>0</v>
      </c>
      <c r="L104" s="427">
        <v>-16407.77</v>
      </c>
    </row>
    <row r="105" spans="2:12" ht="15.6">
      <c r="B105" s="466" t="s">
        <v>358</v>
      </c>
      <c r="C105" s="465" t="s">
        <v>359</v>
      </c>
      <c r="D105" s="465" t="s">
        <v>165</v>
      </c>
      <c r="E105" s="463" t="s">
        <v>45</v>
      </c>
      <c r="F105" s="425">
        <v>-2691.26</v>
      </c>
      <c r="G105" s="425">
        <v>-2691.26</v>
      </c>
      <c r="H105" s="425">
        <v>0</v>
      </c>
      <c r="I105" s="425">
        <v>0</v>
      </c>
      <c r="J105" s="425">
        <v>0</v>
      </c>
      <c r="K105" s="425">
        <v>0</v>
      </c>
      <c r="L105" s="427">
        <v>-2691.26</v>
      </c>
    </row>
    <row r="106" spans="2:12" ht="15.6">
      <c r="B106" s="466" t="s">
        <v>360</v>
      </c>
      <c r="C106" s="465" t="s">
        <v>361</v>
      </c>
      <c r="D106" s="465" t="s">
        <v>165</v>
      </c>
      <c r="E106" s="463" t="s">
        <v>45</v>
      </c>
      <c r="F106" s="425">
        <v>-25767.17</v>
      </c>
      <c r="G106" s="425">
        <v>-25767.17</v>
      </c>
      <c r="H106" s="425">
        <v>0</v>
      </c>
      <c r="I106" s="425">
        <v>0</v>
      </c>
      <c r="J106" s="425">
        <v>0</v>
      </c>
      <c r="K106" s="425">
        <v>0</v>
      </c>
      <c r="L106" s="427">
        <v>-25767.17</v>
      </c>
    </row>
    <row r="107" spans="2:12" ht="15.6">
      <c r="B107" s="466" t="s">
        <v>362</v>
      </c>
      <c r="C107" s="465" t="s">
        <v>363</v>
      </c>
      <c r="D107" s="465" t="s">
        <v>165</v>
      </c>
      <c r="E107" s="463" t="s">
        <v>45</v>
      </c>
      <c r="F107" s="425">
        <v>-10603.3</v>
      </c>
      <c r="G107" s="425">
        <v>-10603.3</v>
      </c>
      <c r="H107" s="425">
        <v>0</v>
      </c>
      <c r="I107" s="425">
        <v>0</v>
      </c>
      <c r="J107" s="425">
        <v>0</v>
      </c>
      <c r="K107" s="425">
        <v>0</v>
      </c>
      <c r="L107" s="427">
        <v>-10603.3</v>
      </c>
    </row>
    <row r="108" spans="2:12" ht="15.6">
      <c r="B108" s="466" t="s">
        <v>364</v>
      </c>
      <c r="C108" s="465" t="s">
        <v>365</v>
      </c>
      <c r="D108" s="465" t="s">
        <v>165</v>
      </c>
      <c r="E108" s="463" t="s">
        <v>45</v>
      </c>
      <c r="F108" s="425">
        <v>-37735.85</v>
      </c>
      <c r="G108" s="425">
        <v>-37735.85</v>
      </c>
      <c r="H108" s="425">
        <v>-37735.85</v>
      </c>
      <c r="I108" s="425">
        <v>0</v>
      </c>
      <c r="J108" s="425">
        <v>0</v>
      </c>
      <c r="K108" s="425">
        <v>0</v>
      </c>
      <c r="L108" s="427">
        <v>0</v>
      </c>
    </row>
    <row r="109" spans="2:12" ht="15.6">
      <c r="B109" s="466" t="s">
        <v>366</v>
      </c>
      <c r="C109" s="465" t="s">
        <v>367</v>
      </c>
      <c r="D109" s="465" t="s">
        <v>165</v>
      </c>
      <c r="E109" s="463" t="s">
        <v>45</v>
      </c>
      <c r="F109" s="425">
        <v>-46576.79</v>
      </c>
      <c r="G109" s="425">
        <v>-46576.79</v>
      </c>
      <c r="H109" s="425">
        <v>0</v>
      </c>
      <c r="I109" s="425">
        <v>0</v>
      </c>
      <c r="J109" s="425">
        <v>0</v>
      </c>
      <c r="K109" s="425">
        <v>0</v>
      </c>
      <c r="L109" s="427">
        <v>-46576.79</v>
      </c>
    </row>
    <row r="110" spans="2:12" ht="15.6">
      <c r="B110" s="466" t="s">
        <v>368</v>
      </c>
      <c r="C110" s="465" t="s">
        <v>369</v>
      </c>
      <c r="D110" s="465" t="s">
        <v>165</v>
      </c>
      <c r="E110" s="463" t="s">
        <v>45</v>
      </c>
      <c r="F110" s="425">
        <v>-16941.740000000002</v>
      </c>
      <c r="G110" s="425">
        <v>-16941.740000000002</v>
      </c>
      <c r="H110" s="425">
        <v>0</v>
      </c>
      <c r="I110" s="425">
        <v>0</v>
      </c>
      <c r="J110" s="425">
        <v>0</v>
      </c>
      <c r="K110" s="425">
        <v>0</v>
      </c>
      <c r="L110" s="427">
        <v>-16941.740000000002</v>
      </c>
    </row>
    <row r="111" spans="2:12" ht="15.6">
      <c r="B111" s="466" t="s">
        <v>370</v>
      </c>
      <c r="C111" s="465" t="s">
        <v>371</v>
      </c>
      <c r="D111" s="465" t="s">
        <v>165</v>
      </c>
      <c r="E111" s="463" t="s">
        <v>45</v>
      </c>
      <c r="F111" s="425">
        <v>-875055.51</v>
      </c>
      <c r="G111" s="425">
        <v>-875055.51</v>
      </c>
      <c r="H111" s="425">
        <v>0</v>
      </c>
      <c r="I111" s="425">
        <v>0</v>
      </c>
      <c r="J111" s="425">
        <v>0</v>
      </c>
      <c r="K111" s="425">
        <v>0</v>
      </c>
      <c r="L111" s="427">
        <v>-875055.51</v>
      </c>
    </row>
    <row r="112" spans="2:12" ht="15.6">
      <c r="B112" s="466" t="s">
        <v>372</v>
      </c>
      <c r="C112" s="465" t="s">
        <v>373</v>
      </c>
      <c r="D112" s="465" t="s">
        <v>165</v>
      </c>
      <c r="E112" s="463" t="s">
        <v>45</v>
      </c>
      <c r="F112" s="425">
        <v>-234513.26</v>
      </c>
      <c r="G112" s="425">
        <v>-234513.26</v>
      </c>
      <c r="H112" s="425">
        <v>0</v>
      </c>
      <c r="I112" s="425">
        <v>0</v>
      </c>
      <c r="J112" s="425">
        <v>-234513.26</v>
      </c>
      <c r="K112" s="425">
        <v>0</v>
      </c>
      <c r="L112" s="427">
        <v>0</v>
      </c>
    </row>
    <row r="113" spans="2:12" ht="15.6">
      <c r="B113" s="466" t="s">
        <v>374</v>
      </c>
      <c r="C113" s="465" t="s">
        <v>375</v>
      </c>
      <c r="D113" s="465" t="s">
        <v>165</v>
      </c>
      <c r="E113" s="463" t="s">
        <v>45</v>
      </c>
      <c r="F113" s="425">
        <v>-121576.24</v>
      </c>
      <c r="G113" s="425">
        <v>-121576.24</v>
      </c>
      <c r="H113" s="425">
        <v>-6271</v>
      </c>
      <c r="I113" s="425">
        <v>-20485.599999999999</v>
      </c>
      <c r="J113" s="425">
        <v>-94819.64</v>
      </c>
      <c r="K113" s="425">
        <v>0</v>
      </c>
      <c r="L113" s="427">
        <v>0</v>
      </c>
    </row>
    <row r="114" spans="2:12" ht="15.6">
      <c r="B114" s="466" t="s">
        <v>376</v>
      </c>
      <c r="C114" s="465" t="s">
        <v>377</v>
      </c>
      <c r="D114" s="465" t="s">
        <v>165</v>
      </c>
      <c r="E114" s="463" t="s">
        <v>45</v>
      </c>
      <c r="F114" s="425">
        <v>-6924.78</v>
      </c>
      <c r="G114" s="425">
        <v>-6924.78</v>
      </c>
      <c r="H114" s="425">
        <v>0</v>
      </c>
      <c r="I114" s="425">
        <v>0</v>
      </c>
      <c r="J114" s="425">
        <v>0</v>
      </c>
      <c r="K114" s="425">
        <v>0</v>
      </c>
      <c r="L114" s="427">
        <v>-6924.78</v>
      </c>
    </row>
    <row r="115" spans="2:12" ht="15.6">
      <c r="B115" s="466" t="s">
        <v>378</v>
      </c>
      <c r="C115" s="465" t="s">
        <v>379</v>
      </c>
      <c r="D115" s="465" t="s">
        <v>165</v>
      </c>
      <c r="E115" s="463" t="s">
        <v>45</v>
      </c>
      <c r="F115" s="425">
        <v>-74519.42</v>
      </c>
      <c r="G115" s="425">
        <v>-74519.42</v>
      </c>
      <c r="H115" s="425">
        <v>0</v>
      </c>
      <c r="I115" s="425">
        <v>0</v>
      </c>
      <c r="J115" s="425">
        <v>-74519.42</v>
      </c>
      <c r="K115" s="425">
        <v>0</v>
      </c>
      <c r="L115" s="427">
        <v>0</v>
      </c>
    </row>
    <row r="116" spans="2:12" ht="15.6">
      <c r="B116" s="466" t="s">
        <v>380</v>
      </c>
      <c r="C116" s="465" t="s">
        <v>381</v>
      </c>
      <c r="D116" s="465" t="s">
        <v>165</v>
      </c>
      <c r="E116" s="463" t="s">
        <v>45</v>
      </c>
      <c r="F116" s="425">
        <v>-31320</v>
      </c>
      <c r="G116" s="425">
        <v>-31320</v>
      </c>
      <c r="H116" s="425">
        <v>-31320</v>
      </c>
      <c r="I116" s="425">
        <v>0</v>
      </c>
      <c r="J116" s="425">
        <v>0</v>
      </c>
      <c r="K116" s="425">
        <v>0</v>
      </c>
      <c r="L116" s="427">
        <v>0</v>
      </c>
    </row>
    <row r="117" spans="2:12" ht="15.6">
      <c r="B117" s="466" t="s">
        <v>382</v>
      </c>
      <c r="C117" s="465" t="s">
        <v>383</v>
      </c>
      <c r="D117" s="465" t="s">
        <v>165</v>
      </c>
      <c r="E117" s="463" t="s">
        <v>45</v>
      </c>
      <c r="F117" s="425">
        <v>-223029.32</v>
      </c>
      <c r="G117" s="425">
        <v>-223029.32</v>
      </c>
      <c r="H117" s="425">
        <v>-221573.01</v>
      </c>
      <c r="I117" s="425">
        <v>-1456.31</v>
      </c>
      <c r="J117" s="425">
        <v>0</v>
      </c>
      <c r="K117" s="425">
        <v>0</v>
      </c>
      <c r="L117" s="427">
        <v>0</v>
      </c>
    </row>
    <row r="118" spans="2:12" ht="15.6">
      <c r="B118" s="466" t="s">
        <v>384</v>
      </c>
      <c r="C118" s="465" t="s">
        <v>385</v>
      </c>
      <c r="D118" s="465" t="s">
        <v>165</v>
      </c>
      <c r="E118" s="463" t="s">
        <v>45</v>
      </c>
      <c r="F118" s="425">
        <v>-4854.37</v>
      </c>
      <c r="G118" s="425">
        <v>-4854.37</v>
      </c>
      <c r="H118" s="425">
        <v>-4854.37</v>
      </c>
      <c r="I118" s="425">
        <v>0</v>
      </c>
      <c r="J118" s="425">
        <v>0</v>
      </c>
      <c r="K118" s="425">
        <v>0</v>
      </c>
      <c r="L118" s="427">
        <v>0</v>
      </c>
    </row>
    <row r="119" spans="2:12" ht="15.6">
      <c r="B119" s="466" t="s">
        <v>386</v>
      </c>
      <c r="C119" s="465" t="s">
        <v>387</v>
      </c>
      <c r="D119" s="465" t="s">
        <v>165</v>
      </c>
      <c r="E119" s="463" t="s">
        <v>45</v>
      </c>
      <c r="F119" s="425">
        <v>-147764</v>
      </c>
      <c r="G119" s="425">
        <v>-147764</v>
      </c>
      <c r="H119" s="425">
        <v>0</v>
      </c>
      <c r="I119" s="425">
        <v>-147764</v>
      </c>
      <c r="J119" s="425">
        <v>0</v>
      </c>
      <c r="K119" s="425">
        <v>0</v>
      </c>
      <c r="L119" s="427">
        <v>0</v>
      </c>
    </row>
    <row r="120" spans="2:12" ht="15.6">
      <c r="B120" s="466" t="s">
        <v>388</v>
      </c>
      <c r="C120" s="465" t="s">
        <v>389</v>
      </c>
      <c r="D120" s="465" t="s">
        <v>165</v>
      </c>
      <c r="E120" s="463" t="s">
        <v>45</v>
      </c>
      <c r="F120" s="425">
        <v>-146667.31</v>
      </c>
      <c r="G120" s="425">
        <v>-146667.31</v>
      </c>
      <c r="H120" s="425">
        <v>-99244.71</v>
      </c>
      <c r="I120" s="425">
        <v>-42546.8</v>
      </c>
      <c r="J120" s="425">
        <v>-4875.8</v>
      </c>
      <c r="K120" s="425">
        <v>0</v>
      </c>
      <c r="L120" s="427">
        <v>0</v>
      </c>
    </row>
    <row r="121" spans="2:12" ht="15.6">
      <c r="B121" s="466" t="s">
        <v>390</v>
      </c>
      <c r="C121" s="465" t="s">
        <v>391</v>
      </c>
      <c r="D121" s="465" t="s">
        <v>165</v>
      </c>
      <c r="E121" s="463" t="s">
        <v>45</v>
      </c>
      <c r="F121" s="425">
        <v>-83911.7</v>
      </c>
      <c r="G121" s="425">
        <v>-83911.7</v>
      </c>
      <c r="H121" s="425">
        <v>-40341.699999999997</v>
      </c>
      <c r="I121" s="425">
        <v>-36172</v>
      </c>
      <c r="J121" s="425">
        <v>-7398</v>
      </c>
      <c r="K121" s="425">
        <v>0</v>
      </c>
      <c r="L121" s="427">
        <v>0</v>
      </c>
    </row>
    <row r="122" spans="2:12" ht="15.6">
      <c r="B122" s="466" t="s">
        <v>392</v>
      </c>
      <c r="C122" s="465" t="s">
        <v>393</v>
      </c>
      <c r="D122" s="465" t="s">
        <v>165</v>
      </c>
      <c r="E122" s="463" t="s">
        <v>45</v>
      </c>
      <c r="F122" s="425">
        <v>-839192.45</v>
      </c>
      <c r="G122" s="425">
        <v>-839192.45</v>
      </c>
      <c r="H122" s="425">
        <v>0</v>
      </c>
      <c r="I122" s="425">
        <v>-122400</v>
      </c>
      <c r="J122" s="425">
        <v>-716792.45</v>
      </c>
      <c r="K122" s="425">
        <v>0</v>
      </c>
      <c r="L122" s="427">
        <v>0</v>
      </c>
    </row>
    <row r="123" spans="2:12" ht="15.6">
      <c r="B123" s="466" t="s">
        <v>394</v>
      </c>
      <c r="C123" s="465" t="s">
        <v>395</v>
      </c>
      <c r="D123" s="465" t="s">
        <v>165</v>
      </c>
      <c r="E123" s="463" t="s">
        <v>45</v>
      </c>
      <c r="F123" s="425">
        <v>-8235</v>
      </c>
      <c r="G123" s="425">
        <v>-8235</v>
      </c>
      <c r="H123" s="425">
        <v>-8235</v>
      </c>
      <c r="I123" s="425">
        <v>0</v>
      </c>
      <c r="J123" s="425">
        <v>0</v>
      </c>
      <c r="K123" s="425">
        <v>0</v>
      </c>
      <c r="L123" s="427">
        <v>0</v>
      </c>
    </row>
    <row r="124" spans="2:12" ht="15.6">
      <c r="B124" s="466" t="s">
        <v>396</v>
      </c>
      <c r="C124" s="465" t="s">
        <v>397</v>
      </c>
      <c r="D124" s="465" t="s">
        <v>165</v>
      </c>
      <c r="E124" s="463" t="s">
        <v>45</v>
      </c>
      <c r="F124" s="425">
        <v>-5533</v>
      </c>
      <c r="G124" s="425">
        <v>-5533</v>
      </c>
      <c r="H124" s="425">
        <v>0</v>
      </c>
      <c r="I124" s="425">
        <v>-5533</v>
      </c>
      <c r="J124" s="425">
        <v>0</v>
      </c>
      <c r="K124" s="425">
        <v>0</v>
      </c>
      <c r="L124" s="427">
        <v>0</v>
      </c>
    </row>
    <row r="125" spans="2:12" ht="15.6">
      <c r="B125" s="466" t="s">
        <v>398</v>
      </c>
      <c r="C125" s="465" t="s">
        <v>399</v>
      </c>
      <c r="D125" s="465" t="s">
        <v>165</v>
      </c>
      <c r="E125" s="463" t="s">
        <v>45</v>
      </c>
      <c r="F125" s="425">
        <v>-370906.41</v>
      </c>
      <c r="G125" s="425">
        <v>-370906.41</v>
      </c>
      <c r="H125" s="425">
        <v>-176862.38</v>
      </c>
      <c r="I125" s="425">
        <v>-140776.70000000001</v>
      </c>
      <c r="J125" s="425">
        <v>-53267.33</v>
      </c>
      <c r="K125" s="425">
        <v>0</v>
      </c>
      <c r="L125" s="427">
        <v>0</v>
      </c>
    </row>
    <row r="126" spans="2:12" ht="15.6">
      <c r="B126" s="466" t="s">
        <v>400</v>
      </c>
      <c r="C126" s="465" t="s">
        <v>401</v>
      </c>
      <c r="D126" s="465" t="s">
        <v>165</v>
      </c>
      <c r="E126" s="463" t="s">
        <v>45</v>
      </c>
      <c r="F126" s="425">
        <v>-184903.7</v>
      </c>
      <c r="G126" s="425">
        <v>-184903.7</v>
      </c>
      <c r="H126" s="425">
        <v>0</v>
      </c>
      <c r="I126" s="425">
        <v>0</v>
      </c>
      <c r="J126" s="425">
        <v>-58752.18</v>
      </c>
      <c r="K126" s="425">
        <v>0</v>
      </c>
      <c r="L126" s="427">
        <v>-126151.52</v>
      </c>
    </row>
    <row r="127" spans="2:12" ht="15.6">
      <c r="B127" s="466" t="s">
        <v>402</v>
      </c>
      <c r="C127" s="465" t="s">
        <v>403</v>
      </c>
      <c r="D127" s="465" t="s">
        <v>165</v>
      </c>
      <c r="E127" s="463" t="s">
        <v>45</v>
      </c>
      <c r="F127" s="425">
        <v>-28301.89</v>
      </c>
      <c r="G127" s="425">
        <v>-28301.89</v>
      </c>
      <c r="H127" s="425">
        <v>-28301.89</v>
      </c>
      <c r="I127" s="425">
        <v>0</v>
      </c>
      <c r="J127" s="425">
        <v>0</v>
      </c>
      <c r="K127" s="425">
        <v>0</v>
      </c>
      <c r="L127" s="427">
        <v>0</v>
      </c>
    </row>
    <row r="128" spans="2:12" ht="15.6">
      <c r="B128" s="466" t="s">
        <v>404</v>
      </c>
      <c r="C128" s="465" t="s">
        <v>405</v>
      </c>
      <c r="D128" s="465" t="s">
        <v>165</v>
      </c>
      <c r="E128" s="463" t="s">
        <v>45</v>
      </c>
      <c r="F128" s="425">
        <v>-565271.69999999995</v>
      </c>
      <c r="G128" s="425">
        <v>-565271.69999999995</v>
      </c>
      <c r="H128" s="425">
        <v>-276900</v>
      </c>
      <c r="I128" s="425">
        <v>-18773.59</v>
      </c>
      <c r="J128" s="425">
        <v>-174716.98</v>
      </c>
      <c r="K128" s="425">
        <v>0</v>
      </c>
      <c r="L128" s="427">
        <v>-94881.13</v>
      </c>
    </row>
    <row r="129" spans="2:12" ht="15.6">
      <c r="B129" s="466" t="s">
        <v>406</v>
      </c>
      <c r="C129" s="465" t="s">
        <v>407</v>
      </c>
      <c r="D129" s="465" t="s">
        <v>165</v>
      </c>
      <c r="E129" s="463" t="s">
        <v>45</v>
      </c>
      <c r="F129" s="425">
        <v>-1101157.3600000001</v>
      </c>
      <c r="G129" s="425">
        <v>-1101157.3600000001</v>
      </c>
      <c r="H129" s="425">
        <v>0</v>
      </c>
      <c r="I129" s="425">
        <v>-183962.26</v>
      </c>
      <c r="J129" s="425">
        <v>0</v>
      </c>
      <c r="K129" s="425">
        <v>-917195.1</v>
      </c>
      <c r="L129" s="427">
        <v>0</v>
      </c>
    </row>
    <row r="130" spans="2:12" ht="15.6">
      <c r="B130" s="466" t="s">
        <v>408</v>
      </c>
      <c r="C130" s="465" t="s">
        <v>409</v>
      </c>
      <c r="D130" s="465" t="s">
        <v>165</v>
      </c>
      <c r="E130" s="463" t="s">
        <v>45</v>
      </c>
      <c r="F130" s="425">
        <v>-294640.78999999998</v>
      </c>
      <c r="G130" s="425">
        <v>-294640.78999999998</v>
      </c>
      <c r="H130" s="425">
        <v>0</v>
      </c>
      <c r="I130" s="425">
        <v>-11650.49</v>
      </c>
      <c r="J130" s="425">
        <v>-271339.81</v>
      </c>
      <c r="K130" s="425">
        <v>-11650.49</v>
      </c>
      <c r="L130" s="427">
        <v>0</v>
      </c>
    </row>
    <row r="131" spans="2:12" ht="15.6">
      <c r="B131" s="466" t="s">
        <v>410</v>
      </c>
      <c r="C131" s="465" t="s">
        <v>411</v>
      </c>
      <c r="D131" s="465" t="s">
        <v>165</v>
      </c>
      <c r="E131" s="463" t="s">
        <v>45</v>
      </c>
      <c r="F131" s="425">
        <v>-6529010.3200000003</v>
      </c>
      <c r="G131" s="425">
        <v>-6529010.3200000003</v>
      </c>
      <c r="H131" s="425">
        <v>0</v>
      </c>
      <c r="I131" s="425">
        <v>0</v>
      </c>
      <c r="J131" s="425">
        <v>0</v>
      </c>
      <c r="K131" s="425">
        <v>-3449199</v>
      </c>
      <c r="L131" s="427">
        <v>-3079811.32</v>
      </c>
    </row>
    <row r="132" spans="2:12" ht="15.6">
      <c r="B132" s="466" t="s">
        <v>412</v>
      </c>
      <c r="C132" s="465" t="s">
        <v>413</v>
      </c>
      <c r="D132" s="465" t="s">
        <v>165</v>
      </c>
      <c r="E132" s="463" t="s">
        <v>45</v>
      </c>
      <c r="F132" s="425">
        <v>-188990.3</v>
      </c>
      <c r="G132" s="425">
        <v>-188990.3</v>
      </c>
      <c r="H132" s="425">
        <v>-156961.17000000001</v>
      </c>
      <c r="I132" s="425">
        <v>0</v>
      </c>
      <c r="J132" s="425">
        <v>-32029.13</v>
      </c>
      <c r="K132" s="425">
        <v>0</v>
      </c>
      <c r="L132" s="427">
        <v>0</v>
      </c>
    </row>
    <row r="133" spans="2:12" ht="15.6">
      <c r="B133" s="466" t="s">
        <v>414</v>
      </c>
      <c r="C133" s="465" t="s">
        <v>415</v>
      </c>
      <c r="D133" s="465" t="s">
        <v>165</v>
      </c>
      <c r="E133" s="463" t="s">
        <v>45</v>
      </c>
      <c r="F133" s="425">
        <v>-1049848.5</v>
      </c>
      <c r="G133" s="425">
        <v>-1049848.5</v>
      </c>
      <c r="H133" s="425">
        <v>-312997.07</v>
      </c>
      <c r="I133" s="425">
        <v>-109332</v>
      </c>
      <c r="J133" s="425">
        <v>-478654.58</v>
      </c>
      <c r="K133" s="425">
        <v>-148864.85</v>
      </c>
      <c r="L133" s="427">
        <v>0</v>
      </c>
    </row>
    <row r="134" spans="2:12" ht="15.6">
      <c r="B134" s="466" t="s">
        <v>416</v>
      </c>
      <c r="C134" s="465" t="s">
        <v>417</v>
      </c>
      <c r="D134" s="465" t="s">
        <v>165</v>
      </c>
      <c r="E134" s="463" t="s">
        <v>45</v>
      </c>
      <c r="F134" s="425">
        <v>-39965.97</v>
      </c>
      <c r="G134" s="425">
        <v>-39965.97</v>
      </c>
      <c r="H134" s="425">
        <v>-18566.02</v>
      </c>
      <c r="I134" s="425">
        <v>-15136.35</v>
      </c>
      <c r="J134" s="425">
        <v>-6263.6</v>
      </c>
      <c r="K134" s="425">
        <v>0</v>
      </c>
      <c r="L134" s="427">
        <v>0</v>
      </c>
    </row>
    <row r="135" spans="2:12" ht="15.6">
      <c r="B135" s="466" t="s">
        <v>418</v>
      </c>
      <c r="C135" s="465" t="s">
        <v>419</v>
      </c>
      <c r="D135" s="465" t="s">
        <v>165</v>
      </c>
      <c r="E135" s="463" t="s">
        <v>45</v>
      </c>
      <c r="F135" s="425">
        <v>-1637586.93</v>
      </c>
      <c r="G135" s="425">
        <v>-1637586.93</v>
      </c>
      <c r="H135" s="425">
        <v>0</v>
      </c>
      <c r="I135" s="425">
        <v>-164377.62</v>
      </c>
      <c r="J135" s="425">
        <v>-273113.21000000002</v>
      </c>
      <c r="K135" s="425">
        <v>-106190.57</v>
      </c>
      <c r="L135" s="427">
        <v>-1093905.53</v>
      </c>
    </row>
    <row r="136" spans="2:12" ht="15.6">
      <c r="B136" s="466" t="s">
        <v>420</v>
      </c>
      <c r="C136" s="465" t="s">
        <v>421</v>
      </c>
      <c r="D136" s="465" t="s">
        <v>165</v>
      </c>
      <c r="E136" s="463" t="s">
        <v>45</v>
      </c>
      <c r="F136" s="425">
        <v>-92679.61</v>
      </c>
      <c r="G136" s="425">
        <v>-92679.61</v>
      </c>
      <c r="H136" s="425">
        <v>0</v>
      </c>
      <c r="I136" s="425">
        <v>-92679.61</v>
      </c>
      <c r="J136" s="425">
        <v>0</v>
      </c>
      <c r="K136" s="425">
        <v>0</v>
      </c>
      <c r="L136" s="427">
        <v>0</v>
      </c>
    </row>
    <row r="137" spans="2:12" ht="15.6">
      <c r="B137" s="466" t="s">
        <v>422</v>
      </c>
      <c r="C137" s="465" t="s">
        <v>423</v>
      </c>
      <c r="D137" s="465" t="s">
        <v>165</v>
      </c>
      <c r="E137" s="463" t="s">
        <v>45</v>
      </c>
      <c r="F137" s="425">
        <v>-376470.12</v>
      </c>
      <c r="G137" s="425">
        <v>-376470.12</v>
      </c>
      <c r="H137" s="425">
        <v>0</v>
      </c>
      <c r="I137" s="425">
        <v>0</v>
      </c>
      <c r="J137" s="425">
        <v>-103347.57</v>
      </c>
      <c r="K137" s="425">
        <v>-273122.55</v>
      </c>
      <c r="L137" s="427">
        <v>0</v>
      </c>
    </row>
    <row r="138" spans="2:12" ht="15.6">
      <c r="B138" s="466" t="s">
        <v>424</v>
      </c>
      <c r="C138" s="465" t="s">
        <v>425</v>
      </c>
      <c r="D138" s="465" t="s">
        <v>165</v>
      </c>
      <c r="E138" s="463" t="s">
        <v>45</v>
      </c>
      <c r="F138" s="425">
        <v>-306603.77</v>
      </c>
      <c r="G138" s="425">
        <v>-306603.77</v>
      </c>
      <c r="H138" s="425">
        <v>0</v>
      </c>
      <c r="I138" s="425">
        <v>0</v>
      </c>
      <c r="J138" s="425">
        <v>0</v>
      </c>
      <c r="K138" s="425">
        <v>0</v>
      </c>
      <c r="L138" s="427">
        <v>-306603.77</v>
      </c>
    </row>
    <row r="139" spans="2:12" ht="15.6">
      <c r="B139" s="466" t="s">
        <v>426</v>
      </c>
      <c r="C139" s="465" t="s">
        <v>427</v>
      </c>
      <c r="D139" s="465" t="s">
        <v>165</v>
      </c>
      <c r="E139" s="463" t="s">
        <v>45</v>
      </c>
      <c r="F139" s="425">
        <v>-121749.06</v>
      </c>
      <c r="G139" s="425">
        <v>-121749.06</v>
      </c>
      <c r="H139" s="425">
        <v>0</v>
      </c>
      <c r="I139" s="425">
        <v>0</v>
      </c>
      <c r="J139" s="425">
        <v>0</v>
      </c>
      <c r="K139" s="425">
        <v>0</v>
      </c>
      <c r="L139" s="427">
        <v>-121749.06</v>
      </c>
    </row>
    <row r="140" spans="2:12" ht="15.6">
      <c r="B140" s="466" t="s">
        <v>428</v>
      </c>
      <c r="C140" s="465" t="s">
        <v>429</v>
      </c>
      <c r="D140" s="465" t="s">
        <v>165</v>
      </c>
      <c r="E140" s="463" t="s">
        <v>45</v>
      </c>
      <c r="F140" s="425">
        <v>-116800</v>
      </c>
      <c r="G140" s="425">
        <v>-116800</v>
      </c>
      <c r="H140" s="425">
        <v>-116800</v>
      </c>
      <c r="I140" s="425">
        <v>0</v>
      </c>
      <c r="J140" s="425">
        <v>0</v>
      </c>
      <c r="K140" s="425">
        <v>0</v>
      </c>
      <c r="L140" s="427">
        <v>0</v>
      </c>
    </row>
    <row r="141" spans="2:12" ht="15.6">
      <c r="B141" s="466" t="s">
        <v>430</v>
      </c>
      <c r="C141" s="465" t="s">
        <v>431</v>
      </c>
      <c r="D141" s="465" t="s">
        <v>165</v>
      </c>
      <c r="E141" s="463" t="s">
        <v>45</v>
      </c>
      <c r="F141" s="425">
        <v>-164196.82999999999</v>
      </c>
      <c r="G141" s="425">
        <v>-164196.82999999999</v>
      </c>
      <c r="H141" s="425">
        <v>-144365.82999999999</v>
      </c>
      <c r="I141" s="425">
        <v>-19831</v>
      </c>
      <c r="J141" s="425">
        <v>0</v>
      </c>
      <c r="K141" s="425">
        <v>0</v>
      </c>
      <c r="L141" s="427">
        <v>0</v>
      </c>
    </row>
    <row r="142" spans="2:12" ht="15.6">
      <c r="B142" s="466" t="s">
        <v>432</v>
      </c>
      <c r="C142" s="465" t="s">
        <v>433</v>
      </c>
      <c r="D142" s="465" t="s">
        <v>165</v>
      </c>
      <c r="E142" s="463" t="s">
        <v>45</v>
      </c>
      <c r="F142" s="425">
        <v>-139606</v>
      </c>
      <c r="G142" s="425">
        <v>-139606</v>
      </c>
      <c r="H142" s="425">
        <v>-34746</v>
      </c>
      <c r="I142" s="425">
        <v>-104860</v>
      </c>
      <c r="J142" s="425">
        <v>0</v>
      </c>
      <c r="K142" s="425">
        <v>0</v>
      </c>
      <c r="L142" s="427">
        <v>0</v>
      </c>
    </row>
    <row r="143" spans="2:12" ht="15.6">
      <c r="B143" s="466" t="s">
        <v>434</v>
      </c>
      <c r="C143" s="465" t="s">
        <v>435</v>
      </c>
      <c r="D143" s="465" t="s">
        <v>165</v>
      </c>
      <c r="E143" s="463" t="s">
        <v>45</v>
      </c>
      <c r="F143" s="425">
        <v>-451277.71</v>
      </c>
      <c r="G143" s="425">
        <v>-451277.71</v>
      </c>
      <c r="H143" s="425">
        <v>-153327.73000000001</v>
      </c>
      <c r="I143" s="425">
        <v>-264920</v>
      </c>
      <c r="J143" s="425">
        <v>-33029.980000000003</v>
      </c>
      <c r="K143" s="425">
        <v>0</v>
      </c>
      <c r="L143" s="427">
        <v>0</v>
      </c>
    </row>
    <row r="144" spans="2:12" ht="15.6">
      <c r="B144" s="466" t="s">
        <v>436</v>
      </c>
      <c r="C144" s="465" t="s">
        <v>437</v>
      </c>
      <c r="D144" s="465" t="s">
        <v>165</v>
      </c>
      <c r="E144" s="463" t="s">
        <v>45</v>
      </c>
      <c r="F144" s="425">
        <v>-450017.59</v>
      </c>
      <c r="G144" s="425">
        <v>-450017.59</v>
      </c>
      <c r="H144" s="425">
        <v>-337126.99</v>
      </c>
      <c r="I144" s="425">
        <v>0</v>
      </c>
      <c r="J144" s="425">
        <v>-112890.6</v>
      </c>
      <c r="K144" s="425">
        <v>0</v>
      </c>
      <c r="L144" s="427">
        <v>0</v>
      </c>
    </row>
    <row r="145" spans="2:12" ht="15.6">
      <c r="B145" s="466" t="s">
        <v>438</v>
      </c>
      <c r="C145" s="465" t="s">
        <v>439</v>
      </c>
      <c r="D145" s="465" t="s">
        <v>165</v>
      </c>
      <c r="E145" s="463" t="s">
        <v>45</v>
      </c>
      <c r="F145" s="425">
        <v>-334827.24</v>
      </c>
      <c r="G145" s="425">
        <v>-334827.24</v>
      </c>
      <c r="H145" s="425">
        <v>-193096.08</v>
      </c>
      <c r="I145" s="425">
        <v>-28683.96</v>
      </c>
      <c r="J145" s="425">
        <v>-113047.2</v>
      </c>
      <c r="K145" s="425">
        <v>0</v>
      </c>
      <c r="L145" s="427">
        <v>0</v>
      </c>
    </row>
    <row r="146" spans="2:12" ht="15.6">
      <c r="B146" s="466" t="s">
        <v>440</v>
      </c>
      <c r="C146" s="465" t="s">
        <v>441</v>
      </c>
      <c r="D146" s="465" t="s">
        <v>165</v>
      </c>
      <c r="E146" s="463" t="s">
        <v>45</v>
      </c>
      <c r="F146" s="425">
        <v>-15867.33</v>
      </c>
      <c r="G146" s="425">
        <v>-15867.33</v>
      </c>
      <c r="H146" s="425">
        <v>-15867.33</v>
      </c>
      <c r="I146" s="425">
        <v>0</v>
      </c>
      <c r="J146" s="425">
        <v>0</v>
      </c>
      <c r="K146" s="425">
        <v>0</v>
      </c>
      <c r="L146" s="427">
        <v>0</v>
      </c>
    </row>
    <row r="147" spans="2:12" ht="15.6">
      <c r="B147" s="466" t="s">
        <v>442</v>
      </c>
      <c r="C147" s="465" t="s">
        <v>443</v>
      </c>
      <c r="D147" s="465" t="s">
        <v>165</v>
      </c>
      <c r="E147" s="463" t="s">
        <v>45</v>
      </c>
      <c r="F147" s="425">
        <v>-2047858.03</v>
      </c>
      <c r="G147" s="425">
        <v>-2047858.03</v>
      </c>
      <c r="H147" s="425">
        <v>-878787.02</v>
      </c>
      <c r="I147" s="425">
        <v>-181041.51</v>
      </c>
      <c r="J147" s="425">
        <v>-988029.5</v>
      </c>
      <c r="K147" s="425">
        <v>0</v>
      </c>
      <c r="L147" s="427">
        <v>0</v>
      </c>
    </row>
    <row r="148" spans="2:12" ht="15.6">
      <c r="B148" s="466" t="s">
        <v>444</v>
      </c>
      <c r="C148" s="465" t="s">
        <v>445</v>
      </c>
      <c r="D148" s="465" t="s">
        <v>165</v>
      </c>
      <c r="E148" s="463" t="s">
        <v>45</v>
      </c>
      <c r="F148" s="425">
        <v>-23584.91</v>
      </c>
      <c r="G148" s="425">
        <v>-23584.91</v>
      </c>
      <c r="H148" s="425">
        <v>-23584.91</v>
      </c>
      <c r="I148" s="425">
        <v>0</v>
      </c>
      <c r="J148" s="425">
        <v>0</v>
      </c>
      <c r="K148" s="425">
        <v>0</v>
      </c>
      <c r="L148" s="427">
        <v>0</v>
      </c>
    </row>
    <row r="149" spans="2:12" ht="15.6">
      <c r="B149" s="466" t="s">
        <v>446</v>
      </c>
      <c r="C149" s="465" t="s">
        <v>447</v>
      </c>
      <c r="D149" s="465" t="s">
        <v>165</v>
      </c>
      <c r="E149" s="463" t="s">
        <v>45</v>
      </c>
      <c r="F149" s="425">
        <v>-26566.14</v>
      </c>
      <c r="G149" s="425">
        <v>-26566.14</v>
      </c>
      <c r="H149" s="425">
        <v>0</v>
      </c>
      <c r="I149" s="425">
        <v>-6155.5</v>
      </c>
      <c r="J149" s="425">
        <v>-20410.64</v>
      </c>
      <c r="K149" s="425">
        <v>0</v>
      </c>
      <c r="L149" s="427">
        <v>0</v>
      </c>
    </row>
    <row r="150" spans="2:12" ht="15.6">
      <c r="B150" s="466" t="s">
        <v>448</v>
      </c>
      <c r="C150" s="465" t="s">
        <v>449</v>
      </c>
      <c r="D150" s="465" t="s">
        <v>165</v>
      </c>
      <c r="E150" s="463" t="s">
        <v>45</v>
      </c>
      <c r="F150" s="425">
        <v>-233490.57</v>
      </c>
      <c r="G150" s="425">
        <v>-233490.57</v>
      </c>
      <c r="H150" s="425">
        <v>0</v>
      </c>
      <c r="I150" s="425">
        <v>-233490.57</v>
      </c>
      <c r="J150" s="425">
        <v>0</v>
      </c>
      <c r="K150" s="425">
        <v>0</v>
      </c>
      <c r="L150" s="427">
        <v>0</v>
      </c>
    </row>
    <row r="151" spans="2:12" ht="15.6">
      <c r="B151" s="466" t="s">
        <v>450</v>
      </c>
      <c r="C151" s="465" t="s">
        <v>451</v>
      </c>
      <c r="D151" s="465" t="s">
        <v>165</v>
      </c>
      <c r="E151" s="463" t="s">
        <v>45</v>
      </c>
      <c r="F151" s="425">
        <v>-219017.02</v>
      </c>
      <c r="G151" s="425">
        <v>-219017.02</v>
      </c>
      <c r="H151" s="425">
        <v>-187846.02</v>
      </c>
      <c r="I151" s="425">
        <v>-21727.599999999999</v>
      </c>
      <c r="J151" s="425">
        <v>-9443.4</v>
      </c>
      <c r="K151" s="425">
        <v>0</v>
      </c>
      <c r="L151" s="427">
        <v>0</v>
      </c>
    </row>
    <row r="152" spans="2:12" ht="15.6">
      <c r="B152" s="466" t="s">
        <v>452</v>
      </c>
      <c r="C152" s="465" t="s">
        <v>453</v>
      </c>
      <c r="D152" s="465" t="s">
        <v>165</v>
      </c>
      <c r="E152" s="463" t="s">
        <v>45</v>
      </c>
      <c r="F152" s="425">
        <v>0</v>
      </c>
      <c r="G152" s="425">
        <v>0</v>
      </c>
      <c r="H152" s="425">
        <v>0</v>
      </c>
      <c r="I152" s="425">
        <v>0</v>
      </c>
      <c r="J152" s="425">
        <v>0</v>
      </c>
      <c r="K152" s="425">
        <v>0</v>
      </c>
      <c r="L152" s="427">
        <v>0</v>
      </c>
    </row>
    <row r="153" spans="2:12" ht="15.6">
      <c r="B153" s="466" t="s">
        <v>454</v>
      </c>
      <c r="C153" s="465" t="s">
        <v>455</v>
      </c>
      <c r="D153" s="465" t="s">
        <v>165</v>
      </c>
      <c r="E153" s="463" t="s">
        <v>45</v>
      </c>
      <c r="F153" s="425">
        <v>-23430.1</v>
      </c>
      <c r="G153" s="425">
        <v>-23430.1</v>
      </c>
      <c r="H153" s="425">
        <v>-23430.1</v>
      </c>
      <c r="I153" s="425">
        <v>0</v>
      </c>
      <c r="J153" s="425">
        <v>0</v>
      </c>
      <c r="K153" s="425">
        <v>0</v>
      </c>
      <c r="L153" s="427">
        <v>0</v>
      </c>
    </row>
    <row r="154" spans="2:12" ht="15.6">
      <c r="B154" s="466" t="s">
        <v>456</v>
      </c>
      <c r="C154" s="465" t="s">
        <v>457</v>
      </c>
      <c r="D154" s="465" t="s">
        <v>165</v>
      </c>
      <c r="E154" s="463" t="s">
        <v>45</v>
      </c>
      <c r="F154" s="425">
        <v>-24515.08</v>
      </c>
      <c r="G154" s="425">
        <v>-24515.08</v>
      </c>
      <c r="H154" s="425">
        <v>-24515.08</v>
      </c>
      <c r="I154" s="425">
        <v>0</v>
      </c>
      <c r="J154" s="425">
        <v>0</v>
      </c>
      <c r="K154" s="425">
        <v>0</v>
      </c>
      <c r="L154" s="427">
        <v>0</v>
      </c>
    </row>
    <row r="155" spans="2:12" ht="15.6">
      <c r="B155" s="466" t="s">
        <v>458</v>
      </c>
      <c r="C155" s="465" t="s">
        <v>459</v>
      </c>
      <c r="D155" s="465" t="s">
        <v>165</v>
      </c>
      <c r="E155" s="463" t="s">
        <v>45</v>
      </c>
      <c r="F155" s="425">
        <v>-1344493.87</v>
      </c>
      <c r="G155" s="425">
        <v>-1344493.87</v>
      </c>
      <c r="H155" s="425">
        <v>-142068.39000000001</v>
      </c>
      <c r="I155" s="425">
        <v>-184720.76</v>
      </c>
      <c r="J155" s="425">
        <v>-519573.22</v>
      </c>
      <c r="K155" s="425">
        <v>-52830.18</v>
      </c>
      <c r="L155" s="427">
        <v>-445301.32</v>
      </c>
    </row>
    <row r="156" spans="2:12" ht="15.6">
      <c r="B156" s="466" t="s">
        <v>460</v>
      </c>
      <c r="C156" s="465" t="s">
        <v>461</v>
      </c>
      <c r="D156" s="465" t="s">
        <v>165</v>
      </c>
      <c r="E156" s="463" t="s">
        <v>45</v>
      </c>
      <c r="F156" s="425">
        <v>-4716.9799999999996</v>
      </c>
      <c r="G156" s="425">
        <v>-4716.9799999999996</v>
      </c>
      <c r="H156" s="425">
        <v>-4716.9799999999996</v>
      </c>
      <c r="I156" s="425">
        <v>0</v>
      </c>
      <c r="J156" s="425">
        <v>0</v>
      </c>
      <c r="K156" s="425">
        <v>0</v>
      </c>
      <c r="L156" s="427">
        <v>0</v>
      </c>
    </row>
    <row r="157" spans="2:12" ht="15.6">
      <c r="B157" s="466" t="s">
        <v>462</v>
      </c>
      <c r="C157" s="465" t="s">
        <v>463</v>
      </c>
      <c r="D157" s="465" t="s">
        <v>165</v>
      </c>
      <c r="E157" s="463" t="s">
        <v>45</v>
      </c>
      <c r="F157" s="425">
        <v>0</v>
      </c>
      <c r="G157" s="425">
        <v>0</v>
      </c>
      <c r="H157" s="425">
        <v>0</v>
      </c>
      <c r="I157" s="425">
        <v>0</v>
      </c>
      <c r="J157" s="425">
        <v>0</v>
      </c>
      <c r="K157" s="425">
        <v>0</v>
      </c>
      <c r="L157" s="427">
        <v>0</v>
      </c>
    </row>
    <row r="158" spans="2:12" ht="15.6">
      <c r="B158" s="466" t="s">
        <v>464</v>
      </c>
      <c r="C158" s="465" t="s">
        <v>465</v>
      </c>
      <c r="D158" s="465" t="s">
        <v>165</v>
      </c>
      <c r="E158" s="463" t="s">
        <v>45</v>
      </c>
      <c r="F158" s="425">
        <v>0</v>
      </c>
      <c r="G158" s="425">
        <v>0</v>
      </c>
      <c r="H158" s="425">
        <v>0</v>
      </c>
      <c r="I158" s="425">
        <v>0</v>
      </c>
      <c r="J158" s="425">
        <v>0</v>
      </c>
      <c r="K158" s="425">
        <v>0</v>
      </c>
      <c r="L158" s="427">
        <v>0</v>
      </c>
    </row>
    <row r="159" spans="2:12" ht="15.6">
      <c r="B159" s="466" t="s">
        <v>466</v>
      </c>
      <c r="C159" s="465" t="s">
        <v>467</v>
      </c>
      <c r="D159" s="465" t="s">
        <v>165</v>
      </c>
      <c r="E159" s="463" t="s">
        <v>45</v>
      </c>
      <c r="F159" s="425">
        <v>-4573</v>
      </c>
      <c r="G159" s="425">
        <v>-4573</v>
      </c>
      <c r="H159" s="425">
        <v>-4573</v>
      </c>
      <c r="I159" s="425">
        <v>0</v>
      </c>
      <c r="J159" s="425">
        <v>0</v>
      </c>
      <c r="K159" s="425">
        <v>0</v>
      </c>
      <c r="L159" s="427">
        <v>0</v>
      </c>
    </row>
    <row r="160" spans="2:12" ht="15.6">
      <c r="B160" s="466" t="s">
        <v>468</v>
      </c>
      <c r="C160" s="465" t="s">
        <v>469</v>
      </c>
      <c r="D160" s="465" t="s">
        <v>165</v>
      </c>
      <c r="E160" s="463" t="s">
        <v>45</v>
      </c>
      <c r="F160" s="425">
        <v>-69619.759999999995</v>
      </c>
      <c r="G160" s="425">
        <v>-69619.759999999995</v>
      </c>
      <c r="H160" s="425">
        <v>-69619.759999999995</v>
      </c>
      <c r="I160" s="425">
        <v>0</v>
      </c>
      <c r="J160" s="425">
        <v>0</v>
      </c>
      <c r="K160" s="425">
        <v>0</v>
      </c>
      <c r="L160" s="427">
        <v>0</v>
      </c>
    </row>
    <row r="161" spans="2:12" ht="15.6">
      <c r="B161" s="466" t="s">
        <v>470</v>
      </c>
      <c r="C161" s="465" t="s">
        <v>471</v>
      </c>
      <c r="D161" s="465" t="s">
        <v>165</v>
      </c>
      <c r="E161" s="463" t="s">
        <v>45</v>
      </c>
      <c r="F161" s="425">
        <v>-930809.14</v>
      </c>
      <c r="G161" s="425">
        <v>-930809.14</v>
      </c>
      <c r="H161" s="425">
        <v>-331808</v>
      </c>
      <c r="I161" s="425">
        <v>-128948.14</v>
      </c>
      <c r="J161" s="425">
        <v>-436194.1</v>
      </c>
      <c r="K161" s="425">
        <v>-33858.9</v>
      </c>
      <c r="L161" s="427">
        <v>0</v>
      </c>
    </row>
    <row r="162" spans="2:12" ht="15.6">
      <c r="B162" s="466" t="s">
        <v>472</v>
      </c>
      <c r="C162" s="465" t="s">
        <v>473</v>
      </c>
      <c r="D162" s="465" t="s">
        <v>165</v>
      </c>
      <c r="E162" s="463" t="s">
        <v>45</v>
      </c>
      <c r="F162" s="425">
        <v>-157739.5</v>
      </c>
      <c r="G162" s="425">
        <v>-157739.5</v>
      </c>
      <c r="H162" s="425">
        <v>-157739.5</v>
      </c>
      <c r="I162" s="425">
        <v>0</v>
      </c>
      <c r="J162" s="425">
        <v>0</v>
      </c>
      <c r="K162" s="425">
        <v>0</v>
      </c>
      <c r="L162" s="427">
        <v>0</v>
      </c>
    </row>
    <row r="163" spans="2:12" ht="15.6">
      <c r="B163" s="466" t="s">
        <v>474</v>
      </c>
      <c r="C163" s="465" t="s">
        <v>475</v>
      </c>
      <c r="D163" s="465" t="s">
        <v>165</v>
      </c>
      <c r="E163" s="463" t="s">
        <v>45</v>
      </c>
      <c r="F163" s="425">
        <v>-379833.87</v>
      </c>
      <c r="G163" s="425">
        <v>-379833.87</v>
      </c>
      <c r="H163" s="425">
        <v>-280425.05</v>
      </c>
      <c r="I163" s="425">
        <v>-93568.62</v>
      </c>
      <c r="J163" s="425">
        <v>-5840.2</v>
      </c>
      <c r="K163" s="425">
        <v>0</v>
      </c>
      <c r="L163" s="427">
        <v>0</v>
      </c>
    </row>
    <row r="164" spans="2:12" ht="15.6">
      <c r="B164" s="466" t="s">
        <v>476</v>
      </c>
      <c r="C164" s="465" t="s">
        <v>477</v>
      </c>
      <c r="D164" s="465" t="s">
        <v>165</v>
      </c>
      <c r="E164" s="463" t="s">
        <v>45</v>
      </c>
      <c r="F164" s="425">
        <v>-757369.15</v>
      </c>
      <c r="G164" s="425">
        <v>-757369.15</v>
      </c>
      <c r="H164" s="425">
        <v>-223493.13</v>
      </c>
      <c r="I164" s="425">
        <v>-118249.60000000001</v>
      </c>
      <c r="J164" s="425">
        <v>-415626.42</v>
      </c>
      <c r="K164" s="425">
        <v>0</v>
      </c>
      <c r="L164" s="427">
        <v>0</v>
      </c>
    </row>
    <row r="165" spans="2:12" ht="15.6">
      <c r="B165" s="466" t="s">
        <v>478</v>
      </c>
      <c r="C165" s="465" t="s">
        <v>479</v>
      </c>
      <c r="D165" s="465" t="s">
        <v>165</v>
      </c>
      <c r="E165" s="463" t="s">
        <v>45</v>
      </c>
      <c r="F165" s="425">
        <v>-833900.72</v>
      </c>
      <c r="G165" s="425">
        <v>-833900.72</v>
      </c>
      <c r="H165" s="425">
        <v>-691708.86</v>
      </c>
      <c r="I165" s="425">
        <v>-8462.86</v>
      </c>
      <c r="J165" s="425">
        <v>-133729</v>
      </c>
      <c r="K165" s="425">
        <v>0</v>
      </c>
      <c r="L165" s="427">
        <v>0</v>
      </c>
    </row>
    <row r="166" spans="2:12" ht="15.6">
      <c r="B166" s="466" t="s">
        <v>480</v>
      </c>
      <c r="C166" s="465" t="s">
        <v>481</v>
      </c>
      <c r="D166" s="465" t="s">
        <v>165</v>
      </c>
      <c r="E166" s="463" t="s">
        <v>45</v>
      </c>
      <c r="F166" s="425">
        <v>-38834.949999999997</v>
      </c>
      <c r="G166" s="425">
        <v>-38834.949999999997</v>
      </c>
      <c r="H166" s="425">
        <v>-38834.949999999997</v>
      </c>
      <c r="I166" s="425">
        <v>0</v>
      </c>
      <c r="J166" s="425">
        <v>0</v>
      </c>
      <c r="K166" s="425">
        <v>0</v>
      </c>
      <c r="L166" s="427">
        <v>0</v>
      </c>
    </row>
    <row r="167" spans="2:12" ht="15.6">
      <c r="B167" s="466" t="s">
        <v>482</v>
      </c>
      <c r="C167" s="465" t="s">
        <v>483</v>
      </c>
      <c r="D167" s="465" t="s">
        <v>165</v>
      </c>
      <c r="E167" s="463" t="s">
        <v>45</v>
      </c>
      <c r="F167" s="425">
        <v>-217663.61</v>
      </c>
      <c r="G167" s="425">
        <v>-217663.61</v>
      </c>
      <c r="H167" s="425">
        <v>-217663.61</v>
      </c>
      <c r="I167" s="425">
        <v>0</v>
      </c>
      <c r="J167" s="425">
        <v>0</v>
      </c>
      <c r="K167" s="425">
        <v>0</v>
      </c>
      <c r="L167" s="427">
        <v>0</v>
      </c>
    </row>
    <row r="168" spans="2:12" ht="15.6">
      <c r="B168" s="466" t="s">
        <v>484</v>
      </c>
      <c r="C168" s="465" t="s">
        <v>485</v>
      </c>
      <c r="D168" s="465" t="s">
        <v>165</v>
      </c>
      <c r="E168" s="463" t="s">
        <v>45</v>
      </c>
      <c r="F168" s="425">
        <v>0</v>
      </c>
      <c r="G168" s="425">
        <v>0</v>
      </c>
      <c r="H168" s="425">
        <v>0</v>
      </c>
      <c r="I168" s="425">
        <v>0</v>
      </c>
      <c r="J168" s="425">
        <v>0</v>
      </c>
      <c r="K168" s="425">
        <v>0</v>
      </c>
      <c r="L168" s="427">
        <v>0</v>
      </c>
    </row>
    <row r="169" spans="2:12" ht="15.6">
      <c r="B169" s="466" t="s">
        <v>486</v>
      </c>
      <c r="C169" s="465" t="s">
        <v>487</v>
      </c>
      <c r="D169" s="465" t="s">
        <v>165</v>
      </c>
      <c r="E169" s="463" t="s">
        <v>45</v>
      </c>
      <c r="F169" s="425">
        <v>-916791.51</v>
      </c>
      <c r="G169" s="425">
        <v>-916791.51</v>
      </c>
      <c r="H169" s="425">
        <v>-916791.51</v>
      </c>
      <c r="I169" s="425">
        <v>0</v>
      </c>
      <c r="J169" s="425">
        <v>0</v>
      </c>
      <c r="K169" s="425">
        <v>0</v>
      </c>
      <c r="L169" s="427">
        <v>0</v>
      </c>
    </row>
    <row r="170" spans="2:12" ht="15.6">
      <c r="B170" s="466" t="s">
        <v>488</v>
      </c>
      <c r="C170" s="465" t="s">
        <v>489</v>
      </c>
      <c r="D170" s="465" t="s">
        <v>165</v>
      </c>
      <c r="E170" s="463" t="s">
        <v>45</v>
      </c>
      <c r="F170" s="425">
        <v>0</v>
      </c>
      <c r="G170" s="425">
        <v>0</v>
      </c>
      <c r="H170" s="425">
        <v>0</v>
      </c>
      <c r="I170" s="425">
        <v>0</v>
      </c>
      <c r="J170" s="425">
        <v>0</v>
      </c>
      <c r="K170" s="425">
        <v>0</v>
      </c>
      <c r="L170" s="427">
        <v>0</v>
      </c>
    </row>
    <row r="171" spans="2:12" ht="15.6">
      <c r="B171" s="466" t="s">
        <v>490</v>
      </c>
      <c r="C171" s="465" t="s">
        <v>491</v>
      </c>
      <c r="D171" s="465" t="s">
        <v>165</v>
      </c>
      <c r="E171" s="463" t="s">
        <v>45</v>
      </c>
      <c r="F171" s="425">
        <v>0</v>
      </c>
      <c r="G171" s="425">
        <v>0</v>
      </c>
      <c r="H171" s="425">
        <v>0</v>
      </c>
      <c r="I171" s="425">
        <v>0</v>
      </c>
      <c r="J171" s="425">
        <v>0</v>
      </c>
      <c r="K171" s="425">
        <v>0</v>
      </c>
      <c r="L171" s="427">
        <v>0</v>
      </c>
    </row>
    <row r="172" spans="2:12" ht="15.6">
      <c r="B172" s="466" t="s">
        <v>492</v>
      </c>
      <c r="C172" s="465" t="s">
        <v>493</v>
      </c>
      <c r="D172" s="465" t="s">
        <v>165</v>
      </c>
      <c r="E172" s="463" t="s">
        <v>45</v>
      </c>
      <c r="F172" s="425">
        <v>0</v>
      </c>
      <c r="G172" s="425">
        <v>0</v>
      </c>
      <c r="H172" s="425">
        <v>0</v>
      </c>
      <c r="I172" s="425">
        <v>0</v>
      </c>
      <c r="J172" s="425">
        <v>0</v>
      </c>
      <c r="K172" s="425">
        <v>0</v>
      </c>
      <c r="L172" s="427">
        <v>0</v>
      </c>
    </row>
    <row r="173" spans="2:12" ht="15.6">
      <c r="B173" s="466" t="s">
        <v>494</v>
      </c>
      <c r="C173" s="465" t="s">
        <v>495</v>
      </c>
      <c r="D173" s="465" t="s">
        <v>165</v>
      </c>
      <c r="E173" s="463" t="s">
        <v>45</v>
      </c>
      <c r="F173" s="425">
        <v>0</v>
      </c>
      <c r="G173" s="425">
        <v>0</v>
      </c>
      <c r="H173" s="425">
        <v>0</v>
      </c>
      <c r="I173" s="425">
        <v>0</v>
      </c>
      <c r="J173" s="425">
        <v>0</v>
      </c>
      <c r="K173" s="425">
        <v>0</v>
      </c>
      <c r="L173" s="427">
        <v>0</v>
      </c>
    </row>
    <row r="174" spans="2:12" ht="15.6">
      <c r="B174" s="466" t="s">
        <v>496</v>
      </c>
      <c r="C174" s="465" t="s">
        <v>497</v>
      </c>
      <c r="D174" s="465" t="s">
        <v>165</v>
      </c>
      <c r="E174" s="463" t="s">
        <v>45</v>
      </c>
      <c r="F174" s="425">
        <v>-33909.5</v>
      </c>
      <c r="G174" s="425">
        <v>-33909.5</v>
      </c>
      <c r="H174" s="425">
        <v>0</v>
      </c>
      <c r="I174" s="425">
        <v>-33909.5</v>
      </c>
      <c r="J174" s="425">
        <v>0</v>
      </c>
      <c r="K174" s="425">
        <v>0</v>
      </c>
      <c r="L174" s="427">
        <v>0</v>
      </c>
    </row>
    <row r="175" spans="2:12" ht="15.6">
      <c r="B175" s="466" t="s">
        <v>498</v>
      </c>
      <c r="C175" s="465" t="s">
        <v>499</v>
      </c>
      <c r="D175" s="465" t="s">
        <v>165</v>
      </c>
      <c r="E175" s="463" t="s">
        <v>45</v>
      </c>
      <c r="F175" s="425">
        <v>-183278.72</v>
      </c>
      <c r="G175" s="425">
        <v>-183278.72</v>
      </c>
      <c r="H175" s="425">
        <v>-183278.72</v>
      </c>
      <c r="I175" s="425">
        <v>0</v>
      </c>
      <c r="J175" s="425">
        <v>0</v>
      </c>
      <c r="K175" s="425">
        <v>0</v>
      </c>
      <c r="L175" s="427">
        <v>0</v>
      </c>
    </row>
    <row r="176" spans="2:12" ht="15.6">
      <c r="B176" s="466" t="s">
        <v>500</v>
      </c>
      <c r="C176" s="465" t="s">
        <v>501</v>
      </c>
      <c r="D176" s="465" t="s">
        <v>165</v>
      </c>
      <c r="E176" s="463" t="s">
        <v>45</v>
      </c>
      <c r="F176" s="425">
        <v>-159840</v>
      </c>
      <c r="G176" s="425">
        <v>-159840</v>
      </c>
      <c r="H176" s="425">
        <v>-159840</v>
      </c>
      <c r="I176" s="425">
        <v>0</v>
      </c>
      <c r="J176" s="425">
        <v>0</v>
      </c>
      <c r="K176" s="425">
        <v>0</v>
      </c>
      <c r="L176" s="427">
        <v>0</v>
      </c>
    </row>
    <row r="177" spans="2:12" ht="15.6">
      <c r="B177" s="466" t="s">
        <v>502</v>
      </c>
      <c r="C177" s="465" t="s">
        <v>503</v>
      </c>
      <c r="D177" s="465" t="s">
        <v>165</v>
      </c>
      <c r="E177" s="463" t="s">
        <v>45</v>
      </c>
      <c r="F177" s="425">
        <v>-188679.24</v>
      </c>
      <c r="G177" s="425">
        <v>-188679.24</v>
      </c>
      <c r="H177" s="425">
        <v>-188679.24</v>
      </c>
      <c r="I177" s="425">
        <v>0</v>
      </c>
      <c r="J177" s="425">
        <v>0</v>
      </c>
      <c r="K177" s="425">
        <v>0</v>
      </c>
      <c r="L177" s="427">
        <v>0</v>
      </c>
    </row>
    <row r="178" spans="2:12" ht="15.6">
      <c r="B178" s="466" t="s">
        <v>504</v>
      </c>
      <c r="C178" s="465" t="s">
        <v>505</v>
      </c>
      <c r="D178" s="465" t="s">
        <v>165</v>
      </c>
      <c r="E178" s="463" t="s">
        <v>45</v>
      </c>
      <c r="F178" s="425">
        <v>-86930.69</v>
      </c>
      <c r="G178" s="425">
        <v>-86930.69</v>
      </c>
      <c r="H178" s="425">
        <v>-86930.69</v>
      </c>
      <c r="I178" s="425">
        <v>0</v>
      </c>
      <c r="J178" s="425">
        <v>0</v>
      </c>
      <c r="K178" s="425">
        <v>0</v>
      </c>
      <c r="L178" s="427">
        <v>0</v>
      </c>
    </row>
    <row r="179" spans="2:12" ht="15.6">
      <c r="B179" s="466" t="s">
        <v>506</v>
      </c>
      <c r="C179" s="465" t="s">
        <v>507</v>
      </c>
      <c r="D179" s="465" t="s">
        <v>165</v>
      </c>
      <c r="E179" s="463" t="s">
        <v>45</v>
      </c>
      <c r="F179" s="425">
        <v>-261359.22</v>
      </c>
      <c r="G179" s="425">
        <v>-261359.22</v>
      </c>
      <c r="H179" s="425">
        <v>-261359.22</v>
      </c>
      <c r="I179" s="425">
        <v>0</v>
      </c>
      <c r="J179" s="425">
        <v>0</v>
      </c>
      <c r="K179" s="425">
        <v>0</v>
      </c>
      <c r="L179" s="427">
        <v>0</v>
      </c>
    </row>
    <row r="180" spans="2:12" ht="15.6">
      <c r="B180" s="466" t="s">
        <v>508</v>
      </c>
      <c r="C180" s="465" t="s">
        <v>509</v>
      </c>
      <c r="D180" s="465" t="s">
        <v>165</v>
      </c>
      <c r="E180" s="463" t="s">
        <v>45</v>
      </c>
      <c r="F180" s="425">
        <v>-50495.05</v>
      </c>
      <c r="G180" s="425">
        <v>-50495.05</v>
      </c>
      <c r="H180" s="425">
        <v>-50495.05</v>
      </c>
      <c r="I180" s="425">
        <v>0</v>
      </c>
      <c r="J180" s="425">
        <v>0</v>
      </c>
      <c r="K180" s="425">
        <v>0</v>
      </c>
      <c r="L180" s="427">
        <v>0</v>
      </c>
    </row>
    <row r="181" spans="2:12" ht="15.6">
      <c r="B181" s="466" t="s">
        <v>510</v>
      </c>
      <c r="C181" s="465" t="s">
        <v>511</v>
      </c>
      <c r="D181" s="465" t="s">
        <v>165</v>
      </c>
      <c r="E181" s="463" t="s">
        <v>45</v>
      </c>
      <c r="F181" s="425">
        <v>-345516.17</v>
      </c>
      <c r="G181" s="425">
        <v>-345516.17</v>
      </c>
      <c r="H181" s="425">
        <v>-345516.17</v>
      </c>
      <c r="I181" s="425">
        <v>0</v>
      </c>
      <c r="J181" s="425">
        <v>0</v>
      </c>
      <c r="K181" s="425">
        <v>0</v>
      </c>
      <c r="L181" s="427">
        <v>0</v>
      </c>
    </row>
    <row r="182" spans="2:12" ht="15.6">
      <c r="B182" s="466" t="s">
        <v>512</v>
      </c>
      <c r="C182" s="465" t="s">
        <v>513</v>
      </c>
      <c r="D182" s="465" t="s">
        <v>165</v>
      </c>
      <c r="E182" s="463" t="s">
        <v>45</v>
      </c>
      <c r="F182" s="425">
        <v>-35643.56</v>
      </c>
      <c r="G182" s="425">
        <v>-35643.56</v>
      </c>
      <c r="H182" s="425">
        <v>-35643.56</v>
      </c>
      <c r="I182" s="425">
        <v>0</v>
      </c>
      <c r="J182" s="425">
        <v>0</v>
      </c>
      <c r="K182" s="425">
        <v>0</v>
      </c>
      <c r="L182" s="427">
        <v>0</v>
      </c>
    </row>
    <row r="183" spans="2:12" ht="15.6">
      <c r="B183" s="466" t="s">
        <v>514</v>
      </c>
      <c r="C183" s="465" t="s">
        <v>515</v>
      </c>
      <c r="D183" s="465" t="s">
        <v>165</v>
      </c>
      <c r="E183" s="463" t="s">
        <v>45</v>
      </c>
      <c r="F183" s="425">
        <v>-163207.54999999999</v>
      </c>
      <c r="G183" s="425">
        <v>-163207.54999999999</v>
      </c>
      <c r="H183" s="425">
        <v>-163207.54999999999</v>
      </c>
      <c r="I183" s="425">
        <v>0</v>
      </c>
      <c r="J183" s="425">
        <v>0</v>
      </c>
      <c r="K183" s="425">
        <v>0</v>
      </c>
      <c r="L183" s="427">
        <v>0</v>
      </c>
    </row>
    <row r="184" spans="2:12" ht="15.6">
      <c r="B184" s="466" t="s">
        <v>516</v>
      </c>
      <c r="C184" s="465" t="s">
        <v>517</v>
      </c>
      <c r="D184" s="465" t="s">
        <v>165</v>
      </c>
      <c r="E184" s="463" t="s">
        <v>45</v>
      </c>
      <c r="F184" s="425">
        <v>-86028.3</v>
      </c>
      <c r="G184" s="425">
        <v>-86028.3</v>
      </c>
      <c r="H184" s="425">
        <v>-86028.3</v>
      </c>
      <c r="I184" s="425">
        <v>0</v>
      </c>
      <c r="J184" s="425">
        <v>0</v>
      </c>
      <c r="K184" s="425">
        <v>0</v>
      </c>
      <c r="L184" s="427">
        <v>0</v>
      </c>
    </row>
    <row r="185" spans="2:12" ht="15.6">
      <c r="B185" s="466" t="s">
        <v>518</v>
      </c>
      <c r="C185" s="465" t="s">
        <v>519</v>
      </c>
      <c r="D185" s="465" t="s">
        <v>165</v>
      </c>
      <c r="E185" s="463" t="s">
        <v>45</v>
      </c>
      <c r="F185" s="425">
        <v>-29410.38</v>
      </c>
      <c r="G185" s="425">
        <v>-29410.38</v>
      </c>
      <c r="H185" s="425">
        <v>-29410.38</v>
      </c>
      <c r="I185" s="425">
        <v>0</v>
      </c>
      <c r="J185" s="425">
        <v>0</v>
      </c>
      <c r="K185" s="425">
        <v>0</v>
      </c>
      <c r="L185" s="427">
        <v>0</v>
      </c>
    </row>
    <row r="186" spans="2:12" ht="15.6">
      <c r="B186" s="466" t="s">
        <v>520</v>
      </c>
      <c r="C186" s="465" t="s">
        <v>521</v>
      </c>
      <c r="D186" s="465" t="s">
        <v>165</v>
      </c>
      <c r="E186" s="463" t="s">
        <v>45</v>
      </c>
      <c r="F186" s="425">
        <v>-186000</v>
      </c>
      <c r="G186" s="425">
        <v>-186000</v>
      </c>
      <c r="H186" s="425">
        <v>-186000</v>
      </c>
      <c r="I186" s="425">
        <v>0</v>
      </c>
      <c r="J186" s="425">
        <v>0</v>
      </c>
      <c r="K186" s="425">
        <v>0</v>
      </c>
      <c r="L186" s="427">
        <v>0</v>
      </c>
    </row>
    <row r="187" spans="2:12" ht="15.6">
      <c r="B187" s="466" t="s">
        <v>522</v>
      </c>
      <c r="C187" s="465" t="s">
        <v>523</v>
      </c>
      <c r="D187" s="465" t="s">
        <v>165</v>
      </c>
      <c r="E187" s="463" t="s">
        <v>45</v>
      </c>
      <c r="F187" s="425">
        <v>-816740</v>
      </c>
      <c r="G187" s="425">
        <v>-816740</v>
      </c>
      <c r="H187" s="425">
        <v>-816740</v>
      </c>
      <c r="I187" s="425">
        <v>0</v>
      </c>
      <c r="J187" s="425">
        <v>0</v>
      </c>
      <c r="K187" s="425">
        <v>0</v>
      </c>
      <c r="L187" s="427">
        <v>0</v>
      </c>
    </row>
    <row r="188" spans="2:12" ht="15.6">
      <c r="B188" s="466" t="s">
        <v>524</v>
      </c>
      <c r="C188" s="465" t="s">
        <v>525</v>
      </c>
      <c r="D188" s="465" t="s">
        <v>165</v>
      </c>
      <c r="E188" s="463" t="s">
        <v>45</v>
      </c>
      <c r="F188" s="425">
        <v>-10000</v>
      </c>
      <c r="G188" s="425">
        <v>-10000</v>
      </c>
      <c r="H188" s="425">
        <v>-10000</v>
      </c>
      <c r="I188" s="425">
        <v>0</v>
      </c>
      <c r="J188" s="425">
        <v>0</v>
      </c>
      <c r="K188" s="425">
        <v>0</v>
      </c>
      <c r="L188" s="427">
        <v>0</v>
      </c>
    </row>
    <row r="189" spans="2:12" ht="15.6">
      <c r="B189" s="466" t="s">
        <v>1012</v>
      </c>
      <c r="C189" s="534">
        <v>66666</v>
      </c>
      <c r="D189" s="465" t="s">
        <v>165</v>
      </c>
      <c r="E189" s="463" t="s">
        <v>45</v>
      </c>
      <c r="F189" s="425">
        <v>826740</v>
      </c>
      <c r="G189" s="425">
        <v>826740</v>
      </c>
      <c r="H189" s="425">
        <v>826740</v>
      </c>
      <c r="I189" s="425">
        <v>0</v>
      </c>
      <c r="J189" s="425">
        <v>0</v>
      </c>
      <c r="K189" s="425">
        <v>0</v>
      </c>
      <c r="L189" s="427">
        <v>0</v>
      </c>
    </row>
    <row r="190" spans="2:12" ht="15.6">
      <c r="B190" s="466" t="s">
        <v>526</v>
      </c>
      <c r="C190" s="465" t="s">
        <v>527</v>
      </c>
      <c r="D190" s="465" t="s">
        <v>528</v>
      </c>
      <c r="E190" s="463" t="s">
        <v>45</v>
      </c>
      <c r="F190" s="425">
        <v>0</v>
      </c>
      <c r="G190" s="425">
        <v>0</v>
      </c>
      <c r="H190" s="425">
        <v>0</v>
      </c>
      <c r="I190" s="425">
        <v>0</v>
      </c>
      <c r="J190" s="425">
        <v>0</v>
      </c>
      <c r="K190" s="425">
        <v>0</v>
      </c>
      <c r="L190" s="427">
        <v>0</v>
      </c>
    </row>
    <row r="191" spans="2:12" ht="15.6">
      <c r="B191" s="466" t="s">
        <v>529</v>
      </c>
      <c r="C191" s="465" t="s">
        <v>530</v>
      </c>
      <c r="D191" s="465" t="s">
        <v>528</v>
      </c>
      <c r="E191" s="463" t="s">
        <v>45</v>
      </c>
      <c r="F191" s="425">
        <v>0</v>
      </c>
      <c r="G191" s="425">
        <v>0</v>
      </c>
      <c r="H191" s="425">
        <v>0</v>
      </c>
      <c r="I191" s="425">
        <v>0</v>
      </c>
      <c r="J191" s="425">
        <v>0</v>
      </c>
      <c r="K191" s="425">
        <v>0</v>
      </c>
      <c r="L191" s="427">
        <v>0</v>
      </c>
    </row>
    <row r="192" spans="2:12" ht="15.6">
      <c r="B192" s="466" t="s">
        <v>531</v>
      </c>
      <c r="C192" s="465" t="s">
        <v>532</v>
      </c>
      <c r="D192" s="465" t="s">
        <v>528</v>
      </c>
      <c r="E192" s="463" t="s">
        <v>45</v>
      </c>
      <c r="F192" s="425">
        <v>-5153204.96</v>
      </c>
      <c r="G192" s="425">
        <v>-5153204.96</v>
      </c>
      <c r="H192" s="425">
        <v>-2802331.71</v>
      </c>
      <c r="I192" s="425">
        <v>-1340442.03</v>
      </c>
      <c r="J192" s="425">
        <v>-953168.01</v>
      </c>
      <c r="K192" s="425">
        <v>-57263.21</v>
      </c>
      <c r="L192" s="427">
        <v>0</v>
      </c>
    </row>
    <row r="193" spans="2:12" ht="15.6">
      <c r="B193" s="466" t="s">
        <v>533</v>
      </c>
      <c r="C193" s="465" t="s">
        <v>534</v>
      </c>
      <c r="D193" s="465" t="s">
        <v>528</v>
      </c>
      <c r="E193" s="463" t="s">
        <v>45</v>
      </c>
      <c r="F193" s="425">
        <v>0</v>
      </c>
      <c r="G193" s="425">
        <v>0</v>
      </c>
      <c r="H193" s="425">
        <v>0</v>
      </c>
      <c r="I193" s="425">
        <v>0</v>
      </c>
      <c r="J193" s="425">
        <v>0</v>
      </c>
      <c r="K193" s="425">
        <v>0</v>
      </c>
      <c r="L193" s="427">
        <v>0</v>
      </c>
    </row>
    <row r="194" spans="2:12" ht="15.6">
      <c r="B194" s="466" t="s">
        <v>535</v>
      </c>
      <c r="C194" s="465" t="s">
        <v>536</v>
      </c>
      <c r="D194" s="465" t="s">
        <v>528</v>
      </c>
      <c r="E194" s="463" t="s">
        <v>45</v>
      </c>
      <c r="F194" s="425">
        <v>-58147.17</v>
      </c>
      <c r="G194" s="425">
        <v>-58147.17</v>
      </c>
      <c r="H194" s="425">
        <v>0</v>
      </c>
      <c r="I194" s="425">
        <v>0</v>
      </c>
      <c r="J194" s="425">
        <v>-58147.17</v>
      </c>
      <c r="K194" s="425">
        <v>0</v>
      </c>
      <c r="L194" s="427">
        <v>0</v>
      </c>
    </row>
    <row r="195" spans="2:12" ht="15.6">
      <c r="B195" s="466" t="s">
        <v>537</v>
      </c>
      <c r="C195" s="465" t="s">
        <v>538</v>
      </c>
      <c r="D195" s="465" t="s">
        <v>528</v>
      </c>
      <c r="E195" s="463" t="s">
        <v>45</v>
      </c>
      <c r="F195" s="425">
        <v>-176415.1</v>
      </c>
      <c r="G195" s="425">
        <v>-176415.1</v>
      </c>
      <c r="H195" s="425">
        <v>-176415.1</v>
      </c>
      <c r="I195" s="425">
        <v>0</v>
      </c>
      <c r="J195" s="425">
        <v>0</v>
      </c>
      <c r="K195" s="425">
        <v>0</v>
      </c>
      <c r="L195" s="427">
        <v>0</v>
      </c>
    </row>
    <row r="196" spans="2:12" ht="16.2" thickBot="1">
      <c r="B196" s="484" t="s">
        <v>103</v>
      </c>
      <c r="C196" s="485"/>
      <c r="D196" s="485"/>
      <c r="E196" s="485"/>
      <c r="F196" s="428">
        <f>(SUM(F8:F195))</f>
        <v>-64187384.869999997</v>
      </c>
      <c r="G196" s="428">
        <f t="shared" ref="G196:L196" si="0">(SUM(G8:G195))</f>
        <v>-64187384.869999997</v>
      </c>
      <c r="H196" s="428">
        <f t="shared" si="0"/>
        <v>-18000340.150000006</v>
      </c>
      <c r="I196" s="428">
        <f t="shared" si="0"/>
        <v>-14800560.529999997</v>
      </c>
      <c r="J196" s="428">
        <f t="shared" si="0"/>
        <v>-15459187.84</v>
      </c>
      <c r="K196" s="428">
        <f t="shared" si="0"/>
        <v>-6566550.7799999993</v>
      </c>
      <c r="L196" s="429">
        <f t="shared" si="0"/>
        <v>-9360745.5699999984</v>
      </c>
    </row>
  </sheetData>
  <mergeCells count="1">
    <mergeCell ref="B1:H1"/>
  </mergeCells>
  <phoneticPr fontId="25" type="noConversion"/>
  <pageMargins left="0.7" right="0.7" top="0.75" bottom="0.75" header="0.3" footer="0.3"/>
  <pageSetup paperSize="9" orientation="portrait" horizontalDpi="300" r:id="rId1"/>
  <headerFooter>
    <oddFooter>&amp;LPAL SWP Accrued Liabilities
(24 June 2025)</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X93"/>
  <sheetViews>
    <sheetView showGridLines="0" topLeftCell="A8" zoomScale="70" zoomScaleNormal="70" workbookViewId="0">
      <selection activeCell="H38" sqref="H38"/>
    </sheetView>
  </sheetViews>
  <sheetFormatPr defaultColWidth="8.77734375" defaultRowHeight="13.35" customHeight="1"/>
  <cols>
    <col min="1" max="1" width="2.5546875" style="187" customWidth="1"/>
    <col min="2" max="2" width="20.77734375" style="192" customWidth="1"/>
    <col min="3" max="3" width="17.77734375" style="188" customWidth="1"/>
    <col min="4" max="4" width="26" style="188" customWidth="1"/>
    <col min="5" max="5" width="20.109375" style="188" customWidth="1"/>
    <col min="6" max="6" width="17.33203125" style="188" customWidth="1"/>
    <col min="7" max="9" width="18.109375" style="188" customWidth="1"/>
    <col min="10" max="10" width="15.44140625" style="188" customWidth="1"/>
    <col min="11" max="11" width="17.109375" style="188" customWidth="1"/>
    <col min="12" max="12" width="9.44140625" style="188" customWidth="1"/>
    <col min="13" max="13" width="9.33203125" style="188" customWidth="1"/>
    <col min="14" max="14" width="9.21875" style="188" customWidth="1"/>
    <col min="15" max="15" width="25.44140625" style="188" customWidth="1"/>
    <col min="16" max="16" width="2.5546875" style="188" customWidth="1"/>
    <col min="17" max="17" width="1.5546875" style="188" customWidth="1"/>
    <col min="18" max="18" width="12.77734375" style="188" customWidth="1"/>
    <col min="19" max="19" width="8.33203125" style="188" customWidth="1"/>
    <col min="20" max="20" width="9.33203125" style="188" customWidth="1"/>
    <col min="21" max="21" width="9.77734375" style="188" customWidth="1"/>
    <col min="22" max="22" width="12.33203125" style="188" customWidth="1"/>
    <col min="23" max="23" width="10.33203125" style="188" customWidth="1"/>
    <col min="24" max="24" width="12.33203125" style="188" customWidth="1"/>
    <col min="25" max="25" width="8.33203125" style="188" customWidth="1"/>
    <col min="26" max="26" width="9.33203125" style="188" customWidth="1"/>
    <col min="27" max="28" width="8.33203125" style="188" customWidth="1"/>
    <col min="29" max="29" width="10.77734375" style="188" customWidth="1"/>
    <col min="30" max="30" width="10.33203125" style="188" customWidth="1"/>
    <col min="31" max="31" width="12" style="188" customWidth="1"/>
    <col min="32" max="32" width="8.33203125" style="188" customWidth="1"/>
    <col min="33" max="33" width="10.109375" style="188" customWidth="1"/>
    <col min="34" max="34" width="11.109375" style="188" customWidth="1"/>
    <col min="35" max="37" width="8.33203125" style="188" customWidth="1"/>
    <col min="38" max="38" width="21.33203125" style="188" customWidth="1"/>
    <col min="39" max="39" width="19.77734375" style="188" customWidth="1"/>
    <col min="40" max="40" width="20.77734375" style="188" customWidth="1"/>
    <col min="41" max="41" width="17.33203125" style="188" customWidth="1"/>
    <col min="42" max="42" width="14.33203125" style="188" customWidth="1"/>
    <col min="43" max="43" width="13.77734375" style="188" customWidth="1"/>
    <col min="44" max="44" width="9.33203125" style="188" customWidth="1"/>
    <col min="45" max="98" width="8.77734375" style="188"/>
    <col min="99" max="99" width="13.109375" style="189" customWidth="1"/>
    <col min="100" max="100" width="7.33203125" style="189" customWidth="1"/>
    <col min="101" max="110" width="8.77734375" style="189"/>
    <col min="111" max="111" width="14.33203125" style="189" customWidth="1"/>
    <col min="112" max="117" width="8.77734375" style="189"/>
    <col min="118" max="118" width="10.33203125" style="189" customWidth="1"/>
    <col min="119" max="122" width="8.77734375" style="189"/>
    <col min="123" max="123" width="10.109375" style="189" customWidth="1"/>
    <col min="124" max="124" width="12.33203125" style="189" customWidth="1"/>
    <col min="125" max="125" width="8.77734375" style="190"/>
    <col min="126" max="126" width="8.77734375" style="189"/>
    <col min="127" max="127" width="8.77734375" style="191"/>
    <col min="128" max="16384" width="8.77734375" style="188"/>
  </cols>
  <sheetData>
    <row r="1" spans="1:127" s="186" customFormat="1" ht="50.1" customHeight="1">
      <c r="A1" s="10"/>
      <c r="B1" s="307" t="s">
        <v>539</v>
      </c>
      <c r="C1" s="308"/>
      <c r="D1" s="309"/>
      <c r="E1" s="309"/>
      <c r="F1" s="309"/>
      <c r="G1" s="309"/>
      <c r="H1" s="309"/>
      <c r="I1" s="309"/>
      <c r="J1" s="309"/>
      <c r="K1" s="309"/>
      <c r="L1" s="309"/>
      <c r="M1" s="309"/>
      <c r="N1" s="310"/>
      <c r="O1" s="311"/>
      <c r="P1" s="10"/>
      <c r="Q1" s="17"/>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row>
    <row r="2" spans="1:127" s="186" customFormat="1" ht="30" customHeight="1">
      <c r="A2" s="10"/>
      <c r="B2" s="312" t="s">
        <v>540</v>
      </c>
      <c r="C2" s="313"/>
      <c r="D2" s="313"/>
      <c r="E2" s="313"/>
      <c r="F2" s="313"/>
      <c r="G2" s="313"/>
      <c r="H2" s="313"/>
      <c r="I2" s="313"/>
      <c r="J2" s="313"/>
      <c r="K2" s="313"/>
      <c r="L2" s="313"/>
      <c r="M2" s="313"/>
      <c r="N2" s="313"/>
      <c r="O2" s="314"/>
      <c r="P2" s="10"/>
      <c r="Q2" s="17"/>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row>
    <row r="3" spans="1:127" s="186" customFormat="1" ht="15" customHeight="1">
      <c r="A3" s="10"/>
      <c r="B3" s="10"/>
      <c r="C3" s="10"/>
      <c r="D3" s="10"/>
      <c r="E3" s="10"/>
      <c r="F3" s="10"/>
      <c r="G3" s="10"/>
      <c r="H3" s="10"/>
      <c r="I3" s="10"/>
      <c r="J3" s="10"/>
      <c r="K3" s="10"/>
      <c r="L3" s="10"/>
      <c r="M3" s="315"/>
      <c r="N3" s="315"/>
      <c r="O3" s="315"/>
      <c r="P3" s="10"/>
      <c r="Q3" s="17"/>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row>
    <row r="4" spans="1:127" s="186" customFormat="1" ht="15" customHeight="1">
      <c r="A4" s="10"/>
      <c r="B4" s="194" t="s">
        <v>47</v>
      </c>
      <c r="C4" s="10"/>
      <c r="D4" s="10"/>
      <c r="E4" s="10"/>
      <c r="F4" s="10"/>
      <c r="G4" s="10"/>
      <c r="H4" s="10"/>
      <c r="I4" s="10"/>
      <c r="J4" s="10"/>
      <c r="K4" s="10"/>
      <c r="L4" s="10"/>
      <c r="M4" s="316"/>
      <c r="N4" s="316"/>
      <c r="O4" s="316"/>
      <c r="P4" s="10"/>
      <c r="Q4" s="17"/>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row>
    <row r="5" spans="1:127" s="186" customFormat="1" ht="15" customHeight="1">
      <c r="A5" s="10"/>
      <c r="B5" s="10"/>
      <c r="C5" s="10"/>
      <c r="D5" s="10"/>
      <c r="E5" s="10"/>
      <c r="F5" s="10"/>
      <c r="G5" s="10"/>
      <c r="H5" s="10"/>
      <c r="I5" s="10"/>
      <c r="J5" s="10"/>
      <c r="K5" s="10"/>
      <c r="L5" s="10"/>
      <c r="M5" s="316"/>
      <c r="N5" s="316"/>
      <c r="O5" s="316"/>
      <c r="P5" s="10"/>
      <c r="Q5" s="17"/>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row>
    <row r="6" spans="1:127" s="186" customFormat="1" ht="15" customHeight="1">
      <c r="A6" s="10"/>
      <c r="B6" s="402">
        <f>'N.00 Lead sheet'!E15</f>
        <v>585000</v>
      </c>
      <c r="C6" s="85" t="s">
        <v>541</v>
      </c>
      <c r="D6" s="46"/>
      <c r="E6" s="10"/>
      <c r="F6" s="10"/>
      <c r="G6" s="10"/>
      <c r="H6" s="10"/>
      <c r="I6" s="10"/>
      <c r="J6" s="10"/>
      <c r="K6" s="10"/>
      <c r="L6" s="10"/>
      <c r="M6" s="10"/>
      <c r="N6" s="10"/>
      <c r="O6" s="10"/>
      <c r="P6" s="10"/>
      <c r="Q6" s="17"/>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row>
    <row r="7" spans="1:127" ht="15" customHeight="1">
      <c r="A7" s="317"/>
      <c r="B7" s="318"/>
      <c r="C7" s="319"/>
      <c r="D7" s="320"/>
      <c r="E7" s="320"/>
      <c r="F7" s="320"/>
      <c r="G7" s="320"/>
      <c r="H7" s="320"/>
      <c r="I7" s="320"/>
      <c r="J7" s="320"/>
      <c r="K7" s="2"/>
      <c r="L7" s="2"/>
      <c r="M7" s="2"/>
      <c r="N7" s="2"/>
      <c r="O7" s="2"/>
      <c r="P7" s="10"/>
      <c r="Q7" s="17"/>
      <c r="R7" s="2"/>
      <c r="S7" s="2"/>
      <c r="T7" s="320"/>
      <c r="U7" s="2"/>
      <c r="V7" s="2"/>
      <c r="W7" s="2"/>
      <c r="X7" s="2"/>
      <c r="Y7" s="2"/>
      <c r="Z7" s="2"/>
      <c r="AA7" s="2"/>
      <c r="AB7" s="2"/>
      <c r="AC7" s="320"/>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321"/>
      <c r="CX7" s="321"/>
      <c r="CY7" s="321"/>
      <c r="CZ7" s="321"/>
      <c r="DA7" s="321"/>
      <c r="DB7" s="321"/>
      <c r="DC7" s="321"/>
      <c r="DD7" s="321"/>
      <c r="DE7" s="2"/>
      <c r="DF7" s="321"/>
      <c r="DG7" s="321"/>
      <c r="DH7" s="321"/>
      <c r="DI7" s="321"/>
      <c r="DJ7" s="321"/>
      <c r="DK7" s="2"/>
      <c r="DL7" s="2"/>
      <c r="DM7" s="2"/>
      <c r="DN7" s="2"/>
      <c r="DO7" s="2"/>
      <c r="DP7" s="2"/>
      <c r="DQ7" s="2"/>
      <c r="DR7" s="2"/>
      <c r="DS7" s="2"/>
      <c r="DT7" s="322"/>
      <c r="DU7" s="2"/>
      <c r="DV7" s="2"/>
      <c r="DW7" s="2"/>
    </row>
    <row r="8" spans="1:127" s="189" customFormat="1" ht="13.35" customHeight="1">
      <c r="A8" s="323"/>
      <c r="B8" s="639" t="s">
        <v>542</v>
      </c>
      <c r="C8" s="640"/>
      <c r="D8" s="640"/>
      <c r="E8" s="640"/>
      <c r="F8" s="641"/>
      <c r="G8" s="324"/>
      <c r="H8" s="324"/>
      <c r="I8" s="324"/>
      <c r="J8" s="324"/>
      <c r="K8" s="324"/>
      <c r="L8" s="324"/>
      <c r="M8" s="324"/>
      <c r="N8" s="324"/>
      <c r="O8" s="324"/>
      <c r="P8" s="10"/>
      <c r="Q8" s="17"/>
      <c r="R8" s="324"/>
      <c r="S8" s="324"/>
      <c r="T8" s="324"/>
      <c r="U8" s="324"/>
      <c r="V8" s="324"/>
      <c r="W8" s="324"/>
      <c r="X8" s="324"/>
      <c r="Y8" s="324"/>
      <c r="Z8" s="324"/>
      <c r="AA8" s="2"/>
      <c r="AB8" s="2"/>
      <c r="AC8" s="2"/>
      <c r="AD8" s="2"/>
      <c r="AE8" s="2"/>
      <c r="AF8" s="2"/>
      <c r="AG8" s="2"/>
      <c r="AH8" s="2"/>
      <c r="AI8" s="321"/>
      <c r="AJ8" s="321"/>
      <c r="AK8" s="321"/>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321"/>
      <c r="CH8" s="321"/>
      <c r="CI8" s="321"/>
      <c r="CJ8" s="321"/>
      <c r="CK8" s="321"/>
      <c r="CL8" s="321"/>
      <c r="CM8" s="321"/>
      <c r="CN8" s="321"/>
      <c r="CO8" s="321"/>
      <c r="CP8" s="321"/>
      <c r="CQ8" s="321"/>
      <c r="CR8" s="321"/>
      <c r="CS8" s="321"/>
      <c r="CT8" s="321"/>
      <c r="CU8" s="321"/>
      <c r="CV8" s="321"/>
      <c r="CW8" s="321"/>
      <c r="CX8" s="321"/>
      <c r="CY8" s="321"/>
      <c r="CZ8" s="321"/>
      <c r="DA8" s="321"/>
      <c r="DB8" s="321"/>
      <c r="DC8" s="321"/>
      <c r="DD8" s="321"/>
      <c r="DE8" s="321"/>
      <c r="DF8" s="321"/>
      <c r="DG8" s="325"/>
      <c r="DH8" s="321"/>
      <c r="DI8" s="326"/>
      <c r="DJ8" s="321"/>
      <c r="DK8" s="321"/>
      <c r="DL8" s="321"/>
      <c r="DM8" s="321"/>
      <c r="DN8" s="321"/>
      <c r="DO8" s="321"/>
      <c r="DP8" s="321"/>
      <c r="DQ8" s="321"/>
      <c r="DR8" s="321"/>
      <c r="DS8" s="321"/>
      <c r="DT8" s="321"/>
      <c r="DU8" s="321"/>
      <c r="DV8" s="321"/>
      <c r="DW8" s="321"/>
    </row>
    <row r="9" spans="1:127" s="189" customFormat="1" ht="30" customHeight="1">
      <c r="A9" s="323"/>
      <c r="B9" s="649" t="s">
        <v>543</v>
      </c>
      <c r="C9" s="650"/>
      <c r="D9" s="650"/>
      <c r="E9" s="650"/>
      <c r="F9" s="651"/>
      <c r="G9" s="324"/>
      <c r="H9" s="324"/>
      <c r="I9" s="324"/>
      <c r="J9" s="324"/>
      <c r="K9" s="324"/>
      <c r="L9" s="324"/>
      <c r="M9" s="324"/>
      <c r="N9" s="324"/>
      <c r="O9" s="324"/>
      <c r="P9" s="10"/>
      <c r="Q9" s="17"/>
      <c r="R9" s="324"/>
      <c r="S9" s="324"/>
      <c r="T9" s="324"/>
      <c r="U9" s="324"/>
      <c r="V9" s="324"/>
      <c r="W9" s="324"/>
      <c r="X9" s="324"/>
      <c r="Y9" s="324"/>
      <c r="Z9" s="324"/>
      <c r="AA9" s="2"/>
      <c r="AB9" s="2"/>
      <c r="AC9" s="2"/>
      <c r="AD9" s="2"/>
      <c r="AE9" s="2"/>
      <c r="AF9" s="2"/>
      <c r="AG9" s="2"/>
      <c r="AH9" s="2"/>
      <c r="AI9" s="321"/>
      <c r="AJ9" s="321"/>
      <c r="AK9" s="321"/>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321"/>
      <c r="CH9" s="321"/>
      <c r="CI9" s="321"/>
      <c r="CJ9" s="321"/>
      <c r="CK9" s="321"/>
      <c r="CL9" s="321"/>
      <c r="CM9" s="321"/>
      <c r="CN9" s="321"/>
      <c r="CO9" s="321"/>
      <c r="CP9" s="321"/>
      <c r="CQ9" s="321"/>
      <c r="CR9" s="321"/>
      <c r="CS9" s="321"/>
      <c r="CT9" s="321"/>
      <c r="CU9" s="321"/>
      <c r="CV9" s="321"/>
      <c r="CW9" s="321"/>
      <c r="CX9" s="321"/>
      <c r="CY9" s="321"/>
      <c r="CZ9" s="321"/>
      <c r="DA9" s="321"/>
      <c r="DB9" s="321"/>
      <c r="DC9" s="321"/>
      <c r="DD9" s="321"/>
      <c r="DE9" s="321"/>
      <c r="DF9" s="321"/>
      <c r="DG9" s="325"/>
      <c r="DH9" s="321"/>
      <c r="DI9" s="326"/>
      <c r="DJ9" s="321"/>
      <c r="DK9" s="321"/>
      <c r="DL9" s="321"/>
      <c r="DM9" s="321"/>
      <c r="DN9" s="321"/>
      <c r="DO9" s="321"/>
      <c r="DP9" s="321"/>
      <c r="DQ9" s="321"/>
      <c r="DR9" s="321"/>
      <c r="DS9" s="321"/>
      <c r="DT9" s="321"/>
      <c r="DU9" s="321"/>
      <c r="DV9" s="321"/>
      <c r="DW9" s="321"/>
    </row>
    <row r="10" spans="1:127" s="189" customFormat="1" ht="15" customHeight="1">
      <c r="A10" s="323"/>
      <c r="B10" s="655" t="s">
        <v>544</v>
      </c>
      <c r="C10" s="656"/>
      <c r="D10" s="656"/>
      <c r="E10" s="656"/>
      <c r="F10" s="657"/>
      <c r="G10" s="324"/>
      <c r="H10" s="324"/>
      <c r="I10" s="324"/>
      <c r="J10" s="324"/>
      <c r="K10" s="324"/>
      <c r="L10" s="324"/>
      <c r="M10" s="324"/>
      <c r="N10" s="324"/>
      <c r="O10" s="324"/>
      <c r="P10" s="10"/>
      <c r="Q10" s="17"/>
      <c r="R10" s="324"/>
      <c r="S10" s="324"/>
      <c r="T10" s="324"/>
      <c r="U10" s="324"/>
      <c r="V10" s="324"/>
      <c r="W10" s="324"/>
      <c r="X10" s="324"/>
      <c r="Y10" s="324"/>
      <c r="Z10" s="324"/>
      <c r="AA10" s="2"/>
      <c r="AB10" s="2"/>
      <c r="AC10" s="2"/>
      <c r="AD10" s="2"/>
      <c r="AE10" s="2"/>
      <c r="AF10" s="2"/>
      <c r="AG10" s="2"/>
      <c r="AH10" s="2"/>
      <c r="AI10" s="321"/>
      <c r="AJ10" s="321"/>
      <c r="AK10" s="321"/>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321"/>
      <c r="CH10" s="321"/>
      <c r="CI10" s="321"/>
      <c r="CJ10" s="321"/>
      <c r="CK10" s="321"/>
      <c r="CL10" s="321"/>
      <c r="CM10" s="321"/>
      <c r="CN10" s="321"/>
      <c r="CO10" s="321"/>
      <c r="CP10" s="321"/>
      <c r="CQ10" s="321"/>
      <c r="CR10" s="321"/>
      <c r="CS10" s="321"/>
      <c r="CT10" s="321"/>
      <c r="CU10" s="321"/>
      <c r="CV10" s="321"/>
      <c r="CW10" s="321"/>
      <c r="CX10" s="321"/>
      <c r="CY10" s="321"/>
      <c r="CZ10" s="321"/>
      <c r="DA10" s="321"/>
      <c r="DB10" s="321"/>
      <c r="DC10" s="321"/>
      <c r="DD10" s="321"/>
      <c r="DE10" s="321"/>
      <c r="DF10" s="321"/>
      <c r="DG10" s="325"/>
      <c r="DH10" s="321"/>
      <c r="DI10" s="326"/>
      <c r="DJ10" s="321"/>
      <c r="DK10" s="321"/>
      <c r="DL10" s="321"/>
      <c r="DM10" s="321"/>
      <c r="DN10" s="321"/>
      <c r="DO10" s="321"/>
      <c r="DP10" s="321"/>
      <c r="DQ10" s="321"/>
      <c r="DR10" s="321"/>
      <c r="DS10" s="321"/>
      <c r="DT10" s="321"/>
      <c r="DU10" s="321"/>
      <c r="DV10" s="321"/>
      <c r="DW10" s="321"/>
    </row>
    <row r="11" spans="1:127" s="189" customFormat="1" ht="15" customHeight="1">
      <c r="A11" s="323"/>
      <c r="B11" s="652" t="s">
        <v>545</v>
      </c>
      <c r="C11" s="653"/>
      <c r="D11" s="653"/>
      <c r="E11" s="653"/>
      <c r="F11" s="654"/>
      <c r="G11" s="324"/>
      <c r="H11" s="324"/>
      <c r="I11" s="324"/>
      <c r="J11" s="324"/>
      <c r="K11" s="324"/>
      <c r="L11" s="324"/>
      <c r="M11" s="324"/>
      <c r="N11" s="324"/>
      <c r="O11" s="324"/>
      <c r="P11" s="10"/>
      <c r="Q11" s="17"/>
      <c r="R11" s="324"/>
      <c r="S11" s="324"/>
      <c r="T11" s="324"/>
      <c r="U11" s="324"/>
      <c r="V11" s="324"/>
      <c r="W11" s="324"/>
      <c r="X11" s="324"/>
      <c r="Y11" s="324"/>
      <c r="Z11" s="324"/>
      <c r="AA11" s="2"/>
      <c r="AB11" s="2"/>
      <c r="AC11" s="2"/>
      <c r="AD11" s="2"/>
      <c r="AE11" s="2"/>
      <c r="AF11" s="2"/>
      <c r="AG11" s="2"/>
      <c r="AH11" s="2"/>
      <c r="AI11" s="321"/>
      <c r="AJ11" s="321"/>
      <c r="AK11" s="321"/>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321"/>
      <c r="CH11" s="321"/>
      <c r="CI11" s="321"/>
      <c r="CJ11" s="321"/>
      <c r="CK11" s="321"/>
      <c r="CL11" s="321"/>
      <c r="CM11" s="321"/>
      <c r="CN11" s="321"/>
      <c r="CO11" s="321"/>
      <c r="CP11" s="321"/>
      <c r="CQ11" s="321"/>
      <c r="CR11" s="321"/>
      <c r="CS11" s="321"/>
      <c r="CT11" s="321"/>
      <c r="CU11" s="321"/>
      <c r="CV11" s="321"/>
      <c r="CW11" s="321"/>
      <c r="CX11" s="321"/>
      <c r="CY11" s="321"/>
      <c r="CZ11" s="321"/>
      <c r="DA11" s="321"/>
      <c r="DB11" s="321"/>
      <c r="DC11" s="321"/>
      <c r="DD11" s="321"/>
      <c r="DE11" s="321"/>
      <c r="DF11" s="321"/>
      <c r="DG11" s="325"/>
      <c r="DH11" s="321"/>
      <c r="DI11" s="326"/>
      <c r="DJ11" s="321"/>
      <c r="DK11" s="321"/>
      <c r="DL11" s="321"/>
      <c r="DM11" s="321"/>
      <c r="DN11" s="321"/>
      <c r="DO11" s="321"/>
      <c r="DP11" s="321"/>
      <c r="DQ11" s="321"/>
      <c r="DR11" s="321"/>
      <c r="DS11" s="321"/>
      <c r="DT11" s="321"/>
      <c r="DU11" s="321"/>
      <c r="DV11" s="321"/>
      <c r="DW11" s="321"/>
    </row>
    <row r="12" spans="1:127" s="189" customFormat="1" ht="15" customHeight="1">
      <c r="A12" s="323"/>
      <c r="B12" s="2"/>
      <c r="C12" s="2"/>
      <c r="D12" s="2"/>
      <c r="E12" s="2"/>
      <c r="F12" s="2"/>
      <c r="G12" s="327"/>
      <c r="H12" s="327"/>
      <c r="I12" s="327"/>
      <c r="J12" s="327"/>
      <c r="K12" s="324"/>
      <c r="L12" s="324"/>
      <c r="M12" s="324"/>
      <c r="N12" s="324"/>
      <c r="O12" s="324"/>
      <c r="P12" s="10"/>
      <c r="Q12" s="17"/>
      <c r="R12" s="324"/>
      <c r="S12" s="324"/>
      <c r="T12" s="324"/>
      <c r="U12" s="324"/>
      <c r="V12" s="324"/>
      <c r="W12" s="324"/>
      <c r="X12" s="324"/>
      <c r="Y12" s="324"/>
      <c r="Z12" s="324"/>
      <c r="AA12" s="324"/>
      <c r="AB12" s="324"/>
      <c r="AC12" s="324"/>
      <c r="AD12" s="324"/>
      <c r="AE12" s="324"/>
      <c r="AF12" s="324"/>
      <c r="AG12" s="2"/>
      <c r="AH12" s="2"/>
      <c r="AI12" s="2"/>
      <c r="AJ12" s="2"/>
      <c r="AK12" s="2"/>
      <c r="AL12" s="2"/>
      <c r="AM12" s="2"/>
      <c r="AN12" s="2"/>
      <c r="AO12" s="321"/>
      <c r="AP12" s="321"/>
      <c r="AQ12" s="321"/>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321"/>
      <c r="CN12" s="321"/>
      <c r="CO12" s="321"/>
      <c r="CP12" s="321"/>
      <c r="CQ12" s="321"/>
      <c r="CR12" s="321"/>
      <c r="CS12" s="321"/>
      <c r="CT12" s="321"/>
      <c r="CU12" s="321"/>
      <c r="CV12" s="321"/>
      <c r="CW12" s="321"/>
      <c r="CX12" s="321"/>
      <c r="CY12" s="321"/>
      <c r="CZ12" s="321"/>
      <c r="DA12" s="321"/>
      <c r="DB12" s="321"/>
      <c r="DC12" s="321"/>
      <c r="DD12" s="321"/>
      <c r="DE12" s="321"/>
      <c r="DF12" s="321"/>
      <c r="DG12" s="321"/>
      <c r="DH12" s="321"/>
      <c r="DI12" s="321"/>
      <c r="DJ12" s="321"/>
      <c r="DK12" s="321"/>
      <c r="DL12" s="321"/>
      <c r="DM12" s="325"/>
      <c r="DN12" s="321"/>
      <c r="DO12" s="326"/>
      <c r="DP12" s="321"/>
      <c r="DQ12" s="321"/>
      <c r="DR12" s="321"/>
      <c r="DS12" s="321"/>
      <c r="DT12" s="321"/>
      <c r="DU12" s="321"/>
      <c r="DV12" s="321"/>
      <c r="DW12" s="321"/>
    </row>
    <row r="13" spans="1:127" s="189" customFormat="1" ht="20.55" customHeight="1">
      <c r="A13" s="323"/>
      <c r="B13" s="328" t="s">
        <v>546</v>
      </c>
      <c r="C13" s="329"/>
      <c r="D13" s="329"/>
      <c r="E13" s="329"/>
      <c r="F13" s="329"/>
      <c r="G13" s="330"/>
      <c r="H13" s="330"/>
      <c r="I13" s="330"/>
      <c r="J13" s="330"/>
      <c r="K13" s="330"/>
      <c r="L13" s="330"/>
      <c r="M13" s="330"/>
      <c r="N13" s="330"/>
      <c r="O13" s="330"/>
      <c r="P13" s="10"/>
      <c r="Q13" s="17"/>
      <c r="R13" s="324"/>
      <c r="S13" s="324"/>
      <c r="T13" s="324"/>
      <c r="U13" s="324"/>
      <c r="V13" s="324"/>
      <c r="W13" s="324"/>
      <c r="X13" s="324"/>
      <c r="Y13" s="324"/>
      <c r="Z13" s="324"/>
      <c r="AA13" s="324"/>
      <c r="AB13" s="324"/>
      <c r="AC13" s="324"/>
      <c r="AD13" s="324"/>
      <c r="AE13" s="324"/>
      <c r="AF13" s="324"/>
      <c r="AG13" s="324"/>
      <c r="AH13" s="324"/>
      <c r="AI13" s="324"/>
      <c r="AJ13" s="324"/>
      <c r="AK13" s="324"/>
      <c r="AL13" s="2"/>
      <c r="AM13" s="2"/>
      <c r="AN13" s="2"/>
      <c r="AO13" s="2"/>
      <c r="AP13" s="2"/>
      <c r="AQ13" s="2"/>
      <c r="AR13" s="2"/>
      <c r="AS13" s="2"/>
      <c r="AT13" s="321"/>
      <c r="AU13" s="321"/>
      <c r="AV13" s="321"/>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321"/>
      <c r="CS13" s="321"/>
      <c r="CT13" s="321"/>
      <c r="CU13" s="321"/>
      <c r="CV13" s="321"/>
      <c r="CW13" s="321"/>
      <c r="CX13" s="321"/>
      <c r="CY13" s="321"/>
      <c r="CZ13" s="321"/>
      <c r="DA13" s="321"/>
      <c r="DB13" s="321"/>
      <c r="DC13" s="321"/>
      <c r="DD13" s="321"/>
      <c r="DE13" s="321"/>
      <c r="DF13" s="321"/>
      <c r="DG13" s="321"/>
      <c r="DH13" s="321"/>
      <c r="DI13" s="321"/>
      <c r="DJ13" s="321"/>
      <c r="DK13" s="321"/>
      <c r="DL13" s="321"/>
      <c r="DM13" s="321"/>
      <c r="DN13" s="321"/>
      <c r="DO13" s="321"/>
      <c r="DP13" s="321"/>
      <c r="DQ13" s="321"/>
      <c r="DR13" s="325"/>
      <c r="DS13" s="321"/>
      <c r="DT13" s="326"/>
      <c r="DU13" s="321"/>
      <c r="DV13" s="321"/>
      <c r="DW13" s="321"/>
    </row>
    <row r="14" spans="1:127" s="189" customFormat="1" ht="15" customHeight="1">
      <c r="A14" s="323"/>
      <c r="B14" s="663" t="s">
        <v>547</v>
      </c>
      <c r="C14" s="663"/>
      <c r="D14" s="663"/>
      <c r="E14" s="663"/>
      <c r="F14" s="663"/>
      <c r="G14" s="327"/>
      <c r="H14" s="327"/>
      <c r="I14" s="327"/>
      <c r="J14" s="327"/>
      <c r="K14" s="327"/>
      <c r="L14" s="327"/>
      <c r="M14" s="327"/>
      <c r="N14" s="327"/>
      <c r="O14" s="327"/>
      <c r="P14" s="10"/>
      <c r="Q14" s="17"/>
      <c r="R14" s="324"/>
      <c r="S14" s="324"/>
      <c r="T14" s="324"/>
      <c r="U14" s="324"/>
      <c r="V14" s="324"/>
      <c r="W14" s="324"/>
      <c r="X14" s="324"/>
      <c r="Y14" s="324"/>
      <c r="Z14" s="324"/>
      <c r="AA14" s="324"/>
      <c r="AB14" s="324"/>
      <c r="AC14" s="324"/>
      <c r="AD14" s="324"/>
      <c r="AE14" s="324"/>
      <c r="AF14" s="324"/>
      <c r="AG14" s="324"/>
      <c r="AH14" s="324"/>
      <c r="AI14" s="324"/>
      <c r="AJ14" s="324"/>
      <c r="AK14" s="324"/>
      <c r="AL14" s="2"/>
      <c r="AM14" s="2"/>
      <c r="AN14" s="2"/>
      <c r="AO14" s="2"/>
      <c r="AP14" s="2"/>
      <c r="AQ14" s="2"/>
      <c r="AR14" s="2"/>
      <c r="AS14" s="2"/>
      <c r="AT14" s="321"/>
      <c r="AU14" s="321"/>
      <c r="AV14" s="321"/>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321"/>
      <c r="CS14" s="321"/>
      <c r="CT14" s="321"/>
      <c r="CU14" s="321"/>
      <c r="CV14" s="321"/>
      <c r="CW14" s="321"/>
      <c r="CX14" s="321"/>
      <c r="CY14" s="321"/>
      <c r="CZ14" s="321"/>
      <c r="DA14" s="321"/>
      <c r="DB14" s="321"/>
      <c r="DC14" s="321"/>
      <c r="DD14" s="321"/>
      <c r="DE14" s="321"/>
      <c r="DF14" s="321"/>
      <c r="DG14" s="321"/>
      <c r="DH14" s="321"/>
      <c r="DI14" s="321"/>
      <c r="DJ14" s="321"/>
      <c r="DK14" s="321"/>
      <c r="DL14" s="321"/>
      <c r="DM14" s="321"/>
      <c r="DN14" s="321"/>
      <c r="DO14" s="321"/>
      <c r="DP14" s="321"/>
      <c r="DQ14" s="321"/>
      <c r="DR14" s="322"/>
      <c r="DS14" s="321"/>
      <c r="DT14" s="326"/>
      <c r="DU14" s="321"/>
      <c r="DV14" s="321"/>
      <c r="DW14" s="321"/>
    </row>
    <row r="15" spans="1:127" s="189" customFormat="1" ht="31.5" customHeight="1">
      <c r="A15" s="323"/>
      <c r="B15" s="663"/>
      <c r="C15" s="663"/>
      <c r="D15" s="663"/>
      <c r="E15" s="663"/>
      <c r="F15" s="663"/>
      <c r="G15" s="327"/>
      <c r="H15" s="327"/>
      <c r="I15" s="327"/>
      <c r="J15" s="327"/>
      <c r="K15" s="327"/>
      <c r="L15" s="327"/>
      <c r="M15" s="327"/>
      <c r="N15" s="327"/>
      <c r="O15" s="327"/>
      <c r="P15" s="10"/>
      <c r="Q15" s="17"/>
      <c r="R15" s="324"/>
      <c r="S15" s="324"/>
      <c r="T15" s="324"/>
      <c r="U15" s="324"/>
      <c r="V15" s="324"/>
      <c r="W15" s="324"/>
      <c r="X15" s="324"/>
      <c r="Y15" s="324"/>
      <c r="Z15" s="324"/>
      <c r="AA15" s="324"/>
      <c r="AB15" s="324"/>
      <c r="AC15" s="324"/>
      <c r="AD15" s="324"/>
      <c r="AE15" s="324"/>
      <c r="AF15" s="324"/>
      <c r="AG15" s="324"/>
      <c r="AH15" s="324"/>
      <c r="AI15" s="324"/>
      <c r="AJ15" s="324"/>
      <c r="AK15" s="324"/>
      <c r="AL15" s="2"/>
      <c r="AM15" s="2"/>
      <c r="AN15" s="2"/>
      <c r="AO15" s="2"/>
      <c r="AP15" s="2"/>
      <c r="AQ15" s="2"/>
      <c r="AR15" s="2"/>
      <c r="AS15" s="2"/>
      <c r="AT15" s="321"/>
      <c r="AU15" s="321"/>
      <c r="AV15" s="321"/>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321"/>
      <c r="CS15" s="321"/>
      <c r="CT15" s="321"/>
      <c r="CU15" s="321"/>
      <c r="CV15" s="321"/>
      <c r="CW15" s="321"/>
      <c r="CX15" s="321"/>
      <c r="CY15" s="321"/>
      <c r="CZ15" s="321"/>
      <c r="DA15" s="321"/>
      <c r="DB15" s="321"/>
      <c r="DC15" s="321"/>
      <c r="DD15" s="321"/>
      <c r="DE15" s="321"/>
      <c r="DF15" s="321"/>
      <c r="DG15" s="321"/>
      <c r="DH15" s="321"/>
      <c r="DI15" s="321"/>
      <c r="DJ15" s="321"/>
      <c r="DK15" s="321"/>
      <c r="DL15" s="321"/>
      <c r="DM15" s="321"/>
      <c r="DN15" s="321"/>
      <c r="DO15" s="321"/>
      <c r="DP15" s="321"/>
      <c r="DQ15" s="321"/>
      <c r="DR15" s="325"/>
      <c r="DS15" s="321"/>
      <c r="DT15" s="326"/>
      <c r="DU15" s="321"/>
      <c r="DV15" s="321"/>
      <c r="DW15" s="321"/>
    </row>
    <row r="16" spans="1:127" s="189" customFormat="1" ht="15" customHeight="1">
      <c r="A16" s="323"/>
      <c r="B16" s="331" t="s">
        <v>548</v>
      </c>
      <c r="C16" s="403">
        <f>SUMIF('N.01.01明细账'!M7:M220,"&gt;0")</f>
        <v>0</v>
      </c>
      <c r="D16" s="332"/>
      <c r="E16" s="161"/>
      <c r="F16" s="333"/>
      <c r="G16" s="321"/>
      <c r="H16" s="321"/>
      <c r="I16" s="321"/>
      <c r="J16" s="321"/>
      <c r="K16" s="321"/>
      <c r="L16" s="321"/>
      <c r="M16" s="321"/>
      <c r="N16" s="321"/>
      <c r="O16" s="321"/>
      <c r="P16" s="10"/>
      <c r="Q16" s="17"/>
      <c r="R16" s="324"/>
      <c r="S16" s="324"/>
      <c r="T16" s="324"/>
      <c r="U16" s="324"/>
      <c r="V16" s="324"/>
      <c r="W16" s="324"/>
      <c r="X16" s="324"/>
      <c r="Y16" s="324"/>
      <c r="Z16" s="324"/>
      <c r="AA16" s="324"/>
      <c r="AB16" s="324"/>
      <c r="AC16" s="324"/>
      <c r="AD16" s="324"/>
      <c r="AE16" s="324"/>
      <c r="AF16" s="324"/>
      <c r="AG16" s="324"/>
      <c r="AH16" s="324"/>
      <c r="AI16" s="324"/>
      <c r="AJ16" s="324"/>
      <c r="AK16" s="324"/>
      <c r="AL16" s="2"/>
      <c r="AM16" s="2"/>
      <c r="AN16" s="2"/>
      <c r="AO16" s="2"/>
      <c r="AP16" s="2"/>
      <c r="AQ16" s="2"/>
      <c r="AR16" s="2"/>
      <c r="AS16" s="2"/>
      <c r="AT16" s="321"/>
      <c r="AU16" s="321"/>
      <c r="AV16" s="321"/>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321"/>
      <c r="CS16" s="321"/>
      <c r="CT16" s="321"/>
      <c r="CU16" s="321"/>
      <c r="CV16" s="321"/>
      <c r="CW16" s="321"/>
      <c r="CX16" s="321"/>
      <c r="CY16" s="321"/>
      <c r="CZ16" s="321"/>
      <c r="DA16" s="321"/>
      <c r="DB16" s="321"/>
      <c r="DC16" s="321"/>
      <c r="DD16" s="321"/>
      <c r="DE16" s="321"/>
      <c r="DF16" s="321"/>
      <c r="DG16" s="321"/>
      <c r="DH16" s="321"/>
      <c r="DI16" s="321"/>
      <c r="DJ16" s="321"/>
      <c r="DK16" s="321"/>
      <c r="DL16" s="321"/>
      <c r="DM16" s="321"/>
      <c r="DN16" s="321"/>
      <c r="DO16" s="321"/>
      <c r="DP16" s="321"/>
      <c r="DQ16" s="321"/>
      <c r="DR16" s="325"/>
      <c r="DS16" s="321"/>
      <c r="DT16" s="326"/>
      <c r="DU16" s="321"/>
      <c r="DV16" s="321"/>
      <c r="DW16" s="321"/>
    </row>
    <row r="17" spans="1:124" s="189" customFormat="1" ht="15" customHeight="1">
      <c r="A17" s="323"/>
      <c r="B17" s="334" t="s">
        <v>549</v>
      </c>
      <c r="C17" s="335" t="str">
        <f>IF(C16&gt;'N.00 Lead sheet'!$E$15,"是","否")</f>
        <v>否</v>
      </c>
      <c r="D17" s="162"/>
      <c r="E17" s="2"/>
      <c r="F17" s="336"/>
      <c r="G17" s="321"/>
      <c r="H17" s="321"/>
      <c r="I17" s="321"/>
      <c r="J17" s="321"/>
      <c r="K17" s="321"/>
      <c r="L17" s="321"/>
      <c r="M17" s="321"/>
      <c r="N17" s="321"/>
      <c r="O17" s="321"/>
      <c r="P17" s="10"/>
      <c r="Q17" s="17"/>
      <c r="R17" s="324"/>
      <c r="S17" s="324"/>
      <c r="T17" s="324"/>
      <c r="U17" s="324"/>
      <c r="V17" s="324"/>
      <c r="W17" s="324"/>
      <c r="X17" s="324"/>
      <c r="Y17" s="324"/>
      <c r="Z17" s="324"/>
      <c r="AA17" s="324"/>
      <c r="AB17" s="324"/>
      <c r="AC17" s="324"/>
      <c r="AD17" s="324"/>
      <c r="AE17" s="324"/>
      <c r="AF17" s="324"/>
      <c r="AG17" s="324"/>
      <c r="AH17" s="324"/>
      <c r="AI17" s="324"/>
      <c r="AJ17" s="324"/>
      <c r="AK17" s="324"/>
      <c r="AL17" s="2"/>
      <c r="AM17" s="2"/>
      <c r="AN17" s="2"/>
      <c r="AO17" s="2"/>
      <c r="AP17" s="2"/>
      <c r="AQ17" s="2"/>
      <c r="AR17" s="2"/>
      <c r="AS17" s="2"/>
      <c r="AT17" s="321"/>
      <c r="AU17" s="321"/>
      <c r="AV17" s="321"/>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321"/>
      <c r="CS17" s="321"/>
      <c r="CT17" s="321"/>
      <c r="CU17" s="321"/>
      <c r="CV17" s="321"/>
      <c r="CW17" s="321"/>
      <c r="CX17" s="321"/>
      <c r="CY17" s="321"/>
      <c r="CZ17" s="321"/>
      <c r="DA17" s="321"/>
      <c r="DB17" s="321"/>
      <c r="DC17" s="321"/>
      <c r="DD17" s="321"/>
      <c r="DE17" s="321"/>
      <c r="DF17" s="321"/>
      <c r="DG17" s="321"/>
      <c r="DH17" s="321"/>
      <c r="DI17" s="321"/>
      <c r="DJ17" s="321"/>
      <c r="DK17" s="321"/>
      <c r="DL17" s="321"/>
      <c r="DM17" s="321"/>
      <c r="DN17" s="321"/>
      <c r="DO17" s="321"/>
      <c r="DP17" s="321"/>
      <c r="DQ17" s="321"/>
      <c r="DR17" s="325"/>
      <c r="DS17" s="321"/>
      <c r="DT17" s="326"/>
    </row>
    <row r="18" spans="1:124" s="189" customFormat="1" ht="15" customHeight="1">
      <c r="A18" s="323"/>
      <c r="B18" s="337" t="s">
        <v>550</v>
      </c>
      <c r="C18" s="338" t="str">
        <f>IF(C16&gt;'N.00 Lead sheet'!$C$6,"是","否")</f>
        <v>否</v>
      </c>
      <c r="D18" s="339"/>
      <c r="E18" s="163"/>
      <c r="F18" s="164"/>
      <c r="G18" s="321"/>
      <c r="H18" s="321"/>
      <c r="I18" s="321"/>
      <c r="J18" s="321"/>
      <c r="K18" s="321"/>
      <c r="L18" s="321"/>
      <c r="M18" s="321"/>
      <c r="N18" s="321"/>
      <c r="O18" s="321"/>
      <c r="P18" s="10"/>
      <c r="Q18" s="17"/>
      <c r="R18" s="324"/>
      <c r="S18" s="324"/>
      <c r="T18" s="324"/>
      <c r="U18" s="324"/>
      <c r="V18" s="324"/>
      <c r="W18" s="324"/>
      <c r="X18" s="324"/>
      <c r="Y18" s="324"/>
      <c r="Z18" s="324"/>
      <c r="AA18" s="324"/>
      <c r="AB18" s="324"/>
      <c r="AC18" s="324"/>
      <c r="AD18" s="324"/>
      <c r="AE18" s="324"/>
      <c r="AF18" s="324"/>
      <c r="AG18" s="324"/>
      <c r="AH18" s="324"/>
      <c r="AI18" s="324"/>
      <c r="AJ18" s="324"/>
      <c r="AK18" s="324"/>
      <c r="AL18" s="2"/>
      <c r="AM18" s="2"/>
      <c r="AN18" s="2"/>
      <c r="AO18" s="2"/>
      <c r="AP18" s="2"/>
      <c r="AQ18" s="2"/>
      <c r="AR18" s="2"/>
      <c r="AS18" s="2"/>
      <c r="AT18" s="321"/>
      <c r="AU18" s="321"/>
      <c r="AV18" s="321"/>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321"/>
      <c r="CS18" s="321"/>
      <c r="CT18" s="321"/>
      <c r="CU18" s="321"/>
      <c r="CV18" s="321"/>
      <c r="CW18" s="321"/>
      <c r="CX18" s="321"/>
      <c r="CY18" s="321"/>
      <c r="CZ18" s="321"/>
      <c r="DA18" s="321"/>
      <c r="DB18" s="321"/>
      <c r="DC18" s="321"/>
      <c r="DD18" s="321"/>
      <c r="DE18" s="321"/>
      <c r="DF18" s="321"/>
      <c r="DG18" s="321"/>
      <c r="DH18" s="321"/>
      <c r="DI18" s="321"/>
      <c r="DJ18" s="321"/>
      <c r="DK18" s="321"/>
      <c r="DL18" s="321"/>
      <c r="DM18" s="321"/>
      <c r="DN18" s="321"/>
      <c r="DO18" s="321"/>
      <c r="DP18" s="321"/>
      <c r="DQ18" s="321"/>
      <c r="DR18" s="325"/>
      <c r="DS18" s="321"/>
      <c r="DT18" s="326"/>
    </row>
    <row r="19" spans="1:124" s="189" customFormat="1" ht="15" customHeight="1">
      <c r="A19" s="323"/>
      <c r="B19" s="2"/>
      <c r="C19" s="2"/>
      <c r="D19" s="2"/>
      <c r="E19" s="2"/>
      <c r="F19" s="2"/>
      <c r="G19" s="321"/>
      <c r="H19" s="321"/>
      <c r="I19" s="321"/>
      <c r="J19" s="321"/>
      <c r="K19" s="321"/>
      <c r="L19" s="321"/>
      <c r="M19" s="321"/>
      <c r="N19" s="321"/>
      <c r="O19" s="321"/>
      <c r="P19" s="10"/>
      <c r="Q19" s="17"/>
      <c r="R19" s="324"/>
      <c r="S19" s="324"/>
      <c r="T19" s="324"/>
      <c r="U19" s="324"/>
      <c r="V19" s="324"/>
      <c r="W19" s="324"/>
      <c r="X19" s="324"/>
      <c r="Y19" s="324"/>
      <c r="Z19" s="324"/>
      <c r="AA19" s="324"/>
      <c r="AB19" s="324"/>
      <c r="AC19" s="324"/>
      <c r="AD19" s="324"/>
      <c r="AE19" s="324"/>
      <c r="AF19" s="324"/>
      <c r="AG19" s="2"/>
      <c r="AH19" s="2"/>
      <c r="AI19" s="2"/>
      <c r="AJ19" s="2"/>
      <c r="AK19" s="2"/>
      <c r="AL19" s="2"/>
      <c r="AM19" s="2"/>
      <c r="AN19" s="2"/>
      <c r="AO19" s="321"/>
      <c r="AP19" s="321"/>
      <c r="AQ19" s="321"/>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321"/>
      <c r="CN19" s="321"/>
      <c r="CO19" s="321"/>
      <c r="CP19" s="321"/>
      <c r="CQ19" s="321"/>
      <c r="CR19" s="321"/>
      <c r="CS19" s="321"/>
      <c r="CT19" s="321"/>
      <c r="CU19" s="321"/>
      <c r="CV19" s="321"/>
      <c r="CW19" s="321"/>
      <c r="CX19" s="321"/>
      <c r="CY19" s="321"/>
      <c r="CZ19" s="321"/>
      <c r="DA19" s="321"/>
      <c r="DB19" s="321"/>
      <c r="DC19" s="321"/>
      <c r="DD19" s="321"/>
      <c r="DE19" s="321"/>
      <c r="DF19" s="321"/>
      <c r="DG19" s="321"/>
      <c r="DH19" s="321"/>
      <c r="DI19" s="321"/>
      <c r="DJ19" s="321"/>
      <c r="DK19" s="321"/>
      <c r="DL19" s="321"/>
      <c r="DM19" s="325"/>
      <c r="DN19" s="321"/>
      <c r="DO19" s="326"/>
      <c r="DP19" s="321"/>
      <c r="DQ19" s="321"/>
      <c r="DR19" s="321"/>
      <c r="DS19" s="321"/>
      <c r="DT19" s="321"/>
    </row>
    <row r="20" spans="1:124" s="189" customFormat="1" ht="15" customHeight="1">
      <c r="A20" s="323"/>
      <c r="B20" s="328" t="s">
        <v>551</v>
      </c>
      <c r="C20" s="340"/>
      <c r="D20" s="340"/>
      <c r="E20" s="340"/>
      <c r="F20" s="340"/>
      <c r="G20" s="341"/>
      <c r="H20" s="341"/>
      <c r="I20" s="341"/>
      <c r="J20" s="341"/>
      <c r="K20" s="341"/>
      <c r="L20" s="341"/>
      <c r="M20" s="341"/>
      <c r="N20" s="341"/>
      <c r="O20" s="341"/>
      <c r="P20" s="10"/>
      <c r="Q20" s="17"/>
      <c r="R20" s="324"/>
      <c r="S20" s="324"/>
      <c r="T20" s="324"/>
      <c r="U20" s="324"/>
      <c r="V20" s="324"/>
      <c r="W20" s="324"/>
      <c r="X20" s="324"/>
      <c r="Y20" s="324"/>
      <c r="Z20" s="324"/>
      <c r="AA20" s="324"/>
      <c r="AB20" s="324"/>
      <c r="AC20" s="324"/>
      <c r="AD20" s="324"/>
      <c r="AE20" s="324"/>
      <c r="AF20" s="324"/>
      <c r="AG20" s="324"/>
      <c r="AH20" s="2"/>
      <c r="AI20" s="2"/>
      <c r="AJ20" s="2"/>
      <c r="AK20" s="2"/>
      <c r="AL20" s="2"/>
      <c r="AM20" s="2"/>
      <c r="AN20" s="2"/>
      <c r="AO20" s="2"/>
      <c r="AP20" s="321"/>
      <c r="AQ20" s="321"/>
      <c r="AR20" s="321"/>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321"/>
      <c r="CO20" s="321"/>
      <c r="CP20" s="321"/>
      <c r="CQ20" s="321"/>
      <c r="CR20" s="321"/>
      <c r="CS20" s="321"/>
      <c r="CT20" s="321"/>
      <c r="CU20" s="321"/>
      <c r="CV20" s="321"/>
      <c r="CW20" s="321"/>
      <c r="CX20" s="321"/>
      <c r="CY20" s="321"/>
      <c r="CZ20" s="321"/>
      <c r="DA20" s="321"/>
      <c r="DB20" s="321"/>
      <c r="DC20" s="321"/>
      <c r="DD20" s="321"/>
      <c r="DE20" s="321"/>
      <c r="DF20" s="321"/>
      <c r="DG20" s="321"/>
      <c r="DH20" s="321"/>
      <c r="DI20" s="321"/>
      <c r="DJ20" s="321"/>
      <c r="DK20" s="321"/>
      <c r="DL20" s="321"/>
      <c r="DM20" s="321"/>
      <c r="DN20" s="325"/>
      <c r="DO20" s="321"/>
      <c r="DP20" s="326"/>
      <c r="DQ20" s="321"/>
      <c r="DR20" s="321"/>
      <c r="DS20" s="321"/>
      <c r="DT20" s="321"/>
    </row>
    <row r="21" spans="1:124" s="189" customFormat="1" ht="15" customHeight="1">
      <c r="A21" s="323"/>
      <c r="B21" s="318"/>
      <c r="C21" s="2"/>
      <c r="D21" s="2"/>
      <c r="E21" s="2"/>
      <c r="F21" s="2"/>
      <c r="G21" s="321"/>
      <c r="H21" s="321"/>
      <c r="I21" s="321"/>
      <c r="J21" s="321"/>
      <c r="K21" s="321"/>
      <c r="L21" s="321"/>
      <c r="M21" s="321"/>
      <c r="N21" s="321"/>
      <c r="O21" s="321"/>
      <c r="P21" s="10"/>
      <c r="Q21" s="17"/>
      <c r="R21" s="324"/>
      <c r="S21" s="324"/>
      <c r="T21" s="324"/>
      <c r="U21" s="324"/>
      <c r="V21" s="324"/>
      <c r="W21" s="324"/>
      <c r="X21" s="324"/>
      <c r="Y21" s="324"/>
      <c r="Z21" s="324"/>
      <c r="AA21" s="324"/>
      <c r="AB21" s="324"/>
      <c r="AC21" s="324"/>
      <c r="AD21" s="324"/>
      <c r="AE21" s="324"/>
      <c r="AF21" s="324"/>
      <c r="AG21" s="324"/>
      <c r="AH21" s="2"/>
      <c r="AI21" s="2"/>
      <c r="AJ21" s="2"/>
      <c r="AK21" s="2"/>
      <c r="AL21" s="2"/>
      <c r="AM21" s="2"/>
      <c r="AN21" s="2"/>
      <c r="AO21" s="2"/>
      <c r="AP21" s="321"/>
      <c r="AQ21" s="321"/>
      <c r="AR21" s="321"/>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321"/>
      <c r="CO21" s="321"/>
      <c r="CP21" s="321"/>
      <c r="CQ21" s="321"/>
      <c r="CR21" s="321"/>
      <c r="CS21" s="321"/>
      <c r="CT21" s="321"/>
      <c r="CU21" s="321"/>
      <c r="CV21" s="321"/>
      <c r="CW21" s="321"/>
      <c r="CX21" s="321"/>
      <c r="CY21" s="321"/>
      <c r="CZ21" s="321"/>
      <c r="DA21" s="321"/>
      <c r="DB21" s="321"/>
      <c r="DC21" s="321"/>
      <c r="DD21" s="321"/>
      <c r="DE21" s="321"/>
      <c r="DF21" s="321"/>
      <c r="DG21" s="321"/>
      <c r="DH21" s="321"/>
      <c r="DI21" s="321"/>
      <c r="DJ21" s="321"/>
      <c r="DK21" s="321"/>
      <c r="DL21" s="321"/>
      <c r="DM21" s="321"/>
      <c r="DN21" s="322"/>
      <c r="DO21" s="321"/>
      <c r="DP21" s="326"/>
      <c r="DQ21" s="321"/>
      <c r="DR21" s="321"/>
      <c r="DS21" s="321"/>
      <c r="DT21" s="321"/>
    </row>
    <row r="22" spans="1:124" s="189" customFormat="1" ht="18" customHeight="1">
      <c r="A22" s="323"/>
      <c r="B22" s="2"/>
      <c r="C22" s="2"/>
      <c r="D22" s="2"/>
      <c r="E22" s="2"/>
      <c r="F22" s="2"/>
      <c r="G22" s="321"/>
      <c r="H22" s="321"/>
      <c r="I22" s="321"/>
      <c r="J22" s="321"/>
      <c r="K22" s="324"/>
      <c r="L22" s="642" t="s">
        <v>139</v>
      </c>
      <c r="M22" s="642"/>
      <c r="N22" s="642"/>
      <c r="O22" s="324"/>
      <c r="P22" s="10"/>
      <c r="Q22" s="17"/>
      <c r="R22" s="324"/>
      <c r="S22" s="324"/>
      <c r="T22" s="324"/>
      <c r="U22" s="324"/>
      <c r="V22" s="324"/>
      <c r="W22" s="324"/>
      <c r="X22" s="324"/>
      <c r="Y22" s="324"/>
      <c r="Z22" s="324"/>
      <c r="AA22" s="324"/>
      <c r="AB22" s="324"/>
      <c r="AC22" s="324"/>
      <c r="AD22" s="324"/>
      <c r="AE22" s="324"/>
      <c r="AF22" s="324"/>
      <c r="AG22" s="324"/>
      <c r="AH22" s="2"/>
      <c r="AI22" s="2"/>
      <c r="AJ22" s="2"/>
      <c r="AK22" s="2"/>
      <c r="AL22" s="2"/>
      <c r="AM22" s="2"/>
      <c r="AN22" s="2"/>
      <c r="AO22" s="2"/>
      <c r="AP22" s="321"/>
      <c r="AQ22" s="321"/>
      <c r="AR22" s="321"/>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321"/>
      <c r="CO22" s="321"/>
      <c r="CP22" s="321"/>
      <c r="CQ22" s="321"/>
      <c r="CR22" s="321"/>
      <c r="CS22" s="321"/>
      <c r="CT22" s="321"/>
      <c r="CU22" s="321"/>
      <c r="CV22" s="321"/>
      <c r="CW22" s="321"/>
      <c r="CX22" s="321"/>
      <c r="CY22" s="321"/>
      <c r="CZ22" s="321"/>
      <c r="DA22" s="321"/>
      <c r="DB22" s="321"/>
      <c r="DC22" s="321"/>
      <c r="DD22" s="321"/>
      <c r="DE22" s="321"/>
      <c r="DF22" s="321"/>
      <c r="DG22" s="321"/>
      <c r="DH22" s="321"/>
      <c r="DI22" s="321"/>
      <c r="DJ22" s="321"/>
      <c r="DK22" s="321"/>
      <c r="DL22" s="321"/>
      <c r="DM22" s="321"/>
      <c r="DN22" s="325"/>
      <c r="DO22" s="321"/>
      <c r="DP22" s="326"/>
      <c r="DQ22" s="321"/>
      <c r="DR22" s="321"/>
      <c r="DS22" s="321"/>
      <c r="DT22" s="321"/>
    </row>
    <row r="23" spans="1:124" s="193" customFormat="1" ht="25.5" customHeight="1">
      <c r="A23" s="342"/>
      <c r="B23" s="658" t="s">
        <v>552</v>
      </c>
      <c r="C23" s="660" t="s">
        <v>553</v>
      </c>
      <c r="D23" s="661" t="s">
        <v>554</v>
      </c>
      <c r="E23" s="662"/>
      <c r="F23" s="662"/>
      <c r="G23" s="573" t="s">
        <v>555</v>
      </c>
      <c r="H23" s="573"/>
      <c r="I23" s="573"/>
      <c r="J23" s="573"/>
      <c r="K23" s="573"/>
      <c r="L23" s="643">
        <v>1</v>
      </c>
      <c r="M23" s="645">
        <v>2</v>
      </c>
      <c r="N23" s="647">
        <v>3</v>
      </c>
      <c r="O23" s="688" t="s">
        <v>556</v>
      </c>
      <c r="P23" s="10"/>
      <c r="Q23" s="17"/>
      <c r="R23" s="343"/>
      <c r="S23" s="343"/>
      <c r="T23" s="343"/>
      <c r="U23" s="343"/>
      <c r="V23" s="343"/>
      <c r="W23" s="343"/>
      <c r="X23" s="343"/>
      <c r="Y23" s="343"/>
      <c r="Z23" s="343"/>
      <c r="AA23" s="343"/>
      <c r="AB23" s="343"/>
      <c r="AC23" s="344"/>
      <c r="AD23" s="344"/>
      <c r="AE23" s="344"/>
      <c r="AF23" s="344"/>
      <c r="AG23" s="344"/>
      <c r="AH23" s="344"/>
      <c r="AI23" s="344"/>
      <c r="AJ23" s="344"/>
      <c r="AK23" s="345"/>
      <c r="AL23" s="345"/>
      <c r="AM23" s="345"/>
      <c r="AN23" s="344"/>
      <c r="AO23" s="344"/>
      <c r="AP23" s="344"/>
      <c r="AQ23" s="344"/>
      <c r="AR23" s="344"/>
      <c r="AS23" s="344"/>
      <c r="AT23" s="344"/>
      <c r="AU23" s="344"/>
      <c r="AV23" s="344"/>
      <c r="AW23" s="344"/>
      <c r="AX23" s="344"/>
      <c r="AY23" s="344"/>
      <c r="AZ23" s="344"/>
      <c r="BA23" s="344"/>
      <c r="BB23" s="344"/>
      <c r="BC23" s="344"/>
      <c r="BD23" s="344"/>
      <c r="BE23" s="344"/>
      <c r="BF23" s="344"/>
      <c r="BG23" s="344"/>
      <c r="BH23" s="344"/>
      <c r="BI23" s="344"/>
      <c r="BJ23" s="344"/>
      <c r="BK23" s="344"/>
      <c r="BL23" s="344"/>
      <c r="BM23" s="344"/>
      <c r="BN23" s="344"/>
      <c r="BO23" s="344"/>
      <c r="BP23" s="344"/>
      <c r="BQ23" s="344"/>
      <c r="BR23" s="344"/>
      <c r="BS23" s="344"/>
      <c r="BT23" s="344"/>
      <c r="BU23" s="344"/>
      <c r="BV23" s="344"/>
      <c r="BW23" s="344"/>
      <c r="BX23" s="344"/>
      <c r="BY23" s="344"/>
      <c r="BZ23" s="344"/>
      <c r="CA23" s="344"/>
      <c r="CB23" s="344"/>
      <c r="CC23" s="344"/>
      <c r="CD23" s="344"/>
      <c r="CE23" s="344"/>
      <c r="CF23" s="344"/>
      <c r="CG23" s="344"/>
      <c r="CH23" s="344"/>
      <c r="CI23" s="345"/>
      <c r="CJ23" s="345"/>
      <c r="CK23" s="345"/>
      <c r="CL23" s="345"/>
      <c r="CM23" s="345"/>
      <c r="CN23" s="345"/>
      <c r="CO23" s="345"/>
      <c r="CP23" s="345"/>
      <c r="CQ23" s="345"/>
      <c r="CR23" s="345"/>
      <c r="CS23" s="345"/>
      <c r="CT23" s="345"/>
      <c r="CU23" s="345"/>
      <c r="CV23" s="345"/>
      <c r="CW23" s="345"/>
      <c r="CX23" s="345"/>
      <c r="CY23" s="345"/>
      <c r="CZ23" s="345"/>
      <c r="DA23" s="345"/>
      <c r="DB23" s="345"/>
      <c r="DC23" s="345"/>
      <c r="DD23" s="345"/>
      <c r="DE23" s="345"/>
      <c r="DF23" s="345"/>
      <c r="DG23" s="345"/>
      <c r="DH23" s="345"/>
      <c r="DI23" s="346"/>
      <c r="DJ23" s="345"/>
      <c r="DK23" s="347"/>
      <c r="DL23" s="345"/>
      <c r="DM23" s="345"/>
      <c r="DN23" s="345"/>
      <c r="DO23" s="345"/>
      <c r="DP23" s="345"/>
      <c r="DQ23" s="345"/>
      <c r="DR23" s="345"/>
      <c r="DS23" s="345"/>
      <c r="DT23" s="345"/>
    </row>
    <row r="24" spans="1:124" s="193" customFormat="1" ht="23.25" customHeight="1">
      <c r="A24" s="342"/>
      <c r="B24" s="659"/>
      <c r="C24" s="645"/>
      <c r="D24" s="421" t="s">
        <v>557</v>
      </c>
      <c r="E24" s="348" t="s">
        <v>558</v>
      </c>
      <c r="F24" s="421" t="s">
        <v>559</v>
      </c>
      <c r="G24" s="422" t="s">
        <v>560</v>
      </c>
      <c r="H24" s="422" t="s">
        <v>561</v>
      </c>
      <c r="I24" s="422" t="s">
        <v>562</v>
      </c>
      <c r="J24" s="422" t="s">
        <v>563</v>
      </c>
      <c r="K24" s="349" t="s">
        <v>564</v>
      </c>
      <c r="L24" s="644"/>
      <c r="M24" s="646"/>
      <c r="N24" s="648"/>
      <c r="O24" s="688"/>
      <c r="P24" s="10"/>
      <c r="Q24" s="17"/>
      <c r="R24" s="343"/>
      <c r="S24" s="343"/>
      <c r="T24" s="343"/>
      <c r="U24" s="343"/>
      <c r="V24" s="343"/>
      <c r="W24" s="343"/>
      <c r="X24" s="343"/>
      <c r="Y24" s="343"/>
      <c r="Z24" s="343"/>
      <c r="AA24" s="343"/>
      <c r="AB24" s="343"/>
      <c r="AC24" s="344"/>
      <c r="AD24" s="344"/>
      <c r="AE24" s="344"/>
      <c r="AF24" s="344"/>
      <c r="AG24" s="344"/>
      <c r="AH24" s="344"/>
      <c r="AI24" s="344"/>
      <c r="AJ24" s="344"/>
      <c r="AK24" s="345"/>
      <c r="AL24" s="345"/>
      <c r="AM24" s="345"/>
      <c r="AN24" s="344"/>
      <c r="AO24" s="344"/>
      <c r="AP24" s="344"/>
      <c r="AQ24" s="344"/>
      <c r="AR24" s="344"/>
      <c r="AS24" s="344"/>
      <c r="AT24" s="344"/>
      <c r="AU24" s="344"/>
      <c r="AV24" s="344"/>
      <c r="AW24" s="344"/>
      <c r="AX24" s="344"/>
      <c r="AY24" s="344"/>
      <c r="AZ24" s="344"/>
      <c r="BA24" s="344"/>
      <c r="BB24" s="344"/>
      <c r="BC24" s="344"/>
      <c r="BD24" s="344"/>
      <c r="BE24" s="344"/>
      <c r="BF24" s="344"/>
      <c r="BG24" s="344"/>
      <c r="BH24" s="344"/>
      <c r="BI24" s="344"/>
      <c r="BJ24" s="344"/>
      <c r="BK24" s="344"/>
      <c r="BL24" s="344"/>
      <c r="BM24" s="344"/>
      <c r="BN24" s="344"/>
      <c r="BO24" s="344"/>
      <c r="BP24" s="344"/>
      <c r="BQ24" s="344"/>
      <c r="BR24" s="344"/>
      <c r="BS24" s="344"/>
      <c r="BT24" s="344"/>
      <c r="BU24" s="344"/>
      <c r="BV24" s="344"/>
      <c r="BW24" s="344"/>
      <c r="BX24" s="344"/>
      <c r="BY24" s="344"/>
      <c r="BZ24" s="344"/>
      <c r="CA24" s="344"/>
      <c r="CB24" s="344"/>
      <c r="CC24" s="344"/>
      <c r="CD24" s="344"/>
      <c r="CE24" s="344"/>
      <c r="CF24" s="344"/>
      <c r="CG24" s="344"/>
      <c r="CH24" s="344"/>
      <c r="CI24" s="345"/>
      <c r="CJ24" s="345"/>
      <c r="CK24" s="345"/>
      <c r="CL24" s="345"/>
      <c r="CM24" s="345"/>
      <c r="CN24" s="345"/>
      <c r="CO24" s="345"/>
      <c r="CP24" s="345"/>
      <c r="CQ24" s="345"/>
      <c r="CR24" s="345"/>
      <c r="CS24" s="345"/>
      <c r="CT24" s="345"/>
      <c r="CU24" s="345"/>
      <c r="CV24" s="345"/>
      <c r="CW24" s="345"/>
      <c r="CX24" s="345"/>
      <c r="CY24" s="345"/>
      <c r="CZ24" s="345"/>
      <c r="DA24" s="345"/>
      <c r="DB24" s="345"/>
      <c r="DC24" s="345"/>
      <c r="DD24" s="345"/>
      <c r="DE24" s="345"/>
      <c r="DF24" s="345"/>
      <c r="DG24" s="345"/>
      <c r="DH24" s="345"/>
      <c r="DI24" s="346"/>
      <c r="DJ24" s="345"/>
      <c r="DK24" s="347"/>
      <c r="DL24" s="345"/>
      <c r="DM24" s="345"/>
      <c r="DN24" s="345"/>
      <c r="DO24" s="345"/>
      <c r="DP24" s="345"/>
      <c r="DQ24" s="345"/>
      <c r="DR24" s="345"/>
      <c r="DS24" s="345"/>
      <c r="DT24" s="345"/>
    </row>
    <row r="25" spans="1:124" s="189" customFormat="1" ht="15" customHeight="1">
      <c r="A25" s="323"/>
      <c r="B25" s="350" t="s">
        <v>1005</v>
      </c>
      <c r="C25" s="404"/>
      <c r="D25" s="351"/>
      <c r="E25" s="352"/>
      <c r="F25" s="353"/>
      <c r="G25" s="351"/>
      <c r="H25" s="351"/>
      <c r="I25" s="351"/>
      <c r="J25" s="352"/>
      <c r="K25" s="353"/>
      <c r="L25" s="350"/>
      <c r="M25" s="354"/>
      <c r="N25" s="355"/>
      <c r="O25" s="406"/>
      <c r="P25" s="10"/>
      <c r="Q25" s="17"/>
      <c r="R25" s="356"/>
      <c r="S25" s="356"/>
      <c r="T25" s="356"/>
      <c r="U25" s="356"/>
      <c r="V25" s="356"/>
      <c r="W25" s="356"/>
      <c r="X25" s="356"/>
      <c r="Y25" s="356"/>
      <c r="Z25" s="356"/>
      <c r="AA25" s="356"/>
      <c r="AB25" s="356"/>
      <c r="AC25" s="2"/>
      <c r="AD25" s="2"/>
      <c r="AE25" s="2"/>
      <c r="AF25" s="2"/>
      <c r="AG25" s="2"/>
      <c r="AH25" s="2"/>
      <c r="AI25" s="2"/>
      <c r="AJ25" s="2"/>
      <c r="AK25" s="321"/>
      <c r="AL25" s="321"/>
      <c r="AM25" s="321"/>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321"/>
      <c r="CJ25" s="321"/>
      <c r="CK25" s="321"/>
      <c r="CL25" s="321"/>
      <c r="CM25" s="321"/>
      <c r="CN25" s="321"/>
      <c r="CO25" s="321"/>
      <c r="CP25" s="321"/>
      <c r="CQ25" s="321"/>
      <c r="CR25" s="321"/>
      <c r="CS25" s="321"/>
      <c r="CT25" s="321"/>
      <c r="CU25" s="321"/>
      <c r="CV25" s="321"/>
      <c r="CW25" s="321"/>
      <c r="CX25" s="321"/>
      <c r="CY25" s="321"/>
      <c r="CZ25" s="321"/>
      <c r="DA25" s="321"/>
      <c r="DB25" s="321"/>
      <c r="DC25" s="321"/>
      <c r="DD25" s="321"/>
      <c r="DE25" s="321"/>
      <c r="DF25" s="321"/>
      <c r="DG25" s="321"/>
      <c r="DH25" s="321"/>
      <c r="DI25" s="325"/>
      <c r="DJ25" s="321"/>
      <c r="DK25" s="326"/>
      <c r="DL25" s="321"/>
      <c r="DM25" s="321"/>
      <c r="DN25" s="321"/>
      <c r="DO25" s="321"/>
      <c r="DP25" s="321"/>
      <c r="DQ25" s="321"/>
      <c r="DR25" s="321"/>
      <c r="DS25" s="321"/>
      <c r="DT25" s="321"/>
    </row>
    <row r="26" spans="1:124" s="189" customFormat="1" ht="15" customHeight="1">
      <c r="A26" s="323"/>
      <c r="B26" s="350"/>
      <c r="C26" s="404"/>
      <c r="D26" s="351"/>
      <c r="E26" s="352"/>
      <c r="F26" s="353"/>
      <c r="G26" s="351"/>
      <c r="H26" s="351"/>
      <c r="I26" s="351"/>
      <c r="J26" s="352"/>
      <c r="K26" s="353"/>
      <c r="L26" s="350"/>
      <c r="M26" s="354"/>
      <c r="N26" s="355"/>
      <c r="O26" s="407"/>
      <c r="P26" s="10"/>
      <c r="Q26" s="17"/>
      <c r="R26" s="356"/>
      <c r="S26" s="356"/>
      <c r="T26" s="356"/>
      <c r="U26" s="356"/>
      <c r="V26" s="356"/>
      <c r="W26" s="356"/>
      <c r="X26" s="356"/>
      <c r="Y26" s="356"/>
      <c r="Z26" s="356"/>
      <c r="AA26" s="356"/>
      <c r="AB26" s="356"/>
      <c r="AC26" s="2"/>
      <c r="AD26" s="2"/>
      <c r="AE26" s="2"/>
      <c r="AF26" s="2"/>
      <c r="AG26" s="2"/>
      <c r="AH26" s="2"/>
      <c r="AI26" s="2"/>
      <c r="AJ26" s="2"/>
      <c r="AK26" s="321"/>
      <c r="AL26" s="321"/>
      <c r="AM26" s="321"/>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321"/>
      <c r="CJ26" s="321"/>
      <c r="CK26" s="321"/>
      <c r="CL26" s="321"/>
      <c r="CM26" s="321"/>
      <c r="CN26" s="321"/>
      <c r="CO26" s="321"/>
      <c r="CP26" s="321"/>
      <c r="CQ26" s="321"/>
      <c r="CR26" s="321"/>
      <c r="CS26" s="321"/>
      <c r="CT26" s="321"/>
      <c r="CU26" s="321"/>
      <c r="CV26" s="321"/>
      <c r="CW26" s="321"/>
      <c r="CX26" s="321"/>
      <c r="CY26" s="321"/>
      <c r="CZ26" s="321"/>
      <c r="DA26" s="321"/>
      <c r="DB26" s="321"/>
      <c r="DC26" s="321"/>
      <c r="DD26" s="321"/>
      <c r="DE26" s="321"/>
      <c r="DF26" s="321"/>
      <c r="DG26" s="321"/>
      <c r="DH26" s="321"/>
      <c r="DI26" s="325"/>
      <c r="DJ26" s="321"/>
      <c r="DK26" s="326"/>
      <c r="DL26" s="321"/>
      <c r="DM26" s="321"/>
      <c r="DN26" s="321"/>
      <c r="DO26" s="321"/>
      <c r="DP26" s="321"/>
      <c r="DQ26" s="321"/>
      <c r="DR26" s="321"/>
      <c r="DS26" s="321"/>
      <c r="DT26" s="321"/>
    </row>
    <row r="27" spans="1:124" s="189" customFormat="1" ht="15" customHeight="1">
      <c r="A27" s="323"/>
      <c r="B27" s="350"/>
      <c r="C27" s="404"/>
      <c r="D27" s="351"/>
      <c r="E27" s="352"/>
      <c r="F27" s="353"/>
      <c r="G27" s="351"/>
      <c r="H27" s="351"/>
      <c r="I27" s="351"/>
      <c r="J27" s="352"/>
      <c r="K27" s="353"/>
      <c r="L27" s="350"/>
      <c r="M27" s="354"/>
      <c r="N27" s="355"/>
      <c r="O27" s="407"/>
      <c r="P27" s="10"/>
      <c r="Q27" s="17"/>
      <c r="R27" s="356"/>
      <c r="S27" s="356"/>
      <c r="T27" s="356"/>
      <c r="U27" s="356"/>
      <c r="V27" s="356"/>
      <c r="W27" s="356"/>
      <c r="X27" s="356"/>
      <c r="Y27" s="356"/>
      <c r="Z27" s="356"/>
      <c r="AA27" s="356"/>
      <c r="AB27" s="356"/>
      <c r="AC27" s="2"/>
      <c r="AD27" s="2"/>
      <c r="AE27" s="2"/>
      <c r="AF27" s="2"/>
      <c r="AG27" s="2"/>
      <c r="AH27" s="2"/>
      <c r="AI27" s="2"/>
      <c r="AJ27" s="2"/>
      <c r="AK27" s="321"/>
      <c r="AL27" s="321"/>
      <c r="AM27" s="321"/>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321"/>
      <c r="CJ27" s="321"/>
      <c r="CK27" s="321"/>
      <c r="CL27" s="321"/>
      <c r="CM27" s="321"/>
      <c r="CN27" s="321"/>
      <c r="CO27" s="321"/>
      <c r="CP27" s="321"/>
      <c r="CQ27" s="321"/>
      <c r="CR27" s="321"/>
      <c r="CS27" s="321"/>
      <c r="CT27" s="321"/>
      <c r="CU27" s="321"/>
      <c r="CV27" s="321"/>
      <c r="CW27" s="321"/>
      <c r="CX27" s="321"/>
      <c r="CY27" s="321"/>
      <c r="CZ27" s="321"/>
      <c r="DA27" s="321"/>
      <c r="DB27" s="321"/>
      <c r="DC27" s="321"/>
      <c r="DD27" s="321"/>
      <c r="DE27" s="321"/>
      <c r="DF27" s="321"/>
      <c r="DG27" s="321"/>
      <c r="DH27" s="321"/>
      <c r="DI27" s="325"/>
      <c r="DJ27" s="321"/>
      <c r="DK27" s="326"/>
      <c r="DL27" s="321"/>
      <c r="DM27" s="321"/>
      <c r="DN27" s="321"/>
      <c r="DO27" s="321"/>
      <c r="DP27" s="321"/>
      <c r="DQ27" s="321"/>
      <c r="DR27" s="321"/>
      <c r="DS27" s="321"/>
      <c r="DT27" s="321"/>
    </row>
    <row r="28" spans="1:124" s="189" customFormat="1" ht="15" customHeight="1">
      <c r="A28" s="323"/>
      <c r="B28" s="350"/>
      <c r="C28" s="404"/>
      <c r="D28" s="351"/>
      <c r="E28" s="352"/>
      <c r="F28" s="353"/>
      <c r="G28" s="351"/>
      <c r="H28" s="351"/>
      <c r="I28" s="351"/>
      <c r="J28" s="352"/>
      <c r="K28" s="353"/>
      <c r="L28" s="350"/>
      <c r="M28" s="354"/>
      <c r="N28" s="355"/>
      <c r="O28" s="407"/>
      <c r="P28" s="10"/>
      <c r="Q28" s="17"/>
      <c r="R28" s="356"/>
      <c r="S28" s="356"/>
      <c r="T28" s="356"/>
      <c r="U28" s="356"/>
      <c r="V28" s="356"/>
      <c r="W28" s="356"/>
      <c r="X28" s="356"/>
      <c r="Y28" s="356"/>
      <c r="Z28" s="356"/>
      <c r="AA28" s="356"/>
      <c r="AB28" s="356"/>
      <c r="AC28" s="356"/>
      <c r="AD28" s="356"/>
      <c r="AE28" s="356"/>
      <c r="AF28" s="356"/>
      <c r="AG28" s="356"/>
      <c r="AH28" s="2"/>
      <c r="AI28" s="2"/>
      <c r="AJ28" s="2"/>
      <c r="AK28" s="2"/>
      <c r="AL28" s="2"/>
      <c r="AM28" s="2"/>
      <c r="AN28" s="2"/>
      <c r="AO28" s="2"/>
      <c r="AP28" s="321"/>
      <c r="AQ28" s="321"/>
      <c r="AR28" s="321"/>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321"/>
      <c r="CO28" s="321"/>
      <c r="CP28" s="321"/>
      <c r="CQ28" s="321"/>
      <c r="CR28" s="321"/>
      <c r="CS28" s="321"/>
      <c r="CT28" s="321"/>
      <c r="CU28" s="321"/>
      <c r="CV28" s="321"/>
      <c r="CW28" s="321"/>
      <c r="CX28" s="321"/>
      <c r="CY28" s="321"/>
      <c r="CZ28" s="321"/>
      <c r="DA28" s="321"/>
      <c r="DB28" s="321"/>
      <c r="DC28" s="321"/>
      <c r="DD28" s="321"/>
      <c r="DE28" s="321"/>
      <c r="DF28" s="321"/>
      <c r="DG28" s="321"/>
      <c r="DH28" s="321"/>
      <c r="DI28" s="321"/>
      <c r="DJ28" s="321"/>
      <c r="DK28" s="321"/>
      <c r="DL28" s="321"/>
      <c r="DM28" s="321"/>
      <c r="DN28" s="325"/>
      <c r="DO28" s="321"/>
      <c r="DP28" s="326"/>
      <c r="DQ28" s="321"/>
      <c r="DR28" s="321"/>
      <c r="DS28" s="321"/>
      <c r="DT28" s="321"/>
    </row>
    <row r="29" spans="1:124" s="189" customFormat="1" ht="15" customHeight="1">
      <c r="A29" s="323"/>
      <c r="B29" s="350"/>
      <c r="C29" s="404"/>
      <c r="D29" s="351"/>
      <c r="E29" s="352"/>
      <c r="F29" s="353"/>
      <c r="G29" s="351"/>
      <c r="H29" s="351"/>
      <c r="I29" s="351"/>
      <c r="J29" s="352"/>
      <c r="K29" s="353"/>
      <c r="L29" s="350"/>
      <c r="M29" s="354"/>
      <c r="N29" s="355"/>
      <c r="O29" s="407"/>
      <c r="P29" s="10"/>
      <c r="Q29" s="17"/>
      <c r="R29" s="356"/>
      <c r="S29" s="356"/>
      <c r="T29" s="356"/>
      <c r="U29" s="356"/>
      <c r="V29" s="356"/>
      <c r="W29" s="356"/>
      <c r="X29" s="356"/>
      <c r="Y29" s="356"/>
      <c r="Z29" s="356"/>
      <c r="AA29" s="356"/>
      <c r="AB29" s="356"/>
      <c r="AC29" s="356"/>
      <c r="AD29" s="356"/>
      <c r="AE29" s="356"/>
      <c r="AF29" s="356"/>
      <c r="AG29" s="356"/>
      <c r="AH29" s="2"/>
      <c r="AI29" s="2"/>
      <c r="AJ29" s="2"/>
      <c r="AK29" s="2"/>
      <c r="AL29" s="2"/>
      <c r="AM29" s="2"/>
      <c r="AN29" s="2"/>
      <c r="AO29" s="2"/>
      <c r="AP29" s="321"/>
      <c r="AQ29" s="321"/>
      <c r="AR29" s="321"/>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321"/>
      <c r="CO29" s="321"/>
      <c r="CP29" s="321"/>
      <c r="CQ29" s="321"/>
      <c r="CR29" s="321"/>
      <c r="CS29" s="321"/>
      <c r="CT29" s="321"/>
      <c r="CU29" s="321"/>
      <c r="CV29" s="321"/>
      <c r="CW29" s="321"/>
      <c r="CX29" s="321"/>
      <c r="CY29" s="321"/>
      <c r="CZ29" s="321"/>
      <c r="DA29" s="321"/>
      <c r="DB29" s="321"/>
      <c r="DC29" s="321"/>
      <c r="DD29" s="321"/>
      <c r="DE29" s="321"/>
      <c r="DF29" s="321"/>
      <c r="DG29" s="321"/>
      <c r="DH29" s="321"/>
      <c r="DI29" s="321"/>
      <c r="DJ29" s="321"/>
      <c r="DK29" s="321"/>
      <c r="DL29" s="321"/>
      <c r="DM29" s="321"/>
      <c r="DN29" s="325"/>
      <c r="DO29" s="321"/>
      <c r="DP29" s="326"/>
      <c r="DQ29" s="321"/>
      <c r="DR29" s="321"/>
      <c r="DS29" s="321"/>
      <c r="DT29" s="321"/>
    </row>
    <row r="30" spans="1:124" s="189" customFormat="1" ht="15" customHeight="1">
      <c r="A30" s="323"/>
      <c r="B30" s="350"/>
      <c r="C30" s="404"/>
      <c r="D30" s="351"/>
      <c r="E30" s="352"/>
      <c r="F30" s="353"/>
      <c r="G30" s="351"/>
      <c r="H30" s="351"/>
      <c r="I30" s="351"/>
      <c r="J30" s="352"/>
      <c r="K30" s="353"/>
      <c r="L30" s="350"/>
      <c r="M30" s="354"/>
      <c r="N30" s="355"/>
      <c r="O30" s="407"/>
      <c r="P30" s="10"/>
      <c r="Q30" s="17"/>
      <c r="R30" s="356"/>
      <c r="S30" s="356"/>
      <c r="T30" s="356"/>
      <c r="U30" s="356"/>
      <c r="V30" s="356"/>
      <c r="W30" s="356"/>
      <c r="X30" s="356"/>
      <c r="Y30" s="356"/>
      <c r="Z30" s="356"/>
      <c r="AA30" s="356"/>
      <c r="AB30" s="356"/>
      <c r="AC30" s="356"/>
      <c r="AD30" s="356"/>
      <c r="AE30" s="356"/>
      <c r="AF30" s="356"/>
      <c r="AG30" s="356"/>
      <c r="AH30" s="2"/>
      <c r="AI30" s="2"/>
      <c r="AJ30" s="2"/>
      <c r="AK30" s="2"/>
      <c r="AL30" s="2"/>
      <c r="AM30" s="2"/>
      <c r="AN30" s="2"/>
      <c r="AO30" s="2"/>
      <c r="AP30" s="321"/>
      <c r="AQ30" s="321"/>
      <c r="AR30" s="321"/>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321"/>
      <c r="CO30" s="321"/>
      <c r="CP30" s="321"/>
      <c r="CQ30" s="321"/>
      <c r="CR30" s="321"/>
      <c r="CS30" s="321"/>
      <c r="CT30" s="321"/>
      <c r="CU30" s="321"/>
      <c r="CV30" s="321"/>
      <c r="CW30" s="321"/>
      <c r="CX30" s="321"/>
      <c r="CY30" s="321"/>
      <c r="CZ30" s="321"/>
      <c r="DA30" s="321"/>
      <c r="DB30" s="321"/>
      <c r="DC30" s="321"/>
      <c r="DD30" s="321"/>
      <c r="DE30" s="321"/>
      <c r="DF30" s="321"/>
      <c r="DG30" s="321"/>
      <c r="DH30" s="321"/>
      <c r="DI30" s="321"/>
      <c r="DJ30" s="321"/>
      <c r="DK30" s="321"/>
      <c r="DL30" s="321"/>
      <c r="DM30" s="321"/>
      <c r="DN30" s="325"/>
      <c r="DO30" s="321"/>
      <c r="DP30" s="326"/>
      <c r="DQ30" s="321"/>
      <c r="DR30" s="321"/>
      <c r="DS30" s="321"/>
      <c r="DT30" s="321"/>
    </row>
    <row r="31" spans="1:124" s="189" customFormat="1" ht="15" customHeight="1">
      <c r="A31" s="323"/>
      <c r="B31" s="357"/>
      <c r="C31" s="405"/>
      <c r="D31" s="358"/>
      <c r="E31" s="352"/>
      <c r="F31" s="353"/>
      <c r="G31" s="351"/>
      <c r="H31" s="351"/>
      <c r="I31" s="351"/>
      <c r="J31" s="352"/>
      <c r="K31" s="353"/>
      <c r="L31" s="357"/>
      <c r="M31" s="359"/>
      <c r="N31" s="360"/>
      <c r="O31" s="407"/>
      <c r="P31" s="10"/>
      <c r="Q31" s="17"/>
      <c r="R31" s="356"/>
      <c r="S31" s="356"/>
      <c r="T31" s="356"/>
      <c r="U31" s="356"/>
      <c r="V31" s="356"/>
      <c r="W31" s="356"/>
      <c r="X31" s="356"/>
      <c r="Y31" s="356"/>
      <c r="Z31" s="356"/>
      <c r="AA31" s="356"/>
      <c r="AB31" s="356"/>
      <c r="AC31" s="356"/>
      <c r="AD31" s="356"/>
      <c r="AE31" s="356"/>
      <c r="AF31" s="356"/>
      <c r="AG31" s="356"/>
      <c r="AH31" s="2"/>
      <c r="AI31" s="2"/>
      <c r="AJ31" s="2"/>
      <c r="AK31" s="2"/>
      <c r="AL31" s="2"/>
      <c r="AM31" s="2"/>
      <c r="AN31" s="2"/>
      <c r="AO31" s="2"/>
      <c r="AP31" s="321"/>
      <c r="AQ31" s="321"/>
      <c r="AR31" s="321"/>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321"/>
      <c r="CO31" s="321"/>
      <c r="CP31" s="321"/>
      <c r="CQ31" s="321"/>
      <c r="CR31" s="321"/>
      <c r="CS31" s="321"/>
      <c r="CT31" s="321"/>
      <c r="CU31" s="321"/>
      <c r="CV31" s="321"/>
      <c r="CW31" s="321"/>
      <c r="CX31" s="321"/>
      <c r="CY31" s="321"/>
      <c r="CZ31" s="321"/>
      <c r="DA31" s="321"/>
      <c r="DB31" s="321"/>
      <c r="DC31" s="321"/>
      <c r="DD31" s="321"/>
      <c r="DE31" s="321"/>
      <c r="DF31" s="321"/>
      <c r="DG31" s="321"/>
      <c r="DH31" s="321"/>
      <c r="DI31" s="321"/>
      <c r="DJ31" s="321"/>
      <c r="DK31" s="321"/>
      <c r="DL31" s="321"/>
      <c r="DM31" s="321"/>
      <c r="DN31" s="325"/>
      <c r="DO31" s="321"/>
      <c r="DP31" s="326"/>
      <c r="DQ31" s="321"/>
      <c r="DR31" s="321"/>
      <c r="DS31" s="321"/>
      <c r="DT31" s="321"/>
    </row>
    <row r="32" spans="1:124" s="189" customFormat="1" ht="15" customHeight="1">
      <c r="A32" s="323"/>
      <c r="B32" s="361"/>
      <c r="C32" s="361"/>
      <c r="D32" s="361"/>
      <c r="E32" s="361"/>
      <c r="F32" s="361"/>
      <c r="G32" s="361"/>
      <c r="H32" s="361"/>
      <c r="I32" s="361"/>
      <c r="J32" s="361"/>
      <c r="K32" s="321"/>
      <c r="L32" s="321"/>
      <c r="M32" s="321"/>
      <c r="N32" s="321"/>
      <c r="O32" s="321"/>
      <c r="P32" s="10"/>
      <c r="Q32" s="17"/>
      <c r="R32" s="324"/>
      <c r="S32" s="324"/>
      <c r="T32" s="324"/>
      <c r="U32" s="324"/>
      <c r="V32" s="324"/>
      <c r="W32" s="324"/>
      <c r="X32" s="324"/>
      <c r="Y32" s="324"/>
      <c r="Z32" s="324"/>
      <c r="AA32" s="324"/>
      <c r="AB32" s="324"/>
      <c r="AC32" s="324"/>
      <c r="AD32" s="324"/>
      <c r="AE32" s="324"/>
      <c r="AF32" s="324"/>
      <c r="AG32" s="324"/>
      <c r="AH32" s="324"/>
      <c r="AI32" s="324"/>
      <c r="AJ32" s="324"/>
      <c r="AK32" s="324"/>
      <c r="AL32" s="2"/>
      <c r="AM32" s="2"/>
      <c r="AN32" s="2"/>
      <c r="AO32" s="2"/>
      <c r="AP32" s="2"/>
      <c r="AQ32" s="2"/>
      <c r="AR32" s="2"/>
      <c r="AS32" s="2"/>
      <c r="AT32" s="321"/>
      <c r="AU32" s="321"/>
      <c r="AV32" s="321"/>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321"/>
      <c r="CS32" s="321"/>
      <c r="CT32" s="321"/>
      <c r="CU32" s="321"/>
      <c r="CV32" s="321"/>
      <c r="CW32" s="321"/>
      <c r="CX32" s="321"/>
      <c r="CY32" s="321"/>
      <c r="CZ32" s="321"/>
      <c r="DA32" s="321"/>
      <c r="DB32" s="321"/>
      <c r="DC32" s="321"/>
      <c r="DD32" s="321"/>
      <c r="DE32" s="321"/>
      <c r="DF32" s="321"/>
      <c r="DG32" s="321"/>
      <c r="DH32" s="321"/>
      <c r="DI32" s="321"/>
      <c r="DJ32" s="321"/>
      <c r="DK32" s="321"/>
      <c r="DL32" s="321"/>
      <c r="DM32" s="321"/>
      <c r="DN32" s="321"/>
      <c r="DO32" s="321"/>
      <c r="DP32" s="321"/>
      <c r="DQ32" s="321"/>
      <c r="DR32" s="325"/>
      <c r="DS32" s="321"/>
      <c r="DT32" s="326"/>
    </row>
    <row r="33" spans="1:128" s="189" customFormat="1" ht="15" customHeight="1">
      <c r="A33" s="323"/>
      <c r="B33" s="4"/>
      <c r="C33" s="4"/>
      <c r="D33" s="4"/>
      <c r="E33" s="4"/>
      <c r="F33" s="4"/>
      <c r="G33" s="321"/>
      <c r="H33" s="321"/>
      <c r="I33" s="321"/>
      <c r="J33" s="321"/>
      <c r="K33" s="321"/>
      <c r="L33" s="321"/>
      <c r="M33" s="321"/>
      <c r="N33" s="321"/>
      <c r="O33" s="321"/>
      <c r="P33" s="10"/>
      <c r="Q33" s="17"/>
      <c r="R33" s="324"/>
      <c r="S33" s="324"/>
      <c r="T33" s="324"/>
      <c r="U33" s="324"/>
      <c r="V33" s="324"/>
      <c r="W33" s="324"/>
      <c r="X33" s="324"/>
      <c r="Y33" s="324"/>
      <c r="Z33" s="324"/>
      <c r="AA33" s="324"/>
      <c r="AB33" s="324"/>
      <c r="AC33" s="324"/>
      <c r="AD33" s="324"/>
      <c r="AE33" s="324"/>
      <c r="AF33" s="324"/>
      <c r="AG33" s="324"/>
      <c r="AH33" s="324"/>
      <c r="AI33" s="324"/>
      <c r="AJ33" s="324"/>
      <c r="AK33" s="324"/>
      <c r="AL33" s="2"/>
      <c r="AM33" s="2"/>
      <c r="AN33" s="2"/>
      <c r="AO33" s="2"/>
      <c r="AP33" s="2"/>
      <c r="AQ33" s="2"/>
      <c r="AR33" s="2"/>
      <c r="AS33" s="2"/>
      <c r="AT33" s="321"/>
      <c r="AU33" s="321"/>
      <c r="AV33" s="321"/>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321"/>
      <c r="CS33" s="321"/>
      <c r="CT33" s="321"/>
      <c r="CU33" s="321"/>
      <c r="CV33" s="321"/>
      <c r="CW33" s="321"/>
      <c r="CX33" s="321"/>
      <c r="CY33" s="321"/>
      <c r="CZ33" s="321"/>
      <c r="DA33" s="321"/>
      <c r="DB33" s="321"/>
      <c r="DC33" s="321"/>
      <c r="DD33" s="321"/>
      <c r="DE33" s="321"/>
      <c r="DF33" s="321"/>
      <c r="DG33" s="321"/>
      <c r="DH33" s="321"/>
      <c r="DI33" s="321"/>
      <c r="DJ33" s="321"/>
      <c r="DK33" s="321"/>
      <c r="DL33" s="321"/>
      <c r="DM33" s="321"/>
      <c r="DN33" s="321"/>
      <c r="DO33" s="321"/>
      <c r="DP33" s="321"/>
      <c r="DQ33" s="321"/>
      <c r="DR33" s="325"/>
      <c r="DS33" s="321"/>
      <c r="DT33" s="326"/>
      <c r="DU33" s="321"/>
      <c r="DV33" s="321"/>
      <c r="DW33" s="321"/>
      <c r="DX33" s="321"/>
    </row>
    <row r="34" spans="1:128" s="189" customFormat="1" ht="25.05" customHeight="1">
      <c r="A34" s="323"/>
      <c r="B34" s="328" t="s">
        <v>565</v>
      </c>
      <c r="C34" s="329"/>
      <c r="D34" s="329"/>
      <c r="E34" s="329"/>
      <c r="F34" s="329"/>
      <c r="G34" s="341"/>
      <c r="H34" s="341"/>
      <c r="I34" s="341"/>
      <c r="J34" s="341"/>
      <c r="K34" s="341"/>
      <c r="L34" s="341"/>
      <c r="M34" s="341"/>
      <c r="N34" s="341"/>
      <c r="O34" s="341"/>
      <c r="P34" s="10"/>
      <c r="Q34" s="17"/>
      <c r="R34" s="324"/>
      <c r="S34" s="324"/>
      <c r="T34" s="324"/>
      <c r="U34" s="324"/>
      <c r="V34" s="324"/>
      <c r="W34" s="324"/>
      <c r="X34" s="324"/>
      <c r="Y34" s="324"/>
      <c r="Z34" s="324"/>
      <c r="AA34" s="324"/>
      <c r="AB34" s="324"/>
      <c r="AC34" s="324"/>
      <c r="AD34" s="324"/>
      <c r="AE34" s="324"/>
      <c r="AF34" s="324"/>
      <c r="AG34" s="324"/>
      <c r="AH34" s="324"/>
      <c r="AI34" s="324"/>
      <c r="AJ34" s="324"/>
      <c r="AK34" s="324"/>
      <c r="AL34" s="2"/>
      <c r="AM34" s="2"/>
      <c r="AN34" s="2"/>
      <c r="AO34" s="2"/>
      <c r="AP34" s="2"/>
      <c r="AQ34" s="2"/>
      <c r="AR34" s="2"/>
      <c r="AS34" s="2"/>
      <c r="AT34" s="321"/>
      <c r="AU34" s="321"/>
      <c r="AV34" s="321"/>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321"/>
      <c r="CS34" s="321"/>
      <c r="CT34" s="321"/>
      <c r="CU34" s="321"/>
      <c r="CV34" s="321"/>
      <c r="CW34" s="321"/>
      <c r="CX34" s="321"/>
      <c r="CY34" s="321"/>
      <c r="CZ34" s="321"/>
      <c r="DA34" s="321"/>
      <c r="DB34" s="321"/>
      <c r="DC34" s="321"/>
      <c r="DD34" s="321"/>
      <c r="DE34" s="321"/>
      <c r="DF34" s="321"/>
      <c r="DG34" s="321"/>
      <c r="DH34" s="321"/>
      <c r="DI34" s="321"/>
      <c r="DJ34" s="321"/>
      <c r="DK34" s="321"/>
      <c r="DL34" s="321"/>
      <c r="DM34" s="321"/>
      <c r="DN34" s="321"/>
      <c r="DO34" s="321"/>
      <c r="DP34" s="321"/>
      <c r="DQ34" s="321"/>
      <c r="DR34" s="325"/>
      <c r="DS34" s="321"/>
      <c r="DT34" s="326"/>
      <c r="DU34" s="321"/>
      <c r="DV34" s="321"/>
      <c r="DW34" s="321"/>
      <c r="DX34" s="321"/>
    </row>
    <row r="35" spans="1:128" s="189" customFormat="1" ht="15" customHeight="1">
      <c r="A35" s="323"/>
      <c r="B35" s="362"/>
      <c r="C35" s="2"/>
      <c r="D35" s="2"/>
      <c r="E35" s="2"/>
      <c r="F35" s="2"/>
      <c r="G35" s="321"/>
      <c r="H35" s="321"/>
      <c r="I35" s="321"/>
      <c r="J35" s="321"/>
      <c r="K35" s="321"/>
      <c r="L35" s="321"/>
      <c r="M35" s="321"/>
      <c r="N35" s="321"/>
      <c r="O35" s="321"/>
      <c r="P35" s="10"/>
      <c r="Q35" s="17"/>
      <c r="R35" s="324"/>
      <c r="S35" s="324"/>
      <c r="T35" s="324"/>
      <c r="U35" s="324"/>
      <c r="V35" s="324"/>
      <c r="W35" s="324"/>
      <c r="X35" s="324"/>
      <c r="Y35" s="324"/>
      <c r="Z35" s="324"/>
      <c r="AA35" s="324"/>
      <c r="AB35" s="324"/>
      <c r="AC35" s="324"/>
      <c r="AD35" s="324"/>
      <c r="AE35" s="324"/>
      <c r="AF35" s="324"/>
      <c r="AG35" s="324"/>
      <c r="AH35" s="324"/>
      <c r="AI35" s="324"/>
      <c r="AJ35" s="324"/>
      <c r="AK35" s="324"/>
      <c r="AL35" s="2"/>
      <c r="AM35" s="2"/>
      <c r="AN35" s="2"/>
      <c r="AO35" s="2"/>
      <c r="AP35" s="2"/>
      <c r="AQ35" s="2"/>
      <c r="AR35" s="2"/>
      <c r="AS35" s="2"/>
      <c r="AT35" s="321"/>
      <c r="AU35" s="321"/>
      <c r="AV35" s="321"/>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321"/>
      <c r="CS35" s="321"/>
      <c r="CT35" s="321"/>
      <c r="CU35" s="321"/>
      <c r="CV35" s="321"/>
      <c r="CW35" s="321"/>
      <c r="CX35" s="321"/>
      <c r="CY35" s="321"/>
      <c r="CZ35" s="321"/>
      <c r="DA35" s="321"/>
      <c r="DB35" s="321"/>
      <c r="DC35" s="321"/>
      <c r="DD35" s="321"/>
      <c r="DE35" s="321"/>
      <c r="DF35" s="321"/>
      <c r="DG35" s="321"/>
      <c r="DH35" s="321"/>
      <c r="DI35" s="321"/>
      <c r="DJ35" s="321"/>
      <c r="DK35" s="321"/>
      <c r="DL35" s="321"/>
      <c r="DM35" s="321"/>
      <c r="DN35" s="321"/>
      <c r="DO35" s="321"/>
      <c r="DP35" s="321"/>
      <c r="DQ35" s="321"/>
      <c r="DR35" s="322"/>
      <c r="DS35" s="321"/>
      <c r="DT35" s="326"/>
      <c r="DU35" s="321"/>
      <c r="DV35" s="321"/>
      <c r="DW35" s="321"/>
      <c r="DX35" s="321"/>
    </row>
    <row r="36" spans="1:128" ht="15" customHeight="1">
      <c r="A36" s="317"/>
      <c r="B36" s="167" t="s">
        <v>566</v>
      </c>
      <c r="C36" s="363"/>
      <c r="D36" s="363"/>
      <c r="E36" s="363"/>
      <c r="F36" s="363"/>
      <c r="G36" s="2"/>
      <c r="H36" s="2"/>
      <c r="I36" s="2"/>
      <c r="J36" s="2"/>
      <c r="K36" s="2"/>
      <c r="L36" s="2"/>
      <c r="M36" s="2"/>
      <c r="N36" s="2"/>
      <c r="O36" s="2"/>
      <c r="P36" s="10"/>
      <c r="Q36" s="17"/>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321"/>
      <c r="CV36" s="321"/>
      <c r="CW36" s="321"/>
      <c r="CX36" s="321"/>
      <c r="CY36" s="321"/>
      <c r="CZ36" s="321"/>
      <c r="DA36" s="321"/>
      <c r="DB36" s="321"/>
      <c r="DC36" s="321"/>
      <c r="DD36" s="321"/>
      <c r="DE36" s="321"/>
      <c r="DF36" s="321"/>
      <c r="DG36" s="321"/>
      <c r="DH36" s="321"/>
      <c r="DI36" s="321"/>
      <c r="DJ36" s="321"/>
      <c r="DK36" s="321"/>
      <c r="DL36" s="321"/>
      <c r="DM36" s="321"/>
      <c r="DN36" s="321"/>
      <c r="DO36" s="321"/>
      <c r="DP36" s="321"/>
      <c r="DQ36" s="321"/>
      <c r="DR36" s="321"/>
      <c r="DS36" s="321"/>
      <c r="DT36" s="321"/>
      <c r="DU36" s="325"/>
      <c r="DV36" s="321"/>
      <c r="DW36" s="326"/>
      <c r="DX36" s="2"/>
    </row>
    <row r="37" spans="1:128" ht="14.25" customHeight="1">
      <c r="A37" s="317"/>
      <c r="B37" s="673" t="s">
        <v>1013</v>
      </c>
      <c r="C37" s="674"/>
      <c r="D37" s="674"/>
      <c r="E37" s="674"/>
      <c r="F37" s="675"/>
      <c r="G37" s="2"/>
      <c r="H37" s="2"/>
      <c r="I37" s="2"/>
      <c r="J37" s="2"/>
      <c r="K37" s="2"/>
      <c r="L37" s="2"/>
      <c r="M37" s="2"/>
      <c r="N37" s="2"/>
      <c r="O37" s="2"/>
      <c r="P37" s="10"/>
      <c r="Q37" s="17"/>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321"/>
      <c r="CV37" s="321"/>
      <c r="CW37" s="321"/>
      <c r="CX37" s="321"/>
      <c r="CY37" s="321"/>
      <c r="CZ37" s="321"/>
      <c r="DA37" s="321"/>
      <c r="DB37" s="321"/>
      <c r="DC37" s="321"/>
      <c r="DD37" s="321"/>
      <c r="DE37" s="321"/>
      <c r="DF37" s="321"/>
      <c r="DG37" s="321"/>
      <c r="DH37" s="321"/>
      <c r="DI37" s="321"/>
      <c r="DJ37" s="321"/>
      <c r="DK37" s="321"/>
      <c r="DL37" s="321"/>
      <c r="DM37" s="321"/>
      <c r="DN37" s="321"/>
      <c r="DO37" s="321"/>
      <c r="DP37" s="321"/>
      <c r="DQ37" s="321"/>
      <c r="DR37" s="321"/>
      <c r="DS37" s="321"/>
      <c r="DT37" s="321"/>
      <c r="DU37" s="325"/>
      <c r="DV37" s="321"/>
      <c r="DW37" s="326"/>
      <c r="DX37" s="2"/>
    </row>
    <row r="38" spans="1:128" ht="14.25" customHeight="1">
      <c r="A38" s="317"/>
      <c r="B38" s="676"/>
      <c r="C38" s="677"/>
      <c r="D38" s="677"/>
      <c r="E38" s="677"/>
      <c r="F38" s="678"/>
      <c r="G38" s="2"/>
      <c r="H38" s="2"/>
      <c r="I38" s="2"/>
      <c r="J38" s="2"/>
      <c r="K38" s="2"/>
      <c r="L38" s="2"/>
      <c r="M38" s="2"/>
      <c r="N38" s="2"/>
      <c r="O38" s="2"/>
      <c r="P38" s="10"/>
      <c r="Q38" s="17"/>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321"/>
      <c r="CV38" s="321"/>
      <c r="CW38" s="321"/>
      <c r="CX38" s="321"/>
      <c r="CY38" s="321"/>
      <c r="CZ38" s="321"/>
      <c r="DA38" s="321"/>
      <c r="DB38" s="321"/>
      <c r="DC38" s="321"/>
      <c r="DD38" s="321"/>
      <c r="DE38" s="321"/>
      <c r="DF38" s="321"/>
      <c r="DG38" s="321"/>
      <c r="DH38" s="321"/>
      <c r="DI38" s="321"/>
      <c r="DJ38" s="321"/>
      <c r="DK38" s="321"/>
      <c r="DL38" s="321"/>
      <c r="DM38" s="321"/>
      <c r="DN38" s="321"/>
      <c r="DO38" s="321"/>
      <c r="DP38" s="321"/>
      <c r="DQ38" s="321"/>
      <c r="DR38" s="321"/>
      <c r="DS38" s="321"/>
      <c r="DT38" s="321"/>
      <c r="DU38" s="325"/>
      <c r="DV38" s="321"/>
      <c r="DW38" s="326"/>
      <c r="DX38" s="2"/>
    </row>
    <row r="39" spans="1:128" ht="14.25" customHeight="1">
      <c r="A39" s="317"/>
      <c r="B39" s="676"/>
      <c r="C39" s="677"/>
      <c r="D39" s="677"/>
      <c r="E39" s="677"/>
      <c r="F39" s="678"/>
      <c r="G39" s="2"/>
      <c r="H39" s="2"/>
      <c r="I39" s="2"/>
      <c r="J39" s="2"/>
      <c r="K39" s="2"/>
      <c r="L39" s="2"/>
      <c r="M39" s="2"/>
      <c r="N39" s="2"/>
      <c r="O39" s="2"/>
      <c r="P39" s="10"/>
      <c r="Q39" s="17"/>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321"/>
      <c r="CV39" s="321"/>
      <c r="CW39" s="321"/>
      <c r="CX39" s="321"/>
      <c r="CY39" s="321"/>
      <c r="CZ39" s="321"/>
      <c r="DA39" s="321"/>
      <c r="DB39" s="321"/>
      <c r="DC39" s="321"/>
      <c r="DD39" s="321"/>
      <c r="DE39" s="321"/>
      <c r="DF39" s="321"/>
      <c r="DG39" s="321"/>
      <c r="DH39" s="321"/>
      <c r="DI39" s="321"/>
      <c r="DJ39" s="321"/>
      <c r="DK39" s="321"/>
      <c r="DL39" s="321"/>
      <c r="DM39" s="321"/>
      <c r="DN39" s="321"/>
      <c r="DO39" s="321"/>
      <c r="DP39" s="321"/>
      <c r="DQ39" s="321"/>
      <c r="DR39" s="321"/>
      <c r="DS39" s="321"/>
      <c r="DT39" s="321"/>
      <c r="DU39" s="325"/>
      <c r="DV39" s="321"/>
      <c r="DW39" s="326"/>
      <c r="DX39" s="2"/>
    </row>
    <row r="40" spans="1:128" ht="14.25" customHeight="1">
      <c r="A40" s="317"/>
      <c r="B40" s="679"/>
      <c r="C40" s="680"/>
      <c r="D40" s="680"/>
      <c r="E40" s="680"/>
      <c r="F40" s="681"/>
      <c r="G40" s="2"/>
      <c r="H40" s="2"/>
      <c r="I40" s="2"/>
      <c r="J40" s="2"/>
      <c r="K40" s="2"/>
      <c r="L40" s="2"/>
      <c r="M40" s="2"/>
      <c r="N40" s="2"/>
      <c r="O40" s="2"/>
      <c r="P40" s="10"/>
      <c r="Q40" s="17"/>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321"/>
      <c r="CV40" s="321"/>
      <c r="CW40" s="321"/>
      <c r="CX40" s="321"/>
      <c r="CY40" s="321"/>
      <c r="CZ40" s="321"/>
      <c r="DA40" s="321"/>
      <c r="DB40" s="321"/>
      <c r="DC40" s="321"/>
      <c r="DD40" s="321"/>
      <c r="DE40" s="321"/>
      <c r="DF40" s="321"/>
      <c r="DG40" s="321"/>
      <c r="DH40" s="321"/>
      <c r="DI40" s="321"/>
      <c r="DJ40" s="321"/>
      <c r="DK40" s="321"/>
      <c r="DL40" s="321"/>
      <c r="DM40" s="321"/>
      <c r="DN40" s="321"/>
      <c r="DO40" s="321"/>
      <c r="DP40" s="321"/>
      <c r="DQ40" s="321"/>
      <c r="DR40" s="321"/>
      <c r="DS40" s="321"/>
      <c r="DT40" s="321"/>
      <c r="DU40" s="325"/>
      <c r="DV40" s="321"/>
      <c r="DW40" s="326"/>
      <c r="DX40" s="2"/>
    </row>
    <row r="41" spans="1:128" ht="18" customHeight="1">
      <c r="A41" s="317"/>
      <c r="B41" s="364"/>
      <c r="C41" s="365"/>
      <c r="D41" s="365"/>
      <c r="E41" s="365"/>
      <c r="F41" s="365"/>
      <c r="G41" s="318"/>
      <c r="H41" s="318"/>
      <c r="I41" s="318"/>
      <c r="J41" s="318"/>
      <c r="K41" s="318"/>
      <c r="L41" s="689" t="s">
        <v>567</v>
      </c>
      <c r="M41" s="689"/>
      <c r="N41" s="689"/>
      <c r="O41" s="318"/>
      <c r="P41" s="10"/>
      <c r="Q41" s="17"/>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321"/>
      <c r="CV41" s="321"/>
      <c r="CW41" s="321"/>
      <c r="CX41" s="321"/>
      <c r="CY41" s="321"/>
      <c r="CZ41" s="321"/>
      <c r="DA41" s="321"/>
      <c r="DB41" s="321"/>
      <c r="DC41" s="321"/>
      <c r="DD41" s="321"/>
      <c r="DE41" s="321"/>
      <c r="DF41" s="321"/>
      <c r="DG41" s="321"/>
      <c r="DH41" s="321"/>
      <c r="DI41" s="321"/>
      <c r="DJ41" s="321"/>
      <c r="DK41" s="321"/>
      <c r="DL41" s="321"/>
      <c r="DM41" s="321"/>
      <c r="DN41" s="321"/>
      <c r="DO41" s="321"/>
      <c r="DP41" s="321"/>
      <c r="DQ41" s="321"/>
      <c r="DR41" s="321"/>
      <c r="DS41" s="321"/>
      <c r="DT41" s="321"/>
      <c r="DU41" s="325"/>
      <c r="DV41" s="321"/>
      <c r="DW41" s="326"/>
      <c r="DX41" s="2"/>
    </row>
    <row r="42" spans="1:128" ht="30.75" customHeight="1">
      <c r="A42" s="317"/>
      <c r="B42" s="686" t="s">
        <v>568</v>
      </c>
      <c r="C42" s="682" t="s">
        <v>552</v>
      </c>
      <c r="D42" s="661" t="s">
        <v>569</v>
      </c>
      <c r="E42" s="662"/>
      <c r="F42" s="662"/>
      <c r="G42" s="683" t="s">
        <v>570</v>
      </c>
      <c r="H42" s="684"/>
      <c r="I42" s="684"/>
      <c r="J42" s="684"/>
      <c r="K42" s="685"/>
      <c r="L42" s="690">
        <v>1</v>
      </c>
      <c r="M42" s="692">
        <v>2</v>
      </c>
      <c r="N42" s="692">
        <v>3</v>
      </c>
      <c r="O42" s="692" t="s">
        <v>556</v>
      </c>
      <c r="P42" s="10"/>
      <c r="Q42" s="17"/>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321"/>
      <c r="CW42" s="321"/>
      <c r="CX42" s="321"/>
      <c r="CY42" s="321"/>
      <c r="CZ42" s="321"/>
      <c r="DA42" s="321"/>
      <c r="DB42" s="321"/>
      <c r="DC42" s="321"/>
      <c r="DD42" s="321"/>
      <c r="DE42" s="321"/>
      <c r="DF42" s="321"/>
      <c r="DG42" s="321"/>
      <c r="DH42" s="321"/>
      <c r="DI42" s="321"/>
      <c r="DJ42" s="321"/>
      <c r="DK42" s="321"/>
      <c r="DL42" s="321"/>
      <c r="DM42" s="321"/>
      <c r="DN42" s="321"/>
      <c r="DO42" s="321"/>
      <c r="DP42" s="321"/>
      <c r="DQ42" s="321"/>
      <c r="DR42" s="321"/>
      <c r="DS42" s="321"/>
      <c r="DT42" s="321"/>
      <c r="DU42" s="321"/>
      <c r="DV42" s="366"/>
      <c r="DW42" s="321"/>
      <c r="DX42" s="326"/>
    </row>
    <row r="43" spans="1:128" ht="19.5" customHeight="1">
      <c r="A43" s="317"/>
      <c r="B43" s="687"/>
      <c r="C43" s="682"/>
      <c r="D43" s="421" t="s">
        <v>557</v>
      </c>
      <c r="E43" s="348" t="s">
        <v>558</v>
      </c>
      <c r="F43" s="421" t="s">
        <v>559</v>
      </c>
      <c r="G43" s="367" t="s">
        <v>560</v>
      </c>
      <c r="H43" s="368" t="s">
        <v>561</v>
      </c>
      <c r="I43" s="368" t="s">
        <v>562</v>
      </c>
      <c r="J43" s="368" t="s">
        <v>563</v>
      </c>
      <c r="K43" s="368" t="s">
        <v>564</v>
      </c>
      <c r="L43" s="691"/>
      <c r="M43" s="693"/>
      <c r="N43" s="693"/>
      <c r="O43" s="693"/>
      <c r="P43" s="10"/>
      <c r="Q43" s="17"/>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321"/>
      <c r="CW43" s="321"/>
      <c r="CX43" s="321"/>
      <c r="CY43" s="321"/>
      <c r="CZ43" s="321"/>
      <c r="DA43" s="321"/>
      <c r="DB43" s="321"/>
      <c r="DC43" s="321"/>
      <c r="DD43" s="321"/>
      <c r="DE43" s="321"/>
      <c r="DF43" s="321"/>
      <c r="DG43" s="321"/>
      <c r="DH43" s="321"/>
      <c r="DI43" s="321"/>
      <c r="DJ43" s="321"/>
      <c r="DK43" s="321"/>
      <c r="DL43" s="321"/>
      <c r="DM43" s="321"/>
      <c r="DN43" s="321"/>
      <c r="DO43" s="321"/>
      <c r="DP43" s="321"/>
      <c r="DQ43" s="321"/>
      <c r="DR43" s="321"/>
      <c r="DS43" s="321"/>
      <c r="DT43" s="321"/>
      <c r="DU43" s="321"/>
      <c r="DV43" s="325"/>
      <c r="DW43" s="321"/>
      <c r="DX43" s="321"/>
    </row>
    <row r="44" spans="1:128" ht="15" customHeight="1">
      <c r="A44" s="317"/>
      <c r="B44" s="369" t="s">
        <v>1005</v>
      </c>
      <c r="C44" s="350"/>
      <c r="D44" s="369"/>
      <c r="E44" s="370"/>
      <c r="F44" s="371"/>
      <c r="G44" s="369"/>
      <c r="H44" s="369"/>
      <c r="I44" s="369"/>
      <c r="J44" s="370"/>
      <c r="K44" s="371"/>
      <c r="L44" s="372"/>
      <c r="M44" s="372"/>
      <c r="N44" s="372"/>
      <c r="O44" s="372"/>
      <c r="P44" s="10"/>
      <c r="Q44" s="17"/>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321"/>
      <c r="CW44" s="321"/>
      <c r="CX44" s="321"/>
      <c r="CY44" s="321"/>
      <c r="CZ44" s="321"/>
      <c r="DA44" s="321"/>
      <c r="DB44" s="321"/>
      <c r="DC44" s="321"/>
      <c r="DD44" s="321"/>
      <c r="DE44" s="321"/>
      <c r="DF44" s="321"/>
      <c r="DG44" s="321"/>
      <c r="DH44" s="321"/>
      <c r="DI44" s="321"/>
      <c r="DJ44" s="321"/>
      <c r="DK44" s="321"/>
      <c r="DL44" s="321"/>
      <c r="DM44" s="321"/>
      <c r="DN44" s="321"/>
      <c r="DO44" s="321"/>
      <c r="DP44" s="321"/>
      <c r="DQ44" s="321"/>
      <c r="DR44" s="321"/>
      <c r="DS44" s="321"/>
      <c r="DT44" s="321"/>
      <c r="DU44" s="321"/>
      <c r="DV44" s="325"/>
      <c r="DW44" s="321"/>
      <c r="DX44" s="326"/>
    </row>
    <row r="45" spans="1:128" ht="15" customHeight="1">
      <c r="A45" s="317"/>
      <c r="B45" s="369"/>
      <c r="C45" s="350"/>
      <c r="D45" s="369"/>
      <c r="E45" s="370"/>
      <c r="F45" s="371"/>
      <c r="G45" s="369"/>
      <c r="H45" s="369"/>
      <c r="I45" s="369"/>
      <c r="J45" s="370"/>
      <c r="K45" s="371"/>
      <c r="L45" s="372"/>
      <c r="M45" s="372"/>
      <c r="N45" s="372"/>
      <c r="O45" s="372"/>
      <c r="P45" s="10"/>
      <c r="Q45" s="17"/>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321"/>
      <c r="CW45" s="321"/>
      <c r="CX45" s="321"/>
      <c r="CY45" s="321"/>
      <c r="CZ45" s="321"/>
      <c r="DA45" s="321"/>
      <c r="DB45" s="321"/>
      <c r="DC45" s="321"/>
      <c r="DD45" s="321"/>
      <c r="DE45" s="321"/>
      <c r="DF45" s="321"/>
      <c r="DG45" s="321"/>
      <c r="DH45" s="321"/>
      <c r="DI45" s="321"/>
      <c r="DJ45" s="321"/>
      <c r="DK45" s="321"/>
      <c r="DL45" s="321"/>
      <c r="DM45" s="321"/>
      <c r="DN45" s="321"/>
      <c r="DO45" s="321"/>
      <c r="DP45" s="321"/>
      <c r="DQ45" s="321"/>
      <c r="DR45" s="321"/>
      <c r="DS45" s="321"/>
      <c r="DT45" s="321"/>
      <c r="DU45" s="321"/>
      <c r="DV45" s="325"/>
      <c r="DW45" s="321"/>
      <c r="DX45" s="326"/>
    </row>
    <row r="46" spans="1:128" ht="15" customHeight="1">
      <c r="A46" s="317"/>
      <c r="B46" s="369"/>
      <c r="C46" s="350"/>
      <c r="D46" s="369"/>
      <c r="E46" s="370"/>
      <c r="F46" s="371"/>
      <c r="G46" s="369"/>
      <c r="H46" s="369"/>
      <c r="I46" s="369"/>
      <c r="J46" s="370"/>
      <c r="K46" s="371"/>
      <c r="L46" s="372"/>
      <c r="M46" s="372"/>
      <c r="N46" s="372"/>
      <c r="O46" s="372"/>
      <c r="P46" s="10"/>
      <c r="Q46" s="17"/>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321"/>
      <c r="CW46" s="321"/>
      <c r="CX46" s="321"/>
      <c r="CY46" s="321"/>
      <c r="CZ46" s="321"/>
      <c r="DA46" s="321"/>
      <c r="DB46" s="321"/>
      <c r="DC46" s="321"/>
      <c r="DD46" s="321"/>
      <c r="DE46" s="321"/>
      <c r="DF46" s="321"/>
      <c r="DG46" s="321"/>
      <c r="DH46" s="321"/>
      <c r="DI46" s="321"/>
      <c r="DJ46" s="321"/>
      <c r="DK46" s="321"/>
      <c r="DL46" s="321"/>
      <c r="DM46" s="321"/>
      <c r="DN46" s="321"/>
      <c r="DO46" s="321"/>
      <c r="DP46" s="321"/>
      <c r="DQ46" s="321"/>
      <c r="DR46" s="321"/>
      <c r="DS46" s="321"/>
      <c r="DT46" s="321"/>
      <c r="DU46" s="321"/>
      <c r="DV46" s="325"/>
      <c r="DW46" s="321"/>
      <c r="DX46" s="326"/>
    </row>
    <row r="47" spans="1:128" ht="15" customHeight="1">
      <c r="A47" s="317"/>
      <c r="B47" s="369"/>
      <c r="C47" s="350"/>
      <c r="D47" s="369"/>
      <c r="E47" s="370"/>
      <c r="F47" s="371"/>
      <c r="G47" s="369"/>
      <c r="H47" s="369"/>
      <c r="I47" s="369"/>
      <c r="J47" s="370"/>
      <c r="K47" s="371"/>
      <c r="L47" s="372"/>
      <c r="M47" s="372"/>
      <c r="N47" s="372"/>
      <c r="O47" s="372"/>
      <c r="P47" s="10"/>
      <c r="Q47" s="17"/>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321"/>
      <c r="CW47" s="321"/>
      <c r="CX47" s="321"/>
      <c r="CY47" s="321"/>
      <c r="CZ47" s="321"/>
      <c r="DA47" s="321"/>
      <c r="DB47" s="321"/>
      <c r="DC47" s="321"/>
      <c r="DD47" s="321"/>
      <c r="DE47" s="321"/>
      <c r="DF47" s="321"/>
      <c r="DG47" s="321"/>
      <c r="DH47" s="321"/>
      <c r="DI47" s="321"/>
      <c r="DJ47" s="321"/>
      <c r="DK47" s="321"/>
      <c r="DL47" s="321"/>
      <c r="DM47" s="321"/>
      <c r="DN47" s="321"/>
      <c r="DO47" s="321"/>
      <c r="DP47" s="321"/>
      <c r="DQ47" s="321"/>
      <c r="DR47" s="321"/>
      <c r="DS47" s="321"/>
      <c r="DT47" s="321"/>
      <c r="DU47" s="321"/>
      <c r="DV47" s="325"/>
      <c r="DW47" s="321"/>
      <c r="DX47" s="326"/>
    </row>
    <row r="48" spans="1:128" ht="15" customHeight="1">
      <c r="A48" s="317"/>
      <c r="B48" s="373"/>
      <c r="C48" s="357"/>
      <c r="D48" s="373"/>
      <c r="E48" s="374"/>
      <c r="F48" s="375"/>
      <c r="G48" s="373"/>
      <c r="H48" s="373"/>
      <c r="I48" s="373"/>
      <c r="J48" s="374"/>
      <c r="K48" s="408"/>
      <c r="L48" s="372"/>
      <c r="M48" s="372"/>
      <c r="N48" s="372"/>
      <c r="O48" s="372"/>
      <c r="P48" s="10"/>
      <c r="Q48" s="17"/>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321"/>
      <c r="CW48" s="321"/>
      <c r="CX48" s="321"/>
      <c r="CY48" s="321"/>
      <c r="CZ48" s="321"/>
      <c r="DA48" s="321"/>
      <c r="DB48" s="321"/>
      <c r="DC48" s="321"/>
      <c r="DD48" s="321"/>
      <c r="DE48" s="321"/>
      <c r="DF48" s="321"/>
      <c r="DG48" s="321"/>
      <c r="DH48" s="321"/>
      <c r="DI48" s="321"/>
      <c r="DJ48" s="321"/>
      <c r="DK48" s="321"/>
      <c r="DL48" s="321"/>
      <c r="DM48" s="321"/>
      <c r="DN48" s="321"/>
      <c r="DO48" s="321"/>
      <c r="DP48" s="321"/>
      <c r="DQ48" s="321"/>
      <c r="DR48" s="321"/>
      <c r="DS48" s="321"/>
      <c r="DT48" s="321"/>
      <c r="DU48" s="321"/>
      <c r="DV48" s="325"/>
      <c r="DW48" s="321"/>
      <c r="DX48" s="326"/>
    </row>
    <row r="49" spans="1:128" ht="15" customHeight="1">
      <c r="A49" s="317"/>
      <c r="B49" s="376"/>
      <c r="C49" s="2"/>
      <c r="D49" s="2"/>
      <c r="E49" s="2"/>
      <c r="F49" s="2"/>
      <c r="G49" s="2"/>
      <c r="H49" s="2"/>
      <c r="I49" s="2"/>
      <c r="J49" s="2"/>
      <c r="K49" s="2"/>
      <c r="L49" s="2"/>
      <c r="M49" s="2"/>
      <c r="N49" s="2"/>
      <c r="O49" s="2"/>
      <c r="P49" s="10"/>
      <c r="Q49" s="17"/>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321"/>
      <c r="CW49" s="321"/>
      <c r="CX49" s="321"/>
      <c r="CY49" s="321"/>
      <c r="CZ49" s="321"/>
      <c r="DA49" s="321"/>
      <c r="DB49" s="321"/>
      <c r="DC49" s="321"/>
      <c r="DD49" s="321"/>
      <c r="DE49" s="321"/>
      <c r="DF49" s="321"/>
      <c r="DG49" s="321"/>
      <c r="DH49" s="321"/>
      <c r="DI49" s="321"/>
      <c r="DJ49" s="321"/>
      <c r="DK49" s="321"/>
      <c r="DL49" s="321"/>
      <c r="DM49" s="321"/>
      <c r="DN49" s="321"/>
      <c r="DO49" s="321"/>
      <c r="DP49" s="321"/>
      <c r="DQ49" s="321"/>
      <c r="DR49" s="321"/>
      <c r="DS49" s="321"/>
      <c r="DT49" s="321"/>
      <c r="DU49" s="321"/>
      <c r="DV49" s="325"/>
      <c r="DW49" s="321"/>
      <c r="DX49" s="326"/>
    </row>
    <row r="50" spans="1:128" ht="15" customHeight="1">
      <c r="A50" s="317"/>
      <c r="B50" s="377" t="s">
        <v>571</v>
      </c>
      <c r="C50" s="2"/>
      <c r="D50" s="2"/>
      <c r="E50" s="2"/>
      <c r="F50" s="2"/>
      <c r="G50" s="2"/>
      <c r="H50" s="2"/>
      <c r="I50" s="2"/>
      <c r="J50" s="2"/>
      <c r="K50" s="2"/>
      <c r="L50" s="2"/>
      <c r="M50" s="2"/>
      <c r="N50" s="2"/>
      <c r="O50" s="2"/>
      <c r="P50" s="10"/>
      <c r="Q50" s="17"/>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321"/>
      <c r="CW50" s="321"/>
      <c r="CX50" s="321"/>
      <c r="CY50" s="321"/>
      <c r="CZ50" s="321"/>
      <c r="DA50" s="321"/>
      <c r="DB50" s="321"/>
      <c r="DC50" s="321"/>
      <c r="DD50" s="321"/>
      <c r="DE50" s="321"/>
      <c r="DF50" s="321"/>
      <c r="DG50" s="321"/>
      <c r="DH50" s="321"/>
      <c r="DI50" s="321"/>
      <c r="DJ50" s="321"/>
      <c r="DK50" s="321"/>
      <c r="DL50" s="321"/>
      <c r="DM50" s="321"/>
      <c r="DN50" s="321"/>
      <c r="DO50" s="321"/>
      <c r="DP50" s="321"/>
      <c r="DQ50" s="321"/>
      <c r="DR50" s="321"/>
      <c r="DS50" s="321"/>
      <c r="DT50" s="321"/>
      <c r="DU50" s="321"/>
      <c r="DV50" s="325"/>
      <c r="DW50" s="321"/>
      <c r="DX50" s="326"/>
    </row>
    <row r="51" spans="1:128" ht="13.35" customHeight="1">
      <c r="A51" s="317"/>
      <c r="B51" s="664" t="s">
        <v>1005</v>
      </c>
      <c r="C51" s="665"/>
      <c r="D51" s="665"/>
      <c r="E51" s="665"/>
      <c r="F51" s="666"/>
      <c r="G51" s="2"/>
      <c r="H51" s="2"/>
      <c r="I51" s="2"/>
      <c r="J51" s="2"/>
      <c r="K51" s="2"/>
      <c r="L51" s="2"/>
      <c r="M51" s="2"/>
      <c r="N51" s="2"/>
      <c r="O51" s="2"/>
      <c r="P51" s="10"/>
      <c r="Q51" s="17"/>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321"/>
      <c r="CW51" s="321"/>
      <c r="CX51" s="321"/>
      <c r="CY51" s="321"/>
      <c r="CZ51" s="321"/>
      <c r="DA51" s="321"/>
      <c r="DB51" s="321"/>
      <c r="DC51" s="321"/>
      <c r="DD51" s="321"/>
      <c r="DE51" s="321"/>
      <c r="DF51" s="321"/>
      <c r="DG51" s="321"/>
      <c r="DH51" s="321"/>
      <c r="DI51" s="321"/>
      <c r="DJ51" s="321"/>
      <c r="DK51" s="321"/>
      <c r="DL51" s="321"/>
      <c r="DM51" s="321"/>
      <c r="DN51" s="321"/>
      <c r="DO51" s="321"/>
      <c r="DP51" s="321"/>
      <c r="DQ51" s="321"/>
      <c r="DR51" s="321"/>
      <c r="DS51" s="321"/>
      <c r="DT51" s="321"/>
      <c r="DU51" s="321"/>
      <c r="DV51" s="325"/>
      <c r="DW51" s="321"/>
      <c r="DX51" s="326"/>
    </row>
    <row r="52" spans="1:128" ht="13.35" customHeight="1">
      <c r="A52" s="317"/>
      <c r="B52" s="667"/>
      <c r="C52" s="668"/>
      <c r="D52" s="668"/>
      <c r="E52" s="668"/>
      <c r="F52" s="669"/>
      <c r="G52" s="2"/>
      <c r="H52" s="2"/>
      <c r="I52" s="2"/>
      <c r="J52" s="2"/>
      <c r="K52" s="2"/>
      <c r="L52" s="2"/>
      <c r="M52" s="2"/>
      <c r="N52" s="2"/>
      <c r="O52" s="2"/>
      <c r="P52" s="10"/>
      <c r="Q52" s="17"/>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321"/>
      <c r="CW52" s="321"/>
      <c r="CX52" s="321"/>
      <c r="CY52" s="321"/>
      <c r="CZ52" s="321"/>
      <c r="DA52" s="321"/>
      <c r="DB52" s="321"/>
      <c r="DC52" s="321"/>
      <c r="DD52" s="321"/>
      <c r="DE52" s="321"/>
      <c r="DF52" s="321"/>
      <c r="DG52" s="321"/>
      <c r="DH52" s="321"/>
      <c r="DI52" s="321"/>
      <c r="DJ52" s="321"/>
      <c r="DK52" s="321"/>
      <c r="DL52" s="321"/>
      <c r="DM52" s="321"/>
      <c r="DN52" s="321"/>
      <c r="DO52" s="321"/>
      <c r="DP52" s="321"/>
      <c r="DQ52" s="321"/>
      <c r="DR52" s="321"/>
      <c r="DS52" s="321"/>
      <c r="DT52" s="321"/>
      <c r="DU52" s="321"/>
      <c r="DV52" s="325"/>
      <c r="DW52" s="321"/>
      <c r="DX52" s="326"/>
    </row>
    <row r="53" spans="1:128" ht="13.35" customHeight="1">
      <c r="A53" s="317"/>
      <c r="B53" s="667"/>
      <c r="C53" s="668"/>
      <c r="D53" s="668"/>
      <c r="E53" s="668"/>
      <c r="F53" s="669"/>
      <c r="G53" s="2"/>
      <c r="H53" s="2"/>
      <c r="I53" s="2"/>
      <c r="J53" s="2"/>
      <c r="K53" s="2"/>
      <c r="L53" s="2"/>
      <c r="M53" s="2"/>
      <c r="N53" s="2"/>
      <c r="O53" s="2"/>
      <c r="P53" s="10"/>
      <c r="Q53" s="17"/>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321"/>
      <c r="CW53" s="321"/>
      <c r="CX53" s="321"/>
      <c r="CY53" s="321"/>
      <c r="CZ53" s="321"/>
      <c r="DA53" s="321"/>
      <c r="DB53" s="321"/>
      <c r="DC53" s="321"/>
      <c r="DD53" s="321"/>
      <c r="DE53" s="321"/>
      <c r="DF53" s="321"/>
      <c r="DG53" s="321"/>
      <c r="DH53" s="321"/>
      <c r="DI53" s="321"/>
      <c r="DJ53" s="321"/>
      <c r="DK53" s="321"/>
      <c r="DL53" s="321"/>
      <c r="DM53" s="321"/>
      <c r="DN53" s="321"/>
      <c r="DO53" s="321"/>
      <c r="DP53" s="321"/>
      <c r="DQ53" s="321"/>
      <c r="DR53" s="321"/>
      <c r="DS53" s="321"/>
      <c r="DT53" s="321"/>
      <c r="DU53" s="321"/>
      <c r="DV53" s="325"/>
      <c r="DW53" s="321"/>
      <c r="DX53" s="326"/>
    </row>
    <row r="54" spans="1:128" ht="13.35" customHeight="1">
      <c r="A54" s="317"/>
      <c r="B54" s="670"/>
      <c r="C54" s="671"/>
      <c r="D54" s="671"/>
      <c r="E54" s="671"/>
      <c r="F54" s="672"/>
      <c r="G54" s="2"/>
      <c r="H54" s="2"/>
      <c r="I54" s="2"/>
      <c r="J54" s="2"/>
      <c r="K54" s="2"/>
      <c r="L54" s="2"/>
      <c r="M54" s="2"/>
      <c r="N54" s="2"/>
      <c r="O54" s="2"/>
      <c r="P54" s="10"/>
      <c r="Q54" s="17"/>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321"/>
      <c r="CW54" s="321"/>
      <c r="CX54" s="321"/>
      <c r="CY54" s="321"/>
      <c r="CZ54" s="321"/>
      <c r="DA54" s="321"/>
      <c r="DB54" s="321"/>
      <c r="DC54" s="321"/>
      <c r="DD54" s="321"/>
      <c r="DE54" s="321"/>
      <c r="DF54" s="321"/>
      <c r="DG54" s="321"/>
      <c r="DH54" s="321"/>
      <c r="DI54" s="321"/>
      <c r="DJ54" s="321"/>
      <c r="DK54" s="321"/>
      <c r="DL54" s="321"/>
      <c r="DM54" s="321"/>
      <c r="DN54" s="321"/>
      <c r="DO54" s="321"/>
      <c r="DP54" s="321"/>
      <c r="DQ54" s="321"/>
      <c r="DR54" s="321"/>
      <c r="DS54" s="321"/>
      <c r="DT54" s="321"/>
      <c r="DU54" s="321"/>
      <c r="DV54" s="325"/>
      <c r="DW54" s="321"/>
      <c r="DX54" s="326"/>
    </row>
    <row r="55" spans="1:128" ht="15" customHeight="1">
      <c r="A55" s="317"/>
      <c r="B55" s="376"/>
      <c r="C55" s="2"/>
      <c r="D55" s="2"/>
      <c r="E55" s="2"/>
      <c r="F55" s="378"/>
      <c r="G55" s="2"/>
      <c r="H55" s="2"/>
      <c r="I55" s="2"/>
      <c r="J55" s="2"/>
      <c r="K55" s="2"/>
      <c r="L55" s="2"/>
      <c r="M55" s="2"/>
      <c r="N55" s="2"/>
      <c r="O55" s="2"/>
      <c r="P55" s="10"/>
      <c r="Q55" s="17"/>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321"/>
      <c r="CW55" s="321"/>
      <c r="CX55" s="321"/>
      <c r="CY55" s="321"/>
      <c r="CZ55" s="321"/>
      <c r="DA55" s="321"/>
      <c r="DB55" s="321"/>
      <c r="DC55" s="321"/>
      <c r="DD55" s="321"/>
      <c r="DE55" s="321"/>
      <c r="DF55" s="321"/>
      <c r="DG55" s="321"/>
      <c r="DH55" s="321"/>
      <c r="DI55" s="321"/>
      <c r="DJ55" s="321"/>
      <c r="DK55" s="321"/>
      <c r="DL55" s="321"/>
      <c r="DM55" s="321"/>
      <c r="DN55" s="321"/>
      <c r="DO55" s="321"/>
      <c r="DP55" s="321"/>
      <c r="DQ55" s="321"/>
      <c r="DR55" s="321"/>
      <c r="DS55" s="321"/>
      <c r="DT55" s="321"/>
      <c r="DU55" s="321"/>
      <c r="DV55" s="325"/>
      <c r="DW55" s="321"/>
      <c r="DX55" s="326"/>
    </row>
    <row r="56" spans="1:128" ht="7.5" customHeight="1">
      <c r="A56" s="17"/>
      <c r="B56" s="17"/>
      <c r="C56" s="17"/>
      <c r="D56" s="17"/>
      <c r="E56" s="17"/>
      <c r="F56" s="17"/>
      <c r="G56" s="17"/>
      <c r="H56" s="17"/>
      <c r="I56" s="17"/>
      <c r="J56" s="17"/>
      <c r="K56" s="17"/>
      <c r="L56" s="17"/>
      <c r="M56" s="17"/>
      <c r="N56" s="17"/>
      <c r="O56" s="17"/>
      <c r="P56" s="17"/>
      <c r="Q56" s="17"/>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321"/>
      <c r="CU56" s="321"/>
      <c r="CV56" s="321"/>
      <c r="CW56" s="321"/>
      <c r="CX56" s="321"/>
      <c r="CY56" s="321"/>
      <c r="CZ56" s="321"/>
      <c r="DA56" s="321"/>
      <c r="DB56" s="321"/>
      <c r="DC56" s="321"/>
      <c r="DD56" s="321"/>
      <c r="DE56" s="321"/>
      <c r="DF56" s="321"/>
      <c r="DG56" s="321"/>
      <c r="DH56" s="321"/>
      <c r="DI56" s="321"/>
      <c r="DJ56" s="321"/>
      <c r="DK56" s="321"/>
      <c r="DL56" s="321"/>
      <c r="DM56" s="321"/>
      <c r="DN56" s="321"/>
      <c r="DO56" s="321"/>
      <c r="DP56" s="321"/>
      <c r="DQ56" s="321"/>
      <c r="DR56" s="321"/>
      <c r="DS56" s="321"/>
      <c r="DT56" s="325"/>
      <c r="DU56" s="321"/>
      <c r="DV56" s="326"/>
      <c r="DW56" s="2"/>
      <c r="DX56" s="2"/>
    </row>
    <row r="57" spans="1:128" ht="13.35" customHeight="1">
      <c r="A57" s="317"/>
      <c r="B57" s="335"/>
      <c r="C57" s="2"/>
      <c r="D57" s="2"/>
      <c r="E57" s="2"/>
      <c r="F57" s="378"/>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321"/>
      <c r="CV57" s="321"/>
      <c r="CW57" s="321"/>
      <c r="CX57" s="321"/>
      <c r="CY57" s="321"/>
      <c r="CZ57" s="321"/>
      <c r="DA57" s="321"/>
      <c r="DB57" s="321"/>
      <c r="DC57" s="321"/>
      <c r="DD57" s="321"/>
      <c r="DE57" s="321"/>
      <c r="DF57" s="321"/>
      <c r="DG57" s="321"/>
      <c r="DH57" s="321"/>
      <c r="DI57" s="321"/>
      <c r="DJ57" s="321"/>
      <c r="DK57" s="321"/>
      <c r="DL57" s="321"/>
      <c r="DM57" s="321"/>
      <c r="DN57" s="321"/>
      <c r="DO57" s="321"/>
      <c r="DP57" s="321"/>
      <c r="DQ57" s="321"/>
      <c r="DR57" s="321"/>
      <c r="DS57" s="321"/>
      <c r="DT57" s="321"/>
      <c r="DU57" s="325"/>
      <c r="DV57" s="321"/>
      <c r="DW57" s="326"/>
      <c r="DX57" s="2"/>
    </row>
    <row r="58" spans="1:128" ht="13.35" customHeight="1">
      <c r="A58" s="317"/>
      <c r="B58" s="335"/>
      <c r="C58" s="2"/>
      <c r="D58" s="2"/>
      <c r="E58" s="2"/>
      <c r="F58" s="378"/>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321"/>
      <c r="CV58" s="321"/>
      <c r="CW58" s="321"/>
      <c r="CX58" s="321"/>
      <c r="CY58" s="321"/>
      <c r="CZ58" s="321"/>
      <c r="DA58" s="321"/>
      <c r="DB58" s="321"/>
      <c r="DC58" s="321"/>
      <c r="DD58" s="321"/>
      <c r="DE58" s="321"/>
      <c r="DF58" s="321"/>
      <c r="DG58" s="321"/>
      <c r="DH58" s="321"/>
      <c r="DI58" s="321"/>
      <c r="DJ58" s="321"/>
      <c r="DK58" s="321"/>
      <c r="DL58" s="321"/>
      <c r="DM58" s="321"/>
      <c r="DN58" s="321"/>
      <c r="DO58" s="321"/>
      <c r="DP58" s="321"/>
      <c r="DQ58" s="321"/>
      <c r="DR58" s="321"/>
      <c r="DS58" s="321"/>
      <c r="DT58" s="321"/>
      <c r="DU58" s="325"/>
      <c r="DV58" s="321"/>
      <c r="DW58" s="326"/>
      <c r="DX58" s="2"/>
    </row>
    <row r="59" spans="1:128" ht="13.35" customHeight="1">
      <c r="A59" s="317"/>
      <c r="B59" s="335"/>
      <c r="C59" s="2"/>
      <c r="D59" s="2"/>
      <c r="E59" s="2"/>
      <c r="F59" s="378"/>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321"/>
      <c r="CV59" s="321"/>
      <c r="CW59" s="321"/>
      <c r="CX59" s="321"/>
      <c r="CY59" s="321"/>
      <c r="CZ59" s="321"/>
      <c r="DA59" s="321"/>
      <c r="DB59" s="321"/>
      <c r="DC59" s="321"/>
      <c r="DD59" s="321"/>
      <c r="DE59" s="321"/>
      <c r="DF59" s="321"/>
      <c r="DG59" s="321"/>
      <c r="DH59" s="321"/>
      <c r="DI59" s="321"/>
      <c r="DJ59" s="321"/>
      <c r="DK59" s="321"/>
      <c r="DL59" s="321"/>
      <c r="DM59" s="321"/>
      <c r="DN59" s="321"/>
      <c r="DO59" s="321"/>
      <c r="DP59" s="321"/>
      <c r="DQ59" s="321"/>
      <c r="DR59" s="321"/>
      <c r="DS59" s="321"/>
      <c r="DT59" s="321"/>
      <c r="DU59" s="325"/>
      <c r="DV59" s="321"/>
      <c r="DW59" s="326"/>
      <c r="DX59" s="2"/>
    </row>
    <row r="60" spans="1:128" ht="13.35" customHeight="1">
      <c r="A60" s="317"/>
      <c r="B60" s="335"/>
      <c r="C60" s="2"/>
      <c r="D60" s="2"/>
      <c r="E60" s="2"/>
      <c r="F60" s="378"/>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321"/>
      <c r="CV60" s="321"/>
      <c r="CW60" s="321"/>
      <c r="CX60" s="321"/>
      <c r="CY60" s="321"/>
      <c r="CZ60" s="321"/>
      <c r="DA60" s="321"/>
      <c r="DB60" s="321"/>
      <c r="DC60" s="321"/>
      <c r="DD60" s="321"/>
      <c r="DE60" s="321"/>
      <c r="DF60" s="321"/>
      <c r="DG60" s="321"/>
      <c r="DH60" s="321"/>
      <c r="DI60" s="321"/>
      <c r="DJ60" s="321"/>
      <c r="DK60" s="321"/>
      <c r="DL60" s="321"/>
      <c r="DM60" s="321"/>
      <c r="DN60" s="321"/>
      <c r="DO60" s="321"/>
      <c r="DP60" s="321"/>
      <c r="DQ60" s="321"/>
      <c r="DR60" s="321"/>
      <c r="DS60" s="321"/>
      <c r="DT60" s="321"/>
      <c r="DU60" s="325"/>
      <c r="DV60" s="321"/>
      <c r="DW60" s="326"/>
      <c r="DX60" s="2"/>
    </row>
    <row r="93" spans="3:10" ht="13.35" customHeight="1">
      <c r="C93" s="379"/>
      <c r="D93" s="379"/>
      <c r="E93" s="379"/>
      <c r="F93" s="379"/>
      <c r="G93" s="379"/>
      <c r="H93" s="379"/>
      <c r="I93" s="379"/>
      <c r="J93" s="379"/>
    </row>
  </sheetData>
  <mergeCells count="25">
    <mergeCell ref="O23:O24"/>
    <mergeCell ref="L41:N41"/>
    <mergeCell ref="L42:L43"/>
    <mergeCell ref="M42:M43"/>
    <mergeCell ref="N42:N43"/>
    <mergeCell ref="O42:O43"/>
    <mergeCell ref="B51:F54"/>
    <mergeCell ref="B37:F40"/>
    <mergeCell ref="C42:C43"/>
    <mergeCell ref="D42:F42"/>
    <mergeCell ref="G42:K42"/>
    <mergeCell ref="B42:B43"/>
    <mergeCell ref="B8:F8"/>
    <mergeCell ref="L22:N22"/>
    <mergeCell ref="L23:L24"/>
    <mergeCell ref="M23:M24"/>
    <mergeCell ref="N23:N24"/>
    <mergeCell ref="B9:F9"/>
    <mergeCell ref="B11:F11"/>
    <mergeCell ref="B10:F10"/>
    <mergeCell ref="B23:B24"/>
    <mergeCell ref="C23:C24"/>
    <mergeCell ref="D23:F23"/>
    <mergeCell ref="G23:K23"/>
    <mergeCell ref="B14:F15"/>
  </mergeCells>
  <phoneticPr fontId="25" type="noConversion"/>
  <conditionalFormatting sqref="B51:B52">
    <cfRule type="containsBlanks" dxfId="9" priority="5">
      <formula>LEN(TRIM(B51))=0</formula>
    </cfRule>
  </conditionalFormatting>
  <conditionalFormatting sqref="B25:N31 B37 B44:N48">
    <cfRule type="containsBlanks" dxfId="8" priority="8">
      <formula>LEN(TRIM(B25))=0</formula>
    </cfRule>
  </conditionalFormatting>
  <conditionalFormatting sqref="C16">
    <cfRule type="containsBlanks" dxfId="7" priority="7">
      <formula>LEN(TRIM(C16))=0</formula>
    </cfRule>
  </conditionalFormatting>
  <dataValidations count="1">
    <dataValidation type="list" allowBlank="1" showInputMessage="1" sqref="L44:N48 L25:N31" xr:uid="{F5330F3D-1940-433D-868E-EE605A506132}">
      <formula1>"Y,N"</formula1>
    </dataValidation>
  </dataValidations>
  <hyperlinks>
    <hyperlink ref="B4" location="汇总!A1" display="返回汇总页" xr:uid="{CA70BEA1-1B94-42E0-B3A9-6183D4D06693}"/>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DU88"/>
  <sheetViews>
    <sheetView showGridLines="0" zoomScale="70" zoomScaleNormal="70" workbookViewId="0"/>
  </sheetViews>
  <sheetFormatPr defaultColWidth="8.77734375" defaultRowHeight="12.75" customHeight="1"/>
  <cols>
    <col min="1" max="1" width="2.5546875" style="73" customWidth="1"/>
    <col min="2" max="3" width="19" style="72" customWidth="1"/>
    <col min="4" max="4" width="18.77734375" style="72" customWidth="1"/>
    <col min="5" max="6" width="25.77734375" style="72" customWidth="1"/>
    <col min="7" max="7" width="28" style="72" customWidth="1"/>
    <col min="8" max="8" width="25.77734375" style="72" customWidth="1"/>
    <col min="9" max="9" width="18.77734375" style="72" customWidth="1"/>
    <col min="10" max="10" width="17.33203125" style="72" customWidth="1"/>
    <col min="11" max="11" width="12.33203125" style="72" customWidth="1"/>
    <col min="12" max="12" width="21" style="72" customWidth="1"/>
    <col min="13" max="13" width="2.5546875" style="72" customWidth="1"/>
    <col min="14" max="14" width="1.5546875" style="72" customWidth="1"/>
    <col min="15" max="88" width="8.77734375" style="72"/>
    <col min="89" max="89" width="13.109375" style="95" customWidth="1"/>
    <col min="90" max="90" width="7.33203125" style="95" customWidth="1"/>
    <col min="91" max="100" width="8" style="95"/>
    <col min="101" max="101" width="14.33203125" style="95" customWidth="1"/>
    <col min="102" max="107" width="8" style="95"/>
    <col min="108" max="108" width="10.33203125" style="95" customWidth="1"/>
    <col min="109" max="112" width="8" style="95"/>
    <col min="113" max="113" width="10.109375" style="95" customWidth="1"/>
    <col min="114" max="114" width="12.33203125" style="95" customWidth="1"/>
    <col min="115" max="115" width="8.77734375" style="96"/>
    <col min="116" max="116" width="8.77734375" style="95"/>
    <col min="117" max="117" width="8.77734375" style="127"/>
    <col min="118" max="16384" width="8.77734375" style="72"/>
  </cols>
  <sheetData>
    <row r="1" spans="1:125" s="69" customFormat="1" ht="50.1" customHeight="1">
      <c r="A1" s="154"/>
      <c r="B1" s="76" t="s">
        <v>572</v>
      </c>
      <c r="C1" s="77"/>
      <c r="D1" s="78"/>
      <c r="E1" s="78"/>
      <c r="F1" s="78"/>
      <c r="G1" s="78"/>
      <c r="H1" s="78"/>
      <c r="I1" s="78"/>
      <c r="J1" s="78"/>
      <c r="K1" s="78"/>
      <c r="L1" s="79"/>
      <c r="M1" s="154"/>
      <c r="N1" s="80"/>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4"/>
      <c r="DK1" s="154"/>
      <c r="DL1" s="154"/>
      <c r="DM1" s="154"/>
      <c r="DN1" s="154"/>
      <c r="DO1" s="154"/>
      <c r="DP1" s="154"/>
      <c r="DQ1" s="154"/>
      <c r="DR1" s="154"/>
      <c r="DS1" s="154"/>
      <c r="DT1" s="154"/>
      <c r="DU1" s="154"/>
    </row>
    <row r="2" spans="1:125" s="69" customFormat="1" ht="30" customHeight="1">
      <c r="A2" s="154"/>
      <c r="B2" s="81" t="s">
        <v>573</v>
      </c>
      <c r="C2" s="82"/>
      <c r="D2" s="82"/>
      <c r="E2" s="82"/>
      <c r="F2" s="82"/>
      <c r="G2" s="82"/>
      <c r="H2" s="82"/>
      <c r="I2" s="82"/>
      <c r="J2" s="82"/>
      <c r="K2" s="82"/>
      <c r="L2" s="83"/>
      <c r="M2" s="94"/>
      <c r="N2" s="80"/>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4"/>
      <c r="BY2" s="154"/>
      <c r="BZ2" s="154"/>
      <c r="CA2" s="154"/>
      <c r="CB2" s="154"/>
      <c r="CC2" s="154"/>
      <c r="CD2" s="154"/>
      <c r="CE2" s="154"/>
      <c r="CF2" s="154"/>
      <c r="CG2" s="154"/>
      <c r="CH2" s="154"/>
      <c r="CI2" s="154"/>
      <c r="CJ2" s="154"/>
      <c r="CK2" s="154"/>
      <c r="CL2" s="154"/>
      <c r="CM2" s="154"/>
      <c r="CN2" s="154"/>
      <c r="CO2" s="154"/>
      <c r="CP2" s="154"/>
      <c r="CQ2" s="154"/>
      <c r="CR2" s="154"/>
      <c r="CS2" s="154"/>
      <c r="CT2" s="154"/>
      <c r="CU2" s="154"/>
      <c r="CV2" s="154"/>
      <c r="CW2" s="154"/>
      <c r="CX2" s="154"/>
      <c r="CY2" s="154"/>
      <c r="CZ2" s="154"/>
      <c r="DA2" s="154"/>
      <c r="DB2" s="154"/>
      <c r="DC2" s="154"/>
      <c r="DD2" s="154"/>
      <c r="DE2" s="154"/>
      <c r="DF2" s="154"/>
      <c r="DG2" s="154"/>
      <c r="DH2" s="154"/>
      <c r="DI2" s="154"/>
      <c r="DJ2" s="154"/>
      <c r="DK2" s="154"/>
      <c r="DL2" s="154"/>
      <c r="DM2" s="154"/>
      <c r="DN2" s="154"/>
      <c r="DO2" s="154"/>
      <c r="DP2" s="154"/>
      <c r="DQ2" s="154"/>
      <c r="DR2" s="154"/>
      <c r="DS2" s="154"/>
      <c r="DT2" s="154"/>
      <c r="DU2" s="154"/>
    </row>
    <row r="3" spans="1:125" ht="15" customHeight="1">
      <c r="C3" s="66"/>
      <c r="D3" s="66"/>
      <c r="N3" s="80"/>
      <c r="CK3" s="72"/>
      <c r="CL3" s="66"/>
      <c r="CM3" s="66"/>
      <c r="CN3" s="66"/>
      <c r="CW3" s="66"/>
      <c r="DC3" s="66"/>
      <c r="DD3" s="66"/>
      <c r="DE3" s="66"/>
      <c r="DF3" s="66"/>
      <c r="DG3" s="66"/>
      <c r="DH3" s="66"/>
      <c r="DI3" s="66"/>
      <c r="DJ3" s="66"/>
      <c r="DK3" s="66"/>
      <c r="DL3" s="96"/>
      <c r="DM3" s="66"/>
      <c r="DN3" s="66"/>
    </row>
    <row r="4" spans="1:125" ht="15" customHeight="1">
      <c r="B4" s="70" t="s">
        <v>47</v>
      </c>
      <c r="C4" s="66"/>
      <c r="D4" s="66"/>
      <c r="N4" s="80"/>
      <c r="CK4" s="72"/>
      <c r="CL4" s="66"/>
      <c r="CM4" s="66"/>
      <c r="CN4" s="66"/>
      <c r="CW4" s="66"/>
      <c r="DC4" s="66"/>
      <c r="DD4" s="66"/>
      <c r="DE4" s="66"/>
      <c r="DF4" s="66"/>
      <c r="DG4" s="66"/>
      <c r="DH4" s="66"/>
      <c r="DI4" s="66"/>
      <c r="DJ4" s="66"/>
      <c r="DK4" s="66"/>
      <c r="DL4" s="96"/>
      <c r="DM4" s="66"/>
      <c r="DN4" s="66"/>
    </row>
    <row r="5" spans="1:125" ht="15" customHeight="1">
      <c r="N5" s="80"/>
      <c r="CK5" s="72"/>
      <c r="CL5" s="66"/>
      <c r="CM5" s="66"/>
      <c r="CN5" s="66"/>
      <c r="CW5" s="66"/>
      <c r="DC5" s="66"/>
      <c r="DD5" s="66"/>
      <c r="DE5" s="66"/>
      <c r="DF5" s="66"/>
      <c r="DG5" s="66"/>
      <c r="DH5" s="66"/>
      <c r="DI5" s="66"/>
      <c r="DJ5" s="66"/>
      <c r="DK5" s="66"/>
      <c r="DL5" s="96"/>
      <c r="DM5" s="66"/>
      <c r="DN5" s="66"/>
    </row>
    <row r="6" spans="1:125" s="100" customFormat="1" ht="15" customHeight="1">
      <c r="A6" s="97"/>
      <c r="B6" s="98" t="s">
        <v>574</v>
      </c>
      <c r="C6" s="99"/>
      <c r="D6" s="99"/>
      <c r="E6" s="99"/>
      <c r="F6" s="99"/>
      <c r="G6" s="99"/>
      <c r="H6" s="99"/>
      <c r="I6" s="72"/>
      <c r="J6" s="72"/>
      <c r="K6" s="72"/>
      <c r="L6" s="72"/>
      <c r="M6" s="72"/>
      <c r="N6" s="80"/>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2"/>
      <c r="DP6" s="101"/>
      <c r="DQ6" s="103"/>
    </row>
    <row r="7" spans="1:125" s="100" customFormat="1" ht="15" customHeight="1">
      <c r="A7" s="97"/>
      <c r="B7" s="703"/>
      <c r="C7" s="704"/>
      <c r="D7" s="704"/>
      <c r="E7" s="704"/>
      <c r="F7" s="705"/>
      <c r="G7"/>
      <c r="H7"/>
      <c r="I7"/>
      <c r="J7"/>
      <c r="K7"/>
      <c r="L7"/>
      <c r="M7" s="72"/>
      <c r="N7" s="80"/>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2"/>
      <c r="DH7" s="101"/>
      <c r="DI7" s="103"/>
    </row>
    <row r="8" spans="1:125" s="100" customFormat="1" ht="15" customHeight="1">
      <c r="A8" s="97"/>
      <c r="B8" s="706"/>
      <c r="C8" s="707"/>
      <c r="D8" s="707"/>
      <c r="E8" s="707"/>
      <c r="F8" s="708"/>
      <c r="G8"/>
      <c r="H8"/>
      <c r="I8"/>
      <c r="J8"/>
      <c r="K8"/>
      <c r="L8"/>
      <c r="M8" s="72"/>
      <c r="N8" s="80"/>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2"/>
      <c r="DH8" s="101"/>
      <c r="DI8" s="103"/>
    </row>
    <row r="9" spans="1:125" s="100" customFormat="1" ht="15" customHeight="1">
      <c r="A9" s="97"/>
      <c r="B9" s="709"/>
      <c r="C9" s="710"/>
      <c r="D9" s="710"/>
      <c r="E9" s="710"/>
      <c r="F9" s="711"/>
      <c r="G9"/>
      <c r="H9"/>
      <c r="I9"/>
      <c r="J9"/>
      <c r="K9"/>
      <c r="L9"/>
      <c r="M9" s="72"/>
      <c r="N9" s="80"/>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2"/>
      <c r="DH9" s="101"/>
      <c r="DI9" s="103"/>
    </row>
    <row r="10" spans="1:125" s="105" customFormat="1" ht="15" customHeight="1">
      <c r="A10" s="104"/>
      <c r="B10" s="104"/>
      <c r="C10" s="104"/>
      <c r="D10" s="104"/>
      <c r="E10" s="104"/>
      <c r="F10" s="104"/>
      <c r="G10" s="104"/>
      <c r="H10" s="104"/>
      <c r="I10" s="72"/>
      <c r="J10" s="72"/>
      <c r="K10" s="72"/>
      <c r="L10" s="72"/>
      <c r="N10" s="80"/>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6"/>
      <c r="DH10" s="101"/>
      <c r="DI10" s="103"/>
    </row>
    <row r="11" spans="1:125" s="111" customFormat="1" ht="15" customHeight="1">
      <c r="A11" s="107" t="s">
        <v>575</v>
      </c>
      <c r="B11" s="380" t="s">
        <v>576</v>
      </c>
      <c r="C11" s="109"/>
      <c r="D11" s="109"/>
      <c r="E11" s="109"/>
      <c r="F11" s="156"/>
      <c r="G11" s="156"/>
      <c r="H11" s="156"/>
      <c r="I11" s="109"/>
      <c r="J11" s="109"/>
      <c r="K11" s="109"/>
      <c r="L11" s="109"/>
      <c r="M11" s="105"/>
      <c r="N11" s="80"/>
      <c r="O11" s="108" t="s">
        <v>575</v>
      </c>
      <c r="P11" s="108" t="s">
        <v>575</v>
      </c>
      <c r="Q11" s="108" t="s">
        <v>575</v>
      </c>
      <c r="R11" s="108" t="s">
        <v>575</v>
      </c>
      <c r="S11" s="108" t="s">
        <v>575</v>
      </c>
      <c r="T11" s="108" t="s">
        <v>575</v>
      </c>
      <c r="U11" s="108" t="s">
        <v>575</v>
      </c>
      <c r="V11" s="108" t="s">
        <v>575</v>
      </c>
      <c r="W11" s="108" t="s">
        <v>575</v>
      </c>
      <c r="X11" s="108" t="s">
        <v>575</v>
      </c>
      <c r="Y11" s="108" t="s">
        <v>575</v>
      </c>
      <c r="Z11" s="108" t="s">
        <v>575</v>
      </c>
      <c r="AA11" s="108" t="s">
        <v>575</v>
      </c>
      <c r="AB11" s="108" t="s">
        <v>575</v>
      </c>
      <c r="AC11" s="108" t="s">
        <v>575</v>
      </c>
      <c r="AD11" s="108" t="s">
        <v>575</v>
      </c>
      <c r="AE11" s="108" t="s">
        <v>575</v>
      </c>
      <c r="AF11" s="108" t="s">
        <v>575</v>
      </c>
      <c r="AG11" s="108" t="s">
        <v>575</v>
      </c>
      <c r="AH11" s="108" t="s">
        <v>575</v>
      </c>
      <c r="AI11" s="108" t="s">
        <v>575</v>
      </c>
      <c r="AJ11" s="108" t="s">
        <v>575</v>
      </c>
      <c r="AK11" s="108" t="s">
        <v>575</v>
      </c>
      <c r="AL11" s="108" t="s">
        <v>575</v>
      </c>
      <c r="AM11" s="108" t="s">
        <v>575</v>
      </c>
      <c r="AN11" s="108" t="s">
        <v>575</v>
      </c>
      <c r="AO11" s="108" t="s">
        <v>575</v>
      </c>
      <c r="AP11" s="108" t="s">
        <v>575</v>
      </c>
      <c r="AQ11" s="108" t="s">
        <v>575</v>
      </c>
      <c r="AR11" s="108" t="s">
        <v>575</v>
      </c>
      <c r="AS11" s="108" t="s">
        <v>575</v>
      </c>
      <c r="AT11" s="108" t="s">
        <v>575</v>
      </c>
      <c r="AU11" s="108" t="s">
        <v>575</v>
      </c>
      <c r="AV11" s="108" t="s">
        <v>575</v>
      </c>
      <c r="AW11" s="108" t="s">
        <v>575</v>
      </c>
      <c r="AX11" s="108" t="s">
        <v>575</v>
      </c>
      <c r="AY11" s="108" t="s">
        <v>575</v>
      </c>
      <c r="AZ11" s="108" t="s">
        <v>575</v>
      </c>
      <c r="BA11" s="108" t="s">
        <v>575</v>
      </c>
      <c r="BB11" s="108" t="s">
        <v>575</v>
      </c>
      <c r="BC11" s="108" t="s">
        <v>575</v>
      </c>
      <c r="BD11" s="108" t="s">
        <v>575</v>
      </c>
      <c r="BE11" s="108" t="s">
        <v>575</v>
      </c>
      <c r="BF11" s="108" t="s">
        <v>575</v>
      </c>
      <c r="BG11" s="108" t="s">
        <v>575</v>
      </c>
      <c r="BH11" s="108" t="s">
        <v>575</v>
      </c>
      <c r="BI11" s="108" t="s">
        <v>575</v>
      </c>
      <c r="BJ11" s="108" t="s">
        <v>575</v>
      </c>
      <c r="BK11" s="108" t="s">
        <v>575</v>
      </c>
      <c r="BL11" s="108" t="s">
        <v>575</v>
      </c>
      <c r="BM11" s="108" t="s">
        <v>575</v>
      </c>
      <c r="BN11" s="108" t="s">
        <v>575</v>
      </c>
      <c r="BO11" s="108" t="s">
        <v>575</v>
      </c>
      <c r="BP11" s="108" t="s">
        <v>575</v>
      </c>
      <c r="BQ11" s="108" t="s">
        <v>575</v>
      </c>
      <c r="BR11" s="108" t="s">
        <v>575</v>
      </c>
      <c r="BS11" s="108" t="s">
        <v>575</v>
      </c>
      <c r="BT11" s="108" t="s">
        <v>575</v>
      </c>
      <c r="BU11" s="108" t="s">
        <v>575</v>
      </c>
      <c r="BV11" s="108" t="s">
        <v>575</v>
      </c>
      <c r="BW11" s="108" t="s">
        <v>575</v>
      </c>
      <c r="BX11" s="108" t="s">
        <v>575</v>
      </c>
      <c r="BY11" s="108" t="s">
        <v>575</v>
      </c>
      <c r="BZ11" s="108" t="s">
        <v>575</v>
      </c>
      <c r="CA11" s="108" t="s">
        <v>575</v>
      </c>
      <c r="CB11" s="108" t="s">
        <v>575</v>
      </c>
      <c r="CC11" s="108" t="s">
        <v>575</v>
      </c>
      <c r="CD11" s="108" t="s">
        <v>575</v>
      </c>
      <c r="CE11" s="108" t="s">
        <v>575</v>
      </c>
      <c r="CF11" s="108" t="s">
        <v>575</v>
      </c>
      <c r="CG11" s="108" t="s">
        <v>575</v>
      </c>
      <c r="CH11" s="108" t="s">
        <v>575</v>
      </c>
      <c r="CI11" s="108" t="s">
        <v>575</v>
      </c>
      <c r="CJ11" s="108" t="s">
        <v>575</v>
      </c>
      <c r="CK11" s="108" t="s">
        <v>575</v>
      </c>
      <c r="CL11" s="108" t="s">
        <v>575</v>
      </c>
      <c r="CM11" s="108" t="s">
        <v>575</v>
      </c>
      <c r="CN11" s="108" t="s">
        <v>575</v>
      </c>
      <c r="CO11" s="108" t="s">
        <v>575</v>
      </c>
      <c r="CP11" s="108" t="s">
        <v>575</v>
      </c>
      <c r="CQ11" s="108" t="s">
        <v>575</v>
      </c>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10"/>
    </row>
    <row r="12" spans="1:125" s="111" customFormat="1" ht="15" customHeight="1">
      <c r="A12" s="112"/>
      <c r="B12" s="71"/>
      <c r="C12" s="71"/>
      <c r="D12" s="71"/>
      <c r="E12" s="71"/>
      <c r="F12" s="71"/>
      <c r="G12" s="71"/>
      <c r="H12" s="71"/>
      <c r="I12" s="71"/>
      <c r="J12" s="71"/>
      <c r="K12" s="71"/>
      <c r="M12" s="105"/>
      <c r="N12" s="80"/>
      <c r="CS12" s="110"/>
      <c r="CT12" s="110"/>
      <c r="CU12" s="110"/>
      <c r="CV12" s="101"/>
      <c r="CW12" s="101"/>
      <c r="CX12" s="101"/>
      <c r="CY12" s="101"/>
      <c r="CZ12" s="101"/>
      <c r="DA12" s="101"/>
      <c r="DB12" s="101"/>
      <c r="DC12" s="101"/>
      <c r="DD12" s="110"/>
      <c r="DE12" s="101"/>
      <c r="DF12" s="101"/>
      <c r="DG12" s="101"/>
      <c r="DH12" s="101"/>
      <c r="DI12" s="101"/>
      <c r="DJ12" s="110"/>
      <c r="DK12" s="110"/>
      <c r="DL12" s="110"/>
      <c r="DM12" s="110"/>
      <c r="DN12" s="110"/>
      <c r="DO12" s="110"/>
      <c r="DP12" s="110"/>
      <c r="DQ12" s="110"/>
      <c r="DR12" s="110"/>
      <c r="DS12" s="113"/>
      <c r="DT12" s="110"/>
      <c r="DU12" s="110"/>
    </row>
    <row r="13" spans="1:125" s="111" customFormat="1" ht="15" customHeight="1">
      <c r="A13" s="112"/>
      <c r="B13" s="160" t="s">
        <v>577</v>
      </c>
      <c r="C13" s="160" t="s">
        <v>578</v>
      </c>
      <c r="D13" s="717" t="s">
        <v>556</v>
      </c>
      <c r="E13" s="718"/>
      <c r="F13" s="719"/>
      <c r="G13"/>
      <c r="H13"/>
      <c r="I13"/>
      <c r="J13"/>
      <c r="K13"/>
      <c r="L13"/>
      <c r="N13" s="80"/>
      <c r="CM13" s="110"/>
      <c r="CN13" s="110"/>
      <c r="CO13" s="110"/>
      <c r="CP13" s="101"/>
      <c r="CQ13" s="101"/>
      <c r="CR13" s="101"/>
      <c r="CS13" s="101"/>
      <c r="CT13" s="101"/>
      <c r="CU13" s="101"/>
      <c r="CV13" s="101"/>
      <c r="CW13" s="101"/>
      <c r="CX13" s="110"/>
      <c r="CY13" s="101"/>
      <c r="CZ13" s="101"/>
      <c r="DA13" s="101"/>
      <c r="DB13" s="101"/>
      <c r="DC13" s="101"/>
      <c r="DD13" s="110"/>
      <c r="DE13" s="110"/>
      <c r="DF13" s="110"/>
      <c r="DG13" s="110"/>
      <c r="DH13" s="110"/>
      <c r="DI13" s="110"/>
      <c r="DJ13" s="110"/>
      <c r="DK13" s="110"/>
      <c r="DL13" s="110"/>
      <c r="DM13" s="113"/>
      <c r="DN13" s="110"/>
      <c r="DO13" s="110"/>
    </row>
    <row r="14" spans="1:125" s="111" customFormat="1" ht="15" customHeight="1">
      <c r="A14" s="112"/>
      <c r="B14" s="411"/>
      <c r="C14" s="411"/>
      <c r="D14" s="728"/>
      <c r="E14" s="729"/>
      <c r="F14" s="730"/>
      <c r="G14"/>
      <c r="H14"/>
      <c r="I14"/>
      <c r="J14"/>
      <c r="K14"/>
      <c r="L14"/>
      <c r="N14" s="80"/>
      <c r="CO14" s="110"/>
      <c r="CP14" s="110"/>
      <c r="CQ14" s="110"/>
      <c r="CR14" s="101"/>
      <c r="CS14" s="101"/>
      <c r="CT14" s="101"/>
      <c r="CU14" s="101"/>
      <c r="CV14" s="101"/>
      <c r="CW14" s="101"/>
      <c r="CX14" s="101"/>
      <c r="CY14" s="101"/>
      <c r="CZ14" s="110"/>
      <c r="DA14" s="101"/>
      <c r="DB14" s="101"/>
      <c r="DC14" s="101"/>
      <c r="DD14" s="101"/>
      <c r="DE14" s="101"/>
      <c r="DF14" s="110"/>
      <c r="DG14" s="110"/>
      <c r="DH14" s="110"/>
      <c r="DI14" s="110"/>
      <c r="DJ14" s="110"/>
      <c r="DK14" s="110"/>
      <c r="DL14" s="110"/>
      <c r="DM14" s="110"/>
      <c r="DN14" s="110"/>
      <c r="DO14" s="113"/>
      <c r="DP14" s="110"/>
      <c r="DQ14" s="110"/>
    </row>
    <row r="15" spans="1:125" s="111" customFormat="1" ht="15" customHeight="1">
      <c r="A15" s="112"/>
      <c r="B15" s="411"/>
      <c r="C15" s="411"/>
      <c r="D15" s="728"/>
      <c r="E15" s="729"/>
      <c r="F15" s="730"/>
      <c r="G15"/>
      <c r="H15"/>
      <c r="I15"/>
      <c r="J15"/>
      <c r="K15"/>
      <c r="L15"/>
      <c r="N15" s="80"/>
      <c r="CO15" s="110"/>
      <c r="CP15" s="110"/>
      <c r="CQ15" s="110"/>
      <c r="CR15" s="101"/>
      <c r="CS15" s="101"/>
      <c r="CT15" s="101"/>
      <c r="CU15" s="101"/>
      <c r="CV15" s="101"/>
      <c r="CW15" s="101"/>
      <c r="CX15" s="101"/>
      <c r="CY15" s="101"/>
      <c r="CZ15" s="110"/>
      <c r="DA15" s="101"/>
      <c r="DB15" s="101"/>
      <c r="DC15" s="101"/>
      <c r="DD15" s="101"/>
      <c r="DE15" s="101"/>
      <c r="DF15" s="110"/>
      <c r="DG15" s="110"/>
      <c r="DH15" s="110"/>
      <c r="DI15" s="110"/>
      <c r="DJ15" s="110"/>
      <c r="DK15" s="110"/>
      <c r="DL15" s="110"/>
      <c r="DM15" s="110"/>
      <c r="DN15" s="110"/>
      <c r="DO15" s="113"/>
      <c r="DP15" s="110"/>
      <c r="DQ15" s="110"/>
    </row>
    <row r="16" spans="1:125" s="111" customFormat="1" ht="15" customHeight="1">
      <c r="A16" s="112"/>
      <c r="B16" s="411"/>
      <c r="C16" s="411"/>
      <c r="D16" s="728"/>
      <c r="E16" s="729"/>
      <c r="F16" s="730"/>
      <c r="G16"/>
      <c r="H16"/>
      <c r="I16"/>
      <c r="J16"/>
      <c r="K16"/>
      <c r="L16"/>
      <c r="N16" s="80"/>
      <c r="CO16" s="110"/>
      <c r="CP16" s="110"/>
      <c r="CQ16" s="110"/>
      <c r="CR16" s="101"/>
      <c r="CS16" s="101"/>
      <c r="CT16" s="101"/>
      <c r="CU16" s="101"/>
      <c r="CV16" s="101"/>
      <c r="CW16" s="101"/>
      <c r="CX16" s="101"/>
      <c r="CY16" s="101"/>
      <c r="CZ16" s="110"/>
      <c r="DA16" s="101"/>
      <c r="DB16" s="101"/>
      <c r="DC16" s="101"/>
      <c r="DD16" s="101"/>
      <c r="DE16" s="101"/>
      <c r="DF16" s="110"/>
      <c r="DG16" s="110"/>
      <c r="DH16" s="110"/>
      <c r="DI16" s="110"/>
      <c r="DJ16" s="110"/>
      <c r="DK16" s="110"/>
      <c r="DL16" s="110"/>
      <c r="DM16" s="110"/>
      <c r="DN16" s="110"/>
      <c r="DO16" s="113"/>
      <c r="DP16" s="110"/>
      <c r="DQ16" s="110"/>
    </row>
    <row r="17" spans="1:124" s="100" customFormat="1" ht="15" customHeight="1">
      <c r="A17" s="97"/>
      <c r="B17" s="114"/>
      <c r="C17" s="114"/>
      <c r="D17" s="99"/>
      <c r="E17" s="99"/>
      <c r="F17" s="99"/>
      <c r="G17"/>
      <c r="H17"/>
      <c r="I17"/>
      <c r="J17"/>
      <c r="K17"/>
      <c r="L17"/>
      <c r="N17" s="80"/>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2"/>
      <c r="DP17" s="101"/>
      <c r="DQ17" s="103"/>
    </row>
    <row r="18" spans="1:124" s="100" customFormat="1" ht="15" customHeight="1">
      <c r="A18" s="107" t="s">
        <v>575</v>
      </c>
      <c r="B18" s="168" t="s">
        <v>579</v>
      </c>
      <c r="C18" s="168"/>
      <c r="D18" s="168"/>
      <c r="E18" s="168" t="s">
        <v>575</v>
      </c>
      <c r="F18" s="168" t="s">
        <v>575</v>
      </c>
      <c r="G18" s="168" t="s">
        <v>575</v>
      </c>
      <c r="H18" s="168" t="s">
        <v>575</v>
      </c>
      <c r="I18" s="168" t="s">
        <v>575</v>
      </c>
      <c r="J18" s="168" t="s">
        <v>575</v>
      </c>
      <c r="K18" s="168" t="s">
        <v>575</v>
      </c>
      <c r="L18" s="168" t="s">
        <v>575</v>
      </c>
      <c r="N18" s="80"/>
      <c r="O18" s="115" t="s">
        <v>575</v>
      </c>
      <c r="P18" s="115" t="s">
        <v>575</v>
      </c>
      <c r="Q18" s="115" t="s">
        <v>575</v>
      </c>
      <c r="R18" s="115" t="s">
        <v>575</v>
      </c>
      <c r="S18" s="115" t="s">
        <v>575</v>
      </c>
      <c r="T18" s="115" t="s">
        <v>575</v>
      </c>
      <c r="U18" s="115" t="s">
        <v>575</v>
      </c>
      <c r="V18" s="115" t="s">
        <v>575</v>
      </c>
      <c r="W18" s="115" t="s">
        <v>575</v>
      </c>
      <c r="X18" s="115" t="s">
        <v>575</v>
      </c>
      <c r="Y18" s="115" t="s">
        <v>575</v>
      </c>
      <c r="Z18" s="115" t="s">
        <v>575</v>
      </c>
      <c r="AA18" s="115" t="s">
        <v>575</v>
      </c>
      <c r="AB18" s="115" t="s">
        <v>575</v>
      </c>
      <c r="AC18" s="115" t="s">
        <v>575</v>
      </c>
      <c r="AD18" s="115" t="s">
        <v>575</v>
      </c>
      <c r="AE18" s="115" t="s">
        <v>575</v>
      </c>
      <c r="AF18" s="115" t="s">
        <v>575</v>
      </c>
      <c r="AG18" s="115" t="s">
        <v>575</v>
      </c>
      <c r="AH18" s="115" t="s">
        <v>575</v>
      </c>
      <c r="AI18" s="115" t="s">
        <v>575</v>
      </c>
      <c r="AJ18" s="115" t="s">
        <v>575</v>
      </c>
      <c r="AK18" s="115" t="s">
        <v>575</v>
      </c>
      <c r="AL18" s="115" t="s">
        <v>575</v>
      </c>
      <c r="AM18" s="115" t="s">
        <v>575</v>
      </c>
      <c r="AN18" s="115" t="s">
        <v>575</v>
      </c>
      <c r="AO18" s="115" t="s">
        <v>575</v>
      </c>
      <c r="AP18" s="115" t="s">
        <v>575</v>
      </c>
      <c r="AQ18" s="115" t="s">
        <v>575</v>
      </c>
      <c r="AR18" s="115" t="s">
        <v>575</v>
      </c>
      <c r="AS18" s="115" t="s">
        <v>575</v>
      </c>
      <c r="AT18" s="115" t="s">
        <v>575</v>
      </c>
      <c r="AU18" s="115" t="s">
        <v>575</v>
      </c>
      <c r="AV18" s="115" t="s">
        <v>575</v>
      </c>
      <c r="AW18" s="115" t="s">
        <v>575</v>
      </c>
      <c r="AX18" s="115" t="s">
        <v>575</v>
      </c>
      <c r="AY18" s="115" t="s">
        <v>575</v>
      </c>
      <c r="AZ18" s="115" t="s">
        <v>575</v>
      </c>
      <c r="BA18" s="115" t="s">
        <v>575</v>
      </c>
      <c r="BB18" s="115" t="s">
        <v>575</v>
      </c>
      <c r="BC18" s="115" t="s">
        <v>575</v>
      </c>
      <c r="BD18" s="115" t="s">
        <v>575</v>
      </c>
      <c r="BE18" s="115" t="s">
        <v>575</v>
      </c>
      <c r="BF18" s="115" t="s">
        <v>575</v>
      </c>
      <c r="BG18" s="115" t="s">
        <v>575</v>
      </c>
      <c r="BH18" s="115" t="s">
        <v>575</v>
      </c>
      <c r="BI18" s="115" t="s">
        <v>575</v>
      </c>
      <c r="BJ18" s="115" t="s">
        <v>575</v>
      </c>
      <c r="BK18" s="115" t="s">
        <v>575</v>
      </c>
      <c r="BL18" s="115" t="s">
        <v>575</v>
      </c>
      <c r="BM18" s="115" t="s">
        <v>575</v>
      </c>
      <c r="BN18" s="115" t="s">
        <v>575</v>
      </c>
      <c r="BO18" s="115" t="s">
        <v>575</v>
      </c>
      <c r="BP18" s="115" t="s">
        <v>575</v>
      </c>
      <c r="BQ18" s="115" t="s">
        <v>575</v>
      </c>
      <c r="BR18" s="115" t="s">
        <v>575</v>
      </c>
      <c r="BS18" s="115" t="s">
        <v>575</v>
      </c>
      <c r="BT18" s="115" t="s">
        <v>575</v>
      </c>
      <c r="BU18" s="115" t="s">
        <v>575</v>
      </c>
      <c r="BV18" s="115" t="s">
        <v>575</v>
      </c>
      <c r="BW18" s="115" t="s">
        <v>575</v>
      </c>
      <c r="BX18" s="115" t="s">
        <v>575</v>
      </c>
      <c r="BY18" s="115" t="s">
        <v>575</v>
      </c>
      <c r="BZ18" s="115" t="s">
        <v>575</v>
      </c>
      <c r="CA18" s="115" t="s">
        <v>575</v>
      </c>
      <c r="CB18" s="115" t="s">
        <v>575</v>
      </c>
      <c r="CC18" s="115" t="s">
        <v>575</v>
      </c>
      <c r="CD18" s="115" t="s">
        <v>575</v>
      </c>
      <c r="CE18" s="115" t="s">
        <v>575</v>
      </c>
      <c r="CF18" s="115" t="s">
        <v>575</v>
      </c>
      <c r="CG18" s="115" t="s">
        <v>575</v>
      </c>
      <c r="CH18" s="115" t="s">
        <v>575</v>
      </c>
      <c r="CI18" s="115" t="s">
        <v>575</v>
      </c>
      <c r="CJ18" s="115" t="s">
        <v>575</v>
      </c>
      <c r="CK18" s="115" t="s">
        <v>575</v>
      </c>
      <c r="CL18" s="115" t="s">
        <v>575</v>
      </c>
      <c r="CM18" s="115" t="s">
        <v>575</v>
      </c>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98"/>
      <c r="DQ18" s="115" t="s">
        <v>575</v>
      </c>
      <c r="DR18" s="115" t="s">
        <v>575</v>
      </c>
      <c r="DS18" s="115" t="s">
        <v>575</v>
      </c>
      <c r="DT18" s="115" t="s">
        <v>575</v>
      </c>
    </row>
    <row r="19" spans="1:124" s="100" customFormat="1" ht="15" customHeight="1">
      <c r="A19" s="97"/>
      <c r="B19" s="74"/>
      <c r="C19" s="74"/>
      <c r="D19" s="74"/>
      <c r="E19" s="74"/>
      <c r="F19" s="74"/>
      <c r="G19" s="74"/>
      <c r="H19" s="74"/>
      <c r="I19" s="74"/>
      <c r="J19" s="74"/>
      <c r="K19" s="74"/>
      <c r="L19" s="74"/>
      <c r="N19" s="80"/>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2"/>
      <c r="DP19" s="101"/>
      <c r="DQ19" s="103"/>
    </row>
    <row r="20" spans="1:124" s="100" customFormat="1" ht="15.6">
      <c r="A20" s="97"/>
      <c r="B20" s="157" t="s">
        <v>580</v>
      </c>
      <c r="C20" s="158"/>
      <c r="D20" s="158"/>
      <c r="E20" s="158"/>
      <c r="F20" s="159"/>
      <c r="G20"/>
      <c r="H20"/>
      <c r="I20"/>
      <c r="J20"/>
      <c r="K20"/>
      <c r="L20"/>
      <c r="N20" s="80"/>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2"/>
      <c r="DH20" s="101"/>
      <c r="DI20" s="103"/>
    </row>
    <row r="21" spans="1:124" s="100" customFormat="1" ht="33.75" customHeight="1">
      <c r="A21" s="97"/>
      <c r="B21" s="725" t="s">
        <v>581</v>
      </c>
      <c r="C21" s="726"/>
      <c r="D21" s="726"/>
      <c r="E21" s="726"/>
      <c r="F21" s="727"/>
      <c r="G21"/>
      <c r="H21"/>
      <c r="I21"/>
      <c r="J21"/>
      <c r="K21"/>
      <c r="L21"/>
      <c r="N21" s="80"/>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2"/>
      <c r="DH21" s="101"/>
      <c r="DI21" s="103"/>
    </row>
    <row r="22" spans="1:124" s="100" customFormat="1" ht="14.85" customHeight="1">
      <c r="A22" s="97"/>
      <c r="B22" s="67"/>
      <c r="C22" s="71"/>
      <c r="D22" s="71"/>
      <c r="E22" s="117"/>
      <c r="F22" s="117"/>
      <c r="G22" s="117"/>
      <c r="H22" s="117"/>
      <c r="I22" s="117"/>
      <c r="J22" s="71"/>
      <c r="K22" s="71"/>
      <c r="L22" s="118"/>
      <c r="N22" s="80"/>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c r="DK22" s="101"/>
      <c r="DL22" s="101"/>
      <c r="DM22" s="101"/>
      <c r="DN22" s="101"/>
      <c r="DO22" s="102"/>
      <c r="DP22" s="101"/>
      <c r="DQ22" s="103"/>
    </row>
    <row r="23" spans="1:124" s="100" customFormat="1" ht="35.25" customHeight="1">
      <c r="A23" s="97"/>
      <c r="B23" s="712" t="s">
        <v>569</v>
      </c>
      <c r="C23" s="713"/>
      <c r="D23" s="713"/>
      <c r="E23" s="713"/>
      <c r="F23" s="712" t="s">
        <v>570</v>
      </c>
      <c r="G23" s="713"/>
      <c r="H23" s="714"/>
      <c r="I23" s="715" t="s">
        <v>582</v>
      </c>
      <c r="J23" s="716"/>
      <c r="K23" s="171" t="s">
        <v>567</v>
      </c>
      <c r="L23" s="723" t="s">
        <v>556</v>
      </c>
      <c r="N23" s="80"/>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c r="DK23" s="101"/>
      <c r="DL23" s="101"/>
      <c r="DM23" s="101"/>
      <c r="DN23" s="102"/>
      <c r="DO23" s="101"/>
      <c r="DP23" s="101"/>
    </row>
    <row r="24" spans="1:124" s="105" customFormat="1" ht="31.2">
      <c r="A24" s="104"/>
      <c r="B24" s="182" t="s">
        <v>557</v>
      </c>
      <c r="C24" s="160" t="s">
        <v>583</v>
      </c>
      <c r="D24" s="183" t="s">
        <v>559</v>
      </c>
      <c r="E24" s="183" t="s">
        <v>152</v>
      </c>
      <c r="F24" s="183" t="s">
        <v>584</v>
      </c>
      <c r="G24" s="184" t="s">
        <v>585</v>
      </c>
      <c r="H24" s="184" t="s">
        <v>586</v>
      </c>
      <c r="I24" s="185" t="s">
        <v>587</v>
      </c>
      <c r="J24" s="185" t="s">
        <v>588</v>
      </c>
      <c r="K24" s="119">
        <v>1</v>
      </c>
      <c r="L24" s="724"/>
      <c r="M24" s="100"/>
      <c r="N24" s="80"/>
      <c r="O24" s="100"/>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6"/>
      <c r="DQ24" s="101"/>
      <c r="DR24" s="103"/>
    </row>
    <row r="25" spans="1:124" s="105" customFormat="1" ht="14.55" customHeight="1">
      <c r="A25" s="104"/>
      <c r="B25" s="120" t="s">
        <v>589</v>
      </c>
      <c r="C25" s="720"/>
      <c r="D25" s="721"/>
      <c r="E25" s="721"/>
      <c r="F25" s="721"/>
      <c r="G25" s="721"/>
      <c r="H25" s="721"/>
      <c r="I25" s="721"/>
      <c r="J25" s="721"/>
      <c r="K25" s="721"/>
      <c r="L25" s="722"/>
      <c r="M25" s="100"/>
      <c r="N25" s="80"/>
      <c r="O25" s="100"/>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101"/>
      <c r="DN25" s="101"/>
      <c r="DO25" s="101"/>
      <c r="DP25" s="106"/>
      <c r="DQ25" s="101"/>
      <c r="DR25" s="103"/>
    </row>
    <row r="26" spans="1:124" s="105" customFormat="1" ht="15" customHeight="1">
      <c r="A26" s="104"/>
      <c r="B26" s="170"/>
      <c r="C26" s="410"/>
      <c r="D26" s="195"/>
      <c r="E26" s="121"/>
      <c r="F26" s="121"/>
      <c r="G26" s="121"/>
      <c r="H26" s="409"/>
      <c r="I26" s="121"/>
      <c r="J26" s="121"/>
      <c r="K26" s="122"/>
      <c r="L26" s="122"/>
      <c r="M26" s="100"/>
      <c r="N26" s="80"/>
      <c r="O26" s="100"/>
      <c r="CP26" s="101"/>
      <c r="CQ26" s="101"/>
      <c r="CR26" s="101"/>
      <c r="CS26" s="101"/>
      <c r="CT26" s="101"/>
      <c r="CU26" s="101"/>
      <c r="CV26" s="101"/>
      <c r="CW26" s="101"/>
      <c r="CX26" s="101"/>
      <c r="CY26" s="101"/>
      <c r="CZ26" s="101"/>
      <c r="DA26" s="101"/>
      <c r="DB26" s="101"/>
      <c r="DC26" s="101"/>
      <c r="DD26" s="101"/>
      <c r="DE26" s="101"/>
      <c r="DF26" s="101"/>
      <c r="DG26" s="101"/>
      <c r="DH26" s="101"/>
      <c r="DI26" s="101"/>
      <c r="DJ26" s="101"/>
      <c r="DK26" s="101"/>
      <c r="DL26" s="101"/>
      <c r="DM26" s="101"/>
      <c r="DN26" s="101"/>
      <c r="DO26" s="101"/>
      <c r="DP26" s="106"/>
      <c r="DQ26" s="101"/>
      <c r="DR26" s="103"/>
    </row>
    <row r="27" spans="1:124" s="105" customFormat="1" ht="15" customHeight="1">
      <c r="A27" s="104"/>
      <c r="B27" s="170"/>
      <c r="C27" s="410"/>
      <c r="D27" s="195"/>
      <c r="E27" s="121"/>
      <c r="F27" s="121"/>
      <c r="G27" s="121"/>
      <c r="H27" s="409"/>
      <c r="I27" s="121"/>
      <c r="J27" s="121"/>
      <c r="K27" s="122"/>
      <c r="L27" s="122"/>
      <c r="M27" s="100"/>
      <c r="N27" s="80"/>
      <c r="O27" s="100"/>
      <c r="CP27" s="101"/>
      <c r="CQ27" s="101"/>
      <c r="CR27" s="101"/>
      <c r="CS27" s="101"/>
      <c r="CT27" s="101"/>
      <c r="CU27" s="101"/>
      <c r="CV27" s="101"/>
      <c r="CW27" s="101"/>
      <c r="CX27" s="101"/>
      <c r="CY27" s="101"/>
      <c r="CZ27" s="101"/>
      <c r="DA27" s="101"/>
      <c r="DB27" s="101"/>
      <c r="DC27" s="101"/>
      <c r="DD27" s="101"/>
      <c r="DE27" s="101"/>
      <c r="DF27" s="101"/>
      <c r="DG27" s="101"/>
      <c r="DH27" s="101"/>
      <c r="DI27" s="101"/>
      <c r="DJ27" s="101"/>
      <c r="DK27" s="101"/>
      <c r="DL27" s="101"/>
      <c r="DM27" s="101"/>
      <c r="DN27" s="101"/>
      <c r="DO27" s="101"/>
      <c r="DP27" s="106"/>
      <c r="DQ27" s="101"/>
      <c r="DR27" s="103"/>
    </row>
    <row r="28" spans="1:124" s="105" customFormat="1" ht="15" customHeight="1">
      <c r="A28" s="104"/>
      <c r="B28" s="170"/>
      <c r="C28" s="410"/>
      <c r="D28" s="195"/>
      <c r="E28" s="121"/>
      <c r="F28" s="121"/>
      <c r="G28" s="121"/>
      <c r="H28" s="409"/>
      <c r="I28" s="121"/>
      <c r="J28" s="121"/>
      <c r="K28" s="122"/>
      <c r="L28" s="122"/>
      <c r="M28" s="100"/>
      <c r="N28" s="80"/>
      <c r="O28" s="100"/>
      <c r="CP28" s="101"/>
      <c r="CQ28" s="101"/>
      <c r="CR28" s="101"/>
      <c r="CS28" s="101"/>
      <c r="CT28" s="101"/>
      <c r="CU28" s="101"/>
      <c r="CV28" s="101"/>
      <c r="CW28" s="101"/>
      <c r="CX28" s="101"/>
      <c r="CY28" s="101"/>
      <c r="CZ28" s="101"/>
      <c r="DA28" s="101"/>
      <c r="DB28" s="101"/>
      <c r="DC28" s="101"/>
      <c r="DD28" s="101"/>
      <c r="DE28" s="101"/>
      <c r="DF28" s="101"/>
      <c r="DG28" s="101"/>
      <c r="DH28" s="101"/>
      <c r="DI28" s="101"/>
      <c r="DJ28" s="101"/>
      <c r="DK28" s="101"/>
      <c r="DL28" s="101"/>
      <c r="DM28" s="101"/>
      <c r="DN28" s="101"/>
      <c r="DO28" s="101"/>
      <c r="DP28" s="106"/>
      <c r="DQ28" s="101"/>
      <c r="DR28" s="103"/>
    </row>
    <row r="29" spans="1:124" s="105" customFormat="1" ht="15" customHeight="1">
      <c r="A29" s="104"/>
      <c r="B29" s="170"/>
      <c r="C29" s="410"/>
      <c r="D29" s="195"/>
      <c r="E29" s="121"/>
      <c r="F29" s="121"/>
      <c r="G29" s="121"/>
      <c r="H29" s="409"/>
      <c r="I29" s="121"/>
      <c r="J29" s="121"/>
      <c r="K29" s="122"/>
      <c r="L29" s="122"/>
      <c r="M29" s="100"/>
      <c r="N29" s="80"/>
      <c r="O29" s="100"/>
      <c r="CP29" s="101"/>
      <c r="CQ29" s="101"/>
      <c r="CR29" s="101"/>
      <c r="CS29" s="101"/>
      <c r="CT29" s="101"/>
      <c r="CU29" s="101"/>
      <c r="CV29" s="101"/>
      <c r="CW29" s="101"/>
      <c r="CX29" s="101"/>
      <c r="CY29" s="101"/>
      <c r="CZ29" s="101"/>
      <c r="DA29" s="101"/>
      <c r="DB29" s="101"/>
      <c r="DC29" s="101"/>
      <c r="DD29" s="101"/>
      <c r="DE29" s="101"/>
      <c r="DF29" s="101"/>
      <c r="DG29" s="101"/>
      <c r="DH29" s="101"/>
      <c r="DI29" s="101"/>
      <c r="DJ29" s="101"/>
      <c r="DK29" s="101"/>
      <c r="DL29" s="101"/>
      <c r="DM29" s="101"/>
      <c r="DN29" s="101"/>
      <c r="DO29" s="101"/>
      <c r="DP29" s="106"/>
      <c r="DQ29" s="101"/>
      <c r="DR29" s="103"/>
    </row>
    <row r="30" spans="1:124" s="105" customFormat="1" ht="15" customHeight="1">
      <c r="A30" s="104"/>
      <c r="B30" s="170"/>
      <c r="C30" s="410"/>
      <c r="D30" s="195"/>
      <c r="E30" s="121"/>
      <c r="F30" s="121"/>
      <c r="G30" s="121"/>
      <c r="H30" s="409"/>
      <c r="I30" s="121"/>
      <c r="J30" s="121"/>
      <c r="K30" s="122"/>
      <c r="L30" s="122"/>
      <c r="M30" s="100"/>
      <c r="N30" s="80"/>
      <c r="O30" s="100"/>
      <c r="CP30" s="101"/>
      <c r="CQ30" s="101"/>
      <c r="CR30" s="101"/>
      <c r="CS30" s="101"/>
      <c r="CT30" s="101"/>
      <c r="CU30" s="101"/>
      <c r="CV30" s="101"/>
      <c r="CW30" s="101"/>
      <c r="CX30" s="101"/>
      <c r="CY30" s="101"/>
      <c r="CZ30" s="101"/>
      <c r="DA30" s="101"/>
      <c r="DB30" s="101"/>
      <c r="DC30" s="101"/>
      <c r="DD30" s="101"/>
      <c r="DE30" s="101"/>
      <c r="DF30" s="101"/>
      <c r="DG30" s="101"/>
      <c r="DH30" s="101"/>
      <c r="DI30" s="101"/>
      <c r="DJ30" s="101"/>
      <c r="DK30" s="101"/>
      <c r="DL30" s="101"/>
      <c r="DM30" s="101"/>
      <c r="DN30" s="101"/>
      <c r="DO30" s="101"/>
      <c r="DP30" s="106"/>
      <c r="DQ30" s="101"/>
      <c r="DR30" s="103"/>
    </row>
    <row r="31" spans="1:124" s="105" customFormat="1" ht="15" customHeight="1">
      <c r="A31" s="104"/>
      <c r="B31" s="170"/>
      <c r="C31" s="410"/>
      <c r="D31" s="195"/>
      <c r="E31" s="121"/>
      <c r="F31" s="121"/>
      <c r="G31" s="121"/>
      <c r="H31" s="409"/>
      <c r="I31" s="121"/>
      <c r="J31" s="121"/>
      <c r="K31" s="122"/>
      <c r="L31" s="122"/>
      <c r="M31" s="100"/>
      <c r="N31" s="80"/>
      <c r="O31" s="100"/>
      <c r="CP31" s="101"/>
      <c r="CQ31" s="101"/>
      <c r="CR31" s="101"/>
      <c r="CS31" s="101"/>
      <c r="CT31" s="101"/>
      <c r="CU31" s="101"/>
      <c r="CV31" s="101"/>
      <c r="CW31" s="101"/>
      <c r="CX31" s="101"/>
      <c r="CY31" s="101"/>
      <c r="CZ31" s="101"/>
      <c r="DA31" s="101"/>
      <c r="DB31" s="101"/>
      <c r="DC31" s="101"/>
      <c r="DD31" s="101"/>
      <c r="DE31" s="101"/>
      <c r="DF31" s="101"/>
      <c r="DG31" s="101"/>
      <c r="DH31" s="101"/>
      <c r="DI31" s="101"/>
      <c r="DJ31" s="101"/>
      <c r="DK31" s="101"/>
      <c r="DL31" s="101"/>
      <c r="DM31" s="101"/>
      <c r="DN31" s="101"/>
      <c r="DO31" s="101"/>
      <c r="DP31" s="106"/>
      <c r="DQ31" s="101"/>
      <c r="DR31" s="103"/>
    </row>
    <row r="32" spans="1:124" s="105" customFormat="1" ht="15" customHeight="1">
      <c r="A32" s="104"/>
      <c r="B32" s="170"/>
      <c r="C32" s="410"/>
      <c r="D32" s="195"/>
      <c r="E32" s="121"/>
      <c r="F32" s="121"/>
      <c r="G32" s="121"/>
      <c r="H32" s="409"/>
      <c r="I32" s="121"/>
      <c r="J32" s="121"/>
      <c r="K32" s="122"/>
      <c r="L32" s="122"/>
      <c r="M32" s="100"/>
      <c r="N32" s="80"/>
      <c r="O32" s="100"/>
      <c r="CP32" s="101"/>
      <c r="CQ32" s="101"/>
      <c r="CR32" s="101"/>
      <c r="CS32" s="101"/>
      <c r="CT32" s="101"/>
      <c r="CU32" s="101"/>
      <c r="CV32" s="101"/>
      <c r="CW32" s="101"/>
      <c r="CX32" s="101"/>
      <c r="CY32" s="101"/>
      <c r="CZ32" s="101"/>
      <c r="DA32" s="101"/>
      <c r="DB32" s="101"/>
      <c r="DC32" s="101"/>
      <c r="DD32" s="101"/>
      <c r="DE32" s="101"/>
      <c r="DF32" s="101"/>
      <c r="DG32" s="101"/>
      <c r="DH32" s="101"/>
      <c r="DI32" s="101"/>
      <c r="DJ32" s="101"/>
      <c r="DK32" s="101"/>
      <c r="DL32" s="101"/>
      <c r="DM32" s="101"/>
      <c r="DN32" s="101"/>
      <c r="DO32" s="101"/>
      <c r="DP32" s="106"/>
      <c r="DQ32" s="101"/>
      <c r="DR32" s="103"/>
    </row>
    <row r="33" spans="1:123" s="105" customFormat="1" ht="15" customHeight="1">
      <c r="A33" s="104"/>
      <c r="B33" s="170"/>
      <c r="C33" s="410"/>
      <c r="D33" s="195"/>
      <c r="E33" s="121"/>
      <c r="F33" s="121"/>
      <c r="G33" s="121"/>
      <c r="H33" s="409"/>
      <c r="I33" s="121"/>
      <c r="J33" s="121"/>
      <c r="K33" s="122"/>
      <c r="L33" s="122"/>
      <c r="M33" s="100"/>
      <c r="N33" s="80"/>
      <c r="O33" s="100"/>
      <c r="CP33" s="101"/>
      <c r="CQ33" s="101"/>
      <c r="CR33" s="101"/>
      <c r="CS33" s="101"/>
      <c r="CT33" s="101"/>
      <c r="CU33" s="101"/>
      <c r="CV33" s="101"/>
      <c r="CW33" s="101"/>
      <c r="CX33" s="101"/>
      <c r="CY33" s="101"/>
      <c r="CZ33" s="101"/>
      <c r="DA33" s="101"/>
      <c r="DB33" s="101"/>
      <c r="DC33" s="101"/>
      <c r="DD33" s="101"/>
      <c r="DE33" s="101"/>
      <c r="DF33" s="101"/>
      <c r="DG33" s="101"/>
      <c r="DH33" s="101"/>
      <c r="DI33" s="101"/>
      <c r="DJ33" s="101"/>
      <c r="DK33" s="101"/>
      <c r="DL33" s="101"/>
      <c r="DM33" s="101"/>
      <c r="DN33" s="101"/>
      <c r="DO33" s="101"/>
      <c r="DP33" s="106"/>
      <c r="DQ33" s="101"/>
      <c r="DR33" s="103"/>
    </row>
    <row r="34" spans="1:123" s="105" customFormat="1" ht="15" customHeight="1">
      <c r="A34" s="104"/>
      <c r="B34" s="170"/>
      <c r="C34" s="410"/>
      <c r="D34" s="195"/>
      <c r="E34" s="121"/>
      <c r="F34" s="121"/>
      <c r="G34" s="121"/>
      <c r="H34" s="409"/>
      <c r="I34" s="121"/>
      <c r="J34" s="121"/>
      <c r="K34" s="122"/>
      <c r="L34" s="122"/>
      <c r="M34" s="100"/>
      <c r="N34" s="80"/>
      <c r="O34" s="100"/>
      <c r="CP34" s="101"/>
      <c r="CQ34" s="101"/>
      <c r="CR34" s="101"/>
      <c r="CS34" s="101"/>
      <c r="CT34" s="101"/>
      <c r="CU34" s="101"/>
      <c r="CV34" s="101"/>
      <c r="CW34" s="101"/>
      <c r="CX34" s="101"/>
      <c r="CY34" s="101"/>
      <c r="CZ34" s="101"/>
      <c r="DA34" s="101"/>
      <c r="DB34" s="101"/>
      <c r="DC34" s="101"/>
      <c r="DD34" s="101"/>
      <c r="DE34" s="101"/>
      <c r="DF34" s="101"/>
      <c r="DG34" s="101"/>
      <c r="DH34" s="101"/>
      <c r="DI34" s="101"/>
      <c r="DJ34" s="101"/>
      <c r="DK34" s="101"/>
      <c r="DL34" s="101"/>
      <c r="DM34" s="101"/>
      <c r="DN34" s="101"/>
      <c r="DO34" s="101"/>
      <c r="DP34" s="106"/>
      <c r="DQ34" s="101"/>
      <c r="DR34" s="103"/>
    </row>
    <row r="35" spans="1:123" s="105" customFormat="1" ht="15" customHeight="1">
      <c r="A35" s="104"/>
      <c r="B35" s="170"/>
      <c r="C35" s="410"/>
      <c r="D35" s="195"/>
      <c r="E35" s="121"/>
      <c r="F35" s="121"/>
      <c r="G35" s="121"/>
      <c r="H35" s="409"/>
      <c r="I35" s="121"/>
      <c r="J35" s="121"/>
      <c r="K35" s="122"/>
      <c r="L35" s="122"/>
      <c r="M35" s="100"/>
      <c r="N35" s="80"/>
      <c r="O35" s="100"/>
      <c r="CP35" s="101"/>
      <c r="CQ35" s="101"/>
      <c r="CR35" s="101"/>
      <c r="CS35" s="101"/>
      <c r="CT35" s="101"/>
      <c r="CU35" s="101"/>
      <c r="CV35" s="101"/>
      <c r="CW35" s="101"/>
      <c r="CX35" s="101"/>
      <c r="CY35" s="101"/>
      <c r="CZ35" s="101"/>
      <c r="DA35" s="101"/>
      <c r="DB35" s="101"/>
      <c r="DC35" s="101"/>
      <c r="DD35" s="101"/>
      <c r="DE35" s="101"/>
      <c r="DF35" s="101"/>
      <c r="DG35" s="101"/>
      <c r="DH35" s="101"/>
      <c r="DI35" s="101"/>
      <c r="DJ35" s="101"/>
      <c r="DK35" s="101"/>
      <c r="DL35" s="101"/>
      <c r="DM35" s="101"/>
      <c r="DN35" s="101"/>
      <c r="DO35" s="101"/>
      <c r="DP35" s="106"/>
      <c r="DQ35" s="101"/>
      <c r="DR35" s="103"/>
    </row>
    <row r="36" spans="1:123" s="105" customFormat="1" ht="14.55" customHeight="1">
      <c r="A36" s="104"/>
      <c r="B36" s="120" t="s">
        <v>590</v>
      </c>
      <c r="C36" s="720"/>
      <c r="D36" s="721"/>
      <c r="E36" s="721"/>
      <c r="F36" s="721"/>
      <c r="G36" s="721"/>
      <c r="H36" s="721"/>
      <c r="I36" s="721"/>
      <c r="J36" s="721"/>
      <c r="K36" s="721"/>
      <c r="L36" s="722"/>
      <c r="M36" s="100"/>
      <c r="N36" s="80"/>
      <c r="O36" s="100"/>
      <c r="CP36" s="101"/>
      <c r="CQ36" s="101"/>
      <c r="CR36" s="101"/>
      <c r="CS36" s="101"/>
      <c r="CT36" s="101"/>
      <c r="CU36" s="101"/>
      <c r="CV36" s="101"/>
      <c r="CW36" s="101"/>
      <c r="CX36" s="101"/>
      <c r="CY36" s="101"/>
      <c r="CZ36" s="101"/>
      <c r="DA36" s="101"/>
      <c r="DB36" s="101"/>
      <c r="DC36" s="101"/>
      <c r="DD36" s="101"/>
      <c r="DE36" s="101"/>
      <c r="DF36" s="101"/>
      <c r="DG36" s="101"/>
      <c r="DH36" s="101"/>
      <c r="DI36" s="101"/>
      <c r="DJ36" s="101"/>
      <c r="DK36" s="101"/>
      <c r="DL36" s="101"/>
      <c r="DM36" s="101"/>
      <c r="DN36" s="101"/>
      <c r="DO36" s="101"/>
      <c r="DP36" s="106"/>
      <c r="DQ36" s="101"/>
      <c r="DR36" s="103"/>
    </row>
    <row r="37" spans="1:123" s="105" customFormat="1" ht="15" customHeight="1">
      <c r="A37" s="104"/>
      <c r="B37" s="170"/>
      <c r="C37" s="410"/>
      <c r="D37" s="195"/>
      <c r="E37" s="121"/>
      <c r="F37" s="121"/>
      <c r="G37" s="121"/>
      <c r="H37" s="409"/>
      <c r="I37" s="121"/>
      <c r="J37" s="121"/>
      <c r="K37" s="122"/>
      <c r="L37" s="122"/>
      <c r="M37" s="100"/>
      <c r="N37" s="80"/>
      <c r="O37" s="100"/>
      <c r="CP37" s="101"/>
      <c r="CQ37" s="101"/>
      <c r="CR37" s="101"/>
      <c r="CS37" s="101"/>
      <c r="CT37" s="101"/>
      <c r="CU37" s="101"/>
      <c r="CV37" s="101"/>
      <c r="CW37" s="101"/>
      <c r="CX37" s="101"/>
      <c r="CY37" s="101"/>
      <c r="CZ37" s="101"/>
      <c r="DA37" s="101"/>
      <c r="DB37" s="101"/>
      <c r="DC37" s="101"/>
      <c r="DD37" s="101"/>
      <c r="DE37" s="101"/>
      <c r="DF37" s="101"/>
      <c r="DG37" s="101"/>
      <c r="DH37" s="101"/>
      <c r="DI37" s="101"/>
      <c r="DJ37" s="101"/>
      <c r="DK37" s="101"/>
      <c r="DL37" s="101"/>
      <c r="DM37" s="101"/>
      <c r="DN37" s="101"/>
      <c r="DO37" s="101"/>
      <c r="DP37" s="106"/>
      <c r="DQ37" s="101"/>
      <c r="DR37" s="103"/>
    </row>
    <row r="38" spans="1:123" s="105" customFormat="1" ht="15" customHeight="1">
      <c r="A38" s="104"/>
      <c r="B38" s="170"/>
      <c r="C38" s="410"/>
      <c r="D38" s="195"/>
      <c r="E38" s="121"/>
      <c r="F38" s="121"/>
      <c r="G38" s="121"/>
      <c r="H38" s="409"/>
      <c r="I38" s="121"/>
      <c r="J38" s="121"/>
      <c r="K38" s="122"/>
      <c r="L38" s="122"/>
      <c r="M38" s="100"/>
      <c r="N38" s="80"/>
      <c r="O38" s="100"/>
      <c r="CP38" s="101"/>
      <c r="CQ38" s="101"/>
      <c r="CR38" s="101"/>
      <c r="CS38" s="101"/>
      <c r="CT38" s="101"/>
      <c r="CU38" s="101"/>
      <c r="CV38" s="101"/>
      <c r="CW38" s="101"/>
      <c r="CX38" s="101"/>
      <c r="CY38" s="101"/>
      <c r="CZ38" s="101"/>
      <c r="DA38" s="101"/>
      <c r="DB38" s="101"/>
      <c r="DC38" s="101"/>
      <c r="DD38" s="101"/>
      <c r="DE38" s="101"/>
      <c r="DF38" s="101"/>
      <c r="DG38" s="101"/>
      <c r="DH38" s="101"/>
      <c r="DI38" s="101"/>
      <c r="DJ38" s="101"/>
      <c r="DK38" s="101"/>
      <c r="DL38" s="101"/>
      <c r="DM38" s="101"/>
      <c r="DN38" s="101"/>
      <c r="DO38" s="101"/>
      <c r="DP38" s="106"/>
      <c r="DQ38" s="101"/>
      <c r="DR38" s="103"/>
    </row>
    <row r="39" spans="1:123" s="105" customFormat="1" ht="15" customHeight="1">
      <c r="A39" s="104"/>
      <c r="B39" s="170"/>
      <c r="C39" s="410"/>
      <c r="D39" s="195"/>
      <c r="E39" s="121"/>
      <c r="F39" s="121"/>
      <c r="G39" s="121"/>
      <c r="H39" s="409"/>
      <c r="I39" s="121"/>
      <c r="J39" s="121"/>
      <c r="K39" s="122"/>
      <c r="L39" s="122"/>
      <c r="M39" s="100"/>
      <c r="N39" s="80"/>
      <c r="O39" s="100"/>
      <c r="CP39" s="101"/>
      <c r="CQ39" s="101"/>
      <c r="CR39" s="101"/>
      <c r="CS39" s="101"/>
      <c r="CT39" s="101"/>
      <c r="CU39" s="101"/>
      <c r="CV39" s="101"/>
      <c r="CW39" s="101"/>
      <c r="CX39" s="101"/>
      <c r="CY39" s="101"/>
      <c r="CZ39" s="101"/>
      <c r="DA39" s="101"/>
      <c r="DB39" s="101"/>
      <c r="DC39" s="101"/>
      <c r="DD39" s="101"/>
      <c r="DE39" s="101"/>
      <c r="DF39" s="101"/>
      <c r="DG39" s="101"/>
      <c r="DH39" s="101"/>
      <c r="DI39" s="101"/>
      <c r="DJ39" s="101"/>
      <c r="DK39" s="101"/>
      <c r="DL39" s="101"/>
      <c r="DM39" s="101"/>
      <c r="DN39" s="101"/>
      <c r="DO39" s="101"/>
      <c r="DP39" s="106"/>
      <c r="DQ39" s="101"/>
      <c r="DR39" s="103"/>
    </row>
    <row r="40" spans="1:123" s="105" customFormat="1" ht="15" customHeight="1">
      <c r="A40" s="104"/>
      <c r="B40" s="170"/>
      <c r="C40" s="410"/>
      <c r="D40" s="195"/>
      <c r="E40" s="121"/>
      <c r="F40" s="121"/>
      <c r="G40" s="121"/>
      <c r="H40" s="409"/>
      <c r="I40" s="121"/>
      <c r="J40" s="121"/>
      <c r="K40" s="122"/>
      <c r="L40" s="122"/>
      <c r="M40" s="100"/>
      <c r="N40" s="80"/>
      <c r="O40" s="100"/>
      <c r="CP40" s="101"/>
      <c r="CQ40" s="101"/>
      <c r="CR40" s="101"/>
      <c r="CS40" s="101"/>
      <c r="CT40" s="101"/>
      <c r="CU40" s="101"/>
      <c r="CV40" s="101"/>
      <c r="CW40" s="101"/>
      <c r="CX40" s="101"/>
      <c r="CY40" s="101"/>
      <c r="CZ40" s="101"/>
      <c r="DA40" s="101"/>
      <c r="DB40" s="101"/>
      <c r="DC40" s="101"/>
      <c r="DD40" s="101"/>
      <c r="DE40" s="101"/>
      <c r="DF40" s="101"/>
      <c r="DG40" s="101"/>
      <c r="DH40" s="101"/>
      <c r="DI40" s="101"/>
      <c r="DJ40" s="101"/>
      <c r="DK40" s="101"/>
      <c r="DL40" s="101"/>
      <c r="DM40" s="101"/>
      <c r="DN40" s="101"/>
      <c r="DO40" s="101"/>
      <c r="DP40" s="106"/>
      <c r="DQ40" s="101"/>
      <c r="DR40" s="103"/>
    </row>
    <row r="41" spans="1:123" s="105" customFormat="1" ht="15" customHeight="1">
      <c r="A41" s="104"/>
      <c r="B41" s="170"/>
      <c r="C41" s="410"/>
      <c r="D41" s="195"/>
      <c r="E41" s="121"/>
      <c r="F41" s="121"/>
      <c r="G41" s="121"/>
      <c r="H41" s="409"/>
      <c r="I41" s="121"/>
      <c r="J41" s="121"/>
      <c r="K41" s="122"/>
      <c r="L41" s="122"/>
      <c r="M41" s="100"/>
      <c r="N41" s="80"/>
      <c r="O41" s="100"/>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6"/>
      <c r="DQ41" s="101"/>
      <c r="DR41" s="103"/>
    </row>
    <row r="42" spans="1:123" s="105" customFormat="1" ht="15" customHeight="1">
      <c r="A42" s="104"/>
      <c r="B42" s="170"/>
      <c r="C42" s="410"/>
      <c r="D42" s="195"/>
      <c r="E42" s="121"/>
      <c r="F42" s="121"/>
      <c r="G42" s="121"/>
      <c r="H42" s="409"/>
      <c r="I42" s="121"/>
      <c r="J42" s="121"/>
      <c r="K42" s="122"/>
      <c r="L42" s="122"/>
      <c r="M42" s="100"/>
      <c r="N42" s="80"/>
      <c r="O42" s="100"/>
      <c r="CP42" s="101"/>
      <c r="CQ42" s="101"/>
      <c r="CR42" s="101"/>
      <c r="CS42" s="101"/>
      <c r="CT42" s="101"/>
      <c r="CU42" s="101"/>
      <c r="CV42" s="101"/>
      <c r="CW42" s="101"/>
      <c r="CX42" s="101"/>
      <c r="CY42" s="101"/>
      <c r="CZ42" s="101"/>
      <c r="DA42" s="101"/>
      <c r="DB42" s="101"/>
      <c r="DC42" s="101"/>
      <c r="DD42" s="101"/>
      <c r="DE42" s="101"/>
      <c r="DF42" s="101"/>
      <c r="DG42" s="101"/>
      <c r="DH42" s="101"/>
      <c r="DI42" s="101"/>
      <c r="DJ42" s="101"/>
      <c r="DK42" s="101"/>
      <c r="DL42" s="101"/>
      <c r="DM42" s="101"/>
      <c r="DN42" s="101"/>
      <c r="DO42" s="101"/>
      <c r="DP42" s="106"/>
      <c r="DQ42" s="101"/>
      <c r="DR42" s="103"/>
    </row>
    <row r="43" spans="1:123" s="105" customFormat="1" ht="15" customHeight="1">
      <c r="A43" s="104"/>
      <c r="B43" s="170"/>
      <c r="C43" s="410"/>
      <c r="D43" s="195"/>
      <c r="E43" s="121"/>
      <c r="F43" s="121"/>
      <c r="G43" s="121"/>
      <c r="H43" s="409"/>
      <c r="I43" s="121"/>
      <c r="J43" s="121"/>
      <c r="K43" s="122"/>
      <c r="L43" s="122"/>
      <c r="M43" s="100"/>
      <c r="N43" s="80"/>
      <c r="O43" s="100"/>
      <c r="CP43" s="101"/>
      <c r="CQ43" s="101"/>
      <c r="CR43" s="101"/>
      <c r="CS43" s="101"/>
      <c r="CT43" s="101"/>
      <c r="CU43" s="101"/>
      <c r="CV43" s="101"/>
      <c r="CW43" s="101"/>
      <c r="CX43" s="101"/>
      <c r="CY43" s="101"/>
      <c r="CZ43" s="101"/>
      <c r="DA43" s="101"/>
      <c r="DB43" s="101"/>
      <c r="DC43" s="101"/>
      <c r="DD43" s="101"/>
      <c r="DE43" s="101"/>
      <c r="DF43" s="101"/>
      <c r="DG43" s="101"/>
      <c r="DH43" s="101"/>
      <c r="DI43" s="101"/>
      <c r="DJ43" s="101"/>
      <c r="DK43" s="101"/>
      <c r="DL43" s="101"/>
      <c r="DM43" s="101"/>
      <c r="DN43" s="101"/>
      <c r="DO43" s="101"/>
      <c r="DP43" s="106"/>
      <c r="DQ43" s="101"/>
      <c r="DR43" s="103"/>
    </row>
    <row r="44" spans="1:123" s="105" customFormat="1" ht="15" customHeight="1">
      <c r="A44" s="104"/>
      <c r="B44" s="170"/>
      <c r="C44" s="410"/>
      <c r="D44" s="195"/>
      <c r="E44" s="121"/>
      <c r="F44" s="121"/>
      <c r="G44" s="121"/>
      <c r="H44" s="409"/>
      <c r="I44" s="121"/>
      <c r="J44" s="121"/>
      <c r="K44" s="122"/>
      <c r="L44" s="122"/>
      <c r="M44" s="100"/>
      <c r="N44" s="80"/>
      <c r="O44" s="100"/>
      <c r="CP44" s="101"/>
      <c r="CQ44" s="101"/>
      <c r="CR44" s="101"/>
      <c r="CS44" s="101"/>
      <c r="CT44" s="101"/>
      <c r="CU44" s="101"/>
      <c r="CV44" s="101"/>
      <c r="CW44" s="101"/>
      <c r="CX44" s="101"/>
      <c r="CY44" s="101"/>
      <c r="CZ44" s="101"/>
      <c r="DA44" s="101"/>
      <c r="DB44" s="101"/>
      <c r="DC44" s="101"/>
      <c r="DD44" s="101"/>
      <c r="DE44" s="101"/>
      <c r="DF44" s="101"/>
      <c r="DG44" s="101"/>
      <c r="DH44" s="101"/>
      <c r="DI44" s="101"/>
      <c r="DJ44" s="101"/>
      <c r="DK44" s="101"/>
      <c r="DL44" s="101"/>
      <c r="DM44" s="101"/>
      <c r="DN44" s="101"/>
      <c r="DO44" s="101"/>
      <c r="DP44" s="106"/>
      <c r="DQ44" s="101"/>
      <c r="DR44" s="103"/>
    </row>
    <row r="45" spans="1:123" s="105" customFormat="1" ht="15" customHeight="1">
      <c r="A45" s="104"/>
      <c r="B45" s="170"/>
      <c r="C45" s="410"/>
      <c r="D45" s="195"/>
      <c r="E45" s="121"/>
      <c r="F45" s="121"/>
      <c r="G45" s="121"/>
      <c r="H45" s="409"/>
      <c r="I45" s="121"/>
      <c r="J45" s="121"/>
      <c r="K45" s="122"/>
      <c r="L45" s="122"/>
      <c r="M45" s="100"/>
      <c r="N45" s="80"/>
      <c r="O45" s="100"/>
      <c r="CP45" s="101"/>
      <c r="CQ45" s="101"/>
      <c r="CR45" s="101"/>
      <c r="CS45" s="101"/>
      <c r="CT45" s="101"/>
      <c r="CU45" s="101"/>
      <c r="CV45" s="101"/>
      <c r="CW45" s="101"/>
      <c r="CX45" s="101"/>
      <c r="CY45" s="101"/>
      <c r="CZ45" s="101"/>
      <c r="DA45" s="101"/>
      <c r="DB45" s="101"/>
      <c r="DC45" s="101"/>
      <c r="DD45" s="101"/>
      <c r="DE45" s="101"/>
      <c r="DF45" s="101"/>
      <c r="DG45" s="101"/>
      <c r="DH45" s="101"/>
      <c r="DI45" s="101"/>
      <c r="DJ45" s="101"/>
      <c r="DK45" s="101"/>
      <c r="DL45" s="101"/>
      <c r="DM45" s="101"/>
      <c r="DN45" s="101"/>
      <c r="DO45" s="101"/>
      <c r="DP45" s="106"/>
      <c r="DQ45" s="101"/>
      <c r="DR45" s="103"/>
    </row>
    <row r="46" spans="1:123" s="105" customFormat="1" ht="15" customHeight="1">
      <c r="A46" s="104"/>
      <c r="B46" s="170"/>
      <c r="C46" s="410"/>
      <c r="D46" s="195"/>
      <c r="E46" s="121"/>
      <c r="F46" s="121"/>
      <c r="G46" s="121"/>
      <c r="H46" s="409"/>
      <c r="I46" s="121"/>
      <c r="J46" s="121"/>
      <c r="K46" s="122"/>
      <c r="L46" s="122"/>
      <c r="M46" s="100"/>
      <c r="N46" s="80"/>
      <c r="O46" s="100"/>
      <c r="CP46" s="101"/>
      <c r="CQ46" s="101"/>
      <c r="CR46" s="101"/>
      <c r="CS46" s="101"/>
      <c r="CT46" s="101"/>
      <c r="CU46" s="101"/>
      <c r="CV46" s="101"/>
      <c r="CW46" s="101"/>
      <c r="CX46" s="101"/>
      <c r="CY46" s="101"/>
      <c r="CZ46" s="101"/>
      <c r="DA46" s="101"/>
      <c r="DB46" s="101"/>
      <c r="DC46" s="101"/>
      <c r="DD46" s="101"/>
      <c r="DE46" s="101"/>
      <c r="DF46" s="101"/>
      <c r="DG46" s="101"/>
      <c r="DH46" s="101"/>
      <c r="DI46" s="101"/>
      <c r="DJ46" s="101"/>
      <c r="DK46" s="101"/>
      <c r="DL46" s="101"/>
      <c r="DM46" s="101"/>
      <c r="DN46" s="101"/>
      <c r="DO46" s="101"/>
      <c r="DP46" s="106"/>
      <c r="DQ46" s="101"/>
      <c r="DR46" s="103"/>
    </row>
    <row r="47" spans="1:123" s="105" customFormat="1" ht="15.6">
      <c r="A47" s="104"/>
      <c r="B47" s="123"/>
      <c r="C47" s="124"/>
      <c r="D47" s="124"/>
      <c r="E47" s="125"/>
      <c r="F47" s="125"/>
      <c r="G47" s="125"/>
      <c r="H47" s="125"/>
      <c r="I47" s="75"/>
      <c r="J47" s="75"/>
      <c r="K47" s="75"/>
      <c r="L47" s="126"/>
      <c r="M47" s="100"/>
      <c r="N47" s="80"/>
      <c r="O47" s="100"/>
      <c r="CQ47" s="101"/>
      <c r="CR47" s="101"/>
      <c r="CS47" s="101"/>
      <c r="CT47" s="101"/>
      <c r="CU47" s="101"/>
      <c r="CV47" s="101"/>
      <c r="CW47" s="101"/>
      <c r="CX47" s="101"/>
      <c r="CY47" s="101"/>
      <c r="CZ47" s="101"/>
      <c r="DA47" s="101"/>
      <c r="DB47" s="101"/>
      <c r="DC47" s="101"/>
      <c r="DD47" s="101"/>
      <c r="DE47" s="101"/>
      <c r="DF47" s="101"/>
      <c r="DG47" s="101"/>
      <c r="DH47" s="101"/>
      <c r="DI47" s="101"/>
      <c r="DJ47" s="101"/>
      <c r="DK47" s="101"/>
      <c r="DL47" s="101"/>
      <c r="DM47" s="101"/>
      <c r="DN47" s="101"/>
      <c r="DO47" s="101"/>
      <c r="DP47" s="101"/>
      <c r="DQ47" s="106"/>
      <c r="DR47" s="101"/>
      <c r="DS47" s="103"/>
    </row>
    <row r="48" spans="1:123" s="105" customFormat="1" ht="15.6">
      <c r="A48" s="104"/>
      <c r="B48" s="105" t="s">
        <v>591</v>
      </c>
      <c r="G48" s="125"/>
      <c r="H48" s="125"/>
      <c r="I48" s="75"/>
      <c r="J48" s="75"/>
      <c r="K48" s="75"/>
      <c r="L48" s="126"/>
      <c r="M48" s="100"/>
      <c r="N48" s="80"/>
      <c r="O48" s="100"/>
      <c r="CO48" s="101"/>
      <c r="CP48" s="101"/>
      <c r="CQ48" s="101"/>
      <c r="CR48" s="101"/>
      <c r="CS48" s="101"/>
      <c r="CT48" s="101"/>
      <c r="CU48" s="101"/>
      <c r="CV48" s="101"/>
      <c r="CW48" s="101"/>
      <c r="CX48" s="101"/>
      <c r="CY48" s="101"/>
      <c r="CZ48" s="101"/>
      <c r="DA48" s="101"/>
      <c r="DB48" s="101"/>
      <c r="DC48" s="101"/>
      <c r="DD48" s="101"/>
      <c r="DE48" s="101"/>
      <c r="DF48" s="101"/>
      <c r="DG48" s="101"/>
      <c r="DH48" s="101"/>
      <c r="DI48" s="101"/>
      <c r="DJ48" s="101"/>
      <c r="DK48" s="101"/>
      <c r="DL48" s="101"/>
      <c r="DM48" s="101"/>
      <c r="DN48" s="101"/>
      <c r="DO48" s="106"/>
      <c r="DP48" s="101"/>
      <c r="DQ48" s="103"/>
    </row>
    <row r="49" spans="1:121" s="105" customFormat="1" ht="15.6">
      <c r="A49" s="104"/>
      <c r="B49" s="694"/>
      <c r="C49" s="695"/>
      <c r="D49" s="695"/>
      <c r="E49" s="695"/>
      <c r="F49" s="696"/>
      <c r="G49" s="385"/>
      <c r="H49" s="385"/>
      <c r="I49" s="385"/>
      <c r="J49" s="385"/>
      <c r="K49" s="385"/>
      <c r="L49" s="385"/>
      <c r="M49" s="100"/>
      <c r="N49" s="80"/>
      <c r="O49" s="100"/>
      <c r="CO49" s="101"/>
      <c r="CP49" s="101"/>
      <c r="CQ49" s="101"/>
      <c r="CR49" s="101"/>
      <c r="CS49" s="101"/>
      <c r="CT49" s="101"/>
      <c r="CU49" s="101"/>
      <c r="CV49" s="101"/>
      <c r="CW49" s="101"/>
      <c r="CX49" s="101"/>
      <c r="CY49" s="101"/>
      <c r="CZ49" s="101"/>
      <c r="DA49" s="101"/>
      <c r="DB49" s="101"/>
      <c r="DC49" s="101"/>
      <c r="DD49" s="101"/>
      <c r="DE49" s="101"/>
      <c r="DF49" s="101"/>
      <c r="DG49" s="101"/>
      <c r="DH49" s="101"/>
      <c r="DI49" s="101"/>
      <c r="DJ49" s="101"/>
      <c r="DK49" s="101"/>
      <c r="DL49" s="101"/>
      <c r="DM49" s="101"/>
      <c r="DN49" s="101"/>
      <c r="DO49" s="106"/>
      <c r="DP49" s="101"/>
      <c r="DQ49" s="103"/>
    </row>
    <row r="50" spans="1:121" s="105" customFormat="1" ht="15.6">
      <c r="A50" s="104"/>
      <c r="B50" s="697"/>
      <c r="C50" s="698"/>
      <c r="D50" s="698"/>
      <c r="E50" s="698"/>
      <c r="F50" s="699"/>
      <c r="G50" s="385"/>
      <c r="H50" s="385"/>
      <c r="I50" s="385"/>
      <c r="J50" s="385"/>
      <c r="K50" s="385"/>
      <c r="L50" s="385"/>
      <c r="M50" s="100"/>
      <c r="N50" s="80"/>
      <c r="O50" s="100"/>
      <c r="CO50" s="101"/>
      <c r="CP50" s="101"/>
      <c r="CQ50" s="101"/>
      <c r="CR50" s="101"/>
      <c r="CS50" s="101"/>
      <c r="CT50" s="101"/>
      <c r="CU50" s="101"/>
      <c r="CV50" s="101"/>
      <c r="CW50" s="101"/>
      <c r="CX50" s="101"/>
      <c r="CY50" s="101"/>
      <c r="CZ50" s="101"/>
      <c r="DA50" s="101"/>
      <c r="DB50" s="101"/>
      <c r="DC50" s="101"/>
      <c r="DD50" s="101"/>
      <c r="DE50" s="101"/>
      <c r="DF50" s="101"/>
      <c r="DG50" s="101"/>
      <c r="DH50" s="101"/>
      <c r="DI50" s="101"/>
      <c r="DJ50" s="101"/>
      <c r="DK50" s="101"/>
      <c r="DL50" s="101"/>
      <c r="DM50" s="101"/>
      <c r="DN50" s="101"/>
      <c r="DO50" s="106"/>
      <c r="DP50" s="101"/>
      <c r="DQ50" s="103"/>
    </row>
    <row r="51" spans="1:121" s="105" customFormat="1" ht="15.6">
      <c r="A51" s="104"/>
      <c r="B51" s="700"/>
      <c r="C51" s="701"/>
      <c r="D51" s="701"/>
      <c r="E51" s="701"/>
      <c r="F51" s="702"/>
      <c r="G51" s="385"/>
      <c r="H51" s="385"/>
      <c r="I51" s="385"/>
      <c r="J51" s="385"/>
      <c r="K51" s="385"/>
      <c r="L51" s="385"/>
      <c r="M51" s="100"/>
      <c r="N51" s="80"/>
      <c r="O51" s="100"/>
      <c r="CO51" s="101"/>
      <c r="CP51" s="101"/>
      <c r="CQ51" s="101"/>
      <c r="CR51" s="101"/>
      <c r="CS51" s="101"/>
      <c r="CT51" s="101"/>
      <c r="CU51" s="101"/>
      <c r="CV51" s="101"/>
      <c r="CW51" s="101"/>
      <c r="CX51" s="101"/>
      <c r="CY51" s="101"/>
      <c r="CZ51" s="101"/>
      <c r="DA51" s="101"/>
      <c r="DB51" s="101"/>
      <c r="DC51" s="101"/>
      <c r="DD51" s="101"/>
      <c r="DE51" s="101"/>
      <c r="DF51" s="101"/>
      <c r="DG51" s="101"/>
      <c r="DH51" s="101"/>
      <c r="DI51" s="101"/>
      <c r="DJ51" s="101"/>
      <c r="DK51" s="101"/>
      <c r="DL51" s="101"/>
      <c r="DM51" s="101"/>
      <c r="DN51" s="101"/>
      <c r="DO51" s="106"/>
      <c r="DP51" s="101"/>
      <c r="DQ51" s="103"/>
    </row>
    <row r="52" spans="1:121" ht="15" customHeight="1">
      <c r="I52" s="75"/>
      <c r="J52" s="75"/>
      <c r="K52" s="75"/>
      <c r="L52" s="126"/>
      <c r="M52" s="100"/>
      <c r="N52" s="80"/>
      <c r="O52" s="100"/>
    </row>
    <row r="53" spans="1:121" ht="7.5" customHeight="1">
      <c r="A53" s="80"/>
      <c r="B53" s="80"/>
      <c r="C53" s="80"/>
      <c r="D53" s="80"/>
      <c r="E53" s="80"/>
      <c r="F53" s="80"/>
      <c r="G53" s="80"/>
      <c r="H53" s="80"/>
      <c r="I53" s="80"/>
      <c r="J53" s="80"/>
      <c r="K53" s="80"/>
      <c r="L53" s="80"/>
      <c r="M53" s="80"/>
      <c r="N53" s="80"/>
      <c r="O53" s="105"/>
    </row>
    <row r="81" spans="3:3" ht="12.75" customHeight="1">
      <c r="C81" s="128"/>
    </row>
    <row r="82" spans="3:3" ht="12.75" customHeight="1">
      <c r="C82" s="129"/>
    </row>
    <row r="83" spans="3:3" ht="12.75" customHeight="1">
      <c r="C83" s="129"/>
    </row>
    <row r="84" spans="3:3" ht="12.75" customHeight="1">
      <c r="C84" s="128"/>
    </row>
    <row r="85" spans="3:3" ht="12.75" customHeight="1">
      <c r="C85" s="129"/>
    </row>
    <row r="86" spans="3:3" ht="12.75" customHeight="1">
      <c r="C86" s="129"/>
    </row>
    <row r="87" spans="3:3" ht="12.75" customHeight="1">
      <c r="C87" s="129"/>
    </row>
    <row r="88" spans="3:3" ht="12.75" customHeight="1">
      <c r="C88" s="128"/>
    </row>
  </sheetData>
  <mergeCells count="13">
    <mergeCell ref="B49:F51"/>
    <mergeCell ref="B7:F9"/>
    <mergeCell ref="F23:H23"/>
    <mergeCell ref="B23:E23"/>
    <mergeCell ref="I23:J23"/>
    <mergeCell ref="D13:F13"/>
    <mergeCell ref="C25:L25"/>
    <mergeCell ref="C36:L36"/>
    <mergeCell ref="L23:L24"/>
    <mergeCell ref="B21:F21"/>
    <mergeCell ref="D14:F14"/>
    <mergeCell ref="D15:F15"/>
    <mergeCell ref="D16:F16"/>
  </mergeCells>
  <phoneticPr fontId="25" type="noConversion"/>
  <conditionalFormatting sqref="B7">
    <cfRule type="containsBlanks" dxfId="6" priority="13">
      <formula>LEN(TRIM(B7))=0</formula>
    </cfRule>
  </conditionalFormatting>
  <conditionalFormatting sqref="B14:C16">
    <cfRule type="containsBlanks" dxfId="5" priority="6">
      <formula>LEN(TRIM(B14))=0</formula>
    </cfRule>
  </conditionalFormatting>
  <conditionalFormatting sqref="B26:K35 B37:K46 B49">
    <cfRule type="containsBlanks" dxfId="4" priority="8">
      <formula>LEN(TRIM(B26))=0</formula>
    </cfRule>
  </conditionalFormatting>
  <conditionalFormatting sqref="I26:I35 I37:I46">
    <cfRule type="expression" dxfId="3" priority="3">
      <formula>$J26="√"</formula>
    </cfRule>
  </conditionalFormatting>
  <conditionalFormatting sqref="I26:I35">
    <cfRule type="expression" dxfId="2" priority="12">
      <formula>J26="√"</formula>
    </cfRule>
  </conditionalFormatting>
  <conditionalFormatting sqref="J26:J35 J37:J46">
    <cfRule type="expression" dxfId="1" priority="1">
      <formula>$I26="√"</formula>
    </cfRule>
  </conditionalFormatting>
  <dataValidations count="2">
    <dataValidation type="list" allowBlank="1" showInputMessage="1" showErrorMessage="1" sqref="I37:J46 I26:J35" xr:uid="{9E8C69C9-E969-419E-999F-CCE9CEC4EB06}">
      <formula1>"√"</formula1>
    </dataValidation>
    <dataValidation type="list" allowBlank="1" showInputMessage="1" sqref="K26:K35 K37:K46" xr:uid="{03C8EBA8-5CE5-4C33-8B0F-9F8C16555366}">
      <formula1>"Y,N"</formula1>
    </dataValidation>
  </dataValidations>
  <hyperlinks>
    <hyperlink ref="B4" location="汇总!A1" display="返回汇总页" xr:uid="{22B06970-92A6-4925-838E-257B637B6C05}"/>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1188-8477-4D88-92B5-2CCE3FE43C2C}">
  <dimension ref="A1:DT9"/>
  <sheetViews>
    <sheetView showGridLines="0" zoomScale="70" zoomScaleNormal="70" workbookViewId="0">
      <selection activeCell="C26" sqref="C26"/>
    </sheetView>
  </sheetViews>
  <sheetFormatPr defaultColWidth="8.77734375" defaultRowHeight="12.75" customHeight="1"/>
  <cols>
    <col min="1" max="1" width="2.5546875" style="9" customWidth="1"/>
    <col min="2" max="3" width="20.77734375" style="5" customWidth="1"/>
    <col min="4" max="5" width="31.33203125" style="5" customWidth="1"/>
    <col min="6" max="7" width="17.77734375" style="5" customWidth="1"/>
    <col min="8" max="8" width="14.109375" style="5" customWidth="1"/>
    <col min="9" max="9" width="17.5546875" style="5" customWidth="1"/>
    <col min="10" max="10" width="2.5546875" style="5" customWidth="1"/>
    <col min="11" max="11" width="1.5546875" style="5" customWidth="1"/>
    <col min="12" max="16" width="11.21875" style="5" customWidth="1"/>
    <col min="17" max="95" width="8.77734375" style="5"/>
    <col min="96" max="96" width="13.109375" style="6" customWidth="1"/>
    <col min="97" max="97" width="7.21875" style="6" customWidth="1"/>
    <col min="98" max="107" width="8.77734375" style="6"/>
    <col min="108" max="108" width="14.21875" style="6" customWidth="1"/>
    <col min="109" max="114" width="8.77734375" style="6"/>
    <col min="115" max="115" width="10.21875" style="6" customWidth="1"/>
    <col min="116" max="119" width="8.77734375" style="6"/>
    <col min="120" max="120" width="10.109375" style="6" customWidth="1"/>
    <col min="121" max="121" width="12.21875" style="6" customWidth="1"/>
    <col min="122" max="122" width="8.77734375" style="8"/>
    <col min="123" max="123" width="8.77734375" style="6"/>
    <col min="124" max="124" width="8.77734375" style="7"/>
    <col min="125" max="16384" width="8.77734375" style="5"/>
  </cols>
  <sheetData>
    <row r="1" spans="1:11" s="154" customFormat="1" ht="50.1" customHeight="1">
      <c r="B1" s="196" t="s">
        <v>539</v>
      </c>
      <c r="C1" s="197"/>
      <c r="D1" s="198"/>
      <c r="E1" s="198"/>
      <c r="F1" s="199"/>
      <c r="G1" s="199"/>
      <c r="H1" s="199"/>
      <c r="I1" s="200"/>
      <c r="K1" s="165"/>
    </row>
    <row r="2" spans="1:11" s="154" customFormat="1" ht="30" customHeight="1">
      <c r="B2" s="201" t="s">
        <v>592</v>
      </c>
      <c r="C2" s="202"/>
      <c r="D2" s="202"/>
      <c r="E2" s="202"/>
      <c r="F2" s="202"/>
      <c r="G2" s="202"/>
      <c r="H2" s="202"/>
      <c r="I2" s="203"/>
      <c r="J2" s="166"/>
      <c r="K2" s="165"/>
    </row>
    <row r="3" spans="1:11" s="10" customFormat="1" ht="12.75" customHeight="1">
      <c r="B3" s="37"/>
      <c r="C3" s="37"/>
      <c r="D3" s="37"/>
      <c r="E3" s="37"/>
      <c r="F3" s="37"/>
      <c r="G3" s="37"/>
      <c r="H3" s="37"/>
      <c r="I3" s="37"/>
      <c r="J3" s="21"/>
      <c r="K3" s="48"/>
    </row>
    <row r="4" spans="1:11" s="10" customFormat="1" ht="16.05" customHeight="1">
      <c r="B4" s="45" t="s">
        <v>593</v>
      </c>
      <c r="C4" s="45"/>
      <c r="D4" s="37"/>
      <c r="E4" s="37"/>
      <c r="F4" s="37"/>
      <c r="G4" s="37"/>
      <c r="H4" s="37"/>
      <c r="I4" s="37"/>
      <c r="J4" s="21"/>
      <c r="K4" s="48"/>
    </row>
    <row r="5" spans="1:11" s="10" customFormat="1" ht="12.75" customHeight="1">
      <c r="B5" s="50"/>
      <c r="C5" s="50"/>
      <c r="D5" s="37"/>
      <c r="E5" s="37"/>
      <c r="F5" s="37"/>
      <c r="G5" s="37"/>
      <c r="H5" s="37"/>
      <c r="I5" s="37"/>
      <c r="J5" s="21"/>
      <c r="K5" s="48"/>
    </row>
    <row r="6" spans="1:11" s="10" customFormat="1" ht="19.05" customHeight="1">
      <c r="B6" s="51" t="s">
        <v>594</v>
      </c>
      <c r="C6" s="50"/>
      <c r="D6" s="37"/>
      <c r="E6" s="37"/>
      <c r="F6" s="37"/>
      <c r="G6" s="37"/>
      <c r="H6" s="37"/>
      <c r="I6" s="37"/>
      <c r="J6" s="21"/>
      <c r="K6" s="48"/>
    </row>
    <row r="7" spans="1:11" s="10" customFormat="1" ht="19.05" customHeight="1">
      <c r="B7" s="414" t="s">
        <v>595</v>
      </c>
      <c r="C7" s="37"/>
      <c r="D7" s="37"/>
      <c r="E7" s="37"/>
      <c r="F7" s="37"/>
      <c r="G7" s="37"/>
      <c r="H7" s="37"/>
      <c r="I7" s="37"/>
      <c r="J7" s="21"/>
      <c r="K7" s="48"/>
    </row>
    <row r="8" spans="1:11" ht="15" customHeight="1">
      <c r="K8" s="48"/>
    </row>
    <row r="9" spans="1:11" ht="7.5" customHeight="1">
      <c r="A9" s="17"/>
      <c r="B9" s="17"/>
      <c r="C9" s="17"/>
      <c r="D9" s="17"/>
      <c r="E9" s="17"/>
      <c r="F9" s="17"/>
      <c r="G9" s="17"/>
      <c r="H9" s="17"/>
      <c r="I9" s="17"/>
      <c r="J9" s="17"/>
      <c r="K9" s="17"/>
    </row>
  </sheetData>
  <phoneticPr fontId="25" type="noConversion"/>
  <conditionalFormatting sqref="I14">
    <cfRule type="containsBlanks" dxfId="0" priority="6">
      <formula>LEN(TRIM(I14))=0</formula>
    </cfRule>
  </conditionalFormatting>
  <hyperlinks>
    <hyperlink ref="B4" location="汇总!A1" display="返回汇总页" xr:uid="{F4DB9A29-BCF2-42EC-818C-4A7942940933}"/>
    <hyperlink ref="B7" r:id="rId1"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xr:uid="{AEECB24A-2618-46A9-A914-B6C83CBAA2F2}"/>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dimension ref="A1:DV102"/>
  <sheetViews>
    <sheetView workbookViewId="0"/>
  </sheetViews>
  <sheetFormatPr defaultColWidth="9" defaultRowHeight="13.8"/>
  <cols>
    <col min="1" max="1" width="0.109375" customWidth="1"/>
  </cols>
  <sheetData>
    <row r="1" spans="1:126">
      <c r="A1" t="s">
        <v>596</v>
      </c>
    </row>
    <row r="6" spans="1:126">
      <c r="E6" t="s">
        <v>1075</v>
      </c>
      <c r="Y6" t="s">
        <v>597</v>
      </c>
      <c r="Z6" t="s">
        <v>598</v>
      </c>
      <c r="AA6" t="s">
        <v>599</v>
      </c>
      <c r="AB6" t="s">
        <v>600</v>
      </c>
      <c r="AC6" t="s">
        <v>601</v>
      </c>
      <c r="AD6" t="s">
        <v>602</v>
      </c>
      <c r="AE6" t="s">
        <v>603</v>
      </c>
      <c r="AF6" t="s">
        <v>604</v>
      </c>
      <c r="AG6" t="s">
        <v>605</v>
      </c>
      <c r="AH6" t="s">
        <v>606</v>
      </c>
      <c r="AI6" t="s">
        <v>607</v>
      </c>
      <c r="AJ6" t="s">
        <v>608</v>
      </c>
      <c r="AK6" t="s">
        <v>609</v>
      </c>
      <c r="AL6" t="s">
        <v>610</v>
      </c>
      <c r="AM6" t="s">
        <v>611</v>
      </c>
      <c r="AN6" t="s">
        <v>612</v>
      </c>
      <c r="AO6" t="s">
        <v>613</v>
      </c>
      <c r="AP6" t="s">
        <v>614</v>
      </c>
      <c r="AQ6" t="s">
        <v>615</v>
      </c>
      <c r="AR6" t="s">
        <v>616</v>
      </c>
      <c r="AS6" t="s">
        <v>617</v>
      </c>
      <c r="AT6" t="s">
        <v>618</v>
      </c>
      <c r="AU6" t="s">
        <v>619</v>
      </c>
      <c r="AV6" t="s">
        <v>620</v>
      </c>
      <c r="AW6" t="s">
        <v>621</v>
      </c>
      <c r="AX6" t="s">
        <v>622</v>
      </c>
      <c r="AY6" t="s">
        <v>623</v>
      </c>
      <c r="AZ6" t="s">
        <v>624</v>
      </c>
      <c r="BA6" t="s">
        <v>625</v>
      </c>
      <c r="BB6" t="s">
        <v>626</v>
      </c>
      <c r="BC6" t="s">
        <v>627</v>
      </c>
      <c r="BD6" t="s">
        <v>628</v>
      </c>
      <c r="BE6" t="s">
        <v>629</v>
      </c>
      <c r="BF6" t="s">
        <v>630</v>
      </c>
      <c r="BG6" t="s">
        <v>631</v>
      </c>
      <c r="BH6" t="s">
        <v>632</v>
      </c>
      <c r="BI6" t="s">
        <v>633</v>
      </c>
      <c r="BJ6" t="s">
        <v>634</v>
      </c>
      <c r="BK6" t="s">
        <v>635</v>
      </c>
      <c r="BL6" t="s">
        <v>636</v>
      </c>
      <c r="BM6" t="s">
        <v>637</v>
      </c>
      <c r="BN6" t="s">
        <v>638</v>
      </c>
      <c r="BO6" t="s">
        <v>639</v>
      </c>
      <c r="BP6" t="s">
        <v>640</v>
      </c>
      <c r="BQ6" t="s">
        <v>641</v>
      </c>
      <c r="BR6" t="s">
        <v>642</v>
      </c>
      <c r="BS6" t="s">
        <v>643</v>
      </c>
      <c r="BT6" t="s">
        <v>644</v>
      </c>
      <c r="BU6" t="s">
        <v>645</v>
      </c>
      <c r="BV6" t="s">
        <v>646</v>
      </c>
      <c r="BW6" t="s">
        <v>647</v>
      </c>
      <c r="BX6" t="s">
        <v>648</v>
      </c>
      <c r="BY6" t="s">
        <v>649</v>
      </c>
      <c r="BZ6" t="s">
        <v>650</v>
      </c>
      <c r="CA6" t="s">
        <v>651</v>
      </c>
      <c r="CB6" t="s">
        <v>652</v>
      </c>
      <c r="CC6" t="s">
        <v>653</v>
      </c>
      <c r="CD6" t="s">
        <v>654</v>
      </c>
      <c r="CE6" t="s">
        <v>655</v>
      </c>
      <c r="CF6" t="s">
        <v>656</v>
      </c>
      <c r="CG6" t="s">
        <v>657</v>
      </c>
      <c r="CH6" t="s">
        <v>658</v>
      </c>
      <c r="CI6" t="s">
        <v>659</v>
      </c>
      <c r="CJ6" t="s">
        <v>660</v>
      </c>
      <c r="CK6" t="s">
        <v>661</v>
      </c>
      <c r="CL6" t="s">
        <v>662</v>
      </c>
      <c r="CM6" t="s">
        <v>663</v>
      </c>
      <c r="CN6" t="s">
        <v>664</v>
      </c>
      <c r="CO6" t="s">
        <v>665</v>
      </c>
      <c r="CP6" t="s">
        <v>666</v>
      </c>
      <c r="CQ6" t="s">
        <v>667</v>
      </c>
      <c r="CR6" t="s">
        <v>668</v>
      </c>
      <c r="CS6" t="s">
        <v>669</v>
      </c>
      <c r="CT6" t="s">
        <v>670</v>
      </c>
      <c r="CU6" t="s">
        <v>671</v>
      </c>
      <c r="CV6" t="s">
        <v>672</v>
      </c>
      <c r="CW6" t="s">
        <v>673</v>
      </c>
      <c r="CX6" t="s">
        <v>674</v>
      </c>
      <c r="CY6" t="s">
        <v>675</v>
      </c>
      <c r="CZ6" t="s">
        <v>676</v>
      </c>
      <c r="DA6" t="s">
        <v>677</v>
      </c>
      <c r="DB6" t="s">
        <v>678</v>
      </c>
      <c r="DC6" t="s">
        <v>679</v>
      </c>
      <c r="DD6" t="s">
        <v>680</v>
      </c>
      <c r="DE6" t="s">
        <v>681</v>
      </c>
      <c r="DF6" t="s">
        <v>682</v>
      </c>
      <c r="DG6" t="s">
        <v>683</v>
      </c>
      <c r="DH6" t="s">
        <v>684</v>
      </c>
      <c r="DI6" t="s">
        <v>685</v>
      </c>
      <c r="DJ6" t="s">
        <v>686</v>
      </c>
      <c r="DK6" t="s">
        <v>687</v>
      </c>
      <c r="DL6" t="s">
        <v>688</v>
      </c>
      <c r="DM6" t="s">
        <v>689</v>
      </c>
      <c r="DN6" t="s">
        <v>690</v>
      </c>
      <c r="DO6" t="s">
        <v>691</v>
      </c>
      <c r="DP6" t="s">
        <v>692</v>
      </c>
      <c r="DQ6" t="s">
        <v>693</v>
      </c>
      <c r="DR6" t="s">
        <v>694</v>
      </c>
      <c r="DS6" t="s">
        <v>695</v>
      </c>
      <c r="DT6" t="s">
        <v>696</v>
      </c>
      <c r="DU6" t="s">
        <v>697</v>
      </c>
      <c r="DV6" t="s">
        <v>698</v>
      </c>
    </row>
    <row r="10" spans="1:126">
      <c r="F10" t="e">
        <f>#REF!</f>
        <v>#REF!</v>
      </c>
      <c r="G10" t="s">
        <v>699</v>
      </c>
    </row>
    <row r="11" spans="1:126">
      <c r="A11" s="1">
        <v>102</v>
      </c>
      <c r="F11" t="e">
        <f>#REF!</f>
        <v>#REF!</v>
      </c>
      <c r="G11" t="s">
        <v>700</v>
      </c>
    </row>
    <row r="12" spans="1:126">
      <c r="F12" t="e">
        <f>#REF!</f>
        <v>#REF!</v>
      </c>
      <c r="G12" t="s">
        <v>701</v>
      </c>
    </row>
    <row r="13" spans="1:126">
      <c r="F13" t="e">
        <f>#REF!</f>
        <v>#REF!</v>
      </c>
      <c r="G13" t="s">
        <v>702</v>
      </c>
    </row>
    <row r="14" spans="1:126">
      <c r="F14" t="e">
        <f>#REF!</f>
        <v>#REF!</v>
      </c>
      <c r="G14" t="s">
        <v>703</v>
      </c>
    </row>
    <row r="15" spans="1:126">
      <c r="A15" s="1">
        <v>34</v>
      </c>
      <c r="F15" t="e">
        <f>#REF!</f>
        <v>#REF!</v>
      </c>
      <c r="G15" t="s">
        <v>704</v>
      </c>
      <c r="R15" t="e">
        <f>#REF!</f>
        <v>#REF!</v>
      </c>
      <c r="S15" t="s">
        <v>705</v>
      </c>
    </row>
    <row r="16" spans="1:126">
      <c r="F16" t="e">
        <f>#REF!</f>
        <v>#REF!</v>
      </c>
      <c r="G16" t="s">
        <v>706</v>
      </c>
      <c r="R16" t="e">
        <f>#REF!</f>
        <v>#REF!</v>
      </c>
      <c r="S16" t="s">
        <v>707</v>
      </c>
    </row>
    <row r="17" spans="6:19">
      <c r="F17" t="e">
        <f>#REF!</f>
        <v>#REF!</v>
      </c>
      <c r="G17" t="s">
        <v>708</v>
      </c>
      <c r="R17" t="e">
        <f>#REF!</f>
        <v>#REF!</v>
      </c>
      <c r="S17" t="s">
        <v>709</v>
      </c>
    </row>
    <row r="18" spans="6:19">
      <c r="F18" t="e">
        <f>#REF!</f>
        <v>#REF!</v>
      </c>
      <c r="G18" t="s">
        <v>710</v>
      </c>
      <c r="R18" t="e">
        <f>#REF!</f>
        <v>#REF!</v>
      </c>
      <c r="S18" t="s">
        <v>711</v>
      </c>
    </row>
    <row r="19" spans="6:19">
      <c r="F19" t="e">
        <f>#REF!</f>
        <v>#REF!</v>
      </c>
      <c r="G19" t="s">
        <v>712</v>
      </c>
      <c r="R19" t="e">
        <f>#REF!</f>
        <v>#REF!</v>
      </c>
      <c r="S19" t="s">
        <v>713</v>
      </c>
    </row>
    <row r="20" spans="6:19">
      <c r="F20" t="e">
        <f>#REF!</f>
        <v>#REF!</v>
      </c>
      <c r="G20" t="s">
        <v>714</v>
      </c>
      <c r="R20" t="e">
        <f>#REF!</f>
        <v>#REF!</v>
      </c>
      <c r="S20" t="s">
        <v>715</v>
      </c>
    </row>
    <row r="21" spans="6:19">
      <c r="F21" t="e">
        <f>#REF!</f>
        <v>#REF!</v>
      </c>
      <c r="G21" t="s">
        <v>716</v>
      </c>
      <c r="R21" t="e">
        <f>#REF!</f>
        <v>#REF!</v>
      </c>
      <c r="S21" t="s">
        <v>717</v>
      </c>
    </row>
    <row r="22" spans="6:19">
      <c r="F22" t="e">
        <f>#REF!</f>
        <v>#REF!</v>
      </c>
      <c r="G22" t="s">
        <v>718</v>
      </c>
      <c r="R22" t="e">
        <f>#REF!</f>
        <v>#REF!</v>
      </c>
      <c r="S22" t="s">
        <v>719</v>
      </c>
    </row>
    <row r="23" spans="6:19">
      <c r="F23" t="e">
        <f>#REF!</f>
        <v>#REF!</v>
      </c>
      <c r="G23" t="s">
        <v>720</v>
      </c>
      <c r="R23" t="e">
        <f>#REF!</f>
        <v>#REF!</v>
      </c>
      <c r="S23" t="s">
        <v>721</v>
      </c>
    </row>
    <row r="24" spans="6:19">
      <c r="F24" t="e">
        <f>#REF!</f>
        <v>#REF!</v>
      </c>
      <c r="G24" t="s">
        <v>722</v>
      </c>
      <c r="R24" t="e">
        <f>#REF!</f>
        <v>#REF!</v>
      </c>
      <c r="S24" t="s">
        <v>723</v>
      </c>
    </row>
    <row r="25" spans="6:19">
      <c r="F25" t="e">
        <f>#REF!</f>
        <v>#REF!</v>
      </c>
      <c r="G25" t="s">
        <v>724</v>
      </c>
      <c r="R25" t="e">
        <f>#REF!</f>
        <v>#REF!</v>
      </c>
      <c r="S25" t="s">
        <v>725</v>
      </c>
    </row>
    <row r="26" spans="6:19">
      <c r="F26" t="e">
        <f>#REF!</f>
        <v>#REF!</v>
      </c>
      <c r="G26" t="s">
        <v>726</v>
      </c>
      <c r="R26" t="e">
        <f>#REF!</f>
        <v>#REF!</v>
      </c>
      <c r="S26" t="s">
        <v>727</v>
      </c>
    </row>
    <row r="27" spans="6:19">
      <c r="F27" t="e">
        <f>#REF!</f>
        <v>#REF!</v>
      </c>
      <c r="G27" t="s">
        <v>728</v>
      </c>
      <c r="R27" t="e">
        <f>#REF!</f>
        <v>#REF!</v>
      </c>
      <c r="S27" t="s">
        <v>729</v>
      </c>
    </row>
    <row r="28" spans="6:19">
      <c r="F28" t="e">
        <f>#REF!</f>
        <v>#REF!</v>
      </c>
      <c r="G28" t="s">
        <v>730</v>
      </c>
      <c r="R28" t="e">
        <f>#REF!</f>
        <v>#REF!</v>
      </c>
      <c r="S28" t="s">
        <v>731</v>
      </c>
    </row>
    <row r="29" spans="6:19">
      <c r="F29" t="e">
        <f>#REF!</f>
        <v>#REF!</v>
      </c>
      <c r="G29" t="s">
        <v>732</v>
      </c>
      <c r="R29" t="e">
        <f>#REF!</f>
        <v>#REF!</v>
      </c>
      <c r="S29" t="s">
        <v>733</v>
      </c>
    </row>
    <row r="30" spans="6:19">
      <c r="F30" t="e">
        <f>#REF!</f>
        <v>#REF!</v>
      </c>
      <c r="G30" t="s">
        <v>734</v>
      </c>
      <c r="R30" t="e">
        <f>#REF!</f>
        <v>#REF!</v>
      </c>
      <c r="S30" t="s">
        <v>735</v>
      </c>
    </row>
    <row r="31" spans="6:19">
      <c r="F31" t="e">
        <f>#REF!</f>
        <v>#REF!</v>
      </c>
      <c r="G31" t="s">
        <v>736</v>
      </c>
      <c r="R31" t="e">
        <f>'N.00 Lead sheet'!#REF!</f>
        <v>#REF!</v>
      </c>
      <c r="S31" t="s">
        <v>737</v>
      </c>
    </row>
    <row r="32" spans="6:19">
      <c r="F32" t="e">
        <f>#REF!</f>
        <v>#REF!</v>
      </c>
      <c r="G32" t="s">
        <v>738</v>
      </c>
      <c r="R32" t="e">
        <f>'N.00 Lead sheet'!#REF!</f>
        <v>#REF!</v>
      </c>
      <c r="S32" t="s">
        <v>739</v>
      </c>
    </row>
    <row r="33" spans="6:19">
      <c r="F33" t="e">
        <f>#REF!</f>
        <v>#REF!</v>
      </c>
      <c r="G33" t="s">
        <v>740</v>
      </c>
      <c r="R33" t="e">
        <f>'N.00 Lead sheet'!#REF!</f>
        <v>#REF!</v>
      </c>
      <c r="S33" t="s">
        <v>741</v>
      </c>
    </row>
    <row r="34" spans="6:19">
      <c r="F34" t="e">
        <f>#REF!</f>
        <v>#REF!</v>
      </c>
      <c r="G34" t="s">
        <v>742</v>
      </c>
      <c r="R34" t="e">
        <f>'N.00 Lead sheet'!#REF!</f>
        <v>#REF!</v>
      </c>
      <c r="S34" t="s">
        <v>743</v>
      </c>
    </row>
    <row r="35" spans="6:19">
      <c r="F35" t="e">
        <f>#REF!</f>
        <v>#REF!</v>
      </c>
      <c r="G35" t="s">
        <v>744</v>
      </c>
    </row>
    <row r="36" spans="6:19">
      <c r="F36" t="e">
        <f>#REF!</f>
        <v>#REF!</v>
      </c>
      <c r="G36" t="s">
        <v>745</v>
      </c>
    </row>
    <row r="37" spans="6:19">
      <c r="F37" t="e">
        <f>#REF!</f>
        <v>#REF!</v>
      </c>
      <c r="G37" t="s">
        <v>746</v>
      </c>
    </row>
    <row r="38" spans="6:19">
      <c r="F38" t="e">
        <f>#REF!</f>
        <v>#REF!</v>
      </c>
      <c r="G38" t="s">
        <v>747</v>
      </c>
    </row>
    <row r="39" spans="6:19">
      <c r="F39" t="e">
        <f>#REF!</f>
        <v>#REF!</v>
      </c>
      <c r="G39" t="s">
        <v>748</v>
      </c>
    </row>
    <row r="40" spans="6:19">
      <c r="F40" t="e">
        <f>#REF!</f>
        <v>#REF!</v>
      </c>
      <c r="G40" t="s">
        <v>749</v>
      </c>
    </row>
    <row r="41" spans="6:19">
      <c r="F41" t="e">
        <f>#REF!</f>
        <v>#REF!</v>
      </c>
      <c r="G41" t="s">
        <v>750</v>
      </c>
    </row>
    <row r="42" spans="6:19">
      <c r="F42" t="e">
        <f>#REF!</f>
        <v>#REF!</v>
      </c>
      <c r="G42" t="s">
        <v>751</v>
      </c>
    </row>
    <row r="43" spans="6:19">
      <c r="F43" t="e">
        <f>#REF!</f>
        <v>#REF!</v>
      </c>
      <c r="G43" t="s">
        <v>752</v>
      </c>
    </row>
    <row r="44" spans="6:19">
      <c r="F44" t="e">
        <f>#REF!</f>
        <v>#REF!</v>
      </c>
      <c r="G44" t="s">
        <v>753</v>
      </c>
    </row>
    <row r="45" spans="6:19">
      <c r="F45" t="e">
        <f>#REF!</f>
        <v>#REF!</v>
      </c>
      <c r="G45" t="s">
        <v>754</v>
      </c>
    </row>
    <row r="46" spans="6:19">
      <c r="F46" t="e">
        <f>#REF!</f>
        <v>#REF!</v>
      </c>
      <c r="G46" t="s">
        <v>755</v>
      </c>
    </row>
    <row r="47" spans="6:19">
      <c r="F47" t="e">
        <f>#REF!</f>
        <v>#REF!</v>
      </c>
      <c r="G47" t="s">
        <v>756</v>
      </c>
    </row>
    <row r="48" spans="6:19">
      <c r="F48" t="e">
        <f>#REF!</f>
        <v>#REF!</v>
      </c>
      <c r="G48" t="s">
        <v>757</v>
      </c>
    </row>
    <row r="49" spans="6:7">
      <c r="F49" t="e">
        <f>#REF!</f>
        <v>#REF!</v>
      </c>
      <c r="G49" t="s">
        <v>758</v>
      </c>
    </row>
    <row r="50" spans="6:7">
      <c r="F50" t="e">
        <f>#REF!</f>
        <v>#REF!</v>
      </c>
      <c r="G50" t="s">
        <v>759</v>
      </c>
    </row>
    <row r="51" spans="6:7">
      <c r="F51" t="e">
        <f>#REF!</f>
        <v>#REF!</v>
      </c>
      <c r="G51" t="s">
        <v>760</v>
      </c>
    </row>
    <row r="52" spans="6:7">
      <c r="F52" t="e">
        <f>#REF!</f>
        <v>#REF!</v>
      </c>
      <c r="G52" t="s">
        <v>761</v>
      </c>
    </row>
    <row r="53" spans="6:7">
      <c r="F53" t="e">
        <f>#REF!</f>
        <v>#REF!</v>
      </c>
      <c r="G53" t="s">
        <v>762</v>
      </c>
    </row>
    <row r="54" spans="6:7">
      <c r="F54" t="e">
        <f>#REF!</f>
        <v>#REF!</v>
      </c>
      <c r="G54" t="s">
        <v>763</v>
      </c>
    </row>
    <row r="55" spans="6:7">
      <c r="F55" t="e">
        <f>'N.03 截止测试'!#REF!</f>
        <v>#REF!</v>
      </c>
      <c r="G55" t="s">
        <v>764</v>
      </c>
    </row>
    <row r="56" spans="6:7">
      <c r="F56" t="e">
        <f>'N.03 截止测试'!#REF!</f>
        <v>#REF!</v>
      </c>
      <c r="G56" t="s">
        <v>765</v>
      </c>
    </row>
    <row r="57" spans="6:7">
      <c r="F57" t="e">
        <f>'N.03 截止测试'!#REF!</f>
        <v>#REF!</v>
      </c>
      <c r="G57" t="s">
        <v>766</v>
      </c>
    </row>
    <row r="58" spans="6:7">
      <c r="F58" t="e">
        <f>'N.03 截止测试'!#REF!</f>
        <v>#REF!</v>
      </c>
      <c r="G58" t="s">
        <v>767</v>
      </c>
    </row>
    <row r="59" spans="6:7">
      <c r="F59" t="e">
        <f>'N.03 截止测试'!#REF!</f>
        <v>#REF!</v>
      </c>
      <c r="G59" t="s">
        <v>768</v>
      </c>
    </row>
    <row r="60" spans="6:7">
      <c r="F60" t="e">
        <f>'N.03 截止测试'!#REF!</f>
        <v>#REF!</v>
      </c>
      <c r="G60" t="s">
        <v>769</v>
      </c>
    </row>
    <row r="61" spans="6:7">
      <c r="F61" t="e">
        <f>'N.03 截止测试'!#REF!</f>
        <v>#REF!</v>
      </c>
      <c r="G61" t="s">
        <v>770</v>
      </c>
    </row>
    <row r="62" spans="6:7">
      <c r="F62" t="e">
        <f>'N.03 截止测试'!#REF!</f>
        <v>#REF!</v>
      </c>
      <c r="G62" t="s">
        <v>771</v>
      </c>
    </row>
    <row r="63" spans="6:7">
      <c r="F63" t="e">
        <f>'N.03 截止测试'!#REF!</f>
        <v>#REF!</v>
      </c>
      <c r="G63" t="s">
        <v>772</v>
      </c>
    </row>
    <row r="64" spans="6:7">
      <c r="F64" t="e">
        <f>'N.03 截止测试'!#REF!</f>
        <v>#REF!</v>
      </c>
      <c r="G64" t="s">
        <v>773</v>
      </c>
    </row>
    <row r="65" spans="6:7">
      <c r="F65" t="e">
        <f>'N.03 截止测试'!#REF!</f>
        <v>#REF!</v>
      </c>
      <c r="G65" t="s">
        <v>774</v>
      </c>
    </row>
    <row r="66" spans="6:7">
      <c r="F66" t="e">
        <f>'N.03 截止测试'!#REF!</f>
        <v>#REF!</v>
      </c>
      <c r="G66" t="s">
        <v>775</v>
      </c>
    </row>
    <row r="67" spans="6:7">
      <c r="F67" t="e">
        <f>'N.03 截止测试'!#REF!</f>
        <v>#REF!</v>
      </c>
      <c r="G67" t="s">
        <v>776</v>
      </c>
    </row>
    <row r="68" spans="6:7">
      <c r="F68" t="e">
        <f>'N.03 截止测试'!#REF!</f>
        <v>#REF!</v>
      </c>
      <c r="G68" t="s">
        <v>777</v>
      </c>
    </row>
    <row r="69" spans="6:7">
      <c r="F69" t="e">
        <f>'N.03 截止测试'!#REF!</f>
        <v>#REF!</v>
      </c>
      <c r="G69" t="s">
        <v>778</v>
      </c>
    </row>
    <row r="70" spans="6:7">
      <c r="F70" t="e">
        <f>'N.03 截止测试'!#REF!</f>
        <v>#REF!</v>
      </c>
      <c r="G70" t="s">
        <v>779</v>
      </c>
    </row>
    <row r="71" spans="6:7">
      <c r="F71" t="e">
        <f>'N.03 截止测试'!#REF!</f>
        <v>#REF!</v>
      </c>
      <c r="G71" t="s">
        <v>780</v>
      </c>
    </row>
    <row r="72" spans="6:7">
      <c r="F72" t="e">
        <f>'N.03 截止测试'!#REF!</f>
        <v>#REF!</v>
      </c>
      <c r="G72" t="s">
        <v>781</v>
      </c>
    </row>
    <row r="73" spans="6:7">
      <c r="F73" t="e">
        <f>'N.03 截止测试'!#REF!</f>
        <v>#REF!</v>
      </c>
      <c r="G73" t="s">
        <v>782</v>
      </c>
    </row>
    <row r="74" spans="6:7">
      <c r="F74" t="e">
        <f>'N.03 截止测试'!#REF!</f>
        <v>#REF!</v>
      </c>
      <c r="G74" t="s">
        <v>783</v>
      </c>
    </row>
    <row r="75" spans="6:7">
      <c r="F75" t="e">
        <f>'N.03 截止测试'!#REF!</f>
        <v>#REF!</v>
      </c>
      <c r="G75" t="s">
        <v>784</v>
      </c>
    </row>
    <row r="76" spans="6:7">
      <c r="F76" t="e">
        <f>'N.03 截止测试'!#REF!</f>
        <v>#REF!</v>
      </c>
      <c r="G76" t="s">
        <v>785</v>
      </c>
    </row>
    <row r="77" spans="6:7">
      <c r="F77" t="e">
        <f>'N.03 截止测试'!#REF!</f>
        <v>#REF!</v>
      </c>
      <c r="G77" t="s">
        <v>786</v>
      </c>
    </row>
    <row r="78" spans="6:7">
      <c r="F78" t="e">
        <f>'N.03 截止测试'!#REF!</f>
        <v>#REF!</v>
      </c>
      <c r="G78" t="s">
        <v>787</v>
      </c>
    </row>
    <row r="79" spans="6:7">
      <c r="F79" t="e">
        <f>'N.03 截止测试'!#REF!</f>
        <v>#REF!</v>
      </c>
      <c r="G79" t="s">
        <v>788</v>
      </c>
    </row>
    <row r="80" spans="6:7">
      <c r="F80" t="e">
        <f>'N.03 截止测试'!#REF!</f>
        <v>#REF!</v>
      </c>
      <c r="G80" t="s">
        <v>789</v>
      </c>
    </row>
    <row r="81" spans="6:7">
      <c r="F81" t="e">
        <f>#REF!</f>
        <v>#REF!</v>
      </c>
      <c r="G81" t="s">
        <v>790</v>
      </c>
    </row>
    <row r="82" spans="6:7">
      <c r="F82" t="e">
        <f>'N.03 截止测试'!#REF!</f>
        <v>#REF!</v>
      </c>
      <c r="G82" t="s">
        <v>791</v>
      </c>
    </row>
    <row r="93" spans="6:7">
      <c r="F93" t="e">
        <f>'N.00 Lead sheet'!#REF!</f>
        <v>#REF!</v>
      </c>
      <c r="G93" t="s">
        <v>792</v>
      </c>
    </row>
    <row r="94" spans="6:7">
      <c r="F94" t="e">
        <f>'N.00 Lead sheet'!#REF!</f>
        <v>#REF!</v>
      </c>
      <c r="G94" t="s">
        <v>793</v>
      </c>
    </row>
    <row r="95" spans="6:7">
      <c r="F95" t="e">
        <f>'N.00 Lead sheet'!#REF!</f>
        <v>#REF!</v>
      </c>
      <c r="G95" t="s">
        <v>794</v>
      </c>
    </row>
    <row r="96" spans="6:7">
      <c r="F96" t="e">
        <f>'N.00 Lead sheet'!#REF!</f>
        <v>#REF!</v>
      </c>
      <c r="G96" t="s">
        <v>795</v>
      </c>
    </row>
    <row r="97" spans="6:7">
      <c r="F97" t="e">
        <f>'N.00 Lead sheet'!#REF!</f>
        <v>#REF!</v>
      </c>
      <c r="G97" t="s">
        <v>796</v>
      </c>
    </row>
    <row r="98" spans="6:7">
      <c r="F98" t="e">
        <f>'N.00 Lead sheet'!#REF!</f>
        <v>#REF!</v>
      </c>
      <c r="G98" t="s">
        <v>797</v>
      </c>
    </row>
    <row r="99" spans="6:7">
      <c r="F99" t="e">
        <f>'N.00 Lead sheet'!#REF!</f>
        <v>#REF!</v>
      </c>
      <c r="G99" t="s">
        <v>798</v>
      </c>
    </row>
    <row r="100" spans="6:7">
      <c r="F100" t="e">
        <f>'N.00 Lead sheet'!#REF!</f>
        <v>#REF!</v>
      </c>
      <c r="G100" t="s">
        <v>799</v>
      </c>
    </row>
    <row r="101" spans="6:7">
      <c r="F101" t="e">
        <f>'N.00 Lead sheet'!#REF!</f>
        <v>#REF!</v>
      </c>
      <c r="G101" t="s">
        <v>800</v>
      </c>
    </row>
    <row r="102" spans="6:7">
      <c r="F102" t="e">
        <f>'N.00 Lead sheet'!#REF!</f>
        <v>#REF!</v>
      </c>
      <c r="G102" t="s">
        <v>801</v>
      </c>
    </row>
  </sheetData>
  <phoneticPr fontId="25"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7BA0-AA2E-482E-9E6E-B9448B252304}">
  <dimension ref="A1:BD8"/>
  <sheetViews>
    <sheetView workbookViewId="0"/>
  </sheetViews>
  <sheetFormatPr defaultRowHeight="13.8"/>
  <cols>
    <col min="17" max="17" width="12.44140625" bestFit="1" customWidth="1"/>
    <col min="20" max="20" width="8.77734375" bestFit="1" customWidth="1"/>
    <col min="37" max="37" width="12.44140625" bestFit="1" customWidth="1"/>
    <col min="40" max="40" width="8.77734375" bestFit="1" customWidth="1"/>
    <col min="41" max="41" width="12.44140625" bestFit="1" customWidth="1"/>
    <col min="44" max="44" width="8.77734375" bestFit="1" customWidth="1"/>
  </cols>
  <sheetData>
    <row r="1" spans="1:56">
      <c r="A1" t="s">
        <v>802</v>
      </c>
      <c r="B1" t="s">
        <v>803</v>
      </c>
      <c r="C1" t="s">
        <v>804</v>
      </c>
      <c r="D1">
        <v>7</v>
      </c>
      <c r="E1">
        <v>1750122331480</v>
      </c>
      <c r="F1" t="s">
        <v>805</v>
      </c>
      <c r="G1" t="s">
        <v>806</v>
      </c>
      <c r="H1">
        <v>0</v>
      </c>
      <c r="I1">
        <v>1751610980233</v>
      </c>
      <c r="J1" t="s">
        <v>807</v>
      </c>
      <c r="K1" t="s">
        <v>808</v>
      </c>
      <c r="L1">
        <v>0</v>
      </c>
      <c r="M1">
        <v>1752894159861</v>
      </c>
      <c r="N1" t="s">
        <v>809</v>
      </c>
      <c r="O1" t="s">
        <v>810</v>
      </c>
      <c r="P1">
        <v>0</v>
      </c>
      <c r="Q1">
        <v>1753064493301</v>
      </c>
      <c r="R1" t="s">
        <v>811</v>
      </c>
      <c r="S1" t="s">
        <v>812</v>
      </c>
      <c r="T1">
        <v>0</v>
      </c>
      <c r="U1">
        <v>1753670870641</v>
      </c>
      <c r="V1" t="s">
        <v>813</v>
      </c>
      <c r="W1" t="s">
        <v>814</v>
      </c>
      <c r="X1">
        <v>0</v>
      </c>
      <c r="Y1">
        <v>1753929300694</v>
      </c>
      <c r="Z1" t="s">
        <v>815</v>
      </c>
      <c r="AA1" t="s">
        <v>816</v>
      </c>
      <c r="AB1">
        <v>0</v>
      </c>
      <c r="AC1">
        <v>1754231570087</v>
      </c>
      <c r="AD1" t="s">
        <v>817</v>
      </c>
      <c r="AE1" t="s">
        <v>818</v>
      </c>
      <c r="AF1">
        <v>0</v>
      </c>
      <c r="AG1">
        <v>1754622215229</v>
      </c>
      <c r="AH1" t="s">
        <v>819</v>
      </c>
      <c r="AI1" t="s">
        <v>820</v>
      </c>
      <c r="AJ1">
        <v>0</v>
      </c>
      <c r="AK1">
        <v>1754908369003</v>
      </c>
      <c r="AL1" t="s">
        <v>821</v>
      </c>
      <c r="AM1" t="s">
        <v>822</v>
      </c>
      <c r="AN1">
        <v>0</v>
      </c>
      <c r="AO1">
        <v>1755583113654</v>
      </c>
      <c r="AP1" t="s">
        <v>823</v>
      </c>
      <c r="AQ1" t="s">
        <v>824</v>
      </c>
      <c r="AR1">
        <v>0</v>
      </c>
      <c r="AS1">
        <v>1755843303948</v>
      </c>
      <c r="AT1" t="s">
        <v>825</v>
      </c>
      <c r="AU1" t="s">
        <v>826</v>
      </c>
      <c r="AV1">
        <v>0</v>
      </c>
      <c r="AW1">
        <v>1758097151052</v>
      </c>
      <c r="AX1" t="s">
        <v>827</v>
      </c>
      <c r="AY1" t="s">
        <v>828</v>
      </c>
      <c r="AZ1">
        <v>0</v>
      </c>
      <c r="BA1">
        <v>1774169799769</v>
      </c>
      <c r="BB1" t="s">
        <v>1026</v>
      </c>
      <c r="BC1" t="s">
        <v>1027</v>
      </c>
      <c r="BD1">
        <v>0</v>
      </c>
    </row>
    <row r="2" spans="1:56">
      <c r="A2">
        <v>1748585561355</v>
      </c>
      <c r="B2" t="s">
        <v>829</v>
      </c>
      <c r="C2" t="s">
        <v>830</v>
      </c>
      <c r="D2" t="s">
        <v>831</v>
      </c>
    </row>
    <row r="3" spans="1:56">
      <c r="A3">
        <v>1748585561356</v>
      </c>
      <c r="B3" t="s">
        <v>829</v>
      </c>
      <c r="C3" t="s">
        <v>832</v>
      </c>
      <c r="D3" t="s">
        <v>833</v>
      </c>
    </row>
    <row r="4" spans="1:56">
      <c r="A4">
        <v>1748585561356</v>
      </c>
      <c r="B4" t="s">
        <v>829</v>
      </c>
      <c r="C4" t="s">
        <v>834</v>
      </c>
      <c r="D4" t="s">
        <v>835</v>
      </c>
    </row>
    <row r="5" spans="1:56">
      <c r="A5">
        <v>1748585561356</v>
      </c>
      <c r="B5" t="s">
        <v>829</v>
      </c>
      <c r="C5" t="s">
        <v>836</v>
      </c>
      <c r="D5" t="s">
        <v>837</v>
      </c>
    </row>
    <row r="6" spans="1:56">
      <c r="A6">
        <v>1748585561356</v>
      </c>
      <c r="B6" t="s">
        <v>829</v>
      </c>
      <c r="C6" t="s">
        <v>838</v>
      </c>
      <c r="D6" t="s">
        <v>839</v>
      </c>
    </row>
    <row r="7" spans="1:56">
      <c r="A7">
        <v>1748585561364</v>
      </c>
      <c r="B7" t="s">
        <v>829</v>
      </c>
      <c r="C7" t="s">
        <v>830</v>
      </c>
      <c r="D7" t="s">
        <v>840</v>
      </c>
    </row>
    <row r="8" spans="1:56">
      <c r="A8">
        <v>1748585561365</v>
      </c>
      <c r="B8" t="s">
        <v>829</v>
      </c>
      <c r="C8" t="s">
        <v>834</v>
      </c>
      <c r="D8" t="s">
        <v>841</v>
      </c>
    </row>
  </sheetData>
  <phoneticPr fontId="2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F7E9-3068-4CC6-88E0-F6814E877A7F}">
  <dimension ref="A1:BD1"/>
  <sheetViews>
    <sheetView workbookViewId="0"/>
  </sheetViews>
  <sheetFormatPr defaultRowHeight="13.8"/>
  <cols>
    <col min="17" max="17" width="12.44140625" bestFit="1" customWidth="1"/>
    <col min="20" max="20" width="8.77734375" bestFit="1" customWidth="1"/>
    <col min="37" max="37" width="12.44140625" bestFit="1" customWidth="1"/>
    <col min="40" max="40" width="8.77734375" bestFit="1" customWidth="1"/>
    <col min="41" max="41" width="12.44140625" bestFit="1" customWidth="1"/>
    <col min="44" max="44" width="8.77734375" bestFit="1" customWidth="1"/>
  </cols>
  <sheetData>
    <row r="1" spans="1:56">
      <c r="A1" t="s">
        <v>842</v>
      </c>
      <c r="B1" t="s">
        <v>803</v>
      </c>
      <c r="C1" t="s">
        <v>804</v>
      </c>
      <c r="D1">
        <v>0</v>
      </c>
      <c r="E1">
        <v>1750122332471</v>
      </c>
      <c r="F1" t="s">
        <v>805</v>
      </c>
      <c r="G1" t="s">
        <v>806</v>
      </c>
      <c r="H1">
        <v>0</v>
      </c>
      <c r="I1">
        <v>1751610980273</v>
      </c>
      <c r="J1" t="s">
        <v>807</v>
      </c>
      <c r="K1" t="s">
        <v>808</v>
      </c>
      <c r="L1">
        <v>0</v>
      </c>
      <c r="M1">
        <v>1752894160249</v>
      </c>
      <c r="N1" t="s">
        <v>809</v>
      </c>
      <c r="O1" t="s">
        <v>810</v>
      </c>
      <c r="P1">
        <v>0</v>
      </c>
      <c r="Q1">
        <v>1753064494156</v>
      </c>
      <c r="R1" t="s">
        <v>811</v>
      </c>
      <c r="S1" t="s">
        <v>812</v>
      </c>
      <c r="T1">
        <v>0</v>
      </c>
      <c r="U1">
        <v>1753670870723</v>
      </c>
      <c r="V1" t="s">
        <v>813</v>
      </c>
      <c r="W1" t="s">
        <v>814</v>
      </c>
      <c r="X1">
        <v>0</v>
      </c>
      <c r="Y1">
        <v>1753929300761</v>
      </c>
      <c r="Z1" t="s">
        <v>815</v>
      </c>
      <c r="AA1" t="s">
        <v>816</v>
      </c>
      <c r="AB1">
        <v>0</v>
      </c>
      <c r="AC1">
        <v>1754231570092</v>
      </c>
      <c r="AD1" t="s">
        <v>817</v>
      </c>
      <c r="AE1" t="s">
        <v>818</v>
      </c>
      <c r="AF1">
        <v>0</v>
      </c>
      <c r="AG1">
        <v>1754622215241</v>
      </c>
      <c r="AH1" t="s">
        <v>819</v>
      </c>
      <c r="AI1" t="s">
        <v>820</v>
      </c>
      <c r="AJ1">
        <v>0</v>
      </c>
      <c r="AK1">
        <v>1754908369170</v>
      </c>
      <c r="AL1" t="s">
        <v>821</v>
      </c>
      <c r="AM1" t="s">
        <v>822</v>
      </c>
      <c r="AN1">
        <v>0</v>
      </c>
      <c r="AO1">
        <v>1755583113685</v>
      </c>
      <c r="AP1" t="s">
        <v>823</v>
      </c>
      <c r="AQ1" t="s">
        <v>824</v>
      </c>
      <c r="AR1">
        <v>0</v>
      </c>
      <c r="AS1">
        <v>1755843304072</v>
      </c>
      <c r="AT1" t="s">
        <v>825</v>
      </c>
      <c r="AU1" t="s">
        <v>826</v>
      </c>
      <c r="AV1">
        <v>0</v>
      </c>
      <c r="AW1">
        <v>1758097151059</v>
      </c>
      <c r="AX1" t="s">
        <v>827</v>
      </c>
      <c r="AY1" t="s">
        <v>828</v>
      </c>
      <c r="AZ1">
        <v>0</v>
      </c>
      <c r="BA1">
        <v>1774169799817</v>
      </c>
      <c r="BB1" t="s">
        <v>1026</v>
      </c>
      <c r="BC1" t="s">
        <v>1027</v>
      </c>
      <c r="BD1">
        <v>0</v>
      </c>
    </row>
  </sheetData>
  <phoneticPr fontId="2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8C88-416C-48E4-AEDD-0198AA6FD8E8}">
  <dimension ref="A1:BD1"/>
  <sheetViews>
    <sheetView workbookViewId="0"/>
  </sheetViews>
  <sheetFormatPr defaultRowHeight="13.8"/>
  <cols>
    <col min="17" max="17" width="12.44140625" bestFit="1" customWidth="1"/>
    <col min="20" max="20" width="8.77734375" bestFit="1" customWidth="1"/>
    <col min="37" max="37" width="12.44140625" bestFit="1" customWidth="1"/>
    <col min="40" max="40" width="8.77734375" bestFit="1" customWidth="1"/>
    <col min="41" max="41" width="12.44140625" bestFit="1" customWidth="1"/>
    <col min="44" max="44" width="8.77734375" bestFit="1" customWidth="1"/>
  </cols>
  <sheetData>
    <row r="1" spans="1:56">
      <c r="A1" t="s">
        <v>843</v>
      </c>
      <c r="B1" t="s">
        <v>803</v>
      </c>
      <c r="C1" t="s">
        <v>804</v>
      </c>
      <c r="D1">
        <v>0</v>
      </c>
      <c r="E1">
        <v>1750122332538</v>
      </c>
      <c r="F1" t="s">
        <v>805</v>
      </c>
      <c r="G1" t="s">
        <v>806</v>
      </c>
      <c r="H1">
        <v>0</v>
      </c>
      <c r="I1">
        <v>1751610980289</v>
      </c>
      <c r="J1" t="s">
        <v>807</v>
      </c>
      <c r="K1" t="s">
        <v>808</v>
      </c>
      <c r="L1">
        <v>0</v>
      </c>
      <c r="M1">
        <v>1752894160287</v>
      </c>
      <c r="N1" t="s">
        <v>809</v>
      </c>
      <c r="O1" t="s">
        <v>810</v>
      </c>
      <c r="P1">
        <v>0</v>
      </c>
      <c r="Q1">
        <v>1753064494161</v>
      </c>
      <c r="R1" t="s">
        <v>811</v>
      </c>
      <c r="S1" t="s">
        <v>812</v>
      </c>
      <c r="T1">
        <v>0</v>
      </c>
      <c r="U1">
        <v>1753670871023</v>
      </c>
      <c r="V1" t="s">
        <v>813</v>
      </c>
      <c r="W1" t="s">
        <v>814</v>
      </c>
      <c r="X1">
        <v>0</v>
      </c>
      <c r="Y1">
        <v>1753929300911</v>
      </c>
      <c r="Z1" t="s">
        <v>815</v>
      </c>
      <c r="AA1" t="s">
        <v>816</v>
      </c>
      <c r="AB1">
        <v>0</v>
      </c>
      <c r="AC1">
        <v>1754231570092</v>
      </c>
      <c r="AD1" t="s">
        <v>817</v>
      </c>
      <c r="AE1" t="s">
        <v>818</v>
      </c>
      <c r="AF1">
        <v>0</v>
      </c>
      <c r="AG1">
        <v>1754622215247</v>
      </c>
      <c r="AH1" t="s">
        <v>819</v>
      </c>
      <c r="AI1" t="s">
        <v>820</v>
      </c>
      <c r="AJ1">
        <v>0</v>
      </c>
      <c r="AK1">
        <v>1754908369250</v>
      </c>
      <c r="AL1" t="s">
        <v>821</v>
      </c>
      <c r="AM1" t="s">
        <v>822</v>
      </c>
      <c r="AN1">
        <v>0</v>
      </c>
      <c r="AO1">
        <v>1755583113715</v>
      </c>
      <c r="AP1" t="s">
        <v>823</v>
      </c>
      <c r="AQ1" t="s">
        <v>824</v>
      </c>
      <c r="AR1">
        <v>0</v>
      </c>
      <c r="AS1">
        <v>1755843304383</v>
      </c>
      <c r="AT1" t="s">
        <v>825</v>
      </c>
      <c r="AU1" t="s">
        <v>826</v>
      </c>
      <c r="AV1">
        <v>0</v>
      </c>
      <c r="AW1">
        <v>1758097151068</v>
      </c>
      <c r="AX1" t="s">
        <v>827</v>
      </c>
      <c r="AY1" t="s">
        <v>828</v>
      </c>
      <c r="AZ1">
        <v>0</v>
      </c>
      <c r="BA1">
        <v>1774169799849</v>
      </c>
      <c r="BB1" t="s">
        <v>1026</v>
      </c>
      <c r="BC1" t="s">
        <v>1027</v>
      </c>
      <c r="BD1">
        <v>0</v>
      </c>
    </row>
  </sheetData>
  <phoneticPr fontId="2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301F-13C1-4DB3-B305-E8BC954382FE}">
  <dimension ref="A1:BD1"/>
  <sheetViews>
    <sheetView workbookViewId="0"/>
  </sheetViews>
  <sheetFormatPr defaultRowHeight="13.8"/>
  <cols>
    <col min="17" max="17" width="12.44140625" bestFit="1" customWidth="1"/>
    <col min="20" max="20" width="8.77734375" bestFit="1" customWidth="1"/>
    <col min="37" max="37" width="12.44140625" bestFit="1" customWidth="1"/>
    <col min="40" max="40" width="8.77734375" bestFit="1" customWidth="1"/>
    <col min="41" max="41" width="12.44140625" bestFit="1" customWidth="1"/>
    <col min="44" max="44" width="8.77734375" bestFit="1" customWidth="1"/>
  </cols>
  <sheetData>
    <row r="1" spans="1:56">
      <c r="A1" t="s">
        <v>844</v>
      </c>
      <c r="B1" t="s">
        <v>803</v>
      </c>
      <c r="C1" t="s">
        <v>804</v>
      </c>
      <c r="D1">
        <v>0</v>
      </c>
      <c r="E1">
        <v>1750122332595</v>
      </c>
      <c r="F1" t="s">
        <v>805</v>
      </c>
      <c r="G1" t="s">
        <v>806</v>
      </c>
      <c r="H1">
        <v>0</v>
      </c>
      <c r="I1">
        <v>1751610980319</v>
      </c>
      <c r="J1" t="s">
        <v>807</v>
      </c>
      <c r="K1" t="s">
        <v>808</v>
      </c>
      <c r="L1">
        <v>0</v>
      </c>
      <c r="M1">
        <v>1752894160338</v>
      </c>
      <c r="N1" t="s">
        <v>809</v>
      </c>
      <c r="O1" t="s">
        <v>810</v>
      </c>
      <c r="P1">
        <v>0</v>
      </c>
      <c r="Q1">
        <v>1753064494176</v>
      </c>
      <c r="R1" t="s">
        <v>811</v>
      </c>
      <c r="S1" t="s">
        <v>812</v>
      </c>
      <c r="T1">
        <v>0</v>
      </c>
      <c r="U1">
        <v>1753670871031</v>
      </c>
      <c r="V1" t="s">
        <v>813</v>
      </c>
      <c r="W1" t="s">
        <v>814</v>
      </c>
      <c r="X1">
        <v>0</v>
      </c>
      <c r="Y1">
        <v>1753929300911</v>
      </c>
      <c r="Z1" t="s">
        <v>815</v>
      </c>
      <c r="AA1" t="s">
        <v>816</v>
      </c>
      <c r="AB1">
        <v>0</v>
      </c>
      <c r="AC1">
        <v>1754231570092</v>
      </c>
      <c r="AD1" t="s">
        <v>817</v>
      </c>
      <c r="AE1" t="s">
        <v>818</v>
      </c>
      <c r="AF1">
        <v>0</v>
      </c>
      <c r="AG1">
        <v>1754622215250</v>
      </c>
      <c r="AH1" t="s">
        <v>819</v>
      </c>
      <c r="AI1" t="s">
        <v>820</v>
      </c>
      <c r="AJ1">
        <v>0</v>
      </c>
      <c r="AK1">
        <v>1754908369338</v>
      </c>
      <c r="AL1" t="s">
        <v>821</v>
      </c>
      <c r="AM1" t="s">
        <v>822</v>
      </c>
      <c r="AN1">
        <v>0</v>
      </c>
      <c r="AO1">
        <v>1755583113752</v>
      </c>
      <c r="AP1" t="s">
        <v>823</v>
      </c>
      <c r="AQ1" t="s">
        <v>824</v>
      </c>
      <c r="AR1">
        <v>0</v>
      </c>
      <c r="AS1">
        <v>1755843304394</v>
      </c>
      <c r="AT1" t="s">
        <v>825</v>
      </c>
      <c r="AU1" t="s">
        <v>826</v>
      </c>
      <c r="AV1">
        <v>0</v>
      </c>
      <c r="AW1">
        <v>1758097151078</v>
      </c>
      <c r="AX1" t="s">
        <v>827</v>
      </c>
      <c r="AY1" t="s">
        <v>828</v>
      </c>
      <c r="AZ1">
        <v>0</v>
      </c>
      <c r="BA1">
        <v>1774169799885</v>
      </c>
      <c r="BB1" t="s">
        <v>1026</v>
      </c>
      <c r="BC1" t="s">
        <v>1027</v>
      </c>
      <c r="BD1">
        <v>0</v>
      </c>
    </row>
  </sheetData>
  <phoneticPr fontId="2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DF3550D7BF13514F98E371620A139941" ma:contentTypeVersion="2" ma:contentTypeDescription="新建文档。" ma:contentTypeScope="" ma:versionID="d23de8b404dd05bc5ea1d342134eb8f0">
  <xsd:schema xmlns:xsd="http://www.w3.org/2001/XMLSchema" xmlns:xs="http://www.w3.org/2001/XMLSchema" xmlns:p="http://schemas.microsoft.com/office/2006/metadata/properties" xmlns:ns2="200d2cec-77de-4108-98a5-960fad86d843" targetNamespace="http://schemas.microsoft.com/office/2006/metadata/properties" ma:root="true" ma:fieldsID="6b1d5cb3a138c737942bbc941dd5d05c" ns2:_="">
    <xsd:import namespace="200d2cec-77de-4108-98a5-960fad86d84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d2cec-77de-4108-98a5-960fad86d84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datasnipper xmlns="http://datasnipper" xmlMigrated="true" guid="54e060ad-fa37-412b-9665-f3c43b719a70" revision="3"/>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datasnipper xmlns="http://datasnipperlegacy" workbookId="2467d5f5-7552-4c0e-859f-558468e903dc" dataSnipperSheetDeleted="false" guid="e2885367-bf5f-4b15-874c-74c75ddb9e15" revision="2">
  <settings xmlns="" guid="643961f2-9105-4d04-8e34-9e3bc242871b">
    <setting type="boolean" value="True" name="embed-documents" guid="99bc8234-fc58-4b5d-8075-7ea010fd10ec"/>
  </settings>
</datasnipper>
</file>

<file path=customXml/itemProps1.xml><?xml version="1.0" encoding="utf-8"?>
<ds:datastoreItem xmlns:ds="http://schemas.openxmlformats.org/officeDocument/2006/customXml" ds:itemID="{418A5ED6-B523-4468-8ADE-63BC76D006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d2cec-77de-4108-98a5-960fad86d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A8A3A-7894-4663-9030-12CEC61881F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74ACE4C-64B8-4C95-B278-7D8B4143178F}">
  <ds:schemaRefs>
    <ds:schemaRef ds:uri="http://datasnipper"/>
  </ds:schemaRefs>
</ds:datastoreItem>
</file>

<file path=customXml/itemProps4.xml><?xml version="1.0" encoding="utf-8"?>
<ds:datastoreItem xmlns:ds="http://schemas.openxmlformats.org/officeDocument/2006/customXml" ds:itemID="{FCCC291B-C9D7-44A2-A7F8-AEBB36E4B26B}">
  <ds:schemaRefs>
    <ds:schemaRef ds:uri="http://schemas.microsoft.com/sharepoint/v3/contenttype/forms"/>
  </ds:schemaRefs>
</ds:datastoreItem>
</file>

<file path=customXml/itemProps5.xml><?xml version="1.0" encoding="utf-8"?>
<ds:datastoreItem xmlns:ds="http://schemas.openxmlformats.org/officeDocument/2006/customXml" ds:itemID="{ACADA854-7591-47B3-A4B4-800E97856C9A}">
  <ds:schemaRefs>
    <ds:schemaRef ds:uri="http://datasnipperlegacy"/>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Comments【归档前删除】</vt:lpstr>
      <vt:lpstr>汇总</vt:lpstr>
      <vt:lpstr>N.00 Lead sheet</vt:lpstr>
      <vt:lpstr>N.01 明细账与总账核对</vt:lpstr>
      <vt:lpstr>N.01 明细账与总账核对 (20241231)</vt:lpstr>
      <vt:lpstr>N.01.01明细账</vt:lpstr>
      <vt:lpstr>N.01.01明细账 (20241231)</vt:lpstr>
      <vt:lpstr>N.02 异常项复核</vt:lpstr>
      <vt:lpstr>N.03 截止测试</vt:lpstr>
      <vt:lpstr>N.04 寻找未入账负债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Skywind_N_应付账款_20191231_测试账套穿透模板1.xlsx</dc:title>
  <dc:subject/>
  <dc:creator>Helen HL Qiao</dc:creator>
  <cp:keywords>Final Audit.V6.N.0901</cp:keywords>
  <dc:description>10124938-818F-4C5F-A38C-5EC3345A3A16</dc:description>
  <cp:lastModifiedBy>Dana D Li</cp:lastModifiedBy>
  <cp:revision/>
  <dcterms:created xsi:type="dcterms:W3CDTF">2019-08-16T09:12:00Z</dcterms:created>
  <dcterms:modified xsi:type="dcterms:W3CDTF">2026-03-22T09:16:10Z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0x010100DF3550D7BF13514F98E371620A139941</vt:lpwstr>
  </property>
  <property fmtid="{D5CDD505-2E9C-101B-9397-08002B2CF9AE}" pid="3" name="ICV">
    <vt:lpwstr>DAB51CA01B73440982348705B3F4B6B0</vt:lpwstr>
  </property>
  <property fmtid="{D5CDD505-2E9C-101B-9397-08002B2CF9AE}" pid="4" name="KSOProductBuildVer">
    <vt:lpwstr>2052-11.1.0.12358</vt:lpwstr>
  </property>
</Properties>
</file>
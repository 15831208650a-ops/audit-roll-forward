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mc:AlternateContent xmlns:mc="http://schemas.openxmlformats.org/markup-compatibility/2006">
    <mc:Choice Requires="x15">
      <x15ac:absPath xmlns:x15ac="http://schemas.microsoft.com/office/spreadsheetml/2010/11/ac" url="C:\Users\BX615QC\Downloads\"/>
    </mc:Choice>
  </mc:AlternateContent>
  <xr:revisionPtr revIDLastSave="0" documentId="13_ncr:1_{1CAEF85F-4B7F-4029-9070-231393C01215}" xr6:coauthVersionLast="47" xr6:coauthVersionMax="47" xr10:uidLastSave="{00000000-0000-0000-0000-000000000000}"/>
  <bookViews>
    <workbookView xWindow="-110" yWindow="-110" windowWidth="19420" windowHeight="10300" tabRatio="810" xr2:uid="{00000000-000D-0000-FFFF-FFFF00000000}"/>
  </bookViews>
  <sheets>
    <sheet name="汇总" sheetId="3" r:id="rId1"/>
    <sheet name="Uexp_Lead" sheetId="560" r:id="rId2"/>
    <sheet name="Uexp财务费用BKD" sheetId="578" r:id="rId3"/>
    <sheet name="Uexp利息测试" sheetId="613" r:id="rId4"/>
    <sheet name="Uexp_Cutoff" sheetId="615" r:id="rId5"/>
    <sheet name="SkywindSettingSheet" sheetId="551" state="veryHidden" r:id="rId6"/>
    <sheet name="DS_INTERNAL_SETTINGS_STORAGE" sheetId="616" state="veryHidden" r:id="rId7"/>
    <sheet name="DS_INTERNAL_DOCGROUP_STORAGE" sheetId="617" state="veryHidden" r:id="rId8"/>
    <sheet name="DS_INTERNAL_DOCUMENT_STORAGE" sheetId="618" state="veryHidden" r:id="rId9"/>
    <sheet name="DS_INTERNAL_SNIP_STORAGE" sheetId="619" state="veryHidden" r:id="rId10"/>
  </sheets>
  <externalReferences>
    <externalReference r:id="rId11"/>
    <externalReference r:id="rId12"/>
    <externalReference r:id="rId13"/>
    <externalReference r:id="rId14"/>
    <externalReference r:id="rId15"/>
    <externalReference r:id="rId16"/>
    <externalReference r:id="rId17"/>
    <externalReference r:id="rId18"/>
  </externalReferences>
  <definedNames>
    <definedName name="_____dod1" localSheetId="4" hidden="1">{#N/A,#N/A,TRUE,"CPRD";#N/A,#N/A,TRUE,"BCCPDR";#N/A,#N/A,TRUE,"EWRD";#N/A,#N/A,TRUE,"5100";#N/A,#N/A,TRUE,"5110"}</definedName>
    <definedName name="_____dod1" localSheetId="2" hidden="1">{#N/A,#N/A,TRUE,"CPRD";#N/A,#N/A,TRUE,"BCCPDR";#N/A,#N/A,TRUE,"EWRD";#N/A,#N/A,TRUE,"5100";#N/A,#N/A,TRUE,"5110"}</definedName>
    <definedName name="_____dod1" localSheetId="3" hidden="1">{#N/A,#N/A,TRUE,"CPRD";#N/A,#N/A,TRUE,"BCCPDR";#N/A,#N/A,TRUE,"EWRD";#N/A,#N/A,TRUE,"5100";#N/A,#N/A,TRUE,"5110"}</definedName>
    <definedName name="_____dod1" hidden="1">{#N/A,#N/A,TRUE,"CPRD";#N/A,#N/A,TRUE,"BCCPDR";#N/A,#N/A,TRUE,"EWRD";#N/A,#N/A,TRUE,"5100";#N/A,#N/A,TRUE,"5110"}</definedName>
    <definedName name="____dod1" localSheetId="4" hidden="1">{#N/A,#N/A,TRUE,"CPRD";#N/A,#N/A,TRUE,"BCCPDR";#N/A,#N/A,TRUE,"EWRD";#N/A,#N/A,TRUE,"5100";#N/A,#N/A,TRUE,"5110"}</definedName>
    <definedName name="____dod1" localSheetId="2" hidden="1">{#N/A,#N/A,TRUE,"CPRD";#N/A,#N/A,TRUE,"BCCPDR";#N/A,#N/A,TRUE,"EWRD";#N/A,#N/A,TRUE,"5100";#N/A,#N/A,TRUE,"5110"}</definedName>
    <definedName name="____dod1" localSheetId="3" hidden="1">{#N/A,#N/A,TRUE,"CPRD";#N/A,#N/A,TRUE,"BCCPDR";#N/A,#N/A,TRUE,"EWRD";#N/A,#N/A,TRUE,"5100";#N/A,#N/A,TRUE,"5110"}</definedName>
    <definedName name="____dod1" hidden="1">{#N/A,#N/A,TRUE,"CPRD";#N/A,#N/A,TRUE,"BCCPDR";#N/A,#N/A,TRUE,"EWRD";#N/A,#N/A,TRUE,"5100";#N/A,#N/A,TRUE,"5110"}</definedName>
    <definedName name="___dod1" localSheetId="4" hidden="1">{#N/A,#N/A,TRUE,"CPRD";#N/A,#N/A,TRUE,"BCCPDR";#N/A,#N/A,TRUE,"EWRD";#N/A,#N/A,TRUE,"5100";#N/A,#N/A,TRUE,"5110"}</definedName>
    <definedName name="___dod1" localSheetId="2" hidden="1">{#N/A,#N/A,TRUE,"CPRD";#N/A,#N/A,TRUE,"BCCPDR";#N/A,#N/A,TRUE,"EWRD";#N/A,#N/A,TRUE,"5100";#N/A,#N/A,TRUE,"5110"}</definedName>
    <definedName name="___dod1" localSheetId="3" hidden="1">{#N/A,#N/A,TRUE,"CPRD";#N/A,#N/A,TRUE,"BCCPDR";#N/A,#N/A,TRUE,"EWRD";#N/A,#N/A,TRUE,"5100";#N/A,#N/A,TRUE,"5110"}</definedName>
    <definedName name="___dod1" hidden="1">{#N/A,#N/A,TRUE,"CPRD";#N/A,#N/A,TRUE,"BCCPDR";#N/A,#N/A,TRUE,"EWRD";#N/A,#N/A,TRUE,"5100";#N/A,#N/A,TRUE,"5110"}</definedName>
    <definedName name="___dog1" localSheetId="4" hidden="1">{#N/A,#N/A,TRUE,"CPRD";#N/A,#N/A,TRUE,"BCCPDR";#N/A,#N/A,TRUE,"EWRD";#N/A,#N/A,TRUE,"5100";#N/A,#N/A,TRUE,"5110"}</definedName>
    <definedName name="___dog1" localSheetId="2" hidden="1">{#N/A,#N/A,TRUE,"CPRD";#N/A,#N/A,TRUE,"BCCPDR";#N/A,#N/A,TRUE,"EWRD";#N/A,#N/A,TRUE,"5100";#N/A,#N/A,TRUE,"5110"}</definedName>
    <definedName name="___dog1" localSheetId="3" hidden="1">{#N/A,#N/A,TRUE,"CPRD";#N/A,#N/A,TRUE,"BCCPDR";#N/A,#N/A,TRUE,"EWRD";#N/A,#N/A,TRUE,"5100";#N/A,#N/A,TRUE,"5110"}</definedName>
    <definedName name="___dog1" hidden="1">{#N/A,#N/A,TRUE,"CPRD";#N/A,#N/A,TRUE,"BCCPDR";#N/A,#N/A,TRUE,"EWRD";#N/A,#N/A,TRUE,"5100";#N/A,#N/A,TRUE,"5110"}</definedName>
    <definedName name="__123Graph_A" localSheetId="4" hidden="1">[1]ProdCompar!#REF!</definedName>
    <definedName name="__123Graph_A" localSheetId="3" hidden="1">[1]ProdCompar!#REF!</definedName>
    <definedName name="__123Graph_A" hidden="1">[2]ProdCompar!#REF!</definedName>
    <definedName name="__123Graph_AGraph1" localSheetId="4" hidden="1">[1]ProdCompar!#REF!</definedName>
    <definedName name="__123Graph_AGraph1" localSheetId="3" hidden="1">[1]ProdCompar!#REF!</definedName>
    <definedName name="__123Graph_AGraph1" hidden="1">[2]ProdCompar!#REF!</definedName>
    <definedName name="__123Graph_B" localSheetId="4" hidden="1">[1]ProdCompar!#REF!</definedName>
    <definedName name="__123Graph_B" localSheetId="3" hidden="1">[1]ProdCompar!#REF!</definedName>
    <definedName name="__123Graph_B" hidden="1">[2]ProdCompar!#REF!</definedName>
    <definedName name="__123Graph_BGraph1" localSheetId="4" hidden="1">[1]ProdCompar!#REF!</definedName>
    <definedName name="__123Graph_BGraph1" localSheetId="3" hidden="1">[1]ProdCompar!#REF!</definedName>
    <definedName name="__123Graph_BGraph1" hidden="1">[2]ProdCompar!#REF!</definedName>
    <definedName name="__123Graph_C" localSheetId="4" hidden="1">[1]ProdCompar!#REF!</definedName>
    <definedName name="__123Graph_C" localSheetId="3" hidden="1">[1]ProdCompar!#REF!</definedName>
    <definedName name="__123Graph_C" hidden="1">[2]ProdCompar!#REF!</definedName>
    <definedName name="__123Graph_CGraph1" localSheetId="4" hidden="1">[1]ProdCompar!#REF!</definedName>
    <definedName name="__123Graph_CGraph1" localSheetId="3" hidden="1">[1]ProdCompar!#REF!</definedName>
    <definedName name="__123Graph_CGraph1" hidden="1">[2]ProdCompar!#REF!</definedName>
    <definedName name="__123Graph_D" localSheetId="3" hidden="1">'[3]Lease AP 2008'!#REF!</definedName>
    <definedName name="__123Graph_D" hidden="1">'[4]Lease AP 2008'!#REF!</definedName>
    <definedName name="__123Graph_DGraph1" localSheetId="4" hidden="1">[1]ProdCompar!#REF!</definedName>
    <definedName name="__123Graph_DGraph1" localSheetId="3" hidden="1">[1]ProdCompar!#REF!</definedName>
    <definedName name="__123Graph_DGraph1" hidden="1">[2]ProdCompar!#REF!</definedName>
    <definedName name="__123Graph_E" localSheetId="4" hidden="1">[1]ProdCompar!#REF!</definedName>
    <definedName name="__123Graph_E" localSheetId="3" hidden="1">[1]ProdCompar!#REF!</definedName>
    <definedName name="__123Graph_E" hidden="1">[2]ProdCompar!#REF!</definedName>
    <definedName name="__123Graph_EGraph1" localSheetId="4" hidden="1">[1]ProdCompar!#REF!</definedName>
    <definedName name="__123Graph_EGraph1" localSheetId="3" hidden="1">[1]ProdCompar!#REF!</definedName>
    <definedName name="__123Graph_EGraph1" hidden="1">[2]ProdCompar!#REF!</definedName>
    <definedName name="__123Graph_X" localSheetId="4" hidden="1">[1]ProdCompar!$B$3:$M$3</definedName>
    <definedName name="__123Graph_X" localSheetId="3" hidden="1">[1]ProdCompar!$B$3:$M$3</definedName>
    <definedName name="__123Graph_X" hidden="1">[2]ProdCompar!$B$3:$M$3</definedName>
    <definedName name="__123Graph_XGraph1" localSheetId="4" hidden="1">[1]ProdCompar!$B$3:$M$3</definedName>
    <definedName name="__123Graph_XGraph1" localSheetId="3" hidden="1">[1]ProdCompar!$B$3:$M$3</definedName>
    <definedName name="__123Graph_XGraph1" hidden="1">[2]ProdCompar!$B$3:$M$3</definedName>
    <definedName name="__dod1" localSheetId="4" hidden="1">{#N/A,#N/A,TRUE,"CPRD";#N/A,#N/A,TRUE,"BCCPDR";#N/A,#N/A,TRUE,"EWRD";#N/A,#N/A,TRUE,"5100";#N/A,#N/A,TRUE,"5110"}</definedName>
    <definedName name="__dod1" localSheetId="2" hidden="1">{#N/A,#N/A,TRUE,"CPRD";#N/A,#N/A,TRUE,"BCCPDR";#N/A,#N/A,TRUE,"EWRD";#N/A,#N/A,TRUE,"5100";#N/A,#N/A,TRUE,"5110"}</definedName>
    <definedName name="__dod1" localSheetId="3" hidden="1">{#N/A,#N/A,TRUE,"CPRD";#N/A,#N/A,TRUE,"BCCPDR";#N/A,#N/A,TRUE,"EWRD";#N/A,#N/A,TRUE,"5100";#N/A,#N/A,TRUE,"5110"}</definedName>
    <definedName name="__dod1" hidden="1">{#N/A,#N/A,TRUE,"CPRD";#N/A,#N/A,TRUE,"BCCPDR";#N/A,#N/A,TRUE,"EWRD";#N/A,#N/A,TRUE,"5100";#N/A,#N/A,TRUE,"5110"}</definedName>
    <definedName name="__dog1" localSheetId="4" hidden="1">{#N/A,#N/A,TRUE,"CPRD";#N/A,#N/A,TRUE,"BCCPDR";#N/A,#N/A,TRUE,"EWRD";#N/A,#N/A,TRUE,"5100";#N/A,#N/A,TRUE,"5110"}</definedName>
    <definedName name="__dog1" localSheetId="2" hidden="1">{#N/A,#N/A,TRUE,"CPRD";#N/A,#N/A,TRUE,"BCCPDR";#N/A,#N/A,TRUE,"EWRD";#N/A,#N/A,TRUE,"5100";#N/A,#N/A,TRUE,"5110"}</definedName>
    <definedName name="__dog1" localSheetId="3" hidden="1">{#N/A,#N/A,TRUE,"CPRD";#N/A,#N/A,TRUE,"BCCPDR";#N/A,#N/A,TRUE,"EWRD";#N/A,#N/A,TRUE,"5100";#N/A,#N/A,TRUE,"5110"}</definedName>
    <definedName name="__dog1" hidden="1">{#N/A,#N/A,TRUE,"CPRD";#N/A,#N/A,TRUE,"BCCPDR";#N/A,#N/A,TRUE,"EWRD";#N/A,#N/A,TRUE,"5100";#N/A,#N/A,TRUE,"5110"}</definedName>
    <definedName name="__IntlFixup" hidden="1">TRUE</definedName>
    <definedName name="_dod1" localSheetId="4" hidden="1">{#N/A,#N/A,TRUE,"CPRD";#N/A,#N/A,TRUE,"BCCPDR";#N/A,#N/A,TRUE,"EWRD";#N/A,#N/A,TRUE,"5100";#N/A,#N/A,TRUE,"5110"}</definedName>
    <definedName name="_dod1" localSheetId="2" hidden="1">{#N/A,#N/A,TRUE,"CPRD";#N/A,#N/A,TRUE,"BCCPDR";#N/A,#N/A,TRUE,"EWRD";#N/A,#N/A,TRUE,"5100";#N/A,#N/A,TRUE,"5110"}</definedName>
    <definedName name="_dod1" localSheetId="3" hidden="1">{#N/A,#N/A,TRUE,"CPRD";#N/A,#N/A,TRUE,"BCCPDR";#N/A,#N/A,TRUE,"EWRD";#N/A,#N/A,TRUE,"5100";#N/A,#N/A,TRUE,"5110"}</definedName>
    <definedName name="_dod1" hidden="1">{#N/A,#N/A,TRUE,"CPRD";#N/A,#N/A,TRUE,"BCCPDR";#N/A,#N/A,TRUE,"EWRD";#N/A,#N/A,TRUE,"5100";#N/A,#N/A,TRUE,"5110"}</definedName>
    <definedName name="_dog1" localSheetId="4" hidden="1">{#N/A,#N/A,TRUE,"CPRD";#N/A,#N/A,TRUE,"BCCPDR";#N/A,#N/A,TRUE,"EWRD";#N/A,#N/A,TRUE,"5100";#N/A,#N/A,TRUE,"5110"}</definedName>
    <definedName name="_dog1" localSheetId="2" hidden="1">{#N/A,#N/A,TRUE,"CPRD";#N/A,#N/A,TRUE,"BCCPDR";#N/A,#N/A,TRUE,"EWRD";#N/A,#N/A,TRUE,"5100";#N/A,#N/A,TRUE,"5110"}</definedName>
    <definedName name="_dog1" localSheetId="3" hidden="1">{#N/A,#N/A,TRUE,"CPRD";#N/A,#N/A,TRUE,"BCCPDR";#N/A,#N/A,TRUE,"EWRD";#N/A,#N/A,TRUE,"5100";#N/A,#N/A,TRUE,"5110"}</definedName>
    <definedName name="_dog1" hidden="1">{#N/A,#N/A,TRUE,"CPRD";#N/A,#N/A,TRUE,"BCCPDR";#N/A,#N/A,TRUE,"EWRD";#N/A,#N/A,TRUE,"5100";#N/A,#N/A,TRUE,"5110"}</definedName>
    <definedName name="_Fill" localSheetId="4" hidden="1">#REF!</definedName>
    <definedName name="_Fill" localSheetId="3" hidden="1">#REF!</definedName>
    <definedName name="_Fill" hidden="1">#REF!</definedName>
    <definedName name="_xlnm._FilterDatabase" localSheetId="4" hidden="1">'[5]关联交易-存款'!#REF!</definedName>
    <definedName name="_xlnm._FilterDatabase" localSheetId="3" hidden="1">'[5]关联交易-存款'!#REF!</definedName>
    <definedName name="_xlnm._FilterDatabase" hidden="1">'[5]关联交易-存款'!#REF!</definedName>
    <definedName name="_Key1" localSheetId="4" hidden="1">#REF!</definedName>
    <definedName name="_Key1" localSheetId="3" hidden="1">#REF!</definedName>
    <definedName name="_Key1" hidden="1">#REF!</definedName>
    <definedName name="_Key2" localSheetId="4" hidden="1">#REF!</definedName>
    <definedName name="_Key2" localSheetId="3" hidden="1">#REF!</definedName>
    <definedName name="_Key2" hidden="1">#REF!</definedName>
    <definedName name="_Order1" hidden="1">255</definedName>
    <definedName name="_Order2" hidden="1">255</definedName>
    <definedName name="_Sort" localSheetId="4" hidden="1">#REF!</definedName>
    <definedName name="_Sort" localSheetId="3" hidden="1">#REF!</definedName>
    <definedName name="_Sort" hidden="1">#REF!</definedName>
    <definedName name="adas" localSheetId="4" hidden="1">{"M1Print",#N/A,TRUE,"M1";"M2Print",#N/A,TRUE,"M2";"M1sPrint",#N/A,TRUE,"M1s";"M2aPrint",#N/A,TRUE,"M2a";"M4Print",#N/A,TRUE,"M4";"M5Print",#N/A,TRUE,"M5";"M6Print",#N/A,TRUE,"M6";"M6_1Print",#N/A,TRUE,"M6_1";"M6_2Print",#N/A,TRUE,"M6_2";"M7_1Print",#N/A,TRUE,"M7_1";"M7_2Print",#N/A,TRUE,"M7_2"}</definedName>
    <definedName name="adas" localSheetId="2" hidden="1">{"M1Print",#N/A,TRUE,"M1";"M2Print",#N/A,TRUE,"M2";"M1sPrint",#N/A,TRUE,"M1s";"M2aPrint",#N/A,TRUE,"M2a";"M4Print",#N/A,TRUE,"M4";"M5Print",#N/A,TRUE,"M5";"M6Print",#N/A,TRUE,"M6";"M6_1Print",#N/A,TRUE,"M6_1";"M6_2Print",#N/A,TRUE,"M6_2";"M7_1Print",#N/A,TRUE,"M7_1";"M7_2Print",#N/A,TRUE,"M7_2"}</definedName>
    <definedName name="adas" localSheetId="3"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localSheetId="4" hidden="1">#REF!</definedName>
    <definedName name="AS2TickmarkLS" localSheetId="3" hidden="1">#REF!</definedName>
    <definedName name="AS2TickmarkLS" hidden="1">#REF!</definedName>
    <definedName name="AS2VersionLS" hidden="1">300</definedName>
    <definedName name="ass" localSheetId="4" hidden="1">{#N/A,#N/A,TRUE,"CPRD";#N/A,#N/A,TRUE,"BCCPDR";#N/A,#N/A,TRUE,"EWRD";#N/A,#N/A,TRUE,"5100";#N/A,#N/A,TRUE,"5110"}</definedName>
    <definedName name="ass" localSheetId="2" hidden="1">{#N/A,#N/A,TRUE,"CPRD";#N/A,#N/A,TRUE,"BCCPDR";#N/A,#N/A,TRUE,"EWRD";#N/A,#N/A,TRUE,"5100";#N/A,#N/A,TRUE,"5110"}</definedName>
    <definedName name="ass" localSheetId="3" hidden="1">{#N/A,#N/A,TRUE,"CPRD";#N/A,#N/A,TRUE,"BCCPDR";#N/A,#N/A,TRUE,"EWRD";#N/A,#N/A,TRUE,"5100";#N/A,#N/A,TRUE,"5110"}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localSheetId="4" hidden="1">[6]Sheet1!$O$20:$O$41</definedName>
    <definedName name="BNE_MESSAGES_HIDDEN" localSheetId="3" hidden="1">[6]Sheet1!$O$20:$O$41</definedName>
    <definedName name="BNE_MESSAGES_HIDDEN" hidden="1">[7]Sheet1!$O$20:$O$41</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ashflow20030930" localSheetId="3"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doddd" localSheetId="4" hidden="1">{#N/A,#N/A,TRUE,"CPRD";#N/A,#N/A,TRUE,"BCCPDR";#N/A,#N/A,TRUE,"EWRD";#N/A,#N/A,TRUE,"5100";#N/A,#N/A,TRUE,"5110"}</definedName>
    <definedName name="doddd" localSheetId="2" hidden="1">{#N/A,#N/A,TRUE,"CPRD";#N/A,#N/A,TRUE,"BCCPDR";#N/A,#N/A,TRUE,"EWRD";#N/A,#N/A,TRUE,"5100";#N/A,#N/A,TRUE,"5110"}</definedName>
    <definedName name="doddd" localSheetId="3" hidden="1">{#N/A,#N/A,TRUE,"CPRD";#N/A,#N/A,TRUE,"BCCPDR";#N/A,#N/A,TRUE,"EWRD";#N/A,#N/A,TRUE,"5100";#N/A,#N/A,TRUE,"5110"}</definedName>
    <definedName name="doddd" hidden="1">{#N/A,#N/A,TRUE,"CPRD";#N/A,#N/A,TRUE,"BCCPDR";#N/A,#N/A,TRUE,"EWRD";#N/A,#N/A,TRUE,"5100";#N/A,#N/A,TRUE,"5110"}</definedName>
    <definedName name="dog" localSheetId="4" hidden="1">{#N/A,#N/A,TRUE,"CPRD";#N/A,#N/A,TRUE,"BCCPDR";#N/A,#N/A,TRUE,"EWRD";#N/A,#N/A,TRUE,"5100";#N/A,#N/A,TRUE,"5110"}</definedName>
    <definedName name="dog" localSheetId="2" hidden="1">{#N/A,#N/A,TRUE,"CPRD";#N/A,#N/A,TRUE,"BCCPDR";#N/A,#N/A,TRUE,"EWRD";#N/A,#N/A,TRUE,"5100";#N/A,#N/A,TRUE,"5110"}</definedName>
    <definedName name="dog" localSheetId="3" hidden="1">{#N/A,#N/A,TRUE,"CPRD";#N/A,#N/A,TRUE,"BCCPDR";#N/A,#N/A,TRUE,"EWRD";#N/A,#N/A,TRUE,"5100";#N/A,#N/A,TRUE,"5110"}</definedName>
    <definedName name="dog" hidden="1">{#N/A,#N/A,TRUE,"CPRD";#N/A,#N/A,TRUE,"BCCPDR";#N/A,#N/A,TRUE,"EWRD";#N/A,#N/A,TRUE,"5100";#N/A,#N/A,TRUE,"5110"}</definedName>
    <definedName name="ehdg" localSheetId="4" hidden="1">{#N/A,#N/A,FALSE,"Jan"}</definedName>
    <definedName name="ehdg" localSheetId="3" hidden="1">{#N/A,#N/A,FALSE,"Jan"}</definedName>
    <definedName name="ehdg" hidden="1">{#N/A,#N/A,FALSE,"Jan"}</definedName>
    <definedName name="EV__LASTREFTIME__" hidden="1">39274.4724884259</definedName>
    <definedName name="ExpenseUpload" localSheetId="4" hidden="1">{#N/A,#N/A,TRUE,"CPRD";#N/A,#N/A,TRUE,"BCCPDR";#N/A,#N/A,TRUE,"EWRD";#N/A,#N/A,TRUE,"5100";#N/A,#N/A,TRUE,"5110"}</definedName>
    <definedName name="ExpenseUpload" localSheetId="2" hidden="1">{#N/A,#N/A,TRUE,"CPRD";#N/A,#N/A,TRUE,"BCCPDR";#N/A,#N/A,TRUE,"EWRD";#N/A,#N/A,TRUE,"5100";#N/A,#N/A,TRUE,"5110"}</definedName>
    <definedName name="ExpenseUpload" localSheetId="3" hidden="1">{#N/A,#N/A,TRUE,"CPRD";#N/A,#N/A,TRUE,"BCCPDR";#N/A,#N/A,TRUE,"EWRD";#N/A,#N/A,TRUE,"5100";#N/A,#N/A,TRUE,"5110"}</definedName>
    <definedName name="ExpenseUpload" hidden="1">{#N/A,#N/A,TRUE,"CPRD";#N/A,#N/A,TRUE,"BCCPDR";#N/A,#N/A,TRUE,"EWRD";#N/A,#N/A,TRUE,"5100";#N/A,#N/A,TRUE,"5110"}</definedName>
    <definedName name="feedback" localSheetId="4" hidden="1">{#N/A,#N/A,TRUE,"CPRD";#N/A,#N/A,TRUE,"BCCPDR";#N/A,#N/A,TRUE,"EWRD";#N/A,#N/A,TRUE,"5100";#N/A,#N/A,TRUE,"5110"}</definedName>
    <definedName name="feedback" hidden="1">{#N/A,#N/A,TRUE,"CPRD";#N/A,#N/A,TRUE,"BCCPDR";#N/A,#N/A,TRUE,"EWRD";#N/A,#N/A,TRUE,"5100";#N/A,#N/A,TRUE,"5110"}</definedName>
    <definedName name="HdctTrnd" localSheetId="4" hidden="1">{#N/A,#N/A,TRUE,"CPRD";#N/A,#N/A,TRUE,"BCCPDR";#N/A,#N/A,TRUE,"EWRD";#N/A,#N/A,TRUE,"5100";#N/A,#N/A,TRUE,"5110"}</definedName>
    <definedName name="HdctTrnd" localSheetId="2" hidden="1">{#N/A,#N/A,TRUE,"CPRD";#N/A,#N/A,TRUE,"BCCPDR";#N/A,#N/A,TRUE,"EWRD";#N/A,#N/A,TRUE,"5100";#N/A,#N/A,TRUE,"5110"}</definedName>
    <definedName name="HdctTrnd" localSheetId="3" hidden="1">{#N/A,#N/A,TRUE,"CPRD";#N/A,#N/A,TRUE,"BCCPDR";#N/A,#N/A,TRUE,"EWRD";#N/A,#N/A,TRUE,"5100";#N/A,#N/A,TRUE,"5110"}</definedName>
    <definedName name="HdctTrnd" hidden="1">{#N/A,#N/A,TRUE,"CPRD";#N/A,#N/A,TRUE,"BCCPDR";#N/A,#N/A,TRUE,"EWRD";#N/A,#N/A,TRUE,"5100";#N/A,#N/A,TRUE,"5110"}</definedName>
    <definedName name="HTML_CodePage" hidden="1">1252</definedName>
    <definedName name="HTML_Control" localSheetId="4" hidden="1">{"'Vxxe_times_J750 (2)'!$A$3:$E$14"}</definedName>
    <definedName name="HTML_Control" localSheetId="2" hidden="1">{"'Vxxe_times_J750 (2)'!$A$3:$E$14"}</definedName>
    <definedName name="HTML_Control" localSheetId="3"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"06/27/2022 08:50:24"</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K2_WBEVMODE" hidden="1">-1</definedName>
    <definedName name="LotusGraphChart1" localSheetId="3" hidden="1">#REF!</definedName>
    <definedName name="LotusGraphChart1" hidden="1">#REF!</definedName>
    <definedName name="lotusgraphchart1b" localSheetId="3" hidden="1">#REF!</definedName>
    <definedName name="lotusgraphchart1b" hidden="1">#REF!</definedName>
    <definedName name="lotusgraphchart1x" localSheetId="3" hidden="1">#REF!</definedName>
    <definedName name="lotusgraphchart1x" hidden="1">#REF!</definedName>
    <definedName name="notused" localSheetId="4" hidden="1">{#N/A,#N/A,TRUE,"CPRD";#N/A,#N/A,TRUE,"BCCPDR";#N/A,#N/A,TRUE,"EWRD";#N/A,#N/A,TRUE,"5100";#N/A,#N/A,TRUE,"5110"}</definedName>
    <definedName name="notused" localSheetId="2" hidden="1">{#N/A,#N/A,TRUE,"CPRD";#N/A,#N/A,TRUE,"BCCPDR";#N/A,#N/A,TRUE,"EWRD";#N/A,#N/A,TRUE,"5100";#N/A,#N/A,TRUE,"5110"}</definedName>
    <definedName name="notused" localSheetId="3" hidden="1">{#N/A,#N/A,TRUE,"CPRD";#N/A,#N/A,TRUE,"BCCPDR";#N/A,#N/A,TRUE,"EWRD";#N/A,#N/A,TRUE,"5100";#N/A,#N/A,TRUE,"5110"}</definedName>
    <definedName name="notused" hidden="1">{#N/A,#N/A,TRUE,"CPRD";#N/A,#N/A,TRUE,"BCCPDR";#N/A,#N/A,TRUE,"EWRD";#N/A,#N/A,TRUE,"5100";#N/A,#N/A,TRUE,"5110"}</definedName>
    <definedName name="qwertyuiopasdfghjkl" localSheetId="4" hidden="1">{"M2aPrint",#N/A,FALSE,"M2a"}</definedName>
    <definedName name="qwertyuiopasdfghjkl" localSheetId="2" hidden="1">{"M2aPrint",#N/A,FALSE,"M2a"}</definedName>
    <definedName name="qwertyuiopasdfghjkl" localSheetId="3" hidden="1">{"M2aPrint",#N/A,FALSE,"M2a"}</definedName>
    <definedName name="qwertyuiopasdfghjkl" hidden="1">{"M2aPrint",#N/A,FALSE,"M2a"}</definedName>
    <definedName name="qwwertyuiop" localSheetId="4" hidden="1">{"M2Print",#N/A,FALSE,"M2"}</definedName>
    <definedName name="qwwertyuiop" localSheetId="2" hidden="1">{"M2Print",#N/A,FALSE,"M2"}</definedName>
    <definedName name="qwwertyuiop" localSheetId="3" hidden="1">{"M2Print",#N/A,FALSE,"M2"}</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localSheetId="4" hidden="1">#REF!</definedName>
    <definedName name="Sheet1_BNE_MESSAGES" localSheetId="3" hidden="1">#REF!</definedName>
    <definedName name="Sheet1_BNE_MESSAGES" hidden="1">#REF!</definedName>
    <definedName name="Sheet1_BNE_MESSAGES_HIDDEN" localSheetId="4" hidden="1">#REF!</definedName>
    <definedName name="Sheet1_BNE_MESSAGES_HIDDEN" localSheetId="3" hidden="1">#REF!</definedName>
    <definedName name="Sheet1_BNE_MESSAGES_HIDDEN" hidden="1">#REF!</definedName>
    <definedName name="Sheet1_BNE_MESSAGES_LAMP" localSheetId="4" hidden="1">#REF!</definedName>
    <definedName name="Sheet1_BNE_MESSAGES_LAMP" localSheetId="3" hidden="1">#REF!</definedName>
    <definedName name="Sheet1_BNE_MESSAGES_LAMP" hidden="1">#REF!</definedName>
    <definedName name="Sheet1_BNE_UPLOAD" localSheetId="4" hidden="1">#REF!</definedName>
    <definedName name="Sheet1_BNE_UPLOAD" localSheetId="3" hidden="1">#REF!</definedName>
    <definedName name="Sheet1_BNE_UPLOAD" hidden="1">#REF!</definedName>
    <definedName name="Sheet1_GL_INTERFACE_ACCOUNTING_DATE" localSheetId="4" hidden="1">#REF!</definedName>
    <definedName name="Sheet1_GL_INTERFACE_ACCOUNTING_DATE" localSheetId="3" hidden="1">#REF!</definedName>
    <definedName name="Sheet1_GL_INTERFACE_ACCOUNTING_DATE" hidden="1">#REF!</definedName>
    <definedName name="Sheet1_GL_INTERFACE_ACTUAL_FLAG" localSheetId="4" hidden="1">#REF!</definedName>
    <definedName name="Sheet1_GL_INTERFACE_ACTUAL_FLAG" localSheetId="3" hidden="1">#REF!</definedName>
    <definedName name="Sheet1_GL_INTERFACE_ACTUAL_FLAG" hidden="1">#REF!</definedName>
    <definedName name="Sheet1_GL_INTERFACE_CURRENCY_CODE" localSheetId="4" hidden="1">#REF!</definedName>
    <definedName name="Sheet1_GL_INTERFACE_CURRENCY_CODE" localSheetId="3" hidden="1">#REF!</definedName>
    <definedName name="Sheet1_GL_INTERFACE_CURRENCY_CODE" hidden="1">#REF!</definedName>
    <definedName name="Sheet1_GL_INTERFACE_DATABASE" localSheetId="4" hidden="1">#REF!</definedName>
    <definedName name="Sheet1_GL_INTERFACE_DATABASE" localSheetId="3" hidden="1">#REF!</definedName>
    <definedName name="Sheet1_GL_INTERFACE_DATABASE" hidden="1">#REF!</definedName>
    <definedName name="Sheet1_GL_INTERFACE_ENTERED_CR" localSheetId="4" hidden="1">#REF!</definedName>
    <definedName name="Sheet1_GL_INTERFACE_ENTERED_CR" localSheetId="3" hidden="1">#REF!</definedName>
    <definedName name="Sheet1_GL_INTERFACE_ENTERED_CR" hidden="1">#REF!</definedName>
    <definedName name="Sheet1_GL_INTERFACE_ENTERED_DR" localSheetId="4" hidden="1">#REF!</definedName>
    <definedName name="Sheet1_GL_INTERFACE_ENTERED_DR" localSheetId="3" hidden="1">#REF!</definedName>
    <definedName name="Sheet1_GL_INTERFACE_ENTERED_DR" hidden="1">#REF!</definedName>
    <definedName name="Sheet1_GL_INTERFACE_REFERENCE1" localSheetId="4" hidden="1">#REF!</definedName>
    <definedName name="Sheet1_GL_INTERFACE_REFERENCE1" localSheetId="3" hidden="1">#REF!</definedName>
    <definedName name="Sheet1_GL_INTERFACE_REFERENCE1" hidden="1">#REF!</definedName>
    <definedName name="Sheet1_GL_INTERFACE_REFERENCE10" localSheetId="4" hidden="1">#REF!</definedName>
    <definedName name="Sheet1_GL_INTERFACE_REFERENCE10" localSheetId="3" hidden="1">#REF!</definedName>
    <definedName name="Sheet1_GL_INTERFACE_REFERENCE10" hidden="1">#REF!</definedName>
    <definedName name="Sheet1_GL_INTERFACE_REFERENCE4" localSheetId="4" hidden="1">#REF!</definedName>
    <definedName name="Sheet1_GL_INTERFACE_REFERENCE4" localSheetId="3" hidden="1">#REF!</definedName>
    <definedName name="Sheet1_GL_INTERFACE_REFERENCE4" hidden="1">#REF!</definedName>
    <definedName name="Sheet1_GL_INTERFACE_REFERENCE5" localSheetId="4" hidden="1">#REF!</definedName>
    <definedName name="Sheet1_GL_INTERFACE_REFERENCE5" localSheetId="3" hidden="1">#REF!</definedName>
    <definedName name="Sheet1_GL_INTERFACE_REFERENCE5" hidden="1">#REF!</definedName>
    <definedName name="Sheet1_GL_INTERFACE_REFERENCE6" localSheetId="3" hidden="1">#REF!</definedName>
    <definedName name="Sheet1_GL_INTERFACE_REFERENCE6" hidden="1">#REF!</definedName>
    <definedName name="Sheet1_GL_INTERFACE_REFERENCE7" localSheetId="4" hidden="1">#REF!</definedName>
    <definedName name="Sheet1_GL_INTERFACE_REFERENCE7" localSheetId="3" hidden="1">#REF!</definedName>
    <definedName name="Sheet1_GL_INTERFACE_REFERENCE7" hidden="1">#REF!</definedName>
    <definedName name="Sheet1_GL_INTERFACE_REFERENCE8" localSheetId="4" hidden="1">#REF!</definedName>
    <definedName name="Sheet1_GL_INTERFACE_REFERENCE8" localSheetId="3" hidden="1">#REF!</definedName>
    <definedName name="Sheet1_GL_INTERFACE_REFERENCE8" hidden="1">#REF!</definedName>
    <definedName name="Sheet1_GL_INTERFACE_SEGMENT1" localSheetId="4" hidden="1">#REF!</definedName>
    <definedName name="Sheet1_GL_INTERFACE_SEGMENT1" localSheetId="3" hidden="1">#REF!</definedName>
    <definedName name="Sheet1_GL_INTERFACE_SEGMENT1" hidden="1">#REF!</definedName>
    <definedName name="Sheet1_GL_INTERFACE_SEGMENT2" localSheetId="4" hidden="1">#REF!</definedName>
    <definedName name="Sheet1_GL_INTERFACE_SEGMENT2" localSheetId="3" hidden="1">#REF!</definedName>
    <definedName name="Sheet1_GL_INTERFACE_SEGMENT2" hidden="1">#REF!</definedName>
    <definedName name="Sheet1_GL_INTERFACE_SEGMENT3" localSheetId="4" hidden="1">#REF!</definedName>
    <definedName name="Sheet1_GL_INTERFACE_SEGMENT3" localSheetId="3" hidden="1">#REF!</definedName>
    <definedName name="Sheet1_GL_INTERFACE_SEGMENT3" hidden="1">#REF!</definedName>
    <definedName name="Sheet1_GL_INTERFACE_SEGMENT4" localSheetId="4" hidden="1">#REF!</definedName>
    <definedName name="Sheet1_GL_INTERFACE_SEGMENT4" localSheetId="3" hidden="1">#REF!</definedName>
    <definedName name="Sheet1_GL_INTERFACE_SEGMENT4" hidden="1">#REF!</definedName>
    <definedName name="Sheet1_GL_INTERFACE_SEGMENT5" localSheetId="4" hidden="1">#REF!</definedName>
    <definedName name="Sheet1_GL_INTERFACE_SEGMENT5" localSheetId="3" hidden="1">#REF!</definedName>
    <definedName name="Sheet1_GL_INTERFACE_SEGMENT5" hidden="1">#REF!</definedName>
    <definedName name="Sheet1_GL_INTERFACE_SEGMENT6" localSheetId="4" hidden="1">#REF!</definedName>
    <definedName name="Sheet1_GL_INTERFACE_SEGMENT6" localSheetId="3" hidden="1">#REF!</definedName>
    <definedName name="Sheet1_GL_INTERFACE_SEGMENT6" hidden="1">#REF!</definedName>
    <definedName name="Sheet1_GL_INTERFACE_SET_OF_BOOKS_ID" localSheetId="4" hidden="1">#REF!</definedName>
    <definedName name="Sheet1_GL_INTERFACE_SET_OF_BOOKS_ID" localSheetId="3" hidden="1">#REF!</definedName>
    <definedName name="Sheet1_GL_INTERFACE_SET_OF_BOOKS_ID" hidden="1">#REF!</definedName>
    <definedName name="Sheet1_GL_INTERFACE_USER_JE_CATEGORY_NAME" localSheetId="4" hidden="1">#REF!</definedName>
    <definedName name="Sheet1_GL_INTERFACE_USER_JE_CATEGORY_NAME" localSheetId="3" hidden="1">#REF!</definedName>
    <definedName name="Sheet1_GL_INTERFACE_USER_JE_CATEGORY_NAME" hidden="1">#REF!</definedName>
    <definedName name="Sheet1_GL_INTERFACE_USER_JE_SOURCE_NAME" localSheetId="4" hidden="1">#REF!</definedName>
    <definedName name="Sheet1_GL_INTERFACE_USER_JE_SOURCE_NAME" localSheetId="3" hidden="1">#REF!</definedName>
    <definedName name="Sheet1_GL_INTERFACE_USER_JE_SOURCE_NAME" hidden="1">#REF!</definedName>
    <definedName name="TextRefCopyRangeCount" localSheetId="4" hidden="1">4</definedName>
    <definedName name="TextRefCopyRangeCount" hidden="1">5</definedName>
    <definedName name="wrn.Aging._.and._.Trend._.Analysis." localSheetId="4"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4" hidden="1">{#N/A,#N/A,FALSE,"SUM";#N/A,#N/A,FALSE,"SK_TOT";#N/A,#N/A,FALSE,"YM";#N/A,#N/A,FALSE,"TSMC";#N/A,#N/A,FALSE,"ICW";#N/A,#N/A,FALSE,"Sheet1"}</definedName>
    <definedName name="wrn.ALL." localSheetId="2" hidden="1">{#N/A,#N/A,FALSE,"SUM";#N/A,#N/A,FALSE,"SK_TOT";#N/A,#N/A,FALSE,"YM";#N/A,#N/A,FALSE,"TSMC";#N/A,#N/A,FALSE,"ICW";#N/A,#N/A,FALSE,"Sheet1"}</definedName>
    <definedName name="wrn.ALL." localSheetId="3" hidden="1">{#N/A,#N/A,FALSE,"SUM";#N/A,#N/A,FALSE,"SK_TOT";#N/A,#N/A,FALSE,"YM";#N/A,#N/A,FALSE,"TSMC";#N/A,#N/A,FALSE,"ICW";#N/A,#N/A,FALSE,"Sheet1"}</definedName>
    <definedName name="wrn.ALL."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localSheetId="4" hidden="1">{#N/A,#N/A,FALSE,"M1s Board";#N/A,#N/A,FALSE,"M3 Board";#N/A,#N/A,FALSE,"M6 Board";#N/A,#N/A,FALSE,"M7";#N/A,#N/A,FALSE,"M7B";#N/A,#N/A,FALSE,"M8";#N/A,#N/A,FALSE,"M8A Board";#N/A,#N/A,FALSE,"AF1 Board"}</definedName>
    <definedName name="wrn.Board._.Reports." localSheetId="2" hidden="1">{#N/A,#N/A,FALSE,"M1s Board";#N/A,#N/A,FALSE,"M3 Board";#N/A,#N/A,FALSE,"M6 Board";#N/A,#N/A,FALSE,"M7";#N/A,#N/A,FALSE,"M7B";#N/A,#N/A,FALSE,"M8";#N/A,#N/A,FALSE,"M8A Board";#N/A,#N/A,FALSE,"AF1 Board"}</definedName>
    <definedName name="wrn.Board._.Reports." localSheetId="3"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Deposit._.By._.Day." localSheetId="4" hidden="1">{#N/A,#N/A,FALSE,"Deposits by day"}</definedName>
    <definedName name="wrn.Deposit._.By._.Day." localSheetId="3" hidden="1">{#N/A,#N/A,FALSE,"Deposits by day"}</definedName>
    <definedName name="wrn.Deposit._.By._.Day." hidden="1">{#N/A,#N/A,FALSE,"Deposits by day"}</definedName>
    <definedName name="wrn.Deptartment._.Expenses." localSheetId="4" hidden="1">{#N/A,#N/A,TRUE,"CPRD";#N/A,#N/A,TRUE,"BCCPDR";#N/A,#N/A,TRUE,"EWRD";#N/A,#N/A,TRUE,"5100";#N/A,#N/A,TRUE,"5110"}</definedName>
    <definedName name="wrn.Deptartment._.Expenses." localSheetId="2" hidden="1">{#N/A,#N/A,TRUE,"CPRD";#N/A,#N/A,TRUE,"BCCPDR";#N/A,#N/A,TRUE,"EWRD";#N/A,#N/A,TRUE,"5100";#N/A,#N/A,TRUE,"5110"}</definedName>
    <definedName name="wrn.Deptartment._.Expenses." localSheetId="3" hidden="1">{#N/A,#N/A,TRUE,"CPRD";#N/A,#N/A,TRUE,"BCCPDR";#N/A,#N/A,TRUE,"EWRD";#N/A,#N/A,TRUE,"5100";#N/A,#N/A,TRUE,"5110"}</definedName>
    <definedName name="wrn.Deptartment._.Expenses." hidden="1">{#N/A,#N/A,TRUE,"CPRD";#N/A,#N/A,TRUE,"BCCPDR";#N/A,#N/A,TRUE,"EWRD";#N/A,#N/A,TRUE,"5100";#N/A,#N/A,TRUE,"5110"}</definedName>
    <definedName name="wrn.jan." localSheetId="4" hidden="1">{#N/A,#N/A,FALSE,"Jan"}</definedName>
    <definedName name="wrn.jan." localSheetId="3" hidden="1">{#N/A,#N/A,FALSE,"Jan"}</definedName>
    <definedName name="wrn.jan." hidden="1">{#N/A,#N/A,FALSE,"Jan"}</definedName>
    <definedName name="wrn.M1._.Operating._.Statement." localSheetId="4" hidden="1">{"M1Print",#N/A,FALSE,"M1"}</definedName>
    <definedName name="wrn.M1._.Operating._.Statement." localSheetId="2" hidden="1">{"M1Print",#N/A,FALSE,"M1"}</definedName>
    <definedName name="wrn.M1._.Operating._.Statement." localSheetId="3" hidden="1">{"M1Print",#N/A,FALSE,"M1"}</definedName>
    <definedName name="wrn.M1._.Operating._.Statement." hidden="1">{"M1Print",#N/A,FALSE,"M1"}</definedName>
    <definedName name="wrn.M1s._.Statistics." localSheetId="4" hidden="1">{"M1sPrint",#N/A,FALSE,"M1s"}</definedName>
    <definedName name="wrn.M1s._.Statistics." localSheetId="2" hidden="1">{"M1sPrint",#N/A,FALSE,"M1s"}</definedName>
    <definedName name="wrn.M1s._.Statistics." localSheetId="3" hidden="1">{"M1sPrint",#N/A,FALSE,"M1s"}</definedName>
    <definedName name="wrn.M1s._.Statistics." hidden="1">{"M1sPrint",#N/A,FALSE,"M1s"}</definedName>
    <definedName name="wrn.M2._.Balance._.Sheet." localSheetId="4" hidden="1">{"M2Print",#N/A,FALSE,"M2"}</definedName>
    <definedName name="wrn.M2._.Balance._.Sheet." localSheetId="2" hidden="1">{"M2Print",#N/A,FALSE,"M2"}</definedName>
    <definedName name="wrn.M2._.Balance._.Sheet." localSheetId="3" hidden="1">{"M2Print",#N/A,FALSE,"M2"}</definedName>
    <definedName name="wrn.M2._.Balance._.Sheet." hidden="1">{"M2Print",#N/A,FALSE,"M2"}</definedName>
    <definedName name="wrn.M2a._.Cashflow." localSheetId="4" hidden="1">{"M2aPrint",#N/A,FALSE,"M2a"}</definedName>
    <definedName name="wrn.M2a._.Cashflow." localSheetId="2" hidden="1">{"M2aPrint",#N/A,FALSE,"M2a"}</definedName>
    <definedName name="wrn.M2a._.Cashflow." localSheetId="3" hidden="1">{"M2aPrint",#N/A,FALSE,"M2a"}</definedName>
    <definedName name="wrn.M2a._.Cashflow." hidden="1">{"M2aPrint",#N/A,FALSE,"M2a"}</definedName>
    <definedName name="wrn.M4._.Inventories." localSheetId="4" hidden="1">{"M4Print",#N/A,FALSE,"M4"}</definedName>
    <definedName name="wrn.M4._.Inventories." localSheetId="2" hidden="1">{"M4Print",#N/A,FALSE,"M4"}</definedName>
    <definedName name="wrn.M4._.Inventories." localSheetId="3" hidden="1">{"M4Print",#N/A,FALSE,"M4"}</definedName>
    <definedName name="wrn.M4._.Inventories." hidden="1">{"M4Print",#N/A,FALSE,"M4"}</definedName>
    <definedName name="wrn.M5._.Flash._.and._.Forecast." localSheetId="4" hidden="1">{"M5Print",#N/A,FALSE,"M5"}</definedName>
    <definedName name="wrn.M5._.Flash._.and._.Forecast." localSheetId="2" hidden="1">{"M5Print",#N/A,FALSE,"M5"}</definedName>
    <definedName name="wrn.M5._.Flash._.and._.Forecast." localSheetId="3" hidden="1">{"M5Print",#N/A,FALSE,"M5"}</definedName>
    <definedName name="wrn.M5._.Flash._.and._.Forecast." hidden="1">{"M5Print",#N/A,FALSE,"M5"}</definedName>
    <definedName name="wrn.M6._.Management._.Summary." localSheetId="4" hidden="1">{"M6Print",#N/A,FALSE,"M6";"M6_1Print",#N/A,FALSE,"M6_1";"M6_2Print",#N/A,FALSE,"M6_2"}</definedName>
    <definedName name="wrn.M6._.Management._.Summary." localSheetId="2" hidden="1">{"M6Print",#N/A,FALSE,"M6";"M6_1Print",#N/A,FALSE,"M6_1";"M6_2Print",#N/A,FALSE,"M6_2"}</definedName>
    <definedName name="wrn.M6._.Management._.Summary." localSheetId="3" hidden="1">{"M6Print",#N/A,FALSE,"M6";"M6_1Print",#N/A,FALSE,"M6_1";"M6_2Print",#N/A,FALSE,"M6_2"}</definedName>
    <definedName name="wrn.M6._.Management._.Summary." hidden="1">{"M6Print",#N/A,FALSE,"M6";"M6_1Print",#N/A,FALSE,"M6_1";"M6_2Print",#N/A,FALSE,"M6_2"}</definedName>
    <definedName name="wrn.M7._.Financial._.Controllers._.report." localSheetId="4" hidden="1">{"M7_1Print",#N/A,TRUE,"M7_1";"M7_2Print",#N/A,TRUE,"M7_2"}</definedName>
    <definedName name="wrn.M7._.Financial._.Controllers._.report." localSheetId="2" hidden="1">{"M7_1Print",#N/A,TRUE,"M7_1";"M7_2Print",#N/A,TRUE,"M7_2"}</definedName>
    <definedName name="wrn.M7._.Financial._.Controllers._.report." localSheetId="3" hidden="1">{"M7_1Print",#N/A,TRUE,"M7_1";"M7_2Print",#N/A,TRUE,"M7_2"}</definedName>
    <definedName name="wrn.M7._.Financial._.Controllers._.report." hidden="1">{"M7_1Print",#N/A,TRUE,"M7_1";"M7_2Print",#N/A,TRUE,"M7_2"}</definedName>
    <definedName name="wrn.ytd." localSheetId="4" hidden="1">{#N/A,#N/A,FALSE,"YTD"}</definedName>
    <definedName name="wrn.ytd." localSheetId="3" hidden="1">{#N/A,#N/A,FALSE,"YTD"}</definedName>
    <definedName name="wrn.ytd." hidden="1">{#N/A,#N/A,FALSE,"YTD"}</definedName>
    <definedName name="wrnn.all." localSheetId="4" hidden="1">{#N/A,#N/A,FALSE,"SUM";#N/A,#N/A,FALSE,"SK_TOT";#N/A,#N/A,FALSE,"YM";#N/A,#N/A,FALSE,"TSMC";#N/A,#N/A,FALSE,"ICW";#N/A,#N/A,FALSE,"Sheet1"}</definedName>
    <definedName name="wrnn.all." localSheetId="2" hidden="1">{#N/A,#N/A,FALSE,"SUM";#N/A,#N/A,FALSE,"SK_TOT";#N/A,#N/A,FALSE,"YM";#N/A,#N/A,FALSE,"TSMC";#N/A,#N/A,FALSE,"ICW";#N/A,#N/A,FALSE,"Sheet1"}</definedName>
    <definedName name="wrnn.all." localSheetId="3" hidden="1">{#N/A,#N/A,FALSE,"SUM";#N/A,#N/A,FALSE,"SK_TOT";#N/A,#N/A,FALSE,"YM";#N/A,#N/A,FALSE,"TSMC";#N/A,#N/A,FALSE,"ICW";#N/A,#N/A,FALSE,"Sheet1"}</definedName>
    <definedName name="wrnn.all." hidden="1">{#N/A,#N/A,FALSE,"SUM";#N/A,#N/A,FALSE,"SK_TOT";#N/A,#N/A,FALSE,"YM";#N/A,#N/A,FALSE,"TSMC";#N/A,#N/A,FALSE,"ICW";#N/A,#N/A,FALSE,"Sheet1"}</definedName>
    <definedName name="XREF_COLUMN_1" hidden="1">'[8]FA Roll to GL (p.2)'!#REF!</definedName>
    <definedName name="XREF_COLUMN_10" localSheetId="4" hidden="1">#REF!</definedName>
    <definedName name="XREF_COLUMN_10" localSheetId="2" hidden="1">#REF!</definedName>
    <definedName name="XREF_COLUMN_10" localSheetId="3" hidden="1">#REF!</definedName>
    <definedName name="XREF_COLUMN_10" hidden="1">#REF!</definedName>
    <definedName name="XREF_COLUMN_11" localSheetId="4" hidden="1">'[8]FA Roll to GL (p.2)'!#REF!</definedName>
    <definedName name="XREF_COLUMN_11" localSheetId="2" hidden="1">'[8]FA Roll to GL (p.2)'!#REF!</definedName>
    <definedName name="XREF_COLUMN_11" localSheetId="3" hidden="1">'[8]FA Roll to GL (p.2)'!#REF!</definedName>
    <definedName name="XREF_COLUMN_11" hidden="1">'[8]FA Roll to GL (p.2)'!#REF!</definedName>
    <definedName name="XREF_COLUMN_12" localSheetId="2" hidden="1">'[8]Lead (p.1)'!#REF!</definedName>
    <definedName name="XREF_COLUMN_12" localSheetId="3" hidden="1">'[8]Lead (p.1)'!#REF!</definedName>
    <definedName name="XREF_COLUMN_12" hidden="1">'[8]Lead (p.1)'!#REF!</definedName>
    <definedName name="XREF_COLUMN_19" localSheetId="4" hidden="1">#REF!</definedName>
    <definedName name="XREF_COLUMN_19" localSheetId="2" hidden="1">#REF!</definedName>
    <definedName name="XREF_COLUMN_19" localSheetId="3" hidden="1">#REF!</definedName>
    <definedName name="XREF_COLUMN_19" hidden="1">#REF!</definedName>
    <definedName name="XREF_COLUMN_2" localSheetId="4" hidden="1">'[8]FA Roll to GL (p.2)'!#REF!</definedName>
    <definedName name="XREF_COLUMN_2" localSheetId="2" hidden="1">'[8]FA Roll to GL (p.2)'!#REF!</definedName>
    <definedName name="XREF_COLUMN_2" localSheetId="3" hidden="1">'[8]FA Roll to GL (p.2)'!#REF!</definedName>
    <definedName name="XREF_COLUMN_2" hidden="1">'[8]FA Roll to GL (p.2)'!#REF!</definedName>
    <definedName name="XREF_COLUMN_20" localSheetId="4" hidden="1">#REF!</definedName>
    <definedName name="XREF_COLUMN_20" localSheetId="2" hidden="1">#REF!</definedName>
    <definedName name="XREF_COLUMN_20" localSheetId="3" hidden="1">#REF!</definedName>
    <definedName name="XREF_COLUMN_20" hidden="1">#REF!</definedName>
    <definedName name="XREF_COLUMN_21" localSheetId="4" hidden="1">#REF!</definedName>
    <definedName name="XREF_COLUMN_21" localSheetId="2" hidden="1">#REF!</definedName>
    <definedName name="XREF_COLUMN_21" localSheetId="3" hidden="1">#REF!</definedName>
    <definedName name="XREF_COLUMN_21" hidden="1">#REF!</definedName>
    <definedName name="XREF_COLUMN_3" localSheetId="4" hidden="1">'[8]FA Roll to GL (p.2)'!#REF!</definedName>
    <definedName name="XREF_COLUMN_3" localSheetId="2" hidden="1">'[8]FA Roll to GL (p.2)'!#REF!</definedName>
    <definedName name="XREF_COLUMN_3" localSheetId="3" hidden="1">'[8]FA Roll to GL (p.2)'!#REF!</definedName>
    <definedName name="XREF_COLUMN_3" hidden="1">'[8]FA Roll to GL (p.2)'!#REF!</definedName>
    <definedName name="XREF_COLUMN_4" localSheetId="4" hidden="1">#REF!</definedName>
    <definedName name="XREF_COLUMN_4" localSheetId="2" hidden="1">#REF!</definedName>
    <definedName name="XREF_COLUMN_4" localSheetId="3" hidden="1">#REF!</definedName>
    <definedName name="XREF_COLUMN_4" hidden="1">#REF!</definedName>
    <definedName name="XREF_COLUMN_5" localSheetId="4" hidden="1">'[8]Lead (p.1)'!#REF!</definedName>
    <definedName name="XREF_COLUMN_5" localSheetId="2" hidden="1">'[8]Lead (p.1)'!#REF!</definedName>
    <definedName name="XREF_COLUMN_5" localSheetId="3" hidden="1">'[8]Lead (p.1)'!#REF!</definedName>
    <definedName name="XREF_COLUMN_5" hidden="1">'[8]Lead (p.1)'!#REF!</definedName>
    <definedName name="XREF_COLUMN_6" localSheetId="2" hidden="1">'[8]FA Roll to GL (p.2)'!#REF!</definedName>
    <definedName name="XREF_COLUMN_6" localSheetId="3" hidden="1">'[8]FA Roll to GL (p.2)'!#REF!</definedName>
    <definedName name="XREF_COLUMN_6" hidden="1">'[8]FA Roll to GL (p.2)'!#REF!</definedName>
    <definedName name="XREF_COLUMN_7" localSheetId="2" hidden="1">'[8]Lead (p.1)'!#REF!</definedName>
    <definedName name="XREF_COLUMN_7" localSheetId="3" hidden="1">'[8]Lead (p.1)'!#REF!</definedName>
    <definedName name="XREF_COLUMN_7" hidden="1">'[8]Lead (p.1)'!#REF!</definedName>
    <definedName name="XRefActiveRow" localSheetId="4" hidden="1">#REF!</definedName>
    <definedName name="XRefActiveRow" localSheetId="2" hidden="1">#REF!</definedName>
    <definedName name="XRefActiveRow" localSheetId="3" hidden="1">#REF!</definedName>
    <definedName name="XRefActiveRow" hidden="1">#REF!</definedName>
    <definedName name="XRefColumnsCount" hidden="1">2</definedName>
    <definedName name="XRefCopy1" localSheetId="4" hidden="1">#REF!</definedName>
    <definedName name="XRefCopy1" localSheetId="2" hidden="1">#REF!</definedName>
    <definedName name="XRefCopy1" localSheetId="3" hidden="1">#REF!</definedName>
    <definedName name="XRefCopy1" hidden="1">#REF!</definedName>
    <definedName name="XRefCopy10" localSheetId="4" hidden="1">#REF!</definedName>
    <definedName name="XRefCopy10" localSheetId="2" hidden="1">#REF!</definedName>
    <definedName name="XRefCopy10" localSheetId="3" hidden="1">#REF!</definedName>
    <definedName name="XRefCopy10" hidden="1">#REF!</definedName>
    <definedName name="XRefCopy10Row" localSheetId="4" hidden="1">#REF!</definedName>
    <definedName name="XRefCopy10Row" localSheetId="3" hidden="1">#REF!</definedName>
    <definedName name="XRefCopy10Row" hidden="1">#REF!</definedName>
    <definedName name="XRefCopy11" localSheetId="4" hidden="1">'[8]FA Roll to GL (p.2)'!#REF!</definedName>
    <definedName name="XRefCopy11" localSheetId="3" hidden="1">'[8]FA Roll to GL (p.2)'!#REF!</definedName>
    <definedName name="XRefCopy11" hidden="1">'[8]FA Roll to GL (p.2)'!#REF!</definedName>
    <definedName name="XRefCopy11Row" localSheetId="4" hidden="1">#REF!</definedName>
    <definedName name="XRefCopy11Row" localSheetId="2" hidden="1">#REF!</definedName>
    <definedName name="XRefCopy11Row" localSheetId="3" hidden="1">#REF!</definedName>
    <definedName name="XRefCopy11Row" hidden="1">#REF!</definedName>
    <definedName name="XRefCopy12" localSheetId="4" hidden="1">#REF!</definedName>
    <definedName name="XRefCopy12" localSheetId="2" hidden="1">#REF!</definedName>
    <definedName name="XRefCopy12" localSheetId="3" hidden="1">#REF!</definedName>
    <definedName name="XRefCopy12" hidden="1">#REF!</definedName>
    <definedName name="XRefCopy13" localSheetId="4" hidden="1">#REF!</definedName>
    <definedName name="XRefCopy13" localSheetId="2" hidden="1">#REF!</definedName>
    <definedName name="XRefCopy13" localSheetId="3" hidden="1">#REF!</definedName>
    <definedName name="XRefCopy13" hidden="1">#REF!</definedName>
    <definedName name="XRefCopy13Row" localSheetId="4" hidden="1">[8]XREF!#REF!</definedName>
    <definedName name="XRefCopy13Row" localSheetId="2" hidden="1">[8]XREF!#REF!</definedName>
    <definedName name="XRefCopy13Row" localSheetId="3" hidden="1">[8]XREF!#REF!</definedName>
    <definedName name="XRefCopy13Row" hidden="1">[8]XREF!#REF!</definedName>
    <definedName name="XRefCopy14" localSheetId="4" hidden="1">#REF!</definedName>
    <definedName name="XRefCopy14" localSheetId="2" hidden="1">#REF!</definedName>
    <definedName name="XRefCopy14" localSheetId="3" hidden="1">#REF!</definedName>
    <definedName name="XRefCopy14" hidden="1">#REF!</definedName>
    <definedName name="XRefCopy15" localSheetId="4" hidden="1">#REF!</definedName>
    <definedName name="XRefCopy15" localSheetId="2" hidden="1">#REF!</definedName>
    <definedName name="XRefCopy15" localSheetId="3" hidden="1">#REF!</definedName>
    <definedName name="XRefCopy15" hidden="1">#REF!</definedName>
    <definedName name="XRefCopy16Row" localSheetId="4" hidden="1">[8]XREF!#REF!</definedName>
    <definedName name="XRefCopy16Row" localSheetId="2" hidden="1">[8]XREF!#REF!</definedName>
    <definedName name="XRefCopy16Row" localSheetId="3" hidden="1">[8]XREF!#REF!</definedName>
    <definedName name="XRefCopy16Row" hidden="1">[8]XREF!#REF!</definedName>
    <definedName name="XRefCopy1Row" localSheetId="4" hidden="1">#REF!</definedName>
    <definedName name="XRefCopy1Row" localSheetId="2" hidden="1">#REF!</definedName>
    <definedName name="XRefCopy1Row" localSheetId="3" hidden="1">#REF!</definedName>
    <definedName name="XRefCopy1Row" hidden="1">#REF!</definedName>
    <definedName name="XRefCopy2" localSheetId="4" hidden="1">#REF!</definedName>
    <definedName name="XRefCopy2" localSheetId="2" hidden="1">#REF!</definedName>
    <definedName name="XRefCopy2" localSheetId="3" hidden="1">#REF!</definedName>
    <definedName name="XRefCopy2" hidden="1">#REF!</definedName>
    <definedName name="XRefCopy2Row" localSheetId="4" hidden="1">#REF!</definedName>
    <definedName name="XRefCopy2Row" localSheetId="2" hidden="1">#REF!</definedName>
    <definedName name="XRefCopy2Row" localSheetId="3" hidden="1">#REF!</definedName>
    <definedName name="XRefCopy2Row" hidden="1">#REF!</definedName>
    <definedName name="XRefCopy3" localSheetId="4" hidden="1">#REF!</definedName>
    <definedName name="XRefCopy3" localSheetId="3" hidden="1">#REF!</definedName>
    <definedName name="XRefCopy3" hidden="1">#REF!</definedName>
    <definedName name="XRefCopy3Row" localSheetId="4" hidden="1">#REF!</definedName>
    <definedName name="XRefCopy3Row" localSheetId="3" hidden="1">#REF!</definedName>
    <definedName name="XRefCopy3Row" hidden="1">#REF!</definedName>
    <definedName name="XRefCopy4" localSheetId="4" hidden="1">#REF!</definedName>
    <definedName name="XRefCopy4" localSheetId="3" hidden="1">#REF!</definedName>
    <definedName name="XRefCopy4" hidden="1">#REF!</definedName>
    <definedName name="XRefCopy46" localSheetId="4" hidden="1">#REF!</definedName>
    <definedName name="XRefCopy46" localSheetId="3" hidden="1">#REF!</definedName>
    <definedName name="XRefCopy46" hidden="1">#REF!</definedName>
    <definedName name="XRefCopy47" localSheetId="4" hidden="1">#REF!</definedName>
    <definedName name="XRefCopy47" localSheetId="3" hidden="1">#REF!</definedName>
    <definedName name="XRefCopy47" hidden="1">#REF!</definedName>
    <definedName name="XRefCopy47Row" localSheetId="4" hidden="1">#REF!</definedName>
    <definedName name="XRefCopy47Row" localSheetId="3" hidden="1">#REF!</definedName>
    <definedName name="XRefCopy47Row" hidden="1">#REF!</definedName>
    <definedName name="XRefCopy48" localSheetId="4" hidden="1">#REF!</definedName>
    <definedName name="XRefCopy48" localSheetId="3" hidden="1">#REF!</definedName>
    <definedName name="XRefCopy48" hidden="1">#REF!</definedName>
    <definedName name="XRefCopy48Row" localSheetId="4" hidden="1">#REF!</definedName>
    <definedName name="XRefCopy48Row" localSheetId="3" hidden="1">#REF!</definedName>
    <definedName name="XRefCopy48Row" hidden="1">#REF!</definedName>
    <definedName name="XRefCopy49" localSheetId="4" hidden="1">#REF!</definedName>
    <definedName name="XRefCopy49" localSheetId="3" hidden="1">#REF!</definedName>
    <definedName name="XRefCopy49" hidden="1">#REF!</definedName>
    <definedName name="XRefCopy49Row" localSheetId="4" hidden="1">#REF!</definedName>
    <definedName name="XRefCopy49Row" localSheetId="3" hidden="1">#REF!</definedName>
    <definedName name="XRefCopy49Row" hidden="1">#REF!</definedName>
    <definedName name="XRefCopy4Row" localSheetId="4" hidden="1">#REF!</definedName>
    <definedName name="XRefCopy4Row" localSheetId="3" hidden="1">#REF!</definedName>
    <definedName name="XRefCopy4Row" hidden="1">#REF!</definedName>
    <definedName name="XRefCopy5" localSheetId="4" hidden="1">#REF!</definedName>
    <definedName name="XRefCopy5" localSheetId="3" hidden="1">#REF!</definedName>
    <definedName name="XRefCopy5" hidden="1">#REF!</definedName>
    <definedName name="XRefCopy50" localSheetId="4" hidden="1">#REF!</definedName>
    <definedName name="XRefCopy50" localSheetId="3" hidden="1">#REF!</definedName>
    <definedName name="XRefCopy50" hidden="1">#REF!</definedName>
    <definedName name="XRefCopy50Row" localSheetId="4" hidden="1">#REF!</definedName>
    <definedName name="XRefCopy50Row" localSheetId="3" hidden="1">#REF!</definedName>
    <definedName name="XRefCopy50Row" hidden="1">#REF!</definedName>
    <definedName name="XRefCopy51" localSheetId="4" hidden="1">#REF!</definedName>
    <definedName name="XRefCopy51" localSheetId="3" hidden="1">#REF!</definedName>
    <definedName name="XRefCopy51" hidden="1">#REF!</definedName>
    <definedName name="XRefCopy52" localSheetId="4" hidden="1">#REF!</definedName>
    <definedName name="XRefCopy52" localSheetId="3" hidden="1">#REF!</definedName>
    <definedName name="XRefCopy52" hidden="1">#REF!</definedName>
    <definedName name="XRefCopy52Row" localSheetId="4" hidden="1">#REF!</definedName>
    <definedName name="XRefCopy52Row" localSheetId="3" hidden="1">#REF!</definedName>
    <definedName name="XRefCopy52Row" hidden="1">#REF!</definedName>
    <definedName name="XRefCopy53" localSheetId="4" hidden="1">#REF!</definedName>
    <definedName name="XRefCopy53" localSheetId="3" hidden="1">#REF!</definedName>
    <definedName name="XRefCopy53" hidden="1">#REF!</definedName>
    <definedName name="XRefCopy53Row" localSheetId="4" hidden="1">#REF!</definedName>
    <definedName name="XRefCopy53Row" localSheetId="3" hidden="1">#REF!</definedName>
    <definedName name="XRefCopy53Row" hidden="1">#REF!</definedName>
    <definedName name="XRefCopy54" localSheetId="4" hidden="1">#REF!</definedName>
    <definedName name="XRefCopy54" localSheetId="3" hidden="1">#REF!</definedName>
    <definedName name="XRefCopy54" hidden="1">#REF!</definedName>
    <definedName name="XRefCopy54Row" localSheetId="4" hidden="1">#REF!</definedName>
    <definedName name="XRefCopy54Row" localSheetId="3" hidden="1">#REF!</definedName>
    <definedName name="XRefCopy54Row" hidden="1">#REF!</definedName>
    <definedName name="XRefCopy55" localSheetId="4" hidden="1">#REF!</definedName>
    <definedName name="XRefCopy55" localSheetId="3" hidden="1">#REF!</definedName>
    <definedName name="XRefCopy55" hidden="1">#REF!</definedName>
    <definedName name="XRefCopy55Row" localSheetId="4" hidden="1">#REF!</definedName>
    <definedName name="XRefCopy55Row" localSheetId="3" hidden="1">#REF!</definedName>
    <definedName name="XRefCopy55Row" hidden="1">#REF!</definedName>
    <definedName name="XRefCopy56" localSheetId="4" hidden="1">#REF!</definedName>
    <definedName name="XRefCopy56" localSheetId="3" hidden="1">#REF!</definedName>
    <definedName name="XRefCopy56" hidden="1">#REF!</definedName>
    <definedName name="XRefCopy56Row" localSheetId="4" hidden="1">#REF!</definedName>
    <definedName name="XRefCopy56Row" localSheetId="3" hidden="1">#REF!</definedName>
    <definedName name="XRefCopy56Row" hidden="1">#REF!</definedName>
    <definedName name="XRefCopy57" localSheetId="4" hidden="1">#REF!</definedName>
    <definedName name="XRefCopy57" localSheetId="3" hidden="1">#REF!</definedName>
    <definedName name="XRefCopy57" hidden="1">#REF!</definedName>
    <definedName name="XRefCopy57Row" localSheetId="4" hidden="1">#REF!</definedName>
    <definedName name="XRefCopy57Row" localSheetId="3" hidden="1">#REF!</definedName>
    <definedName name="XRefCopy57Row" hidden="1">#REF!</definedName>
    <definedName name="XRefCopy5Row" localSheetId="4" hidden="1">#REF!</definedName>
    <definedName name="XRefCopy5Row" localSheetId="3" hidden="1">#REF!</definedName>
    <definedName name="XRefCopy5Row" hidden="1">#REF!</definedName>
    <definedName name="XRefCopy6" localSheetId="4" hidden="1">#REF!</definedName>
    <definedName name="XRefCopy6" localSheetId="3" hidden="1">#REF!</definedName>
    <definedName name="XRefCopy6" hidden="1">#REF!</definedName>
    <definedName name="XRefCopy6Row" localSheetId="4" hidden="1">#REF!</definedName>
    <definedName name="XRefCopy6Row" localSheetId="3" hidden="1">#REF!</definedName>
    <definedName name="XRefCopy6Row" hidden="1">#REF!</definedName>
    <definedName name="XRefCopy7" localSheetId="4" hidden="1">#REF!</definedName>
    <definedName name="XRefCopy7" localSheetId="3" hidden="1">#REF!</definedName>
    <definedName name="XRefCopy7" hidden="1">#REF!</definedName>
    <definedName name="XRefCopy7Row" localSheetId="4" hidden="1">#REF!</definedName>
    <definedName name="XRefCopy7Row" localSheetId="3" hidden="1">#REF!</definedName>
    <definedName name="XRefCopy7Row" hidden="1">#REF!</definedName>
    <definedName name="XRefCopy8" localSheetId="4" hidden="1">#REF!</definedName>
    <definedName name="XRefCopy8" localSheetId="3" hidden="1">#REF!</definedName>
    <definedName name="XRefCopy8" hidden="1">#REF!</definedName>
    <definedName name="XRefCopy8Row" localSheetId="4" hidden="1">#REF!</definedName>
    <definedName name="XRefCopy8Row" localSheetId="3" hidden="1">#REF!</definedName>
    <definedName name="XRefCopy8Row" hidden="1">#REF!</definedName>
    <definedName name="XRefCopy9" localSheetId="4" hidden="1">#REF!</definedName>
    <definedName name="XRefCopy9" localSheetId="3" hidden="1">#REF!</definedName>
    <definedName name="XRefCopy9" hidden="1">#REF!</definedName>
    <definedName name="XRefCopy9Row" localSheetId="4" hidden="1">#REF!</definedName>
    <definedName name="XRefCopy9Row" localSheetId="3" hidden="1">#REF!</definedName>
    <definedName name="XRefCopy9Row" hidden="1">#REF!</definedName>
    <definedName name="XRefCopyRangeCount" hidden="1">3</definedName>
    <definedName name="XRefPaste1" localSheetId="4" hidden="1">#REF!</definedName>
    <definedName name="XRefPaste1" localSheetId="3" hidden="1">#REF!</definedName>
    <definedName name="XRefPaste1" hidden="1">#REF!</definedName>
    <definedName name="XRefPaste10" localSheetId="4" hidden="1">#REF!</definedName>
    <definedName name="XRefPaste10" localSheetId="3" hidden="1">#REF!</definedName>
    <definedName name="XRefPaste10" hidden="1">#REF!</definedName>
    <definedName name="XRefPaste11" localSheetId="4" hidden="1">#REF!</definedName>
    <definedName name="XRefPaste11" localSheetId="3" hidden="1">#REF!</definedName>
    <definedName name="XRefPaste11" hidden="1">#REF!</definedName>
    <definedName name="XRefPaste1Row" localSheetId="4" hidden="1">#REF!</definedName>
    <definedName name="XRefPaste1Row" localSheetId="3" hidden="1">#REF!</definedName>
    <definedName name="XRefPaste1Row" hidden="1">#REF!</definedName>
    <definedName name="XRefPaste2" localSheetId="4" hidden="1">'[8]FA Roll to GL (p.2)'!#REF!</definedName>
    <definedName name="XRefPaste2" localSheetId="3" hidden="1">'[8]FA Roll to GL (p.2)'!#REF!</definedName>
    <definedName name="XRefPaste2" hidden="1">'[8]FA Roll to GL (p.2)'!#REF!</definedName>
    <definedName name="XRefPaste24" localSheetId="4" hidden="1">#REF!</definedName>
    <definedName name="XRefPaste24" localSheetId="2" hidden="1">#REF!</definedName>
    <definedName name="XRefPaste24" localSheetId="3" hidden="1">#REF!</definedName>
    <definedName name="XRefPaste24" hidden="1">#REF!</definedName>
    <definedName name="XRefPaste24Row" localSheetId="4" hidden="1">#REF!</definedName>
    <definedName name="XRefPaste24Row" localSheetId="2" hidden="1">#REF!</definedName>
    <definedName name="XRefPaste24Row" localSheetId="3" hidden="1">#REF!</definedName>
    <definedName name="XRefPaste24Row" hidden="1">#REF!</definedName>
    <definedName name="XRefPaste25" localSheetId="4" hidden="1">#REF!</definedName>
    <definedName name="XRefPaste25" localSheetId="2" hidden="1">#REF!</definedName>
    <definedName name="XRefPaste25" localSheetId="3" hidden="1">#REF!</definedName>
    <definedName name="XRefPaste25" hidden="1">#REF!</definedName>
    <definedName name="XRefPaste25Row" localSheetId="4" hidden="1">#REF!</definedName>
    <definedName name="XRefPaste25Row" localSheetId="3" hidden="1">#REF!</definedName>
    <definedName name="XRefPaste25Row" hidden="1">#REF!</definedName>
    <definedName name="XRefPaste26" localSheetId="4" hidden="1">#REF!</definedName>
    <definedName name="XRefPaste26" localSheetId="3" hidden="1">#REF!</definedName>
    <definedName name="XRefPaste26" hidden="1">#REF!</definedName>
    <definedName name="XRefPaste26Row" localSheetId="4" hidden="1">#REF!</definedName>
    <definedName name="XRefPaste26Row" localSheetId="3" hidden="1">#REF!</definedName>
    <definedName name="XRefPaste26Row" hidden="1">#REF!</definedName>
    <definedName name="XRefPaste27" localSheetId="4" hidden="1">#REF!</definedName>
    <definedName name="XRefPaste27" localSheetId="3" hidden="1">#REF!</definedName>
    <definedName name="XRefPaste27" hidden="1">#REF!</definedName>
    <definedName name="XRefPaste27Row" localSheetId="4" hidden="1">#REF!</definedName>
    <definedName name="XRefPaste27Row" localSheetId="3" hidden="1">#REF!</definedName>
    <definedName name="XRefPaste27Row" hidden="1">#REF!</definedName>
    <definedName name="XRefPaste28" localSheetId="4" hidden="1">#REF!</definedName>
    <definedName name="XRefPaste28" localSheetId="3" hidden="1">#REF!</definedName>
    <definedName name="XRefPaste28" hidden="1">#REF!</definedName>
    <definedName name="XRefPaste28Row" localSheetId="4" hidden="1">#REF!</definedName>
    <definedName name="XRefPaste28Row" localSheetId="3" hidden="1">#REF!</definedName>
    <definedName name="XRefPaste28Row" hidden="1">#REF!</definedName>
    <definedName name="XRefPaste29" localSheetId="4" hidden="1">#REF!</definedName>
    <definedName name="XRefPaste29" localSheetId="3" hidden="1">#REF!</definedName>
    <definedName name="XRefPaste29" hidden="1">#REF!</definedName>
    <definedName name="XRefPaste29Row" localSheetId="4" hidden="1">#REF!</definedName>
    <definedName name="XRefPaste29Row" localSheetId="3" hidden="1">#REF!</definedName>
    <definedName name="XRefPaste29Row" hidden="1">#REF!</definedName>
    <definedName name="XRefPaste2Row" localSheetId="4" hidden="1">[8]XREF!#REF!</definedName>
    <definedName name="XRefPaste2Row" localSheetId="3" hidden="1">[8]XREF!#REF!</definedName>
    <definedName name="XRefPaste2Row" hidden="1">[8]XREF!#REF!</definedName>
    <definedName name="XRefPaste3" localSheetId="4" hidden="1">#REF!</definedName>
    <definedName name="XRefPaste3" localSheetId="2" hidden="1">#REF!</definedName>
    <definedName name="XRefPaste3" localSheetId="3" hidden="1">#REF!</definedName>
    <definedName name="XRefPaste3" hidden="1">#REF!</definedName>
    <definedName name="XRefPaste3Row" localSheetId="4" hidden="1">#REF!</definedName>
    <definedName name="XRefPaste3Row" localSheetId="2" hidden="1">#REF!</definedName>
    <definedName name="XRefPaste3Row" localSheetId="3" hidden="1">#REF!</definedName>
    <definedName name="XRefPaste3Row" hidden="1">#REF!</definedName>
    <definedName name="XRefPaste4" localSheetId="4" hidden="1">#REF!</definedName>
    <definedName name="XRefPaste4" localSheetId="2" hidden="1">#REF!</definedName>
    <definedName name="XRefPaste4" localSheetId="3" hidden="1">#REF!</definedName>
    <definedName name="XRefPaste4" hidden="1">#REF!</definedName>
    <definedName name="XRefPaste4Row" localSheetId="4" hidden="1">#REF!</definedName>
    <definedName name="XRefPaste4Row" localSheetId="3" hidden="1">#REF!</definedName>
    <definedName name="XRefPaste4Row" hidden="1">#REF!</definedName>
    <definedName name="XRefPaste5" localSheetId="4" hidden="1">#REF!</definedName>
    <definedName name="XRefPaste5" localSheetId="3" hidden="1">#REF!</definedName>
    <definedName name="XRefPaste5" hidden="1">#REF!</definedName>
    <definedName name="XRefPaste6" localSheetId="4" hidden="1">#REF!</definedName>
    <definedName name="XRefPaste6" localSheetId="3" hidden="1">#REF!</definedName>
    <definedName name="XRefPaste6" hidden="1">#REF!</definedName>
    <definedName name="XRefPaste6Row" localSheetId="4" hidden="1">[8]XREF!#REF!</definedName>
    <definedName name="XRefPaste6Row" localSheetId="3" hidden="1">[8]XREF!#REF!</definedName>
    <definedName name="XRefPaste6Row" hidden="1">[8]XREF!#REF!</definedName>
    <definedName name="XRefPaste7" localSheetId="4" hidden="1">#REF!</definedName>
    <definedName name="XRefPaste7" localSheetId="2" hidden="1">#REF!</definedName>
    <definedName name="XRefPaste7" localSheetId="3" hidden="1">#REF!</definedName>
    <definedName name="XRefPaste7" hidden="1">#REF!</definedName>
    <definedName name="XRefPaste8" localSheetId="4" hidden="1">#REF!</definedName>
    <definedName name="XRefPaste8" localSheetId="2" hidden="1">#REF!</definedName>
    <definedName name="XRefPaste8" localSheetId="3" hidden="1">#REF!</definedName>
    <definedName name="XRefPaste8" hidden="1">#REF!</definedName>
    <definedName name="XRefPaste9" localSheetId="4" hidden="1">#REF!</definedName>
    <definedName name="XRefPaste9" localSheetId="2" hidden="1">#REF!</definedName>
    <definedName name="XRefPaste9" localSheetId="3" hidden="1">#REF!</definedName>
    <definedName name="XRefPaste9" hidden="1">#REF!</definedName>
    <definedName name="XRefPasteRangeCount" hidden="1">1</definedName>
    <definedName name="xzxsfd" localSheetId="4" hidden="1">{"M1Print",#N/A,FALSE,"M1"}</definedName>
    <definedName name="xzxsfd" localSheetId="2" hidden="1">{"M1Print",#N/A,FALSE,"M1"}</definedName>
    <definedName name="xzxsfd" localSheetId="3" hidden="1">{"M1Print",#N/A,FALSE,"M1"}</definedName>
    <definedName name="xzxsfd" hidden="1">{"M1Print",#N/A,FALSE,"M1"}</definedName>
    <definedName name="Z_1711050D_B2D8_42FB_A40D_E4BD90297684_.wvu.Cols" localSheetId="3" hidden="1">#REF!,#REF!,#REF!,#REF!,#REF!</definedName>
    <definedName name="Z_1711050D_B2D8_42FB_A40D_E4BD90297684_.wvu.Cols" hidden="1">#REF!,#REF!,#REF!,#REF!,#REF!</definedName>
    <definedName name="Z_E738B51C_56AE_4F9F_8D8A_36AD6137B90D_.wvu.Cols" localSheetId="4" hidden="1">#REF!</definedName>
    <definedName name="Z_E738B51C_56AE_4F9F_8D8A_36AD6137B90D_.wvu.Cols" localSheetId="3" hidden="1">#REF!</definedName>
    <definedName name="Z_E738B51C_56AE_4F9F_8D8A_36AD6137B90D_.wvu.Cols" hidden="1">#REF!</definedName>
    <definedName name="Z_E738B51C_56AE_4F9F_8D8A_36AD6137B90D_.wvu.PrintArea" localSheetId="4" hidden="1">#REF!</definedName>
    <definedName name="Z_E738B51C_56AE_4F9F_8D8A_36AD6137B90D_.wvu.PrintArea" localSheetId="3" hidden="1">#REF!</definedName>
    <definedName name="Z_E738B51C_56AE_4F9F_8D8A_36AD6137B90D_.wvu.PrintArea" hidden="1">#REF!</definedName>
    <definedName name="Z_E738B51C_56AE_4F9F_8D8A_36AD6137B90D_.wvu.PrintTitles" localSheetId="4" hidden="1">#REF!,#REF!</definedName>
    <definedName name="Z_E738B51C_56AE_4F9F_8D8A_36AD6137B90D_.wvu.PrintTitles" localSheetId="3" hidden="1">#REF!,#REF!</definedName>
    <definedName name="Z_E738B51C_56AE_4F9F_8D8A_36AD6137B90D_.wvu.PrintTitles" hidden="1">#REF!,#REF!</definedName>
    <definedName name="Z_E738B51C_56AE_4F9F_8D8A_36AD6137B90D_.wvu.Rows" localSheetId="4" hidden="1">#REF!</definedName>
    <definedName name="Z_E738B51C_56AE_4F9F_8D8A_36AD6137B90D_.wvu.Rows" localSheetId="3" hidden="1">#REF!</definedName>
    <definedName name="Z_E738B51C_56AE_4F9F_8D8A_36AD6137B90D_.wvu.Rows" hidden="1">#REF!</definedName>
    <definedName name="苛" localSheetId="4" hidden="1">{"M1sPrint",#N/A,FALSE,"M1s"}</definedName>
    <definedName name="苛" localSheetId="2" hidden="1">{"M1sPrint",#N/A,FALSE,"M1s"}</definedName>
    <definedName name="苛" localSheetId="3" hidden="1">{"M1sPrint",#N/A,FALSE,"M1s"}</definedName>
    <definedName name="苛" hidden="1">{"M1sPrint",#N/A,FALSE,"M1s"}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615" l="1"/>
  <c r="P26" i="613" l="1"/>
  <c r="F169" i="551" l="1"/>
  <c r="F168" i="551"/>
  <c r="F167" i="551"/>
  <c r="F166" i="551"/>
  <c r="F165" i="551"/>
  <c r="F164" i="551"/>
  <c r="F163" i="551"/>
  <c r="F162" i="551"/>
  <c r="F161" i="551"/>
  <c r="F160" i="551"/>
  <c r="F159" i="551"/>
  <c r="F158" i="551"/>
  <c r="F157" i="551"/>
  <c r="F156" i="551"/>
  <c r="F155" i="551"/>
  <c r="F154" i="551"/>
  <c r="F153" i="551"/>
  <c r="F152" i="551"/>
  <c r="F151" i="551"/>
  <c r="F150" i="551"/>
  <c r="F149" i="551"/>
  <c r="F148" i="551"/>
  <c r="F147" i="551"/>
  <c r="F146" i="551"/>
  <c r="F145" i="551"/>
  <c r="F144" i="551"/>
  <c r="F143" i="551"/>
  <c r="F142" i="551"/>
  <c r="F141" i="551"/>
  <c r="F140" i="551"/>
  <c r="F139" i="551"/>
  <c r="F138" i="551"/>
  <c r="F137" i="551"/>
  <c r="F136" i="551"/>
  <c r="F135" i="551"/>
  <c r="F134" i="551"/>
  <c r="F133" i="551"/>
  <c r="F132" i="551"/>
  <c r="F131" i="551"/>
  <c r="F130" i="551"/>
  <c r="F129" i="551"/>
  <c r="F128" i="551"/>
  <c r="F127" i="551"/>
  <c r="F126" i="551"/>
  <c r="F125" i="551"/>
  <c r="F124" i="551"/>
  <c r="F123" i="551"/>
  <c r="F122" i="551"/>
  <c r="F121" i="551"/>
  <c r="F120" i="551"/>
  <c r="F119" i="551"/>
  <c r="F118" i="551"/>
  <c r="F117" i="551"/>
  <c r="F116" i="551"/>
  <c r="F115" i="551"/>
  <c r="F114" i="551"/>
  <c r="F113" i="551"/>
  <c r="F112" i="551"/>
  <c r="F111" i="551"/>
  <c r="F110" i="551"/>
  <c r="F109" i="551"/>
  <c r="F108" i="551"/>
  <c r="F107" i="551"/>
  <c r="F106" i="551"/>
  <c r="F105" i="551"/>
  <c r="F104" i="551"/>
  <c r="F103" i="551"/>
  <c r="F102" i="551"/>
  <c r="F101" i="551"/>
  <c r="F100" i="551"/>
  <c r="F99" i="551"/>
  <c r="F98" i="551"/>
  <c r="F97" i="551"/>
  <c r="F96" i="551"/>
  <c r="F95" i="551"/>
  <c r="F94" i="551"/>
  <c r="F93" i="551"/>
  <c r="F92" i="551"/>
  <c r="F91" i="551"/>
  <c r="F90" i="551"/>
  <c r="F89" i="551"/>
  <c r="F88" i="551"/>
  <c r="F87" i="551"/>
  <c r="F86" i="551"/>
  <c r="F85" i="551"/>
  <c r="F84" i="551"/>
  <c r="F83" i="551"/>
  <c r="R82" i="551"/>
  <c r="F82" i="551"/>
  <c r="R81" i="551"/>
  <c r="F81" i="551"/>
  <c r="R80" i="551"/>
  <c r="F80" i="551"/>
  <c r="R79" i="551"/>
  <c r="F79" i="551"/>
  <c r="R78" i="551"/>
  <c r="F78" i="551"/>
  <c r="R77" i="551"/>
  <c r="F77" i="551"/>
  <c r="R76" i="551"/>
  <c r="F76" i="551"/>
  <c r="R75" i="551"/>
  <c r="F75" i="551"/>
  <c r="R74" i="551"/>
  <c r="F74" i="551"/>
  <c r="R73" i="551"/>
  <c r="F73" i="551"/>
  <c r="R72" i="551"/>
  <c r="F72" i="551"/>
  <c r="R71" i="551"/>
  <c r="F71" i="551"/>
  <c r="R70" i="551"/>
  <c r="F70" i="551"/>
  <c r="R69" i="551"/>
  <c r="F69" i="551"/>
  <c r="R68" i="551"/>
  <c r="F68" i="551"/>
  <c r="R67" i="551"/>
  <c r="F67" i="551"/>
  <c r="R66" i="551"/>
  <c r="F66" i="551"/>
  <c r="R65" i="551"/>
  <c r="F65" i="551"/>
  <c r="R64" i="551"/>
  <c r="F64" i="551"/>
  <c r="R63" i="551"/>
  <c r="F63" i="551"/>
  <c r="R62" i="551"/>
  <c r="F62" i="551"/>
  <c r="R61" i="551"/>
  <c r="F61" i="551"/>
  <c r="R60" i="551"/>
  <c r="F60" i="551"/>
  <c r="R59" i="551"/>
  <c r="F59" i="551"/>
  <c r="R58" i="551"/>
  <c r="F58" i="551"/>
  <c r="R57" i="551"/>
  <c r="F57" i="551"/>
  <c r="R56" i="551"/>
  <c r="F56" i="551"/>
  <c r="R55" i="551"/>
  <c r="F55" i="551"/>
  <c r="R54" i="551"/>
  <c r="F54" i="551"/>
  <c r="R53" i="551"/>
  <c r="F53" i="551"/>
  <c r="R52" i="551"/>
  <c r="F52" i="551"/>
  <c r="R51" i="551"/>
  <c r="F51" i="551"/>
  <c r="R50" i="551"/>
  <c r="F50" i="551"/>
  <c r="R49" i="551"/>
  <c r="F49" i="551"/>
  <c r="R48" i="551"/>
  <c r="F48" i="551"/>
  <c r="R47" i="551"/>
  <c r="F47" i="551"/>
  <c r="R46" i="551"/>
  <c r="F46" i="551"/>
  <c r="R45" i="551"/>
  <c r="F45" i="551"/>
  <c r="R44" i="551"/>
  <c r="F44" i="551"/>
  <c r="R43" i="551"/>
  <c r="F43" i="551"/>
  <c r="R42" i="551"/>
  <c r="F42" i="551"/>
  <c r="R41" i="551"/>
  <c r="F41" i="551"/>
  <c r="R40" i="551"/>
  <c r="F40" i="551"/>
  <c r="R39" i="551"/>
  <c r="F39" i="551"/>
  <c r="R38" i="551"/>
  <c r="F38" i="551"/>
  <c r="R37" i="551"/>
  <c r="F37" i="551"/>
  <c r="R36" i="551"/>
  <c r="F36" i="551"/>
  <c r="R35" i="551"/>
  <c r="F35" i="551"/>
  <c r="R34" i="551"/>
  <c r="F34" i="551"/>
  <c r="R33" i="551"/>
  <c r="F33" i="551"/>
  <c r="R32" i="551"/>
  <c r="F32" i="551"/>
  <c r="R31" i="551"/>
  <c r="F31" i="551"/>
  <c r="R30" i="551"/>
  <c r="F30" i="551"/>
  <c r="R29" i="551"/>
  <c r="F29" i="551"/>
  <c r="R28" i="551"/>
  <c r="F28" i="551"/>
  <c r="R27" i="551"/>
  <c r="F27" i="551"/>
  <c r="R26" i="551"/>
  <c r="F26" i="551"/>
  <c r="R25" i="551"/>
  <c r="F25" i="551"/>
  <c r="R24" i="551"/>
  <c r="F24" i="551"/>
  <c r="R23" i="551"/>
  <c r="F23" i="551"/>
  <c r="R22" i="551"/>
  <c r="F22" i="551"/>
  <c r="R21" i="551"/>
  <c r="F21" i="551"/>
  <c r="R20" i="551"/>
  <c r="F20" i="551"/>
  <c r="R19" i="551"/>
  <c r="F19" i="551"/>
  <c r="R18" i="551"/>
  <c r="F18" i="551"/>
  <c r="R17" i="551"/>
  <c r="F17" i="551"/>
  <c r="R16" i="551"/>
  <c r="F16" i="551"/>
  <c r="R15" i="551"/>
  <c r="F15" i="551"/>
  <c r="F14" i="551"/>
  <c r="F13" i="551"/>
  <c r="F12" i="551"/>
  <c r="F11" i="551"/>
  <c r="F10" i="551"/>
  <c r="H67" i="613"/>
  <c r="P65" i="613"/>
  <c r="H65" i="613"/>
  <c r="P63" i="613"/>
  <c r="N63" i="613" a="1"/>
  <c r="N63" i="613"/>
  <c r="P62" i="613"/>
  <c r="N62" i="613" a="1"/>
  <c r="N62" i="613"/>
  <c r="P61" i="613"/>
  <c r="N61" i="613" a="1"/>
  <c r="N61" i="613"/>
  <c r="N59" i="613"/>
  <c r="H55" i="613"/>
  <c r="H53" i="613"/>
  <c r="O51" i="613"/>
  <c r="J51" i="613"/>
  <c r="O50" i="613"/>
  <c r="J50" i="613"/>
  <c r="O49" i="613"/>
  <c r="J49" i="613"/>
  <c r="AL48" i="613"/>
  <c r="AJ48" i="613"/>
  <c r="AH48" i="613"/>
  <c r="AF48" i="613"/>
  <c r="AD48" i="613"/>
  <c r="AB48" i="613"/>
  <c r="Z48" i="613"/>
  <c r="X48" i="613"/>
  <c r="V48" i="613"/>
  <c r="T48" i="613"/>
  <c r="R48" i="613"/>
  <c r="P48" i="613"/>
  <c r="Q48" i="613" s="1"/>
  <c r="S48" i="613" s="1"/>
  <c r="U48" i="613" s="1"/>
  <c r="W48" i="613" s="1"/>
  <c r="Y48" i="613" s="1"/>
  <c r="AA48" i="613" s="1"/>
  <c r="AC48" i="613" s="1"/>
  <c r="AE48" i="613" s="1"/>
  <c r="AG48" i="613" s="1"/>
  <c r="AI48" i="613" s="1"/>
  <c r="AK48" i="613" s="1"/>
  <c r="AM48" i="613" s="1"/>
  <c r="AN48" i="613" s="1"/>
  <c r="O48" i="613"/>
  <c r="J48" i="613"/>
  <c r="AL47" i="613"/>
  <c r="AJ47" i="613"/>
  <c r="AH47" i="613"/>
  <c r="AF47" i="613"/>
  <c r="AD47" i="613"/>
  <c r="AB47" i="613"/>
  <c r="Z47" i="613"/>
  <c r="X47" i="613"/>
  <c r="V47" i="613"/>
  <c r="T47" i="613"/>
  <c r="R47" i="613"/>
  <c r="P47" i="613"/>
  <c r="Q47" i="613" s="1"/>
  <c r="M47" i="613"/>
  <c r="AL46" i="613"/>
  <c r="AJ46" i="613"/>
  <c r="AH46" i="613"/>
  <c r="AF46" i="613"/>
  <c r="AD46" i="613"/>
  <c r="AB46" i="613"/>
  <c r="Z46" i="613"/>
  <c r="X46" i="613"/>
  <c r="V46" i="613"/>
  <c r="T46" i="613"/>
  <c r="R46" i="613"/>
  <c r="P46" i="613"/>
  <c r="Q46" i="613" s="1"/>
  <c r="M46" i="613"/>
  <c r="AL45" i="613"/>
  <c r="AJ45" i="613"/>
  <c r="AH45" i="613"/>
  <c r="AF45" i="613"/>
  <c r="AD45" i="613"/>
  <c r="AB45" i="613"/>
  <c r="Z45" i="613"/>
  <c r="X45" i="613"/>
  <c r="V45" i="613"/>
  <c r="T45" i="613"/>
  <c r="R45" i="613"/>
  <c r="P45" i="613"/>
  <c r="Q45" i="613" s="1"/>
  <c r="M45" i="613"/>
  <c r="AL44" i="613"/>
  <c r="AJ44" i="613"/>
  <c r="AH44" i="613"/>
  <c r="AF44" i="613"/>
  <c r="AD44" i="613"/>
  <c r="AB44" i="613"/>
  <c r="Z44" i="613"/>
  <c r="X44" i="613"/>
  <c r="V44" i="613"/>
  <c r="T44" i="613"/>
  <c r="R44" i="613"/>
  <c r="P44" i="613"/>
  <c r="Q44" i="613" s="1"/>
  <c r="M44" i="613"/>
  <c r="AL43" i="613"/>
  <c r="AJ43" i="613"/>
  <c r="AH43" i="613"/>
  <c r="AF43" i="613"/>
  <c r="AD43" i="613"/>
  <c r="AB43" i="613"/>
  <c r="Z43" i="613"/>
  <c r="X43" i="613"/>
  <c r="V43" i="613"/>
  <c r="T43" i="613"/>
  <c r="R43" i="613"/>
  <c r="P43" i="613"/>
  <c r="Q43" i="613" s="1"/>
  <c r="M43" i="613"/>
  <c r="AL42" i="613"/>
  <c r="AJ42" i="613"/>
  <c r="AH42" i="613"/>
  <c r="AF42" i="613"/>
  <c r="AD42" i="613"/>
  <c r="AB42" i="613"/>
  <c r="Z42" i="613"/>
  <c r="X42" i="613"/>
  <c r="V42" i="613"/>
  <c r="T42" i="613"/>
  <c r="R42" i="613"/>
  <c r="P42" i="613"/>
  <c r="Q42" i="613" s="1"/>
  <c r="M42" i="613"/>
  <c r="AL41" i="613"/>
  <c r="AJ41" i="613"/>
  <c r="AH41" i="613"/>
  <c r="AF41" i="613"/>
  <c r="AD41" i="613"/>
  <c r="AB41" i="613"/>
  <c r="Z41" i="613"/>
  <c r="X41" i="613"/>
  <c r="V41" i="613"/>
  <c r="T41" i="613"/>
  <c r="R41" i="613"/>
  <c r="P41" i="613"/>
  <c r="Q41" i="613" s="1"/>
  <c r="M41" i="613"/>
  <c r="AL40" i="613"/>
  <c r="AJ40" i="613"/>
  <c r="AH40" i="613"/>
  <c r="AF40" i="613"/>
  <c r="AD40" i="613"/>
  <c r="AB40" i="613"/>
  <c r="Z40" i="613"/>
  <c r="X40" i="613"/>
  <c r="V40" i="613"/>
  <c r="T40" i="613"/>
  <c r="R40" i="613"/>
  <c r="P40" i="613"/>
  <c r="Q40" i="613" s="1"/>
  <c r="M40" i="613"/>
  <c r="AL39" i="613"/>
  <c r="AJ39" i="613"/>
  <c r="AH39" i="613"/>
  <c r="AF39" i="613"/>
  <c r="AD39" i="613"/>
  <c r="AB39" i="613"/>
  <c r="Z39" i="613"/>
  <c r="X39" i="613"/>
  <c r="V39" i="613"/>
  <c r="T39" i="613"/>
  <c r="R39" i="613"/>
  <c r="P39" i="613"/>
  <c r="Q39" i="613" s="1"/>
  <c r="M39" i="613"/>
  <c r="AL38" i="613"/>
  <c r="AJ38" i="613"/>
  <c r="AH38" i="613"/>
  <c r="AF38" i="613"/>
  <c r="AD38" i="613"/>
  <c r="AB38" i="613"/>
  <c r="Z38" i="613"/>
  <c r="X38" i="613"/>
  <c r="V38" i="613"/>
  <c r="T38" i="613"/>
  <c r="R38" i="613"/>
  <c r="P38" i="613"/>
  <c r="Q38" i="613" s="1"/>
  <c r="M38" i="613"/>
  <c r="AL37" i="613"/>
  <c r="AJ37" i="613"/>
  <c r="AH37" i="613"/>
  <c r="AF37" i="613"/>
  <c r="AD37" i="613"/>
  <c r="AB37" i="613"/>
  <c r="Z37" i="613"/>
  <c r="X37" i="613"/>
  <c r="V37" i="613"/>
  <c r="T37" i="613"/>
  <c r="R37" i="613"/>
  <c r="P37" i="613"/>
  <c r="Q37" i="613" s="1"/>
  <c r="M37" i="613"/>
  <c r="AL36" i="613"/>
  <c r="AJ36" i="613"/>
  <c r="AH36" i="613"/>
  <c r="AF36" i="613"/>
  <c r="AD36" i="613"/>
  <c r="AB36" i="613"/>
  <c r="Z36" i="613"/>
  <c r="X36" i="613"/>
  <c r="V36" i="613"/>
  <c r="T36" i="613"/>
  <c r="R36" i="613"/>
  <c r="P36" i="613"/>
  <c r="Q36" i="613" s="1"/>
  <c r="M36" i="613"/>
  <c r="AL35" i="613"/>
  <c r="AJ35" i="613"/>
  <c r="AH35" i="613"/>
  <c r="AF35" i="613"/>
  <c r="AD35" i="613"/>
  <c r="AB35" i="613"/>
  <c r="Z35" i="613"/>
  <c r="X35" i="613"/>
  <c r="V35" i="613"/>
  <c r="T35" i="613"/>
  <c r="R35" i="613"/>
  <c r="P35" i="613"/>
  <c r="Q35" i="613" s="1"/>
  <c r="M35" i="613"/>
  <c r="AL34" i="613"/>
  <c r="AJ34" i="613"/>
  <c r="AH34" i="613"/>
  <c r="AF34" i="613"/>
  <c r="AD34" i="613"/>
  <c r="AB34" i="613"/>
  <c r="Z34" i="613"/>
  <c r="X34" i="613"/>
  <c r="V34" i="613"/>
  <c r="T34" i="613"/>
  <c r="R34" i="613"/>
  <c r="S34" i="613" s="1"/>
  <c r="U34" i="613" s="1"/>
  <c r="W34" i="613" s="1"/>
  <c r="Y34" i="613" s="1"/>
  <c r="AA34" i="613" s="1"/>
  <c r="AC34" i="613" s="1"/>
  <c r="AE34" i="613" s="1"/>
  <c r="AG34" i="613" s="1"/>
  <c r="AI34" i="613" s="1"/>
  <c r="AK34" i="613" s="1"/>
  <c r="AM34" i="613" s="1"/>
  <c r="AN34" i="613" s="1"/>
  <c r="P34" i="613"/>
  <c r="Q34" i="613" s="1"/>
  <c r="M34" i="613"/>
  <c r="AL33" i="613"/>
  <c r="AJ33" i="613"/>
  <c r="AH33" i="613"/>
  <c r="AF33" i="613"/>
  <c r="AD33" i="613"/>
  <c r="AB33" i="613"/>
  <c r="Z33" i="613"/>
  <c r="X33" i="613"/>
  <c r="V33" i="613"/>
  <c r="T33" i="613"/>
  <c r="R33" i="613"/>
  <c r="P33" i="613"/>
  <c r="Q33" i="613" s="1"/>
  <c r="M33" i="613"/>
  <c r="AL32" i="613"/>
  <c r="AJ32" i="613"/>
  <c r="AH32" i="613"/>
  <c r="AF32" i="613"/>
  <c r="AD32" i="613"/>
  <c r="AB32" i="613"/>
  <c r="Z32" i="613"/>
  <c r="X32" i="613"/>
  <c r="V32" i="613"/>
  <c r="T32" i="613"/>
  <c r="S32" i="613"/>
  <c r="U32" i="613" s="1"/>
  <c r="W32" i="613" s="1"/>
  <c r="Y32" i="613" s="1"/>
  <c r="AA32" i="613" s="1"/>
  <c r="AC32" i="613" s="1"/>
  <c r="AE32" i="613" s="1"/>
  <c r="AG32" i="613" s="1"/>
  <c r="AI32" i="613" s="1"/>
  <c r="AK32" i="613" s="1"/>
  <c r="AM32" i="613" s="1"/>
  <c r="AN32" i="613" s="1"/>
  <c r="R32" i="613"/>
  <c r="P32" i="613"/>
  <c r="Q32" i="613" s="1"/>
  <c r="M32" i="613"/>
  <c r="AL31" i="613"/>
  <c r="AJ31" i="613"/>
  <c r="AH31" i="613"/>
  <c r="AF31" i="613"/>
  <c r="AD31" i="613"/>
  <c r="AB31" i="613"/>
  <c r="Z31" i="613"/>
  <c r="X31" i="613"/>
  <c r="V31" i="613"/>
  <c r="T31" i="613"/>
  <c r="R31" i="613"/>
  <c r="P31" i="613"/>
  <c r="Q31" i="613" s="1"/>
  <c r="M31" i="613"/>
  <c r="AL30" i="613"/>
  <c r="AJ30" i="613"/>
  <c r="AH30" i="613"/>
  <c r="AF30" i="613"/>
  <c r="AD30" i="613"/>
  <c r="AB30" i="613"/>
  <c r="Z30" i="613"/>
  <c r="X30" i="613"/>
  <c r="V30" i="613"/>
  <c r="T30" i="613"/>
  <c r="R30" i="613"/>
  <c r="P30" i="613"/>
  <c r="Q30" i="613" s="1"/>
  <c r="M30" i="613"/>
  <c r="AL29" i="613"/>
  <c r="AJ29" i="613"/>
  <c r="AH29" i="613"/>
  <c r="AF29" i="613"/>
  <c r="AD29" i="613"/>
  <c r="AB29" i="613"/>
  <c r="Z29" i="613"/>
  <c r="X29" i="613"/>
  <c r="V29" i="613"/>
  <c r="T29" i="613"/>
  <c r="R29" i="613"/>
  <c r="P29" i="613"/>
  <c r="Q29" i="613" s="1"/>
  <c r="M29" i="613"/>
  <c r="AL28" i="613"/>
  <c r="AJ28" i="613"/>
  <c r="AH28" i="613"/>
  <c r="AF28" i="613"/>
  <c r="AD28" i="613"/>
  <c r="AB28" i="613"/>
  <c r="Z28" i="613"/>
  <c r="X28" i="613"/>
  <c r="V28" i="613"/>
  <c r="T28" i="613"/>
  <c r="R28" i="613"/>
  <c r="P28" i="613"/>
  <c r="Q28" i="613" s="1"/>
  <c r="M28" i="613"/>
  <c r="AL27" i="613"/>
  <c r="AJ27" i="613"/>
  <c r="AH27" i="613"/>
  <c r="AF27" i="613"/>
  <c r="AD27" i="613"/>
  <c r="AB27" i="613"/>
  <c r="Z27" i="613"/>
  <c r="X27" i="613"/>
  <c r="V27" i="613"/>
  <c r="T27" i="613"/>
  <c r="R27" i="613"/>
  <c r="P27" i="613"/>
  <c r="Q27" i="613" s="1"/>
  <c r="M27" i="613"/>
  <c r="AL26" i="613"/>
  <c r="AJ26" i="613"/>
  <c r="AH26" i="613"/>
  <c r="AF26" i="613"/>
  <c r="AD26" i="613"/>
  <c r="AB26" i="613"/>
  <c r="Z26" i="613"/>
  <c r="X26" i="613"/>
  <c r="V26" i="613"/>
  <c r="T26" i="613"/>
  <c r="R26" i="613"/>
  <c r="Q26" i="613"/>
  <c r="S26" i="613" s="1"/>
  <c r="U26" i="613" s="1"/>
  <c r="M26" i="613"/>
  <c r="N45" i="578"/>
  <c r="J25" i="560" s="1"/>
  <c r="H45" i="578"/>
  <c r="F45" i="578"/>
  <c r="F48" i="578" s="1"/>
  <c r="P43" i="578"/>
  <c r="I43" i="578"/>
  <c r="M43" i="578" s="1"/>
  <c r="O43" i="578" s="1"/>
  <c r="I42" i="578"/>
  <c r="M42" i="578" s="1"/>
  <c r="O42" i="578" s="1"/>
  <c r="P42" i="578" s="1"/>
  <c r="I41" i="578"/>
  <c r="M41" i="578" s="1"/>
  <c r="O41" i="578" s="1"/>
  <c r="P41" i="578" s="1"/>
  <c r="P40" i="578"/>
  <c r="L40" i="578"/>
  <c r="I40" i="578"/>
  <c r="I39" i="578"/>
  <c r="M39" i="578" s="1"/>
  <c r="O39" i="578" s="1"/>
  <c r="P39" i="578" s="1"/>
  <c r="I38" i="578"/>
  <c r="M38" i="578" s="1"/>
  <c r="O38" i="578" s="1"/>
  <c r="P38" i="578" s="1"/>
  <c r="I37" i="578"/>
  <c r="I36" i="578"/>
  <c r="M36" i="578" s="1"/>
  <c r="O36" i="578" s="1"/>
  <c r="P36" i="578" s="1"/>
  <c r="I35" i="578"/>
  <c r="M35" i="578" s="1"/>
  <c r="O35" i="578" s="1"/>
  <c r="P35" i="578" s="1"/>
  <c r="I34" i="578"/>
  <c r="M34" i="578" s="1"/>
  <c r="N32" i="578"/>
  <c r="P31" i="578"/>
  <c r="I31" i="578"/>
  <c r="M31" i="578" s="1"/>
  <c r="O31" i="578" s="1"/>
  <c r="C26" i="578"/>
  <c r="C20" i="560"/>
  <c r="E24" i="3"/>
  <c r="F21" i="3" s="1"/>
  <c r="E23" i="3"/>
  <c r="E22" i="3"/>
  <c r="E21" i="3"/>
  <c r="G3" i="3"/>
  <c r="S40" i="613" l="1"/>
  <c r="U40" i="613" s="1"/>
  <c r="W40" i="613" s="1"/>
  <c r="Y40" i="613" s="1"/>
  <c r="AA40" i="613" s="1"/>
  <c r="AC40" i="613" s="1"/>
  <c r="AE40" i="613" s="1"/>
  <c r="AG40" i="613" s="1"/>
  <c r="AI40" i="613" s="1"/>
  <c r="AK40" i="613" s="1"/>
  <c r="AM40" i="613" s="1"/>
  <c r="AN40" i="613" s="1"/>
  <c r="J40" i="613"/>
  <c r="O40" i="613" s="1"/>
  <c r="S37" i="613"/>
  <c r="U37" i="613" s="1"/>
  <c r="W37" i="613" s="1"/>
  <c r="Y37" i="613" s="1"/>
  <c r="AA37" i="613" s="1"/>
  <c r="AC37" i="613" s="1"/>
  <c r="AE37" i="613" s="1"/>
  <c r="AG37" i="613" s="1"/>
  <c r="AI37" i="613" s="1"/>
  <c r="AK37" i="613" s="1"/>
  <c r="AM37" i="613" s="1"/>
  <c r="AN37" i="613" s="1"/>
  <c r="S45" i="613"/>
  <c r="U45" i="613" s="1"/>
  <c r="W45" i="613" s="1"/>
  <c r="Y45" i="613" s="1"/>
  <c r="AA45" i="613" s="1"/>
  <c r="AC45" i="613" s="1"/>
  <c r="AE45" i="613" s="1"/>
  <c r="AG45" i="613" s="1"/>
  <c r="AI45" i="613" s="1"/>
  <c r="AK45" i="613" s="1"/>
  <c r="AM45" i="613" s="1"/>
  <c r="AN45" i="613" s="1"/>
  <c r="S39" i="613"/>
  <c r="U39" i="613" s="1"/>
  <c r="W39" i="613" s="1"/>
  <c r="Y39" i="613" s="1"/>
  <c r="AA39" i="613" s="1"/>
  <c r="AC39" i="613" s="1"/>
  <c r="AE39" i="613" s="1"/>
  <c r="AG39" i="613" s="1"/>
  <c r="AI39" i="613" s="1"/>
  <c r="AK39" i="613" s="1"/>
  <c r="AM39" i="613" s="1"/>
  <c r="AN39" i="613" s="1"/>
  <c r="S47" i="613"/>
  <c r="U47" i="613" s="1"/>
  <c r="W47" i="613" s="1"/>
  <c r="Y47" i="613" s="1"/>
  <c r="AA47" i="613" s="1"/>
  <c r="AC47" i="613" s="1"/>
  <c r="AE47" i="613" s="1"/>
  <c r="AG47" i="613" s="1"/>
  <c r="AI47" i="613" s="1"/>
  <c r="AK47" i="613" s="1"/>
  <c r="AM47" i="613" s="1"/>
  <c r="AN47" i="613" s="1"/>
  <c r="S27" i="613"/>
  <c r="U27" i="613" s="1"/>
  <c r="W27" i="613" s="1"/>
  <c r="Y27" i="613" s="1"/>
  <c r="AA27" i="613" s="1"/>
  <c r="AC27" i="613" s="1"/>
  <c r="AE27" i="613" s="1"/>
  <c r="AG27" i="613" s="1"/>
  <c r="AI27" i="613" s="1"/>
  <c r="AK27" i="613" s="1"/>
  <c r="AM27" i="613" s="1"/>
  <c r="AN27" i="613" s="1"/>
  <c r="J28" i="613"/>
  <c r="O28" i="613" s="1"/>
  <c r="S36" i="613"/>
  <c r="U36" i="613" s="1"/>
  <c r="W36" i="613" s="1"/>
  <c r="Y36" i="613" s="1"/>
  <c r="AA36" i="613" s="1"/>
  <c r="AC36" i="613" s="1"/>
  <c r="AE36" i="613" s="1"/>
  <c r="AG36" i="613" s="1"/>
  <c r="AI36" i="613" s="1"/>
  <c r="AK36" i="613" s="1"/>
  <c r="AM36" i="613" s="1"/>
  <c r="AN36" i="613" s="1"/>
  <c r="S44" i="613"/>
  <c r="U44" i="613" s="1"/>
  <c r="W44" i="613" s="1"/>
  <c r="Y44" i="613" s="1"/>
  <c r="AA44" i="613" s="1"/>
  <c r="AC44" i="613" s="1"/>
  <c r="AE44" i="613" s="1"/>
  <c r="AG44" i="613" s="1"/>
  <c r="AI44" i="613" s="1"/>
  <c r="AK44" i="613" s="1"/>
  <c r="AM44" i="613" s="1"/>
  <c r="AN44" i="613" s="1"/>
  <c r="S29" i="613"/>
  <c r="U29" i="613" s="1"/>
  <c r="W29" i="613" s="1"/>
  <c r="Y29" i="613" s="1"/>
  <c r="AA29" i="613" s="1"/>
  <c r="AC29" i="613" s="1"/>
  <c r="AE29" i="613" s="1"/>
  <c r="AG29" i="613" s="1"/>
  <c r="AI29" i="613" s="1"/>
  <c r="AK29" i="613" s="1"/>
  <c r="AM29" i="613" s="1"/>
  <c r="AN29" i="613" s="1"/>
  <c r="S41" i="613"/>
  <c r="U41" i="613" s="1"/>
  <c r="W41" i="613" s="1"/>
  <c r="Y41" i="613" s="1"/>
  <c r="AA41" i="613" s="1"/>
  <c r="AC41" i="613" s="1"/>
  <c r="AE41" i="613" s="1"/>
  <c r="AG41" i="613" s="1"/>
  <c r="AI41" i="613" s="1"/>
  <c r="AK41" i="613" s="1"/>
  <c r="AM41" i="613" s="1"/>
  <c r="AN41" i="613" s="1"/>
  <c r="S42" i="613"/>
  <c r="U42" i="613" s="1"/>
  <c r="W42" i="613" s="1"/>
  <c r="Y42" i="613" s="1"/>
  <c r="AA42" i="613" s="1"/>
  <c r="AC42" i="613" s="1"/>
  <c r="AE42" i="613" s="1"/>
  <c r="AG42" i="613" s="1"/>
  <c r="AI42" i="613" s="1"/>
  <c r="AK42" i="613" s="1"/>
  <c r="AM42" i="613" s="1"/>
  <c r="AN42" i="613" s="1"/>
  <c r="J42" i="613"/>
  <c r="O42" i="613" s="1"/>
  <c r="S28" i="613"/>
  <c r="U28" i="613" s="1"/>
  <c r="W28" i="613" s="1"/>
  <c r="Y28" i="613" s="1"/>
  <c r="AA28" i="613" s="1"/>
  <c r="AC28" i="613" s="1"/>
  <c r="AE28" i="613" s="1"/>
  <c r="AG28" i="613" s="1"/>
  <c r="AI28" i="613" s="1"/>
  <c r="AK28" i="613" s="1"/>
  <c r="AM28" i="613" s="1"/>
  <c r="AN28" i="613" s="1"/>
  <c r="S31" i="613"/>
  <c r="U31" i="613" s="1"/>
  <c r="W31" i="613" s="1"/>
  <c r="Y31" i="613" s="1"/>
  <c r="AA31" i="613" s="1"/>
  <c r="AC31" i="613" s="1"/>
  <c r="AE31" i="613" s="1"/>
  <c r="AG31" i="613" s="1"/>
  <c r="AI31" i="613" s="1"/>
  <c r="AK31" i="613" s="1"/>
  <c r="AM31" i="613" s="1"/>
  <c r="AN31" i="613" s="1"/>
  <c r="J32" i="613"/>
  <c r="O32" i="613" s="1"/>
  <c r="S35" i="613"/>
  <c r="U35" i="613" s="1"/>
  <c r="W35" i="613" s="1"/>
  <c r="Y35" i="613" s="1"/>
  <c r="AA35" i="613" s="1"/>
  <c r="AC35" i="613" s="1"/>
  <c r="AE35" i="613" s="1"/>
  <c r="AG35" i="613" s="1"/>
  <c r="AI35" i="613" s="1"/>
  <c r="AK35" i="613" s="1"/>
  <c r="AM35" i="613" s="1"/>
  <c r="AN35" i="613" s="1"/>
  <c r="S38" i="613"/>
  <c r="U38" i="613" s="1"/>
  <c r="W38" i="613" s="1"/>
  <c r="Y38" i="613" s="1"/>
  <c r="AA38" i="613" s="1"/>
  <c r="AC38" i="613" s="1"/>
  <c r="AE38" i="613" s="1"/>
  <c r="AG38" i="613" s="1"/>
  <c r="AI38" i="613" s="1"/>
  <c r="AK38" i="613" s="1"/>
  <c r="AM38" i="613" s="1"/>
  <c r="AN38" i="613" s="1"/>
  <c r="J38" i="613"/>
  <c r="O38" i="613" s="1"/>
  <c r="S46" i="613"/>
  <c r="U46" i="613" s="1"/>
  <c r="W46" i="613" s="1"/>
  <c r="Y46" i="613" s="1"/>
  <c r="AA46" i="613" s="1"/>
  <c r="AC46" i="613" s="1"/>
  <c r="AE46" i="613" s="1"/>
  <c r="AG46" i="613" s="1"/>
  <c r="AI46" i="613" s="1"/>
  <c r="AK46" i="613" s="1"/>
  <c r="AM46" i="613" s="1"/>
  <c r="AN46" i="613" s="1"/>
  <c r="J46" i="613"/>
  <c r="O46" i="613" s="1"/>
  <c r="S30" i="613"/>
  <c r="U30" i="613" s="1"/>
  <c r="W30" i="613" s="1"/>
  <c r="Y30" i="613" s="1"/>
  <c r="AA30" i="613" s="1"/>
  <c r="AC30" i="613" s="1"/>
  <c r="AE30" i="613" s="1"/>
  <c r="AG30" i="613" s="1"/>
  <c r="AI30" i="613" s="1"/>
  <c r="AK30" i="613" s="1"/>
  <c r="AM30" i="613" s="1"/>
  <c r="AN30" i="613" s="1"/>
  <c r="S33" i="613"/>
  <c r="U33" i="613" s="1"/>
  <c r="W33" i="613" s="1"/>
  <c r="Y33" i="613" s="1"/>
  <c r="AA33" i="613" s="1"/>
  <c r="AC33" i="613" s="1"/>
  <c r="AE33" i="613" s="1"/>
  <c r="AG33" i="613" s="1"/>
  <c r="AI33" i="613" s="1"/>
  <c r="AK33" i="613" s="1"/>
  <c r="AM33" i="613" s="1"/>
  <c r="AN33" i="613" s="1"/>
  <c r="J34" i="613"/>
  <c r="O34" i="613" s="1"/>
  <c r="S43" i="613"/>
  <c r="U43" i="613" s="1"/>
  <c r="W43" i="613" s="1"/>
  <c r="Y43" i="613" s="1"/>
  <c r="AA43" i="613" s="1"/>
  <c r="AC43" i="613" s="1"/>
  <c r="AE43" i="613" s="1"/>
  <c r="AG43" i="613" s="1"/>
  <c r="AI43" i="613" s="1"/>
  <c r="AK43" i="613" s="1"/>
  <c r="AM43" i="613" s="1"/>
  <c r="AN43" i="613" s="1"/>
  <c r="W26" i="613"/>
  <c r="Y26" i="613" s="1"/>
  <c r="AA26" i="613" s="1"/>
  <c r="AC26" i="613" s="1"/>
  <c r="AE26" i="613" s="1"/>
  <c r="AG26" i="613" s="1"/>
  <c r="AI26" i="613" s="1"/>
  <c r="AK26" i="613" s="1"/>
  <c r="AM26" i="613" s="1"/>
  <c r="AN26" i="613" s="1"/>
  <c r="J26" i="613"/>
  <c r="O26" i="613" s="1"/>
  <c r="N48" i="578"/>
  <c r="P67" i="613"/>
  <c r="P70" i="613" s="1"/>
  <c r="O34" i="578"/>
  <c r="P34" i="578" s="1"/>
  <c r="I45" i="578"/>
  <c r="J34" i="578" s="1"/>
  <c r="M37" i="578"/>
  <c r="O37" i="578" s="1"/>
  <c r="P37" i="578" s="1"/>
  <c r="E25" i="560"/>
  <c r="G25" i="560" s="1"/>
  <c r="M40" i="578"/>
  <c r="L45" i="578"/>
  <c r="H25" i="560" s="1"/>
  <c r="D26" i="578"/>
  <c r="D20" i="560"/>
  <c r="J36" i="613" l="1"/>
  <c r="O36" i="613" s="1"/>
  <c r="J35" i="613"/>
  <c r="O35" i="613" s="1"/>
  <c r="J41" i="613"/>
  <c r="O41" i="613" s="1"/>
  <c r="J45" i="613"/>
  <c r="O45" i="613" s="1"/>
  <c r="J43" i="613"/>
  <c r="O43" i="613" s="1"/>
  <c r="J33" i="613"/>
  <c r="O33" i="613" s="1"/>
  <c r="J30" i="613"/>
  <c r="O30" i="613" s="1"/>
  <c r="J39" i="613"/>
  <c r="O39" i="613" s="1"/>
  <c r="J27" i="613"/>
  <c r="O27" i="613" s="1"/>
  <c r="J37" i="613"/>
  <c r="O37" i="613" s="1"/>
  <c r="J31" i="613"/>
  <c r="O31" i="613" s="1"/>
  <c r="J29" i="613"/>
  <c r="O29" i="613" s="1"/>
  <c r="O53" i="613" s="1"/>
  <c r="O55" i="613" s="1"/>
  <c r="J44" i="613"/>
  <c r="O44" i="613" s="1"/>
  <c r="J47" i="613"/>
  <c r="O47" i="613" s="1"/>
  <c r="J42" i="578"/>
  <c r="J39" i="578"/>
  <c r="I48" i="578"/>
  <c r="J31" i="578"/>
  <c r="J36" i="578"/>
  <c r="J38" i="578"/>
  <c r="J43" i="578"/>
  <c r="J41" i="578"/>
  <c r="J37" i="578"/>
  <c r="J35" i="578"/>
  <c r="J40" i="578"/>
  <c r="I25" i="560"/>
  <c r="K25" i="560" s="1"/>
  <c r="L25" i="560" s="1"/>
  <c r="M45" i="578"/>
  <c r="O45" i="578" s="1"/>
  <c r="P45" i="578" s="1"/>
  <c r="O40" i="578"/>
  <c r="J45" i="578" l="1"/>
  <c r="M48" i="57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<sst xmlns="http://schemas.openxmlformats.org/spreadsheetml/2006/main" count="1142" uniqueCount="651">
  <si>
    <t>Uexp_Lead</t>
  </si>
  <si>
    <t>Uexp财务费用BKD</t>
  </si>
  <si>
    <t>b1f3f80b-0552-4a3d-a30b-8b045766af91</t>
  </si>
  <si>
    <t>客户名称</t>
  </si>
  <si>
    <t>河南豫能控股股份有限公司</t>
    <phoneticPr fontId="130" type="noConversion"/>
  </si>
  <si>
    <t>重要性水平(PM)</t>
  </si>
  <si>
    <t>期末</t>
  </si>
  <si>
    <t>可容忍误差(TE)</t>
  </si>
  <si>
    <t>记账本位币</t>
  </si>
  <si>
    <t>CNY</t>
  </si>
  <si>
    <t>名义金额(SAD)</t>
  </si>
  <si>
    <t>适用会计准则</t>
  </si>
  <si>
    <t>中国会计准则</t>
  </si>
  <si>
    <t>CRA</t>
  </si>
  <si>
    <r>
      <t>%</t>
    </r>
    <r>
      <rPr>
        <b/>
        <sz val="10"/>
        <color rgb="FFFF0000"/>
        <rFont val="微软雅黑"/>
        <family val="2"/>
        <charset val="134"/>
      </rPr>
      <t>*</t>
    </r>
  </si>
  <si>
    <t>High</t>
  </si>
  <si>
    <t>Moderate</t>
  </si>
  <si>
    <t>Low</t>
  </si>
  <si>
    <t>Minimal</t>
  </si>
  <si>
    <t>N/A</t>
  </si>
  <si>
    <r>
      <t>*我们期望执行的基准实质性审计程序性质、时间和范围对应的CRA风险比例，此比例为上限，项目组</t>
    </r>
    <r>
      <rPr>
        <b/>
        <i/>
        <sz val="10"/>
        <color rgb="FFFF0000"/>
        <rFont val="微软雅黑"/>
        <family val="2"/>
        <charset val="134"/>
      </rPr>
      <t>应按照实际情况</t>
    </r>
    <r>
      <rPr>
        <i/>
        <sz val="10"/>
        <color rgb="FFFF0000"/>
        <rFont val="微软雅黑"/>
        <family val="2"/>
        <charset val="134"/>
      </rPr>
      <t>进行调整。</t>
    </r>
  </si>
  <si>
    <t>认定</t>
  </si>
  <si>
    <t>Threshold</t>
  </si>
  <si>
    <r>
      <t>所有相关认定</t>
    </r>
    <r>
      <rPr>
        <b/>
        <sz val="10"/>
        <color rgb="FFFF0000"/>
        <rFont val="微软雅黑"/>
        <family val="2"/>
        <charset val="134"/>
      </rPr>
      <t>*</t>
    </r>
  </si>
  <si>
    <t>完整性（C）</t>
  </si>
  <si>
    <t>发生（O）</t>
  </si>
  <si>
    <t>计量（M）</t>
  </si>
  <si>
    <t>列报与披露（P&amp;D）</t>
  </si>
  <si>
    <t xml:space="preserve">*使用所有相关认定中的最低阈值来计算该阈值。 </t>
  </si>
  <si>
    <t>该科目涉及OSP底稿可参考此链接</t>
  </si>
  <si>
    <t>OSP SWP 研发费用 202YMMDD XYZ公司.xlsx</t>
  </si>
  <si>
    <t>P1</t>
  </si>
  <si>
    <t>序号</t>
  </si>
  <si>
    <t>报表科目</t>
  </si>
  <si>
    <t>执行实质性程序</t>
  </si>
  <si>
    <t>实质性程序类型</t>
  </si>
  <si>
    <t>程序描述</t>
  </si>
  <si>
    <t>执行</t>
  </si>
  <si>
    <t>索引</t>
  </si>
  <si>
    <t>如不执行PSP，原因需记录文字多于5个文字</t>
  </si>
  <si>
    <t>所有利润表科目（除收入和成本）</t>
  </si>
  <si>
    <t>VD-01.1-GL: 实质性程序{取得对账单并进行对比}</t>
  </si>
  <si>
    <t>PSP</t>
  </si>
  <si>
    <t>IS: O, M, C, P&amp;D</t>
  </si>
  <si>
    <t>取得所有利润表科目（除收入和成本外）金额。对比之前期间并调查异常或非预期变动或未发生预期变动的情况。调查任何异常交易，并基于综合风险评估和已确定的测试临界值测试交易。</t>
  </si>
  <si>
    <t>Yes</t>
  </si>
  <si>
    <t>财务费用</t>
  </si>
  <si>
    <r>
      <t xml:space="preserve">VD-01.1-GL: </t>
    </r>
    <r>
      <rPr>
        <sz val="10"/>
        <rFont val="微软雅黑"/>
        <family val="2"/>
        <charset val="134"/>
      </rPr>
      <t>实质性程序</t>
    </r>
    <r>
      <rPr>
        <sz val="10"/>
        <rFont val="微软雅黑"/>
        <family val="2"/>
        <charset val="134"/>
      </rPr>
      <t>{</t>
    </r>
    <r>
      <rPr>
        <sz val="10"/>
        <rFont val="微软雅黑"/>
        <family val="2"/>
        <charset val="134"/>
      </rPr>
      <t>取得对账单并进行对比</t>
    </r>
    <r>
      <rPr>
        <sz val="10"/>
        <rFont val="微软雅黑"/>
        <family val="2"/>
        <charset val="134"/>
      </rPr>
      <t>}</t>
    </r>
  </si>
  <si>
    <t>1.从管理层处取得各利润表类账户的明细账。
2.将明细账金额与总账及我们的导引表核对一致。对比当期金额和上期金额，调查异常或非预期变动或者预期变动不足的情况。
3.分析费用明细的变动，并就异常事项检查记账凭证、合同等支持性证据，评估其发生的合理性。
4调查任何异常交易，并基于综合风险评估和已确定的测试临界值测试交易。</t>
  </si>
  <si>
    <t>财务费用/投资收益</t>
  </si>
  <si>
    <t>UC-01-GL: 利息和股息收入</t>
  </si>
  <si>
    <t>测试重大投资的利息和股息收益，或通过与相关投资余额相比较来检查投资收益的合理性。</t>
  </si>
  <si>
    <t>Uexp利息测试</t>
  </si>
  <si>
    <t>费用科目（包括制造费用）</t>
  </si>
  <si>
    <t>VD-01.8-GL:执行截止程序</t>
  </si>
  <si>
    <t>IS: O, C</t>
  </si>
  <si>
    <t>记录在账面的费用交易是否记录于正确期间</t>
  </si>
  <si>
    <t>Uexp_Cutoff</t>
  </si>
  <si>
    <t>IPE 考虑</t>
  </si>
  <si>
    <t>/P1</t>
  </si>
  <si>
    <t xml:space="preserve"> IPE</t>
  </si>
  <si>
    <r>
      <t>执行IPE程序以评估客户提供的数据的准确性和完整性。可</t>
    </r>
    <r>
      <rPr>
        <b/>
        <u/>
        <sz val="10"/>
        <color rgb="FFFF0000"/>
        <rFont val="微软雅黑"/>
        <family val="2"/>
        <charset val="134"/>
      </rPr>
      <t>点击此处</t>
    </r>
    <r>
      <rPr>
        <sz val="10"/>
        <color rgb="FF000000"/>
        <rFont val="微软雅黑"/>
        <family val="2"/>
        <charset val="134"/>
      </rPr>
      <t>获取265 Form，获取后需更新链接至执行程序265GL 。</t>
    </r>
  </si>
  <si>
    <t>&lt;A6_400_IPE_FIL_20241231&gt;</t>
    <phoneticPr fontId="130" type="noConversion"/>
  </si>
  <si>
    <t>费用类账户总结陈述</t>
  </si>
  <si>
    <t>费用类程序的执行结果详见CanvasForm</t>
  </si>
  <si>
    <t>安永标记</t>
  </si>
  <si>
    <t>PY</t>
  </si>
  <si>
    <t>与上年审计底稿核对一致（需项目组自行核对或者由GDS 提供服务核对）</t>
  </si>
  <si>
    <t>A3</t>
  </si>
  <si>
    <t>与未审数、审定数核对一致</t>
  </si>
  <si>
    <t>A5</t>
  </si>
  <si>
    <t>与审计调整核对一致</t>
  </si>
  <si>
    <t>TB</t>
  </si>
  <si>
    <t>已与科目余额表核对无误</t>
  </si>
  <si>
    <t>SL</t>
  </si>
  <si>
    <t>已与明细账核对无误</t>
  </si>
  <si>
    <t>m</t>
  </si>
  <si>
    <t>余额/活动不符合测试范围–无需进一步调查</t>
  </si>
  <si>
    <t>FS</t>
  </si>
  <si>
    <t>与FS.0x与财务报表核对无误</t>
  </si>
  <si>
    <t>w</t>
  </si>
  <si>
    <t>低于SAD的金额——放弃进一步调查</t>
  </si>
  <si>
    <t>Rx</t>
  </si>
  <si>
    <t>重新计算，无异常</t>
  </si>
  <si>
    <t>c320deef-b651-4890-83c8-fa4b53e6fbdf</t>
  </si>
  <si>
    <t>返回汇总页</t>
  </si>
  <si>
    <t>目标</t>
  </si>
  <si>
    <t>通过执行分析和调查两期的费用科目重大变动来确定费用科目是否合理。</t>
  </si>
  <si>
    <t>执行的程序</t>
  </si>
  <si>
    <t>程序表</t>
  </si>
  <si>
    <t>预审完成</t>
  </si>
  <si>
    <t>年审完成</t>
  </si>
  <si>
    <t>执行注意事项</t>
  </si>
  <si>
    <t>我们获取费用科目余额表本期金额以及上年审定数。</t>
  </si>
  <si>
    <t>表1</t>
  </si>
  <si>
    <t>是</t>
  </si>
  <si>
    <t>我们将两期审定金额进行比对，对那些变动大于范围的事项，获得管理层解释并对解释是否合理进行调查。</t>
  </si>
  <si>
    <t>在下文中描述我们当期对账户波动的预期，以及这些预期的依据和理由。</t>
  </si>
  <si>
    <t>被审计单位财务费用主要由利息收入和利息支出两部分组成，其中利息收入主要由网银贷款利息收入和借款担保费收入构成，利息支出主要由借款利息和应付债券利息构成。利息收入预期较上年降低，主要因为长期借款稳定性高，近年来根据集团要求预期本期筹资活动中会增加了长期借款的比例，新增统借统还借款预期减少，相应产生的担保费利息收入预期减少。利息支出较上年预期增加，主要系豫能控股为拓宽融资渠道、降低融资成本，计划2024年发行超短期融资券规模增加，相应的应付债券利息费用预期增加。</t>
    <phoneticPr fontId="130" type="noConversion"/>
  </si>
  <si>
    <t>波动幅度（%）：</t>
  </si>
  <si>
    <t>AA</t>
  </si>
  <si>
    <t>BB</t>
  </si>
  <si>
    <t>CC=AA+BB</t>
  </si>
  <si>
    <t>DD</t>
  </si>
  <si>
    <t>EE=CC+DD</t>
  </si>
  <si>
    <t>FF</t>
  </si>
  <si>
    <t>GG=EE-FF</t>
  </si>
  <si>
    <t>HH=GG/FF</t>
  </si>
  <si>
    <t>本期审定数与上期审定数比较</t>
  </si>
  <si>
    <t>科目名称</t>
  </si>
  <si>
    <t>索引号</t>
  </si>
  <si>
    <t>本期账面数</t>
  </si>
  <si>
    <t>本期账表调整数</t>
  </si>
  <si>
    <t>本期账面未审数</t>
  </si>
  <si>
    <r>
      <t>本期</t>
    </r>
    <r>
      <rPr>
        <sz val="10"/>
        <color rgb="FF000000"/>
        <rFont val="微软雅黑"/>
        <family val="2"/>
        <charset val="134"/>
      </rPr>
      <t>审计</t>
    </r>
    <r>
      <rPr>
        <sz val="10"/>
        <color indexed="8"/>
        <rFont val="微软雅黑"/>
        <family val="2"/>
        <charset val="134"/>
      </rPr>
      <t>调整金数</t>
    </r>
  </si>
  <si>
    <t>本期账面审定数</t>
  </si>
  <si>
    <t>上期末审定数</t>
  </si>
  <si>
    <t>变动额</t>
  </si>
  <si>
    <t>变动率</t>
  </si>
  <si>
    <t>Notes</t>
  </si>
  <si>
    <r>
      <t>具体分析详见</t>
    </r>
    <r>
      <rPr>
        <sz val="10"/>
        <rFont val="微软雅黑"/>
        <family val="2"/>
        <charset val="134"/>
      </rPr>
      <t>&lt;Uexp财务费用BKD&gt;</t>
    </r>
    <phoneticPr fontId="130" type="noConversion"/>
  </si>
  <si>
    <t>调整汇总表</t>
  </si>
  <si>
    <t>原始租赁底稿测算租金信息有误，现按新的测算版本差额调整租赁房屋初始确认的使用权资产租赁负债</t>
  </si>
  <si>
    <t>AA#04</t>
    <phoneticPr fontId="130" type="noConversion"/>
  </si>
  <si>
    <t>租赁负债</t>
  </si>
  <si>
    <t>&lt;LR.04 租赁费 &gt;</t>
    <phoneticPr fontId="130" type="noConversion"/>
  </si>
  <si>
    <t>ef949b77-f54f-447e-9d50-7c9f48bd6215</t>
  </si>
  <si>
    <t>1.通过执行分析和调查两期的财务费用重大变动来确定其变动是否合理。</t>
  </si>
  <si>
    <t>2.明细账金额、总账及报表金额是否一致，对重大不一致调查其调节项的性质及原因。</t>
  </si>
  <si>
    <t>从管理层处取得本期财务费用账户的明细。</t>
  </si>
  <si>
    <r>
      <t>表</t>
    </r>
    <r>
      <rPr>
        <b/>
        <sz val="14"/>
        <color rgb="FFFF0000"/>
        <rFont val="微软雅黑"/>
        <family val="2"/>
        <charset val="134"/>
      </rPr>
      <t>1</t>
    </r>
  </si>
  <si>
    <t>对比当期金额和上期金额，调查变动大于范围或与预期不符的变动情况。并就异常事项检查记账凭证、合同等支持性证据，评估其发生的合理性。</t>
  </si>
  <si>
    <t>将明细账与管理层报表进行核对，并对差异大于SAD的项目进行调查。</t>
  </si>
  <si>
    <t>对于单项金额重大的财务费用，需要获取该单项费用的组成明细，需要获取支持性文件如合同等，在必要时进行费用测试。</t>
  </si>
  <si>
    <t>TOD SWP U_Exp_Uexp.01 TOD年审</t>
  </si>
  <si>
    <t>我们对金额大于测试阈值或性质特殊的利息收入进行测试。</t>
  </si>
  <si>
    <t>&lt;Uexp利息测试&gt;</t>
  </si>
  <si>
    <t>否</t>
  </si>
  <si>
    <r>
      <t>将费用科目中存在着勾稽关系的费用类型，同相应的其他科目金额进行核对</t>
    </r>
    <r>
      <rPr>
        <b/>
        <sz val="14"/>
        <color rgb="FFFF0000"/>
        <rFont val="微软雅黑"/>
        <family val="2"/>
        <charset val="134"/>
      </rPr>
      <t>X-ref</t>
    </r>
  </si>
  <si>
    <t>波动范围 (%):</t>
  </si>
  <si>
    <t>T1</t>
  </si>
  <si>
    <t>本期数</t>
  </si>
  <si>
    <r>
      <t>账套名称</t>
    </r>
    <r>
      <rPr>
        <sz val="10"/>
        <color rgb="FF000000"/>
        <rFont val="微软雅黑"/>
        <family val="2"/>
        <charset val="134"/>
      </rPr>
      <t>/</t>
    </r>
    <r>
      <rPr>
        <sz val="10"/>
        <color indexed="8"/>
        <rFont val="微软雅黑"/>
        <family val="2"/>
        <charset val="134"/>
      </rPr>
      <t>账套编码</t>
    </r>
    <r>
      <rPr>
        <sz val="10"/>
        <color rgb="FF000000"/>
        <rFont val="微软雅黑"/>
        <family val="2"/>
        <charset val="134"/>
      </rPr>
      <t xml:space="preserve"> </t>
    </r>
  </si>
  <si>
    <t>科目编码</t>
  </si>
  <si>
    <t>本期账表调整编号</t>
  </si>
  <si>
    <t>结构比</t>
  </si>
  <si>
    <t>本期审计调整编号</t>
  </si>
  <si>
    <r>
      <t>上期末审定数
(</t>
    </r>
    <r>
      <rPr>
        <b/>
        <sz val="10"/>
        <color rgb="FF0000FF"/>
        <rFont val="微软雅黑"/>
        <family val="2"/>
        <charset val="134"/>
      </rPr>
      <t>PY</t>
    </r>
    <r>
      <rPr>
        <sz val="10"/>
        <color rgb="FF000000"/>
        <rFont val="微软雅黑"/>
        <family val="2"/>
        <charset val="134"/>
      </rPr>
      <t>)</t>
    </r>
  </si>
  <si>
    <t>变动率%</t>
  </si>
  <si>
    <t>For X-ref</t>
  </si>
  <si>
    <t>河南豫能控股股份有限公司</t>
  </si>
  <si>
    <t>66030201</t>
  </si>
  <si>
    <t>归集资金利息收入</t>
  </si>
  <si>
    <t>Uexp利息测试</t>
    <phoneticPr fontId="130" type="noConversion"/>
  </si>
  <si>
    <t>NB1</t>
  </si>
  <si>
    <t>66030202</t>
  </si>
  <si>
    <t>非归集资金利息收入</t>
  </si>
  <si>
    <t>66030203</t>
  </si>
  <si>
    <t>网银贷款利息收入</t>
  </si>
  <si>
    <t>66030101</t>
  </si>
  <si>
    <t>长期借款利息支出</t>
  </si>
  <si>
    <t>Q.05利息费用</t>
  </si>
  <si>
    <t>NB2</t>
  </si>
  <si>
    <t>66030102</t>
  </si>
  <si>
    <t>短期借款利息支出</t>
  </si>
  <si>
    <t>66030104</t>
  </si>
  <si>
    <t>应付债券</t>
  </si>
  <si>
    <t>NB3</t>
  </si>
  <si>
    <t>66030105</t>
  </si>
  <si>
    <t>其他</t>
  </si>
  <si>
    <t xml:space="preserve">LR.04 租赁费 </t>
  </si>
  <si>
    <t>660304</t>
  </si>
  <si>
    <t>银行手续费</t>
  </si>
  <si>
    <t>660306</t>
  </si>
  <si>
    <t>借款担保费收入</t>
    <phoneticPr fontId="130" type="noConversion"/>
  </si>
  <si>
    <t>NB4</t>
  </si>
  <si>
    <t>/T1</t>
  </si>
  <si>
    <t>合计</t>
  </si>
  <si>
    <t>Diff</t>
  </si>
  <si>
    <t>对变动不在范围内的项目进行调查，评估其合理性，并记录在“说明”中。对异常项目进行调查，并记录在“说明”中。</t>
  </si>
  <si>
    <t>我们对变动金额超过50%TE(RMB5250,000.00 )且变动比例大于10%的明细项进行分析，同时，我们也对与预期变动不符，或可能存在的其他异常项进行分析，具体如下：</t>
    <phoneticPr fontId="130" type="noConversion"/>
  </si>
  <si>
    <t>本期归集资金利息收入、非归集资金利息收入和网银贷款利息收入合计金额，较上期增加1,784k元，增幅4.41%，与上期基本持平；归集资金和非归集资金利息收入整体减少，网银贷款利息收入增加，主要系为补充子公司营运资金，豫能本部通过网银贷款给子公司的整体规模增加，进而列收子公司网银贷款利息增加。我们对利息收入在&lt;Uexp利息测试&gt;中进行测算，差异小于SAD，未见异常。关于网银贷款利息收入，我们在关联方底稿中与各家子公司网银贷款利息支出金额进行核对，未发现异常，核对情况详见&lt;I_关联方核对_20241231_豫能本部&gt;。且我们已在各家子公司借款底稿中进行测算，差异均小于SAD，未发现重大异常。</t>
    <phoneticPr fontId="130" type="noConversion"/>
  </si>
  <si>
    <t>我们在&lt;01豫能本部Q SWP 借款 20241231&gt;底稿对借款利息支出进行了测算，差异小于SAD，未见明显差异；利息支出合并整体变动不大，其中长期借款利息支出增加1,922k元，短期借款利息减少2,300k元，主要是由于长期借款稳定性高，根据集团指引本期筹资活动中增加了长期借款的比例。</t>
    <phoneticPr fontId="130" type="noConversion"/>
  </si>
  <si>
    <t>应付债券利息支出较去年增加人民币11,184千元，增幅117.47%，主要系本年发行超短期融资券规模增加所致，2023年起，为拓宽融资渠道、降低融资成本，豫能控股向中国银行间市场交易商协会申请注册发行不超过人民币15亿元的超短期融资券。2023年度仅3月份发行一期，金额5亿元，期限150天，票面利率3.05%；2024年1月、4月和8月分别发行3期金额5亿元的超短融，期限分别为210天、270天和270天，故本期债券利息相应增加。我们已在&lt;01豫能本部Q SWP应付债券 20241231&gt;中进行测算，差异小于SAD，未见明显异常。</t>
    <phoneticPr fontId="130" type="noConversion"/>
  </si>
  <si>
    <t>NB4</t>
    <phoneticPr fontId="130" type="noConversion"/>
  </si>
  <si>
    <t>担保费为豫能控股作为借款主体与金融机构签订借款合同，以统借统还形式向子公司提供资金，由豫能控股实际控制人投资集团与金融机构签订保证合同对相关债务提供连带责任保证担保。投资集团按担保余额1%向豫能控股收取担保费，豫能本部再根据子公司实际使用比例进行分摊，向子公司收取担保费。担保费较上年减少主要系根据集团要求预期本期筹资活动中会增加了长期借款的比例，新增统借统还借款减少，相应产生的担保费利息收入预期减少。
本期我们已向投资集团发函验证（函证编号：SF_KF_47058967-01_II1），回函金额16,400,510.04，与账面记录一致。同时我们获取并查看了投资集团与进出口签订的保证合同中的条款，未见明显异常。</t>
    <phoneticPr fontId="130" type="noConversion"/>
  </si>
  <si>
    <t>284a92ec-2ca6-4386-9d4e-e60c226247db</t>
  </si>
  <si>
    <t>必读！利息收入合理性测试适用范围：</t>
  </si>
  <si>
    <t>测试货币资金的利息收入并通过与相关余额进行比较来检查合理性。</t>
  </si>
  <si>
    <t>执行的测试</t>
  </si>
  <si>
    <t>活期存款</t>
  </si>
  <si>
    <t>C_货币资金</t>
  </si>
  <si>
    <t>核对期末活期存款金额至公司期末银行存款明细清单。</t>
  </si>
  <si>
    <t>针对活期存款/协定存款/通知存款，使用期初、期末平均余额乘以适用的利率，测算本期利息收入。</t>
  </si>
  <si>
    <t>与财务费用底稿里的公司活期存款/协定存款/通知存款进行差异比较，若差异金额大于TT则调查原因及是否需要调整。必要时，采取月平均余额进行测算</t>
  </si>
  <si>
    <t>定期存款</t>
  </si>
  <si>
    <r>
      <t>获取公司【</t>
    </r>
    <r>
      <rPr>
        <sz val="14"/>
        <color rgb="FF0070C0"/>
        <rFont val="微软雅黑"/>
        <family val="2"/>
        <charset val="134"/>
      </rPr>
      <t>20__年1月1日至20__年12月31日</t>
    </r>
    <r>
      <rPr>
        <sz val="14"/>
        <color rgb="FF000000"/>
        <rFont val="微软雅黑"/>
        <family val="2"/>
        <charset val="134"/>
      </rPr>
      <t>】的定期存款明细清单（包含期末已到期的定期存款）。</t>
    </r>
  </si>
  <si>
    <t>表2</t>
  </si>
  <si>
    <t>不适用</t>
  </si>
  <si>
    <t>本期无定期存款，不适用该程序</t>
    <phoneticPr fontId="130" type="noConversion"/>
  </si>
  <si>
    <t>核对期末尚未到期的定期存款金额至公司期末银行存款明细清单。</t>
  </si>
  <si>
    <t>针对定期存款，使用本金、利率、存款期限测算本期利息收入。</t>
  </si>
  <si>
    <t>与财务费用底稿里的公司定期存款利息收入进行差异比较，若差异金额大于TT则调查原因及是否需要调整。</t>
  </si>
  <si>
    <t>其他利息类型</t>
  </si>
  <si>
    <t>表3</t>
  </si>
  <si>
    <t>本期无其他利息类型，不适用该程序</t>
    <phoneticPr fontId="130" type="noConversion"/>
  </si>
  <si>
    <r>
      <t>对货币资金的利息收入进行测算</t>
    </r>
    <r>
      <rPr>
        <b/>
        <sz val="10"/>
        <color rgb="FF000000"/>
        <rFont val="微软雅黑"/>
        <family val="2"/>
        <charset val="134"/>
      </rPr>
      <t>——</t>
    </r>
    <r>
      <rPr>
        <b/>
        <sz val="10"/>
        <color indexed="8"/>
        <rFont val="微软雅黑"/>
        <family val="2"/>
        <charset val="134"/>
      </rPr>
      <t>活期存款：</t>
    </r>
  </si>
  <si>
    <t>NB2</t>
    <phoneticPr fontId="130" type="noConversion"/>
  </si>
  <si>
    <t>NB1</t>
    <phoneticPr fontId="130" type="noConversion"/>
  </si>
  <si>
    <t>|----------------------------------------C100 -----------------------------------------------------|</t>
  </si>
  <si>
    <t>CC=(AA+BB)/2</t>
  </si>
  <si>
    <t>EE</t>
  </si>
  <si>
    <t>FF=CC*DD*EE</t>
  </si>
  <si>
    <t>2024年1-12月利息收入余额变动情况</t>
    <phoneticPr fontId="130" type="noConversion"/>
  </si>
  <si>
    <r>
      <t>账套名称</t>
    </r>
    <r>
      <rPr>
        <b/>
        <sz val="10"/>
        <color rgb="FF000000"/>
        <rFont val="微软雅黑"/>
        <family val="2"/>
        <charset val="134"/>
      </rPr>
      <t>/</t>
    </r>
    <r>
      <rPr>
        <b/>
        <sz val="10"/>
        <color indexed="8"/>
        <rFont val="微软雅黑"/>
        <family val="2"/>
        <charset val="134"/>
      </rPr>
      <t>账套编码</t>
    </r>
    <r>
      <rPr>
        <b/>
        <sz val="10"/>
        <color rgb="FF000000"/>
        <rFont val="微软雅黑"/>
        <family val="2"/>
        <charset val="134"/>
      </rPr>
      <t xml:space="preserve"> </t>
    </r>
  </si>
  <si>
    <t>末级科目</t>
  </si>
  <si>
    <t>账号</t>
  </si>
  <si>
    <t>账户名称</t>
  </si>
  <si>
    <t>原币币种</t>
  </si>
  <si>
    <t>期末原币</t>
  </si>
  <si>
    <t>期初原币金额</t>
  </si>
  <si>
    <t>本期原币平均余额</t>
  </si>
  <si>
    <t>2023年利率</t>
  </si>
  <si>
    <t>适用活期利率2024</t>
  </si>
  <si>
    <t>平均利率</t>
  </si>
  <si>
    <t>汇率（如适用）</t>
  </si>
  <si>
    <t>安永测算本期利息收入</t>
  </si>
  <si>
    <t>1月末</t>
  </si>
  <si>
    <t>2月末</t>
  </si>
  <si>
    <t>3月末</t>
  </si>
  <si>
    <t>4月末</t>
  </si>
  <si>
    <t>5月末</t>
  </si>
  <si>
    <t>6月末</t>
  </si>
  <si>
    <t>7月末</t>
  </si>
  <si>
    <t>8月末</t>
  </si>
  <si>
    <t>9月末</t>
  </si>
  <si>
    <t>10月末</t>
  </si>
  <si>
    <t>11月末</t>
  </si>
  <si>
    <t>12月末</t>
  </si>
  <si>
    <t>银行存款</t>
  </si>
  <si>
    <t>411060400010020021365</t>
  </si>
  <si>
    <t>RMB</t>
  </si>
  <si>
    <t>602180267110001</t>
  </si>
  <si>
    <t>41001533020052504904</t>
  </si>
  <si>
    <t>其他货币资金</t>
  </si>
  <si>
    <t>254604223819</t>
  </si>
  <si>
    <t>248141070518</t>
  </si>
  <si>
    <t>9550881310490119016</t>
  </si>
  <si>
    <t>76210154500000244</t>
  </si>
  <si>
    <t>76210167330000043</t>
  </si>
  <si>
    <t>410102010190073901</t>
  </si>
  <si>
    <t>8111101012201326045</t>
  </si>
  <si>
    <t>941003010078976675</t>
  </si>
  <si>
    <t>1702028119200104256</t>
  </si>
  <si>
    <t>605202693</t>
  </si>
  <si>
    <t>087721120100309502617</t>
  </si>
  <si>
    <t>77190180805172622</t>
  </si>
  <si>
    <t>2280000100000084026</t>
  </si>
  <si>
    <t>41100100000000000055</t>
  </si>
  <si>
    <t>41101560038457370000</t>
  </si>
  <si>
    <t>462180100100164793</t>
  </si>
  <si>
    <t>4910000010120100279316</t>
  </si>
  <si>
    <t>4910000000121800016880</t>
  </si>
  <si>
    <t>15550000004931230</t>
  </si>
  <si>
    <t>15550000005026331</t>
  </si>
  <si>
    <t>refer to &lt;C.01.1 BKD&amp;Confirmation&gt;</t>
    <phoneticPr fontId="130" type="noConversion"/>
  </si>
  <si>
    <t>Total Diff</t>
  </si>
  <si>
    <t>对货币资金的利息收入进行测算——定期存款：</t>
  </si>
  <si>
    <t>CC</t>
  </si>
  <si>
    <t>EE=(AA*BB*CC/360)*DD</t>
  </si>
  <si>
    <t xml:space="preserve"> </t>
  </si>
  <si>
    <t>年利率</t>
  </si>
  <si>
    <t>起息日</t>
  </si>
  <si>
    <t>到期日</t>
  </si>
  <si>
    <t>本年计息日</t>
  </si>
  <si>
    <t>本期无定期存款，不适用该程序。</t>
    <phoneticPr fontId="130" type="noConversion"/>
  </si>
  <si>
    <t>C.01.1</t>
  </si>
  <si>
    <t>Uexp</t>
  </si>
  <si>
    <t>财务费用-利息收入-活期</t>
  </si>
  <si>
    <t>财务费用-利息收入-定期</t>
  </si>
  <si>
    <t>财务费用-利息收入（其他）</t>
  </si>
  <si>
    <t>我们对活期存款进行了利息测试，差异小于SAD，未见异常。</t>
  </si>
  <si>
    <t>由于豫能本部活期存款余额变化较大，因此我们选取豫能控股12个月每月的期末金额平均数作为利息收入测算基础;</t>
    <phoneticPr fontId="130" type="noConversion"/>
  </si>
  <si>
    <t>由于2024年利率一路下行，因此我们使用年初年末的平均利率计算</t>
    <phoneticPr fontId="130" type="noConversion"/>
  </si>
  <si>
    <t>我们将序时账（JE）中利息收入明细按账号和月份透视数据如下：</t>
    <phoneticPr fontId="130" type="noConversion"/>
  </si>
  <si>
    <t>月份</t>
  </si>
  <si>
    <t>求和项:金额</t>
  </si>
  <si>
    <t>From JE</t>
    <phoneticPr fontId="130" type="noConversion"/>
  </si>
  <si>
    <t>910000010120100279316</t>
  </si>
  <si>
    <t>27072530-60da-4b5d-87b1-4357f8557a1f</t>
  </si>
  <si>
    <t>测试记录在账面的费用交易是否记录于正确期间</t>
  </si>
  <si>
    <t>结合我们对于被审计单位费用确认时点的理解，考虑截止性测试的涵盖期间。</t>
  </si>
  <si>
    <r>
      <t>考虑我们从其他审计程序中获取的审计证据（例如，已测试过的折旧、摊销、</t>
    </r>
    <r>
      <rPr>
        <sz val="14"/>
        <rFont val="微软雅黑"/>
        <family val="2"/>
        <charset val="134"/>
      </rPr>
      <t>职工薪酬</t>
    </r>
    <r>
      <rPr>
        <sz val="14"/>
        <color rgb="FF000000"/>
        <rFont val="微软雅黑"/>
        <family val="2"/>
        <charset val="134"/>
      </rPr>
      <t xml:space="preserve">、租赁费、保险费等），确认我们是否已经对全部期间费用的截止性执行了充分、适当的审计程序。
</t>
    </r>
  </si>
  <si>
    <t>获取截止测试涵盖期间内的期间费用明细账，并考虑IPE测试的结果。</t>
  </si>
  <si>
    <t>【请项目组更新底稿索引】</t>
  </si>
  <si>
    <t>获得测试期间内所选交易的支持文件，并确定它们是否记录在适当的期间。项目组可以检查发生额大于TE的交易，或项目组发现符合其他特定标准的交易作为关键项（key item）。如果关键项（key item）的检查不足以应对CRA的风险水平，项目组应当采取安永审计抽样工具抽取代表性样本。</t>
  </si>
  <si>
    <r>
      <t>表2</t>
    </r>
    <r>
      <rPr>
        <b/>
        <sz val="14"/>
        <color rgb="FFFF0000"/>
        <rFont val="微软雅黑"/>
        <family val="2"/>
        <charset val="134"/>
      </rPr>
      <t>及表3</t>
    </r>
  </si>
  <si>
    <t>确定截止性测试的涵盖期间</t>
  </si>
  <si>
    <t>测试期间（输入前后天数）</t>
  </si>
  <si>
    <t>测试期间确定依据/原因</t>
  </si>
  <si>
    <t>测试开始日期</t>
  </si>
  <si>
    <t>测试结束日期</t>
  </si>
  <si>
    <t>根据公司费用报销管理制度规定各项费用需在发生日起30天内完成报销审批，且月底结账期间正常情况下不再进行频繁的费用报销及计提；综上所述，我们选取资产负债表日前后各30天作为截止性测试期间。</t>
  </si>
  <si>
    <t>记录确定截止性测试样本的策略</t>
  </si>
  <si>
    <t>我们选取金额大于测试阈值（50%TE:5,250,000.00元）的作为测试样本。测试期间剔除利息支出、租赁负债利息支出等已在其他底稿测试的费用明细后，12月1日-12月31日的全部费用金额仅为人民币386千元，2025年1月1日-1月31日全部费用金额为273千元，无金额大于测试阈值的样本，且样本池金额合计小于SAD，我们不再执行进一步审计程序。</t>
    <phoneticPr fontId="130" type="noConversion"/>
  </si>
  <si>
    <r>
      <t>表</t>
    </r>
    <r>
      <rPr>
        <b/>
        <sz val="10"/>
        <color rgb="FFFF0000"/>
        <rFont val="微软雅黑"/>
        <family val="2"/>
        <charset val="134"/>
      </rPr>
      <t>3</t>
    </r>
  </si>
  <si>
    <t>测试期间费用的截止性</t>
  </si>
  <si>
    <t>记账日期</t>
  </si>
  <si>
    <t>交易事项描述</t>
  </si>
  <si>
    <t>发票日期</t>
  </si>
  <si>
    <t>交易金额</t>
  </si>
  <si>
    <t>发票号码</t>
  </si>
  <si>
    <t>业务发生日期</t>
  </si>
  <si>
    <t>交易是否被记录在正确的期间</t>
  </si>
  <si>
    <t>说明我们所执行的工作以及检查的外部审计证据。</t>
  </si>
  <si>
    <t>本期资产负债表日前记录的交易</t>
  </si>
  <si>
    <t>本期公司无金额大于测试阈值的样本，且金额合计小于SAD，不执行进一步程序。</t>
    <phoneticPr fontId="130" type="noConversion"/>
  </si>
  <si>
    <t>本期资产负债表日后记录的交易</t>
  </si>
  <si>
    <t>4dc9ee5d-f2ce-45d3-9ab7-e53d6fd7e35c</t>
  </si>
  <si>
    <t>{"Id":"2120093264","IsProject":false,"ProjectId":"2006600230","TempProjectName":"测试上数","TempType":2}</t>
  </si>
  <si>
    <t>管理费用</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</si>
  <si>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</si>
  <si>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</si>
  <si>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</si>
  <si>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</si>
  <si>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</si>
  <si>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</si>
  <si>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</si>
  <si>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</si>
  <si>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t>
  </si>
  <si>
    <t>ABC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t>
  </si>
  <si>
    <t>ABC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t>
  </si>
  <si>
    <t>ABC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t>
  </si>
  <si>
    <t>ABC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</si>
  <si>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</si>
  <si>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</si>
  <si>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</si>
  <si>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</si>
  <si>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</si>
  <si>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</si>
  <si>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</si>
  <si>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</si>
  <si>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</si>
  <si>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</si>
  <si>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</si>
  <si>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</si>
  <si>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</si>
  <si>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</si>
  <si>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</si>
  <si>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</si>
  <si>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</si>
  <si>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</si>
  <si>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</si>
  <si>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</si>
  <si>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</si>
  <si>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</si>
  <si>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</si>
  <si>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</si>
  <si>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</si>
  <si>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</si>
  <si>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</si>
  <si>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</si>
  <si>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</si>
  <si>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</si>
  <si>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</si>
  <si>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</si>
  <si>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</si>
  <si>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</si>
  <si>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</si>
  <si>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</si>
  <si>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</si>
  <si>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</si>
  <si>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</si>
  <si>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</si>
  <si>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</si>
  <si>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</si>
  <si>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</si>
  <si>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</si>
  <si>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3aTW8UBQDG8buJ32HSqwnZbWmBo4JGEw0EUE8eqixIpF1TWtTEQ0mKYNXgSxVFIxRBJTEQEkSlgl+ms9t+C7cthT5lPBi3GQy/CyHd5r8vz85vhl2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oS4U1v6y/gYcODA1NjY68d7qM3t2fOXPze+/+JXVd+DDL9nA0/v3rTzEVQmOtuJwGtg30T4yMTr23NFjx3ZPtI8f3986/FL7UDyyNaruMVVJ1Kvtibf2jb7dmti2p3V4dOrY5Op4odH9X1l/IQY2vz17T+X1g+3J0WP/+EzXbl49nDduN3Dw+U2l9XXv3fmB1uTk0fEjqw/qwd0ff7EH1+Y7eeH4MxOt0bcOtd8Z33xT78DY3RNgZfHmyK71n/be8vd/2lg/XgYqX+r9rbH2idahytss/d+Wfrn17tvbGo1iddOHJp6cmPq3Cw/vqFh4ZKeBaxr4lT3bGs1tzaI8c2t5+uLSzT+6cz8/GPLfHNQb3wwbF2/srDqmB3eYvK7Jd/cmL5bnpsu5a1sx+NCQwR+twVeP8cGie22+++kHWzB59Wl7qGHxWhcfKroX58qzn23B4pWn8ebgLovXtPjeA/uK94t7u4/G8H25NB9uGPyRGnxt6u3F0s1L5ez8VpzHm9WTj5i81smHi/LUrcWFrzpzt7rfzvZ38sFBR/kjOPlI0Zn9cunXmS2YfHh75eIu1utdfEfvIP+lPHVyceG3cvrP8uzX5ezPnU8uWP+xWH9nsfjXfO98Xp4+21u/t3t5+UafP5SpHN6/2GoeflfRU37x9k9bN3yz8tO4oabh6/0AtrG+/OWZ7p1rW0D9P1zOW77u5ZvF0qdXFn8/X15euaQvT13p7xm+8sNY0Ne9+uDG1a+Xp2+7rnsMVh8qyunb5ez88ulPugsz5Zmr5d1z5ecfb8GJfrj6WzffpNf7TXqzOLh3z/KlmfLa/FPlh1cX73zT+e7C8rmb/fnvE0NVH98MOsPXu/lgsXtqsn34cF823l55Pnc6r/uwXp7+sHPxt6W7X/RO5X0ZuvILNifwunfu8V3+cbPHd3/EbjQrZiZ2bTMvfze99OPJzg/TnQtXTrSn3njz6PiR7vmZta/XujcWyu8/6svwDy7ENu5u9nq/TB0tepfknZPXO79+tHT9y74MPVJ5vt7+f1/6ySde+xs=</t>
  </si>
  <si>
    <t>ABC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7BTxzYAACAMw/7/mi0IbvAM7QCSbx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</si>
  <si>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KWYaeObQAAQBiG/f81WxDc4JnSASSD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</si>
  <si>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TLs1LENAAAIw7D/v2YLghs8FxiKZLC8gsFSChaw7NPBApa7CRawgAUsYAELWMDSAbCApWmwgOUVDJZSsIBlnw4WsNxNsIAFLGABC1jAApYOgAUsTYMFLK9gsJSCBSz7dLCA5W6CBSxgAQtYwAIWsHQALGBpGixgeQWDpRQsYNmngwUsdxMsYAELWMACFrCApQNgAUvTYAHL</t>
  </si>
  <si>
    <t>ABC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t>
  </si>
  <si>
    <t>ABC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04ddu/vVBbHuu/6vRL7moHPmvA53cZJCRaBWcMUVGp3XyMrYDhO7VS8q0bsKCQESAiQi0V5AK4GAiwhaqRL/TOOE/4IzY/u7vNYZjz1OmublMxejmbNe9t7r9zyfZ++zH7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5a8WLD/+j58+iL/xn/zwu999+dk/+OIr+63vff7v+xheLV88ij882Td+/Xe+9fmn+IUm33m7npLf+NZn3//dz15+929959NPf+Oz7//BH/zO23f/0fffrM/sx9z9hLovZe4//f5nv/etl7//9rN/9zffvnv5w09/8EV4S7RafnqInzy3nr57+/zJ46fPHjx68uLZgyePnr988OKjN++fGq/ePn3y+s3rlx9//Pob88W++vb3f/Dy0597ix+Xv0DjZ9P9xrf/g3OSn+b/dz96+PCTP/7H//f/91/8kz/9o3/5J//dP//mZ29f/t6b7//9783n+Qe//f4Zej/W3/6D6fz3fu0Hn/2wyvsn0G+81+bzR8ajhz8V8/3j4NP+9KOfPq++8bOR/KV7TXm8nsAfvKY8fvrLvaY83s/385ryePnzJa8pU12n+bOd5/PlX+dEPw727acv378kffFU++nj59vf/OR3futbH7T+2KIvXuH+45+2vv1i6yffefP5f7z7zjwTvmTqN5r60z/6X//4f/kf/vX/+09/9I/+zw8GPtfupy8SH719+ub52zcPH3z8/kXp/WvMwzcPXj169/bB+5en1x+9/vjps8ev3n2w4It7v1/yE+/Wy2cf4de//f1vfojwpP7z1V+PjHnc/GzDP/x3/toE/LuffvLy9evPn+SffO+H3331Swb8J//sv/2T/+n/+JN/9d//8X/9/3xlwC8fv3ry4qPHHz147+WrB0+eP3394NWz999OPHv54smzJ8/evXj37OVfRMBPBPw+4M//6JeP94//m//qT/7Z//XV8T59/j7e188fPH306H28Tx8/f/DqybvXD56/efHs6aO3z1++ef3wF8a7y7/2a4/3H/w5pP/0b2z67374vdeffw4vP/3k7ffefOd7v/vJq5efvvze67ef/P7jX+qh8KM//N//+F/+0ef//hf/6Ed/+D//6A//t698QDz++On77/efvHzw+KP3jD95//3Rg5cvHz5/8PzjRw9fPf344YuPXj7/2g+I53/uD4hnf60eEF/2RX/Jg+Gr237jq9p+NuLnT1+9evTm0esHz969ef/N78t3rx68fPHm1YNnb948f/998Ztnr989+UsQ8XMR/8oRv3z0+NnLj98+f/DixecRv3767sHLZx+/fPD8xePXH7179u7py2cf6vEXH/ELEf/KEb979PbRm7ev3j149Obpxw+evHn78v2z+OG7Bw8fvnz04tGzh++evf7LEPGjRzL+lTN+/vjRm9fPnz998P5V+fO/pnj25MGLl09fPHj85qPXb94+ffbi4dNf/M33X0DGH8n4V874xeO3L148e/f4wfun89MHT949efj+J+j3Xr97/frt+9rTN8+ev/7aGT/95TP+xq8/+mD9l2X8N/cn7K/4FvzD75O+7Fvwf/0v/suv8y3461dvX7969fTxg3dvHz38/Efulw9evH3/v08ePX39/geyp48fvXr1b/QR8c1f7hHxdX8kn//5Ob+x+fN9xHyx92s8Sv7Wdz79wdvP/v3Pvv/D3//gs/mSz+hX/Kx+5qP88p/bFx/ri0fx+xVfPGe/9+ZLe37R1/Bzvo6/6K/lg6/n73zwt1Y/90u6j9zT+HO/7K/40v9MX/7X/8q/xlf/RetvfPad9x/nOy9/8kuf3/rPf/jy068c+NbLz15+99HX/duDD1d89PmKD/7658O+x1/+MvcljZ/87e/95G/Yf1H/3/3ey8/+wd/5/befvfzB9z/76S/GvvHzBv7hz10l8q94tfpwxV+hyL+88J992R9/Se+XMfKLCPnzlvPPiObPeRH4ou9nH0C//Z3f++BvjWucB87f//2f/j3zVzd/8RD52V9efnX7L3ikfJ1Hydd4hHw5CH9FA/zKp//PJPjpyz/4wSefvv17b39B8xcJ/uh//OA3e7vr31JwX/JUvX90ej74XvY3v/ll3+r/Mt+L/pt9m9DPfgYf/Nj1+XfdP++z+nN6R9Hjl69ePn/x6Pn7nzJfvf/B4tHbpw8+fvz0+YNX7z76/OeKj59+/GK/Iei+o+jV48cPn7//2eTBR29eP3vw5MXbZw8+/ujN+59V3z18/vzhxx+/ffx4vyVpv6Po0ePHz1++fvz0wfPnT99//IcfPXnw8fMnjx48fPPk0ccvHn/09vWT9cvir/OOoscfffhxq334PrSv846iR2v838Jbir79S7yl6Jv/4W9+8q3f/vHv/f70n/7zH/2Tf/XJt7/5C95n1HtJPvnxxC98y9Ev/iC9BemD+/ySbz76nbff/f7fe/vmL/VbVJ787E++X/K2x1/yLSq/4G2PTz7A5G/E2x5fvnr+6unjJ6/fq/S5Me8evntvzLOPHjx/8e7d8yfP3j17vn8j/eHbHl89e/7m+eOPHjx++/TlgydPn7998PLZ648evHv65unr12+fvK+++wqknjx88erZi0cfP/j44av34+9ev3rw8vWLNw8efvzm9eMnHz1+8ujh418VqScXmp/7lkhve/y1n2PQX+v3U4MFLI2DBSxgAQtYwPLFP2D5NbCABSxgAQtY9qcGFrCABSxgAQtYflwHC1jAAhawgAUsYAELWMACFrD0wcEClp95jIEFLGABC1jAAhawgGUeLGABC1jAApafdI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t>
  </si>
  <si>
    <t>ABC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P/s1LENAAAIw7D/v2YLghs8QzuA5J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t>
  </si>
  <si>
    <t>ABC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ZdipYxsAABCGYf9/zRYEN3imdADJ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t>
  </si>
  <si>
    <t>ABC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AMO3VsAwAAwjDs/6/ZguAGzwWGIhk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t>
  </si>
  <si>
    <t>ABC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Rhp45tAABAGIb9/zVbENzgGdoBJI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t>
  </si>
  <si>
    <t>ABC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MNOHdsAAIAwDPv/a7YguMEz0KFIBg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t>
  </si>
  <si>
    <t>ABC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Yb9ecjZBk6sA76XnibouXZch2CCQQFjGiKFVt0SWu12o2waxHDbAiAkL8j6ofu04wQm3LWGBhOVnkkplXOrPOO/31Jf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5R8WLH/1m3nEP/t3f/GrX33z6//6/mb//M9+++t9w9XyXvHfPNnP/ukf/sFvf8SnyZ/8UB/Jn/3Br3/8j7/+5lf/4k9++cvf+/WPv/nNH/7w8d/8+H39ZH/F3V9T9zuZ+w8//vpP/+Cb//TDr//J7//w8Zu/+OWfv/BKtLTMIf76s/Xx28+/+fTnX3734csvvvvpbX/25ecfvv78068/fPHtt5//8M2n33/23Wf5bP30l/32j378829++bfe4q/KD43/Pd2f/dG/PCeZ/P/9J1/8/Od//Ht/8ec/fvy4P9lv/vVPLt7t/+o3/+zXP3zzp9//+F/+7JZ++sz83k/A/PYx/GII/Sn5X84ffpI//J0Z/OEPv/rxP//w/e+s/SN4Aj/59/Hr7z/7+U8wfv/pT7989fHDt1998vHDF59+/dnHr775/tMfvv72/+UT+OM/+re//8d/+T//x1/+9//2f+UJfPLl57/jDXz6f/wG/r/7kvHJ3/kdo747/H2/Ynzyi/q/xj+i7xgfv/r+4ydfffLh+29++nbw+Q+ff/bhq89++PbDl99++fPvPv7w3Tef//DF3/kd47OPn3zxzRdf/ZbPT376FH378Rcfvv3u++8/fPbFF998+d13X3/z5cfv/o7vGN99/PSrr376qH345Otvv/7w+ddff/nhpx/k8w9f/uLTb7/+6uvPfvj45d/7O8bP//avGD//G3P9HeLDJ2e2yzXuK8Y/zH+7YAUrGccKVrCCFaxgBSt/lRNWsIIVrJyXhRWsYAUr77+CFaxgBStYwQpWsIKVv44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t>
  </si>
  <si>
    <t>ABC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OV/sVMHJwAAIAgA9986CETc4d7Vx+S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t>
  </si>
  <si>
    <t>AB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o6dOjgBAABBALj/1oEg4Q73zj4Whx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t>
  </si>
  <si>
    <t>ABC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g5durgBAAghIFg/10fHCySHuYd/RiZ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t>
  </si>
  <si>
    <t>ABC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Xvs1MEJAAAIAsD9tw4CEXe4d/UxOa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t>
  </si>
  <si>
    <t>ABC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KVY6cOTgAAQBAA7r91IEi4w72zj8Vh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t>
  </si>
  <si>
    <t>ABC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rFbxzqeHlYVwN/FLVrkeNf2uoQEBBIIywRRovHuLIpiZ9E6AdHT8AQICQlBR0NFy9sQpLwF45Mcbo4J6Wjwrxnt/u+9mplz7/f7Zh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m9Z+fk/esPv/fFPvvzy4d1f5zf7nR99/fWbJzwtOeL/Gdl7v/XZp1//iLHkB4/zRL736bu3f/7u4cvf/cEXX3z33duvvvrs8c0fvn09P9nPsfsFdL8SuT99++6Hnz78xeO73/ze45uHn3zx4yxvPPvvlgbxi0fr5ScvXj98+NHzZw9vnj9/erRePX/2yUcfv//s5cePr99/8erxxdPT8d79sp9//+2PH774X7P4eTlm/PJ23/v+730jku7/T/7s+3/0vZ/989/89F//6Td++rf/8h///vf/+Q//+LO/+7f7Kb/6gycjv/mdfv+r3373+PDD12//6kffLD09P999subrw/jOxx/306cno59+8KIf/sqFfPb45du/fHz9y7Vv5bvmg5ffznfN89cPrz55/+mBePP8w/efvXjx6jvPPv/o1atnzz95eoG8fPPw9Oknv/Zd8/L143defPj6w2cPj58/PHvx8PTaePnw8v1nrz96/ODNq8eXH334yee/5l3z4vWbx6dv9fXki6d33as3D0/jX395/ebF86f/fvj5+4/eNf8P3jXfzj9hsYIVrGAFK1jByi9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t>
  </si>
  <si>
    <t>ABC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oudOjgBAABBALj/1oEg4Q73zj4Wh5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t>
  </si>
  <si>
    <t>ABC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50eO3VwAgAAggBw/62DQMQd7l1+Mg4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t>
  </si>
  <si>
    <t>ABC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cuzUwQkAAAgCwP23DgIRd7h39TE5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t>
  </si>
  <si>
    <t>ABC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pVjpw5OAABAEADuv3UgSLjDvbOPxWE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t>
  </si>
  <si>
    <t>ABC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j506OAEACGEg2H/XBweLpId5Rz9GBi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t>
  </si>
  <si>
    <t>ABC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vnTpYrbMMwgC8F7yHkn0kJyZNstSqKCiGtMWVlIScSGnSIyetIngFbkSMO5EuXRUXghQp3oxNehkmk75+nRh3AVGfTTicmQn/mXf+p81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HK/4+V8w+54YWbDw8Otudf1C97+/7Z34sn3FrqiP+6soU3tjbPHrEsuTttb+TC5nz2yXz74J27+/s35rPDw63p3gez3fZk59i9gO5S5D6aze9tbn86nb/21nRv++H+gwqvefZnSxbx4tXaWV5auz7ZWF/cWFrZWVx5fWNtcWN1Ollcny5Prq/uLe0sT1cWxo/duTV7sL3/t7s4L5cZL6e7cOvdCytJ/rfvHH/19PjRLye/fnv8w/fj2Q7fP5Xx4v9/7/DN+XT73u7s8/sXS6dvzY1TYc7OYS3fnb4N+W6ykS8vDWFrejD7bLp7ae2/fwMvP+bVJ/zhzc1rX167vTpZunPy6OjZ1988//nJydGPVxL16vplWS8L+58K+/ffHh8fPXn++KdnT7+7koSXL32bJ//2gF995eM/AA==</t>
  </si>
  <si>
    <t>{"MD5":"0612EBC579C6FC4DD5D4FF0491A62716","FullPath":"C:\\SkyWind\\Files\\Template\\WPT\\EY底稿模板\\Skywind_U4_管理费用_202YMMDD_XYZ公司1130.xlsx","Length":131281,"LastWriteTime":"2020-11-27T17:52:08+08:00"}</t>
  </si>
  <si>
    <t>2e5d7ed0-927f-420d-b1fe-bffc2c9563bf</t>
  </si>
  <si>
    <t>a3b48232-743b-475c-b685-6a84646f8f6a</t>
  </si>
  <si>
    <t>a57482c7-511b-4537-b4fc-7d8651e7adc0</t>
  </si>
  <si>
    <t>3958434a-32fe-4148-aa07-7910b59082a7</t>
  </si>
  <si>
    <t>75bb1d1c-6fd6-4afb-a8db-6dd7fe7d6cf4</t>
  </si>
  <si>
    <t>a136a9e7-88d6-4c5f-a69a-783c2f6f5a63</t>
  </si>
  <si>
    <t>9da867ee-c875-4afc-bf98-3c70fcc4e477</t>
  </si>
  <si>
    <t>f1e1debf-1d59-4dea-a80f-00a18160f6c3</t>
  </si>
  <si>
    <t>565823e9-8e0e-4ea7-9f0a-2955f6878fe1</t>
  </si>
  <si>
    <t>731dc775-3956-4164-8a58-3d2cde56805a</t>
  </si>
  <si>
    <t>a62d30e0-4c87-424d-8929-2cb9079dbc6a</t>
  </si>
  <si>
    <t>83e886f3-e1d5-4f40-b15f-fcce83e5d67c</t>
  </si>
  <si>
    <t>fa3fb33c-82ce-4161-a2e8-390c7cd8f93b</t>
  </si>
  <si>
    <t>cbecbb53-fe10-475a-8e53-415c7ad531bb</t>
  </si>
  <si>
    <t>9835fcd3-9381-4d04-98b0-29bb6734d218</t>
  </si>
  <si>
    <t>4bdda62f-71ff-439d-a694-df7c321be0a4</t>
  </si>
  <si>
    <t>a863e8db-b5e3-4e46-983d-f5db130bcc09</t>
  </si>
  <si>
    <t>b17c9dad-b470-4b68-8b68-84b46418b266</t>
  </si>
  <si>
    <t>afe299b9-3f80-41f3-b124-7ee41ddcbd19</t>
  </si>
  <si>
    <t>904c86a6-f18d-46a4-a312-fbfe141be706</t>
  </si>
  <si>
    <t>d5fddef2-be13-4ec7-b0ee-40ffb0e973db</t>
  </si>
  <si>
    <t>779e1864-d030-449f-a366-6cd2ab355b55</t>
  </si>
  <si>
    <t>48402b64-c4c6-4cce-b1b0-afe4866ff0f1</t>
  </si>
  <si>
    <t>8b024812-465a-4caa-8947-8035c0751bd1</t>
  </si>
  <si>
    <t>773d6068-3ef9-4d9d-8720-f926a0ba0a0b</t>
  </si>
  <si>
    <t>127e0daa-2250-4495-aa9b-56cc092546ff</t>
  </si>
  <si>
    <t>0e1c99e6-46d3-4b3c-a905-c7427edf75d2</t>
  </si>
  <si>
    <t>4c73fe8c-eda1-4e10-a01c-7e4c86457f33</t>
  </si>
  <si>
    <t>d5e6c5f8-2643-483e-bf6d-e1bb5822ca76</t>
  </si>
  <si>
    <t>b8813cd7-bf40-49f0-a4ea-04b6480d2e3d</t>
  </si>
  <si>
    <t>97a719e3-7a40-4579-9bd4-4adc164ed130</t>
  </si>
  <si>
    <t>38e6291c-14c1-4667-8589-617f961070c0</t>
  </si>
  <si>
    <t>5f775f0a-2fbd-44c8-9ee9-8a93a87d8ec9</t>
  </si>
  <si>
    <t>48767849-cc17-45fc-aa67-44348ceab0ec</t>
  </si>
  <si>
    <t>93947255-1890-4cdb-a6a0-94b4804ad6f7</t>
  </si>
  <si>
    <t>8ea2e96b-7bcb-4fb6-b47d-2be3377b2b59</t>
  </si>
  <si>
    <t>6bba4393-c698-4388-b43d-ec243c6779c3</t>
  </si>
  <si>
    <t>65802f6d-9145-4965-afff-dca84a2cb561</t>
  </si>
  <si>
    <t>7d840842-5c5b-4389-9a92-87e3b87140f2</t>
  </si>
  <si>
    <t>d91aff65-3c94-4247-82ce-88a24bafcaa8</t>
  </si>
  <si>
    <t>89438705-293f-4ac4-898c-24b245e57dcf</t>
  </si>
  <si>
    <t>7f1dacfd-14d4-4ba7-b915-018599444db2</t>
  </si>
  <si>
    <t>cfb6fd11-4d23-42f4-9778-eb0e78db4075</t>
  </si>
  <si>
    <t>c9bbb7ff-b986-4234-9347-ad886a469108</t>
  </si>
  <si>
    <t>8bd15157-f8fd-4852-ac9b-fe7f201615a1</t>
  </si>
  <si>
    <t>7dbbe21e-6eae-4da7-895d-1ebd63d9dff3</t>
  </si>
  <si>
    <t>53876337-3df1-42b5-88d3-f8ff5c2079e3</t>
  </si>
  <si>
    <t>bc724959-aebc-46af-a320-57675bad5af5</t>
  </si>
  <si>
    <t>6d1df293-8014-44c5-9772-5c03c7d0e32b</t>
  </si>
  <si>
    <t>b5a0ba96-6ce2-4eb6-be91-f2fd0079826c</t>
  </si>
  <si>
    <t>68fe94d8-d407-421c-abc4-8170b02afd03</t>
  </si>
  <si>
    <t>a256fd90-b0b9-43ba-a44e-a9bb06f425f0</t>
  </si>
  <si>
    <t>dfad5f3c-29cc-4b30-9c7e-1b79e856ea12</t>
  </si>
  <si>
    <t>38850cab-033c-46c0-83c2-ad46d529a764</t>
  </si>
  <si>
    <t>978bda39-d29e-4222-85c7-beb04c8e1bd1</t>
  </si>
  <si>
    <t>b814911e-0aa3-468e-93d0-9479ff6adfa2</t>
  </si>
  <si>
    <t>06f31434-81e6-4cf3-b8f0-14b854a5c218</t>
  </si>
  <si>
    <t>4a10be13-65fe-4ba0-ae14-12acc07366ff</t>
  </si>
  <si>
    <t>f260a43f-3d1d-46e1-bad8-f6637d2256c6</t>
  </si>
  <si>
    <t>9c5bbfbb-36b4-4459-95aa-30261447d23a</t>
  </si>
  <si>
    <t>58e54662-4fee-4684-a8ff-392ac4c9c5cd</t>
  </si>
  <si>
    <t>288fd3dc-63a3-41e7-8f6f-bbf0c870826c</t>
  </si>
  <si>
    <t>e09c044f-ffde-4c23-8b10-43b2f4c04156</t>
  </si>
  <si>
    <t>cbb280d6-2c8a-42f3-a6e0-c9dc968a6c7a</t>
  </si>
  <si>
    <t>4d362527-3a94-4c12-8325-42b7ad025ef6</t>
  </si>
  <si>
    <t>cc3f83d0-10ee-4f93-b3fa-dc8d09a056f7</t>
  </si>
  <si>
    <t>e49591c2-301b-45fd-9da5-cb24a176248f</t>
  </si>
  <si>
    <t>d92707e7-c5f3-4e09-a2e2-2f22e1e7f916</t>
  </si>
  <si>
    <t>b335d794-777e-4454-af23-bc00415eee9a</t>
  </si>
  <si>
    <t>ec474684-02e0-4e59-949d-54718ceb275a</t>
  </si>
  <si>
    <t>60207863-9e43-41c1-839b-7df6d1c907fc</t>
  </si>
  <si>
    <t>6d8f88bc-be09-48b3-b42d-5a588c7f2663</t>
  </si>
  <si>
    <t>fbefcb6a-b20c-4f5b-a253-ee77e74e8f37</t>
  </si>
  <si>
    <t>346cad63-ffee-401c-a639-6b4cda4f7df9</t>
  </si>
  <si>
    <t>abf9edad-3093-473b-983f-7ebd91280bcd</t>
  </si>
  <si>
    <t>7d1e65b3-4fb6-4836-9cc4-686b4fdd40b7</t>
  </si>
  <si>
    <t>eb3d8fbc-f10c-4ecc-a5ce-5262d980d8c4</t>
  </si>
  <si>
    <t>0e7642c2-8a63-4c88-96d9-f00115bbde7c</t>
  </si>
  <si>
    <t>2305edf0-c4f6-4e1e-9e62-c2f275c2bffc</t>
  </si>
  <si>
    <t>03da9a5e-04ce-4efc-b951-7a31c5b50ae1</t>
  </si>
  <si>
    <t>b67a9f4a-d9f7-41c6-8331-9081b29ad0a0</t>
  </si>
  <si>
    <t>407ed7f7-7dd2-4dea-9f32-3f72beb964e5</t>
  </si>
  <si>
    <t>5ff279e6-7491-4ae2-990b-2b1405782927</t>
  </si>
  <si>
    <t>a9085627-2b59-43e1-b878-e3ddfe4b098f</t>
  </si>
  <si>
    <t>f1fb1cd8-a0b2-4357-8919-b2643b362123</t>
  </si>
  <si>
    <t>fe8f8389-cdd5-4267-9453-794b5b22bec3</t>
  </si>
  <si>
    <t>4026dca4-5a35-4e52-9dbb-fdd143026d79</t>
  </si>
  <si>
    <t>2c877d0a-b6f5-4525-a64d-8d81ed665c31</t>
  </si>
  <si>
    <t>afcd1915-8d56-4788-9865-a43d1fb9f912</t>
  </si>
  <si>
    <t>d4342222-24bc-4b4a-a208-de111dd97e06</t>
  </si>
  <si>
    <t>31b5dcfc-74bb-4921-a863-f1cfff69b270</t>
  </si>
  <si>
    <t>9488f1e9-73e9-4fba-81dc-4ebda98456ce</t>
  </si>
  <si>
    <t>d0872e79-36a6-44e0-90e8-f9482289aabb</t>
  </si>
  <si>
    <t>0a4e6c50-6634-4b8a-a3bf-8194fdb76ab8</t>
  </si>
  <si>
    <t>18718e2e-56f8-4f0f-8124-a3040378f47b</t>
  </si>
  <si>
    <t>c68e9b95-45d1-46e3-ab3b-92518bf9aabf</t>
  </si>
  <si>
    <t>aeb0d24c-a4d3-4ded-a771-784d43b601bb</t>
  </si>
  <si>
    <t>b3e392dc-c81c-4108-8a15-b4431d9a1bcc</t>
  </si>
  <si>
    <t>1c54be8b-ff38-4f52-9c5d-a6508915cb19</t>
  </si>
  <si>
    <t>d621de16-1830-484b-9269-d354b050b158</t>
  </si>
  <si>
    <t>c633ec40-5c60-445a-80fe-1f99d4d19e15</t>
  </si>
  <si>
    <t>6a93fb58-633e-475e-9006-3625e32bb509</t>
  </si>
  <si>
    <t>62ddb3ec-d7d9-459b-881f-f635ae742503</t>
  </si>
  <si>
    <t>c19039d6-1a26-46fc-a3f9-2d52d9153eff</t>
  </si>
  <si>
    <t>c785bf84-7957-454e-ae6e-01a46badf02d</t>
  </si>
  <si>
    <t>af19b4b5-cda1-438d-8ff6-528265031521</t>
  </si>
  <si>
    <t>b557ca4d-944e-482d-a044-22aac170ec28</t>
  </si>
  <si>
    <t>2e4e7784-7166-4b22-b0f7-0096d82640d3</t>
  </si>
  <si>
    <t>65f39513-49d3-475e-9126-8a86cdde1a85</t>
  </si>
  <si>
    <t>aab0bd2f-8b83-4b8d-b2c0-c2170303db12</t>
  </si>
  <si>
    <t>f8bef442-2bee-4474-b108-62eba0c077f3</t>
  </si>
  <si>
    <t>dc2dc7bd-e745-450d-8cfe-fa95e3ace894</t>
  </si>
  <si>
    <t>a277c8a4-cdec-4980-befa-6f9864c61cd1</t>
  </si>
  <si>
    <t>ebe49208-823f-4efd-8564-ef48201b9585</t>
  </si>
  <si>
    <t>e09eb91a-47f4-4a11-bb65-65b90e69ace6</t>
  </si>
  <si>
    <t>0f83be01-672c-489a-ab7f-6e9f87c43854</t>
  </si>
  <si>
    <t>dabf63ca-267e-4c35-8779-2fbd0a28db69</t>
  </si>
  <si>
    <t>aec35903-4b01-4f2c-a90c-460f47460359</t>
  </si>
  <si>
    <t>73694999-0d85-42d2-9a8e-094598ead8bd</t>
  </si>
  <si>
    <t>43bad920-a971-488b-97b8-5d1cb961f812</t>
  </si>
  <si>
    <t>cbf4a0df-8431-4ec0-8b52-6babb4ea5462</t>
  </si>
  <si>
    <t>cdc2b6bc-ac47-40be-8597-6f8782f1245a</t>
  </si>
  <si>
    <t>b3307cbb-2dc6-48e6-92df-ff077099e333</t>
  </si>
  <si>
    <t>2d3f110c-e8e7-4cf5-b372-f144d7485242</t>
  </si>
  <si>
    <t>1337ac35-7750-4024-9741-0d419832ec4f</t>
  </si>
  <si>
    <t>116af29b-9e8d-46b0-960a-293b2b39789c</t>
  </si>
  <si>
    <t>7b67d732-3e5a-457e-a6c2-f5d5cce467df</t>
  </si>
  <si>
    <t>04768c43-ac71-436c-994a-76f3052bc7a0</t>
  </si>
  <si>
    <t>408b6819-90ba-4fcb-ac8d-09dc34234103</t>
  </si>
  <si>
    <t>f88043d1-62e2-489d-b33b-3b5184674f40</t>
  </si>
  <si>
    <t>3f16a684-9412-4bf5-bcdd-366a7cc9a7fc</t>
  </si>
  <si>
    <t>d18d57b2-233e-43fc-975e-bdcb9a6d045e</t>
  </si>
  <si>
    <t>cf288d2e-19b9-4997-a7e4-752b9893ef73</t>
  </si>
  <si>
    <t>c702974b-29d8-4708-9a58-796ddef9ed1a</t>
  </si>
  <si>
    <t>8de145d5-aeba-4a2e-8a80-d6e2fce8659b</t>
  </si>
  <si>
    <t>674f6887-5a01-4c61-9b4a-3630695d0832</t>
  </si>
  <si>
    <t>4dfe9a6a-4a4e-4cfa-8afa-8df434cf5b0e</t>
  </si>
  <si>
    <t>4cdfb006-ca0d-453e-8ef5-c0b90444a93c</t>
  </si>
  <si>
    <t>de11767a-287d-491e-b5b9-23f9e266ea71</t>
  </si>
  <si>
    <t>5f6fab2b-27a4-47a0-a48b-2b6682baaf2b</t>
  </si>
  <si>
    <t>199074c3-be1a-4b5b-bae4-49454f049b52</t>
  </si>
  <si>
    <t>b0a8049b-c133-44a8-8ede-9eee3f5dec75</t>
  </si>
  <si>
    <t>040f6ea6-d72e-4369-b76b-0af362d0bae4</t>
  </si>
  <si>
    <t>b17b04b9-e433-41ce-bd97-d64b8721e7ad</t>
  </si>
  <si>
    <t>1afdd838-25a4-4e26-99f9-b88bbebb97e4</t>
  </si>
  <si>
    <t>761cf9fa-a2a1-45ca-9447-8efc64afc129</t>
  </si>
  <si>
    <t>472bde22-ea7e-4f9e-82fc-8623ab61cb73</t>
  </si>
  <si>
    <t>51a1af93-da4a-4240-adee-81ff918aa6a5</t>
  </si>
  <si>
    <t>b2a54a2b-5555-47b4-8aed-340b0ad8da5a</t>
  </si>
  <si>
    <t>fc14a605-9a7e-4b51-92a6-dcae11397577</t>
  </si>
  <si>
    <t>0382929a-34d4-4aa3-afd4-723a0695e353</t>
  </si>
  <si>
    <t>85f4874f-baa0-4cd9-8586-6ec86122feac</t>
  </si>
  <si>
    <t>1bc82611-2f39-4ef0-8bb8-979b44c53083</t>
  </si>
  <si>
    <t>ff62d272-7a97-4885-a359-184c78fb913b</t>
  </si>
  <si>
    <t>cccac1e8-b126-49ba-b48a-53c6034f4486</t>
  </si>
  <si>
    <t>0ca974c5-50c2-4413-a4a4-e52385f252e5</t>
  </si>
  <si>
    <t>72a62ba5-7f61-491b-ad87-66eec62cf9b3</t>
  </si>
  <si>
    <t>0f2f9789-16b7-4304-b587-891fdf44dcb4</t>
  </si>
  <si>
    <t>a5087111-2c9d-4ae4-bc41-11193dfb3a4c</t>
  </si>
  <si>
    <t>ba9ec45c-c699-4126-8990-7e5e9e1aa1ef</t>
  </si>
  <si>
    <t>3423cfd7-eaed-4539-ae01-54327113e04e</t>
  </si>
  <si>
    <t>cb9534c0-e8b0-458f-8e7e-737e25bea4a9</t>
  </si>
  <si>
    <t>53101204-5b9f-45d7-8385-5a1711a0392d</t>
  </si>
  <si>
    <t>fa788ba7-7514-4cfa-a728-41a461e27dc1</t>
  </si>
  <si>
    <t>a79e4cd2-adc8-4ff3-ab4d-b7dea16bf526</t>
  </si>
  <si>
    <t>58f6f868-961b-49ed-ac02-d556d15f2905</t>
  </si>
  <si>
    <t>1a962ca8-161c-4169-8397-193009cab8d1</t>
  </si>
  <si>
    <t>271deedd-e61b-4698-970f-5a6009eb97f0</t>
  </si>
  <si>
    <t>5459a516-da7b-4451-8216-386ff00acdd9</t>
  </si>
  <si>
    <t>5b97cae7-d9b8-4637-afd4-38d4e1bba14a</t>
  </si>
  <si>
    <t>be77509c-17b6-4266-b69c-c26175f2f8bc</t>
  </si>
  <si>
    <t>8fcd87a5-ba6d-4201-a9d2-583347b1da9c</t>
  </si>
  <si>
    <t>a02c46eb-b2f9-41c0-bb7d-3f94693f5a8a</t>
  </si>
  <si>
    <t>66d03148-e4fe-4be5-a0d2-2c98492b16a9</t>
  </si>
  <si>
    <t>5c0f0761-8fd9-442b-baac-1a64989bfed0</t>
  </si>
  <si>
    <t>4e8d3f63-97d8-413e-a48a-eb814cef2fb9</t>
  </si>
  <si>
    <t>3ee09915-4576-4570-b143-1cce62c06b0d</t>
  </si>
  <si>
    <t>95f895d4-ef40-40f0-b922-b2ebe9a3858e</t>
  </si>
  <si>
    <t>e8178ded-f432-405c-afff-3b617266ecef</t>
  </si>
  <si>
    <t>fab45c0a-6dd6-414f-9495-cc54f9eaf26a</t>
  </si>
  <si>
    <t>7f48c9c2-cb26-4af8-ac2d-c22a353b361b</t>
  </si>
  <si>
    <t>6c222462-0322-4e2a-adee-f370ec3efbc4</t>
  </si>
  <si>
    <t>5e95e4fe-e446-4b5e-843e-260a60f227d5</t>
  </si>
  <si>
    <t>96eeb039-5b8b-4037-a244-2a59f9632f7a</t>
  </si>
  <si>
    <t>d492e41d-4ee1-4246-91e0-5e4f6335243c</t>
  </si>
  <si>
    <t>714fcb89-21b7-464b-9b53-9d8e338662da</t>
  </si>
  <si>
    <t>c643645d-1d88-498d-b7b0-52f2e4c40fdc</t>
  </si>
  <si>
    <t>f1bd65fb-e674-42d2-a20d-de9bb9740bf6</t>
  </si>
  <si>
    <t>b891458e-04e9-4fee-9236-e080f124ddb3</t>
  </si>
  <si>
    <t>797c8d58-25ae-4a9f-beee-79bda18e29dc</t>
  </si>
  <si>
    <t>7c424774-6497-44a4-9bf1-aee9c6fd7c0c</t>
  </si>
  <si>
    <t>60e4c89f-01ff-40b5-b614-ff9725ce7ccd</t>
  </si>
  <si>
    <t>d6ba34b9-1a0b-45e3-9b35-95f405b724cf</t>
  </si>
  <si>
    <t>ab989c5b-9c19-49ba-8d7b-22f6be32e797</t>
  </si>
  <si>
    <t>ebdf90b1-0d50-4614-ba2d-da1e340b4a43</t>
  </si>
  <si>
    <t>46e1f2dd-22f0-4db9-b654-6c4ae950916c</t>
  </si>
  <si>
    <t>3b3c2526-c32d-47ab-aa32-5b6dad951aab</t>
  </si>
  <si>
    <t>57c49d5e-d2e8-41ef-b399-7c9e4398b739</t>
  </si>
  <si>
    <t>99f99c75-4e54-40a0-b234-732ce26ede36</t>
  </si>
  <si>
    <t>1d7fdaf3-270e-43c8-b248-6bee8a0b3978</t>
  </si>
  <si>
    <t>f9b81827-1bbf-40e7-8995-c8675f64c937</t>
  </si>
  <si>
    <t>080f6868-9248-4397-ab5f-7be54f3d4d89</t>
  </si>
  <si>
    <t>650f669b-efb3-472b-9cde-7c0f417b4494</t>
  </si>
  <si>
    <t>9e27363a-249c-4026-8617-8841e2a20faf</t>
  </si>
  <si>
    <t>3c1c8532-164f-44e6-8489-8a47ba7ea92a</t>
  </si>
  <si>
    <t>b329f16d-5ddb-4f81-9a04-7ea7471bccc7</t>
  </si>
  <si>
    <t>af7e67c7-aef5-4a4b-8a78-f7fcc980c0a2</t>
  </si>
  <si>
    <t>2f3e74d7-6bc9-4866-8b86-907c7053b081</t>
  </si>
  <si>
    <t>d167b3fc-58c2-4c96-aca7-a856916a237a</t>
  </si>
  <si>
    <t>f217a4cb-e263-42a5-a44e-ee264181d093</t>
  </si>
  <si>
    <t>a45fe681-52f1-442f-a477-93a866bc2061</t>
  </si>
  <si>
    <t>fa854dae-7fe8-412a-96f6-1867c45de8e5</t>
  </si>
  <si>
    <t>5d7742d0-2919-4ae9-aafb-d85e31b258b8</t>
  </si>
  <si>
    <t>66115a82-d8ad-430a-a9a3-8d1b77d5a241</t>
  </si>
  <si>
    <t>d0bb491e-b34b-4f76-bc0e-fdffda64bfb2</t>
  </si>
  <si>
    <t>e13b7b39-a985-48c5-8da3-049ba019c75f</t>
  </si>
  <si>
    <t>466e3619-da9c-498b-b902-85f8d139214d</t>
  </si>
  <si>
    <t>60f687e2-f195-467e-8c04-7f77f36a119f</t>
  </si>
  <si>
    <t>c63c9d79-2683-4b42-8bae-a73d85ab3125</t>
  </si>
  <si>
    <t>d0c58209-17b6-4f1c-8e04-f1407e221f46</t>
  </si>
  <si>
    <t>14981665-9050-4daf-9086-7ee87767996c</t>
  </si>
  <si>
    <t>6ea506e1-e7ad-4e3a-a872-cf3cd9058c60</t>
  </si>
  <si>
    <t>9af32cb9-51e6-4872-9dab-2f00ec97ec74</t>
  </si>
  <si>
    <t>d0b1df97-1024-41a3-83fa-47edf3fd65b6</t>
  </si>
  <si>
    <t>75c35215-598b-4781-b0e4-48d447d0d338</t>
  </si>
  <si>
    <t>982c0ba2-d425-43eb-81b2-776bb9ca21ae</t>
  </si>
  <si>
    <t>29df1df1-a1e5-4cd3-9f83-a41d9540ffbb</t>
  </si>
  <si>
    <t>ae16226f-6f33-4ddc-aa95-16d4eb29287f</t>
  </si>
  <si>
    <t>KHS8YHMVNX34H2XXVNR8Z49C9S0VA0W5YBE9Y6P872208RHHAVNG</t>
  </si>
  <si>
    <t>Qian Z Zhang</t>
  </si>
  <si>
    <t>6MHDXJSY0EZ4FTY38FAWS1RBQMJ5SQF0K82YD6H5SGJP9T080D20</t>
  </si>
  <si>
    <t>Esther WY Wang</t>
  </si>
  <si>
    <t>SNHMSFRNR122GRWZ5WDKHQ865FNVKWK42XD2Z7EF7ANRBY79KKX0</t>
  </si>
  <si>
    <t>Vanessa W Wang</t>
  </si>
  <si>
    <t>Create</t>
  </si>
  <si>
    <t>672e4c2a-b753-4e8b-bcd8-f8637a870605</t>
  </si>
  <si>
    <t>{"id":"672e4c2a-b753-4e8b-bcd8-f8637a870605","type":1,"name":"workbookId","value":"f9f2ea7b-dc96-4e58-ab9e-b39583640c22"}</t>
  </si>
  <si>
    <t>a6e3f12a-c450-42e8-b9e0-4acb06d116c1</t>
  </si>
  <si>
    <t>{"id":"a6e3f12a-c450-42e8-b9e0-4acb06d116c1","type":0,"name":"dataSnipperSheetDeleted","value":"false"}</t>
  </si>
  <si>
    <t>1523a39a-7c67-401c-9e3b-aa176bd1a8b5</t>
  </si>
  <si>
    <t>{"id":"1523a39a-7c67-401c-9e3b-aa176bd1a8b5","type":0,"name":"embed-documents","value":"false"}</t>
  </si>
  <si>
    <t>fc69d317-c8aa-44b3-a256-29ad6a7cef09</t>
  </si>
  <si>
    <t>{"id":"fc69d317-c8aa-44b3-a256-29ad6a7cef09","type":0,"name":"table-snip-suggestions","value":"true"}</t>
  </si>
  <si>
    <t>27248167-407e-4c04-bfec-1c351070bb54</t>
  </si>
  <si>
    <t>{"id":"27248167-407e-4c04-bfec-1c351070bb54","type":1,"name":"migratedFssProjectId","value":""}</t>
  </si>
  <si>
    <t>{"id":"672e4c2a-b753-4e8b-bcd8-f8637a870605","type":1,"name":"workbookId","value":"40cf15e0-f475-4d40-b690-3b6369fb9626"}</t>
  </si>
  <si>
    <t>{"id":"1523a39a-7c67-401c-9e3b-aa176bd1a8b5","type":0,"name":"embed-documents","value":"true"}</t>
  </si>
  <si>
    <t>ABC7Vtbb9zGFX4PkP8gLProEXgZzqVv0mrlCFEkVbtCUQTGYoZzxtmaS6pcbhQhMFA/NUhQpAXapkANtCrQxkULuwVcNGkC5M9El7f+hQ4p7Ypccm/2yrHj9YMgzZwzc+Z83zlzSB7/76tv3n3zjZWVD9MfKyu1HyTHh1D74Uqt8ZPV5r3jo06oVn8cxff2xCHEq1vhYT9pvgeQ3FqpEqjdulpmS6VrSFu7mlkSWZ7nICxchYRr/mTSwh4lRGhuD1WafdmKEhE0QiEDSPW1CHowOr3ZgSBbfKjYesv8GfaDYDCwI7rZEc7+9Yuzn391bVNvG0Rp3a3eegzinoqOwtGp/eioHvXDxIx79mCwHgWDQUIHg40w6SQd6JnBdy+Hhh4d69V60IEwWc1Uj1d35U/BTzq644ukE4Wrm1Hc7Qficrbg7ILe4HDZLlc6zUTEibF9K1TwgdnUtfJCbxkfQJyftvPTA+VWNBTc6Ght5Jy82FbYgwmbbHd6yZU1dQiC1C138vM/6kN83CsNNyEwTgCVYdwIr3DMQVuWqo+TykyIo24r2gzE3fJW70VH61FsTrgWGzhHaZHJXM43k+OgaoNLilvKcSRYhtgWZwhzQ3FpMccw3ufKVVxLxWtVDr7d72QLcCUYoQDIZ9QzMaJ9JLVZyvWppX0fA6a0sEAjVDl1j3jMcYEjBhYgDIIiri2BHO55mjDKNNgF9T0RG/pkxpccO0Ich5f3HeJNSpomMvrdcCgwoluctQuka11GR8nDYQjxIJiLTkxT0BjgKxVaaU5JiTCY3St6ZRt0sidCCFJeVK7QS+JGAF3juytra6ePTy4en5w/+uT0v5+efvTZxcmjMQppJIhkBhXjxqSfhoXJMt3DABIoTG/1NiAbvOLqYOr+5S93hnkLutH7oPJJaTjX7He7Ij7O/DE2016LZOQvO7q2tr+3EyVQucVeHN2NRXezEwT1OOr19kG/E6mC1fdvzX7nbIAW/WCOW8d3HUsBaCSJZyPMuIWY6zOkBZaeC8SEpL7BW+cAPjhsZzdN6eJJ4v6c947t4oqLxxnk4lolAK85/lj5HMBTSDu+SYmechEXkiLwXEW0ouB6/g3if2VeE5KkE97NzF5ICWITXkEF2/KWXBjPBdAcc0kp0h7WCGMKiCvPQtTnGjOpiGN7N5wLLp7++fTjk4unX57/5tH62xtzcSGfMHJUIKyKCc4rUo4Wrv5yOVooHMaXowWxcjmK89MV5ej1bME1z+eedPF5XHQVoYEw1WwWYgPetNbb+429kuhlFZMVxzsDUchWbXdU+ovuXEdAhVZ9qHXx9K+nf/ns229Ozh48KSmkddKgvqTKBuJJF2EtiblMXYK4qUoRYURirRS2JC0tkPnbLHJVKRUq7+EOa61ovVy+XaM+vpwsMOOaN3mB+7e+NwDfDdrC99Mgb4f9rpwR4PPPf33+h8fnX//u9NP/TATYAkqw4zuICWJQ9hlDnCiOtGXZtielAuq/CIDxEmADcDo0O7ynv/rl+ef/nAyvqwQXHiALp8UQpI+X3JTFVLi270nPEsXnw0p4i9MrK25xYAHoe68t+rof+qkNImhDqEzF2JYiEKEP7UN3JiqcPfzH6ZdP059fPDh7+Mezh3+fSAhsUVBUU0SVchBWIBDXroNcTR0JkhMM3tyEoAsnBPleEaLq0BVkmCxWnySWh1hwi3nEociRHkfYBRtJRhkCVykNWFqc6ZcAYrqE+Jkh1sA0cxlHvlIewg6hiGPPRZRj6cn0laRfzh4vHmK2hPiZIXZ8RqmyBJJEG4g9x0OCYIWYYjYoQjzfnf/mXjzEhTe5S4znw1hhFzvmH3Kw9BGWWCDhWAwpsG1bKU7BIi8Dxs4S42fGmGPGtA0c0fQzjXmMFojZyqAN0pTmDHvEL9f80zD2Zse4tlZOE1UYv75P2BNKcDxTCf7tFx/PU4JbAgPxPQsR4mIT9cxEvSu1oQXHWklKhGQ3yoj12Rgx7yP59R9jPvYuljHZunOwZLMTJBDfjqP+YcmaCoue0arcLrPblu2VsdgskcVsqCplpp1hzDle9FlK59ktvbUae6RR5o4Ijj32hKM/1/HnP/kcp89E63HH7NMRqehOlDR+1hfBRIU9EYuuPe/bg/ISTpaNpsu51ddchWB7K7x6wz5N/iAU8fHuIcQiieLBJ/XaOIX7Y5daQj7htiov8QpBXj1xp2q4QrYqjUxLIYvOnM+ZNMdcAplcnkDbnXulCnIoeE2co8PBe+bJws7lB6Lrr5aTxacwZR6WzMGQ6oTwigI4MfxzCAail7QDeB+mCGcInv2+9GWvKPUdAVcRqqNDIzKlWnZjvarUn6UWvdkOw7wFpceutOoeZ9WCmhEl01T5jkbaFwphAhJx5jOkJAZXaObZtjOxGZEwDRwro4EtirBj+0hIH5snE2pJyxFaWYWyYqQZUWmhPO36yOF++jrDtRD3KSBbUg7MIyBG9p+jGbHYYFpsRsTlnoG5mhHzrymfrxmxdkAsq11o+Ri2c+R1ZmtSbM3QpLj+9kZ7b/vye+DFyaOzP33dbq1P6Vwc2tS+1Jjatzh9k2HrYslvy6bFWRqVHIYFd8CEji8Iwi4jiCsMCIjlOw5xMFXyhhuVTj/629mDJ2f//uTiyW8X0rHm0MFXvHyfEh4E8rJhrcyDvJk31Jpa7yeR1gsB+BrKfB+aTZYAf0cAbzTbWzutxv7O2na72Wi1tnZuN9vN1u7+2u3GQhCvbjxc4v0S4L2xW7+9v3uwt1C8q/7b0xLvlwXvg3caO60l3q8H3s2drWVsT8f6zTfu/B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</si>
</sst>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0">
    <numFmt numFmtId="176" formatCode="_(* #,##0.00_);_(* \(#,##0.00\);_(* &quot;-&quot;??_);_(@_)"/>
    <numFmt numFmtId="177" formatCode="_ [$€-2]* #,##0.00_ ;_ [$€-2]* \-#,##0.00_ ;_ [$€-2]* &quot;-&quot;??_ "/>
    <numFmt numFmtId="178" formatCode="_([$€-2]* #,##0.00_);_([$€-2]* \(#,##0.00\);_([$€-2]* &quot;-&quot;??_)"/>
    <numFmt numFmtId="179" formatCode="_-* #,##0.0000000000_-;\-* #,##0.0000000000_-;_-* &quot;-&quot;??_-;_-@_-"/>
    <numFmt numFmtId="180" formatCode="0.0%"/>
    <numFmt numFmtId="181" formatCode="\¥#,##0;\-\¥#,##0"/>
    <numFmt numFmtId="182" formatCode="#,##0;\-#,##0;&quot;-&quot;"/>
    <numFmt numFmtId="183" formatCode="&quot;$&quot;#,##0;[Red]&quot;$&quot;&quot;$&quot;&quot;$&quot;&quot;$&quot;&quot;$&quot;&quot;$&quot;&quot;$&quot;\-#,##0"/>
    <numFmt numFmtId="184" formatCode="_(* #,##0_);_(* \(#,##0\);_(* &quot;-&quot;_);_(@_)"/>
    <numFmt numFmtId="185" formatCode="* #,##0.00;[Red]\(#,##0.00\);&quot;-&quot;;\ @"/>
    <numFmt numFmtId="186" formatCode="#,##0;\(#,##0\)"/>
    <numFmt numFmtId="187" formatCode="#,##0.0_);\(#,##0.0\)"/>
    <numFmt numFmtId="188" formatCode="&quot;$&quot;#,##0_);\(&quot;$&quot;#,##0\)"/>
    <numFmt numFmtId="189" formatCode="&quot;$&quot;#,##0.00_);\(&quot;$&quot;#,##0.00\)"/>
    <numFmt numFmtId="190" formatCode="\$#,##0.00;\(\$#,##0.00\)"/>
    <numFmt numFmtId="191" formatCode="\$#,##0;\(\$#,##0\)"/>
    <numFmt numFmtId="192" formatCode="_-[$€-2]\ * #,##0.000000_ ;_-[$€-2]\ * \-#,##0.000000\ ;_-[$€-2]\ * &quot;-&quot;??????_ ;_-@_ "/>
    <numFmt numFmtId="193" formatCode="_-* #,##0\ _k_r_-;\-* #,##0\ _k_r_-;_-* &quot;-&quot;\ _k_r_-;_-@_-"/>
    <numFmt numFmtId="194" formatCode="_-* #,##0.00\ _k_r_-;\-* #,##0.00\ _k_r_-;_-* &quot;-&quot;??\ _k_r_-;_-@_-"/>
    <numFmt numFmtId="195" formatCode="#,##0.00_);#,##0.00\)"/>
    <numFmt numFmtId="196" formatCode="0.00000&quot;  &quot;"/>
    <numFmt numFmtId="197" formatCode="_-* #,##0_-;\-* #,##0_-;_-* &quot;-&quot;_-;_-@_-"/>
    <numFmt numFmtId="198" formatCode="_-* #,##0.00_-;\-* #,##0.00_-;_-* &quot;-&quot;??_-;_-@_-"/>
    <numFmt numFmtId="199" formatCode="_([$€-2]* #,##0.00000_);_([$€-2]* \(#,##0.00000\);_([$€-2]* &quot;-&quot;??_)"/>
    <numFmt numFmtId="200" formatCode="_(\¥* #,##0.00_);_(\¥* \(#,##0.00\);_(\¥* &quot;-&quot;??_);_(@_)"/>
    <numFmt numFmtId="201" formatCode="_-&quot;$&quot;* #,##0_-;\-&quot;$&quot;* #,##0_-;_-&quot;$&quot;* &quot;-&quot;_-;_-@_-"/>
    <numFmt numFmtId="202" formatCode="_-&quot;$&quot;* #,##0.00_-;\-&quot;$&quot;* #,##0.00_-;_-&quot;$&quot;* &quot;-&quot;??_-;_-@_-"/>
    <numFmt numFmtId="203" formatCode="&quot;\&quot;#,##0;[Red]&quot;\&quot;&quot;\&quot;\-#,##0"/>
    <numFmt numFmtId="204" formatCode="&quot;\&quot;#,##0.00;[Red]&quot;\&quot;&quot;\&quot;&quot;\&quot;&quot;\&quot;&quot;\&quot;&quot;\&quot;\-#,##0.00"/>
    <numFmt numFmtId="205" formatCode="&quot;\&quot;#,##0.00;[Red]&quot;\&quot;\-#,##0.00"/>
    <numFmt numFmtId="206" formatCode="&quot;\&quot;#,##0;[Red]&quot;\&quot;\-#,##0"/>
    <numFmt numFmtId="207" formatCode="_(&quot;$&quot;* #,##0.00_);_(&quot;$&quot;* \(#,##0.00\);_(&quot;$&quot;* &quot;-&quot;??_);_(@_)"/>
    <numFmt numFmtId="208"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9" formatCode="#,##0;\(#,##0\);0"/>
    <numFmt numFmtId="210" formatCode="#,##0;\(#,##0\);\-#,##0"/>
    <numFmt numFmtId="211" formatCode="_(* #,##0_);_(* \(#,##0\);_(* &quot;-&quot;??_);_(@_)"/>
    <numFmt numFmtId="212" formatCode="0_);\(0\)"/>
    <numFmt numFmtId="213" formatCode="_(* #,##0.00_);_(* \(#,##0.00\);_(* &quot;-&quot;??_)"/>
    <numFmt numFmtId="214" formatCode="0_);[Red]\(0\)"/>
    <numFmt numFmtId="215" formatCode="#,##0.00_ ;[Red]\-#,##0.00\ "/>
  </numFmts>
  <fonts count="131">
    <font>
      <sz val="10"/>
      <name val="宋体"/>
      <charset val="134"/>
    </font>
    <font>
      <sz val="10"/>
      <name val="微软雅黑"/>
      <family val="2"/>
      <charset val="134"/>
    </font>
    <font>
      <b/>
      <sz val="10"/>
      <color rgb="FFFF0000"/>
      <name val="微软雅黑"/>
      <family val="2"/>
      <charset val="134"/>
    </font>
    <font>
      <sz val="10"/>
      <color theme="1"/>
      <name val="微软雅黑"/>
      <family val="2"/>
      <charset val="134"/>
    </font>
    <font>
      <b/>
      <sz val="10"/>
      <color rgb="FFFFFFFF"/>
      <name val="微软雅黑"/>
      <family val="2"/>
      <charset val="134"/>
    </font>
    <font>
      <b/>
      <sz val="18"/>
      <name val="微软雅黑"/>
      <family val="2"/>
      <charset val="134"/>
    </font>
    <font>
      <b/>
      <u/>
      <sz val="14"/>
      <color theme="1"/>
      <name val="微软雅黑"/>
      <family val="2"/>
      <charset val="134"/>
    </font>
    <font>
      <sz val="14"/>
      <name val="微软雅黑"/>
      <family val="2"/>
      <charset val="134"/>
    </font>
    <font>
      <b/>
      <sz val="14"/>
      <color indexed="8"/>
      <name val="微软雅黑"/>
      <family val="2"/>
      <charset val="134"/>
    </font>
    <font>
      <b/>
      <sz val="14"/>
      <name val="微软雅黑"/>
      <family val="2"/>
      <charset val="134"/>
    </font>
    <font>
      <b/>
      <sz val="14"/>
      <color indexed="10"/>
      <name val="微软雅黑"/>
      <family val="2"/>
      <charset val="134"/>
    </font>
    <font>
      <sz val="14"/>
      <color theme="1"/>
      <name val="微软雅黑"/>
      <family val="2"/>
      <charset val="134"/>
    </font>
    <font>
      <b/>
      <sz val="14"/>
      <color rgb="FFFF0000"/>
      <name val="微软雅黑"/>
      <family val="2"/>
      <charset val="134"/>
    </font>
    <font>
      <b/>
      <sz val="10"/>
      <color indexed="10"/>
      <name val="微软雅黑"/>
      <family val="2"/>
      <charset val="134"/>
    </font>
    <font>
      <b/>
      <sz val="10"/>
      <color theme="1"/>
      <name val="微软雅黑"/>
      <family val="2"/>
      <charset val="134"/>
    </font>
    <font>
      <b/>
      <sz val="11"/>
      <color rgb="FFFFFFFF"/>
      <name val="微软雅黑"/>
      <family val="2"/>
      <charset val="134"/>
    </font>
    <font>
      <b/>
      <sz val="10"/>
      <color rgb="FF000000"/>
      <name val="微软雅黑"/>
      <family val="2"/>
      <charset val="134"/>
    </font>
    <font>
      <sz val="10"/>
      <color rgb="FF000000"/>
      <name val="微软雅黑"/>
      <family val="2"/>
      <charset val="134"/>
    </font>
    <font>
      <b/>
      <i/>
      <sz val="10"/>
      <name val="微软雅黑"/>
      <family val="2"/>
      <charset val="134"/>
    </font>
    <font>
      <b/>
      <sz val="10"/>
      <name val="微软雅黑"/>
      <family val="2"/>
      <charset val="134"/>
    </font>
    <font>
      <i/>
      <sz val="10"/>
      <color theme="0"/>
      <name val="微软雅黑"/>
      <family val="2"/>
      <charset val="134"/>
    </font>
    <font>
      <u/>
      <sz val="10"/>
      <color rgb="FFFF0000"/>
      <name val="微软雅黑"/>
      <family val="2"/>
      <charset val="134"/>
    </font>
    <font>
      <sz val="14"/>
      <color rgb="FF000000"/>
      <name val="微软雅黑"/>
      <family val="2"/>
      <charset val="134"/>
    </font>
    <font>
      <sz val="11"/>
      <color rgb="FF000000"/>
      <name val="微软雅黑"/>
      <family val="2"/>
      <charset val="134"/>
    </font>
    <font>
      <b/>
      <sz val="16"/>
      <name val="微软雅黑"/>
      <family val="2"/>
      <charset val="134"/>
    </font>
    <font>
      <b/>
      <u/>
      <sz val="14"/>
      <color indexed="8"/>
      <name val="微软雅黑"/>
      <family val="2"/>
      <charset val="134"/>
    </font>
    <font>
      <b/>
      <sz val="14"/>
      <color theme="1"/>
      <name val="微软雅黑"/>
      <family val="2"/>
      <charset val="134"/>
    </font>
    <font>
      <sz val="14"/>
      <color indexed="8"/>
      <name val="微软雅黑"/>
      <family val="2"/>
      <charset val="134"/>
    </font>
    <font>
      <b/>
      <sz val="10"/>
      <color indexed="8"/>
      <name val="微软雅黑"/>
      <family val="2"/>
      <charset val="134"/>
    </font>
    <font>
      <sz val="10"/>
      <color indexed="8"/>
      <name val="微软雅黑"/>
      <family val="2"/>
      <charset val="134"/>
    </font>
    <font>
      <b/>
      <strike/>
      <sz val="8"/>
      <color rgb="FF0000FF"/>
      <name val="微软雅黑"/>
      <family val="2"/>
      <charset val="134"/>
    </font>
    <font>
      <sz val="10"/>
      <color rgb="FFFF0000"/>
      <name val="微软雅黑"/>
      <family val="2"/>
      <charset val="134"/>
    </font>
    <font>
      <sz val="10"/>
      <color indexed="10"/>
      <name val="微软雅黑"/>
      <family val="2"/>
      <charset val="134"/>
    </font>
    <font>
      <b/>
      <sz val="10"/>
      <color rgb="FF0000FF"/>
      <name val="微软雅黑"/>
      <family val="2"/>
      <charset val="134"/>
    </font>
    <font>
      <u val="doubleAccounting"/>
      <sz val="10"/>
      <name val="微软雅黑"/>
      <family val="2"/>
      <charset val="134"/>
    </font>
    <font>
      <sz val="10"/>
      <color theme="0"/>
      <name val="微软雅黑"/>
      <family val="2"/>
      <charset val="134"/>
    </font>
    <font>
      <sz val="9"/>
      <color theme="1"/>
      <name val="微软雅黑"/>
      <family val="2"/>
      <charset val="134"/>
    </font>
    <font>
      <sz val="9"/>
      <name val="微软雅黑"/>
      <family val="2"/>
      <charset val="134"/>
    </font>
    <font>
      <b/>
      <u/>
      <sz val="14"/>
      <name val="微软雅黑"/>
      <family val="2"/>
      <charset val="134"/>
    </font>
    <font>
      <b/>
      <sz val="10"/>
      <color theme="0"/>
      <name val="微软雅黑"/>
      <family val="2"/>
      <charset val="134"/>
    </font>
    <font>
      <sz val="12"/>
      <name val="微软雅黑"/>
      <family val="2"/>
      <charset val="134"/>
    </font>
    <font>
      <u/>
      <sz val="14"/>
      <color rgb="FFFFFFFF"/>
      <name val="微软雅黑"/>
      <family val="2"/>
      <charset val="134"/>
    </font>
    <font>
      <u/>
      <sz val="10"/>
      <color theme="10"/>
      <name val="微软雅黑"/>
      <family val="2"/>
      <charset val="134"/>
    </font>
    <font>
      <sz val="11"/>
      <color theme="1"/>
      <name val="微软雅黑"/>
      <family val="2"/>
      <charset val="134"/>
    </font>
    <font>
      <i/>
      <sz val="10"/>
      <color rgb="FFFF0000"/>
      <name val="微软雅黑"/>
      <family val="2"/>
      <charset val="134"/>
    </font>
    <font>
      <b/>
      <sz val="14"/>
      <color rgb="FF000000"/>
      <name val="微软雅黑"/>
      <family val="2"/>
      <charset val="134"/>
    </font>
    <font>
      <b/>
      <strike/>
      <sz val="10"/>
      <color rgb="FF0000FF"/>
      <name val="微软雅黑"/>
      <family val="2"/>
      <charset val="134"/>
    </font>
    <font>
      <u/>
      <sz val="10"/>
      <color rgb="FF0563C1"/>
      <name val="微软雅黑"/>
      <family val="2"/>
      <charset val="134"/>
    </font>
    <font>
      <sz val="10"/>
      <name val="宋体"/>
      <family val="3"/>
      <charset val="134"/>
    </font>
    <font>
      <sz val="12"/>
      <name val="Times New Roman"/>
      <family val="1"/>
    </font>
    <font>
      <sz val="10"/>
      <name val="Arial"/>
      <family val="2"/>
    </font>
    <font>
      <sz val="10"/>
      <name val="Helv"/>
      <family val="2"/>
    </font>
    <font>
      <sz val="10"/>
      <name val="Helv"/>
      <family val="2"/>
    </font>
    <font>
      <sz val="12"/>
      <name val="宋体"/>
      <family val="3"/>
      <charset val="134"/>
    </font>
    <font>
      <sz val="13"/>
      <name val="Tms Rmn"/>
      <family val="1"/>
    </font>
    <font>
      <sz val="12"/>
      <color indexed="9"/>
      <name val="宋体"/>
      <family val="3"/>
      <charset val="134"/>
    </font>
    <font>
      <sz val="12"/>
      <color indexed="8"/>
      <name val="宋体"/>
      <family val="3"/>
      <charset val="134"/>
    </font>
    <font>
      <sz val="11"/>
      <color theme="0"/>
      <name val="等线"/>
      <family val="3"/>
      <charset val="134"/>
      <scheme val="minor"/>
    </font>
    <font>
      <sz val="11"/>
      <color rgb="FF9C0006"/>
      <name val="等线"/>
      <family val="3"/>
      <charset val="134"/>
      <scheme val="minor"/>
    </font>
    <font>
      <sz val="10"/>
      <color indexed="8"/>
      <name val="Arial"/>
      <family val="2"/>
    </font>
    <font>
      <b/>
      <sz val="10"/>
      <name val="Helv"/>
      <family val="2"/>
    </font>
    <font>
      <sz val="11"/>
      <color theme="1"/>
      <name val="等线"/>
      <family val="3"/>
      <charset val="134"/>
      <scheme val="minor"/>
    </font>
    <font>
      <b/>
      <sz val="11"/>
      <color theme="0"/>
      <name val="等线"/>
      <family val="3"/>
      <charset val="134"/>
      <scheme val="minor"/>
    </font>
    <font>
      <b/>
      <sz val="11"/>
      <color theme="0"/>
      <name val="宋体"/>
      <family val="3"/>
      <charset val="134"/>
    </font>
    <font>
      <b/>
      <sz val="13"/>
      <name val="Tms Rmn"/>
      <family val="1"/>
    </font>
    <font>
      <sz val="11"/>
      <color indexed="8"/>
      <name val="宋体"/>
      <family val="3"/>
      <charset val="134"/>
    </font>
    <font>
      <sz val="11"/>
      <color theme="1"/>
      <name val="等线"/>
      <family val="3"/>
      <charset val="134"/>
      <scheme val="minor"/>
    </font>
    <font>
      <sz val="12"/>
      <color indexed="8"/>
      <name val="Times New Roman"/>
      <family val="1"/>
    </font>
    <font>
      <sz val="10"/>
      <name val="Times New Roman"/>
      <family val="1"/>
    </font>
    <font>
      <sz val="9"/>
      <name val="Times New Roman"/>
      <family val="1"/>
    </font>
    <font>
      <sz val="8"/>
      <name val="Arial"/>
      <family val="2"/>
    </font>
    <font>
      <sz val="11"/>
      <color rgb="FF006100"/>
      <name val="等线"/>
      <family val="3"/>
      <charset val="134"/>
      <scheme val="minor"/>
    </font>
    <font>
      <sz val="11"/>
      <color rgb="FF006100"/>
      <name val="宋体"/>
      <family val="3"/>
      <charset val="134"/>
    </font>
    <font>
      <b/>
      <sz val="12"/>
      <name val="Helv"/>
      <family val="2"/>
    </font>
    <font>
      <b/>
      <sz val="12"/>
      <name val="Arial"/>
      <family val="2"/>
    </font>
    <font>
      <u/>
      <sz val="10"/>
      <color theme="10"/>
      <name val="宋体"/>
      <family val="3"/>
      <charset val="134"/>
    </font>
    <font>
      <u/>
      <sz val="10"/>
      <color theme="10"/>
      <name val="Arial"/>
      <family val="2"/>
    </font>
    <font>
      <u/>
      <sz val="11"/>
      <color theme="10"/>
      <name val="等线"/>
      <family val="3"/>
      <charset val="134"/>
      <scheme val="minor"/>
    </font>
    <font>
      <u/>
      <sz val="11"/>
      <color theme="10"/>
      <name val="宋体"/>
      <family val="3"/>
      <charset val="134"/>
    </font>
    <font>
      <u/>
      <sz val="10"/>
      <color indexed="12"/>
      <name val="宋体"/>
      <family val="3"/>
      <charset val="134"/>
    </font>
    <font>
      <b/>
      <sz val="11"/>
      <name val="Helv"/>
      <family val="2"/>
    </font>
    <font>
      <sz val="10"/>
      <color theme="1"/>
      <name val="Arial"/>
      <family val="2"/>
    </font>
    <font>
      <sz val="9"/>
      <color theme="1"/>
      <name val="Arial"/>
      <family val="2"/>
    </font>
    <font>
      <sz val="8"/>
      <name val="EYInterstate Light"/>
    </font>
    <font>
      <sz val="8"/>
      <name val="EYInterstate Light"/>
    </font>
    <font>
      <sz val="10"/>
      <name val="Tahoma"/>
      <family val="2"/>
    </font>
    <font>
      <sz val="11"/>
      <color theme="1"/>
      <name val="宋体"/>
      <family val="3"/>
      <charset val="134"/>
    </font>
    <font>
      <sz val="11"/>
      <color indexed="8"/>
      <name val="Calibri"/>
      <family val="2"/>
    </font>
    <font>
      <sz val="9"/>
      <color theme="1"/>
      <name val="Arial Unicode MS"/>
      <family val="2"/>
    </font>
    <font>
      <sz val="12"/>
      <name val="楷体"/>
      <family val="3"/>
      <charset val="134"/>
    </font>
    <font>
      <strike/>
      <sz val="10"/>
      <name val="Arial"/>
      <family val="2"/>
    </font>
    <font>
      <sz val="10"/>
      <color indexed="8"/>
      <name val="MS Sans Serif"/>
      <family val="1"/>
    </font>
    <font>
      <sz val="8"/>
      <color indexed="16"/>
      <name val="Century Schoolbook"/>
      <family val="1"/>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9"/>
      <name val="Times New Roman"/>
      <family val="1"/>
    </font>
    <font>
      <sz val="11"/>
      <name val="明朝"/>
      <family val="3"/>
      <charset val="134"/>
    </font>
    <font>
      <sz val="10"/>
      <name val="Arial Narrow"/>
      <family val="2"/>
    </font>
    <font>
      <sz val="14"/>
      <name val="柧挬"/>
      <charset val="134"/>
    </font>
    <font>
      <b/>
      <sz val="18"/>
      <color indexed="35"/>
      <name val="宋体"/>
      <family val="3"/>
      <charset val="134"/>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1"/>
      <color indexed="8"/>
      <name val="等线"/>
      <family val="3"/>
      <charset val="134"/>
      <scheme val="minor"/>
    </font>
    <font>
      <sz val="10"/>
      <name val="等线"/>
      <family val="3"/>
      <charset val="134"/>
      <scheme val="minor"/>
    </font>
    <font>
      <u/>
      <sz val="12"/>
      <color indexed="12"/>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indexed="21"/>
      <name val="宋体"/>
      <family val="3"/>
      <charset val="134"/>
    </font>
    <font>
      <sz val="10"/>
      <name val="Geneva"/>
      <family val="1"/>
    </font>
    <font>
      <sz val="12"/>
      <name val="新細明體"/>
      <family val="1"/>
    </font>
    <font>
      <sz val="12"/>
      <name val="官帕眉"/>
      <family val="1"/>
    </font>
    <font>
      <sz val="10"/>
      <name val="奔覆眉"/>
      <charset val="134"/>
    </font>
    <font>
      <b/>
      <sz val="12"/>
      <color indexed="8"/>
      <name val="宋体"/>
      <family val="3"/>
      <charset val="134"/>
    </font>
    <font>
      <sz val="12"/>
      <name val="柧挬"/>
      <charset val="134"/>
    </font>
    <font>
      <sz val="11"/>
      <name val="ＭＳ Ｐゴシック"/>
      <charset val="134"/>
    </font>
    <font>
      <sz val="12"/>
      <name val="바탕체"/>
      <family val="3"/>
    </font>
    <font>
      <b/>
      <u/>
      <sz val="10"/>
      <color rgb="FFFF0000"/>
      <name val="微软雅黑"/>
      <family val="2"/>
      <charset val="134"/>
    </font>
    <font>
      <sz val="14"/>
      <color rgb="FF0070C0"/>
      <name val="微软雅黑"/>
      <family val="2"/>
      <charset val="134"/>
    </font>
    <font>
      <b/>
      <i/>
      <sz val="10"/>
      <color rgb="FFFF0000"/>
      <name val="微软雅黑"/>
      <family val="2"/>
      <charset val="134"/>
    </font>
    <font>
      <sz val="10"/>
      <name val="宋体"/>
      <family val="3"/>
      <charset val="134"/>
    </font>
    <font>
      <sz val="9"/>
      <name val="宋体"/>
      <family val="3"/>
      <charset val="134"/>
    </font>
  </fonts>
  <fills count="54">
    <fill>
      <patternFill patternType="none"/>
    </fill>
    <fill>
      <patternFill patternType="gray125"/>
    </fill>
    <fill>
      <patternFill patternType="solid">
        <fgColor theme="0"/>
        <bgColor indexed="64"/>
      </patternFill>
    </fill>
    <fill>
      <patternFill patternType="solid">
        <fgColor theme="4" tint="0.79992065187536243"/>
        <bgColor indexed="64"/>
      </patternFill>
    </fill>
    <fill>
      <patternFill patternType="solid">
        <fgColor theme="4" tint="0.79995117038483843"/>
        <bgColor indexed="64"/>
      </patternFill>
    </fill>
    <fill>
      <patternFill patternType="solid">
        <fgColor rgb="FFA6A6A6"/>
        <bgColor rgb="FF000000"/>
      </patternFill>
    </fill>
    <fill>
      <patternFill patternType="solid">
        <fgColor rgb="FFFFFFFF"/>
        <bgColor rgb="FF000000"/>
      </patternFill>
    </fill>
    <fill>
      <patternFill patternType="solid">
        <fgColor theme="0" tint="-0.3499252296517838"/>
        <bgColor indexed="64"/>
      </patternFill>
    </fill>
    <fill>
      <patternFill patternType="solid">
        <fgColor rgb="FFFFFFFF"/>
        <bgColor indexed="64"/>
      </patternFill>
    </fill>
    <fill>
      <patternFill patternType="solid">
        <fgColor theme="0" tint="-0.34995574816125979"/>
        <bgColor indexed="64"/>
      </patternFill>
    </fill>
    <fill>
      <patternFill patternType="solid">
        <fgColor theme="0" tint="-0.34998626667073579"/>
        <bgColor indexed="64"/>
      </patternFill>
    </fill>
    <fill>
      <patternFill patternType="solid">
        <fgColor theme="2"/>
        <bgColor indexed="64"/>
      </patternFill>
    </fill>
    <fill>
      <patternFill patternType="solid">
        <fgColor theme="0" tint="-0.34998626667073579"/>
        <bgColor rgb="FF000000"/>
      </patternFill>
    </fill>
    <fill>
      <patternFill patternType="solid">
        <fgColor theme="6"/>
        <bgColor indexed="64"/>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theme="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solid">
        <fgColor indexed="47"/>
        <bgColor indexed="64"/>
      </patternFill>
    </fill>
    <fill>
      <patternFill patternType="solid">
        <fgColor theme="9"/>
        <bgColor indexed="64"/>
      </patternFill>
    </fill>
    <fill>
      <patternFill patternType="solid">
        <fgColor rgb="FFFFC7CE"/>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s>
  <borders count="83">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theme="1"/>
      </right>
      <top style="thin">
        <color theme="1"/>
      </top>
      <bottom style="thin">
        <color theme="1"/>
      </bottom>
      <diagonal/>
    </border>
    <border>
      <left style="medium">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right style="medium">
        <color auto="1"/>
      </right>
      <top/>
      <bottom/>
      <diagonal/>
    </border>
    <border>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right style="medium">
        <color auto="1"/>
      </right>
      <top style="thin">
        <color auto="1"/>
      </top>
      <bottom style="medium">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right/>
      <top style="thin">
        <color auto="1"/>
      </top>
      <bottom style="double">
        <color auto="1"/>
      </bottom>
      <diagonal/>
    </border>
    <border>
      <left style="medium">
        <color rgb="FF000000"/>
      </left>
      <right style="thin">
        <color auto="1"/>
      </right>
      <top style="medium">
        <color rgb="FF000000"/>
      </top>
      <bottom style="thin">
        <color auto="1"/>
      </bottom>
      <diagonal/>
    </border>
    <border>
      <left style="thin">
        <color auto="1"/>
      </left>
      <right style="thin">
        <color auto="1"/>
      </right>
      <top style="medium">
        <color rgb="FF000000"/>
      </top>
      <bottom style="thin">
        <color auto="1"/>
      </bottom>
      <diagonal/>
    </border>
    <border>
      <left style="medium">
        <color rgb="FF000000"/>
      </left>
      <right style="thin">
        <color auto="1"/>
      </right>
      <top style="thin">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style="thin">
        <color auto="1"/>
      </left>
      <right style="medium">
        <color rgb="FF000000"/>
      </right>
      <top style="medium">
        <color rgb="FF000000"/>
      </top>
      <bottom style="thin">
        <color auto="1"/>
      </bottom>
      <diagonal/>
    </border>
    <border>
      <left style="thin">
        <color auto="1"/>
      </left>
      <right style="medium">
        <color rgb="FF000000"/>
      </right>
      <top style="thin">
        <color auto="1"/>
      </top>
      <bottom style="thin">
        <color auto="1"/>
      </bottom>
      <diagonal/>
    </border>
    <border>
      <left style="thin">
        <color auto="1"/>
      </left>
      <right style="medium">
        <color rgb="FF000000"/>
      </right>
      <top style="thin">
        <color auto="1"/>
      </top>
      <bottom style="medium">
        <color rgb="FF000000"/>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top style="thin">
        <color auto="1"/>
      </top>
      <bottom/>
      <diagonal/>
    </border>
    <border>
      <left style="thin">
        <color auto="1"/>
      </left>
      <right/>
      <top style="thin">
        <color auto="1"/>
      </top>
      <bottom style="medium">
        <color auto="1"/>
      </bottom>
      <diagonal/>
    </border>
    <border>
      <left style="thin">
        <color auto="1"/>
      </left>
      <right style="medium">
        <color auto="1"/>
      </right>
      <top style="thin">
        <color auto="1"/>
      </top>
      <bottom style="thin">
        <color theme="1"/>
      </bottom>
      <diagonal/>
    </border>
    <border>
      <left style="thin">
        <color theme="1"/>
      </left>
      <right style="medium">
        <color theme="1"/>
      </right>
      <top style="thin">
        <color theme="1"/>
      </top>
      <bottom style="thin">
        <color theme="1"/>
      </bottom>
      <diagonal/>
    </border>
    <border>
      <left/>
      <right style="medium">
        <color auto="1"/>
      </right>
      <top style="medium">
        <color auto="1"/>
      </top>
      <bottom style="thin">
        <color auto="1"/>
      </bottom>
      <diagonal/>
    </border>
    <border>
      <left style="thin">
        <color auto="1"/>
      </left>
      <right style="medium">
        <color auto="1"/>
      </right>
      <top style="medium">
        <color auto="1"/>
      </top>
      <bottom/>
      <diagonal/>
    </border>
    <border>
      <left style="medium">
        <color rgb="FF000000"/>
      </left>
      <right style="thin">
        <color auto="1"/>
      </right>
      <top style="medium">
        <color auto="1"/>
      </top>
      <bottom style="thin">
        <color auto="1"/>
      </bottom>
      <diagonal/>
    </border>
    <border>
      <left style="thin">
        <color rgb="FF000000"/>
      </left>
      <right/>
      <top style="thin">
        <color rgb="FF000000"/>
      </top>
      <bottom style="medium">
        <color auto="1"/>
      </bottom>
      <diagonal/>
    </border>
    <border>
      <left style="medium">
        <color rgb="FF000000"/>
      </left>
      <right style="thin">
        <color auto="1"/>
      </right>
      <top style="thin">
        <color auto="1"/>
      </top>
      <bottom style="medium">
        <color auto="1"/>
      </bottom>
      <diagonal/>
    </border>
    <border>
      <left style="medium">
        <color rgb="FF000000"/>
      </left>
      <right/>
      <top style="medium">
        <color rgb="FF000000"/>
      </top>
      <bottom/>
      <diagonal/>
    </border>
    <border>
      <left style="thin">
        <color auto="1"/>
      </left>
      <right style="medium">
        <color rgb="FF000000"/>
      </right>
      <top style="medium">
        <color rgb="FF000000"/>
      </top>
      <bottom/>
      <diagonal/>
    </border>
    <border>
      <left style="thin">
        <color auto="1"/>
      </left>
      <right style="medium">
        <color rgb="FF000000"/>
      </right>
      <top style="medium">
        <color auto="1"/>
      </top>
      <bottom style="thin">
        <color auto="1"/>
      </bottom>
      <diagonal/>
    </border>
    <border>
      <left style="thin">
        <color auto="1"/>
      </left>
      <right style="medium">
        <color rgb="FF000000"/>
      </right>
      <top style="thin">
        <color auto="1"/>
      </top>
      <bottom style="medium">
        <color auto="1"/>
      </bottom>
      <diagonal/>
    </border>
    <border>
      <left style="medium">
        <color rgb="FF000000"/>
      </left>
      <right/>
      <top style="thin">
        <color auto="1"/>
      </top>
      <bottom style="medium">
        <color auto="1"/>
      </bottom>
      <diagonal/>
    </border>
    <border>
      <left style="thin">
        <color auto="1"/>
      </left>
      <right style="medium">
        <color auto="1"/>
      </right>
      <top style="thin">
        <color rgb="FF000000"/>
      </top>
      <bottom style="medium">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right/>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691">
    <xf numFmtId="0" fontId="0" fillId="0" borderId="0"/>
    <xf numFmtId="176" fontId="48" fillId="0" borderId="0" applyFont="0" applyFill="0" applyBorder="0" applyProtection="0"/>
    <xf numFmtId="9" fontId="48" fillId="0" borderId="0" applyFont="0" applyFill="0" applyBorder="0" applyProtection="0"/>
    <xf numFmtId="177" fontId="49" fillId="0" borderId="0"/>
    <xf numFmtId="0" fontId="50" fillId="0" borderId="0"/>
    <xf numFmtId="0" fontId="49" fillId="0" borderId="0"/>
    <xf numFmtId="178" fontId="51" fillId="0" borderId="0">
      <protection locked="0"/>
    </xf>
    <xf numFmtId="178" fontId="52" fillId="0" borderId="0">
      <protection locked="0"/>
    </xf>
    <xf numFmtId="179" fontId="53" fillId="0" borderId="0" applyFont="0" applyFill="0" applyBorder="0" applyAlignment="0" applyProtection="0"/>
    <xf numFmtId="177" fontId="50" fillId="0" borderId="0"/>
    <xf numFmtId="180" fontId="54" fillId="0" borderId="0" applyFont="0" applyFill="0" applyBorder="0" applyAlignment="0" applyProtection="0"/>
    <xf numFmtId="10" fontId="54" fillId="0" borderId="0" applyFont="0" applyFill="0" applyBorder="0" applyAlignment="0" applyProtection="0"/>
    <xf numFmtId="181" fontId="53" fillId="0" borderId="0" applyFont="0" applyFill="0" applyBorder="0" applyAlignment="0" applyProtection="0"/>
    <xf numFmtId="0" fontId="55" fillId="14"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5" fillId="16" borderId="0" applyNumberFormat="0" applyBorder="0" applyAlignment="0" applyProtection="0"/>
    <xf numFmtId="0" fontId="57" fillId="17" borderId="0" applyNumberFormat="0" applyBorder="0" applyAlignment="0" applyProtection="0">
      <alignment vertical="center"/>
    </xf>
    <xf numFmtId="0" fontId="55" fillId="18" borderId="0" applyNumberFormat="0" applyBorder="0" applyAlignment="0" applyProtection="0"/>
    <xf numFmtId="0" fontId="56" fillId="19" borderId="0" applyNumberFormat="0" applyBorder="0" applyAlignment="0" applyProtection="0"/>
    <xf numFmtId="0" fontId="56" fillId="20" borderId="0" applyNumberFormat="0" applyBorder="0" applyAlignment="0" applyProtection="0"/>
    <xf numFmtId="0" fontId="55" fillId="21" borderId="0" applyNumberFormat="0" applyBorder="0" applyAlignment="0" applyProtection="0"/>
    <xf numFmtId="0" fontId="57" fillId="22" borderId="0" applyNumberFormat="0" applyBorder="0" applyAlignment="0" applyProtection="0">
      <alignment vertical="center"/>
    </xf>
    <xf numFmtId="0" fontId="55" fillId="21" borderId="0" applyNumberFormat="0" applyBorder="0" applyAlignment="0" applyProtection="0"/>
    <xf numFmtId="0" fontId="56" fillId="19" borderId="0" applyNumberFormat="0" applyBorder="0" applyAlignment="0" applyProtection="0"/>
    <xf numFmtId="0" fontId="56" fillId="23" borderId="0" applyNumberFormat="0" applyBorder="0" applyAlignment="0" applyProtection="0"/>
    <xf numFmtId="0" fontId="55" fillId="20" borderId="0" applyNumberFormat="0" applyBorder="0" applyAlignment="0" applyProtection="0"/>
    <xf numFmtId="0" fontId="57" fillId="13" borderId="0" applyNumberFormat="0" applyBorder="0" applyAlignment="0" applyProtection="0">
      <alignment vertical="center"/>
    </xf>
    <xf numFmtId="0" fontId="55" fillId="14" borderId="0" applyNumberFormat="0" applyBorder="0" applyAlignment="0" applyProtection="0"/>
    <xf numFmtId="0" fontId="56" fillId="15" borderId="0" applyNumberFormat="0" applyBorder="0" applyAlignment="0" applyProtection="0"/>
    <xf numFmtId="0" fontId="56" fillId="20" borderId="0" applyNumberFormat="0" applyBorder="0" applyAlignment="0" applyProtection="0"/>
    <xf numFmtId="0" fontId="55" fillId="20" borderId="0" applyNumberFormat="0" applyBorder="0" applyAlignment="0" applyProtection="0"/>
    <xf numFmtId="0" fontId="57" fillId="24" borderId="0" applyNumberFormat="0" applyBorder="0" applyAlignment="0" applyProtection="0">
      <alignment vertical="center"/>
    </xf>
    <xf numFmtId="0" fontId="55" fillId="25" borderId="0" applyNumberFormat="0" applyBorder="0" applyAlignment="0" applyProtection="0"/>
    <xf numFmtId="0" fontId="56" fillId="26" borderId="0" applyNumberFormat="0" applyBorder="0" applyAlignment="0" applyProtection="0"/>
    <xf numFmtId="0" fontId="56" fillId="15" borderId="0" applyNumberFormat="0" applyBorder="0" applyAlignment="0" applyProtection="0"/>
    <xf numFmtId="0" fontId="55" fillId="16" borderId="0" applyNumberFormat="0" applyBorder="0" applyAlignment="0" applyProtection="0"/>
    <xf numFmtId="0" fontId="57" fillId="27" borderId="0" applyNumberFormat="0" applyBorder="0" applyAlignment="0" applyProtection="0">
      <alignment vertical="center"/>
    </xf>
    <xf numFmtId="0" fontId="55" fillId="28" borderId="0" applyNumberFormat="0" applyBorder="0" applyAlignment="0" applyProtection="0"/>
    <xf numFmtId="0" fontId="56" fillId="19" borderId="0" applyNumberFormat="0" applyBorder="0" applyAlignment="0" applyProtection="0"/>
    <xf numFmtId="0" fontId="56" fillId="29" borderId="0" applyNumberFormat="0" applyBorder="0" applyAlignment="0" applyProtection="0"/>
    <xf numFmtId="0" fontId="55" fillId="29" borderId="0" applyNumberFormat="0" applyBorder="0" applyAlignment="0" applyProtection="0"/>
    <xf numFmtId="0" fontId="57" fillId="30" borderId="0" applyNumberFormat="0" applyBorder="0" applyAlignment="0" applyProtection="0">
      <alignment vertical="center"/>
    </xf>
    <xf numFmtId="0" fontId="58" fillId="31" borderId="0" applyNumberFormat="0" applyBorder="0" applyProtection="0"/>
    <xf numFmtId="182" fontId="59" fillId="0" borderId="0" applyFill="0" applyBorder="0" applyAlignment="0"/>
    <xf numFmtId="0" fontId="60" fillId="0" borderId="0"/>
    <xf numFmtId="4" fontId="61" fillId="0" borderId="5">
      <alignment horizontal="right"/>
    </xf>
    <xf numFmtId="4" fontId="61" fillId="0" borderId="5">
      <alignment horizontal="right"/>
    </xf>
    <xf numFmtId="4" fontId="61" fillId="0" borderId="5">
      <alignment horizontal="right"/>
    </xf>
    <xf numFmtId="4" fontId="61" fillId="0" borderId="5">
      <alignment horizontal="right"/>
    </xf>
    <xf numFmtId="4" fontId="61" fillId="0" borderId="5">
      <alignment horizontal="right"/>
    </xf>
    <xf numFmtId="4" fontId="61" fillId="0" borderId="5">
      <alignment horizontal="right"/>
    </xf>
    <xf numFmtId="4" fontId="61" fillId="0" borderId="5">
      <alignment horizontal="right"/>
    </xf>
    <xf numFmtId="4" fontId="61" fillId="0" borderId="5">
      <alignment horizontal="right"/>
    </xf>
    <xf numFmtId="4" fontId="61" fillId="0" borderId="5">
      <alignment horizontal="right"/>
    </xf>
    <xf numFmtId="4" fontId="61" fillId="0" borderId="5">
      <alignment horizontal="right"/>
    </xf>
    <xf numFmtId="4" fontId="61" fillId="0" borderId="5">
      <alignment horizontal="right"/>
    </xf>
    <xf numFmtId="4" fontId="61" fillId="0" borderId="5">
      <alignment horizontal="right"/>
    </xf>
    <xf numFmtId="4" fontId="61" fillId="0" borderId="5">
      <alignment horizontal="right"/>
    </xf>
    <xf numFmtId="4" fontId="61" fillId="0" borderId="5">
      <alignment horizontal="right"/>
    </xf>
    <xf numFmtId="4" fontId="61" fillId="0" borderId="5">
      <alignment horizontal="right"/>
    </xf>
    <xf numFmtId="4" fontId="61" fillId="0" borderId="5">
      <alignment horizontal="right"/>
    </xf>
    <xf numFmtId="4" fontId="61" fillId="0" borderId="5">
      <alignment horizontal="right"/>
    </xf>
    <xf numFmtId="4" fontId="61" fillId="0" borderId="5">
      <alignment horizontal="right"/>
    </xf>
    <xf numFmtId="0" fontId="62" fillId="32" borderId="75" applyNumberFormat="0" applyAlignment="0" applyProtection="0"/>
    <xf numFmtId="0" fontId="63" fillId="33" borderId="76" applyNumberFormat="0" applyAlignment="0" applyProtection="0"/>
    <xf numFmtId="0" fontId="62" fillId="32" borderId="75" applyNumberFormat="0" applyAlignment="0" applyProtection="0"/>
    <xf numFmtId="0" fontId="64" fillId="0" borderId="77" applyNumberFormat="0" applyFill="0" applyProtection="0">
      <alignment horizontal="center"/>
    </xf>
    <xf numFmtId="183" fontId="50" fillId="0" borderId="0"/>
    <xf numFmtId="183" fontId="50" fillId="0" borderId="0"/>
    <xf numFmtId="183" fontId="50" fillId="0" borderId="0"/>
    <xf numFmtId="183" fontId="50" fillId="0" borderId="0"/>
    <xf numFmtId="183" fontId="50" fillId="0" borderId="0"/>
    <xf numFmtId="183" fontId="50" fillId="0" borderId="0"/>
    <xf numFmtId="183" fontId="50" fillId="0" borderId="0"/>
    <xf numFmtId="183" fontId="50" fillId="0" borderId="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76" fontId="61" fillId="0" borderId="0" applyFont="0" applyFill="0" applyBorder="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6"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85" fontId="48" fillId="0" borderId="0" applyFont="0" applyFill="0" applyBorder="0" applyProtection="0"/>
    <xf numFmtId="185" fontId="48" fillId="0" borderId="0" applyFont="0" applyFill="0" applyBorder="0" applyProtection="0"/>
    <xf numFmtId="176" fontId="48" fillId="0" borderId="0" applyFont="0" applyFill="0" applyBorder="0" applyProtection="0"/>
    <xf numFmtId="176" fontId="48" fillId="0" borderId="0" applyFont="0" applyFill="0" applyBorder="0" applyProtection="0"/>
    <xf numFmtId="176" fontId="48" fillId="0" borderId="0" applyFont="0" applyFill="0" applyBorder="0" applyProtection="0"/>
    <xf numFmtId="176" fontId="48" fillId="0" borderId="0" applyFont="0" applyFill="0" applyBorder="0" applyProtection="0"/>
    <xf numFmtId="176" fontId="48" fillId="0" borderId="0" applyFont="0" applyFill="0" applyBorder="0" applyProtection="0"/>
    <xf numFmtId="176" fontId="48" fillId="0" borderId="0" applyFont="0" applyFill="0" applyBorder="0" applyProtection="0"/>
    <xf numFmtId="176" fontId="48" fillId="0" borderId="0" applyFont="0" applyFill="0" applyBorder="0" applyProtection="0"/>
    <xf numFmtId="176" fontId="48" fillId="0" borderId="0" applyFont="0" applyFill="0" applyBorder="0" applyProtection="0"/>
    <xf numFmtId="176" fontId="48" fillId="0" borderId="0" applyFont="0" applyFill="0" applyBorder="0" applyProtection="0"/>
    <xf numFmtId="176" fontId="48" fillId="0" borderId="0" applyFont="0" applyFill="0" applyBorder="0" applyProtection="0"/>
    <xf numFmtId="176" fontId="48" fillId="0" borderId="0" applyFont="0" applyFill="0" applyBorder="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84" fontId="61"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84" fontId="65" fillId="0" borderId="0" applyFont="0" applyFill="0" applyBorder="0" applyAlignment="0" applyProtection="0"/>
    <xf numFmtId="176" fontId="67"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4" fontId="61" fillId="0" borderId="0" applyFont="0" applyFill="0" applyBorder="0" applyAlignment="0" applyProtection="0"/>
    <xf numFmtId="185"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61" fillId="0" borderId="0" applyFont="0" applyFill="0" applyBorder="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6" fillId="0" borderId="0" applyFont="0" applyFill="0" applyBorder="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48" fillId="0" borderId="0" applyFont="0" applyFill="0" applyBorder="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84" fontId="50" fillId="0" borderId="0" applyFont="0" applyFill="0" applyBorder="0" applyAlignment="0" applyProtection="0"/>
    <xf numFmtId="176" fontId="48" fillId="0" borderId="0" applyFont="0" applyFill="0" applyBorder="0" applyProtection="0"/>
    <xf numFmtId="176" fontId="48" fillId="0" borderId="0" applyFont="0" applyFill="0" applyBorder="0" applyProtection="0"/>
    <xf numFmtId="176" fontId="48" fillId="0" borderId="0" applyFont="0" applyFill="0" applyBorder="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85" fontId="53"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6" fillId="0" borderId="0" applyFont="0" applyFill="0" applyBorder="0" applyAlignment="0" applyProtection="0">
      <alignment vertical="center"/>
    </xf>
    <xf numFmtId="176" fontId="50" fillId="0" borderId="0" applyFont="0" applyFill="0" applyBorder="0" applyAlignment="0" applyProtection="0"/>
    <xf numFmtId="176" fontId="50"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49" fillId="0" borderId="0" applyFont="0" applyFill="0" applyBorder="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49" fillId="0" borderId="0" applyFont="0" applyFill="0" applyBorder="0" applyProtection="0"/>
    <xf numFmtId="176" fontId="49" fillId="0" borderId="0" applyFont="0" applyFill="0" applyBorder="0" applyProtection="0"/>
    <xf numFmtId="176" fontId="49" fillId="0" borderId="0" applyFont="0" applyFill="0" applyBorder="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49" fillId="0" borderId="0" applyFont="0" applyFill="0" applyBorder="0" applyAlignment="0" applyProtection="0"/>
    <xf numFmtId="176" fontId="49" fillId="0" borderId="0" applyFont="0" applyFill="0" applyBorder="0" applyAlignment="0" applyProtection="0"/>
    <xf numFmtId="176" fontId="49" fillId="0" borderId="0" applyFont="0" applyFill="0" applyBorder="0" applyAlignment="0" applyProtection="0"/>
    <xf numFmtId="176" fontId="49" fillId="0" borderId="0" applyFont="0" applyFill="0" applyBorder="0" applyAlignment="0" applyProtection="0"/>
    <xf numFmtId="176" fontId="61" fillId="0" borderId="0" applyFont="0" applyFill="0" applyBorder="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86" fontId="68" fillId="0" borderId="0"/>
    <xf numFmtId="37" fontId="54" fillId="0" borderId="0" applyFont="0" applyFill="0" applyBorder="0" applyAlignment="0" applyProtection="0"/>
    <xf numFmtId="187" fontId="54" fillId="0" borderId="0" applyFont="0" applyFill="0" applyBorder="0" applyAlignment="0" applyProtection="0"/>
    <xf numFmtId="39" fontId="54" fillId="0" borderId="0" applyFont="0" applyFill="0" applyBorder="0" applyAlignment="0" applyProtection="0"/>
    <xf numFmtId="188" fontId="54" fillId="0" borderId="0" applyFont="0" applyFill="0" applyBorder="0" applyAlignment="0" applyProtection="0"/>
    <xf numFmtId="189" fontId="54" fillId="0" borderId="0" applyFont="0" applyFill="0" applyBorder="0" applyAlignment="0" applyProtection="0"/>
    <xf numFmtId="190" fontId="68" fillId="0" borderId="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0" fontId="61" fillId="0" borderId="5" applyAlignment="0"/>
    <xf numFmtId="191" fontId="68" fillId="0" borderId="0"/>
    <xf numFmtId="0" fontId="69" fillId="0" borderId="0">
      <alignment horizontal="left"/>
    </xf>
    <xf numFmtId="0" fontId="70" fillId="34" borderId="5"/>
    <xf numFmtId="0" fontId="70" fillId="34" borderId="5"/>
    <xf numFmtId="0" fontId="70" fillId="34" borderId="5"/>
    <xf numFmtId="0" fontId="70" fillId="34" borderId="5"/>
    <xf numFmtId="0" fontId="70" fillId="34" borderId="5"/>
    <xf numFmtId="0" fontId="70" fillId="34" borderId="5"/>
    <xf numFmtId="0" fontId="70" fillId="34" borderId="5"/>
    <xf numFmtId="0" fontId="70" fillId="34" borderId="5"/>
    <xf numFmtId="0" fontId="70" fillId="34" borderId="5"/>
    <xf numFmtId="0" fontId="70" fillId="34" borderId="5"/>
    <xf numFmtId="0" fontId="70" fillId="34" borderId="5"/>
    <xf numFmtId="0" fontId="70" fillId="34" borderId="5"/>
    <xf numFmtId="0" fontId="70" fillId="34" borderId="5"/>
    <xf numFmtId="0" fontId="70" fillId="34" borderId="5"/>
    <xf numFmtId="177" fontId="48" fillId="0" borderId="0" applyFont="0" applyFill="0" applyBorder="0" applyAlignment="0" applyProtection="0"/>
    <xf numFmtId="177" fontId="48" fillId="0" borderId="0" applyFont="0" applyFill="0" applyBorder="0" applyAlignment="0" applyProtection="0"/>
    <xf numFmtId="177" fontId="48" fillId="0" borderId="0" applyFont="0" applyFill="0" applyBorder="0" applyAlignment="0" applyProtection="0"/>
    <xf numFmtId="177" fontId="48" fillId="0" borderId="0" applyFont="0" applyFill="0" applyBorder="0" applyAlignment="0" applyProtection="0"/>
    <xf numFmtId="0" fontId="71" fillId="35" borderId="0" applyNumberFormat="0" applyBorder="0" applyAlignment="0" applyProtection="0"/>
    <xf numFmtId="0" fontId="72" fillId="36" borderId="0" applyNumberFormat="0" applyBorder="0" applyAlignment="0" applyProtection="0"/>
    <xf numFmtId="0" fontId="71" fillId="35" borderId="0" applyNumberFormat="0" applyBorder="0" applyAlignment="0" applyProtection="0"/>
    <xf numFmtId="0" fontId="70" fillId="20" borderId="0" applyNumberFormat="0" applyBorder="0" applyAlignment="0" applyProtection="0"/>
    <xf numFmtId="0" fontId="73" fillId="0" borderId="0">
      <alignment horizontal="left"/>
    </xf>
    <xf numFmtId="0" fontId="74" fillId="0" borderId="22" applyNumberFormat="0" applyProtection="0"/>
    <xf numFmtId="0" fontId="74" fillId="0" borderId="22" applyNumberFormat="0" applyProtection="0"/>
    <xf numFmtId="0" fontId="74" fillId="0" borderId="22" applyNumberFormat="0" applyProtection="0"/>
    <xf numFmtId="0" fontId="74" fillId="0" borderId="22" applyNumberFormat="0" applyProtection="0"/>
    <xf numFmtId="0" fontId="74" fillId="0" borderId="32">
      <alignment horizontal="left" vertical="center"/>
    </xf>
    <xf numFmtId="0" fontId="74" fillId="0" borderId="32">
      <alignment horizontal="left" vertical="center"/>
    </xf>
    <xf numFmtId="0" fontId="74" fillId="0" borderId="32">
      <alignment horizontal="left" vertical="center"/>
    </xf>
    <xf numFmtId="0" fontId="76"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Protection="0"/>
    <xf numFmtId="0" fontId="78"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9" fillId="0" borderId="0" applyNumberFormat="0" applyFill="0" applyBorder="0">
      <protection locked="0"/>
    </xf>
    <xf numFmtId="0" fontId="76"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Protection="0"/>
    <xf numFmtId="0" fontId="70" fillId="19" borderId="5" applyNumberFormat="0" applyBorder="0" applyAlignment="0" applyProtection="0"/>
    <xf numFmtId="0" fontId="70" fillId="19" borderId="5" applyNumberFormat="0" applyBorder="0" applyAlignment="0" applyProtection="0"/>
    <xf numFmtId="0" fontId="70" fillId="19" borderId="5" applyNumberFormat="0" applyBorder="0" applyAlignment="0" applyProtection="0"/>
    <xf numFmtId="0" fontId="70" fillId="19" borderId="5" applyNumberFormat="0" applyBorder="0" applyAlignment="0" applyProtection="0"/>
    <xf numFmtId="0" fontId="70" fillId="19" borderId="5" applyNumberFormat="0" applyBorder="0" applyAlignment="0" applyProtection="0"/>
    <xf numFmtId="0" fontId="70" fillId="19" borderId="5" applyNumberFormat="0" applyBorder="0" applyAlignment="0" applyProtection="0"/>
    <xf numFmtId="0" fontId="70" fillId="19" borderId="5" applyNumberFormat="0" applyBorder="0" applyAlignment="0" applyProtection="0"/>
    <xf numFmtId="0" fontId="70" fillId="19" borderId="5" applyNumberFormat="0" applyBorder="0" applyAlignment="0" applyProtection="0"/>
    <xf numFmtId="0" fontId="70" fillId="19" borderId="5" applyNumberFormat="0" applyBorder="0" applyAlignment="0" applyProtection="0"/>
    <xf numFmtId="0" fontId="70" fillId="19" borderId="5" applyNumberFormat="0" applyBorder="0" applyAlignment="0" applyProtection="0"/>
    <xf numFmtId="0" fontId="70" fillId="19" borderId="5" applyNumberFormat="0" applyBorder="0" applyAlignment="0" applyProtection="0"/>
    <xf numFmtId="0" fontId="70" fillId="19" borderId="5" applyNumberFormat="0" applyBorder="0" applyAlignment="0" applyProtection="0"/>
    <xf numFmtId="0" fontId="70" fillId="19" borderId="5" applyNumberFormat="0" applyBorder="0" applyAlignment="0" applyProtection="0"/>
    <xf numFmtId="0" fontId="70" fillId="19" borderId="5" applyNumberFormat="0" applyBorder="0" applyAlignment="0" applyProtection="0"/>
    <xf numFmtId="0" fontId="80" fillId="0" borderId="20"/>
    <xf numFmtId="0" fontId="80" fillId="0" borderId="20"/>
    <xf numFmtId="180" fontId="53" fillId="0" borderId="0"/>
    <xf numFmtId="0" fontId="61" fillId="0" borderId="0" applyAlignment="0"/>
    <xf numFmtId="0" fontId="50" fillId="0" borderId="0"/>
    <xf numFmtId="0" fontId="61" fillId="0" borderId="0" applyAlignment="0"/>
    <xf numFmtId="0" fontId="61" fillId="0" borderId="0" applyAlignment="0"/>
    <xf numFmtId="0" fontId="50" fillId="0" borderId="0"/>
    <xf numFmtId="0" fontId="61" fillId="0" borderId="0" applyAlignment="0"/>
    <xf numFmtId="0" fontId="61" fillId="0" borderId="0" applyAlignment="0"/>
    <xf numFmtId="0" fontId="61" fillId="0" borderId="0"/>
    <xf numFmtId="0" fontId="61" fillId="0" borderId="0" applyAlignment="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applyAlignment="0"/>
    <xf numFmtId="0" fontId="61" fillId="0" borderId="0" applyAlignment="0"/>
    <xf numFmtId="192" fontId="49" fillId="0" borderId="0">
      <protection locked="0"/>
    </xf>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8" fillId="0" borderId="0"/>
    <xf numFmtId="0" fontId="61" fillId="0" borderId="0"/>
    <xf numFmtId="0" fontId="48" fillId="0" borderId="0"/>
    <xf numFmtId="0" fontId="48" fillId="0" borderId="0"/>
    <xf numFmtId="0" fontId="129" fillId="0" borderId="0"/>
    <xf numFmtId="0" fontId="48" fillId="0" borderId="0"/>
    <xf numFmtId="0" fontId="61" fillId="0" borderId="0">
      <alignment vertical="center"/>
    </xf>
    <xf numFmtId="0" fontId="48" fillId="0" borderId="0"/>
    <xf numFmtId="0" fontId="8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6" fillId="0" borderId="0">
      <alignment vertical="center"/>
    </xf>
    <xf numFmtId="0" fontId="61" fillId="0" borderId="0">
      <alignment vertical="center"/>
    </xf>
    <xf numFmtId="0" fontId="61" fillId="0" borderId="0">
      <alignment vertical="center"/>
    </xf>
    <xf numFmtId="0" fontId="66" fillId="0" borderId="0">
      <alignment vertical="center"/>
    </xf>
    <xf numFmtId="0" fontId="61" fillId="0" borderId="0">
      <alignment vertical="center"/>
    </xf>
    <xf numFmtId="0" fontId="66" fillId="0" borderId="0">
      <alignment vertical="center"/>
    </xf>
    <xf numFmtId="0" fontId="61" fillId="0" borderId="0">
      <alignment vertical="center"/>
    </xf>
    <xf numFmtId="0" fontId="82" fillId="0" borderId="0"/>
    <xf numFmtId="0" fontId="82" fillId="0" borderId="0"/>
    <xf numFmtId="0" fontId="61" fillId="0" borderId="0"/>
    <xf numFmtId="0" fontId="61" fillId="0" borderId="0"/>
    <xf numFmtId="0" fontId="48" fillId="0" borderId="0"/>
    <xf numFmtId="0" fontId="61" fillId="0" borderId="0"/>
    <xf numFmtId="0" fontId="50" fillId="0" borderId="0"/>
    <xf numFmtId="0" fontId="50" fillId="0" borderId="0"/>
    <xf numFmtId="0" fontId="83" fillId="0" borderId="0">
      <alignment vertical="center"/>
    </xf>
    <xf numFmtId="0" fontId="83" fillId="0" borderId="0">
      <alignment vertical="center"/>
    </xf>
    <xf numFmtId="0" fontId="83" fillId="0" borderId="0">
      <alignment vertical="center"/>
    </xf>
    <xf numFmtId="0" fontId="84" fillId="0" borderId="0">
      <alignment vertical="center"/>
    </xf>
    <xf numFmtId="0" fontId="50" fillId="0" borderId="0"/>
    <xf numFmtId="0" fontId="84" fillId="0" borderId="0">
      <alignment vertical="center"/>
    </xf>
    <xf numFmtId="0" fontId="50" fillId="0" borderId="0"/>
    <xf numFmtId="0" fontId="83" fillId="0" borderId="0">
      <alignment vertical="center"/>
    </xf>
    <xf numFmtId="0" fontId="84" fillId="0" borderId="0">
      <alignment vertical="center"/>
    </xf>
    <xf numFmtId="0" fontId="83" fillId="0" borderId="0">
      <alignment vertical="center"/>
    </xf>
    <xf numFmtId="0" fontId="8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6" fillId="0" borderId="0"/>
    <xf numFmtId="0" fontId="61" fillId="0" borderId="0"/>
    <xf numFmtId="0" fontId="61" fillId="0" borderId="0"/>
    <xf numFmtId="0" fontId="61" fillId="0" borderId="0"/>
    <xf numFmtId="0" fontId="81" fillId="0" borderId="0"/>
    <xf numFmtId="0" fontId="61" fillId="0" borderId="0"/>
    <xf numFmtId="0" fontId="48" fillId="0" borderId="0"/>
    <xf numFmtId="0" fontId="83" fillId="0" borderId="0">
      <alignment vertical="center"/>
    </xf>
    <xf numFmtId="0" fontId="48" fillId="0" borderId="0"/>
    <xf numFmtId="0" fontId="129" fillId="0" borderId="0"/>
    <xf numFmtId="0" fontId="86" fillId="0" borderId="0"/>
    <xf numFmtId="177" fontId="81" fillId="0" borderId="0"/>
    <xf numFmtId="0" fontId="48" fillId="0" borderId="0"/>
    <xf numFmtId="0" fontId="66" fillId="0" borderId="0">
      <alignment vertical="center"/>
    </xf>
    <xf numFmtId="177" fontId="50" fillId="0" borderId="0">
      <protection locked="0"/>
    </xf>
    <xf numFmtId="0" fontId="61" fillId="0" borderId="0"/>
    <xf numFmtId="0" fontId="48" fillId="0" borderId="0"/>
    <xf numFmtId="178" fontId="51" fillId="0" borderId="0">
      <protection locked="0"/>
    </xf>
    <xf numFmtId="178" fontId="52" fillId="0" borderId="0">
      <protection locked="0"/>
    </xf>
    <xf numFmtId="0" fontId="87" fillId="0" borderId="0"/>
    <xf numFmtId="0" fontId="61" fillId="0" borderId="0" applyAlignment="0"/>
    <xf numFmtId="0" fontId="48" fillId="0" borderId="0"/>
    <xf numFmtId="0" fontId="48" fillId="0" borderId="0"/>
    <xf numFmtId="0" fontId="48" fillId="0" borderId="0"/>
    <xf numFmtId="0" fontId="61" fillId="0" borderId="0" applyAlignment="0"/>
    <xf numFmtId="0" fontId="61" fillId="0" borderId="0" applyAlignment="0"/>
    <xf numFmtId="0" fontId="61" fillId="0" borderId="0" applyAlignment="0"/>
    <xf numFmtId="0" fontId="66" fillId="0" borderId="0" applyAlignment="0"/>
    <xf numFmtId="0" fontId="61" fillId="0" borderId="0"/>
    <xf numFmtId="0" fontId="61" fillId="0" borderId="0"/>
    <xf numFmtId="2" fontId="67" fillId="0" borderId="0">
      <alignment horizontal="left"/>
    </xf>
    <xf numFmtId="0" fontId="61" fillId="0" borderId="0" applyAlignment="0"/>
    <xf numFmtId="0" fontId="48" fillId="0" borderId="0"/>
    <xf numFmtId="0" fontId="48" fillId="0" borderId="0"/>
    <xf numFmtId="0" fontId="88" fillId="0" borderId="0"/>
    <xf numFmtId="177" fontId="50" fillId="0" borderId="0"/>
    <xf numFmtId="0" fontId="48" fillId="0" borderId="0"/>
    <xf numFmtId="0" fontId="48" fillId="0" borderId="0"/>
    <xf numFmtId="0" fontId="61" fillId="0" borderId="0"/>
    <xf numFmtId="178" fontId="51" fillId="0" borderId="0">
      <protection locked="0"/>
    </xf>
    <xf numFmtId="0" fontId="48" fillId="0" borderId="0"/>
    <xf numFmtId="0" fontId="61" fillId="0" borderId="0">
      <alignment vertical="center"/>
    </xf>
    <xf numFmtId="0" fontId="48" fillId="0" borderId="0"/>
    <xf numFmtId="0" fontId="48" fillId="0" borderId="0"/>
    <xf numFmtId="0" fontId="48" fillId="0" borderId="0"/>
    <xf numFmtId="0" fontId="48" fillId="0" borderId="0"/>
    <xf numFmtId="0" fontId="61" fillId="0" borderId="0">
      <alignment vertical="center"/>
    </xf>
    <xf numFmtId="0" fontId="61" fillId="0" borderId="0"/>
    <xf numFmtId="0" fontId="48" fillId="0" borderId="0"/>
    <xf numFmtId="177" fontId="81" fillId="0" borderId="0"/>
    <xf numFmtId="0" fontId="53" fillId="0" borderId="0"/>
    <xf numFmtId="0" fontId="86" fillId="0" borderId="0"/>
    <xf numFmtId="0" fontId="48" fillId="0" borderId="0"/>
    <xf numFmtId="0" fontId="48" fillId="0" borderId="0"/>
    <xf numFmtId="177" fontId="89" fillId="0" borderId="0"/>
    <xf numFmtId="0" fontId="50" fillId="0" borderId="0"/>
    <xf numFmtId="0" fontId="53" fillId="0" borderId="0"/>
    <xf numFmtId="0" fontId="61" fillId="0" borderId="0"/>
    <xf numFmtId="0" fontId="61" fillId="0" borderId="0"/>
    <xf numFmtId="0" fontId="86" fillId="0" borderId="0"/>
    <xf numFmtId="0" fontId="61" fillId="0" borderId="0"/>
    <xf numFmtId="0" fontId="50" fillId="0" borderId="0"/>
    <xf numFmtId="0" fontId="61" fillId="0" borderId="0"/>
    <xf numFmtId="0" fontId="61" fillId="0" borderId="0"/>
    <xf numFmtId="0" fontId="61" fillId="0" borderId="0"/>
    <xf numFmtId="0" fontId="48" fillId="0" borderId="0"/>
    <xf numFmtId="0" fontId="61" fillId="0" borderId="0"/>
    <xf numFmtId="0" fontId="61" fillId="0" borderId="0">
      <alignment vertical="center"/>
    </xf>
    <xf numFmtId="0" fontId="48" fillId="0" borderId="0"/>
    <xf numFmtId="0" fontId="48" fillId="0" borderId="0"/>
    <xf numFmtId="0" fontId="48" fillId="0" borderId="0"/>
    <xf numFmtId="0" fontId="61" fillId="0" borderId="0">
      <alignment vertical="center"/>
    </xf>
    <xf numFmtId="0" fontId="61" fillId="0" borderId="0">
      <alignment vertical="center"/>
    </xf>
    <xf numFmtId="0" fontId="86" fillId="0" borderId="0"/>
    <xf numFmtId="0" fontId="61" fillId="0" borderId="0">
      <alignment vertical="center"/>
    </xf>
    <xf numFmtId="0" fontId="90" fillId="0" borderId="0"/>
    <xf numFmtId="0" fontId="91" fillId="0" borderId="0"/>
    <xf numFmtId="10" fontId="50" fillId="0" borderId="0" applyFont="0" applyFill="0" applyBorder="0" applyAlignment="0" applyProtection="0"/>
    <xf numFmtId="180" fontId="61" fillId="0" borderId="0" applyFont="0" applyFill="0" applyBorder="0" applyAlignment="0" applyProtection="0"/>
    <xf numFmtId="180" fontId="61" fillId="0" borderId="0" applyFont="0" applyFill="0" applyBorder="0" applyAlignment="0" applyProtection="0"/>
    <xf numFmtId="9" fontId="61" fillId="0" borderId="0" applyFont="0" applyFill="0" applyBorder="0" applyAlignment="0" applyProtection="0"/>
    <xf numFmtId="180" fontId="61" fillId="0" borderId="0" applyFont="0" applyFill="0" applyBorder="0" applyAlignment="0" applyProtection="0"/>
    <xf numFmtId="9" fontId="50" fillId="0" borderId="0" applyFont="0" applyFill="0" applyBorder="0" applyAlignment="0" applyProtection="0"/>
    <xf numFmtId="9" fontId="61" fillId="0" borderId="0" applyFont="0" applyFill="0" applyBorder="0" applyAlignment="0" applyProtection="0"/>
    <xf numFmtId="9" fontId="61" fillId="0" borderId="0" applyFont="0" applyFill="0" applyBorder="0" applyAlignment="0" applyProtection="0"/>
    <xf numFmtId="9" fontId="61" fillId="0" borderId="0" applyFont="0" applyFill="0" applyBorder="0" applyProtection="0"/>
    <xf numFmtId="9" fontId="61" fillId="0" borderId="0" applyFont="0" applyFill="0" applyBorder="0" applyProtection="0"/>
    <xf numFmtId="9" fontId="61" fillId="0" borderId="0" applyFont="0" applyFill="0" applyBorder="0" applyProtection="0"/>
    <xf numFmtId="9" fontId="61" fillId="0" borderId="0" applyFont="0" applyFill="0" applyBorder="0" applyProtection="0"/>
    <xf numFmtId="9" fontId="66" fillId="0" borderId="0" applyFont="0" applyFill="0" applyBorder="0" applyProtection="0"/>
    <xf numFmtId="9" fontId="61" fillId="0" borderId="0" applyFont="0" applyFill="0" applyBorder="0" applyProtection="0"/>
    <xf numFmtId="0" fontId="70" fillId="20" borderId="5"/>
    <xf numFmtId="0" fontId="70" fillId="20" borderId="5"/>
    <xf numFmtId="0" fontId="70" fillId="20" borderId="5"/>
    <xf numFmtId="0" fontId="70" fillId="20" borderId="5"/>
    <xf numFmtId="0" fontId="70" fillId="20" borderId="5"/>
    <xf numFmtId="0" fontId="70" fillId="20" borderId="5"/>
    <xf numFmtId="0" fontId="70" fillId="20" borderId="5"/>
    <xf numFmtId="0" fontId="70" fillId="20" borderId="5"/>
    <xf numFmtId="0" fontId="70" fillId="20" borderId="5"/>
    <xf numFmtId="0" fontId="70" fillId="20" borderId="5"/>
    <xf numFmtId="0" fontId="70" fillId="20" borderId="5"/>
    <xf numFmtId="0" fontId="70" fillId="20" borderId="5"/>
    <xf numFmtId="0" fontId="70" fillId="20" borderId="5"/>
    <xf numFmtId="0" fontId="70" fillId="20" borderId="5"/>
    <xf numFmtId="4" fontId="69" fillId="0" borderId="0">
      <alignment horizontal="right"/>
    </xf>
    <xf numFmtId="4" fontId="92" fillId="0" borderId="0">
      <alignment horizontal="right"/>
    </xf>
    <xf numFmtId="184" fontId="68" fillId="0" borderId="0" applyFont="0" applyFill="0" applyBorder="0" applyAlignment="0" applyProtection="0"/>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3"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4" fillId="37" borderId="78" applyNumberFormat="0" applyProtection="0">
      <alignment vertical="center"/>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center"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7" borderId="78" applyNumberFormat="0" applyProtection="0">
      <alignment horizontal="left" vertical="top" indent="1"/>
    </xf>
    <xf numFmtId="0" fontId="93" fillId="38" borderId="0" applyNumberFormat="0" applyProtection="0">
      <alignment horizontal="left" vertical="center" indent="1"/>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39"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0"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1"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42"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28"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3"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4"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5"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59" fillId="46" borderId="78" applyNumberFormat="0" applyProtection="0">
      <alignment horizontal="right" vertical="center"/>
    </xf>
    <xf numFmtId="0" fontId="93" fillId="47" borderId="79" applyNumberFormat="0" applyProtection="0">
      <alignment horizontal="left" vertical="center" indent="1"/>
    </xf>
    <xf numFmtId="0" fontId="93" fillId="47" borderId="79" applyNumberFormat="0" applyProtection="0">
      <alignment horizontal="left" vertical="center" indent="1"/>
    </xf>
    <xf numFmtId="0" fontId="93" fillId="47" borderId="79" applyNumberFormat="0" applyProtection="0">
      <alignment horizontal="left" vertical="center" indent="1"/>
    </xf>
    <xf numFmtId="0" fontId="93" fillId="47" borderId="79" applyNumberFormat="0" applyProtection="0">
      <alignment horizontal="left" vertical="center" indent="1"/>
    </xf>
    <xf numFmtId="0" fontId="93" fillId="47" borderId="79" applyNumberFormat="0" applyProtection="0">
      <alignment horizontal="left" vertical="center" indent="1"/>
    </xf>
    <xf numFmtId="0" fontId="93" fillId="47" borderId="79" applyNumberFormat="0" applyProtection="0">
      <alignment horizontal="left" vertical="center" indent="1"/>
    </xf>
    <xf numFmtId="0" fontId="93" fillId="47" borderId="79" applyNumberFormat="0" applyProtection="0">
      <alignment horizontal="left" vertical="center" indent="1"/>
    </xf>
    <xf numFmtId="0" fontId="93" fillId="47" borderId="79" applyNumberFormat="0" applyProtection="0">
      <alignment horizontal="left" vertical="center" indent="1"/>
    </xf>
    <xf numFmtId="0" fontId="93" fillId="47" borderId="79" applyNumberFormat="0" applyProtection="0">
      <alignment horizontal="left" vertical="center" indent="1"/>
    </xf>
    <xf numFmtId="0" fontId="93" fillId="47" borderId="79" applyNumberFormat="0" applyProtection="0">
      <alignment horizontal="left" vertical="center" indent="1"/>
    </xf>
    <xf numFmtId="0" fontId="93" fillId="47" borderId="79" applyNumberFormat="0" applyProtection="0">
      <alignment horizontal="left" vertical="center" indent="1"/>
    </xf>
    <xf numFmtId="0" fontId="93" fillId="47" borderId="79" applyNumberFormat="0" applyProtection="0">
      <alignment horizontal="left" vertical="center" indent="1"/>
    </xf>
    <xf numFmtId="0" fontId="59" fillId="48" borderId="0" applyNumberFormat="0" applyProtection="0">
      <alignment horizontal="left" vertical="center" indent="1"/>
    </xf>
    <xf numFmtId="0" fontId="95" fillId="14" borderId="0" applyNumberFormat="0" applyProtection="0">
      <alignment horizontal="left" vertical="center" indent="1"/>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38" borderId="78" applyNumberFormat="0" applyProtection="0">
      <alignment horizontal="right" vertical="center"/>
    </xf>
    <xf numFmtId="0" fontId="59" fillId="48" borderId="0" applyNumberFormat="0" applyProtection="0">
      <alignment horizontal="left" vertical="center" indent="1"/>
    </xf>
    <xf numFmtId="0" fontId="59" fillId="38" borderId="0"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center"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14" borderId="78" applyNumberFormat="0" applyProtection="0">
      <alignment horizontal="left" vertical="top"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center"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38" borderId="78" applyNumberFormat="0" applyProtection="0">
      <alignment horizontal="left" vertical="top"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center"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16" borderId="78" applyNumberFormat="0" applyProtection="0">
      <alignment horizontal="left" vertical="top"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center"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0" fillId="48" borderId="78" applyNumberFormat="0" applyProtection="0">
      <alignment horizontal="left" vertical="top" indent="1"/>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59"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96" fillId="19" borderId="78" applyNumberFormat="0" applyProtection="0">
      <alignment vertical="center"/>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center"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19" borderId="78" applyNumberFormat="0" applyProtection="0">
      <alignment horizontal="left" vertical="top" indent="1"/>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59"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96" fillId="48" borderId="78" applyNumberFormat="0" applyProtection="0">
      <alignment horizontal="right" vertical="center"/>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center"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59" fillId="38" borderId="78" applyNumberFormat="0" applyProtection="0">
      <alignment horizontal="left" vertical="top" indent="1"/>
    </xf>
    <xf numFmtId="0" fontId="97" fillId="49" borderId="0" applyNumberFormat="0" applyProtection="0">
      <alignment horizontal="left" vertical="center" indent="1"/>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8" fillId="48" borderId="78" applyNumberFormat="0" applyProtection="0">
      <alignment horizontal="right" vertical="center"/>
    </xf>
    <xf numFmtId="0" fontId="99" fillId="0" borderId="0">
      <alignment horizontal="left"/>
    </xf>
    <xf numFmtId="176" fontId="70" fillId="0" borderId="80"/>
    <xf numFmtId="176" fontId="70" fillId="0" borderId="80"/>
    <xf numFmtId="176" fontId="70" fillId="0" borderId="80"/>
    <xf numFmtId="176" fontId="70" fillId="0" borderId="80"/>
    <xf numFmtId="176" fontId="70" fillId="0" borderId="80"/>
    <xf numFmtId="176" fontId="70" fillId="0" borderId="80"/>
    <xf numFmtId="176" fontId="70" fillId="0" borderId="80"/>
    <xf numFmtId="176" fontId="70" fillId="0" borderId="80"/>
    <xf numFmtId="176" fontId="70" fillId="0" borderId="80"/>
    <xf numFmtId="176" fontId="70" fillId="0" borderId="80"/>
    <xf numFmtId="176" fontId="70" fillId="0" borderId="80"/>
    <xf numFmtId="176" fontId="70" fillId="0" borderId="80"/>
    <xf numFmtId="176" fontId="70" fillId="0" borderId="80"/>
    <xf numFmtId="176" fontId="70" fillId="0" borderId="80"/>
    <xf numFmtId="176" fontId="70" fillId="0" borderId="80"/>
    <xf numFmtId="176" fontId="70" fillId="0" borderId="80"/>
    <xf numFmtId="0" fontId="80" fillId="0" borderId="0"/>
    <xf numFmtId="0" fontId="100" fillId="0" borderId="0">
      <alignment horizontal="center"/>
    </xf>
    <xf numFmtId="193" fontId="50" fillId="0" borderId="0" applyFont="0" applyFill="0" applyBorder="0" applyAlignment="0" applyProtection="0"/>
    <xf numFmtId="194" fontId="50" fillId="0" borderId="0" applyFont="0" applyFill="0" applyBorder="0" applyAlignment="0" applyProtection="0"/>
    <xf numFmtId="195" fontId="53" fillId="0" borderId="0" applyFont="0" applyFill="0" applyBorder="0" applyAlignment="0" applyProtection="0"/>
    <xf numFmtId="196" fontId="53" fillId="0" borderId="0" applyFont="0" applyFill="0" applyBorder="0" applyAlignment="0" applyProtection="0"/>
    <xf numFmtId="9" fontId="101" fillId="0" borderId="0" applyFont="0" applyFill="0" applyBorder="0" applyAlignment="0" applyProtection="0"/>
    <xf numFmtId="0" fontId="49" fillId="0" borderId="0"/>
    <xf numFmtId="0" fontId="102" fillId="0" borderId="0"/>
    <xf numFmtId="197" fontId="49" fillId="0" borderId="0" applyFont="0" applyFill="0" applyBorder="0" applyAlignment="0" applyProtection="0"/>
    <xf numFmtId="198" fontId="49" fillId="0" borderId="0" applyFont="0" applyFill="0" applyBorder="0" applyAlignment="0" applyProtection="0"/>
    <xf numFmtId="184" fontId="50" fillId="0" borderId="0" applyFont="0" applyFill="0" applyBorder="0" applyAlignment="0" applyProtection="0"/>
    <xf numFmtId="9" fontId="49" fillId="0" borderId="0" applyFont="0" applyFill="0" applyBorder="0" applyAlignment="0" applyProtection="0"/>
    <xf numFmtId="9" fontId="50" fillId="0" borderId="0" applyFont="0" applyFill="0" applyBorder="0" applyAlignment="0" applyProtection="0"/>
    <xf numFmtId="9" fontId="53"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3" fillId="0" borderId="0" applyFont="0" applyFill="0" applyBorder="0" applyAlignment="0" applyProtection="0"/>
    <xf numFmtId="9" fontId="48" fillId="0" borderId="0" applyFont="0" applyFill="0" applyBorder="0" applyProtection="0"/>
    <xf numFmtId="9" fontId="48" fillId="0" borderId="0" applyFont="0" applyFill="0" applyBorder="0" applyProtection="0"/>
    <xf numFmtId="9" fontId="48" fillId="0" borderId="0" applyFont="0" applyFill="0" applyBorder="0" applyProtection="0"/>
    <xf numFmtId="9" fontId="53" fillId="0" borderId="0" applyFont="0" applyFill="0" applyBorder="0" applyAlignment="0" applyProtection="0"/>
    <xf numFmtId="9" fontId="61" fillId="0" borderId="0" applyFont="0" applyFill="0" applyBorder="0" applyProtection="0"/>
    <xf numFmtId="9" fontId="61" fillId="0" borderId="0" applyFont="0" applyFill="0" applyBorder="0" applyAlignment="0" applyProtection="0"/>
    <xf numFmtId="9" fontId="81" fillId="0" borderId="0" applyFont="0" applyFill="0" applyBorder="0" applyAlignment="0" applyProtection="0">
      <alignment vertical="center"/>
    </xf>
    <xf numFmtId="9" fontId="61" fillId="0" borderId="0" applyFont="0" applyFill="0" applyBorder="0" applyAlignment="0" applyProtection="0"/>
    <xf numFmtId="9" fontId="61" fillId="0" borderId="0" applyFont="0" applyFill="0" applyBorder="0" applyProtection="0"/>
    <xf numFmtId="9" fontId="61" fillId="0" borderId="0" applyFont="0" applyFill="0" applyBorder="0" applyAlignment="0" applyProtection="0"/>
    <xf numFmtId="9" fontId="61" fillId="0" borderId="0" applyFont="0" applyFill="0" applyBorder="0" applyAlignment="0" applyProtection="0"/>
    <xf numFmtId="9" fontId="66" fillId="0" borderId="0" applyFont="0" applyFill="0" applyBorder="0" applyAlignment="0" applyProtection="0"/>
    <xf numFmtId="9" fontId="48" fillId="0" borderId="0" applyFont="0" applyFill="0" applyBorder="0" applyProtection="0"/>
    <xf numFmtId="0" fontId="103" fillId="0" borderId="0" applyFont="0" applyFill="0" applyBorder="0" applyAlignment="0" applyProtection="0"/>
    <xf numFmtId="0" fontId="103" fillId="0" borderId="0" applyFont="0" applyFill="0" applyBorder="0" applyAlignment="0" applyProtection="0"/>
    <xf numFmtId="0" fontId="104" fillId="0" borderId="0" applyNumberFormat="0" applyFill="0" applyBorder="0" applyProtection="0"/>
    <xf numFmtId="4" fontId="105" fillId="0" borderId="0">
      <alignment horizontal="right"/>
    </xf>
    <xf numFmtId="0" fontId="106" fillId="0" borderId="0" applyNumberFormat="0" applyFill="0" applyBorder="0" applyAlignment="0" applyProtection="0"/>
    <xf numFmtId="0" fontId="107" fillId="42" borderId="0" applyNumberFormat="0" applyBorder="0" applyProtection="0"/>
    <xf numFmtId="0" fontId="108" fillId="39" borderId="0" applyNumberFormat="0" applyBorder="0" applyProtection="0"/>
    <xf numFmtId="0" fontId="108" fillId="39" borderId="0" applyNumberFormat="0" applyBorder="0" applyProtection="0"/>
    <xf numFmtId="0" fontId="109" fillId="39" borderId="0" applyNumberFormat="0" applyBorder="0" applyAlignment="0" applyProtection="0"/>
    <xf numFmtId="0" fontId="108" fillId="39" borderId="0" applyNumberFormat="0" applyBorder="0" applyProtection="0"/>
    <xf numFmtId="0" fontId="108" fillId="39" borderId="0" applyNumberFormat="0" applyBorder="0" applyProtection="0"/>
    <xf numFmtId="0" fontId="108" fillId="39" borderId="0" applyNumberFormat="0" applyBorder="0" applyProtection="0"/>
    <xf numFmtId="0" fontId="108" fillId="39" borderId="0" applyNumberFormat="0" applyBorder="0" applyProtection="0"/>
    <xf numFmtId="0" fontId="108" fillId="39" borderId="0" applyNumberFormat="0" applyBorder="0" applyProtection="0"/>
    <xf numFmtId="0" fontId="108" fillId="39" borderId="0" applyNumberFormat="0" applyBorder="0" applyProtection="0"/>
    <xf numFmtId="0" fontId="108" fillId="39" borderId="0" applyNumberFormat="0" applyBorder="0" applyProtection="0"/>
    <xf numFmtId="0" fontId="107" fillId="42" borderId="0" applyNumberFormat="0" applyBorder="0" applyProtection="0"/>
    <xf numFmtId="0" fontId="107" fillId="42" borderId="0" applyNumberFormat="0" applyBorder="0" applyProtection="0"/>
    <xf numFmtId="0" fontId="110" fillId="34" borderId="0" applyNumberFormat="0" applyBorder="0" applyProtection="0"/>
    <xf numFmtId="0" fontId="108" fillId="39" borderId="0" applyNumberFormat="0" applyBorder="0" applyProtection="0"/>
    <xf numFmtId="0" fontId="107" fillId="42" borderId="0" applyNumberFormat="0" applyBorder="0" applyProtection="0"/>
    <xf numFmtId="0" fontId="107" fillId="42" borderId="0" applyNumberFormat="0" applyBorder="0" applyProtection="0"/>
    <xf numFmtId="0" fontId="110" fillId="34" borderId="0" applyNumberFormat="0" applyBorder="0" applyProtection="0"/>
    <xf numFmtId="0" fontId="107" fillId="42" borderId="0" applyNumberFormat="0" applyBorder="0" applyProtection="0"/>
    <xf numFmtId="0" fontId="107" fillId="42" borderId="0" applyNumberFormat="0" applyBorder="0" applyProtection="0"/>
    <xf numFmtId="0" fontId="107" fillId="42" borderId="0" applyNumberFormat="0" applyBorder="0" applyProtection="0"/>
    <xf numFmtId="0" fontId="108" fillId="39" borderId="0" applyNumberFormat="0" applyBorder="0" applyProtection="0"/>
    <xf numFmtId="0" fontId="107" fillId="42" borderId="0" applyNumberFormat="0" applyBorder="0" applyProtection="0"/>
    <xf numFmtId="0" fontId="107" fillId="42" borderId="0" applyNumberFormat="0" applyBorder="0" applyProtection="0"/>
    <xf numFmtId="0" fontId="107" fillId="42" borderId="0" applyNumberFormat="0" applyBorder="0" applyProtection="0"/>
    <xf numFmtId="0" fontId="107" fillId="42" borderId="0" applyNumberFormat="0" applyBorder="0" applyProtection="0"/>
    <xf numFmtId="0" fontId="61" fillId="0" borderId="0"/>
    <xf numFmtId="0" fontId="61" fillId="0" borderId="0"/>
    <xf numFmtId="0" fontId="61" fillId="0" borderId="0"/>
    <xf numFmtId="0" fontId="111" fillId="0" borderId="0">
      <alignment vertical="center"/>
    </xf>
    <xf numFmtId="0" fontId="61" fillId="0" borderId="0"/>
    <xf numFmtId="0" fontId="61" fillId="0" borderId="0"/>
    <xf numFmtId="0" fontId="66" fillId="0" borderId="0"/>
    <xf numFmtId="0" fontId="48" fillId="0" borderId="0"/>
    <xf numFmtId="0" fontId="61" fillId="0" borderId="0"/>
    <xf numFmtId="0" fontId="48" fillId="0" borderId="0"/>
    <xf numFmtId="0" fontId="48" fillId="0" borderId="0"/>
    <xf numFmtId="199" fontId="48" fillId="0" borderId="0"/>
    <xf numFmtId="199" fontId="112" fillId="0" borderId="0"/>
    <xf numFmtId="0" fontId="53" fillId="0" borderId="0"/>
    <xf numFmtId="0" fontId="53" fillId="0" borderId="0"/>
    <xf numFmtId="0" fontId="53" fillId="0" borderId="0"/>
    <xf numFmtId="0" fontId="53" fillId="0" borderId="0"/>
    <xf numFmtId="0" fontId="48" fillId="0" borderId="0"/>
    <xf numFmtId="0" fontId="53" fillId="0" borderId="0"/>
    <xf numFmtId="0" fontId="87" fillId="0" borderId="0">
      <protection locked="0"/>
    </xf>
    <xf numFmtId="0" fontId="66" fillId="0" borderId="0"/>
    <xf numFmtId="0" fontId="48" fillId="0" borderId="0"/>
    <xf numFmtId="0" fontId="53" fillId="0" borderId="0"/>
    <xf numFmtId="0" fontId="50" fillId="0" borderId="0">
      <protection locked="0"/>
    </xf>
    <xf numFmtId="0" fontId="53" fillId="0" borderId="0"/>
    <xf numFmtId="0" fontId="53" fillId="0" borderId="0"/>
    <xf numFmtId="0" fontId="53" fillId="0" borderId="0"/>
    <xf numFmtId="0" fontId="50" fillId="0" borderId="0">
      <protection locked="0"/>
    </xf>
    <xf numFmtId="0" fontId="48" fillId="0" borderId="0"/>
    <xf numFmtId="0" fontId="61" fillId="0" borderId="0">
      <alignment vertical="center"/>
    </xf>
    <xf numFmtId="0" fontId="61" fillId="0" borderId="0">
      <alignment vertical="center"/>
    </xf>
    <xf numFmtId="0" fontId="48" fillId="0" borderId="0"/>
    <xf numFmtId="177" fontId="53"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8" fillId="0" borderId="0"/>
    <xf numFmtId="178" fontId="50" fillId="0" borderId="0"/>
    <xf numFmtId="0" fontId="53" fillId="0" borderId="0">
      <alignment vertical="top"/>
    </xf>
    <xf numFmtId="0" fontId="87" fillId="0" borderId="0">
      <protection locked="0"/>
    </xf>
    <xf numFmtId="199" fontId="48" fillId="0" borderId="0"/>
    <xf numFmtId="0" fontId="3" fillId="0" borderId="0">
      <alignment vertical="center"/>
    </xf>
    <xf numFmtId="0" fontId="53" fillId="0" borderId="0"/>
    <xf numFmtId="0" fontId="61" fillId="0" borderId="0"/>
    <xf numFmtId="0" fontId="53" fillId="0" borderId="0"/>
    <xf numFmtId="199" fontId="48" fillId="0" borderId="0"/>
    <xf numFmtId="0" fontId="50" fillId="0" borderId="0"/>
    <xf numFmtId="199" fontId="48" fillId="0" borderId="0"/>
    <xf numFmtId="192" fontId="68" fillId="0" borderId="0">
      <protection locked="0"/>
    </xf>
    <xf numFmtId="0" fontId="53" fillId="0" borderId="0"/>
    <xf numFmtId="0" fontId="53" fillId="0" borderId="0"/>
    <xf numFmtId="0" fontId="50" fillId="0" borderId="0">
      <protection locked="0"/>
    </xf>
    <xf numFmtId="0" fontId="48" fillId="0" borderId="0"/>
    <xf numFmtId="0" fontId="61" fillId="0" borderId="0">
      <alignment vertical="center"/>
      <protection locked="0"/>
    </xf>
    <xf numFmtId="0" fontId="48" fillId="0" borderId="0"/>
    <xf numFmtId="0" fontId="61" fillId="0" borderId="0">
      <alignment vertical="center"/>
      <protection locked="0"/>
    </xf>
    <xf numFmtId="0" fontId="48" fillId="0" borderId="0"/>
    <xf numFmtId="0" fontId="66" fillId="0" borderId="0"/>
    <xf numFmtId="0" fontId="48" fillId="0" borderId="0"/>
    <xf numFmtId="0" fontId="48" fillId="0" borderId="0"/>
    <xf numFmtId="0" fontId="48" fillId="0" borderId="0"/>
    <xf numFmtId="0" fontId="50" fillId="0" borderId="0">
      <protection locked="0"/>
    </xf>
    <xf numFmtId="0" fontId="48" fillId="0" borderId="0"/>
    <xf numFmtId="0" fontId="66" fillId="0" borderId="0">
      <protection locked="0"/>
    </xf>
    <xf numFmtId="0" fontId="50" fillId="0" borderId="0">
      <protection locked="0"/>
    </xf>
    <xf numFmtId="0" fontId="50" fillId="0" borderId="0">
      <protection locked="0"/>
    </xf>
    <xf numFmtId="0" fontId="48" fillId="0" borderId="0"/>
    <xf numFmtId="0" fontId="61" fillId="0" borderId="0"/>
    <xf numFmtId="0" fontId="53" fillId="0" borderId="0"/>
    <xf numFmtId="0" fontId="48" fillId="0" borderId="0"/>
    <xf numFmtId="0" fontId="53"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8" fillId="0" borderId="0"/>
    <xf numFmtId="0" fontId="66" fillId="0" borderId="0">
      <alignment vertical="center"/>
    </xf>
    <xf numFmtId="0" fontId="61" fillId="0" borderId="0"/>
    <xf numFmtId="0" fontId="48" fillId="0" borderId="0"/>
    <xf numFmtId="0" fontId="53" fillId="0" borderId="0"/>
    <xf numFmtId="0" fontId="48" fillId="0" borderId="0"/>
    <xf numFmtId="0" fontId="53" fillId="0" borderId="0">
      <alignment vertical="center"/>
    </xf>
    <xf numFmtId="0" fontId="61" fillId="0" borderId="0">
      <alignment vertical="center"/>
    </xf>
    <xf numFmtId="0" fontId="48" fillId="0" borderId="0"/>
    <xf numFmtId="0" fontId="81" fillId="0" borderId="0">
      <alignment vertical="center"/>
      <protection locked="0"/>
    </xf>
    <xf numFmtId="0" fontId="61" fillId="0" borderId="0">
      <alignment vertical="center"/>
    </xf>
    <xf numFmtId="0" fontId="48" fillId="0" borderId="0"/>
    <xf numFmtId="0" fontId="48" fillId="0" borderId="0"/>
    <xf numFmtId="0" fontId="50" fillId="0" borderId="0">
      <protection locked="0"/>
    </xf>
    <xf numFmtId="177" fontId="66" fillId="0" borderId="0">
      <protection locked="0"/>
    </xf>
    <xf numFmtId="0" fontId="48" fillId="0" borderId="0"/>
    <xf numFmtId="0" fontId="61" fillId="0" borderId="0"/>
    <xf numFmtId="0" fontId="66" fillId="0" borderId="0">
      <protection locked="0"/>
    </xf>
    <xf numFmtId="0" fontId="48" fillId="0" borderId="0"/>
    <xf numFmtId="0" fontId="111" fillId="0" borderId="0">
      <alignment vertical="center"/>
    </xf>
    <xf numFmtId="0" fontId="48" fillId="0" borderId="0"/>
    <xf numFmtId="0" fontId="113" fillId="0" borderId="0" applyNumberFormat="0" applyFill="0" applyBorder="0">
      <protection locked="0"/>
    </xf>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Protection="0"/>
    <xf numFmtId="0" fontId="113" fillId="0" borderId="0" applyNumberFormat="0" applyFill="0" applyBorder="0">
      <protection locked="0"/>
    </xf>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7" fillId="0" borderId="0" applyNumberFormat="0" applyFill="0" applyBorder="0" applyProtection="0"/>
    <xf numFmtId="0" fontId="77" fillId="0" borderId="0" applyNumberFormat="0" applyFill="0" applyBorder="0" applyAlignment="0" applyProtection="0">
      <alignment vertical="center"/>
    </xf>
    <xf numFmtId="0" fontId="113" fillId="0" borderId="0" applyNumberFormat="0" applyFill="0" applyBorder="0">
      <protection locked="0"/>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9" fillId="0" borderId="0" applyNumberFormat="0" applyFill="0" applyBorder="0">
      <protection locked="0"/>
    </xf>
    <xf numFmtId="0" fontId="77" fillId="0" borderId="0" applyNumberFormat="0" applyFill="0" applyBorder="0" applyAlignment="0" applyProtection="0"/>
    <xf numFmtId="0" fontId="114" fillId="36" borderId="0" applyNumberFormat="0" applyBorder="0" applyProtection="0"/>
    <xf numFmtId="0" fontId="115" fillId="23" borderId="0" applyNumberFormat="0" applyBorder="0" applyProtection="0"/>
    <xf numFmtId="0" fontId="115" fillId="36" borderId="0" applyNumberFormat="0" applyBorder="0" applyProtection="0"/>
    <xf numFmtId="0" fontId="115" fillId="36" borderId="0" applyNumberFormat="0" applyBorder="0" applyProtection="0"/>
    <xf numFmtId="0" fontId="115" fillId="36" borderId="0" applyNumberFormat="0" applyBorder="0" applyProtection="0"/>
    <xf numFmtId="0" fontId="115" fillId="23" borderId="0" applyNumberFormat="0" applyBorder="0" applyProtection="0"/>
    <xf numFmtId="0" fontId="116" fillId="23" borderId="0" applyNumberFormat="0" applyBorder="0" applyAlignment="0" applyProtection="0"/>
    <xf numFmtId="0" fontId="115" fillId="23" borderId="0" applyNumberFormat="0" applyBorder="0" applyProtection="0"/>
    <xf numFmtId="0" fontId="115" fillId="23" borderId="0" applyNumberFormat="0" applyBorder="0" applyProtection="0"/>
    <xf numFmtId="0" fontId="115" fillId="23" borderId="0" applyNumberFormat="0" applyBorder="0" applyProtection="0"/>
    <xf numFmtId="0" fontId="115" fillId="23" borderId="0" applyNumberFormat="0" applyBorder="0" applyProtection="0"/>
    <xf numFmtId="0" fontId="115" fillId="23" borderId="0" applyNumberFormat="0" applyBorder="0" applyProtection="0"/>
    <xf numFmtId="0" fontId="115" fillId="23" borderId="0" applyNumberFormat="0" applyBorder="0" applyProtection="0"/>
    <xf numFmtId="0" fontId="115" fillId="23" borderId="0" applyNumberFormat="0" applyBorder="0" applyProtection="0"/>
    <xf numFmtId="0" fontId="115" fillId="36" borderId="0" applyNumberFormat="0" applyBorder="0" applyProtection="0"/>
    <xf numFmtId="0" fontId="114" fillId="36" borderId="0" applyNumberFormat="0" applyBorder="0" applyProtection="0"/>
    <xf numFmtId="0" fontId="115" fillId="23" borderId="0" applyNumberFormat="0" applyBorder="0" applyProtection="0"/>
    <xf numFmtId="0" fontId="114" fillId="36" borderId="0" applyNumberFormat="0" applyBorder="0" applyProtection="0"/>
    <xf numFmtId="0" fontId="115" fillId="36" borderId="0" applyNumberFormat="0" applyBorder="0" applyProtection="0"/>
    <xf numFmtId="0" fontId="114" fillId="36" borderId="0" applyNumberFormat="0" applyBorder="0" applyProtection="0"/>
    <xf numFmtId="0" fontId="114" fillId="36" borderId="0" applyNumberFormat="0" applyBorder="0" applyProtection="0"/>
    <xf numFmtId="0" fontId="117" fillId="50" borderId="0" applyNumberFormat="0" applyBorder="0" applyProtection="0"/>
    <xf numFmtId="0" fontId="114" fillId="36" borderId="0" applyNumberFormat="0" applyBorder="0" applyProtection="0"/>
    <xf numFmtId="0" fontId="117" fillId="50" borderId="0" applyNumberFormat="0" applyBorder="0" applyProtection="0"/>
    <xf numFmtId="0" fontId="114" fillId="36" borderId="0" applyNumberFormat="0" applyBorder="0" applyProtection="0"/>
    <xf numFmtId="0" fontId="114" fillId="36" borderId="0" applyNumberFormat="0" applyBorder="0" applyProtection="0"/>
    <xf numFmtId="0" fontId="115" fillId="23" borderId="0" applyNumberFormat="0" applyBorder="0" applyProtection="0"/>
    <xf numFmtId="0" fontId="115" fillId="36" borderId="0" applyNumberFormat="0" applyBorder="0" applyProtection="0"/>
    <xf numFmtId="0" fontId="115" fillId="36" borderId="0" applyNumberFormat="0" applyBorder="0" applyProtection="0"/>
    <xf numFmtId="0" fontId="114" fillId="36" borderId="0" applyNumberFormat="0" applyBorder="0" applyProtection="0"/>
    <xf numFmtId="0" fontId="114" fillId="36" borderId="0" applyNumberFormat="0" applyBorder="0" applyProtection="0"/>
    <xf numFmtId="0" fontId="115" fillId="36" borderId="0" applyNumberFormat="0" applyBorder="0" applyProtection="0"/>
    <xf numFmtId="0" fontId="114" fillId="36" borderId="0" applyNumberFormat="0" applyBorder="0" applyProtection="0"/>
    <xf numFmtId="0" fontId="115" fillId="36" borderId="0" applyNumberFormat="0" applyBorder="0" applyProtection="0"/>
    <xf numFmtId="0" fontId="114" fillId="36" borderId="0" applyNumberFormat="0" applyBorder="0" applyProtection="0"/>
    <xf numFmtId="0" fontId="114" fillId="36" borderId="0" applyNumberFormat="0" applyBorder="0" applyProtection="0"/>
    <xf numFmtId="0" fontId="117" fillId="50" borderId="0" applyNumberFormat="0" applyBorder="0" applyProtection="0"/>
    <xf numFmtId="0" fontId="114" fillId="36" borderId="0" applyNumberFormat="0" applyBorder="0" applyProtection="0"/>
    <xf numFmtId="0" fontId="117" fillId="50" borderId="0" applyNumberFormat="0" applyBorder="0" applyProtection="0"/>
    <xf numFmtId="0" fontId="115" fillId="36" borderId="0" applyNumberFormat="0" applyBorder="0" applyProtection="0"/>
    <xf numFmtId="4" fontId="118" fillId="0" borderId="0" applyFont="0" applyFill="0" applyBorder="0" applyAlignment="0" applyProtection="0"/>
    <xf numFmtId="184" fontId="50" fillId="0" borderId="0" applyFont="0" applyFill="0" applyBorder="0" applyAlignment="0" applyProtection="0"/>
    <xf numFmtId="200" fontId="61" fillId="0" borderId="0" applyFont="0" applyFill="0" applyBorder="0" applyProtection="0"/>
    <xf numFmtId="200" fontId="61" fillId="0" borderId="0" applyFont="0" applyFill="0" applyBorder="0" applyProtection="0"/>
    <xf numFmtId="201" fontId="119" fillId="0" borderId="0" applyFont="0" applyFill="0" applyBorder="0" applyAlignment="0" applyProtection="0"/>
    <xf numFmtId="202" fontId="119" fillId="0" borderId="0" applyFont="0" applyFill="0" applyBorder="0" applyAlignment="0" applyProtection="0"/>
    <xf numFmtId="203" fontId="50" fillId="0" borderId="0" applyFont="0" applyFill="0" applyBorder="0" applyAlignment="0" applyProtection="0"/>
    <xf numFmtId="204" fontId="50" fillId="0" borderId="0" applyFont="0" applyFill="0" applyBorder="0" applyAlignment="0" applyProtection="0"/>
    <xf numFmtId="205" fontId="120" fillId="0" borderId="0" applyFont="0" applyFill="0" applyBorder="0" applyAlignment="0" applyProtection="0"/>
    <xf numFmtId="206" fontId="120" fillId="0" borderId="0" applyFont="0" applyFill="0" applyBorder="0" applyAlignment="0" applyProtection="0"/>
    <xf numFmtId="201" fontId="49" fillId="0" borderId="0" applyFont="0" applyFill="0" applyBorder="0" applyAlignment="0" applyProtection="0"/>
    <xf numFmtId="202" fontId="49" fillId="0" borderId="0" applyFont="0" applyFill="0" applyBorder="0" applyAlignment="0" applyProtection="0"/>
    <xf numFmtId="0" fontId="68" fillId="0" borderId="0"/>
    <xf numFmtId="184" fontId="68" fillId="0" borderId="0" applyFont="0" applyFill="0" applyBorder="0" applyAlignment="0" applyProtection="0"/>
    <xf numFmtId="176" fontId="68" fillId="0" borderId="0" applyFont="0" applyFill="0" applyBorder="0" applyAlignment="0" applyProtection="0"/>
    <xf numFmtId="184" fontId="53" fillId="0" borderId="0" applyFont="0" applyFill="0" applyBorder="0" applyAlignment="0" applyProtection="0"/>
    <xf numFmtId="176" fontId="53"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48" fillId="0" borderId="0" applyFont="0" applyFill="0" applyBorder="0" applyProtection="0"/>
    <xf numFmtId="176" fontId="48" fillId="0" borderId="0" applyFont="0" applyFill="0" applyBorder="0" applyProtection="0"/>
    <xf numFmtId="176" fontId="50" fillId="0" borderId="0" applyFont="0" applyFill="0" applyBorder="0" applyAlignment="0" applyProtection="0"/>
    <xf numFmtId="0" fontId="61" fillId="0" borderId="0" applyFont="0" applyFill="0" applyBorder="0" applyProtection="0"/>
    <xf numFmtId="176" fontId="87" fillId="0" borderId="0" applyFont="0" applyAlignment="0" applyProtection="0"/>
    <xf numFmtId="176" fontId="87" fillId="0" borderId="0" applyFont="0" applyAlignment="0" applyProtection="0"/>
    <xf numFmtId="176" fontId="87" fillId="0" borderId="0" applyFont="0" applyAlignment="0" applyProtection="0"/>
    <xf numFmtId="176" fontId="87" fillId="0" borderId="0" applyFont="0" applyAlignment="0" applyProtection="0"/>
    <xf numFmtId="176" fontId="87" fillId="0" borderId="0" applyFont="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87" fillId="0" borderId="0" applyFont="0" applyAlignment="0" applyProtection="0"/>
    <xf numFmtId="176" fontId="87" fillId="0" borderId="0" applyFont="0" applyAlignment="0" applyProtection="0"/>
    <xf numFmtId="176" fontId="87" fillId="0" borderId="0" applyFont="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0" fontId="61" fillId="0" borderId="0" applyFont="0" applyFill="0" applyBorder="0" applyProtection="0"/>
    <xf numFmtId="176" fontId="50"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61"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48" fillId="0" borderId="0" applyFont="0" applyFill="0" applyBorder="0" applyAlignment="0" applyProtection="0"/>
    <xf numFmtId="176" fontId="61" fillId="0" borderId="0" applyFont="0" applyFill="0" applyBorder="0" applyProtection="0"/>
    <xf numFmtId="176" fontId="61" fillId="0" borderId="0" applyFont="0" applyFill="0" applyBorder="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61" fillId="0" borderId="0" applyFont="0" applyFill="0" applyBorder="0" applyProtection="0"/>
    <xf numFmtId="176" fontId="61" fillId="0" borderId="0" applyFont="0" applyFill="0" applyBorder="0" applyProtection="0"/>
    <xf numFmtId="176" fontId="61" fillId="0" borderId="0" applyFont="0" applyFill="0" applyBorder="0" applyProtection="0"/>
    <xf numFmtId="176" fontId="48" fillId="0" borderId="0" applyFont="0" applyFill="0" applyBorder="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53" fillId="0" borderId="0" applyFont="0" applyFill="0" applyBorder="0" applyAlignment="0" applyProtection="0"/>
    <xf numFmtId="176" fontId="48" fillId="0" borderId="0" applyFont="0" applyFill="0" applyBorder="0" applyProtection="0"/>
    <xf numFmtId="176" fontId="48" fillId="0" borderId="0" applyFont="0" applyFill="0" applyBorder="0" applyProtection="0"/>
    <xf numFmtId="176" fontId="48" fillId="0" borderId="0" applyFont="0" applyFill="0" applyBorder="0" applyProtection="0"/>
    <xf numFmtId="176" fontId="66"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81" fillId="0" borderId="0" applyFont="0" applyFill="0" applyBorder="0" applyAlignment="0" applyProtection="0">
      <alignment vertical="center"/>
    </xf>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111" fillId="0" borderId="0" applyFont="0" applyFill="0" applyBorder="0" applyAlignment="0" applyProtection="0">
      <alignment vertical="center"/>
    </xf>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76" fontId="61"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184" fontId="53" fillId="0" borderId="0" applyFont="0" applyFill="0" applyBorder="0" applyAlignment="0" applyProtection="0"/>
    <xf numFmtId="0" fontId="121" fillId="0" borderId="0"/>
    <xf numFmtId="0" fontId="122" fillId="51" borderId="0" applyNumberFormat="0" applyBorder="0" applyAlignment="0" applyProtection="0"/>
    <xf numFmtId="0" fontId="122" fillId="52" borderId="0" applyNumberFormat="0" applyBorder="0" applyAlignment="0" applyProtection="0"/>
    <xf numFmtId="0" fontId="122" fillId="53" borderId="0" applyNumberFormat="0" applyBorder="0" applyAlignment="0" applyProtection="0"/>
    <xf numFmtId="207" fontId="50" fillId="0" borderId="0" applyFont="0" applyFill="0" applyBorder="0" applyAlignment="0" applyProtection="0"/>
    <xf numFmtId="208" fontId="118" fillId="0" borderId="0" applyFont="0" applyFill="0" applyBorder="0" applyAlignment="0" applyProtection="0"/>
    <xf numFmtId="0" fontId="49" fillId="0" borderId="0"/>
    <xf numFmtId="0" fontId="61" fillId="0" borderId="0"/>
    <xf numFmtId="0" fontId="61" fillId="0" borderId="0"/>
    <xf numFmtId="0" fontId="61" fillId="0" borderId="0"/>
    <xf numFmtId="0" fontId="61" fillId="0" borderId="0"/>
    <xf numFmtId="0" fontId="53" fillId="0" borderId="0"/>
    <xf numFmtId="0" fontId="123" fillId="0" borderId="0"/>
    <xf numFmtId="40" fontId="103" fillId="0" borderId="0" applyFont="0" applyFill="0" applyBorder="0" applyAlignment="0" applyProtection="0"/>
    <xf numFmtId="38" fontId="103" fillId="0" borderId="0" applyFont="0" applyFill="0" applyBorder="0" applyAlignment="0" applyProtection="0"/>
    <xf numFmtId="0" fontId="50" fillId="0" borderId="5" applyNumberFormat="0"/>
    <xf numFmtId="0" fontId="50" fillId="0" borderId="5" applyNumberFormat="0"/>
    <xf numFmtId="0" fontId="50" fillId="0" borderId="5" applyNumberFormat="0"/>
    <xf numFmtId="0" fontId="50" fillId="0" borderId="5" applyNumberFormat="0"/>
    <xf numFmtId="0" fontId="50" fillId="0" borderId="5" applyNumberFormat="0"/>
    <xf numFmtId="0" fontId="50" fillId="0" borderId="5" applyNumberFormat="0"/>
    <xf numFmtId="0" fontId="50" fillId="0" borderId="5" applyNumberFormat="0"/>
    <xf numFmtId="0" fontId="50" fillId="0" borderId="5" applyNumberFormat="0"/>
    <xf numFmtId="0" fontId="50" fillId="0" borderId="5" applyNumberFormat="0"/>
    <xf numFmtId="0" fontId="50" fillId="0" borderId="5" applyNumberFormat="0"/>
    <xf numFmtId="0" fontId="50" fillId="0" borderId="5" applyNumberFormat="0"/>
    <xf numFmtId="0" fontId="50" fillId="0" borderId="5" applyNumberFormat="0"/>
    <xf numFmtId="0" fontId="50" fillId="0" borderId="5" applyNumberFormat="0"/>
    <xf numFmtId="0" fontId="50" fillId="0" borderId="5" applyNumberFormat="0"/>
    <xf numFmtId="38" fontId="124" fillId="0" borderId="0" applyFont="0" applyFill="0" applyBorder="0" applyAlignment="0" applyProtection="0"/>
    <xf numFmtId="40" fontId="124" fillId="0" borderId="0" applyFont="0" applyFill="0" applyBorder="0" applyAlignment="0" applyProtection="0"/>
    <xf numFmtId="0" fontId="124" fillId="0" borderId="0" applyFont="0" applyFill="0" applyBorder="0" applyAlignment="0" applyProtection="0"/>
    <xf numFmtId="0" fontId="124" fillId="0" borderId="0" applyFont="0" applyFill="0" applyBorder="0" applyAlignment="0" applyProtection="0"/>
    <xf numFmtId="0" fontId="125" fillId="0" borderId="0"/>
    <xf numFmtId="0" fontId="75" fillId="0" borderId="0" applyNumberFormat="0" applyFill="0" applyBorder="0" applyAlignment="0" applyProtection="0"/>
  </cellStyleXfs>
  <cellXfs count="658">
    <xf numFmtId="0" fontId="0" fillId="0" borderId="0" xfId="0"/>
    <xf numFmtId="49" fontId="0" fillId="0" borderId="0" xfId="0" applyNumberFormat="1"/>
    <xf numFmtId="0" fontId="1" fillId="0" borderId="0" xfId="837" applyFont="1">
      <alignment vertical="center"/>
    </xf>
    <xf numFmtId="0" fontId="2" fillId="2" borderId="0" xfId="712" applyFont="1" applyFill="1" applyAlignment="1">
      <alignment vertical="center" shrinkToFit="1"/>
    </xf>
    <xf numFmtId="0" fontId="3" fillId="2" borderId="0" xfId="712" applyFont="1" applyFill="1">
      <alignment vertical="center"/>
    </xf>
    <xf numFmtId="0" fontId="4" fillId="2" borderId="0" xfId="712" applyFont="1" applyFill="1" applyAlignment="1">
      <alignment vertical="center" shrinkToFit="1"/>
    </xf>
    <xf numFmtId="0" fontId="4" fillId="0" borderId="0" xfId="837" applyFont="1">
      <alignment vertical="center"/>
    </xf>
    <xf numFmtId="0" fontId="5" fillId="0" borderId="0" xfId="0" applyFont="1" applyAlignment="1">
      <alignment vertical="center"/>
    </xf>
    <xf numFmtId="49" fontId="4" fillId="2" borderId="0" xfId="712" applyNumberFormat="1" applyFont="1" applyFill="1" applyAlignment="1">
      <alignment vertical="center" shrinkToFit="1"/>
    </xf>
    <xf numFmtId="0" fontId="6" fillId="0" borderId="1" xfId="0" applyFont="1" applyBorder="1" applyAlignment="1">
      <alignment vertical="center"/>
    </xf>
    <xf numFmtId="0" fontId="7" fillId="0" borderId="2" xfId="0" applyFont="1" applyBorder="1" applyAlignment="1">
      <alignment vertical="center"/>
    </xf>
    <xf numFmtId="0" fontId="7" fillId="0" borderId="3" xfId="0" applyFont="1" applyBorder="1" applyAlignment="1">
      <alignment vertical="center"/>
    </xf>
    <xf numFmtId="0" fontId="7" fillId="0" borderId="0" xfId="0" applyFont="1" applyAlignment="1">
      <alignment vertical="center"/>
    </xf>
    <xf numFmtId="49" fontId="4" fillId="2" borderId="0" xfId="712" applyNumberFormat="1" applyFont="1" applyFill="1" applyAlignment="1">
      <alignment horizontal="left" vertical="center" shrinkToFit="1"/>
    </xf>
    <xf numFmtId="0" fontId="8" fillId="3" borderId="4" xfId="0" applyFont="1" applyFill="1" applyBorder="1" applyAlignment="1">
      <alignment vertical="center"/>
    </xf>
    <xf numFmtId="0" fontId="9" fillId="3" borderId="6" xfId="0" applyFont="1" applyFill="1" applyBorder="1" applyAlignment="1" applyProtection="1">
      <alignment horizontal="left" vertical="center" wrapText="1"/>
      <protection locked="0"/>
    </xf>
    <xf numFmtId="0" fontId="9" fillId="4" borderId="5" xfId="0" applyFont="1" applyFill="1" applyBorder="1" applyAlignment="1" applyProtection="1">
      <alignment horizontal="left" vertical="center" wrapText="1"/>
      <protection locked="0"/>
    </xf>
    <xf numFmtId="0" fontId="7" fillId="0" borderId="4" xfId="837" applyFont="1" applyBorder="1" applyAlignment="1">
      <alignment horizontal="left" vertical="top"/>
    </xf>
    <xf numFmtId="0" fontId="10" fillId="0" borderId="7" xfId="0" applyFont="1" applyBorder="1" applyAlignment="1" applyProtection="1">
      <alignment vertical="center" wrapText="1"/>
      <protection locked="0"/>
    </xf>
    <xf numFmtId="176" fontId="11" fillId="0" borderId="5" xfId="281" applyFont="1" applyFill="1" applyBorder="1" applyAlignment="1">
      <alignment horizontal="left" vertical="center" shrinkToFit="1"/>
    </xf>
    <xf numFmtId="0" fontId="4" fillId="2" borderId="0" xfId="712" applyFont="1" applyFill="1" applyAlignment="1">
      <alignment horizontal="left" vertical="center" shrinkToFit="1"/>
    </xf>
    <xf numFmtId="176" fontId="12" fillId="0" borderId="5" xfId="1" applyFont="1" applyFill="1" applyBorder="1" applyAlignment="1">
      <alignment horizontal="left" vertical="center" wrapText="1"/>
    </xf>
    <xf numFmtId="0" fontId="10" fillId="0" borderId="6" xfId="0" applyFont="1" applyBorder="1" applyAlignment="1">
      <alignment vertical="center" wrapText="1"/>
    </xf>
    <xf numFmtId="0" fontId="7" fillId="0" borderId="8" xfId="0" applyFont="1" applyBorder="1" applyAlignment="1">
      <alignment vertical="center"/>
    </xf>
    <xf numFmtId="0" fontId="7" fillId="0" borderId="9" xfId="0" applyFont="1" applyBorder="1" applyAlignment="1">
      <alignment vertical="center"/>
    </xf>
    <xf numFmtId="0" fontId="13" fillId="0" borderId="0" xfId="0" applyFont="1" applyAlignment="1" applyProtection="1">
      <alignment vertical="center" wrapText="1"/>
      <protection locked="0"/>
    </xf>
    <xf numFmtId="0" fontId="14" fillId="2" borderId="0" xfId="712" applyFont="1" applyFill="1">
      <alignment vertical="center"/>
    </xf>
    <xf numFmtId="0" fontId="1" fillId="5" borderId="10"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1" fillId="5" borderId="13" xfId="0" applyFont="1" applyFill="1" applyBorder="1" applyAlignment="1">
      <alignment horizontal="center" vertical="center" wrapText="1"/>
    </xf>
    <xf numFmtId="0" fontId="1" fillId="0" borderId="14" xfId="0" applyFont="1" applyBorder="1" applyAlignment="1">
      <alignment vertical="center"/>
    </xf>
    <xf numFmtId="0" fontId="1" fillId="0" borderId="15" xfId="0" applyFont="1" applyBorder="1" applyAlignment="1">
      <alignment vertical="center" wrapText="1"/>
    </xf>
    <xf numFmtId="14" fontId="1" fillId="0" borderId="16" xfId="0" applyNumberFormat="1" applyFont="1" applyBorder="1" applyAlignment="1">
      <alignment vertical="center"/>
    </xf>
    <xf numFmtId="14" fontId="1" fillId="0" borderId="17" xfId="0" applyNumberFormat="1" applyFont="1" applyBorder="1" applyAlignment="1">
      <alignment vertical="center"/>
    </xf>
    <xf numFmtId="0" fontId="15" fillId="0" borderId="0" xfId="0" applyFont="1" applyAlignment="1">
      <alignment vertical="center"/>
    </xf>
    <xf numFmtId="0" fontId="2" fillId="0" borderId="0" xfId="0" applyFont="1" applyAlignment="1">
      <alignment vertical="center" wrapText="1"/>
    </xf>
    <xf numFmtId="0" fontId="16" fillId="6" borderId="0" xfId="0" applyFont="1" applyFill="1" applyAlignment="1">
      <alignment vertical="center"/>
    </xf>
    <xf numFmtId="0" fontId="17" fillId="6" borderId="0" xfId="0" applyFont="1" applyFill="1" applyAlignment="1">
      <alignment vertical="center"/>
    </xf>
    <xf numFmtId="0" fontId="1" fillId="5" borderId="22" xfId="0" applyFont="1" applyFill="1" applyBorder="1" applyAlignment="1">
      <alignment horizontal="center" vertical="center" wrapText="1"/>
    </xf>
    <xf numFmtId="14" fontId="18" fillId="0" borderId="3" xfId="0" applyNumberFormat="1" applyFont="1" applyBorder="1" applyAlignment="1" applyProtection="1">
      <alignment vertical="center"/>
      <protection locked="0"/>
    </xf>
    <xf numFmtId="0" fontId="19" fillId="0" borderId="0" xfId="0" applyFont="1" applyAlignment="1">
      <alignment horizontal="center" vertical="center" wrapText="1"/>
    </xf>
    <xf numFmtId="184" fontId="1" fillId="0" borderId="4" xfId="0" applyNumberFormat="1" applyFont="1" applyBorder="1" applyAlignment="1" applyProtection="1">
      <alignment vertical="center"/>
      <protection locked="0"/>
    </xf>
    <xf numFmtId="184" fontId="1" fillId="0" borderId="5" xfId="0" applyNumberFormat="1" applyFont="1" applyBorder="1" applyAlignment="1" applyProtection="1">
      <alignment vertical="center"/>
      <protection locked="0"/>
    </xf>
    <xf numFmtId="14" fontId="20" fillId="0" borderId="0" xfId="0" applyNumberFormat="1" applyFont="1" applyAlignment="1" applyProtection="1">
      <alignment vertical="center"/>
      <protection locked="0"/>
    </xf>
    <xf numFmtId="184" fontId="1" fillId="0" borderId="14" xfId="0" applyNumberFormat="1" applyFont="1" applyBorder="1" applyAlignment="1" applyProtection="1">
      <alignment vertical="center"/>
      <protection locked="0"/>
    </xf>
    <xf numFmtId="184" fontId="1" fillId="0" borderId="16" xfId="0" applyNumberFormat="1" applyFont="1" applyBorder="1" applyAlignment="1" applyProtection="1">
      <alignment vertical="center"/>
      <protection locked="0"/>
    </xf>
    <xf numFmtId="0" fontId="2" fillId="2" borderId="0" xfId="712" applyFont="1" applyFill="1" applyAlignment="1">
      <alignment horizontal="right" vertical="center"/>
    </xf>
    <xf numFmtId="0" fontId="2" fillId="0" borderId="0" xfId="2327" applyFont="1" applyAlignment="1" applyProtection="1">
      <alignment horizontal="left" vertical="center"/>
      <protection locked="0"/>
    </xf>
    <xf numFmtId="0" fontId="1" fillId="0" borderId="0" xfId="2327" applyFont="1" applyAlignment="1" applyProtection="1">
      <alignment horizontal="center" vertical="center"/>
      <protection locked="0"/>
    </xf>
    <xf numFmtId="0" fontId="21" fillId="7" borderId="0" xfId="2690" applyFont="1" applyFill="1" applyAlignment="1" applyProtection="1">
      <alignment vertical="center"/>
    </xf>
    <xf numFmtId="0" fontId="7" fillId="0" borderId="18" xfId="0" applyFont="1" applyBorder="1" applyAlignment="1">
      <alignment vertical="center"/>
    </xf>
    <xf numFmtId="0" fontId="1" fillId="0" borderId="0" xfId="0" applyFont="1" applyAlignment="1">
      <alignment vertical="center"/>
    </xf>
    <xf numFmtId="0" fontId="7" fillId="0" borderId="23" xfId="2327" applyFont="1" applyBorder="1" applyAlignment="1" applyProtection="1">
      <alignment horizontal="center" vertical="center"/>
      <protection locked="0"/>
    </xf>
    <xf numFmtId="0" fontId="7" fillId="0" borderId="24" xfId="0" applyFont="1" applyBorder="1" applyAlignment="1">
      <alignment vertical="center"/>
    </xf>
    <xf numFmtId="0" fontId="8" fillId="3" borderId="25" xfId="0" applyFont="1" applyFill="1" applyBorder="1" applyAlignment="1" applyProtection="1">
      <alignment vertical="center"/>
      <protection locked="0"/>
    </xf>
    <xf numFmtId="176" fontId="11" fillId="0" borderId="5" xfId="281" applyFont="1" applyFill="1" applyBorder="1" applyAlignment="1">
      <alignment horizontal="right" vertical="center" shrinkToFit="1"/>
    </xf>
    <xf numFmtId="0" fontId="7" fillId="0" borderId="29" xfId="0" applyFont="1" applyBorder="1" applyAlignment="1">
      <alignment vertical="center"/>
    </xf>
    <xf numFmtId="0" fontId="19" fillId="0" borderId="23" xfId="0" applyFont="1" applyBorder="1" applyAlignment="1">
      <alignment horizontal="center" vertical="center" wrapText="1"/>
    </xf>
    <xf numFmtId="1" fontId="1" fillId="0" borderId="5" xfId="0" applyNumberFormat="1" applyFont="1" applyBorder="1" applyAlignment="1" applyProtection="1">
      <alignment horizontal="right"/>
      <protection locked="0"/>
    </xf>
    <xf numFmtId="184" fontId="1" fillId="0" borderId="25" xfId="0" applyNumberFormat="1" applyFont="1" applyBorder="1" applyAlignment="1" applyProtection="1">
      <alignment vertical="center"/>
      <protection locked="0"/>
    </xf>
    <xf numFmtId="14" fontId="20" fillId="0" borderId="23" xfId="0" applyNumberFormat="1" applyFont="1" applyBorder="1" applyAlignment="1" applyProtection="1">
      <alignment vertical="center"/>
      <protection locked="0"/>
    </xf>
    <xf numFmtId="1" fontId="1" fillId="0" borderId="16" xfId="0" applyNumberFormat="1" applyFont="1" applyBorder="1" applyAlignment="1" applyProtection="1">
      <alignment horizontal="right"/>
      <protection locked="0"/>
    </xf>
    <xf numFmtId="184" fontId="1" fillId="0" borderId="17" xfId="0" applyNumberFormat="1" applyFont="1" applyBorder="1" applyAlignment="1" applyProtection="1">
      <alignment vertical="center"/>
      <protection locked="0"/>
    </xf>
    <xf numFmtId="0" fontId="3" fillId="2" borderId="0" xfId="712" applyFont="1" applyFill="1" applyAlignment="1">
      <alignment vertical="center" wrapText="1"/>
    </xf>
    <xf numFmtId="0" fontId="23" fillId="0" borderId="0" xfId="0" applyFont="1" applyAlignment="1">
      <alignment vertical="center"/>
    </xf>
    <xf numFmtId="0" fontId="3" fillId="2" borderId="0" xfId="734" applyFont="1" applyFill="1" applyAlignment="1">
      <alignment vertical="center"/>
    </xf>
    <xf numFmtId="0" fontId="3" fillId="0" borderId="0" xfId="734" applyFont="1" applyAlignment="1" applyProtection="1">
      <alignment vertical="center"/>
      <protection locked="0"/>
    </xf>
    <xf numFmtId="0" fontId="3" fillId="2" borderId="0" xfId="734" applyFont="1" applyFill="1" applyAlignment="1">
      <alignment horizontal="left" vertical="center" wrapText="1"/>
    </xf>
    <xf numFmtId="0" fontId="3" fillId="2" borderId="0" xfId="734" applyFont="1" applyFill="1" applyAlignment="1">
      <alignment vertical="center" wrapText="1"/>
    </xf>
    <xf numFmtId="0" fontId="2" fillId="0" borderId="0" xfId="734" applyFont="1" applyAlignment="1">
      <alignment vertical="center"/>
    </xf>
    <xf numFmtId="0" fontId="3" fillId="0" borderId="0" xfId="734" applyFont="1" applyAlignment="1">
      <alignment vertical="center"/>
    </xf>
    <xf numFmtId="0" fontId="4" fillId="0" borderId="0" xfId="734" applyFont="1" applyAlignment="1">
      <alignment vertical="center"/>
    </xf>
    <xf numFmtId="0" fontId="24" fillId="8" borderId="0" xfId="734" applyFont="1" applyFill="1" applyAlignment="1" applyProtection="1">
      <alignment vertical="center"/>
      <protection locked="0"/>
    </xf>
    <xf numFmtId="0" fontId="4" fillId="2" borderId="0" xfId="734" applyFont="1" applyFill="1" applyAlignment="1">
      <alignment vertical="center"/>
    </xf>
    <xf numFmtId="0" fontId="25" fillId="0" borderId="1" xfId="734" applyFont="1" applyBorder="1" applyAlignment="1">
      <alignment horizontal="left" vertical="center" wrapText="1"/>
    </xf>
    <xf numFmtId="0" fontId="11" fillId="0" borderId="2" xfId="734" applyFont="1" applyBorder="1" applyAlignment="1">
      <alignment horizontal="left" vertical="center" wrapText="1"/>
    </xf>
    <xf numFmtId="0" fontId="22" fillId="0" borderId="3" xfId="734" applyFont="1" applyBorder="1" applyAlignment="1">
      <alignment vertical="center"/>
    </xf>
    <xf numFmtId="0" fontId="11" fillId="0" borderId="0" xfId="734" applyFont="1" applyAlignment="1">
      <alignment vertical="center"/>
    </xf>
    <xf numFmtId="0" fontId="11" fillId="0" borderId="3" xfId="734" applyFont="1" applyBorder="1" applyAlignment="1">
      <alignment horizontal="left" vertical="center" wrapText="1"/>
    </xf>
    <xf numFmtId="0" fontId="11" fillId="0" borderId="0" xfId="734" applyFont="1" applyAlignment="1">
      <alignment horizontal="left" vertical="center" wrapText="1"/>
    </xf>
    <xf numFmtId="0" fontId="26" fillId="3" borderId="30" xfId="734" applyFont="1" applyFill="1" applyBorder="1" applyAlignment="1">
      <alignment vertical="center"/>
    </xf>
    <xf numFmtId="0" fontId="26" fillId="3" borderId="6" xfId="734" applyFont="1" applyFill="1" applyBorder="1" applyAlignment="1" applyProtection="1">
      <alignment vertical="center"/>
      <protection locked="0"/>
    </xf>
    <xf numFmtId="0" fontId="11" fillId="0" borderId="30" xfId="734" applyFont="1" applyBorder="1" applyAlignment="1">
      <alignment horizontal="left" vertical="center"/>
    </xf>
    <xf numFmtId="0" fontId="12" fillId="0" borderId="6" xfId="734" applyFont="1" applyBorder="1" applyAlignment="1">
      <alignment vertical="center"/>
    </xf>
    <xf numFmtId="0" fontId="12" fillId="0" borderId="6" xfId="734" applyFont="1" applyBorder="1" applyAlignment="1">
      <alignment vertical="center" wrapText="1"/>
    </xf>
    <xf numFmtId="0" fontId="11" fillId="0" borderId="5" xfId="734" applyFont="1" applyBorder="1" applyAlignment="1">
      <alignment vertical="center"/>
    </xf>
    <xf numFmtId="0" fontId="4" fillId="0" borderId="0" xfId="734" applyFont="1" applyAlignment="1" applyProtection="1">
      <alignment vertical="center"/>
      <protection locked="0"/>
    </xf>
    <xf numFmtId="0" fontId="6" fillId="0" borderId="19" xfId="734" applyFont="1" applyBorder="1" applyAlignment="1" applyProtection="1">
      <alignment horizontal="left" vertical="center"/>
      <protection locked="0"/>
    </xf>
    <xf numFmtId="0" fontId="3" fillId="2" borderId="20" xfId="734" applyFont="1" applyFill="1" applyBorder="1" applyAlignment="1">
      <alignment vertical="center"/>
    </xf>
    <xf numFmtId="0" fontId="11" fillId="0" borderId="20" xfId="712" applyFont="1" applyBorder="1" applyAlignment="1">
      <alignment horizontal="left" vertical="center" wrapText="1"/>
    </xf>
    <xf numFmtId="0" fontId="2" fillId="2" borderId="0" xfId="734" applyFont="1" applyFill="1" applyAlignment="1">
      <alignment vertical="center"/>
    </xf>
    <xf numFmtId="0" fontId="28" fillId="0" borderId="0" xfId="734" applyFont="1" applyAlignment="1">
      <alignment vertical="center"/>
    </xf>
    <xf numFmtId="0" fontId="2" fillId="2" borderId="0" xfId="734" applyFont="1" applyFill="1" applyAlignment="1">
      <alignment horizontal="center" vertical="center"/>
    </xf>
    <xf numFmtId="0" fontId="4" fillId="2" borderId="0" xfId="734" applyFont="1" applyFill="1" applyAlignment="1">
      <alignment horizontal="left" vertical="center" wrapText="1"/>
    </xf>
    <xf numFmtId="176" fontId="28" fillId="9" borderId="33" xfId="236" applyFont="1" applyFill="1" applyBorder="1" applyAlignment="1" applyProtection="1">
      <alignment horizontal="center" vertical="center" wrapText="1"/>
      <protection locked="0"/>
    </xf>
    <xf numFmtId="0" fontId="19" fillId="9" borderId="12" xfId="734" applyFont="1" applyFill="1" applyBorder="1" applyAlignment="1" applyProtection="1">
      <alignment horizontal="center" vertical="center" wrapText="1"/>
      <protection locked="0"/>
    </xf>
    <xf numFmtId="0" fontId="19" fillId="9" borderId="12" xfId="734" applyFont="1" applyFill="1" applyBorder="1" applyAlignment="1">
      <alignment horizontal="center" vertical="center" wrapText="1"/>
    </xf>
    <xf numFmtId="49" fontId="3" fillId="2" borderId="4" xfId="734" applyNumberFormat="1" applyFont="1" applyFill="1" applyBorder="1" applyAlignment="1">
      <alignment horizontal="left" vertical="center"/>
    </xf>
    <xf numFmtId="49" fontId="3" fillId="2" borderId="5" xfId="734" applyNumberFormat="1" applyFont="1" applyFill="1" applyBorder="1" applyAlignment="1">
      <alignment horizontal="left" vertical="center"/>
    </xf>
    <xf numFmtId="176" fontId="3" fillId="2" borderId="5" xfId="236" applyFont="1" applyFill="1" applyBorder="1" applyAlignment="1">
      <alignment horizontal="right" vertical="center"/>
    </xf>
    <xf numFmtId="49" fontId="3" fillId="0" borderId="14" xfId="734" applyNumberFormat="1" applyFont="1" applyBorder="1" applyAlignment="1">
      <alignment horizontal="left" vertical="center"/>
    </xf>
    <xf numFmtId="49" fontId="3" fillId="0" borderId="16" xfId="734" applyNumberFormat="1" applyFont="1" applyBorder="1" applyAlignment="1">
      <alignment horizontal="left" vertical="center"/>
    </xf>
    <xf numFmtId="176" fontId="3" fillId="0" borderId="16" xfId="236" applyFont="1" applyFill="1" applyBorder="1" applyAlignment="1">
      <alignment horizontal="right" vertical="center"/>
    </xf>
    <xf numFmtId="176" fontId="3" fillId="0" borderId="0" xfId="236" applyFont="1" applyFill="1" applyBorder="1" applyAlignment="1">
      <alignment vertical="center"/>
    </xf>
    <xf numFmtId="0" fontId="14" fillId="2" borderId="0" xfId="734" applyFont="1" applyFill="1" applyAlignment="1">
      <alignment horizontal="right" vertical="center"/>
    </xf>
    <xf numFmtId="184" fontId="3" fillId="2" borderId="0" xfId="76" applyFont="1" applyFill="1" applyBorder="1" applyAlignment="1">
      <alignment horizontal="right" vertical="center"/>
    </xf>
    <xf numFmtId="176" fontId="3" fillId="2" borderId="34" xfId="236" applyFont="1" applyFill="1" applyBorder="1" applyAlignment="1">
      <alignment vertical="center"/>
    </xf>
    <xf numFmtId="0" fontId="2" fillId="2" borderId="0" xfId="734" applyFont="1" applyFill="1" applyAlignment="1">
      <alignment horizontal="right" vertical="center"/>
    </xf>
    <xf numFmtId="0" fontId="3" fillId="2" borderId="0" xfId="734" applyFont="1" applyFill="1" applyAlignment="1">
      <alignment horizontal="right" vertical="center"/>
    </xf>
    <xf numFmtId="176" fontId="3" fillId="2" borderId="0" xfId="76" applyNumberFormat="1" applyFont="1" applyFill="1" applyBorder="1" applyAlignment="1">
      <alignment horizontal="right" vertical="center" shrinkToFit="1"/>
    </xf>
    <xf numFmtId="176" fontId="3" fillId="0" borderId="0" xfId="236" applyFont="1" applyFill="1" applyBorder="1" applyAlignment="1" applyProtection="1">
      <alignment horizontal="right" vertical="center" shrinkToFit="1"/>
      <protection locked="0"/>
    </xf>
    <xf numFmtId="184" fontId="3" fillId="2" borderId="0" xfId="76" applyFont="1" applyFill="1" applyBorder="1" applyAlignment="1">
      <alignment vertical="center"/>
    </xf>
    <xf numFmtId="0" fontId="4" fillId="2" borderId="0" xfId="734" applyFont="1" applyFill="1" applyAlignment="1">
      <alignment vertical="center" wrapText="1"/>
    </xf>
    <xf numFmtId="176" fontId="28" fillId="9" borderId="35" xfId="236" applyFont="1" applyFill="1" applyBorder="1" applyAlignment="1" applyProtection="1">
      <alignment horizontal="center" vertical="center" wrapText="1"/>
      <protection locked="0"/>
    </xf>
    <xf numFmtId="0" fontId="19" fillId="9" borderId="36" xfId="734" applyFont="1" applyFill="1" applyBorder="1" applyAlignment="1" applyProtection="1">
      <alignment horizontal="center" vertical="center" wrapText="1"/>
      <protection locked="0"/>
    </xf>
    <xf numFmtId="0" fontId="19" fillId="9" borderId="36" xfId="734" applyFont="1" applyFill="1" applyBorder="1" applyAlignment="1">
      <alignment horizontal="center" vertical="center" wrapText="1"/>
    </xf>
    <xf numFmtId="49" fontId="3" fillId="2" borderId="37" xfId="734" applyNumberFormat="1" applyFont="1" applyFill="1" applyBorder="1" applyAlignment="1">
      <alignment horizontal="left" vertical="center"/>
    </xf>
    <xf numFmtId="49" fontId="3" fillId="0" borderId="38" xfId="734" applyNumberFormat="1" applyFont="1" applyBorder="1" applyAlignment="1">
      <alignment horizontal="left" vertical="center"/>
    </xf>
    <xf numFmtId="49" fontId="3" fillId="0" borderId="39" xfId="734" applyNumberFormat="1" applyFont="1" applyBorder="1" applyAlignment="1">
      <alignment horizontal="left" vertical="center"/>
    </xf>
    <xf numFmtId="176" fontId="3" fillId="0" borderId="39" xfId="236" applyFont="1" applyFill="1" applyBorder="1" applyAlignment="1">
      <alignment horizontal="right" vertical="center"/>
    </xf>
    <xf numFmtId="0" fontId="21" fillId="9" borderId="0" xfId="636" applyFont="1" applyFill="1" applyBorder="1" applyAlignment="1" applyProtection="1">
      <alignment vertical="center"/>
      <protection locked="0"/>
    </xf>
    <xf numFmtId="0" fontId="11" fillId="0" borderId="18" xfId="734" applyFont="1" applyBorder="1" applyAlignment="1">
      <alignment vertical="center"/>
    </xf>
    <xf numFmtId="0" fontId="11" fillId="0" borderId="23" xfId="734" applyFont="1" applyBorder="1" applyAlignment="1">
      <alignment vertical="center"/>
    </xf>
    <xf numFmtId="0" fontId="26" fillId="3" borderId="25" xfId="734" applyFont="1" applyFill="1" applyBorder="1" applyAlignment="1" applyProtection="1">
      <alignment vertical="center"/>
      <protection locked="0"/>
    </xf>
    <xf numFmtId="0" fontId="11" fillId="0" borderId="25" xfId="734" applyFont="1" applyBorder="1" applyAlignment="1">
      <alignment horizontal="left" vertical="center" wrapText="1"/>
    </xf>
    <xf numFmtId="0" fontId="11" fillId="0" borderId="0" xfId="734" applyFont="1" applyAlignment="1">
      <alignment vertical="center" wrapText="1"/>
    </xf>
    <xf numFmtId="0" fontId="11" fillId="0" borderId="21" xfId="712" applyFont="1" applyBorder="1" applyAlignment="1">
      <alignment horizontal="left" vertical="center" wrapText="1"/>
    </xf>
    <xf numFmtId="0" fontId="11" fillId="0" borderId="0" xfId="712" applyFont="1" applyAlignment="1">
      <alignment horizontal="left" vertical="center" wrapText="1"/>
    </xf>
    <xf numFmtId="0" fontId="2" fillId="0" borderId="0" xfId="734" applyFont="1" applyAlignment="1">
      <alignment horizontal="center" vertical="center"/>
    </xf>
    <xf numFmtId="0" fontId="19" fillId="10" borderId="12" xfId="734" applyFont="1" applyFill="1" applyBorder="1" applyAlignment="1">
      <alignment horizontal="center" vertical="center" wrapText="1"/>
    </xf>
    <xf numFmtId="0" fontId="19" fillId="9" borderId="13" xfId="734" applyFont="1" applyFill="1" applyBorder="1" applyAlignment="1">
      <alignment horizontal="center" vertical="center" wrapText="1"/>
    </xf>
    <xf numFmtId="0" fontId="3" fillId="2" borderId="1" xfId="734" applyFont="1" applyFill="1" applyBorder="1" applyAlignment="1">
      <alignment horizontal="center" vertical="center" wrapText="1"/>
    </xf>
    <xf numFmtId="176" fontId="1" fillId="2" borderId="5" xfId="236" applyFont="1" applyFill="1" applyBorder="1" applyAlignment="1">
      <alignment horizontal="right" vertical="center"/>
    </xf>
    <xf numFmtId="10" fontId="1" fillId="2" borderId="5" xfId="2" applyNumberFormat="1" applyFont="1" applyFill="1" applyBorder="1"/>
    <xf numFmtId="10" fontId="3" fillId="2" borderId="5" xfId="2" applyNumberFormat="1" applyFont="1" applyFill="1" applyBorder="1"/>
    <xf numFmtId="0" fontId="3" fillId="0" borderId="5" xfId="734" applyFont="1" applyBorder="1" applyAlignment="1">
      <alignment horizontal="right" vertical="center"/>
    </xf>
    <xf numFmtId="176" fontId="3" fillId="2" borderId="25" xfId="236" applyFont="1" applyFill="1" applyBorder="1" applyAlignment="1">
      <alignment horizontal="right" vertical="center"/>
    </xf>
    <xf numFmtId="176" fontId="3" fillId="2" borderId="3" xfId="1" applyFont="1" applyFill="1" applyBorder="1"/>
    <xf numFmtId="10" fontId="1" fillId="11" borderId="5" xfId="2" applyNumberFormat="1" applyFont="1" applyFill="1" applyBorder="1"/>
    <xf numFmtId="10" fontId="3" fillId="2" borderId="5" xfId="734" applyNumberFormat="1" applyFont="1" applyFill="1" applyBorder="1" applyAlignment="1">
      <alignment horizontal="right" vertical="center"/>
    </xf>
    <xf numFmtId="176" fontId="1" fillId="2" borderId="16" xfId="236" applyFont="1" applyFill="1" applyBorder="1" applyAlignment="1">
      <alignment horizontal="right" vertical="center"/>
    </xf>
    <xf numFmtId="10" fontId="3" fillId="0" borderId="16" xfId="734" applyNumberFormat="1" applyFont="1" applyBorder="1" applyAlignment="1">
      <alignment horizontal="right" vertical="center"/>
    </xf>
    <xf numFmtId="0" fontId="3" fillId="0" borderId="16" xfId="734" applyFont="1" applyBorder="1" applyAlignment="1">
      <alignment horizontal="right" vertical="center"/>
    </xf>
    <xf numFmtId="176" fontId="3" fillId="2" borderId="17" xfId="236" applyFont="1" applyFill="1" applyBorder="1" applyAlignment="1">
      <alignment horizontal="right" vertical="center"/>
    </xf>
    <xf numFmtId="0" fontId="3" fillId="2" borderId="19" xfId="734" applyFont="1" applyFill="1" applyBorder="1" applyAlignment="1">
      <alignment vertical="center"/>
    </xf>
    <xf numFmtId="176" fontId="19" fillId="0" borderId="0" xfId="236" applyFont="1" applyFill="1" applyBorder="1" applyAlignment="1">
      <alignment horizontal="center" vertical="center"/>
    </xf>
    <xf numFmtId="176" fontId="3" fillId="2" borderId="0" xfId="236" applyFont="1" applyFill="1" applyBorder="1" applyAlignment="1">
      <alignment vertical="center"/>
    </xf>
    <xf numFmtId="0" fontId="29" fillId="2" borderId="0" xfId="734" applyFont="1" applyFill="1" applyAlignment="1">
      <alignment horizontal="right" vertical="center" wrapText="1"/>
    </xf>
    <xf numFmtId="0" fontId="2" fillId="0" borderId="0" xfId="838" applyFont="1" applyAlignment="1">
      <alignment horizontal="center" vertical="center"/>
    </xf>
    <xf numFmtId="0" fontId="2" fillId="0" borderId="0" xfId="734" applyFont="1" applyAlignment="1">
      <alignment horizontal="right" vertical="center"/>
    </xf>
    <xf numFmtId="0" fontId="30" fillId="2" borderId="0" xfId="734" applyFont="1" applyFill="1" applyAlignment="1">
      <alignment horizontal="left"/>
    </xf>
    <xf numFmtId="184" fontId="3" fillId="2" borderId="0" xfId="734" applyNumberFormat="1" applyFont="1" applyFill="1" applyAlignment="1">
      <alignment vertical="center"/>
    </xf>
    <xf numFmtId="14" fontId="3" fillId="2" borderId="0" xfId="734" applyNumberFormat="1" applyFont="1" applyFill="1" applyAlignment="1">
      <alignment horizontal="center" vertical="center"/>
    </xf>
    <xf numFmtId="0" fontId="19" fillId="10" borderId="36" xfId="734" applyFont="1" applyFill="1" applyBorder="1" applyAlignment="1">
      <alignment horizontal="center" vertical="center" wrapText="1"/>
    </xf>
    <xf numFmtId="0" fontId="19" fillId="9" borderId="40" xfId="734" applyFont="1" applyFill="1" applyBorder="1" applyAlignment="1">
      <alignment horizontal="center" vertical="center" wrapText="1"/>
    </xf>
    <xf numFmtId="10" fontId="3" fillId="2" borderId="5" xfId="850" applyNumberFormat="1" applyFont="1" applyFill="1" applyBorder="1" applyAlignment="1">
      <alignment horizontal="right" vertical="center"/>
    </xf>
    <xf numFmtId="14" fontId="3" fillId="2" borderId="5" xfId="734" applyNumberFormat="1" applyFont="1" applyFill="1" applyBorder="1" applyAlignment="1">
      <alignment vertical="center"/>
    </xf>
    <xf numFmtId="0" fontId="3" fillId="2" borderId="5" xfId="734" applyFont="1" applyFill="1" applyBorder="1" applyAlignment="1">
      <alignment horizontal="left" vertical="center"/>
    </xf>
    <xf numFmtId="176" fontId="3" fillId="0" borderId="41" xfId="236" applyFont="1" applyFill="1" applyBorder="1" applyAlignment="1">
      <alignment horizontal="right" vertical="center"/>
    </xf>
    <xf numFmtId="10" fontId="3" fillId="0" borderId="39" xfId="850" applyNumberFormat="1" applyFont="1" applyFill="1" applyBorder="1" applyAlignment="1">
      <alignment horizontal="right" vertical="center"/>
    </xf>
    <xf numFmtId="14" fontId="3" fillId="0" borderId="39" xfId="734" applyNumberFormat="1" applyFont="1" applyBorder="1" applyAlignment="1">
      <alignment vertical="center"/>
    </xf>
    <xf numFmtId="0" fontId="3" fillId="2" borderId="39" xfId="734" applyFont="1" applyFill="1" applyBorder="1" applyAlignment="1">
      <alignment horizontal="left" vertical="center"/>
    </xf>
    <xf numFmtId="176" fontId="3" fillId="0" borderId="42" xfId="236" applyFont="1" applyFill="1" applyBorder="1" applyAlignment="1">
      <alignment horizontal="right" vertical="center"/>
    </xf>
    <xf numFmtId="0" fontId="3" fillId="2" borderId="2" xfId="734" applyFont="1" applyFill="1" applyBorder="1" applyAlignment="1">
      <alignment horizontal="center" vertical="center" wrapText="1"/>
    </xf>
    <xf numFmtId="0" fontId="3" fillId="2" borderId="2" xfId="734" applyFont="1" applyFill="1" applyBorder="1" applyAlignment="1">
      <alignment horizontal="left" vertical="center" wrapText="1"/>
    </xf>
    <xf numFmtId="176" fontId="3" fillId="2" borderId="0" xfId="1" applyFont="1" applyFill="1" applyBorder="1"/>
    <xf numFmtId="0" fontId="3" fillId="2" borderId="18" xfId="734" applyFont="1" applyFill="1" applyBorder="1" applyAlignment="1">
      <alignment horizontal="left" vertical="center" wrapText="1"/>
    </xf>
    <xf numFmtId="176" fontId="3" fillId="2" borderId="23" xfId="1" applyFont="1" applyFill="1" applyBorder="1"/>
    <xf numFmtId="0" fontId="3" fillId="2" borderId="23" xfId="734" applyFont="1" applyFill="1" applyBorder="1" applyAlignment="1">
      <alignment vertical="center"/>
    </xf>
    <xf numFmtId="0" fontId="3" fillId="2" borderId="21" xfId="734" applyFont="1" applyFill="1" applyBorder="1" applyAlignment="1">
      <alignment vertical="center"/>
    </xf>
    <xf numFmtId="0" fontId="3" fillId="2" borderId="0" xfId="734" applyFont="1" applyFill="1" applyAlignment="1">
      <alignment horizontal="center" vertical="center"/>
    </xf>
    <xf numFmtId="0" fontId="14" fillId="0" borderId="0" xfId="734" applyFont="1" applyAlignment="1">
      <alignment horizontal="right" vertical="center"/>
    </xf>
    <xf numFmtId="176" fontId="3" fillId="0" borderId="34" xfId="236" applyFont="1" applyFill="1" applyBorder="1" applyAlignment="1">
      <alignment vertical="center"/>
    </xf>
    <xf numFmtId="0" fontId="3" fillId="0" borderId="0" xfId="734" applyFont="1" applyAlignment="1">
      <alignment horizontal="right" vertical="center"/>
    </xf>
    <xf numFmtId="176" fontId="3" fillId="0" borderId="0" xfId="76" applyNumberFormat="1" applyFont="1" applyFill="1" applyBorder="1" applyAlignment="1">
      <alignment horizontal="right" vertical="center" shrinkToFit="1"/>
    </xf>
    <xf numFmtId="0" fontId="1" fillId="0" borderId="2" xfId="0" applyFont="1" applyBorder="1"/>
    <xf numFmtId="0" fontId="1" fillId="0" borderId="3" xfId="0" applyFont="1" applyBorder="1"/>
    <xf numFmtId="0" fontId="1" fillId="0" borderId="0" xfId="0" applyFont="1"/>
    <xf numFmtId="0" fontId="1" fillId="0" borderId="23" xfId="0" applyFont="1" applyBorder="1"/>
    <xf numFmtId="0" fontId="3" fillId="0" borderId="3" xfId="734" applyFont="1" applyBorder="1" applyAlignment="1">
      <alignment vertical="center"/>
    </xf>
    <xf numFmtId="0" fontId="3" fillId="0" borderId="23" xfId="734" applyFont="1" applyBorder="1" applyAlignment="1">
      <alignment vertical="center"/>
    </xf>
    <xf numFmtId="176" fontId="3" fillId="2" borderId="34" xfId="236" applyFont="1" applyFill="1" applyBorder="1" applyAlignment="1">
      <alignment horizontal="right" vertical="center"/>
    </xf>
    <xf numFmtId="0" fontId="29" fillId="2" borderId="0" xfId="734" applyFont="1" applyFill="1" applyAlignment="1">
      <alignment horizontal="right" vertical="center"/>
    </xf>
    <xf numFmtId="0" fontId="3" fillId="0" borderId="19" xfId="734" applyFont="1" applyBorder="1" applyAlignment="1">
      <alignment vertical="center"/>
    </xf>
    <xf numFmtId="0" fontId="3" fillId="0" borderId="20" xfId="734" applyFont="1" applyBorder="1" applyAlignment="1">
      <alignment vertical="center"/>
    </xf>
    <xf numFmtId="0" fontId="3" fillId="0" borderId="21" xfId="734" applyFont="1" applyBorder="1" applyAlignment="1">
      <alignment vertical="center"/>
    </xf>
    <xf numFmtId="0" fontId="3" fillId="0" borderId="0" xfId="0" applyFont="1" applyAlignment="1">
      <alignment vertical="center"/>
    </xf>
    <xf numFmtId="0" fontId="1" fillId="0" borderId="0" xfId="0" applyFont="1" applyAlignment="1" applyProtection="1">
      <alignment vertical="center"/>
      <protection locked="0"/>
    </xf>
    <xf numFmtId="176" fontId="1" fillId="0" borderId="0" xfId="280" applyFont="1" applyFill="1" applyAlignment="1" applyProtection="1">
      <alignment horizontal="right" vertical="center" shrinkToFit="1"/>
      <protection locked="0"/>
    </xf>
    <xf numFmtId="176" fontId="3" fillId="0" borderId="0" xfId="280" applyFont="1" applyBorder="1" applyAlignment="1">
      <alignment vertical="center"/>
    </xf>
    <xf numFmtId="0" fontId="3" fillId="0" borderId="0" xfId="837" applyFont="1">
      <alignment vertical="center"/>
    </xf>
    <xf numFmtId="0" fontId="3" fillId="0" borderId="0" xfId="838" applyFont="1" applyAlignment="1">
      <alignment vertical="center"/>
    </xf>
    <xf numFmtId="0" fontId="2" fillId="0" borderId="0" xfId="2327" applyFont="1" applyAlignment="1" applyProtection="1">
      <alignment vertical="center"/>
      <protection locked="0"/>
    </xf>
    <xf numFmtId="0" fontId="4" fillId="0" borderId="0" xfId="2327" applyFont="1" applyAlignment="1" applyProtection="1">
      <alignment vertical="center"/>
      <protection locked="0"/>
    </xf>
    <xf numFmtId="0" fontId="4" fillId="0" borderId="0" xfId="2327" applyFont="1" applyAlignment="1" applyProtection="1">
      <alignment horizontal="left" vertical="center"/>
      <protection locked="0"/>
    </xf>
    <xf numFmtId="0" fontId="10" fillId="0" borderId="5" xfId="0" applyFont="1" applyBorder="1"/>
    <xf numFmtId="0" fontId="10" fillId="0" borderId="5" xfId="0" applyFont="1" applyBorder="1" applyAlignment="1">
      <alignment vertical="center"/>
    </xf>
    <xf numFmtId="0" fontId="12" fillId="0" borderId="5" xfId="0" applyFont="1" applyBorder="1" applyAlignment="1" applyProtection="1">
      <alignment horizontal="left" vertical="center" wrapText="1"/>
      <protection locked="0"/>
    </xf>
    <xf numFmtId="0" fontId="7" fillId="0" borderId="20" xfId="0" applyFont="1" applyBorder="1" applyAlignment="1">
      <alignment vertical="center"/>
    </xf>
    <xf numFmtId="0" fontId="2" fillId="0" borderId="0" xfId="0" applyFont="1" applyAlignment="1">
      <alignment vertical="center"/>
    </xf>
    <xf numFmtId="0" fontId="31" fillId="0" borderId="0" xfId="0" applyFont="1" applyAlignment="1">
      <alignment vertical="center"/>
    </xf>
    <xf numFmtId="0" fontId="4" fillId="0" borderId="0" xfId="0" applyFont="1" applyAlignment="1">
      <alignment vertical="center"/>
    </xf>
    <xf numFmtId="0" fontId="19" fillId="0" borderId="0" xfId="0" applyFont="1" applyAlignment="1">
      <alignment vertical="center"/>
    </xf>
    <xf numFmtId="209" fontId="7" fillId="0" borderId="0" xfId="693" applyNumberFormat="1" applyFont="1" applyAlignment="1">
      <alignment horizontal="left" vertical="center"/>
    </xf>
    <xf numFmtId="0" fontId="4" fillId="0" borderId="0" xfId="0" applyFont="1" applyAlignment="1" applyProtection="1">
      <alignment vertical="center"/>
      <protection locked="0"/>
    </xf>
    <xf numFmtId="210" fontId="19" fillId="0" borderId="0" xfId="840" applyNumberFormat="1" applyFont="1" applyAlignment="1" applyProtection="1">
      <alignment horizontal="right" vertical="center"/>
      <protection locked="0"/>
    </xf>
    <xf numFmtId="210" fontId="19" fillId="0" borderId="0" xfId="840" applyNumberFormat="1" applyFont="1" applyAlignment="1" applyProtection="1">
      <alignment vertical="center" wrapText="1"/>
      <protection locked="0"/>
    </xf>
    <xf numFmtId="0" fontId="2" fillId="0" borderId="0" xfId="0" applyFont="1" applyAlignment="1">
      <alignment horizontal="center" vertical="center"/>
    </xf>
    <xf numFmtId="0" fontId="19" fillId="10" borderId="33" xfId="743" applyFont="1" applyFill="1" applyBorder="1" applyAlignment="1">
      <alignment horizontal="left" vertical="center" wrapText="1"/>
    </xf>
    <xf numFmtId="211" fontId="1" fillId="0" borderId="13" xfId="1" applyNumberFormat="1" applyFont="1" applyFill="1" applyBorder="1" applyAlignment="1" applyProtection="1">
      <alignment vertical="center" wrapText="1"/>
      <protection locked="0"/>
    </xf>
    <xf numFmtId="0" fontId="1" fillId="0" borderId="0" xfId="746" applyFont="1" applyAlignment="1" applyProtection="1">
      <alignment horizontal="center" vertical="center" wrapText="1"/>
      <protection locked="0"/>
    </xf>
    <xf numFmtId="0" fontId="19" fillId="10" borderId="14" xfId="743" applyFont="1" applyFill="1" applyBorder="1" applyAlignment="1">
      <alignment horizontal="left" vertical="center"/>
    </xf>
    <xf numFmtId="9" fontId="1" fillId="0" borderId="17" xfId="0" applyNumberFormat="1" applyFont="1" applyBorder="1" applyAlignment="1">
      <alignment horizontal="right" vertical="center" wrapText="1"/>
    </xf>
    <xf numFmtId="0" fontId="3" fillId="0" borderId="0" xfId="0" applyFont="1" applyAlignment="1" applyProtection="1">
      <alignment vertical="center"/>
      <protection locked="0"/>
    </xf>
    <xf numFmtId="0" fontId="2" fillId="0" borderId="0" xfId="2327" applyFont="1" applyAlignment="1" applyProtection="1">
      <alignment horizontal="center" vertical="center"/>
      <protection locked="0"/>
    </xf>
    <xf numFmtId="0" fontId="32" fillId="0" borderId="0" xfId="0" applyFont="1" applyAlignment="1">
      <alignment vertical="center"/>
    </xf>
    <xf numFmtId="0" fontId="2" fillId="2" borderId="0" xfId="2327" applyFont="1" applyFill="1" applyAlignment="1" applyProtection="1">
      <alignment horizontal="center" vertical="center"/>
      <protection locked="0"/>
    </xf>
    <xf numFmtId="49" fontId="2" fillId="0" borderId="0" xfId="2334" applyNumberFormat="1" applyFont="1" applyAlignment="1" applyProtection="1">
      <alignment horizontal="center" vertical="center" shrinkToFit="1"/>
      <protection locked="0"/>
    </xf>
    <xf numFmtId="49" fontId="2" fillId="0" borderId="0" xfId="2334" applyNumberFormat="1" applyFont="1" applyAlignment="1" applyProtection="1">
      <alignment horizontal="center" vertical="center" wrapText="1"/>
      <protection locked="0"/>
    </xf>
    <xf numFmtId="176" fontId="2" fillId="0" borderId="0" xfId="2334" applyNumberFormat="1" applyFont="1" applyAlignment="1" applyProtection="1">
      <alignment horizontal="center" vertical="center" shrinkToFit="1"/>
      <protection locked="0"/>
    </xf>
    <xf numFmtId="176" fontId="2" fillId="0" borderId="0" xfId="2334" applyNumberFormat="1" applyFont="1" applyAlignment="1" applyProtection="1">
      <alignment horizontal="right" vertical="center" wrapText="1"/>
      <protection locked="0"/>
    </xf>
    <xf numFmtId="49" fontId="1" fillId="0" borderId="4" xfId="2334" applyNumberFormat="1" applyFont="1" applyBorder="1" applyAlignment="1">
      <alignment horizontal="left" vertical="center" shrinkToFit="1"/>
    </xf>
    <xf numFmtId="49" fontId="1" fillId="0" borderId="5" xfId="2334" applyNumberFormat="1" applyFont="1" applyBorder="1" applyAlignment="1">
      <alignment horizontal="left" vertical="center" shrinkToFit="1"/>
    </xf>
    <xf numFmtId="49" fontId="1" fillId="0" borderId="31" xfId="2334" applyNumberFormat="1" applyFont="1" applyBorder="1" applyAlignment="1">
      <alignment horizontal="left" vertical="center" shrinkToFit="1"/>
    </xf>
    <xf numFmtId="176" fontId="1" fillId="0" borderId="4" xfId="2334" applyNumberFormat="1" applyFont="1" applyBorder="1" applyAlignment="1">
      <alignment horizontal="right" vertical="center" shrinkToFit="1"/>
    </xf>
    <xf numFmtId="176" fontId="1" fillId="0" borderId="5" xfId="2334" applyNumberFormat="1" applyFont="1" applyBorder="1" applyAlignment="1">
      <alignment horizontal="right" vertical="center" shrinkToFit="1"/>
    </xf>
    <xf numFmtId="0" fontId="2" fillId="0" borderId="0" xfId="0" applyFont="1"/>
    <xf numFmtId="0" fontId="1" fillId="0" borderId="10" xfId="2334" applyFont="1" applyBorder="1" applyAlignment="1" applyProtection="1">
      <alignment horizontal="center" vertical="center"/>
      <protection locked="0"/>
    </xf>
    <xf numFmtId="0" fontId="1" fillId="0" borderId="43" xfId="2334" applyFont="1" applyBorder="1" applyAlignment="1" applyProtection="1">
      <alignment horizontal="center" vertical="center"/>
      <protection locked="0"/>
    </xf>
    <xf numFmtId="0" fontId="1" fillId="0" borderId="44" xfId="2334" applyFont="1" applyBorder="1" applyAlignment="1" applyProtection="1">
      <alignment horizontal="center" vertical="center"/>
      <protection locked="0"/>
    </xf>
    <xf numFmtId="0" fontId="29" fillId="0" borderId="45" xfId="2334" applyFont="1" applyBorder="1" applyAlignment="1">
      <alignment vertical="center" wrapText="1"/>
    </xf>
    <xf numFmtId="0" fontId="29" fillId="0" borderId="46" xfId="2334" applyFont="1" applyBorder="1" applyAlignment="1">
      <alignment vertical="center" wrapText="1"/>
    </xf>
    <xf numFmtId="0" fontId="1" fillId="0" borderId="0" xfId="2327" applyFont="1" applyAlignment="1" applyProtection="1">
      <alignment horizontal="center" vertical="center" wrapText="1"/>
      <protection locked="0"/>
    </xf>
    <xf numFmtId="0" fontId="29" fillId="8" borderId="47" xfId="2334" applyFont="1" applyFill="1" applyBorder="1" applyAlignment="1" applyProtection="1">
      <alignment horizontal="center" vertical="top" wrapText="1"/>
      <protection locked="0"/>
    </xf>
    <xf numFmtId="0" fontId="17" fillId="8" borderId="48" xfId="2334" applyFont="1" applyFill="1" applyBorder="1" applyAlignment="1" applyProtection="1">
      <alignment horizontal="center" vertical="top" wrapText="1"/>
      <protection locked="0"/>
    </xf>
    <xf numFmtId="0" fontId="29" fillId="8" borderId="49" xfId="2334" applyFont="1" applyFill="1" applyBorder="1" applyAlignment="1" applyProtection="1">
      <alignment horizontal="center" vertical="top" wrapText="1"/>
      <protection locked="0"/>
    </xf>
    <xf numFmtId="0" fontId="17" fillId="0" borderId="50" xfId="2334" applyFont="1" applyBorder="1" applyAlignment="1" applyProtection="1">
      <alignment horizontal="center" vertical="center" wrapText="1"/>
      <protection locked="0"/>
    </xf>
    <xf numFmtId="0" fontId="17" fillId="7" borderId="51" xfId="2334" applyFont="1" applyFill="1" applyBorder="1" applyAlignment="1" applyProtection="1">
      <alignment horizontal="center" vertical="center" wrapText="1"/>
      <protection locked="0"/>
    </xf>
    <xf numFmtId="0" fontId="1" fillId="0" borderId="0" xfId="2327" applyFont="1" applyAlignment="1" applyProtection="1">
      <alignment horizontal="right" vertical="center" shrinkToFit="1"/>
      <protection locked="0"/>
    </xf>
    <xf numFmtId="49" fontId="1" fillId="0" borderId="51" xfId="2334" applyNumberFormat="1" applyFont="1" applyBorder="1" applyAlignment="1">
      <alignment horizontal="left" vertical="center" shrinkToFit="1"/>
    </xf>
    <xf numFmtId="176" fontId="1" fillId="0" borderId="50" xfId="2334" applyNumberFormat="1" applyFont="1" applyBorder="1" applyAlignment="1">
      <alignment horizontal="right" vertical="center" shrinkToFit="1"/>
    </xf>
    <xf numFmtId="176" fontId="1" fillId="0" borderId="51" xfId="2334" applyNumberFormat="1" applyFont="1" applyBorder="1" applyAlignment="1">
      <alignment horizontal="right" vertical="center" shrinkToFit="1"/>
    </xf>
    <xf numFmtId="176" fontId="1" fillId="0" borderId="53" xfId="2334" applyNumberFormat="1" applyFont="1" applyBorder="1" applyAlignment="1">
      <alignment horizontal="right" vertical="center" shrinkToFit="1"/>
    </xf>
    <xf numFmtId="49" fontId="1" fillId="0" borderId="50" xfId="2334" applyNumberFormat="1" applyFont="1" applyBorder="1" applyAlignment="1">
      <alignment horizontal="left" vertical="center" shrinkToFit="1"/>
    </xf>
    <xf numFmtId="176" fontId="1" fillId="0" borderId="0" xfId="2327" applyNumberFormat="1" applyFont="1" applyAlignment="1" applyProtection="1">
      <alignment horizontal="right" vertical="center" shrinkToFit="1"/>
      <protection locked="0"/>
    </xf>
    <xf numFmtId="49" fontId="1" fillId="0" borderId="14" xfId="2334" applyNumberFormat="1" applyFont="1" applyBorder="1" applyAlignment="1" applyProtection="1">
      <alignment horizontal="left" vertical="center" shrinkToFit="1"/>
      <protection locked="0"/>
    </xf>
    <xf numFmtId="49" fontId="29" fillId="0" borderId="16" xfId="2334" applyNumberFormat="1" applyFont="1" applyBorder="1" applyAlignment="1" applyProtection="1">
      <alignment horizontal="left" vertical="center" shrinkToFit="1"/>
      <protection locked="0"/>
    </xf>
    <xf numFmtId="49" fontId="29" fillId="0" borderId="54" xfId="2334" applyNumberFormat="1" applyFont="1" applyBorder="1" applyAlignment="1" applyProtection="1">
      <alignment horizontal="left" vertical="center" shrinkToFit="1"/>
      <protection locked="0"/>
    </xf>
    <xf numFmtId="176" fontId="29" fillId="0" borderId="14" xfId="2334" applyNumberFormat="1" applyFont="1" applyBorder="1" applyAlignment="1" applyProtection="1">
      <alignment horizontal="right" vertical="center" shrinkToFit="1"/>
      <protection locked="0"/>
    </xf>
    <xf numFmtId="176" fontId="29" fillId="0" borderId="16" xfId="2334" applyNumberFormat="1" applyFont="1" applyBorder="1" applyAlignment="1" applyProtection="1">
      <alignment horizontal="right" vertical="center" shrinkToFit="1"/>
      <protection locked="0"/>
    </xf>
    <xf numFmtId="176" fontId="4" fillId="0" borderId="0" xfId="280" applyFont="1" applyFill="1" applyBorder="1" applyAlignment="1" applyProtection="1">
      <alignment horizontal="left" vertical="center" shrinkToFit="1"/>
      <protection locked="0"/>
    </xf>
    <xf numFmtId="212" fontId="1" fillId="0" borderId="2" xfId="2327" applyNumberFormat="1" applyFont="1" applyBorder="1" applyAlignment="1" applyProtection="1">
      <alignment horizontal="left" vertical="center" shrinkToFit="1"/>
      <protection locked="0"/>
    </xf>
    <xf numFmtId="0" fontId="29" fillId="0" borderId="2" xfId="2327" applyFont="1" applyBorder="1" applyAlignment="1" applyProtection="1">
      <alignment horizontal="center" vertical="center" wrapText="1"/>
      <protection locked="0"/>
    </xf>
    <xf numFmtId="213" fontId="29" fillId="0" borderId="2" xfId="2327" applyNumberFormat="1" applyFont="1" applyBorder="1" applyAlignment="1" applyProtection="1">
      <alignment horizontal="right" vertical="center" wrapText="1"/>
      <protection locked="0"/>
    </xf>
    <xf numFmtId="176" fontId="1" fillId="0" borderId="0" xfId="280" applyFont="1" applyFill="1" applyBorder="1" applyAlignment="1" applyProtection="1">
      <alignment horizontal="right" vertical="center" shrinkToFit="1"/>
      <protection locked="0"/>
    </xf>
    <xf numFmtId="176" fontId="29" fillId="0" borderId="0" xfId="280" applyFont="1" applyFill="1" applyBorder="1" applyAlignment="1" applyProtection="1">
      <alignment horizontal="center" vertical="center" shrinkToFit="1"/>
      <protection locked="0"/>
    </xf>
    <xf numFmtId="49" fontId="16" fillId="0" borderId="0" xfId="2327" applyNumberFormat="1" applyFont="1" applyAlignment="1" applyProtection="1">
      <alignment horizontal="center" vertical="center" shrinkToFit="1"/>
      <protection locked="0"/>
    </xf>
    <xf numFmtId="176" fontId="3" fillId="0" borderId="34" xfId="280" applyFont="1" applyFill="1" applyBorder="1" applyAlignment="1">
      <alignment horizontal="right" vertical="center" shrinkToFit="1"/>
    </xf>
    <xf numFmtId="176" fontId="1" fillId="0" borderId="0" xfId="280" applyFont="1" applyFill="1" applyBorder="1" applyAlignment="1" applyProtection="1">
      <alignment horizontal="center" vertical="center" shrinkToFit="1"/>
      <protection locked="0"/>
    </xf>
    <xf numFmtId="176" fontId="3" fillId="0" borderId="0" xfId="280" applyFont="1" applyFill="1" applyBorder="1" applyAlignment="1">
      <alignment horizontal="right" vertical="center" shrinkToFit="1"/>
    </xf>
    <xf numFmtId="176" fontId="2" fillId="0" borderId="0" xfId="2327" applyNumberFormat="1" applyFont="1" applyAlignment="1" applyProtection="1">
      <alignment horizontal="center" vertical="center" shrinkToFit="1"/>
      <protection locked="0"/>
    </xf>
    <xf numFmtId="176" fontId="4" fillId="0" borderId="0" xfId="280" applyFont="1" applyBorder="1" applyAlignment="1">
      <alignment horizontal="left" vertical="center"/>
    </xf>
    <xf numFmtId="176" fontId="1" fillId="0" borderId="0" xfId="295" applyFont="1" applyFill="1" applyAlignment="1" applyProtection="1">
      <alignment horizontal="center" vertical="center" shrinkToFit="1"/>
      <protection locked="0"/>
    </xf>
    <xf numFmtId="176" fontId="2" fillId="0" borderId="0" xfId="295" applyFont="1" applyFill="1" applyBorder="1" applyAlignment="1">
      <alignment horizontal="center" vertical="center" shrinkToFit="1"/>
    </xf>
    <xf numFmtId="176" fontId="3" fillId="0" borderId="0" xfId="1" applyFont="1" applyFill="1" applyBorder="1" applyAlignment="1">
      <alignment horizontal="right" vertical="center" shrinkToFit="1"/>
    </xf>
    <xf numFmtId="176" fontId="13" fillId="0" borderId="0" xfId="2327" applyNumberFormat="1" applyFont="1" applyAlignment="1" applyProtection="1">
      <alignment horizontal="center" vertical="center" shrinkToFit="1"/>
      <protection locked="0"/>
    </xf>
    <xf numFmtId="0" fontId="4" fillId="0" borderId="0" xfId="837" applyFont="1" applyAlignment="1">
      <alignment horizontal="left" vertical="center"/>
    </xf>
    <xf numFmtId="0" fontId="2" fillId="0" borderId="0" xfId="837" applyFont="1">
      <alignment vertical="center"/>
    </xf>
    <xf numFmtId="176" fontId="3" fillId="0" borderId="0" xfId="280" applyFont="1" applyFill="1" applyAlignment="1">
      <alignment vertical="center"/>
    </xf>
    <xf numFmtId="0" fontId="4" fillId="0" borderId="0" xfId="838" applyFont="1" applyAlignment="1">
      <alignment horizontal="left" vertical="center"/>
    </xf>
    <xf numFmtId="0" fontId="2" fillId="0" borderId="0" xfId="2334" applyFont="1" applyAlignment="1" applyProtection="1">
      <alignment horizontal="center" vertical="center"/>
      <protection locked="0"/>
    </xf>
    <xf numFmtId="0" fontId="2" fillId="0" borderId="0" xfId="838" applyFont="1" applyAlignment="1">
      <alignment vertical="center"/>
    </xf>
    <xf numFmtId="176" fontId="3" fillId="0" borderId="0" xfId="281" applyFont="1" applyFill="1" applyBorder="1" applyAlignment="1">
      <alignment vertical="center"/>
    </xf>
    <xf numFmtId="0" fontId="3" fillId="0" borderId="2" xfId="837" applyFont="1" applyBorder="1">
      <alignment vertical="center"/>
    </xf>
    <xf numFmtId="0" fontId="2" fillId="0" borderId="2" xfId="837" applyFont="1" applyBorder="1">
      <alignment vertical="center"/>
    </xf>
    <xf numFmtId="176" fontId="3" fillId="0" borderId="2" xfId="284" applyFont="1" applyFill="1" applyBorder="1" applyAlignment="1">
      <alignment vertical="center"/>
    </xf>
    <xf numFmtId="176" fontId="2" fillId="0" borderId="3" xfId="2454" applyFont="1" applyFill="1" applyBorder="1" applyAlignment="1" applyProtection="1">
      <alignment horizontal="right"/>
      <protection locked="0"/>
    </xf>
    <xf numFmtId="0" fontId="1" fillId="0" borderId="0" xfId="733" applyFont="1" applyAlignment="1">
      <alignment horizontal="left" vertical="center"/>
    </xf>
    <xf numFmtId="0" fontId="7" fillId="0" borderId="23" xfId="0" applyFont="1" applyBorder="1" applyAlignment="1">
      <alignment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7" fillId="0" borderId="25" xfId="0" applyFont="1" applyBorder="1" applyAlignment="1">
      <alignment vertical="center" wrapText="1"/>
    </xf>
    <xf numFmtId="0" fontId="1" fillId="0" borderId="0" xfId="733" applyFont="1" applyAlignment="1">
      <alignment horizontal="left" vertical="center" wrapText="1"/>
    </xf>
    <xf numFmtId="0" fontId="7" fillId="0" borderId="55" xfId="0" applyFont="1" applyBorder="1" applyAlignment="1">
      <alignment vertical="center" wrapText="1"/>
    </xf>
    <xf numFmtId="0" fontId="7" fillId="0" borderId="56" xfId="0" applyFont="1" applyBorder="1" applyAlignment="1">
      <alignment vertical="center" wrapText="1"/>
    </xf>
    <xf numFmtId="176" fontId="3" fillId="2" borderId="0" xfId="1" applyFont="1" applyFill="1"/>
    <xf numFmtId="176" fontId="19" fillId="0" borderId="0" xfId="1" applyFont="1"/>
    <xf numFmtId="0" fontId="19" fillId="0" borderId="0" xfId="694" applyFont="1" applyAlignment="1">
      <alignment vertical="center"/>
    </xf>
    <xf numFmtId="176" fontId="2" fillId="0" borderId="0" xfId="2334" applyNumberFormat="1" applyFont="1" applyAlignment="1" applyProtection="1">
      <alignment horizontal="right" vertical="center" shrinkToFit="1"/>
      <protection locked="0"/>
    </xf>
    <xf numFmtId="10" fontId="2" fillId="0" borderId="0" xfId="2334" applyNumberFormat="1" applyFont="1" applyAlignment="1" applyProtection="1">
      <alignment horizontal="right" vertical="center" shrinkToFit="1"/>
      <protection locked="0"/>
    </xf>
    <xf numFmtId="0" fontId="33" fillId="0" borderId="0" xfId="0" applyFont="1" applyAlignment="1">
      <alignment horizontal="center" vertical="center"/>
    </xf>
    <xf numFmtId="10" fontId="2" fillId="0" borderId="0" xfId="852" applyNumberFormat="1" applyFont="1" applyFill="1" applyBorder="1" applyAlignment="1" applyProtection="1">
      <alignment horizontal="center" vertical="center" shrinkToFit="1"/>
      <protection locked="0"/>
    </xf>
    <xf numFmtId="10" fontId="1" fillId="0" borderId="5" xfId="2334" applyNumberFormat="1" applyFont="1" applyBorder="1" applyAlignment="1">
      <alignment horizontal="right" vertical="center" shrinkToFit="1"/>
    </xf>
    <xf numFmtId="176" fontId="1" fillId="0" borderId="25" xfId="2334" applyNumberFormat="1" applyFont="1" applyBorder="1" applyAlignment="1">
      <alignment horizontal="right" vertical="center" shrinkToFit="1"/>
    </xf>
    <xf numFmtId="10" fontId="1" fillId="0" borderId="31" xfId="2334" applyNumberFormat="1" applyFont="1" applyBorder="1" applyAlignment="1">
      <alignment horizontal="right" vertical="center" shrinkToFit="1"/>
    </xf>
    <xf numFmtId="0" fontId="29" fillId="0" borderId="57" xfId="2334" applyFont="1" applyBorder="1" applyAlignment="1">
      <alignment vertical="center" wrapText="1"/>
    </xf>
    <xf numFmtId="14" fontId="29" fillId="0" borderId="46" xfId="2334" applyNumberFormat="1" applyFont="1" applyBorder="1" applyAlignment="1">
      <alignment horizontal="center" vertical="center" wrapText="1"/>
    </xf>
    <xf numFmtId="0" fontId="29" fillId="2" borderId="45" xfId="2334" applyFont="1" applyFill="1" applyBorder="1" applyAlignment="1" applyProtection="1">
      <alignment vertical="center"/>
      <protection locked="0"/>
    </xf>
    <xf numFmtId="0" fontId="29" fillId="2" borderId="46" xfId="2334" applyFont="1" applyFill="1" applyBorder="1" applyAlignment="1" applyProtection="1">
      <alignment vertical="center"/>
      <protection locked="0"/>
    </xf>
    <xf numFmtId="0" fontId="29" fillId="0" borderId="51" xfId="2334" applyFont="1" applyBorder="1" applyAlignment="1" applyProtection="1">
      <alignment horizontal="center" vertical="center" wrapText="1"/>
      <protection locked="0"/>
    </xf>
    <xf numFmtId="49" fontId="29" fillId="7" borderId="51" xfId="2334" applyNumberFormat="1" applyFont="1" applyFill="1" applyBorder="1" applyAlignment="1" applyProtection="1">
      <alignment horizontal="center" vertical="center" wrapText="1"/>
      <protection locked="0"/>
    </xf>
    <xf numFmtId="49" fontId="29" fillId="0" borderId="26" xfId="2334" applyNumberFormat="1" applyFont="1" applyBorder="1" applyAlignment="1" applyProtection="1">
      <alignment horizontal="center" vertical="center" wrapText="1"/>
      <protection locked="0"/>
    </xf>
    <xf numFmtId="49" fontId="17" fillId="0" borderId="26" xfId="2334" applyNumberFormat="1" applyFont="1" applyBorder="1" applyAlignment="1" applyProtection="1">
      <alignment horizontal="center" vertical="center" wrapText="1"/>
      <protection locked="0"/>
    </xf>
    <xf numFmtId="0" fontId="29" fillId="0" borderId="50" xfId="2334" applyFont="1" applyBorder="1" applyAlignment="1" applyProtection="1">
      <alignment horizontal="center" vertical="center" wrapText="1"/>
      <protection locked="0"/>
    </xf>
    <xf numFmtId="0" fontId="29" fillId="0" borderId="52" xfId="2334" applyFont="1" applyBorder="1" applyAlignment="1" applyProtection="1">
      <alignment horizontal="center" vertical="center" wrapText="1"/>
      <protection locked="0"/>
    </xf>
    <xf numFmtId="10" fontId="1" fillId="0" borderId="51" xfId="2334" applyNumberFormat="1" applyFont="1" applyBorder="1" applyAlignment="1">
      <alignment horizontal="right" vertical="center" shrinkToFit="1"/>
    </xf>
    <xf numFmtId="176" fontId="1" fillId="0" borderId="26" xfId="2334" applyNumberFormat="1" applyFont="1" applyBorder="1" applyAlignment="1">
      <alignment horizontal="right" vertical="center" shrinkToFit="1"/>
    </xf>
    <xf numFmtId="10" fontId="1" fillId="0" borderId="52" xfId="2334" applyNumberFormat="1" applyFont="1" applyBorder="1" applyAlignment="1">
      <alignment horizontal="right" vertical="center" shrinkToFit="1"/>
    </xf>
    <xf numFmtId="176" fontId="1" fillId="0" borderId="16" xfId="2334" applyNumberFormat="1" applyFont="1" applyBorder="1" applyAlignment="1">
      <alignment horizontal="right" vertical="center" shrinkToFit="1"/>
    </xf>
    <xf numFmtId="10" fontId="1" fillId="0" borderId="16" xfId="2334" applyNumberFormat="1" applyFont="1" applyBorder="1" applyAlignment="1">
      <alignment horizontal="right" vertical="center" shrinkToFit="1"/>
    </xf>
    <xf numFmtId="49" fontId="29" fillId="0" borderId="16" xfId="852" applyNumberFormat="1" applyFont="1" applyFill="1" applyBorder="1" applyAlignment="1" applyProtection="1">
      <alignment horizontal="left" vertical="center" shrinkToFit="1"/>
      <protection locked="0"/>
    </xf>
    <xf numFmtId="176" fontId="29" fillId="0" borderId="16" xfId="281" applyFont="1" applyFill="1" applyBorder="1" applyAlignment="1" applyProtection="1">
      <alignment horizontal="right" vertical="center" shrinkToFit="1"/>
      <protection locked="0"/>
    </xf>
    <xf numFmtId="176" fontId="1" fillId="0" borderId="17" xfId="2334" applyNumberFormat="1" applyFont="1" applyBorder="1" applyAlignment="1">
      <alignment horizontal="right" vertical="center" shrinkToFit="1"/>
    </xf>
    <xf numFmtId="176" fontId="29" fillId="0" borderId="2" xfId="280" applyFont="1" applyFill="1" applyBorder="1" applyAlignment="1" applyProtection="1">
      <alignment horizontal="right" vertical="center" shrinkToFit="1"/>
      <protection locked="0"/>
    </xf>
    <xf numFmtId="9" fontId="29" fillId="0" borderId="2" xfId="851" applyFont="1" applyFill="1" applyBorder="1" applyAlignment="1" applyProtection="1">
      <alignment horizontal="right" vertical="center" shrinkToFit="1"/>
      <protection locked="0"/>
    </xf>
    <xf numFmtId="176" fontId="29" fillId="0" borderId="2" xfId="467" applyFont="1" applyFill="1" applyBorder="1" applyAlignment="1" applyProtection="1">
      <alignment horizontal="center" vertical="center" shrinkToFit="1"/>
      <protection locked="0"/>
    </xf>
    <xf numFmtId="9" fontId="29" fillId="0" borderId="2" xfId="851" applyFont="1" applyFill="1" applyBorder="1" applyAlignment="1" applyProtection="1">
      <alignment horizontal="center" vertical="center" shrinkToFit="1"/>
      <protection locked="0"/>
    </xf>
    <xf numFmtId="10" fontId="3" fillId="0" borderId="34" xfId="280" applyNumberFormat="1" applyFont="1" applyFill="1" applyBorder="1" applyAlignment="1">
      <alignment horizontal="right" vertical="center" shrinkToFit="1"/>
    </xf>
    <xf numFmtId="9" fontId="29" fillId="0" borderId="0" xfId="851" applyFont="1" applyFill="1" applyBorder="1" applyAlignment="1" applyProtection="1">
      <alignment horizontal="right" vertical="center" shrinkToFit="1"/>
      <protection locked="0"/>
    </xf>
    <xf numFmtId="176" fontId="3" fillId="0" borderId="0" xfId="280" applyFont="1" applyBorder="1" applyAlignment="1">
      <alignment horizontal="right" vertical="center" shrinkToFit="1"/>
    </xf>
    <xf numFmtId="9" fontId="34" fillId="0" borderId="0" xfId="851" applyFont="1" applyFill="1" applyBorder="1" applyAlignment="1" applyProtection="1">
      <alignment horizontal="right" vertical="center" shrinkToFit="1"/>
    </xf>
    <xf numFmtId="10" fontId="13" fillId="0" borderId="0" xfId="2327" applyNumberFormat="1" applyFont="1" applyAlignment="1" applyProtection="1">
      <alignment horizontal="right" vertical="center" shrinkToFit="1"/>
      <protection locked="0"/>
    </xf>
    <xf numFmtId="10" fontId="34" fillId="0" borderId="0" xfId="851" applyNumberFormat="1" applyFont="1" applyFill="1" applyBorder="1" applyAlignment="1" applyProtection="1">
      <alignment horizontal="right" vertical="center" shrinkToFit="1"/>
    </xf>
    <xf numFmtId="10" fontId="19" fillId="0" borderId="0" xfId="2327" applyNumberFormat="1" applyFont="1" applyAlignment="1" applyProtection="1">
      <alignment horizontal="right" vertical="center" shrinkToFit="1"/>
      <protection locked="0"/>
    </xf>
    <xf numFmtId="0" fontId="35" fillId="0" borderId="0" xfId="694" applyFont="1" applyAlignment="1">
      <alignment vertical="center"/>
    </xf>
    <xf numFmtId="9" fontId="2" fillId="0" borderId="0" xfId="852" applyFont="1" applyFill="1" applyBorder="1" applyAlignment="1" applyProtection="1">
      <alignment horizontal="center" vertical="center" shrinkToFit="1"/>
      <protection locked="0"/>
    </xf>
    <xf numFmtId="0" fontId="2" fillId="0" borderId="0" xfId="2334" applyFont="1" applyAlignment="1" applyProtection="1">
      <alignment horizontal="center" vertical="center" shrinkToFit="1"/>
      <protection locked="0"/>
    </xf>
    <xf numFmtId="49" fontId="1" fillId="0" borderId="25" xfId="2334" applyNumberFormat="1" applyFont="1" applyBorder="1" applyAlignment="1">
      <alignment horizontal="left" vertical="center" shrinkToFit="1"/>
    </xf>
    <xf numFmtId="0" fontId="2" fillId="7" borderId="43" xfId="2334" applyFont="1" applyFill="1" applyBorder="1" applyAlignment="1" applyProtection="1">
      <alignment vertical="center" wrapText="1"/>
      <protection locked="0"/>
    </xf>
    <xf numFmtId="0" fontId="2" fillId="7" borderId="58" xfId="2334" applyFont="1" applyFill="1" applyBorder="1" applyAlignment="1" applyProtection="1">
      <alignment vertical="center" wrapText="1"/>
      <protection locked="0"/>
    </xf>
    <xf numFmtId="0" fontId="2" fillId="7" borderId="48" xfId="2334" applyFont="1" applyFill="1" applyBorder="1" applyAlignment="1" applyProtection="1">
      <alignment horizontal="center" vertical="top" wrapText="1"/>
      <protection locked="0"/>
    </xf>
    <xf numFmtId="0" fontId="2" fillId="7" borderId="28" xfId="2334" applyFont="1" applyFill="1" applyBorder="1" applyAlignment="1" applyProtection="1">
      <alignment horizontal="center" vertical="top" wrapText="1"/>
      <protection locked="0"/>
    </xf>
    <xf numFmtId="49" fontId="2" fillId="0" borderId="26" xfId="2334" applyNumberFormat="1" applyFont="1" applyBorder="1" applyAlignment="1">
      <alignment horizontal="center" vertical="center" shrinkToFit="1"/>
    </xf>
    <xf numFmtId="200" fontId="1" fillId="0" borderId="0" xfId="2327" applyNumberFormat="1" applyFont="1" applyAlignment="1" applyProtection="1">
      <alignment horizontal="center" vertical="center"/>
      <protection locked="0"/>
    </xf>
    <xf numFmtId="10" fontId="1" fillId="0" borderId="0" xfId="2" applyNumberFormat="1" applyFont="1" applyProtection="1">
      <protection locked="0"/>
    </xf>
    <xf numFmtId="49" fontId="29" fillId="0" borderId="17" xfId="2334" applyNumberFormat="1" applyFont="1" applyBorder="1" applyAlignment="1" applyProtection="1">
      <alignment horizontal="left" vertical="center" shrinkToFit="1"/>
      <protection locked="0"/>
    </xf>
    <xf numFmtId="0" fontId="29" fillId="0" borderId="2" xfId="2327" applyFont="1" applyBorder="1" applyAlignment="1" applyProtection="1">
      <alignment horizontal="center" vertical="center" shrinkToFit="1"/>
      <protection locked="0"/>
    </xf>
    <xf numFmtId="10" fontId="1" fillId="0" borderId="0" xfId="851" applyNumberFormat="1" applyFont="1" applyFill="1" applyBorder="1" applyAlignment="1" applyProtection="1">
      <alignment horizontal="right" vertical="center" shrinkToFit="1"/>
    </xf>
    <xf numFmtId="176" fontId="31" fillId="0" borderId="0" xfId="280" applyFont="1" applyFill="1" applyBorder="1" applyAlignment="1" applyProtection="1">
      <alignment horizontal="right" vertical="center" shrinkToFit="1"/>
      <protection locked="0"/>
    </xf>
    <xf numFmtId="176" fontId="29" fillId="0" borderId="0" xfId="280" applyFont="1" applyFill="1" applyBorder="1" applyAlignment="1" applyProtection="1">
      <alignment horizontal="right" vertical="center" shrinkToFit="1"/>
      <protection locked="0"/>
    </xf>
    <xf numFmtId="176" fontId="1" fillId="2" borderId="0" xfId="280" applyFont="1" applyFill="1" applyBorder="1" applyAlignment="1" applyProtection="1">
      <alignment horizontal="center" vertical="center" shrinkToFit="1"/>
      <protection locked="0"/>
    </xf>
    <xf numFmtId="176" fontId="3" fillId="0" borderId="23" xfId="2454" applyFont="1" applyFill="1" applyBorder="1" applyAlignment="1" applyProtection="1">
      <alignment vertical="top" wrapText="1"/>
      <protection locked="0"/>
    </xf>
    <xf numFmtId="0" fontId="3" fillId="0" borderId="0" xfId="2327" applyFont="1" applyAlignment="1" applyProtection="1">
      <alignment vertical="center"/>
      <protection locked="0"/>
    </xf>
    <xf numFmtId="0" fontId="14" fillId="0" borderId="0" xfId="748" applyFont="1" applyAlignment="1" applyProtection="1">
      <alignment vertical="center"/>
      <protection locked="0"/>
    </xf>
    <xf numFmtId="0" fontId="3" fillId="0" borderId="0" xfId="2327" applyFont="1" applyAlignment="1">
      <alignment vertical="center"/>
    </xf>
    <xf numFmtId="176" fontId="3" fillId="0" borderId="0" xfId="837" applyNumberFormat="1" applyFont="1" applyAlignment="1">
      <alignment vertical="center" shrinkToFit="1"/>
    </xf>
    <xf numFmtId="0" fontId="3" fillId="0" borderId="0" xfId="837" applyFont="1" applyAlignment="1">
      <alignment vertical="center" shrinkToFit="1"/>
    </xf>
    <xf numFmtId="0" fontId="3" fillId="0" borderId="0" xfId="789" applyFont="1" applyAlignment="1">
      <alignment vertical="center"/>
    </xf>
    <xf numFmtId="0" fontId="3" fillId="0" borderId="0" xfId="2334" applyFont="1" applyAlignment="1" applyProtection="1">
      <alignment vertical="center"/>
      <protection locked="0"/>
    </xf>
    <xf numFmtId="0" fontId="3" fillId="0" borderId="0" xfId="837" applyFont="1" applyAlignment="1">
      <alignment horizontal="left" vertical="center" wrapText="1"/>
    </xf>
    <xf numFmtId="0" fontId="3" fillId="0" borderId="0" xfId="837" applyFont="1" applyAlignment="1">
      <alignment horizontal="left" vertical="center"/>
    </xf>
    <xf numFmtId="9" fontId="3" fillId="0" borderId="0" xfId="837" applyNumberFormat="1" applyFont="1" applyAlignment="1">
      <alignment horizontal="left" vertical="center"/>
    </xf>
    <xf numFmtId="9" fontId="3" fillId="0" borderId="0" xfId="851" applyFont="1" applyBorder="1" applyAlignment="1">
      <alignment vertical="center"/>
    </xf>
    <xf numFmtId="9" fontId="3" fillId="0" borderId="0" xfId="851" applyFont="1" applyAlignment="1">
      <alignment vertical="center"/>
    </xf>
    <xf numFmtId="9" fontId="3" fillId="0" borderId="0" xfId="851" applyFont="1" applyFill="1" applyAlignment="1">
      <alignment vertical="center"/>
    </xf>
    <xf numFmtId="9" fontId="3" fillId="0" borderId="0" xfId="2327" applyNumberFormat="1" applyFont="1" applyAlignment="1" applyProtection="1">
      <alignment vertical="center"/>
      <protection locked="0"/>
    </xf>
    <xf numFmtId="9" fontId="3" fillId="0" borderId="0" xfId="851" applyFont="1" applyAlignment="1" applyProtection="1">
      <alignment vertical="center"/>
      <protection locked="0"/>
    </xf>
    <xf numFmtId="0" fontId="1" fillId="0" borderId="0" xfId="2327" applyFont="1" applyAlignment="1" applyProtection="1">
      <alignment vertical="center"/>
      <protection locked="0"/>
    </xf>
    <xf numFmtId="9" fontId="3" fillId="0" borderId="0" xfId="851" applyFont="1" applyAlignment="1">
      <alignment vertical="center" shrinkToFit="1"/>
    </xf>
    <xf numFmtId="0" fontId="1" fillId="0" borderId="0" xfId="837" applyFont="1" applyAlignment="1">
      <alignment vertical="center" shrinkToFit="1"/>
    </xf>
    <xf numFmtId="176" fontId="1" fillId="0" borderId="0" xfId="837" applyNumberFormat="1" applyFont="1" applyAlignment="1">
      <alignment vertical="center" shrinkToFit="1"/>
    </xf>
    <xf numFmtId="0" fontId="1" fillId="0" borderId="0" xfId="789" applyFont="1" applyAlignment="1">
      <alignment vertical="center"/>
    </xf>
    <xf numFmtId="9" fontId="3" fillId="0" borderId="0" xfId="852" applyFont="1" applyAlignment="1">
      <alignment vertical="center"/>
    </xf>
    <xf numFmtId="176" fontId="3" fillId="0" borderId="0" xfId="2454" applyFont="1" applyFill="1" applyBorder="1" applyProtection="1">
      <protection locked="0"/>
    </xf>
    <xf numFmtId="0" fontId="1" fillId="0" borderId="3" xfId="2327" applyFont="1" applyBorder="1" applyAlignment="1" applyProtection="1">
      <alignment horizontal="center" vertical="center"/>
      <protection locked="0"/>
    </xf>
    <xf numFmtId="176" fontId="3" fillId="0" borderId="23" xfId="2454" applyFont="1" applyFill="1" applyBorder="1" applyProtection="1">
      <protection locked="0"/>
    </xf>
    <xf numFmtId="0" fontId="1" fillId="0" borderId="23" xfId="2327" applyFont="1" applyBorder="1" applyAlignment="1" applyProtection="1">
      <alignment horizontal="center" vertical="center"/>
      <protection locked="0"/>
    </xf>
    <xf numFmtId="0" fontId="1" fillId="0" borderId="19" xfId="2327" applyFont="1" applyBorder="1" applyAlignment="1" applyProtection="1">
      <alignment horizontal="center" vertical="center"/>
      <protection locked="0"/>
    </xf>
    <xf numFmtId="0" fontId="1" fillId="0" borderId="20" xfId="2327" applyFont="1" applyBorder="1" applyAlignment="1" applyProtection="1">
      <alignment horizontal="center" vertical="center"/>
      <protection locked="0"/>
    </xf>
    <xf numFmtId="176" fontId="1" fillId="0" borderId="0" xfId="1" applyFont="1" applyBorder="1" applyProtection="1">
      <protection locked="0"/>
    </xf>
    <xf numFmtId="0" fontId="1" fillId="0" borderId="21" xfId="2327" applyFont="1" applyBorder="1" applyAlignment="1" applyProtection="1">
      <alignment horizontal="center" vertical="center"/>
      <protection locked="0"/>
    </xf>
    <xf numFmtId="0" fontId="38" fillId="0" borderId="1" xfId="0" applyFont="1" applyBorder="1" applyAlignment="1">
      <alignment vertical="center"/>
    </xf>
    <xf numFmtId="0" fontId="11" fillId="0" borderId="2" xfId="693" applyFont="1" applyBorder="1" applyAlignment="1">
      <alignment vertical="center"/>
    </xf>
    <xf numFmtId="0" fontId="11" fillId="0" borderId="0" xfId="693" applyFont="1" applyAlignment="1">
      <alignment vertical="center"/>
    </xf>
    <xf numFmtId="0" fontId="9" fillId="3" borderId="5" xfId="0" applyFont="1" applyFill="1" applyBorder="1" applyAlignment="1" applyProtection="1">
      <alignment horizontal="left" vertical="center" wrapText="1"/>
      <protection locked="0"/>
    </xf>
    <xf numFmtId="0" fontId="12" fillId="0" borderId="5" xfId="0" applyFont="1" applyBorder="1" applyAlignment="1">
      <alignment vertical="center" wrapText="1"/>
    </xf>
    <xf numFmtId="17" fontId="7" fillId="0" borderId="8" xfId="0" applyNumberFormat="1" applyFont="1" applyBorder="1" applyAlignment="1">
      <alignment horizontal="center" vertical="center"/>
    </xf>
    <xf numFmtId="17" fontId="7" fillId="0" borderId="9" xfId="0" applyNumberFormat="1" applyFont="1" applyBorder="1" applyAlignment="1">
      <alignment horizontal="center" vertical="center"/>
    </xf>
    <xf numFmtId="0" fontId="9" fillId="0" borderId="9" xfId="0" applyFont="1" applyBorder="1" applyAlignment="1">
      <alignment vertical="center"/>
    </xf>
    <xf numFmtId="0" fontId="39" fillId="0" borderId="0" xfId="837" applyFont="1" applyAlignment="1">
      <alignment horizontal="left" vertical="center"/>
    </xf>
    <xf numFmtId="0" fontId="2" fillId="0" borderId="0" xfId="837" applyFont="1" applyAlignment="1">
      <alignment horizontal="center" vertical="center"/>
    </xf>
    <xf numFmtId="209" fontId="41" fillId="0" borderId="2" xfId="694" applyNumberFormat="1" applyFont="1" applyBorder="1" applyAlignment="1">
      <alignment horizontal="center" vertical="center"/>
    </xf>
    <xf numFmtId="209" fontId="41" fillId="0" borderId="0" xfId="694" applyNumberFormat="1" applyFont="1" applyAlignment="1">
      <alignment horizontal="center" vertical="center"/>
    </xf>
    <xf numFmtId="0" fontId="19" fillId="12" borderId="33" xfId="0" applyFont="1" applyFill="1" applyBorder="1" applyAlignment="1">
      <alignment horizontal="left" vertical="center"/>
    </xf>
    <xf numFmtId="176" fontId="1" fillId="0" borderId="13" xfId="1" applyFont="1" applyBorder="1"/>
    <xf numFmtId="0" fontId="19" fillId="12" borderId="14" xfId="0" applyFont="1" applyFill="1" applyBorder="1" applyAlignment="1">
      <alignment horizontal="left" vertical="center"/>
    </xf>
    <xf numFmtId="0" fontId="13" fillId="0" borderId="0" xfId="0" applyFont="1" applyAlignment="1">
      <alignment vertical="center"/>
    </xf>
    <xf numFmtId="0" fontId="3" fillId="0" borderId="33" xfId="733" applyFont="1" applyBorder="1" applyAlignment="1" applyProtection="1">
      <alignment horizontal="center" vertical="center"/>
      <protection locked="0"/>
    </xf>
    <xf numFmtId="0" fontId="17" fillId="0" borderId="44" xfId="733" applyFont="1" applyBorder="1" applyAlignment="1" applyProtection="1">
      <alignment horizontal="center" vertical="center"/>
      <protection locked="0"/>
    </xf>
    <xf numFmtId="0" fontId="17" fillId="0" borderId="59" xfId="733" applyFont="1" applyBorder="1" applyAlignment="1" applyProtection="1">
      <alignment horizontal="center" vertical="center" wrapText="1"/>
      <protection locked="0"/>
    </xf>
    <xf numFmtId="0" fontId="17" fillId="0" borderId="12" xfId="733" applyFont="1" applyBorder="1" applyAlignment="1" applyProtection="1">
      <alignment horizontal="center" vertical="center" wrapText="1"/>
      <protection locked="0"/>
    </xf>
    <xf numFmtId="0" fontId="29" fillId="0" borderId="12" xfId="733" applyFont="1" applyBorder="1" applyAlignment="1" applyProtection="1">
      <alignment horizontal="center" vertical="center" wrapText="1"/>
      <protection locked="0"/>
    </xf>
    <xf numFmtId="0" fontId="4" fillId="0" borderId="0" xfId="837" applyFont="1" applyAlignment="1">
      <alignment horizontal="left" vertical="center" shrinkToFit="1"/>
    </xf>
    <xf numFmtId="214" fontId="3" fillId="0" borderId="8" xfId="2327" applyNumberFormat="1" applyFont="1" applyBorder="1" applyAlignment="1" applyProtection="1">
      <alignment horizontal="left" vertical="center" shrinkToFit="1"/>
      <protection locked="0"/>
    </xf>
    <xf numFmtId="0" fontId="42" fillId="2" borderId="60" xfId="0" applyFont="1" applyFill="1" applyBorder="1" applyAlignment="1" applyProtection="1">
      <alignment horizontal="center" vertical="center" wrapText="1"/>
      <protection locked="0"/>
    </xf>
    <xf numFmtId="176" fontId="3" fillId="0" borderId="61" xfId="2327" applyNumberFormat="1" applyFont="1" applyBorder="1" applyAlignment="1">
      <alignment horizontal="right" vertical="center" shrinkToFit="1"/>
    </xf>
    <xf numFmtId="176" fontId="3" fillId="0" borderId="16" xfId="2327" applyNumberFormat="1" applyFont="1" applyBorder="1" applyAlignment="1">
      <alignment horizontal="right" vertical="center" shrinkToFit="1"/>
    </xf>
    <xf numFmtId="176" fontId="4" fillId="0" borderId="0" xfId="837" applyNumberFormat="1" applyFont="1" applyAlignment="1">
      <alignment horizontal="left" vertical="center" shrinkToFit="1"/>
    </xf>
    <xf numFmtId="176" fontId="1" fillId="0" borderId="0" xfId="2371" applyNumberFormat="1" applyFont="1" applyAlignment="1" applyProtection="1">
      <alignment horizontal="center" vertical="center" shrinkToFit="1"/>
      <protection locked="0"/>
    </xf>
    <xf numFmtId="0" fontId="2" fillId="0" borderId="0" xfId="2273" applyFont="1" applyAlignment="1">
      <alignment horizontal="right"/>
    </xf>
    <xf numFmtId="215" fontId="29" fillId="0" borderId="0" xfId="784" applyNumberFormat="1" applyFont="1" applyAlignment="1">
      <alignment vertical="center"/>
    </xf>
    <xf numFmtId="0" fontId="43" fillId="0" borderId="0" xfId="2280" applyFont="1"/>
    <xf numFmtId="0" fontId="1" fillId="0" borderId="0" xfId="695" applyFont="1" applyAlignment="1">
      <alignment vertical="center"/>
    </xf>
    <xf numFmtId="0" fontId="19" fillId="0" borderId="0" xfId="2327" applyFont="1" applyAlignment="1" applyProtection="1">
      <alignment horizontal="left" vertical="center"/>
      <protection locked="0"/>
    </xf>
    <xf numFmtId="176" fontId="1" fillId="0" borderId="23" xfId="1" applyFont="1" applyBorder="1" applyProtection="1">
      <protection locked="0"/>
    </xf>
    <xf numFmtId="0" fontId="1" fillId="0" borderId="19" xfId="2327" applyFont="1" applyBorder="1" applyAlignment="1" applyProtection="1">
      <alignment vertical="center" wrapText="1"/>
      <protection locked="0"/>
    </xf>
    <xf numFmtId="0" fontId="1" fillId="0" borderId="20" xfId="2327" applyFont="1" applyBorder="1" applyAlignment="1" applyProtection="1">
      <alignment vertical="center" wrapText="1"/>
      <protection locked="0"/>
    </xf>
    <xf numFmtId="0" fontId="1" fillId="0" borderId="21" xfId="2327" applyFont="1" applyBorder="1" applyAlignment="1" applyProtection="1">
      <alignment vertical="center" wrapText="1"/>
      <protection locked="0"/>
    </xf>
    <xf numFmtId="49" fontId="4" fillId="0" borderId="0" xfId="837" applyNumberFormat="1" applyFont="1">
      <alignment vertical="center"/>
    </xf>
    <xf numFmtId="0" fontId="7" fillId="0" borderId="18" xfId="837" applyFont="1" applyBorder="1">
      <alignment vertical="center"/>
    </xf>
    <xf numFmtId="0" fontId="7" fillId="0" borderId="23" xfId="837" applyFont="1" applyBorder="1">
      <alignment vertical="center"/>
    </xf>
    <xf numFmtId="0" fontId="7" fillId="0" borderId="29" xfId="837" applyFont="1" applyBorder="1">
      <alignment vertical="center"/>
    </xf>
    <xf numFmtId="209" fontId="2" fillId="0" borderId="0" xfId="693" applyNumberFormat="1" applyFont="1" applyAlignment="1">
      <alignment horizontal="center" vertical="center"/>
    </xf>
    <xf numFmtId="0" fontId="29" fillId="0" borderId="62" xfId="733" applyFont="1" applyBorder="1" applyAlignment="1" applyProtection="1">
      <alignment vertical="center"/>
      <protection locked="0"/>
    </xf>
    <xf numFmtId="0" fontId="3" fillId="0" borderId="63" xfId="733" applyFont="1" applyBorder="1" applyAlignment="1" applyProtection="1">
      <alignment vertical="center"/>
      <protection locked="0"/>
    </xf>
    <xf numFmtId="0" fontId="29" fillId="0" borderId="64" xfId="733" applyFont="1" applyBorder="1" applyAlignment="1" applyProtection="1">
      <alignment horizontal="center" vertical="center" wrapText="1"/>
      <protection locked="0"/>
    </xf>
    <xf numFmtId="49" fontId="17" fillId="0" borderId="46" xfId="2327" applyNumberFormat="1" applyFont="1" applyBorder="1" applyAlignment="1" applyProtection="1">
      <alignment horizontal="center" vertical="center" wrapText="1"/>
      <protection locked="0"/>
    </xf>
    <xf numFmtId="0" fontId="29" fillId="0" borderId="59" xfId="733" applyFont="1" applyBorder="1" applyAlignment="1" applyProtection="1">
      <alignment horizontal="center" vertical="center" wrapText="1"/>
      <protection locked="0"/>
    </xf>
    <xf numFmtId="0" fontId="29" fillId="0" borderId="58" xfId="733" applyFont="1" applyBorder="1" applyAlignment="1" applyProtection="1">
      <alignment horizontal="center" vertical="center" wrapText="1"/>
      <protection locked="0"/>
    </xf>
    <xf numFmtId="176" fontId="3" fillId="0" borderId="65" xfId="2327" applyNumberFormat="1" applyFont="1" applyBorder="1" applyAlignment="1">
      <alignment horizontal="right" vertical="center" shrinkToFit="1"/>
    </xf>
    <xf numFmtId="176" fontId="3" fillId="0" borderId="9" xfId="1" applyFont="1" applyBorder="1" applyAlignment="1" applyProtection="1">
      <alignment horizontal="right" vertical="center" shrinkToFit="1"/>
    </xf>
    <xf numFmtId="176" fontId="3" fillId="0" borderId="66" xfId="1" applyFont="1" applyBorder="1" applyAlignment="1" applyProtection="1">
      <alignment horizontal="right" vertical="center" shrinkToFit="1"/>
    </xf>
    <xf numFmtId="10" fontId="3" fillId="0" borderId="67" xfId="2" applyNumberFormat="1" applyFont="1" applyBorder="1" applyAlignment="1" applyProtection="1">
      <alignment horizontal="right" vertical="center" shrinkToFit="1"/>
    </xf>
    <xf numFmtId="176" fontId="3" fillId="0" borderId="0" xfId="2327" applyNumberFormat="1" applyFont="1" applyAlignment="1" applyProtection="1">
      <alignment horizontal="right" vertical="center" shrinkToFit="1"/>
      <protection locked="0"/>
    </xf>
    <xf numFmtId="0" fontId="29" fillId="0" borderId="0" xfId="784" applyFont="1" applyAlignment="1">
      <alignment vertical="center"/>
    </xf>
    <xf numFmtId="176" fontId="1" fillId="0" borderId="0" xfId="1" applyFont="1"/>
    <xf numFmtId="0" fontId="3" fillId="2" borderId="0" xfId="0" applyFont="1" applyFill="1" applyAlignment="1" applyProtection="1">
      <alignment vertical="center"/>
      <protection locked="0"/>
    </xf>
    <xf numFmtId="0" fontId="1" fillId="0" borderId="0" xfId="0" applyFont="1" applyAlignment="1" applyProtection="1">
      <alignment horizontal="center" vertical="center" wrapText="1"/>
      <protection locked="0"/>
    </xf>
    <xf numFmtId="0" fontId="1" fillId="0" borderId="0" xfId="733" applyFont="1" applyAlignment="1" applyProtection="1">
      <alignment vertical="center"/>
      <protection locked="0"/>
    </xf>
    <xf numFmtId="0" fontId="2"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3" fillId="0" borderId="0" xfId="0" applyFont="1" applyAlignment="1" applyProtection="1">
      <alignment horizontal="left" vertical="center"/>
      <protection locked="0"/>
    </xf>
    <xf numFmtId="0" fontId="3" fillId="0" borderId="0" xfId="0" applyFont="1" applyAlignment="1" applyProtection="1">
      <alignment horizontal="left"/>
      <protection locked="0"/>
    </xf>
    <xf numFmtId="0" fontId="3" fillId="7" borderId="1" xfId="0" applyFont="1" applyFill="1" applyBorder="1" applyAlignment="1" applyProtection="1">
      <alignment vertical="center"/>
      <protection locked="0"/>
    </xf>
    <xf numFmtId="0" fontId="3" fillId="7" borderId="2" xfId="0" applyFont="1" applyFill="1" applyBorder="1" applyAlignment="1" applyProtection="1">
      <alignment vertical="center"/>
      <protection locked="0"/>
    </xf>
    <xf numFmtId="0" fontId="3" fillId="7" borderId="18" xfId="0" applyFont="1" applyFill="1" applyBorder="1" applyAlignment="1" applyProtection="1">
      <alignment horizontal="left" vertical="center"/>
      <protection locked="0"/>
    </xf>
    <xf numFmtId="0" fontId="3" fillId="2" borderId="3" xfId="0" applyFont="1" applyFill="1" applyBorder="1" applyAlignment="1" applyProtection="1">
      <alignment horizontal="left" vertical="center"/>
      <protection locked="0"/>
    </xf>
    <xf numFmtId="0" fontId="3" fillId="7" borderId="0" xfId="0" applyFont="1" applyFill="1" applyAlignment="1" applyProtection="1">
      <alignment vertical="center"/>
      <protection locked="0"/>
    </xf>
    <xf numFmtId="176" fontId="3" fillId="2" borderId="23" xfId="0" applyNumberFormat="1" applyFont="1" applyFill="1" applyBorder="1" applyAlignment="1" applyProtection="1">
      <alignment horizontal="left" vertical="center" shrinkToFit="1"/>
      <protection locked="0"/>
    </xf>
    <xf numFmtId="0" fontId="3" fillId="7" borderId="3" xfId="0" applyFont="1" applyFill="1" applyBorder="1" applyAlignment="1" applyProtection="1">
      <alignment vertical="center"/>
      <protection locked="0"/>
    </xf>
    <xf numFmtId="0" fontId="3" fillId="7" borderId="0" xfId="0" applyFont="1" applyFill="1" applyAlignment="1" applyProtection="1">
      <alignment horizontal="left" vertical="center"/>
      <protection locked="0"/>
    </xf>
    <xf numFmtId="0" fontId="3" fillId="7" borderId="23" xfId="0" applyFont="1" applyFill="1" applyBorder="1" applyAlignment="1" applyProtection="1">
      <alignment horizontal="left" vertical="center"/>
      <protection locked="0"/>
    </xf>
    <xf numFmtId="14" fontId="3" fillId="8" borderId="0" xfId="0" applyNumberFormat="1" applyFont="1" applyFill="1" applyAlignment="1" applyProtection="1">
      <alignment horizontal="center" vertical="center" shrinkToFit="1"/>
      <protection locked="0"/>
    </xf>
    <xf numFmtId="0" fontId="3" fillId="2" borderId="0" xfId="0" applyFont="1" applyFill="1" applyAlignment="1" applyProtection="1">
      <alignment horizontal="left" vertical="center"/>
      <protection locked="0"/>
    </xf>
    <xf numFmtId="0" fontId="31" fillId="7" borderId="0" xfId="0" applyFont="1" applyFill="1" applyAlignment="1" applyProtection="1">
      <alignment vertical="center"/>
      <protection locked="0"/>
    </xf>
    <xf numFmtId="0" fontId="3" fillId="10" borderId="0" xfId="0" applyFont="1" applyFill="1" applyAlignment="1" applyProtection="1">
      <alignment horizontal="left" vertical="center"/>
      <protection locked="0"/>
    </xf>
    <xf numFmtId="0" fontId="3" fillId="10" borderId="23" xfId="0" applyFont="1" applyFill="1" applyBorder="1" applyAlignment="1" applyProtection="1">
      <alignment horizontal="left" vertical="center"/>
      <protection locked="0"/>
    </xf>
    <xf numFmtId="0" fontId="3" fillId="7" borderId="19" xfId="0" applyFont="1" applyFill="1" applyBorder="1" applyAlignment="1" applyProtection="1">
      <alignment vertical="center"/>
      <protection locked="0"/>
    </xf>
    <xf numFmtId="0" fontId="3" fillId="7" borderId="20" xfId="0" applyFont="1" applyFill="1" applyBorder="1" applyAlignment="1" applyProtection="1">
      <alignment vertical="center"/>
      <protection locked="0"/>
    </xf>
    <xf numFmtId="0" fontId="3" fillId="7" borderId="21" xfId="0" applyFont="1" applyFill="1" applyBorder="1" applyAlignment="1" applyProtection="1">
      <alignment horizontal="left" vertical="center"/>
      <protection locked="0"/>
    </xf>
    <xf numFmtId="0" fontId="4" fillId="2" borderId="0" xfId="0" applyFont="1" applyFill="1" applyAlignment="1" applyProtection="1">
      <alignment vertical="center"/>
      <protection locked="0"/>
    </xf>
    <xf numFmtId="0" fontId="3" fillId="2" borderId="0" xfId="0" applyFont="1" applyFill="1" applyAlignment="1" applyProtection="1">
      <alignment horizontal="center" vertical="center"/>
      <protection locked="0"/>
    </xf>
    <xf numFmtId="0" fontId="19" fillId="10" borderId="33" xfId="0" applyFont="1" applyFill="1" applyBorder="1" applyAlignment="1">
      <alignment horizontal="center" vertical="center"/>
    </xf>
    <xf numFmtId="0" fontId="16" fillId="10" borderId="13" xfId="0" applyFont="1" applyFill="1" applyBorder="1" applyAlignment="1">
      <alignment horizontal="center" vertical="center"/>
    </xf>
    <xf numFmtId="0" fontId="19" fillId="10" borderId="4" xfId="0" applyFont="1" applyFill="1" applyBorder="1" applyAlignment="1">
      <alignment horizontal="center" vertical="center"/>
    </xf>
    <xf numFmtId="9" fontId="19" fillId="10" borderId="25" xfId="2232" applyFont="1" applyFill="1" applyBorder="1" applyAlignment="1">
      <alignment horizontal="center" vertical="center"/>
    </xf>
    <xf numFmtId="0" fontId="19" fillId="10" borderId="14" xfId="0" applyFont="1" applyFill="1" applyBorder="1" applyAlignment="1">
      <alignment horizontal="center" vertical="center"/>
    </xf>
    <xf numFmtId="0" fontId="19" fillId="10" borderId="17" xfId="0" applyFont="1" applyFill="1" applyBorder="1" applyAlignment="1">
      <alignment horizontal="center" vertical="center"/>
    </xf>
    <xf numFmtId="0" fontId="44" fillId="0" borderId="0" xfId="0" applyFont="1" applyAlignment="1" applyProtection="1">
      <alignment vertical="center"/>
      <protection locked="0"/>
    </xf>
    <xf numFmtId="0" fontId="1" fillId="0" borderId="0" xfId="0" applyFont="1" applyAlignment="1" applyProtection="1">
      <alignment horizontal="right" vertical="center"/>
      <protection locked="0"/>
    </xf>
    <xf numFmtId="0" fontId="19" fillId="10" borderId="45" xfId="0" applyFont="1" applyFill="1" applyBorder="1" applyAlignment="1">
      <alignment horizontal="center" vertical="center"/>
    </xf>
    <xf numFmtId="0" fontId="19" fillId="10" borderId="12" xfId="0" applyFont="1" applyFill="1" applyBorder="1" applyAlignment="1">
      <alignment horizontal="center" vertical="center"/>
    </xf>
    <xf numFmtId="0" fontId="2" fillId="0" borderId="0" xfId="0" applyFont="1" applyAlignment="1">
      <alignment horizontal="left" vertical="center"/>
    </xf>
    <xf numFmtId="0" fontId="39" fillId="0" borderId="0" xfId="0" applyFont="1" applyAlignment="1">
      <alignment horizontal="center" vertical="center"/>
    </xf>
    <xf numFmtId="0" fontId="17" fillId="2" borderId="30" xfId="0" applyFont="1" applyFill="1" applyBorder="1" applyAlignment="1">
      <alignment horizontal="center" vertical="center" wrapText="1"/>
    </xf>
    <xf numFmtId="0" fontId="17" fillId="0" borderId="31" xfId="0" applyFont="1" applyBorder="1" applyAlignment="1">
      <alignment horizontal="center" vertical="center"/>
    </xf>
    <xf numFmtId="211" fontId="17" fillId="0" borderId="5" xfId="2526" applyNumberFormat="1" applyFont="1" applyFill="1" applyBorder="1" applyAlignment="1" applyProtection="1">
      <alignment horizontal="right" vertical="center"/>
      <protection locked="0"/>
    </xf>
    <xf numFmtId="211" fontId="3" fillId="0" borderId="26" xfId="2526" applyNumberFormat="1" applyFont="1" applyBorder="1" applyAlignment="1" applyProtection="1">
      <alignment horizontal="center" vertical="center"/>
      <protection locked="0"/>
    </xf>
    <xf numFmtId="211" fontId="3" fillId="0" borderId="27" xfId="2526" applyNumberFormat="1" applyFont="1" applyBorder="1" applyAlignment="1" applyProtection="1">
      <alignment horizontal="center" vertical="center"/>
      <protection locked="0"/>
    </xf>
    <xf numFmtId="0" fontId="17" fillId="2" borderId="8" xfId="0" applyFont="1" applyFill="1" applyBorder="1" applyAlignment="1">
      <alignment horizontal="center" vertical="center" wrapText="1"/>
    </xf>
    <xf numFmtId="0" fontId="17" fillId="0" borderId="54" xfId="0" applyFont="1" applyBorder="1" applyAlignment="1">
      <alignment horizontal="center" vertical="center"/>
    </xf>
    <xf numFmtId="211" fontId="17" fillId="0" borderId="16" xfId="2526" applyNumberFormat="1" applyFont="1" applyFill="1" applyBorder="1" applyAlignment="1" applyProtection="1">
      <alignment horizontal="right" vertical="center"/>
      <protection locked="0"/>
    </xf>
    <xf numFmtId="211" fontId="3" fillId="0" borderId="68" xfId="2526" applyNumberFormat="1" applyFont="1" applyBorder="1" applyAlignment="1" applyProtection="1">
      <alignment horizontal="center" vertical="center"/>
      <protection locked="0"/>
    </xf>
    <xf numFmtId="0" fontId="44" fillId="0" borderId="0" xfId="0" applyFont="1" applyAlignment="1">
      <alignment vertical="center"/>
    </xf>
    <xf numFmtId="0" fontId="17" fillId="0" borderId="0" xfId="0" applyFont="1" applyAlignment="1">
      <alignment horizontal="center" vertical="center"/>
    </xf>
    <xf numFmtId="211" fontId="17" fillId="0" borderId="0" xfId="2526" applyNumberFormat="1" applyFont="1" applyFill="1" applyBorder="1" applyAlignment="1" applyProtection="1">
      <alignment horizontal="right" vertical="center"/>
      <protection locked="0"/>
    </xf>
    <xf numFmtId="211" fontId="3" fillId="0" borderId="0" xfId="2526" applyNumberFormat="1" applyFont="1" applyFill="1" applyBorder="1" applyAlignment="1" applyProtection="1">
      <alignment vertical="center"/>
      <protection locked="0"/>
    </xf>
    <xf numFmtId="0" fontId="17" fillId="2" borderId="0" xfId="0" applyFont="1" applyFill="1" applyAlignment="1">
      <alignment horizontal="center" vertical="center" wrapText="1"/>
    </xf>
    <xf numFmtId="0" fontId="45" fillId="0" borderId="0" xfId="0" applyFont="1" applyAlignment="1">
      <alignment vertical="center"/>
    </xf>
    <xf numFmtId="0" fontId="42" fillId="0" borderId="0" xfId="2690" applyFont="1"/>
    <xf numFmtId="0" fontId="4" fillId="0" borderId="0" xfId="0" applyFont="1" applyAlignment="1" applyProtection="1">
      <alignment horizontal="left" vertical="center" wrapText="1"/>
      <protection locked="0"/>
    </xf>
    <xf numFmtId="0" fontId="19" fillId="7" borderId="33" xfId="0" applyFont="1" applyFill="1" applyBorder="1" applyAlignment="1">
      <alignment horizontal="center" vertical="center" wrapText="1"/>
    </xf>
    <xf numFmtId="0" fontId="19" fillId="7" borderId="12" xfId="0" applyFont="1" applyFill="1" applyBorder="1" applyAlignment="1">
      <alignment horizontal="center" vertical="center" wrapText="1"/>
    </xf>
    <xf numFmtId="0" fontId="4" fillId="0" borderId="0" xfId="0" applyFont="1" applyAlignment="1" applyProtection="1">
      <alignment horizontal="left" vertical="center"/>
      <protection locked="0"/>
    </xf>
    <xf numFmtId="0" fontId="1" fillId="2" borderId="4" xfId="0" applyFont="1" applyFill="1" applyBorder="1" applyAlignment="1" applyProtection="1">
      <alignment horizontal="center" vertical="center" wrapText="1"/>
      <protection locked="0"/>
    </xf>
    <xf numFmtId="0" fontId="1" fillId="0" borderId="5" xfId="0" applyFont="1" applyBorder="1" applyAlignment="1" applyProtection="1">
      <alignment horizontal="left" vertical="center" wrapText="1"/>
      <protection locked="0"/>
    </xf>
    <xf numFmtId="0" fontId="1" fillId="2" borderId="5" xfId="0" applyFont="1" applyFill="1" applyBorder="1" applyAlignment="1" applyProtection="1">
      <alignment horizontal="center" vertical="center" wrapText="1"/>
      <protection locked="0"/>
    </xf>
    <xf numFmtId="0" fontId="1" fillId="0" borderId="5" xfId="0" applyFont="1" applyBorder="1" applyAlignment="1" applyProtection="1">
      <alignment horizontal="left" vertical="center"/>
      <protection locked="0"/>
    </xf>
    <xf numFmtId="0" fontId="1" fillId="0" borderId="5" xfId="0" applyFont="1" applyBorder="1" applyAlignment="1" applyProtection="1">
      <alignment vertical="top" wrapText="1"/>
      <protection locked="0"/>
    </xf>
    <xf numFmtId="0" fontId="1" fillId="2" borderId="5" xfId="0" applyFont="1" applyFill="1" applyBorder="1" applyAlignment="1" applyProtection="1">
      <alignment horizontal="left" vertical="center" wrapText="1"/>
      <protection locked="0"/>
    </xf>
    <xf numFmtId="0" fontId="1" fillId="0" borderId="5" xfId="0" applyFont="1" applyBorder="1" applyAlignment="1" applyProtection="1">
      <alignment vertical="center" wrapText="1"/>
      <protection locked="0"/>
    </xf>
    <xf numFmtId="0" fontId="3" fillId="0" borderId="5" xfId="0" applyFont="1" applyBorder="1" applyAlignment="1" applyProtection="1">
      <alignment horizontal="left" vertical="center" wrapText="1"/>
      <protection locked="0"/>
    </xf>
    <xf numFmtId="0" fontId="1" fillId="2" borderId="5" xfId="0" applyFont="1" applyFill="1" applyBorder="1" applyAlignment="1" applyProtection="1">
      <alignment vertical="center" wrapText="1"/>
      <protection locked="0"/>
    </xf>
    <xf numFmtId="0" fontId="1" fillId="2" borderId="14" xfId="0" applyFont="1" applyFill="1" applyBorder="1" applyAlignment="1" applyProtection="1">
      <alignment horizontal="center" vertical="center" wrapText="1"/>
      <protection locked="0"/>
    </xf>
    <xf numFmtId="0" fontId="2" fillId="0" borderId="16" xfId="0" applyFont="1" applyBorder="1" applyAlignment="1" applyProtection="1">
      <alignment horizontal="left" vertical="center" wrapText="1"/>
      <protection locked="0"/>
    </xf>
    <xf numFmtId="0" fontId="17" fillId="0" borderId="16" xfId="0" applyFont="1" applyBorder="1" applyAlignment="1" applyProtection="1">
      <alignment vertical="center" wrapText="1"/>
      <protection locked="0"/>
    </xf>
    <xf numFmtId="0" fontId="1" fillId="0" borderId="16" xfId="0" applyFont="1" applyBorder="1" applyAlignment="1" applyProtection="1">
      <alignment horizontal="center" vertical="center" wrapText="1"/>
      <protection locked="0"/>
    </xf>
    <xf numFmtId="0" fontId="1" fillId="0" borderId="16" xfId="0" applyFont="1" applyBorder="1" applyAlignment="1" applyProtection="1">
      <alignment horizontal="left" vertical="center" wrapText="1"/>
      <protection locked="0"/>
    </xf>
    <xf numFmtId="0" fontId="1" fillId="0" borderId="16" xfId="0" applyFont="1" applyBorder="1" applyAlignment="1" applyProtection="1">
      <alignment vertical="center" wrapText="1"/>
      <protection locked="0"/>
    </xf>
    <xf numFmtId="0" fontId="19" fillId="8" borderId="0" xfId="665" applyFont="1" applyFill="1" applyAlignment="1" applyProtection="1">
      <alignment horizontal="left" vertical="center"/>
      <protection locked="0"/>
    </xf>
    <xf numFmtId="0" fontId="17" fillId="0" borderId="20" xfId="0" applyFont="1" applyBorder="1" applyAlignment="1" applyProtection="1">
      <alignment horizontal="left" vertical="center"/>
      <protection locked="0"/>
    </xf>
    <xf numFmtId="0" fontId="3" fillId="0" borderId="20" xfId="0" applyFont="1" applyBorder="1" applyAlignment="1" applyProtection="1">
      <alignment horizontal="left" vertical="center"/>
      <protection locked="0"/>
    </xf>
    <xf numFmtId="0" fontId="17" fillId="0" borderId="20" xfId="0" applyFont="1" applyBorder="1" applyAlignment="1" applyProtection="1">
      <alignment horizontal="center" vertical="center" wrapText="1"/>
      <protection locked="0"/>
    </xf>
    <xf numFmtId="0" fontId="17" fillId="0" borderId="20" xfId="0" applyFont="1" applyBorder="1" applyAlignment="1" applyProtection="1">
      <alignment horizontal="left" vertical="center" wrapText="1"/>
      <protection locked="0"/>
    </xf>
    <xf numFmtId="0" fontId="1" fillId="8" borderId="69" xfId="665" applyFont="1" applyFill="1" applyBorder="1" applyAlignment="1" applyProtection="1">
      <alignment horizontal="center" vertical="center"/>
      <protection locked="0"/>
    </xf>
    <xf numFmtId="0" fontId="17" fillId="0" borderId="70" xfId="0" applyFont="1" applyBorder="1" applyAlignment="1" applyProtection="1">
      <alignment horizontal="center" vertical="center" wrapText="1"/>
      <protection locked="0"/>
    </xf>
    <xf numFmtId="0" fontId="17" fillId="0" borderId="71" xfId="0" applyFont="1" applyBorder="1" applyAlignment="1" applyProtection="1">
      <alignment horizontal="left" vertical="center" wrapText="1"/>
      <protection locked="0"/>
    </xf>
    <xf numFmtId="0" fontId="17" fillId="0" borderId="72" xfId="2387" applyFont="1" applyBorder="1" applyAlignment="1" applyProtection="1">
      <alignment horizontal="left" vertical="center" wrapText="1"/>
      <protection locked="0"/>
    </xf>
    <xf numFmtId="0" fontId="16" fillId="13" borderId="1" xfId="701" applyFont="1" applyFill="1" applyBorder="1" applyAlignment="1" applyProtection="1">
      <alignment horizontal="left" vertical="center"/>
      <protection locked="0"/>
    </xf>
    <xf numFmtId="0" fontId="3" fillId="13" borderId="2" xfId="701" applyFont="1" applyFill="1" applyBorder="1" applyAlignment="1" applyProtection="1">
      <alignment vertical="center"/>
      <protection locked="0"/>
    </xf>
    <xf numFmtId="0" fontId="2" fillId="13" borderId="2" xfId="701" applyFont="1" applyFill="1" applyBorder="1" applyAlignment="1" applyProtection="1">
      <alignment vertical="center"/>
      <protection locked="0"/>
    </xf>
    <xf numFmtId="0" fontId="3" fillId="13" borderId="18" xfId="701" applyFont="1" applyFill="1" applyBorder="1" applyAlignment="1" applyProtection="1">
      <alignment vertical="center"/>
      <protection locked="0"/>
    </xf>
    <xf numFmtId="0" fontId="4" fillId="0" borderId="0" xfId="733" applyFont="1" applyAlignment="1" applyProtection="1">
      <alignment vertical="center" shrinkToFit="1"/>
      <protection locked="0"/>
    </xf>
    <xf numFmtId="0" fontId="3" fillId="0" borderId="19" xfId="701" applyFont="1" applyBorder="1" applyAlignment="1" applyProtection="1">
      <alignment vertical="center"/>
      <protection locked="0"/>
    </xf>
    <xf numFmtId="0" fontId="3" fillId="0" borderId="20" xfId="701" applyFont="1" applyBorder="1" applyAlignment="1" applyProtection="1">
      <alignment vertical="center"/>
      <protection locked="0"/>
    </xf>
    <xf numFmtId="0" fontId="2" fillId="0" borderId="20" xfId="701" applyFont="1" applyBorder="1" applyAlignment="1" applyProtection="1">
      <alignment vertical="center"/>
      <protection locked="0"/>
    </xf>
    <xf numFmtId="0" fontId="3" fillId="0" borderId="21" xfId="701" applyFont="1" applyBorder="1" applyAlignment="1" applyProtection="1">
      <alignment horizontal="left" vertical="center"/>
      <protection locked="0"/>
    </xf>
    <xf numFmtId="0" fontId="19" fillId="0" borderId="45" xfId="698" applyFont="1" applyBorder="1" applyAlignment="1">
      <alignment vertical="center"/>
    </xf>
    <xf numFmtId="0" fontId="1" fillId="0" borderId="13" xfId="698" applyFont="1" applyBorder="1" applyAlignment="1">
      <alignment vertical="center"/>
    </xf>
    <xf numFmtId="0" fontId="2" fillId="0" borderId="47" xfId="698" applyFont="1" applyBorder="1" applyAlignment="1">
      <alignment horizontal="left" vertical="center"/>
    </xf>
    <xf numFmtId="0" fontId="1" fillId="0" borderId="28" xfId="698" applyFont="1" applyBorder="1" applyAlignment="1">
      <alignment vertical="center" wrapText="1"/>
    </xf>
    <xf numFmtId="0" fontId="2" fillId="0" borderId="4" xfId="698" applyFont="1" applyBorder="1" applyAlignment="1">
      <alignment horizontal="left" vertical="center"/>
    </xf>
    <xf numFmtId="0" fontId="1" fillId="0" borderId="25" xfId="698" applyFont="1" applyBorder="1" applyAlignment="1">
      <alignment vertical="center" wrapText="1"/>
    </xf>
    <xf numFmtId="0" fontId="1" fillId="0" borderId="25" xfId="698" applyFont="1" applyBorder="1" applyAlignment="1">
      <alignment horizontal="left" vertical="center" wrapText="1"/>
    </xf>
    <xf numFmtId="0" fontId="46" fillId="0" borderId="4" xfId="0" applyFont="1" applyBorder="1" applyAlignment="1">
      <alignment horizontal="left" vertical="center"/>
    </xf>
    <xf numFmtId="0" fontId="17" fillId="0" borderId="25" xfId="0" applyFont="1" applyBorder="1" applyAlignment="1">
      <alignment vertical="center" wrapText="1"/>
    </xf>
    <xf numFmtId="0" fontId="17" fillId="0" borderId="25" xfId="0" applyFont="1" applyBorder="1" applyAlignment="1">
      <alignment horizontal="left" vertical="center" wrapText="1"/>
    </xf>
    <xf numFmtId="0" fontId="2" fillId="0" borderId="14" xfId="698" applyFont="1" applyBorder="1" applyAlignment="1">
      <alignment horizontal="left" vertical="center"/>
    </xf>
    <xf numFmtId="0" fontId="1" fillId="0" borderId="17" xfId="698" applyFont="1" applyBorder="1" applyAlignment="1">
      <alignment vertical="center" wrapText="1"/>
    </xf>
    <xf numFmtId="0" fontId="3" fillId="2" borderId="0" xfId="0" applyFont="1" applyFill="1" applyAlignment="1" applyProtection="1">
      <alignment horizontal="left"/>
      <protection locked="0"/>
    </xf>
    <xf numFmtId="0" fontId="16" fillId="10" borderId="13" xfId="0" applyFont="1" applyFill="1" applyBorder="1" applyAlignment="1">
      <alignment horizontal="center" vertical="center" wrapText="1"/>
    </xf>
    <xf numFmtId="0" fontId="3" fillId="0" borderId="0" xfId="0" applyFont="1" applyAlignment="1" applyProtection="1">
      <alignment horizontal="center" vertical="center" wrapText="1"/>
      <protection locked="0"/>
    </xf>
    <xf numFmtId="0" fontId="3" fillId="0" borderId="5" xfId="0" applyFont="1" applyBorder="1" applyAlignment="1" applyProtection="1">
      <alignment horizontal="center" vertical="center"/>
      <protection locked="0"/>
    </xf>
    <xf numFmtId="0" fontId="42" fillId="2" borderId="5" xfId="0" applyFont="1" applyFill="1" applyBorder="1" applyAlignment="1" applyProtection="1">
      <alignment horizontal="center" vertical="center" wrapText="1"/>
      <protection locked="0"/>
    </xf>
    <xf numFmtId="0" fontId="1" fillId="2" borderId="25" xfId="2690" applyFont="1" applyFill="1" applyBorder="1" applyAlignment="1" applyProtection="1">
      <alignment horizontal="center" vertical="center" wrapText="1"/>
      <protection locked="0"/>
    </xf>
    <xf numFmtId="0" fontId="1" fillId="2" borderId="25" xfId="2690" applyFont="1" applyFill="1" applyBorder="1" applyAlignment="1" applyProtection="1">
      <alignment horizontal="left" vertical="center" wrapText="1"/>
      <protection locked="0"/>
    </xf>
    <xf numFmtId="0" fontId="42" fillId="2" borderId="5" xfId="2690" applyFont="1" applyFill="1" applyBorder="1" applyAlignment="1" applyProtection="1">
      <alignment horizontal="center" vertical="center" wrapText="1"/>
      <protection locked="0"/>
    </xf>
    <xf numFmtId="0" fontId="37" fillId="0" borderId="23" xfId="0" applyFont="1" applyBorder="1" applyAlignment="1">
      <alignment wrapText="1"/>
    </xf>
    <xf numFmtId="0" fontId="3" fillId="0" borderId="16" xfId="0" applyFont="1" applyBorder="1" applyAlignment="1" applyProtection="1">
      <alignment horizontal="center" vertical="center"/>
      <protection locked="0"/>
    </xf>
    <xf numFmtId="0" fontId="42" fillId="2" borderId="16" xfId="0" applyFont="1" applyFill="1" applyBorder="1" applyAlignment="1" applyProtection="1">
      <alignment horizontal="center" vertical="center" wrapText="1"/>
      <protection locked="0"/>
    </xf>
    <xf numFmtId="0" fontId="1" fillId="0" borderId="17" xfId="0" applyFont="1" applyBorder="1" applyAlignment="1" applyProtection="1">
      <alignment vertical="center" wrapText="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horizontal="left" vertical="center" wrapText="1"/>
      <protection locked="0"/>
    </xf>
    <xf numFmtId="0" fontId="3" fillId="0" borderId="73" xfId="0" applyFont="1" applyBorder="1" applyAlignment="1" applyProtection="1">
      <alignment horizontal="center" vertical="center"/>
      <protection locked="0"/>
    </xf>
    <xf numFmtId="0" fontId="17" fillId="0" borderId="74" xfId="0" applyFont="1" applyBorder="1" applyAlignment="1" applyProtection="1">
      <alignment vertical="center" wrapText="1"/>
      <protection locked="0"/>
    </xf>
    <xf numFmtId="0" fontId="2" fillId="0" borderId="0" xfId="0" applyFont="1" applyAlignment="1" applyProtection="1">
      <alignment horizontal="left" vertical="center"/>
      <protection locked="0"/>
    </xf>
    <xf numFmtId="0" fontId="3" fillId="0" borderId="0" xfId="0" applyFont="1" applyProtection="1">
      <protection locked="0"/>
    </xf>
    <xf numFmtId="0" fontId="17" fillId="0" borderId="0" xfId="0" applyFont="1" applyAlignment="1" applyProtection="1">
      <alignment vertical="center" wrapText="1"/>
      <protection locked="0"/>
    </xf>
    <xf numFmtId="0" fontId="17" fillId="0" borderId="0" xfId="0" applyFont="1" applyProtection="1">
      <protection locked="0"/>
    </xf>
    <xf numFmtId="0" fontId="42" fillId="0" borderId="0" xfId="646" applyFont="1" applyBorder="1" applyAlignment="1" applyProtection="1">
      <alignment horizontal="center" vertical="center"/>
      <protection locked="0"/>
    </xf>
    <xf numFmtId="0" fontId="17" fillId="0" borderId="0" xfId="0" applyFont="1" applyAlignment="1" applyProtection="1">
      <alignment horizontal="left" vertical="center"/>
      <protection locked="0"/>
    </xf>
    <xf numFmtId="0" fontId="42" fillId="0" borderId="0" xfId="2690" applyFont="1" applyBorder="1" applyAlignment="1" applyProtection="1">
      <protection locked="0"/>
    </xf>
    <xf numFmtId="0" fontId="42" fillId="0" borderId="0" xfId="2690" applyFont="1" applyBorder="1" applyAlignment="1" applyProtection="1">
      <alignment vertical="center" wrapText="1"/>
      <protection locked="0"/>
    </xf>
    <xf numFmtId="0" fontId="47" fillId="0" borderId="71" xfId="636" quotePrefix="1" applyFont="1" applyBorder="1" applyAlignment="1" applyProtection="1">
      <alignment horizontal="center" vertical="center" wrapText="1"/>
      <protection locked="0"/>
    </xf>
    <xf numFmtId="49" fontId="3" fillId="8" borderId="0" xfId="0" applyNumberFormat="1" applyFont="1" applyFill="1" applyAlignment="1" applyProtection="1">
      <alignment horizontal="center" vertical="center" shrinkToFit="1"/>
      <protection locked="0"/>
    </xf>
    <xf numFmtId="0" fontId="1" fillId="0" borderId="2" xfId="837" applyFont="1" applyBorder="1">
      <alignment vertical="center"/>
    </xf>
    <xf numFmtId="0" fontId="31" fillId="0" borderId="3" xfId="2327" applyFont="1" applyBorder="1" applyAlignment="1" applyProtection="1">
      <alignment vertical="center"/>
      <protection locked="0"/>
    </xf>
    <xf numFmtId="10" fontId="3" fillId="0" borderId="0" xfId="2" applyNumberFormat="1" applyFont="1"/>
    <xf numFmtId="176" fontId="34" fillId="0" borderId="0" xfId="1" applyFont="1" applyFill="1" applyBorder="1" applyProtection="1"/>
    <xf numFmtId="49" fontId="1" fillId="0" borderId="52" xfId="2334" applyNumberFormat="1" applyFont="1" applyBorder="1" applyAlignment="1">
      <alignment horizontal="left" vertical="center" shrinkToFit="1"/>
    </xf>
    <xf numFmtId="49" fontId="31" fillId="0" borderId="51" xfId="2334" applyNumberFormat="1" applyFont="1" applyBorder="1" applyAlignment="1">
      <alignment horizontal="center" vertical="center" shrinkToFit="1"/>
    </xf>
    <xf numFmtId="0" fontId="3" fillId="0" borderId="3" xfId="837" applyFont="1" applyBorder="1">
      <alignment vertical="center"/>
    </xf>
    <xf numFmtId="176" fontId="3" fillId="0" borderId="0" xfId="284" applyFont="1" applyFill="1" applyBorder="1" applyAlignment="1">
      <alignment vertical="center"/>
    </xf>
    <xf numFmtId="0" fontId="3" fillId="0" borderId="23" xfId="837" applyFont="1" applyBorder="1">
      <alignment vertical="center"/>
    </xf>
    <xf numFmtId="10" fontId="2" fillId="0" borderId="0" xfId="2" applyNumberFormat="1" applyFont="1"/>
    <xf numFmtId="177" fontId="36" fillId="0" borderId="23" xfId="2365" applyFont="1" applyBorder="1" applyAlignment="1" applyProtection="1">
      <alignment vertical="center" wrapText="1"/>
    </xf>
    <xf numFmtId="177" fontId="3" fillId="0" borderId="0" xfId="2365" applyFont="1" applyAlignment="1" applyProtection="1">
      <alignment vertical="center"/>
    </xf>
    <xf numFmtId="177" fontId="36" fillId="0" borderId="0" xfId="2365" applyFont="1" applyAlignment="1" applyProtection="1">
      <alignment vertical="center" wrapText="1"/>
    </xf>
    <xf numFmtId="176" fontId="3" fillId="2" borderId="5" xfId="1" applyFont="1" applyFill="1" applyBorder="1"/>
    <xf numFmtId="0" fontId="3" fillId="2" borderId="5" xfId="1" applyNumberFormat="1" applyFont="1" applyFill="1" applyBorder="1"/>
    <xf numFmtId="176" fontId="3" fillId="0" borderId="5" xfId="1" applyFont="1" applyBorder="1"/>
    <xf numFmtId="0" fontId="3" fillId="0" borderId="5" xfId="1" applyNumberFormat="1" applyFont="1" applyBorder="1"/>
    <xf numFmtId="177" fontId="1" fillId="0" borderId="0" xfId="2365" applyFont="1" applyAlignment="1" applyProtection="1">
      <alignment vertical="center"/>
    </xf>
    <xf numFmtId="0" fontId="1" fillId="0" borderId="1" xfId="2327" applyFont="1" applyBorder="1" applyAlignment="1" applyProtection="1">
      <alignment vertical="center"/>
      <protection locked="0"/>
    </xf>
    <xf numFmtId="0" fontId="1" fillId="0" borderId="18" xfId="837" applyFont="1" applyBorder="1">
      <alignment vertical="center"/>
    </xf>
    <xf numFmtId="0" fontId="3" fillId="0" borderId="1" xfId="837" applyFont="1" applyBorder="1" applyAlignment="1">
      <alignment horizontal="left" vertical="center"/>
    </xf>
    <xf numFmtId="0" fontId="3" fillId="0" borderId="18" xfId="837" applyFont="1" applyBorder="1">
      <alignment vertical="center"/>
    </xf>
    <xf numFmtId="0" fontId="1" fillId="0" borderId="1" xfId="0" applyFont="1" applyBorder="1"/>
    <xf numFmtId="0" fontId="1" fillId="0" borderId="18" xfId="0" applyFont="1" applyBorder="1"/>
    <xf numFmtId="0" fontId="2" fillId="0" borderId="3" xfId="0" applyFont="1" applyBorder="1"/>
    <xf numFmtId="0" fontId="1" fillId="5" borderId="81" xfId="0" applyFont="1" applyFill="1" applyBorder="1" applyAlignment="1">
      <alignment horizontal="center" vertical="center" wrapText="1"/>
    </xf>
    <xf numFmtId="0" fontId="1" fillId="5" borderId="82" xfId="0" applyFont="1" applyFill="1" applyBorder="1" applyAlignment="1">
      <alignment horizontal="center" vertical="center" wrapText="1"/>
    </xf>
    <xf numFmtId="176" fontId="3" fillId="0" borderId="0" xfId="2454" applyFont="1" applyFill="1" applyBorder="1" applyAlignment="1" applyProtection="1">
      <alignment vertical="top" wrapText="1"/>
      <protection locked="0"/>
    </xf>
    <xf numFmtId="0" fontId="13" fillId="2" borderId="0" xfId="734" applyFont="1" applyFill="1" applyAlignment="1">
      <alignment horizontal="center" vertical="center"/>
    </xf>
    <xf numFmtId="0" fontId="17" fillId="0" borderId="22" xfId="0" applyFont="1" applyBorder="1" applyAlignment="1" applyProtection="1">
      <alignment horizontal="left" vertical="center"/>
      <protection locked="0"/>
    </xf>
    <xf numFmtId="0" fontId="17" fillId="0" borderId="70" xfId="0" applyFont="1" applyBorder="1" applyAlignment="1" applyProtection="1">
      <alignment horizontal="left" vertical="center"/>
      <protection locked="0"/>
    </xf>
    <xf numFmtId="0" fontId="9" fillId="3" borderId="31" xfId="0" applyFont="1" applyFill="1" applyBorder="1" applyAlignment="1">
      <alignment horizontal="left" vertical="center"/>
    </xf>
    <xf numFmtId="0" fontId="9" fillId="3" borderId="32" xfId="0" applyFont="1" applyFill="1" applyBorder="1" applyAlignment="1">
      <alignment horizontal="left" vertical="center"/>
    </xf>
    <xf numFmtId="0" fontId="9" fillId="3" borderId="6" xfId="0" applyFont="1" applyFill="1" applyBorder="1" applyAlignment="1">
      <alignment horizontal="left" vertical="center"/>
    </xf>
    <xf numFmtId="0" fontId="7" fillId="0" borderId="31" xfId="0" applyFont="1" applyBorder="1" applyAlignment="1">
      <alignment horizontal="left" vertical="center" wrapText="1"/>
    </xf>
    <xf numFmtId="0" fontId="7" fillId="0" borderId="32" xfId="0" applyFont="1" applyBorder="1" applyAlignment="1">
      <alignment horizontal="left" vertical="center" wrapText="1"/>
    </xf>
    <xf numFmtId="0" fontId="7" fillId="0" borderId="6" xfId="0" applyFont="1" applyBorder="1" applyAlignment="1">
      <alignment horizontal="left" vertical="center" wrapText="1"/>
    </xf>
    <xf numFmtId="0" fontId="1" fillId="0" borderId="1" xfId="676" applyFont="1" applyBorder="1" applyAlignment="1" applyProtection="1">
      <alignment horizontal="left" vertical="center" wrapText="1"/>
      <protection locked="0"/>
    </xf>
    <xf numFmtId="0" fontId="1" fillId="0" borderId="2" xfId="676" applyFont="1" applyBorder="1" applyAlignment="1" applyProtection="1">
      <alignment horizontal="left" vertical="center" wrapText="1"/>
      <protection locked="0"/>
    </xf>
    <xf numFmtId="0" fontId="1" fillId="0" borderId="18" xfId="676" applyFont="1" applyBorder="1" applyAlignment="1" applyProtection="1">
      <alignment horizontal="left" vertical="center" wrapText="1"/>
      <protection locked="0"/>
    </xf>
    <xf numFmtId="0" fontId="1" fillId="0" borderId="3" xfId="676" applyFont="1" applyBorder="1" applyAlignment="1" applyProtection="1">
      <alignment horizontal="left" vertical="center" wrapText="1"/>
      <protection locked="0"/>
    </xf>
    <xf numFmtId="0" fontId="1" fillId="0" borderId="0" xfId="676" applyFont="1" applyAlignment="1" applyProtection="1">
      <alignment horizontal="left" vertical="center" wrapText="1"/>
      <protection locked="0"/>
    </xf>
    <xf numFmtId="0" fontId="1" fillId="0" borderId="23" xfId="676" applyFont="1" applyBorder="1" applyAlignment="1" applyProtection="1">
      <alignment horizontal="left" vertical="center" wrapText="1"/>
      <protection locked="0"/>
    </xf>
    <xf numFmtId="0" fontId="1" fillId="0" borderId="19" xfId="676" applyFont="1" applyBorder="1" applyAlignment="1" applyProtection="1">
      <alignment horizontal="left" vertical="center" wrapText="1"/>
      <protection locked="0"/>
    </xf>
    <xf numFmtId="0" fontId="1" fillId="0" borderId="20" xfId="676" applyFont="1" applyBorder="1" applyAlignment="1" applyProtection="1">
      <alignment horizontal="left" vertical="center" wrapText="1"/>
      <protection locked="0"/>
    </xf>
    <xf numFmtId="0" fontId="1" fillId="0" borderId="21" xfId="676" applyFont="1" applyBorder="1" applyAlignment="1" applyProtection="1">
      <alignment horizontal="left" vertical="center" wrapText="1"/>
      <protection locked="0"/>
    </xf>
    <xf numFmtId="209" fontId="40" fillId="0" borderId="1" xfId="694" applyNumberFormat="1" applyFont="1" applyBorder="1" applyAlignment="1">
      <alignment horizontal="left" vertical="center" wrapText="1"/>
    </xf>
    <xf numFmtId="209" fontId="40" fillId="0" borderId="2" xfId="694" applyNumberFormat="1" applyFont="1" applyBorder="1" applyAlignment="1">
      <alignment horizontal="left" vertical="center" wrapText="1"/>
    </xf>
    <xf numFmtId="209" fontId="40" fillId="0" borderId="18" xfId="694" applyNumberFormat="1" applyFont="1" applyBorder="1" applyAlignment="1">
      <alignment horizontal="left" vertical="center" wrapText="1"/>
    </xf>
    <xf numFmtId="209" fontId="40" fillId="0" borderId="3" xfId="694" applyNumberFormat="1" applyFont="1" applyBorder="1" applyAlignment="1">
      <alignment horizontal="left" vertical="center" wrapText="1"/>
    </xf>
    <xf numFmtId="209" fontId="40" fillId="0" borderId="0" xfId="694" applyNumberFormat="1" applyFont="1" applyAlignment="1">
      <alignment horizontal="left" vertical="center" wrapText="1"/>
    </xf>
    <xf numFmtId="209" fontId="40" fillId="0" borderId="23" xfId="694" applyNumberFormat="1" applyFont="1" applyBorder="1" applyAlignment="1">
      <alignment horizontal="left" vertical="center" wrapText="1"/>
    </xf>
    <xf numFmtId="209" fontId="40" fillId="0" borderId="19" xfId="694" applyNumberFormat="1" applyFont="1" applyBorder="1" applyAlignment="1">
      <alignment horizontal="left" vertical="center" wrapText="1"/>
    </xf>
    <xf numFmtId="209" fontId="40" fillId="0" borderId="20" xfId="694" applyNumberFormat="1" applyFont="1" applyBorder="1" applyAlignment="1">
      <alignment horizontal="left" vertical="center" wrapText="1"/>
    </xf>
    <xf numFmtId="209" fontId="40" fillId="0" borderId="21" xfId="694" applyNumberFormat="1" applyFont="1" applyBorder="1" applyAlignment="1">
      <alignment horizontal="left" vertical="center" wrapText="1"/>
    </xf>
    <xf numFmtId="177" fontId="3" fillId="0" borderId="0" xfId="2365" applyFont="1" applyAlignment="1" applyProtection="1">
      <alignment horizontal="left" vertical="center" wrapText="1"/>
    </xf>
    <xf numFmtId="0" fontId="14" fillId="0" borderId="0" xfId="0" applyFont="1" applyAlignment="1">
      <alignment horizontal="center" vertical="center" wrapText="1"/>
    </xf>
    <xf numFmtId="0" fontId="7" fillId="0" borderId="5" xfId="0" applyFont="1" applyBorder="1" applyAlignment="1">
      <alignment horizontal="left" vertical="center" wrapText="1"/>
    </xf>
    <xf numFmtId="0" fontId="14" fillId="0" borderId="0" xfId="0" applyFont="1" applyAlignment="1">
      <alignment horizontal="center" vertical="center"/>
    </xf>
    <xf numFmtId="0" fontId="9" fillId="3" borderId="5" xfId="0" applyFont="1" applyFill="1" applyBorder="1" applyAlignment="1">
      <alignment horizontal="left" vertical="center"/>
    </xf>
    <xf numFmtId="0" fontId="7" fillId="0" borderId="31" xfId="706" applyFont="1" applyBorder="1" applyAlignment="1">
      <alignment horizontal="left" vertical="center" wrapText="1"/>
    </xf>
    <xf numFmtId="0" fontId="7" fillId="0" borderId="32" xfId="706" applyFont="1" applyBorder="1" applyAlignment="1">
      <alignment horizontal="left" vertical="center" wrapText="1"/>
    </xf>
    <xf numFmtId="0" fontId="7" fillId="0" borderId="6" xfId="706" applyFont="1" applyBorder="1" applyAlignment="1">
      <alignment horizontal="left" vertical="center" wrapText="1"/>
    </xf>
    <xf numFmtId="0" fontId="3" fillId="0" borderId="0" xfId="2454" applyNumberFormat="1" applyFont="1" applyFill="1" applyBorder="1" applyAlignment="1" applyProtection="1">
      <alignment horizontal="left" vertical="top" wrapText="1"/>
      <protection locked="0"/>
    </xf>
    <xf numFmtId="176" fontId="3" fillId="0" borderId="0" xfId="2454" applyFont="1" applyFill="1" applyBorder="1" applyAlignment="1" applyProtection="1">
      <alignment vertical="top" wrapText="1"/>
      <protection locked="0"/>
    </xf>
    <xf numFmtId="0" fontId="3" fillId="2" borderId="81" xfId="734" applyFont="1" applyFill="1" applyBorder="1" applyAlignment="1">
      <alignment horizontal="center" vertical="center"/>
    </xf>
    <xf numFmtId="0" fontId="3" fillId="2" borderId="22" xfId="734" applyFont="1" applyFill="1" applyBorder="1" applyAlignment="1">
      <alignment horizontal="center" vertical="center"/>
    </xf>
    <xf numFmtId="0" fontId="3" fillId="2" borderId="82" xfId="734" applyFont="1" applyFill="1" applyBorder="1" applyAlignment="1">
      <alignment horizontal="center" vertical="center"/>
    </xf>
    <xf numFmtId="0" fontId="22" fillId="0" borderId="31" xfId="734" applyFont="1" applyBorder="1" applyAlignment="1">
      <alignment horizontal="left" vertical="center"/>
    </xf>
    <xf numFmtId="0" fontId="22" fillId="0" borderId="32" xfId="734" applyFont="1" applyBorder="1" applyAlignment="1">
      <alignment horizontal="left" vertical="center"/>
    </xf>
    <xf numFmtId="0" fontId="22" fillId="0" borderId="6" xfId="734" applyFont="1" applyBorder="1" applyAlignment="1">
      <alignment horizontal="left" vertical="center"/>
    </xf>
    <xf numFmtId="0" fontId="13" fillId="2" borderId="0" xfId="734" applyFont="1" applyFill="1" applyAlignment="1">
      <alignment horizontal="center" vertical="center"/>
    </xf>
    <xf numFmtId="0" fontId="22" fillId="0" borderId="31" xfId="734" applyFont="1" applyBorder="1" applyAlignment="1">
      <alignment horizontal="left" vertical="center" wrapText="1"/>
    </xf>
    <xf numFmtId="0" fontId="27" fillId="0" borderId="32" xfId="734" applyFont="1" applyBorder="1" applyAlignment="1">
      <alignment horizontal="left" vertical="center" wrapText="1"/>
    </xf>
    <xf numFmtId="0" fontId="27" fillId="0" borderId="6" xfId="734" applyFont="1" applyBorder="1" applyAlignment="1">
      <alignment horizontal="left" vertical="center" wrapText="1"/>
    </xf>
    <xf numFmtId="0" fontId="22" fillId="0" borderId="32" xfId="734" applyFont="1" applyBorder="1" applyAlignment="1">
      <alignment horizontal="left" vertical="center" wrapText="1"/>
    </xf>
    <xf numFmtId="0" fontId="22" fillId="0" borderId="6" xfId="734" applyFont="1" applyBorder="1" applyAlignment="1">
      <alignment horizontal="left" vertical="center" wrapText="1"/>
    </xf>
    <xf numFmtId="0" fontId="8" fillId="3" borderId="31" xfId="734" applyFont="1" applyFill="1" applyBorder="1" applyAlignment="1">
      <alignment horizontal="left" vertical="center"/>
    </xf>
    <xf numFmtId="0" fontId="26" fillId="3" borderId="32" xfId="734" applyFont="1" applyFill="1" applyBorder="1" applyAlignment="1">
      <alignment horizontal="left" vertical="center"/>
    </xf>
    <xf numFmtId="0" fontId="26" fillId="3" borderId="6" xfId="734" applyFont="1" applyFill="1" applyBorder="1" applyAlignment="1">
      <alignment horizontal="left" vertical="center"/>
    </xf>
    <xf numFmtId="0" fontId="22" fillId="0" borderId="26" xfId="0" applyFont="1" applyBorder="1" applyAlignment="1">
      <alignment horizontal="left" vertical="top" wrapText="1"/>
    </xf>
    <xf numFmtId="0" fontId="7" fillId="0" borderId="27" xfId="0" applyFont="1" applyBorder="1" applyAlignment="1">
      <alignment horizontal="left" vertical="top" wrapText="1"/>
    </xf>
    <xf numFmtId="0" fontId="7" fillId="0" borderId="28" xfId="0" applyFont="1" applyBorder="1" applyAlignment="1">
      <alignment horizontal="left" vertical="top" wrapText="1"/>
    </xf>
    <xf numFmtId="0" fontId="1" fillId="0" borderId="1" xfId="2327" applyFont="1" applyBorder="1" applyAlignment="1" applyProtection="1">
      <alignment horizontal="left" vertical="center" wrapText="1"/>
      <protection locked="0"/>
    </xf>
    <xf numFmtId="0" fontId="1" fillId="0" borderId="2" xfId="2327" applyFont="1" applyBorder="1" applyAlignment="1" applyProtection="1">
      <alignment horizontal="left" vertical="center"/>
      <protection locked="0"/>
    </xf>
    <xf numFmtId="0" fontId="1" fillId="0" borderId="18" xfId="2327" applyFont="1" applyBorder="1" applyAlignment="1" applyProtection="1">
      <alignment horizontal="left" vertical="center"/>
      <protection locked="0"/>
    </xf>
    <xf numFmtId="0" fontId="1" fillId="0" borderId="3" xfId="2327" applyFont="1" applyBorder="1" applyAlignment="1" applyProtection="1">
      <alignment horizontal="left" vertical="center"/>
      <protection locked="0"/>
    </xf>
    <xf numFmtId="0" fontId="1" fillId="0" borderId="0" xfId="2327" applyFont="1" applyAlignment="1" applyProtection="1">
      <alignment horizontal="left" vertical="center"/>
      <protection locked="0"/>
    </xf>
    <xf numFmtId="0" fontId="1" fillId="0" borderId="23" xfId="2327" applyFont="1" applyBorder="1" applyAlignment="1" applyProtection="1">
      <alignment horizontal="left" vertical="center"/>
      <protection locked="0"/>
    </xf>
    <xf numFmtId="0" fontId="1" fillId="0" borderId="19" xfId="2327" applyFont="1" applyBorder="1" applyAlignment="1" applyProtection="1">
      <alignment horizontal="left" vertical="center"/>
      <protection locked="0"/>
    </xf>
    <xf numFmtId="0" fontId="1" fillId="0" borderId="20" xfId="2327" applyFont="1" applyBorder="1" applyAlignment="1" applyProtection="1">
      <alignment horizontal="left" vertical="center"/>
      <protection locked="0"/>
    </xf>
    <xf numFmtId="0" fontId="1" fillId="0" borderId="21" xfId="2327" applyFont="1" applyBorder="1" applyAlignment="1" applyProtection="1">
      <alignment horizontal="left" vertical="center"/>
      <protection locked="0"/>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18" xfId="0" applyFont="1" applyBorder="1" applyAlignment="1">
      <alignment horizontal="left" vertical="center" wrapText="1"/>
    </xf>
    <xf numFmtId="0" fontId="1" fillId="0" borderId="3" xfId="0" applyFont="1" applyBorder="1" applyAlignment="1">
      <alignment horizontal="left" vertical="center" wrapText="1"/>
    </xf>
    <xf numFmtId="0" fontId="1" fillId="0" borderId="0" xfId="0" applyFont="1" applyAlignment="1">
      <alignment horizontal="left" vertical="center" wrapText="1"/>
    </xf>
    <xf numFmtId="0" fontId="1" fillId="0" borderId="23" xfId="0" applyFont="1" applyBorder="1" applyAlignment="1">
      <alignment horizontal="left" vertical="center" wrapText="1"/>
    </xf>
    <xf numFmtId="0" fontId="1" fillId="0" borderId="19" xfId="0" applyFont="1" applyBorder="1" applyAlignment="1">
      <alignment horizontal="left" vertical="center" wrapText="1"/>
    </xf>
    <xf numFmtId="0" fontId="1" fillId="0" borderId="20" xfId="0" applyFont="1" applyBorder="1" applyAlignment="1">
      <alignment horizontal="left" vertical="center" wrapText="1"/>
    </xf>
    <xf numFmtId="0" fontId="1" fillId="0" borderId="21" xfId="0" applyFont="1" applyBorder="1" applyAlignment="1">
      <alignment horizontal="left" vertical="center" wrapText="1"/>
    </xf>
    <xf numFmtId="0" fontId="7" fillId="0" borderId="5" xfId="711" applyFont="1" applyBorder="1" applyAlignment="1">
      <alignment horizontal="left" vertical="center" wrapText="1"/>
    </xf>
  </cellXfs>
  <cellStyles count="2691">
    <cellStyle name="_x0004_" xfId="3" xr:uid="{00000000-0005-0000-0000-000031000000}"/>
    <cellStyle name="_x000a_mouse.drv=lm" xfId="4" xr:uid="{00000000-0005-0000-0000-000032000000}"/>
    <cellStyle name="_x000d__x000a_JournalTemplate=C:\COMFO\CTALK\JOURSTD.TPL_x000d__x000a_LbStateAddress=3 3 0 251 1 89 2 311_x000d__x000a_LbStateJou 5" xfId="5" xr:uid="{00000000-0005-0000-0000-000033000000}"/>
    <cellStyle name="?鹎%U龡&amp;H?_x0008__x001c__x001c_?_x0007__x0001__x0001_" xfId="6" xr:uid="{00000000-0005-0000-0000-000034000000}"/>
    <cellStyle name="?鹎%U龡&amp;H?_x0008__x001c__x001c_?_x0007__x0001__x0001_ 2" xfId="7" xr:uid="{00000000-0005-0000-0000-000035000000}"/>
    <cellStyle name="0%" xfId="8" xr:uid="{00000000-0005-0000-0000-000036000000}"/>
    <cellStyle name="0,0_x000d__x000a_NA_x000d__x000a_ 2" xfId="9" xr:uid="{00000000-0005-0000-0000-000037000000}"/>
    <cellStyle name="0.0%" xfId="10" xr:uid="{00000000-0005-0000-0000-000038000000}"/>
    <cellStyle name="0.00%" xfId="11" xr:uid="{00000000-0005-0000-0000-000039000000}"/>
    <cellStyle name="00" xfId="12" xr:uid="{00000000-0005-0000-0000-00003A000000}"/>
    <cellStyle name="Accent1" xfId="13" xr:uid="{00000000-0005-0000-0000-00003B000000}"/>
    <cellStyle name="Accent1 - 20%" xfId="14" xr:uid="{00000000-0005-0000-0000-00003C000000}"/>
    <cellStyle name="Accent1 - 40%" xfId="15" xr:uid="{00000000-0005-0000-0000-00003D000000}"/>
    <cellStyle name="Accent1 - 60%" xfId="16" xr:uid="{00000000-0005-0000-0000-00003E000000}"/>
    <cellStyle name="Accent1_RESULTS" xfId="17" xr:uid="{00000000-0005-0000-0000-00003F000000}"/>
    <cellStyle name="Accent2" xfId="18" xr:uid="{00000000-0005-0000-0000-000040000000}"/>
    <cellStyle name="Accent2 - 20%" xfId="19" xr:uid="{00000000-0005-0000-0000-000041000000}"/>
    <cellStyle name="Accent2 - 40%" xfId="20" xr:uid="{00000000-0005-0000-0000-000042000000}"/>
    <cellStyle name="Accent2 - 60%" xfId="21" xr:uid="{00000000-0005-0000-0000-000043000000}"/>
    <cellStyle name="Accent2_RESULTS" xfId="22" xr:uid="{00000000-0005-0000-0000-000044000000}"/>
    <cellStyle name="Accent3" xfId="23" xr:uid="{00000000-0005-0000-0000-000045000000}"/>
    <cellStyle name="Accent3 - 20%" xfId="24" xr:uid="{00000000-0005-0000-0000-000046000000}"/>
    <cellStyle name="Accent3 - 40%" xfId="25" xr:uid="{00000000-0005-0000-0000-000047000000}"/>
    <cellStyle name="Accent3 - 60%" xfId="26" xr:uid="{00000000-0005-0000-0000-000048000000}"/>
    <cellStyle name="Accent3_RESULTS" xfId="27" xr:uid="{00000000-0005-0000-0000-000049000000}"/>
    <cellStyle name="Accent4" xfId="28" xr:uid="{00000000-0005-0000-0000-00004A000000}"/>
    <cellStyle name="Accent4 - 20%" xfId="29" xr:uid="{00000000-0005-0000-0000-00004B000000}"/>
    <cellStyle name="Accent4 - 40%" xfId="30" xr:uid="{00000000-0005-0000-0000-00004C000000}"/>
    <cellStyle name="Accent4 - 60%" xfId="31" xr:uid="{00000000-0005-0000-0000-00004D000000}"/>
    <cellStyle name="Accent4_RESULTS" xfId="32" xr:uid="{00000000-0005-0000-0000-00004E000000}"/>
    <cellStyle name="Accent5" xfId="33" xr:uid="{00000000-0005-0000-0000-00004F000000}"/>
    <cellStyle name="Accent5 - 20%" xfId="34" xr:uid="{00000000-0005-0000-0000-000050000000}"/>
    <cellStyle name="Accent5 - 40%" xfId="35" xr:uid="{00000000-0005-0000-0000-000051000000}"/>
    <cellStyle name="Accent5 - 60%" xfId="36" xr:uid="{00000000-0005-0000-0000-000052000000}"/>
    <cellStyle name="Accent5_RESULTS" xfId="37" xr:uid="{00000000-0005-0000-0000-000053000000}"/>
    <cellStyle name="Accent6" xfId="38" xr:uid="{00000000-0005-0000-0000-000054000000}"/>
    <cellStyle name="Accent6 - 20%" xfId="39" xr:uid="{00000000-0005-0000-0000-000055000000}"/>
    <cellStyle name="Accent6 - 40%" xfId="40" xr:uid="{00000000-0005-0000-0000-000056000000}"/>
    <cellStyle name="Accent6 - 60%" xfId="41" xr:uid="{00000000-0005-0000-0000-000057000000}"/>
    <cellStyle name="Accent6_RESULTS" xfId="42" xr:uid="{00000000-0005-0000-0000-000058000000}"/>
    <cellStyle name="Bad 2" xfId="43" xr:uid="{00000000-0005-0000-0000-000059000000}"/>
    <cellStyle name="Calc Currency (0)" xfId="44" xr:uid="{00000000-0005-0000-0000-00005A000000}"/>
    <cellStyle name="category" xfId="45" xr:uid="{00000000-0005-0000-0000-00005B000000}"/>
    <cellStyle name="cellStyleNum 2" xfId="46" xr:uid="{00000000-0005-0000-0000-00005C000000}"/>
    <cellStyle name="cellStyleNum 2 2" xfId="47" xr:uid="{00000000-0005-0000-0000-00005D000000}"/>
    <cellStyle name="cellStyleNum 2 2 2" xfId="48" xr:uid="{00000000-0005-0000-0000-00005E000000}"/>
    <cellStyle name="cellStyleNum 2 2 2 2" xfId="49" xr:uid="{00000000-0005-0000-0000-00005F000000}"/>
    <cellStyle name="cellStyleNum 2 2 3" xfId="50" xr:uid="{00000000-0005-0000-0000-000060000000}"/>
    <cellStyle name="cellStyleNum 2 2 3 2" xfId="51" xr:uid="{00000000-0005-0000-0000-000061000000}"/>
    <cellStyle name="cellStyleNum 2 2 4" xfId="52" xr:uid="{00000000-0005-0000-0000-000062000000}"/>
    <cellStyle name="cellStyleNum 2 2 4 2" xfId="53" xr:uid="{00000000-0005-0000-0000-000063000000}"/>
    <cellStyle name="cellStyleNum 2 2 5" xfId="54" xr:uid="{00000000-0005-0000-0000-000064000000}"/>
    <cellStyle name="cellStyleNum 2 2 6" xfId="55" xr:uid="{00000000-0005-0000-0000-000065000000}"/>
    <cellStyle name="cellStyleNum 2 3" xfId="56" xr:uid="{00000000-0005-0000-0000-000066000000}"/>
    <cellStyle name="cellStyleNum 2 3 2" xfId="57" xr:uid="{00000000-0005-0000-0000-000067000000}"/>
    <cellStyle name="cellStyleNum 2 4" xfId="58" xr:uid="{00000000-0005-0000-0000-000068000000}"/>
    <cellStyle name="cellStyleNum 2 4 2" xfId="59" xr:uid="{00000000-0005-0000-0000-000069000000}"/>
    <cellStyle name="cellStyleNum 2 5" xfId="60" xr:uid="{00000000-0005-0000-0000-00006A000000}"/>
    <cellStyle name="cellStyleNum 2 5 2" xfId="61" xr:uid="{00000000-0005-0000-0000-00006B000000}"/>
    <cellStyle name="cellStyleNum 2 6" xfId="62" xr:uid="{00000000-0005-0000-0000-00006C000000}"/>
    <cellStyle name="cellStyleNum 2 7" xfId="63" xr:uid="{00000000-0005-0000-0000-00006D000000}"/>
    <cellStyle name="Check Cell 2" xfId="64" xr:uid="{00000000-0005-0000-0000-00006E000000}"/>
    <cellStyle name="Check Cell 2 2" xfId="65" xr:uid="{00000000-0005-0000-0000-00006F000000}"/>
    <cellStyle name="Check Cell 2 3" xfId="66" xr:uid="{00000000-0005-0000-0000-000070000000}"/>
    <cellStyle name="Col Heads" xfId="67" xr:uid="{00000000-0005-0000-0000-000071000000}"/>
    <cellStyle name="Comma  - Style1" xfId="68" xr:uid="{00000000-0005-0000-0000-000072000000}"/>
    <cellStyle name="Comma  - Style2" xfId="69" xr:uid="{00000000-0005-0000-0000-000073000000}"/>
    <cellStyle name="Comma  - Style3" xfId="70" xr:uid="{00000000-0005-0000-0000-000074000000}"/>
    <cellStyle name="Comma  - Style4" xfId="71" xr:uid="{00000000-0005-0000-0000-000075000000}"/>
    <cellStyle name="Comma  - Style5" xfId="72" xr:uid="{00000000-0005-0000-0000-000076000000}"/>
    <cellStyle name="Comma  - Style6" xfId="73" xr:uid="{00000000-0005-0000-0000-000077000000}"/>
    <cellStyle name="Comma  - Style7" xfId="74" xr:uid="{00000000-0005-0000-0000-000078000000}"/>
    <cellStyle name="Comma  - Style8" xfId="75" xr:uid="{00000000-0005-0000-0000-000079000000}"/>
    <cellStyle name="Comma [0] 2" xfId="76" xr:uid="{00000000-0005-0000-0000-00007A000000}"/>
    <cellStyle name="Comma [0] 2 2" xfId="77" xr:uid="{00000000-0005-0000-0000-00007B000000}"/>
    <cellStyle name="Comma [0] 2 2 2" xfId="78" xr:uid="{00000000-0005-0000-0000-00007C000000}"/>
    <cellStyle name="Comma [0] 2 2 2 2" xfId="79" xr:uid="{00000000-0005-0000-0000-00007D000000}"/>
    <cellStyle name="Comma [0] 2 2 2 2 2" xfId="80" xr:uid="{00000000-0005-0000-0000-00007E000000}"/>
    <cellStyle name="Comma [0] 2 2 2 2 2 2" xfId="81" xr:uid="{00000000-0005-0000-0000-00007F000000}"/>
    <cellStyle name="Comma [0] 2 2 2 2 2 2 2" xfId="82" xr:uid="{00000000-0005-0000-0000-000080000000}"/>
    <cellStyle name="Comma [0] 2 2 2 2 2 2 2 2" xfId="83" xr:uid="{00000000-0005-0000-0000-000081000000}"/>
    <cellStyle name="Comma [0] 2 2 2 2 2 2 3" xfId="84" xr:uid="{00000000-0005-0000-0000-000082000000}"/>
    <cellStyle name="Comma [0] 2 2 2 2 2 3" xfId="85" xr:uid="{00000000-0005-0000-0000-000083000000}"/>
    <cellStyle name="Comma [0] 2 2 2 2 2 3 2" xfId="86" xr:uid="{00000000-0005-0000-0000-000084000000}"/>
    <cellStyle name="Comma [0] 2 2 2 2 2 3 2 2" xfId="87" xr:uid="{00000000-0005-0000-0000-000085000000}"/>
    <cellStyle name="Comma [0] 2 2 2 2 2 3 3" xfId="88" xr:uid="{00000000-0005-0000-0000-000086000000}"/>
    <cellStyle name="Comma [0] 2 2 2 2 2 4" xfId="89" xr:uid="{00000000-0005-0000-0000-000087000000}"/>
    <cellStyle name="Comma [0] 2 2 2 2 2 4 2" xfId="90" xr:uid="{00000000-0005-0000-0000-000088000000}"/>
    <cellStyle name="Comma [0] 2 2 2 2 2 5" xfId="91" xr:uid="{00000000-0005-0000-0000-000089000000}"/>
    <cellStyle name="Comma [0] 2 2 2 2 3" xfId="92" xr:uid="{00000000-0005-0000-0000-00008A000000}"/>
    <cellStyle name="Comma [0] 2 2 2 2 3 2" xfId="93" xr:uid="{00000000-0005-0000-0000-00008B000000}"/>
    <cellStyle name="Comma [0] 2 2 2 2 3 2 2" xfId="94" xr:uid="{00000000-0005-0000-0000-00008C000000}"/>
    <cellStyle name="Comma [0] 2 2 2 2 3 2 2 2" xfId="95" xr:uid="{00000000-0005-0000-0000-00008D000000}"/>
    <cellStyle name="Comma [0] 2 2 2 2 3 2 3" xfId="96" xr:uid="{00000000-0005-0000-0000-00008E000000}"/>
    <cellStyle name="Comma [0] 2 2 2 2 3 3" xfId="97" xr:uid="{00000000-0005-0000-0000-00008F000000}"/>
    <cellStyle name="Comma [0] 2 2 2 2 3 3 2" xfId="98" xr:uid="{00000000-0005-0000-0000-000090000000}"/>
    <cellStyle name="Comma [0] 2 2 2 2 3 4" xfId="99" xr:uid="{00000000-0005-0000-0000-000091000000}"/>
    <cellStyle name="Comma [0] 2 2 2 2 4" xfId="100" xr:uid="{00000000-0005-0000-0000-000092000000}"/>
    <cellStyle name="Comma [0] 2 2 2 2 4 2" xfId="101" xr:uid="{00000000-0005-0000-0000-000093000000}"/>
    <cellStyle name="Comma [0] 2 2 2 2 4 2 2" xfId="102" xr:uid="{00000000-0005-0000-0000-000094000000}"/>
    <cellStyle name="Comma [0] 2 2 2 2 4 3" xfId="103" xr:uid="{00000000-0005-0000-0000-000095000000}"/>
    <cellStyle name="Comma [0] 2 2 2 2 5" xfId="104" xr:uid="{00000000-0005-0000-0000-000096000000}"/>
    <cellStyle name="Comma [0] 2 2 2 2 5 2" xfId="105" xr:uid="{00000000-0005-0000-0000-000097000000}"/>
    <cellStyle name="Comma [0] 2 2 2 2 6" xfId="106" xr:uid="{00000000-0005-0000-0000-000098000000}"/>
    <cellStyle name="Comma [0] 2 2 2 3" xfId="107" xr:uid="{00000000-0005-0000-0000-000099000000}"/>
    <cellStyle name="Comma [0] 2 2 2 3 2" xfId="108" xr:uid="{00000000-0005-0000-0000-00009A000000}"/>
    <cellStyle name="Comma [0] 2 2 2 3 2 2" xfId="109" xr:uid="{00000000-0005-0000-0000-00009B000000}"/>
    <cellStyle name="Comma [0] 2 2 2 3 2 2 2" xfId="110" xr:uid="{00000000-0005-0000-0000-00009C000000}"/>
    <cellStyle name="Comma [0] 2 2 2 3 2 3" xfId="111" xr:uid="{00000000-0005-0000-0000-00009D000000}"/>
    <cellStyle name="Comma [0] 2 2 2 3 3" xfId="112" xr:uid="{00000000-0005-0000-0000-00009E000000}"/>
    <cellStyle name="Comma [0] 2 2 2 3 3 2" xfId="113" xr:uid="{00000000-0005-0000-0000-00009F000000}"/>
    <cellStyle name="Comma [0] 2 2 2 3 3 2 2" xfId="114" xr:uid="{00000000-0005-0000-0000-0000A0000000}"/>
    <cellStyle name="Comma [0] 2 2 2 3 3 3" xfId="115" xr:uid="{00000000-0005-0000-0000-0000A1000000}"/>
    <cellStyle name="Comma [0] 2 2 2 3 4" xfId="116" xr:uid="{00000000-0005-0000-0000-0000A2000000}"/>
    <cellStyle name="Comma [0] 2 2 2 3 4 2" xfId="117" xr:uid="{00000000-0005-0000-0000-0000A3000000}"/>
    <cellStyle name="Comma [0] 2 2 2 3 5" xfId="118" xr:uid="{00000000-0005-0000-0000-0000A4000000}"/>
    <cellStyle name="Comma [0] 2 2 2 4" xfId="119" xr:uid="{00000000-0005-0000-0000-0000A5000000}"/>
    <cellStyle name="Comma [0] 2 2 2 4 2" xfId="120" xr:uid="{00000000-0005-0000-0000-0000A6000000}"/>
    <cellStyle name="Comma [0] 2 2 2 4 2 2" xfId="121" xr:uid="{00000000-0005-0000-0000-0000A7000000}"/>
    <cellStyle name="Comma [0] 2 2 2 4 2 2 2" xfId="122" xr:uid="{00000000-0005-0000-0000-0000A8000000}"/>
    <cellStyle name="Comma [0] 2 2 2 4 2 3" xfId="123" xr:uid="{00000000-0005-0000-0000-0000A9000000}"/>
    <cellStyle name="Comma [0] 2 2 2 4 3" xfId="124" xr:uid="{00000000-0005-0000-0000-0000AA000000}"/>
    <cellStyle name="Comma [0] 2 2 2 4 3 2" xfId="125" xr:uid="{00000000-0005-0000-0000-0000AB000000}"/>
    <cellStyle name="Comma [0] 2 2 2 4 4" xfId="126" xr:uid="{00000000-0005-0000-0000-0000AC000000}"/>
    <cellStyle name="Comma [0] 2 2 2 5" xfId="127" xr:uid="{00000000-0005-0000-0000-0000AD000000}"/>
    <cellStyle name="Comma [0] 2 2 2 5 2" xfId="128" xr:uid="{00000000-0005-0000-0000-0000AE000000}"/>
    <cellStyle name="Comma [0] 2 2 2 5 2 2" xfId="129" xr:uid="{00000000-0005-0000-0000-0000AF000000}"/>
    <cellStyle name="Comma [0] 2 2 2 5 3" xfId="130" xr:uid="{00000000-0005-0000-0000-0000B0000000}"/>
    <cellStyle name="Comma [0] 2 2 2 6" xfId="131" xr:uid="{00000000-0005-0000-0000-0000B1000000}"/>
    <cellStyle name="Comma [0] 2 2 2 6 2" xfId="132" xr:uid="{00000000-0005-0000-0000-0000B2000000}"/>
    <cellStyle name="Comma [0] 2 2 2 7" xfId="133" xr:uid="{00000000-0005-0000-0000-0000B3000000}"/>
    <cellStyle name="Comma [0] 2 2 3" xfId="134" xr:uid="{00000000-0005-0000-0000-0000B4000000}"/>
    <cellStyle name="Comma [0] 2 2 3 2" xfId="135" xr:uid="{00000000-0005-0000-0000-0000B5000000}"/>
    <cellStyle name="Comma [0] 2 2 3 2 2" xfId="136" xr:uid="{00000000-0005-0000-0000-0000B6000000}"/>
    <cellStyle name="Comma [0] 2 2 3 2 2 2" xfId="137" xr:uid="{00000000-0005-0000-0000-0000B7000000}"/>
    <cellStyle name="Comma [0] 2 2 3 2 3" xfId="138" xr:uid="{00000000-0005-0000-0000-0000B8000000}"/>
    <cellStyle name="Comma [0] 2 2 3 3" xfId="139" xr:uid="{00000000-0005-0000-0000-0000B9000000}"/>
    <cellStyle name="Comma [0] 2 2 3 3 2" xfId="140" xr:uid="{00000000-0005-0000-0000-0000BA000000}"/>
    <cellStyle name="Comma [0] 2 2 3 3 2 2" xfId="141" xr:uid="{00000000-0005-0000-0000-0000BB000000}"/>
    <cellStyle name="Comma [0] 2 2 3 3 3" xfId="142" xr:uid="{00000000-0005-0000-0000-0000BC000000}"/>
    <cellStyle name="Comma [0] 2 2 3 4" xfId="143" xr:uid="{00000000-0005-0000-0000-0000BD000000}"/>
    <cellStyle name="Comma [0] 2 2 3 4 2" xfId="144" xr:uid="{00000000-0005-0000-0000-0000BE000000}"/>
    <cellStyle name="Comma [0] 2 2 3 5" xfId="145" xr:uid="{00000000-0005-0000-0000-0000BF000000}"/>
    <cellStyle name="Comma [0] 2 2 4" xfId="146" xr:uid="{00000000-0005-0000-0000-0000C0000000}"/>
    <cellStyle name="Comma [0] 2 2 4 2" xfId="147" xr:uid="{00000000-0005-0000-0000-0000C1000000}"/>
    <cellStyle name="Comma [0] 2 2 4 2 2" xfId="148" xr:uid="{00000000-0005-0000-0000-0000C2000000}"/>
    <cellStyle name="Comma [0] 2 2 4 2 2 2" xfId="149" xr:uid="{00000000-0005-0000-0000-0000C3000000}"/>
    <cellStyle name="Comma [0] 2 2 4 2 3" xfId="150" xr:uid="{00000000-0005-0000-0000-0000C4000000}"/>
    <cellStyle name="Comma [0] 2 2 4 3" xfId="151" xr:uid="{00000000-0005-0000-0000-0000C5000000}"/>
    <cellStyle name="Comma [0] 2 2 4 3 2" xfId="152" xr:uid="{00000000-0005-0000-0000-0000C6000000}"/>
    <cellStyle name="Comma [0] 2 2 4 4" xfId="153" xr:uid="{00000000-0005-0000-0000-0000C7000000}"/>
    <cellStyle name="Comma [0] 2 2 5" xfId="154" xr:uid="{00000000-0005-0000-0000-0000C8000000}"/>
    <cellStyle name="Comma [0] 2 2 5 2" xfId="155" xr:uid="{00000000-0005-0000-0000-0000C9000000}"/>
    <cellStyle name="Comma [0] 2 2 5 2 2" xfId="156" xr:uid="{00000000-0005-0000-0000-0000CA000000}"/>
    <cellStyle name="Comma [0] 2 2 5 3" xfId="157" xr:uid="{00000000-0005-0000-0000-0000CB000000}"/>
    <cellStyle name="Comma [0] 2 2 6" xfId="158" xr:uid="{00000000-0005-0000-0000-0000CC000000}"/>
    <cellStyle name="Comma [0] 2 2 6 2" xfId="159" xr:uid="{00000000-0005-0000-0000-0000CD000000}"/>
    <cellStyle name="Comma [0] 2 2 7" xfId="160" xr:uid="{00000000-0005-0000-0000-0000CE000000}"/>
    <cellStyle name="Comma [0] 2 3" xfId="161" xr:uid="{00000000-0005-0000-0000-0000CF000000}"/>
    <cellStyle name="Comma [0] 2 3 2" xfId="162" xr:uid="{00000000-0005-0000-0000-0000D0000000}"/>
    <cellStyle name="Comma [0] 2 3 2 2" xfId="163" xr:uid="{00000000-0005-0000-0000-0000D1000000}"/>
    <cellStyle name="Comma [0] 2 3 2 2 2" xfId="164" xr:uid="{00000000-0005-0000-0000-0000D2000000}"/>
    <cellStyle name="Comma [0] 2 3 2 2 2 2" xfId="165" xr:uid="{00000000-0005-0000-0000-0000D3000000}"/>
    <cellStyle name="Comma [0] 2 3 2 2 3" xfId="166" xr:uid="{00000000-0005-0000-0000-0000D4000000}"/>
    <cellStyle name="Comma [0] 2 3 2 3" xfId="167" xr:uid="{00000000-0005-0000-0000-0000D5000000}"/>
    <cellStyle name="Comma [0] 2 3 2 3 2" xfId="168" xr:uid="{00000000-0005-0000-0000-0000D6000000}"/>
    <cellStyle name="Comma [0] 2 3 2 4" xfId="169" xr:uid="{00000000-0005-0000-0000-0000D7000000}"/>
    <cellStyle name="Comma [0] 2 3 3" xfId="170" xr:uid="{00000000-0005-0000-0000-0000D8000000}"/>
    <cellStyle name="Comma [0] 2 3 3 2" xfId="171" xr:uid="{00000000-0005-0000-0000-0000D9000000}"/>
    <cellStyle name="Comma [0] 2 3 3 2 2" xfId="172" xr:uid="{00000000-0005-0000-0000-0000DA000000}"/>
    <cellStyle name="Comma [0] 2 3 3 3" xfId="173" xr:uid="{00000000-0005-0000-0000-0000DB000000}"/>
    <cellStyle name="Comma [0] 2 3 4" xfId="174" xr:uid="{00000000-0005-0000-0000-0000DC000000}"/>
    <cellStyle name="Comma [0] 2 3 4 2" xfId="175" xr:uid="{00000000-0005-0000-0000-0000DD000000}"/>
    <cellStyle name="Comma [0] 2 3 5" xfId="176" xr:uid="{00000000-0005-0000-0000-0000DE000000}"/>
    <cellStyle name="Comma [0] 2 4" xfId="177" xr:uid="{00000000-0005-0000-0000-0000DF000000}"/>
    <cellStyle name="Comma [0] 2 4 2" xfId="178" xr:uid="{00000000-0005-0000-0000-0000E0000000}"/>
    <cellStyle name="Comma [0] 2 4 2 2" xfId="179" xr:uid="{00000000-0005-0000-0000-0000E1000000}"/>
    <cellStyle name="Comma [0] 2 4 2 2 2" xfId="180" xr:uid="{00000000-0005-0000-0000-0000E2000000}"/>
    <cellStyle name="Comma [0] 2 4 2 3" xfId="181" xr:uid="{00000000-0005-0000-0000-0000E3000000}"/>
    <cellStyle name="Comma [0] 2 4 3" xfId="182" xr:uid="{00000000-0005-0000-0000-0000E4000000}"/>
    <cellStyle name="Comma [0] 2 4 3 2" xfId="183" xr:uid="{00000000-0005-0000-0000-0000E5000000}"/>
    <cellStyle name="Comma [0] 2 4 3 2 2" xfId="184" xr:uid="{00000000-0005-0000-0000-0000E6000000}"/>
    <cellStyle name="Comma [0] 2 4 3 3" xfId="185" xr:uid="{00000000-0005-0000-0000-0000E7000000}"/>
    <cellStyle name="Comma [0] 2 4 4" xfId="186" xr:uid="{00000000-0005-0000-0000-0000E8000000}"/>
    <cellStyle name="Comma [0] 2 4 4 2" xfId="187" xr:uid="{00000000-0005-0000-0000-0000E9000000}"/>
    <cellStyle name="Comma [0] 2 4 5" xfId="188" xr:uid="{00000000-0005-0000-0000-0000EA000000}"/>
    <cellStyle name="Comma [0] 2 5" xfId="189" xr:uid="{00000000-0005-0000-0000-0000EB000000}"/>
    <cellStyle name="Comma [0] 2 5 2" xfId="190" xr:uid="{00000000-0005-0000-0000-0000EC000000}"/>
    <cellStyle name="Comma [0] 2 5 2 2" xfId="191" xr:uid="{00000000-0005-0000-0000-0000ED000000}"/>
    <cellStyle name="Comma [0] 2 5 3" xfId="192" xr:uid="{00000000-0005-0000-0000-0000EE000000}"/>
    <cellStyle name="Comma [0] 2 6" xfId="193" xr:uid="{00000000-0005-0000-0000-0000EF000000}"/>
    <cellStyle name="Comma [0] 2 6 2" xfId="194" xr:uid="{00000000-0005-0000-0000-0000F0000000}"/>
    <cellStyle name="Comma [0] 2 6 2 2" xfId="195" xr:uid="{00000000-0005-0000-0000-0000F1000000}"/>
    <cellStyle name="Comma [0] 2 6 3" xfId="196" xr:uid="{00000000-0005-0000-0000-0000F2000000}"/>
    <cellStyle name="Comma [0] 2 7" xfId="197" xr:uid="{00000000-0005-0000-0000-0000F3000000}"/>
    <cellStyle name="Comma [0] 2 7 2" xfId="198" xr:uid="{00000000-0005-0000-0000-0000F4000000}"/>
    <cellStyle name="Comma [0] 2 8" xfId="199" xr:uid="{00000000-0005-0000-0000-0000F5000000}"/>
    <cellStyle name="Comma [0] 3" xfId="200" xr:uid="{00000000-0005-0000-0000-0000F6000000}"/>
    <cellStyle name="Comma [0] 3 2" xfId="201" xr:uid="{00000000-0005-0000-0000-0000F7000000}"/>
    <cellStyle name="Comma [0] 3 2 2" xfId="202" xr:uid="{00000000-0005-0000-0000-0000F8000000}"/>
    <cellStyle name="Comma [0] 3 2 2 2" xfId="203" xr:uid="{00000000-0005-0000-0000-0000F9000000}"/>
    <cellStyle name="Comma [0] 3 2 2 2 2" xfId="204" xr:uid="{00000000-0005-0000-0000-0000FA000000}"/>
    <cellStyle name="Comma [0] 3 2 2 2 2 2" xfId="205" xr:uid="{00000000-0005-0000-0000-0000FB000000}"/>
    <cellStyle name="Comma [0] 3 2 2 2 3" xfId="206" xr:uid="{00000000-0005-0000-0000-0000FC000000}"/>
    <cellStyle name="Comma [0] 3 2 2 3" xfId="207" xr:uid="{00000000-0005-0000-0000-0000FD000000}"/>
    <cellStyle name="Comma [0] 3 2 2 3 2" xfId="208" xr:uid="{00000000-0005-0000-0000-0000FE000000}"/>
    <cellStyle name="Comma [0] 3 2 2 3 2 2" xfId="209" xr:uid="{00000000-0005-0000-0000-0000FF000000}"/>
    <cellStyle name="Comma [0] 3 2 2 3 3" xfId="210" xr:uid="{00000000-0005-0000-0000-000000010000}"/>
    <cellStyle name="Comma [0] 3 2 2 4" xfId="211" xr:uid="{00000000-0005-0000-0000-000001010000}"/>
    <cellStyle name="Comma [0] 3 2 2 4 2" xfId="212" xr:uid="{00000000-0005-0000-0000-000002010000}"/>
    <cellStyle name="Comma [0] 3 2 2 5" xfId="213" xr:uid="{00000000-0005-0000-0000-000003010000}"/>
    <cellStyle name="Comma [0] 3 2 3" xfId="214" xr:uid="{00000000-0005-0000-0000-000004010000}"/>
    <cellStyle name="Comma [0] 3 2 3 2" xfId="215" xr:uid="{00000000-0005-0000-0000-000005010000}"/>
    <cellStyle name="Comma [0] 3 2 3 2 2" xfId="216" xr:uid="{00000000-0005-0000-0000-000006010000}"/>
    <cellStyle name="Comma [0] 3 2 3 3" xfId="217" xr:uid="{00000000-0005-0000-0000-000007010000}"/>
    <cellStyle name="Comma [0] 3 2 4" xfId="218" xr:uid="{00000000-0005-0000-0000-000008010000}"/>
    <cellStyle name="Comma [0] 3 2 4 2" xfId="219" xr:uid="{00000000-0005-0000-0000-000009010000}"/>
    <cellStyle name="Comma [0] 3 2 4 2 2" xfId="220" xr:uid="{00000000-0005-0000-0000-00000A010000}"/>
    <cellStyle name="Comma [0] 3 2 4 3" xfId="221" xr:uid="{00000000-0005-0000-0000-00000B010000}"/>
    <cellStyle name="Comma [0] 3 2 5" xfId="222" xr:uid="{00000000-0005-0000-0000-00000C010000}"/>
    <cellStyle name="Comma [0] 3 2 5 2" xfId="223" xr:uid="{00000000-0005-0000-0000-00000D010000}"/>
    <cellStyle name="Comma [0] 3 2 6" xfId="224" xr:uid="{00000000-0005-0000-0000-00000E010000}"/>
    <cellStyle name="Comma [0] 3 3" xfId="225" xr:uid="{00000000-0005-0000-0000-00000F010000}"/>
    <cellStyle name="Comma [0] 3 3 2" xfId="226" xr:uid="{00000000-0005-0000-0000-000010010000}"/>
    <cellStyle name="Comma [0] 3 3 2 2" xfId="227" xr:uid="{00000000-0005-0000-0000-000011010000}"/>
    <cellStyle name="Comma [0] 3 3 3" xfId="228" xr:uid="{00000000-0005-0000-0000-000012010000}"/>
    <cellStyle name="Comma [0] 3 4" xfId="229" xr:uid="{00000000-0005-0000-0000-000013010000}"/>
    <cellStyle name="Comma [0] 3 4 2" xfId="230" xr:uid="{00000000-0005-0000-0000-000014010000}"/>
    <cellStyle name="Comma [0] 3 4 2 2" xfId="231" xr:uid="{00000000-0005-0000-0000-000015010000}"/>
    <cellStyle name="Comma [0] 3 4 3" xfId="232" xr:uid="{00000000-0005-0000-0000-000016010000}"/>
    <cellStyle name="Comma [0] 3 5" xfId="233" xr:uid="{00000000-0005-0000-0000-000017010000}"/>
    <cellStyle name="Comma [0] 3 5 2" xfId="234" xr:uid="{00000000-0005-0000-0000-000018010000}"/>
    <cellStyle name="Comma [0] 3 6" xfId="235" xr:uid="{00000000-0005-0000-0000-000019010000}"/>
    <cellStyle name="Comma 10" xfId="236" xr:uid="{00000000-0005-0000-0000-00001A010000}"/>
    <cellStyle name="Comma 10 2" xfId="237" xr:uid="{00000000-0005-0000-0000-00001B010000}"/>
    <cellStyle name="Comma 10 2 2" xfId="238" xr:uid="{00000000-0005-0000-0000-00001C010000}"/>
    <cellStyle name="Comma 10 2 2 2" xfId="239" xr:uid="{00000000-0005-0000-0000-00001D010000}"/>
    <cellStyle name="Comma 10 2 2 2 2" xfId="240" xr:uid="{00000000-0005-0000-0000-00001E010000}"/>
    <cellStyle name="Comma 10 2 2 2 2 2" xfId="241" xr:uid="{00000000-0005-0000-0000-00001F010000}"/>
    <cellStyle name="Comma 10 2 2 2 3" xfId="242" xr:uid="{00000000-0005-0000-0000-000020010000}"/>
    <cellStyle name="Comma 10 2 2 3" xfId="243" xr:uid="{00000000-0005-0000-0000-000021010000}"/>
    <cellStyle name="Comma 10 2 2 3 2" xfId="244" xr:uid="{00000000-0005-0000-0000-000022010000}"/>
    <cellStyle name="Comma 10 2 2 4" xfId="245" xr:uid="{00000000-0005-0000-0000-000023010000}"/>
    <cellStyle name="Comma 10 2 3" xfId="246" xr:uid="{00000000-0005-0000-0000-000024010000}"/>
    <cellStyle name="Comma 10 2 3 2" xfId="247" xr:uid="{00000000-0005-0000-0000-000025010000}"/>
    <cellStyle name="Comma 10 2 3 2 2" xfId="248" xr:uid="{00000000-0005-0000-0000-000026010000}"/>
    <cellStyle name="Comma 10 2 3 3" xfId="249" xr:uid="{00000000-0005-0000-0000-000027010000}"/>
    <cellStyle name="Comma 10 2 4" xfId="250" xr:uid="{00000000-0005-0000-0000-000028010000}"/>
    <cellStyle name="Comma 10 2 4 2" xfId="251" xr:uid="{00000000-0005-0000-0000-000029010000}"/>
    <cellStyle name="Comma 10 2 4 2 2" xfId="252" xr:uid="{00000000-0005-0000-0000-00002A010000}"/>
    <cellStyle name="Comma 10 2 4 3" xfId="253" xr:uid="{00000000-0005-0000-0000-00002B010000}"/>
    <cellStyle name="Comma 10 2 5" xfId="254" xr:uid="{00000000-0005-0000-0000-00002C010000}"/>
    <cellStyle name="Comma 10 2 5 2" xfId="255" xr:uid="{00000000-0005-0000-0000-00002D010000}"/>
    <cellStyle name="Comma 10 2 5 2 2" xfId="256" xr:uid="{00000000-0005-0000-0000-00002E010000}"/>
    <cellStyle name="Comma 10 2 5 3" xfId="257" xr:uid="{00000000-0005-0000-0000-00002F010000}"/>
    <cellStyle name="Comma 10 2 6" xfId="258" xr:uid="{00000000-0005-0000-0000-000030010000}"/>
    <cellStyle name="Comma 10 2 6 2" xfId="259" xr:uid="{00000000-0005-0000-0000-000031010000}"/>
    <cellStyle name="Comma 10 2 6 2 2" xfId="260" xr:uid="{00000000-0005-0000-0000-000032010000}"/>
    <cellStyle name="Comma 10 2 6 3" xfId="261" xr:uid="{00000000-0005-0000-0000-000033010000}"/>
    <cellStyle name="Comma 10 2 7" xfId="262" xr:uid="{00000000-0005-0000-0000-000034010000}"/>
    <cellStyle name="Comma 10 2 7 2" xfId="263" xr:uid="{00000000-0005-0000-0000-000035010000}"/>
    <cellStyle name="Comma 10 2 8" xfId="264" xr:uid="{00000000-0005-0000-0000-000036010000}"/>
    <cellStyle name="Comma 10 3" xfId="265" xr:uid="{00000000-0005-0000-0000-000037010000}"/>
    <cellStyle name="Comma 10 3 2" xfId="266" xr:uid="{00000000-0005-0000-0000-000038010000}"/>
    <cellStyle name="Comma 10 3 2 2" xfId="267" xr:uid="{00000000-0005-0000-0000-000039010000}"/>
    <cellStyle name="Comma 10 3 3" xfId="268" xr:uid="{00000000-0005-0000-0000-00003A010000}"/>
    <cellStyle name="Comma 10 4" xfId="269" xr:uid="{00000000-0005-0000-0000-00003B010000}"/>
    <cellStyle name="Comma 10 4 2" xfId="270" xr:uid="{00000000-0005-0000-0000-00003C010000}"/>
    <cellStyle name="Comma 10 5" xfId="271" xr:uid="{00000000-0005-0000-0000-00003D010000}"/>
    <cellStyle name="Comma 11" xfId="272" xr:uid="{00000000-0005-0000-0000-00003E010000}"/>
    <cellStyle name="Comma 11 2" xfId="273" xr:uid="{00000000-0005-0000-0000-00003F010000}"/>
    <cellStyle name="Comma 11 2 2" xfId="274" xr:uid="{00000000-0005-0000-0000-000040010000}"/>
    <cellStyle name="Comma 11 2 2 2" xfId="275" xr:uid="{00000000-0005-0000-0000-000041010000}"/>
    <cellStyle name="Comma 11 2 3" xfId="276" xr:uid="{00000000-0005-0000-0000-000042010000}"/>
    <cellStyle name="Comma 11 3" xfId="277" xr:uid="{00000000-0005-0000-0000-000043010000}"/>
    <cellStyle name="Comma 11 3 2" xfId="278" xr:uid="{00000000-0005-0000-0000-000044010000}"/>
    <cellStyle name="Comma 11 4" xfId="279" xr:uid="{00000000-0005-0000-0000-000045010000}"/>
    <cellStyle name="Comma 12" xfId="280" xr:uid="{00000000-0005-0000-0000-000046010000}"/>
    <cellStyle name="Comma 12 2" xfId="281" xr:uid="{00000000-0005-0000-0000-000047010000}"/>
    <cellStyle name="Comma 12 2 2" xfId="282" xr:uid="{00000000-0005-0000-0000-000048010000}"/>
    <cellStyle name="Comma 12 2 2 2" xfId="283" xr:uid="{00000000-0005-0000-0000-000049010000}"/>
    <cellStyle name="Comma 12 2 2 2 2" xfId="284" xr:uid="{00000000-0005-0000-0000-00004A010000}"/>
    <cellStyle name="Comma 12 2 2 3" xfId="285" xr:uid="{00000000-0005-0000-0000-00004B010000}"/>
    <cellStyle name="Comma 12 2 3" xfId="286" xr:uid="{00000000-0005-0000-0000-00004C010000}"/>
    <cellStyle name="Comma 12 2 3 2" xfId="287" xr:uid="{00000000-0005-0000-0000-00004D010000}"/>
    <cellStyle name="Comma 12 2 4" xfId="288" xr:uid="{00000000-0005-0000-0000-00004E010000}"/>
    <cellStyle name="Comma 12 2 5" xfId="289" xr:uid="{00000000-0005-0000-0000-00004F010000}"/>
    <cellStyle name="Comma 12 3" xfId="290" xr:uid="{00000000-0005-0000-0000-000050010000}"/>
    <cellStyle name="Comma 12 3 2" xfId="291" xr:uid="{00000000-0005-0000-0000-000051010000}"/>
    <cellStyle name="Comma 12 4" xfId="292" xr:uid="{00000000-0005-0000-0000-000052010000}"/>
    <cellStyle name="Comma 13" xfId="293" xr:uid="{00000000-0005-0000-0000-000053010000}"/>
    <cellStyle name="Comma 13 2" xfId="294" xr:uid="{00000000-0005-0000-0000-000054010000}"/>
    <cellStyle name="Comma 14" xfId="295" xr:uid="{00000000-0005-0000-0000-000055010000}"/>
    <cellStyle name="Comma 14 2" xfId="296" xr:uid="{00000000-0005-0000-0000-000056010000}"/>
    <cellStyle name="Comma 14 2 2" xfId="297" xr:uid="{00000000-0005-0000-0000-000057010000}"/>
    <cellStyle name="Comma 14 3" xfId="298" xr:uid="{00000000-0005-0000-0000-000058010000}"/>
    <cellStyle name="Comma 15" xfId="299" xr:uid="{00000000-0005-0000-0000-000059010000}"/>
    <cellStyle name="Comma 16" xfId="300" xr:uid="{00000000-0005-0000-0000-00005A010000}"/>
    <cellStyle name="Comma 16 2" xfId="301" xr:uid="{00000000-0005-0000-0000-00005B010000}"/>
    <cellStyle name="Comma 16 2 2" xfId="302" xr:uid="{00000000-0005-0000-0000-00005C010000}"/>
    <cellStyle name="Comma 16 3" xfId="303" xr:uid="{00000000-0005-0000-0000-00005D010000}"/>
    <cellStyle name="Comma 17" xfId="304" xr:uid="{00000000-0005-0000-0000-00005E010000}"/>
    <cellStyle name="Comma 18" xfId="305" xr:uid="{00000000-0005-0000-0000-00005F010000}"/>
    <cellStyle name="Comma 2" xfId="306" xr:uid="{00000000-0005-0000-0000-000060010000}"/>
    <cellStyle name="Comma 2 10" xfId="307" xr:uid="{00000000-0005-0000-0000-000061010000}"/>
    <cellStyle name="Comma 2 2" xfId="308" xr:uid="{00000000-0005-0000-0000-000062010000}"/>
    <cellStyle name="Comma 2 2 2" xfId="309" xr:uid="{00000000-0005-0000-0000-000063010000}"/>
    <cellStyle name="Comma 2 2 2 2" xfId="310" xr:uid="{00000000-0005-0000-0000-000064010000}"/>
    <cellStyle name="Comma 2 2 2 2 2" xfId="311" xr:uid="{00000000-0005-0000-0000-000065010000}"/>
    <cellStyle name="Comma 2 2 2 2 2 2" xfId="312" xr:uid="{00000000-0005-0000-0000-000066010000}"/>
    <cellStyle name="Comma 2 2 2 2 3" xfId="313" xr:uid="{00000000-0005-0000-0000-000067010000}"/>
    <cellStyle name="Comma 2 2 2 3" xfId="314" xr:uid="{00000000-0005-0000-0000-000068010000}"/>
    <cellStyle name="Comma 2 2 2 3 2" xfId="315" xr:uid="{00000000-0005-0000-0000-000069010000}"/>
    <cellStyle name="Comma 2 2 2 3 2 2" xfId="316" xr:uid="{00000000-0005-0000-0000-00006A010000}"/>
    <cellStyle name="Comma 2 2 2 3 3" xfId="317" xr:uid="{00000000-0005-0000-0000-00006B010000}"/>
    <cellStyle name="Comma 2 2 2 4" xfId="318" xr:uid="{00000000-0005-0000-0000-00006C010000}"/>
    <cellStyle name="Comma 2 2 2 4 2" xfId="319" xr:uid="{00000000-0005-0000-0000-00006D010000}"/>
    <cellStyle name="Comma 2 2 2 5" xfId="320" xr:uid="{00000000-0005-0000-0000-00006E010000}"/>
    <cellStyle name="Comma 2 2 3" xfId="321" xr:uid="{00000000-0005-0000-0000-00006F010000}"/>
    <cellStyle name="Comma 2 2 3 2" xfId="322" xr:uid="{00000000-0005-0000-0000-000070010000}"/>
    <cellStyle name="Comma 2 2 3 2 2" xfId="323" xr:uid="{00000000-0005-0000-0000-000071010000}"/>
    <cellStyle name="Comma 2 2 3 2 2 2" xfId="324" xr:uid="{00000000-0005-0000-0000-000072010000}"/>
    <cellStyle name="Comma 2 2 3 2 3" xfId="325" xr:uid="{00000000-0005-0000-0000-000073010000}"/>
    <cellStyle name="Comma 2 2 3 3" xfId="326" xr:uid="{00000000-0005-0000-0000-000074010000}"/>
    <cellStyle name="Comma 2 2 3 3 2" xfId="327" xr:uid="{00000000-0005-0000-0000-000075010000}"/>
    <cellStyle name="Comma 2 2 3 4" xfId="328" xr:uid="{00000000-0005-0000-0000-000076010000}"/>
    <cellStyle name="Comma 2 2 4" xfId="329" xr:uid="{00000000-0005-0000-0000-000077010000}"/>
    <cellStyle name="Comma 2 2 4 2" xfId="330" xr:uid="{00000000-0005-0000-0000-000078010000}"/>
    <cellStyle name="Comma 2 2 4 2 2" xfId="331" xr:uid="{00000000-0005-0000-0000-000079010000}"/>
    <cellStyle name="Comma 2 2 4 2 2 2" xfId="332" xr:uid="{00000000-0005-0000-0000-00007A010000}"/>
    <cellStyle name="Comma 2 2 4 2 3" xfId="333" xr:uid="{00000000-0005-0000-0000-00007B010000}"/>
    <cellStyle name="Comma 2 2 4 3" xfId="334" xr:uid="{00000000-0005-0000-0000-00007C010000}"/>
    <cellStyle name="Comma 2 2 4 3 2" xfId="335" xr:uid="{00000000-0005-0000-0000-00007D010000}"/>
    <cellStyle name="Comma 2 2 4 4" xfId="336" xr:uid="{00000000-0005-0000-0000-00007E010000}"/>
    <cellStyle name="Comma 2 2 5" xfId="337" xr:uid="{00000000-0005-0000-0000-00007F010000}"/>
    <cellStyle name="Comma 2 2 5 2" xfId="338" xr:uid="{00000000-0005-0000-0000-000080010000}"/>
    <cellStyle name="Comma 2 2 5 2 2" xfId="339" xr:uid="{00000000-0005-0000-0000-000081010000}"/>
    <cellStyle name="Comma 2 2 5 3" xfId="340" xr:uid="{00000000-0005-0000-0000-000082010000}"/>
    <cellStyle name="Comma 2 2 5 4" xfId="341" xr:uid="{00000000-0005-0000-0000-000083010000}"/>
    <cellStyle name="Comma 2 2 6" xfId="342" xr:uid="{00000000-0005-0000-0000-000084010000}"/>
    <cellStyle name="Comma 2 2 6 2" xfId="343" xr:uid="{00000000-0005-0000-0000-000085010000}"/>
    <cellStyle name="Comma 2 2 7" xfId="344" xr:uid="{00000000-0005-0000-0000-000086010000}"/>
    <cellStyle name="Comma 2 3" xfId="345" xr:uid="{00000000-0005-0000-0000-000087010000}"/>
    <cellStyle name="Comma 2 3 2" xfId="346" xr:uid="{00000000-0005-0000-0000-000088010000}"/>
    <cellStyle name="Comma 2 3 2 2" xfId="347" xr:uid="{00000000-0005-0000-0000-000089010000}"/>
    <cellStyle name="Comma 2 3 2 2 2" xfId="348" xr:uid="{00000000-0005-0000-0000-00008A010000}"/>
    <cellStyle name="Comma 2 3 2 2 2 2" xfId="349" xr:uid="{00000000-0005-0000-0000-00008B010000}"/>
    <cellStyle name="Comma 2 3 2 2 3" xfId="350" xr:uid="{00000000-0005-0000-0000-00008C010000}"/>
    <cellStyle name="Comma 2 3 2 3" xfId="351" xr:uid="{00000000-0005-0000-0000-00008D010000}"/>
    <cellStyle name="Comma 2 3 2 3 2" xfId="352" xr:uid="{00000000-0005-0000-0000-00008E010000}"/>
    <cellStyle name="Comma 2 3 2 4" xfId="353" xr:uid="{00000000-0005-0000-0000-00008F010000}"/>
    <cellStyle name="Comma 2 3 3" xfId="354" xr:uid="{00000000-0005-0000-0000-000090010000}"/>
    <cellStyle name="Comma 2 3 3 2" xfId="355" xr:uid="{00000000-0005-0000-0000-000091010000}"/>
    <cellStyle name="Comma 2 3 3 2 2" xfId="356" xr:uid="{00000000-0005-0000-0000-000092010000}"/>
    <cellStyle name="Comma 2 3 3 3" xfId="357" xr:uid="{00000000-0005-0000-0000-000093010000}"/>
    <cellStyle name="Comma 2 3 4" xfId="358" xr:uid="{00000000-0005-0000-0000-000094010000}"/>
    <cellStyle name="Comma 2 3 4 2" xfId="359" xr:uid="{00000000-0005-0000-0000-000095010000}"/>
    <cellStyle name="Comma 2 3 5" xfId="360" xr:uid="{00000000-0005-0000-0000-000096010000}"/>
    <cellStyle name="Comma 2 4" xfId="361" xr:uid="{00000000-0005-0000-0000-000097010000}"/>
    <cellStyle name="Comma 2 4 2" xfId="362" xr:uid="{00000000-0005-0000-0000-000098010000}"/>
    <cellStyle name="Comma 2 4 2 2" xfId="363" xr:uid="{00000000-0005-0000-0000-000099010000}"/>
    <cellStyle name="Comma 2 4 2 2 2" xfId="364" xr:uid="{00000000-0005-0000-0000-00009A010000}"/>
    <cellStyle name="Comma 2 4 2 3" xfId="365" xr:uid="{00000000-0005-0000-0000-00009B010000}"/>
    <cellStyle name="Comma 2 4 3" xfId="366" xr:uid="{00000000-0005-0000-0000-00009C010000}"/>
    <cellStyle name="Comma 2 4 3 2" xfId="367" xr:uid="{00000000-0005-0000-0000-00009D010000}"/>
    <cellStyle name="Comma 2 4 3 2 2" xfId="368" xr:uid="{00000000-0005-0000-0000-00009E010000}"/>
    <cellStyle name="Comma 2 4 3 3" xfId="369" xr:uid="{00000000-0005-0000-0000-00009F010000}"/>
    <cellStyle name="Comma 2 4 4" xfId="370" xr:uid="{00000000-0005-0000-0000-0000A0010000}"/>
    <cellStyle name="Comma 2 4 4 2" xfId="371" xr:uid="{00000000-0005-0000-0000-0000A1010000}"/>
    <cellStyle name="Comma 2 4 5" xfId="372" xr:uid="{00000000-0005-0000-0000-0000A2010000}"/>
    <cellStyle name="Comma 2 5" xfId="373" xr:uid="{00000000-0005-0000-0000-0000A3010000}"/>
    <cellStyle name="Comma 2 5 2" xfId="374" xr:uid="{00000000-0005-0000-0000-0000A4010000}"/>
    <cellStyle name="Comma 2 5 2 2" xfId="375" xr:uid="{00000000-0005-0000-0000-0000A5010000}"/>
    <cellStyle name="Comma 2 5 3" xfId="376" xr:uid="{00000000-0005-0000-0000-0000A6010000}"/>
    <cellStyle name="Comma 2 5 5" xfId="377" xr:uid="{00000000-0005-0000-0000-0000A7010000}"/>
    <cellStyle name="Comma 2 5 5 2" xfId="378" xr:uid="{00000000-0005-0000-0000-0000A8010000}"/>
    <cellStyle name="Comma 2 5 5 2 2" xfId="379" xr:uid="{00000000-0005-0000-0000-0000A9010000}"/>
    <cellStyle name="Comma 2 5 5 3" xfId="380" xr:uid="{00000000-0005-0000-0000-0000AA010000}"/>
    <cellStyle name="Comma 2 6" xfId="381" xr:uid="{00000000-0005-0000-0000-0000AB010000}"/>
    <cellStyle name="Comma 2 7" xfId="382" xr:uid="{00000000-0005-0000-0000-0000AC010000}"/>
    <cellStyle name="Comma 2 7 2" xfId="383" xr:uid="{00000000-0005-0000-0000-0000AD010000}"/>
    <cellStyle name="Comma 2 7 2 2" xfId="384" xr:uid="{00000000-0005-0000-0000-0000AE010000}"/>
    <cellStyle name="Comma 2 7 3" xfId="385" xr:uid="{00000000-0005-0000-0000-0000AF010000}"/>
    <cellStyle name="Comma 2 8" xfId="386" xr:uid="{00000000-0005-0000-0000-0000B0010000}"/>
    <cellStyle name="Comma 2 8 2" xfId="387" xr:uid="{00000000-0005-0000-0000-0000B1010000}"/>
    <cellStyle name="Comma 2 8 2 2" xfId="388" xr:uid="{00000000-0005-0000-0000-0000B2010000}"/>
    <cellStyle name="Comma 2 8 3" xfId="389" xr:uid="{00000000-0005-0000-0000-0000B3010000}"/>
    <cellStyle name="Comma 2 9" xfId="390" xr:uid="{00000000-0005-0000-0000-0000B4010000}"/>
    <cellStyle name="Comma 2 9 2" xfId="391" xr:uid="{00000000-0005-0000-0000-0000B5010000}"/>
    <cellStyle name="Comma 3" xfId="392" xr:uid="{00000000-0005-0000-0000-0000B6010000}"/>
    <cellStyle name="Comma 3 2" xfId="393" xr:uid="{00000000-0005-0000-0000-0000B7010000}"/>
    <cellStyle name="Comma 3 2 2" xfId="394" xr:uid="{00000000-0005-0000-0000-0000B8010000}"/>
    <cellStyle name="Comma 3 2 2 2" xfId="395" xr:uid="{00000000-0005-0000-0000-0000B9010000}"/>
    <cellStyle name="Comma 3 2 2 2 2" xfId="396" xr:uid="{00000000-0005-0000-0000-0000BA010000}"/>
    <cellStyle name="Comma 3 2 2 3" xfId="397" xr:uid="{00000000-0005-0000-0000-0000BB010000}"/>
    <cellStyle name="Comma 3 2 3" xfId="398" xr:uid="{00000000-0005-0000-0000-0000BC010000}"/>
    <cellStyle name="Comma 3 2 3 2" xfId="399" xr:uid="{00000000-0005-0000-0000-0000BD010000}"/>
    <cellStyle name="Comma 3 2 3 2 2" xfId="400" xr:uid="{00000000-0005-0000-0000-0000BE010000}"/>
    <cellStyle name="Comma 3 2 3 3" xfId="401" xr:uid="{00000000-0005-0000-0000-0000BF010000}"/>
    <cellStyle name="Comma 3 2 3 3 2" xfId="402" xr:uid="{00000000-0005-0000-0000-0000C0010000}"/>
    <cellStyle name="Comma 3 2 3 3 2 2" xfId="403" xr:uid="{00000000-0005-0000-0000-0000C1010000}"/>
    <cellStyle name="Comma 3 2 3 3 3" xfId="404" xr:uid="{00000000-0005-0000-0000-0000C2010000}"/>
    <cellStyle name="Comma 3 2 3 4" xfId="405" xr:uid="{00000000-0005-0000-0000-0000C3010000}"/>
    <cellStyle name="Comma 3 2 3 5" xfId="406" xr:uid="{00000000-0005-0000-0000-0000C4010000}"/>
    <cellStyle name="Comma 3 2 4" xfId="407" xr:uid="{00000000-0005-0000-0000-0000C5010000}"/>
    <cellStyle name="Comma 3 2 4 2" xfId="408" xr:uid="{00000000-0005-0000-0000-0000C6010000}"/>
    <cellStyle name="Comma 3 2 4 2 2" xfId="409" xr:uid="{00000000-0005-0000-0000-0000C7010000}"/>
    <cellStyle name="Comma 3 2 4 3" xfId="410" xr:uid="{00000000-0005-0000-0000-0000C8010000}"/>
    <cellStyle name="Comma 3 2 5" xfId="411" xr:uid="{00000000-0005-0000-0000-0000C9010000}"/>
    <cellStyle name="Comma 3 2 5 2" xfId="412" xr:uid="{00000000-0005-0000-0000-0000CA010000}"/>
    <cellStyle name="Comma 3 2 6" xfId="413" xr:uid="{00000000-0005-0000-0000-0000CB010000}"/>
    <cellStyle name="Comma 3 3" xfId="414" xr:uid="{00000000-0005-0000-0000-0000CC010000}"/>
    <cellStyle name="Comma 3 3 2" xfId="415" xr:uid="{00000000-0005-0000-0000-0000CD010000}"/>
    <cellStyle name="Comma 3 3 2 2" xfId="416" xr:uid="{00000000-0005-0000-0000-0000CE010000}"/>
    <cellStyle name="Comma 3 3 2 2 2" xfId="417" xr:uid="{00000000-0005-0000-0000-0000CF010000}"/>
    <cellStyle name="Comma 3 3 2 3" xfId="418" xr:uid="{00000000-0005-0000-0000-0000D0010000}"/>
    <cellStyle name="Comma 3 3 3" xfId="419" xr:uid="{00000000-0005-0000-0000-0000D1010000}"/>
    <cellStyle name="Comma 3 3 3 2" xfId="420" xr:uid="{00000000-0005-0000-0000-0000D2010000}"/>
    <cellStyle name="Comma 3 3 4" xfId="421" xr:uid="{00000000-0005-0000-0000-0000D3010000}"/>
    <cellStyle name="Comma 3 4" xfId="422" xr:uid="{00000000-0005-0000-0000-0000D4010000}"/>
    <cellStyle name="Comma 3 4 2" xfId="423" xr:uid="{00000000-0005-0000-0000-0000D5010000}"/>
    <cellStyle name="Comma 3 4 2 2" xfId="424" xr:uid="{00000000-0005-0000-0000-0000D6010000}"/>
    <cellStyle name="Comma 3 4 3" xfId="425" xr:uid="{00000000-0005-0000-0000-0000D7010000}"/>
    <cellStyle name="Comma 3 5" xfId="426" xr:uid="{00000000-0005-0000-0000-0000D8010000}"/>
    <cellStyle name="Comma 3 6" xfId="427" xr:uid="{00000000-0005-0000-0000-0000D9010000}"/>
    <cellStyle name="Comma 3 6 2" xfId="428" xr:uid="{00000000-0005-0000-0000-0000DA010000}"/>
    <cellStyle name="Comma 3 6 2 2" xfId="429" xr:uid="{00000000-0005-0000-0000-0000DB010000}"/>
    <cellStyle name="Comma 3 6 3" xfId="430" xr:uid="{00000000-0005-0000-0000-0000DC010000}"/>
    <cellStyle name="Comma 3 7" xfId="431" xr:uid="{00000000-0005-0000-0000-0000DD010000}"/>
    <cellStyle name="Comma 3 7 2" xfId="432" xr:uid="{00000000-0005-0000-0000-0000DE010000}"/>
    <cellStyle name="Comma 3 8" xfId="433" xr:uid="{00000000-0005-0000-0000-0000DF010000}"/>
    <cellStyle name="Comma 36" xfId="434" xr:uid="{00000000-0005-0000-0000-0000E0010000}"/>
    <cellStyle name="Comma 4" xfId="435" xr:uid="{00000000-0005-0000-0000-0000E1010000}"/>
    <cellStyle name="Comma 4 2" xfId="436" xr:uid="{00000000-0005-0000-0000-0000E2010000}"/>
    <cellStyle name="Comma 4 2 2" xfId="437" xr:uid="{00000000-0005-0000-0000-0000E3010000}"/>
    <cellStyle name="Comma 4 2 2 2" xfId="438" xr:uid="{00000000-0005-0000-0000-0000E4010000}"/>
    <cellStyle name="Comma 4 2 2 2 2" xfId="439" xr:uid="{00000000-0005-0000-0000-0000E5010000}"/>
    <cellStyle name="Comma 4 2 2 3" xfId="440" xr:uid="{00000000-0005-0000-0000-0000E6010000}"/>
    <cellStyle name="Comma 4 2 3" xfId="441" xr:uid="{00000000-0005-0000-0000-0000E7010000}"/>
    <cellStyle name="Comma 4 2 3 2" xfId="442" xr:uid="{00000000-0005-0000-0000-0000E8010000}"/>
    <cellStyle name="Comma 4 2 3 2 2" xfId="443" xr:uid="{00000000-0005-0000-0000-0000E9010000}"/>
    <cellStyle name="Comma 4 2 3 3" xfId="444" xr:uid="{00000000-0005-0000-0000-0000EA010000}"/>
    <cellStyle name="Comma 4 2 4" xfId="445" xr:uid="{00000000-0005-0000-0000-0000EB010000}"/>
    <cellStyle name="Comma 4 2 4 2" xfId="446" xr:uid="{00000000-0005-0000-0000-0000EC010000}"/>
    <cellStyle name="Comma 4 2 5" xfId="447" xr:uid="{00000000-0005-0000-0000-0000ED010000}"/>
    <cellStyle name="Comma 4 3" xfId="448" xr:uid="{00000000-0005-0000-0000-0000EE010000}"/>
    <cellStyle name="Comma 4 3 2" xfId="449" xr:uid="{00000000-0005-0000-0000-0000EF010000}"/>
    <cellStyle name="Comma 4 3 2 2" xfId="450" xr:uid="{00000000-0005-0000-0000-0000F0010000}"/>
    <cellStyle name="Comma 4 3 3" xfId="451" xr:uid="{00000000-0005-0000-0000-0000F1010000}"/>
    <cellStyle name="Comma 4 4" xfId="452" xr:uid="{00000000-0005-0000-0000-0000F2010000}"/>
    <cellStyle name="Comma 4 4 2" xfId="453" xr:uid="{00000000-0005-0000-0000-0000F3010000}"/>
    <cellStyle name="Comma 4 4 2 2" xfId="454" xr:uid="{00000000-0005-0000-0000-0000F4010000}"/>
    <cellStyle name="Comma 4 4 2 2 2" xfId="455" xr:uid="{00000000-0005-0000-0000-0000F5010000}"/>
    <cellStyle name="Comma 4 4 2 3" xfId="456" xr:uid="{00000000-0005-0000-0000-0000F6010000}"/>
    <cellStyle name="Comma 4 4 3" xfId="457" xr:uid="{00000000-0005-0000-0000-0000F7010000}"/>
    <cellStyle name="Comma 4 4 3 2" xfId="458" xr:uid="{00000000-0005-0000-0000-0000F8010000}"/>
    <cellStyle name="Comma 4 4 4" xfId="459" xr:uid="{00000000-0005-0000-0000-0000F9010000}"/>
    <cellStyle name="Comma 4 5" xfId="460" xr:uid="{00000000-0005-0000-0000-0000FA010000}"/>
    <cellStyle name="Comma 4 5 2" xfId="461" xr:uid="{00000000-0005-0000-0000-0000FB010000}"/>
    <cellStyle name="Comma 4 5 2 2" xfId="462" xr:uid="{00000000-0005-0000-0000-0000FC010000}"/>
    <cellStyle name="Comma 4 5 3" xfId="463" xr:uid="{00000000-0005-0000-0000-0000FD010000}"/>
    <cellStyle name="Comma 4 6" xfId="464" xr:uid="{00000000-0005-0000-0000-0000FE010000}"/>
    <cellStyle name="Comma 4 6 2" xfId="465" xr:uid="{00000000-0005-0000-0000-0000FF010000}"/>
    <cellStyle name="Comma 4 7" xfId="466" xr:uid="{00000000-0005-0000-0000-000000020000}"/>
    <cellStyle name="Comma 5" xfId="467" xr:uid="{00000000-0005-0000-0000-000001020000}"/>
    <cellStyle name="Comma 5 2" xfId="468" xr:uid="{00000000-0005-0000-0000-000002020000}"/>
    <cellStyle name="Comma 5 2 2" xfId="469" xr:uid="{00000000-0005-0000-0000-000003020000}"/>
    <cellStyle name="Comma 5 2 2 2" xfId="470" xr:uid="{00000000-0005-0000-0000-000004020000}"/>
    <cellStyle name="Comma 5 2 2 2 2" xfId="471" xr:uid="{00000000-0005-0000-0000-000005020000}"/>
    <cellStyle name="Comma 5 2 2 2 2 2" xfId="472" xr:uid="{00000000-0005-0000-0000-000006020000}"/>
    <cellStyle name="Comma 5 2 2 2 3" xfId="473" xr:uid="{00000000-0005-0000-0000-000007020000}"/>
    <cellStyle name="Comma 5 2 2 3" xfId="474" xr:uid="{00000000-0005-0000-0000-000008020000}"/>
    <cellStyle name="Comma 5 2 2 3 2" xfId="475" xr:uid="{00000000-0005-0000-0000-000009020000}"/>
    <cellStyle name="Comma 5 2 2 3 2 2" xfId="476" xr:uid="{00000000-0005-0000-0000-00000A020000}"/>
    <cellStyle name="Comma 5 2 2 3 3" xfId="477" xr:uid="{00000000-0005-0000-0000-00000B020000}"/>
    <cellStyle name="Comma 5 2 2 4" xfId="478" xr:uid="{00000000-0005-0000-0000-00000C020000}"/>
    <cellStyle name="Comma 5 2 2 4 2" xfId="479" xr:uid="{00000000-0005-0000-0000-00000D020000}"/>
    <cellStyle name="Comma 5 2 2 5" xfId="480" xr:uid="{00000000-0005-0000-0000-00000E020000}"/>
    <cellStyle name="Comma 5 2 3" xfId="481" xr:uid="{00000000-0005-0000-0000-00000F020000}"/>
    <cellStyle name="Comma 5 2 3 2" xfId="482" xr:uid="{00000000-0005-0000-0000-000010020000}"/>
    <cellStyle name="Comma 5 2 3 2 2" xfId="483" xr:uid="{00000000-0005-0000-0000-000011020000}"/>
    <cellStyle name="Comma 5 2 3 3" xfId="484" xr:uid="{00000000-0005-0000-0000-000012020000}"/>
    <cellStyle name="Comma 5 2 4" xfId="485" xr:uid="{00000000-0005-0000-0000-000013020000}"/>
    <cellStyle name="Comma 5 2 4 2" xfId="486" xr:uid="{00000000-0005-0000-0000-000014020000}"/>
    <cellStyle name="Comma 5 2 4 2 2" xfId="487" xr:uid="{00000000-0005-0000-0000-000015020000}"/>
    <cellStyle name="Comma 5 2 4 3" xfId="488" xr:uid="{00000000-0005-0000-0000-000016020000}"/>
    <cellStyle name="Comma 5 2 5" xfId="489" xr:uid="{00000000-0005-0000-0000-000017020000}"/>
    <cellStyle name="Comma 5 2 5 2" xfId="490" xr:uid="{00000000-0005-0000-0000-000018020000}"/>
    <cellStyle name="Comma 5 2 6" xfId="491" xr:uid="{00000000-0005-0000-0000-000019020000}"/>
    <cellStyle name="Comma 5 3" xfId="492" xr:uid="{00000000-0005-0000-0000-00001A020000}"/>
    <cellStyle name="Comma 5 3 2" xfId="493" xr:uid="{00000000-0005-0000-0000-00001B020000}"/>
    <cellStyle name="Comma 5 3 2 2" xfId="494" xr:uid="{00000000-0005-0000-0000-00001C020000}"/>
    <cellStyle name="Comma 5 3 2 2 2" xfId="495" xr:uid="{00000000-0005-0000-0000-00001D020000}"/>
    <cellStyle name="Comma 5 3 2 3" xfId="496" xr:uid="{00000000-0005-0000-0000-00001E020000}"/>
    <cellStyle name="Comma 5 3 3" xfId="497" xr:uid="{00000000-0005-0000-0000-00001F020000}"/>
    <cellStyle name="Comma 5 3 3 2" xfId="498" xr:uid="{00000000-0005-0000-0000-000020020000}"/>
    <cellStyle name="Comma 5 3 4" xfId="499" xr:uid="{00000000-0005-0000-0000-000021020000}"/>
    <cellStyle name="Comma 5 4" xfId="500" xr:uid="{00000000-0005-0000-0000-000022020000}"/>
    <cellStyle name="Comma 5 4 2" xfId="501" xr:uid="{00000000-0005-0000-0000-000023020000}"/>
    <cellStyle name="Comma 5 4 2 2" xfId="502" xr:uid="{00000000-0005-0000-0000-000024020000}"/>
    <cellStyle name="Comma 5 4 3" xfId="503" xr:uid="{00000000-0005-0000-0000-000025020000}"/>
    <cellStyle name="Comma 5 5" xfId="504" xr:uid="{00000000-0005-0000-0000-000026020000}"/>
    <cellStyle name="Comma 5 5 2" xfId="505" xr:uid="{00000000-0005-0000-0000-000027020000}"/>
    <cellStyle name="Comma 5 6" xfId="506" xr:uid="{00000000-0005-0000-0000-000028020000}"/>
    <cellStyle name="Comma 58" xfId="507" xr:uid="{00000000-0005-0000-0000-000029020000}"/>
    <cellStyle name="Comma 58 2" xfId="508" xr:uid="{00000000-0005-0000-0000-00002A020000}"/>
    <cellStyle name="Comma 58 2 2" xfId="509" xr:uid="{00000000-0005-0000-0000-00002B020000}"/>
    <cellStyle name="Comma 58 3" xfId="510" xr:uid="{00000000-0005-0000-0000-00002C020000}"/>
    <cellStyle name="Comma 6" xfId="511" xr:uid="{00000000-0005-0000-0000-00002D020000}"/>
    <cellStyle name="Comma 6 2" xfId="512" xr:uid="{00000000-0005-0000-0000-00002E020000}"/>
    <cellStyle name="Comma 6 2 2" xfId="513" xr:uid="{00000000-0005-0000-0000-00002F020000}"/>
    <cellStyle name="Comma 6 2 2 2" xfId="514" xr:uid="{00000000-0005-0000-0000-000030020000}"/>
    <cellStyle name="Comma 6 2 3" xfId="515" xr:uid="{00000000-0005-0000-0000-000031020000}"/>
    <cellStyle name="Comma 6 3" xfId="516" xr:uid="{00000000-0005-0000-0000-000032020000}"/>
    <cellStyle name="Comma 6 3 2" xfId="517" xr:uid="{00000000-0005-0000-0000-000033020000}"/>
    <cellStyle name="Comma 6 3 2 2" xfId="518" xr:uid="{00000000-0005-0000-0000-000034020000}"/>
    <cellStyle name="Comma 6 3 3" xfId="519" xr:uid="{00000000-0005-0000-0000-000035020000}"/>
    <cellStyle name="Comma 6 4" xfId="520" xr:uid="{00000000-0005-0000-0000-000036020000}"/>
    <cellStyle name="Comma 6 4 2" xfId="521" xr:uid="{00000000-0005-0000-0000-000037020000}"/>
    <cellStyle name="Comma 6 5" xfId="522" xr:uid="{00000000-0005-0000-0000-000038020000}"/>
    <cellStyle name="Comma 7" xfId="523" xr:uid="{00000000-0005-0000-0000-000039020000}"/>
    <cellStyle name="Comma 7 2" xfId="524" xr:uid="{00000000-0005-0000-0000-00003A020000}"/>
    <cellStyle name="Comma 7 2 2" xfId="525" xr:uid="{00000000-0005-0000-0000-00003B020000}"/>
    <cellStyle name="Comma 7 2 2 2" xfId="526" xr:uid="{00000000-0005-0000-0000-00003C020000}"/>
    <cellStyle name="Comma 7 2 2 2 2" xfId="527" xr:uid="{00000000-0005-0000-0000-00003D020000}"/>
    <cellStyle name="Comma 7 2 2 3" xfId="528" xr:uid="{00000000-0005-0000-0000-00003E020000}"/>
    <cellStyle name="Comma 7 2 3" xfId="529" xr:uid="{00000000-0005-0000-0000-00003F020000}"/>
    <cellStyle name="Comma 7 2 3 2" xfId="530" xr:uid="{00000000-0005-0000-0000-000040020000}"/>
    <cellStyle name="Comma 7 2 4" xfId="531" xr:uid="{00000000-0005-0000-0000-000041020000}"/>
    <cellStyle name="Comma 7 3" xfId="532" xr:uid="{00000000-0005-0000-0000-000042020000}"/>
    <cellStyle name="Comma 7 3 2" xfId="533" xr:uid="{00000000-0005-0000-0000-000043020000}"/>
    <cellStyle name="Comma 7 3 2 2" xfId="534" xr:uid="{00000000-0005-0000-0000-000044020000}"/>
    <cellStyle name="Comma 7 3 3" xfId="535" xr:uid="{00000000-0005-0000-0000-000045020000}"/>
    <cellStyle name="Comma 7 4" xfId="536" xr:uid="{00000000-0005-0000-0000-000046020000}"/>
    <cellStyle name="Comma 7 4 2" xfId="537" xr:uid="{00000000-0005-0000-0000-000047020000}"/>
    <cellStyle name="Comma 7 5" xfId="538" xr:uid="{00000000-0005-0000-0000-000048020000}"/>
    <cellStyle name="Comma 8" xfId="539" xr:uid="{00000000-0005-0000-0000-000049020000}"/>
    <cellStyle name="Comma 8 2" xfId="540" xr:uid="{00000000-0005-0000-0000-00004A020000}"/>
    <cellStyle name="Comma 8 2 2" xfId="541" xr:uid="{00000000-0005-0000-0000-00004B020000}"/>
    <cellStyle name="Comma 8 2 2 2" xfId="542" xr:uid="{00000000-0005-0000-0000-00004C020000}"/>
    <cellStyle name="Comma 8 2 3" xfId="543" xr:uid="{00000000-0005-0000-0000-00004D020000}"/>
    <cellStyle name="Comma 8 3" xfId="544" xr:uid="{00000000-0005-0000-0000-00004E020000}"/>
    <cellStyle name="Comma 8 3 2" xfId="545" xr:uid="{00000000-0005-0000-0000-00004F020000}"/>
    <cellStyle name="Comma 8 3 2 2" xfId="546" xr:uid="{00000000-0005-0000-0000-000050020000}"/>
    <cellStyle name="Comma 8 3 3" xfId="547" xr:uid="{00000000-0005-0000-0000-000051020000}"/>
    <cellStyle name="Comma 8 4" xfId="548" xr:uid="{00000000-0005-0000-0000-000052020000}"/>
    <cellStyle name="Comma 8 4 2" xfId="549" xr:uid="{00000000-0005-0000-0000-000053020000}"/>
    <cellStyle name="Comma 8 5" xfId="550" xr:uid="{00000000-0005-0000-0000-000054020000}"/>
    <cellStyle name="Comma 9" xfId="551" xr:uid="{00000000-0005-0000-0000-000055020000}"/>
    <cellStyle name="Comma 9 2" xfId="552" xr:uid="{00000000-0005-0000-0000-000056020000}"/>
    <cellStyle name="Comma 9 2 2" xfId="553" xr:uid="{00000000-0005-0000-0000-000057020000}"/>
    <cellStyle name="Comma 9 2 2 2" xfId="554" xr:uid="{00000000-0005-0000-0000-000058020000}"/>
    <cellStyle name="Comma 9 2 3" xfId="555" xr:uid="{00000000-0005-0000-0000-000059020000}"/>
    <cellStyle name="Comma 9 3" xfId="556" xr:uid="{00000000-0005-0000-0000-00005A020000}"/>
    <cellStyle name="Comma 9 3 2" xfId="557" xr:uid="{00000000-0005-0000-0000-00005B020000}"/>
    <cellStyle name="Comma 9 4" xfId="558" xr:uid="{00000000-0005-0000-0000-00005C020000}"/>
    <cellStyle name="comma zerodec" xfId="559" xr:uid="{00000000-0005-0000-0000-00005D020000}"/>
    <cellStyle name="Comma,0" xfId="560" xr:uid="{00000000-0005-0000-0000-00005E020000}"/>
    <cellStyle name="Comma,1" xfId="561" xr:uid="{00000000-0005-0000-0000-00005F020000}"/>
    <cellStyle name="Comma,2" xfId="562" xr:uid="{00000000-0005-0000-0000-000060020000}"/>
    <cellStyle name="Currency,0" xfId="563" xr:uid="{00000000-0005-0000-0000-000061020000}"/>
    <cellStyle name="Currency,2" xfId="564" xr:uid="{00000000-0005-0000-0000-000062020000}"/>
    <cellStyle name="Currency1" xfId="565" xr:uid="{00000000-0005-0000-0000-000063020000}"/>
    <cellStyle name="dataStyle 2" xfId="566" xr:uid="{00000000-0005-0000-0000-000064020000}"/>
    <cellStyle name="dataStyle 2 2" xfId="567" xr:uid="{00000000-0005-0000-0000-000065020000}"/>
    <cellStyle name="dataStyle 2 2 2" xfId="568" xr:uid="{00000000-0005-0000-0000-000066020000}"/>
    <cellStyle name="dataStyle 2 2 2 2" xfId="569" xr:uid="{00000000-0005-0000-0000-000067020000}"/>
    <cellStyle name="dataStyle 2 2 3" xfId="570" xr:uid="{00000000-0005-0000-0000-000068020000}"/>
    <cellStyle name="dataStyle 2 2 3 2" xfId="571" xr:uid="{00000000-0005-0000-0000-000069020000}"/>
    <cellStyle name="dataStyle 2 2 4" xfId="572" xr:uid="{00000000-0005-0000-0000-00006A020000}"/>
    <cellStyle name="dataStyle 2 2 4 2" xfId="573" xr:uid="{00000000-0005-0000-0000-00006B020000}"/>
    <cellStyle name="dataStyle 2 2 5" xfId="574" xr:uid="{00000000-0005-0000-0000-00006C020000}"/>
    <cellStyle name="dataStyle 2 2 6" xfId="575" xr:uid="{00000000-0005-0000-0000-00006D020000}"/>
    <cellStyle name="dataStyle 2 3" xfId="576" xr:uid="{00000000-0005-0000-0000-00006E020000}"/>
    <cellStyle name="dataStyle 2 3 2" xfId="577" xr:uid="{00000000-0005-0000-0000-00006F020000}"/>
    <cellStyle name="dataStyle 2 4" xfId="578" xr:uid="{00000000-0005-0000-0000-000070020000}"/>
    <cellStyle name="dataStyle 2 4 2" xfId="579" xr:uid="{00000000-0005-0000-0000-000071020000}"/>
    <cellStyle name="dataStyle 2 5" xfId="580" xr:uid="{00000000-0005-0000-0000-000072020000}"/>
    <cellStyle name="dataStyle 2 5 2" xfId="581" xr:uid="{00000000-0005-0000-0000-000073020000}"/>
    <cellStyle name="dataStyle 2 6" xfId="582" xr:uid="{00000000-0005-0000-0000-000074020000}"/>
    <cellStyle name="dataStyle 2 7" xfId="583" xr:uid="{00000000-0005-0000-0000-000075020000}"/>
    <cellStyle name="dataStyle 3" xfId="584" xr:uid="{00000000-0005-0000-0000-000076020000}"/>
    <cellStyle name="dataStyle 3 2" xfId="585" xr:uid="{00000000-0005-0000-0000-000077020000}"/>
    <cellStyle name="dataStyle 3 2 2" xfId="586" xr:uid="{00000000-0005-0000-0000-000078020000}"/>
    <cellStyle name="dataStyle 3 2 2 2" xfId="587" xr:uid="{00000000-0005-0000-0000-000079020000}"/>
    <cellStyle name="dataStyle 3 2 3" xfId="588" xr:uid="{00000000-0005-0000-0000-00007A020000}"/>
    <cellStyle name="dataStyle 3 2 3 2" xfId="589" xr:uid="{00000000-0005-0000-0000-00007B020000}"/>
    <cellStyle name="dataStyle 3 2 4" xfId="590" xr:uid="{00000000-0005-0000-0000-00007C020000}"/>
    <cellStyle name="dataStyle 3 2 4 2" xfId="591" xr:uid="{00000000-0005-0000-0000-00007D020000}"/>
    <cellStyle name="dataStyle 3 2 5" xfId="592" xr:uid="{00000000-0005-0000-0000-00007E020000}"/>
    <cellStyle name="dataStyle 3 2 6" xfId="593" xr:uid="{00000000-0005-0000-0000-00007F020000}"/>
    <cellStyle name="dataStyle 3 3" xfId="594" xr:uid="{00000000-0005-0000-0000-000080020000}"/>
    <cellStyle name="dataStyle 3 3 2" xfId="595" xr:uid="{00000000-0005-0000-0000-000081020000}"/>
    <cellStyle name="dataStyle 3 4" xfId="596" xr:uid="{00000000-0005-0000-0000-000082020000}"/>
    <cellStyle name="dataStyle 3 4 2" xfId="597" xr:uid="{00000000-0005-0000-0000-000083020000}"/>
    <cellStyle name="dataStyle 3 5" xfId="598" xr:uid="{00000000-0005-0000-0000-000084020000}"/>
    <cellStyle name="dataStyle 3 5 2" xfId="599" xr:uid="{00000000-0005-0000-0000-000085020000}"/>
    <cellStyle name="dataStyle 3 6" xfId="600" xr:uid="{00000000-0005-0000-0000-000086020000}"/>
    <cellStyle name="dataStyle 3 7" xfId="601" xr:uid="{00000000-0005-0000-0000-000087020000}"/>
    <cellStyle name="Dollar (zero dec)" xfId="602" xr:uid="{00000000-0005-0000-0000-000088020000}"/>
    <cellStyle name="entry" xfId="603" xr:uid="{00000000-0005-0000-0000-000089020000}"/>
    <cellStyle name="entry box" xfId="604" xr:uid="{00000000-0005-0000-0000-00008A020000}"/>
    <cellStyle name="entry box 2" xfId="605" xr:uid="{00000000-0005-0000-0000-00008B020000}"/>
    <cellStyle name="entry box 2 2" xfId="606" xr:uid="{00000000-0005-0000-0000-00008C020000}"/>
    <cellStyle name="entry box 2 2 2" xfId="607" xr:uid="{00000000-0005-0000-0000-00008D020000}"/>
    <cellStyle name="entry box 2 3" xfId="608" xr:uid="{00000000-0005-0000-0000-00008E020000}"/>
    <cellStyle name="entry box 2 3 2" xfId="609" xr:uid="{00000000-0005-0000-0000-00008F020000}"/>
    <cellStyle name="entry box 2 4" xfId="610" xr:uid="{00000000-0005-0000-0000-000090020000}"/>
    <cellStyle name="entry box 3" xfId="611" xr:uid="{00000000-0005-0000-0000-000091020000}"/>
    <cellStyle name="entry box 3 2" xfId="612" xr:uid="{00000000-0005-0000-0000-000092020000}"/>
    <cellStyle name="entry box 4" xfId="613" xr:uid="{00000000-0005-0000-0000-000093020000}"/>
    <cellStyle name="entry box 4 2" xfId="614" xr:uid="{00000000-0005-0000-0000-000094020000}"/>
    <cellStyle name="entry box 5" xfId="615" xr:uid="{00000000-0005-0000-0000-000095020000}"/>
    <cellStyle name="entry box 5 2" xfId="616" xr:uid="{00000000-0005-0000-0000-000096020000}"/>
    <cellStyle name="entry box 6" xfId="617" xr:uid="{00000000-0005-0000-0000-000097020000}"/>
    <cellStyle name="Euro" xfId="618" xr:uid="{00000000-0005-0000-0000-000098020000}"/>
    <cellStyle name="Euro 2" xfId="619" xr:uid="{00000000-0005-0000-0000-000099020000}"/>
    <cellStyle name="Euro 2 2" xfId="620" xr:uid="{00000000-0005-0000-0000-00009A020000}"/>
    <cellStyle name="Euro 3" xfId="621" xr:uid="{00000000-0005-0000-0000-00009B020000}"/>
    <cellStyle name="Good 2" xfId="622" xr:uid="{00000000-0005-0000-0000-00009C020000}"/>
    <cellStyle name="Good 2 2" xfId="623" xr:uid="{00000000-0005-0000-0000-00009D020000}"/>
    <cellStyle name="Good 2 3" xfId="624" xr:uid="{00000000-0005-0000-0000-00009E020000}"/>
    <cellStyle name="Grey" xfId="625" xr:uid="{00000000-0005-0000-0000-00009F020000}"/>
    <cellStyle name="HEADER" xfId="626" xr:uid="{00000000-0005-0000-0000-0000A0020000}"/>
    <cellStyle name="Header1" xfId="627" xr:uid="{00000000-0005-0000-0000-0000A1020000}"/>
    <cellStyle name="Header1 2" xfId="628" xr:uid="{00000000-0005-0000-0000-0000A2020000}"/>
    <cellStyle name="Header1 3" xfId="629" xr:uid="{00000000-0005-0000-0000-0000A3020000}"/>
    <cellStyle name="Header1 4" xfId="630" xr:uid="{00000000-0005-0000-0000-0000A4020000}"/>
    <cellStyle name="Header2" xfId="631" xr:uid="{00000000-0005-0000-0000-0000A5020000}"/>
    <cellStyle name="Header2 2" xfId="632" xr:uid="{00000000-0005-0000-0000-0000A6020000}"/>
    <cellStyle name="Header2 3" xfId="633" xr:uid="{00000000-0005-0000-0000-0000A7020000}"/>
    <cellStyle name="Hyperlink" xfId="2690" xr:uid="{00000000-0005-0000-0000-0000A8020000}"/>
    <cellStyle name="Hyperlink 2" xfId="634" xr:uid="{00000000-0005-0000-0000-0000A9020000}"/>
    <cellStyle name="Hyperlink 2 2" xfId="635" xr:uid="{00000000-0005-0000-0000-0000AA020000}"/>
    <cellStyle name="Hyperlink 2 2 3" xfId="636" xr:uid="{00000000-0005-0000-0000-0000AB020000}"/>
    <cellStyle name="Hyperlink 2 3" xfId="637" xr:uid="{00000000-0005-0000-0000-0000AC020000}"/>
    <cellStyle name="Hyperlink 2 4" xfId="638" xr:uid="{00000000-0005-0000-0000-0000AD020000}"/>
    <cellStyle name="Hyperlink 3" xfId="639" xr:uid="{00000000-0005-0000-0000-0000AE020000}"/>
    <cellStyle name="Hyperlink 3 2" xfId="640" xr:uid="{00000000-0005-0000-0000-0000AF020000}"/>
    <cellStyle name="Hyperlink 3 3" xfId="641" xr:uid="{00000000-0005-0000-0000-0000B0020000}"/>
    <cellStyle name="Hyperlink 4" xfId="642" xr:uid="{00000000-0005-0000-0000-0000B1020000}"/>
    <cellStyle name="Hyperlink 4 2" xfId="643" xr:uid="{00000000-0005-0000-0000-0000B2020000}"/>
    <cellStyle name="Hyperlink 4 3" xfId="644" xr:uid="{00000000-0005-0000-0000-0000B3020000}"/>
    <cellStyle name="Hyperlink 4 4" xfId="645" xr:uid="{00000000-0005-0000-0000-0000B4020000}"/>
    <cellStyle name="Hyperlink 5" xfId="646" xr:uid="{00000000-0005-0000-0000-0000B5020000}"/>
    <cellStyle name="Input [yellow]" xfId="647" xr:uid="{00000000-0005-0000-0000-0000B6020000}"/>
    <cellStyle name="Input [yellow] 2" xfId="648" xr:uid="{00000000-0005-0000-0000-0000B7020000}"/>
    <cellStyle name="Input [yellow] 2 2" xfId="649" xr:uid="{00000000-0005-0000-0000-0000B8020000}"/>
    <cellStyle name="Input [yellow] 2 2 2" xfId="650" xr:uid="{00000000-0005-0000-0000-0000B9020000}"/>
    <cellStyle name="Input [yellow] 2 3" xfId="651" xr:uid="{00000000-0005-0000-0000-0000BA020000}"/>
    <cellStyle name="Input [yellow] 2 3 2" xfId="652" xr:uid="{00000000-0005-0000-0000-0000BB020000}"/>
    <cellStyle name="Input [yellow] 2 4" xfId="653" xr:uid="{00000000-0005-0000-0000-0000BC020000}"/>
    <cellStyle name="Input [yellow] 3" xfId="654" xr:uid="{00000000-0005-0000-0000-0000BD020000}"/>
    <cellStyle name="Input [yellow] 3 2" xfId="655" xr:uid="{00000000-0005-0000-0000-0000BE020000}"/>
    <cellStyle name="Input [yellow] 4" xfId="656" xr:uid="{00000000-0005-0000-0000-0000BF020000}"/>
    <cellStyle name="Input [yellow] 4 2" xfId="657" xr:uid="{00000000-0005-0000-0000-0000C0020000}"/>
    <cellStyle name="Input [yellow] 5" xfId="658" xr:uid="{00000000-0005-0000-0000-0000C1020000}"/>
    <cellStyle name="Input [yellow] 5 2" xfId="659" xr:uid="{00000000-0005-0000-0000-0000C2020000}"/>
    <cellStyle name="Input [yellow] 6" xfId="660" xr:uid="{00000000-0005-0000-0000-0000C3020000}"/>
    <cellStyle name="Model" xfId="661" xr:uid="{00000000-0005-0000-0000-0000C4020000}"/>
    <cellStyle name="Model 2" xfId="662" xr:uid="{00000000-0005-0000-0000-0000C5020000}"/>
    <cellStyle name="Normal - Style1" xfId="663" xr:uid="{00000000-0005-0000-0000-0000C6020000}"/>
    <cellStyle name="Normal 10" xfId="664" xr:uid="{00000000-0005-0000-0000-0000C7020000}"/>
    <cellStyle name="Normal 10 10" xfId="665" xr:uid="{00000000-0005-0000-0000-0000C8020000}"/>
    <cellStyle name="Normal 10 2" xfId="666" xr:uid="{00000000-0005-0000-0000-0000C9020000}"/>
    <cellStyle name="Normal 10 2 2" xfId="667" xr:uid="{00000000-0005-0000-0000-0000CA020000}"/>
    <cellStyle name="Normal 10 2 2 2" xfId="668" xr:uid="{00000000-0005-0000-0000-0000CB020000}"/>
    <cellStyle name="Normal 10 2 2 3" xfId="669" xr:uid="{00000000-0005-0000-0000-0000CC020000}"/>
    <cellStyle name="Normal 10 2 3" xfId="670" xr:uid="{00000000-0005-0000-0000-0000CD020000}"/>
    <cellStyle name="Normal 10 3" xfId="671" xr:uid="{00000000-0005-0000-0000-0000CE020000}"/>
    <cellStyle name="Normal 10 4" xfId="672" xr:uid="{00000000-0005-0000-0000-0000CF020000}"/>
    <cellStyle name="Normal 103" xfId="673" xr:uid="{00000000-0005-0000-0000-0000D0020000}"/>
    <cellStyle name="Normal 103 2" xfId="674" xr:uid="{00000000-0005-0000-0000-0000D1020000}"/>
    <cellStyle name="Normal 103 2 2" xfId="675" xr:uid="{00000000-0005-0000-0000-0000D2020000}"/>
    <cellStyle name="Normal 103 2 3" xfId="676" xr:uid="{00000000-0005-0000-0000-0000D3020000}"/>
    <cellStyle name="Normal 103 2 3 2" xfId="677" xr:uid="{00000000-0005-0000-0000-0000D4020000}"/>
    <cellStyle name="Normal 103 2 4" xfId="678" xr:uid="{00000000-0005-0000-0000-0000D5020000}"/>
    <cellStyle name="Normal 103 3" xfId="679" xr:uid="{00000000-0005-0000-0000-0000D6020000}"/>
    <cellStyle name="Normal 103 4 2" xfId="680" xr:uid="{00000000-0005-0000-0000-0000D7020000}"/>
    <cellStyle name="Normal 11" xfId="681" xr:uid="{00000000-0005-0000-0000-0000D8020000}"/>
    <cellStyle name="Normal 11 2" xfId="682" xr:uid="{00000000-0005-0000-0000-0000D9020000}"/>
    <cellStyle name="Normal 111" xfId="683" xr:uid="{00000000-0005-0000-0000-0000DA020000}"/>
    <cellStyle name="Normal 111 2" xfId="684" xr:uid="{00000000-0005-0000-0000-0000DB020000}"/>
    <cellStyle name="Normal 111 2 2" xfId="685" xr:uid="{00000000-0005-0000-0000-0000DC020000}"/>
    <cellStyle name="Normal 111 2 3" xfId="686" xr:uid="{00000000-0005-0000-0000-0000DD020000}"/>
    <cellStyle name="Normal 111 2 3 2" xfId="687" xr:uid="{00000000-0005-0000-0000-0000DE020000}"/>
    <cellStyle name="Normal 118" xfId="688" xr:uid="{00000000-0005-0000-0000-0000DF020000}"/>
    <cellStyle name="Normal 118 2" xfId="689" xr:uid="{00000000-0005-0000-0000-0000E0020000}"/>
    <cellStyle name="Normal 12" xfId="690" xr:uid="{00000000-0005-0000-0000-0000E1020000}"/>
    <cellStyle name="Normal 12 2" xfId="691" xr:uid="{00000000-0005-0000-0000-0000E2020000}"/>
    <cellStyle name="Normal 12 2 2 2 2" xfId="692" xr:uid="{00000000-0005-0000-0000-0000E3020000}"/>
    <cellStyle name="Normal 121" xfId="693" xr:uid="{00000000-0005-0000-0000-0000E4020000}"/>
    <cellStyle name="Normal 121 2" xfId="694" xr:uid="{00000000-0005-0000-0000-0000E5020000}"/>
    <cellStyle name="Normal 121 2 2" xfId="695" xr:uid="{00000000-0005-0000-0000-0000E6020000}"/>
    <cellStyle name="Normal 121 2 2 2" xfId="696" xr:uid="{00000000-0005-0000-0000-0000E7020000}"/>
    <cellStyle name="Normal 121 2 2 2 2" xfId="697" xr:uid="{00000000-0005-0000-0000-0000E8020000}"/>
    <cellStyle name="Normal 121 2 2 2 4" xfId="698" xr:uid="{00000000-0005-0000-0000-0000E9020000}"/>
    <cellStyle name="Normal 121 2 3" xfId="699" xr:uid="{00000000-0005-0000-0000-0000EA020000}"/>
    <cellStyle name="Normal 121 2 4" xfId="700" xr:uid="{00000000-0005-0000-0000-0000EB020000}"/>
    <cellStyle name="Normal 121 4" xfId="701" xr:uid="{00000000-0005-0000-0000-0000EC020000}"/>
    <cellStyle name="Normal 125" xfId="702" xr:uid="{00000000-0005-0000-0000-0000ED020000}"/>
    <cellStyle name="Normal 125 2" xfId="703" xr:uid="{00000000-0005-0000-0000-0000EE020000}"/>
    <cellStyle name="Normal 126" xfId="704" xr:uid="{00000000-0005-0000-0000-0000EF020000}"/>
    <cellStyle name="Normal 126 2" xfId="705" xr:uid="{00000000-0005-0000-0000-0000F0020000}"/>
    <cellStyle name="Normal 13" xfId="706" xr:uid="{00000000-0005-0000-0000-0000F1020000}"/>
    <cellStyle name="Normal 13 2" xfId="707" xr:uid="{00000000-0005-0000-0000-0000F2020000}"/>
    <cellStyle name="Normal 13 2 2" xfId="708" xr:uid="{00000000-0005-0000-0000-0000F3020000}"/>
    <cellStyle name="Normal 13 3" xfId="709" xr:uid="{00000000-0005-0000-0000-0000F4020000}"/>
    <cellStyle name="Normal 13 4" xfId="710" xr:uid="{00000000-0005-0000-0000-0000F5020000}"/>
    <cellStyle name="Normal 14" xfId="711" xr:uid="{00000000-0005-0000-0000-0000F6020000}"/>
    <cellStyle name="Normal 14 2" xfId="712" xr:uid="{00000000-0005-0000-0000-0000F7020000}"/>
    <cellStyle name="Normal 14 3" xfId="713" xr:uid="{00000000-0005-0000-0000-0000F8020000}"/>
    <cellStyle name="Normal 14 4" xfId="714" xr:uid="{00000000-0005-0000-0000-0000F9020000}"/>
    <cellStyle name="Normal 15" xfId="715" xr:uid="{00000000-0005-0000-0000-0000FA020000}"/>
    <cellStyle name="Normal 15 2" xfId="716" xr:uid="{00000000-0005-0000-0000-0000FB020000}"/>
    <cellStyle name="Normal 15 2 2" xfId="717" xr:uid="{00000000-0005-0000-0000-0000FC020000}"/>
    <cellStyle name="Normal 15 2 3" xfId="718" xr:uid="{00000000-0005-0000-0000-0000FD020000}"/>
    <cellStyle name="Normal 15 2 3 2" xfId="719" xr:uid="{00000000-0005-0000-0000-0000FE020000}"/>
    <cellStyle name="Normal 15 3" xfId="720" xr:uid="{00000000-0005-0000-0000-0000FF020000}"/>
    <cellStyle name="Normal 15 3 2" xfId="721" xr:uid="{00000000-0005-0000-0000-000000030000}"/>
    <cellStyle name="Normal 15 4" xfId="722" xr:uid="{00000000-0005-0000-0000-000001030000}"/>
    <cellStyle name="Normal 16" xfId="723" xr:uid="{00000000-0005-0000-0000-000002030000}"/>
    <cellStyle name="Normal 16 2" xfId="724" xr:uid="{00000000-0005-0000-0000-000003030000}"/>
    <cellStyle name="Normal 16 2 2" xfId="725" xr:uid="{00000000-0005-0000-0000-000004030000}"/>
    <cellStyle name="Normal 16 2 3" xfId="726" xr:uid="{00000000-0005-0000-0000-000005030000}"/>
    <cellStyle name="Normal 16 2 4" xfId="727" xr:uid="{00000000-0005-0000-0000-000006030000}"/>
    <cellStyle name="Normal 16 3" xfId="728" xr:uid="{00000000-0005-0000-0000-000007030000}"/>
    <cellStyle name="Normal 17" xfId="729" xr:uid="{00000000-0005-0000-0000-000008030000}"/>
    <cellStyle name="Normal 17 2" xfId="730" xr:uid="{00000000-0005-0000-0000-000009030000}"/>
    <cellStyle name="Normal 182" xfId="731" xr:uid="{00000000-0005-0000-0000-00000A030000}"/>
    <cellStyle name="Normal 182 2" xfId="732" xr:uid="{00000000-0005-0000-0000-00000B030000}"/>
    <cellStyle name="Normal 2" xfId="733" xr:uid="{00000000-0005-0000-0000-00000C030000}"/>
    <cellStyle name="Normal 2 10" xfId="734" xr:uid="{00000000-0005-0000-0000-00000D030000}"/>
    <cellStyle name="Normal 2 10 2" xfId="735" xr:uid="{00000000-0005-0000-0000-00000E030000}"/>
    <cellStyle name="Normal 2 2" xfId="736" xr:uid="{00000000-0005-0000-0000-00000F030000}"/>
    <cellStyle name="Normal 2 2 2" xfId="737" xr:uid="{00000000-0005-0000-0000-000010030000}"/>
    <cellStyle name="Normal 2 2 2 2" xfId="738" xr:uid="{00000000-0005-0000-0000-000011030000}"/>
    <cellStyle name="Normal 2 2 2 2 2" xfId="739" xr:uid="{00000000-0005-0000-0000-000012030000}"/>
    <cellStyle name="Normal 2 2 2 2 3" xfId="740" xr:uid="{00000000-0005-0000-0000-000013030000}"/>
    <cellStyle name="Normal 2 2 2 3" xfId="741" xr:uid="{00000000-0005-0000-0000-000014030000}"/>
    <cellStyle name="Normal 2 2 2 4" xfId="742" xr:uid="{00000000-0005-0000-0000-000015030000}"/>
    <cellStyle name="Normal 2 2 3" xfId="743" xr:uid="{00000000-0005-0000-0000-000016030000}"/>
    <cellStyle name="Normal 2 2 3 2" xfId="744" xr:uid="{00000000-0005-0000-0000-000017030000}"/>
    <cellStyle name="Normal 2 2 3 2 2" xfId="745" xr:uid="{00000000-0005-0000-0000-000018030000}"/>
    <cellStyle name="Normal 2 2 4" xfId="746" xr:uid="{00000000-0005-0000-0000-000019030000}"/>
    <cellStyle name="Normal 2 24" xfId="747" xr:uid="{00000000-0005-0000-0000-00001A030000}"/>
    <cellStyle name="Normal 2 3" xfId="748" xr:uid="{00000000-0005-0000-0000-00001B030000}"/>
    <cellStyle name="Normal 2 3 2" xfId="749" xr:uid="{00000000-0005-0000-0000-00001C030000}"/>
    <cellStyle name="Normal 2 3 2 2" xfId="750" xr:uid="{00000000-0005-0000-0000-00001D030000}"/>
    <cellStyle name="Normal 2 3 2 2 2" xfId="751" xr:uid="{00000000-0005-0000-0000-00001E030000}"/>
    <cellStyle name="Normal 2 3 2 2 2 2" xfId="752" xr:uid="{00000000-0005-0000-0000-00001F030000}"/>
    <cellStyle name="Normal 2 3 2 2 2 2 2" xfId="753" xr:uid="{00000000-0005-0000-0000-000020030000}"/>
    <cellStyle name="Normal 2 3 2 2 3" xfId="754" xr:uid="{00000000-0005-0000-0000-000021030000}"/>
    <cellStyle name="Normal 2 3 2 2 4" xfId="755" xr:uid="{00000000-0005-0000-0000-000022030000}"/>
    <cellStyle name="Normal 2 3 2 2 4 2" xfId="756" xr:uid="{00000000-0005-0000-0000-000023030000}"/>
    <cellStyle name="Normal 2 3 2 3" xfId="757" xr:uid="{00000000-0005-0000-0000-000024030000}"/>
    <cellStyle name="Normal 2 3 3" xfId="758" xr:uid="{00000000-0005-0000-0000-000025030000}"/>
    <cellStyle name="Normal 2 3 3 2" xfId="759" xr:uid="{00000000-0005-0000-0000-000026030000}"/>
    <cellStyle name="Normal 2 3 4" xfId="760" xr:uid="{00000000-0005-0000-0000-000027030000}"/>
    <cellStyle name="Normal 2 3 4 2" xfId="761" xr:uid="{00000000-0005-0000-0000-000028030000}"/>
    <cellStyle name="Normal 2 3 4 2 2" xfId="762" xr:uid="{00000000-0005-0000-0000-000029030000}"/>
    <cellStyle name="Normal 2 3 5" xfId="763" xr:uid="{00000000-0005-0000-0000-00002A030000}"/>
    <cellStyle name="Normal 2 3 5 2" xfId="764" xr:uid="{00000000-0005-0000-0000-00002B030000}"/>
    <cellStyle name="Normal 2 3 5 3" xfId="765" xr:uid="{00000000-0005-0000-0000-00002C030000}"/>
    <cellStyle name="Normal 2 3 6" xfId="766" xr:uid="{00000000-0005-0000-0000-00002D030000}"/>
    <cellStyle name="Normal 2 3 6 2" xfId="767" xr:uid="{00000000-0005-0000-0000-00002E030000}"/>
    <cellStyle name="Normal 2 4" xfId="768" xr:uid="{00000000-0005-0000-0000-00002F030000}"/>
    <cellStyle name="Normal 2 4 2" xfId="769" xr:uid="{00000000-0005-0000-0000-000030030000}"/>
    <cellStyle name="Normal 2 4 3" xfId="770" xr:uid="{00000000-0005-0000-0000-000031030000}"/>
    <cellStyle name="Normal 2 5" xfId="771" xr:uid="{00000000-0005-0000-0000-000032030000}"/>
    <cellStyle name="Normal 2 5 2" xfId="772" xr:uid="{00000000-0005-0000-0000-000033030000}"/>
    <cellStyle name="Normal 2 5 3" xfId="773" xr:uid="{00000000-0005-0000-0000-000034030000}"/>
    <cellStyle name="Normal 2 5 4" xfId="774" xr:uid="{00000000-0005-0000-0000-000035030000}"/>
    <cellStyle name="Normal 2 6" xfId="775" xr:uid="{00000000-0005-0000-0000-000036030000}"/>
    <cellStyle name="Normal 2 6 2" xfId="776" xr:uid="{00000000-0005-0000-0000-000037030000}"/>
    <cellStyle name="Normal 2 7" xfId="777" xr:uid="{00000000-0005-0000-0000-000038030000}"/>
    <cellStyle name="Normal 2 7 2" xfId="778" xr:uid="{00000000-0005-0000-0000-000039030000}"/>
    <cellStyle name="Normal 25" xfId="779" xr:uid="{00000000-0005-0000-0000-00003A030000}"/>
    <cellStyle name="Normal 3" xfId="780" xr:uid="{00000000-0005-0000-0000-00003B030000}"/>
    <cellStyle name="Normal 3 2" xfId="781" xr:uid="{00000000-0005-0000-0000-00003C030000}"/>
    <cellStyle name="Normal 3 2 2" xfId="782" xr:uid="{00000000-0005-0000-0000-00003D030000}"/>
    <cellStyle name="Normal 3 2 2 2" xfId="783" xr:uid="{00000000-0005-0000-0000-00003E030000}"/>
    <cellStyle name="Normal 3 2 2 2 2" xfId="784" xr:uid="{00000000-0005-0000-0000-00003F030000}"/>
    <cellStyle name="Normal 3 2 3" xfId="785" xr:uid="{00000000-0005-0000-0000-000040030000}"/>
    <cellStyle name="Normal 3 2 4" xfId="786" xr:uid="{00000000-0005-0000-0000-000041030000}"/>
    <cellStyle name="Normal 3 2 5" xfId="787" xr:uid="{00000000-0005-0000-0000-000042030000}"/>
    <cellStyle name="Normal 3 2 6" xfId="788" xr:uid="{00000000-0005-0000-0000-000043030000}"/>
    <cellStyle name="Normal 3 3" xfId="789" xr:uid="{00000000-0005-0000-0000-000044030000}"/>
    <cellStyle name="Normal 3 3 2" xfId="790" xr:uid="{00000000-0005-0000-0000-000045030000}"/>
    <cellStyle name="Normal 3 3 2 2" xfId="791" xr:uid="{00000000-0005-0000-0000-000046030000}"/>
    <cellStyle name="Normal 3 3 2 3" xfId="792" xr:uid="{00000000-0005-0000-0000-000047030000}"/>
    <cellStyle name="Normal 3 4" xfId="793" xr:uid="{00000000-0005-0000-0000-000048030000}"/>
    <cellStyle name="Normal 3 4 2" xfId="794" xr:uid="{00000000-0005-0000-0000-000049030000}"/>
    <cellStyle name="Normal 3 4 3" xfId="795" xr:uid="{00000000-0005-0000-0000-00004A030000}"/>
    <cellStyle name="Normal 3 5" xfId="796" xr:uid="{00000000-0005-0000-0000-00004B030000}"/>
    <cellStyle name="Normal 3 6" xfId="797" xr:uid="{00000000-0005-0000-0000-00004C030000}"/>
    <cellStyle name="Normal 3 6 2" xfId="798" xr:uid="{00000000-0005-0000-0000-00004D030000}"/>
    <cellStyle name="Normal 31" xfId="799" xr:uid="{00000000-0005-0000-0000-00004E030000}"/>
    <cellStyle name="Normal 31 2" xfId="800" xr:uid="{00000000-0005-0000-0000-00004F030000}"/>
    <cellStyle name="Normal 4" xfId="801" xr:uid="{00000000-0005-0000-0000-000050030000}"/>
    <cellStyle name="Normal 4 2" xfId="802" xr:uid="{00000000-0005-0000-0000-000051030000}"/>
    <cellStyle name="Normal 4 2 2" xfId="803" xr:uid="{00000000-0005-0000-0000-000052030000}"/>
    <cellStyle name="Normal 4 2 3" xfId="804" xr:uid="{00000000-0005-0000-0000-000053030000}"/>
    <cellStyle name="Normal 4 2 4" xfId="805" xr:uid="{00000000-0005-0000-0000-000054030000}"/>
    <cellStyle name="Normal 4 3" xfId="806" xr:uid="{00000000-0005-0000-0000-000055030000}"/>
    <cellStyle name="Normal 4 3 2" xfId="807" xr:uid="{00000000-0005-0000-0000-000056030000}"/>
    <cellStyle name="Normal 4 3 2 2" xfId="808" xr:uid="{00000000-0005-0000-0000-000057030000}"/>
    <cellStyle name="Normal 4 3 3" xfId="809" xr:uid="{00000000-0005-0000-0000-000058030000}"/>
    <cellStyle name="Normal 4 3 4" xfId="810" xr:uid="{00000000-0005-0000-0000-000059030000}"/>
    <cellStyle name="Normal 4 3 5" xfId="811" xr:uid="{00000000-0005-0000-0000-00005A030000}"/>
    <cellStyle name="Normal 4 4" xfId="812" xr:uid="{00000000-0005-0000-0000-00005B030000}"/>
    <cellStyle name="Normal 4 5" xfId="813" xr:uid="{00000000-0005-0000-0000-00005C030000}"/>
    <cellStyle name="Normal 4 5 2" xfId="814" xr:uid="{00000000-0005-0000-0000-00005D030000}"/>
    <cellStyle name="Normal 5" xfId="815" xr:uid="{00000000-0005-0000-0000-00005E030000}"/>
    <cellStyle name="Normal 5 2" xfId="816" xr:uid="{00000000-0005-0000-0000-00005F030000}"/>
    <cellStyle name="Normal 5 3" xfId="817" xr:uid="{00000000-0005-0000-0000-000060030000}"/>
    <cellStyle name="Normal 5 3 2" xfId="818" xr:uid="{00000000-0005-0000-0000-000061030000}"/>
    <cellStyle name="Normal 5 3 3" xfId="819" xr:uid="{00000000-0005-0000-0000-000062030000}"/>
    <cellStyle name="Normal 5 4" xfId="820" xr:uid="{00000000-0005-0000-0000-000063030000}"/>
    <cellStyle name="Normal 5 5" xfId="821" xr:uid="{00000000-0005-0000-0000-000064030000}"/>
    <cellStyle name="Normal 6" xfId="822" xr:uid="{00000000-0005-0000-0000-000065030000}"/>
    <cellStyle name="Normal 6 2" xfId="823" xr:uid="{00000000-0005-0000-0000-000066030000}"/>
    <cellStyle name="Normal 6 2 2" xfId="824" xr:uid="{00000000-0005-0000-0000-000067030000}"/>
    <cellStyle name="Normal 6 2 3" xfId="825" xr:uid="{00000000-0005-0000-0000-000068030000}"/>
    <cellStyle name="Normal 6 3" xfId="826" xr:uid="{00000000-0005-0000-0000-000069030000}"/>
    <cellStyle name="Normal 6 4" xfId="827" xr:uid="{00000000-0005-0000-0000-00006A030000}"/>
    <cellStyle name="Normal 7" xfId="828" xr:uid="{00000000-0005-0000-0000-00006B030000}"/>
    <cellStyle name="Normal 7 2" xfId="829" xr:uid="{00000000-0005-0000-0000-00006C030000}"/>
    <cellStyle name="Normal 7 3" xfId="830" xr:uid="{00000000-0005-0000-0000-00006D030000}"/>
    <cellStyle name="Normal 7 4" xfId="831" xr:uid="{00000000-0005-0000-0000-00006E030000}"/>
    <cellStyle name="Normal 8" xfId="832" xr:uid="{00000000-0005-0000-0000-00006F030000}"/>
    <cellStyle name="Normal 8 2" xfId="833" xr:uid="{00000000-0005-0000-0000-000070030000}"/>
    <cellStyle name="Normal 8 2 2" xfId="834" xr:uid="{00000000-0005-0000-0000-000071030000}"/>
    <cellStyle name="Normal 8 3" xfId="835" xr:uid="{00000000-0005-0000-0000-000072030000}"/>
    <cellStyle name="Normal 8 4" xfId="836" xr:uid="{00000000-0005-0000-0000-000073030000}"/>
    <cellStyle name="Normal 9" xfId="837" xr:uid="{00000000-0005-0000-0000-000074030000}"/>
    <cellStyle name="Normal 9 2" xfId="838" xr:uid="{00000000-0005-0000-0000-000075030000}"/>
    <cellStyle name="Normal 9 2 2" xfId="839" xr:uid="{00000000-0005-0000-0000-000076030000}"/>
    <cellStyle name="Normal_Sheet2" xfId="840" xr:uid="{00000000-0005-0000-0000-000077030000}"/>
    <cellStyle name="Normalny_Arkusz1" xfId="841" xr:uid="{00000000-0005-0000-0000-000078030000}"/>
    <cellStyle name="Percent [2]" xfId="842" xr:uid="{00000000-0005-0000-0000-000079030000}"/>
    <cellStyle name="Percent 2" xfId="843" xr:uid="{00000000-0005-0000-0000-00007A030000}"/>
    <cellStyle name="Percent 2 2" xfId="844" xr:uid="{00000000-0005-0000-0000-00007B030000}"/>
    <cellStyle name="Percent 2 3" xfId="845" xr:uid="{00000000-0005-0000-0000-00007C030000}"/>
    <cellStyle name="Percent 2 4" xfId="846" xr:uid="{00000000-0005-0000-0000-00007D030000}"/>
    <cellStyle name="Percent 3" xfId="847" xr:uid="{00000000-0005-0000-0000-00007E030000}"/>
    <cellStyle name="Percent 3 2" xfId="848" xr:uid="{00000000-0005-0000-0000-00007F030000}"/>
    <cellStyle name="Percent 3 3" xfId="849" xr:uid="{00000000-0005-0000-0000-000080030000}"/>
    <cellStyle name="Percent 4" xfId="850" xr:uid="{00000000-0005-0000-0000-000081030000}"/>
    <cellStyle name="Percent 5" xfId="851" xr:uid="{00000000-0005-0000-0000-000082030000}"/>
    <cellStyle name="Percent 5 2" xfId="852" xr:uid="{00000000-0005-0000-0000-000083030000}"/>
    <cellStyle name="Percent 5 2 2" xfId="853" xr:uid="{00000000-0005-0000-0000-000084030000}"/>
    <cellStyle name="Percent 5 2 3" xfId="854" xr:uid="{00000000-0005-0000-0000-000085030000}"/>
    <cellStyle name="Percent 6 2" xfId="855" xr:uid="{00000000-0005-0000-0000-000086030000}"/>
    <cellStyle name="Prefilled" xfId="856" xr:uid="{00000000-0005-0000-0000-000087030000}"/>
    <cellStyle name="Prefilled 2" xfId="857" xr:uid="{00000000-0005-0000-0000-000088030000}"/>
    <cellStyle name="Prefilled 2 2" xfId="858" xr:uid="{00000000-0005-0000-0000-000089030000}"/>
    <cellStyle name="Prefilled 2 2 2" xfId="859" xr:uid="{00000000-0005-0000-0000-00008A030000}"/>
    <cellStyle name="Prefilled 2 3" xfId="860" xr:uid="{00000000-0005-0000-0000-00008B030000}"/>
    <cellStyle name="Prefilled 2 3 2" xfId="861" xr:uid="{00000000-0005-0000-0000-00008C030000}"/>
    <cellStyle name="Prefilled 2 4" xfId="862" xr:uid="{00000000-0005-0000-0000-00008D030000}"/>
    <cellStyle name="Prefilled 3" xfId="863" xr:uid="{00000000-0005-0000-0000-00008E030000}"/>
    <cellStyle name="Prefilled 3 2" xfId="864" xr:uid="{00000000-0005-0000-0000-00008F030000}"/>
    <cellStyle name="Prefilled 4" xfId="865" xr:uid="{00000000-0005-0000-0000-000090030000}"/>
    <cellStyle name="Prefilled 4 2" xfId="866" xr:uid="{00000000-0005-0000-0000-000091030000}"/>
    <cellStyle name="Prefilled 5" xfId="867" xr:uid="{00000000-0005-0000-0000-000092030000}"/>
    <cellStyle name="Prefilled 5 2" xfId="868" xr:uid="{00000000-0005-0000-0000-000093030000}"/>
    <cellStyle name="Prefilled 6" xfId="869" xr:uid="{00000000-0005-0000-0000-000094030000}"/>
    <cellStyle name="price" xfId="870" xr:uid="{00000000-0005-0000-0000-000095030000}"/>
    <cellStyle name="revised" xfId="871" xr:uid="{00000000-0005-0000-0000-000096030000}"/>
    <cellStyle name="row_def_array" xfId="872" xr:uid="{00000000-0005-0000-0000-000097030000}"/>
    <cellStyle name="SAPBEXaggData" xfId="873" xr:uid="{00000000-0005-0000-0000-000098030000}"/>
    <cellStyle name="SAPBEXaggData 2" xfId="874" xr:uid="{00000000-0005-0000-0000-000099030000}"/>
    <cellStyle name="SAPBEXaggData 2 2" xfId="875" xr:uid="{00000000-0005-0000-0000-00009A030000}"/>
    <cellStyle name="SAPBEXaggData 2 2 2" xfId="876" xr:uid="{00000000-0005-0000-0000-00009B030000}"/>
    <cellStyle name="SAPBEXaggData 2 2 2 2" xfId="877" xr:uid="{00000000-0005-0000-0000-00009C030000}"/>
    <cellStyle name="SAPBEXaggData 2 2 2 3" xfId="878" xr:uid="{00000000-0005-0000-0000-00009D030000}"/>
    <cellStyle name="SAPBEXaggData 2 2 3" xfId="879" xr:uid="{00000000-0005-0000-0000-00009E030000}"/>
    <cellStyle name="SAPBEXaggData 2 2 3 2" xfId="880" xr:uid="{00000000-0005-0000-0000-00009F030000}"/>
    <cellStyle name="SAPBEXaggData 2 2 3 3" xfId="881" xr:uid="{00000000-0005-0000-0000-0000A0030000}"/>
    <cellStyle name="SAPBEXaggData 2 2 4" xfId="882" xr:uid="{00000000-0005-0000-0000-0000A1030000}"/>
    <cellStyle name="SAPBEXaggData 2 2 4 2" xfId="883" xr:uid="{00000000-0005-0000-0000-0000A2030000}"/>
    <cellStyle name="SAPBEXaggData 2 2 4 3" xfId="884" xr:uid="{00000000-0005-0000-0000-0000A3030000}"/>
    <cellStyle name="SAPBEXaggData 2 2 5" xfId="885" xr:uid="{00000000-0005-0000-0000-0000A4030000}"/>
    <cellStyle name="SAPBEXaggData 2 2 5 2" xfId="886" xr:uid="{00000000-0005-0000-0000-0000A5030000}"/>
    <cellStyle name="SAPBEXaggData 2 2 5 3" xfId="887" xr:uid="{00000000-0005-0000-0000-0000A6030000}"/>
    <cellStyle name="SAPBEXaggData 2 2 6" xfId="888" xr:uid="{00000000-0005-0000-0000-0000A7030000}"/>
    <cellStyle name="SAPBEXaggData 2 2 7" xfId="889" xr:uid="{00000000-0005-0000-0000-0000A8030000}"/>
    <cellStyle name="SAPBEXaggData 2 3" xfId="890" xr:uid="{00000000-0005-0000-0000-0000A9030000}"/>
    <cellStyle name="SAPBEXaggData 2 3 2" xfId="891" xr:uid="{00000000-0005-0000-0000-0000AA030000}"/>
    <cellStyle name="SAPBEXaggData 2 3 3" xfId="892" xr:uid="{00000000-0005-0000-0000-0000AB030000}"/>
    <cellStyle name="SAPBEXaggData 2 4" xfId="893" xr:uid="{00000000-0005-0000-0000-0000AC030000}"/>
    <cellStyle name="SAPBEXaggData 2 5" xfId="894" xr:uid="{00000000-0005-0000-0000-0000AD030000}"/>
    <cellStyle name="SAPBEXaggData 3" xfId="895" xr:uid="{00000000-0005-0000-0000-0000AE030000}"/>
    <cellStyle name="SAPBEXaggData 3 2" xfId="896" xr:uid="{00000000-0005-0000-0000-0000AF030000}"/>
    <cellStyle name="SAPBEXaggData 3 2 2" xfId="897" xr:uid="{00000000-0005-0000-0000-0000B0030000}"/>
    <cellStyle name="SAPBEXaggData 3 2 3" xfId="898" xr:uid="{00000000-0005-0000-0000-0000B1030000}"/>
    <cellStyle name="SAPBEXaggData 3 3" xfId="899" xr:uid="{00000000-0005-0000-0000-0000B2030000}"/>
    <cellStyle name="SAPBEXaggData 3 3 2" xfId="900" xr:uid="{00000000-0005-0000-0000-0000B3030000}"/>
    <cellStyle name="SAPBEXaggData 3 3 3" xfId="901" xr:uid="{00000000-0005-0000-0000-0000B4030000}"/>
    <cellStyle name="SAPBEXaggData 3 4" xfId="902" xr:uid="{00000000-0005-0000-0000-0000B5030000}"/>
    <cellStyle name="SAPBEXaggData 3 4 2" xfId="903" xr:uid="{00000000-0005-0000-0000-0000B6030000}"/>
    <cellStyle name="SAPBEXaggData 3 4 3" xfId="904" xr:uid="{00000000-0005-0000-0000-0000B7030000}"/>
    <cellStyle name="SAPBEXaggData 3 5" xfId="905" xr:uid="{00000000-0005-0000-0000-0000B8030000}"/>
    <cellStyle name="SAPBEXaggData 3 5 2" xfId="906" xr:uid="{00000000-0005-0000-0000-0000B9030000}"/>
    <cellStyle name="SAPBEXaggData 3 5 3" xfId="907" xr:uid="{00000000-0005-0000-0000-0000BA030000}"/>
    <cellStyle name="SAPBEXaggData 3 6" xfId="908" xr:uid="{00000000-0005-0000-0000-0000BB030000}"/>
    <cellStyle name="SAPBEXaggData 3 7" xfId="909" xr:uid="{00000000-0005-0000-0000-0000BC030000}"/>
    <cellStyle name="SAPBEXaggData 4" xfId="910" xr:uid="{00000000-0005-0000-0000-0000BD030000}"/>
    <cellStyle name="SAPBEXaggData 4 2" xfId="911" xr:uid="{00000000-0005-0000-0000-0000BE030000}"/>
    <cellStyle name="SAPBEXaggData 4 3" xfId="912" xr:uid="{00000000-0005-0000-0000-0000BF030000}"/>
    <cellStyle name="SAPBEXaggData 5" xfId="913" xr:uid="{00000000-0005-0000-0000-0000C0030000}"/>
    <cellStyle name="SAPBEXaggData 6" xfId="914" xr:uid="{00000000-0005-0000-0000-0000C1030000}"/>
    <cellStyle name="SAPBEXaggDataEmph" xfId="915" xr:uid="{00000000-0005-0000-0000-0000C2030000}"/>
    <cellStyle name="SAPBEXaggDataEmph 2" xfId="916" xr:uid="{00000000-0005-0000-0000-0000C3030000}"/>
    <cellStyle name="SAPBEXaggDataEmph 2 2" xfId="917" xr:uid="{00000000-0005-0000-0000-0000C4030000}"/>
    <cellStyle name="SAPBEXaggDataEmph 2 2 2" xfId="918" xr:uid="{00000000-0005-0000-0000-0000C5030000}"/>
    <cellStyle name="SAPBEXaggDataEmph 2 2 2 2" xfId="919" xr:uid="{00000000-0005-0000-0000-0000C6030000}"/>
    <cellStyle name="SAPBEXaggDataEmph 2 2 2 3" xfId="920" xr:uid="{00000000-0005-0000-0000-0000C7030000}"/>
    <cellStyle name="SAPBEXaggDataEmph 2 2 3" xfId="921" xr:uid="{00000000-0005-0000-0000-0000C8030000}"/>
    <cellStyle name="SAPBEXaggDataEmph 2 2 3 2" xfId="922" xr:uid="{00000000-0005-0000-0000-0000C9030000}"/>
    <cellStyle name="SAPBEXaggDataEmph 2 2 3 3" xfId="923" xr:uid="{00000000-0005-0000-0000-0000CA030000}"/>
    <cellStyle name="SAPBEXaggDataEmph 2 2 4" xfId="924" xr:uid="{00000000-0005-0000-0000-0000CB030000}"/>
    <cellStyle name="SAPBEXaggDataEmph 2 2 4 2" xfId="925" xr:uid="{00000000-0005-0000-0000-0000CC030000}"/>
    <cellStyle name="SAPBEXaggDataEmph 2 2 4 3" xfId="926" xr:uid="{00000000-0005-0000-0000-0000CD030000}"/>
    <cellStyle name="SAPBEXaggDataEmph 2 2 5" xfId="927" xr:uid="{00000000-0005-0000-0000-0000CE030000}"/>
    <cellStyle name="SAPBEXaggDataEmph 2 2 5 2" xfId="928" xr:uid="{00000000-0005-0000-0000-0000CF030000}"/>
    <cellStyle name="SAPBEXaggDataEmph 2 2 5 3" xfId="929" xr:uid="{00000000-0005-0000-0000-0000D0030000}"/>
    <cellStyle name="SAPBEXaggDataEmph 2 2 6" xfId="930" xr:uid="{00000000-0005-0000-0000-0000D1030000}"/>
    <cellStyle name="SAPBEXaggDataEmph 2 2 7" xfId="931" xr:uid="{00000000-0005-0000-0000-0000D2030000}"/>
    <cellStyle name="SAPBEXaggDataEmph 2 3" xfId="932" xr:uid="{00000000-0005-0000-0000-0000D3030000}"/>
    <cellStyle name="SAPBEXaggDataEmph 2 3 2" xfId="933" xr:uid="{00000000-0005-0000-0000-0000D4030000}"/>
    <cellStyle name="SAPBEXaggDataEmph 2 3 3" xfId="934" xr:uid="{00000000-0005-0000-0000-0000D5030000}"/>
    <cellStyle name="SAPBEXaggDataEmph 2 4" xfId="935" xr:uid="{00000000-0005-0000-0000-0000D6030000}"/>
    <cellStyle name="SAPBEXaggDataEmph 2 5" xfId="936" xr:uid="{00000000-0005-0000-0000-0000D7030000}"/>
    <cellStyle name="SAPBEXaggDataEmph 3" xfId="937" xr:uid="{00000000-0005-0000-0000-0000D8030000}"/>
    <cellStyle name="SAPBEXaggDataEmph 3 2" xfId="938" xr:uid="{00000000-0005-0000-0000-0000D9030000}"/>
    <cellStyle name="SAPBEXaggDataEmph 3 2 2" xfId="939" xr:uid="{00000000-0005-0000-0000-0000DA030000}"/>
    <cellStyle name="SAPBEXaggDataEmph 3 2 3" xfId="940" xr:uid="{00000000-0005-0000-0000-0000DB030000}"/>
    <cellStyle name="SAPBEXaggDataEmph 3 3" xfId="941" xr:uid="{00000000-0005-0000-0000-0000DC030000}"/>
    <cellStyle name="SAPBEXaggDataEmph 3 3 2" xfId="942" xr:uid="{00000000-0005-0000-0000-0000DD030000}"/>
    <cellStyle name="SAPBEXaggDataEmph 3 3 3" xfId="943" xr:uid="{00000000-0005-0000-0000-0000DE030000}"/>
    <cellStyle name="SAPBEXaggDataEmph 3 4" xfId="944" xr:uid="{00000000-0005-0000-0000-0000DF030000}"/>
    <cellStyle name="SAPBEXaggDataEmph 3 4 2" xfId="945" xr:uid="{00000000-0005-0000-0000-0000E0030000}"/>
    <cellStyle name="SAPBEXaggDataEmph 3 4 3" xfId="946" xr:uid="{00000000-0005-0000-0000-0000E1030000}"/>
    <cellStyle name="SAPBEXaggDataEmph 3 5" xfId="947" xr:uid="{00000000-0005-0000-0000-0000E2030000}"/>
    <cellStyle name="SAPBEXaggDataEmph 3 5 2" xfId="948" xr:uid="{00000000-0005-0000-0000-0000E3030000}"/>
    <cellStyle name="SAPBEXaggDataEmph 3 5 3" xfId="949" xr:uid="{00000000-0005-0000-0000-0000E4030000}"/>
    <cellStyle name="SAPBEXaggDataEmph 3 6" xfId="950" xr:uid="{00000000-0005-0000-0000-0000E5030000}"/>
    <cellStyle name="SAPBEXaggDataEmph 3 7" xfId="951" xr:uid="{00000000-0005-0000-0000-0000E6030000}"/>
    <cellStyle name="SAPBEXaggDataEmph 4" xfId="952" xr:uid="{00000000-0005-0000-0000-0000E7030000}"/>
    <cellStyle name="SAPBEXaggDataEmph 4 2" xfId="953" xr:uid="{00000000-0005-0000-0000-0000E8030000}"/>
    <cellStyle name="SAPBEXaggDataEmph 4 3" xfId="954" xr:uid="{00000000-0005-0000-0000-0000E9030000}"/>
    <cellStyle name="SAPBEXaggDataEmph 5" xfId="955" xr:uid="{00000000-0005-0000-0000-0000EA030000}"/>
    <cellStyle name="SAPBEXaggDataEmph 6" xfId="956" xr:uid="{00000000-0005-0000-0000-0000EB030000}"/>
    <cellStyle name="SAPBEXaggItem" xfId="957" xr:uid="{00000000-0005-0000-0000-0000EC030000}"/>
    <cellStyle name="SAPBEXaggItem 2" xfId="958" xr:uid="{00000000-0005-0000-0000-0000ED030000}"/>
    <cellStyle name="SAPBEXaggItem 2 2" xfId="959" xr:uid="{00000000-0005-0000-0000-0000EE030000}"/>
    <cellStyle name="SAPBEXaggItem 2 2 2" xfId="960" xr:uid="{00000000-0005-0000-0000-0000EF030000}"/>
    <cellStyle name="SAPBEXaggItem 2 2 2 2" xfId="961" xr:uid="{00000000-0005-0000-0000-0000F0030000}"/>
    <cellStyle name="SAPBEXaggItem 2 2 2 3" xfId="962" xr:uid="{00000000-0005-0000-0000-0000F1030000}"/>
    <cellStyle name="SAPBEXaggItem 2 2 3" xfId="963" xr:uid="{00000000-0005-0000-0000-0000F2030000}"/>
    <cellStyle name="SAPBEXaggItem 2 2 3 2" xfId="964" xr:uid="{00000000-0005-0000-0000-0000F3030000}"/>
    <cellStyle name="SAPBEXaggItem 2 2 3 3" xfId="965" xr:uid="{00000000-0005-0000-0000-0000F4030000}"/>
    <cellStyle name="SAPBEXaggItem 2 2 4" xfId="966" xr:uid="{00000000-0005-0000-0000-0000F5030000}"/>
    <cellStyle name="SAPBEXaggItem 2 2 4 2" xfId="967" xr:uid="{00000000-0005-0000-0000-0000F6030000}"/>
    <cellStyle name="SAPBEXaggItem 2 2 4 3" xfId="968" xr:uid="{00000000-0005-0000-0000-0000F7030000}"/>
    <cellStyle name="SAPBEXaggItem 2 2 5" xfId="969" xr:uid="{00000000-0005-0000-0000-0000F8030000}"/>
    <cellStyle name="SAPBEXaggItem 2 2 5 2" xfId="970" xr:uid="{00000000-0005-0000-0000-0000F9030000}"/>
    <cellStyle name="SAPBEXaggItem 2 2 5 3" xfId="971" xr:uid="{00000000-0005-0000-0000-0000FA030000}"/>
    <cellStyle name="SAPBEXaggItem 2 2 6" xfId="972" xr:uid="{00000000-0005-0000-0000-0000FB030000}"/>
    <cellStyle name="SAPBEXaggItem 2 2 7" xfId="973" xr:uid="{00000000-0005-0000-0000-0000FC030000}"/>
    <cellStyle name="SAPBEXaggItem 2 3" xfId="974" xr:uid="{00000000-0005-0000-0000-0000FD030000}"/>
    <cellStyle name="SAPBEXaggItem 2 3 2" xfId="975" xr:uid="{00000000-0005-0000-0000-0000FE030000}"/>
    <cellStyle name="SAPBEXaggItem 2 3 3" xfId="976" xr:uid="{00000000-0005-0000-0000-0000FF030000}"/>
    <cellStyle name="SAPBEXaggItem 2 4" xfId="977" xr:uid="{00000000-0005-0000-0000-000000040000}"/>
    <cellStyle name="SAPBEXaggItem 2 5" xfId="978" xr:uid="{00000000-0005-0000-0000-000001040000}"/>
    <cellStyle name="SAPBEXaggItem 3" xfId="979" xr:uid="{00000000-0005-0000-0000-000002040000}"/>
    <cellStyle name="SAPBEXaggItem 3 2" xfId="980" xr:uid="{00000000-0005-0000-0000-000003040000}"/>
    <cellStyle name="SAPBEXaggItem 3 2 2" xfId="981" xr:uid="{00000000-0005-0000-0000-000004040000}"/>
    <cellStyle name="SAPBEXaggItem 3 2 3" xfId="982" xr:uid="{00000000-0005-0000-0000-000005040000}"/>
    <cellStyle name="SAPBEXaggItem 3 3" xfId="983" xr:uid="{00000000-0005-0000-0000-000006040000}"/>
    <cellStyle name="SAPBEXaggItem 3 3 2" xfId="984" xr:uid="{00000000-0005-0000-0000-000007040000}"/>
    <cellStyle name="SAPBEXaggItem 3 3 3" xfId="985" xr:uid="{00000000-0005-0000-0000-000008040000}"/>
    <cellStyle name="SAPBEXaggItem 3 4" xfId="986" xr:uid="{00000000-0005-0000-0000-000009040000}"/>
    <cellStyle name="SAPBEXaggItem 3 4 2" xfId="987" xr:uid="{00000000-0005-0000-0000-00000A040000}"/>
    <cellStyle name="SAPBEXaggItem 3 4 3" xfId="988" xr:uid="{00000000-0005-0000-0000-00000B040000}"/>
    <cellStyle name="SAPBEXaggItem 3 5" xfId="989" xr:uid="{00000000-0005-0000-0000-00000C040000}"/>
    <cellStyle name="SAPBEXaggItem 3 5 2" xfId="990" xr:uid="{00000000-0005-0000-0000-00000D040000}"/>
    <cellStyle name="SAPBEXaggItem 3 5 3" xfId="991" xr:uid="{00000000-0005-0000-0000-00000E040000}"/>
    <cellStyle name="SAPBEXaggItem 3 6" xfId="992" xr:uid="{00000000-0005-0000-0000-00000F040000}"/>
    <cellStyle name="SAPBEXaggItem 3 7" xfId="993" xr:uid="{00000000-0005-0000-0000-000010040000}"/>
    <cellStyle name="SAPBEXaggItem 4" xfId="994" xr:uid="{00000000-0005-0000-0000-000011040000}"/>
    <cellStyle name="SAPBEXaggItem 4 2" xfId="995" xr:uid="{00000000-0005-0000-0000-000012040000}"/>
    <cellStyle name="SAPBEXaggItem 4 3" xfId="996" xr:uid="{00000000-0005-0000-0000-000013040000}"/>
    <cellStyle name="SAPBEXaggItem 5" xfId="997" xr:uid="{00000000-0005-0000-0000-000014040000}"/>
    <cellStyle name="SAPBEXaggItem 6" xfId="998" xr:uid="{00000000-0005-0000-0000-000015040000}"/>
    <cellStyle name="SAPBEXaggItemX" xfId="999" xr:uid="{00000000-0005-0000-0000-000016040000}"/>
    <cellStyle name="SAPBEXaggItemX 2" xfId="1000" xr:uid="{00000000-0005-0000-0000-000017040000}"/>
    <cellStyle name="SAPBEXaggItemX 2 2" xfId="1001" xr:uid="{00000000-0005-0000-0000-000018040000}"/>
    <cellStyle name="SAPBEXaggItemX 2 2 2" xfId="1002" xr:uid="{00000000-0005-0000-0000-000019040000}"/>
    <cellStyle name="SAPBEXaggItemX 2 2 2 2" xfId="1003" xr:uid="{00000000-0005-0000-0000-00001A040000}"/>
    <cellStyle name="SAPBEXaggItemX 2 2 2 3" xfId="1004" xr:uid="{00000000-0005-0000-0000-00001B040000}"/>
    <cellStyle name="SAPBEXaggItemX 2 2 3" xfId="1005" xr:uid="{00000000-0005-0000-0000-00001C040000}"/>
    <cellStyle name="SAPBEXaggItemX 2 2 3 2" xfId="1006" xr:uid="{00000000-0005-0000-0000-00001D040000}"/>
    <cellStyle name="SAPBEXaggItemX 2 2 3 3" xfId="1007" xr:uid="{00000000-0005-0000-0000-00001E040000}"/>
    <cellStyle name="SAPBEXaggItemX 2 2 4" xfId="1008" xr:uid="{00000000-0005-0000-0000-00001F040000}"/>
    <cellStyle name="SAPBEXaggItemX 2 2 4 2" xfId="1009" xr:uid="{00000000-0005-0000-0000-000020040000}"/>
    <cellStyle name="SAPBEXaggItemX 2 2 4 3" xfId="1010" xr:uid="{00000000-0005-0000-0000-000021040000}"/>
    <cellStyle name="SAPBEXaggItemX 2 2 5" xfId="1011" xr:uid="{00000000-0005-0000-0000-000022040000}"/>
    <cellStyle name="SAPBEXaggItemX 2 2 5 2" xfId="1012" xr:uid="{00000000-0005-0000-0000-000023040000}"/>
    <cellStyle name="SAPBEXaggItemX 2 2 5 3" xfId="1013" xr:uid="{00000000-0005-0000-0000-000024040000}"/>
    <cellStyle name="SAPBEXaggItemX 2 2 6" xfId="1014" xr:uid="{00000000-0005-0000-0000-000025040000}"/>
    <cellStyle name="SAPBEXaggItemX 2 2 7" xfId="1015" xr:uid="{00000000-0005-0000-0000-000026040000}"/>
    <cellStyle name="SAPBEXaggItemX 2 3" xfId="1016" xr:uid="{00000000-0005-0000-0000-000027040000}"/>
    <cellStyle name="SAPBEXaggItemX 2 3 2" xfId="1017" xr:uid="{00000000-0005-0000-0000-000028040000}"/>
    <cellStyle name="SAPBEXaggItemX 2 3 3" xfId="1018" xr:uid="{00000000-0005-0000-0000-000029040000}"/>
    <cellStyle name="SAPBEXaggItemX 2 4" xfId="1019" xr:uid="{00000000-0005-0000-0000-00002A040000}"/>
    <cellStyle name="SAPBEXaggItemX 2 5" xfId="1020" xr:uid="{00000000-0005-0000-0000-00002B040000}"/>
    <cellStyle name="SAPBEXaggItemX 3" xfId="1021" xr:uid="{00000000-0005-0000-0000-00002C040000}"/>
    <cellStyle name="SAPBEXaggItemX 3 2" xfId="1022" xr:uid="{00000000-0005-0000-0000-00002D040000}"/>
    <cellStyle name="SAPBEXaggItemX 3 2 2" xfId="1023" xr:uid="{00000000-0005-0000-0000-00002E040000}"/>
    <cellStyle name="SAPBEXaggItemX 3 2 3" xfId="1024" xr:uid="{00000000-0005-0000-0000-00002F040000}"/>
    <cellStyle name="SAPBEXaggItemX 3 3" xfId="1025" xr:uid="{00000000-0005-0000-0000-000030040000}"/>
    <cellStyle name="SAPBEXaggItemX 3 3 2" xfId="1026" xr:uid="{00000000-0005-0000-0000-000031040000}"/>
    <cellStyle name="SAPBEXaggItemX 3 3 3" xfId="1027" xr:uid="{00000000-0005-0000-0000-000032040000}"/>
    <cellStyle name="SAPBEXaggItemX 3 4" xfId="1028" xr:uid="{00000000-0005-0000-0000-000033040000}"/>
    <cellStyle name="SAPBEXaggItemX 3 4 2" xfId="1029" xr:uid="{00000000-0005-0000-0000-000034040000}"/>
    <cellStyle name="SAPBEXaggItemX 3 4 3" xfId="1030" xr:uid="{00000000-0005-0000-0000-000035040000}"/>
    <cellStyle name="SAPBEXaggItemX 3 5" xfId="1031" xr:uid="{00000000-0005-0000-0000-000036040000}"/>
    <cellStyle name="SAPBEXaggItemX 3 5 2" xfId="1032" xr:uid="{00000000-0005-0000-0000-000037040000}"/>
    <cellStyle name="SAPBEXaggItemX 3 5 3" xfId="1033" xr:uid="{00000000-0005-0000-0000-000038040000}"/>
    <cellStyle name="SAPBEXaggItemX 3 6" xfId="1034" xr:uid="{00000000-0005-0000-0000-000039040000}"/>
    <cellStyle name="SAPBEXaggItemX 3 7" xfId="1035" xr:uid="{00000000-0005-0000-0000-00003A040000}"/>
    <cellStyle name="SAPBEXaggItemX 4" xfId="1036" xr:uid="{00000000-0005-0000-0000-00003B040000}"/>
    <cellStyle name="SAPBEXaggItemX 4 2" xfId="1037" xr:uid="{00000000-0005-0000-0000-00003C040000}"/>
    <cellStyle name="SAPBEXaggItemX 4 3" xfId="1038" xr:uid="{00000000-0005-0000-0000-00003D040000}"/>
    <cellStyle name="SAPBEXaggItemX 5" xfId="1039" xr:uid="{00000000-0005-0000-0000-00003E040000}"/>
    <cellStyle name="SAPBEXaggItemX 6" xfId="1040" xr:uid="{00000000-0005-0000-0000-00003F040000}"/>
    <cellStyle name="SAPBEXchaText" xfId="1041" xr:uid="{00000000-0005-0000-0000-000040040000}"/>
    <cellStyle name="SAPBEXexcBad7" xfId="1042" xr:uid="{00000000-0005-0000-0000-000041040000}"/>
    <cellStyle name="SAPBEXexcBad7 2" xfId="1043" xr:uid="{00000000-0005-0000-0000-000042040000}"/>
    <cellStyle name="SAPBEXexcBad7 2 2" xfId="1044" xr:uid="{00000000-0005-0000-0000-000043040000}"/>
    <cellStyle name="SAPBEXexcBad7 2 2 2" xfId="1045" xr:uid="{00000000-0005-0000-0000-000044040000}"/>
    <cellStyle name="SAPBEXexcBad7 2 2 2 2" xfId="1046" xr:uid="{00000000-0005-0000-0000-000045040000}"/>
    <cellStyle name="SAPBEXexcBad7 2 2 2 3" xfId="1047" xr:uid="{00000000-0005-0000-0000-000046040000}"/>
    <cellStyle name="SAPBEXexcBad7 2 2 3" xfId="1048" xr:uid="{00000000-0005-0000-0000-000047040000}"/>
    <cellStyle name="SAPBEXexcBad7 2 2 3 2" xfId="1049" xr:uid="{00000000-0005-0000-0000-000048040000}"/>
    <cellStyle name="SAPBEXexcBad7 2 2 3 3" xfId="1050" xr:uid="{00000000-0005-0000-0000-000049040000}"/>
    <cellStyle name="SAPBEXexcBad7 2 2 4" xfId="1051" xr:uid="{00000000-0005-0000-0000-00004A040000}"/>
    <cellStyle name="SAPBEXexcBad7 2 2 4 2" xfId="1052" xr:uid="{00000000-0005-0000-0000-00004B040000}"/>
    <cellStyle name="SAPBEXexcBad7 2 2 4 3" xfId="1053" xr:uid="{00000000-0005-0000-0000-00004C040000}"/>
    <cellStyle name="SAPBEXexcBad7 2 2 5" xfId="1054" xr:uid="{00000000-0005-0000-0000-00004D040000}"/>
    <cellStyle name="SAPBEXexcBad7 2 2 5 2" xfId="1055" xr:uid="{00000000-0005-0000-0000-00004E040000}"/>
    <cellStyle name="SAPBEXexcBad7 2 2 5 3" xfId="1056" xr:uid="{00000000-0005-0000-0000-00004F040000}"/>
    <cellStyle name="SAPBEXexcBad7 2 2 6" xfId="1057" xr:uid="{00000000-0005-0000-0000-000050040000}"/>
    <cellStyle name="SAPBEXexcBad7 2 2 7" xfId="1058" xr:uid="{00000000-0005-0000-0000-000051040000}"/>
    <cellStyle name="SAPBEXexcBad7 2 3" xfId="1059" xr:uid="{00000000-0005-0000-0000-000052040000}"/>
    <cellStyle name="SAPBEXexcBad7 2 3 2" xfId="1060" xr:uid="{00000000-0005-0000-0000-000053040000}"/>
    <cellStyle name="SAPBEXexcBad7 2 3 3" xfId="1061" xr:uid="{00000000-0005-0000-0000-000054040000}"/>
    <cellStyle name="SAPBEXexcBad7 2 4" xfId="1062" xr:uid="{00000000-0005-0000-0000-000055040000}"/>
    <cellStyle name="SAPBEXexcBad7 2 5" xfId="1063" xr:uid="{00000000-0005-0000-0000-000056040000}"/>
    <cellStyle name="SAPBEXexcBad7 3" xfId="1064" xr:uid="{00000000-0005-0000-0000-000057040000}"/>
    <cellStyle name="SAPBEXexcBad7 3 2" xfId="1065" xr:uid="{00000000-0005-0000-0000-000058040000}"/>
    <cellStyle name="SAPBEXexcBad7 3 2 2" xfId="1066" xr:uid="{00000000-0005-0000-0000-000059040000}"/>
    <cellStyle name="SAPBEXexcBad7 3 2 3" xfId="1067" xr:uid="{00000000-0005-0000-0000-00005A040000}"/>
    <cellStyle name="SAPBEXexcBad7 3 3" xfId="1068" xr:uid="{00000000-0005-0000-0000-00005B040000}"/>
    <cellStyle name="SAPBEXexcBad7 3 3 2" xfId="1069" xr:uid="{00000000-0005-0000-0000-00005C040000}"/>
    <cellStyle name="SAPBEXexcBad7 3 3 3" xfId="1070" xr:uid="{00000000-0005-0000-0000-00005D040000}"/>
    <cellStyle name="SAPBEXexcBad7 3 4" xfId="1071" xr:uid="{00000000-0005-0000-0000-00005E040000}"/>
    <cellStyle name="SAPBEXexcBad7 3 4 2" xfId="1072" xr:uid="{00000000-0005-0000-0000-00005F040000}"/>
    <cellStyle name="SAPBEXexcBad7 3 4 3" xfId="1073" xr:uid="{00000000-0005-0000-0000-000060040000}"/>
    <cellStyle name="SAPBEXexcBad7 3 5" xfId="1074" xr:uid="{00000000-0005-0000-0000-000061040000}"/>
    <cellStyle name="SAPBEXexcBad7 3 5 2" xfId="1075" xr:uid="{00000000-0005-0000-0000-000062040000}"/>
    <cellStyle name="SAPBEXexcBad7 3 5 3" xfId="1076" xr:uid="{00000000-0005-0000-0000-000063040000}"/>
    <cellStyle name="SAPBEXexcBad7 3 6" xfId="1077" xr:uid="{00000000-0005-0000-0000-000064040000}"/>
    <cellStyle name="SAPBEXexcBad7 3 7" xfId="1078" xr:uid="{00000000-0005-0000-0000-000065040000}"/>
    <cellStyle name="SAPBEXexcBad7 4" xfId="1079" xr:uid="{00000000-0005-0000-0000-000066040000}"/>
    <cellStyle name="SAPBEXexcBad7 4 2" xfId="1080" xr:uid="{00000000-0005-0000-0000-000067040000}"/>
    <cellStyle name="SAPBEXexcBad7 4 3" xfId="1081" xr:uid="{00000000-0005-0000-0000-000068040000}"/>
    <cellStyle name="SAPBEXexcBad7 5" xfId="1082" xr:uid="{00000000-0005-0000-0000-000069040000}"/>
    <cellStyle name="SAPBEXexcBad7 6" xfId="1083" xr:uid="{00000000-0005-0000-0000-00006A040000}"/>
    <cellStyle name="SAPBEXexcBad8" xfId="1084" xr:uid="{00000000-0005-0000-0000-00006B040000}"/>
    <cellStyle name="SAPBEXexcBad8 2" xfId="1085" xr:uid="{00000000-0005-0000-0000-00006C040000}"/>
    <cellStyle name="SAPBEXexcBad8 2 2" xfId="1086" xr:uid="{00000000-0005-0000-0000-00006D040000}"/>
    <cellStyle name="SAPBEXexcBad8 2 2 2" xfId="1087" xr:uid="{00000000-0005-0000-0000-00006E040000}"/>
    <cellStyle name="SAPBEXexcBad8 2 2 2 2" xfId="1088" xr:uid="{00000000-0005-0000-0000-00006F040000}"/>
    <cellStyle name="SAPBEXexcBad8 2 2 2 3" xfId="1089" xr:uid="{00000000-0005-0000-0000-000070040000}"/>
    <cellStyle name="SAPBEXexcBad8 2 2 3" xfId="1090" xr:uid="{00000000-0005-0000-0000-000071040000}"/>
    <cellStyle name="SAPBEXexcBad8 2 2 3 2" xfId="1091" xr:uid="{00000000-0005-0000-0000-000072040000}"/>
    <cellStyle name="SAPBEXexcBad8 2 2 3 3" xfId="1092" xr:uid="{00000000-0005-0000-0000-000073040000}"/>
    <cellStyle name="SAPBEXexcBad8 2 2 4" xfId="1093" xr:uid="{00000000-0005-0000-0000-000074040000}"/>
    <cellStyle name="SAPBEXexcBad8 2 2 4 2" xfId="1094" xr:uid="{00000000-0005-0000-0000-000075040000}"/>
    <cellStyle name="SAPBEXexcBad8 2 2 4 3" xfId="1095" xr:uid="{00000000-0005-0000-0000-000076040000}"/>
    <cellStyle name="SAPBEXexcBad8 2 2 5" xfId="1096" xr:uid="{00000000-0005-0000-0000-000077040000}"/>
    <cellStyle name="SAPBEXexcBad8 2 2 5 2" xfId="1097" xr:uid="{00000000-0005-0000-0000-000078040000}"/>
    <cellStyle name="SAPBEXexcBad8 2 2 5 3" xfId="1098" xr:uid="{00000000-0005-0000-0000-000079040000}"/>
    <cellStyle name="SAPBEXexcBad8 2 2 6" xfId="1099" xr:uid="{00000000-0005-0000-0000-00007A040000}"/>
    <cellStyle name="SAPBEXexcBad8 2 2 7" xfId="1100" xr:uid="{00000000-0005-0000-0000-00007B040000}"/>
    <cellStyle name="SAPBEXexcBad8 2 3" xfId="1101" xr:uid="{00000000-0005-0000-0000-00007C040000}"/>
    <cellStyle name="SAPBEXexcBad8 2 3 2" xfId="1102" xr:uid="{00000000-0005-0000-0000-00007D040000}"/>
    <cellStyle name="SAPBEXexcBad8 2 3 3" xfId="1103" xr:uid="{00000000-0005-0000-0000-00007E040000}"/>
    <cellStyle name="SAPBEXexcBad8 2 4" xfId="1104" xr:uid="{00000000-0005-0000-0000-00007F040000}"/>
    <cellStyle name="SAPBEXexcBad8 2 5" xfId="1105" xr:uid="{00000000-0005-0000-0000-000080040000}"/>
    <cellStyle name="SAPBEXexcBad8 3" xfId="1106" xr:uid="{00000000-0005-0000-0000-000081040000}"/>
    <cellStyle name="SAPBEXexcBad8 3 2" xfId="1107" xr:uid="{00000000-0005-0000-0000-000082040000}"/>
    <cellStyle name="SAPBEXexcBad8 3 2 2" xfId="1108" xr:uid="{00000000-0005-0000-0000-000083040000}"/>
    <cellStyle name="SAPBEXexcBad8 3 2 3" xfId="1109" xr:uid="{00000000-0005-0000-0000-000084040000}"/>
    <cellStyle name="SAPBEXexcBad8 3 3" xfId="1110" xr:uid="{00000000-0005-0000-0000-000085040000}"/>
    <cellStyle name="SAPBEXexcBad8 3 3 2" xfId="1111" xr:uid="{00000000-0005-0000-0000-000086040000}"/>
    <cellStyle name="SAPBEXexcBad8 3 3 3" xfId="1112" xr:uid="{00000000-0005-0000-0000-000087040000}"/>
    <cellStyle name="SAPBEXexcBad8 3 4" xfId="1113" xr:uid="{00000000-0005-0000-0000-000088040000}"/>
    <cellStyle name="SAPBEXexcBad8 3 4 2" xfId="1114" xr:uid="{00000000-0005-0000-0000-000089040000}"/>
    <cellStyle name="SAPBEXexcBad8 3 4 3" xfId="1115" xr:uid="{00000000-0005-0000-0000-00008A040000}"/>
    <cellStyle name="SAPBEXexcBad8 3 5" xfId="1116" xr:uid="{00000000-0005-0000-0000-00008B040000}"/>
    <cellStyle name="SAPBEXexcBad8 3 5 2" xfId="1117" xr:uid="{00000000-0005-0000-0000-00008C040000}"/>
    <cellStyle name="SAPBEXexcBad8 3 5 3" xfId="1118" xr:uid="{00000000-0005-0000-0000-00008D040000}"/>
    <cellStyle name="SAPBEXexcBad8 3 6" xfId="1119" xr:uid="{00000000-0005-0000-0000-00008E040000}"/>
    <cellStyle name="SAPBEXexcBad8 3 7" xfId="1120" xr:uid="{00000000-0005-0000-0000-00008F040000}"/>
    <cellStyle name="SAPBEXexcBad8 4" xfId="1121" xr:uid="{00000000-0005-0000-0000-000090040000}"/>
    <cellStyle name="SAPBEXexcBad8 4 2" xfId="1122" xr:uid="{00000000-0005-0000-0000-000091040000}"/>
    <cellStyle name="SAPBEXexcBad8 4 3" xfId="1123" xr:uid="{00000000-0005-0000-0000-000092040000}"/>
    <cellStyle name="SAPBEXexcBad8 5" xfId="1124" xr:uid="{00000000-0005-0000-0000-000093040000}"/>
    <cellStyle name="SAPBEXexcBad8 6" xfId="1125" xr:uid="{00000000-0005-0000-0000-000094040000}"/>
    <cellStyle name="SAPBEXexcBad9" xfId="1126" xr:uid="{00000000-0005-0000-0000-000095040000}"/>
    <cellStyle name="SAPBEXexcBad9 2" xfId="1127" xr:uid="{00000000-0005-0000-0000-000096040000}"/>
    <cellStyle name="SAPBEXexcBad9 2 2" xfId="1128" xr:uid="{00000000-0005-0000-0000-000097040000}"/>
    <cellStyle name="SAPBEXexcBad9 2 2 2" xfId="1129" xr:uid="{00000000-0005-0000-0000-000098040000}"/>
    <cellStyle name="SAPBEXexcBad9 2 2 2 2" xfId="1130" xr:uid="{00000000-0005-0000-0000-000099040000}"/>
    <cellStyle name="SAPBEXexcBad9 2 2 2 3" xfId="1131" xr:uid="{00000000-0005-0000-0000-00009A040000}"/>
    <cellStyle name="SAPBEXexcBad9 2 2 3" xfId="1132" xr:uid="{00000000-0005-0000-0000-00009B040000}"/>
    <cellStyle name="SAPBEXexcBad9 2 2 3 2" xfId="1133" xr:uid="{00000000-0005-0000-0000-00009C040000}"/>
    <cellStyle name="SAPBEXexcBad9 2 2 3 3" xfId="1134" xr:uid="{00000000-0005-0000-0000-00009D040000}"/>
    <cellStyle name="SAPBEXexcBad9 2 2 4" xfId="1135" xr:uid="{00000000-0005-0000-0000-00009E040000}"/>
    <cellStyle name="SAPBEXexcBad9 2 2 4 2" xfId="1136" xr:uid="{00000000-0005-0000-0000-00009F040000}"/>
    <cellStyle name="SAPBEXexcBad9 2 2 4 3" xfId="1137" xr:uid="{00000000-0005-0000-0000-0000A0040000}"/>
    <cellStyle name="SAPBEXexcBad9 2 2 5" xfId="1138" xr:uid="{00000000-0005-0000-0000-0000A1040000}"/>
    <cellStyle name="SAPBEXexcBad9 2 2 5 2" xfId="1139" xr:uid="{00000000-0005-0000-0000-0000A2040000}"/>
    <cellStyle name="SAPBEXexcBad9 2 2 5 3" xfId="1140" xr:uid="{00000000-0005-0000-0000-0000A3040000}"/>
    <cellStyle name="SAPBEXexcBad9 2 2 6" xfId="1141" xr:uid="{00000000-0005-0000-0000-0000A4040000}"/>
    <cellStyle name="SAPBEXexcBad9 2 2 7" xfId="1142" xr:uid="{00000000-0005-0000-0000-0000A5040000}"/>
    <cellStyle name="SAPBEXexcBad9 2 3" xfId="1143" xr:uid="{00000000-0005-0000-0000-0000A6040000}"/>
    <cellStyle name="SAPBEXexcBad9 2 3 2" xfId="1144" xr:uid="{00000000-0005-0000-0000-0000A7040000}"/>
    <cellStyle name="SAPBEXexcBad9 2 3 3" xfId="1145" xr:uid="{00000000-0005-0000-0000-0000A8040000}"/>
    <cellStyle name="SAPBEXexcBad9 2 4" xfId="1146" xr:uid="{00000000-0005-0000-0000-0000A9040000}"/>
    <cellStyle name="SAPBEXexcBad9 2 5" xfId="1147" xr:uid="{00000000-0005-0000-0000-0000AA040000}"/>
    <cellStyle name="SAPBEXexcBad9 3" xfId="1148" xr:uid="{00000000-0005-0000-0000-0000AB040000}"/>
    <cellStyle name="SAPBEXexcBad9 3 2" xfId="1149" xr:uid="{00000000-0005-0000-0000-0000AC040000}"/>
    <cellStyle name="SAPBEXexcBad9 3 2 2" xfId="1150" xr:uid="{00000000-0005-0000-0000-0000AD040000}"/>
    <cellStyle name="SAPBEXexcBad9 3 2 3" xfId="1151" xr:uid="{00000000-0005-0000-0000-0000AE040000}"/>
    <cellStyle name="SAPBEXexcBad9 3 3" xfId="1152" xr:uid="{00000000-0005-0000-0000-0000AF040000}"/>
    <cellStyle name="SAPBEXexcBad9 3 3 2" xfId="1153" xr:uid="{00000000-0005-0000-0000-0000B0040000}"/>
    <cellStyle name="SAPBEXexcBad9 3 3 3" xfId="1154" xr:uid="{00000000-0005-0000-0000-0000B1040000}"/>
    <cellStyle name="SAPBEXexcBad9 3 4" xfId="1155" xr:uid="{00000000-0005-0000-0000-0000B2040000}"/>
    <cellStyle name="SAPBEXexcBad9 3 4 2" xfId="1156" xr:uid="{00000000-0005-0000-0000-0000B3040000}"/>
    <cellStyle name="SAPBEXexcBad9 3 4 3" xfId="1157" xr:uid="{00000000-0005-0000-0000-0000B4040000}"/>
    <cellStyle name="SAPBEXexcBad9 3 5" xfId="1158" xr:uid="{00000000-0005-0000-0000-0000B5040000}"/>
    <cellStyle name="SAPBEXexcBad9 3 5 2" xfId="1159" xr:uid="{00000000-0005-0000-0000-0000B6040000}"/>
    <cellStyle name="SAPBEXexcBad9 3 5 3" xfId="1160" xr:uid="{00000000-0005-0000-0000-0000B7040000}"/>
    <cellStyle name="SAPBEXexcBad9 3 6" xfId="1161" xr:uid="{00000000-0005-0000-0000-0000B8040000}"/>
    <cellStyle name="SAPBEXexcBad9 3 7" xfId="1162" xr:uid="{00000000-0005-0000-0000-0000B9040000}"/>
    <cellStyle name="SAPBEXexcBad9 4" xfId="1163" xr:uid="{00000000-0005-0000-0000-0000BA040000}"/>
    <cellStyle name="SAPBEXexcBad9 4 2" xfId="1164" xr:uid="{00000000-0005-0000-0000-0000BB040000}"/>
    <cellStyle name="SAPBEXexcBad9 4 3" xfId="1165" xr:uid="{00000000-0005-0000-0000-0000BC040000}"/>
    <cellStyle name="SAPBEXexcBad9 5" xfId="1166" xr:uid="{00000000-0005-0000-0000-0000BD040000}"/>
    <cellStyle name="SAPBEXexcBad9 6" xfId="1167" xr:uid="{00000000-0005-0000-0000-0000BE040000}"/>
    <cellStyle name="SAPBEXexcCritical4" xfId="1168" xr:uid="{00000000-0005-0000-0000-0000BF040000}"/>
    <cellStyle name="SAPBEXexcCritical4 2" xfId="1169" xr:uid="{00000000-0005-0000-0000-0000C0040000}"/>
    <cellStyle name="SAPBEXexcCritical4 2 2" xfId="1170" xr:uid="{00000000-0005-0000-0000-0000C1040000}"/>
    <cellStyle name="SAPBEXexcCritical4 2 2 2" xfId="1171" xr:uid="{00000000-0005-0000-0000-0000C2040000}"/>
    <cellStyle name="SAPBEXexcCritical4 2 2 2 2" xfId="1172" xr:uid="{00000000-0005-0000-0000-0000C3040000}"/>
    <cellStyle name="SAPBEXexcCritical4 2 2 2 3" xfId="1173" xr:uid="{00000000-0005-0000-0000-0000C4040000}"/>
    <cellStyle name="SAPBEXexcCritical4 2 2 3" xfId="1174" xr:uid="{00000000-0005-0000-0000-0000C5040000}"/>
    <cellStyle name="SAPBEXexcCritical4 2 2 3 2" xfId="1175" xr:uid="{00000000-0005-0000-0000-0000C6040000}"/>
    <cellStyle name="SAPBEXexcCritical4 2 2 3 3" xfId="1176" xr:uid="{00000000-0005-0000-0000-0000C7040000}"/>
    <cellStyle name="SAPBEXexcCritical4 2 2 4" xfId="1177" xr:uid="{00000000-0005-0000-0000-0000C8040000}"/>
    <cellStyle name="SAPBEXexcCritical4 2 2 4 2" xfId="1178" xr:uid="{00000000-0005-0000-0000-0000C9040000}"/>
    <cellStyle name="SAPBEXexcCritical4 2 2 4 3" xfId="1179" xr:uid="{00000000-0005-0000-0000-0000CA040000}"/>
    <cellStyle name="SAPBEXexcCritical4 2 2 5" xfId="1180" xr:uid="{00000000-0005-0000-0000-0000CB040000}"/>
    <cellStyle name="SAPBEXexcCritical4 2 2 5 2" xfId="1181" xr:uid="{00000000-0005-0000-0000-0000CC040000}"/>
    <cellStyle name="SAPBEXexcCritical4 2 2 5 3" xfId="1182" xr:uid="{00000000-0005-0000-0000-0000CD040000}"/>
    <cellStyle name="SAPBEXexcCritical4 2 2 6" xfId="1183" xr:uid="{00000000-0005-0000-0000-0000CE040000}"/>
    <cellStyle name="SAPBEXexcCritical4 2 2 7" xfId="1184" xr:uid="{00000000-0005-0000-0000-0000CF040000}"/>
    <cellStyle name="SAPBEXexcCritical4 2 3" xfId="1185" xr:uid="{00000000-0005-0000-0000-0000D0040000}"/>
    <cellStyle name="SAPBEXexcCritical4 2 3 2" xfId="1186" xr:uid="{00000000-0005-0000-0000-0000D1040000}"/>
    <cellStyle name="SAPBEXexcCritical4 2 3 3" xfId="1187" xr:uid="{00000000-0005-0000-0000-0000D2040000}"/>
    <cellStyle name="SAPBEXexcCritical4 2 4" xfId="1188" xr:uid="{00000000-0005-0000-0000-0000D3040000}"/>
    <cellStyle name="SAPBEXexcCritical4 2 5" xfId="1189" xr:uid="{00000000-0005-0000-0000-0000D4040000}"/>
    <cellStyle name="SAPBEXexcCritical4 3" xfId="1190" xr:uid="{00000000-0005-0000-0000-0000D5040000}"/>
    <cellStyle name="SAPBEXexcCritical4 3 2" xfId="1191" xr:uid="{00000000-0005-0000-0000-0000D6040000}"/>
    <cellStyle name="SAPBEXexcCritical4 3 2 2" xfId="1192" xr:uid="{00000000-0005-0000-0000-0000D7040000}"/>
    <cellStyle name="SAPBEXexcCritical4 3 2 3" xfId="1193" xr:uid="{00000000-0005-0000-0000-0000D8040000}"/>
    <cellStyle name="SAPBEXexcCritical4 3 3" xfId="1194" xr:uid="{00000000-0005-0000-0000-0000D9040000}"/>
    <cellStyle name="SAPBEXexcCritical4 3 3 2" xfId="1195" xr:uid="{00000000-0005-0000-0000-0000DA040000}"/>
    <cellStyle name="SAPBEXexcCritical4 3 3 3" xfId="1196" xr:uid="{00000000-0005-0000-0000-0000DB040000}"/>
    <cellStyle name="SAPBEXexcCritical4 3 4" xfId="1197" xr:uid="{00000000-0005-0000-0000-0000DC040000}"/>
    <cellStyle name="SAPBEXexcCritical4 3 4 2" xfId="1198" xr:uid="{00000000-0005-0000-0000-0000DD040000}"/>
    <cellStyle name="SAPBEXexcCritical4 3 4 3" xfId="1199" xr:uid="{00000000-0005-0000-0000-0000DE040000}"/>
    <cellStyle name="SAPBEXexcCritical4 3 5" xfId="1200" xr:uid="{00000000-0005-0000-0000-0000DF040000}"/>
    <cellStyle name="SAPBEXexcCritical4 3 5 2" xfId="1201" xr:uid="{00000000-0005-0000-0000-0000E0040000}"/>
    <cellStyle name="SAPBEXexcCritical4 3 5 3" xfId="1202" xr:uid="{00000000-0005-0000-0000-0000E1040000}"/>
    <cellStyle name="SAPBEXexcCritical4 3 6" xfId="1203" xr:uid="{00000000-0005-0000-0000-0000E2040000}"/>
    <cellStyle name="SAPBEXexcCritical4 3 7" xfId="1204" xr:uid="{00000000-0005-0000-0000-0000E3040000}"/>
    <cellStyle name="SAPBEXexcCritical4 4" xfId="1205" xr:uid="{00000000-0005-0000-0000-0000E4040000}"/>
    <cellStyle name="SAPBEXexcCritical4 4 2" xfId="1206" xr:uid="{00000000-0005-0000-0000-0000E5040000}"/>
    <cellStyle name="SAPBEXexcCritical4 4 3" xfId="1207" xr:uid="{00000000-0005-0000-0000-0000E6040000}"/>
    <cellStyle name="SAPBEXexcCritical4 5" xfId="1208" xr:uid="{00000000-0005-0000-0000-0000E7040000}"/>
    <cellStyle name="SAPBEXexcCritical4 6" xfId="1209" xr:uid="{00000000-0005-0000-0000-0000E8040000}"/>
    <cellStyle name="SAPBEXexcCritical5" xfId="1210" xr:uid="{00000000-0005-0000-0000-0000E9040000}"/>
    <cellStyle name="SAPBEXexcCritical5 2" xfId="1211" xr:uid="{00000000-0005-0000-0000-0000EA040000}"/>
    <cellStyle name="SAPBEXexcCritical5 2 2" xfId="1212" xr:uid="{00000000-0005-0000-0000-0000EB040000}"/>
    <cellStyle name="SAPBEXexcCritical5 2 2 2" xfId="1213" xr:uid="{00000000-0005-0000-0000-0000EC040000}"/>
    <cellStyle name="SAPBEXexcCritical5 2 2 2 2" xfId="1214" xr:uid="{00000000-0005-0000-0000-0000ED040000}"/>
    <cellStyle name="SAPBEXexcCritical5 2 2 2 3" xfId="1215" xr:uid="{00000000-0005-0000-0000-0000EE040000}"/>
    <cellStyle name="SAPBEXexcCritical5 2 2 3" xfId="1216" xr:uid="{00000000-0005-0000-0000-0000EF040000}"/>
    <cellStyle name="SAPBEXexcCritical5 2 2 3 2" xfId="1217" xr:uid="{00000000-0005-0000-0000-0000F0040000}"/>
    <cellStyle name="SAPBEXexcCritical5 2 2 3 3" xfId="1218" xr:uid="{00000000-0005-0000-0000-0000F1040000}"/>
    <cellStyle name="SAPBEXexcCritical5 2 2 4" xfId="1219" xr:uid="{00000000-0005-0000-0000-0000F2040000}"/>
    <cellStyle name="SAPBEXexcCritical5 2 2 4 2" xfId="1220" xr:uid="{00000000-0005-0000-0000-0000F3040000}"/>
    <cellStyle name="SAPBEXexcCritical5 2 2 4 3" xfId="1221" xr:uid="{00000000-0005-0000-0000-0000F4040000}"/>
    <cellStyle name="SAPBEXexcCritical5 2 2 5" xfId="1222" xr:uid="{00000000-0005-0000-0000-0000F5040000}"/>
    <cellStyle name="SAPBEXexcCritical5 2 2 5 2" xfId="1223" xr:uid="{00000000-0005-0000-0000-0000F6040000}"/>
    <cellStyle name="SAPBEXexcCritical5 2 2 5 3" xfId="1224" xr:uid="{00000000-0005-0000-0000-0000F7040000}"/>
    <cellStyle name="SAPBEXexcCritical5 2 2 6" xfId="1225" xr:uid="{00000000-0005-0000-0000-0000F8040000}"/>
    <cellStyle name="SAPBEXexcCritical5 2 2 7" xfId="1226" xr:uid="{00000000-0005-0000-0000-0000F9040000}"/>
    <cellStyle name="SAPBEXexcCritical5 2 3" xfId="1227" xr:uid="{00000000-0005-0000-0000-0000FA040000}"/>
    <cellStyle name="SAPBEXexcCritical5 2 3 2" xfId="1228" xr:uid="{00000000-0005-0000-0000-0000FB040000}"/>
    <cellStyle name="SAPBEXexcCritical5 2 3 3" xfId="1229" xr:uid="{00000000-0005-0000-0000-0000FC040000}"/>
    <cellStyle name="SAPBEXexcCritical5 2 4" xfId="1230" xr:uid="{00000000-0005-0000-0000-0000FD040000}"/>
    <cellStyle name="SAPBEXexcCritical5 2 5" xfId="1231" xr:uid="{00000000-0005-0000-0000-0000FE040000}"/>
    <cellStyle name="SAPBEXexcCritical5 3" xfId="1232" xr:uid="{00000000-0005-0000-0000-0000FF040000}"/>
    <cellStyle name="SAPBEXexcCritical5 3 2" xfId="1233" xr:uid="{00000000-0005-0000-0000-000000050000}"/>
    <cellStyle name="SAPBEXexcCritical5 3 2 2" xfId="1234" xr:uid="{00000000-0005-0000-0000-000001050000}"/>
    <cellStyle name="SAPBEXexcCritical5 3 2 3" xfId="1235" xr:uid="{00000000-0005-0000-0000-000002050000}"/>
    <cellStyle name="SAPBEXexcCritical5 3 3" xfId="1236" xr:uid="{00000000-0005-0000-0000-000003050000}"/>
    <cellStyle name="SAPBEXexcCritical5 3 3 2" xfId="1237" xr:uid="{00000000-0005-0000-0000-000004050000}"/>
    <cellStyle name="SAPBEXexcCritical5 3 3 3" xfId="1238" xr:uid="{00000000-0005-0000-0000-000005050000}"/>
    <cellStyle name="SAPBEXexcCritical5 3 4" xfId="1239" xr:uid="{00000000-0005-0000-0000-000006050000}"/>
    <cellStyle name="SAPBEXexcCritical5 3 4 2" xfId="1240" xr:uid="{00000000-0005-0000-0000-000007050000}"/>
    <cellStyle name="SAPBEXexcCritical5 3 4 3" xfId="1241" xr:uid="{00000000-0005-0000-0000-000008050000}"/>
    <cellStyle name="SAPBEXexcCritical5 3 5" xfId="1242" xr:uid="{00000000-0005-0000-0000-000009050000}"/>
    <cellStyle name="SAPBEXexcCritical5 3 5 2" xfId="1243" xr:uid="{00000000-0005-0000-0000-00000A050000}"/>
    <cellStyle name="SAPBEXexcCritical5 3 5 3" xfId="1244" xr:uid="{00000000-0005-0000-0000-00000B050000}"/>
    <cellStyle name="SAPBEXexcCritical5 3 6" xfId="1245" xr:uid="{00000000-0005-0000-0000-00000C050000}"/>
    <cellStyle name="SAPBEXexcCritical5 3 7" xfId="1246" xr:uid="{00000000-0005-0000-0000-00000D050000}"/>
    <cellStyle name="SAPBEXexcCritical5 4" xfId="1247" xr:uid="{00000000-0005-0000-0000-00000E050000}"/>
    <cellStyle name="SAPBEXexcCritical5 4 2" xfId="1248" xr:uid="{00000000-0005-0000-0000-00000F050000}"/>
    <cellStyle name="SAPBEXexcCritical5 4 3" xfId="1249" xr:uid="{00000000-0005-0000-0000-000010050000}"/>
    <cellStyle name="SAPBEXexcCritical5 5" xfId="1250" xr:uid="{00000000-0005-0000-0000-000011050000}"/>
    <cellStyle name="SAPBEXexcCritical5 6" xfId="1251" xr:uid="{00000000-0005-0000-0000-000012050000}"/>
    <cellStyle name="SAPBEXexcCritical6" xfId="1252" xr:uid="{00000000-0005-0000-0000-000013050000}"/>
    <cellStyle name="SAPBEXexcCritical6 2" xfId="1253" xr:uid="{00000000-0005-0000-0000-000014050000}"/>
    <cellStyle name="SAPBEXexcCritical6 2 2" xfId="1254" xr:uid="{00000000-0005-0000-0000-000015050000}"/>
    <cellStyle name="SAPBEXexcCritical6 2 2 2" xfId="1255" xr:uid="{00000000-0005-0000-0000-000016050000}"/>
    <cellStyle name="SAPBEXexcCritical6 2 2 2 2" xfId="1256" xr:uid="{00000000-0005-0000-0000-000017050000}"/>
    <cellStyle name="SAPBEXexcCritical6 2 2 2 3" xfId="1257" xr:uid="{00000000-0005-0000-0000-000018050000}"/>
    <cellStyle name="SAPBEXexcCritical6 2 2 3" xfId="1258" xr:uid="{00000000-0005-0000-0000-000019050000}"/>
    <cellStyle name="SAPBEXexcCritical6 2 2 3 2" xfId="1259" xr:uid="{00000000-0005-0000-0000-00001A050000}"/>
    <cellStyle name="SAPBEXexcCritical6 2 2 3 3" xfId="1260" xr:uid="{00000000-0005-0000-0000-00001B050000}"/>
    <cellStyle name="SAPBEXexcCritical6 2 2 4" xfId="1261" xr:uid="{00000000-0005-0000-0000-00001C050000}"/>
    <cellStyle name="SAPBEXexcCritical6 2 2 4 2" xfId="1262" xr:uid="{00000000-0005-0000-0000-00001D050000}"/>
    <cellStyle name="SAPBEXexcCritical6 2 2 4 3" xfId="1263" xr:uid="{00000000-0005-0000-0000-00001E050000}"/>
    <cellStyle name="SAPBEXexcCritical6 2 2 5" xfId="1264" xr:uid="{00000000-0005-0000-0000-00001F050000}"/>
    <cellStyle name="SAPBEXexcCritical6 2 2 5 2" xfId="1265" xr:uid="{00000000-0005-0000-0000-000020050000}"/>
    <cellStyle name="SAPBEXexcCritical6 2 2 5 3" xfId="1266" xr:uid="{00000000-0005-0000-0000-000021050000}"/>
    <cellStyle name="SAPBEXexcCritical6 2 2 6" xfId="1267" xr:uid="{00000000-0005-0000-0000-000022050000}"/>
    <cellStyle name="SAPBEXexcCritical6 2 2 7" xfId="1268" xr:uid="{00000000-0005-0000-0000-000023050000}"/>
    <cellStyle name="SAPBEXexcCritical6 2 3" xfId="1269" xr:uid="{00000000-0005-0000-0000-000024050000}"/>
    <cellStyle name="SAPBEXexcCritical6 2 3 2" xfId="1270" xr:uid="{00000000-0005-0000-0000-000025050000}"/>
    <cellStyle name="SAPBEXexcCritical6 2 3 3" xfId="1271" xr:uid="{00000000-0005-0000-0000-000026050000}"/>
    <cellStyle name="SAPBEXexcCritical6 2 4" xfId="1272" xr:uid="{00000000-0005-0000-0000-000027050000}"/>
    <cellStyle name="SAPBEXexcCritical6 2 5" xfId="1273" xr:uid="{00000000-0005-0000-0000-000028050000}"/>
    <cellStyle name="SAPBEXexcCritical6 3" xfId="1274" xr:uid="{00000000-0005-0000-0000-000029050000}"/>
    <cellStyle name="SAPBEXexcCritical6 3 2" xfId="1275" xr:uid="{00000000-0005-0000-0000-00002A050000}"/>
    <cellStyle name="SAPBEXexcCritical6 3 2 2" xfId="1276" xr:uid="{00000000-0005-0000-0000-00002B050000}"/>
    <cellStyle name="SAPBEXexcCritical6 3 2 3" xfId="1277" xr:uid="{00000000-0005-0000-0000-00002C050000}"/>
    <cellStyle name="SAPBEXexcCritical6 3 3" xfId="1278" xr:uid="{00000000-0005-0000-0000-00002D050000}"/>
    <cellStyle name="SAPBEXexcCritical6 3 3 2" xfId="1279" xr:uid="{00000000-0005-0000-0000-00002E050000}"/>
    <cellStyle name="SAPBEXexcCritical6 3 3 3" xfId="1280" xr:uid="{00000000-0005-0000-0000-00002F050000}"/>
    <cellStyle name="SAPBEXexcCritical6 3 4" xfId="1281" xr:uid="{00000000-0005-0000-0000-000030050000}"/>
    <cellStyle name="SAPBEXexcCritical6 3 4 2" xfId="1282" xr:uid="{00000000-0005-0000-0000-000031050000}"/>
    <cellStyle name="SAPBEXexcCritical6 3 4 3" xfId="1283" xr:uid="{00000000-0005-0000-0000-000032050000}"/>
    <cellStyle name="SAPBEXexcCritical6 3 5" xfId="1284" xr:uid="{00000000-0005-0000-0000-000033050000}"/>
    <cellStyle name="SAPBEXexcCritical6 3 5 2" xfId="1285" xr:uid="{00000000-0005-0000-0000-000034050000}"/>
    <cellStyle name="SAPBEXexcCritical6 3 5 3" xfId="1286" xr:uid="{00000000-0005-0000-0000-000035050000}"/>
    <cellStyle name="SAPBEXexcCritical6 3 6" xfId="1287" xr:uid="{00000000-0005-0000-0000-000036050000}"/>
    <cellStyle name="SAPBEXexcCritical6 3 7" xfId="1288" xr:uid="{00000000-0005-0000-0000-000037050000}"/>
    <cellStyle name="SAPBEXexcCritical6 4" xfId="1289" xr:uid="{00000000-0005-0000-0000-000038050000}"/>
    <cellStyle name="SAPBEXexcCritical6 4 2" xfId="1290" xr:uid="{00000000-0005-0000-0000-000039050000}"/>
    <cellStyle name="SAPBEXexcCritical6 4 3" xfId="1291" xr:uid="{00000000-0005-0000-0000-00003A050000}"/>
    <cellStyle name="SAPBEXexcCritical6 5" xfId="1292" xr:uid="{00000000-0005-0000-0000-00003B050000}"/>
    <cellStyle name="SAPBEXexcCritical6 6" xfId="1293" xr:uid="{00000000-0005-0000-0000-00003C050000}"/>
    <cellStyle name="SAPBEXexcGood1" xfId="1294" xr:uid="{00000000-0005-0000-0000-00003D050000}"/>
    <cellStyle name="SAPBEXexcGood1 2" xfId="1295" xr:uid="{00000000-0005-0000-0000-00003E050000}"/>
    <cellStyle name="SAPBEXexcGood1 2 2" xfId="1296" xr:uid="{00000000-0005-0000-0000-00003F050000}"/>
    <cellStyle name="SAPBEXexcGood1 2 2 2" xfId="1297" xr:uid="{00000000-0005-0000-0000-000040050000}"/>
    <cellStyle name="SAPBEXexcGood1 2 2 2 2" xfId="1298" xr:uid="{00000000-0005-0000-0000-000041050000}"/>
    <cellStyle name="SAPBEXexcGood1 2 2 2 3" xfId="1299" xr:uid="{00000000-0005-0000-0000-000042050000}"/>
    <cellStyle name="SAPBEXexcGood1 2 2 3" xfId="1300" xr:uid="{00000000-0005-0000-0000-000043050000}"/>
    <cellStyle name="SAPBEXexcGood1 2 2 3 2" xfId="1301" xr:uid="{00000000-0005-0000-0000-000044050000}"/>
    <cellStyle name="SAPBEXexcGood1 2 2 3 3" xfId="1302" xr:uid="{00000000-0005-0000-0000-000045050000}"/>
    <cellStyle name="SAPBEXexcGood1 2 2 4" xfId="1303" xr:uid="{00000000-0005-0000-0000-000046050000}"/>
    <cellStyle name="SAPBEXexcGood1 2 2 4 2" xfId="1304" xr:uid="{00000000-0005-0000-0000-000047050000}"/>
    <cellStyle name="SAPBEXexcGood1 2 2 4 3" xfId="1305" xr:uid="{00000000-0005-0000-0000-000048050000}"/>
    <cellStyle name="SAPBEXexcGood1 2 2 5" xfId="1306" xr:uid="{00000000-0005-0000-0000-000049050000}"/>
    <cellStyle name="SAPBEXexcGood1 2 2 5 2" xfId="1307" xr:uid="{00000000-0005-0000-0000-00004A050000}"/>
    <cellStyle name="SAPBEXexcGood1 2 2 5 3" xfId="1308" xr:uid="{00000000-0005-0000-0000-00004B050000}"/>
    <cellStyle name="SAPBEXexcGood1 2 2 6" xfId="1309" xr:uid="{00000000-0005-0000-0000-00004C050000}"/>
    <cellStyle name="SAPBEXexcGood1 2 2 7" xfId="1310" xr:uid="{00000000-0005-0000-0000-00004D050000}"/>
    <cellStyle name="SAPBEXexcGood1 2 3" xfId="1311" xr:uid="{00000000-0005-0000-0000-00004E050000}"/>
    <cellStyle name="SAPBEXexcGood1 2 3 2" xfId="1312" xr:uid="{00000000-0005-0000-0000-00004F050000}"/>
    <cellStyle name="SAPBEXexcGood1 2 3 3" xfId="1313" xr:uid="{00000000-0005-0000-0000-000050050000}"/>
    <cellStyle name="SAPBEXexcGood1 2 4" xfId="1314" xr:uid="{00000000-0005-0000-0000-000051050000}"/>
    <cellStyle name="SAPBEXexcGood1 2 5" xfId="1315" xr:uid="{00000000-0005-0000-0000-000052050000}"/>
    <cellStyle name="SAPBEXexcGood1 3" xfId="1316" xr:uid="{00000000-0005-0000-0000-000053050000}"/>
    <cellStyle name="SAPBEXexcGood1 3 2" xfId="1317" xr:uid="{00000000-0005-0000-0000-000054050000}"/>
    <cellStyle name="SAPBEXexcGood1 3 2 2" xfId="1318" xr:uid="{00000000-0005-0000-0000-000055050000}"/>
    <cellStyle name="SAPBEXexcGood1 3 2 3" xfId="1319" xr:uid="{00000000-0005-0000-0000-000056050000}"/>
    <cellStyle name="SAPBEXexcGood1 3 3" xfId="1320" xr:uid="{00000000-0005-0000-0000-000057050000}"/>
    <cellStyle name="SAPBEXexcGood1 3 3 2" xfId="1321" xr:uid="{00000000-0005-0000-0000-000058050000}"/>
    <cellStyle name="SAPBEXexcGood1 3 3 3" xfId="1322" xr:uid="{00000000-0005-0000-0000-000059050000}"/>
    <cellStyle name="SAPBEXexcGood1 3 4" xfId="1323" xr:uid="{00000000-0005-0000-0000-00005A050000}"/>
    <cellStyle name="SAPBEXexcGood1 3 4 2" xfId="1324" xr:uid="{00000000-0005-0000-0000-00005B050000}"/>
    <cellStyle name="SAPBEXexcGood1 3 4 3" xfId="1325" xr:uid="{00000000-0005-0000-0000-00005C050000}"/>
    <cellStyle name="SAPBEXexcGood1 3 5" xfId="1326" xr:uid="{00000000-0005-0000-0000-00005D050000}"/>
    <cellStyle name="SAPBEXexcGood1 3 5 2" xfId="1327" xr:uid="{00000000-0005-0000-0000-00005E050000}"/>
    <cellStyle name="SAPBEXexcGood1 3 5 3" xfId="1328" xr:uid="{00000000-0005-0000-0000-00005F050000}"/>
    <cellStyle name="SAPBEXexcGood1 3 6" xfId="1329" xr:uid="{00000000-0005-0000-0000-000060050000}"/>
    <cellStyle name="SAPBEXexcGood1 3 7" xfId="1330" xr:uid="{00000000-0005-0000-0000-000061050000}"/>
    <cellStyle name="SAPBEXexcGood1 4" xfId="1331" xr:uid="{00000000-0005-0000-0000-000062050000}"/>
    <cellStyle name="SAPBEXexcGood1 4 2" xfId="1332" xr:uid="{00000000-0005-0000-0000-000063050000}"/>
    <cellStyle name="SAPBEXexcGood1 4 3" xfId="1333" xr:uid="{00000000-0005-0000-0000-000064050000}"/>
    <cellStyle name="SAPBEXexcGood1 5" xfId="1334" xr:uid="{00000000-0005-0000-0000-000065050000}"/>
    <cellStyle name="SAPBEXexcGood1 6" xfId="1335" xr:uid="{00000000-0005-0000-0000-000066050000}"/>
    <cellStyle name="SAPBEXexcGood2" xfId="1336" xr:uid="{00000000-0005-0000-0000-000067050000}"/>
    <cellStyle name="SAPBEXexcGood2 2" xfId="1337" xr:uid="{00000000-0005-0000-0000-000068050000}"/>
    <cellStyle name="SAPBEXexcGood2 2 2" xfId="1338" xr:uid="{00000000-0005-0000-0000-000069050000}"/>
    <cellStyle name="SAPBEXexcGood2 2 2 2" xfId="1339" xr:uid="{00000000-0005-0000-0000-00006A050000}"/>
    <cellStyle name="SAPBEXexcGood2 2 2 2 2" xfId="1340" xr:uid="{00000000-0005-0000-0000-00006B050000}"/>
    <cellStyle name="SAPBEXexcGood2 2 2 2 3" xfId="1341" xr:uid="{00000000-0005-0000-0000-00006C050000}"/>
    <cellStyle name="SAPBEXexcGood2 2 2 3" xfId="1342" xr:uid="{00000000-0005-0000-0000-00006D050000}"/>
    <cellStyle name="SAPBEXexcGood2 2 2 3 2" xfId="1343" xr:uid="{00000000-0005-0000-0000-00006E050000}"/>
    <cellStyle name="SAPBEXexcGood2 2 2 3 3" xfId="1344" xr:uid="{00000000-0005-0000-0000-00006F050000}"/>
    <cellStyle name="SAPBEXexcGood2 2 2 4" xfId="1345" xr:uid="{00000000-0005-0000-0000-000070050000}"/>
    <cellStyle name="SAPBEXexcGood2 2 2 4 2" xfId="1346" xr:uid="{00000000-0005-0000-0000-000071050000}"/>
    <cellStyle name="SAPBEXexcGood2 2 2 4 3" xfId="1347" xr:uid="{00000000-0005-0000-0000-000072050000}"/>
    <cellStyle name="SAPBEXexcGood2 2 2 5" xfId="1348" xr:uid="{00000000-0005-0000-0000-000073050000}"/>
    <cellStyle name="SAPBEXexcGood2 2 2 5 2" xfId="1349" xr:uid="{00000000-0005-0000-0000-000074050000}"/>
    <cellStyle name="SAPBEXexcGood2 2 2 5 3" xfId="1350" xr:uid="{00000000-0005-0000-0000-000075050000}"/>
    <cellStyle name="SAPBEXexcGood2 2 2 6" xfId="1351" xr:uid="{00000000-0005-0000-0000-000076050000}"/>
    <cellStyle name="SAPBEXexcGood2 2 2 7" xfId="1352" xr:uid="{00000000-0005-0000-0000-000077050000}"/>
    <cellStyle name="SAPBEXexcGood2 2 3" xfId="1353" xr:uid="{00000000-0005-0000-0000-000078050000}"/>
    <cellStyle name="SAPBEXexcGood2 2 3 2" xfId="1354" xr:uid="{00000000-0005-0000-0000-000079050000}"/>
    <cellStyle name="SAPBEXexcGood2 2 3 3" xfId="1355" xr:uid="{00000000-0005-0000-0000-00007A050000}"/>
    <cellStyle name="SAPBEXexcGood2 2 4" xfId="1356" xr:uid="{00000000-0005-0000-0000-00007B050000}"/>
    <cellStyle name="SAPBEXexcGood2 2 5" xfId="1357" xr:uid="{00000000-0005-0000-0000-00007C050000}"/>
    <cellStyle name="SAPBEXexcGood2 3" xfId="1358" xr:uid="{00000000-0005-0000-0000-00007D050000}"/>
    <cellStyle name="SAPBEXexcGood2 3 2" xfId="1359" xr:uid="{00000000-0005-0000-0000-00007E050000}"/>
    <cellStyle name="SAPBEXexcGood2 3 2 2" xfId="1360" xr:uid="{00000000-0005-0000-0000-00007F050000}"/>
    <cellStyle name="SAPBEXexcGood2 3 2 3" xfId="1361" xr:uid="{00000000-0005-0000-0000-000080050000}"/>
    <cellStyle name="SAPBEXexcGood2 3 3" xfId="1362" xr:uid="{00000000-0005-0000-0000-000081050000}"/>
    <cellStyle name="SAPBEXexcGood2 3 3 2" xfId="1363" xr:uid="{00000000-0005-0000-0000-000082050000}"/>
    <cellStyle name="SAPBEXexcGood2 3 3 3" xfId="1364" xr:uid="{00000000-0005-0000-0000-000083050000}"/>
    <cellStyle name="SAPBEXexcGood2 3 4" xfId="1365" xr:uid="{00000000-0005-0000-0000-000084050000}"/>
    <cellStyle name="SAPBEXexcGood2 3 4 2" xfId="1366" xr:uid="{00000000-0005-0000-0000-000085050000}"/>
    <cellStyle name="SAPBEXexcGood2 3 4 3" xfId="1367" xr:uid="{00000000-0005-0000-0000-000086050000}"/>
    <cellStyle name="SAPBEXexcGood2 3 5" xfId="1368" xr:uid="{00000000-0005-0000-0000-000087050000}"/>
    <cellStyle name="SAPBEXexcGood2 3 5 2" xfId="1369" xr:uid="{00000000-0005-0000-0000-000088050000}"/>
    <cellStyle name="SAPBEXexcGood2 3 5 3" xfId="1370" xr:uid="{00000000-0005-0000-0000-000089050000}"/>
    <cellStyle name="SAPBEXexcGood2 3 6" xfId="1371" xr:uid="{00000000-0005-0000-0000-00008A050000}"/>
    <cellStyle name="SAPBEXexcGood2 3 7" xfId="1372" xr:uid="{00000000-0005-0000-0000-00008B050000}"/>
    <cellStyle name="SAPBEXexcGood2 4" xfId="1373" xr:uid="{00000000-0005-0000-0000-00008C050000}"/>
    <cellStyle name="SAPBEXexcGood2 4 2" xfId="1374" xr:uid="{00000000-0005-0000-0000-00008D050000}"/>
    <cellStyle name="SAPBEXexcGood2 4 3" xfId="1375" xr:uid="{00000000-0005-0000-0000-00008E050000}"/>
    <cellStyle name="SAPBEXexcGood2 5" xfId="1376" xr:uid="{00000000-0005-0000-0000-00008F050000}"/>
    <cellStyle name="SAPBEXexcGood2 6" xfId="1377" xr:uid="{00000000-0005-0000-0000-000090050000}"/>
    <cellStyle name="SAPBEXexcGood3" xfId="1378" xr:uid="{00000000-0005-0000-0000-000091050000}"/>
    <cellStyle name="SAPBEXexcGood3 2" xfId="1379" xr:uid="{00000000-0005-0000-0000-000092050000}"/>
    <cellStyle name="SAPBEXexcGood3 2 2" xfId="1380" xr:uid="{00000000-0005-0000-0000-000093050000}"/>
    <cellStyle name="SAPBEXexcGood3 2 2 2" xfId="1381" xr:uid="{00000000-0005-0000-0000-000094050000}"/>
    <cellStyle name="SAPBEXexcGood3 2 2 2 2" xfId="1382" xr:uid="{00000000-0005-0000-0000-000095050000}"/>
    <cellStyle name="SAPBEXexcGood3 2 2 2 3" xfId="1383" xr:uid="{00000000-0005-0000-0000-000096050000}"/>
    <cellStyle name="SAPBEXexcGood3 2 2 3" xfId="1384" xr:uid="{00000000-0005-0000-0000-000097050000}"/>
    <cellStyle name="SAPBEXexcGood3 2 2 3 2" xfId="1385" xr:uid="{00000000-0005-0000-0000-000098050000}"/>
    <cellStyle name="SAPBEXexcGood3 2 2 3 3" xfId="1386" xr:uid="{00000000-0005-0000-0000-000099050000}"/>
    <cellStyle name="SAPBEXexcGood3 2 2 4" xfId="1387" xr:uid="{00000000-0005-0000-0000-00009A050000}"/>
    <cellStyle name="SAPBEXexcGood3 2 2 4 2" xfId="1388" xr:uid="{00000000-0005-0000-0000-00009B050000}"/>
    <cellStyle name="SAPBEXexcGood3 2 2 4 3" xfId="1389" xr:uid="{00000000-0005-0000-0000-00009C050000}"/>
    <cellStyle name="SAPBEXexcGood3 2 2 5" xfId="1390" xr:uid="{00000000-0005-0000-0000-00009D050000}"/>
    <cellStyle name="SAPBEXexcGood3 2 2 5 2" xfId="1391" xr:uid="{00000000-0005-0000-0000-00009E050000}"/>
    <cellStyle name="SAPBEXexcGood3 2 2 5 3" xfId="1392" xr:uid="{00000000-0005-0000-0000-00009F050000}"/>
    <cellStyle name="SAPBEXexcGood3 2 2 6" xfId="1393" xr:uid="{00000000-0005-0000-0000-0000A0050000}"/>
    <cellStyle name="SAPBEXexcGood3 2 2 7" xfId="1394" xr:uid="{00000000-0005-0000-0000-0000A1050000}"/>
    <cellStyle name="SAPBEXexcGood3 2 3" xfId="1395" xr:uid="{00000000-0005-0000-0000-0000A2050000}"/>
    <cellStyle name="SAPBEXexcGood3 2 3 2" xfId="1396" xr:uid="{00000000-0005-0000-0000-0000A3050000}"/>
    <cellStyle name="SAPBEXexcGood3 2 3 3" xfId="1397" xr:uid="{00000000-0005-0000-0000-0000A4050000}"/>
    <cellStyle name="SAPBEXexcGood3 2 4" xfId="1398" xr:uid="{00000000-0005-0000-0000-0000A5050000}"/>
    <cellStyle name="SAPBEXexcGood3 2 5" xfId="1399" xr:uid="{00000000-0005-0000-0000-0000A6050000}"/>
    <cellStyle name="SAPBEXexcGood3 3" xfId="1400" xr:uid="{00000000-0005-0000-0000-0000A7050000}"/>
    <cellStyle name="SAPBEXexcGood3 3 2" xfId="1401" xr:uid="{00000000-0005-0000-0000-0000A8050000}"/>
    <cellStyle name="SAPBEXexcGood3 3 2 2" xfId="1402" xr:uid="{00000000-0005-0000-0000-0000A9050000}"/>
    <cellStyle name="SAPBEXexcGood3 3 2 3" xfId="1403" xr:uid="{00000000-0005-0000-0000-0000AA050000}"/>
    <cellStyle name="SAPBEXexcGood3 3 3" xfId="1404" xr:uid="{00000000-0005-0000-0000-0000AB050000}"/>
    <cellStyle name="SAPBEXexcGood3 3 3 2" xfId="1405" xr:uid="{00000000-0005-0000-0000-0000AC050000}"/>
    <cellStyle name="SAPBEXexcGood3 3 3 3" xfId="1406" xr:uid="{00000000-0005-0000-0000-0000AD050000}"/>
    <cellStyle name="SAPBEXexcGood3 3 4" xfId="1407" xr:uid="{00000000-0005-0000-0000-0000AE050000}"/>
    <cellStyle name="SAPBEXexcGood3 3 4 2" xfId="1408" xr:uid="{00000000-0005-0000-0000-0000AF050000}"/>
    <cellStyle name="SAPBEXexcGood3 3 4 3" xfId="1409" xr:uid="{00000000-0005-0000-0000-0000B0050000}"/>
    <cellStyle name="SAPBEXexcGood3 3 5" xfId="1410" xr:uid="{00000000-0005-0000-0000-0000B1050000}"/>
    <cellStyle name="SAPBEXexcGood3 3 5 2" xfId="1411" xr:uid="{00000000-0005-0000-0000-0000B2050000}"/>
    <cellStyle name="SAPBEXexcGood3 3 5 3" xfId="1412" xr:uid="{00000000-0005-0000-0000-0000B3050000}"/>
    <cellStyle name="SAPBEXexcGood3 3 6" xfId="1413" xr:uid="{00000000-0005-0000-0000-0000B4050000}"/>
    <cellStyle name="SAPBEXexcGood3 3 7" xfId="1414" xr:uid="{00000000-0005-0000-0000-0000B5050000}"/>
    <cellStyle name="SAPBEXexcGood3 4" xfId="1415" xr:uid="{00000000-0005-0000-0000-0000B6050000}"/>
    <cellStyle name="SAPBEXexcGood3 4 2" xfId="1416" xr:uid="{00000000-0005-0000-0000-0000B7050000}"/>
    <cellStyle name="SAPBEXexcGood3 4 3" xfId="1417" xr:uid="{00000000-0005-0000-0000-0000B8050000}"/>
    <cellStyle name="SAPBEXexcGood3 5" xfId="1418" xr:uid="{00000000-0005-0000-0000-0000B9050000}"/>
    <cellStyle name="SAPBEXexcGood3 6" xfId="1419" xr:uid="{00000000-0005-0000-0000-0000BA050000}"/>
    <cellStyle name="SAPBEXfilterDrill" xfId="1420" xr:uid="{00000000-0005-0000-0000-0000BB050000}"/>
    <cellStyle name="SAPBEXfilterDrill 2" xfId="1421" xr:uid="{00000000-0005-0000-0000-0000BC050000}"/>
    <cellStyle name="SAPBEXfilterDrill 2 2" xfId="1422" xr:uid="{00000000-0005-0000-0000-0000BD050000}"/>
    <cellStyle name="SAPBEXfilterDrill 2 2 2" xfId="1423" xr:uid="{00000000-0005-0000-0000-0000BE050000}"/>
    <cellStyle name="SAPBEXfilterDrill 2 3" xfId="1424" xr:uid="{00000000-0005-0000-0000-0000BF050000}"/>
    <cellStyle name="SAPBEXfilterDrill 2 3 2" xfId="1425" xr:uid="{00000000-0005-0000-0000-0000C0050000}"/>
    <cellStyle name="SAPBEXfilterDrill 2 4" xfId="1426" xr:uid="{00000000-0005-0000-0000-0000C1050000}"/>
    <cellStyle name="SAPBEXfilterDrill 3" xfId="1427" xr:uid="{00000000-0005-0000-0000-0000C2050000}"/>
    <cellStyle name="SAPBEXfilterDrill 3 2" xfId="1428" xr:uid="{00000000-0005-0000-0000-0000C3050000}"/>
    <cellStyle name="SAPBEXfilterDrill 4" xfId="1429" xr:uid="{00000000-0005-0000-0000-0000C4050000}"/>
    <cellStyle name="SAPBEXfilterDrill 4 2" xfId="1430" xr:uid="{00000000-0005-0000-0000-0000C5050000}"/>
    <cellStyle name="SAPBEXfilterDrill 5" xfId="1431" xr:uid="{00000000-0005-0000-0000-0000C6050000}"/>
    <cellStyle name="SAPBEXfilterItem" xfId="1432" xr:uid="{00000000-0005-0000-0000-0000C7050000}"/>
    <cellStyle name="SAPBEXfilterText" xfId="1433" xr:uid="{00000000-0005-0000-0000-0000C8050000}"/>
    <cellStyle name="SAPBEXformats" xfId="1434" xr:uid="{00000000-0005-0000-0000-0000C9050000}"/>
    <cellStyle name="SAPBEXformats 2" xfId="1435" xr:uid="{00000000-0005-0000-0000-0000CA050000}"/>
    <cellStyle name="SAPBEXformats 2 2" xfId="1436" xr:uid="{00000000-0005-0000-0000-0000CB050000}"/>
    <cellStyle name="SAPBEXformats 2 2 2" xfId="1437" xr:uid="{00000000-0005-0000-0000-0000CC050000}"/>
    <cellStyle name="SAPBEXformats 2 2 2 2" xfId="1438" xr:uid="{00000000-0005-0000-0000-0000CD050000}"/>
    <cellStyle name="SAPBEXformats 2 2 2 3" xfId="1439" xr:uid="{00000000-0005-0000-0000-0000CE050000}"/>
    <cellStyle name="SAPBEXformats 2 2 3" xfId="1440" xr:uid="{00000000-0005-0000-0000-0000CF050000}"/>
    <cellStyle name="SAPBEXformats 2 2 3 2" xfId="1441" xr:uid="{00000000-0005-0000-0000-0000D0050000}"/>
    <cellStyle name="SAPBEXformats 2 2 3 3" xfId="1442" xr:uid="{00000000-0005-0000-0000-0000D1050000}"/>
    <cellStyle name="SAPBEXformats 2 2 4" xfId="1443" xr:uid="{00000000-0005-0000-0000-0000D2050000}"/>
    <cellStyle name="SAPBEXformats 2 2 4 2" xfId="1444" xr:uid="{00000000-0005-0000-0000-0000D3050000}"/>
    <cellStyle name="SAPBEXformats 2 2 4 3" xfId="1445" xr:uid="{00000000-0005-0000-0000-0000D4050000}"/>
    <cellStyle name="SAPBEXformats 2 2 5" xfId="1446" xr:uid="{00000000-0005-0000-0000-0000D5050000}"/>
    <cellStyle name="SAPBEXformats 2 2 5 2" xfId="1447" xr:uid="{00000000-0005-0000-0000-0000D6050000}"/>
    <cellStyle name="SAPBEXformats 2 2 5 3" xfId="1448" xr:uid="{00000000-0005-0000-0000-0000D7050000}"/>
    <cellStyle name="SAPBEXformats 2 2 6" xfId="1449" xr:uid="{00000000-0005-0000-0000-0000D8050000}"/>
    <cellStyle name="SAPBEXformats 2 2 7" xfId="1450" xr:uid="{00000000-0005-0000-0000-0000D9050000}"/>
    <cellStyle name="SAPBEXformats 2 3" xfId="1451" xr:uid="{00000000-0005-0000-0000-0000DA050000}"/>
    <cellStyle name="SAPBEXformats 2 3 2" xfId="1452" xr:uid="{00000000-0005-0000-0000-0000DB050000}"/>
    <cellStyle name="SAPBEXformats 2 3 3" xfId="1453" xr:uid="{00000000-0005-0000-0000-0000DC050000}"/>
    <cellStyle name="SAPBEXformats 2 4" xfId="1454" xr:uid="{00000000-0005-0000-0000-0000DD050000}"/>
    <cellStyle name="SAPBEXformats 2 5" xfId="1455" xr:uid="{00000000-0005-0000-0000-0000DE050000}"/>
    <cellStyle name="SAPBEXformats 3" xfId="1456" xr:uid="{00000000-0005-0000-0000-0000DF050000}"/>
    <cellStyle name="SAPBEXformats 3 2" xfId="1457" xr:uid="{00000000-0005-0000-0000-0000E0050000}"/>
    <cellStyle name="SAPBEXformats 3 2 2" xfId="1458" xr:uid="{00000000-0005-0000-0000-0000E1050000}"/>
    <cellStyle name="SAPBEXformats 3 2 3" xfId="1459" xr:uid="{00000000-0005-0000-0000-0000E2050000}"/>
    <cellStyle name="SAPBEXformats 3 3" xfId="1460" xr:uid="{00000000-0005-0000-0000-0000E3050000}"/>
    <cellStyle name="SAPBEXformats 3 3 2" xfId="1461" xr:uid="{00000000-0005-0000-0000-0000E4050000}"/>
    <cellStyle name="SAPBEXformats 3 3 3" xfId="1462" xr:uid="{00000000-0005-0000-0000-0000E5050000}"/>
    <cellStyle name="SAPBEXformats 3 4" xfId="1463" xr:uid="{00000000-0005-0000-0000-0000E6050000}"/>
    <cellStyle name="SAPBEXformats 3 4 2" xfId="1464" xr:uid="{00000000-0005-0000-0000-0000E7050000}"/>
    <cellStyle name="SAPBEXformats 3 4 3" xfId="1465" xr:uid="{00000000-0005-0000-0000-0000E8050000}"/>
    <cellStyle name="SAPBEXformats 3 5" xfId="1466" xr:uid="{00000000-0005-0000-0000-0000E9050000}"/>
    <cellStyle name="SAPBEXformats 3 5 2" xfId="1467" xr:uid="{00000000-0005-0000-0000-0000EA050000}"/>
    <cellStyle name="SAPBEXformats 3 5 3" xfId="1468" xr:uid="{00000000-0005-0000-0000-0000EB050000}"/>
    <cellStyle name="SAPBEXformats 3 6" xfId="1469" xr:uid="{00000000-0005-0000-0000-0000EC050000}"/>
    <cellStyle name="SAPBEXformats 3 7" xfId="1470" xr:uid="{00000000-0005-0000-0000-0000ED050000}"/>
    <cellStyle name="SAPBEXformats 4" xfId="1471" xr:uid="{00000000-0005-0000-0000-0000EE050000}"/>
    <cellStyle name="SAPBEXformats 4 2" xfId="1472" xr:uid="{00000000-0005-0000-0000-0000EF050000}"/>
    <cellStyle name="SAPBEXformats 4 3" xfId="1473" xr:uid="{00000000-0005-0000-0000-0000F0050000}"/>
    <cellStyle name="SAPBEXformats 5" xfId="1474" xr:uid="{00000000-0005-0000-0000-0000F1050000}"/>
    <cellStyle name="SAPBEXformats 6" xfId="1475" xr:uid="{00000000-0005-0000-0000-0000F2050000}"/>
    <cellStyle name="SAPBEXheaderItem" xfId="1476" xr:uid="{00000000-0005-0000-0000-0000F3050000}"/>
    <cellStyle name="SAPBEXheaderText" xfId="1477" xr:uid="{00000000-0005-0000-0000-0000F4050000}"/>
    <cellStyle name="SAPBEXHLevel0" xfId="1478" xr:uid="{00000000-0005-0000-0000-0000F5050000}"/>
    <cellStyle name="SAPBEXHLevel0 2" xfId="1479" xr:uid="{00000000-0005-0000-0000-0000F6050000}"/>
    <cellStyle name="SAPBEXHLevel0 2 2" xfId="1480" xr:uid="{00000000-0005-0000-0000-0000F7050000}"/>
    <cellStyle name="SAPBEXHLevel0 2 2 2" xfId="1481" xr:uid="{00000000-0005-0000-0000-0000F8050000}"/>
    <cellStyle name="SAPBEXHLevel0 2 2 2 2" xfId="1482" xr:uid="{00000000-0005-0000-0000-0000F9050000}"/>
    <cellStyle name="SAPBEXHLevel0 2 2 2 3" xfId="1483" xr:uid="{00000000-0005-0000-0000-0000FA050000}"/>
    <cellStyle name="SAPBEXHLevel0 2 2 3" xfId="1484" xr:uid="{00000000-0005-0000-0000-0000FB050000}"/>
    <cellStyle name="SAPBEXHLevel0 2 2 3 2" xfId="1485" xr:uid="{00000000-0005-0000-0000-0000FC050000}"/>
    <cellStyle name="SAPBEXHLevel0 2 2 3 3" xfId="1486" xr:uid="{00000000-0005-0000-0000-0000FD050000}"/>
    <cellStyle name="SAPBEXHLevel0 2 2 4" xfId="1487" xr:uid="{00000000-0005-0000-0000-0000FE050000}"/>
    <cellStyle name="SAPBEXHLevel0 2 2 4 2" xfId="1488" xr:uid="{00000000-0005-0000-0000-0000FF050000}"/>
    <cellStyle name="SAPBEXHLevel0 2 2 4 3" xfId="1489" xr:uid="{00000000-0005-0000-0000-000000060000}"/>
    <cellStyle name="SAPBEXHLevel0 2 2 5" xfId="1490" xr:uid="{00000000-0005-0000-0000-000001060000}"/>
    <cellStyle name="SAPBEXHLevel0 2 2 5 2" xfId="1491" xr:uid="{00000000-0005-0000-0000-000002060000}"/>
    <cellStyle name="SAPBEXHLevel0 2 2 5 3" xfId="1492" xr:uid="{00000000-0005-0000-0000-000003060000}"/>
    <cellStyle name="SAPBEXHLevel0 2 2 6" xfId="1493" xr:uid="{00000000-0005-0000-0000-000004060000}"/>
    <cellStyle name="SAPBEXHLevel0 2 2 7" xfId="1494" xr:uid="{00000000-0005-0000-0000-000005060000}"/>
    <cellStyle name="SAPBEXHLevel0 2 3" xfId="1495" xr:uid="{00000000-0005-0000-0000-000006060000}"/>
    <cellStyle name="SAPBEXHLevel0 2 3 2" xfId="1496" xr:uid="{00000000-0005-0000-0000-000007060000}"/>
    <cellStyle name="SAPBEXHLevel0 2 3 3" xfId="1497" xr:uid="{00000000-0005-0000-0000-000008060000}"/>
    <cellStyle name="SAPBEXHLevel0 2 4" xfId="1498" xr:uid="{00000000-0005-0000-0000-000009060000}"/>
    <cellStyle name="SAPBEXHLevel0 2 5" xfId="1499" xr:uid="{00000000-0005-0000-0000-00000A060000}"/>
    <cellStyle name="SAPBEXHLevel0 3" xfId="1500" xr:uid="{00000000-0005-0000-0000-00000B060000}"/>
    <cellStyle name="SAPBEXHLevel0 3 2" xfId="1501" xr:uid="{00000000-0005-0000-0000-00000C060000}"/>
    <cellStyle name="SAPBEXHLevel0 3 2 2" xfId="1502" xr:uid="{00000000-0005-0000-0000-00000D060000}"/>
    <cellStyle name="SAPBEXHLevel0 3 2 3" xfId="1503" xr:uid="{00000000-0005-0000-0000-00000E060000}"/>
    <cellStyle name="SAPBEXHLevel0 3 3" xfId="1504" xr:uid="{00000000-0005-0000-0000-00000F060000}"/>
    <cellStyle name="SAPBEXHLevel0 3 3 2" xfId="1505" xr:uid="{00000000-0005-0000-0000-000010060000}"/>
    <cellStyle name="SAPBEXHLevel0 3 3 3" xfId="1506" xr:uid="{00000000-0005-0000-0000-000011060000}"/>
    <cellStyle name="SAPBEXHLevel0 3 4" xfId="1507" xr:uid="{00000000-0005-0000-0000-000012060000}"/>
    <cellStyle name="SAPBEXHLevel0 3 4 2" xfId="1508" xr:uid="{00000000-0005-0000-0000-000013060000}"/>
    <cellStyle name="SAPBEXHLevel0 3 4 3" xfId="1509" xr:uid="{00000000-0005-0000-0000-000014060000}"/>
    <cellStyle name="SAPBEXHLevel0 3 5" xfId="1510" xr:uid="{00000000-0005-0000-0000-000015060000}"/>
    <cellStyle name="SAPBEXHLevel0 3 5 2" xfId="1511" xr:uid="{00000000-0005-0000-0000-000016060000}"/>
    <cellStyle name="SAPBEXHLevel0 3 5 3" xfId="1512" xr:uid="{00000000-0005-0000-0000-000017060000}"/>
    <cellStyle name="SAPBEXHLevel0 3 6" xfId="1513" xr:uid="{00000000-0005-0000-0000-000018060000}"/>
    <cellStyle name="SAPBEXHLevel0 3 7" xfId="1514" xr:uid="{00000000-0005-0000-0000-000019060000}"/>
    <cellStyle name="SAPBEXHLevel0 4" xfId="1515" xr:uid="{00000000-0005-0000-0000-00001A060000}"/>
    <cellStyle name="SAPBEXHLevel0 4 2" xfId="1516" xr:uid="{00000000-0005-0000-0000-00001B060000}"/>
    <cellStyle name="SAPBEXHLevel0 4 3" xfId="1517" xr:uid="{00000000-0005-0000-0000-00001C060000}"/>
    <cellStyle name="SAPBEXHLevel0 5" xfId="1518" xr:uid="{00000000-0005-0000-0000-00001D060000}"/>
    <cellStyle name="SAPBEXHLevel0 6" xfId="1519" xr:uid="{00000000-0005-0000-0000-00001E060000}"/>
    <cellStyle name="SAPBEXHLevel0X" xfId="1520" xr:uid="{00000000-0005-0000-0000-00001F060000}"/>
    <cellStyle name="SAPBEXHLevel0X 2" xfId="1521" xr:uid="{00000000-0005-0000-0000-000020060000}"/>
    <cellStyle name="SAPBEXHLevel0X 2 2" xfId="1522" xr:uid="{00000000-0005-0000-0000-000021060000}"/>
    <cellStyle name="SAPBEXHLevel0X 2 2 2" xfId="1523" xr:uid="{00000000-0005-0000-0000-000022060000}"/>
    <cellStyle name="SAPBEXHLevel0X 2 2 2 2" xfId="1524" xr:uid="{00000000-0005-0000-0000-000023060000}"/>
    <cellStyle name="SAPBEXHLevel0X 2 2 2 3" xfId="1525" xr:uid="{00000000-0005-0000-0000-000024060000}"/>
    <cellStyle name="SAPBEXHLevel0X 2 2 3" xfId="1526" xr:uid="{00000000-0005-0000-0000-000025060000}"/>
    <cellStyle name="SAPBEXHLevel0X 2 2 3 2" xfId="1527" xr:uid="{00000000-0005-0000-0000-000026060000}"/>
    <cellStyle name="SAPBEXHLevel0X 2 2 3 3" xfId="1528" xr:uid="{00000000-0005-0000-0000-000027060000}"/>
    <cellStyle name="SAPBEXHLevel0X 2 2 4" xfId="1529" xr:uid="{00000000-0005-0000-0000-000028060000}"/>
    <cellStyle name="SAPBEXHLevel0X 2 2 4 2" xfId="1530" xr:uid="{00000000-0005-0000-0000-000029060000}"/>
    <cellStyle name="SAPBEXHLevel0X 2 2 4 3" xfId="1531" xr:uid="{00000000-0005-0000-0000-00002A060000}"/>
    <cellStyle name="SAPBEXHLevel0X 2 2 5" xfId="1532" xr:uid="{00000000-0005-0000-0000-00002B060000}"/>
    <cellStyle name="SAPBEXHLevel0X 2 2 5 2" xfId="1533" xr:uid="{00000000-0005-0000-0000-00002C060000}"/>
    <cellStyle name="SAPBEXHLevel0X 2 2 5 3" xfId="1534" xr:uid="{00000000-0005-0000-0000-00002D060000}"/>
    <cellStyle name="SAPBEXHLevel0X 2 2 6" xfId="1535" xr:uid="{00000000-0005-0000-0000-00002E060000}"/>
    <cellStyle name="SAPBEXHLevel0X 2 2 7" xfId="1536" xr:uid="{00000000-0005-0000-0000-00002F060000}"/>
    <cellStyle name="SAPBEXHLevel0X 2 3" xfId="1537" xr:uid="{00000000-0005-0000-0000-000030060000}"/>
    <cellStyle name="SAPBEXHLevel0X 2 3 2" xfId="1538" xr:uid="{00000000-0005-0000-0000-000031060000}"/>
    <cellStyle name="SAPBEXHLevel0X 2 3 3" xfId="1539" xr:uid="{00000000-0005-0000-0000-000032060000}"/>
    <cellStyle name="SAPBEXHLevel0X 2 4" xfId="1540" xr:uid="{00000000-0005-0000-0000-000033060000}"/>
    <cellStyle name="SAPBEXHLevel0X 2 5" xfId="1541" xr:uid="{00000000-0005-0000-0000-000034060000}"/>
    <cellStyle name="SAPBEXHLevel0X 3" xfId="1542" xr:uid="{00000000-0005-0000-0000-000035060000}"/>
    <cellStyle name="SAPBEXHLevel0X 3 2" xfId="1543" xr:uid="{00000000-0005-0000-0000-000036060000}"/>
    <cellStyle name="SAPBEXHLevel0X 3 2 2" xfId="1544" xr:uid="{00000000-0005-0000-0000-000037060000}"/>
    <cellStyle name="SAPBEXHLevel0X 3 2 3" xfId="1545" xr:uid="{00000000-0005-0000-0000-000038060000}"/>
    <cellStyle name="SAPBEXHLevel0X 3 3" xfId="1546" xr:uid="{00000000-0005-0000-0000-000039060000}"/>
    <cellStyle name="SAPBEXHLevel0X 3 3 2" xfId="1547" xr:uid="{00000000-0005-0000-0000-00003A060000}"/>
    <cellStyle name="SAPBEXHLevel0X 3 3 3" xfId="1548" xr:uid="{00000000-0005-0000-0000-00003B060000}"/>
    <cellStyle name="SAPBEXHLevel0X 3 4" xfId="1549" xr:uid="{00000000-0005-0000-0000-00003C060000}"/>
    <cellStyle name="SAPBEXHLevel0X 3 4 2" xfId="1550" xr:uid="{00000000-0005-0000-0000-00003D060000}"/>
    <cellStyle name="SAPBEXHLevel0X 3 4 3" xfId="1551" xr:uid="{00000000-0005-0000-0000-00003E060000}"/>
    <cellStyle name="SAPBEXHLevel0X 3 5" xfId="1552" xr:uid="{00000000-0005-0000-0000-00003F060000}"/>
    <cellStyle name="SAPBEXHLevel0X 3 5 2" xfId="1553" xr:uid="{00000000-0005-0000-0000-000040060000}"/>
    <cellStyle name="SAPBEXHLevel0X 3 5 3" xfId="1554" xr:uid="{00000000-0005-0000-0000-000041060000}"/>
    <cellStyle name="SAPBEXHLevel0X 3 6" xfId="1555" xr:uid="{00000000-0005-0000-0000-000042060000}"/>
    <cellStyle name="SAPBEXHLevel0X 3 7" xfId="1556" xr:uid="{00000000-0005-0000-0000-000043060000}"/>
    <cellStyle name="SAPBEXHLevel0X 4" xfId="1557" xr:uid="{00000000-0005-0000-0000-000044060000}"/>
    <cellStyle name="SAPBEXHLevel0X 4 2" xfId="1558" xr:uid="{00000000-0005-0000-0000-000045060000}"/>
    <cellStyle name="SAPBEXHLevel0X 4 3" xfId="1559" xr:uid="{00000000-0005-0000-0000-000046060000}"/>
    <cellStyle name="SAPBEXHLevel0X 5" xfId="1560" xr:uid="{00000000-0005-0000-0000-000047060000}"/>
    <cellStyle name="SAPBEXHLevel0X 6" xfId="1561" xr:uid="{00000000-0005-0000-0000-000048060000}"/>
    <cellStyle name="SAPBEXHLevel1" xfId="1562" xr:uid="{00000000-0005-0000-0000-000049060000}"/>
    <cellStyle name="SAPBEXHLevel1 2" xfId="1563" xr:uid="{00000000-0005-0000-0000-00004A060000}"/>
    <cellStyle name="SAPBEXHLevel1 2 2" xfId="1564" xr:uid="{00000000-0005-0000-0000-00004B060000}"/>
    <cellStyle name="SAPBEXHLevel1 2 2 2" xfId="1565" xr:uid="{00000000-0005-0000-0000-00004C060000}"/>
    <cellStyle name="SAPBEXHLevel1 2 2 2 2" xfId="1566" xr:uid="{00000000-0005-0000-0000-00004D060000}"/>
    <cellStyle name="SAPBEXHLevel1 2 2 2 3" xfId="1567" xr:uid="{00000000-0005-0000-0000-00004E060000}"/>
    <cellStyle name="SAPBEXHLevel1 2 2 3" xfId="1568" xr:uid="{00000000-0005-0000-0000-00004F060000}"/>
    <cellStyle name="SAPBEXHLevel1 2 2 3 2" xfId="1569" xr:uid="{00000000-0005-0000-0000-000050060000}"/>
    <cellStyle name="SAPBEXHLevel1 2 2 3 3" xfId="1570" xr:uid="{00000000-0005-0000-0000-000051060000}"/>
    <cellStyle name="SAPBEXHLevel1 2 2 4" xfId="1571" xr:uid="{00000000-0005-0000-0000-000052060000}"/>
    <cellStyle name="SAPBEXHLevel1 2 2 4 2" xfId="1572" xr:uid="{00000000-0005-0000-0000-000053060000}"/>
    <cellStyle name="SAPBEXHLevel1 2 2 4 3" xfId="1573" xr:uid="{00000000-0005-0000-0000-000054060000}"/>
    <cellStyle name="SAPBEXHLevel1 2 2 5" xfId="1574" xr:uid="{00000000-0005-0000-0000-000055060000}"/>
    <cellStyle name="SAPBEXHLevel1 2 2 5 2" xfId="1575" xr:uid="{00000000-0005-0000-0000-000056060000}"/>
    <cellStyle name="SAPBEXHLevel1 2 2 5 3" xfId="1576" xr:uid="{00000000-0005-0000-0000-000057060000}"/>
    <cellStyle name="SAPBEXHLevel1 2 2 6" xfId="1577" xr:uid="{00000000-0005-0000-0000-000058060000}"/>
    <cellStyle name="SAPBEXHLevel1 2 2 7" xfId="1578" xr:uid="{00000000-0005-0000-0000-000059060000}"/>
    <cellStyle name="SAPBEXHLevel1 2 3" xfId="1579" xr:uid="{00000000-0005-0000-0000-00005A060000}"/>
    <cellStyle name="SAPBEXHLevel1 2 3 2" xfId="1580" xr:uid="{00000000-0005-0000-0000-00005B060000}"/>
    <cellStyle name="SAPBEXHLevel1 2 3 3" xfId="1581" xr:uid="{00000000-0005-0000-0000-00005C060000}"/>
    <cellStyle name="SAPBEXHLevel1 2 4" xfId="1582" xr:uid="{00000000-0005-0000-0000-00005D060000}"/>
    <cellStyle name="SAPBEXHLevel1 2 5" xfId="1583" xr:uid="{00000000-0005-0000-0000-00005E060000}"/>
    <cellStyle name="SAPBEXHLevel1 3" xfId="1584" xr:uid="{00000000-0005-0000-0000-00005F060000}"/>
    <cellStyle name="SAPBEXHLevel1 3 2" xfId="1585" xr:uid="{00000000-0005-0000-0000-000060060000}"/>
    <cellStyle name="SAPBEXHLevel1 3 2 2" xfId="1586" xr:uid="{00000000-0005-0000-0000-000061060000}"/>
    <cellStyle name="SAPBEXHLevel1 3 2 3" xfId="1587" xr:uid="{00000000-0005-0000-0000-000062060000}"/>
    <cellStyle name="SAPBEXHLevel1 3 3" xfId="1588" xr:uid="{00000000-0005-0000-0000-000063060000}"/>
    <cellStyle name="SAPBEXHLevel1 3 3 2" xfId="1589" xr:uid="{00000000-0005-0000-0000-000064060000}"/>
    <cellStyle name="SAPBEXHLevel1 3 3 3" xfId="1590" xr:uid="{00000000-0005-0000-0000-000065060000}"/>
    <cellStyle name="SAPBEXHLevel1 3 4" xfId="1591" xr:uid="{00000000-0005-0000-0000-000066060000}"/>
    <cellStyle name="SAPBEXHLevel1 3 4 2" xfId="1592" xr:uid="{00000000-0005-0000-0000-000067060000}"/>
    <cellStyle name="SAPBEXHLevel1 3 4 3" xfId="1593" xr:uid="{00000000-0005-0000-0000-000068060000}"/>
    <cellStyle name="SAPBEXHLevel1 3 5" xfId="1594" xr:uid="{00000000-0005-0000-0000-000069060000}"/>
    <cellStyle name="SAPBEXHLevel1 3 5 2" xfId="1595" xr:uid="{00000000-0005-0000-0000-00006A060000}"/>
    <cellStyle name="SAPBEXHLevel1 3 5 3" xfId="1596" xr:uid="{00000000-0005-0000-0000-00006B060000}"/>
    <cellStyle name="SAPBEXHLevel1 3 6" xfId="1597" xr:uid="{00000000-0005-0000-0000-00006C060000}"/>
    <cellStyle name="SAPBEXHLevel1 3 7" xfId="1598" xr:uid="{00000000-0005-0000-0000-00006D060000}"/>
    <cellStyle name="SAPBEXHLevel1 4" xfId="1599" xr:uid="{00000000-0005-0000-0000-00006E060000}"/>
    <cellStyle name="SAPBEXHLevel1 4 2" xfId="1600" xr:uid="{00000000-0005-0000-0000-00006F060000}"/>
    <cellStyle name="SAPBEXHLevel1 4 3" xfId="1601" xr:uid="{00000000-0005-0000-0000-000070060000}"/>
    <cellStyle name="SAPBEXHLevel1 5" xfId="1602" xr:uid="{00000000-0005-0000-0000-000071060000}"/>
    <cellStyle name="SAPBEXHLevel1 6" xfId="1603" xr:uid="{00000000-0005-0000-0000-000072060000}"/>
    <cellStyle name="SAPBEXHLevel1X" xfId="1604" xr:uid="{00000000-0005-0000-0000-000073060000}"/>
    <cellStyle name="SAPBEXHLevel1X 2" xfId="1605" xr:uid="{00000000-0005-0000-0000-000074060000}"/>
    <cellStyle name="SAPBEXHLevel1X 2 2" xfId="1606" xr:uid="{00000000-0005-0000-0000-000075060000}"/>
    <cellStyle name="SAPBEXHLevel1X 2 2 2" xfId="1607" xr:uid="{00000000-0005-0000-0000-000076060000}"/>
    <cellStyle name="SAPBEXHLevel1X 2 2 2 2" xfId="1608" xr:uid="{00000000-0005-0000-0000-000077060000}"/>
    <cellStyle name="SAPBEXHLevel1X 2 2 2 3" xfId="1609" xr:uid="{00000000-0005-0000-0000-000078060000}"/>
    <cellStyle name="SAPBEXHLevel1X 2 2 3" xfId="1610" xr:uid="{00000000-0005-0000-0000-000079060000}"/>
    <cellStyle name="SAPBEXHLevel1X 2 2 3 2" xfId="1611" xr:uid="{00000000-0005-0000-0000-00007A060000}"/>
    <cellStyle name="SAPBEXHLevel1X 2 2 3 3" xfId="1612" xr:uid="{00000000-0005-0000-0000-00007B060000}"/>
    <cellStyle name="SAPBEXHLevel1X 2 2 4" xfId="1613" xr:uid="{00000000-0005-0000-0000-00007C060000}"/>
    <cellStyle name="SAPBEXHLevel1X 2 2 4 2" xfId="1614" xr:uid="{00000000-0005-0000-0000-00007D060000}"/>
    <cellStyle name="SAPBEXHLevel1X 2 2 4 3" xfId="1615" xr:uid="{00000000-0005-0000-0000-00007E060000}"/>
    <cellStyle name="SAPBEXHLevel1X 2 2 5" xfId="1616" xr:uid="{00000000-0005-0000-0000-00007F060000}"/>
    <cellStyle name="SAPBEXHLevel1X 2 2 5 2" xfId="1617" xr:uid="{00000000-0005-0000-0000-000080060000}"/>
    <cellStyle name="SAPBEXHLevel1X 2 2 5 3" xfId="1618" xr:uid="{00000000-0005-0000-0000-000081060000}"/>
    <cellStyle name="SAPBEXHLevel1X 2 2 6" xfId="1619" xr:uid="{00000000-0005-0000-0000-000082060000}"/>
    <cellStyle name="SAPBEXHLevel1X 2 2 7" xfId="1620" xr:uid="{00000000-0005-0000-0000-000083060000}"/>
    <cellStyle name="SAPBEXHLevel1X 2 3" xfId="1621" xr:uid="{00000000-0005-0000-0000-000084060000}"/>
    <cellStyle name="SAPBEXHLevel1X 2 3 2" xfId="1622" xr:uid="{00000000-0005-0000-0000-000085060000}"/>
    <cellStyle name="SAPBEXHLevel1X 2 3 3" xfId="1623" xr:uid="{00000000-0005-0000-0000-000086060000}"/>
    <cellStyle name="SAPBEXHLevel1X 2 4" xfId="1624" xr:uid="{00000000-0005-0000-0000-000087060000}"/>
    <cellStyle name="SAPBEXHLevel1X 2 5" xfId="1625" xr:uid="{00000000-0005-0000-0000-000088060000}"/>
    <cellStyle name="SAPBEXHLevel1X 3" xfId="1626" xr:uid="{00000000-0005-0000-0000-000089060000}"/>
    <cellStyle name="SAPBEXHLevel1X 3 2" xfId="1627" xr:uid="{00000000-0005-0000-0000-00008A060000}"/>
    <cellStyle name="SAPBEXHLevel1X 3 2 2" xfId="1628" xr:uid="{00000000-0005-0000-0000-00008B060000}"/>
    <cellStyle name="SAPBEXHLevel1X 3 2 3" xfId="1629" xr:uid="{00000000-0005-0000-0000-00008C060000}"/>
    <cellStyle name="SAPBEXHLevel1X 3 3" xfId="1630" xr:uid="{00000000-0005-0000-0000-00008D060000}"/>
    <cellStyle name="SAPBEXHLevel1X 3 3 2" xfId="1631" xr:uid="{00000000-0005-0000-0000-00008E060000}"/>
    <cellStyle name="SAPBEXHLevel1X 3 3 3" xfId="1632" xr:uid="{00000000-0005-0000-0000-00008F060000}"/>
    <cellStyle name="SAPBEXHLevel1X 3 4" xfId="1633" xr:uid="{00000000-0005-0000-0000-000090060000}"/>
    <cellStyle name="SAPBEXHLevel1X 3 4 2" xfId="1634" xr:uid="{00000000-0005-0000-0000-000091060000}"/>
    <cellStyle name="SAPBEXHLevel1X 3 4 3" xfId="1635" xr:uid="{00000000-0005-0000-0000-000092060000}"/>
    <cellStyle name="SAPBEXHLevel1X 3 5" xfId="1636" xr:uid="{00000000-0005-0000-0000-000093060000}"/>
    <cellStyle name="SAPBEXHLevel1X 3 5 2" xfId="1637" xr:uid="{00000000-0005-0000-0000-000094060000}"/>
    <cellStyle name="SAPBEXHLevel1X 3 5 3" xfId="1638" xr:uid="{00000000-0005-0000-0000-000095060000}"/>
    <cellStyle name="SAPBEXHLevel1X 3 6" xfId="1639" xr:uid="{00000000-0005-0000-0000-000096060000}"/>
    <cellStyle name="SAPBEXHLevel1X 3 7" xfId="1640" xr:uid="{00000000-0005-0000-0000-000097060000}"/>
    <cellStyle name="SAPBEXHLevel1X 4" xfId="1641" xr:uid="{00000000-0005-0000-0000-000098060000}"/>
    <cellStyle name="SAPBEXHLevel1X 4 2" xfId="1642" xr:uid="{00000000-0005-0000-0000-000099060000}"/>
    <cellStyle name="SAPBEXHLevel1X 4 3" xfId="1643" xr:uid="{00000000-0005-0000-0000-00009A060000}"/>
    <cellStyle name="SAPBEXHLevel1X 5" xfId="1644" xr:uid="{00000000-0005-0000-0000-00009B060000}"/>
    <cellStyle name="SAPBEXHLevel1X 6" xfId="1645" xr:uid="{00000000-0005-0000-0000-00009C060000}"/>
    <cellStyle name="SAPBEXHLevel2" xfId="1646" xr:uid="{00000000-0005-0000-0000-00009D060000}"/>
    <cellStyle name="SAPBEXHLevel2 2" xfId="1647" xr:uid="{00000000-0005-0000-0000-00009E060000}"/>
    <cellStyle name="SAPBEXHLevel2 2 2" xfId="1648" xr:uid="{00000000-0005-0000-0000-00009F060000}"/>
    <cellStyle name="SAPBEXHLevel2 2 2 2" xfId="1649" xr:uid="{00000000-0005-0000-0000-0000A0060000}"/>
    <cellStyle name="SAPBEXHLevel2 2 2 2 2" xfId="1650" xr:uid="{00000000-0005-0000-0000-0000A1060000}"/>
    <cellStyle name="SAPBEXHLevel2 2 2 2 3" xfId="1651" xr:uid="{00000000-0005-0000-0000-0000A2060000}"/>
    <cellStyle name="SAPBEXHLevel2 2 2 3" xfId="1652" xr:uid="{00000000-0005-0000-0000-0000A3060000}"/>
    <cellStyle name="SAPBEXHLevel2 2 2 3 2" xfId="1653" xr:uid="{00000000-0005-0000-0000-0000A4060000}"/>
    <cellStyle name="SAPBEXHLevel2 2 2 3 3" xfId="1654" xr:uid="{00000000-0005-0000-0000-0000A5060000}"/>
    <cellStyle name="SAPBEXHLevel2 2 2 4" xfId="1655" xr:uid="{00000000-0005-0000-0000-0000A6060000}"/>
    <cellStyle name="SAPBEXHLevel2 2 2 4 2" xfId="1656" xr:uid="{00000000-0005-0000-0000-0000A7060000}"/>
    <cellStyle name="SAPBEXHLevel2 2 2 4 3" xfId="1657" xr:uid="{00000000-0005-0000-0000-0000A8060000}"/>
    <cellStyle name="SAPBEXHLevel2 2 2 5" xfId="1658" xr:uid="{00000000-0005-0000-0000-0000A9060000}"/>
    <cellStyle name="SAPBEXHLevel2 2 2 5 2" xfId="1659" xr:uid="{00000000-0005-0000-0000-0000AA060000}"/>
    <cellStyle name="SAPBEXHLevel2 2 2 5 3" xfId="1660" xr:uid="{00000000-0005-0000-0000-0000AB060000}"/>
    <cellStyle name="SAPBEXHLevel2 2 2 6" xfId="1661" xr:uid="{00000000-0005-0000-0000-0000AC060000}"/>
    <cellStyle name="SAPBEXHLevel2 2 2 7" xfId="1662" xr:uid="{00000000-0005-0000-0000-0000AD060000}"/>
    <cellStyle name="SAPBEXHLevel2 2 3" xfId="1663" xr:uid="{00000000-0005-0000-0000-0000AE060000}"/>
    <cellStyle name="SAPBEXHLevel2 2 3 2" xfId="1664" xr:uid="{00000000-0005-0000-0000-0000AF060000}"/>
    <cellStyle name="SAPBEXHLevel2 2 3 3" xfId="1665" xr:uid="{00000000-0005-0000-0000-0000B0060000}"/>
    <cellStyle name="SAPBEXHLevel2 2 4" xfId="1666" xr:uid="{00000000-0005-0000-0000-0000B1060000}"/>
    <cellStyle name="SAPBEXHLevel2 2 5" xfId="1667" xr:uid="{00000000-0005-0000-0000-0000B2060000}"/>
    <cellStyle name="SAPBEXHLevel2 3" xfId="1668" xr:uid="{00000000-0005-0000-0000-0000B3060000}"/>
    <cellStyle name="SAPBEXHLevel2 3 2" xfId="1669" xr:uid="{00000000-0005-0000-0000-0000B4060000}"/>
    <cellStyle name="SAPBEXHLevel2 3 2 2" xfId="1670" xr:uid="{00000000-0005-0000-0000-0000B5060000}"/>
    <cellStyle name="SAPBEXHLevel2 3 2 3" xfId="1671" xr:uid="{00000000-0005-0000-0000-0000B6060000}"/>
    <cellStyle name="SAPBEXHLevel2 3 3" xfId="1672" xr:uid="{00000000-0005-0000-0000-0000B7060000}"/>
    <cellStyle name="SAPBEXHLevel2 3 3 2" xfId="1673" xr:uid="{00000000-0005-0000-0000-0000B8060000}"/>
    <cellStyle name="SAPBEXHLevel2 3 3 3" xfId="1674" xr:uid="{00000000-0005-0000-0000-0000B9060000}"/>
    <cellStyle name="SAPBEXHLevel2 3 4" xfId="1675" xr:uid="{00000000-0005-0000-0000-0000BA060000}"/>
    <cellStyle name="SAPBEXHLevel2 3 4 2" xfId="1676" xr:uid="{00000000-0005-0000-0000-0000BB060000}"/>
    <cellStyle name="SAPBEXHLevel2 3 4 3" xfId="1677" xr:uid="{00000000-0005-0000-0000-0000BC060000}"/>
    <cellStyle name="SAPBEXHLevel2 3 5" xfId="1678" xr:uid="{00000000-0005-0000-0000-0000BD060000}"/>
    <cellStyle name="SAPBEXHLevel2 3 5 2" xfId="1679" xr:uid="{00000000-0005-0000-0000-0000BE060000}"/>
    <cellStyle name="SAPBEXHLevel2 3 5 3" xfId="1680" xr:uid="{00000000-0005-0000-0000-0000BF060000}"/>
    <cellStyle name="SAPBEXHLevel2 3 6" xfId="1681" xr:uid="{00000000-0005-0000-0000-0000C0060000}"/>
    <cellStyle name="SAPBEXHLevel2 3 7" xfId="1682" xr:uid="{00000000-0005-0000-0000-0000C1060000}"/>
    <cellStyle name="SAPBEXHLevel2 4" xfId="1683" xr:uid="{00000000-0005-0000-0000-0000C2060000}"/>
    <cellStyle name="SAPBEXHLevel2 4 2" xfId="1684" xr:uid="{00000000-0005-0000-0000-0000C3060000}"/>
    <cellStyle name="SAPBEXHLevel2 4 3" xfId="1685" xr:uid="{00000000-0005-0000-0000-0000C4060000}"/>
    <cellStyle name="SAPBEXHLevel2 5" xfId="1686" xr:uid="{00000000-0005-0000-0000-0000C5060000}"/>
    <cellStyle name="SAPBEXHLevel2 6" xfId="1687" xr:uid="{00000000-0005-0000-0000-0000C6060000}"/>
    <cellStyle name="SAPBEXHLevel2X" xfId="1688" xr:uid="{00000000-0005-0000-0000-0000C7060000}"/>
    <cellStyle name="SAPBEXHLevel2X 2" xfId="1689" xr:uid="{00000000-0005-0000-0000-0000C8060000}"/>
    <cellStyle name="SAPBEXHLevel2X 2 2" xfId="1690" xr:uid="{00000000-0005-0000-0000-0000C9060000}"/>
    <cellStyle name="SAPBEXHLevel2X 2 2 2" xfId="1691" xr:uid="{00000000-0005-0000-0000-0000CA060000}"/>
    <cellStyle name="SAPBEXHLevel2X 2 2 2 2" xfId="1692" xr:uid="{00000000-0005-0000-0000-0000CB060000}"/>
    <cellStyle name="SAPBEXHLevel2X 2 2 2 3" xfId="1693" xr:uid="{00000000-0005-0000-0000-0000CC060000}"/>
    <cellStyle name="SAPBEXHLevel2X 2 2 3" xfId="1694" xr:uid="{00000000-0005-0000-0000-0000CD060000}"/>
    <cellStyle name="SAPBEXHLevel2X 2 2 3 2" xfId="1695" xr:uid="{00000000-0005-0000-0000-0000CE060000}"/>
    <cellStyle name="SAPBEXHLevel2X 2 2 3 3" xfId="1696" xr:uid="{00000000-0005-0000-0000-0000CF060000}"/>
    <cellStyle name="SAPBEXHLevel2X 2 2 4" xfId="1697" xr:uid="{00000000-0005-0000-0000-0000D0060000}"/>
    <cellStyle name="SAPBEXHLevel2X 2 2 4 2" xfId="1698" xr:uid="{00000000-0005-0000-0000-0000D1060000}"/>
    <cellStyle name="SAPBEXHLevel2X 2 2 4 3" xfId="1699" xr:uid="{00000000-0005-0000-0000-0000D2060000}"/>
    <cellStyle name="SAPBEXHLevel2X 2 2 5" xfId="1700" xr:uid="{00000000-0005-0000-0000-0000D3060000}"/>
    <cellStyle name="SAPBEXHLevel2X 2 2 5 2" xfId="1701" xr:uid="{00000000-0005-0000-0000-0000D4060000}"/>
    <cellStyle name="SAPBEXHLevel2X 2 2 5 3" xfId="1702" xr:uid="{00000000-0005-0000-0000-0000D5060000}"/>
    <cellStyle name="SAPBEXHLevel2X 2 2 6" xfId="1703" xr:uid="{00000000-0005-0000-0000-0000D6060000}"/>
    <cellStyle name="SAPBEXHLevel2X 2 2 7" xfId="1704" xr:uid="{00000000-0005-0000-0000-0000D7060000}"/>
    <cellStyle name="SAPBEXHLevel2X 2 3" xfId="1705" xr:uid="{00000000-0005-0000-0000-0000D8060000}"/>
    <cellStyle name="SAPBEXHLevel2X 2 3 2" xfId="1706" xr:uid="{00000000-0005-0000-0000-0000D9060000}"/>
    <cellStyle name="SAPBEXHLevel2X 2 3 3" xfId="1707" xr:uid="{00000000-0005-0000-0000-0000DA060000}"/>
    <cellStyle name="SAPBEXHLevel2X 2 4" xfId="1708" xr:uid="{00000000-0005-0000-0000-0000DB060000}"/>
    <cellStyle name="SAPBEXHLevel2X 2 5" xfId="1709" xr:uid="{00000000-0005-0000-0000-0000DC060000}"/>
    <cellStyle name="SAPBEXHLevel2X 3" xfId="1710" xr:uid="{00000000-0005-0000-0000-0000DD060000}"/>
    <cellStyle name="SAPBEXHLevel2X 3 2" xfId="1711" xr:uid="{00000000-0005-0000-0000-0000DE060000}"/>
    <cellStyle name="SAPBEXHLevel2X 3 2 2" xfId="1712" xr:uid="{00000000-0005-0000-0000-0000DF060000}"/>
    <cellStyle name="SAPBEXHLevel2X 3 2 3" xfId="1713" xr:uid="{00000000-0005-0000-0000-0000E0060000}"/>
    <cellStyle name="SAPBEXHLevel2X 3 3" xfId="1714" xr:uid="{00000000-0005-0000-0000-0000E1060000}"/>
    <cellStyle name="SAPBEXHLevel2X 3 3 2" xfId="1715" xr:uid="{00000000-0005-0000-0000-0000E2060000}"/>
    <cellStyle name="SAPBEXHLevel2X 3 3 3" xfId="1716" xr:uid="{00000000-0005-0000-0000-0000E3060000}"/>
    <cellStyle name="SAPBEXHLevel2X 3 4" xfId="1717" xr:uid="{00000000-0005-0000-0000-0000E4060000}"/>
    <cellStyle name="SAPBEXHLevel2X 3 4 2" xfId="1718" xr:uid="{00000000-0005-0000-0000-0000E5060000}"/>
    <cellStyle name="SAPBEXHLevel2X 3 4 3" xfId="1719" xr:uid="{00000000-0005-0000-0000-0000E6060000}"/>
    <cellStyle name="SAPBEXHLevel2X 3 5" xfId="1720" xr:uid="{00000000-0005-0000-0000-0000E7060000}"/>
    <cellStyle name="SAPBEXHLevel2X 3 5 2" xfId="1721" xr:uid="{00000000-0005-0000-0000-0000E8060000}"/>
    <cellStyle name="SAPBEXHLevel2X 3 5 3" xfId="1722" xr:uid="{00000000-0005-0000-0000-0000E9060000}"/>
    <cellStyle name="SAPBEXHLevel2X 3 6" xfId="1723" xr:uid="{00000000-0005-0000-0000-0000EA060000}"/>
    <cellStyle name="SAPBEXHLevel2X 3 7" xfId="1724" xr:uid="{00000000-0005-0000-0000-0000EB060000}"/>
    <cellStyle name="SAPBEXHLevel2X 4" xfId="1725" xr:uid="{00000000-0005-0000-0000-0000EC060000}"/>
    <cellStyle name="SAPBEXHLevel2X 4 2" xfId="1726" xr:uid="{00000000-0005-0000-0000-0000ED060000}"/>
    <cellStyle name="SAPBEXHLevel2X 4 3" xfId="1727" xr:uid="{00000000-0005-0000-0000-0000EE060000}"/>
    <cellStyle name="SAPBEXHLevel2X 5" xfId="1728" xr:uid="{00000000-0005-0000-0000-0000EF060000}"/>
    <cellStyle name="SAPBEXHLevel2X 6" xfId="1729" xr:uid="{00000000-0005-0000-0000-0000F0060000}"/>
    <cellStyle name="SAPBEXHLevel3" xfId="1730" xr:uid="{00000000-0005-0000-0000-0000F1060000}"/>
    <cellStyle name="SAPBEXHLevel3 2" xfId="1731" xr:uid="{00000000-0005-0000-0000-0000F2060000}"/>
    <cellStyle name="SAPBEXHLevel3 2 2" xfId="1732" xr:uid="{00000000-0005-0000-0000-0000F3060000}"/>
    <cellStyle name="SAPBEXHLevel3 2 2 2" xfId="1733" xr:uid="{00000000-0005-0000-0000-0000F4060000}"/>
    <cellStyle name="SAPBEXHLevel3 2 2 2 2" xfId="1734" xr:uid="{00000000-0005-0000-0000-0000F5060000}"/>
    <cellStyle name="SAPBEXHLevel3 2 2 2 3" xfId="1735" xr:uid="{00000000-0005-0000-0000-0000F6060000}"/>
    <cellStyle name="SAPBEXHLevel3 2 2 3" xfId="1736" xr:uid="{00000000-0005-0000-0000-0000F7060000}"/>
    <cellStyle name="SAPBEXHLevel3 2 2 3 2" xfId="1737" xr:uid="{00000000-0005-0000-0000-0000F8060000}"/>
    <cellStyle name="SAPBEXHLevel3 2 2 3 3" xfId="1738" xr:uid="{00000000-0005-0000-0000-0000F9060000}"/>
    <cellStyle name="SAPBEXHLevel3 2 2 4" xfId="1739" xr:uid="{00000000-0005-0000-0000-0000FA060000}"/>
    <cellStyle name="SAPBEXHLevel3 2 2 4 2" xfId="1740" xr:uid="{00000000-0005-0000-0000-0000FB060000}"/>
    <cellStyle name="SAPBEXHLevel3 2 2 4 3" xfId="1741" xr:uid="{00000000-0005-0000-0000-0000FC060000}"/>
    <cellStyle name="SAPBEXHLevel3 2 2 5" xfId="1742" xr:uid="{00000000-0005-0000-0000-0000FD060000}"/>
    <cellStyle name="SAPBEXHLevel3 2 2 5 2" xfId="1743" xr:uid="{00000000-0005-0000-0000-0000FE060000}"/>
    <cellStyle name="SAPBEXHLevel3 2 2 5 3" xfId="1744" xr:uid="{00000000-0005-0000-0000-0000FF060000}"/>
    <cellStyle name="SAPBEXHLevel3 2 2 6" xfId="1745" xr:uid="{00000000-0005-0000-0000-000000070000}"/>
    <cellStyle name="SAPBEXHLevel3 2 2 7" xfId="1746" xr:uid="{00000000-0005-0000-0000-000001070000}"/>
    <cellStyle name="SAPBEXHLevel3 2 3" xfId="1747" xr:uid="{00000000-0005-0000-0000-000002070000}"/>
    <cellStyle name="SAPBEXHLevel3 2 3 2" xfId="1748" xr:uid="{00000000-0005-0000-0000-000003070000}"/>
    <cellStyle name="SAPBEXHLevel3 2 3 3" xfId="1749" xr:uid="{00000000-0005-0000-0000-000004070000}"/>
    <cellStyle name="SAPBEXHLevel3 2 4" xfId="1750" xr:uid="{00000000-0005-0000-0000-000005070000}"/>
    <cellStyle name="SAPBEXHLevel3 2 5" xfId="1751" xr:uid="{00000000-0005-0000-0000-000006070000}"/>
    <cellStyle name="SAPBEXHLevel3 3" xfId="1752" xr:uid="{00000000-0005-0000-0000-000007070000}"/>
    <cellStyle name="SAPBEXHLevel3 3 2" xfId="1753" xr:uid="{00000000-0005-0000-0000-000008070000}"/>
    <cellStyle name="SAPBEXHLevel3 3 2 2" xfId="1754" xr:uid="{00000000-0005-0000-0000-000009070000}"/>
    <cellStyle name="SAPBEXHLevel3 3 2 3" xfId="1755" xr:uid="{00000000-0005-0000-0000-00000A070000}"/>
    <cellStyle name="SAPBEXHLevel3 3 3" xfId="1756" xr:uid="{00000000-0005-0000-0000-00000B070000}"/>
    <cellStyle name="SAPBEXHLevel3 3 3 2" xfId="1757" xr:uid="{00000000-0005-0000-0000-00000C070000}"/>
    <cellStyle name="SAPBEXHLevel3 3 3 3" xfId="1758" xr:uid="{00000000-0005-0000-0000-00000D070000}"/>
    <cellStyle name="SAPBEXHLevel3 3 4" xfId="1759" xr:uid="{00000000-0005-0000-0000-00000E070000}"/>
    <cellStyle name="SAPBEXHLevel3 3 4 2" xfId="1760" xr:uid="{00000000-0005-0000-0000-00000F070000}"/>
    <cellStyle name="SAPBEXHLevel3 3 4 3" xfId="1761" xr:uid="{00000000-0005-0000-0000-000010070000}"/>
    <cellStyle name="SAPBEXHLevel3 3 5" xfId="1762" xr:uid="{00000000-0005-0000-0000-000011070000}"/>
    <cellStyle name="SAPBEXHLevel3 3 5 2" xfId="1763" xr:uid="{00000000-0005-0000-0000-000012070000}"/>
    <cellStyle name="SAPBEXHLevel3 3 5 3" xfId="1764" xr:uid="{00000000-0005-0000-0000-000013070000}"/>
    <cellStyle name="SAPBEXHLevel3 3 6" xfId="1765" xr:uid="{00000000-0005-0000-0000-000014070000}"/>
    <cellStyle name="SAPBEXHLevel3 3 7" xfId="1766" xr:uid="{00000000-0005-0000-0000-000015070000}"/>
    <cellStyle name="SAPBEXHLevel3 4" xfId="1767" xr:uid="{00000000-0005-0000-0000-000016070000}"/>
    <cellStyle name="SAPBEXHLevel3 4 2" xfId="1768" xr:uid="{00000000-0005-0000-0000-000017070000}"/>
    <cellStyle name="SAPBEXHLevel3 4 3" xfId="1769" xr:uid="{00000000-0005-0000-0000-000018070000}"/>
    <cellStyle name="SAPBEXHLevel3 5" xfId="1770" xr:uid="{00000000-0005-0000-0000-000019070000}"/>
    <cellStyle name="SAPBEXHLevel3 6" xfId="1771" xr:uid="{00000000-0005-0000-0000-00001A070000}"/>
    <cellStyle name="SAPBEXHLevel3X" xfId="1772" xr:uid="{00000000-0005-0000-0000-00001B070000}"/>
    <cellStyle name="SAPBEXHLevel3X 2" xfId="1773" xr:uid="{00000000-0005-0000-0000-00001C070000}"/>
    <cellStyle name="SAPBEXHLevel3X 2 2" xfId="1774" xr:uid="{00000000-0005-0000-0000-00001D070000}"/>
    <cellStyle name="SAPBEXHLevel3X 2 2 2" xfId="1775" xr:uid="{00000000-0005-0000-0000-00001E070000}"/>
    <cellStyle name="SAPBEXHLevel3X 2 2 2 2" xfId="1776" xr:uid="{00000000-0005-0000-0000-00001F070000}"/>
    <cellStyle name="SAPBEXHLevel3X 2 2 2 3" xfId="1777" xr:uid="{00000000-0005-0000-0000-000020070000}"/>
    <cellStyle name="SAPBEXHLevel3X 2 2 3" xfId="1778" xr:uid="{00000000-0005-0000-0000-000021070000}"/>
    <cellStyle name="SAPBEXHLevel3X 2 2 3 2" xfId="1779" xr:uid="{00000000-0005-0000-0000-000022070000}"/>
    <cellStyle name="SAPBEXHLevel3X 2 2 3 3" xfId="1780" xr:uid="{00000000-0005-0000-0000-000023070000}"/>
    <cellStyle name="SAPBEXHLevel3X 2 2 4" xfId="1781" xr:uid="{00000000-0005-0000-0000-000024070000}"/>
    <cellStyle name="SAPBEXHLevel3X 2 2 4 2" xfId="1782" xr:uid="{00000000-0005-0000-0000-000025070000}"/>
    <cellStyle name="SAPBEXHLevel3X 2 2 4 3" xfId="1783" xr:uid="{00000000-0005-0000-0000-000026070000}"/>
    <cellStyle name="SAPBEXHLevel3X 2 2 5" xfId="1784" xr:uid="{00000000-0005-0000-0000-000027070000}"/>
    <cellStyle name="SAPBEXHLevel3X 2 2 5 2" xfId="1785" xr:uid="{00000000-0005-0000-0000-000028070000}"/>
    <cellStyle name="SAPBEXHLevel3X 2 2 5 3" xfId="1786" xr:uid="{00000000-0005-0000-0000-000029070000}"/>
    <cellStyle name="SAPBEXHLevel3X 2 2 6" xfId="1787" xr:uid="{00000000-0005-0000-0000-00002A070000}"/>
    <cellStyle name="SAPBEXHLevel3X 2 2 7" xfId="1788" xr:uid="{00000000-0005-0000-0000-00002B070000}"/>
    <cellStyle name="SAPBEXHLevel3X 2 3" xfId="1789" xr:uid="{00000000-0005-0000-0000-00002C070000}"/>
    <cellStyle name="SAPBEXHLevel3X 2 3 2" xfId="1790" xr:uid="{00000000-0005-0000-0000-00002D070000}"/>
    <cellStyle name="SAPBEXHLevel3X 2 3 3" xfId="1791" xr:uid="{00000000-0005-0000-0000-00002E070000}"/>
    <cellStyle name="SAPBEXHLevel3X 2 4" xfId="1792" xr:uid="{00000000-0005-0000-0000-00002F070000}"/>
    <cellStyle name="SAPBEXHLevel3X 2 5" xfId="1793" xr:uid="{00000000-0005-0000-0000-000030070000}"/>
    <cellStyle name="SAPBEXHLevel3X 3" xfId="1794" xr:uid="{00000000-0005-0000-0000-000031070000}"/>
    <cellStyle name="SAPBEXHLevel3X 3 2" xfId="1795" xr:uid="{00000000-0005-0000-0000-000032070000}"/>
    <cellStyle name="SAPBEXHLevel3X 3 2 2" xfId="1796" xr:uid="{00000000-0005-0000-0000-000033070000}"/>
    <cellStyle name="SAPBEXHLevel3X 3 2 3" xfId="1797" xr:uid="{00000000-0005-0000-0000-000034070000}"/>
    <cellStyle name="SAPBEXHLevel3X 3 3" xfId="1798" xr:uid="{00000000-0005-0000-0000-000035070000}"/>
    <cellStyle name="SAPBEXHLevel3X 3 3 2" xfId="1799" xr:uid="{00000000-0005-0000-0000-000036070000}"/>
    <cellStyle name="SAPBEXHLevel3X 3 3 3" xfId="1800" xr:uid="{00000000-0005-0000-0000-000037070000}"/>
    <cellStyle name="SAPBEXHLevel3X 3 4" xfId="1801" xr:uid="{00000000-0005-0000-0000-000038070000}"/>
    <cellStyle name="SAPBEXHLevel3X 3 4 2" xfId="1802" xr:uid="{00000000-0005-0000-0000-000039070000}"/>
    <cellStyle name="SAPBEXHLevel3X 3 4 3" xfId="1803" xr:uid="{00000000-0005-0000-0000-00003A070000}"/>
    <cellStyle name="SAPBEXHLevel3X 3 5" xfId="1804" xr:uid="{00000000-0005-0000-0000-00003B070000}"/>
    <cellStyle name="SAPBEXHLevel3X 3 5 2" xfId="1805" xr:uid="{00000000-0005-0000-0000-00003C070000}"/>
    <cellStyle name="SAPBEXHLevel3X 3 5 3" xfId="1806" xr:uid="{00000000-0005-0000-0000-00003D070000}"/>
    <cellStyle name="SAPBEXHLevel3X 3 6" xfId="1807" xr:uid="{00000000-0005-0000-0000-00003E070000}"/>
    <cellStyle name="SAPBEXHLevel3X 3 7" xfId="1808" xr:uid="{00000000-0005-0000-0000-00003F070000}"/>
    <cellStyle name="SAPBEXHLevel3X 4" xfId="1809" xr:uid="{00000000-0005-0000-0000-000040070000}"/>
    <cellStyle name="SAPBEXHLevel3X 4 2" xfId="1810" xr:uid="{00000000-0005-0000-0000-000041070000}"/>
    <cellStyle name="SAPBEXHLevel3X 4 3" xfId="1811" xr:uid="{00000000-0005-0000-0000-000042070000}"/>
    <cellStyle name="SAPBEXHLevel3X 5" xfId="1812" xr:uid="{00000000-0005-0000-0000-000043070000}"/>
    <cellStyle name="SAPBEXHLevel3X 6" xfId="1813" xr:uid="{00000000-0005-0000-0000-000044070000}"/>
    <cellStyle name="SAPBEXresData" xfId="1814" xr:uid="{00000000-0005-0000-0000-000045070000}"/>
    <cellStyle name="SAPBEXresData 2" xfId="1815" xr:uid="{00000000-0005-0000-0000-000046070000}"/>
    <cellStyle name="SAPBEXresData 2 2" xfId="1816" xr:uid="{00000000-0005-0000-0000-000047070000}"/>
    <cellStyle name="SAPBEXresData 2 2 2" xfId="1817" xr:uid="{00000000-0005-0000-0000-000048070000}"/>
    <cellStyle name="SAPBEXresData 2 2 2 2" xfId="1818" xr:uid="{00000000-0005-0000-0000-000049070000}"/>
    <cellStyle name="SAPBEXresData 2 2 2 3" xfId="1819" xr:uid="{00000000-0005-0000-0000-00004A070000}"/>
    <cellStyle name="SAPBEXresData 2 2 3" xfId="1820" xr:uid="{00000000-0005-0000-0000-00004B070000}"/>
    <cellStyle name="SAPBEXresData 2 2 3 2" xfId="1821" xr:uid="{00000000-0005-0000-0000-00004C070000}"/>
    <cellStyle name="SAPBEXresData 2 2 3 3" xfId="1822" xr:uid="{00000000-0005-0000-0000-00004D070000}"/>
    <cellStyle name="SAPBEXresData 2 2 4" xfId="1823" xr:uid="{00000000-0005-0000-0000-00004E070000}"/>
    <cellStyle name="SAPBEXresData 2 2 4 2" xfId="1824" xr:uid="{00000000-0005-0000-0000-00004F070000}"/>
    <cellStyle name="SAPBEXresData 2 2 4 3" xfId="1825" xr:uid="{00000000-0005-0000-0000-000050070000}"/>
    <cellStyle name="SAPBEXresData 2 2 5" xfId="1826" xr:uid="{00000000-0005-0000-0000-000051070000}"/>
    <cellStyle name="SAPBEXresData 2 2 5 2" xfId="1827" xr:uid="{00000000-0005-0000-0000-000052070000}"/>
    <cellStyle name="SAPBEXresData 2 2 5 3" xfId="1828" xr:uid="{00000000-0005-0000-0000-000053070000}"/>
    <cellStyle name="SAPBEXresData 2 2 6" xfId="1829" xr:uid="{00000000-0005-0000-0000-000054070000}"/>
    <cellStyle name="SAPBEXresData 2 2 7" xfId="1830" xr:uid="{00000000-0005-0000-0000-000055070000}"/>
    <cellStyle name="SAPBEXresData 2 3" xfId="1831" xr:uid="{00000000-0005-0000-0000-000056070000}"/>
    <cellStyle name="SAPBEXresData 2 3 2" xfId="1832" xr:uid="{00000000-0005-0000-0000-000057070000}"/>
    <cellStyle name="SAPBEXresData 2 3 3" xfId="1833" xr:uid="{00000000-0005-0000-0000-000058070000}"/>
    <cellStyle name="SAPBEXresData 2 4" xfId="1834" xr:uid="{00000000-0005-0000-0000-000059070000}"/>
    <cellStyle name="SAPBEXresData 2 5" xfId="1835" xr:uid="{00000000-0005-0000-0000-00005A070000}"/>
    <cellStyle name="SAPBEXresData 3" xfId="1836" xr:uid="{00000000-0005-0000-0000-00005B070000}"/>
    <cellStyle name="SAPBEXresData 3 2" xfId="1837" xr:uid="{00000000-0005-0000-0000-00005C070000}"/>
    <cellStyle name="SAPBEXresData 3 2 2" xfId="1838" xr:uid="{00000000-0005-0000-0000-00005D070000}"/>
    <cellStyle name="SAPBEXresData 3 2 3" xfId="1839" xr:uid="{00000000-0005-0000-0000-00005E070000}"/>
    <cellStyle name="SAPBEXresData 3 3" xfId="1840" xr:uid="{00000000-0005-0000-0000-00005F070000}"/>
    <cellStyle name="SAPBEXresData 3 3 2" xfId="1841" xr:uid="{00000000-0005-0000-0000-000060070000}"/>
    <cellStyle name="SAPBEXresData 3 3 3" xfId="1842" xr:uid="{00000000-0005-0000-0000-000061070000}"/>
    <cellStyle name="SAPBEXresData 3 4" xfId="1843" xr:uid="{00000000-0005-0000-0000-000062070000}"/>
    <cellStyle name="SAPBEXresData 3 4 2" xfId="1844" xr:uid="{00000000-0005-0000-0000-000063070000}"/>
    <cellStyle name="SAPBEXresData 3 4 3" xfId="1845" xr:uid="{00000000-0005-0000-0000-000064070000}"/>
    <cellStyle name="SAPBEXresData 3 5" xfId="1846" xr:uid="{00000000-0005-0000-0000-000065070000}"/>
    <cellStyle name="SAPBEXresData 3 5 2" xfId="1847" xr:uid="{00000000-0005-0000-0000-000066070000}"/>
    <cellStyle name="SAPBEXresData 3 5 3" xfId="1848" xr:uid="{00000000-0005-0000-0000-000067070000}"/>
    <cellStyle name="SAPBEXresData 3 6" xfId="1849" xr:uid="{00000000-0005-0000-0000-000068070000}"/>
    <cellStyle name="SAPBEXresData 3 7" xfId="1850" xr:uid="{00000000-0005-0000-0000-000069070000}"/>
    <cellStyle name="SAPBEXresData 4" xfId="1851" xr:uid="{00000000-0005-0000-0000-00006A070000}"/>
    <cellStyle name="SAPBEXresData 4 2" xfId="1852" xr:uid="{00000000-0005-0000-0000-00006B070000}"/>
    <cellStyle name="SAPBEXresData 4 3" xfId="1853" xr:uid="{00000000-0005-0000-0000-00006C070000}"/>
    <cellStyle name="SAPBEXresData 5" xfId="1854" xr:uid="{00000000-0005-0000-0000-00006D070000}"/>
    <cellStyle name="SAPBEXresData 6" xfId="1855" xr:uid="{00000000-0005-0000-0000-00006E070000}"/>
    <cellStyle name="SAPBEXresDataEmph" xfId="1856" xr:uid="{00000000-0005-0000-0000-00006F070000}"/>
    <cellStyle name="SAPBEXresDataEmph 2" xfId="1857" xr:uid="{00000000-0005-0000-0000-000070070000}"/>
    <cellStyle name="SAPBEXresDataEmph 2 2" xfId="1858" xr:uid="{00000000-0005-0000-0000-000071070000}"/>
    <cellStyle name="SAPBEXresDataEmph 2 2 2" xfId="1859" xr:uid="{00000000-0005-0000-0000-000072070000}"/>
    <cellStyle name="SAPBEXresDataEmph 2 2 2 2" xfId="1860" xr:uid="{00000000-0005-0000-0000-000073070000}"/>
    <cellStyle name="SAPBEXresDataEmph 2 2 2 3" xfId="1861" xr:uid="{00000000-0005-0000-0000-000074070000}"/>
    <cellStyle name="SAPBEXresDataEmph 2 2 3" xfId="1862" xr:uid="{00000000-0005-0000-0000-000075070000}"/>
    <cellStyle name="SAPBEXresDataEmph 2 2 3 2" xfId="1863" xr:uid="{00000000-0005-0000-0000-000076070000}"/>
    <cellStyle name="SAPBEXresDataEmph 2 2 3 3" xfId="1864" xr:uid="{00000000-0005-0000-0000-000077070000}"/>
    <cellStyle name="SAPBEXresDataEmph 2 2 4" xfId="1865" xr:uid="{00000000-0005-0000-0000-000078070000}"/>
    <cellStyle name="SAPBEXresDataEmph 2 2 4 2" xfId="1866" xr:uid="{00000000-0005-0000-0000-000079070000}"/>
    <cellStyle name="SAPBEXresDataEmph 2 2 4 3" xfId="1867" xr:uid="{00000000-0005-0000-0000-00007A070000}"/>
    <cellStyle name="SAPBEXresDataEmph 2 2 5" xfId="1868" xr:uid="{00000000-0005-0000-0000-00007B070000}"/>
    <cellStyle name="SAPBEXresDataEmph 2 2 5 2" xfId="1869" xr:uid="{00000000-0005-0000-0000-00007C070000}"/>
    <cellStyle name="SAPBEXresDataEmph 2 2 5 3" xfId="1870" xr:uid="{00000000-0005-0000-0000-00007D070000}"/>
    <cellStyle name="SAPBEXresDataEmph 2 2 6" xfId="1871" xr:uid="{00000000-0005-0000-0000-00007E070000}"/>
    <cellStyle name="SAPBEXresDataEmph 2 2 7" xfId="1872" xr:uid="{00000000-0005-0000-0000-00007F070000}"/>
    <cellStyle name="SAPBEXresDataEmph 2 3" xfId="1873" xr:uid="{00000000-0005-0000-0000-000080070000}"/>
    <cellStyle name="SAPBEXresDataEmph 2 3 2" xfId="1874" xr:uid="{00000000-0005-0000-0000-000081070000}"/>
    <cellStyle name="SAPBEXresDataEmph 2 3 3" xfId="1875" xr:uid="{00000000-0005-0000-0000-000082070000}"/>
    <cellStyle name="SAPBEXresDataEmph 2 4" xfId="1876" xr:uid="{00000000-0005-0000-0000-000083070000}"/>
    <cellStyle name="SAPBEXresDataEmph 2 5" xfId="1877" xr:uid="{00000000-0005-0000-0000-000084070000}"/>
    <cellStyle name="SAPBEXresDataEmph 3" xfId="1878" xr:uid="{00000000-0005-0000-0000-000085070000}"/>
    <cellStyle name="SAPBEXresDataEmph 3 2" xfId="1879" xr:uid="{00000000-0005-0000-0000-000086070000}"/>
    <cellStyle name="SAPBEXresDataEmph 3 2 2" xfId="1880" xr:uid="{00000000-0005-0000-0000-000087070000}"/>
    <cellStyle name="SAPBEXresDataEmph 3 2 3" xfId="1881" xr:uid="{00000000-0005-0000-0000-000088070000}"/>
    <cellStyle name="SAPBEXresDataEmph 3 3" xfId="1882" xr:uid="{00000000-0005-0000-0000-000089070000}"/>
    <cellStyle name="SAPBEXresDataEmph 3 3 2" xfId="1883" xr:uid="{00000000-0005-0000-0000-00008A070000}"/>
    <cellStyle name="SAPBEXresDataEmph 3 3 3" xfId="1884" xr:uid="{00000000-0005-0000-0000-00008B070000}"/>
    <cellStyle name="SAPBEXresDataEmph 3 4" xfId="1885" xr:uid="{00000000-0005-0000-0000-00008C070000}"/>
    <cellStyle name="SAPBEXresDataEmph 3 4 2" xfId="1886" xr:uid="{00000000-0005-0000-0000-00008D070000}"/>
    <cellStyle name="SAPBEXresDataEmph 3 4 3" xfId="1887" xr:uid="{00000000-0005-0000-0000-00008E070000}"/>
    <cellStyle name="SAPBEXresDataEmph 3 5" xfId="1888" xr:uid="{00000000-0005-0000-0000-00008F070000}"/>
    <cellStyle name="SAPBEXresDataEmph 3 5 2" xfId="1889" xr:uid="{00000000-0005-0000-0000-000090070000}"/>
    <cellStyle name="SAPBEXresDataEmph 3 5 3" xfId="1890" xr:uid="{00000000-0005-0000-0000-000091070000}"/>
    <cellStyle name="SAPBEXresDataEmph 3 6" xfId="1891" xr:uid="{00000000-0005-0000-0000-000092070000}"/>
    <cellStyle name="SAPBEXresDataEmph 3 7" xfId="1892" xr:uid="{00000000-0005-0000-0000-000093070000}"/>
    <cellStyle name="SAPBEXresDataEmph 4" xfId="1893" xr:uid="{00000000-0005-0000-0000-000094070000}"/>
    <cellStyle name="SAPBEXresDataEmph 4 2" xfId="1894" xr:uid="{00000000-0005-0000-0000-000095070000}"/>
    <cellStyle name="SAPBEXresDataEmph 4 3" xfId="1895" xr:uid="{00000000-0005-0000-0000-000096070000}"/>
    <cellStyle name="SAPBEXresDataEmph 5" xfId="1896" xr:uid="{00000000-0005-0000-0000-000097070000}"/>
    <cellStyle name="SAPBEXresDataEmph 6" xfId="1897" xr:uid="{00000000-0005-0000-0000-000098070000}"/>
    <cellStyle name="SAPBEXresItem" xfId="1898" xr:uid="{00000000-0005-0000-0000-000099070000}"/>
    <cellStyle name="SAPBEXresItem 2" xfId="1899" xr:uid="{00000000-0005-0000-0000-00009A070000}"/>
    <cellStyle name="SAPBEXresItem 2 2" xfId="1900" xr:uid="{00000000-0005-0000-0000-00009B070000}"/>
    <cellStyle name="SAPBEXresItem 2 2 2" xfId="1901" xr:uid="{00000000-0005-0000-0000-00009C070000}"/>
    <cellStyle name="SAPBEXresItem 2 2 2 2" xfId="1902" xr:uid="{00000000-0005-0000-0000-00009D070000}"/>
    <cellStyle name="SAPBEXresItem 2 2 2 3" xfId="1903" xr:uid="{00000000-0005-0000-0000-00009E070000}"/>
    <cellStyle name="SAPBEXresItem 2 2 3" xfId="1904" xr:uid="{00000000-0005-0000-0000-00009F070000}"/>
    <cellStyle name="SAPBEXresItem 2 2 3 2" xfId="1905" xr:uid="{00000000-0005-0000-0000-0000A0070000}"/>
    <cellStyle name="SAPBEXresItem 2 2 3 3" xfId="1906" xr:uid="{00000000-0005-0000-0000-0000A1070000}"/>
    <cellStyle name="SAPBEXresItem 2 2 4" xfId="1907" xr:uid="{00000000-0005-0000-0000-0000A2070000}"/>
    <cellStyle name="SAPBEXresItem 2 2 4 2" xfId="1908" xr:uid="{00000000-0005-0000-0000-0000A3070000}"/>
    <cellStyle name="SAPBEXresItem 2 2 4 3" xfId="1909" xr:uid="{00000000-0005-0000-0000-0000A4070000}"/>
    <cellStyle name="SAPBEXresItem 2 2 5" xfId="1910" xr:uid="{00000000-0005-0000-0000-0000A5070000}"/>
    <cellStyle name="SAPBEXresItem 2 2 5 2" xfId="1911" xr:uid="{00000000-0005-0000-0000-0000A6070000}"/>
    <cellStyle name="SAPBEXresItem 2 2 5 3" xfId="1912" xr:uid="{00000000-0005-0000-0000-0000A7070000}"/>
    <cellStyle name="SAPBEXresItem 2 2 6" xfId="1913" xr:uid="{00000000-0005-0000-0000-0000A8070000}"/>
    <cellStyle name="SAPBEXresItem 2 2 7" xfId="1914" xr:uid="{00000000-0005-0000-0000-0000A9070000}"/>
    <cellStyle name="SAPBEXresItem 2 3" xfId="1915" xr:uid="{00000000-0005-0000-0000-0000AA070000}"/>
    <cellStyle name="SAPBEXresItem 2 3 2" xfId="1916" xr:uid="{00000000-0005-0000-0000-0000AB070000}"/>
    <cellStyle name="SAPBEXresItem 2 3 3" xfId="1917" xr:uid="{00000000-0005-0000-0000-0000AC070000}"/>
    <cellStyle name="SAPBEXresItem 2 4" xfId="1918" xr:uid="{00000000-0005-0000-0000-0000AD070000}"/>
    <cellStyle name="SAPBEXresItem 2 5" xfId="1919" xr:uid="{00000000-0005-0000-0000-0000AE070000}"/>
    <cellStyle name="SAPBEXresItem 3" xfId="1920" xr:uid="{00000000-0005-0000-0000-0000AF070000}"/>
    <cellStyle name="SAPBEXresItem 3 2" xfId="1921" xr:uid="{00000000-0005-0000-0000-0000B0070000}"/>
    <cellStyle name="SAPBEXresItem 3 2 2" xfId="1922" xr:uid="{00000000-0005-0000-0000-0000B1070000}"/>
    <cellStyle name="SAPBEXresItem 3 2 3" xfId="1923" xr:uid="{00000000-0005-0000-0000-0000B2070000}"/>
    <cellStyle name="SAPBEXresItem 3 3" xfId="1924" xr:uid="{00000000-0005-0000-0000-0000B3070000}"/>
    <cellStyle name="SAPBEXresItem 3 3 2" xfId="1925" xr:uid="{00000000-0005-0000-0000-0000B4070000}"/>
    <cellStyle name="SAPBEXresItem 3 3 3" xfId="1926" xr:uid="{00000000-0005-0000-0000-0000B5070000}"/>
    <cellStyle name="SAPBEXresItem 3 4" xfId="1927" xr:uid="{00000000-0005-0000-0000-0000B6070000}"/>
    <cellStyle name="SAPBEXresItem 3 4 2" xfId="1928" xr:uid="{00000000-0005-0000-0000-0000B7070000}"/>
    <cellStyle name="SAPBEXresItem 3 4 3" xfId="1929" xr:uid="{00000000-0005-0000-0000-0000B8070000}"/>
    <cellStyle name="SAPBEXresItem 3 5" xfId="1930" xr:uid="{00000000-0005-0000-0000-0000B9070000}"/>
    <cellStyle name="SAPBEXresItem 3 5 2" xfId="1931" xr:uid="{00000000-0005-0000-0000-0000BA070000}"/>
    <cellStyle name="SAPBEXresItem 3 5 3" xfId="1932" xr:uid="{00000000-0005-0000-0000-0000BB070000}"/>
    <cellStyle name="SAPBEXresItem 3 6" xfId="1933" xr:uid="{00000000-0005-0000-0000-0000BC070000}"/>
    <cellStyle name="SAPBEXresItem 3 7" xfId="1934" xr:uid="{00000000-0005-0000-0000-0000BD070000}"/>
    <cellStyle name="SAPBEXresItem 4" xfId="1935" xr:uid="{00000000-0005-0000-0000-0000BE070000}"/>
    <cellStyle name="SAPBEXresItem 4 2" xfId="1936" xr:uid="{00000000-0005-0000-0000-0000BF070000}"/>
    <cellStyle name="SAPBEXresItem 4 3" xfId="1937" xr:uid="{00000000-0005-0000-0000-0000C0070000}"/>
    <cellStyle name="SAPBEXresItem 5" xfId="1938" xr:uid="{00000000-0005-0000-0000-0000C1070000}"/>
    <cellStyle name="SAPBEXresItem 6" xfId="1939" xr:uid="{00000000-0005-0000-0000-0000C2070000}"/>
    <cellStyle name="SAPBEXresItemX" xfId="1940" xr:uid="{00000000-0005-0000-0000-0000C3070000}"/>
    <cellStyle name="SAPBEXresItemX 2" xfId="1941" xr:uid="{00000000-0005-0000-0000-0000C4070000}"/>
    <cellStyle name="SAPBEXresItemX 2 2" xfId="1942" xr:uid="{00000000-0005-0000-0000-0000C5070000}"/>
    <cellStyle name="SAPBEXresItemX 2 2 2" xfId="1943" xr:uid="{00000000-0005-0000-0000-0000C6070000}"/>
    <cellStyle name="SAPBEXresItemX 2 2 2 2" xfId="1944" xr:uid="{00000000-0005-0000-0000-0000C7070000}"/>
    <cellStyle name="SAPBEXresItemX 2 2 2 3" xfId="1945" xr:uid="{00000000-0005-0000-0000-0000C8070000}"/>
    <cellStyle name="SAPBEXresItemX 2 2 3" xfId="1946" xr:uid="{00000000-0005-0000-0000-0000C9070000}"/>
    <cellStyle name="SAPBEXresItemX 2 2 3 2" xfId="1947" xr:uid="{00000000-0005-0000-0000-0000CA070000}"/>
    <cellStyle name="SAPBEXresItemX 2 2 3 3" xfId="1948" xr:uid="{00000000-0005-0000-0000-0000CB070000}"/>
    <cellStyle name="SAPBEXresItemX 2 2 4" xfId="1949" xr:uid="{00000000-0005-0000-0000-0000CC070000}"/>
    <cellStyle name="SAPBEXresItemX 2 2 4 2" xfId="1950" xr:uid="{00000000-0005-0000-0000-0000CD070000}"/>
    <cellStyle name="SAPBEXresItemX 2 2 4 3" xfId="1951" xr:uid="{00000000-0005-0000-0000-0000CE070000}"/>
    <cellStyle name="SAPBEXresItemX 2 2 5" xfId="1952" xr:uid="{00000000-0005-0000-0000-0000CF070000}"/>
    <cellStyle name="SAPBEXresItemX 2 2 5 2" xfId="1953" xr:uid="{00000000-0005-0000-0000-0000D0070000}"/>
    <cellStyle name="SAPBEXresItemX 2 2 5 3" xfId="1954" xr:uid="{00000000-0005-0000-0000-0000D1070000}"/>
    <cellStyle name="SAPBEXresItemX 2 2 6" xfId="1955" xr:uid="{00000000-0005-0000-0000-0000D2070000}"/>
    <cellStyle name="SAPBEXresItemX 2 2 7" xfId="1956" xr:uid="{00000000-0005-0000-0000-0000D3070000}"/>
    <cellStyle name="SAPBEXresItemX 2 3" xfId="1957" xr:uid="{00000000-0005-0000-0000-0000D4070000}"/>
    <cellStyle name="SAPBEXresItemX 2 3 2" xfId="1958" xr:uid="{00000000-0005-0000-0000-0000D5070000}"/>
    <cellStyle name="SAPBEXresItemX 2 3 3" xfId="1959" xr:uid="{00000000-0005-0000-0000-0000D6070000}"/>
    <cellStyle name="SAPBEXresItemX 2 4" xfId="1960" xr:uid="{00000000-0005-0000-0000-0000D7070000}"/>
    <cellStyle name="SAPBEXresItemX 2 5" xfId="1961" xr:uid="{00000000-0005-0000-0000-0000D8070000}"/>
    <cellStyle name="SAPBEXresItemX 3" xfId="1962" xr:uid="{00000000-0005-0000-0000-0000D9070000}"/>
    <cellStyle name="SAPBEXresItemX 3 2" xfId="1963" xr:uid="{00000000-0005-0000-0000-0000DA070000}"/>
    <cellStyle name="SAPBEXresItemX 3 2 2" xfId="1964" xr:uid="{00000000-0005-0000-0000-0000DB070000}"/>
    <cellStyle name="SAPBEXresItemX 3 2 3" xfId="1965" xr:uid="{00000000-0005-0000-0000-0000DC070000}"/>
    <cellStyle name="SAPBEXresItemX 3 3" xfId="1966" xr:uid="{00000000-0005-0000-0000-0000DD070000}"/>
    <cellStyle name="SAPBEXresItemX 3 3 2" xfId="1967" xr:uid="{00000000-0005-0000-0000-0000DE070000}"/>
    <cellStyle name="SAPBEXresItemX 3 3 3" xfId="1968" xr:uid="{00000000-0005-0000-0000-0000DF070000}"/>
    <cellStyle name="SAPBEXresItemX 3 4" xfId="1969" xr:uid="{00000000-0005-0000-0000-0000E0070000}"/>
    <cellStyle name="SAPBEXresItemX 3 4 2" xfId="1970" xr:uid="{00000000-0005-0000-0000-0000E1070000}"/>
    <cellStyle name="SAPBEXresItemX 3 4 3" xfId="1971" xr:uid="{00000000-0005-0000-0000-0000E2070000}"/>
    <cellStyle name="SAPBEXresItemX 3 5" xfId="1972" xr:uid="{00000000-0005-0000-0000-0000E3070000}"/>
    <cellStyle name="SAPBEXresItemX 3 5 2" xfId="1973" xr:uid="{00000000-0005-0000-0000-0000E4070000}"/>
    <cellStyle name="SAPBEXresItemX 3 5 3" xfId="1974" xr:uid="{00000000-0005-0000-0000-0000E5070000}"/>
    <cellStyle name="SAPBEXresItemX 3 6" xfId="1975" xr:uid="{00000000-0005-0000-0000-0000E6070000}"/>
    <cellStyle name="SAPBEXresItemX 3 7" xfId="1976" xr:uid="{00000000-0005-0000-0000-0000E7070000}"/>
    <cellStyle name="SAPBEXresItemX 4" xfId="1977" xr:uid="{00000000-0005-0000-0000-0000E8070000}"/>
    <cellStyle name="SAPBEXresItemX 4 2" xfId="1978" xr:uid="{00000000-0005-0000-0000-0000E9070000}"/>
    <cellStyle name="SAPBEXresItemX 4 3" xfId="1979" xr:uid="{00000000-0005-0000-0000-0000EA070000}"/>
    <cellStyle name="SAPBEXresItemX 5" xfId="1980" xr:uid="{00000000-0005-0000-0000-0000EB070000}"/>
    <cellStyle name="SAPBEXresItemX 6" xfId="1981" xr:uid="{00000000-0005-0000-0000-0000EC070000}"/>
    <cellStyle name="SAPBEXstdData" xfId="1982" xr:uid="{00000000-0005-0000-0000-0000ED070000}"/>
    <cellStyle name="SAPBEXstdData 2" xfId="1983" xr:uid="{00000000-0005-0000-0000-0000EE070000}"/>
    <cellStyle name="SAPBEXstdData 2 2" xfId="1984" xr:uid="{00000000-0005-0000-0000-0000EF070000}"/>
    <cellStyle name="SAPBEXstdData 2 2 2" xfId="1985" xr:uid="{00000000-0005-0000-0000-0000F0070000}"/>
    <cellStyle name="SAPBEXstdData 2 2 2 2" xfId="1986" xr:uid="{00000000-0005-0000-0000-0000F1070000}"/>
    <cellStyle name="SAPBEXstdData 2 2 2 3" xfId="1987" xr:uid="{00000000-0005-0000-0000-0000F2070000}"/>
    <cellStyle name="SAPBEXstdData 2 2 3" xfId="1988" xr:uid="{00000000-0005-0000-0000-0000F3070000}"/>
    <cellStyle name="SAPBEXstdData 2 2 3 2" xfId="1989" xr:uid="{00000000-0005-0000-0000-0000F4070000}"/>
    <cellStyle name="SAPBEXstdData 2 2 3 3" xfId="1990" xr:uid="{00000000-0005-0000-0000-0000F5070000}"/>
    <cellStyle name="SAPBEXstdData 2 2 4" xfId="1991" xr:uid="{00000000-0005-0000-0000-0000F6070000}"/>
    <cellStyle name="SAPBEXstdData 2 2 4 2" xfId="1992" xr:uid="{00000000-0005-0000-0000-0000F7070000}"/>
    <cellStyle name="SAPBEXstdData 2 2 4 3" xfId="1993" xr:uid="{00000000-0005-0000-0000-0000F8070000}"/>
    <cellStyle name="SAPBEXstdData 2 2 5" xfId="1994" xr:uid="{00000000-0005-0000-0000-0000F9070000}"/>
    <cellStyle name="SAPBEXstdData 2 2 5 2" xfId="1995" xr:uid="{00000000-0005-0000-0000-0000FA070000}"/>
    <cellStyle name="SAPBEXstdData 2 2 5 3" xfId="1996" xr:uid="{00000000-0005-0000-0000-0000FB070000}"/>
    <cellStyle name="SAPBEXstdData 2 2 6" xfId="1997" xr:uid="{00000000-0005-0000-0000-0000FC070000}"/>
    <cellStyle name="SAPBEXstdData 2 2 7" xfId="1998" xr:uid="{00000000-0005-0000-0000-0000FD070000}"/>
    <cellStyle name="SAPBEXstdData 2 3" xfId="1999" xr:uid="{00000000-0005-0000-0000-0000FE070000}"/>
    <cellStyle name="SAPBEXstdData 2 3 2" xfId="2000" xr:uid="{00000000-0005-0000-0000-0000FF070000}"/>
    <cellStyle name="SAPBEXstdData 2 3 3" xfId="2001" xr:uid="{00000000-0005-0000-0000-000000080000}"/>
    <cellStyle name="SAPBEXstdData 2 4" xfId="2002" xr:uid="{00000000-0005-0000-0000-000001080000}"/>
    <cellStyle name="SAPBEXstdData 2 5" xfId="2003" xr:uid="{00000000-0005-0000-0000-000002080000}"/>
    <cellStyle name="SAPBEXstdData 3" xfId="2004" xr:uid="{00000000-0005-0000-0000-000003080000}"/>
    <cellStyle name="SAPBEXstdData 3 2" xfId="2005" xr:uid="{00000000-0005-0000-0000-000004080000}"/>
    <cellStyle name="SAPBEXstdData 3 2 2" xfId="2006" xr:uid="{00000000-0005-0000-0000-000005080000}"/>
    <cellStyle name="SAPBEXstdData 3 2 3" xfId="2007" xr:uid="{00000000-0005-0000-0000-000006080000}"/>
    <cellStyle name="SAPBEXstdData 3 3" xfId="2008" xr:uid="{00000000-0005-0000-0000-000007080000}"/>
    <cellStyle name="SAPBEXstdData 3 3 2" xfId="2009" xr:uid="{00000000-0005-0000-0000-000008080000}"/>
    <cellStyle name="SAPBEXstdData 3 3 3" xfId="2010" xr:uid="{00000000-0005-0000-0000-000009080000}"/>
    <cellStyle name="SAPBEXstdData 3 4" xfId="2011" xr:uid="{00000000-0005-0000-0000-00000A080000}"/>
    <cellStyle name="SAPBEXstdData 3 4 2" xfId="2012" xr:uid="{00000000-0005-0000-0000-00000B080000}"/>
    <cellStyle name="SAPBEXstdData 3 4 3" xfId="2013" xr:uid="{00000000-0005-0000-0000-00000C080000}"/>
    <cellStyle name="SAPBEXstdData 3 5" xfId="2014" xr:uid="{00000000-0005-0000-0000-00000D080000}"/>
    <cellStyle name="SAPBEXstdData 3 5 2" xfId="2015" xr:uid="{00000000-0005-0000-0000-00000E080000}"/>
    <cellStyle name="SAPBEXstdData 3 5 3" xfId="2016" xr:uid="{00000000-0005-0000-0000-00000F080000}"/>
    <cellStyle name="SAPBEXstdData 3 6" xfId="2017" xr:uid="{00000000-0005-0000-0000-000010080000}"/>
    <cellStyle name="SAPBEXstdData 3 7" xfId="2018" xr:uid="{00000000-0005-0000-0000-000011080000}"/>
    <cellStyle name="SAPBEXstdData 4" xfId="2019" xr:uid="{00000000-0005-0000-0000-000012080000}"/>
    <cellStyle name="SAPBEXstdData 4 2" xfId="2020" xr:uid="{00000000-0005-0000-0000-000013080000}"/>
    <cellStyle name="SAPBEXstdData 4 3" xfId="2021" xr:uid="{00000000-0005-0000-0000-000014080000}"/>
    <cellStyle name="SAPBEXstdData 5" xfId="2022" xr:uid="{00000000-0005-0000-0000-000015080000}"/>
    <cellStyle name="SAPBEXstdData 6" xfId="2023" xr:uid="{00000000-0005-0000-0000-000016080000}"/>
    <cellStyle name="SAPBEXstdDataEmph" xfId="2024" xr:uid="{00000000-0005-0000-0000-000017080000}"/>
    <cellStyle name="SAPBEXstdDataEmph 2" xfId="2025" xr:uid="{00000000-0005-0000-0000-000018080000}"/>
    <cellStyle name="SAPBEXstdDataEmph 2 2" xfId="2026" xr:uid="{00000000-0005-0000-0000-000019080000}"/>
    <cellStyle name="SAPBEXstdDataEmph 2 2 2" xfId="2027" xr:uid="{00000000-0005-0000-0000-00001A080000}"/>
    <cellStyle name="SAPBEXstdDataEmph 2 2 2 2" xfId="2028" xr:uid="{00000000-0005-0000-0000-00001B080000}"/>
    <cellStyle name="SAPBEXstdDataEmph 2 2 2 3" xfId="2029" xr:uid="{00000000-0005-0000-0000-00001C080000}"/>
    <cellStyle name="SAPBEXstdDataEmph 2 2 3" xfId="2030" xr:uid="{00000000-0005-0000-0000-00001D080000}"/>
    <cellStyle name="SAPBEXstdDataEmph 2 2 3 2" xfId="2031" xr:uid="{00000000-0005-0000-0000-00001E080000}"/>
    <cellStyle name="SAPBEXstdDataEmph 2 2 3 3" xfId="2032" xr:uid="{00000000-0005-0000-0000-00001F080000}"/>
    <cellStyle name="SAPBEXstdDataEmph 2 2 4" xfId="2033" xr:uid="{00000000-0005-0000-0000-000020080000}"/>
    <cellStyle name="SAPBEXstdDataEmph 2 2 4 2" xfId="2034" xr:uid="{00000000-0005-0000-0000-000021080000}"/>
    <cellStyle name="SAPBEXstdDataEmph 2 2 4 3" xfId="2035" xr:uid="{00000000-0005-0000-0000-000022080000}"/>
    <cellStyle name="SAPBEXstdDataEmph 2 2 5" xfId="2036" xr:uid="{00000000-0005-0000-0000-000023080000}"/>
    <cellStyle name="SAPBEXstdDataEmph 2 2 5 2" xfId="2037" xr:uid="{00000000-0005-0000-0000-000024080000}"/>
    <cellStyle name="SAPBEXstdDataEmph 2 2 5 3" xfId="2038" xr:uid="{00000000-0005-0000-0000-000025080000}"/>
    <cellStyle name="SAPBEXstdDataEmph 2 2 6" xfId="2039" xr:uid="{00000000-0005-0000-0000-000026080000}"/>
    <cellStyle name="SAPBEXstdDataEmph 2 2 7" xfId="2040" xr:uid="{00000000-0005-0000-0000-000027080000}"/>
    <cellStyle name="SAPBEXstdDataEmph 2 3" xfId="2041" xr:uid="{00000000-0005-0000-0000-000028080000}"/>
    <cellStyle name="SAPBEXstdDataEmph 2 3 2" xfId="2042" xr:uid="{00000000-0005-0000-0000-000029080000}"/>
    <cellStyle name="SAPBEXstdDataEmph 2 3 3" xfId="2043" xr:uid="{00000000-0005-0000-0000-00002A080000}"/>
    <cellStyle name="SAPBEXstdDataEmph 2 4" xfId="2044" xr:uid="{00000000-0005-0000-0000-00002B080000}"/>
    <cellStyle name="SAPBEXstdDataEmph 2 5" xfId="2045" xr:uid="{00000000-0005-0000-0000-00002C080000}"/>
    <cellStyle name="SAPBEXstdDataEmph 3" xfId="2046" xr:uid="{00000000-0005-0000-0000-00002D080000}"/>
    <cellStyle name="SAPBEXstdDataEmph 3 2" xfId="2047" xr:uid="{00000000-0005-0000-0000-00002E080000}"/>
    <cellStyle name="SAPBEXstdDataEmph 3 2 2" xfId="2048" xr:uid="{00000000-0005-0000-0000-00002F080000}"/>
    <cellStyle name="SAPBEXstdDataEmph 3 2 3" xfId="2049" xr:uid="{00000000-0005-0000-0000-000030080000}"/>
    <cellStyle name="SAPBEXstdDataEmph 3 3" xfId="2050" xr:uid="{00000000-0005-0000-0000-000031080000}"/>
    <cellStyle name="SAPBEXstdDataEmph 3 3 2" xfId="2051" xr:uid="{00000000-0005-0000-0000-000032080000}"/>
    <cellStyle name="SAPBEXstdDataEmph 3 3 3" xfId="2052" xr:uid="{00000000-0005-0000-0000-000033080000}"/>
    <cellStyle name="SAPBEXstdDataEmph 3 4" xfId="2053" xr:uid="{00000000-0005-0000-0000-000034080000}"/>
    <cellStyle name="SAPBEXstdDataEmph 3 4 2" xfId="2054" xr:uid="{00000000-0005-0000-0000-000035080000}"/>
    <cellStyle name="SAPBEXstdDataEmph 3 4 3" xfId="2055" xr:uid="{00000000-0005-0000-0000-000036080000}"/>
    <cellStyle name="SAPBEXstdDataEmph 3 5" xfId="2056" xr:uid="{00000000-0005-0000-0000-000037080000}"/>
    <cellStyle name="SAPBEXstdDataEmph 3 5 2" xfId="2057" xr:uid="{00000000-0005-0000-0000-000038080000}"/>
    <cellStyle name="SAPBEXstdDataEmph 3 5 3" xfId="2058" xr:uid="{00000000-0005-0000-0000-000039080000}"/>
    <cellStyle name="SAPBEXstdDataEmph 3 6" xfId="2059" xr:uid="{00000000-0005-0000-0000-00003A080000}"/>
    <cellStyle name="SAPBEXstdDataEmph 3 7" xfId="2060" xr:uid="{00000000-0005-0000-0000-00003B080000}"/>
    <cellStyle name="SAPBEXstdDataEmph 4" xfId="2061" xr:uid="{00000000-0005-0000-0000-00003C080000}"/>
    <cellStyle name="SAPBEXstdDataEmph 4 2" xfId="2062" xr:uid="{00000000-0005-0000-0000-00003D080000}"/>
    <cellStyle name="SAPBEXstdDataEmph 4 3" xfId="2063" xr:uid="{00000000-0005-0000-0000-00003E080000}"/>
    <cellStyle name="SAPBEXstdDataEmph 5" xfId="2064" xr:uid="{00000000-0005-0000-0000-00003F080000}"/>
    <cellStyle name="SAPBEXstdDataEmph 6" xfId="2065" xr:uid="{00000000-0005-0000-0000-000040080000}"/>
    <cellStyle name="SAPBEXstdItem" xfId="2066" xr:uid="{00000000-0005-0000-0000-000041080000}"/>
    <cellStyle name="SAPBEXstdItem 2" xfId="2067" xr:uid="{00000000-0005-0000-0000-000042080000}"/>
    <cellStyle name="SAPBEXstdItem 2 2" xfId="2068" xr:uid="{00000000-0005-0000-0000-000043080000}"/>
    <cellStyle name="SAPBEXstdItem 2 2 2" xfId="2069" xr:uid="{00000000-0005-0000-0000-000044080000}"/>
    <cellStyle name="SAPBEXstdItem 2 2 2 2" xfId="2070" xr:uid="{00000000-0005-0000-0000-000045080000}"/>
    <cellStyle name="SAPBEXstdItem 2 2 2 3" xfId="2071" xr:uid="{00000000-0005-0000-0000-000046080000}"/>
    <cellStyle name="SAPBEXstdItem 2 2 3" xfId="2072" xr:uid="{00000000-0005-0000-0000-000047080000}"/>
    <cellStyle name="SAPBEXstdItem 2 2 3 2" xfId="2073" xr:uid="{00000000-0005-0000-0000-000048080000}"/>
    <cellStyle name="SAPBEXstdItem 2 2 3 3" xfId="2074" xr:uid="{00000000-0005-0000-0000-000049080000}"/>
    <cellStyle name="SAPBEXstdItem 2 2 4" xfId="2075" xr:uid="{00000000-0005-0000-0000-00004A080000}"/>
    <cellStyle name="SAPBEXstdItem 2 2 4 2" xfId="2076" xr:uid="{00000000-0005-0000-0000-00004B080000}"/>
    <cellStyle name="SAPBEXstdItem 2 2 4 3" xfId="2077" xr:uid="{00000000-0005-0000-0000-00004C080000}"/>
    <cellStyle name="SAPBEXstdItem 2 2 5" xfId="2078" xr:uid="{00000000-0005-0000-0000-00004D080000}"/>
    <cellStyle name="SAPBEXstdItem 2 2 5 2" xfId="2079" xr:uid="{00000000-0005-0000-0000-00004E080000}"/>
    <cellStyle name="SAPBEXstdItem 2 2 5 3" xfId="2080" xr:uid="{00000000-0005-0000-0000-00004F080000}"/>
    <cellStyle name="SAPBEXstdItem 2 2 6" xfId="2081" xr:uid="{00000000-0005-0000-0000-000050080000}"/>
    <cellStyle name="SAPBEXstdItem 2 2 7" xfId="2082" xr:uid="{00000000-0005-0000-0000-000051080000}"/>
    <cellStyle name="SAPBEXstdItem 2 3" xfId="2083" xr:uid="{00000000-0005-0000-0000-000052080000}"/>
    <cellStyle name="SAPBEXstdItem 2 3 2" xfId="2084" xr:uid="{00000000-0005-0000-0000-000053080000}"/>
    <cellStyle name="SAPBEXstdItem 2 3 3" xfId="2085" xr:uid="{00000000-0005-0000-0000-000054080000}"/>
    <cellStyle name="SAPBEXstdItem 2 4" xfId="2086" xr:uid="{00000000-0005-0000-0000-000055080000}"/>
    <cellStyle name="SAPBEXstdItem 2 5" xfId="2087" xr:uid="{00000000-0005-0000-0000-000056080000}"/>
    <cellStyle name="SAPBEXstdItem 3" xfId="2088" xr:uid="{00000000-0005-0000-0000-000057080000}"/>
    <cellStyle name="SAPBEXstdItem 3 2" xfId="2089" xr:uid="{00000000-0005-0000-0000-000058080000}"/>
    <cellStyle name="SAPBEXstdItem 3 2 2" xfId="2090" xr:uid="{00000000-0005-0000-0000-000059080000}"/>
    <cellStyle name="SAPBEXstdItem 3 2 3" xfId="2091" xr:uid="{00000000-0005-0000-0000-00005A080000}"/>
    <cellStyle name="SAPBEXstdItem 3 3" xfId="2092" xr:uid="{00000000-0005-0000-0000-00005B080000}"/>
    <cellStyle name="SAPBEXstdItem 3 3 2" xfId="2093" xr:uid="{00000000-0005-0000-0000-00005C080000}"/>
    <cellStyle name="SAPBEXstdItem 3 3 3" xfId="2094" xr:uid="{00000000-0005-0000-0000-00005D080000}"/>
    <cellStyle name="SAPBEXstdItem 3 4" xfId="2095" xr:uid="{00000000-0005-0000-0000-00005E080000}"/>
    <cellStyle name="SAPBEXstdItem 3 4 2" xfId="2096" xr:uid="{00000000-0005-0000-0000-00005F080000}"/>
    <cellStyle name="SAPBEXstdItem 3 4 3" xfId="2097" xr:uid="{00000000-0005-0000-0000-000060080000}"/>
    <cellStyle name="SAPBEXstdItem 3 5" xfId="2098" xr:uid="{00000000-0005-0000-0000-000061080000}"/>
    <cellStyle name="SAPBEXstdItem 3 5 2" xfId="2099" xr:uid="{00000000-0005-0000-0000-000062080000}"/>
    <cellStyle name="SAPBEXstdItem 3 5 3" xfId="2100" xr:uid="{00000000-0005-0000-0000-000063080000}"/>
    <cellStyle name="SAPBEXstdItem 3 6" xfId="2101" xr:uid="{00000000-0005-0000-0000-000064080000}"/>
    <cellStyle name="SAPBEXstdItem 3 7" xfId="2102" xr:uid="{00000000-0005-0000-0000-000065080000}"/>
    <cellStyle name="SAPBEXstdItem 4" xfId="2103" xr:uid="{00000000-0005-0000-0000-000066080000}"/>
    <cellStyle name="SAPBEXstdItem 4 2" xfId="2104" xr:uid="{00000000-0005-0000-0000-000067080000}"/>
    <cellStyle name="SAPBEXstdItem 4 3" xfId="2105" xr:uid="{00000000-0005-0000-0000-000068080000}"/>
    <cellStyle name="SAPBEXstdItem 5" xfId="2106" xr:uid="{00000000-0005-0000-0000-000069080000}"/>
    <cellStyle name="SAPBEXstdItem 6" xfId="2107" xr:uid="{00000000-0005-0000-0000-00006A080000}"/>
    <cellStyle name="SAPBEXstdItemX" xfId="2108" xr:uid="{00000000-0005-0000-0000-00006B080000}"/>
    <cellStyle name="SAPBEXstdItemX 2" xfId="2109" xr:uid="{00000000-0005-0000-0000-00006C080000}"/>
    <cellStyle name="SAPBEXstdItemX 2 2" xfId="2110" xr:uid="{00000000-0005-0000-0000-00006D080000}"/>
    <cellStyle name="SAPBEXstdItemX 2 2 2" xfId="2111" xr:uid="{00000000-0005-0000-0000-00006E080000}"/>
    <cellStyle name="SAPBEXstdItemX 2 2 2 2" xfId="2112" xr:uid="{00000000-0005-0000-0000-00006F080000}"/>
    <cellStyle name="SAPBEXstdItemX 2 2 2 3" xfId="2113" xr:uid="{00000000-0005-0000-0000-000070080000}"/>
    <cellStyle name="SAPBEXstdItemX 2 2 3" xfId="2114" xr:uid="{00000000-0005-0000-0000-000071080000}"/>
    <cellStyle name="SAPBEXstdItemX 2 2 3 2" xfId="2115" xr:uid="{00000000-0005-0000-0000-000072080000}"/>
    <cellStyle name="SAPBEXstdItemX 2 2 3 3" xfId="2116" xr:uid="{00000000-0005-0000-0000-000073080000}"/>
    <cellStyle name="SAPBEXstdItemX 2 2 4" xfId="2117" xr:uid="{00000000-0005-0000-0000-000074080000}"/>
    <cellStyle name="SAPBEXstdItemX 2 2 4 2" xfId="2118" xr:uid="{00000000-0005-0000-0000-000075080000}"/>
    <cellStyle name="SAPBEXstdItemX 2 2 4 3" xfId="2119" xr:uid="{00000000-0005-0000-0000-000076080000}"/>
    <cellStyle name="SAPBEXstdItemX 2 2 5" xfId="2120" xr:uid="{00000000-0005-0000-0000-000077080000}"/>
    <cellStyle name="SAPBEXstdItemX 2 2 5 2" xfId="2121" xr:uid="{00000000-0005-0000-0000-000078080000}"/>
    <cellStyle name="SAPBEXstdItemX 2 2 5 3" xfId="2122" xr:uid="{00000000-0005-0000-0000-000079080000}"/>
    <cellStyle name="SAPBEXstdItemX 2 2 6" xfId="2123" xr:uid="{00000000-0005-0000-0000-00007A080000}"/>
    <cellStyle name="SAPBEXstdItemX 2 2 7" xfId="2124" xr:uid="{00000000-0005-0000-0000-00007B080000}"/>
    <cellStyle name="SAPBEXstdItemX 2 3" xfId="2125" xr:uid="{00000000-0005-0000-0000-00007C080000}"/>
    <cellStyle name="SAPBEXstdItemX 2 3 2" xfId="2126" xr:uid="{00000000-0005-0000-0000-00007D080000}"/>
    <cellStyle name="SAPBEXstdItemX 2 3 3" xfId="2127" xr:uid="{00000000-0005-0000-0000-00007E080000}"/>
    <cellStyle name="SAPBEXstdItemX 2 4" xfId="2128" xr:uid="{00000000-0005-0000-0000-00007F080000}"/>
    <cellStyle name="SAPBEXstdItemX 2 5" xfId="2129" xr:uid="{00000000-0005-0000-0000-000080080000}"/>
    <cellStyle name="SAPBEXstdItemX 3" xfId="2130" xr:uid="{00000000-0005-0000-0000-000081080000}"/>
    <cellStyle name="SAPBEXstdItemX 3 2" xfId="2131" xr:uid="{00000000-0005-0000-0000-000082080000}"/>
    <cellStyle name="SAPBEXstdItemX 3 2 2" xfId="2132" xr:uid="{00000000-0005-0000-0000-000083080000}"/>
    <cellStyle name="SAPBEXstdItemX 3 2 3" xfId="2133" xr:uid="{00000000-0005-0000-0000-000084080000}"/>
    <cellStyle name="SAPBEXstdItemX 3 3" xfId="2134" xr:uid="{00000000-0005-0000-0000-000085080000}"/>
    <cellStyle name="SAPBEXstdItemX 3 3 2" xfId="2135" xr:uid="{00000000-0005-0000-0000-000086080000}"/>
    <cellStyle name="SAPBEXstdItemX 3 3 3" xfId="2136" xr:uid="{00000000-0005-0000-0000-000087080000}"/>
    <cellStyle name="SAPBEXstdItemX 3 4" xfId="2137" xr:uid="{00000000-0005-0000-0000-000088080000}"/>
    <cellStyle name="SAPBEXstdItemX 3 4 2" xfId="2138" xr:uid="{00000000-0005-0000-0000-000089080000}"/>
    <cellStyle name="SAPBEXstdItemX 3 4 3" xfId="2139" xr:uid="{00000000-0005-0000-0000-00008A080000}"/>
    <cellStyle name="SAPBEXstdItemX 3 5" xfId="2140" xr:uid="{00000000-0005-0000-0000-00008B080000}"/>
    <cellStyle name="SAPBEXstdItemX 3 5 2" xfId="2141" xr:uid="{00000000-0005-0000-0000-00008C080000}"/>
    <cellStyle name="SAPBEXstdItemX 3 5 3" xfId="2142" xr:uid="{00000000-0005-0000-0000-00008D080000}"/>
    <cellStyle name="SAPBEXstdItemX 3 6" xfId="2143" xr:uid="{00000000-0005-0000-0000-00008E080000}"/>
    <cellStyle name="SAPBEXstdItemX 3 7" xfId="2144" xr:uid="{00000000-0005-0000-0000-00008F080000}"/>
    <cellStyle name="SAPBEXstdItemX 4" xfId="2145" xr:uid="{00000000-0005-0000-0000-000090080000}"/>
    <cellStyle name="SAPBEXstdItemX 4 2" xfId="2146" xr:uid="{00000000-0005-0000-0000-000091080000}"/>
    <cellStyle name="SAPBEXstdItemX 4 3" xfId="2147" xr:uid="{00000000-0005-0000-0000-000092080000}"/>
    <cellStyle name="SAPBEXstdItemX 5" xfId="2148" xr:uid="{00000000-0005-0000-0000-000093080000}"/>
    <cellStyle name="SAPBEXstdItemX 6" xfId="2149" xr:uid="{00000000-0005-0000-0000-000094080000}"/>
    <cellStyle name="SAPBEXtitle" xfId="2150" xr:uid="{00000000-0005-0000-0000-000095080000}"/>
    <cellStyle name="SAPBEXundefined" xfId="2151" xr:uid="{00000000-0005-0000-0000-000096080000}"/>
    <cellStyle name="SAPBEXundefined 2" xfId="2152" xr:uid="{00000000-0005-0000-0000-000097080000}"/>
    <cellStyle name="SAPBEXundefined 2 2" xfId="2153" xr:uid="{00000000-0005-0000-0000-000098080000}"/>
    <cellStyle name="SAPBEXundefined 2 2 2" xfId="2154" xr:uid="{00000000-0005-0000-0000-000099080000}"/>
    <cellStyle name="SAPBEXundefined 2 2 2 2" xfId="2155" xr:uid="{00000000-0005-0000-0000-00009A080000}"/>
    <cellStyle name="SAPBEXundefined 2 2 2 3" xfId="2156" xr:uid="{00000000-0005-0000-0000-00009B080000}"/>
    <cellStyle name="SAPBEXundefined 2 2 3" xfId="2157" xr:uid="{00000000-0005-0000-0000-00009C080000}"/>
    <cellStyle name="SAPBEXundefined 2 2 3 2" xfId="2158" xr:uid="{00000000-0005-0000-0000-00009D080000}"/>
    <cellStyle name="SAPBEXundefined 2 2 3 3" xfId="2159" xr:uid="{00000000-0005-0000-0000-00009E080000}"/>
    <cellStyle name="SAPBEXundefined 2 2 4" xfId="2160" xr:uid="{00000000-0005-0000-0000-00009F080000}"/>
    <cellStyle name="SAPBEXundefined 2 2 4 2" xfId="2161" xr:uid="{00000000-0005-0000-0000-0000A0080000}"/>
    <cellStyle name="SAPBEXundefined 2 2 4 3" xfId="2162" xr:uid="{00000000-0005-0000-0000-0000A1080000}"/>
    <cellStyle name="SAPBEXundefined 2 2 5" xfId="2163" xr:uid="{00000000-0005-0000-0000-0000A2080000}"/>
    <cellStyle name="SAPBEXundefined 2 2 5 2" xfId="2164" xr:uid="{00000000-0005-0000-0000-0000A3080000}"/>
    <cellStyle name="SAPBEXundefined 2 2 5 3" xfId="2165" xr:uid="{00000000-0005-0000-0000-0000A4080000}"/>
    <cellStyle name="SAPBEXundefined 2 2 6" xfId="2166" xr:uid="{00000000-0005-0000-0000-0000A5080000}"/>
    <cellStyle name="SAPBEXundefined 2 2 7" xfId="2167" xr:uid="{00000000-0005-0000-0000-0000A6080000}"/>
    <cellStyle name="SAPBEXundefined 2 3" xfId="2168" xr:uid="{00000000-0005-0000-0000-0000A7080000}"/>
    <cellStyle name="SAPBEXundefined 2 3 2" xfId="2169" xr:uid="{00000000-0005-0000-0000-0000A8080000}"/>
    <cellStyle name="SAPBEXundefined 2 3 3" xfId="2170" xr:uid="{00000000-0005-0000-0000-0000A9080000}"/>
    <cellStyle name="SAPBEXundefined 2 4" xfId="2171" xr:uid="{00000000-0005-0000-0000-0000AA080000}"/>
    <cellStyle name="SAPBEXundefined 2 5" xfId="2172" xr:uid="{00000000-0005-0000-0000-0000AB080000}"/>
    <cellStyle name="SAPBEXundefined 3" xfId="2173" xr:uid="{00000000-0005-0000-0000-0000AC080000}"/>
    <cellStyle name="SAPBEXundefined 3 2" xfId="2174" xr:uid="{00000000-0005-0000-0000-0000AD080000}"/>
    <cellStyle name="SAPBEXundefined 3 2 2" xfId="2175" xr:uid="{00000000-0005-0000-0000-0000AE080000}"/>
    <cellStyle name="SAPBEXundefined 3 2 3" xfId="2176" xr:uid="{00000000-0005-0000-0000-0000AF080000}"/>
    <cellStyle name="SAPBEXundefined 3 3" xfId="2177" xr:uid="{00000000-0005-0000-0000-0000B0080000}"/>
    <cellStyle name="SAPBEXundefined 3 3 2" xfId="2178" xr:uid="{00000000-0005-0000-0000-0000B1080000}"/>
    <cellStyle name="SAPBEXundefined 3 3 3" xfId="2179" xr:uid="{00000000-0005-0000-0000-0000B2080000}"/>
    <cellStyle name="SAPBEXundefined 3 4" xfId="2180" xr:uid="{00000000-0005-0000-0000-0000B3080000}"/>
    <cellStyle name="SAPBEXundefined 3 4 2" xfId="2181" xr:uid="{00000000-0005-0000-0000-0000B4080000}"/>
    <cellStyle name="SAPBEXundefined 3 4 3" xfId="2182" xr:uid="{00000000-0005-0000-0000-0000B5080000}"/>
    <cellStyle name="SAPBEXundefined 3 5" xfId="2183" xr:uid="{00000000-0005-0000-0000-0000B6080000}"/>
    <cellStyle name="SAPBEXundefined 3 5 2" xfId="2184" xr:uid="{00000000-0005-0000-0000-0000B7080000}"/>
    <cellStyle name="SAPBEXundefined 3 5 3" xfId="2185" xr:uid="{00000000-0005-0000-0000-0000B8080000}"/>
    <cellStyle name="SAPBEXundefined 3 6" xfId="2186" xr:uid="{00000000-0005-0000-0000-0000B9080000}"/>
    <cellStyle name="SAPBEXundefined 3 7" xfId="2187" xr:uid="{00000000-0005-0000-0000-0000BA080000}"/>
    <cellStyle name="SAPBEXundefined 4" xfId="2188" xr:uid="{00000000-0005-0000-0000-0000BB080000}"/>
    <cellStyle name="SAPBEXundefined 4 2" xfId="2189" xr:uid="{00000000-0005-0000-0000-0000BC080000}"/>
    <cellStyle name="SAPBEXundefined 4 3" xfId="2190" xr:uid="{00000000-0005-0000-0000-0000BD080000}"/>
    <cellStyle name="SAPBEXundefined 5" xfId="2191" xr:uid="{00000000-0005-0000-0000-0000BE080000}"/>
    <cellStyle name="SAPBEXundefined 6" xfId="2192" xr:uid="{00000000-0005-0000-0000-0000BF080000}"/>
    <cellStyle name="section" xfId="2193" xr:uid="{00000000-0005-0000-0000-0000C0080000}"/>
    <cellStyle name="SOR" xfId="2194" xr:uid="{00000000-0005-0000-0000-0000C1080000}"/>
    <cellStyle name="SOR 2" xfId="2195" xr:uid="{00000000-0005-0000-0000-0000C2080000}"/>
    <cellStyle name="SOR 2 2" xfId="2196" xr:uid="{00000000-0005-0000-0000-0000C3080000}"/>
    <cellStyle name="SOR 2 2 2" xfId="2197" xr:uid="{00000000-0005-0000-0000-0000C4080000}"/>
    <cellStyle name="SOR 2 2 2 2" xfId="2198" xr:uid="{00000000-0005-0000-0000-0000C5080000}"/>
    <cellStyle name="SOR 2 2 3" xfId="2199" xr:uid="{00000000-0005-0000-0000-0000C6080000}"/>
    <cellStyle name="SOR 2 3" xfId="2200" xr:uid="{00000000-0005-0000-0000-0000C7080000}"/>
    <cellStyle name="SOR 2 3 2" xfId="2201" xr:uid="{00000000-0005-0000-0000-0000C8080000}"/>
    <cellStyle name="SOR 2 4" xfId="2202" xr:uid="{00000000-0005-0000-0000-0000C9080000}"/>
    <cellStyle name="SOR 3" xfId="2203" xr:uid="{00000000-0005-0000-0000-0000CA080000}"/>
    <cellStyle name="SOR 3 2" xfId="2204" xr:uid="{00000000-0005-0000-0000-0000CB080000}"/>
    <cellStyle name="SOR 3 2 2" xfId="2205" xr:uid="{00000000-0005-0000-0000-0000CC080000}"/>
    <cellStyle name="SOR 3 3" xfId="2206" xr:uid="{00000000-0005-0000-0000-0000CD080000}"/>
    <cellStyle name="SOR 4" xfId="2207" xr:uid="{00000000-0005-0000-0000-0000CE080000}"/>
    <cellStyle name="SOR 4 2" xfId="2208" xr:uid="{00000000-0005-0000-0000-0000CF080000}"/>
    <cellStyle name="SOR 5" xfId="2209" xr:uid="{00000000-0005-0000-0000-0000D0080000}"/>
    <cellStyle name="subhead" xfId="2210" xr:uid="{00000000-0005-0000-0000-0000D1080000}"/>
    <cellStyle name="title" xfId="2211" xr:uid="{00000000-0005-0000-0000-0000D2080000}"/>
    <cellStyle name="Tusental (0)_pldt" xfId="2212" xr:uid="{00000000-0005-0000-0000-0000D3080000}"/>
    <cellStyle name="Tusental_pldt" xfId="2213" xr:uid="{00000000-0005-0000-0000-0000D4080000}"/>
    <cellStyle name="Valuta (0)_pldt" xfId="2214" xr:uid="{00000000-0005-0000-0000-0000D5080000}"/>
    <cellStyle name="Valuta_pldt" xfId="2215" xr:uid="{00000000-0005-0000-0000-0000D6080000}"/>
    <cellStyle name="パーセント_laroux" xfId="2216" xr:uid="{00000000-0005-0000-0000-0000D7080000}"/>
    <cellStyle name="_PLDT" xfId="2217" xr:uid="{00000000-0005-0000-0000-0000D8080000}"/>
    <cellStyle name="_laroux" xfId="2218" xr:uid="{00000000-0005-0000-0000-0000D9080000}"/>
    <cellStyle name="だ[0]_PLDT" xfId="2219" xr:uid="{00000000-0005-0000-0000-0000DA080000}"/>
    <cellStyle name="だ_PLDT" xfId="2220" xr:uid="{00000000-0005-0000-0000-0000DB080000}"/>
    <cellStyle name="だ[0]_Total (2)" xfId="2221" xr:uid="{00000000-0005-0000-0000-0000DC080000}"/>
    <cellStyle name="だ_laroux" xfId="2222" xr:uid="{00000000-0005-0000-0000-0000DD080000}"/>
    <cellStyle name="百分比" xfId="2" builtinId="5"/>
    <cellStyle name="百分比 2" xfId="2223" xr:uid="{00000000-0005-0000-0000-0000DE080000}"/>
    <cellStyle name="百分比 2 2" xfId="2224" xr:uid="{00000000-0005-0000-0000-0000DF080000}"/>
    <cellStyle name="百分比 2 2 2" xfId="2225" xr:uid="{00000000-0005-0000-0000-0000E0080000}"/>
    <cellStyle name="百分比 2 3" xfId="2226" xr:uid="{00000000-0005-0000-0000-0000E1080000}"/>
    <cellStyle name="百分比 3" xfId="2227" xr:uid="{00000000-0005-0000-0000-0000E2080000}"/>
    <cellStyle name="百分比 3 2" xfId="2228" xr:uid="{00000000-0005-0000-0000-0000E3080000}"/>
    <cellStyle name="百分比 3 2 2" xfId="2229" xr:uid="{00000000-0005-0000-0000-0000E4080000}"/>
    <cellStyle name="百分比 3 3" xfId="2230" xr:uid="{00000000-0005-0000-0000-0000E5080000}"/>
    <cellStyle name="百分比 3 4" xfId="2231" xr:uid="{00000000-0005-0000-0000-0000E6080000}"/>
    <cellStyle name="百分比 4" xfId="2232" xr:uid="{00000000-0005-0000-0000-0000E7080000}"/>
    <cellStyle name="百分比 4 2" xfId="2233" xr:uid="{00000000-0005-0000-0000-0000E8080000}"/>
    <cellStyle name="百分比 4 2 2" xfId="2234" xr:uid="{00000000-0005-0000-0000-0000E9080000}"/>
    <cellStyle name="百分比 4 3" xfId="2235" xr:uid="{00000000-0005-0000-0000-0000EA080000}"/>
    <cellStyle name="百分比 4 4" xfId="2236" xr:uid="{00000000-0005-0000-0000-0000EB080000}"/>
    <cellStyle name="百分比 5" xfId="2237" xr:uid="{00000000-0005-0000-0000-0000EC080000}"/>
    <cellStyle name="百分比 5 2" xfId="2238" xr:uid="{00000000-0005-0000-0000-0000ED080000}"/>
    <cellStyle name="百分比 5 3" xfId="2239" xr:uid="{00000000-0005-0000-0000-0000EE080000}"/>
    <cellStyle name="百分比 6" xfId="2240" xr:uid="{00000000-0005-0000-0000-0000EF080000}"/>
    <cellStyle name="捠壿 [0.00]_PRODUCT DETAIL Q1" xfId="2241" xr:uid="{00000000-0005-0000-0000-0000F0080000}"/>
    <cellStyle name="捠壿_PRODUCT DETAIL Q1" xfId="2242" xr:uid="{00000000-0005-0000-0000-0000F1080000}"/>
    <cellStyle name="标题 5" xfId="2243" xr:uid="{00000000-0005-0000-0000-0000F2080000}"/>
    <cellStyle name="標準_１１月価格表" xfId="2244" xr:uid="{00000000-0005-0000-0000-0000F3080000}"/>
    <cellStyle name="表标题" xfId="2245" xr:uid="{00000000-0005-0000-0000-0000F4080000}"/>
    <cellStyle name="差_10存货" xfId="2246" xr:uid="{00000000-0005-0000-0000-0000F5080000}"/>
    <cellStyle name="差_19-无形资产（空白模板）" xfId="2247" xr:uid="{00000000-0005-0000-0000-0000F6080000}"/>
    <cellStyle name="差_2-交易性金融资产（空白模板）" xfId="2248" xr:uid="{00000000-0005-0000-0000-0000F7080000}"/>
    <cellStyle name="差_3-2 进一步审计程序-采购与付款循环" xfId="2249" xr:uid="{00000000-0005-0000-0000-0000F8080000}"/>
    <cellStyle name="差_3-3 进一步审计程序-存货与生产循环" xfId="2250" xr:uid="{00000000-0005-0000-0000-0000F9080000}"/>
    <cellStyle name="差_49-营业收入（空白模板）" xfId="2251" xr:uid="{00000000-0005-0000-0000-0000FA080000}"/>
    <cellStyle name="差_4-应收账款（空白模板）" xfId="2252" xr:uid="{00000000-0005-0000-0000-0000FB080000}"/>
    <cellStyle name="差_50-营业成本（空白模板）" xfId="2253" xr:uid="{00000000-0005-0000-0000-0000FC080000}"/>
    <cellStyle name="差_51-营业税金及附加（空白模板）" xfId="2254" xr:uid="{00000000-0005-0000-0000-0000FD080000}"/>
    <cellStyle name="差_54-财务费用（空白模板）" xfId="2255" xr:uid="{00000000-0005-0000-0000-0000FE080000}"/>
    <cellStyle name="差_55-资产减值损失（空白模板）" xfId="2256" xr:uid="{00000000-0005-0000-0000-0000FF080000}"/>
    <cellStyle name="差_9管理费用" xfId="2257" xr:uid="{00000000-0005-0000-0000-000000090000}"/>
    <cellStyle name="差_Book2" xfId="2258" xr:uid="{00000000-0005-0000-0000-000001090000}"/>
    <cellStyle name="差_dxn底稿目录" xfId="2259" xr:uid="{00000000-0005-0000-0000-000002090000}"/>
    <cellStyle name="差_Sheet1" xfId="2260" xr:uid="{00000000-0005-0000-0000-000003090000}"/>
    <cellStyle name="差_ZA0货币资金审定表 " xfId="2261" xr:uid="{00000000-0005-0000-0000-000004090000}"/>
    <cellStyle name="差_存货" xfId="2262" xr:uid="{00000000-0005-0000-0000-000005090000}"/>
    <cellStyle name="差_大信底稿目录" xfId="2263" xr:uid="{00000000-0005-0000-0000-000006090000}"/>
    <cellStyle name="差_底稿设置宏" xfId="2264" xr:uid="{00000000-0005-0000-0000-000007090000}"/>
    <cellStyle name="差_货币资金" xfId="2265" xr:uid="{00000000-0005-0000-0000-000008090000}"/>
    <cellStyle name="差_货币资金 天职" xfId="2266" xr:uid="{00000000-0005-0000-0000-000009090000}"/>
    <cellStyle name="差_货币资金 岳华" xfId="2267" xr:uid="{00000000-0005-0000-0000-00000A090000}"/>
    <cellStyle name="差_无形资产" xfId="2268" xr:uid="{00000000-0005-0000-0000-00000B090000}"/>
    <cellStyle name="差_应付职工薪酬" xfId="2269" xr:uid="{00000000-0005-0000-0000-00000C090000}"/>
    <cellStyle name="差_应收账款" xfId="2270" xr:uid="{00000000-0005-0000-0000-00000D090000}"/>
    <cellStyle name="差_账项明细表" xfId="2271" xr:uid="{00000000-0005-0000-0000-00000E090000}"/>
    <cellStyle name="常规" xfId="0" builtinId="0"/>
    <cellStyle name="常规 10" xfId="2272" xr:uid="{00000000-0005-0000-0000-00000F090000}"/>
    <cellStyle name="常规 10 2" xfId="2273" xr:uid="{00000000-0005-0000-0000-000010090000}"/>
    <cellStyle name="常规 10 2 2" xfId="2274" xr:uid="{00000000-0005-0000-0000-000011090000}"/>
    <cellStyle name="常规 10 3" xfId="2275" xr:uid="{00000000-0005-0000-0000-000012090000}"/>
    <cellStyle name="常规 11" xfId="2276" xr:uid="{00000000-0005-0000-0000-000013090000}"/>
    <cellStyle name="常规 11 2" xfId="2277" xr:uid="{00000000-0005-0000-0000-000014090000}"/>
    <cellStyle name="常规 11 3" xfId="2278" xr:uid="{00000000-0005-0000-0000-000015090000}"/>
    <cellStyle name="常规 12" xfId="2279" xr:uid="{00000000-0005-0000-0000-000016090000}"/>
    <cellStyle name="常规 13" xfId="2280" xr:uid="{00000000-0005-0000-0000-000017090000}"/>
    <cellStyle name="常规 14" xfId="2281" xr:uid="{00000000-0005-0000-0000-000018090000}"/>
    <cellStyle name="常规 14 2" xfId="2282" xr:uid="{00000000-0005-0000-0000-000019090000}"/>
    <cellStyle name="常规 2" xfId="2283" xr:uid="{00000000-0005-0000-0000-00001A090000}"/>
    <cellStyle name="常规 2- " xfId="2284" xr:uid="{00000000-0005-0000-0000-00001B090000}"/>
    <cellStyle name="常规 2 10" xfId="2285" xr:uid="{00000000-0005-0000-0000-00001C090000}"/>
    <cellStyle name="常规 2 11" xfId="2286" xr:uid="{00000000-0005-0000-0000-00001D090000}"/>
    <cellStyle name="常规 2 12" xfId="2287" xr:uid="{00000000-0005-0000-0000-00001E090000}"/>
    <cellStyle name="常规 2 13" xfId="2288" xr:uid="{00000000-0005-0000-0000-00001F090000}"/>
    <cellStyle name="常规 2 2" xfId="2289" xr:uid="{00000000-0005-0000-0000-000020090000}"/>
    <cellStyle name="常规 2 2 2" xfId="2290" xr:uid="{00000000-0005-0000-0000-000021090000}"/>
    <cellStyle name="常规 2 2 2 2" xfId="2291" xr:uid="{00000000-0005-0000-0000-000022090000}"/>
    <cellStyle name="常规 2 2 2 2 2" xfId="2292" xr:uid="{00000000-0005-0000-0000-000023090000}"/>
    <cellStyle name="常规 2 2 2 3" xfId="2293" xr:uid="{00000000-0005-0000-0000-000024090000}"/>
    <cellStyle name="常规 2 2 2 4" xfId="2294" xr:uid="{00000000-0005-0000-0000-000025090000}"/>
    <cellStyle name="常规 2 2 3" xfId="2295" xr:uid="{00000000-0005-0000-0000-000026090000}"/>
    <cellStyle name="常规 2 2 3 2" xfId="2296" xr:uid="{00000000-0005-0000-0000-000027090000}"/>
    <cellStyle name="常规 2 2 3 3" xfId="2297" xr:uid="{00000000-0005-0000-0000-000028090000}"/>
    <cellStyle name="常规 2 2 3 3 2" xfId="2298" xr:uid="{00000000-0005-0000-0000-000029090000}"/>
    <cellStyle name="常规 2 2 3 4" xfId="2299" xr:uid="{00000000-0005-0000-0000-00002A090000}"/>
    <cellStyle name="常规 2 2 4" xfId="2300" xr:uid="{00000000-0005-0000-0000-00002B090000}"/>
    <cellStyle name="常规 2 2 4 2" xfId="2301" xr:uid="{00000000-0005-0000-0000-00002C090000}"/>
    <cellStyle name="常规 2 2 4 2 2" xfId="2302" xr:uid="{00000000-0005-0000-0000-00002D090000}"/>
    <cellStyle name="常规 2 2 4 3" xfId="2303" xr:uid="{00000000-0005-0000-0000-00002E090000}"/>
    <cellStyle name="常规 2 2 4 4" xfId="2304" xr:uid="{00000000-0005-0000-0000-00002F090000}"/>
    <cellStyle name="常规 2 2 5" xfId="2305" xr:uid="{00000000-0005-0000-0000-000030090000}"/>
    <cellStyle name="常规 2 2 5 2" xfId="2306" xr:uid="{00000000-0005-0000-0000-000031090000}"/>
    <cellStyle name="常规 2 2 5 2 2" xfId="2307" xr:uid="{00000000-0005-0000-0000-000032090000}"/>
    <cellStyle name="常规 2 2 5 2 2 2" xfId="2308" xr:uid="{00000000-0005-0000-0000-000033090000}"/>
    <cellStyle name="常规 2 2 5 2 3" xfId="2309" xr:uid="{00000000-0005-0000-0000-000034090000}"/>
    <cellStyle name="常规 2 2 5 3" xfId="2310" xr:uid="{00000000-0005-0000-0000-000035090000}"/>
    <cellStyle name="常规 2 2 6" xfId="2311" xr:uid="{00000000-0005-0000-0000-000036090000}"/>
    <cellStyle name="常规 2 3" xfId="2312" xr:uid="{00000000-0005-0000-0000-000037090000}"/>
    <cellStyle name="常规 2 3 2" xfId="2313" xr:uid="{00000000-0005-0000-0000-000038090000}"/>
    <cellStyle name="常规 2 3 3" xfId="2314" xr:uid="{00000000-0005-0000-0000-000039090000}"/>
    <cellStyle name="常规 2 4" xfId="2315" xr:uid="{00000000-0005-0000-0000-00003A090000}"/>
    <cellStyle name="常规 2 4 2" xfId="2316" xr:uid="{00000000-0005-0000-0000-00003B090000}"/>
    <cellStyle name="常规 2 5" xfId="2317" xr:uid="{00000000-0005-0000-0000-00003C090000}"/>
    <cellStyle name="常规 2 5 2" xfId="2318" xr:uid="{00000000-0005-0000-0000-00003D090000}"/>
    <cellStyle name="常规 2 6" xfId="2319" xr:uid="{00000000-0005-0000-0000-00003E090000}"/>
    <cellStyle name="常规 2 7" xfId="2320" xr:uid="{00000000-0005-0000-0000-00003F090000}"/>
    <cellStyle name="常规 2 7 2" xfId="2321" xr:uid="{00000000-0005-0000-0000-000040090000}"/>
    <cellStyle name="常规 2 8" xfId="2322" xr:uid="{00000000-0005-0000-0000-000041090000}"/>
    <cellStyle name="常规 2 8 2" xfId="2323" xr:uid="{00000000-0005-0000-0000-000042090000}"/>
    <cellStyle name="常规 2 9" xfId="2324" xr:uid="{00000000-0005-0000-0000-000043090000}"/>
    <cellStyle name="常规 2_10存货" xfId="2325" xr:uid="{00000000-0005-0000-0000-000044090000}"/>
    <cellStyle name="常规 3" xfId="2326" xr:uid="{00000000-0005-0000-0000-000045090000}"/>
    <cellStyle name="常规 3 2" xfId="2327" xr:uid="{00000000-0005-0000-0000-000046090000}"/>
    <cellStyle name="常规 3 2 2" xfId="2328" xr:uid="{00000000-0005-0000-0000-000047090000}"/>
    <cellStyle name="常规 3 2 2 2" xfId="2329" xr:uid="{00000000-0005-0000-0000-000048090000}"/>
    <cellStyle name="常规 3 2 2 3" xfId="2330" xr:uid="{00000000-0005-0000-0000-000049090000}"/>
    <cellStyle name="常规 3 2 3" xfId="2331" xr:uid="{00000000-0005-0000-0000-00004A090000}"/>
    <cellStyle name="常规 3 2 3 2" xfId="2332" xr:uid="{00000000-0005-0000-0000-00004B090000}"/>
    <cellStyle name="常规 3 2 3 4" xfId="2333" xr:uid="{00000000-0005-0000-0000-00004C090000}"/>
    <cellStyle name="常规 3 2 4" xfId="2334" xr:uid="{00000000-0005-0000-0000-00004D090000}"/>
    <cellStyle name="常规 3 2 4 2" xfId="2335" xr:uid="{00000000-0005-0000-0000-00004E090000}"/>
    <cellStyle name="常规 3 3" xfId="2336" xr:uid="{00000000-0005-0000-0000-00004F090000}"/>
    <cellStyle name="常规 3 3 2" xfId="2337" xr:uid="{00000000-0005-0000-0000-000050090000}"/>
    <cellStyle name="常规 3 3 2 2" xfId="2338" xr:uid="{00000000-0005-0000-0000-000051090000}"/>
    <cellStyle name="常规 3 3 3" xfId="2339" xr:uid="{00000000-0005-0000-0000-000052090000}"/>
    <cellStyle name="常规 3 4" xfId="2340" xr:uid="{00000000-0005-0000-0000-000053090000}"/>
    <cellStyle name="常规 3_10存货" xfId="2341" xr:uid="{00000000-0005-0000-0000-000054090000}"/>
    <cellStyle name="常规 4" xfId="2342" xr:uid="{00000000-0005-0000-0000-000055090000}"/>
    <cellStyle name="常规 4 2" xfId="2343" xr:uid="{00000000-0005-0000-0000-000056090000}"/>
    <cellStyle name="常规 4 2 2" xfId="2344" xr:uid="{00000000-0005-0000-0000-000057090000}"/>
    <cellStyle name="常规 4 2 3" xfId="2345" xr:uid="{00000000-0005-0000-0000-000058090000}"/>
    <cellStyle name="常规 4 3" xfId="2346" xr:uid="{00000000-0005-0000-0000-000059090000}"/>
    <cellStyle name="常规 4 3 2 2" xfId="2347" xr:uid="{00000000-0005-0000-0000-00005A090000}"/>
    <cellStyle name="常规 4 3 2 2 2" xfId="2348" xr:uid="{00000000-0005-0000-0000-00005B090000}"/>
    <cellStyle name="常规 4 3 2 2 2 2" xfId="2349" xr:uid="{00000000-0005-0000-0000-00005C090000}"/>
    <cellStyle name="常规 4 3 2 2 3" xfId="2350" xr:uid="{00000000-0005-0000-0000-00005D090000}"/>
    <cellStyle name="常规 4 4" xfId="2351" xr:uid="{00000000-0005-0000-0000-00005E090000}"/>
    <cellStyle name="常规 4 4 2" xfId="2352" xr:uid="{00000000-0005-0000-0000-00005F090000}"/>
    <cellStyle name="常规 4 5" xfId="2353" xr:uid="{00000000-0005-0000-0000-000060090000}"/>
    <cellStyle name="常规 5" xfId="2354" xr:uid="{00000000-0005-0000-0000-000061090000}"/>
    <cellStyle name="常规 5 2" xfId="2355" xr:uid="{00000000-0005-0000-0000-000062090000}"/>
    <cellStyle name="常规 5 3" xfId="2356" xr:uid="{00000000-0005-0000-0000-000063090000}"/>
    <cellStyle name="常规 6" xfId="2357" xr:uid="{00000000-0005-0000-0000-000064090000}"/>
    <cellStyle name="常规 7" xfId="2358" xr:uid="{00000000-0005-0000-0000-000065090000}"/>
    <cellStyle name="常规 7 2" xfId="2359" xr:uid="{00000000-0005-0000-0000-000066090000}"/>
    <cellStyle name="常规 7 2 2" xfId="2360" xr:uid="{00000000-0005-0000-0000-000067090000}"/>
    <cellStyle name="常规 7 3" xfId="2361" xr:uid="{00000000-0005-0000-0000-000068090000}"/>
    <cellStyle name="常规 8" xfId="2362" xr:uid="{00000000-0005-0000-0000-000069090000}"/>
    <cellStyle name="常规 8 2" xfId="2363" xr:uid="{00000000-0005-0000-0000-00006A090000}"/>
    <cellStyle name="常规 8 2 2" xfId="2364" xr:uid="{00000000-0005-0000-0000-00006B090000}"/>
    <cellStyle name="常规 8 3" xfId="2365" xr:uid="{00000000-0005-0000-0000-00006C090000}"/>
    <cellStyle name="常规 9" xfId="2366" xr:uid="{00000000-0005-0000-0000-00006D090000}"/>
    <cellStyle name="常规 9 2" xfId="2367" xr:uid="{00000000-0005-0000-0000-00006E090000}"/>
    <cellStyle name="常规 9 2 2" xfId="2368" xr:uid="{00000000-0005-0000-0000-00006F090000}"/>
    <cellStyle name="常规 9 3" xfId="2369" xr:uid="{00000000-0005-0000-0000-000070090000}"/>
    <cellStyle name="常规 9 4" xfId="2370" xr:uid="{00000000-0005-0000-0000-000071090000}"/>
    <cellStyle name="常规_ZA 货币资金" xfId="2371" xr:uid="{00000000-0005-0000-0000-000072090000}"/>
    <cellStyle name="超级链接_综合类底稿表格" xfId="2372" xr:uid="{00000000-0005-0000-0000-000073090000}"/>
    <cellStyle name="超連結 2" xfId="2373" xr:uid="{00000000-0005-0000-0000-000074090000}"/>
    <cellStyle name="超連結 2 2" xfId="2374" xr:uid="{00000000-0005-0000-0000-000075090000}"/>
    <cellStyle name="超链接 2" xfId="2375" xr:uid="{00000000-0005-0000-0000-000076090000}"/>
    <cellStyle name="超链接 2 2" xfId="2376" xr:uid="{00000000-0005-0000-0000-000077090000}"/>
    <cellStyle name="超链接 2 2 2" xfId="2377" xr:uid="{00000000-0005-0000-0000-000078090000}"/>
    <cellStyle name="超链接 2 3" xfId="2378" xr:uid="{00000000-0005-0000-0000-000079090000}"/>
    <cellStyle name="超链接 2 4" xfId="2379" xr:uid="{00000000-0005-0000-0000-00007A090000}"/>
    <cellStyle name="超链接 2 5" xfId="2380" xr:uid="{00000000-0005-0000-0000-00007B090000}"/>
    <cellStyle name="超链接 3" xfId="2381" xr:uid="{00000000-0005-0000-0000-00007C090000}"/>
    <cellStyle name="超链接 3 2" xfId="2382" xr:uid="{00000000-0005-0000-0000-00007D090000}"/>
    <cellStyle name="超链接 3 3" xfId="2383" xr:uid="{00000000-0005-0000-0000-00007E090000}"/>
    <cellStyle name="超链接 3 3 2" xfId="2384" xr:uid="{00000000-0005-0000-0000-00007F090000}"/>
    <cellStyle name="超链接 3 4" xfId="2385" xr:uid="{00000000-0005-0000-0000-000080090000}"/>
    <cellStyle name="超链接 4" xfId="2386" xr:uid="{00000000-0005-0000-0000-000081090000}"/>
    <cellStyle name="超链接 5" xfId="2387" xr:uid="{00000000-0005-0000-0000-000082090000}"/>
    <cellStyle name="好_10存货" xfId="2388" xr:uid="{00000000-0005-0000-0000-000083090000}"/>
    <cellStyle name="好_19-无形资产（空白模板）" xfId="2389" xr:uid="{00000000-0005-0000-0000-000084090000}"/>
    <cellStyle name="好_1财务费用" xfId="2390" xr:uid="{00000000-0005-0000-0000-000085090000}"/>
    <cellStyle name="好_1营业收入" xfId="2391" xr:uid="{00000000-0005-0000-0000-000086090000}"/>
    <cellStyle name="好_1资产减值损失" xfId="2392" xr:uid="{00000000-0005-0000-0000-000087090000}"/>
    <cellStyle name="好_2-交易性金融资产（空白模板）" xfId="2393" xr:uid="{00000000-0005-0000-0000-000088090000}"/>
    <cellStyle name="好_3-2 进一步审计程序-采购与付款循环" xfId="2394" xr:uid="{00000000-0005-0000-0000-000089090000}"/>
    <cellStyle name="好_3-3 进一步审计程序-存货与生产循环" xfId="2395" xr:uid="{00000000-0005-0000-0000-00008A090000}"/>
    <cellStyle name="好_49-营业收入（空白模板）" xfId="2396" xr:uid="{00000000-0005-0000-0000-00008B090000}"/>
    <cellStyle name="好_4-应收账款（空白模板）" xfId="2397" xr:uid="{00000000-0005-0000-0000-00008C090000}"/>
    <cellStyle name="好_50-营业成本（空白模板）" xfId="2398" xr:uid="{00000000-0005-0000-0000-00008D090000}"/>
    <cellStyle name="好_51-营业税金及附加（空白模板）" xfId="2399" xr:uid="{00000000-0005-0000-0000-00008E090000}"/>
    <cellStyle name="好_54-财务费用（空白模板）" xfId="2400" xr:uid="{00000000-0005-0000-0000-00008F090000}"/>
    <cellStyle name="好_55-资产减值损失（空白模板）" xfId="2401" xr:uid="{00000000-0005-0000-0000-000090090000}"/>
    <cellStyle name="好_9管理费用" xfId="2402" xr:uid="{00000000-0005-0000-0000-000091090000}"/>
    <cellStyle name="好_Book2" xfId="2403" xr:uid="{00000000-0005-0000-0000-000092090000}"/>
    <cellStyle name="好_Sheet1" xfId="2404" xr:uid="{00000000-0005-0000-0000-000093090000}"/>
    <cellStyle name="好_ZA0货币资金审定表 " xfId="2405" xr:uid="{00000000-0005-0000-0000-000094090000}"/>
    <cellStyle name="好_财务费用" xfId="2406" xr:uid="{00000000-0005-0000-0000-000095090000}"/>
    <cellStyle name="好_存货" xfId="2407" xr:uid="{00000000-0005-0000-0000-000096090000}"/>
    <cellStyle name="好_存货 - 复制" xfId="2408" xr:uid="{00000000-0005-0000-0000-000097090000}"/>
    <cellStyle name="好_大信底稿目录" xfId="2409" xr:uid="{00000000-0005-0000-0000-000098090000}"/>
    <cellStyle name="好_底稿设置宏" xfId="2410" xr:uid="{00000000-0005-0000-0000-000099090000}"/>
    <cellStyle name="好_底稿设置宏_大信底稿目录" xfId="2411" xr:uid="{00000000-0005-0000-0000-00009A090000}"/>
    <cellStyle name="好_货币资金" xfId="2412" xr:uid="{00000000-0005-0000-0000-00009B090000}"/>
    <cellStyle name="好_货币资金 天职" xfId="2413" xr:uid="{00000000-0005-0000-0000-00009C090000}"/>
    <cellStyle name="好_货币资金 岳华" xfId="2414" xr:uid="{00000000-0005-0000-0000-00009D090000}"/>
    <cellStyle name="好_实收资本(股本)" xfId="2415" xr:uid="{00000000-0005-0000-0000-00009E090000}"/>
    <cellStyle name="好_无形资产" xfId="2416" xr:uid="{00000000-0005-0000-0000-00009F090000}"/>
    <cellStyle name="好_银行函证结果汇总表" xfId="2417" xr:uid="{00000000-0005-0000-0000-0000A0090000}"/>
    <cellStyle name="好_应付职工薪酬" xfId="2418" xr:uid="{00000000-0005-0000-0000-0000A1090000}"/>
    <cellStyle name="好_应收利息" xfId="2419" xr:uid="{00000000-0005-0000-0000-0000A2090000}"/>
    <cellStyle name="好_应收账款" xfId="2420" xr:uid="{00000000-0005-0000-0000-0000A3090000}"/>
    <cellStyle name="好_营业收入" xfId="2421" xr:uid="{00000000-0005-0000-0000-0000A4090000}"/>
    <cellStyle name="好_账项明细表" xfId="2422" xr:uid="{00000000-0005-0000-0000-0000A5090000}"/>
    <cellStyle name="好_资产负债标准底稿" xfId="2423" xr:uid="{00000000-0005-0000-0000-0000A6090000}"/>
    <cellStyle name="好_资产负债标准底稿_大信底稿目录" xfId="2424" xr:uid="{00000000-0005-0000-0000-0000A7090000}"/>
    <cellStyle name="好_资产负债类底稿模版" xfId="2425" xr:uid="{00000000-0005-0000-0000-0000A8090000}"/>
    <cellStyle name="好_资产负债类底稿模版_大信底稿目录" xfId="2426" xr:uid="{00000000-0005-0000-0000-0000A9090000}"/>
    <cellStyle name="好_资产减值损失" xfId="2427" xr:uid="{00000000-0005-0000-0000-0000AA090000}"/>
    <cellStyle name="桁区切り [0.00]_１１月価格表" xfId="2428" xr:uid="{00000000-0005-0000-0000-0000AB090000}"/>
    <cellStyle name="桁区切り_１１月価格表" xfId="2429" xr:uid="{00000000-0005-0000-0000-0000AC090000}"/>
    <cellStyle name="货币 2" xfId="2430" xr:uid="{00000000-0005-0000-0000-0000AD090000}"/>
    <cellStyle name="货币 3" xfId="2431" xr:uid="{00000000-0005-0000-0000-0000AE090000}"/>
    <cellStyle name="貨幣 [0]_SGV" xfId="2432" xr:uid="{00000000-0005-0000-0000-0000AF090000}"/>
    <cellStyle name="貨幣_SGV" xfId="2433" xr:uid="{00000000-0005-0000-0000-0000B0090000}"/>
    <cellStyle name="霓付 [0]_1202" xfId="2434" xr:uid="{00000000-0005-0000-0000-0000B1090000}"/>
    <cellStyle name="霓付_1202" xfId="2435" xr:uid="{00000000-0005-0000-0000-0000B2090000}"/>
    <cellStyle name="烹拳 [0]_1202" xfId="2436" xr:uid="{00000000-0005-0000-0000-0000B3090000}"/>
    <cellStyle name="烹拳_1202" xfId="2437" xr:uid="{00000000-0005-0000-0000-0000B4090000}"/>
    <cellStyle name="砯刽 [0]_PLDT" xfId="2438" xr:uid="{00000000-0005-0000-0000-0000B5090000}"/>
    <cellStyle name="砯刽_PLDT" xfId="2439" xr:uid="{00000000-0005-0000-0000-0000B6090000}"/>
    <cellStyle name="普通_ 白土" xfId="2440" xr:uid="{00000000-0005-0000-0000-0000B7090000}"/>
    <cellStyle name="千分位[0]_ 白土" xfId="2441" xr:uid="{00000000-0005-0000-0000-0000B8090000}"/>
    <cellStyle name="千分位_ 白土" xfId="2442" xr:uid="{00000000-0005-0000-0000-0000B9090000}"/>
    <cellStyle name="千位[0]_1995" xfId="2443" xr:uid="{00000000-0005-0000-0000-0000BA090000}"/>
    <cellStyle name="千位_1995" xfId="2444" xr:uid="{00000000-0005-0000-0000-0000BB090000}"/>
    <cellStyle name="千位分隔" xfId="1" builtinId="3"/>
    <cellStyle name="千位分隔 10" xfId="2445" xr:uid="{00000000-0005-0000-0000-0000BC090000}"/>
    <cellStyle name="千位分隔 10 2" xfId="2446" xr:uid="{00000000-0005-0000-0000-0000BD090000}"/>
    <cellStyle name="千位分隔 10 2 2" xfId="2447" xr:uid="{00000000-0005-0000-0000-0000BE090000}"/>
    <cellStyle name="千位分隔 10 3" xfId="2448" xr:uid="{00000000-0005-0000-0000-0000BF090000}"/>
    <cellStyle name="千位分隔 11" xfId="2449" xr:uid="{00000000-0005-0000-0000-0000C0090000}"/>
    <cellStyle name="千位分隔 11 2" xfId="2450" xr:uid="{00000000-0005-0000-0000-0000C1090000}"/>
    <cellStyle name="千位分隔 11 2 2" xfId="2451" xr:uid="{00000000-0005-0000-0000-0000C2090000}"/>
    <cellStyle name="千位分隔 11 3" xfId="2452" xr:uid="{00000000-0005-0000-0000-0000C3090000}"/>
    <cellStyle name="千位分隔 12" xfId="2453" xr:uid="{00000000-0005-0000-0000-0000C4090000}"/>
    <cellStyle name="千位分隔 12 2" xfId="2454" xr:uid="{00000000-0005-0000-0000-0000C5090000}"/>
    <cellStyle name="千位分隔 2" xfId="2455" xr:uid="{00000000-0005-0000-0000-0000C6090000}"/>
    <cellStyle name="千位分隔 2 2" xfId="2456" xr:uid="{00000000-0005-0000-0000-0000C7090000}"/>
    <cellStyle name="千位分隔 2 2 2" xfId="2457" xr:uid="{00000000-0005-0000-0000-0000C8090000}"/>
    <cellStyle name="千位分隔 2 2 2 2" xfId="2458" xr:uid="{00000000-0005-0000-0000-0000C9090000}"/>
    <cellStyle name="千位分隔 2 2 2 2 2" xfId="2459" xr:uid="{00000000-0005-0000-0000-0000CA090000}"/>
    <cellStyle name="千位分隔 2 2 2 2 2 2" xfId="2460" xr:uid="{00000000-0005-0000-0000-0000CB090000}"/>
    <cellStyle name="千位分隔 2 2 2 2 3" xfId="2461" xr:uid="{00000000-0005-0000-0000-0000CC090000}"/>
    <cellStyle name="千位分隔 2 2 2 3" xfId="2462" xr:uid="{00000000-0005-0000-0000-0000CD090000}"/>
    <cellStyle name="千位分隔 2 2 2 3 2" xfId="2463" xr:uid="{00000000-0005-0000-0000-0000CE090000}"/>
    <cellStyle name="千位分隔 2 2 2 3 2 2" xfId="2464" xr:uid="{00000000-0005-0000-0000-0000CF090000}"/>
    <cellStyle name="千位分隔 2 2 2 3 3" xfId="2465" xr:uid="{00000000-0005-0000-0000-0000D0090000}"/>
    <cellStyle name="千位分隔 2 2 2 4" xfId="2466" xr:uid="{00000000-0005-0000-0000-0000D1090000}"/>
    <cellStyle name="千位分隔 2 2 2 4 2" xfId="2467" xr:uid="{00000000-0005-0000-0000-0000D2090000}"/>
    <cellStyle name="千位分隔 2 2 2 5" xfId="2468" xr:uid="{00000000-0005-0000-0000-0000D3090000}"/>
    <cellStyle name="千位分隔 2 2 3" xfId="2469" xr:uid="{00000000-0005-0000-0000-0000D4090000}"/>
    <cellStyle name="千位分隔 2 2 3 2" xfId="2470" xr:uid="{00000000-0005-0000-0000-0000D5090000}"/>
    <cellStyle name="千位分隔 2 2 3 2 2" xfId="2471" xr:uid="{00000000-0005-0000-0000-0000D6090000}"/>
    <cellStyle name="千位分隔 2 2 3 3" xfId="2472" xr:uid="{00000000-0005-0000-0000-0000D7090000}"/>
    <cellStyle name="千位分隔 2 2 4" xfId="2473" xr:uid="{00000000-0005-0000-0000-0000D8090000}"/>
    <cellStyle name="千位分隔 2 2 4 2" xfId="2474" xr:uid="{00000000-0005-0000-0000-0000D9090000}"/>
    <cellStyle name="千位分隔 2 2 4 2 2" xfId="2475" xr:uid="{00000000-0005-0000-0000-0000DA090000}"/>
    <cellStyle name="千位分隔 2 2 4 3" xfId="2476" xr:uid="{00000000-0005-0000-0000-0000DB090000}"/>
    <cellStyle name="千位分隔 2 2 5" xfId="2477" xr:uid="{00000000-0005-0000-0000-0000DC090000}"/>
    <cellStyle name="千位分隔 2 3" xfId="2478" xr:uid="{00000000-0005-0000-0000-0000DD090000}"/>
    <cellStyle name="千位分隔 2 3 2" xfId="2479" xr:uid="{00000000-0005-0000-0000-0000DE090000}"/>
    <cellStyle name="千位分隔 2 3 2 2" xfId="2480" xr:uid="{00000000-0005-0000-0000-0000DF090000}"/>
    <cellStyle name="千位分隔 2 3 2 2 2" xfId="2481" xr:uid="{00000000-0005-0000-0000-0000E0090000}"/>
    <cellStyle name="千位分隔 2 3 2 3" xfId="2482" xr:uid="{00000000-0005-0000-0000-0000E1090000}"/>
    <cellStyle name="千位分隔 2 3 3" xfId="2483" xr:uid="{00000000-0005-0000-0000-0000E2090000}"/>
    <cellStyle name="千位分隔 2 3 3 2" xfId="2484" xr:uid="{00000000-0005-0000-0000-0000E3090000}"/>
    <cellStyle name="千位分隔 2 3 4" xfId="2485" xr:uid="{00000000-0005-0000-0000-0000E4090000}"/>
    <cellStyle name="千位分隔 2 4" xfId="2486" xr:uid="{00000000-0005-0000-0000-0000E5090000}"/>
    <cellStyle name="千位分隔 2 4 2" xfId="2487" xr:uid="{00000000-0005-0000-0000-0000E6090000}"/>
    <cellStyle name="千位分隔 2 4 2 2" xfId="2488" xr:uid="{00000000-0005-0000-0000-0000E7090000}"/>
    <cellStyle name="千位分隔 2 4 3" xfId="2489" xr:uid="{00000000-0005-0000-0000-0000E8090000}"/>
    <cellStyle name="千位分隔 2 5" xfId="2490" xr:uid="{00000000-0005-0000-0000-0000E9090000}"/>
    <cellStyle name="千位分隔 2 5 2" xfId="2491" xr:uid="{00000000-0005-0000-0000-0000EA090000}"/>
    <cellStyle name="千位分隔 2 6" xfId="2492" xr:uid="{00000000-0005-0000-0000-0000EB090000}"/>
    <cellStyle name="千位分隔 3" xfId="2493" xr:uid="{00000000-0005-0000-0000-0000EC090000}"/>
    <cellStyle name="千位分隔 3 2" xfId="2494" xr:uid="{00000000-0005-0000-0000-0000ED090000}"/>
    <cellStyle name="千位分隔 3 2 2" xfId="2495" xr:uid="{00000000-0005-0000-0000-0000EE090000}"/>
    <cellStyle name="千位分隔 3 2 2 2" xfId="2496" xr:uid="{00000000-0005-0000-0000-0000EF090000}"/>
    <cellStyle name="千位分隔 3 2 2 2 2" xfId="2497" xr:uid="{00000000-0005-0000-0000-0000F0090000}"/>
    <cellStyle name="千位分隔 3 2 2 2 2 2" xfId="2498" xr:uid="{00000000-0005-0000-0000-0000F1090000}"/>
    <cellStyle name="千位分隔 3 2 2 2 3" xfId="2499" xr:uid="{00000000-0005-0000-0000-0000F2090000}"/>
    <cellStyle name="千位分隔 3 2 2 3" xfId="2500" xr:uid="{00000000-0005-0000-0000-0000F3090000}"/>
    <cellStyle name="千位分隔 3 2 2 3 2" xfId="2501" xr:uid="{00000000-0005-0000-0000-0000F4090000}"/>
    <cellStyle name="千位分隔 3 2 2 4" xfId="2502" xr:uid="{00000000-0005-0000-0000-0000F5090000}"/>
    <cellStyle name="千位分隔 3 2 3" xfId="2503" xr:uid="{00000000-0005-0000-0000-0000F6090000}"/>
    <cellStyle name="千位分隔 3 2 3 2" xfId="2504" xr:uid="{00000000-0005-0000-0000-0000F7090000}"/>
    <cellStyle name="千位分隔 3 2 3 2 2" xfId="2505" xr:uid="{00000000-0005-0000-0000-0000F8090000}"/>
    <cellStyle name="千位分隔 3 2 3 3" xfId="2506" xr:uid="{00000000-0005-0000-0000-0000F9090000}"/>
    <cellStyle name="千位分隔 3 2 4" xfId="2507" xr:uid="{00000000-0005-0000-0000-0000FA090000}"/>
    <cellStyle name="千位分隔 3 2 4 2" xfId="2508" xr:uid="{00000000-0005-0000-0000-0000FB090000}"/>
    <cellStyle name="千位分隔 3 2 4 2 2" xfId="2509" xr:uid="{00000000-0005-0000-0000-0000FC090000}"/>
    <cellStyle name="千位分隔 3 2 4 3" xfId="2510" xr:uid="{00000000-0005-0000-0000-0000FD090000}"/>
    <cellStyle name="千位分隔 3 2 5" xfId="2511" xr:uid="{00000000-0005-0000-0000-0000FE090000}"/>
    <cellStyle name="千位分隔 3 2 5 2" xfId="2512" xr:uid="{00000000-0005-0000-0000-0000FF090000}"/>
    <cellStyle name="千位分隔 3 2 6" xfId="2513" xr:uid="{00000000-0005-0000-0000-0000000A0000}"/>
    <cellStyle name="千位分隔 3 3" xfId="2514" xr:uid="{00000000-0005-0000-0000-0000010A0000}"/>
    <cellStyle name="千位分隔 3 3 2" xfId="2515" xr:uid="{00000000-0005-0000-0000-0000020A0000}"/>
    <cellStyle name="千位分隔 3 3 2 2" xfId="2516" xr:uid="{00000000-0005-0000-0000-0000030A0000}"/>
    <cellStyle name="千位分隔 3 3 2 2 2" xfId="2517" xr:uid="{00000000-0005-0000-0000-0000040A0000}"/>
    <cellStyle name="千位分隔 3 3 2 3" xfId="2518" xr:uid="{00000000-0005-0000-0000-0000050A0000}"/>
    <cellStyle name="千位分隔 3 3 3" xfId="2519" xr:uid="{00000000-0005-0000-0000-0000060A0000}"/>
    <cellStyle name="千位分隔 3 3 3 2" xfId="2520" xr:uid="{00000000-0005-0000-0000-0000070A0000}"/>
    <cellStyle name="千位分隔 3 3 3 2 2" xfId="2521" xr:uid="{00000000-0005-0000-0000-0000080A0000}"/>
    <cellStyle name="千位分隔 3 3 3 3" xfId="2522" xr:uid="{00000000-0005-0000-0000-0000090A0000}"/>
    <cellStyle name="千位分隔 3 3 4" xfId="2523" xr:uid="{00000000-0005-0000-0000-00000A0A0000}"/>
    <cellStyle name="千位分隔 3 3 4 2" xfId="2524" xr:uid="{00000000-0005-0000-0000-00000B0A0000}"/>
    <cellStyle name="千位分隔 3 3 5" xfId="2525" xr:uid="{00000000-0005-0000-0000-00000C0A0000}"/>
    <cellStyle name="千位分隔 3 4" xfId="2526" xr:uid="{00000000-0005-0000-0000-00000D0A0000}"/>
    <cellStyle name="千位分隔 3 4 2" xfId="2527" xr:uid="{00000000-0005-0000-0000-00000E0A0000}"/>
    <cellStyle name="千位分隔 3 4 2 2" xfId="2528" xr:uid="{00000000-0005-0000-0000-00000F0A0000}"/>
    <cellStyle name="千位分隔 3 4 2 2 2" xfId="2529" xr:uid="{00000000-0005-0000-0000-0000100A0000}"/>
    <cellStyle name="千位分隔 3 4 2 3" xfId="2530" xr:uid="{00000000-0005-0000-0000-0000110A0000}"/>
    <cellStyle name="千位分隔 3 4 3" xfId="2531" xr:uid="{00000000-0005-0000-0000-0000120A0000}"/>
    <cellStyle name="千位分隔 3 4 3 2" xfId="2532" xr:uid="{00000000-0005-0000-0000-0000130A0000}"/>
    <cellStyle name="千位分隔 3 4 3 2 2" xfId="2533" xr:uid="{00000000-0005-0000-0000-0000140A0000}"/>
    <cellStyle name="千位分隔 3 4 3 3" xfId="2534" xr:uid="{00000000-0005-0000-0000-0000150A0000}"/>
    <cellStyle name="千位分隔 3 4 4" xfId="2535" xr:uid="{00000000-0005-0000-0000-0000160A0000}"/>
    <cellStyle name="千位分隔 3 4 4 2" xfId="2536" xr:uid="{00000000-0005-0000-0000-0000170A0000}"/>
    <cellStyle name="千位分隔 3 4 5" xfId="2537" xr:uid="{00000000-0005-0000-0000-0000180A0000}"/>
    <cellStyle name="千位分隔 3 5" xfId="2538" xr:uid="{00000000-0005-0000-0000-0000190A0000}"/>
    <cellStyle name="千位分隔 3 5 2" xfId="2539" xr:uid="{00000000-0005-0000-0000-00001A0A0000}"/>
    <cellStyle name="千位分隔 3 5 2 2" xfId="2540" xr:uid="{00000000-0005-0000-0000-00001B0A0000}"/>
    <cellStyle name="千位分隔 3 5 3" xfId="2541" xr:uid="{00000000-0005-0000-0000-00001C0A0000}"/>
    <cellStyle name="千位分隔 3 6" xfId="2542" xr:uid="{00000000-0005-0000-0000-00001D0A0000}"/>
    <cellStyle name="千位分隔 3 6 2" xfId="2543" xr:uid="{00000000-0005-0000-0000-00001E0A0000}"/>
    <cellStyle name="千位分隔 3 7" xfId="2544" xr:uid="{00000000-0005-0000-0000-00001F0A0000}"/>
    <cellStyle name="千位分隔 4" xfId="2545" xr:uid="{00000000-0005-0000-0000-0000200A0000}"/>
    <cellStyle name="千位分隔 4 2" xfId="2546" xr:uid="{00000000-0005-0000-0000-0000210A0000}"/>
    <cellStyle name="千位分隔 4 2 2" xfId="2547" xr:uid="{00000000-0005-0000-0000-0000220A0000}"/>
    <cellStyle name="千位分隔 4 2 2 2" xfId="2548" xr:uid="{00000000-0005-0000-0000-0000230A0000}"/>
    <cellStyle name="千位分隔 4 2 2 2 2" xfId="2549" xr:uid="{00000000-0005-0000-0000-0000240A0000}"/>
    <cellStyle name="千位分隔 4 2 2 3" xfId="2550" xr:uid="{00000000-0005-0000-0000-0000250A0000}"/>
    <cellStyle name="千位分隔 4 2 3" xfId="2551" xr:uid="{00000000-0005-0000-0000-0000260A0000}"/>
    <cellStyle name="千位分隔 4 2 3 2" xfId="2552" xr:uid="{00000000-0005-0000-0000-0000270A0000}"/>
    <cellStyle name="千位分隔 4 2 3 2 2" xfId="2553" xr:uid="{00000000-0005-0000-0000-0000280A0000}"/>
    <cellStyle name="千位分隔 4 2 3 3" xfId="2554" xr:uid="{00000000-0005-0000-0000-0000290A0000}"/>
    <cellStyle name="千位分隔 4 2 4" xfId="2555" xr:uid="{00000000-0005-0000-0000-00002A0A0000}"/>
    <cellStyle name="千位分隔 4 2 4 2" xfId="2556" xr:uid="{00000000-0005-0000-0000-00002B0A0000}"/>
    <cellStyle name="千位分隔 4 2 5" xfId="2557" xr:uid="{00000000-0005-0000-0000-00002C0A0000}"/>
    <cellStyle name="千位分隔 4 3" xfId="2558" xr:uid="{00000000-0005-0000-0000-00002D0A0000}"/>
    <cellStyle name="千位分隔 4 3 2" xfId="2559" xr:uid="{00000000-0005-0000-0000-00002E0A0000}"/>
    <cellStyle name="千位分隔 4 3 2 2" xfId="2560" xr:uid="{00000000-0005-0000-0000-00002F0A0000}"/>
    <cellStyle name="千位分隔 4 3 3" xfId="2561" xr:uid="{00000000-0005-0000-0000-0000300A0000}"/>
    <cellStyle name="千位分隔 4 4" xfId="2562" xr:uid="{00000000-0005-0000-0000-0000310A0000}"/>
    <cellStyle name="千位分隔 4 4 2" xfId="2563" xr:uid="{00000000-0005-0000-0000-0000320A0000}"/>
    <cellStyle name="千位分隔 4 4 2 2" xfId="2564" xr:uid="{00000000-0005-0000-0000-0000330A0000}"/>
    <cellStyle name="千位分隔 4 4 3" xfId="2565" xr:uid="{00000000-0005-0000-0000-0000340A0000}"/>
    <cellStyle name="千位分隔 4 5" xfId="2566" xr:uid="{00000000-0005-0000-0000-0000350A0000}"/>
    <cellStyle name="千位分隔 4 5 2" xfId="2567" xr:uid="{00000000-0005-0000-0000-0000360A0000}"/>
    <cellStyle name="千位分隔 4 6" xfId="2568" xr:uid="{00000000-0005-0000-0000-0000370A0000}"/>
    <cellStyle name="千位分隔 5" xfId="2569" xr:uid="{00000000-0005-0000-0000-0000380A0000}"/>
    <cellStyle name="千位分隔 5 2" xfId="2570" xr:uid="{00000000-0005-0000-0000-0000390A0000}"/>
    <cellStyle name="千位分隔 5 2 2" xfId="2571" xr:uid="{00000000-0005-0000-0000-00003A0A0000}"/>
    <cellStyle name="千位分隔 5 2 2 2" xfId="2572" xr:uid="{00000000-0005-0000-0000-00003B0A0000}"/>
    <cellStyle name="千位分隔 5 2 2 2 2" xfId="2573" xr:uid="{00000000-0005-0000-0000-00003C0A0000}"/>
    <cellStyle name="千位分隔 5 2 2 3" xfId="2574" xr:uid="{00000000-0005-0000-0000-00003D0A0000}"/>
    <cellStyle name="千位分隔 5 2 3" xfId="2575" xr:uid="{00000000-0005-0000-0000-00003E0A0000}"/>
    <cellStyle name="千位分隔 5 2 3 2" xfId="2576" xr:uid="{00000000-0005-0000-0000-00003F0A0000}"/>
    <cellStyle name="千位分隔 5 2 4" xfId="2577" xr:uid="{00000000-0005-0000-0000-0000400A0000}"/>
    <cellStyle name="千位分隔 5 3" xfId="2578" xr:uid="{00000000-0005-0000-0000-0000410A0000}"/>
    <cellStyle name="千位分隔 5 3 2" xfId="2579" xr:uid="{00000000-0005-0000-0000-0000420A0000}"/>
    <cellStyle name="千位分隔 5 3 2 2" xfId="2580" xr:uid="{00000000-0005-0000-0000-0000430A0000}"/>
    <cellStyle name="千位分隔 5 3 3" xfId="2581" xr:uid="{00000000-0005-0000-0000-0000440A0000}"/>
    <cellStyle name="千位分隔 5 4" xfId="2582" xr:uid="{00000000-0005-0000-0000-0000450A0000}"/>
    <cellStyle name="千位分隔 5 4 2" xfId="2583" xr:uid="{00000000-0005-0000-0000-0000460A0000}"/>
    <cellStyle name="千位分隔 5 4 2 2" xfId="2584" xr:uid="{00000000-0005-0000-0000-0000470A0000}"/>
    <cellStyle name="千位分隔 5 4 3" xfId="2585" xr:uid="{00000000-0005-0000-0000-0000480A0000}"/>
    <cellStyle name="千位分隔 5 5" xfId="2586" xr:uid="{00000000-0005-0000-0000-0000490A0000}"/>
    <cellStyle name="千位分隔 5 5 2" xfId="2587" xr:uid="{00000000-0005-0000-0000-00004A0A0000}"/>
    <cellStyle name="千位分隔 5 6" xfId="2588" xr:uid="{00000000-0005-0000-0000-00004B0A0000}"/>
    <cellStyle name="千位分隔 5 7" xfId="2589" xr:uid="{00000000-0005-0000-0000-00004C0A0000}"/>
    <cellStyle name="千位分隔 6" xfId="2590" xr:uid="{00000000-0005-0000-0000-00004D0A0000}"/>
    <cellStyle name="千位分隔 6 2" xfId="2591" xr:uid="{00000000-0005-0000-0000-00004E0A0000}"/>
    <cellStyle name="千位分隔 6 2 2" xfId="2592" xr:uid="{00000000-0005-0000-0000-00004F0A0000}"/>
    <cellStyle name="千位分隔 6 3" xfId="2593" xr:uid="{00000000-0005-0000-0000-0000500A0000}"/>
    <cellStyle name="千位分隔 6 4" xfId="2594" xr:uid="{00000000-0005-0000-0000-0000510A0000}"/>
    <cellStyle name="千位分隔 7" xfId="2595" xr:uid="{00000000-0005-0000-0000-0000520A0000}"/>
    <cellStyle name="千位分隔 7 2" xfId="2596" xr:uid="{00000000-0005-0000-0000-0000530A0000}"/>
    <cellStyle name="千位分隔 7 2 2" xfId="2597" xr:uid="{00000000-0005-0000-0000-0000540A0000}"/>
    <cellStyle name="千位分隔 7 3" xfId="2598" xr:uid="{00000000-0005-0000-0000-0000550A0000}"/>
    <cellStyle name="千位分隔 7 3 2" xfId="2599" xr:uid="{00000000-0005-0000-0000-0000560A0000}"/>
    <cellStyle name="千位分隔 7 3 2 2" xfId="2600" xr:uid="{00000000-0005-0000-0000-0000570A0000}"/>
    <cellStyle name="千位分隔 7 3 2 2 2" xfId="2601" xr:uid="{00000000-0005-0000-0000-0000580A0000}"/>
    <cellStyle name="千位分隔 7 3 2 3" xfId="2602" xr:uid="{00000000-0005-0000-0000-0000590A0000}"/>
    <cellStyle name="千位分隔 7 3 3" xfId="2603" xr:uid="{00000000-0005-0000-0000-00005A0A0000}"/>
    <cellStyle name="千位分隔 7 3 3 2" xfId="2604" xr:uid="{00000000-0005-0000-0000-00005B0A0000}"/>
    <cellStyle name="千位分隔 7 3 4" xfId="2605" xr:uid="{00000000-0005-0000-0000-00005C0A0000}"/>
    <cellStyle name="千位分隔 7 4" xfId="2606" xr:uid="{00000000-0005-0000-0000-00005D0A0000}"/>
    <cellStyle name="千位分隔 7 5" xfId="2607" xr:uid="{00000000-0005-0000-0000-00005E0A0000}"/>
    <cellStyle name="千位分隔 8" xfId="2608" xr:uid="{00000000-0005-0000-0000-00005F0A0000}"/>
    <cellStyle name="千位分隔 8 2" xfId="2609" xr:uid="{00000000-0005-0000-0000-0000600A0000}"/>
    <cellStyle name="千位分隔 8 2 2" xfId="2610" xr:uid="{00000000-0005-0000-0000-0000610A0000}"/>
    <cellStyle name="千位分隔 8 2 2 2" xfId="2611" xr:uid="{00000000-0005-0000-0000-0000620A0000}"/>
    <cellStyle name="千位分隔 8 2 3" xfId="2612" xr:uid="{00000000-0005-0000-0000-0000630A0000}"/>
    <cellStyle name="千位分隔 8 3" xfId="2613" xr:uid="{00000000-0005-0000-0000-0000640A0000}"/>
    <cellStyle name="千位分隔 8 3 2" xfId="2614" xr:uid="{00000000-0005-0000-0000-0000650A0000}"/>
    <cellStyle name="千位分隔 8 4" xfId="2615" xr:uid="{00000000-0005-0000-0000-0000660A0000}"/>
    <cellStyle name="千位分隔 9" xfId="2616" xr:uid="{00000000-0005-0000-0000-0000670A0000}"/>
    <cellStyle name="千位分隔 9 2" xfId="2617" xr:uid="{00000000-0005-0000-0000-0000680A0000}"/>
    <cellStyle name="千位分隔 9 2 2" xfId="2618" xr:uid="{00000000-0005-0000-0000-0000690A0000}"/>
    <cellStyle name="千位分隔 9 3" xfId="2619" xr:uid="{00000000-0005-0000-0000-00006A0A0000}"/>
    <cellStyle name="千位分隔[0] 2" xfId="2620" xr:uid="{00000000-0005-0000-0000-00006B0A0000}"/>
    <cellStyle name="千位分隔[0] 2 2" xfId="2621" xr:uid="{00000000-0005-0000-0000-00006C0A0000}"/>
    <cellStyle name="千位分隔[0] 2 2 2" xfId="2622" xr:uid="{00000000-0005-0000-0000-00006D0A0000}"/>
    <cellStyle name="千位分隔[0] 2 2 2 2" xfId="2623" xr:uid="{00000000-0005-0000-0000-00006E0A0000}"/>
    <cellStyle name="千位分隔[0] 2 2 2 2 2" xfId="2624" xr:uid="{00000000-0005-0000-0000-00006F0A0000}"/>
    <cellStyle name="千位分隔[0] 2 2 2 2 2 2" xfId="2625" xr:uid="{00000000-0005-0000-0000-0000700A0000}"/>
    <cellStyle name="千位分隔[0] 2 2 2 2 3" xfId="2626" xr:uid="{00000000-0005-0000-0000-0000710A0000}"/>
    <cellStyle name="千位分隔[0] 2 2 2 3" xfId="2627" xr:uid="{00000000-0005-0000-0000-0000720A0000}"/>
    <cellStyle name="千位分隔[0] 2 2 2 3 2" xfId="2628" xr:uid="{00000000-0005-0000-0000-0000730A0000}"/>
    <cellStyle name="千位分隔[0] 2 2 2 3 2 2" xfId="2629" xr:uid="{00000000-0005-0000-0000-0000740A0000}"/>
    <cellStyle name="千位分隔[0] 2 2 2 3 3" xfId="2630" xr:uid="{00000000-0005-0000-0000-0000750A0000}"/>
    <cellStyle name="千位分隔[0] 2 2 2 4" xfId="2631" xr:uid="{00000000-0005-0000-0000-0000760A0000}"/>
    <cellStyle name="千位分隔[0] 2 2 2 4 2" xfId="2632" xr:uid="{00000000-0005-0000-0000-0000770A0000}"/>
    <cellStyle name="千位分隔[0] 2 2 2 5" xfId="2633" xr:uid="{00000000-0005-0000-0000-0000780A0000}"/>
    <cellStyle name="千位分隔[0] 2 2 3" xfId="2634" xr:uid="{00000000-0005-0000-0000-0000790A0000}"/>
    <cellStyle name="千位分隔[0] 2 2 3 2" xfId="2635" xr:uid="{00000000-0005-0000-0000-00007A0A0000}"/>
    <cellStyle name="千位分隔[0] 2 2 3 2 2" xfId="2636" xr:uid="{00000000-0005-0000-0000-00007B0A0000}"/>
    <cellStyle name="千位分隔[0] 2 2 3 3" xfId="2637" xr:uid="{00000000-0005-0000-0000-00007C0A0000}"/>
    <cellStyle name="千位分隔[0] 2 2 4" xfId="2638" xr:uid="{00000000-0005-0000-0000-00007D0A0000}"/>
    <cellStyle name="千位分隔[0] 2 2 4 2" xfId="2639" xr:uid="{00000000-0005-0000-0000-00007E0A0000}"/>
    <cellStyle name="千位分隔[0] 2 2 4 2 2" xfId="2640" xr:uid="{00000000-0005-0000-0000-00007F0A0000}"/>
    <cellStyle name="千位分隔[0] 2 2 4 3" xfId="2641" xr:uid="{00000000-0005-0000-0000-0000800A0000}"/>
    <cellStyle name="千位分隔[0] 2 2 5" xfId="2642" xr:uid="{00000000-0005-0000-0000-0000810A0000}"/>
    <cellStyle name="千位分隔[0] 2 2 5 2" xfId="2643" xr:uid="{00000000-0005-0000-0000-0000820A0000}"/>
    <cellStyle name="千位分隔[0] 2 2 6" xfId="2644" xr:uid="{00000000-0005-0000-0000-0000830A0000}"/>
    <cellStyle name="千位分隔[0] 2 3" xfId="2645" xr:uid="{00000000-0005-0000-0000-0000840A0000}"/>
    <cellStyle name="千位分隔[0] 2 3 2" xfId="2646" xr:uid="{00000000-0005-0000-0000-0000850A0000}"/>
    <cellStyle name="千位分隔[0] 2 3 2 2" xfId="2647" xr:uid="{00000000-0005-0000-0000-0000860A0000}"/>
    <cellStyle name="千位分隔[0] 2 3 3" xfId="2648" xr:uid="{00000000-0005-0000-0000-0000870A0000}"/>
    <cellStyle name="千位分隔[0] 2 4" xfId="2649" xr:uid="{00000000-0005-0000-0000-0000880A0000}"/>
    <cellStyle name="千位分隔[0] 2 4 2" xfId="2650" xr:uid="{00000000-0005-0000-0000-0000890A0000}"/>
    <cellStyle name="千位分隔[0] 2 4 2 2" xfId="2651" xr:uid="{00000000-0005-0000-0000-00008A0A0000}"/>
    <cellStyle name="千位分隔[0] 2 4 3" xfId="2652" xr:uid="{00000000-0005-0000-0000-00008B0A0000}"/>
    <cellStyle name="千位分隔[0] 2 5" xfId="2653" xr:uid="{00000000-0005-0000-0000-00008C0A0000}"/>
    <cellStyle name="千位分隔[0] 2 5 2" xfId="2654" xr:uid="{00000000-0005-0000-0000-00008D0A0000}"/>
    <cellStyle name="千位分隔[0] 2 6" xfId="2655" xr:uid="{00000000-0005-0000-0000-00008E0A0000}"/>
    <cellStyle name="钎霖_(沥焊何巩)岿喊牢盔拌裙" xfId="2656" xr:uid="{00000000-0005-0000-0000-00008F0A0000}"/>
    <cellStyle name="强调 1" xfId="2657" xr:uid="{00000000-0005-0000-0000-0000900A0000}"/>
    <cellStyle name="强调 2" xfId="2658" xr:uid="{00000000-0005-0000-0000-0000910A0000}"/>
    <cellStyle name="强调 3" xfId="2659" xr:uid="{00000000-0005-0000-0000-0000920A0000}"/>
    <cellStyle name="通貨 [0.00]_１１月価格表" xfId="2660" xr:uid="{00000000-0005-0000-0000-0000930A0000}"/>
    <cellStyle name="通貨_１１月価格表" xfId="2661" xr:uid="{00000000-0005-0000-0000-0000940A0000}"/>
    <cellStyle name="样式 1" xfId="2662" xr:uid="{00000000-0005-0000-0000-0000950A0000}"/>
    <cellStyle name="一般 2" xfId="2663" xr:uid="{00000000-0005-0000-0000-0000960A0000}"/>
    <cellStyle name="一般 2 2" xfId="2664" xr:uid="{00000000-0005-0000-0000-0000970A0000}"/>
    <cellStyle name="一般 2 2 2" xfId="2665" xr:uid="{00000000-0005-0000-0000-0000980A0000}"/>
    <cellStyle name="一般 2 3" xfId="2666" xr:uid="{00000000-0005-0000-0000-0000990A0000}"/>
    <cellStyle name="一般_2008 06CUIT" xfId="2667" xr:uid="{00000000-0005-0000-0000-00009A0A0000}"/>
    <cellStyle name="昗弨_BOOKSHIP" xfId="2668" xr:uid="{00000000-0005-0000-0000-00009B0A0000}"/>
    <cellStyle name="寘嬫愗傝 [0.00]_PRODUCT DETAIL Q1" xfId="2669" xr:uid="{00000000-0005-0000-0000-00009C0A0000}"/>
    <cellStyle name="寘嬫愗傝_PRODUCT DETAIL Q1" xfId="2670" xr:uid="{00000000-0005-0000-0000-00009D0A0000}"/>
    <cellStyle name="资产" xfId="2671" xr:uid="{00000000-0005-0000-0000-00009E0A0000}"/>
    <cellStyle name="资产 2" xfId="2672" xr:uid="{00000000-0005-0000-0000-00009F0A0000}"/>
    <cellStyle name="资产 2 2" xfId="2673" xr:uid="{00000000-0005-0000-0000-0000A00A0000}"/>
    <cellStyle name="资产 2 2 2" xfId="2674" xr:uid="{00000000-0005-0000-0000-0000A10A0000}"/>
    <cellStyle name="资产 2 3" xfId="2675" xr:uid="{00000000-0005-0000-0000-0000A20A0000}"/>
    <cellStyle name="资产 2 3 2" xfId="2676" xr:uid="{00000000-0005-0000-0000-0000A30A0000}"/>
    <cellStyle name="资产 2 4" xfId="2677" xr:uid="{00000000-0005-0000-0000-0000A40A0000}"/>
    <cellStyle name="资产 3" xfId="2678" xr:uid="{00000000-0005-0000-0000-0000A50A0000}"/>
    <cellStyle name="资产 3 2" xfId="2679" xr:uid="{00000000-0005-0000-0000-0000A60A0000}"/>
    <cellStyle name="资产 4" xfId="2680" xr:uid="{00000000-0005-0000-0000-0000A70A0000}"/>
    <cellStyle name="资产 4 2" xfId="2681" xr:uid="{00000000-0005-0000-0000-0000A80A0000}"/>
    <cellStyle name="资产 5" xfId="2682" xr:uid="{00000000-0005-0000-0000-0000A90A0000}"/>
    <cellStyle name="资产 5 2" xfId="2683" xr:uid="{00000000-0005-0000-0000-0000AA0A0000}"/>
    <cellStyle name="资产 6" xfId="2684" xr:uid="{00000000-0005-0000-0000-0000AB0A0000}"/>
    <cellStyle name="콤마 [0]_BOILER-CO1" xfId="2685" xr:uid="{00000000-0005-0000-0000-0000AC0A0000}"/>
    <cellStyle name="콤마_BOILER-CO1" xfId="2686" xr:uid="{00000000-0005-0000-0000-0000AD0A0000}"/>
    <cellStyle name="통화 [0]_BOILER-CO1" xfId="2687" xr:uid="{00000000-0005-0000-0000-0000AE0A0000}"/>
    <cellStyle name="통화_BOILER-CO1" xfId="2688" xr:uid="{00000000-0005-0000-0000-0000AF0A0000}"/>
    <cellStyle name="표준_0N-HANDLING " xfId="2689" xr:uid="{00000000-0005-0000-0000-0000B00A0000}"/>
  </cellStyles>
  <dxfs count="8">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theme="0" tint="-0.24988555558946501"/>
        </patternFill>
      </fill>
    </dxf>
    <dxf>
      <fill>
        <patternFill patternType="solid">
          <bgColor rgb="FFFFFFCC"/>
        </patternFill>
      </fill>
    </dxf>
    <dxf>
      <fill>
        <patternFill patternType="solid">
          <bgColor rgb="FFFFFFCC"/>
        </patternFill>
      </fill>
    </dxf>
  </dxfs>
  <tableStyles count="1" defaultTableStyle="TableStyleMedium2" defaultPivotStyle="PivotStyleLight16">
    <tableStyle name="Invisible" pivot="0" table="0" count="0" xr9:uid="{A2B23D92-61AD-4606-A1D6-3666C282F6D7}"/>
  </tableStyles>
  <colors>
    <mruColors>
      <color rgb="FFFFFFCC"/>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calcChain" Target="calcChain.xml"/><Relationship Id="rId28"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sheetMetadata" Target="metadata.xml"/><Relationship Id="rId27"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5%AE%9E%E4%BD%93%E7%94%9F%E6%88%90%E7%9A%84%E4%BF%A1%E6%81%AF%EF%BC%88IPE%EF%BC%89.aspx?csf=1&amp;web=1&amp;e=UoBafg&amp;cid=a1f4ef69-4fef-4aba-9718-deb1f981e959"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Altas-PSP-%E9%93%BE%E6%8E%A5.aspx#:~:text=%E7%9B%B8%E5%85%B3PSP%20%E4%BB%A5%E5%8F%8AOSP%20%E5%8F%AF%E4%BB%8EAtlas%20%E4%B8%AD%E8%8E%B7%E5%BE%97%EF%BC%8CAtlas%20Link%3A%C2%A0%C2%A0%C2%A0%C2%A0%C2%A0%C2%A0%C2%A0%C2%A0%C2%A0%C2%A0%C2%A0%C2%A0%0A(CN)%20UC%2DFinance%20income%C2%A0%C2%A0%20%C2%A0%C2%A0%C2%A0%C2%A0%C2%A0%0A(CN)%20VC%2DSelling%20and%20distribution%20costs%C2%A0%C2%A0%C2%A0%C2%A0%C2%A0%C2%A0%C2%A0%C2%A0%0A(CN)%20VD%2DAdministrative%20and%20other%C2%A0%C2%A0%C2%A0%C2%A0%C2%A0%C2%A0%C2%A0%C2%A0%0A%E6%9B%B4%E5%A4%9A%E8%AF%A5%E7%A7%91%E7%9B%AE%E7%9B%B8%E5%85%B3%E5%AE%A1%E8%AE%A1%E4%BC%9A%E8%AE%A1%E7%9F%A5%E8%AF%86%E5%8F%AF%E5%8F%82%E8%80%83%E2%80%9C%E5%A4%A7%E4%B8%AD%E5%8D%8E%E5%8C%BA%E4%BC%9A%E8%AE%A1%E5%AE%A1%E8%AE%A1%E7%9F%A5%E8%AF%86%E5%BA%93%E2%80%9D%C2%A0%C2%A0%C2%A0%C2%A0%C2%A0%C2%A0%C2%A0%C2%A0%C2%A0%C2%A0%C2%A0%C2%A0%0AU_Exp"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E9%A2%84%E5%AE%A1&amp;%E5%B9%B4%E5%AE%A1%E5%B7%A5%E4%BD%9C%E6%B3%A8%E6%84%8F%E4%BA%8B%E9%A1%B9.aspx#:~:text=1%EF%BC%89%E9%A2%84%E5%AE%A1%E5%B7%A5%E4%BD%9C%E5%AE%9A%E4%B9%89%EF%BC%9A%E2%80%8BPre%2Dfinal%20audit,%E5%B9%B6%E5%88%A0%E9%99%A4%E5%AF%B9%E5%BA%94%E7%9A%84%E7%A8%8B%E5%BA%8F%E5%92%8C%E7%A8%8B%E5%BA%8F%E8%A1%A8%E3%80%82" TargetMode="External"/><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U_Exp_202YMMDD_XYZ%E5%85%AC%E5%8F%B8_Read-me-and-Delete-me.aspx#:~:text=VD.00%E8%B4%A2%E5%8A%A1%E8%B4%B9%E7%94%A8%2D%E6%B3%A8%E9%87%8A,%E6%AC%BE%26%E5%BA%94%E6%94%B6%E7%A5%A8%E6%8D%AE%E3%80%8B" TargetMode="External"/></Relationships>
</file>

<file path=xl/drawings/_rels/drawing4.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2" Type="http://schemas.openxmlformats.org/officeDocument/2006/relationships/image" Target="../media/image3.jpeg"/><Relationship Id="rId1" Type="http://schemas.openxmlformats.org/officeDocument/2006/relationships/hyperlink" Target="https://eychinamanaged.sharepoint.cn/sites/GCknowledgecenter/SitePages/%E6%A0%87%E5%87%86%E5%AE%A1%E8%AE%A1%E5%BA%95%E7%A8%BF%E6%A8%A1%E6%9D%BF_U_Exp_202YMMDD_XYZ%E5%85%AC%E5%8F%B8_Read-me-and-Delete-me.aspx#:~:text=Uexp%E5%88%A9%E6%81%AF%E6%B5%8B%E8%AF%95-,Uexp%E5%88%A9%E6%81%AF%E6%B5%8B%E8%AF%95%2D%E6%B3%A8%E9%87%8A14%EF%BC%9A,-Uexp%E5%88%A9%E6%81%AF%E6%B5%8B%E8%AF%95" TargetMode="External"/><Relationship Id="rId5" Type="http://schemas.openxmlformats.org/officeDocument/2006/relationships/hyperlink" Target="https://eychinamanaged.sharepoint.cn/sites/GCknowledgecenter/SitePages/%E6%A0%87%E5%87%86%E5%AE%A1%E8%AE%A1%E5%BA%95%E7%A8%BF%E6%A8%A1%E6%9D%BF_U_Exp_202YMMDD_XYZ%E5%85%AC%E5%8F%B8_Read-me-and-Delete-me.aspx#:~:text=Uexp%E5%88%A9%E6%81%AF%E6%B5%8B%E8%AF%95%2D%E6%B3%A8%E9%87%8A15,%E5%9B%9E%E5%87%BD%E4%BF%A1%E6%81%AF%E4%B8%AD%E8%8E%B7%E5%8F%96%E3%80%82" TargetMode="External"/><Relationship Id="rId4"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U_Exp_202YMMDD_XYZ%E5%85%AC%E5%8F%B8_Read-me-and-Delete-me.aspx#:~:text=Uexp.02%2D%E6%B3%A8%E9%87%8A13%EF%BC%9A%E6%88%AA%E6%AD%A2%E6%80%A7%E6%B5%8B%E8%AF%95%E6%B3%A8%E6%84%8F%E4%BA%8B%E9%A1%B9%0A%0A%E6%89%A7%E8%A1%8C%E6%88%AA%E6%AD%A2%E6%80%A7%E6%B5%8B%E8%AF%95%E6%97%B6%E6%89%80%E9%80%89%E6%A0%B7%E6%9C%AC%E9%87%8F%E8%BF%87%E5%B0%91%EF%BC%8C%E4%B8%94%E4%B8%9A%E5%8A%A1%E6%80%A7%E8%B4%A8%E4%B9%9F%E6%97%A0%E6%B3%95%E8%AF%B4%E6%98%8E%E8%AF%A5%E7%AD%89%E6%A0%B7%E6%9C%AC%E8%B6%B3%E4%BB%A5%E6%94%AF%E6%8C%81%E6%88%AA%E6%AD%A2%E6%80%A7%E6%97%A0%E9%87%8D%E5%A4%A7%E9%94%99%E6%8A%A5%E9%A3%8E%E9%99%A9%E7%9A%84%E7%BB%93%E8%AE%BA%E6%97%B6%EF%BC%8C%E8%80%83%E8%99%91%E8%A1%A5%E5%85%85%E6%A0%B7%E6%9C%AC%E9%87%8F%E4%BB%A5%E8%8E%B7%E5%8F%96%E5%85%85%E5%88%86%E9%80%82%E5%BD%93%E7%9A%84%E5%AE%A1%E8%AE%A1%E8%AF%81%E6%8D%AE%E3%80%82PIE%E9%A1%B9%E7%9B%AE%E6%89%A7%E8%A1%8C%E6%88%AA%E6%AD%A2%E6%80%A7%E6%B5%8B%E8%AF%95%E6%97%B6%E5%A6%82%E6%89%80%E9%80%89%E6%A0%B7%E6%9C%AC%E9%87%8F%E5%B0%91%E4%BA%8E5%EF%BC%8C%E9%9C%80%E8%A1%A5%E5%85%85%E8%87%B3%E5%B0%915%E4%B8%AA%E6%A0%B7%E6%9C%AC%E3%80%82%C2%A0"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s>
</file>

<file path=xl/drawings/drawing1.xml><?xml version="1.0" encoding="utf-8"?>
<xdr:wsDr xmlns:xdr="http://schemas.openxmlformats.org/drawingml/2006/spreadsheetDrawing" xmlns:a="http://schemas.openxmlformats.org/drawingml/2006/main">
  <xdr:oneCellAnchor>
    <xdr:from>
      <xdr:col>4</xdr:col>
      <xdr:colOff>1518285</xdr:colOff>
      <xdr:row>28</xdr:row>
      <xdr:rowOff>26035</xdr:rowOff>
    </xdr:from>
    <xdr:ext cx="308428" cy="299356"/>
    <xdr:pic>
      <xdr:nvPicPr>
        <xdr:cNvPr id="2" name="图片 1">
          <a:hlinkClick xmlns:r="http://schemas.openxmlformats.org/officeDocument/2006/relationships" r:id="r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stretch>
          <a:fillRect/>
        </a:stretch>
      </xdr:blipFill>
      <xdr:spPr>
        <a:xfrm>
          <a:off x="5516880" y="3888740"/>
          <a:ext cx="307975" cy="299085"/>
        </a:xfrm>
        <a:prstGeom prst="rect">
          <a:avLst/>
        </a:prstGeom>
      </xdr:spPr>
    </xdr:pic>
    <xdr:clientData/>
  </xdr:oneCellAnchor>
  <xdr:twoCellAnchor>
    <xdr:from>
      <xdr:col>3</xdr:col>
      <xdr:colOff>508000</xdr:colOff>
      <xdr:row>35</xdr:row>
      <xdr:rowOff>135890</xdr:rowOff>
    </xdr:from>
    <xdr:to>
      <xdr:col>3</xdr:col>
      <xdr:colOff>843915</xdr:colOff>
      <xdr:row>35</xdr:row>
      <xdr:rowOff>467995</xdr:rowOff>
    </xdr:to>
    <xdr:pic>
      <xdr:nvPicPr>
        <xdr:cNvPr id="4" name="图片 3">
          <a:hlinkClick xmlns:r="http://schemas.openxmlformats.org/officeDocument/2006/relationships" r:id="rId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2353310" y="7862570"/>
          <a:ext cx="335915" cy="2698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276225</xdr:colOff>
      <xdr:row>1</xdr:row>
      <xdr:rowOff>0</xdr:rowOff>
    </xdr:from>
    <xdr:to>
      <xdr:col>2</xdr:col>
      <xdr:colOff>878205</xdr:colOff>
      <xdr:row>5</xdr:row>
      <xdr:rowOff>0</xdr:rowOff>
    </xdr:to>
    <xdr:sp macro="" textlink="">
      <xdr:nvSpPr>
        <xdr:cNvPr id="3" name="AutoShape 5">
          <a:extLst>
            <a:ext uri="{FF2B5EF4-FFF2-40B4-BE49-F238E27FC236}">
              <a16:creationId xmlns:a16="http://schemas.microsoft.com/office/drawing/2014/main" id="{00000000-0008-0000-0100-000003000000}"/>
            </a:ext>
          </a:extLst>
        </xdr:cNvPr>
        <xdr:cNvSpPr>
          <a:spLocks noChangeAspect="1" noChangeArrowheads="1"/>
        </xdr:cNvSpPr>
      </xdr:nvSpPr>
      <xdr:spPr>
        <a:xfrm>
          <a:off x="283210" y="160655"/>
          <a:ext cx="986155" cy="90868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6</xdr:col>
      <xdr:colOff>671195</xdr:colOff>
      <xdr:row>6</xdr:row>
      <xdr:rowOff>0</xdr:rowOff>
    </xdr:from>
    <xdr:to>
      <xdr:col>6</xdr:col>
      <xdr:colOff>979805</xdr:colOff>
      <xdr:row>6</xdr:row>
      <xdr:rowOff>0</xdr:rowOff>
    </xdr:to>
    <xdr:pic>
      <xdr:nvPicPr>
        <xdr:cNvPr id="8" name="图片 7">
          <a:hlinkClick xmlns:r="http://schemas.openxmlformats.org/officeDocument/2006/relationships" r:id="rId1"/>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2"/>
        <a:stretch>
          <a:fillRect/>
        </a:stretch>
      </xdr:blipFill>
      <xdr:spPr>
        <a:xfrm>
          <a:off x="7439660" y="1231265"/>
          <a:ext cx="308610" cy="0"/>
        </a:xfrm>
        <a:prstGeom prst="rect">
          <a:avLst/>
        </a:prstGeom>
      </xdr:spPr>
    </xdr:pic>
    <xdr:clientData/>
  </xdr:twoCellAnchor>
  <xdr:twoCellAnchor>
    <xdr:from>
      <xdr:col>6</xdr:col>
      <xdr:colOff>639536</xdr:colOff>
      <xdr:row>6</xdr:row>
      <xdr:rowOff>27214</xdr:rowOff>
    </xdr:from>
    <xdr:to>
      <xdr:col>6</xdr:col>
      <xdr:colOff>947964</xdr:colOff>
      <xdr:row>6</xdr:row>
      <xdr:rowOff>326570</xdr:rowOff>
    </xdr:to>
    <xdr:pic>
      <xdr:nvPicPr>
        <xdr:cNvPr id="2" name="图片 1">
          <a:hlinkClick xmlns:r="http://schemas.openxmlformats.org/officeDocument/2006/relationships" r:id="rId3"/>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4"/>
        <a:stretch>
          <a:fillRect/>
        </a:stretch>
      </xdr:blipFill>
      <xdr:spPr>
        <a:xfrm>
          <a:off x="7407910" y="1257935"/>
          <a:ext cx="307975" cy="2997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276225</xdr:colOff>
      <xdr:row>2</xdr:row>
      <xdr:rowOff>0</xdr:rowOff>
    </xdr:from>
    <xdr:to>
      <xdr:col>2</xdr:col>
      <xdr:colOff>852895</xdr:colOff>
      <xdr:row>6</xdr:row>
      <xdr:rowOff>2087</xdr:rowOff>
    </xdr:to>
    <xdr:sp macro="" textlink="">
      <xdr:nvSpPr>
        <xdr:cNvPr id="8" name="AutoShape 5">
          <a:extLst>
            <a:ext uri="{FF2B5EF4-FFF2-40B4-BE49-F238E27FC236}">
              <a16:creationId xmlns:a16="http://schemas.microsoft.com/office/drawing/2014/main" id="{00000000-0008-0000-0200-000008000000}"/>
            </a:ext>
          </a:extLst>
        </xdr:cNvPr>
        <xdr:cNvSpPr>
          <a:spLocks noChangeAspect="1" noChangeArrowheads="1"/>
        </xdr:cNvSpPr>
      </xdr:nvSpPr>
      <xdr:spPr>
        <a:xfrm>
          <a:off x="283210" y="387985"/>
          <a:ext cx="1083945" cy="916940"/>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16</xdr:col>
      <xdr:colOff>258445</xdr:colOff>
      <xdr:row>32</xdr:row>
      <xdr:rowOff>231140</xdr:rowOff>
    </xdr:from>
    <xdr:to>
      <xdr:col>16</xdr:col>
      <xdr:colOff>503555</xdr:colOff>
      <xdr:row>32</xdr:row>
      <xdr:rowOff>480060</xdr:rowOff>
    </xdr:to>
    <xdr:pic>
      <xdr:nvPicPr>
        <xdr:cNvPr id="15" name="图片 14">
          <a:hlinkClick xmlns:r="http://schemas.openxmlformats.org/officeDocument/2006/relationships" r:id="rId1"/>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2"/>
        <a:stretch>
          <a:fillRect/>
        </a:stretch>
      </xdr:blipFill>
      <xdr:spPr>
        <a:xfrm>
          <a:off x="17890490" y="5075555"/>
          <a:ext cx="245110" cy="248920"/>
        </a:xfrm>
        <a:prstGeom prst="rect">
          <a:avLst/>
        </a:prstGeom>
      </xdr:spPr>
    </xdr:pic>
    <xdr:clientData/>
  </xdr:twoCellAnchor>
  <xdr:twoCellAnchor>
    <xdr:from>
      <xdr:col>6</xdr:col>
      <xdr:colOff>843915</xdr:colOff>
      <xdr:row>7</xdr:row>
      <xdr:rowOff>0</xdr:rowOff>
    </xdr:from>
    <xdr:to>
      <xdr:col>6</xdr:col>
      <xdr:colOff>1052195</xdr:colOff>
      <xdr:row>8</xdr:row>
      <xdr:rowOff>0</xdr:rowOff>
    </xdr:to>
    <xdr:pic>
      <xdr:nvPicPr>
        <xdr:cNvPr id="2" name="图片 1">
          <a:hlinkClick xmlns:r="http://schemas.openxmlformats.org/officeDocument/2006/relationships" r:id="rId3"/>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stretch>
          <a:fillRect/>
        </a:stretch>
      </xdr:blipFill>
      <xdr:spPr>
        <a:xfrm>
          <a:off x="8284845" y="1463675"/>
          <a:ext cx="208280" cy="2590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1224643</xdr:colOff>
      <xdr:row>1</xdr:row>
      <xdr:rowOff>176893</xdr:rowOff>
    </xdr:from>
    <xdr:to>
      <xdr:col>5</xdr:col>
      <xdr:colOff>1219652</xdr:colOff>
      <xdr:row>4</xdr:row>
      <xdr:rowOff>4990</xdr:rowOff>
    </xdr:to>
    <xdr:pic>
      <xdr:nvPicPr>
        <xdr:cNvPr id="6" name="图片 4">
          <a:hlinkClick xmlns:r="http://schemas.openxmlformats.org/officeDocument/2006/relationships" r:id="rId1"/>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40325" y="346710"/>
          <a:ext cx="2059305" cy="758825"/>
        </a:xfrm>
        <a:prstGeom prst="rect">
          <a:avLst/>
        </a:prstGeom>
      </xdr:spPr>
    </xdr:pic>
    <xdr:clientData/>
  </xdr:twoCellAnchor>
  <xdr:twoCellAnchor>
    <xdr:from>
      <xdr:col>6</xdr:col>
      <xdr:colOff>889000</xdr:colOff>
      <xdr:row>8</xdr:row>
      <xdr:rowOff>50800</xdr:rowOff>
    </xdr:from>
    <xdr:to>
      <xdr:col>6</xdr:col>
      <xdr:colOff>1097280</xdr:colOff>
      <xdr:row>8</xdr:row>
      <xdr:rowOff>304800</xdr:rowOff>
    </xdr:to>
    <xdr:pic>
      <xdr:nvPicPr>
        <xdr:cNvPr id="8" name="图片 1">
          <a:hlinkClick xmlns:r="http://schemas.openxmlformats.org/officeDocument/2006/relationships" r:id="rId3"/>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4"/>
        <a:stretch>
          <a:fillRect/>
        </a:stretch>
      </xdr:blipFill>
      <xdr:spPr>
        <a:xfrm>
          <a:off x="9262745" y="2068830"/>
          <a:ext cx="85090" cy="254000"/>
        </a:xfrm>
        <a:prstGeom prst="rect">
          <a:avLst/>
        </a:prstGeom>
      </xdr:spPr>
    </xdr:pic>
    <xdr:clientData/>
  </xdr:twoCellAnchor>
  <xdr:twoCellAnchor>
    <xdr:from>
      <xdr:col>8</xdr:col>
      <xdr:colOff>875392</xdr:colOff>
      <xdr:row>59</xdr:row>
      <xdr:rowOff>64407</xdr:rowOff>
    </xdr:from>
    <xdr:to>
      <xdr:col>8</xdr:col>
      <xdr:colOff>1170213</xdr:colOff>
      <xdr:row>59</xdr:row>
      <xdr:rowOff>423945</xdr:rowOff>
    </xdr:to>
    <xdr:pic>
      <xdr:nvPicPr>
        <xdr:cNvPr id="3" name="图片 2">
          <a:hlinkClick xmlns:r="http://schemas.openxmlformats.org/officeDocument/2006/relationships" r:id="rId5"/>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4"/>
        <a:stretch>
          <a:fillRect/>
        </a:stretch>
      </xdr:blipFill>
      <xdr:spPr>
        <a:xfrm>
          <a:off x="11505565" y="15191740"/>
          <a:ext cx="294640" cy="1339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850265</xdr:colOff>
      <xdr:row>4</xdr:row>
      <xdr:rowOff>76835</xdr:rowOff>
    </xdr:to>
    <xdr:sp macro="" textlink="">
      <xdr:nvSpPr>
        <xdr:cNvPr id="2" name="AutoShape 5">
          <a:extLst>
            <a:ext uri="{FF2B5EF4-FFF2-40B4-BE49-F238E27FC236}">
              <a16:creationId xmlns:a16="http://schemas.microsoft.com/office/drawing/2014/main" id="{00000000-0008-0000-0400-000002000000}"/>
            </a:ext>
          </a:extLst>
        </xdr:cNvPr>
        <xdr:cNvSpPr>
          <a:spLocks noChangeAspect="1" noChangeArrowheads="1"/>
        </xdr:cNvSpPr>
      </xdr:nvSpPr>
      <xdr:spPr>
        <a:xfrm>
          <a:off x="624205" y="0"/>
          <a:ext cx="850265" cy="77660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0</xdr:colOff>
      <xdr:row>0</xdr:row>
      <xdr:rowOff>0</xdr:rowOff>
    </xdr:from>
    <xdr:to>
      <xdr:col>2</xdr:col>
      <xdr:colOff>875665</xdr:colOff>
      <xdr:row>6</xdr:row>
      <xdr:rowOff>69215</xdr:rowOff>
    </xdr:to>
    <xdr:sp macro="" textlink="">
      <xdr:nvSpPr>
        <xdr:cNvPr id="3" name="AutoShape 5">
          <a:extLst>
            <a:ext uri="{FF2B5EF4-FFF2-40B4-BE49-F238E27FC236}">
              <a16:creationId xmlns:a16="http://schemas.microsoft.com/office/drawing/2014/main" id="{00000000-0008-0000-0400-000003000000}"/>
            </a:ext>
          </a:extLst>
        </xdr:cNvPr>
        <xdr:cNvSpPr>
          <a:spLocks noChangeAspect="1" noChangeArrowheads="1"/>
        </xdr:cNvSpPr>
      </xdr:nvSpPr>
      <xdr:spPr>
        <a:xfrm>
          <a:off x="624205" y="0"/>
          <a:ext cx="875665" cy="124523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0</xdr:colOff>
      <xdr:row>0</xdr:row>
      <xdr:rowOff>0</xdr:rowOff>
    </xdr:from>
    <xdr:to>
      <xdr:col>2</xdr:col>
      <xdr:colOff>865505</xdr:colOff>
      <xdr:row>4</xdr:row>
      <xdr:rowOff>83185</xdr:rowOff>
    </xdr:to>
    <xdr:sp macro="" textlink="">
      <xdr:nvSpPr>
        <xdr:cNvPr id="4" name="AutoShape 5">
          <a:extLst>
            <a:ext uri="{FF2B5EF4-FFF2-40B4-BE49-F238E27FC236}">
              <a16:creationId xmlns:a16="http://schemas.microsoft.com/office/drawing/2014/main" id="{00000000-0008-0000-0400-000004000000}"/>
            </a:ext>
          </a:extLst>
        </xdr:cNvPr>
        <xdr:cNvSpPr>
          <a:spLocks noChangeAspect="1" noChangeArrowheads="1"/>
        </xdr:cNvSpPr>
      </xdr:nvSpPr>
      <xdr:spPr>
        <a:xfrm>
          <a:off x="624205" y="0"/>
          <a:ext cx="865505" cy="78295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231775</xdr:colOff>
      <xdr:row>0</xdr:row>
      <xdr:rowOff>0</xdr:rowOff>
    </xdr:from>
    <xdr:to>
      <xdr:col>2</xdr:col>
      <xdr:colOff>1102995</xdr:colOff>
      <xdr:row>4</xdr:row>
      <xdr:rowOff>85090</xdr:rowOff>
    </xdr:to>
    <xdr:sp macro="" textlink="">
      <xdr:nvSpPr>
        <xdr:cNvPr id="5" name="AutoShape 5">
          <a:extLst>
            <a:ext uri="{FF2B5EF4-FFF2-40B4-BE49-F238E27FC236}">
              <a16:creationId xmlns:a16="http://schemas.microsoft.com/office/drawing/2014/main" id="{00000000-0008-0000-0400-000005000000}"/>
            </a:ext>
          </a:extLst>
        </xdr:cNvPr>
        <xdr:cNvSpPr>
          <a:spLocks noChangeAspect="1" noChangeArrowheads="1"/>
        </xdr:cNvSpPr>
      </xdr:nvSpPr>
      <xdr:spPr>
        <a:xfrm>
          <a:off x="855980" y="0"/>
          <a:ext cx="871220" cy="784860"/>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0</xdr:colOff>
      <xdr:row>0</xdr:row>
      <xdr:rowOff>0</xdr:rowOff>
    </xdr:from>
    <xdr:to>
      <xdr:col>2</xdr:col>
      <xdr:colOff>865505</xdr:colOff>
      <xdr:row>4</xdr:row>
      <xdr:rowOff>83185</xdr:rowOff>
    </xdr:to>
    <xdr:sp macro="" textlink="">
      <xdr:nvSpPr>
        <xdr:cNvPr id="6" name="AutoShape 5">
          <a:extLst>
            <a:ext uri="{FF2B5EF4-FFF2-40B4-BE49-F238E27FC236}">
              <a16:creationId xmlns:a16="http://schemas.microsoft.com/office/drawing/2014/main" id="{00000000-0008-0000-0400-000006000000}"/>
            </a:ext>
          </a:extLst>
        </xdr:cNvPr>
        <xdr:cNvSpPr>
          <a:spLocks noChangeAspect="1" noChangeArrowheads="1"/>
        </xdr:cNvSpPr>
      </xdr:nvSpPr>
      <xdr:spPr>
        <a:xfrm>
          <a:off x="624205" y="0"/>
          <a:ext cx="865505" cy="78295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231775</xdr:colOff>
      <xdr:row>0</xdr:row>
      <xdr:rowOff>0</xdr:rowOff>
    </xdr:from>
    <xdr:to>
      <xdr:col>2</xdr:col>
      <xdr:colOff>1102995</xdr:colOff>
      <xdr:row>4</xdr:row>
      <xdr:rowOff>75565</xdr:rowOff>
    </xdr:to>
    <xdr:sp macro="" textlink="">
      <xdr:nvSpPr>
        <xdr:cNvPr id="7" name="AutoShape 5">
          <a:extLst>
            <a:ext uri="{FF2B5EF4-FFF2-40B4-BE49-F238E27FC236}">
              <a16:creationId xmlns:a16="http://schemas.microsoft.com/office/drawing/2014/main" id="{00000000-0008-0000-0400-000007000000}"/>
            </a:ext>
          </a:extLst>
        </xdr:cNvPr>
        <xdr:cNvSpPr>
          <a:spLocks noChangeAspect="1" noChangeArrowheads="1"/>
        </xdr:cNvSpPr>
      </xdr:nvSpPr>
      <xdr:spPr>
        <a:xfrm>
          <a:off x="855980" y="0"/>
          <a:ext cx="871220" cy="77533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1</xdr:col>
      <xdr:colOff>276225</xdr:colOff>
      <xdr:row>0</xdr:row>
      <xdr:rowOff>0</xdr:rowOff>
    </xdr:from>
    <xdr:to>
      <xdr:col>2</xdr:col>
      <xdr:colOff>691515</xdr:colOff>
      <xdr:row>4</xdr:row>
      <xdr:rowOff>166370</xdr:rowOff>
    </xdr:to>
    <xdr:sp macro="" textlink="">
      <xdr:nvSpPr>
        <xdr:cNvPr id="8" name="AutoShape 5">
          <a:extLst>
            <a:ext uri="{FF2B5EF4-FFF2-40B4-BE49-F238E27FC236}">
              <a16:creationId xmlns:a16="http://schemas.microsoft.com/office/drawing/2014/main" id="{00000000-0008-0000-0400-000008000000}"/>
            </a:ext>
          </a:extLst>
        </xdr:cNvPr>
        <xdr:cNvSpPr>
          <a:spLocks noChangeAspect="1" noChangeArrowheads="1"/>
        </xdr:cNvSpPr>
      </xdr:nvSpPr>
      <xdr:spPr>
        <a:xfrm>
          <a:off x="283210" y="0"/>
          <a:ext cx="1032510" cy="866140"/>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6</xdr:col>
      <xdr:colOff>734695</xdr:colOff>
      <xdr:row>7</xdr:row>
      <xdr:rowOff>27305</xdr:rowOff>
    </xdr:from>
    <xdr:to>
      <xdr:col>6</xdr:col>
      <xdr:colOff>943610</xdr:colOff>
      <xdr:row>7</xdr:row>
      <xdr:rowOff>245110</xdr:rowOff>
    </xdr:to>
    <xdr:pic>
      <xdr:nvPicPr>
        <xdr:cNvPr id="9" name="图片 8">
          <a:hlinkClick xmlns:r="http://schemas.openxmlformats.org/officeDocument/2006/relationships" r:id="rId1"/>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2"/>
        <a:stretch>
          <a:fillRect/>
        </a:stretch>
      </xdr:blipFill>
      <xdr:spPr>
        <a:xfrm>
          <a:off x="8209280" y="1363980"/>
          <a:ext cx="208915" cy="217805"/>
        </a:xfrm>
        <a:prstGeom prst="rect">
          <a:avLst/>
        </a:prstGeom>
      </xdr:spPr>
    </xdr:pic>
    <xdr:clientData/>
  </xdr:twoCellAnchor>
  <xdr:twoCellAnchor>
    <xdr:from>
      <xdr:col>9</xdr:col>
      <xdr:colOff>389981</xdr:colOff>
      <xdr:row>10</xdr:row>
      <xdr:rowOff>462733</xdr:rowOff>
    </xdr:from>
    <xdr:to>
      <xdr:col>9</xdr:col>
      <xdr:colOff>830036</xdr:colOff>
      <xdr:row>10</xdr:row>
      <xdr:rowOff>926049</xdr:rowOff>
    </xdr:to>
    <xdr:pic>
      <xdr:nvPicPr>
        <xdr:cNvPr id="10" name="图片 8">
          <a:hlinkClick xmlns:r="http://schemas.openxmlformats.org/officeDocument/2006/relationships" r:id="rId3"/>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2"/>
        <a:stretch>
          <a:fillRect/>
        </a:stretch>
      </xdr:blipFill>
      <xdr:spPr>
        <a:xfrm>
          <a:off x="12506960" y="3772535"/>
          <a:ext cx="440055" cy="463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file:///\\http:\xinc\Documents%20and%20Settings\lizs\Local%20Settings\Temporary%20Internet%20Files\OLK4C5\Documents%20and%20Settings\derekj\My%20Documents\Xilinx\Whitney\Forecast\March_11_2003\Revenue%20Trend%20New%20Prod_Update_includes%20Whitney.xls?1863BAAD" TargetMode="External"/><Relationship Id="rId1" Type="http://schemas.openxmlformats.org/officeDocument/2006/relationships/externalLinkPath" Target="file:///\\1863BAAD\Revenue%20Trend%20New%20Prod_Update_includes%20Whitney.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863BAAD\Revenue%20Trend%20New%20Prod_Update_includes%20Whitney.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92.205.36\gss%20dalian\Financial%20Operations\General%20Accounting\General\IT%20Accounting\GA\2009\Properties\Rent\02.%20Italy%20Rents%202009%20-%20Feb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shavapfl67\GSS%20Dalian\Financial%20Operations\General%20Accounting\General\IT%20Accounting\GA\2009\Properties\Rent\02.%20Italy%20Rents%202009%20-%20Feb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en-780642\finance%20company\Documents%20and%20Settings\770463\My%20Documents\My%20Job\Huaxia\HX%20June%202002\Investment\Anno's%20workdone\PBC\To%20stephen\To%20stephen\9D4FF100"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192.205.36\gss%20dalian\Financial%20Operations\General%20Accounting\FR%20Accounting\General\Manual%20Journal%20ADI\8-%20Aug%2008%20FR%20GA%20Journal\O%20ROATTINO\HFC-GA-OR-000041%20-%20reclass%201945%20to%20expenses%20acc.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nshavapfl67\GSS%20Dalian\Financial%20Operations\General%20Accounting\FR%20Accounting\General\Manual%20Journal%20ADI\8-%20Aug%2008%20FR%20GA%20Journal\O%20ROATTINO\HFC-GA-OR-000041%20-%20reclass%201945%20to%20expenses%20acc.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610%20Property%20&amp;%20Equipment%20Combined%20Leadshee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Compar"/>
      <sheetName val="ProdIntro"/>
      <sheetName val="Xilinx vs Altera"/>
      <sheetName val="AP Recap"/>
      <sheetName val="400吨现存量"/>
      <sheetName val="_600吨现存量"/>
      <sheetName val="U120"/>
      <sheetName val="Summary"/>
      <sheetName val="Ã«ÀûÂÊ·ÖÎö±í"/>
      <sheetName val="上报资产负债表"/>
      <sheetName val="上报损益表"/>
      <sheetName val="补充表"/>
      <sheetName val="TOD Poplulation_Billing"/>
      <sheetName val="TOD Population_Non-Billing"/>
      <sheetName val="TOD Population_Billing"/>
      <sheetName val="U1-OSP-04-01 客户清单"/>
      <sheetName val="以前年度损益调整"/>
      <sheetName val="F210-存货清单盘点日"/>
      <sheetName val="Sheet1"/>
      <sheetName val="Lease AP 2008"/>
      <sheetName val="Seoul"/>
      <sheetName val="OA#6-2&amp;RA#5"/>
      <sheetName val="_http___xinc_Documents_and_Se_2"/>
      <sheetName val="1.00 - Summary at Acquisition"/>
      <sheetName val="(i) Fixed assets-PBC"/>
      <sheetName val="6001-TB 2021"/>
      <sheetName val="6001-TB 2020"/>
      <sheetName val="GL"/>
      <sheetName val="Data"/>
      <sheetName val="D4RP"/>
      <sheetName val="LinkData"/>
      <sheetName val="U130"/>
      <sheetName val="G100-本部"/>
      <sheetName val="G100-非本部"/>
      <sheetName val="G200"/>
      <sheetName val="G400"/>
      <sheetName val="Translation"/>
      <sheetName val="sch10-rm2"/>
      <sheetName val="sch6-rm"/>
      <sheetName val="披露表(标准)"/>
      <sheetName val="关联交易-存款"/>
      <sheetName val="140101-1451by category"/>
      <sheetName val="T  B"/>
      <sheetName val="OE AC#41111"/>
      <sheetName val="Trans"/>
      <sheetName val="For AFS"/>
      <sheetName val="Customer churn"/>
      <sheetName val="Transaction rollforward"/>
      <sheetName val="Aging analysis"/>
      <sheetName val="Credit limit analysis"/>
      <sheetName val="OI-Fcst"/>
      <sheetName val="ARP-U501"/>
      <sheetName val="平衡测试"/>
      <sheetName val="F1"/>
      <sheetName val="汇总"/>
      <sheetName val="A3"/>
      <sheetName val="Comp equip"/>
      <sheetName val="Mach &amp; equip"/>
      <sheetName val="热力"/>
      <sheetName val="CBUGL"/>
      <sheetName val="NBCF"/>
      <sheetName val="INVDAYS"/>
      <sheetName val="UFPrn20021113090847"/>
      <sheetName val="TOTAL"/>
      <sheetName val="Support"/>
      <sheetName val="XRef Table"/>
      <sheetName val="TB"/>
      <sheetName val="STATPARA"/>
      <sheetName val="conWP1"/>
      <sheetName val="_http___xinc_Documents_and_Se_3"/>
      <sheetName val="_http___xinc_Documents_and_Se_4"/>
      <sheetName val="_http___xinc_Documents_and_Se_5"/>
      <sheetName val="_http___xinc_Documents_and_Se_6"/>
      <sheetName val="_http___xinc_Documents_and_Se_7"/>
      <sheetName val="TOOLS"/>
      <sheetName val="U100"/>
      <sheetName val="敏感性"/>
      <sheetName val="101200"/>
      <sheetName val="ARP"/>
      <sheetName val="#REF"/>
      <sheetName val="Non-Statistical Sampling"/>
      <sheetName val="XREF"/>
      <sheetName val="GL-R"/>
      <sheetName val="YS02-02"/>
      <sheetName val="enums"/>
      <sheetName val="eqpmad2"/>
      <sheetName val="inventory2002"/>
      <sheetName val="PPV2002"/>
      <sheetName val="CCTL"/>
      <sheetName val="WIP"/>
      <sheetName val="Toolbox"/>
      <sheetName val="725 BS"/>
      <sheetName val="BJ Expenses"/>
      <sheetName val="Sample Rev"/>
      <sheetName val="Sample IS"/>
      <sheetName val="Probability View"/>
      <sheetName val="FY04ExpDetail"/>
      <sheetName val="4-货币资金-现金"/>
      <sheetName val="P&amp;L"/>
      <sheetName val="BS"/>
      <sheetName val="FA lead"/>
      <sheetName val="Sheet3"/>
      <sheetName val="Collateral"/>
      <sheetName val="B"/>
      <sheetName val="Invested Capital"/>
      <sheetName val="流资汇总"/>
      <sheetName val="Config"/>
      <sheetName val="DEPRECIATION"/>
      <sheetName val="FAB별"/>
      <sheetName val="BS 表"/>
      <sheetName val="C"/>
      <sheetName val="报表格式"/>
      <sheetName val="6621"/>
      <sheetName val="Sheet2"/>
      <sheetName val="原报调整分录"/>
      <sheetName val="AFEMAI"/>
      <sheetName val="KEY"/>
      <sheetName val="Chart of acct "/>
      <sheetName val="IS-客户直接转换"/>
      <sheetName val="企业表一"/>
      <sheetName val="M-5C"/>
      <sheetName val="M-5A"/>
      <sheetName val="NKCR_comm_scheme"/>
      <sheetName val="NKCR_appliedrates"/>
      <sheetName val="KCR_comm_scheme"/>
      <sheetName val="Settings"/>
      <sheetName val="A"/>
      <sheetName val="Account"/>
      <sheetName val="Journal"/>
      <sheetName val="Uexp_Lead"/>
      <sheetName val="PNL"/>
      <sheetName val="无形资产清单 "/>
      <sheetName val="本部"/>
      <sheetName val="历次融资情况"/>
      <sheetName val="12月底个人往来余额表"/>
      <sheetName val="Console TB"/>
      <sheetName val="Vendor Data"/>
      <sheetName val="sumdepn01"/>
      <sheetName val="Consol"/>
      <sheetName val="µ|²vªí"/>
      <sheetName val="IRR &amp; NPV"/>
      <sheetName val="Mov from 2001 to 2003"/>
      <sheetName val="JAN405"/>
      <sheetName val="US Bal_Sheet"/>
      <sheetName val="FA Roll to GL (p.2)"/>
      <sheetName val="Lead (p.1)"/>
      <sheetName val="dm"/>
      <sheetName val="Mapping"/>
      <sheetName val="K1_Lead"/>
      <sheetName val="P100"/>
      <sheetName val="7 (2)"/>
      <sheetName val="10K4"/>
      <sheetName val="18.存货"/>
      <sheetName val="G2"/>
      <sheetName val="_http___xinc_Documents_and_Se_8"/>
      <sheetName val="_http___xinc_Documents_and_Se_9"/>
      <sheetName val="_http___xinc_Documents_and_S_10"/>
      <sheetName val="Net REVENUE"/>
      <sheetName val="VEHMAINT"/>
      <sheetName val="VEHDAMAG"/>
      <sheetName val="OTHERVEH"/>
      <sheetName val="GASOLINE"/>
      <sheetName val="PL&amp;PD"/>
      <sheetName val="DEPRECIA"/>
      <sheetName val="INTEREST"/>
      <sheetName val="VEHSALWH"/>
      <sheetName val="VEHSALRE"/>
      <sheetName val="MANUCRED"/>
      <sheetName val="TRAWAGES"/>
      <sheetName val="INCENTIV"/>
      <sheetName val="WAGES"/>
      <sheetName val="OVERWAGE"/>
      <sheetName val="BENEFITS"/>
      <sheetName val="CONCESS"/>
      <sheetName val="COMMISSI"/>
      <sheetName val="RESERVAT"/>
      <sheetName val="CUSTOMER"/>
      <sheetName val="FACILITY"/>
      <sheetName val="SERVIVEH"/>
      <sheetName val="COMPUTER"/>
      <sheetName val="ADVSYST"/>
      <sheetName val="COUADMIN"/>
      <sheetName val="ADMINFLD"/>
      <sheetName val="ADVCIT&amp;D"/>
      <sheetName val="EURSALES"/>
      <sheetName val="ADMINREB"/>
      <sheetName val="97BGT6"/>
      <sheetName val="勤務ｼﾌﾄﾍﾞｰｽ表 下期"/>
      <sheetName val="車会集約"/>
      <sheetName val="楼宇价目表A10"/>
      <sheetName val="楼宇价目表A9"/>
      <sheetName val="楼宇价目表B1"/>
      <sheetName val="楼宇价目表B2"/>
      <sheetName val="_001年其他业务利润"/>
      <sheetName val="_002年其他业务利润"/>
      <sheetName val="_003年其他业务利润"/>
      <sheetName val="_2U03营业费用"/>
      <sheetName val="2001年营业费用"/>
      <sheetName val="PAX &amp; SEATS %"/>
      <sheetName val="CKS-KHH"/>
      <sheetName val="二厂单位成本结构图"/>
      <sheetName val="销售"/>
      <sheetName val="成品科"/>
      <sheetName val="U102"/>
      <sheetName val="Narrative"/>
      <sheetName val="Variance"/>
      <sheetName val="Database"/>
      <sheetName val="act_96"/>
      <sheetName val="表三甲"/>
      <sheetName val="A300_主表"/>
      <sheetName val="Chart of Account"/>
      <sheetName val="2002-H300"/>
      <sheetName val="2001-H300"/>
      <sheetName val="L310-Adjustment for R&amp;D cost"/>
      <sheetName val="Lead"/>
      <sheetName val="4044"/>
      <sheetName val="31其他负债"/>
      <sheetName val="FX"/>
      <sheetName val="1现金预算表"/>
      <sheetName val="选择报表"/>
      <sheetName val="move"/>
      <sheetName val="资产负债表"/>
      <sheetName val="LBO"/>
      <sheetName val="Main"/>
      <sheetName val="K100"/>
      <sheetName val="表三"/>
      <sheetName val="M3 M4"/>
      <sheetName val="M3 M4 (2)"/>
      <sheetName val="所属企业备案表"/>
      <sheetName val="0、钩稽关系审核表"/>
      <sheetName val="U300"/>
      <sheetName val="披露表(上市)"/>
      <sheetName val="Sheet4"/>
      <sheetName val=" PPE"/>
      <sheetName val="A300_BS&amp;PL_21"/>
      <sheetName val="Sintesi"/>
      <sheetName val="L210"/>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1待摊"/>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1土地"/>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5502"/>
      <sheetName val=" U140-SalesTOT"/>
      <sheetName val="VCC 11110-461"/>
      <sheetName val="应付票据1NotesPayable1"/>
      <sheetName val="ICP主营业务成本ICP_CoreExpense"/>
      <sheetName val="ICP其他业务成本ICP_OtherExpense"/>
      <sheetName val="ICP主营业务收入ICP CoreRevenue"/>
      <sheetName val="ICP递延收益ICP DeferredIncome"/>
      <sheetName val="ICP股利分配ICP DevidendDeclared"/>
      <sheetName val="ICP费用ICP Expense"/>
      <sheetName val="固定资产FixedAssets"/>
      <sheetName val="ICP现金流量表ICP_CF"/>
      <sheetName val="ICP长期借款ICPLongtermBorrowings"/>
      <sheetName val="ICP其他应付款ICP OtherPayable"/>
      <sheetName val="ICP其他应收款ICP_OtherReceivables"/>
      <sheetName val="ICP投资收益ICP InvestmentIncome"/>
      <sheetName val="ICP应付利息ICP InterestPayable"/>
      <sheetName val="ICP应收利息ICP_InterestReceivable"/>
      <sheetName val="ICP长期应付款ICP LongtermPayable"/>
      <sheetName val="ICP长期应收款ICPLongtermReceivables"/>
      <sheetName val="短期借款ShorttermLoans"/>
      <sheetName val="ICP其他流动资产ICP_OtherCurrentAssets"/>
      <sheetName val="ICP其他流动负债ICP OtherCurrentLiab"/>
      <sheetName val="ICP其他非流动资产ICPOtherNoncurAsets"/>
      <sheetName val="ICP其他非流动负债ICPOtherNoncurrLiab"/>
      <sheetName val="ICP其他业务收入ICP OtherRevenue"/>
      <sheetName val="ICP预付款项ICP_Prepayment"/>
      <sheetName val="ICP短期借款ICP ShorttermLoans"/>
      <sheetName val="Index"/>
      <sheetName val="Cover"/>
      <sheetName val="试算BS"/>
      <sheetName val="试算PL"/>
      <sheetName val="Xilinx_vs_Altera"/>
      <sheetName val="AP_Recap"/>
      <sheetName val="TOD_Poplulation_Billing"/>
      <sheetName val="TOD_Population_Non-Billing"/>
      <sheetName val="TOD_Population_Billing"/>
      <sheetName val="U1-OSP-04-01_客户清单"/>
      <sheetName val="Lease_AP_2008"/>
      <sheetName val="1_00_-_Summary_at_Acquisition"/>
      <sheetName val="(i)_Fixed_assets-PBC"/>
      <sheetName val="E1020"/>
      <sheetName val="A500"/>
      <sheetName val="A300"/>
      <sheetName val="各项收入"/>
      <sheetName val="Source"/>
      <sheetName val="Trial Balance"/>
      <sheetName val="Hotel"/>
      <sheetName val="租赁收入(80105)Breakdown"/>
      <sheetName val="抽样测试"/>
      <sheetName val="Final sample listing"/>
      <sheetName val="附表6"/>
      <sheetName val="Movement"/>
      <sheetName val="Breakdown RMB"/>
      <sheetName val="科目体系"/>
      <sheetName val="Lguide"/>
      <sheetName val="N1_AT"/>
      <sheetName val="C2_WKSP"/>
      <sheetName val="A1_INP"/>
      <sheetName val="A2_TINPM"/>
      <sheetName val="A3_TINPP"/>
      <sheetName val="A6620 Detail"/>
      <sheetName val="2008"/>
      <sheetName val="DEC Bank"/>
      <sheetName val="gares 02 BON FICHIER "/>
      <sheetName val="Depr.Exp. Testing (5)"/>
      <sheetName val="E-Client Information"/>
      <sheetName val="DAILY"/>
      <sheetName val="2. PPR REVENUE APR10"/>
      <sheetName val="I-Summary"/>
      <sheetName val="Dimensions"/>
      <sheetName val="PL"/>
      <sheetName val="XL4Poppy"/>
      <sheetName val="科目表"/>
      <sheetName val="2_假设"/>
      <sheetName val="Detail Loan Move. &amp; Listing"/>
      <sheetName val="完"/>
      <sheetName val="会计科目对照表"/>
      <sheetName val="目录"/>
      <sheetName val="订单"/>
      <sheetName val="订单418"/>
      <sheetName val="CRA"/>
      <sheetName val="Trading"/>
      <sheetName val="0406_Grade_data"/>
      <sheetName val="0412_Grade_data"/>
      <sheetName val="Sheet1 (2)"/>
      <sheetName val="M_5A"/>
      <sheetName val="M_5C"/>
      <sheetName val="____"/>
      <sheetName val="hiddenSheet1"/>
      <sheetName val="101"/>
      <sheetName val="G.1R-Shou COP Gf"/>
      <sheetName val="财务成本"/>
      <sheetName val="试算平衡表"/>
      <sheetName val="Validation"/>
      <sheetName val="_"/>
      <sheetName val="工时统计"/>
      <sheetName val="PRC 15"/>
      <sheetName val="退休基本情况说明"/>
      <sheetName val="P504_3.Expected life"/>
      <sheetName val="27-7"/>
      <sheetName val="存货"/>
      <sheetName val="长期股权投资"/>
      <sheetName val="关联方及关联交易"/>
      <sheetName val="营业收入"/>
      <sheetName val="AcctCode"/>
      <sheetName val="PRC-Adjusted"/>
      <sheetName val="现金流量表（月报）"/>
      <sheetName val="Budget"/>
      <sheetName val="01ADDL_F_A_"/>
      <sheetName val="E101"/>
      <sheetName val="ARP_U201"/>
      <sheetName val="g101"/>
      <sheetName val="ARP-U201"/>
      <sheetName val="Control"/>
      <sheetName val="Loop"/>
      <sheetName val="GRAFICOCT"/>
      <sheetName val="Links"/>
      <sheetName val="直 接 法 "/>
      <sheetName val="间 接 法 "/>
      <sheetName val="Raw materials"/>
      <sheetName val="Projections"/>
      <sheetName val="Returns Analysis"/>
      <sheetName val="Cash Balance (Computed)"/>
      <sheetName val="Cap_EN"/>
      <sheetName val="OLDMAP"/>
      <sheetName val="表头"/>
      <sheetName val="Review pts"/>
      <sheetName val="DJ"/>
      <sheetName val="报告披露_FIE未执行新金融工具准则、新收入准则和新租赁准则"/>
      <sheetName val="报表披露_企业会计制度"/>
      <sheetName val="其他应付款"/>
      <sheetName val="QQ"/>
      <sheetName val="実績SK"/>
      <sheetName val="W"/>
      <sheetName val="for ey reviewer 销售费用"/>
      <sheetName val="for ey reviewer 制造费用"/>
      <sheetName val="U1-OSP-03-02"/>
      <sheetName val="Poland £"/>
      <sheetName val="P&amp;LALL"/>
      <sheetName val="1015"/>
      <sheetName val="M Schedules"/>
      <sheetName val="六纺"/>
      <sheetName val="Admin"/>
      <sheetName val="Rate"/>
      <sheetName val="master"/>
      <sheetName val="#REF!"/>
      <sheetName val="07-6068"/>
      <sheetName val="40-2701"/>
      <sheetName val="TB Link"/>
      <sheetName val="SCTB"/>
      <sheetName val="Veh Info"/>
      <sheetName val="PopCache_Sheet1"/>
      <sheetName val="COMPANY"/>
      <sheetName val="中行汇率表"/>
      <sheetName val="营业外收入Dy"/>
      <sheetName val="N63_在其他主体中的权益-子（孙）公司"/>
      <sheetName val="N67_重要联营企业的主要财务信息"/>
      <sheetName val="N72_关联方往来（应收）"/>
      <sheetName val="Curve"/>
      <sheetName val="Calibration to Swaptions"/>
      <sheetName val="Swaption Data"/>
      <sheetName val="使用说明"/>
      <sheetName val="A3 &amp; U 09-01"/>
      <sheetName val="currency"/>
      <sheetName val="1. Template"/>
      <sheetName val="Original"/>
      <sheetName val="Foundation"/>
      <sheetName val="Confirmation"/>
      <sheetName val="c_data"/>
      <sheetName val="co_code"/>
      <sheetName val="Register"/>
      <sheetName val="statement 1998"/>
      <sheetName val="K31X"/>
      <sheetName val="XVIa(i) - average price (2)"/>
      <sheetName val="153541"/>
      <sheetName val="PKH"/>
      <sheetName val="cov"/>
      <sheetName val="Basic Info"/>
      <sheetName val="Global"/>
      <sheetName val="ADJ"/>
      <sheetName val="科目列表"/>
      <sheetName val="Entity"/>
      <sheetName val="ICP"/>
      <sheetName val="安全性"/>
      <sheetName val="平衡类型"/>
      <sheetName val="凭证类型"/>
      <sheetName val="组"/>
      <sheetName val="Base Info"/>
      <sheetName val="For Report"/>
      <sheetName val="Office Improve"/>
      <sheetName val="土建表三乙"/>
      <sheetName val="Ex Diff"/>
      <sheetName val="ZLR1"/>
      <sheetName val="A300 and U"/>
      <sheetName val="A510 - SAD"/>
      <sheetName val="C - Cash"/>
      <sheetName val="E - AR"/>
      <sheetName val="F - Stock"/>
      <sheetName val="K - FA"/>
      <sheetName val="O - Tax pay"/>
      <sheetName val="P - Other pay"/>
      <sheetName val="U200 - Selling expenses"/>
      <sheetName val="14"/>
      <sheetName val="Detail Loan Move_ _ Listing"/>
      <sheetName val="#511BkRec"/>
      <sheetName val="#511-SEPT97"/>
      <sheetName val="#511-OCT97"/>
      <sheetName val="#511-NOV97"/>
      <sheetName val="#511-DEC97"/>
      <sheetName val="P1"/>
      <sheetName val="11-1"/>
      <sheetName val="I"/>
      <sheetName val="FF-21(a)"/>
      <sheetName val="Staff List"/>
      <sheetName val="FS"/>
      <sheetName val="総合B"/>
      <sheetName val="AA#11"/>
      <sheetName val="DLDB10"/>
      <sheetName val="Customize Your Loan Manager"/>
      <sheetName val="AGENT"/>
      <sheetName val="Revenue"/>
      <sheetName val="902"/>
      <sheetName val="现 金 流 量 表"/>
      <sheetName val="Template"/>
      <sheetName val="Depts LOOKUP"/>
      <sheetName val="B331"/>
      <sheetName val="表21 净利润调节表"/>
      <sheetName val="lookups"/>
      <sheetName val="matrix"/>
      <sheetName val="2007.12折旧差异"/>
      <sheetName val="材料明细"/>
      <sheetName val="7 - ARO Assumptions"/>
      <sheetName val="主要规划指标"/>
      <sheetName val="6balancesheet2000"/>
      <sheetName val="CBS - App1"/>
      <sheetName val="Q1001"/>
      <sheetName val="E100"/>
      <sheetName val="N100"/>
      <sheetName val="Pls do not delete"/>
      <sheetName val="LEDGER"/>
      <sheetName val="Loc Master"/>
      <sheetName val="Input-Act-Adj"/>
      <sheetName val="Input-Bud"/>
      <sheetName val="Input-Act"/>
      <sheetName val="Input-PY"/>
      <sheetName val="P&amp;L Report-S"/>
      <sheetName val="P&amp;L Report-M"/>
      <sheetName val="Sch11"/>
      <sheetName val="Input"/>
      <sheetName val="安全服务"/>
      <sheetName val="C101"/>
      <sheetName val="Heads"/>
      <sheetName val="BOX SUM"/>
      <sheetName val="FIN GOOD"/>
      <sheetName val="Dati"/>
      <sheetName val="6001-TB_2021"/>
      <sheetName val="6001-TB_2020"/>
      <sheetName val="140101-1451by_category"/>
      <sheetName val="T__B"/>
      <sheetName val="OE_AC#41111"/>
      <sheetName val="For_AFS"/>
      <sheetName val="Customer_churn"/>
      <sheetName val="Transaction_rollforward"/>
      <sheetName val="Aging_analysis"/>
      <sheetName val="Credit_limit_analysis"/>
      <sheetName val="Comp_equip"/>
      <sheetName val="Mach_&amp;_equip"/>
      <sheetName val="XRef_Table"/>
      <sheetName val="Non-Statistical_Sampling"/>
      <sheetName val="725_BS"/>
      <sheetName val="BJ_Expenses"/>
      <sheetName val="Sample_Rev"/>
      <sheetName val="Sample_IS"/>
      <sheetName val="Probability_View"/>
      <sheetName val="FA_lead"/>
      <sheetName val="Invested_Capital"/>
      <sheetName val="BS_表"/>
      <sheetName val="Chart_of_acct_"/>
      <sheetName val="无形资产清单_"/>
      <sheetName val="Console_TB"/>
      <sheetName val="Vendor_Data"/>
      <sheetName val="IRR_&amp;_NPV"/>
      <sheetName val="Mov_from_2001_to_2003"/>
      <sheetName val="US_Bal_Sheet"/>
      <sheetName val="FA_Roll_to_GL_(p_2)"/>
      <sheetName val="Lead_(p_1)"/>
      <sheetName val="7_(2)"/>
      <sheetName val="18_存货"/>
      <sheetName val="Net_REVENUE"/>
      <sheetName val="勤務ｼﾌﾄﾍﾞｰｽ表_下期"/>
      <sheetName val="PAX_&amp;_SEATS_%"/>
      <sheetName val="Chart_of_Account"/>
      <sheetName val="L310-Adjustment_for_R&amp;D_cost"/>
      <sheetName val="Lease AP 2009"/>
      <sheetName val="Lease AP 2009 ITALY"/>
      <sheetName val="EDR Feb-09"/>
      <sheetName val="Entry 1412 - 2102"/>
      <sheetName val="PO upload sheet"/>
      <sheetName val="Italy Lease 2009"/>
      <sheetName val="2009"/>
      <sheetName val="REFERENCE FILE"/>
      <sheetName val="Gross Margin"/>
      <sheetName val="A5_灿星"/>
      <sheetName val="K701"/>
      <sheetName val="CON MR2K AL ck"/>
      <sheetName val="Currency Codes"/>
      <sheetName val="1. Scoping"/>
      <sheetName val="2. Expectation"/>
      <sheetName val="3. Variance threshold"/>
      <sheetName val="INPUT rates"/>
      <sheetName val="A3-CLA"/>
      <sheetName val="Leadsheet Template"/>
      <sheetName val="Input Sheet"/>
      <sheetName val="Virginia"/>
      <sheetName val="分录取数说明"/>
      <sheetName val="SignificantAcctsTemplate"/>
      <sheetName val="Configure"/>
      <sheetName val="D"/>
      <sheetName val="汇总自动调账龄"/>
      <sheetName val="Sheet8"/>
      <sheetName val="Criteria"/>
      <sheetName val="VA"/>
      <sheetName val="U110"/>
      <sheetName val="其他应收款-合并值"/>
      <sheetName val="USPCL"/>
      <sheetName val="PTC"/>
      <sheetName val="E Lead"/>
      <sheetName val="索引"/>
      <sheetName val="参数"/>
      <sheetName val="&lt;FF&gt; Tax Payable"/>
      <sheetName val="U324-Treaty ceding_船舶险"/>
      <sheetName val="회사정보"/>
      <sheetName val="이자율"/>
      <sheetName val="附表32 - 无形资产明细表"/>
      <sheetName val="GB11"/>
      <sheetName val="M2"/>
      <sheetName val="M2_100_集团外"/>
      <sheetName val="REVALUATION"/>
      <sheetName val="GRUPPO"/>
      <sheetName val="ELEN"/>
      <sheetName val="INTRACHECK"/>
      <sheetName val="3. Other gains"/>
      <sheetName val="XLR_NoRangeSheet"/>
      <sheetName val="附表5-2"/>
      <sheetName val="科目余额表(原稿)"/>
      <sheetName val="adj10#-b"/>
      <sheetName val="基础信息"/>
      <sheetName val="科目余额表"/>
      <sheetName val="IR1598"/>
      <sheetName val="TOP10"/>
      <sheetName val="UFPrn20220118134524"/>
      <sheetName val="EURMKTG"/>
      <sheetName val="12月发生额与余额表"/>
      <sheetName val="UP1"/>
      <sheetName val="UP3"/>
      <sheetName val="List"/>
      <sheetName val="壓摸穿燈"/>
      <sheetName val="PSD-BICUTAN"/>
      <sheetName val="当前明细账"/>
      <sheetName val="Breakdown"/>
      <sheetName val="Category"/>
      <sheetName val="263-B2 Business Segment BS 2005"/>
      <sheetName val="Production"/>
      <sheetName val="Daily net avail"/>
      <sheetName val="BRL_package_2020"/>
      <sheetName val="O3"/>
      <sheetName val="Cover sheet"/>
      <sheetName val="P2"/>
      <sheetName val="A_Trial_Balance_mapping"/>
      <sheetName val="Revenue Trend New Prod_Update_i"/>
      <sheetName val="Dashboard"/>
      <sheetName val="年初追溯"/>
      <sheetName val="2020.12.31"/>
      <sheetName val="Technology ID"/>
      <sheetName val="CRA-Detail"/>
      <sheetName val="八、关联方"/>
      <sheetName val="Scoping"/>
      <sheetName val="Loan Movement "/>
      <sheetName val="BS vs Rpt"/>
      <sheetName val="2012 BS with Rpt Jan-Apr"/>
      <sheetName val="Cashflow"/>
      <sheetName val="DIVIDEND LONG"/>
      <sheetName val="2012 IS with Rpt Jan-Apr (2)"/>
      <sheetName val="LdrPkg IS"/>
      <sheetName val="Library Procedures"/>
      <sheetName val="PM"/>
      <sheetName val="201810"/>
      <sheetName val="Adf par resp"/>
      <sheetName val="科目名称库"/>
      <sheetName val="T2S8M"/>
      <sheetName val="2-ReadResv"/>
      <sheetName val="披露表(国资)"/>
      <sheetName val="C3WB Revenue3 and Receivables"/>
      <sheetName val="SW-TEO"/>
      <sheetName val="JUly97"/>
      <sheetName val="SAL-2000"/>
      <sheetName val="Client Data"/>
      <sheetName val="4035.4"/>
      <sheetName val="KSB1"/>
      <sheetName val="Intrep"/>
      <sheetName val="2001预提费用"/>
      <sheetName val="基础资产清单"/>
      <sheetName val="假设和输出"/>
      <sheetName val="IS Summary-96"/>
      <sheetName val="Namelist"/>
      <sheetName val="Cashbook"/>
      <sheetName val="AP018"/>
      <sheetName val="AP019"/>
      <sheetName val="AP020"/>
      <sheetName val="AP021"/>
      <sheetName val="AP022"/>
      <sheetName val="AP023"/>
      <sheetName val="AP026"/>
      <sheetName val="AP001_JiFeng"/>
      <sheetName val="AP010_KeXunBaoZhuang"/>
      <sheetName val="AP011_YiLi"/>
      <sheetName val="AP012_"/>
      <sheetName val="AP013_HuaLian"/>
      <sheetName val="AP015_Jinchang"/>
      <sheetName val="AP016"/>
      <sheetName val="AP017"/>
      <sheetName val="AP002_SanJi"/>
      <sheetName val="AP027"/>
      <sheetName val="AP003_QiDianMo"/>
      <sheetName val="AP004_FengZheng"/>
      <sheetName val="AP005_HanBuo"/>
      <sheetName val="AP006_SiYin"/>
      <sheetName val="AP007_DeLiTai"/>
      <sheetName val="AP008_ZhongYa"/>
      <sheetName val="AP009_YiDa"/>
      <sheetName val="AP9990"/>
      <sheetName val="AP9999"/>
      <sheetName val="계획"/>
      <sheetName val="Nebenrechnungen"/>
      <sheetName val="调16"/>
      <sheetName val="审计调整"/>
      <sheetName val="基础数据"/>
      <sheetName val="Payments"/>
      <sheetName val="DPI"/>
      <sheetName val="分产品销售收入、成本分析表"/>
      <sheetName val="Cles"/>
      <sheetName val="PROD."/>
      <sheetName val="调整说明"/>
      <sheetName val="Lessee Import new lease"/>
      <sheetName val="ex-rate"/>
      <sheetName val="POINTAGE (2)"/>
      <sheetName val="OP Assets"/>
      <sheetName val="Timed Plan"/>
      <sheetName val="Disclosure Summary"/>
      <sheetName val="Detail Test"/>
      <sheetName val="dklx"/>
      <sheetName val="BASE"/>
      <sheetName val="AR"/>
      <sheetName val="BR"/>
      <sheetName val="CA"/>
      <sheetName val="CO"/>
      <sheetName val="EIU"/>
      <sheetName val="Euro"/>
      <sheetName val="FI"/>
      <sheetName val="LEB"/>
      <sheetName val="MEX"/>
      <sheetName val="S&amp;P"/>
      <sheetName val="UK"/>
      <sheetName val="E1_100ARBreakdown"/>
      <sheetName val="E1_700贷项余额"/>
      <sheetName val="F100_RM"/>
      <sheetName val="F300_FG"/>
      <sheetName val="F200_WIP"/>
      <sheetName val="OT Hours"/>
      <sheetName val="Graph 1"/>
      <sheetName val="ADDITION"/>
      <sheetName val="长待摊明细表"/>
      <sheetName val="医院进销存"/>
      <sheetName val="一周期10片价格"/>
      <sheetName val="一周期6片价格"/>
      <sheetName val="2003年代表医院指标-一周期"/>
      <sheetName val="一周期IND价格"/>
      <sheetName val="部门"/>
      <sheetName val="Apr07"/>
      <sheetName val="Setup"/>
      <sheetName val="真实性U120C"/>
      <sheetName val="内销收人"/>
      <sheetName val="固定资产卡片"/>
      <sheetName val="txfyb"/>
      <sheetName val="lrjsb"/>
      <sheetName val="zjfyb"/>
      <sheetName val="jcsjb"/>
      <sheetName val="zjsyb"/>
      <sheetName val="cbfyb"/>
      <sheetName val="ldzjb"/>
      <sheetName val="Change Log"/>
      <sheetName val="Ass"/>
      <sheetName val="Sum"/>
      <sheetName val="Depr"/>
      <sheetName val="PCP"/>
      <sheetName val="IS"/>
      <sheetName val="CF"/>
      <sheetName val="Presentation"/>
      <sheetName val="Valuation"/>
      <sheetName val="Cost &amp; Expenses"/>
      <sheetName val="Value"/>
      <sheetName val="Man"/>
      <sheetName val="Working Cap"/>
      <sheetName val="Invest"/>
      <sheetName val="rates"/>
      <sheetName val="Relationship Analysis"/>
      <sheetName val="Transaction type"/>
      <sheetName val="C3W Summary"/>
      <sheetName val="final_1"/>
      <sheetName val="Credit debit analysis"/>
      <sheetName val="Changes in vendor master file"/>
      <sheetName val="Transaction group"/>
      <sheetName val="Relationship Analysis(1)"/>
      <sheetName val="App24  working"/>
      <sheetName val="Accrual"/>
      <sheetName val="C3WD Secondary and Tertiary"/>
      <sheetName val="P2_100Breakdown"/>
      <sheetName val="_http___xinc_Documents_and_S_11"/>
      <sheetName val="_http___xinc_Documents_and_S_12"/>
      <sheetName val="_http___xinc_Documents_and_S_13"/>
      <sheetName val="_http___xinc_Documents_and_S_14"/>
      <sheetName val="_http___xinc_Documents_and_S_15"/>
      <sheetName val="_http___xinc_Documents_and_S_16"/>
      <sheetName val="_http___xinc_Documents_and_S_17"/>
      <sheetName val="_http___xinc_Documents_and_S_18"/>
      <sheetName val="_http___xinc_Documents_and_S_19"/>
      <sheetName val="_http___xinc_Documents_and_S_20"/>
      <sheetName val="_http___xinc_Documents_and_S_21"/>
      <sheetName val="_http___xinc_Documents_and_S_22"/>
      <sheetName val="_http___xinc_Documents_and_S_23"/>
      <sheetName val="_http___xinc_Documents_and_S_24"/>
      <sheetName val="_http___xinc_Documents_and_S_25"/>
      <sheetName val="_http___xinc_Documents_and_S_26"/>
      <sheetName val="_http___xinc_Documents_and_S_27"/>
      <sheetName val="_http___xinc_Documents_and_S_28"/>
      <sheetName val="_http___xinc_Documents_and_S_29"/>
      <sheetName val="_http___xinc_Documents_and_S_30"/>
      <sheetName val="_http___xinc_Documents_and_S_31"/>
      <sheetName val="_http___xinc_Documents_and_S_32"/>
      <sheetName val="_http___xinc_Documents_and_S_33"/>
      <sheetName val="_http___xinc_Documents_and_S_34"/>
      <sheetName val="_http___xinc_Documents_and_S_35"/>
      <sheetName val="_http___xinc_Documents_and_S_36"/>
      <sheetName val="U1120"/>
      <sheetName val="A500 AJE"/>
      <sheetName val=" IncStatementMulti_Accts(1)"/>
      <sheetName val="Debit credit analysis"/>
      <sheetName val="BP 2001 rates"/>
      <sheetName val="2002年预提费用"/>
      <sheetName val="SCH 1B, 1B-1 &amp; 1B-2"/>
      <sheetName val="累计销售"/>
      <sheetName val="TB_累2"/>
      <sheetName val="TB_当2"/>
      <sheetName val="TB_累1"/>
      <sheetName val="BKD"/>
      <sheetName val="ARP_G101"/>
      <sheetName val="ARP_U301"/>
      <sheetName val="E221"/>
      <sheetName val="RB"/>
      <sheetName val="Sundries creditors"/>
      <sheetName val="Advance to staff"/>
      <sheetName val="试算资产负债表"/>
      <sheetName val="C1"/>
      <sheetName val="管理费用(集团董事会)"/>
      <sheetName val="Tickmarks"/>
      <sheetName val="U700"/>
      <sheetName val="U200"/>
      <sheetName val="审定表"/>
      <sheetName val="Pre Model"/>
      <sheetName val="单位名录"/>
      <sheetName val="初始设定"/>
      <sheetName val="PLAC"/>
      <sheetName val="2004"/>
      <sheetName val="Incometl"/>
      <sheetName val="售楼明细"/>
      <sheetName val="Uexp_Lead-美国子公司"/>
      <sheetName val="汇总-美国子公司"/>
      <sheetName val="销售6.13"/>
      <sheetName val="H4000-05-01披露表(上市)"/>
      <sheetName val="HB"/>
      <sheetName val="preBS"/>
      <sheetName val="preCF"/>
      <sheetName val="preIS"/>
      <sheetName val="preCE"/>
      <sheetName val="关联方"/>
      <sheetName val="C_200银行余额调节表"/>
      <sheetName val="汇总底稿"/>
      <sheetName val="方案分析 (分产品)"/>
      <sheetName val="成本表"/>
      <sheetName val="合并抵消分录"/>
      <sheetName val="快报清单"/>
      <sheetName val="合并清单"/>
      <sheetName val="CCtr structure"/>
      <sheetName val="综合概算"/>
      <sheetName val="毛利率分析表"/>
      <sheetName val="DEFLEET APR-05"/>
      <sheetName val="COA"/>
      <sheetName val="tf04"/>
      <sheetName val="PLALL"/>
      <sheetName val="F-5"/>
      <sheetName val="ADRESSES"/>
      <sheetName val="5 Analysis"/>
      <sheetName val="_0081231"/>
      <sheetName val="UFPrn20090225195104"/>
      <sheetName val="Tables"/>
      <sheetName val="综合成本分析01.01-0205"/>
      <sheetName val="A401"/>
      <sheetName val="Cash"/>
      <sheetName val="NewB Sheet"/>
      <sheetName val="P&amp;L Summary Page"/>
      <sheetName val="Par"/>
      <sheetName val="Invoice detail"/>
      <sheetName val="뒤차축소"/>
      <sheetName val="匯率"/>
      <sheetName val="Cost-Tracking Detail"/>
      <sheetName val="新准则TB"/>
      <sheetName val="XBase"/>
      <sheetName val="INDICADORES"/>
      <sheetName val="MAR"/>
      <sheetName val="附注汇总"/>
      <sheetName val="报表目录"/>
      <sheetName val="H R"/>
      <sheetName val="graph1"/>
      <sheetName val="A300_"/>
      <sheetName val="FO-PastDue"/>
      <sheetName val="短期借款余额表"/>
      <sheetName val="资产评估结果分类汇总表 (2)"/>
      <sheetName val="新科目余额"/>
      <sheetName val="Menu"/>
      <sheetName val="TB's by Pak Code"/>
      <sheetName val="Sheet9"/>
      <sheetName val="1st AP"/>
      <sheetName val="BALANCE SHEET"/>
      <sheetName val="审计调整分录"/>
      <sheetName val="accode"/>
      <sheetName val="Exp"/>
      <sheetName val="1461（12.6）"/>
      <sheetName val="N_Lead"/>
      <sheetName val="A.R 01"/>
      <sheetName val="Month 8"/>
      <sheetName val="2002年资产负债表"/>
      <sheetName val="原版"/>
      <sheetName val="sz2"/>
      <sheetName val="Consol worksheet-Final"/>
      <sheetName val="MV"/>
      <sheetName val="Freezers"/>
      <sheetName val="币种"/>
      <sheetName val="公司清单"/>
      <sheetName val="C-Summary"/>
      <sheetName val="analyse"/>
      <sheetName val="P220_高管薪酬分析 (2)"/>
      <sheetName val="Chart of Acct"/>
      <sheetName val="通玻"/>
      <sheetName val="应收账款"/>
      <sheetName val="PRC GAAP"/>
      <sheetName val="A3_conso"/>
      <sheetName val="VARIABLES"/>
      <sheetName val="C_100Breakdown"/>
      <sheetName val="C_110函证控制表"/>
      <sheetName val="dt"/>
      <sheetName val="SAR"/>
      <sheetName val="Summ"/>
      <sheetName val="Options"/>
      <sheetName val="DFA"/>
      <sheetName val="Reporting"/>
      <sheetName val="BQMPALOC"/>
      <sheetName val="Baseline Exp"/>
      <sheetName val="项目部经营情况表"/>
      <sheetName val="沈阳三生商品总帐2006"/>
      <sheetName val="PROCESS"/>
      <sheetName val="Cash &amp; Bank"/>
      <sheetName val="2003(4)"/>
      <sheetName val="本月在途2003(5)"/>
      <sheetName val="6.比較資產負債表"/>
      <sheetName val="稅籍代碼檢查表"/>
      <sheetName val="0-2.資料聯"/>
      <sheetName val="基本稅額計算"/>
      <sheetName val="0-1.基本資料"/>
      <sheetName val="EFTvsTAXmapping"/>
      <sheetName val="4.損益表"/>
      <sheetName val="9.各類給付扣繳表"/>
      <sheetName val="M3_M4"/>
      <sheetName val="M3_M4_(2)"/>
      <sheetName val="2004.12.31"/>
      <sheetName val="坯布"/>
      <sheetName val="材料"/>
      <sheetName val="外销"/>
      <sheetName val="Fixed assets"/>
      <sheetName val="General"/>
      <sheetName val="P"/>
      <sheetName val="FDREPORT"/>
      <sheetName val="封面 Cover"/>
      <sheetName val="目录 Index"/>
      <sheetName val="补贴收入Dy"/>
      <sheetName val="应收账款Dy"/>
      <sheetName val="坏账准备_应收账款Dy"/>
      <sheetName val="预收账款Dy"/>
      <sheetName val="其他应交款Dy"/>
      <sheetName val="坏账准备_应收账款Mx"/>
      <sheetName val="参数表"/>
      <sheetName val="Revenue_Trend_New_Prod_Update_2"/>
      <sheetName val="基本资料"/>
      <sheetName val="o"/>
      <sheetName val="假设"/>
      <sheetName val="6月"/>
      <sheetName val="待摊费用明细表"/>
      <sheetName val="电子"/>
      <sheetName val="schdl"/>
      <sheetName val="Timing"/>
      <sheetName val="Q.CF-E01"/>
      <sheetName val="conCF"/>
      <sheetName val="conWP"/>
      <sheetName val="key parameter1st"/>
      <sheetName val="FC switches"/>
      <sheetName val="6641"/>
      <sheetName val="审计程序"/>
      <sheetName val="ﾁｮｺ停回数"/>
      <sheetName val="ﾁｮｺ停時間"/>
      <sheetName val="POV"/>
      <sheetName val="Finance Cost Center"/>
      <sheetName val="Site"/>
      <sheetName val="Vendor"/>
      <sheetName val="固定"/>
      <sheetName val="在建"/>
      <sheetName val="期间"/>
      <sheetName val="主营收支"/>
      <sheetName val="PL底稿"/>
      <sheetName val="A500_adjustment"/>
      <sheetName val="预算假设-项目状态"/>
      <sheetName val="ITEM"/>
      <sheetName val="老股估值及退出价格测算"/>
      <sheetName val="标本-资产"/>
      <sheetName val="06.11.24SAP"/>
      <sheetName val="标400章台账"/>
      <sheetName val="威娜"/>
      <sheetName val="A3_影视技术"/>
      <sheetName val="P &amp; L Account"/>
      <sheetName val="K(GDH)"/>
      <sheetName val="To tied 2001 opening RE"/>
      <sheetName val="338 Apparel"/>
      <sheetName val="Table"/>
      <sheetName val="Upload Apr 13"/>
      <sheetName val="96BP"/>
      <sheetName val="资金状况表"/>
      <sheetName val="SZSales07"/>
      <sheetName val="MthCust2007"/>
      <sheetName val="dbase"/>
      <sheetName val="利润表"/>
      <sheetName val="2.1 收入"/>
      <sheetName val="2.2营业成本"/>
      <sheetName val="1.10 长期应收款"/>
      <sheetName val="1.35应付债券"/>
      <sheetName val="1.22 短期借款"/>
      <sheetName val="B_负债及权益汇总"/>
      <sheetName val="1.11 发放贷款及垫款 "/>
      <sheetName val="1.20  长期待摊费用"/>
      <sheetName val="2.3 预收账款 "/>
      <sheetName val="2.5 应付职工薪酬"/>
      <sheetName val="1.6 应收股利"/>
      <sheetName val="1.18 开发支出 "/>
      <sheetName val="1.21 递延所得税资产&amp;负债"/>
      <sheetName val="3.1 应交税费"/>
      <sheetName val="1.1 短期借款"/>
      <sheetName val="1.4 其他流动负债"/>
      <sheetName val="4.6 吸收存款及同业存放"/>
      <sheetName val="2.1 应付票据"/>
      <sheetName val="2.6 其他应付款"/>
      <sheetName val="4.5 一年内到期的非流动负债"/>
      <sheetName val="1.3 应付债券"/>
      <sheetName val="4.1 预计负债"/>
      <sheetName val="4.4 其他非流动负债"/>
      <sheetName val="5.3 资本公积"/>
      <sheetName val="5.7 未分配利润"/>
      <sheetName val="5.8 少数股东权益"/>
      <sheetName val="1.43 应收利息"/>
      <sheetName val="5.1 股本"/>
      <sheetName val="Cover &amp; setup"/>
      <sheetName val="Cost structure Alcatel"/>
      <sheetName val="Assumptions"/>
      <sheetName val="合并抵消-2014"/>
      <sheetName val="表外事项"/>
      <sheetName val="表外项目－银行承兑汇票（外币）"/>
      <sheetName val="表外项目-银行承兑汇票（人民币）"/>
      <sheetName val="表外项目-开出保证凭信"/>
      <sheetName val="表外项目-开来保证凭信"/>
      <sheetName val="表外--信用证项下出口款项"/>
      <sheetName val="表外应收利息"/>
      <sheetName val="贷款前十名"/>
      <sheetName val="再贴现"/>
      <sheetName val="转贴现"/>
      <sheetName val="纳税调整表"/>
      <sheetName val="未决诉讼事项"/>
      <sheetName val="房屋租赁承诺"/>
      <sheetName val="应付利息（安永）"/>
      <sheetName val="财务承诺（安永）"/>
      <sheetName val="呆帐准备(安永）"/>
      <sheetName val="关联交易-贷款"/>
      <sheetName val="关联交易--资产负债类项目"/>
      <sheetName val="关联交易-表外及其他业务"/>
      <sheetName val="关联交易_存款"/>
      <sheetName val="¹ØÁª½»Ò×-´æ¿î"/>
      <sheetName val="±íÍâÊÂÏî"/>
      <sheetName val="±íÍâÏîÄ¿£­ÒøÐÐ³Ð¶Ò»ãÆ±£¨Íâ±Ò£©"/>
      <sheetName val="±íÍâÏîÄ¿-ÒøÐÐ³Ð¶Ò»ãÆ±£¨ÈËÃñ±Ò£©"/>
      <sheetName val="±íÍâÏîÄ¿-¿ª³ö±£Ö¤Æ¾ÐÅ"/>
      <sheetName val="±íÍâÏîÄ¿-¿ªÀ´±£Ö¤Æ¾ÐÅ"/>
      <sheetName val="±íÍâ--ÐÅÓÃÖ¤ÏîÏÂ³ö¿Ú¿îÏî"/>
      <sheetName val="±íÍâÓ¦ÊÕÀûÏ¢"/>
      <sheetName val="´û¿îÇ°Ê®Ãû"/>
      <sheetName val="ÔÙÌùÏÖ"/>
      <sheetName val="×ªÌùÏÖ"/>
      <sheetName val="ÄÉË°µ÷Õû±í"/>
      <sheetName val="Î´¾öËßËÏÊÂÏî"/>
      <sheetName val="·¿ÎÝ×âÁÞ³ÐÅµ"/>
      <sheetName val="Ó¦¸¶ÀûÏ¢£¨°²ÓÀ£©"/>
      <sheetName val="²ÆÎñ³ÐÅµ£¨°²ÓÀ£©"/>
      <sheetName val="´ôÕÊ×¼±¸(°²ÓÀ£©"/>
      <sheetName val="¹ØÁª½»Ò×-´û¿î"/>
      <sheetName val="¹ØÁª½»Ò×--×Ê²ú¸ºÕ®ÀàÏîÄ¿"/>
      <sheetName val="¹ØÁª½»Ò×-±íÍâ¼°ÆäËûÒµÎñ"/>
      <sheetName val="设备部房屋"/>
      <sheetName val="ADJ Sum(console)"/>
      <sheetName val="Defer tax"/>
      <sheetName val="法士特"/>
      <sheetName val="陕重汽"/>
      <sheetName val="株洲齿轮"/>
      <sheetName val="火炬进出口"/>
      <sheetName val="机械制造"/>
      <sheetName val="火炬房地产"/>
      <sheetName val="火花塞"/>
      <sheetName val="汽车密封"/>
      <sheetName val="汽车灯具"/>
      <sheetName val="汽车电器"/>
      <sheetName val="东风越野"/>
      <sheetName val="富通"/>
      <sheetName val="新疆进出口"/>
      <sheetName val="北京汇科盈"/>
      <sheetName val="上海和达"/>
      <sheetName val="MAT"/>
      <sheetName val="小合并"/>
      <sheetName val="??????¡¤???¡À¨ª"/>
      <sheetName val="??ユ-蹿"/>
      <sheetName val="??交易-存款"/>
      <sheetName val="______¡¤___¡À¨ª"/>
      <sheetName val="Estimated AP 9.03"/>
      <sheetName val="__ユ-蹿"/>
      <sheetName val="__交易-存款"/>
      <sheetName val="P201(F)"/>
      <sheetName val="C100-现金"/>
      <sheetName val="资产负债表(1)"/>
      <sheetName val="其他业务收入成本明细表"/>
      <sheetName val="申报表封面"/>
      <sheetName val="E201"/>
      <sheetName val="2005.06"/>
      <sheetName val="J200"/>
      <sheetName val="关联交易-存款a"/>
      <sheetName val="关联交易-存款%ঀȿঀȿ_x0001_"/>
      <sheetName val="Mar OR"/>
      <sheetName val="F100"/>
      <sheetName val="M"/>
      <sheetName val="A_R_01"/>
      <sheetName val="Defer_tax"/>
      <sheetName val="ADJ_Sum(console)"/>
      <sheetName val="Estimated_AP_9_03"/>
      <sheetName val="REC 97"/>
      <sheetName val="应付明细表(07年)"/>
      <sheetName val="U401"/>
      <sheetName val="U501"/>
      <sheetName val="关联交易-存款h_x0001__x0001_"/>
      <sheetName val="关联交易-存款hࢀ ࢀ _x0001_"/>
      <sheetName val="N23-1-预付、其他应收等"/>
      <sheetName val="daywork- Tham khao"/>
      <sheetName val="20140331"/>
      <sheetName val="20130331"/>
      <sheetName val="20131231"/>
      <sheetName val="20121231"/>
      <sheetName val="20111231"/>
      <sheetName val="20101231"/>
      <sheetName val="SAD"/>
      <sheetName val="说明1"/>
      <sheetName val="DataEntry"/>
      <sheetName val="Assets"/>
      <sheetName val="Parameters"/>
      <sheetName val="关联交易-存款h_x0001_"/>
      <sheetName val="项目"/>
      <sheetName val="________-____"/>
      <sheetName val="________"/>
      <sheetName val="______________________________"/>
      <sheetName val="________-______________________"/>
      <sheetName val="________-____________"/>
      <sheetName val="____--__________________"/>
      <sheetName val="____________"/>
      <sheetName val="__________"/>
      <sheetName val="______"/>
      <sheetName val="________________"/>
      <sheetName val="________(______"/>
      <sheetName val="________--______________"/>
      <sheetName val="________-______________"/>
      <sheetName val="????????-????"/>
      <sheetName val="????????"/>
      <sheetName val="??????????????????????????????"/>
      <sheetName val="????????-??????????????????????"/>
      <sheetName val="????????-????????????"/>
      <sheetName val="????--??????????????????"/>
      <sheetName val="????????????"/>
      <sheetName val="??????????"/>
      <sheetName val="??????"/>
      <sheetName val="????????????????"/>
      <sheetName val="????????(??????"/>
      <sheetName val="????????--??????????????"/>
      <sheetName val="????????-??????????????"/>
      <sheetName val="office supplies"/>
      <sheetName val="G&amp;A_Jan"/>
      <sheetName val="2006应付账款"/>
      <sheetName val="truc tiep"/>
      <sheetName val="关联交易-存款a_x"/>
      <sheetName val="关联交易-存款h_x0001__x0001__x"/>
      <sheetName val="关联交易-存款_x0"/>
      <sheetName val="N29-1-预收款及其他应付款项"/>
      <sheetName val="关联方清单"/>
      <sheetName val="????-??"/>
      <sheetName val="Consol_OR"/>
      <sheetName val="P.1预收、其他应付、其他流动负债"/>
      <sheetName val="后台"/>
      <sheetName val="G.预付账款、其他应收款、其他流动资产"/>
      <sheetName val=" U150"/>
      <sheetName val="销售收入成本"/>
      <sheetName val="关联交易-存款%ঀȿঀȿ_x005f_x0001_"/>
      <sheetName val="申报表封面Cover"/>
      <sheetName val="2-分类汇总 Classified Summary"/>
      <sheetName val="关联交易-存款a_x005f_x0000__x005f_x0000__x005f_x0000__x"/>
      <sheetName val="关联交易-存款%ঀȿঀȿ_x005f_x005f_x005f_x0001_"/>
      <sheetName val="Financ. Overview"/>
      <sheetName val="各年往来 (2)"/>
      <sheetName val="IFRS REPORTING"/>
      <sheetName val="PLJAN"/>
      <sheetName val="____-__"/>
      <sheetName val="汇率表"/>
      <sheetName val="C4_"/>
      <sheetName val="关联交易-存款h_x005f_x0001__x005f_x0000__x005f_x0001__x"/>
      <sheetName val="关联交易-存款hࢀ ࢀ _x005f_x0001_"/>
      <sheetName val="15年研发项目定稿"/>
      <sheetName val="S应收票据"/>
      <sheetName val="±íÍâÏîÄ¿£­ÒøÐÐ³Ð6Ò»ãÆ±£¨Íâ±Ò£©"/>
      <sheetName val="±íÍâÏîÄ¿-ÒøÐÐ³Ð¶Ò»ãÆ±#¨ÈËÃñ±Ò£©"/>
      <sheetName val="±íÍâÏîÄ¿-¿ª³ö±£Ö¤Æ¾PÅ"/>
      <sheetName val="´û¿îÇ°J®Ãû"/>
      <sheetName val="×ªÌyÏÖ"/>
      <sheetName val="下拉列表存储页"/>
      <sheetName val="N21-2-期末存货整车分车型"/>
      <sheetName val="ENT"/>
      <sheetName val="FTHL"/>
      <sheetName val="GX"/>
      <sheetName val="IN"/>
      <sheetName val="ITCD"/>
      <sheetName val="LVLT"/>
      <sheetName val="MFNX"/>
      <sheetName val="NOPT"/>
      <sheetName val="TCM"/>
      <sheetName val="TSIX"/>
      <sheetName val="WCG"/>
      <sheetName val="关联交易-存款_x005f_x0000__x005f_x0000__x005f_x0000__x0"/>
      <sheetName val="A5.Summary"/>
      <sheetName val="关联交易-存款a_x005f_x005f_x005f_x0000__x005f_x005f_x00"/>
      <sheetName val="关联交易-存款h_x005f_x0001_"/>
      <sheetName val="关联交易-存款%ঀȿঀȿ_x005f_x005f_x005f_x005f_x005f_x005f_"/>
      <sheetName val="关联交易-存款_x005f_x005f_x005f_x0000__x005f_x005f_x000"/>
      <sheetName val="关联交易-存款h_x005f_x005f_x005f_x0001__x005f_x005f_x00"/>
      <sheetName val="关联交易-存款hࢀ ࢀ _x005f_x005f_x005f_x0001_"/>
      <sheetName val="link"/>
      <sheetName val="2012"/>
      <sheetName val="关联交易-存款a_x005f_x005f_x005f_x005f_x005f_x005f_x000"/>
      <sheetName val="固定资产预测"/>
      <sheetName val="土地底稿"/>
      <sheetName val="zero (3)"/>
      <sheetName val="3.2"/>
      <sheetName val="热力系统"/>
      <sheetName val="A3_20141231"/>
      <sheetName val="F101"/>
      <sheetName val="삅ོ䚋栠"/>
      <sheetName val="삅ོ䚋栠Ѫ"/>
      <sheetName val="삅ོ䚋"/>
      <sheetName val="삅ོ䚋栠Ѫࡪ㋨ﯾ_xffff_ﱅ잃蔐緀薼"/>
      <sheetName val="삅ོ䚋栠Ѫࡪ㋨ﯾ_xffff_ﱅ잃蔐緀薼糀"/>
      <sheetName val="삅ོ䚋栠Ѫࡪ㋨ﯾ_xffff_ﱅ"/>
      <sheetName val="삅ོ䚋栠Ѫࡪ㋨ﯾ_xffff_ﱅ잃蔐"/>
      <sheetName val="삅ོ䚋栠Ѫࡪ㋨"/>
      <sheetName val="삅ོ䚋栠Ѫࡪ㋨ﯾ_xffff_ﱅ잃"/>
      <sheetName val="삅ོ䚋栠Ѫࡪ㋨ﯾ_xffff_ﱅ잃蔐緀薼糀謋⁎橓晴￻孟싉_x0004_譕凬䚋茠ﱥ"/>
      <sheetName val="삅ོ䚋栠Ѫࡪ㋨ﯾ_xffff_ﱅ잃蔐緀薼糀謋⁎橓晴￻孟싉_x0004_譕凬䚋茠ﱥ謀"/>
      <sheetName val="삅ོ䚋栠Ѫࡪ㋨ﯾ_xffff_ﱅ잃蔐緀薼糀謋⁎橓晴"/>
      <sheetName val="삅ོ䚋栠Ѫࡪ㋨ﯾ_xffff_ﱅ잃蔐緀薼糀謋⁎橓晴￻孟싉"/>
      <sheetName val="삅ོ䚋栠Ѫࡪ㋨ﯾ_xffff_"/>
      <sheetName val="삅ོ䚋栠Ѫࡪ㋨ﯾ_xffff_ﱅ잃蔐緀薼糀謋⁎橓晴￻孟"/>
      <sheetName val="关联交易-存款lঀ;ঀ;_x0001_"/>
      <sheetName val="关联交易-存款l઀Ƽ઀Ƽ_x0001_"/>
      <sheetName val="A_R_011"/>
      <sheetName val="Defer_tax1"/>
      <sheetName val="ADJ_Sum(console)1"/>
      <sheetName val="Estimated_AP_9_031"/>
      <sheetName val="2005_06"/>
      <sheetName val="关联交易-存款%ঀȿঀȿ"/>
      <sheetName val="Mar_OR"/>
      <sheetName val="关联交易-存款h"/>
      <sheetName val="关联交易-存款hࢀ_ࢀ_"/>
      <sheetName val="REC_97"/>
      <sheetName val="daywork-_Tham_khao"/>
      <sheetName val="TB_Link"/>
      <sheetName val="A3 Sum"/>
      <sheetName val="Invest "/>
      <sheetName val="选项"/>
      <sheetName val="填列指引"/>
      <sheetName val="关联交易-存款h_x005f_x005f_x005f_x0001_"/>
      <sheetName val="23"/>
      <sheetName val="Inv_days #5"/>
      <sheetName val="arDB"/>
      <sheetName val="control sheet fund II"/>
      <sheetName val="封面"/>
      <sheetName val="调整分录汇总上年"/>
      <sheetName val="调整分录汇总本年"/>
      <sheetName val="科目名称"/>
      <sheetName val="Exec Summary"/>
      <sheetName val="待摊费用审定表"/>
      <sheetName val="货币资金审定表"/>
      <sheetName val="销售成本审定表"/>
      <sheetName val="销售费用审定表"/>
      <sheetName val="应付帐款"/>
      <sheetName val="估值折扣率表"/>
      <sheetName val="关联交易-存款a_x005f_x0000__x00"/>
      <sheetName val="关联交易-存款h_x005f_x0001__x00"/>
      <sheetName val="关联交易-存款%ঀȿঀȿ_x005f_x005f_"/>
      <sheetName val="关联交易-存款a_x005f_x005f_x000"/>
      <sheetName val="关联交易-存款_x005f_x0000__x000"/>
      <sheetName val="N.应付账款"/>
      <sheetName val="表头内容"/>
      <sheetName val="TAB.Daten"/>
      <sheetName val="IR_Deckblatt"/>
      <sheetName val="42贴现"/>
      <sheetName val="43贴现融资"/>
      <sheetName val="U40"/>
      <sheetName val="业招费"/>
      <sheetName val="关联交易-存款h_x005f_x005f_x005f_x005f_x005f_x005f_x000"/>
      <sheetName val="关联交易-存款hࢀ ࢀ _x005f_x005f_x005f_x005f_x005f_x005f_"/>
      <sheetName val="关联交易-存款_x005f_x005f_x005f_x005f_x005f_x005f_x0000"/>
      <sheetName val="关联交易-存款a_x005f_x005f_x005f_x005f_x005f_x005f_x005"/>
      <sheetName val="삅ོ䚋栠Ѫ_x005f_x0000_ࡪ㋨ﯾ_x005f_xffff_ﱅ잃蔐緀薼"/>
      <sheetName val="삅ོ䚋栠Ѫ_x005f_x0000_ࡪ㋨ﯾ_x005f_xffff_ﱅ잃蔐緀薼糀"/>
      <sheetName val="삅ོ䚋栠Ѫ_x005f_x0000_ࡪ㋨ﯾ_x005f_xffff_ﱅ"/>
      <sheetName val="삅ོ䚋栠Ѫ_x005f_x0000_ࡪ㋨ﯾ_x005f_xffff_ﱅ잃蔐"/>
      <sheetName val="삅ོ䚋栠Ѫ_x005f_x0000_ࡪ㋨"/>
      <sheetName val="삅ོ䚋栠Ѫ_x005f_x0000_ࡪ㋨ﯾ_x005f_xffff_ﱅ잃"/>
      <sheetName val="삅ོ䚋栠Ѫ_x005f_x0000_ࡪ㋨ﯾ_x005f_xffff_ﱅ잃蔐緀薼糀謋⁎橓"/>
      <sheetName val="삅ོ䚋栠Ѫ_x005f_x0000_ࡪ㋨ﯾ_x005f_xffff_"/>
      <sheetName val="关联交易-存款lঀ;ঀ;_x005f_x0001_"/>
      <sheetName val="关联交易-存款l઀Ƽ઀Ƽ_x005f_x0001_"/>
      <sheetName val="综合"/>
      <sheetName val="关联交易-存款_x005f_x005f_x0000"/>
      <sheetName val="关联交易-存款h_x005f_x005f_x000"/>
      <sheetName val="关联交易-存款hࢀ ࢀ _x005f_x005f_"/>
      <sheetName val="F2100-半成品"/>
      <sheetName val="F2000-委托加工物资"/>
      <sheetName val="F1000芯片"/>
      <sheetName val="F1100芯片测试费 "/>
      <sheetName val="其他應付款代碼"/>
      <sheetName val="按产品收入汇总"/>
      <sheetName val="HP"/>
      <sheetName val="FA1"/>
      <sheetName val="SCHE-F"/>
      <sheetName val="关联交易-存款a_x005f_x005f_x005f_x0000__x00"/>
      <sheetName val="关联交易-存款%ঀȿঀȿ_x005f_x005f_x005f_x005f_"/>
      <sheetName val="科目源"/>
      <sheetName val="科目"/>
      <sheetName val="9D4FF100"/>
      <sheetName val="2-回收分析"/>
      <sheetName val="控制页"/>
      <sheetName val="科目序列"/>
      <sheetName val="STOCKGRGIDATA"/>
      <sheetName val="II- Liability Component June 04"/>
      <sheetName val="I-Conclusion "/>
      <sheetName val="II- Liab. comp_IAS"/>
      <sheetName val="Conversion feature"/>
      <sheetName val="I- Summary"/>
      <sheetName val="Cashflow(Scenario)"/>
      <sheetName val="Sch PR-2"/>
      <sheetName val="Sch PR-3"/>
      <sheetName val="Consol BS"/>
      <sheetName val="HO &amp; Aust BS"/>
      <sheetName val="胡匀匀"/>
      <sheetName val="JAC11.30"/>
      <sheetName val="Part_Datum"/>
      <sheetName val="5a"/>
      <sheetName val="6a"/>
      <sheetName val="4cI"/>
      <sheetName val="N19-1-预付、其他应收等"/>
      <sheetName val="cashflow-commercial"/>
      <sheetName val="关联交易-存款a_x00"/>
      <sheetName val="关联交易-存款%ঀȿঀȿ_"/>
      <sheetName val="truc_tiep"/>
      <sheetName val="P_1预收、其他应付、其他流动负债"/>
      <sheetName val="_U150"/>
      <sheetName val="G_预付账款、其他应收款、其他流动资产"/>
      <sheetName val="2-分类汇总_Classified_Summary"/>
      <sheetName val="CVRs"/>
      <sheetName val="Tier1 Pref SGP"/>
      <sheetName val="Contribution"/>
      <sheetName val="Rev. Losses"/>
      <sheetName val="Repurchase"/>
      <sheetName val="SoP SGP2"/>
      <sheetName val="Europe"/>
      <sheetName val="CVG"/>
      <sheetName val="H"/>
      <sheetName val="Impact"/>
      <sheetName val="Prop R"/>
      <sheetName val="PacMan"/>
      <sheetName val="Tier1 Pref SBP"/>
      <sheetName val="NewBid"/>
      <sheetName val="Income Statement breakdown"/>
      <sheetName val="资料情况统计表"/>
      <sheetName val="PG-Y-4(3)摊销测算表"/>
      <sheetName val="专项应付款2"/>
      <sheetName val="Beta计算表"/>
      <sheetName val="基本信息输入表"/>
      <sheetName val="表3-股东权益计算表(此表不用填写)"/>
      <sheetName val="关联交易-存款h_x0001__x00"/>
      <sheetName val="关联交易-存款_x000"/>
      <sheetName val="삅ོ䚋栠Ѫࡪ㋨ﯾ_xffff_ﱅ잃蔐緀薼糀謋⁎橓"/>
      <sheetName val="关联交易-存款a_x000"/>
      <sheetName val="关联交易-存款_x0000"/>
      <sheetName val="关联交易-存款h_x000"/>
      <sheetName val="关联交易-存款hࢀ ࢀ _"/>
      <sheetName val="关联交易-存款a_x005f_x005f_x005"/>
      <sheetName val="关联交易-存款?滨㠼"/>
      <sheetName val="关联交易-存款?"/>
      <sheetName val="关联交易-存款茀戫"/>
      <sheetName val="关联交易-存款?滨?_x001a_ "/>
      <sheetName val="账面外销"/>
      <sheetName val="链接勿动"/>
      <sheetName val="12月发往外库产品明细表"/>
      <sheetName val="内部交易抵销"/>
      <sheetName val="关联交易-存款h_x005f_x005f_x005f_x0001__x00"/>
      <sheetName val="关联交易-存款a_x005f_x005f_x005f_x005f_x000"/>
      <sheetName val="关联交易-存款_x005f_x005f_x005f_x0000__x000"/>
      <sheetName val="qad TB"/>
      <sheetName val="code"/>
      <sheetName val="收入明细－按客户"/>
      <sheetName val="月份"/>
      <sheetName val="短期投资股票投资.dbf"/>
      <sheetName val="短期投资国债投资.dbf"/>
      <sheetName val="股票投资收益.dbf"/>
      <sheetName val="其他货币海通.dbf"/>
      <sheetName val="其他货币零领路.dbf"/>
      <sheetName val="投资收益债券.dbf"/>
      <sheetName val="收入"/>
      <sheetName val="说明"/>
      <sheetName val="CQFMA"/>
      <sheetName val="关联交易-存款"/>
      <sheetName val="个人欠款账龄分析表"/>
      <sheetName val="12进销存"/>
      <sheetName val="辅助信息"/>
      <sheetName val="List数据"/>
      <sheetName val="PV6 3.5L LX5 GMX170"/>
      <sheetName val="12"/>
      <sheetName val="蒸汽冷凝水回收"/>
      <sheetName val="Factors"/>
      <sheetName val="Company Information"/>
      <sheetName val="lookup"/>
      <sheetName val="param"/>
      <sheetName val="Traduction"/>
      <sheetName val="6118"/>
      <sheetName val="OR"/>
      <sheetName val="P&amp;L adhoc"/>
      <sheetName val="Suppl Adhoc Inv (F)"/>
      <sheetName val="Suppl Adhoc Pers"/>
      <sheetName val="401-Mobo收入汇总"/>
      <sheetName val="QTR Data Analysis"/>
      <sheetName val="TIGROUP(LIT)"/>
      <sheetName val="BBEURO"/>
      <sheetName val="TIWIRE(LIT)"/>
      <sheetName val="关联交易-存款h_x0001_?_x0001_??"/>
      <sheetName val="关联交易-存款a???_x"/>
      <sheetName val="关联交易-存款h_x0001___x0001___"/>
      <sheetName val="关联交易-存款a____x"/>
      <sheetName val="REPORT"/>
      <sheetName val="UFPrn20130826085456"/>
      <sheetName val="UFPrn20130826085545"/>
      <sheetName val="关联交易-存款h_x005f_x005f_x005"/>
      <sheetName val="关联交易-存款_x005f_x005f_x005f"/>
      <sheetName val="삅ོ䚋栠Ѫ_x005f_x0000_ࡪ㋨ﯾ_xff"/>
      <sheetName val="TreeViewRécursif"/>
      <sheetName val="schedule"/>
      <sheetName val="ACTINV"/>
      <sheetName val="经济评价"/>
      <sheetName val="损益表"/>
      <sheetName val="Hyperion Link"/>
      <sheetName val="Open"/>
      <sheetName val="按客户"/>
      <sheetName val="利息7月-8月"/>
      <sheetName val="首先输入"/>
      <sheetName val="旷视"/>
      <sheetName val="_04009"/>
      <sheetName val="_0401"/>
      <sheetName val="UFPrn20040930171821"/>
      <sheetName val="A_R_012"/>
      <sheetName val="ADJ_Sum(console)2"/>
      <sheetName val="Defer_tax2"/>
      <sheetName val="Estimated_AP_9_032"/>
      <sheetName val="2005_061"/>
      <sheetName val="REC_971"/>
      <sheetName val="Mar_OR1"/>
      <sheetName val="daywork-_Tham_khao1"/>
      <sheetName val="Financ__Overview"/>
      <sheetName val="各年往来_(2)"/>
      <sheetName val="IFRS_REPORTING"/>
      <sheetName val="TB_Link1"/>
      <sheetName val="office_supplies"/>
      <sheetName val="关联交易-存款hࢀ_ࢀ__x005f_x0001_"/>
      <sheetName val="关联交易-存款hࢀ_ࢀ__x005f_x005f_x005f_x0001_"/>
      <sheetName val="zero_(3)"/>
      <sheetName val="A3_Sum"/>
      <sheetName val="关联交易-存款h_x"/>
      <sheetName val="A5_Summary"/>
      <sheetName val="삅ོ䚋栠Ѫࡪ㋨ﯾﱅ잃蔐緀薼糀謋⁎橓晴￻孟싉譕凬䚋茠ﱥ"/>
      <sheetName val="삅ོ䚋栠Ѫࡪ㋨ﯾﱅ잃蔐緀薼糀謋⁎橓晴￻孟싉譕凬䚋茠ﱥ謀"/>
      <sheetName val="关联交易-存款lঀ;ঀ;"/>
      <sheetName val="关联交易-存款l઀Ƽ઀Ƽ"/>
      <sheetName val="Invest_"/>
      <sheetName val="3_2"/>
      <sheetName val="Inv_days_#5"/>
      <sheetName val="control_sheet_fund_II"/>
      <sheetName val="Exec_Summary"/>
      <sheetName val="F1100芯片测试费_"/>
      <sheetName val="关联交易-存款?滨? "/>
      <sheetName val="A430"/>
      <sheetName val="A子公司"/>
      <sheetName val="Bank card list"/>
      <sheetName val="507"/>
      <sheetName val="note(1)"/>
      <sheetName val="承诺项目说明"/>
      <sheetName val="链接勿删"/>
      <sheetName val="CRITERIA1"/>
      <sheetName val="CRITERIA2"/>
      <sheetName val="ZA5"/>
      <sheetName val="FJ1"/>
      <sheetName val="ZH2"/>
      <sheetName val="FJ2"/>
      <sheetName val="ZX1"/>
      <sheetName val="ZX2"/>
      <sheetName val="1"/>
      <sheetName val="高嘉大厦2-5"/>
      <sheetName val="_701"/>
      <sheetName val="_702"/>
      <sheetName val="_703"/>
      <sheetName val="_704"/>
      <sheetName val="_705"/>
      <sheetName val="_712"/>
      <sheetName val="延期开票"/>
      <sheetName val="12月份产成品入库"/>
      <sheetName val="QT07"/>
      <sheetName val="QT全年收发存"/>
      <sheetName val="208"/>
      <sheetName val="12月份原材料出库"/>
      <sheetName val="11月产成品入库"/>
      <sheetName val="QT01"/>
      <sheetName val="QT02"/>
      <sheetName val="209"/>
      <sheetName val="206"/>
      <sheetName val="207"/>
      <sheetName val="203"/>
      <sheetName val="212"/>
      <sheetName val="211"/>
      <sheetName val="210"/>
      <sheetName val="204"/>
      <sheetName val="205"/>
      <sheetName val="201"/>
      <sheetName val="Disposition"/>
      <sheetName val="_200209"/>
      <sheetName val="8042"/>
      <sheetName val="折旧计算表"/>
      <sheetName val="折旧年限测算表"/>
      <sheetName val="表4_13_1无形资产—土地使用权"/>
      <sheetName val="Contacts"/>
      <sheetName val="表头信息"/>
      <sheetName val="出库"/>
      <sheetName val="入库"/>
      <sheetName val="2002P-BU"/>
      <sheetName val="P&amp;L(S1)"/>
      <sheetName val="Payed bonuses"/>
      <sheetName val="Help"/>
      <sheetName val="PXMODEL"/>
      <sheetName val="AVP"/>
      <sheetName val="Output2"/>
      <sheetName val="Module6"/>
      <sheetName val="Output &amp; Financial Statements"/>
      <sheetName val="DCF"/>
      <sheetName val="MainPrintCode"/>
      <sheetName val="Old TWX Quorfa"/>
      <sheetName val="TWX Model"/>
      <sheetName val="FS Output 4"/>
      <sheetName val="FS Output 1"/>
      <sheetName val="FS Output 3"/>
      <sheetName val="FS Output2"/>
      <sheetName val="Deal Structure &amp; Control Page"/>
      <sheetName val="Historic Comps"/>
      <sheetName val="Synergies"/>
      <sheetName val="关联交易-存款_"/>
      <sheetName val="关联交易-存款a_x005"/>
      <sheetName val="dxnsjtempsheet"/>
      <sheetName val="F"/>
      <sheetName val="合并抵消"/>
      <sheetName val="材料采购－原材料（购价）"/>
      <sheetName val="J301"/>
      <sheetName val="SY表35-1第二次筛选表"/>
      <sheetName val="UFPrn20070303114642"/>
      <sheetName val="Aging"/>
      <sheetName val="ref"/>
      <sheetName val="Con"/>
      <sheetName val="Refer"/>
      <sheetName val="Orders"/>
      <sheetName val="Price List"/>
      <sheetName val="（一）货币资金"/>
      <sheetName val="广告费和业务宣传费表"/>
      <sheetName val="资产减值准备表"/>
      <sheetName val="工资薪金表"/>
      <sheetName val="公允价值计量资产纳税调整表"/>
      <sheetName val="附件(excel）"/>
      <sheetName val="业务招待费表"/>
      <sheetName val="A300-2014-futrue"/>
      <sheetName val="短期借款"/>
      <sheetName val="分类表"/>
      <sheetName val="A300-2014-futrue_IFRS"/>
      <sheetName val="A1-IFRS报表"/>
      <sheetName val="All Cash Dil"/>
      <sheetName val="关联交易-存款_x005f_x005f_x005f_x005f_x005f_x005f_x005f"/>
      <sheetName val="关联交易-存款h_x005f_x005f_x005f_x005f_x005f_x005f_x005"/>
      <sheetName val="关联交易-存款_x005f_x005f_x005f_x005f_x0000"/>
      <sheetName val="关联交易-存款h_x005f_x005f_x005f_x005f_x000"/>
      <sheetName val="关联交易-存款hࢀ ࢀ _x005f_x005f_x005f_x005f_"/>
      <sheetName val="삅ོ䚋栠Ѫ_x005f_x005f_x005f_x0000_ࡪ㋨ﯾ_x005f_x005f_xff"/>
      <sheetName val="삅ོ䚋栠Ѫ_x005f_x005f_x005f_x0000_ࡪ㋨"/>
      <sheetName val="关联交易-存款lঀ;ঀ;_x005f_x005f_x005f_x0001_"/>
      <sheetName val="关联交易-存款l઀Ƽ઀Ƽ_x005f_x005f_x005f_x0001_"/>
      <sheetName val="データ"/>
      <sheetName val="1- Input &amp; Info"/>
      <sheetName val="CUSTOMER (DETAIL)"/>
      <sheetName val="20071-10月原材料发出计价测试(不打)"/>
      <sheetName val="投资收益Dy"/>
      <sheetName val="投资收益Mx"/>
      <sheetName val="200712"/>
      <sheetName val="自制半成品1-12计价测试"/>
      <sheetName val="产成品收发存余额表1-12"/>
      <sheetName val="数据有效性来源"/>
      <sheetName val="Antivol D2"/>
      <sheetName val="QAD-面套库存"/>
      <sheetName val="2.5上年现金试算"/>
      <sheetName val="基本信息"/>
      <sheetName val="Romford Market"/>
      <sheetName val="Group"/>
      <sheetName val="员工工资"/>
      <sheetName val="原因汇总"/>
      <sheetName val="PPD Schedule"/>
      <sheetName val="披露表（上市）"/>
      <sheetName val="{lookup}"/>
      <sheetName val="VAR"/>
      <sheetName val="设置"/>
      <sheetName val="清单12.31"/>
      <sheetName val="入库分类"/>
      <sheetName val="Economic evaluation - FY98 base"/>
      <sheetName val="控制测试样本量"/>
      <sheetName val="623"/>
      <sheetName val="799"/>
      <sheetName val="Base Data"/>
      <sheetName val="Title"/>
      <sheetName val="product"/>
      <sheetName val="664"/>
      <sheetName val="663"/>
      <sheetName val="6-历史收入趋势-LTM"/>
      <sheetName val="삅ོ䚋栠Ѫ_x005f_x005f_x005f_x005f_x005f_x005f_x005f_x0000_ࡪ"/>
      <sheetName val="本年店铺级表"/>
      <sheetName val="ROIC分析"/>
      <sheetName val="FY02"/>
      <sheetName val="Print"/>
      <sheetName val="关联交易-存款_滨㠼"/>
      <sheetName val="关联交易-存款__x"/>
      <sheetName val="关联交易-存款_滨_"/>
      <sheetName val="PBC-&gt;"/>
      <sheetName val="1.0"/>
      <sheetName val="美日管理费用6"/>
      <sheetName val="关联交易-存款2016"/>
      <sheetName val="关联交易-存款02016"/>
      <sheetName val="关联交易-存款l2016"/>
      <sheetName val="AR Drop Downs"/>
      <sheetName val="DropDown"/>
      <sheetName val="分类请勿修改"/>
      <sheetName val="关联交易-存款0"/>
      <sheetName val="关联交易-存款l"/>
      <sheetName val="Table 13.1 - 3"/>
      <sheetName val="CTSA2002"/>
      <sheetName val="汇总表"/>
      <sheetName val="FF-3"/>
      <sheetName val="填表说明"/>
      <sheetName val="索引（补充）"/>
      <sheetName val="申报表封面（此表不填，填索引）"/>
      <sheetName val="填表注意事项（先看）"/>
      <sheetName val="链接表（勿动） 元)"/>
      <sheetName val="链接表（勿动）"/>
      <sheetName val="流动资产链接表"/>
      <sheetName val="存货链接表"/>
      <sheetName val="链接表"/>
      <sheetName val="企业基本情况"/>
      <sheetName val="两次基准日的对比 (0531与0831)"/>
      <sheetName val="两次基准日的对比"/>
      <sheetName val="长期股权投资表"/>
      <sheetName val="收益法汇总表"/>
      <sheetName val="链接表（勿动） (元表)"/>
      <sheetName val="链接表万元（勿动）"/>
      <sheetName val="流动资产链接表（勿动）"/>
      <sheetName val="贵阳精铸表格填报问题"/>
      <sheetName val="1-汇总表"/>
      <sheetName val="2-分类汇总"/>
      <sheetName val="3-流动汇总"/>
      <sheetName val="3-1货币汇总表"/>
      <sheetName val="3-1-2银行存款"/>
      <sheetName val="3-1-3其他货币资金"/>
      <sheetName val="3-2交易性金融资产汇总"/>
      <sheetName val="3-2-1交易性-股票"/>
      <sheetName val="3-2-2交易性-债券"/>
      <sheetName val="3-2-3交易性-基金"/>
      <sheetName val="3-4应收账款"/>
      <sheetName val="3-5预付账款"/>
      <sheetName val="3-7应收股利"/>
      <sheetName val="3-8其他应收款"/>
      <sheetName val="3-9存货汇总"/>
      <sheetName val="3-9-1材料采购（在途物资）"/>
      <sheetName val="3-9-3在库周转材料"/>
      <sheetName val="3-9-4委托加工物资"/>
      <sheetName val="3-9-2原材料"/>
      <sheetName val="3-9-5-1产成品（库存商品）"/>
      <sheetName val="3-9-5-2产成品(开发产品)"/>
      <sheetName val="3-9-5-3产成品(出租开发产品)"/>
      <sheetName val="3-9-6-1在产品（自制半成品）"/>
      <sheetName val="报废工装模具"/>
      <sheetName val="3-9-8在用周转材料（工装模具）"/>
      <sheetName val="3-9-8在用周转材料（工装模具1）"/>
      <sheetName val="3-9-6-2在产品(开发成本)"/>
      <sheetName val="3-9-7发出商品"/>
      <sheetName val="3-9-8在用周转材料"/>
      <sheetName val="3-9-9未结算工程"/>
      <sheetName val="3-10一年到期非流动资产"/>
      <sheetName val="3-11其他流动资产"/>
      <sheetName val="4-非流动资产汇总"/>
      <sheetName val="4-1可供出售金融资产汇总"/>
      <sheetName val="4-1-2可出售-债券"/>
      <sheetName val="4-1-1可出售-股票"/>
      <sheetName val="4-1-3可出售-其他"/>
      <sheetName val="4-2持有到期投资"/>
      <sheetName val="4-3长期应收"/>
      <sheetName val="页面设置"/>
      <sheetName val="4-4长期股权投资"/>
      <sheetName val="4-5投资性房地产汇总表"/>
      <sheetName val="4-5-1投资性房地产"/>
      <sheetName val="4-5-2投资性房地产"/>
      <sheetName val="4-5-3投资性地产"/>
      <sheetName val="4-5-4投资性地产"/>
      <sheetName val="4-6固定资产汇总"/>
      <sheetName val="固定资产闲置报废及产权情况统计（不填）"/>
      <sheetName val="4-6-1房屋建筑物"/>
      <sheetName val="4-6-2构筑物"/>
      <sheetName val="4-6-3管道沟槽"/>
      <sheetName val="报废资产清单"/>
      <sheetName val="原购置设备"/>
      <sheetName val="4-6-4机器设备"/>
      <sheetName val="废钢价格"/>
      <sheetName val="4-6-5车辆"/>
      <sheetName val="4-6-6电子设备"/>
      <sheetName val="4-6-7土地"/>
      <sheetName val="4-7在建工程汇总"/>
      <sheetName val="4-7-1在建（土建）"/>
      <sheetName val="4-7-2在建（设备）"/>
      <sheetName val="4-8工程物资"/>
      <sheetName val="4-9固定资产清理"/>
      <sheetName val="4-10生产性生物资产"/>
      <sheetName val="4-11油气资产"/>
      <sheetName val="4-12无形资产汇总"/>
      <sheetName val="4-12-1无形-土地"/>
      <sheetName val="4-12-2无形-矿业权"/>
      <sheetName val="4-12-3无形-其他"/>
      <sheetName val="4-12-4无形-技术、商标、著作权等"/>
      <sheetName val="4-13开发支出"/>
      <sheetName val="4-14商誉"/>
      <sheetName val="4-15长期待摊费用"/>
      <sheetName val="4-16递延所得税资产"/>
      <sheetName val="4-17其他非流动资产"/>
      <sheetName val="5-流动负债汇总"/>
      <sheetName val="流动负债链接表（不填勿动）"/>
      <sheetName val="5-1短期借款"/>
      <sheetName val="5-2交易性金融负债"/>
      <sheetName val="5-3应付票据"/>
      <sheetName val="5-4应付账款"/>
      <sheetName val="5-5预收账款"/>
      <sheetName val="5-6职工薪酬"/>
      <sheetName val="5-7应交税费"/>
      <sheetName val="5-8应付利息"/>
      <sheetName val="5-9应付股利（利润）"/>
      <sheetName val="5-10其他应付款"/>
      <sheetName val="5-11一年到期非流动负债"/>
      <sheetName val="5-12其他流动负债"/>
      <sheetName val="6-非流动负债汇总"/>
      <sheetName val="6-1长期借款"/>
      <sheetName val="6-2应付债券"/>
      <sheetName val="6-3长期应付款"/>
      <sheetName val="非流动负债链接表（不填勿动）"/>
      <sheetName val="6-4专项应付款"/>
      <sheetName val="6-5预计负债"/>
      <sheetName val="6-6递延所得税负债"/>
      <sheetName val="6-7其他非流动负债"/>
      <sheetName val="或有事项声明书"/>
      <sheetName val="期后事项声明书"/>
      <sheetName val="关联交易-存款a_x005f_x005f_x005f_x005f_x005"/>
      <sheetName val="关联交易-存款h_x005"/>
      <sheetName val="关联交易-存款_x005f"/>
      <sheetName val="上年试算表(利)"/>
      <sheetName val="本年试算表(利)"/>
      <sheetName val="本年试算表(资)"/>
      <sheetName val="DCCB"/>
      <sheetName val="Consumer"/>
      <sheetName val="CY sales report"/>
      <sheetName val="_0101主料"/>
      <sheetName val="_0102中草药"/>
      <sheetName val="_0104燃料"/>
      <sheetName val="_0106备品备件"/>
      <sheetName val="_0109辅料"/>
      <sheetName val="_0110化剂"/>
      <sheetName val="_0206标签"/>
      <sheetName val="_0207纸箱纸盒"/>
      <sheetName val="_0208瓶类"/>
      <sheetName val="_0302办公用品"/>
      <sheetName val="_0303工具"/>
      <sheetName val="_0304玻璃仪器"/>
      <sheetName val="_0399其他"/>
      <sheetName val="_04产成品"/>
      <sheetName val="_05自制半成品"/>
      <sheetName val="_0108劳保"/>
      <sheetName val="_0112气体"/>
      <sheetName val="0101主料"/>
      <sheetName val="0102中草药"/>
      <sheetName val="0104燃料"/>
      <sheetName val="0106备品备件"/>
      <sheetName val="0109辅料"/>
      <sheetName val="0110化剂"/>
      <sheetName val="0112气体"/>
      <sheetName val="0206标签"/>
      <sheetName val="0207纸箱纸盒"/>
      <sheetName val="0208瓶类"/>
      <sheetName val="0302办公用品"/>
      <sheetName val="0303工具"/>
      <sheetName val="0304玻璃仪器"/>
      <sheetName val="0399其他材料"/>
      <sheetName val="05自制半成品"/>
      <sheetName val="Properties"/>
      <sheetName val="___耀____--______________"/>
      <sheetName val="SENSITIVITY"/>
      <sheetName val="DWMC"/>
      <sheetName val="营业收入和税金及附加估算表"/>
      <sheetName val="addl cost"/>
      <sheetName val="detail"/>
      <sheetName val="短期借款汇总表"/>
      <sheetName val="长期借款汇总表"/>
      <sheetName val="CHART_E"/>
      <sheetName val="C-1 总表"/>
      <sheetName val="4.1-合同台帐"/>
      <sheetName val="sch9-1-1"/>
      <sheetName val="Income Statement and KPIs"/>
      <sheetName val="Financials"/>
      <sheetName val="收入明细"/>
      <sheetName val="内贸合同总价表"/>
      <sheetName val="玛赛软件合同总价表"/>
      <sheetName val="内贸采购合同总价表"/>
      <sheetName val="CAPEX(M)"/>
      <sheetName val="数据定义1"/>
      <sheetName val="index cc"/>
      <sheetName val="采购计划信息"/>
      <sheetName val="抵消科目"/>
      <sheetName val="使用说明2-明细及范例"/>
      <sheetName val="B1-1"/>
      <sheetName val="Lib"/>
      <sheetName val="Lead&amp;Breakdown"/>
      <sheetName val="1.5 合同、非合同台帐"/>
      <sheetName val="汇率"/>
      <sheetName val="代码"/>
      <sheetName val="costcent-accoun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01"/>
      <sheetName val="C_311"/>
      <sheetName val="C_313"/>
      <sheetName val="C_318"/>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DLCD"/>
      <sheetName val="Non-Statistical Sampling Master"/>
      <sheetName val="Global Data"/>
      <sheetName val="交行定期存款户"/>
      <sheetName val="4.1拆出资金"/>
      <sheetName val="BE"/>
      <sheetName val="CH"/>
      <sheetName val="RU"/>
      <sheetName val="进口设备FOB总价表"/>
      <sheetName val="采购周期"/>
      <sheetName val="ENG_Cons"/>
      <sheetName val="NAO"/>
      <sheetName val="PAO_Cons"/>
      <sheetName val="WHQ_Cons"/>
      <sheetName val="Rev"/>
      <sheetName val="aging 0612"/>
      <sheetName val="cust"/>
      <sheetName val="NA QTR PROD"/>
      <sheetName val="Official Lehman PROD Sched"/>
      <sheetName val="快智"/>
      <sheetName val="快迪"/>
      <sheetName val="Income statement"/>
      <sheetName val="预收预付OROP"/>
      <sheetName val="AIS"/>
      <sheetName val="acc list"/>
      <sheetName val="在建工程 final"/>
      <sheetName val="Volatility"/>
      <sheetName val="Instructions"/>
      <sheetName val="SD-Report 5&quot;"/>
      <sheetName val="关联交易-存款hࢀ_ࢀ__x0001_"/>
      <sheetName val="整体计划"/>
      <sheetName val="主要会计政策"/>
      <sheetName val="基本情况"/>
      <sheetName val="SAP"/>
      <sheetName val="643"/>
      <sheetName val="665"/>
      <sheetName val="666"/>
      <sheetName val="667"/>
      <sheetName val="510"/>
      <sheetName val="677"/>
      <sheetName val="Sheet7"/>
      <sheetName val="Rejects PPM"/>
      <sheetName val="Roadmap"/>
      <sheetName val="QOS RPPM"/>
      <sheetName val="Standort (DE)"/>
      <sheetName val="Laendercodes"/>
      <sheetName val="LISTS"/>
      <sheetName val="Act Vol"/>
      <sheetName val="Validations"/>
      <sheetName val="1060"/>
      <sheetName val="Customer Name"/>
      <sheetName val="期末库存"/>
      <sheetName val="36"/>
      <sheetName val="细节测试审计抽样"/>
      <sheetName val="索引表"/>
      <sheetName val="Page-Acquisitions"/>
      <sheetName val="Quantity"/>
      <sheetName val="关联交易-存款__x005f_x0000__x005f_x0000_滨㠼_x005f_x0000_"/>
      <sheetName val="关联交易-存款__x005f_x0000__x005f_x0000__x005f_x0000__x"/>
      <sheetName val="关联交易-存款_x005f_x0000__x005f_x0000_茀戫_x005f_x0000_"/>
      <sheetName val="关联交易-存款__x005f_x0000__x005f_x0000_滨__x005f_x0000_"/>
      <sheetName val="全仕向地"/>
      <sheetName val="附注"/>
      <sheetName val="ACC.NAME"/>
      <sheetName val="6118-17"/>
      <sheetName val="U900"/>
      <sheetName val="Y2研发项目表"/>
      <sheetName val="ZP4"/>
      <sheetName val="zp5_kw38"/>
      <sheetName val="ZP7 gespritzt"/>
      <sheetName val="HEADER"/>
      <sheetName val="底稿0000"/>
      <sheetName val="货币兑换汇率"/>
      <sheetName val="chen"/>
      <sheetName val="Covering"/>
      <sheetName val="E1"/>
      <sheetName val="名称"/>
      <sheetName val="初表"/>
      <sheetName val="TB2005"/>
      <sheetName val="4-6生产"/>
      <sheetName val="4-6生产入库"/>
      <sheetName val="4-6销售出库"/>
      <sheetName val="7-9销售出库"/>
      <sheetName val="7-9生产零用"/>
      <sheetName val="7-9生产入库"/>
      <sheetName val="599"/>
      <sheetName val="关联交易-存款h_x005f_x0001___x005f_x0001___"/>
      <sheetName val="BS1"/>
      <sheetName val="BS2"/>
      <sheetName val="固定资产明细表"/>
      <sheetName val="总目录"/>
      <sheetName val="关联交易-存款h_x005f_x005f_x005f_x0001___x005f_x005f_x0"/>
      <sheetName val="501"/>
      <sheetName val="713"/>
      <sheetName val="715"/>
      <sheetName val="752"/>
      <sheetName val=""/>
      <sheetName val="A300-试算平衡表"/>
      <sheetName val="2550"/>
      <sheetName val="2552"/>
      <sheetName val="_2562"/>
      <sheetName val="_2565"/>
      <sheetName val="3409"/>
      <sheetName val="5059"/>
      <sheetName val="5133"/>
      <sheetName val="GA5-2-1 明细表2015"/>
      <sheetName val="truc_tiep1"/>
      <sheetName val="P_1预收、其他应付、其他流动负债1"/>
      <sheetName val="G_预付账款、其他应收款、其他流动资产1"/>
      <sheetName val="_U1501"/>
      <sheetName val="2-分类汇总_Classified_Summary1"/>
      <sheetName val="N_应付账款"/>
      <sheetName val="Raw_materials"/>
      <sheetName val="II-_Liability_Component_June_04"/>
      <sheetName val="I-Conclusion_"/>
      <sheetName val="II-_Liab__comp_IAS"/>
      <sheetName val="Conversion_feature"/>
      <sheetName val="I-_Summary"/>
      <sheetName val="Ex_Diff"/>
      <sheetName val="关联交易-存款hࢀ_ࢀ__x005f_x005f_x005f_x005f_x005f_x005f_"/>
      <sheetName val="TAB_Daten"/>
      <sheetName val="Sch_PR-2"/>
      <sheetName val="Sch_PR-3"/>
      <sheetName val="Consol_BS"/>
      <sheetName val="HO_&amp;_Aust_BS"/>
      <sheetName val="JAC11_30"/>
      <sheetName val="Tier1_Pref_SGP"/>
      <sheetName val="Rev__Losses"/>
      <sheetName val="SoP_SGP2"/>
      <sheetName val="Prop_R"/>
      <sheetName val="Tier1_Pref_SBP"/>
      <sheetName val="关联交易-存款hࢀ_ࢀ__x005f_x005f_"/>
      <sheetName val="qad_TB"/>
      <sheetName val="Income_Statement_breakdown"/>
      <sheetName val="销售6_13"/>
      <sheetName val="关联交易-存款?滨?_"/>
      <sheetName val="668"/>
      <sheetName val="669"/>
      <sheetName val="694"/>
      <sheetName val="O201"/>
      <sheetName val="开发成本2002 - Movement"/>
      <sheetName val="Safari09"/>
      <sheetName val="Cover_封面"/>
      <sheetName val="国别报告数据填报模板(Information Request)"/>
      <sheetName val="Salses breakdown"/>
      <sheetName val="삅ོ䚋栠Ѫ_x005f_x0000_ࡪ"/>
      <sheetName val="삅ོ䚋栠Ѫ_x005f_x005f_x005f_x0000_ࡪ"/>
      <sheetName val="삅ོ䚋栠Ѫࡪ㋨ﯾ_xff"/>
      <sheetName val="546"/>
      <sheetName val="Erg_rechnung"/>
      <sheetName val="_2590"/>
      <sheetName val="_2642"/>
      <sheetName val="_2647"/>
      <sheetName val="Questions"/>
      <sheetName val="fORMULAE"/>
      <sheetName val="短期投资"/>
      <sheetName val="Consolidation"/>
      <sheetName val="N201"/>
      <sheetName val="COP"/>
      <sheetName val="VIPS_Annotation_Sheet"/>
      <sheetName val="VIPS_Exchange_Sheet"/>
      <sheetName val="VIPS_Live_Sheet"/>
      <sheetName val="VS Consensus"/>
      <sheetName val="VIPS_Validation_Sheet"/>
      <sheetName val="销售人效 - Overview"/>
      <sheetName val="AV"/>
      <sheetName val="Storage"/>
      <sheetName val="RelR"/>
      <sheetName val="Factset"/>
      <sheetName val="Two Step Revenue Testing Master"/>
      <sheetName val="Share Prices"/>
      <sheetName val="geog"/>
      <sheetName val="data餐饮-FOOD"/>
      <sheetName val="Hist_BS"/>
      <sheetName val="职位序列JFJG"/>
      <sheetName val="TPU配比口径"/>
      <sheetName val="资本公积审定表"/>
      <sheetName val="Book 1 Summary"/>
      <sheetName val="Feb Allocation%"/>
      <sheetName val="P&amp;L_worksheet"/>
      <sheetName val="Com Lever"/>
      <sheetName val="expenses calc"/>
      <sheetName val="existing cities benchmark"/>
      <sheetName val="master sheet"/>
      <sheetName val="bike loss"/>
      <sheetName val="exchange rate"/>
      <sheetName val="DAU&amp;UV"/>
      <sheetName val="CB"/>
      <sheetName val="Cash Flow Worksheet"/>
      <sheetName val="Chart Analysis"/>
      <sheetName val="4月分摊比例"/>
      <sheetName val="P&amp;L透视数据"/>
      <sheetName val="P&amp;L调整数据"/>
      <sheetName val="BEER-PRO"/>
      <sheetName val="_137-2007"/>
      <sheetName val="Inputs"/>
      <sheetName val="2002"/>
      <sheetName val="2005.01"/>
      <sheetName val="利润表概览"/>
      <sheetName val="分录"/>
      <sheetName val="BD-1"/>
      <sheetName val="應付票據-附"/>
      <sheetName val="Form_1_C"/>
      <sheetName val="关联方信息"/>
      <sheetName val="9607"/>
      <sheetName val="Access360 - PP"/>
      <sheetName val="Program Controls"/>
      <sheetName val="BS Heading"/>
      <sheetName val="4月"/>
      <sheetName val="5月"/>
      <sheetName val="3月"/>
      <sheetName val="Reference2"/>
      <sheetName val="FSM"/>
      <sheetName val="关联交易-存款h_x005f_x005f_x005f_x005f_x005"/>
      <sheetName val="关联交易-存款_x005f_x005f_x005f_x005f_x005f"/>
      <sheetName val="삅ོ䚋栠Ѫ_x005f_x005f_x005f_x0000_ࡪ㋨ﯾ_xff"/>
      <sheetName val="外地"/>
      <sheetName val="PER SALES ORG"/>
      <sheetName val="ÆóÒµ±íÒ»"/>
      <sheetName val="明细表"/>
      <sheetName val="数据字典"/>
      <sheetName val="报表层次重要性水平"/>
      <sheetName val="利润及利润分配试算平衡表"/>
      <sheetName val="资产负债试算平衡表"/>
      <sheetName val="_______"/>
      <sheetName val="核算项目余额表"/>
      <sheetName val="08.8"/>
      <sheetName val="其他货币资金.dbf"/>
      <sheetName val="银行存款.dbf"/>
      <sheetName val="输入上年调整分录"/>
      <sheetName val="K200"/>
      <sheetName val="披露表"/>
      <sheetName val="6117（股份）"/>
      <sheetName val="EXP23BF45E1"/>
      <sheetName val="direct"/>
      <sheetName val="2018 ADJ"/>
      <sheetName val="预付账款汇总表"/>
      <sheetName val="表二甲机务F型"/>
      <sheetName val="options062906"/>
      <sheetName val="F19.2"/>
      <sheetName val="F19.1"/>
      <sheetName val="F5.5"/>
      <sheetName val="F5.3"/>
      <sheetName val="投行部保本理财产品清单"/>
      <sheetName val="Accounts Database"/>
      <sheetName val="FiedValidationSheet"/>
      <sheetName val="Rev05"/>
      <sheetName val="非合同台帐"/>
      <sheetName val="CH Car"/>
      <sheetName val="App1 Entities sequence number"/>
      <sheetName val="BS-舟山"/>
      <sheetName val="CJE_energy inv"/>
      <sheetName val="YTD SALES"/>
      <sheetName val="진행 DATA (2)"/>
      <sheetName val="02年1-2月营业费用部门明细"/>
      <sheetName val="22861"/>
      <sheetName val="_8004"/>
      <sheetName val="_8025"/>
      <sheetName val="PY-pp"/>
      <sheetName val="POWER ASSUMPTIONS"/>
      <sheetName val="summary "/>
      <sheetName val="基础条件"/>
      <sheetName val="关联交易-存款_滨_ "/>
      <sheetName val="Setting"/>
      <sheetName val="2018工程汇总 "/>
      <sheetName val="678"/>
      <sheetName val="1012"/>
      <sheetName val="품목코드"/>
      <sheetName val="CalcOutPut"/>
      <sheetName val="외화"/>
      <sheetName val="자금동향"/>
      <sheetName val="Acq Assumptions I"/>
      <sheetName val="Acq Assumptions II"/>
      <sheetName val="Acq Assumptions III"/>
      <sheetName val="A431_5030_GymboreeUK"/>
      <sheetName val="评估结论"/>
      <sheetName val="763"/>
      <sheetName val="固资序列表"/>
      <sheetName val="投资性房地产序列表"/>
      <sheetName val="清单"/>
      <sheetName val="Cash Flow - CY Workings"/>
      <sheetName val="2 cot"/>
      <sheetName val="647"/>
      <sheetName val="Company_Information"/>
      <sheetName val="Base_Info"/>
      <sheetName val="PV6_3_5L_LX5_GMX170"/>
      <sheetName val="清单12_31"/>
      <sheetName val="Economic_evaluation_-_FY98_base"/>
      <sheetName val="만기"/>
      <sheetName val="639"/>
      <sheetName val="356"/>
      <sheetName val="DNEA_2011"/>
      <sheetName val="시산표"/>
      <sheetName val="Calculations"/>
      <sheetName val="1.资金支付台帐"/>
      <sheetName val="0.1公司清单"/>
      <sheetName val="H101(OK)"/>
      <sheetName val="市場"/>
      <sheetName val="辅助"/>
      <sheetName val="托售"/>
      <sheetName val="电子库龄"/>
      <sheetName val="Service Parts Rejects (RPPM)"/>
      <sheetName val="零星(秋董)"/>
      <sheetName val="零星(X月度跟踪)"/>
      <sheetName val="Carole Worksheet Table"/>
      <sheetName val="N719(NC)"/>
      <sheetName val="1002-1031170406 Capital Account"/>
      <sheetName val="Aushilfe"/>
      <sheetName val="Umlagen"/>
      <sheetName val="Air Conditional"/>
      <sheetName val="Equipment"/>
      <sheetName val="Motor Vehicle"/>
      <sheetName val="Renovation"/>
      <sheetName val="Cash_Flow"/>
      <sheetName val="Income"/>
      <sheetName val="F40-Goodsin transit"/>
      <sheetName val="Margins"/>
      <sheetName val="P310"/>
      <sheetName val="G210"/>
      <sheetName val="HB1利润表2018"/>
      <sheetName val="SalaryData"/>
      <sheetName val="CHN_OLD"/>
      <sheetName val="M&amp;A pipeline"/>
      <sheetName val="Valmat"/>
      <sheetName val="J1_101_重分类明细"/>
      <sheetName val="A3_20161231"/>
      <sheetName val="1014"/>
      <sheetName val="1019"/>
      <sheetName val="625"/>
      <sheetName val="1013"/>
      <sheetName val="1016"/>
      <sheetName val="原材料变动表-金铜矿"/>
      <sheetName val="表二十二 (2)"/>
      <sheetName val="新的工作表_1"/>
      <sheetName val="附表1 年度人数"/>
      <sheetName val="成本测算"/>
      <sheetName val="设计部"/>
      <sheetName val="wl"/>
      <sheetName val="基础资料（B）"/>
      <sheetName val="Cash Flow"/>
      <sheetName val="备选项"/>
      <sheetName val="CS"/>
      <sheetName val="各公司简称"/>
      <sheetName val="WP-02"/>
      <sheetName val="编码表"/>
      <sheetName val="基础信息设置"/>
      <sheetName val="其他应收款"/>
      <sheetName val="WP-03"/>
      <sheetName val="FL"/>
      <sheetName val="WP-05"/>
      <sheetName val="函证对象基础表1"/>
      <sheetName val="往来科目余额明细表"/>
      <sheetName val="科目表（总）"/>
      <sheetName val="固定资产汇总表A17-1"/>
      <sheetName val="UFPrn20180206201449"/>
      <sheetName val="无形资产汇总表A21-1"/>
      <sheetName val="三和软件"/>
      <sheetName val="银行存款明细表"/>
      <sheetName val="_Profile"/>
      <sheetName val="26.存货月报表"/>
      <sheetName val="dpA"/>
      <sheetName val="METHANOL"/>
      <sheetName val="DSCR"/>
      <sheetName val="OPSRESULTS"/>
      <sheetName val="DEBT"/>
      <sheetName val="PARAMETER"/>
      <sheetName val="投入产出汇总"/>
      <sheetName val="指标"/>
      <sheetName val="IMPUTS"/>
      <sheetName val="CALCULOS"/>
      <sheetName val="2015调整分录"/>
      <sheetName val="2014调整分录"/>
      <sheetName val="项目索引"/>
      <sheetName val="2009调整分录"/>
      <sheetName val="cum pred"/>
      <sheetName val="签证"/>
      <sheetName val="明细分类账"/>
      <sheetName val="企业集团的构成"/>
      <sheetName val="MSIGet_Flags"/>
      <sheetName val="机房归属区域"/>
      <sheetName val="应收票据检查表"/>
      <sheetName val="K1_折旧测算表"/>
      <sheetName val="GenAssump"/>
      <sheetName val="营业"/>
      <sheetName val="人力成本数据源"/>
      <sheetName val="U1100_EJE调整"/>
      <sheetName val="Reference"/>
      <sheetName val="TZ0930"/>
      <sheetName val="D3"/>
      <sheetName val="邻酮定乙酚发出测试"/>
      <sheetName val="Group1"/>
      <sheetName val="采购订单"/>
      <sheetName val="15、采购订单"/>
      <sheetName val="关联交易-存款_滨__"/>
      <sheetName val="利塞专项"/>
      <sheetName val="Balance"/>
      <sheetName val="库存商品余额表.dbf"/>
      <sheetName val="UFPrn20010206163251"/>
      <sheetName val="6414-2"/>
      <sheetName val="Prices"/>
      <sheetName val="1017"/>
      <sheetName val="1018"/>
      <sheetName val="1020"/>
      <sheetName val="U112"/>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Sheet0"/>
      <sheetName val="Project Details"/>
      <sheetName val="_dropdownlistitems_"/>
      <sheetName val="N5b1-其他收入和利得净值"/>
      <sheetName val="关联交易-存款lঀ;ঀ;_x005f_x005f_"/>
      <sheetName val="关联交易-存款l઀Ƽ઀Ƽ_x005f_x005f_"/>
      <sheetName val="삅ོ䚋栠Ѫ_x005f_x005f_x005f_x005f_x"/>
      <sheetName val="Tritel Consolidated"/>
      <sheetName val="TeleCorp Holdco Summary"/>
      <sheetName val="类别"/>
      <sheetName val="DATA-P&amp;L98"/>
      <sheetName val="Sales Volumes &amp; Plan"/>
      <sheetName val="Net Sales LC"/>
      <sheetName val="项目目录"/>
      <sheetName val="企业项目目录"/>
      <sheetName val="科目名称表"/>
      <sheetName val="底稿01"/>
      <sheetName val="附注明细"/>
      <sheetName val="query results"/>
      <sheetName val="会计科目表"/>
      <sheetName val="Opening check_Misc (WO Only)"/>
      <sheetName val="Sum2000"/>
      <sheetName val="Returns&gt;&gt;"/>
      <sheetName val="IRR Historic"/>
      <sheetName val="Portfolio IRR"/>
      <sheetName val="Marimekko"/>
      <sheetName val="Inputs&gt;&gt;"/>
      <sheetName val="Analyst&gt;&gt;"/>
      <sheetName val="Val Inputs"/>
      <sheetName val="Model Inputs"/>
      <sheetName val="2_AC"/>
      <sheetName val="3_AC"/>
      <sheetName val="4_AC"/>
      <sheetName val="5_AC"/>
      <sheetName val="6_AC"/>
      <sheetName val="7_AC"/>
      <sheetName val="8_AC"/>
      <sheetName val="9_AC"/>
      <sheetName val="10_AC"/>
      <sheetName val="11_AC"/>
      <sheetName val="12_AC"/>
      <sheetName val="13_AC"/>
      <sheetName val="14_AC"/>
      <sheetName val="Exchange Rates&gt;&gt;"/>
      <sheetName val="2"/>
      <sheetName val="3"/>
      <sheetName val="4"/>
      <sheetName val="Funding&gt;&gt;"/>
      <sheetName val="Years"/>
      <sheetName val="Funding Combined"/>
      <sheetName val="Q1"/>
      <sheetName val="Q2"/>
      <sheetName val="Q3"/>
      <sheetName val="Q4"/>
      <sheetName val="FY18 funding"/>
      <sheetName val="Previous"/>
      <sheetName val="iFood funding"/>
      <sheetName val="Conversions&gt;&gt;"/>
      <sheetName val="Summary Adjusted"/>
      <sheetName val="Summary Combined"/>
      <sheetName val="Conversion Roll forward"/>
      <sheetName val="Summary Roll Forward"/>
      <sheetName val="Conversion DCF"/>
      <sheetName val="Summary DCF"/>
      <sheetName val="Conversion Cash Flow"/>
      <sheetName val="Summary Cash Flow"/>
      <sheetName val="Variables&gt;&gt;"/>
      <sheetName val="Companies"/>
      <sheetName val="Company Name mappings"/>
      <sheetName val="End"/>
      <sheetName val="PH Car"/>
      <sheetName val="FORGING"/>
      <sheetName val="Dic"/>
      <sheetName val="工行"/>
      <sheetName val="利润分析"/>
      <sheetName val="资产负债分析"/>
      <sheetName val="固定资产清理Dy"/>
      <sheetName val="Proforma"/>
      <sheetName val="Size_Growth_Adj"/>
      <sheetName val="NC差异表"/>
      <sheetName val="Related company"/>
      <sheetName val="JobDetails"/>
      <sheetName val="Data From XXX"/>
      <sheetName val="Delphi original"/>
      <sheetName val="FUEL FILLER"/>
      <sheetName val="CA-O7"/>
      <sheetName val="Related_company"/>
      <sheetName val="Delphi_original"/>
      <sheetName val="Data_From_XXX"/>
      <sheetName val="FUEL_FILLER"/>
      <sheetName val="list导入方式"/>
      <sheetName val="Equity"/>
      <sheetName val="短期借款审定表"/>
      <sheetName val="Capex report"/>
      <sheetName val="科目代码"/>
      <sheetName val="F&amp;F(2003)"/>
      <sheetName val="IT(2003)"/>
      <sheetName val="Budget-Bal"/>
      <sheetName val="info"/>
      <sheetName val="银行余额调节表(明细)"/>
      <sheetName val="   合同台账  "/>
      <sheetName val="付款进度表"/>
      <sheetName val="CIP DETAILS"/>
      <sheetName val="1021"/>
      <sheetName val="Sales for 2001"/>
      <sheetName val="Nvar"/>
      <sheetName val="1380"/>
      <sheetName val="1381"/>
      <sheetName val="Salinfo"/>
      <sheetName val="Cntmrs-Recruit"/>
      <sheetName val="2330900原稿"/>
      <sheetName val="Info. Request"/>
      <sheetName val="U-500销售费用"/>
      <sheetName val="U-700财务费用"/>
      <sheetName val="WP"/>
      <sheetName val="14480000"/>
      <sheetName val="AC_DATA"/>
      <sheetName val="U1.6"/>
      <sheetName val="底稿2001年"/>
      <sheetName val="后续pre-IPO及IPO融资计划"/>
      <sheetName val="假设受让老股股东以增资方式进入-估值测算"/>
      <sheetName val="Price Provision 清单"/>
      <sheetName val="预提明细"/>
      <sheetName val="1239"/>
      <sheetName val="SFS(ACTUAL)"/>
      <sheetName val="Contents"/>
      <sheetName val="WELCOME"/>
      <sheetName val="bank"/>
      <sheetName val="管理费用部门"/>
      <sheetName val="Corpalloc"/>
      <sheetName val="AcctChEntry"/>
      <sheetName val="ExchEntry"/>
      <sheetName val="PltRpt (A&amp;F)"/>
      <sheetName val="PltRpt (A&amp;FvsB)"/>
      <sheetName val="PltRpt (B&amp;AC)"/>
      <sheetName val="Schedule B"/>
      <sheetName val="TASSI2"/>
      <sheetName val="Tav.22 Rischio di Credito"/>
      <sheetName val="物流费用预算表(A4)"/>
      <sheetName val="销售费用预算表(A4)"/>
      <sheetName val="管理费用预算表(A4)"/>
      <sheetName val="信息费用预算表(A4) "/>
      <sheetName val="研发费用预算明细表A3"/>
      <sheetName val="制造成本预算表A3"/>
      <sheetName val="盈利打平趋势判断"/>
      <sheetName val="Depreciation test"/>
      <sheetName val="映射"/>
      <sheetName val="beer-indstry"/>
      <sheetName val="CoCos_Segments"/>
      <sheetName val="Table_US Currency"/>
      <sheetName val="Vol"/>
      <sheetName val="ORG"/>
      <sheetName val="工时"/>
      <sheetName val="T100"/>
      <sheetName val="ORG汇总表"/>
      <sheetName val="fixed assets –Forklifts"/>
      <sheetName val="fixed assets –battery"/>
      <sheetName val="ARP stt.2"/>
      <sheetName val="Jan"/>
      <sheetName val="Gen Accruals"/>
      <sheetName val="Legal Accrual"/>
      <sheetName val="Payroll Accrual"/>
      <sheetName val="Malaysia"/>
      <sheetName val="Taiwan"/>
      <sheetName val="CA_new"/>
      <sheetName val="匹配表"/>
      <sheetName val="物价指数（月度）"/>
      <sheetName val="Cost of Equity"/>
      <sheetName val="有効使用期間12年"/>
      <sheetName val="A_R_013"/>
      <sheetName val="ADJ_Sum(console)3"/>
      <sheetName val="Defer_tax3"/>
      <sheetName val="Estimated_AP_9_033"/>
      <sheetName val="2005_062"/>
      <sheetName val="Mar_OR2"/>
      <sheetName val="REC_972"/>
      <sheetName val="daywork-_Tham_khao2"/>
      <sheetName val="TB_Link2"/>
      <sheetName val="office_supplies1"/>
      <sheetName val="Financ__Overview1"/>
      <sheetName val="各年往来_(2)1"/>
      <sheetName val="IFRS_REPORTING1"/>
      <sheetName val="关联交易-存款hࢀ_ࢀ__x005f_x0001_1"/>
      <sheetName val="A5_Summary1"/>
      <sheetName val="关联交易-存款hࢀ_ࢀ__x005f_x005f_x005f_x0001_1"/>
      <sheetName val="zero_(3)1"/>
      <sheetName val="3_21"/>
      <sheetName val="A3_Sum1"/>
      <sheetName val="Invest_1"/>
      <sheetName val="Inv_days_#51"/>
      <sheetName val="control_sheet_fund_II1"/>
      <sheetName val="Exec_Summary1"/>
      <sheetName val="F1100芯片测试费_1"/>
      <sheetName val="关联交易-存款h_x00"/>
      <sheetName val="关联交易-存款hࢀ_ࢀ__"/>
      <sheetName val="短期投资股票投资_dbf"/>
      <sheetName val="短期投资国债投资_dbf"/>
      <sheetName val="股票投资收益_dbf"/>
      <sheetName val="其他货币海通_dbf"/>
      <sheetName val="其他货币零领路_dbf"/>
      <sheetName val="投资收益债券_dbf"/>
      <sheetName val="P&amp;L_adhoc"/>
      <sheetName val="Suppl_Adhoc_Inv_(F)"/>
      <sheetName val="Suppl_Adhoc_Pers"/>
      <sheetName val="QTR_Data_Analysis"/>
      <sheetName val="Disclosure_Summary"/>
      <sheetName val="关联交易-存款h???"/>
      <sheetName val="BOX_SUM"/>
      <sheetName val="FIN_GOOD"/>
      <sheetName val="Hyperion_Link"/>
      <sheetName val="Price_List"/>
      <sheetName val="1461（12_6）"/>
      <sheetName val="Payed_bonuses"/>
      <sheetName val="Output_&amp;_Financial_Statements"/>
      <sheetName val="Old_TWX_Quorfa"/>
      <sheetName val="TWX_Model"/>
      <sheetName val="FS_Output_4"/>
      <sheetName val="FS_Output_1"/>
      <sheetName val="FS_Output_3"/>
      <sheetName val="FS_Output2"/>
      <sheetName val="Deal_Structure_&amp;_Control_Page"/>
      <sheetName val="Historic_Comps"/>
      <sheetName val="Bank_card_list"/>
      <sheetName val="All_Cash_Dil"/>
      <sheetName val="关联交易-存款hࢀ_ࢀ__x005f_x005f_x005f_x005f_"/>
      <sheetName val="1-_Input_&amp;_Info"/>
      <sheetName val="CUSTOMER_(DETAIL)"/>
      <sheetName val="Antivol_D2"/>
      <sheetName val="2_5上年现金试算"/>
      <sheetName val="Romford_Market"/>
      <sheetName val="&lt;FF&gt;_Tax_Payable"/>
      <sheetName val="PPD_Schedule"/>
      <sheetName val="Base_Data"/>
      <sheetName val="1_0"/>
      <sheetName val="Detail_Loan_Move__&amp;_Listing"/>
      <sheetName val="AR_Drop_Downs"/>
      <sheetName val="PRC_GAAP"/>
      <sheetName val="CLA-21.1-4 OLD"/>
      <sheetName val="关联交易-存款hࢀ_ࢀ_1"/>
      <sheetName val="addl_cost"/>
      <sheetName val="综合成本分析01_01-0205"/>
      <sheetName val="CY_sales_report"/>
      <sheetName val="SD-Report_5&quot;"/>
      <sheetName val="M_Schedules"/>
      <sheetName val="Staff_List"/>
      <sheetName val="Rejects_PPM"/>
      <sheetName val="QOS_RPPM"/>
      <sheetName val="Standort_(DE)"/>
      <sheetName val="Act_Vol"/>
      <sheetName val="链接表（勿动）_元)"/>
      <sheetName val="两次基准日的对比_(0531与0831)"/>
      <sheetName val="链接表（勿动）_(元表)"/>
      <sheetName val="Customer_Name"/>
      <sheetName val="652"/>
      <sheetName val="E3 A"/>
      <sheetName val="1252"/>
      <sheetName val="1269"/>
      <sheetName val="648"/>
      <sheetName val="H101"/>
      <sheetName val=" "/>
      <sheetName val="首页"/>
      <sheetName val="程序执行复核"/>
      <sheetName val="单位情况调查表"/>
      <sheetName val="试算表"/>
      <sheetName val="调帐书(初)"/>
      <sheetName val="调帐书(末)"/>
      <sheetName val="资产负债(前)"/>
      <sheetName val="利润(前)"/>
      <sheetName val="资产负债(后)"/>
      <sheetName val="利润(后)"/>
      <sheetName val="现金流量"/>
      <sheetName val="流量表编制底稿"/>
      <sheetName val="所有者权益变动表"/>
      <sheetName val="税费"/>
      <sheetName val="个税"/>
      <sheetName val="透视表"/>
      <sheetName val="您好"/>
      <sheetName val="休息"/>
      <sheetName val="现金"/>
      <sheetName val="银行存款"/>
      <sheetName val="应收票据"/>
      <sheetName val="房款按项目分"/>
      <sheetName val="房款按明细"/>
      <sheetName val="25号、30号诚意金"/>
      <sheetName val="回迁区未给村面积"/>
      <sheetName val="一期已售未售统计"/>
      <sheetName val="一期未售明细"/>
      <sheetName val="一期未入账顶账差价"/>
      <sheetName val="一期顶账未定价、收款"/>
      <sheetName val="一期按揭款"/>
      <sheetName val="二期已售未售统计"/>
      <sheetName val="二期未售明细"/>
      <sheetName val="二期未入账顶账差价"/>
      <sheetName val="二期顶账未定价、收款"/>
      <sheetName val="储藏室"/>
      <sheetName val="车位"/>
      <sheetName val="27#计算"/>
      <sheetName val="应收-27#"/>
      <sheetName val="预付账款"/>
      <sheetName val="原材料"/>
      <sheetName val="低值易耗品"/>
      <sheetName val="开发成本"/>
      <sheetName val="待摊费用"/>
      <sheetName val="应付账款"/>
      <sheetName val="预收账款"/>
      <sheetName val="实收资本"/>
      <sheetName val="利润分配"/>
      <sheetName val="经营收入"/>
      <sheetName val="营业外收入"/>
      <sheetName val="经营成本"/>
      <sheetName val="税金及附加"/>
      <sheetName val="销售费用"/>
      <sheetName val="管理费用"/>
      <sheetName val="财务费用"/>
      <sheetName val="营业外支出"/>
      <sheetName val="所得税"/>
      <sheetName val="投资收益"/>
      <sheetName val="底稿"/>
      <sheetName val="空白表"/>
      <sheetName val="累计折旧计算"/>
      <sheetName val="存款"/>
      <sheetName val="增值税"/>
      <sheetName val="工资福利费"/>
      <sheetName val="房地产预售"/>
      <sheetName val="生产成本底稿"/>
      <sheetName val="成本倒轧"/>
      <sheetName val="发出计价"/>
      <sheetName val="期间费用分类明细"/>
      <sheetName val="通用检查底稿"/>
      <sheetName val="往来款款替代程序表"/>
      <sheetName val="函证汇总"/>
      <sheetName val="材料采购-入库"/>
      <sheetName val="原材料－其他"/>
      <sheetName val="材料成本差异－运费等"/>
      <sheetName val="会计政策"/>
      <sheetName val="设定"/>
      <sheetName val="2011年现金银行存款序时账"/>
      <sheetName val="receivable"/>
      <sheetName val="UFPrn20220125085127"/>
      <sheetName val="1月"/>
      <sheetName val="CAIXA"/>
      <sheetName val="Ex. rate"/>
      <sheetName val="报表项目"/>
      <sheetName val="591"/>
      <sheetName val="9100-PO"/>
      <sheetName val="制造费用分项明细表"/>
      <sheetName val="财务指标"/>
      <sheetName val="SPI"/>
      <sheetName val="SPI GMBH"/>
      <sheetName val="PDCC"/>
      <sheetName val="SSI"/>
      <sheetName val="Syntegra"/>
      <sheetName val="明細"/>
      <sheetName val="K140"/>
      <sheetName val="1107"/>
      <sheetName val="662"/>
      <sheetName val="141231#"/>
      <sheetName val="20141231"/>
      <sheetName val="1022"/>
      <sheetName val="MasterList"/>
      <sheetName val="帐户汇总表_2008年1月至12月_18末级"/>
      <sheetName val="帐户汇总表_2008年1月至12月_14一级"/>
      <sheetName val="帐户汇总表_2008年1月至12月_13末级"/>
      <sheetName val="帐户汇总表_2008年1月至12月_18一级"/>
      <sheetName val="帐户汇总表_2008年1月至12月_14末级"/>
      <sheetName val="Summary Page_VDF"/>
      <sheetName val="Invested capital_VDF"/>
      <sheetName val="FxdChg"/>
      <sheetName val="F2"/>
      <sheetName val="LT_ADJ"/>
      <sheetName val="LT TB"/>
      <sheetName val="LTMD TB"/>
      <sheetName val="OC TB"/>
      <sheetName val="ZD TB"/>
      <sheetName val="LSBP"/>
      <sheetName val="Agency Walker ID"/>
      <sheetName val="PublishCashFlow"/>
      <sheetName val="Client"/>
      <sheetName val="PublishIncome"/>
      <sheetName val="Databox"/>
      <sheetName val="sales breakdown"/>
      <sheetName val="co info"/>
      <sheetName val="Interim NWA converted in Dec02"/>
      <sheetName val="AP-NSK(other)"/>
      <sheetName val="AP-Sing"/>
      <sheetName val="AP-NSK(trade) USD"/>
      <sheetName val="IV-NSK JPY"/>
      <sheetName val="AP-anshun"/>
      <sheetName val="AP-KUSHAN"/>
      <sheetName val="ap-Korea"/>
      <sheetName val="AP-NSK (trade) JPY"/>
      <sheetName val="AP-ISC"/>
      <sheetName val="AR-Chiaphua"/>
      <sheetName val="AR-ASTEC"/>
      <sheetName val="AR-Handing"/>
      <sheetName val="AR-Hintai"/>
      <sheetName val="AR-INH"/>
      <sheetName val="AR-Iwatani"/>
      <sheetName val="ar-john"/>
      <sheetName val="AR-KTB JPY"/>
      <sheetName val="IV-KUSHAN"/>
      <sheetName val="ar-kusatsu"/>
      <sheetName val="AR-NSK (trade) USD"/>
      <sheetName val="ar-OKI Micro"/>
      <sheetName val="AR-Super"/>
      <sheetName val="AR-TAIKO JPY"/>
      <sheetName val="BR-Thousand JPY"/>
      <sheetName val="BR-Wah"/>
      <sheetName val="China-GBP"/>
      <sheetName val="China-JPY"/>
      <sheetName val="China-USD1"/>
      <sheetName val="IV-NIS"/>
      <sheetName val="DR-JPY"/>
      <sheetName val="DR-USD"/>
      <sheetName val="Fuji-USD"/>
      <sheetName val="Fuji-JPY"/>
      <sheetName val="Fuji"/>
      <sheetName val="IS01"/>
      <sheetName val="int-paid"/>
      <sheetName val="secretarial"/>
      <sheetName val="TR1"/>
      <sheetName val="气保"/>
      <sheetName val="联合"/>
      <sheetName val="分离后总调室"/>
      <sheetName val="F余额表2021"/>
      <sheetName val="F余额表2021 (2)"/>
      <sheetName val="F余额表2021 (3)"/>
      <sheetName val="其他业务收入2010"/>
      <sheetName val="其他业务收入09"/>
      <sheetName val="其他业务收入08"/>
      <sheetName val="营业外收入09"/>
      <sheetName val="营业外收入08"/>
      <sheetName val="营业外支出08"/>
      <sheetName val="其他业务成本.111031"/>
      <sheetName val="FSA"/>
      <sheetName val="K200-PRC"/>
      <sheetName val="TC-Pricing"/>
      <sheetName val="Calculation"/>
      <sheetName val="二厂一季度单位成本"/>
      <sheetName val="K311 A_List02"/>
      <sheetName val="99Exh I"/>
      <sheetName val="596"/>
      <sheetName val="외주현황.wq1"/>
      <sheetName val="1074"/>
      <sheetName val="关联交易-存款h_x005f_x0001_?_x005f_x0001_??"/>
      <sheetName val="감가상각비(2002)"/>
      <sheetName val="zw"/>
      <sheetName val="Difference Reconcliation"/>
      <sheetName val="RPT Disclosure"/>
      <sheetName val="FY99 Volume"/>
      <sheetName val="Sal &amp; Wage Info"/>
      <sheetName val="合并范围内关联方清单"/>
      <sheetName val="LAbor estimate"/>
      <sheetName val="表3_1_2货币资金—银行存款"/>
      <sheetName val="2018.4.7 for Bank"/>
      <sheetName val="재료비"/>
      <sheetName val="661"/>
      <sheetName val="金额式"/>
      <sheetName val="关联交易-存款__x005f_x0000__x00"/>
      <sheetName val="关联交易-存款_x005f_x0000__x00"/>
      <sheetName val="关联交易-存款h_x005f_x0001___x0"/>
      <sheetName val="statement_1998"/>
      <sheetName val="XVIa(i)_-_average_price_(2)"/>
      <sheetName val="Table_13_1_-_3"/>
      <sheetName val="SPLICE HOURS"/>
      <sheetName val="DEP"/>
      <sheetName val="노동부"/>
      <sheetName val="SC HKD CA"/>
      <sheetName val="GDH"/>
      <sheetName val="M.P."/>
      <sheetName val="销量"/>
      <sheetName val="成本要素表"/>
      <sheetName val="Taux de change "/>
      <sheetName val="plantilla mes"/>
      <sheetName val="PL by month-EFY"/>
      <sheetName val="AR1-F20"/>
      <sheetName val="AR2-F21"/>
      <sheetName val="283"/>
      <sheetName val="数据库"/>
      <sheetName val="Calcs_for _quarterly_pres"/>
      <sheetName val="FOREX_IMPACTS"/>
      <sheetName val="Valuation Matrix"/>
      <sheetName val="sales"/>
      <sheetName val="sd"/>
      <sheetName val="F-B"/>
      <sheetName val="Cash&amp;bank"/>
      <sheetName val="cur rates"/>
      <sheetName val="Total 2009"/>
      <sheetName val="3rd Qtr"/>
      <sheetName val="5th Qtr"/>
      <sheetName val="6th Qtr"/>
      <sheetName val="7th Qtr"/>
      <sheetName val="Exit Forecast"/>
      <sheetName val="2nd Qtr"/>
      <sheetName val="Rounded Input"/>
      <sheetName val="汇率影响"/>
      <sheetName val="_003.3固定资产"/>
      <sheetName val="551"/>
      <sheetName val="613"/>
      <sheetName val="1154"/>
      <sheetName val="620"/>
      <sheetName val="EV_VO"/>
      <sheetName val="SUIVI EFFECTIFS"/>
      <sheetName val="Tons"/>
      <sheetName val="tit"/>
      <sheetName val="#¡REF"/>
      <sheetName val="Vendas Tons"/>
      <sheetName val="C.Estr."/>
      <sheetName val="indice"/>
      <sheetName val="mixprod"/>
      <sheetName val="raf"/>
      <sheetName val="rce"/>
      <sheetName val="CAB"/>
      <sheetName val="EFFECT."/>
      <sheetName val="abcd"/>
      <sheetName val="P&amp;L-ACT"/>
      <sheetName val="U210' "/>
      <sheetName val="504"/>
      <sheetName val="1440"/>
      <sheetName val=" W60A Seating_2011.3.7.xlsx"/>
      <sheetName val="FIRE Parameters"/>
      <sheetName val="SALE"/>
      <sheetName val="LTM"/>
      <sheetName val="CREDIT STATS"/>
      <sheetName val="FAT DB"/>
      <sheetName val="CF Bridge"/>
      <sheetName val="收入分析_客商量价步行图"/>
      <sheetName val="净利润步行图"/>
      <sheetName val="Other R&amp;O"/>
      <sheetName val="Co 59"/>
      <sheetName val="FA List"/>
      <sheetName val="XLNXWKSH"/>
      <sheetName val="Mobile"/>
      <sheetName val="Operating "/>
      <sheetName val="Earnings"/>
      <sheetName val="AP_Accrued"/>
      <sheetName val="CFS adjustments"/>
      <sheetName val="2018底稿"/>
      <sheetName val="Drop down"/>
      <sheetName val="17-19IS"/>
      <sheetName val="17-19BS"/>
      <sheetName val="17-19CFS"/>
      <sheetName val="BEV"/>
      <sheetName val="TTCS"/>
      <sheetName val="CUST-STD"/>
      <sheetName val="1042"/>
      <sheetName val="2010 Breakdown"/>
      <sheetName val="1478"/>
      <sheetName val="70151"/>
      <sheetName val="CA consolidated"/>
      <sheetName val="T1"/>
      <sheetName val="104"/>
      <sheetName val="RMB"/>
      <sheetName val="Sheet562"/>
      <sheetName val="VT_TEB Planung-2006"/>
      <sheetName val="Expenses with Comparisons"/>
      <sheetName val="TEV Multiples"/>
      <sheetName val="srcsuses"/>
      <sheetName val="WACC"/>
      <sheetName val="pswzParams"/>
      <sheetName val="CSM Data by CY "/>
      <sheetName val="FX_Assumptions"/>
      <sheetName val="LBOSHEL5"/>
      <sheetName val="Pref Probable Case Returns"/>
      <sheetName val="Interco_BSC 01"/>
      <sheetName val="销售(合同)"/>
      <sheetName val="truc_tiep2"/>
      <sheetName val="P_1预收、其他应付、其他流动负债2"/>
      <sheetName val="G_预付账款、其他应收款、其他流动资产2"/>
      <sheetName val="_U1502"/>
      <sheetName val="2-分类汇总_Classified_Summary2"/>
      <sheetName val="TAB_Daten1"/>
      <sheetName val="N_应付账款1"/>
      <sheetName val="Raw_materials1"/>
      <sheetName val="Tier1_Pref_SGP1"/>
      <sheetName val="Rev__Losses1"/>
      <sheetName val="SoP_SGP21"/>
      <sheetName val="Prop_R1"/>
      <sheetName val="Tier1_Pref_SBP1"/>
      <sheetName val="关联交易-存款hࢀ_ࢀ__x005f_x005f_x005f_x005f_x005f1"/>
      <sheetName val="关联交易-存款hࢀ_ࢀ__x005f_x005f_1"/>
      <sheetName val="Ex_Diff1"/>
      <sheetName val="II-_Liability_Component_June_01"/>
      <sheetName val="I-Conclusion_1"/>
      <sheetName val="II-_Liab__comp_IAS1"/>
      <sheetName val="Conversion_feature1"/>
      <sheetName val="I-_Summary1"/>
      <sheetName val="Income_Statement_breakdown1"/>
      <sheetName val="销售6_131"/>
      <sheetName val="Sch_PR-21"/>
      <sheetName val="Sch_PR-31"/>
      <sheetName val="Consol_BS1"/>
      <sheetName val="HO_&amp;_Aust_BS1"/>
      <sheetName val="JAC11_301"/>
      <sheetName val="关联交易-存款?滨?_1"/>
      <sheetName val="qad_TB1"/>
      <sheetName val="F40-Goodsin_transit"/>
      <sheetName val="开发成本2002_-_Movement"/>
      <sheetName val="库存商品余额表_dbf"/>
      <sheetName val="C-1_总表"/>
      <sheetName val="4_1-合同台帐"/>
      <sheetName val="Income_Statement_and_KPIs"/>
      <sheetName val="index_cc"/>
      <sheetName val="1_5_合同、非合同台帐"/>
      <sheetName val="IS_Summary-96"/>
      <sheetName val="Library_Procedures"/>
      <sheetName val="Non-Statistical_Sampling_Master"/>
      <sheetName val="Global_Data"/>
      <sheetName val="4_1拆出资金"/>
      <sheetName val="aging_0612"/>
      <sheetName val="NA_QTR_PROD"/>
      <sheetName val="Official_Lehman_PROD_Sched"/>
      <sheetName val="Income_statement"/>
      <sheetName val="PRC_15"/>
      <sheetName val="acc_list"/>
      <sheetName val="在建工程_final"/>
      <sheetName val="ACC_NAME"/>
      <sheetName val="ZP7_gespritzt"/>
      <sheetName val="GA5-2-1_明细表2015"/>
      <sheetName val="진행_DATA_(2)"/>
      <sheetName val="Service_Parts_Rejects_(RPPM)"/>
      <sheetName val="Carole_Worksheet_Table"/>
      <sheetName val="VS_Consensus"/>
      <sheetName val="销售人效_-_Overview"/>
      <sheetName val="Two_Step_Revenue_Testing_Master"/>
      <sheetName val="Share_Prices"/>
      <sheetName val="Book_1_Summary"/>
      <sheetName val="Salses_breakdown"/>
      <sheetName val="国别报告数据填报模板(Information_Request)"/>
      <sheetName val="Acq_Assumptions_I"/>
      <sheetName val="Acq_Assumptions_II"/>
      <sheetName val="Acq_Assumptions_III"/>
      <sheetName val="1002-1031170406_Capital_Account"/>
      <sheetName val="CJE_energy_inv"/>
      <sheetName val="YTD_SALES"/>
      <sheetName val="Air_Conditional"/>
      <sheetName val="Motor_Vehicle"/>
      <sheetName val="关联交易-存款_滨__1"/>
      <sheetName val="Feb_Allocation%"/>
      <sheetName val="Com_Lever"/>
      <sheetName val="expenses_calc"/>
      <sheetName val="existing_cities_benchmark"/>
      <sheetName val="master_sheet"/>
      <sheetName val="bike_loss"/>
      <sheetName val="exchange_rate"/>
      <sheetName val="Cash_Flow_Worksheet"/>
      <sheetName val="Chart_Analysis"/>
      <sheetName val="M&amp;A_pipeline"/>
      <sheetName val="POWER_ASSUMPTIONS"/>
      <sheetName val="summary_"/>
      <sheetName val="2018工程汇总_"/>
      <sheetName val="2005_01"/>
      <sheetName val="Access360_-_PP"/>
      <sheetName val="Program_Controls"/>
      <sheetName val="BS_Heading"/>
      <sheetName val="PER_SALES_ORG"/>
      <sheetName val="08_8"/>
      <sheetName val="其他货币资金_dbf"/>
      <sheetName val="银行存款_dbf"/>
      <sheetName val="2018_ADJ"/>
      <sheetName val="F19_2"/>
      <sheetName val="F19_1"/>
      <sheetName val="F5_5"/>
      <sheetName val="F5_3"/>
      <sheetName val="Cash_Flow_-_CY_Workings"/>
      <sheetName val="2_cot"/>
      <sheetName val="for_ey_reviewer_销售费用"/>
      <sheetName val="for_ey_reviewer_制造费用"/>
      <sheetName val="Accounts_Database"/>
      <sheetName val="CH_Car"/>
      <sheetName val="App1_Entities_sequence_number"/>
      <sheetName val="BT 03"/>
      <sheetName val="BT 02"/>
      <sheetName val="BT 01"/>
      <sheetName val="国民经济行业分类"/>
      <sheetName val="下拉列表"/>
      <sheetName val="MarkComp"/>
      <sheetName val="Comparative Balance Sheet"/>
      <sheetName val="Com list"/>
      <sheetName val="Headcount and Oil Price"/>
      <sheetName val="BOE Stats"/>
      <sheetName val="C - Cash and Bank"/>
      <sheetName val="others gl"/>
      <sheetName val="Inputs-$150"/>
      <sheetName val="Printout2"/>
      <sheetName val="工作表1"/>
      <sheetName val="总公司2002.12.31"/>
      <sheetName val="截至2004年10月31日存货材料清单"/>
      <sheetName val="K110"/>
      <sheetName val="O111"/>
      <sheetName val="控制台"/>
      <sheetName val="Beg- End balance"/>
      <sheetName val="B30"/>
      <sheetName val="Net Trans Sum"/>
      <sheetName val="5.基础档案"/>
      <sheetName val="Sum Hist"/>
      <sheetName val="Corporate PPT"/>
      <sheetName val="WTI Coporate Eliminations PPT"/>
      <sheetName val="1436"/>
      <sheetName val="514"/>
      <sheetName val="PROD_CUST"/>
      <sheetName val="ExRate"/>
      <sheetName val="Manu"/>
      <sheetName val="Sheet618"/>
      <sheetName val="Sales by category"/>
      <sheetName val="Sheet626"/>
      <sheetName val="Sheet648"/>
      <sheetName val="1136"/>
      <sheetName val="PRDCTVTY"/>
      <sheetName val="1102 TAB_OPPORTUNITY to import"/>
      <sheetName val="F_OH"/>
      <sheetName val="Bookings-summary"/>
      <sheetName val=" FY2000"/>
      <sheetName val="PARAMETRES"/>
      <sheetName val="基本情報"/>
      <sheetName val="95059D"/>
      <sheetName val="F810"/>
      <sheetName val="1495"/>
      <sheetName val="1222"/>
      <sheetName val="1438"/>
      <sheetName val="1541"/>
      <sheetName val="1542"/>
      <sheetName val="分公司汇总更新"/>
      <sheetName val="Product List"/>
      <sheetName val="管理"/>
      <sheetName val="synthgraph"/>
      <sheetName val="113103"/>
      <sheetName val="113104"/>
      <sheetName val="113105"/>
      <sheetName val="113303"/>
      <sheetName val="21210301"/>
      <sheetName val="21210302"/>
      <sheetName val="JE10310X"/>
      <sheetName val="SharePoint"/>
      <sheetName val="Initial"/>
      <sheetName val="BU Parameters"/>
      <sheetName val="BU-Filter"/>
      <sheetName val="Filter"/>
      <sheetName val="基本資料"/>
      <sheetName val="Valuation Summary"/>
      <sheetName val="Capex &amp; Working Capital "/>
      <sheetName val="Product Summary"/>
      <sheetName val="Revenue Output"/>
      <sheetName val="P&amp;L Summary"/>
      <sheetName val="Gross Profit Output (100%)"/>
      <sheetName val="EBITDA"/>
      <sheetName val="Historical IS"/>
      <sheetName val="Other Working Assumptions"/>
      <sheetName val="Valuation Waterfall"/>
      <sheetName val="Gross Profit"/>
      <sheetName val="Historical BS"/>
      <sheetName val="Key Assumptions"/>
      <sheetName val="Instruction Sheet"/>
      <sheetName val="APCODE"/>
      <sheetName val="1558"/>
      <sheetName val="1270"/>
      <sheetName val="1271"/>
      <sheetName val="grofin"/>
      <sheetName val="1730"/>
      <sheetName val="1731"/>
      <sheetName val="Monthly Ex rate"/>
      <sheetName val="Expense Accrual"/>
      <sheetName val="Gen. Accrual"/>
      <sheetName val="Prod. Accrual"/>
      <sheetName val="Rent Accrual"/>
      <sheetName val="Sheet616"/>
      <sheetName val="N301"/>
      <sheetName val="Co-SEGC"/>
      <sheetName val="MI02"/>
      <sheetName val="FZ"/>
      <sheetName val="应付账款审定表"/>
      <sheetName val="中储"/>
      <sheetName val="凌益"/>
      <sheetName val="3收止"/>
      <sheetName val="B001(Y)"/>
      <sheetName val="Sheet5"/>
      <sheetName val="调整分录"/>
      <sheetName val="WP-04-GP"/>
      <sheetName val="填写说明"/>
      <sheetName val="Corporate Sales"/>
      <sheetName val="Bridge"/>
      <sheetName val="Freight Issues"/>
      <sheetName val="6419-2"/>
      <sheetName val="G203"/>
      <sheetName val="贷款基准利率"/>
      <sheetName val="Financial Summary"/>
      <sheetName val="113301"/>
      <sheetName val="Rev provit"/>
      <sheetName val="Dashboard基础数据录入（2018）"/>
      <sheetName val="Dashboard基础数据录入（2017）"/>
      <sheetName val="UFPrn20040104084034"/>
      <sheetName val="现金流量表"/>
      <sheetName val="Repayment Summary"/>
      <sheetName val="会计科目设置  科目汇总表"/>
      <sheetName val="维度管理"/>
      <sheetName val="信息"/>
      <sheetName val="A100000-A104000参数"/>
      <sheetName val="其它应收款"/>
      <sheetName val="所有者权益(股东权益)变动表(未审)"/>
      <sheetName val="IND."/>
      <sheetName val="试算"/>
      <sheetName val="TB表（期末）"/>
      <sheetName val="租赁收入明细"/>
      <sheetName val="P4管理费用"/>
      <sheetName val="L2银行存款"/>
      <sheetName val="Performance Graphs"/>
      <sheetName val="5折旧预测ok"/>
      <sheetName val="关南Bt2000大包装"/>
      <sheetName val="关南Bt2000成品"/>
      <sheetName val="低值易收发存"/>
      <sheetName val="76767"/>
      <sheetName val="07固定资产明细账"/>
      <sheetName val="原材料明细"/>
      <sheetName val="准备工作"/>
      <sheetName val="4528"/>
      <sheetName val="立项表"/>
      <sheetName val="_5081"/>
      <sheetName val="Validation source"/>
      <sheetName val="Custom"/>
      <sheetName val="CRP-BS"/>
      <sheetName val="外销涤布"/>
      <sheetName val="交易性金融资产Dy"/>
      <sheetName val="净现金流计算表"/>
      <sheetName val="EXP LINE"/>
      <sheetName val="_5284"/>
      <sheetName val="UFPrn20210522114546"/>
      <sheetName val="档案"/>
      <sheetName val="基本参数"/>
      <sheetName val="KM"/>
      <sheetName val="仪表"/>
      <sheetName val="A_R_014"/>
      <sheetName val="ADJ_Sum(console)4"/>
      <sheetName val="Defer_tax4"/>
      <sheetName val="Estimated_AP_9_034"/>
      <sheetName val="2005_063"/>
      <sheetName val="Mar_OR3"/>
      <sheetName val="REC_973"/>
      <sheetName val="daywork-_Tham_khao3"/>
      <sheetName val="TB_Link3"/>
      <sheetName val="office_supplies2"/>
      <sheetName val="Financ__Overview2"/>
      <sheetName val="各年往来_(2)2"/>
      <sheetName val="IFRS_REPORTING2"/>
      <sheetName val="关联交易-存款hࢀ_ࢀ__x005f_x0001_2"/>
      <sheetName val="A5_Summary2"/>
      <sheetName val="关联交易-存款hࢀ_ࢀ__x005f_x005f_x005f_x0001_2"/>
      <sheetName val="zero_(3)2"/>
      <sheetName val="3_22"/>
      <sheetName val="A3_Sum2"/>
      <sheetName val="Invest_2"/>
      <sheetName val="Inv_days_#52"/>
      <sheetName val="control_sheet_fund_II2"/>
      <sheetName val="Exec_Summary2"/>
      <sheetName val="F1100芯片测试费_2"/>
      <sheetName val="关联交易-存款hࢀ_ࢀ__1"/>
      <sheetName val="短期投资股票投资_dbf1"/>
      <sheetName val="短期投资国债投资_dbf1"/>
      <sheetName val="股票投资收益_dbf1"/>
      <sheetName val="其他货币海通_dbf1"/>
      <sheetName val="其他货币零领路_dbf1"/>
      <sheetName val="投资收益债券_dbf1"/>
      <sheetName val="Base_Info1"/>
      <sheetName val="PV6_3_5L_LX5_GMX1701"/>
      <sheetName val="Company_Information1"/>
      <sheetName val="P&amp;L_adhoc1"/>
      <sheetName val="Suppl_Adhoc_Inv_(F)1"/>
      <sheetName val="Suppl_Adhoc_Pers1"/>
      <sheetName val="QTR_Data_Analysis1"/>
      <sheetName val="Disclosure_Summary1"/>
      <sheetName val="BOX_SUM1"/>
      <sheetName val="FIN_GOOD1"/>
      <sheetName val="Hyperion_Link1"/>
      <sheetName val="Price_List1"/>
      <sheetName val="1461（12_6）1"/>
      <sheetName val="Payed_bonuses1"/>
      <sheetName val="Output_&amp;_Financial_Statements1"/>
      <sheetName val="Old_TWX_Quorfa1"/>
      <sheetName val="TWX_Model1"/>
      <sheetName val="FS_Output_41"/>
      <sheetName val="FS_Output_11"/>
      <sheetName val="FS_Output_31"/>
      <sheetName val="FS_Output21"/>
      <sheetName val="Deal_Structure_&amp;_Control_Page1"/>
      <sheetName val="Historic_Comps1"/>
      <sheetName val="Bank_card_list1"/>
      <sheetName val="All_Cash_Dil1"/>
      <sheetName val="关联交易-存款hࢀ_ࢀ__x005f_x005f_x005f_x005f_1"/>
      <sheetName val="1-_Input_&amp;_Info1"/>
      <sheetName val="CUSTOMER_(DETAIL)1"/>
      <sheetName val="Lease_AP_20081"/>
      <sheetName val="Antivol_D21"/>
      <sheetName val="Vendor_Data1"/>
      <sheetName val="Romford_Market1"/>
      <sheetName val="&lt;FF&gt;_Tax_Payable1"/>
      <sheetName val="PPD_Schedule1"/>
      <sheetName val="清单12_311"/>
      <sheetName val="Economic_evaluation_-_FY98_bas1"/>
      <sheetName val="2_5上年现金试算1"/>
      <sheetName val="Base_Data1"/>
      <sheetName val="1_01"/>
      <sheetName val="Detail_Loan_Move__&amp;_Listing1"/>
      <sheetName val="Non-Statistical_Sampling1"/>
      <sheetName val="AR_Drop_Downs1"/>
      <sheetName val="PRC_GAAP1"/>
      <sheetName val="Project_Details"/>
      <sheetName val="1_资金支付台帐"/>
      <sheetName val="0_1公司清单"/>
      <sheetName val="H_R"/>
      <sheetName val="IRR_Historic"/>
      <sheetName val="Portfolio_IRR"/>
      <sheetName val="Val_Inputs"/>
      <sheetName val="Model_Inputs"/>
      <sheetName val="Exchange_Rates&gt;&gt;"/>
      <sheetName val="Funding_Combined"/>
      <sheetName val="FY18_funding"/>
      <sheetName val="iFood_funding"/>
      <sheetName val="Summary_Adjusted"/>
      <sheetName val="Summary_Combined"/>
      <sheetName val="Conversion_Roll_forward"/>
      <sheetName val="Summary_Roll_Forward"/>
      <sheetName val="Conversion_DCF"/>
      <sheetName val="Summary_DCF"/>
      <sheetName val="Conversion_Cash_Flow"/>
      <sheetName val="Summary_Cash_Flow"/>
      <sheetName val="Company_Name_mappings"/>
      <sheetName val="7_-_ARO_Assumptions"/>
      <sheetName val="PH_Car"/>
      <sheetName val="___合同台账__"/>
      <sheetName val="Sales_for_2001"/>
      <sheetName val="Tritel_Consolidated"/>
      <sheetName val="TeleCorp_Holdco_Summary"/>
      <sheetName val="Opening_check_Misc_(WO_Only)"/>
      <sheetName val="U1_6"/>
      <sheetName val="CLA-21_1-4_OLD"/>
      <sheetName val="Related_company1"/>
      <sheetName val="Data_From_XXX1"/>
      <sheetName val="Delphi_original1"/>
      <sheetName val="FUEL_FILLER1"/>
      <sheetName val="资产评估结果分类汇总表_(2)"/>
      <sheetName val="Cost_of_Equity"/>
      <sheetName val="Capex_report"/>
      <sheetName val="VCC_11110-461"/>
      <sheetName val="Start"/>
      <sheetName val="Eingabe"/>
      <sheetName val="LE7"/>
      <sheetName val="职工薪酬抽查"/>
      <sheetName val="序列"/>
      <sheetName val="未审增减变动表"/>
      <sheetName val="固定资产审定表"/>
      <sheetName val="shan"/>
      <sheetName val="Other M&amp;R"/>
      <sheetName val="A141-20-17"/>
      <sheetName val="1－5月余额表"/>
      <sheetName val="1－10月余额表"/>
      <sheetName val="TR0198"/>
      <sheetName val="ProzessA"/>
      <sheetName val="EingabeMaske"/>
      <sheetName val="Q-Faehigk"/>
      <sheetName val="QTP_dt."/>
      <sheetName val="银行函证目录"/>
      <sheetName val="Basic_Local"/>
      <sheetName val="Aug"/>
      <sheetName val="Dec"/>
      <sheetName val="Nov"/>
      <sheetName val="Oct"/>
      <sheetName val="Sep"/>
      <sheetName val="05 AOP - Exp by CC"/>
      <sheetName val="05 AOP - By Acct Detail"/>
      <sheetName val="coststruk"/>
      <sheetName val="PersPlan"/>
      <sheetName val="IB Average"/>
      <sheetName val="IB"/>
      <sheetName val="Int ZFLS"/>
      <sheetName val="WB"/>
      <sheetName val="WoS"/>
      <sheetName val="2019科余表"/>
      <sheetName val="DCF_VDF"/>
      <sheetName val="I-cycle count08"/>
      <sheetName val="Phase_II_steel_1000"/>
      <sheetName val="盤點清冊汇总"/>
      <sheetName val="Steuerung"/>
      <sheetName val="Months"/>
      <sheetName val="TT template"/>
      <sheetName val="2038"/>
      <sheetName val="Valuation - GSJBW"/>
      <sheetName val="AssBook"/>
      <sheetName val="Ass1"/>
      <sheetName val="680"/>
      <sheetName val="Group structure"/>
      <sheetName val="624"/>
      <sheetName val="Sheet602"/>
      <sheetName val="670"/>
      <sheetName val="565"/>
      <sheetName val="1052"/>
      <sheetName val="547"/>
      <sheetName val="1226"/>
      <sheetName val="566"/>
      <sheetName val="1567"/>
      <sheetName val="_2594"/>
      <sheetName val="_2598"/>
      <sheetName val="2600"/>
      <sheetName val="5076"/>
      <sheetName val="_5174"/>
      <sheetName val="ContractList"/>
      <sheetName val="动态图表-定义名称"/>
      <sheetName val="Checking"/>
      <sheetName val="CF4"/>
      <sheetName val="CF5"/>
      <sheetName val="CF7"/>
      <sheetName val="CF8"/>
      <sheetName val="16EDO"/>
      <sheetName val="16SD"/>
      <sheetName val="16WB"/>
      <sheetName val="256M"/>
      <sheetName val="4M"/>
      <sheetName val="64EDO"/>
      <sheetName val="64SD"/>
      <sheetName val="DRD"/>
      <sheetName val="1149"/>
      <sheetName val="1148"/>
      <sheetName val="Sheet649"/>
      <sheetName val="UPLDGA"/>
      <sheetName val="Pick Lists Sheet"/>
      <sheetName val="市场法案例"/>
      <sheetName val="K1 Tax computation"/>
      <sheetName val="chart"/>
      <sheetName val="SET_UP"/>
      <sheetName val="Assistance"/>
      <sheetName val="出口免抵退"/>
      <sheetName val="ActiveRM"/>
      <sheetName val="1996"/>
      <sheetName val="1997"/>
      <sheetName val="NBE DCF"/>
      <sheetName val="Consolidated DCF"/>
      <sheetName val="Boilers DCF"/>
      <sheetName val="NBE (heat rate)"/>
      <sheetName val="物流超市5-1-1房建"/>
      <sheetName val="木"/>
      <sheetName val="Sheet502"/>
      <sheetName val="Sheet608"/>
      <sheetName val="Sheet656"/>
      <sheetName val="695"/>
      <sheetName val="2weeeks All  Excess and Shortag"/>
      <sheetName val="Sheet2055"/>
      <sheetName val="1023"/>
      <sheetName val="992"/>
      <sheetName val="1024"/>
      <sheetName val="Business Unit"/>
      <sheetName val="1102 MIT"/>
      <sheetName val="BB"/>
      <sheetName val="LOV"/>
      <sheetName val="HOME"/>
      <sheetName val="BS(goc)"/>
      <sheetName val="BS CHECK"/>
      <sheetName val="Scenario"/>
      <sheetName val="1056"/>
      <sheetName val="1065"/>
      <sheetName val="592"/>
      <sheetName val="PL1"/>
      <sheetName val="2077"/>
      <sheetName val="Financial Statistics"/>
      <sheetName val="班部番別"/>
      <sheetName val="Scenarios"/>
      <sheetName val="CRC"/>
      <sheetName val="Gastric"/>
      <sheetName val="NSCLC"/>
      <sheetName val="应收帐款"/>
      <sheetName val="Offering Stats"/>
      <sheetName val="Sheet639"/>
      <sheetName val="Segment to Legal"/>
      <sheetName val="DOC34"/>
      <sheetName val="Mov‘2008"/>
      <sheetName val="Mov‘2007"/>
      <sheetName val="Mov‘2005"/>
      <sheetName val="Mov‘2006"/>
      <sheetName val="A810-ASM"/>
      <sheetName val="Profit and loss"/>
      <sheetName val="R3抵消"/>
      <sheetName val="收入抵消"/>
      <sheetName val="关联交易-存款lঀ;ঀ;_"/>
      <sheetName val="关联交易-存款l઀Ƽ઀Ƽ_"/>
      <sheetName val="삅ོ䚋栠Ѫ_x005f_x005f_x"/>
      <sheetName val="关联交易-存款hࢀ_ࢀ__x0001_1"/>
      <sheetName val="关联交易-存款h_x0001___x0"/>
      <sheetName val="单位设置"/>
      <sheetName val="合并科目"/>
      <sheetName val="1817"/>
      <sheetName val="source-1"/>
      <sheetName val="687"/>
      <sheetName val="Sheet1013"/>
      <sheetName val="调整分录表"/>
      <sheetName val="全"/>
      <sheetName val="001铝锭"/>
      <sheetName val="003普废料"/>
      <sheetName val="004合金废料"/>
      <sheetName val="006精废料"/>
      <sheetName val="B03空调箔"/>
      <sheetName val="B06空调箔"/>
      <sheetName val="B02空调箔"/>
      <sheetName val="1218"/>
      <sheetName val="1220"/>
      <sheetName val="Consol FS"/>
      <sheetName val="2.1设计部"/>
      <sheetName val="1365"/>
      <sheetName val="651"/>
      <sheetName val="Konten"/>
      <sheetName val="0"/>
      <sheetName val="D410 应交税金变动表Movement"/>
      <sheetName val="归类"/>
      <sheetName val="油墨"/>
      <sheetName val="WendyCaymanEstimatePricing"/>
      <sheetName val="0521"/>
      <sheetName val="1268"/>
      <sheetName val="制费-分月"/>
      <sheetName val="Sheet482"/>
      <sheetName val="Sheet505"/>
      <sheetName val="Sheet1758"/>
      <sheetName val="Sheet1760"/>
      <sheetName val="Sheet1761"/>
      <sheetName val="SUM14ZC1"/>
      <sheetName val="枚举字典"/>
      <sheetName val="FZ-1"/>
      <sheetName val="Sheet643"/>
      <sheetName val="OPEX-IST"/>
      <sheetName val="TSA"/>
      <sheetName val="现金银行日记账"/>
      <sheetName val="关联交易-存款__x00"/>
      <sheetName val="关联交易-存款_x00"/>
      <sheetName val="1.1 Project Data"/>
      <sheetName val="O adj"/>
      <sheetName val="GZ"/>
      <sheetName val="1137"/>
      <sheetName val="BIS LIST-NTH 18"/>
      <sheetName val="TTL"/>
      <sheetName val="FY2016"/>
      <sheetName val="TB &amp; 2013"/>
      <sheetName val="EJE&amp;2013"/>
      <sheetName val="Sheet654"/>
      <sheetName val="Sheet1137"/>
      <sheetName val="A_R_015"/>
      <sheetName val="Defer_tax5"/>
      <sheetName val="ADJ_Sum(console)5"/>
      <sheetName val="Estimated_AP_9_035"/>
      <sheetName val="2005_064"/>
      <sheetName val="daywork-_Tham_khao4"/>
      <sheetName val="TB_Link4"/>
      <sheetName val="Mar_OR4"/>
      <sheetName val="truc_tiep3"/>
      <sheetName val="REC_974"/>
      <sheetName val="P_1预收、其他应付、其他流动负债3"/>
      <sheetName val="G_预付账款、其他应收款、其他流动资产3"/>
      <sheetName val="_U1503"/>
      <sheetName val="2-分类汇总_Classified_Summary3"/>
      <sheetName val="各年往来_(2)3"/>
      <sheetName val="Financ__Overview3"/>
      <sheetName val="IFRS_REPORTING3"/>
      <sheetName val="关联交易-存款hࢀ_ࢀ__x005f_x0001_3"/>
      <sheetName val="A5_Summary3"/>
      <sheetName val="office_supplies3"/>
      <sheetName val="zero_(3)3"/>
      <sheetName val="Ex_Diff2"/>
      <sheetName val="关联交易-存款hࢀ_ࢀ__x005f_x005f_x005f_x0001_3"/>
      <sheetName val="Invest_3"/>
      <sheetName val="TAB_Daten2"/>
      <sheetName val="A3_Sum3"/>
      <sheetName val="II-_Liability_Component_June_02"/>
      <sheetName val="I-Conclusion_2"/>
      <sheetName val="II-_Liab__comp_IAS2"/>
      <sheetName val="Conversion_feature2"/>
      <sheetName val="I-_Summary2"/>
      <sheetName val="3_23"/>
      <sheetName val="Inv_days_#53"/>
      <sheetName val="control_sheet_fund_II3"/>
      <sheetName val="Exec_Summary3"/>
      <sheetName val="N_应付账款2"/>
      <sheetName val="Raw_materials2"/>
      <sheetName val="关联交易-存款hࢀ_ࢀ__x005f_x005f_x005f_x005f_x005f2"/>
      <sheetName val="关联交易-存款hࢀ_ࢀ__x005f_x005f_2"/>
      <sheetName val="F1100芯片测试费_3"/>
      <sheetName val="Sch_PR-22"/>
      <sheetName val="Sch_PR-32"/>
      <sheetName val="Consol_BS2"/>
      <sheetName val="HO_&amp;_Aust_BS2"/>
      <sheetName val="JAC11_302"/>
      <sheetName val="Tier1_Pref_SGP2"/>
      <sheetName val="Rev__Losses2"/>
      <sheetName val="SoP_SGP22"/>
      <sheetName val="Prop_R2"/>
      <sheetName val="Tier1_Pref_SBP2"/>
      <sheetName val="Income_Statement_breakdown2"/>
      <sheetName val="销售6_132"/>
      <sheetName val="关联交易-存款hࢀ_ࢀ__2"/>
      <sheetName val="qad_TB2"/>
      <sheetName val="短期投资股票投资_dbf2"/>
      <sheetName val="短期投资国债投资_dbf2"/>
      <sheetName val="股票投资收益_dbf2"/>
      <sheetName val="其他货币海通_dbf2"/>
      <sheetName val="其他货币零领路_dbf2"/>
      <sheetName val="投资收益债券_dbf2"/>
      <sheetName val="Base_Info2"/>
      <sheetName val="PV6_3_5L_LX5_GMX1702"/>
      <sheetName val="Company_Information2"/>
      <sheetName val="P&amp;L_adhoc2"/>
      <sheetName val="Suppl_Adhoc_Inv_(F)2"/>
      <sheetName val="Suppl_Adhoc_Pers2"/>
      <sheetName val="QTR_Data_Analysis2"/>
      <sheetName val="Disclosure_Summary2"/>
      <sheetName val="BOX_SUM2"/>
      <sheetName val="FIN_GOOD2"/>
      <sheetName val="Hyperion_Link2"/>
      <sheetName val="关联交易-存款?滨?_2"/>
      <sheetName val="Price_List2"/>
      <sheetName val="1461（12_6）2"/>
      <sheetName val="Payed_bonuses2"/>
      <sheetName val="Output_&amp;_Financial_Statements2"/>
      <sheetName val="Old_TWX_Quorfa2"/>
      <sheetName val="TWX_Model2"/>
      <sheetName val="FS_Output_42"/>
      <sheetName val="FS_Output_12"/>
      <sheetName val="FS_Output_32"/>
      <sheetName val="FS_Output22"/>
      <sheetName val="Deal_Structure_&amp;_Control_Page2"/>
      <sheetName val="Historic_Comps2"/>
      <sheetName val="Bank_card_list2"/>
      <sheetName val="All_Cash_Dil2"/>
      <sheetName val="关联交易-存款hࢀ_ࢀ__x005f_x005f_x005f_x005f_2"/>
      <sheetName val="1-_Input_&amp;_Info2"/>
      <sheetName val="CUSTOMER_(DETAIL)2"/>
      <sheetName val="Lease_AP_20082"/>
      <sheetName val="Antivol_D22"/>
      <sheetName val="Vendor_Data2"/>
      <sheetName val="2_5上年现金试算2"/>
      <sheetName val="Romford_Market2"/>
      <sheetName val="&lt;FF&gt;_Tax_Payable2"/>
      <sheetName val="PPD_Schedule2"/>
      <sheetName val="清单12_312"/>
      <sheetName val="Economic_evaluation_-_FY98_bas2"/>
      <sheetName val="Base_Data2"/>
      <sheetName val="1_02"/>
      <sheetName val="Detail_Loan_Move__&amp;_Listing2"/>
      <sheetName val="Non-Statistical_Sampling2"/>
      <sheetName val="AR_Drop_Downs2"/>
      <sheetName val="PRC_GAAP2"/>
      <sheetName val="CY_sales_report1"/>
      <sheetName val="addl_cost1"/>
      <sheetName val="综合成本分析01_01-02051"/>
      <sheetName val="statement_19981"/>
      <sheetName val="XVIa(i)_-_average_price_(2)1"/>
      <sheetName val="Table_13_1_-_31"/>
      <sheetName val="T__B1"/>
      <sheetName val="ACC_NAME1"/>
      <sheetName val="Cash_Flow_-_CY_Workings1"/>
      <sheetName val="2_cot1"/>
      <sheetName val="for_ey_reviewer_销售费用1"/>
      <sheetName val="for_ey_reviewer_制造费用1"/>
      <sheetName val="Rejects_PPM1"/>
      <sheetName val="QOS_RPPM1"/>
      <sheetName val="Standort_(DE)1"/>
      <sheetName val="Act_Vol1"/>
      <sheetName val="SD-Report_5&quot;1"/>
      <sheetName val="M_Schedules1"/>
      <sheetName val="Staff_List1"/>
      <sheetName val="链接表（勿动）_元)1"/>
      <sheetName val="两次基准日的对比_(0531与0831)1"/>
      <sheetName val="链接表（勿动）_(元表)1"/>
      <sheetName val="Customer_Name1"/>
      <sheetName val="IRR_&amp;_NPV1"/>
      <sheetName val="ZP7_gespritzt1"/>
      <sheetName val="C-1_总表1"/>
      <sheetName val="4_1-合同台帐1"/>
      <sheetName val="Income_Statement_and_KPIs1"/>
      <sheetName val="GA5-2-1_明细表20151"/>
      <sheetName val="index_cc1"/>
      <sheetName val="1_5_合同、非合同台帐1"/>
      <sheetName val="IS_Summary-961"/>
      <sheetName val="Library_Procedures1"/>
      <sheetName val="Non-Statistical_Sampling_Maste1"/>
      <sheetName val="Global_Data1"/>
      <sheetName val="4_1拆出资金1"/>
      <sheetName val="aging_06121"/>
      <sheetName val="NA_QTR_PROD1"/>
      <sheetName val="Official_Lehman_PROD_Sched1"/>
      <sheetName val="Income_statement1"/>
      <sheetName val="PRC_151"/>
      <sheetName val="acc_list1"/>
      <sheetName val="在建工程_final1"/>
      <sheetName val="7_-_ARO_Assumptions1"/>
      <sheetName val="진행_DATA_(2)1"/>
      <sheetName val="开发成本2002_-_Movement1"/>
      <sheetName val="Acq_Assumptions_I1"/>
      <sheetName val="Acq_Assumptions_II1"/>
      <sheetName val="Acq_Assumptions_III1"/>
      <sheetName val="Service_Parts_Rejects_(RPPM)1"/>
      <sheetName val="Carole_Worksheet_Table1"/>
      <sheetName val="VS_Consensus1"/>
      <sheetName val="销售人效_-_Overview1"/>
      <sheetName val="Two_Step_Revenue_Testing_Maste1"/>
      <sheetName val="Share_Prices1"/>
      <sheetName val="Book_1_Summary1"/>
      <sheetName val="Salses_breakdown1"/>
      <sheetName val="国别报告数据填报模板(Information_Request1"/>
      <sheetName val="CJE_energy_inv1"/>
      <sheetName val="YTD_SALES1"/>
      <sheetName val="0_1公司清单1"/>
      <sheetName val="H_R1"/>
      <sheetName val="1_资金支付台帐1"/>
      <sheetName val="M&amp;A_pipeline1"/>
      <sheetName val="Feb_Allocation%1"/>
      <sheetName val="Com_Lever1"/>
      <sheetName val="expenses_calc1"/>
      <sheetName val="existing_cities_benchmark1"/>
      <sheetName val="master_sheet1"/>
      <sheetName val="bike_loss1"/>
      <sheetName val="exchange_rate1"/>
      <sheetName val="Cash_Flow_Worksheet1"/>
      <sheetName val="Chart_Analysis1"/>
      <sheetName val="2005_011"/>
      <sheetName val="Comp_equip1"/>
      <sheetName val="Access360_-_PP1"/>
      <sheetName val="Program_Controls1"/>
      <sheetName val="BS_Heading1"/>
      <sheetName val="PER_SALES_ORG1"/>
      <sheetName val="08_81"/>
      <sheetName val="其他货币资金_dbf1"/>
      <sheetName val="银行存款_dbf1"/>
      <sheetName val="2018_ADJ1"/>
      <sheetName val="F19_21"/>
      <sheetName val="F19_11"/>
      <sheetName val="F5_51"/>
      <sheetName val="F5_31"/>
      <sheetName val="Accounts_Database1"/>
      <sheetName val="CH_Car1"/>
      <sheetName val="App1_Entities_sequence_number1"/>
      <sheetName val="POWER_ASSUMPTIONS1"/>
      <sheetName val="summary_1"/>
      <sheetName val="关联交易-存款_滨__2"/>
      <sheetName val="F40-Goodsin_transit1"/>
      <sheetName val="1002-1031170406_Capital_Accoun1"/>
      <sheetName val="Air_Conditional1"/>
      <sheetName val="Motor_Vehicle1"/>
      <sheetName val="2018工程汇总_1"/>
      <sheetName val="表二十二_(2)"/>
      <sheetName val="附表1_年度人数"/>
      <sheetName val="Cash_Flow1"/>
      <sheetName val="26_存货月报表"/>
      <sheetName val="cum_pred"/>
      <sheetName val="库存商品余额表_dbf1"/>
      <sheetName val="Project_Details1"/>
      <sheetName val="Tritel_Consolidated1"/>
      <sheetName val="TeleCorp_Holdco_Summary1"/>
      <sheetName val="Sales_Volumes_&amp;_Plan"/>
      <sheetName val="Net_Sales_LC"/>
      <sheetName val="query_results"/>
      <sheetName val="Opening_check_Misc_(WO_Only)1"/>
      <sheetName val="IRR_Historic1"/>
      <sheetName val="Portfolio_IRR1"/>
      <sheetName val="Val_Inputs1"/>
      <sheetName val="Model_Inputs1"/>
      <sheetName val="Exchange_Rates&gt;&gt;1"/>
      <sheetName val="Funding_Combined1"/>
      <sheetName val="FY18_funding1"/>
      <sheetName val="iFood_funding1"/>
      <sheetName val="Summary_Adjusted1"/>
      <sheetName val="Summary_Combined1"/>
      <sheetName val="Conversion_Roll_forward1"/>
      <sheetName val="Summary_Roll_Forward1"/>
      <sheetName val="Conversion_DCF1"/>
      <sheetName val="Summary_DCF1"/>
      <sheetName val="Conversion_Cash_Flow1"/>
      <sheetName val="Summary_Cash_Flow1"/>
      <sheetName val="Company_Name_mappings1"/>
      <sheetName val="PH_Car1"/>
      <sheetName val="Related_company2"/>
      <sheetName val="Data_From_XXX2"/>
      <sheetName val="Delphi_original2"/>
      <sheetName val="FUEL_FILLER2"/>
      <sheetName val="Capex_report1"/>
      <sheetName val="___合同台账__1"/>
      <sheetName val="CIP_DETAILS"/>
      <sheetName val="Sales_for_20011"/>
      <sheetName val="7_(2)1"/>
      <sheetName val="Info__Request"/>
      <sheetName val="U1_61"/>
      <sheetName val="Price_Provision_清单"/>
      <sheetName val="PltRpt_(A&amp;F)"/>
      <sheetName val="PltRpt_(A&amp;FvsB)"/>
      <sheetName val="PltRpt_(B&amp;AC)"/>
      <sheetName val="Schedule_B"/>
      <sheetName val="Tav_22_Rischio_di_Credito"/>
      <sheetName val="信息费用预算表(A4)_"/>
      <sheetName val="Depreciation_test"/>
      <sheetName val="Table_US_Currency"/>
      <sheetName val="fixed_assets_–Forklifts"/>
      <sheetName val="fixed_assets_–battery"/>
      <sheetName val="ARP_stt_2"/>
      <sheetName val="Gen_Accruals"/>
      <sheetName val="Legal_Accrual"/>
      <sheetName val="Payroll_Accrual"/>
      <sheetName val="Cost_of_Equity1"/>
      <sheetName val="CLA-21_1-4_OLD1"/>
      <sheetName val="E3_A"/>
      <sheetName val="_1"/>
      <sheetName val="Ex__rate"/>
      <sheetName val="资产评估结果分类汇总表_(2)1"/>
      <sheetName val="SPI_GMBH"/>
      <sheetName val="Summary_Page_VDF"/>
      <sheetName val="Invested_capital_VDF"/>
      <sheetName val="LT_TB"/>
      <sheetName val="LTMD_TB"/>
      <sheetName val="OC_TB"/>
      <sheetName val="ZD_TB"/>
      <sheetName val="Agency_Walker_ID"/>
      <sheetName val="sales_breakdown"/>
      <sheetName val="co_info"/>
      <sheetName val="Interim_NWA_converted_in_Dec02"/>
      <sheetName val="AP-NSK(trade)_USD"/>
      <sheetName val="IV-NSK_JPY"/>
      <sheetName val="AP-NSK_(trade)_JPY"/>
      <sheetName val="AR-KTB_JPY"/>
      <sheetName val="AR-NSK_(trade)_USD"/>
      <sheetName val="ar-OKI_Micro"/>
      <sheetName val="AR-TAIKO_JPY"/>
      <sheetName val="BR-Thousand_JPY"/>
      <sheetName val="F余额表2021_(2)"/>
      <sheetName val="F余额表2021_(3)"/>
      <sheetName val="其他业务成本_111031"/>
      <sheetName val="A6620_Detail"/>
      <sheetName val="K311_A_List02"/>
      <sheetName val="99Exh_I"/>
      <sheetName val="외주현황_wq1"/>
      <sheetName val="Difference_Reconcliation"/>
      <sheetName val="RPT_Disclosure"/>
      <sheetName val="FY99_Volume"/>
      <sheetName val="Sal_&amp;_Wage_Info"/>
      <sheetName val="LAbor_estimate"/>
      <sheetName val="2018_4_7_for_Bank"/>
      <sheetName val="SPLICE_HOURS"/>
      <sheetName val="SC_HKD_CA"/>
      <sheetName val="M_P_"/>
      <sheetName val="Taux_de_change_"/>
      <sheetName val="plantilla_mes"/>
      <sheetName val="PL_by_month-EFY"/>
      <sheetName val="Calcs_for__quarterly_pres"/>
      <sheetName val="Valuation_Matrix"/>
      <sheetName val="Mov_from_2001_to_20031"/>
      <sheetName val="cur_rates"/>
      <sheetName val="Total_2009"/>
      <sheetName val="3rd_Qtr"/>
      <sheetName val="5th_Qtr"/>
      <sheetName val="6th_Qtr"/>
      <sheetName val="7th_Qtr"/>
      <sheetName val="Exit_Forecast"/>
      <sheetName val="2nd_Qtr"/>
      <sheetName val="Rounded_Input"/>
      <sheetName val="_003_3固定资产"/>
      <sheetName val="SUIVI_EFFECTIFS"/>
      <sheetName val="Vendas_Tons"/>
      <sheetName val="C_Estr_"/>
      <sheetName val="EFFECT_"/>
      <sheetName val="Trial_Balance"/>
      <sheetName val="VT_TEB_Planung-2006"/>
      <sheetName val="BT_03"/>
      <sheetName val="BT_02"/>
      <sheetName val="BT_01"/>
      <sheetName val="ICP费用ICP_Expense"/>
      <sheetName val="ICP其他应付款ICP_OtherPayable"/>
      <sheetName val="Product_List"/>
      <sheetName val="BALANCE_SHEET"/>
      <sheetName val="总公司2002_12_31"/>
      <sheetName val="_W60A_Seating_2011_3_7_xlsx"/>
      <sheetName val="FIRE_Parameters"/>
      <sheetName val="5_基础档案"/>
      <sheetName val="P&amp;L_Summary_Page"/>
      <sheetName val="Expenses_with_Comparisons"/>
      <sheetName val="TEV_Multiples"/>
      <sheetName val="CSM_Data_by_CY_"/>
      <sheetName val="Pref_Probable_Case_Returns"/>
      <sheetName val="Interco_BSC_01"/>
      <sheetName val="U210'_"/>
      <sheetName val="VCC_11110-4611"/>
      <sheetName val="CREDIT_STATS"/>
      <sheetName val="FAT_DB"/>
      <sheetName val="CF_Bridge"/>
      <sheetName val="Other_R&amp;O"/>
      <sheetName val="Co_59"/>
      <sheetName val="FA_List"/>
      <sheetName val="Operating_"/>
      <sheetName val="CFS_adjustments"/>
      <sheetName val="Office_Improve"/>
      <sheetName val="Drop_down"/>
      <sheetName val="2010_Breakdown"/>
      <sheetName val="CA_consolidated"/>
      <sheetName val="Chart_of_Acct"/>
      <sheetName val="Comparative_Balance_Sheet"/>
      <sheetName val="Com_list"/>
      <sheetName val="Headcount_and_Oil_Price"/>
      <sheetName val="BOE_Stats"/>
      <sheetName val="C_-_Cash_and_Bank"/>
      <sheetName val="others_gl"/>
      <sheetName val="Beg-_End_balance"/>
      <sheetName val="Net_Trans_Sum"/>
      <sheetName val="Sum_Hist"/>
      <sheetName val="Corporate_PPT"/>
      <sheetName val="WTI_Coporate_Eliminations_PPT"/>
      <sheetName val="Sales_by_category"/>
      <sheetName val="1102_TAB_OPPORTUNITY_to_import"/>
      <sheetName val="_FY2000"/>
      <sheetName val="BU_Parameters"/>
      <sheetName val="Valuation_Summary"/>
      <sheetName val="Capex_&amp;_Working_Capital_"/>
      <sheetName val="Product_Summary"/>
      <sheetName val="Revenue_Output"/>
      <sheetName val="P&amp;L_Summary"/>
      <sheetName val="Gross_Profit_Output_(100%)"/>
      <sheetName val="Historical_IS"/>
      <sheetName val="Other_Working_Assumptions"/>
      <sheetName val="Valuation_Waterfall"/>
      <sheetName val="Gross_Profit"/>
      <sheetName val="Historical_BS"/>
      <sheetName val="Key_Assumptions"/>
      <sheetName val="Instruction_Sheet"/>
      <sheetName val="Monthly_Ex_rate"/>
      <sheetName val="Expense_Accrual"/>
      <sheetName val="Gen__Accrual"/>
      <sheetName val="Prod__Accrual"/>
      <sheetName val="Rent_Accrual"/>
      <sheetName val="Corporate_Sales"/>
      <sheetName val="Freight_Issues"/>
      <sheetName val="Financial_Summary"/>
      <sheetName val="Rev_provit"/>
      <sheetName val="Repayment_Summary"/>
      <sheetName val="会计科目设置__科目汇总表"/>
      <sheetName val="IND_"/>
      <sheetName val="Performance_Graphs"/>
      <sheetName val="Validation_source"/>
      <sheetName val="EXP_LINE"/>
      <sheetName val="封面_Cover"/>
      <sheetName val="Other_M&amp;R"/>
      <sheetName val="QTP_dt_"/>
      <sheetName val="05_AOP_-_Exp_by_CC"/>
      <sheetName val="05_AOP_-_By_Acct_Detail"/>
      <sheetName val="IB_Average"/>
      <sheetName val="Int_ZFLS"/>
      <sheetName val="I-cycle_count08"/>
      <sheetName val="TT_template"/>
      <sheetName val="Valuation_-_GSJBW"/>
      <sheetName val="1887"/>
      <sheetName val="Sheet994"/>
      <sheetName val="C.货币资金"/>
      <sheetName val="C.抵押存款"/>
      <sheetName val="D.可供出售投资-流动"/>
      <sheetName val="D.衍生金融资产"/>
      <sheetName val="D.持有至到期投资-流动"/>
      <sheetName val="D.短期投资"/>
      <sheetName val="D.单列金融资产"/>
      <sheetName val="A5.dim&amp;adj sum"/>
      <sheetName val="E.应收账款"/>
      <sheetName val="E.应收贸易款及票据"/>
      <sheetName val="E.应收票据"/>
      <sheetName val="F.存货"/>
      <sheetName val="F.房地产"/>
      <sheetName val="G.预付账款&amp;其他应收款&amp;待摊费用"/>
      <sheetName val="G.应收股利"/>
      <sheetName val="G.待售资产"/>
      <sheetName val="G.HK其他应收"/>
      <sheetName val="G.应收利息"/>
      <sheetName val="G.其他流动资产"/>
      <sheetName val="H.可供出售投资-非流动"/>
      <sheetName val="H.HK长投"/>
      <sheetName val="H.商誉"/>
      <sheetName val="H.持有至到期投资-非流动"/>
      <sheetName val="H.投资性房地产"/>
      <sheetName val="H.PRC长投"/>
      <sheetName val="I.应收关联方"/>
      <sheetName val="I.应付关联方"/>
      <sheetName val="J.在建工程"/>
      <sheetName val="K.固定资产"/>
      <sheetName val="K.固定资产清理"/>
      <sheetName val="L.一年内到期的长期债权投资"/>
      <sheetName val="L.无形"/>
      <sheetName val="L.长期待摊"/>
      <sheetName val="L.其他长期资产"/>
      <sheetName val="M.短借"/>
      <sheetName val="N.应付票据"/>
      <sheetName val="P.预收账款&amp;其他应付款&amp;应付职工薪酬&amp;预提费用&amp;其他应交款"/>
      <sheetName val="U.其他业务收支&amp;营业外收支&amp;补贴收入&amp;利息收入"/>
      <sheetName val="U.所得税"/>
      <sheetName val="O.递延税资产"/>
      <sheetName val="O.递延税负债"/>
      <sheetName val="O.应交税费"/>
      <sheetName val="U.税金及附加"/>
      <sheetName val="P.应付股利"/>
      <sheetName val="P.HK其他应付"/>
      <sheetName val="P.应付利息"/>
      <sheetName val="P.其他应付款"/>
      <sheetName val="P.其他流动负债"/>
      <sheetName val="P.应付职工薪酬"/>
      <sheetName val="P.预计负债"/>
      <sheetName val="Q.应付债券"/>
      <sheetName val="Q.可转债"/>
      <sheetName val="Q.政府补助"/>
      <sheetName val="Q.一年内到期负债"/>
      <sheetName val="Q.应付融资租赁款"/>
      <sheetName val="Q.长借"/>
      <sheetName val="Q.长期应付"/>
      <sheetName val="Q.其他长期负债"/>
      <sheetName val="Q.专项应付"/>
      <sheetName val="T.股本"/>
      <sheetName val="T.资本公积"/>
      <sheetName val="T.折算差额"/>
      <sheetName val="T.未分配利润"/>
      <sheetName val="T.盈余公积"/>
      <sheetName val="U.主营业务"/>
      <sheetName val="U.财务费用"/>
      <sheetName val="U.投资收益&amp;公允价值变动收益"/>
      <sheetName val="U.管理费用&amp;资产减值损失"/>
      <sheetName val="U.成本倒轧表&amp;制造费用"/>
      <sheetName val="U.销售费用"/>
      <sheetName val="U.分占下属损益"/>
      <sheetName val="_8022"/>
      <sheetName val="应收热费101112"/>
      <sheetName val="1673"/>
      <sheetName val="2125"/>
      <sheetName val="2126"/>
      <sheetName val="Sheet567"/>
      <sheetName val="2454"/>
      <sheetName val="2456"/>
      <sheetName val="2675"/>
      <sheetName val="基本情况表"/>
      <sheetName val="Sheet768"/>
      <sheetName val="Sheet766"/>
      <sheetName val="Sheet662"/>
      <sheetName val="Sheet688"/>
      <sheetName val="NEWSPRINT &amp; UGW"/>
      <sheetName val="WACC Analysis Output"/>
      <sheetName val="Management Projections"/>
      <sheetName val="会计报表_PRC"/>
      <sheetName val="会计报表_IFRS"/>
      <sheetName val="预付帐龄"/>
      <sheetName val="Inventories Analysis"/>
      <sheetName val="Sheet1484"/>
      <sheetName val="ALL DATA"/>
      <sheetName val="Sheet668"/>
      <sheetName val="Sheet880"/>
      <sheetName val="FF-2 (1)"/>
      <sheetName val="FrontPage"/>
      <sheetName val="CheckSheet"/>
      <sheetName val="Data_Entry"/>
      <sheetName val="M1S"/>
      <sheetName val="M3"/>
      <sheetName val="M5A_M5B"/>
      <sheetName val="M6"/>
      <sheetName val="M5_M6 Summary"/>
      <sheetName val="M7"/>
      <sheetName val="M7B"/>
      <sheetName val="M8"/>
      <sheetName val="M8A"/>
      <sheetName val="M9"/>
      <sheetName val="AF1"/>
      <sheetName val="MD1"/>
      <sheetName val="MD2"/>
      <sheetName val="FC1"/>
      <sheetName val="FC2"/>
      <sheetName val="W1"/>
      <sheetName val="Dialogs"/>
      <sheetName val="Macros"/>
      <sheetName val="AutoData"/>
      <sheetName val="Sheet1 (3)"/>
      <sheetName val="应收帐款明细表"/>
      <sheetName val="现金流量表_月报_"/>
      <sheetName val="2006"/>
      <sheetName val="LOT別原価明細_マシン_"/>
      <sheetName val="604"/>
      <sheetName val="1727"/>
      <sheetName val="MB51"/>
      <sheetName val="会计科目"/>
      <sheetName val="2127"/>
      <sheetName val="06.1"/>
      <sheetName val="Sheet552"/>
      <sheetName val="현금"/>
      <sheetName val="별제권_정리담보권"/>
      <sheetName val="Cntmrs"/>
      <sheetName val="N1"/>
      <sheetName val="6126.07披露表(国资)"/>
      <sheetName val="汽车销量及出口（财务开票）"/>
      <sheetName val="10月份毛利表"/>
      <sheetName val="附件10 东莞百宏-待摊费用2019"/>
      <sheetName val="附件6 东莞百宏-其他应收款2019"/>
      <sheetName val="附件8 东莞百宏-预收账款2019"/>
      <sheetName val="科目余额2019"/>
      <sheetName val="Spending-mth(Sohu)"/>
      <sheetName val="Spending-Qtr"/>
      <sheetName val="PP&amp;E &amp; Intangibles"/>
      <sheetName val="Cover --&gt;"/>
      <sheetName val="节奏讨论用"/>
      <sheetName val="COA映射"/>
      <sheetName val="Comps input"/>
      <sheetName val="G2a"/>
      <sheetName val="配置"/>
      <sheetName val="新名称管理"/>
      <sheetName val="MT by Dept 管理报表费用分类"/>
      <sheetName val="Volatility raw"/>
      <sheetName val="Welfare PIT"/>
      <sheetName val="PPH1298S"/>
      <sheetName val="sales vol."/>
      <sheetName val="Occupancy 2004"/>
      <sheetName val="11累计完工表(内部)"/>
      <sheetName val="Graphs"/>
      <sheetName val="Regression_V1"/>
      <sheetName val="A | INPUT Filler"/>
      <sheetName val="Fitments Abs Ums"/>
      <sheetName val="Datenbank Fillers"/>
      <sheetName val="SFC fcst"/>
      <sheetName val="dd"/>
      <sheetName val="Sheet624"/>
      <sheetName val="Fcst 2017"/>
      <sheetName val="核对表"/>
      <sheetName val="其他流动资产"/>
      <sheetName val="其他业务收入成本"/>
      <sheetName val="FA ad09-12"/>
      <sheetName val="基本资料(不打印)"/>
      <sheetName val="1679"/>
      <sheetName val="1580"/>
      <sheetName val="2043"/>
      <sheetName val="2041"/>
      <sheetName val="2238"/>
      <sheetName val="2239"/>
      <sheetName val="1544"/>
      <sheetName val="中山低值"/>
      <sheetName val="A3.试算表Financial statement"/>
      <sheetName val="K.固定资产&amp;投资性房地产"/>
      <sheetName val="G.其他应收款"/>
      <sheetName val="关联交易-存款_滨__x001a_ "/>
      <sheetName val="河北肃宁"/>
      <sheetName val="重置价计算表"/>
      <sheetName val="A501_AADJ#14-对价调整"/>
      <sheetName val="D-PL"/>
      <sheetName val="Pick_Lists_Sheet"/>
      <sheetName val="K1_Tax_computation"/>
      <sheetName val="NBE_DCF"/>
      <sheetName val="Consolidated_DCF"/>
      <sheetName val="Boilers_DCF"/>
      <sheetName val="NBE_(heat_rate)"/>
      <sheetName val="Sheet571"/>
      <sheetName val="Sheet2662"/>
      <sheetName val="资产负债表验证表"/>
      <sheetName val="01 T"/>
      <sheetName val="03 "/>
      <sheetName val="by category"/>
      <sheetName val="物料"/>
      <sheetName val="Account Map"/>
      <sheetName val="Daglig_Likviditet"/>
      <sheetName val="附件25.2-销售收入"/>
      <sheetName val="2103"/>
      <sheetName val="U401(OK)"/>
      <sheetName val="大纲"/>
      <sheetName val="母公司应交税金明细表（含泵送）"/>
      <sheetName val="수정시산표"/>
      <sheetName val="GC0997"/>
      <sheetName val="Sheet2639"/>
      <sheetName val="COSTAB97"/>
      <sheetName val="F1910"/>
      <sheetName val="Movement-本部"/>
      <sheetName val="Movement-昌盛"/>
      <sheetName val="概括表、结果汇总表"/>
      <sheetName val="按期限计算有偿维保"/>
      <sheetName val="二级成本动态表"/>
      <sheetName val="conBS"/>
      <sheetName val="conCE"/>
      <sheetName val="conIS"/>
      <sheetName val="母公司TB"/>
      <sheetName val="Sales Data"/>
      <sheetName val="表二"/>
      <sheetName val="表五"/>
      <sheetName val="客户资料录入"/>
      <sheetName val="系统维护"/>
      <sheetName val="系统设置"/>
      <sheetName val="期初试算平衡表"/>
      <sheetName val="其他货币资金"/>
      <sheetName val="未审利润及利润分配表"/>
      <sheetName val="未审资产负债表"/>
      <sheetName val="现金流量表底稿"/>
      <sheetName val="一级科目表"/>
      <sheetName val="应收利息"/>
      <sheetName val="累计折旧"/>
      <sheetName val="未分配利润"/>
      <sheetName val="无形资产"/>
      <sheetName val="ZO-510"/>
      <sheetName val="Z0-350"/>
      <sheetName val="ZO-300"/>
      <sheetName val="TB0804"/>
      <sheetName val="NON-TP-ABB"/>
      <sheetName val="_606"/>
      <sheetName val="_607"/>
      <sheetName val="_608"/>
      <sheetName val="_609"/>
      <sheetName val="_610"/>
      <sheetName val="_611"/>
      <sheetName val="_612"/>
      <sheetName val="_706"/>
      <sheetName val="_707"/>
      <sheetName val="_708"/>
      <sheetName val="_709"/>
      <sheetName val="_710"/>
      <sheetName val="管理费用预测"/>
      <sheetName val="Guizhou"/>
      <sheetName val="Assumption"/>
      <sheetName val="Depn"/>
      <sheetName val="Operations"/>
      <sheetName val="EqptList"/>
      <sheetName val="债权成本-2020年"/>
      <sheetName val="测算汇总"/>
      <sheetName val="资金使用假设 (可转债按账面拆分为股权与债权)"/>
      <sheetName val="PKH-Income"/>
      <sheetName val="BS data"/>
      <sheetName val="capital"/>
      <sheetName val="Ambares"/>
      <sheetName val="期间费用率"/>
      <sheetName val="采购降成本情况进度统计表"/>
      <sheetName val="核算"/>
      <sheetName val="Elim Seg LM"/>
      <sheetName val="Elim Seg BM"/>
      <sheetName val="土方"/>
      <sheetName val="2012-2016 Grp Res Bdgt"/>
      <sheetName val="Annex B"/>
      <sheetName val="659"/>
      <sheetName val="Sch0- Tax Recon"/>
      <sheetName val="Sch20-ROU"/>
      <sheetName val="Balance sheet for August"/>
      <sheetName val="Income statement for August"/>
      <sheetName val="Lists (Hide)"/>
      <sheetName val="601"/>
      <sheetName val="1198"/>
      <sheetName val="TRF"/>
      <sheetName val="账"/>
      <sheetName val="（27）实收资本"/>
      <sheetName val="报表标准名称"/>
      <sheetName val="2002-CMHK"/>
      <sheetName val="GGP Expenses"/>
      <sheetName val="E201_AR"/>
      <sheetName val="E201_CA"/>
      <sheetName val="VWAP_PPTOutput"/>
      <sheetName val="Output"/>
      <sheetName val="15"/>
      <sheetName val="Data Arrangement"/>
      <sheetName val="1043"/>
      <sheetName val="Data sheet"/>
      <sheetName val="1. Data Entry Sales, Carline"/>
      <sheetName val="Adm"/>
      <sheetName val="sell"/>
      <sheetName val="Fin"/>
      <sheetName val="1406"/>
      <sheetName val="617"/>
      <sheetName val="UFPrn20081124111814"/>
      <sheetName val="公积捐赠"/>
      <sheetName val="总措施项目"/>
      <sheetName val="Set-up"/>
      <sheetName val="Acct 22010"/>
      <sheetName val="Administration"/>
      <sheetName val="P&amp;L PP"/>
      <sheetName val="Flash-pp"/>
      <sheetName val="MYF-pp"/>
      <sheetName val="Share Px"/>
      <sheetName val="2032"/>
      <sheetName val="A14_g280"/>
      <sheetName val="A14_g279"/>
      <sheetName val="REPOT"/>
      <sheetName val="REPEN"/>
      <sheetName val="209zt"/>
      <sheetName val="115zt"/>
      <sheetName val="11901zt"/>
      <sheetName val="存货和固定资产暂估明细"/>
      <sheetName val="Basic_Data"/>
      <sheetName val="QAD"/>
      <sheetName val="Sept BF"/>
      <sheetName val="HDPE2"/>
      <sheetName val="Anlage 3b, Attachment 3b"/>
      <sheetName val="KE30"/>
      <sheetName val="DAT"/>
      <sheetName val="Kal_PP3"/>
      <sheetName val="Ant.Buss1"/>
      <sheetName val="Ant.Buss2"/>
      <sheetName val="Ant.ZSK"/>
      <sheetName val="Dehy"/>
      <sheetName val="line1"/>
      <sheetName val="Ber_HDPE"/>
      <sheetName val="Ber_PP1"/>
      <sheetName val="Ber_PP2"/>
      <sheetName val="db"/>
      <sheetName val="T6-6(7)"/>
      <sheetName val="140509"/>
      <sheetName val="_80101"/>
      <sheetName val="_80102"/>
      <sheetName val="Historical prices(D)"/>
      <sheetName val="Historical prices(M)"/>
      <sheetName val="Historical prices(W)"/>
      <sheetName val="Sheet644"/>
      <sheetName val="收入成本明细"/>
      <sheetName val="Sheet2640"/>
      <sheetName val="Exp. Summary"/>
      <sheetName val="PTCG"/>
      <sheetName val="Tally TB June"/>
      <sheetName val="IBD"/>
      <sheetName val="MGT"/>
      <sheetName val="合并附注"/>
      <sheetName val="2货站"/>
      <sheetName val="省环保科目余额表9月"/>
      <sheetName val="基本"/>
      <sheetName val="2111"/>
      <sheetName val="5503"/>
      <sheetName val="Sheet865"/>
      <sheetName val="Fee Rate Summary"/>
      <sheetName val="미수"/>
      <sheetName val="外协件"/>
      <sheetName val="Mbew"/>
      <sheetName val="調整BS"/>
      <sheetName val="大额未达"/>
      <sheetName val="FA. 0012"/>
      <sheetName val="1H"/>
      <sheetName val="2H"/>
      <sheetName val="CTV PL"/>
      <sheetName val="综合概算(2003)"/>
      <sheetName val="重要性水平"/>
      <sheetName val="UFPrn20210114105843"/>
      <sheetName val="UFPrn20210114190800"/>
      <sheetName val="UFPrn20210114200340"/>
      <sheetName val="UFPrn20210114200354"/>
      <sheetName val="UFPrn20210114200426"/>
      <sheetName val="UFPrn20210114200550"/>
      <sheetName val="UFPrn20210114201346"/>
      <sheetName val="UFPrn20210116130132"/>
      <sheetName val="UFPrn20210116153205"/>
      <sheetName val="UFPrn20210116161353"/>
      <sheetName val="UFPrn20210116161456"/>
      <sheetName val="UFPrn20210116161512"/>
      <sheetName val="UFPrn20210116161529"/>
      <sheetName val="UFPrn20210116161544"/>
      <sheetName val="UFPrn20210116161601"/>
      <sheetName val="UFPrn20210116161616"/>
      <sheetName val="UFPrn20210116161630"/>
      <sheetName val="UFPrn20210118102619"/>
      <sheetName val="UFPrn20210130095810"/>
      <sheetName val="UFPrn20210205144440"/>
      <sheetName val="UFPrn20210205144827"/>
      <sheetName val="UFPrn20210205144835"/>
      <sheetName val="UFPrn20210205144855"/>
      <sheetName val="UFPrn20210205144917"/>
      <sheetName val="UFPrn20210205145020"/>
      <sheetName val="UFPrn20210205145028"/>
      <sheetName val="UFPrn20210205145038"/>
      <sheetName val="UFPrn20210205145048"/>
      <sheetName val="UFPrn20210205145059"/>
      <sheetName val="UFPrn20210205145116"/>
      <sheetName val="UFPrn20210205145125"/>
      <sheetName val="UFPrn20210218145645"/>
      <sheetName val="UFPrn20210218145851"/>
      <sheetName val="UFPrn20210218145904"/>
      <sheetName val="UFPrn20210218145928"/>
      <sheetName val="UFPrn20210224093859"/>
      <sheetName val="UFPrn20210314105647"/>
      <sheetName val="UFPrn20210314105724"/>
      <sheetName val="UFPrn20210314110215"/>
      <sheetName val="UFPrn20210316083000"/>
      <sheetName val="UFPrn20210316083159"/>
      <sheetName val="UFPrn20210316085117"/>
      <sheetName val="UFPrn20210316090225"/>
      <sheetName val="查询凭证列表"/>
      <sheetName val="UFPrn20210329152455"/>
      <sheetName val="UFPrn20210417141410"/>
      <sheetName val="UFPrn20210417142424"/>
      <sheetName val="UFPrn20210423192758"/>
      <sheetName val="UFPrn20210426134615"/>
      <sheetName val="UFPrn20210429165503"/>
      <sheetName val="UFPrn20210429165606"/>
      <sheetName val="UFPrn20210429180122"/>
      <sheetName val="UFPrn20210429180130"/>
      <sheetName val="UFPrn20210429180146"/>
      <sheetName val="UFPrn20210502105712"/>
      <sheetName val="UFPrn20210502143835"/>
      <sheetName val="UFPrn20210514142548"/>
      <sheetName val="UFPrn20210521100028"/>
      <sheetName val="UFPrn20210608222445"/>
      <sheetName val="UFPrn20210620093558"/>
      <sheetName val="UFPrn20210623133513"/>
      <sheetName val="UFPrn20210625123854"/>
      <sheetName val="凭证审核列表"/>
      <sheetName val="UFPrn20210628114802"/>
      <sheetName val="UFPrn20210701214708"/>
      <sheetName val="UFPrn20210712174811"/>
      <sheetName val="UFPrn20210719164600"/>
      <sheetName val="UFPrn20210727085509"/>
      <sheetName val="UFPrn20210819143755"/>
      <sheetName val="UFPrn20210914164248"/>
      <sheetName val="UFPrn20210914165238"/>
      <sheetName val="UFPrn20210914165836"/>
      <sheetName val="UFPrn20211019101411"/>
      <sheetName val="UFPrn20211201184329"/>
      <sheetName val="UFPrn20211209134041"/>
      <sheetName val="UFPrn20211209134323"/>
      <sheetName val="UFPrn20211209182658"/>
      <sheetName val="UFPrn20211209182714"/>
      <sheetName val="UFPrn20211215200537"/>
      <sheetName val="UFPrn20211215202839"/>
      <sheetName val="审计程序（旧）"/>
      <sheetName val="计提准备金明细"/>
      <sheetName val="Sheet455"/>
      <sheetName val="641"/>
      <sheetName val="446"/>
      <sheetName val="Phase I"/>
      <sheetName val="purchase-subsi"/>
      <sheetName val="sales1-subsi."/>
      <sheetName val="sales2-subsi."/>
      <sheetName val="sales3-subsi"/>
      <sheetName val="调12"/>
      <sheetName val="_200212"/>
      <sheetName val="底盘厂"/>
      <sheetName val="合并"/>
      <sheetName val="_2551"/>
      <sheetName val="_2555"/>
      <sheetName val="基础信息表"/>
      <sheetName val="N"/>
      <sheetName val="FY03"/>
      <sheetName val="Sheet429"/>
      <sheetName val="New investment"/>
      <sheetName val="load"/>
      <sheetName val="BANK ac no,"/>
      <sheetName val="关联交易-存款h_x0001_?_x0001__x"/>
      <sheetName val="Liste"/>
      <sheetName val="产品"/>
      <sheetName val="关联交易-存款h_x0001___x0001__x"/>
      <sheetName val="001Disclosure Summary"/>
      <sheetName val="L1-1 Ageing analysis"/>
      <sheetName val="本期报表"/>
      <sheetName val="对照表"/>
      <sheetName val="Co Des BBXL"/>
      <sheetName val="Regression"/>
      <sheetName val="J-cycle count09"/>
      <sheetName val="PCB"/>
      <sheetName val="客户略名"/>
      <sheetName val="Total Coach"/>
      <sheetName val="其他应收款个人"/>
      <sheetName val="Sale breakdown"/>
      <sheetName val="zhongshan "/>
      <sheetName val="A120-10"/>
      <sheetName val="中颖"/>
      <sheetName val="FF"/>
      <sheetName val="现金明细余额表"/>
      <sheetName val="其他货币资金余额表"/>
      <sheetName val="S-A130应收票据"/>
      <sheetName val="财务费用明细"/>
      <sheetName val="S-I210财务费用"/>
      <sheetName val="FY04Store"/>
      <sheetName val="Struktur"/>
      <sheetName val="2016~2018.8凭证库加工"/>
      <sheetName val="销售收入统计按科目"/>
      <sheetName val="应收票据(关联方)"/>
      <sheetName val="Directions"/>
      <sheetName val="A140-1应收账款明细"/>
      <sheetName val="SIZE &amp; VALUE"/>
      <sheetName val="MPC"/>
      <sheetName val="应收账款审定表"/>
      <sheetName val="软件公司收入与成本对应分析表"/>
      <sheetName val="Vorbereitende Eingaben (Teil 1)"/>
      <sheetName val="SB营业成本审定表"/>
      <sheetName val="Scrap Bridge Ytd"/>
      <sheetName val="202101-202106充值明细"/>
      <sheetName val="截止9月26日会员卡余额（企业提供）"/>
      <sheetName val="LookupTable"/>
      <sheetName val="MCS_P&amp;L_By_Sub_ USD"/>
      <sheetName val="tax payable"/>
      <sheetName val="其他未交款"/>
      <sheetName val="Details of ledger "/>
      <sheetName val="商业街销售情况统计表（PBC)"/>
      <sheetName val="Management report vs ledger"/>
      <sheetName val="raw"/>
      <sheetName val="Linkcleaner"/>
      <sheetName val="Berechnung"/>
      <sheetName val="报告披露_非上市合并&amp;FIE"/>
      <sheetName val="1540"/>
      <sheetName val="7378 StockBalance"/>
      <sheetName val="1048"/>
      <sheetName val="Base 基础"/>
      <sheetName val="Exchange_Rates"/>
      <sheetName val="CILO"/>
      <sheetName val="Sheet659"/>
      <sheetName val="PLCONSO"/>
      <sheetName val="Hidden"/>
      <sheetName val="Orientation"/>
      <sheetName val="Delivery"/>
      <sheetName val="Sheet686"/>
      <sheetName val="Sheet1459"/>
      <sheetName val="Sheet676"/>
      <sheetName val="Sheet660"/>
      <sheetName val="Sheet1460"/>
      <sheetName val="I101"/>
      <sheetName val="Sign Off Form"/>
      <sheetName val="Football"/>
      <sheetName val="LBO Valuation Analysis"/>
      <sheetName val="Buy"/>
      <sheetName val="Spin 1"/>
      <sheetName val="Sec Equity"/>
      <sheetName val="GRAPH &amp; SOURCE DATA"/>
      <sheetName val="LBO Assumptions"/>
      <sheetName val="Split"/>
      <sheetName val="TargetDCF"/>
      <sheetName val="A_Gen"/>
      <sheetName val="Sens"/>
      <sheetName val="E"/>
      <sheetName val="J&amp;Q"/>
      <sheetName val="Within"/>
      <sheetName val="收入完成预测"/>
      <sheetName val="短期借款&amp;长期借款明细表20021231"/>
      <sheetName val="0194"/>
      <sheetName val="毛利步行图-按产品类型"/>
      <sheetName val="毛利步行图-主要产品量价分析"/>
      <sheetName val="Drop List References"/>
      <sheetName val="Instructions (2)"/>
      <sheetName val="Sheet952"/>
      <sheetName val="新"/>
      <sheetName val="Personal property HZ"/>
      <sheetName val="CY BS"/>
      <sheetName val="FAL as of 7.31.06"/>
      <sheetName val="Model"/>
      <sheetName val="PLI-1994"/>
      <sheetName val="Phase2 movementDEC"/>
      <sheetName val="Phase1f.a.DEC"/>
      <sheetName val="Phase2 f.a.DEC (2)"/>
      <sheetName val="Table - Current Year"/>
      <sheetName val="Fin_Ass"/>
      <sheetName val="Accrued Expenses"/>
      <sheetName val="Value summary"/>
      <sheetName val="02车租"/>
      <sheetName val="定额"/>
      <sheetName val="CAB22.存放同业款项 "/>
      <sheetName val="Q1 "/>
      <sheetName val="loan database"/>
      <sheetName val="因子系数表"/>
      <sheetName val="Expenses"/>
      <sheetName val="TSNO-DC"/>
      <sheetName val="SAP 01-12-31"/>
      <sheetName val="Sheet628"/>
      <sheetName val="产品地区"/>
      <sheetName val="Month"/>
      <sheetName val="Interco Sales"/>
      <sheetName val="Net Bookings"/>
      <sheetName val="Net Sales &amp; Cost of Sales"/>
      <sheetName val="A_T5"/>
      <sheetName val="Sheet650"/>
      <sheetName val="NEW"/>
      <sheetName val="Sheet2621"/>
      <sheetName val="12201001"/>
      <sheetName val="unfinished"/>
      <sheetName val="Service Year"/>
      <sheetName val="Wufeng"/>
      <sheetName val="Wuchi"/>
      <sheetName val="Sheet1186"/>
      <sheetName val="sheet6"/>
      <sheetName val="PBC - PHS"/>
      <sheetName val="HKBUD"/>
      <sheetName val="May"/>
      <sheetName val="1 Eckdaten in LW"/>
      <sheetName val="Calc &amp; Export"/>
      <sheetName val="Carryover 2004"/>
      <sheetName val="AOP Exec Summary"/>
      <sheetName val="变动信息_变动类型"/>
      <sheetName val="U102-U104 Detail"/>
      <sheetName val="BBW"/>
      <sheetName val="983"/>
      <sheetName val="Revenue &amp; Expenses"/>
      <sheetName val="补贴收入"/>
      <sheetName val="分专业利润表"/>
      <sheetName val="分专业资产负债表"/>
      <sheetName val="分专业利润分配表"/>
      <sheetName val="上市公司与关联公司往来"/>
      <sheetName val="其他业务利润"/>
      <sheetName val="人工成本"/>
      <sheetName val="营业费用"/>
      <sheetName val="主营业务成本"/>
      <sheetName val="主营业务税金及附加"/>
      <sheetName val="主营业务收入长途"/>
      <sheetName val="主营业务收入数据"/>
      <sheetName val="主营业务收入移动"/>
      <sheetName val="主营业务收入固话"/>
      <sheetName val="主营业务收入新时空及其他"/>
      <sheetName val="主营业务收入寻呼"/>
      <sheetName val="不良排名"/>
      <sheetName val="PRC 13"/>
      <sheetName val="인사현황(부서)"/>
      <sheetName val="Vehicles"/>
      <sheetName val="suivi cash flow par affaire"/>
      <sheetName val="608"/>
      <sheetName val="변수"/>
      <sheetName val="基本信息输入"/>
      <sheetName val="AR movement"/>
      <sheetName val="intbutot wksheet current"/>
      <sheetName val="Understand the client"/>
      <sheetName val="Bokslutsprocessen"/>
      <sheetName val="Indata"/>
      <sheetName val="CO-Master"/>
      <sheetName val="BI-POLAR"/>
      <sheetName val="合并抵销或调整分录（1）"/>
      <sheetName val="2.2 付款及计提明细"/>
      <sheetName val="印花税档案"/>
      <sheetName val="1.汇总统计"/>
      <sheetName val="LTM Volume"/>
      <sheetName val="附表2-合同台账"/>
      <sheetName val="租赁合同期限超过5年的商户"/>
      <sheetName val="JPY_Rates"/>
      <sheetName val="HKD_Rates"/>
      <sheetName val="卖出国债test"/>
      <sheetName val="Bank Table"/>
      <sheetName val="1 LeadSchedule"/>
      <sheetName val="3 Analysis"/>
      <sheetName val="OCT BANK"/>
      <sheetName val="Lockbox"/>
      <sheetName val="Technical"/>
      <sheetName val="Parametri"/>
      <sheetName val="FP"/>
      <sheetName val="COS1"/>
      <sheetName val="COS2"/>
      <sheetName val="COS3"/>
      <sheetName val="COS4"/>
      <sheetName val="PL2"/>
      <sheetName val="PL3"/>
      <sheetName val="PL4"/>
      <sheetName val="GM Trend"/>
      <sheetName val="GM% Trend"/>
      <sheetName val="Linearity"/>
      <sheetName val="Linearity Chart"/>
      <sheetName val="NP Trend"/>
      <sheetName val="Recon"/>
      <sheetName val="Rev Trend"/>
      <sheetName val="Rev-GM Detail 1"/>
      <sheetName val="Rev-GM Detail 2"/>
      <sheetName val="Rev Mix Trend"/>
      <sheetName val="SUMMARY (EXPD)"/>
      <sheetName val="SUMMARY (%)"/>
      <sheetName val="QTD TO GO"/>
      <sheetName val="600"/>
      <sheetName val="analysis"/>
      <sheetName val="Sensitivities"/>
      <sheetName val="h1h2 model"/>
      <sheetName val="八月"/>
      <sheetName val="A5_合并调整"/>
      <sheetName val="A3_合并财务报表"/>
      <sheetName val="公司名称"/>
      <sheetName val="Sheet634"/>
      <sheetName val="王府井折旧测算表-税收口径"/>
      <sheetName val="10月"/>
      <sheetName val="11月"/>
      <sheetName val="12月"/>
      <sheetName val="2月"/>
      <sheetName val="7月"/>
      <sheetName val="8月"/>
      <sheetName val="9月"/>
      <sheetName val="公司股东权益变动"/>
      <sheetName val="余额表"/>
      <sheetName val="Sheet667"/>
      <sheetName val="3.４Ｒ損益"/>
      <sheetName val="Sheet833"/>
      <sheetName val="工具HK库龄"/>
      <sheetName val="Sheet547"/>
      <sheetName val="sapactivexlhiddensheet"/>
      <sheetName val="1025"/>
      <sheetName val="1026"/>
      <sheetName val="Sheet593"/>
      <sheetName val="Recov"/>
      <sheetName val="Sheet652"/>
      <sheetName val="总部&amp;平台10月费用明细-预算口径"/>
      <sheetName val="CLOC's"/>
      <sheetName val="LOB"/>
      <sheetName val="Sheet633"/>
      <sheetName val="现调整"/>
      <sheetName val="附表2关联交易"/>
      <sheetName val="Table Rates"/>
      <sheetName val="GG&amp;P Yield"/>
      <sheetName val="PBY Adj"/>
      <sheetName val="PMO"/>
      <sheetName val="RV"/>
      <sheetName val="bal1"/>
      <sheetName val="_2731"/>
      <sheetName val="_2733"/>
      <sheetName val="_2568"/>
      <sheetName val="5426"/>
      <sheetName val="_8048"/>
      <sheetName val="RJE#3"/>
      <sheetName val="取费表"/>
      <sheetName val="其他应付款4-12月份明细表"/>
      <sheetName val="表单1"/>
      <sheetName val="G-35-3"/>
      <sheetName val="经评"/>
      <sheetName val="1-12"/>
      <sheetName val="12.APaging附表"/>
      <sheetName val="Sheet449"/>
      <sheetName val="2_1设计部"/>
      <sheetName val="Group_structure"/>
      <sheetName val="Profit_and_loss"/>
      <sheetName val="Detail_Loan_Move____Listing"/>
      <sheetName val="2weeeks_All__Excess_and_Shortag"/>
      <sheetName val="Business_Unit"/>
      <sheetName val="TargIS"/>
      <sheetName val="Raw Mtl Prep"/>
      <sheetName val="2016分录"/>
      <sheetName val="Sheet3615"/>
      <sheetName val="Sheet435"/>
      <sheetName val="EQUIP"/>
      <sheetName val="3直"/>
      <sheetName val="HISTORY "/>
      <sheetName val="DOWNLOAD"/>
      <sheetName val="表2&lt;销售出库单&gt;"/>
      <sheetName val="U-3x1_YE"/>
      <sheetName val="U-3x2_YE"/>
      <sheetName val="V_over_1"/>
      <sheetName val="V_over_2"/>
      <sheetName val="MTRL"/>
      <sheetName val="Artikel"/>
      <sheetName val="Lås"/>
      <sheetName val="SHFMA"/>
      <sheetName val="NJFMA"/>
      <sheetName val="WHFMA"/>
      <sheetName val="CDFMA"/>
      <sheetName val="KMFMA"/>
      <sheetName val="Fidelity Option"/>
      <sheetName val="PAY REGISTER~Input Values"/>
      <sheetName val="04"/>
      <sheetName val="03"/>
      <sheetName val="CD FMA"/>
      <sheetName val="FMC"/>
      <sheetName val="FMT"/>
      <sheetName val="EFF &amp; HRS"/>
      <sheetName val="0.09"/>
      <sheetName val="Sheet630"/>
      <sheetName val="1月1"/>
      <sheetName val="Leasehold_imp"/>
      <sheetName val="A_R_016"/>
      <sheetName val="Defer_tax6"/>
      <sheetName val="ADJ_Sum(console)6"/>
      <sheetName val="Estimated_AP_9_036"/>
      <sheetName val="2005_065"/>
      <sheetName val="daywork-_Tham_khao5"/>
      <sheetName val="TB_Link5"/>
      <sheetName val="Mar_OR5"/>
      <sheetName val="truc_tiep4"/>
      <sheetName val="REC_975"/>
      <sheetName val="P_1预收、其他应付、其他流动负债4"/>
      <sheetName val="G_预付账款、其他应收款、其他流动资产4"/>
      <sheetName val="_U1504"/>
      <sheetName val="关联交易-存款hࢀ_ࢀ_2"/>
      <sheetName val="Financ__Overview4"/>
      <sheetName val="2-分类汇总_Classified_Summary4"/>
      <sheetName val="各年往来_(2)4"/>
      <sheetName val="IFRS_REPORTING4"/>
      <sheetName val="office_supplies4"/>
      <sheetName val="关联交易-存款hࢀ_ࢀ__x005f_x0001_4"/>
      <sheetName val="关联交易-存款hࢀ_ࢀ__x005f_x005f_x005f_x0001_4"/>
      <sheetName val="zero_(3)4"/>
      <sheetName val="A5_Summary4"/>
      <sheetName val="Invest_4"/>
      <sheetName val="A3_Sum4"/>
      <sheetName val="3_24"/>
      <sheetName val="Inv_days_#54"/>
      <sheetName val="control_sheet_fund_II4"/>
      <sheetName val="Exec_Summary4"/>
      <sheetName val="F1100芯片测试费_4"/>
      <sheetName val="TAB_Daten3"/>
      <sheetName val="N_应付账款3"/>
      <sheetName val="Raw_materials3"/>
      <sheetName val="关联交易-存款hࢀ_ࢀ__x005f_x005f_x005f_x005f_x005f3"/>
      <sheetName val="关联交易-存款hࢀ_ࢀ__x005f_x005f_3"/>
      <sheetName val="Ex_Diff3"/>
      <sheetName val="II-_Liability_Component_June_03"/>
      <sheetName val="I-Conclusion_3"/>
      <sheetName val="II-_Liab__comp_IAS3"/>
      <sheetName val="Conversion_feature3"/>
      <sheetName val="I-_Summary3"/>
      <sheetName val="Sch_PR-23"/>
      <sheetName val="Sch_PR-33"/>
      <sheetName val="Consol_BS3"/>
      <sheetName val="HO_&amp;_Aust_BS3"/>
      <sheetName val="JAC11_303"/>
      <sheetName val="Tier1_Pref_SGP3"/>
      <sheetName val="Rev__Losses3"/>
      <sheetName val="SoP_SGP23"/>
      <sheetName val="Prop_R3"/>
      <sheetName val="Tier1_Pref_SBP3"/>
      <sheetName val="Income_Statement_breakdown3"/>
      <sheetName val="销售6_133"/>
      <sheetName val="短期投资股票投资_dbf3"/>
      <sheetName val="短期投资国债投资_dbf3"/>
      <sheetName val="股票投资收益_dbf3"/>
      <sheetName val="其他货币海通_dbf3"/>
      <sheetName val="其他货币零领路_dbf3"/>
      <sheetName val="投资收益债券_dbf3"/>
      <sheetName val="关联交易-存款hࢀ_ࢀ__3"/>
      <sheetName val="关联交易-存款?滨?_3"/>
      <sheetName val="Base_Info3"/>
      <sheetName val="PV6_3_5L_LX5_GMX1703"/>
      <sheetName val="Company_Information3"/>
      <sheetName val="QTR_Data_Analysis3"/>
      <sheetName val="Disclosure_Summary3"/>
      <sheetName val="qad_TB3"/>
      <sheetName val="P&amp;L_adhoc3"/>
      <sheetName val="Suppl_Adhoc_Inv_(F)3"/>
      <sheetName val="Suppl_Adhoc_Pers3"/>
      <sheetName val="BOX_SUM3"/>
      <sheetName val="FIN_GOOD3"/>
      <sheetName val="Hyperion_Link3"/>
      <sheetName val="2_5上年现金试算3"/>
      <sheetName val="1461（12_6）3"/>
      <sheetName val="Romford_Market3"/>
      <sheetName val="Price_List3"/>
      <sheetName val="Payed_bonuses3"/>
      <sheetName val="Output_&amp;_Financial_Statements3"/>
      <sheetName val="Old_TWX_Quorfa3"/>
      <sheetName val="TWX_Model3"/>
      <sheetName val="FS_Output_43"/>
      <sheetName val="FS_Output_13"/>
      <sheetName val="FS_Output_33"/>
      <sheetName val="FS_Output23"/>
      <sheetName val="Deal_Structure_&amp;_Control_Page3"/>
      <sheetName val="Historic_Comps3"/>
      <sheetName val="All_Cash_Dil3"/>
      <sheetName val="关联交易-存款hࢀ_ࢀ__x005f_x005f_x005f_x005f_3"/>
      <sheetName val="&lt;FF&gt;_Tax_Payable3"/>
      <sheetName val="PPD_Schedule3"/>
      <sheetName val="清单12_313"/>
      <sheetName val="Economic_evaluation_-_FY98_bas3"/>
      <sheetName val="Bank_card_list3"/>
      <sheetName val="Base_Data3"/>
      <sheetName val="链接表（勿动）_元)2"/>
      <sheetName val="两次基准日的对比_(0531与0831)2"/>
      <sheetName val="链接表（勿动）_(元表)2"/>
      <sheetName val="Detail_Loan_Move__&amp;_Listing3"/>
      <sheetName val="1_03"/>
      <sheetName val="CUSTOMER_(DETAIL)3"/>
      <sheetName val="Non-Statistical_Sampling3"/>
      <sheetName val="AR_Drop_Downs3"/>
      <sheetName val="1-_Input_&amp;_Info3"/>
      <sheetName val="Lease_AP_20083"/>
      <sheetName val="Antivol_D23"/>
      <sheetName val="Vendor_Data3"/>
      <sheetName val="PRC_GAAP3"/>
      <sheetName val="CY_sales_report2"/>
      <sheetName val="M_Schedules2"/>
      <sheetName val="Staff_List2"/>
      <sheetName val="addl_cost2"/>
      <sheetName val="综合成本分析01_01-02052"/>
      <sheetName val="SD-Report_5&quot;2"/>
      <sheetName val="Rejects_PPM2"/>
      <sheetName val="QOS_RPPM2"/>
      <sheetName val="Standort_(DE)2"/>
      <sheetName val="Act_Vol2"/>
      <sheetName val="Customer_Name2"/>
      <sheetName val="T__B2"/>
      <sheetName val="IRR_&amp;_NPV2"/>
      <sheetName val="开发成本2002_-_Movement2"/>
      <sheetName val="statement_19982"/>
      <sheetName val="XVIa(i)_-_average_price_(2)2"/>
      <sheetName val="Table_13_1_-_32"/>
      <sheetName val="ACC_NAME2"/>
      <sheetName val="C-1_总表2"/>
      <sheetName val="4_1-合同台帐2"/>
      <sheetName val="Income_Statement_and_KPIs2"/>
      <sheetName val="index_cc2"/>
      <sheetName val="1_5_合同、非合同台帐2"/>
      <sheetName val="IS_Summary-962"/>
      <sheetName val="Library_Procedures2"/>
      <sheetName val="Non-Statistical_Sampling_Maste2"/>
      <sheetName val="Global_Data2"/>
      <sheetName val="4_1拆出资金2"/>
      <sheetName val="aging_06122"/>
      <sheetName val="NA_QTR_PROD2"/>
      <sheetName val="Official_Lehman_PROD_Sched2"/>
      <sheetName val="Income_statement2"/>
      <sheetName val="PRC_152"/>
      <sheetName val="acc_list2"/>
      <sheetName val="在建工程_final2"/>
      <sheetName val="VS_Consensus2"/>
      <sheetName val="CJE_energy_inv2"/>
      <sheetName val="YTD_SALES2"/>
      <sheetName val="国别报告数据填报模板(Information_Request2"/>
      <sheetName val="진행_DATA_(2)2"/>
      <sheetName val="Cash_Flow_-_CY_Workings2"/>
      <sheetName val="2_cot2"/>
      <sheetName val="for_ey_reviewer_销售费用2"/>
      <sheetName val="for_ey_reviewer_制造费用2"/>
      <sheetName val="ZP7_gespritzt2"/>
      <sheetName val="Acq_Assumptions_I2"/>
      <sheetName val="Acq_Assumptions_II2"/>
      <sheetName val="Acq_Assumptions_III2"/>
      <sheetName val="关联交易-存款_滨__3"/>
      <sheetName val="Book_1_Summary2"/>
      <sheetName val="销售人效_-_Overview2"/>
      <sheetName val="Two_Step_Revenue_Testing_Maste2"/>
      <sheetName val="Share_Prices2"/>
      <sheetName val="Feb_Allocation%2"/>
      <sheetName val="Com_Lever2"/>
      <sheetName val="expenses_calc2"/>
      <sheetName val="existing_cities_benchmark2"/>
      <sheetName val="master_sheet2"/>
      <sheetName val="bike_loss2"/>
      <sheetName val="exchange_rate2"/>
      <sheetName val="Cash_Flow_Worksheet2"/>
      <sheetName val="Chart_Analysis2"/>
      <sheetName val="2005_012"/>
      <sheetName val="Comp_equip2"/>
      <sheetName val="Access360_-_PP2"/>
      <sheetName val="Program_Controls2"/>
      <sheetName val="BS_Heading2"/>
      <sheetName val="GA5-2-1_明细表20152"/>
      <sheetName val="Salses_breakdown2"/>
      <sheetName val="其他货币资金_dbf2"/>
      <sheetName val="银行存款_dbf2"/>
      <sheetName val="2018_ADJ2"/>
      <sheetName val="08_82"/>
      <sheetName val="Service_Parts_Rejects_(RPPM)2"/>
      <sheetName val="Carole_Worksheet_Table2"/>
      <sheetName val="POWER_ASSUMPTIONS2"/>
      <sheetName val="0_1公司清单2"/>
      <sheetName val="H_R2"/>
      <sheetName val="7_-_ARO_Assumptions2"/>
      <sheetName val="1_资金支付台帐2"/>
      <sheetName val="M&amp;A_pipeline2"/>
      <sheetName val="PER_SALES_ORG2"/>
      <sheetName val="F19_22"/>
      <sheetName val="F19_12"/>
      <sheetName val="F5_52"/>
      <sheetName val="F5_32"/>
      <sheetName val="Accounts_Database2"/>
      <sheetName val="CH_Car2"/>
      <sheetName val="App1_Entities_sequence_number2"/>
      <sheetName val="summary_2"/>
      <sheetName val="F40-Goodsin_transit2"/>
      <sheetName val="Opening_check_Misc_(WO_Only)2"/>
      <sheetName val="1002-1031170406_Capital_Accoun2"/>
      <sheetName val="Air_Conditional2"/>
      <sheetName val="Motor_Vehicle2"/>
      <sheetName val="Sales_for_20012"/>
      <sheetName val="Project_Details2"/>
      <sheetName val="IRR_Historic2"/>
      <sheetName val="Portfolio_IRR2"/>
      <sheetName val="Val_Inputs2"/>
      <sheetName val="Model_Inputs2"/>
      <sheetName val="Exchange_Rates&gt;&gt;2"/>
      <sheetName val="Funding_Combined2"/>
      <sheetName val="FY18_funding2"/>
      <sheetName val="iFood_funding2"/>
      <sheetName val="Summary_Adjusted2"/>
      <sheetName val="Summary_Combined2"/>
      <sheetName val="Conversion_Roll_forward2"/>
      <sheetName val="Summary_Roll_Forward2"/>
      <sheetName val="Conversion_DCF2"/>
      <sheetName val="Summary_DCF2"/>
      <sheetName val="Conversion_Cash_Flow2"/>
      <sheetName val="Summary_Cash_Flow2"/>
      <sheetName val="Company_Name_mappings2"/>
      <sheetName val="PH_Car2"/>
      <sheetName val="Tritel_Consolidated2"/>
      <sheetName val="TeleCorp_Holdco_Summary2"/>
      <sheetName val="___合同台账__2"/>
      <sheetName val="U1_62"/>
      <sheetName val="2018工程汇总_2"/>
      <sheetName val="Related_company3"/>
      <sheetName val="Data_From_XXX3"/>
      <sheetName val="Delphi_original3"/>
      <sheetName val="FUEL_FILLER3"/>
      <sheetName val="Capex_report2"/>
      <sheetName val="Depreciation_test1"/>
      <sheetName val="query_results1"/>
      <sheetName val="Table_US_Currency1"/>
      <sheetName val="fixed_assets_–Forklifts1"/>
      <sheetName val="fixed_assets_–battery1"/>
      <sheetName val="VT_TEB_Planung-20061"/>
      <sheetName val="CLA-21_1-4_OLD2"/>
      <sheetName val="表二十二_(2)1"/>
      <sheetName val="附表1_年度人数1"/>
      <sheetName val="Cash_Flow2"/>
      <sheetName val="26_存货月报表1"/>
      <sheetName val="cum_pred1"/>
      <sheetName val="库存商品余额表_dbf2"/>
      <sheetName val="Sales_Volumes_&amp;_Plan1"/>
      <sheetName val="Net_Sales_LC1"/>
      <sheetName val="CIP_DETAILS1"/>
      <sheetName val="7_(2)2"/>
      <sheetName val="Info__Request1"/>
      <sheetName val="Price_Provision_清单1"/>
      <sheetName val="PltRpt_(A&amp;F)1"/>
      <sheetName val="PltRpt_(A&amp;FvsB)1"/>
      <sheetName val="PltRpt_(B&amp;AC)1"/>
      <sheetName val="Schedule_B1"/>
      <sheetName val="Tav_22_Rischio_di_Credito1"/>
      <sheetName val="信息费用预算表(A4)_1"/>
      <sheetName val="ARP_stt_21"/>
      <sheetName val="Gen_Accruals1"/>
      <sheetName val="Legal_Accrual1"/>
      <sheetName val="Payroll_Accrual1"/>
      <sheetName val="Cost_of_Equity2"/>
      <sheetName val="E3_A1"/>
      <sheetName val="Net_REVENUE1"/>
      <sheetName val="_2"/>
      <sheetName val="Ex__rate1"/>
      <sheetName val="资产评估结果分类汇总表_(2)2"/>
      <sheetName val="SPI_GMBH1"/>
      <sheetName val="Summary_Page_VDF1"/>
      <sheetName val="Invested_capital_VDF1"/>
      <sheetName val="LT_TB1"/>
      <sheetName val="LTMD_TB1"/>
      <sheetName val="OC_TB1"/>
      <sheetName val="ZD_TB1"/>
      <sheetName val="Agency_Walker_ID1"/>
      <sheetName val="sales_breakdown1"/>
      <sheetName val="co_info1"/>
      <sheetName val="FA_Roll_to_GL_(p_2)1"/>
      <sheetName val="Lead_(p_1)1"/>
      <sheetName val="Interim_NWA_converted_in_Dec021"/>
      <sheetName val="AP-NSK(trade)_USD1"/>
      <sheetName val="IV-NSK_JPY1"/>
      <sheetName val="AP-NSK_(trade)_JPY1"/>
      <sheetName val="AR-KTB_JPY1"/>
      <sheetName val="AR-NSK_(trade)_USD1"/>
      <sheetName val="ar-OKI_Micro1"/>
      <sheetName val="AR-TAIKO_JPY1"/>
      <sheetName val="BR-Thousand_JPY1"/>
      <sheetName val="F余额表2021_(2)1"/>
      <sheetName val="F余额表2021_(3)1"/>
      <sheetName val="其他业务成本_1110311"/>
      <sheetName val="A6620_Detail1"/>
      <sheetName val="K311_A_List021"/>
      <sheetName val="99Exh_I1"/>
      <sheetName val="외주현황_wq11"/>
      <sheetName val="Difference_Reconcliation1"/>
      <sheetName val="RPT_Disclosure1"/>
      <sheetName val="FY99_Volume1"/>
      <sheetName val="Sal_&amp;_Wage_Info1"/>
      <sheetName val="LAbor_estimate1"/>
      <sheetName val="2018_4_7_for_Bank1"/>
      <sheetName val="Chart_of_acct_1"/>
      <sheetName val="SPLICE_HOURS1"/>
      <sheetName val="SC_HKD_CA1"/>
      <sheetName val="M_P_1"/>
      <sheetName val="Taux_de_change_1"/>
      <sheetName val="plantilla_mes1"/>
      <sheetName val="PL_by_month-EFY1"/>
      <sheetName val="Calcs_for__quarterly_pres1"/>
      <sheetName val="Valuation_Matrix1"/>
      <sheetName val="Mov_from_2001_to_20032"/>
      <sheetName val="VCC_11110-4612"/>
      <sheetName val="CREDIT_STATS1"/>
      <sheetName val="FAT_DB1"/>
      <sheetName val="CF_Bridge1"/>
      <sheetName val="Other_R&amp;O1"/>
      <sheetName val="Co_591"/>
      <sheetName val="FA_List1"/>
      <sheetName val="Operating_1"/>
      <sheetName val="CFS_adjustments1"/>
      <sheetName val="Office_Improve1"/>
      <sheetName val="Drop_down1"/>
      <sheetName val="2010_Breakdown1"/>
      <sheetName val="_W60A_Seating_2011_3_7_xlsx1"/>
      <sheetName val="cur_rates1"/>
      <sheetName val="Total_20091"/>
      <sheetName val="3rd_Qtr1"/>
      <sheetName val="5th_Qtr1"/>
      <sheetName val="6th_Qtr1"/>
      <sheetName val="7th_Qtr1"/>
      <sheetName val="Exit_Forecast1"/>
      <sheetName val="2nd_Qtr1"/>
      <sheetName val="Rounded_Input1"/>
      <sheetName val="_003_3固定资产1"/>
      <sheetName val="CA_consolidated1"/>
      <sheetName val="SUIVI_EFFECTIFS1"/>
      <sheetName val="Vendas_Tons1"/>
      <sheetName val="C_Estr_1"/>
      <sheetName val="EFFECT_1"/>
      <sheetName val="P&amp;L_Summary_Page1"/>
      <sheetName val="Expenses_with_Comparisons1"/>
      <sheetName val="TEV_Multiples1"/>
      <sheetName val="CSM_Data_by_CY_1"/>
      <sheetName val="Pref_Probable_Case_Returns1"/>
      <sheetName val="Interco_BSC_011"/>
      <sheetName val="Chart_of_Acct1"/>
      <sheetName val="Trial_Balance1"/>
      <sheetName val="U210'_1"/>
      <sheetName val="Comparative_Balance_Sheet1"/>
      <sheetName val="Com_list1"/>
      <sheetName val="Headcount_and_Oil_Price1"/>
      <sheetName val="BOE_Stats1"/>
      <sheetName val="C_-_Cash_and_Bank1"/>
      <sheetName val="others_gl1"/>
      <sheetName val="BALANCE_SHEET1"/>
      <sheetName val="总公司2002_12_311"/>
      <sheetName val="Beg-_End_balance1"/>
      <sheetName val="Net_Trans_Sum1"/>
      <sheetName val="5_基础档案1"/>
      <sheetName val="Sum_Hist1"/>
      <sheetName val="Corporate_PPT1"/>
      <sheetName val="WTI_Coporate_Eliminations_PPT1"/>
      <sheetName val="BT_031"/>
      <sheetName val="BT_021"/>
      <sheetName val="BT_011"/>
      <sheetName val="ICP费用ICP_Expense1"/>
      <sheetName val="ICP其他应付款ICP_OtherPayable1"/>
      <sheetName val="FIRE_Parameters1"/>
      <sheetName val="Sales_by_category1"/>
      <sheetName val="1102_TAB_OPPORTUNITY_to_import1"/>
      <sheetName val="_FY20001"/>
      <sheetName val="Product_List1"/>
      <sheetName val="BU_Parameters1"/>
      <sheetName val="Valuation_Summary1"/>
      <sheetName val="Capex_&amp;_Working_Capital_1"/>
      <sheetName val="Product_Summary1"/>
      <sheetName val="Revenue_Output1"/>
      <sheetName val="P&amp;L_Summary1"/>
      <sheetName val="Gross_Profit_Output_(100%)1"/>
      <sheetName val="Historical_IS1"/>
      <sheetName val="Other_Working_Assumptions1"/>
      <sheetName val="Valuation_Waterfall1"/>
      <sheetName val="Gross_Profit1"/>
      <sheetName val="Historical_BS1"/>
      <sheetName val="Key_Assumptions1"/>
      <sheetName val="Instruction_Sheet1"/>
      <sheetName val="Invested_Capital1"/>
      <sheetName val="Monthly_Ex_rate1"/>
      <sheetName val="Expense_Accrual1"/>
      <sheetName val="Gen__Accrual1"/>
      <sheetName val="Prod__Accrual1"/>
      <sheetName val="Rent_Accrual1"/>
      <sheetName val="Corporate_Sales1"/>
      <sheetName val="Freight_Issues1"/>
      <sheetName val="Financial_Summary1"/>
      <sheetName val="Rev_provit1"/>
      <sheetName val="Repayment_Summary1"/>
      <sheetName val="会计科目设置__科目汇总表1"/>
      <sheetName val="IND_1"/>
      <sheetName val="Performance_Graphs1"/>
      <sheetName val="Validation_source1"/>
      <sheetName val="EXP_LINE1"/>
      <sheetName val="封面_Cover1"/>
      <sheetName val="Other_M&amp;R1"/>
      <sheetName val="QTP_dt_1"/>
      <sheetName val="05_AOP_-_Exp_by_CC1"/>
      <sheetName val="05_AOP_-_By_Acct_Detail1"/>
      <sheetName val="IB_Average1"/>
      <sheetName val="Int_ZFLS1"/>
      <sheetName val="I-cycle_count081"/>
      <sheetName val="TT_template1"/>
      <sheetName val="Valuation_-_GSJBW1"/>
      <sheetName val="NBE_DCF1"/>
      <sheetName val="Consolidated_DCF1"/>
      <sheetName val="Boilers_DCF1"/>
      <sheetName val="NBE_(heat_rate)1"/>
      <sheetName val="关联交易-存款h__x0"/>
      <sheetName val="1_1_Project_Data"/>
      <sheetName val="BS_CHECK"/>
      <sheetName val="C_货币资金"/>
      <sheetName val="C_抵押存款"/>
      <sheetName val="D_可供出售投资-流动"/>
      <sheetName val="D_衍生金融资产"/>
      <sheetName val="D_持有至到期投资-流动"/>
      <sheetName val="D_短期投资"/>
      <sheetName val="D_单列金融资产"/>
      <sheetName val="A5_dim&amp;adj_sum"/>
      <sheetName val="E_应收账款"/>
      <sheetName val="E_应收贸易款及票据"/>
      <sheetName val="E_应收票据"/>
      <sheetName val="F_存货"/>
      <sheetName val="F_房地产"/>
      <sheetName val="G_预付账款&amp;其他应收款&amp;待摊费用"/>
      <sheetName val="G_应收股利"/>
      <sheetName val="G_待售资产"/>
      <sheetName val="G_HK其他应收"/>
      <sheetName val="G_应收利息"/>
      <sheetName val="G_其他流动资产"/>
      <sheetName val="H_可供出售投资-非流动"/>
      <sheetName val="H_HK长投"/>
      <sheetName val="H_商誉"/>
      <sheetName val="H_持有至到期投资-非流动"/>
      <sheetName val="H_投资性房地产"/>
      <sheetName val="H_PRC长投"/>
      <sheetName val="I_应收关联方"/>
      <sheetName val="I_应付关联方"/>
      <sheetName val="J_在建工程"/>
      <sheetName val="K_固定资产"/>
      <sheetName val="K_固定资产清理"/>
      <sheetName val="L_一年内到期的长期债权投资"/>
      <sheetName val="L_无形"/>
      <sheetName val="L_长期待摊"/>
      <sheetName val="L_其他长期资产"/>
      <sheetName val="M_短借"/>
      <sheetName val="N_应付票据"/>
      <sheetName val="P_预收账款&amp;其他应付款&amp;应付职工薪酬&amp;预提费用&amp;其他应交款"/>
      <sheetName val="U_其他业务收支&amp;营业外收支&amp;补贴收入&amp;利息收入"/>
      <sheetName val="U_所得税"/>
      <sheetName val="O_递延税资产"/>
      <sheetName val="O_递延税负债"/>
      <sheetName val="O_应交税费"/>
      <sheetName val="U_税金及附加"/>
      <sheetName val="P_应付股利"/>
      <sheetName val="P_HK其他应付"/>
      <sheetName val="P_应付利息"/>
      <sheetName val="P_其他应付款"/>
      <sheetName val="P_其他流动负债"/>
      <sheetName val="P_应付职工薪酬"/>
      <sheetName val="P_预计负债"/>
      <sheetName val="Q_应付债券"/>
      <sheetName val="Q_可转债"/>
      <sheetName val="Q_政府补助"/>
      <sheetName val="Q_一年内到期负债"/>
      <sheetName val="Q_应付融资租赁款"/>
      <sheetName val="Q_长借"/>
      <sheetName val="Q_长期应付"/>
      <sheetName val="Q_其他长期负债"/>
      <sheetName val="Q_专项应付"/>
      <sheetName val="T_股本"/>
      <sheetName val="T_资本公积"/>
      <sheetName val="T_折算差额"/>
      <sheetName val="T_未分配利润"/>
      <sheetName val="T_盈余公积"/>
      <sheetName val="U_主营业务"/>
      <sheetName val="U_财务费用"/>
      <sheetName val="U_投资收益&amp;公允价值变动收益"/>
      <sheetName val="U_管理费用&amp;资产减值损失"/>
      <sheetName val="U_成本倒轧表&amp;制造费用"/>
      <sheetName val="U_销售费用"/>
      <sheetName val="U_分占下属损益"/>
      <sheetName val="Pick_Lists_Sheet1"/>
      <sheetName val="K1_Tax_computation1"/>
      <sheetName val="Financial_Statistics"/>
      <sheetName val="BIS_LIST-NTH_18"/>
      <sheetName val="TB_&amp;_2013"/>
      <sheetName val="Offering_Stats"/>
      <sheetName val="Consol_FS"/>
      <sheetName val="Segment_to_Legal"/>
      <sheetName val="P_&amp;_L_Account"/>
      <sheetName val="M5_M6_Summary"/>
      <sheetName val="Sheet1_(3)"/>
      <sheetName val="FF-2_(1)"/>
      <sheetName val="WACC_Analysis_Output"/>
      <sheetName val="D410_应交税金变动表Movement"/>
      <sheetName val="ALL_DATA"/>
      <sheetName val="06_1"/>
      <sheetName val="附件10_东莞百宏-待摊费用2019"/>
      <sheetName val="附件6_东莞百宏-其他应收款2019"/>
      <sheetName val="附件8_东莞百宏-预收账款2019"/>
      <sheetName val="A3_试算表Financial_statement"/>
      <sheetName val="K_固定资产&amp;投资性房地产"/>
      <sheetName val="G_其他应收款"/>
      <sheetName val="Occupancy_2004"/>
      <sheetName val="Fcst_2017"/>
      <sheetName val="Balance_sheet_for_August"/>
      <sheetName val="Income_statement_for_August"/>
      <sheetName val="O_adj"/>
      <sheetName val="Lists_(Hide)"/>
      <sheetName val="NEWSPRINT_&amp;_UGW"/>
      <sheetName val="Calibration_to_Swaptions"/>
      <sheetName val="Swaption_Data"/>
      <sheetName val="Account_Map"/>
      <sheetName val="Management_Projections"/>
      <sheetName val="Inventories_Analysis"/>
      <sheetName val="6126_07披露表(国资)"/>
      <sheetName val="附件25_2-销售收入"/>
      <sheetName val="FA_ad09-12"/>
      <sheetName val="SFC_fcst"/>
      <sheetName val="01_T"/>
      <sheetName val="03_"/>
      <sheetName val="A_|_INPUT_Filler"/>
      <sheetName val="Fitments_Abs_Ums"/>
      <sheetName val="Datenbank_Fillers"/>
      <sheetName val="1102_MIT"/>
      <sheetName val="Sept_BF"/>
      <sheetName val="Anlage_3b,_Attachment_3b"/>
      <sheetName val="Ant_Buss1"/>
      <sheetName val="Ant_Buss2"/>
      <sheetName val="Ant_ZSK"/>
      <sheetName val="PP&amp;E_&amp;_Intangibles"/>
      <sheetName val="Cover_--&gt;"/>
      <sheetName val="Comps_input"/>
      <sheetName val="MT_by_Dept_管理报表费用分类"/>
      <sheetName val="Volatility_raw"/>
      <sheetName val="Welfare_PIT"/>
      <sheetName val="sales_vol_"/>
      <sheetName val="Review_pts"/>
      <sheetName val="For_Report"/>
      <sheetName val="Sch0-_Tax_Recon"/>
      <sheetName val="Data_sheet"/>
      <sheetName val="1__Data_Entry_Sales,_Carline"/>
      <sheetName val="by_category"/>
      <sheetName val="Acct_22010"/>
      <sheetName val="Client_Data"/>
      <sheetName val="P&amp;L_PP"/>
      <sheetName val="Fee_Rate_Summary"/>
      <sheetName val="Exp__Summary"/>
      <sheetName val="Tally_TB_June"/>
      <sheetName val="2007_12折旧差异"/>
      <sheetName val="Historical_prices(D)"/>
      <sheetName val="Historical_prices(M)"/>
      <sheetName val="Historical_prices(W)"/>
      <sheetName val="Q_CF-E01"/>
      <sheetName val="资金使用假设_(可转债按账面拆分为股权与债权)"/>
      <sheetName val="BS_data"/>
      <sheetName val="Loc_Master"/>
      <sheetName val="Share_Px"/>
      <sheetName val="tax_payable"/>
      <sheetName val="Details_of_ledger_"/>
      <sheetName val="Management_report_vs_ledger"/>
      <sheetName val="Month_8"/>
      <sheetName val="CTV_PL"/>
      <sheetName val="Elim_Seg_LM"/>
      <sheetName val="Elim_Seg_BM"/>
      <sheetName val="2012-2016_Grp_Res_Bdgt"/>
      <sheetName val="Annex_B"/>
      <sheetName val="关联交易-存款h?_x"/>
      <sheetName val="SAP_01-12-31"/>
      <sheetName val="sales1-subsi_"/>
      <sheetName val="sales2-subsi_"/>
      <sheetName val="G_1R-Shou_COP_Gf"/>
      <sheetName val="GGP_Expenses"/>
      <sheetName val="MCS_P&amp;L_By_Sub__USD"/>
      <sheetName val="New_investment"/>
      <sheetName val="BANK_ac_no,"/>
      <sheetName val="A3_&amp;_U_09-01"/>
      <sheetName val="Sales_Data"/>
      <sheetName val="Data_Arrangement"/>
      <sheetName val="BS-1"/>
      <sheetName val="BS-2"/>
      <sheetName val="CF-1"/>
      <sheetName val="EM-1"/>
      <sheetName val="EM-2"/>
      <sheetName val="EM-3"/>
      <sheetName val="IS-2"/>
      <sheetName val="IS-1"/>
      <sheetName val="CF-3"/>
      <sheetName val="CF-4"/>
      <sheetName val="Non-GAAP"/>
      <sheetName val="Note10"/>
      <sheetName val="Note12-1"/>
      <sheetName val="Note12-2"/>
      <sheetName val="Note12-3"/>
      <sheetName val="Note12-4"/>
      <sheetName val="Note14-1"/>
      <sheetName val="Note15-1"/>
      <sheetName val="Note15-2"/>
      <sheetName val="Note16-2"/>
      <sheetName val="Note16-1"/>
      <sheetName val="Note16-1 (2)"/>
      <sheetName val="Note16-3"/>
      <sheetName val="Note16-6"/>
      <sheetName val="Note16-5"/>
      <sheetName val="Note16-4"/>
      <sheetName val="Note17-1 "/>
      <sheetName val="Note17-3"/>
      <sheetName val="Note17-2"/>
      <sheetName val="Note18-1"/>
      <sheetName val="Note18-2"/>
      <sheetName val="Note19"/>
      <sheetName val="Note20-1"/>
      <sheetName val="Note20-2"/>
      <sheetName val="Note20-3"/>
      <sheetName val="Note21"/>
      <sheetName val="Note23"/>
      <sheetName val="Note24-2"/>
      <sheetName val="Note24-3"/>
      <sheetName val="Note24-4"/>
      <sheetName val="Note24-5"/>
      <sheetName val="Note25-1"/>
      <sheetName val="Note25-2"/>
      <sheetName val="Note26-1"/>
      <sheetName val="Note26-2"/>
      <sheetName val="Note27"/>
      <sheetName val="Note28-2"/>
      <sheetName val="Note28-3"/>
      <sheetName val="Note29-1"/>
      <sheetName val="Note29-2"/>
      <sheetName val="Note29-3"/>
      <sheetName val="Note3.0-2"/>
      <sheetName val="Note3.0-1"/>
      <sheetName val="Note3.1-1"/>
      <sheetName val="Note3.1-2"/>
      <sheetName val="Note3.1-3"/>
      <sheetName val="Note3.1-5"/>
      <sheetName val="Note3.3-1 "/>
      <sheetName val="Note3.3-2"/>
      <sheetName val="Note3.3-3"/>
      <sheetName val="Note3.3-4"/>
      <sheetName val="Note3.3-5"/>
      <sheetName val="Note32"/>
      <sheetName val="Note33"/>
      <sheetName val="Note34-1"/>
      <sheetName val="Note34-2"/>
      <sheetName val="Note34-3"/>
      <sheetName val="Note34-4"/>
      <sheetName val="Note 37"/>
      <sheetName val="Note5-1"/>
      <sheetName val="Note5-2"/>
      <sheetName val="Note5-3"/>
      <sheetName val="Note5-4"/>
      <sheetName val="Note5-5"/>
      <sheetName val="Note6-1"/>
      <sheetName val="Note6-2"/>
      <sheetName val="Note6-3"/>
      <sheetName val="Note7"/>
      <sheetName val="Note8"/>
      <sheetName val="Note9-1"/>
      <sheetName val="Note9-2"/>
      <sheetName val="Note9-3"/>
      <sheetName val="Note9-4"/>
      <sheetName val="Note9-5"/>
      <sheetName val="Note9-6"/>
      <sheetName val="CF-2"/>
      <sheetName val="Ag Sector P&amp;L 01F"/>
      <sheetName val="1 预设值"/>
      <sheetName val="BS Assets"/>
      <sheetName val="PNVp2010"/>
      <sheetName val="SERV. COMEDOR"/>
      <sheetName val="门窗表"/>
      <sheetName val="楼梯钢筋"/>
      <sheetName val="2234"/>
      <sheetName val="2235"/>
      <sheetName val="A14_g132"/>
      <sheetName val="A14_g134"/>
      <sheetName val="‘‡B"/>
      <sheetName val="OrgEstSum(not used)"/>
      <sheetName val="1-11"/>
      <sheetName val="SFS(BUDGET)"/>
      <sheetName val="应收楼款账龄分析清单 "/>
      <sheetName val="8 adminexp by nature"/>
      <sheetName val="Bal_Sheet"/>
      <sheetName val="A4-4"/>
      <sheetName val="N310应付人民币"/>
      <sheetName val="UFPrn20081114105806"/>
      <sheetName val="DATOS"/>
      <sheetName val="M1.1 Cash at Bank"/>
      <sheetName val="M1. Lead sheet"/>
      <sheetName val="M1.2 Time Deposit"/>
      <sheetName val="CLRN-NEW"/>
      <sheetName val="MP2006 data"/>
      <sheetName val="Company Info"/>
      <sheetName val="產成品收發明細表5"/>
      <sheetName val="Elim (novated) -#H"/>
      <sheetName val="Movement-#E"/>
      <sheetName val="Deal CF"/>
      <sheetName val="已背书未到期票据清单"/>
      <sheetName val="01上製品計画"/>
      <sheetName val="Sheet625"/>
      <sheetName val="MN T.B."/>
      <sheetName val="Cash bal Mar"/>
      <sheetName val="Com Trial Bal"/>
      <sheetName val="EXCHANGE RATE PROFIT AND LOSS"/>
      <sheetName val="ﾏｽﾀｰ!"/>
      <sheetName val="Sensitivity analysis"/>
      <sheetName val="关联方参数表"/>
      <sheetName val="FUM_Source"/>
      <sheetName val="设备大修"/>
      <sheetName val="土地基准地价法"/>
      <sheetName val="实绩"/>
      <sheetName val="Sen_Mod"/>
      <sheetName val="Assumptions &amp; Returns"/>
      <sheetName val="CJE1"/>
      <sheetName val="所得税测算表 (2)"/>
      <sheetName val="5"/>
      <sheetName val="6"/>
      <sheetName val="7"/>
      <sheetName val="8"/>
      <sheetName val="9"/>
      <sheetName val="10"/>
      <sheetName val="11"/>
      <sheetName val="Labor cost"/>
      <sheetName val="宅E贷申请量"/>
      <sheetName val="By Client - NPL Purchase"/>
      <sheetName val="附表1-产品目录"/>
      <sheetName val="2.科目体系费用汇总表"/>
      <sheetName val="1.组织架构"/>
      <sheetName val="毛利及利润分析7月"/>
      <sheetName val="Stds"/>
      <sheetName val="2022"/>
      <sheetName val="7 - ORDER ENTRIES"/>
      <sheetName val="8 - BACKLOG"/>
      <sheetName val="9 - SALES BY ENTITY"/>
      <sheetName val="10 - SALES BY BA-SUMMARY"/>
      <sheetName val="11 - SALES BY BA-FC"/>
      <sheetName val="12 - SALES BY BA-CB"/>
      <sheetName val="13 - SALES BY BA-FM"/>
      <sheetName val="14 - BSA"/>
      <sheetName val="19 - BIN"/>
      <sheetName val="SIG_LANGUE"/>
      <sheetName val="-&gt; EDV Budget"/>
      <sheetName val="栏目及类别表"/>
      <sheetName val="P&amp;L(M)"/>
      <sheetName val="DIL4"/>
      <sheetName val="应收帐款 AR "/>
      <sheetName val="SCB-HK"/>
      <sheetName val="明细余额表"/>
      <sheetName val="U300-上海启昇"/>
      <sheetName val="U210_租赁PIT-上海朗昇"/>
      <sheetName val="U210_租赁PIT-上海启昇"/>
      <sheetName val="1055"/>
      <sheetName val="BKD-consol"/>
      <sheetName val="Bank Debt"/>
      <sheetName val="GFA"/>
      <sheetName val="01TBlast"/>
      <sheetName val="DEF REV"/>
      <sheetName val="VAS TB"/>
      <sheetName val="Overview"/>
      <sheetName val="Mar Begining Balance"/>
      <sheetName val="DataLookups"/>
      <sheetName val="饭煲次品盘点表"/>
      <sheetName val="次品原始数据"/>
      <sheetName val="Überleitung_15"/>
      <sheetName val="_4库产成品"/>
      <sheetName val="辅料"/>
      <sheetName val="工具"/>
      <sheetName val="内外包"/>
      <sheetName val="P11"/>
      <sheetName val="Income Statement Input"/>
      <sheetName val="ARP-U301"/>
      <sheetName val="U411"/>
      <sheetName val="Stock Chart"/>
      <sheetName val="柱"/>
      <sheetName val="data_Sheet2"/>
      <sheetName val="事業計画"/>
      <sheetName val="Age311299TAS"/>
      <sheetName val="TASintDec00"/>
      <sheetName val="P4DDBFTAS"/>
      <sheetName val="TAB CA"/>
      <sheetName val="Invoice Template"/>
      <sheetName val="MTO REV.2(ARMOR)"/>
      <sheetName val="COAT&amp;WRAP-QIOT-#3"/>
      <sheetName val="PNT-QUOT-#3"/>
      <sheetName val="CP"/>
      <sheetName val="坏帐准备"/>
      <sheetName val="detailitems_11"/>
      <sheetName val="detailitems_59"/>
      <sheetName val="detailitems_82"/>
      <sheetName val="SZ3"/>
      <sheetName val="CRV"/>
      <sheetName val="JUU"/>
      <sheetName val="S30"/>
      <sheetName val="S0A"/>
      <sheetName val="S0D"/>
      <sheetName val="S3N"/>
      <sheetName val="部品名"/>
      <sheetName val="CTS"/>
      <sheetName val="JRZ"/>
      <sheetName val="Source Gr."/>
      <sheetName val="COSTOMAT.XLS"/>
      <sheetName val="aged"/>
      <sheetName val="Entities"/>
      <sheetName val="Pick Lists"/>
      <sheetName val="固定资产增减表#0.00_ "/>
      <sheetName val="ICP合同负债ICPContract Liability"/>
      <sheetName val="ICP租赁负债ICPlease liability"/>
      <sheetName val="建築面積"/>
      <sheetName val="十价"/>
      <sheetName val="冻品入库"/>
      <sheetName val="鸡油车间"/>
      <sheetName val="科目余额表（2017年1-9月）"/>
      <sheetName val="TM"/>
      <sheetName val="Profile"/>
      <sheetName val="Detailed TB"/>
      <sheetName val="免抵退"/>
      <sheetName val="21710130"/>
      <sheetName val="21710131"/>
      <sheetName val="2c.Sales analysis by region-ok"/>
      <sheetName val="Client Code"/>
      <sheetName val="Project Code"/>
      <sheetName val="纳税计算表"/>
      <sheetName val="G301(01)"/>
      <sheetName val="Baxter"/>
      <sheetName val="Twigg"/>
      <sheetName val="30"/>
      <sheetName val="22"/>
      <sheetName val="26"/>
      <sheetName val="20"/>
      <sheetName val="32"/>
      <sheetName val="21"/>
      <sheetName val="17"/>
      <sheetName val="31"/>
      <sheetName val="28"/>
      <sheetName val="19"/>
      <sheetName val="18"/>
      <sheetName val="关联交易-存款?_x0000__x0000_滨?_x0000__x001a__x0000__x0000__x0000__x0000__x0009__x0000_"/>
      <sheetName val="Tabelle1"/>
      <sheetName val="CRI -CR(HK) unreal"/>
      <sheetName val="1204应付帐款明细表"/>
      <sheetName val="1109应付帐款明细表"/>
      <sheetName val="未分配盈餘明細表-17頁"/>
      <sheetName val="EmphasisList"/>
      <sheetName val="Upload"/>
      <sheetName val="SBUList"/>
      <sheetName val="Q4Purchases"/>
      <sheetName val="Flash Data"/>
      <sheetName val="Sales overheads"/>
      <sheetName val="Supply chain NF"/>
      <sheetName val="R&amp;D and TS"/>
      <sheetName val="A&amp;F and IT"/>
      <sheetName val="Factory overheads"/>
      <sheetName val="WTB"/>
      <sheetName val="dropdownList4"/>
      <sheetName val="A3.3_抗体中心"/>
      <sheetName val="Audited BS-含关联方调整"/>
      <sheetName val="廢品損失匯總表"/>
      <sheetName val="直接材料"/>
      <sheetName val="流量-销售支出明细"/>
      <sheetName val="Macro Summary"/>
      <sheetName val="LC95SPEC"/>
      <sheetName val="其他应付款科目余额2005.12.31"/>
      <sheetName val="销售收入A4"/>
      <sheetName val="产量预算表Ａ4"/>
      <sheetName val="其它销售成本 A4"/>
      <sheetName val="销售成本A4"/>
      <sheetName val="销售量A4"/>
      <sheetName val="GP_Product"/>
      <sheetName val="附加四-闲置固定资产"/>
      <sheetName val="管理费用各月比较 "/>
      <sheetName val="acc"/>
      <sheetName val="Total Europe Calc. hours"/>
      <sheetName val="Total Europe 1"/>
      <sheetName val="FS_0331"/>
      <sheetName val="Semi-An CF"/>
      <sheetName val="1.1"/>
      <sheetName val="AIS (Coating)"/>
      <sheetName val="AIS (Tin)"/>
      <sheetName val="AIS-Forecast (Coating)"/>
      <sheetName val="AIS-Forecast (Tin)"/>
      <sheetName val="Trun-Over RPTI"/>
      <sheetName val="CASH'99"/>
      <sheetName val="DateTemplate"/>
      <sheetName val="LCQ"/>
      <sheetName val="底稿（合并明细数据透视源）"/>
      <sheetName val="底稿（母公司明细数据源）"/>
      <sheetName val="detailitems_111"/>
      <sheetName val="detailitems_112"/>
      <sheetName val="detailitems_113"/>
      <sheetName val="detailitems_114"/>
      <sheetName val="detailitems_117"/>
      <sheetName val="detailitems_118"/>
      <sheetName val="detailitems_13"/>
      <sheetName val="detailitems_15"/>
      <sheetName val="detailitems_150"/>
      <sheetName val="detailitems_152"/>
      <sheetName val="detailitems_158"/>
      <sheetName val="detailitems_159"/>
      <sheetName val="detailitems_160"/>
      <sheetName val="detailitems_161"/>
      <sheetName val="detailitems_162"/>
      <sheetName val="detailitems_163"/>
      <sheetName val="detailitems_166"/>
      <sheetName val="detailitems_182"/>
      <sheetName val="detailitems_183"/>
      <sheetName val="detailitems_184"/>
      <sheetName val="detailitems_185"/>
      <sheetName val="detailitems_186"/>
      <sheetName val="detailitems_187"/>
      <sheetName val="detailitems_188"/>
      <sheetName val="detailitems_189"/>
      <sheetName val="detailitems_192"/>
      <sheetName val="detailitems_193"/>
      <sheetName val="detailitems_194"/>
      <sheetName val="detailitems_195"/>
      <sheetName val="detailitems_196"/>
      <sheetName val="detailitems_197"/>
      <sheetName val="detailitems_198"/>
      <sheetName val="detailitems_199"/>
      <sheetName val="detailitems_2"/>
      <sheetName val="detailitems_23"/>
      <sheetName val="detailitems_26"/>
      <sheetName val="detailitems_300"/>
      <sheetName val="detailitems_301"/>
      <sheetName val="detailitems_302"/>
      <sheetName val="detailitems_303"/>
      <sheetName val="detailitems_304"/>
      <sheetName val="detailitems_305"/>
      <sheetName val="detailitems_306"/>
      <sheetName val="detailitems_307"/>
      <sheetName val="detailitems_308"/>
      <sheetName val="detailitems_309"/>
      <sheetName val="detailitems_310"/>
      <sheetName val="detailitems_311"/>
      <sheetName val="detailitems_312"/>
      <sheetName val="detailitems_313"/>
      <sheetName val="detailitems_317"/>
      <sheetName val="detailitems_318"/>
      <sheetName val="detailitems_319"/>
      <sheetName val="detailitems_320"/>
      <sheetName val="detailitems_321"/>
      <sheetName val="detailitems_322"/>
      <sheetName val="detailitems_323"/>
      <sheetName val="detailitems_324"/>
      <sheetName val="detailitems_325"/>
      <sheetName val="detailitems_327"/>
      <sheetName val="detailitems_41"/>
      <sheetName val="detailitems_44"/>
      <sheetName val="detailitems_47"/>
      <sheetName val="detailitems_51"/>
      <sheetName val="detailitems_52"/>
      <sheetName val="detailitems_53"/>
      <sheetName val="detailitems_54"/>
      <sheetName val="detailitems_58"/>
      <sheetName val="detailitems_61"/>
      <sheetName val="detailitems_62"/>
      <sheetName val="detailitems_63"/>
      <sheetName val="detailitems_64"/>
      <sheetName val="detailitems_66"/>
      <sheetName val="detailitems_67"/>
      <sheetName val="detailitems_68"/>
      <sheetName val="detailitems_70"/>
      <sheetName val="detailitems_71"/>
      <sheetName val="detailitems_72"/>
      <sheetName val="detailitems_73"/>
      <sheetName val="detailitems_74"/>
      <sheetName val="detailitems_8"/>
      <sheetName val="detailitems_80"/>
      <sheetName val="detailitems_81"/>
      <sheetName val="detailitems_84"/>
      <sheetName val="detailitems_9"/>
      <sheetName val="detailitems_95"/>
      <sheetName val="detailitems_99"/>
      <sheetName val="Sale summary"/>
      <sheetName val="Original Stefan"/>
      <sheetName val="SALES95"/>
      <sheetName val="关联交易-存款h__x"/>
      <sheetName val="96PRCBAK"/>
      <sheetName val="P12 TB SZ"/>
      <sheetName val="长期股权投资Dy"/>
      <sheetName val="主营业务收入Dy"/>
      <sheetName val="主营业务成本Dy"/>
      <sheetName val="应交税金Dy"/>
      <sheetName val="股本Dy"/>
      <sheetName val="盈余公积Dy"/>
      <sheetName val="未分配利润Dy"/>
      <sheetName val="应收出口退税mx"/>
      <sheetName val="Withholding Tax"/>
      <sheetName val="short term loan"/>
      <sheetName val="BE 重要性水平"/>
      <sheetName val="SalesMYP"/>
      <sheetName val="X-Rate"/>
      <sheetName val="CIP"/>
      <sheetName val="Bacis"/>
      <sheetName val="Bielsko Biała"/>
      <sheetName val="Wałbrzych"/>
      <sheetName val="Actual-Roller"/>
      <sheetName val="INTER-CO"/>
      <sheetName val="OutSum"/>
      <sheetName val="PdcSAP2007"/>
      <sheetName val="PdcSAP2008"/>
      <sheetName val="CE Mensile"/>
      <sheetName val="Budget2007"/>
      <sheetName val="Xilinx_vs_Altera1"/>
      <sheetName val="AP_Recap1"/>
      <sheetName val="TOD_Poplulation_Billing1"/>
      <sheetName val="TOD_Population_Non-Billing1"/>
      <sheetName val="TOD_Population_Billing1"/>
      <sheetName val="U1-OSP-04-01_客户清单1"/>
      <sheetName val="1_00_-_Summary_at_Acquisition1"/>
      <sheetName val="(i)_Fixed_assets-PBC1"/>
      <sheetName val="6001-TB_20211"/>
      <sheetName val="6001-TB_20201"/>
      <sheetName val="140101-1451by_category1"/>
      <sheetName val="OE_AC#411111"/>
      <sheetName val="For_AFS1"/>
      <sheetName val="Customer_churn1"/>
      <sheetName val="Transaction_rollforward1"/>
      <sheetName val="Aging_analysis1"/>
      <sheetName val="Credit_limit_analysis1"/>
      <sheetName val="Mach_&amp;_equip1"/>
      <sheetName val="XRef_Table1"/>
      <sheetName val="725_BS1"/>
      <sheetName val="BJ_Expenses1"/>
      <sheetName val="Sample_Rev1"/>
      <sheetName val="Sample_IS1"/>
      <sheetName val="Probability_View1"/>
      <sheetName val="FA_lead1"/>
      <sheetName val="BS_表1"/>
      <sheetName val="无形资产清单_1"/>
      <sheetName val="Console_TB1"/>
      <sheetName val="US_Bal_Sheet1"/>
      <sheetName val="18_存货1"/>
      <sheetName val="勤務ｼﾌﾄﾍﾞｰｽ表_下期1"/>
      <sheetName val="PAX_&amp;_SEATS_%1"/>
      <sheetName val="Chart_of_Account1"/>
      <sheetName val="L310-Adjustment_for_R&amp;D_cost1"/>
      <sheetName val="_PPE"/>
      <sheetName val="1__Template"/>
      <sheetName val="C3WB_Revenue3_and_Receivables"/>
      <sheetName val="Revenue_Trend_New_Prod_Update_i"/>
      <sheetName val="直_接_法_"/>
      <sheetName val="间_接_法_"/>
      <sheetName val="Poland_£"/>
      <sheetName val="Returns_Analysis"/>
      <sheetName val="Cash_Balance_(Computed)"/>
      <sheetName val="Veh_Info"/>
      <sheetName val="Basic_Info"/>
      <sheetName val="表21_净利润调节表"/>
      <sheetName val="Final_sample_listing"/>
      <sheetName val="Leadsheet_Template"/>
      <sheetName val="Input_Sheet"/>
      <sheetName val="DEC_Bank"/>
      <sheetName val="gares_02_BON_FICHIER_"/>
      <sheetName val="Depr_Exp__Testing_(5)"/>
      <sheetName val="E-Client_Information"/>
      <sheetName val="2__PPR_REVENUE_APR10"/>
      <sheetName val="_U140-SalesTOT"/>
      <sheetName val="Adf_par_resp"/>
      <sheetName val="ICP主营业务收入ICP_CoreRevenue"/>
      <sheetName val="ICP递延收益ICP_DeferredIncome"/>
      <sheetName val="ICP股利分配ICP_DevidendDeclared"/>
      <sheetName val="ICP投资收益ICP_InvestmentIncome"/>
      <sheetName val="ICP应付利息ICP_InterestPayable"/>
      <sheetName val="ICP长期应付款ICP_LongtermPayable"/>
      <sheetName val="ICP其他流动负债ICP_OtherCurrentLiab"/>
      <sheetName val="ICP其他业务收入ICP_OtherRevenue"/>
      <sheetName val="ICP短期借款ICP_ShorttermLoans"/>
      <sheetName val="Breakdown_RMB"/>
      <sheetName val="Sheet1_(2)"/>
      <sheetName val="P504_3_Expected_life"/>
      <sheetName val="Customize_Your_Loan_Manager"/>
      <sheetName val="Depts_LOOKUP"/>
      <sheetName val="CBS_-_App1"/>
      <sheetName val="Pls_do_not_delete"/>
      <sheetName val="P&amp;L_Report-S"/>
      <sheetName val="P&amp;L_Report-M"/>
      <sheetName val="现_金_流_量_表"/>
      <sheetName val="Lease_AP_2009"/>
      <sheetName val="Lease_AP_2009_ITALY"/>
      <sheetName val="EDR_Feb-09"/>
      <sheetName val="Entry_1412_-_2102"/>
      <sheetName val="PO_upload_sheet"/>
      <sheetName val="Italy_Lease_2009"/>
      <sheetName val="REFERENCE_FILE"/>
      <sheetName val="Gross_Margin"/>
      <sheetName val="CON_MR2K_AL_ck"/>
      <sheetName val="Currency_Codes"/>
      <sheetName val="1__Scoping"/>
      <sheetName val="2__Expectation"/>
      <sheetName val="3__Variance_threshold"/>
      <sheetName val="INPUT_rates"/>
      <sheetName val="E_Lead"/>
      <sheetName val="A300_and_U"/>
      <sheetName val="A510_-_SAD"/>
      <sheetName val="C_-_Cash"/>
      <sheetName val="E_-_AR"/>
      <sheetName val="F_-_Stock"/>
      <sheetName val="K_-_FA"/>
      <sheetName val="O_-_Tax_pay"/>
      <sheetName val="P_-_Other_pay"/>
      <sheetName val="U200_-_Selling_expenses"/>
      <sheetName val="附表32_-_无形资产明细表"/>
      <sheetName val="U324-Treaty_ceding_船舶险"/>
      <sheetName val="Daily_net_avail"/>
      <sheetName val="Cover_sheet"/>
      <sheetName val="Cost-Tracking_Detail"/>
      <sheetName val="Technology_ID"/>
      <sheetName val="Loan_Movement_"/>
      <sheetName val="BS_vs_Rpt"/>
      <sheetName val="2012_BS_with_Rpt_Jan-Apr"/>
      <sheetName val="DIVIDEND_LONG"/>
      <sheetName val="2012_IS_with_Rpt_Jan-Apr_(2)"/>
      <sheetName val="LdrPkg_IS"/>
      <sheetName val="DEFLEET_APR-05"/>
      <sheetName val="5_Analysis"/>
      <sheetName val="1st_AP"/>
      <sheetName val="2020_12_31"/>
      <sheetName val="263-B2_Business_Segment_BS_2005"/>
      <sheetName val="TB's_by_Pak_Code"/>
      <sheetName val="3__Other_gains"/>
      <sheetName val="4035_4"/>
      <sheetName val="PROD_"/>
      <sheetName val="Lessee_Import_new_lease"/>
      <sheetName val="POINTAGE_(2)"/>
      <sheetName val="OP_Assets"/>
      <sheetName val="Timed_Plan"/>
      <sheetName val="Detail_Test"/>
      <sheetName val="OT_Hours"/>
      <sheetName val="Graph_1"/>
      <sheetName val="Change_Log"/>
      <sheetName val="Cost_&amp;_Expenses"/>
      <sheetName val="Working_Cap"/>
      <sheetName val="cathayforecasts"/>
      <sheetName val="Sample Layout (new)"/>
      <sheetName val="Inventory"/>
      <sheetName val="February"/>
      <sheetName val="도"/>
      <sheetName val="Interest #9"/>
      <sheetName val="January"/>
      <sheetName val="SFCP"/>
      <sheetName val="March"/>
      <sheetName val="US Codes"/>
      <sheetName val="Bank_sum#10"/>
      <sheetName val="Custs #2"/>
      <sheetName val="试算平衡表6"/>
      <sheetName val="FY 2004"/>
      <sheetName val="W.REG"/>
      <sheetName val="COW Detail"/>
      <sheetName val="COS"/>
      <sheetName val="1、基本假设"/>
      <sheetName val="3、产品单价"/>
      <sheetName val="2、规划指标"/>
      <sheetName val="辅助计算表"/>
      <sheetName val="AP movement"/>
      <sheetName val="ID"/>
      <sheetName val="ACE"/>
      <sheetName val="ACN"/>
      <sheetName val="AC"/>
      <sheetName val="BEU"/>
      <sheetName val="BNA"/>
      <sheetName val="DR_EUR"/>
      <sheetName val="DR_NA"/>
      <sheetName val="GEU"/>
      <sheetName val="GW"/>
      <sheetName val="IW"/>
      <sheetName val="P+L LE"/>
      <sheetName val="LG"/>
      <sheetName val="OT"/>
      <sheetName val="PAP"/>
      <sheetName val="PBR"/>
      <sheetName val="PB"/>
      <sheetName val="PTF"/>
      <sheetName val="PTO"/>
      <sheetName val="Ressourcen LE"/>
      <sheetName val="RLA"/>
      <sheetName val="ROZ"/>
      <sheetName val="RT"/>
      <sheetName val="SCA"/>
      <sheetName val="SCO"/>
      <sheetName val="SCP"/>
      <sheetName val="SCR"/>
      <sheetName val="SEU"/>
      <sheetName val="SNA"/>
      <sheetName val="SV"/>
      <sheetName val="MOTO"/>
      <sheetName val="03年1季度"/>
      <sheetName val="RECAP RETURNS"/>
      <sheetName val="Kopie von Download ECCS_2"/>
      <sheetName val="Option Summary"/>
      <sheetName val="9609Aß"/>
      <sheetName val="钻井(调整)"/>
      <sheetName val="Financial Statements"/>
      <sheetName val="借款还本付息估算表"/>
      <sheetName val="生产成本和费用表"/>
      <sheetName val="评价基础数据表一"/>
      <sheetName val="评价基础数据表二"/>
      <sheetName val="固定资产投资估算计算表"/>
      <sheetName val="固定资产投资估算表"/>
      <sheetName val="投资计划与资金筹措表"/>
      <sheetName val="销售收入与销售税金及附加计算表"/>
      <sheetName val="销售收入与销售税金及附加明细表"/>
      <sheetName val="SaveData"/>
      <sheetName val="财务现金流量表(全部投资)"/>
      <sheetName val="财务现金流量表(自有资金)"/>
      <sheetName val="KeyAs"/>
      <sheetName val="Brachy"/>
      <sheetName val="Catheters"/>
      <sheetName val="DU"/>
      <sheetName val="MH"/>
      <sheetName val="OUS"/>
      <sheetName val="US"/>
      <sheetName val="WH"/>
      <sheetName val="Korrekt_Fin_Debts_InteCo2005"/>
      <sheetName val="cg"/>
      <sheetName val="Detail - CSM CY04 monthly"/>
      <sheetName val="G140"/>
      <sheetName val="국문FS(제조원가 반영전)"/>
      <sheetName val="营外收支"/>
      <sheetName val="Q"/>
      <sheetName val="1999 BUDGET"/>
      <sheetName val="彩客华煜"/>
      <sheetName val="NSV"/>
      <sheetName val="VARIANCES"/>
      <sheetName val="Data Validation"/>
      <sheetName val="K-0 PPE Overview PSP_OSP"/>
      <sheetName val="Headcount"/>
      <sheetName val="Exchange rates"/>
      <sheetName val="FFE"/>
      <sheetName val="Audit gauge"/>
      <sheetName val="Netearnanal"/>
      <sheetName val="PT2"/>
      <sheetName val="PTJV345"/>
      <sheetName val="选择键"/>
      <sheetName val="AP graph"/>
      <sheetName val="mis"/>
      <sheetName val="cashprem"/>
      <sheetName val="305上海"/>
      <sheetName val="Base de Gráficos"/>
      <sheetName val="Leased Properties"/>
      <sheetName val="Sub-Leases"/>
      <sheetName val="Concessions"/>
      <sheetName val="GAR Recap"/>
      <sheetName val="表现奖"/>
      <sheetName val="补贴"/>
      <sheetName val="加班工资"/>
      <sheetName val="应付工资基本工资"/>
      <sheetName val="产成品库存帐"/>
      <sheetName val="方案设计1"/>
      <sheetName val="差异调整97"/>
      <sheetName val="流动资金估算表"/>
      <sheetName val="18.J"/>
      <sheetName val="FinStats"/>
      <sheetName val="清单定稿"/>
      <sheetName val="浮"/>
      <sheetName val="其他利润明细"/>
      <sheetName val="数量对比"/>
      <sheetName val="MOH"/>
      <sheetName val="2009movement"/>
      <sheetName val="sysparm"/>
      <sheetName val="BKD amt due from 20230630"/>
      <sheetName val="N17 prepayment"/>
      <sheetName val="N21 loans and borrowings"/>
      <sheetName val="N20&amp;N22 other payables"/>
      <sheetName val="merger"/>
      <sheetName val="Document cover page"/>
      <sheetName val="2-1-1 管理指標(1) 13"/>
      <sheetName val="半成品金額明細"/>
      <sheetName val="forecast"/>
      <sheetName val="R25"/>
      <sheetName val="R51"/>
      <sheetName val="R52"/>
      <sheetName val="R53"/>
      <sheetName val="R90"/>
      <sheetName val="R06"/>
      <sheetName val="OCTVLS"/>
      <sheetName val="Master_Table"/>
      <sheetName val="FRP"/>
      <sheetName val="AP"/>
      <sheetName val="TAX"/>
      <sheetName val="标准"/>
      <sheetName val="利润及利润分配表"/>
      <sheetName val="COMMON"/>
      <sheetName val="delete Bngk-II"/>
      <sheetName val="长期待摊费用审定表"/>
      <sheetName val="Programming"/>
      <sheetName val="ACTABLE"/>
      <sheetName val="TB2000"/>
      <sheetName val="TB2001"/>
      <sheetName val="IFRS#7-1 stock provision"/>
      <sheetName val="Suppliers"/>
      <sheetName val="Coding"/>
      <sheetName val="input "/>
      <sheetName val="02"/>
      <sheetName val="_102中草药"/>
      <sheetName val="_104燃料"/>
      <sheetName val="_106备品备件"/>
      <sheetName val="_108劳保"/>
      <sheetName val="_109辅料"/>
      <sheetName val="_110化剂"/>
      <sheetName val="_112气体"/>
      <sheetName val="_206标签"/>
      <sheetName val="_207纸箱纸盒"/>
      <sheetName val="_208瓶类"/>
      <sheetName val="_302办公用品"/>
      <sheetName val="_303工具"/>
      <sheetName val="_304玻璃仪器"/>
      <sheetName val="_399其他材料"/>
      <sheetName val="_4产成品"/>
      <sheetName val="_5自制半成品"/>
      <sheetName val="ABSORBED"/>
      <sheetName val="MC-BIL"/>
      <sheetName val="C_Lead"/>
      <sheetName val="C_100 Breakdown"/>
      <sheetName val="KMB"/>
      <sheetName val="Probe"/>
      <sheetName val="Page1"/>
      <sheetName val="产成品（K库）"/>
      <sheetName val="其他应收款实质性程序2"/>
      <sheetName val="（1）固定资产情况底稿"/>
      <sheetName val="内部关联清单"/>
      <sheetName val="Prefinal-LT Prepaid "/>
      <sheetName val="(Sch C) Reconciliation"/>
      <sheetName val="A500-Audit adjustment"/>
      <sheetName val="0508"/>
      <sheetName val="0504"/>
      <sheetName val="0506"/>
      <sheetName val="Sheet1999"/>
      <sheetName val="7-1-1|审计说明"/>
      <sheetName val="ARP_U501"/>
      <sheetName val="Update check"/>
      <sheetName val="10月余额表"/>
      <sheetName val="kmye"/>
      <sheetName val="二级明细"/>
      <sheetName val="其他应收-导出"/>
      <sheetName val="原料库存帐"/>
      <sheetName val="AFS-PL"/>
      <sheetName val="U600-投资收益"/>
      <sheetName val="A5_PRC_20221231"/>
      <sheetName val="Mthly-D"/>
      <sheetName val="账上导出数（包括暂估）"/>
      <sheetName val="Oct Starts Plan"/>
      <sheetName val="Openfile"/>
      <sheetName val="Produzione"/>
      <sheetName val="Airport - Downtown"/>
      <sheetName val="Reservations"/>
      <sheetName val="P110"/>
      <sheetName val="B401 - Sales cut off"/>
      <sheetName val="AOP Summary-2"/>
      <sheetName val="Balance Sheet &amp; Cash Flow"/>
      <sheetName val="INPUT WH"/>
      <sheetName val="UGDK 2005"/>
      <sheetName val="采购底稿"/>
      <sheetName val="Consol A3"/>
      <sheetName val="按合作伙伴汇总"/>
      <sheetName val="CON CT SINO AGRO"/>
      <sheetName val="For AFS PRC"/>
      <sheetName val="P-lead"/>
      <sheetName val="SL1800"/>
      <sheetName val="F600计价测试"/>
      <sheetName val="Chart_OpLease"/>
      <sheetName val="PAL2"/>
      <sheetName val="收入类型"/>
      <sheetName val="数据源"/>
      <sheetName val="Börskurser"/>
      <sheetName val="TransAccounts"/>
      <sheetName val="A02"/>
      <sheetName val="TransItems"/>
      <sheetName val="SAP原始"/>
      <sheetName val="BasicData"/>
      <sheetName val="OutgoToCustomers"/>
      <sheetName val="IncomeDetails"/>
      <sheetName val="OutgoDetails"/>
      <sheetName val="HandleDepartments"/>
      <sheetName val="DeletedIncomeRecords"/>
      <sheetName val="DeletedOutgoRecords"/>
      <sheetName val="InventoryList"/>
      <sheetName val="OutgoToOthers"/>
      <sheetName val="IncomeSourcesPurchase"/>
      <sheetName val="OutgoToProduction"/>
      <sheetName val="IncomeSourcesOthers"/>
      <sheetName val="Warehouses"/>
      <sheetName val="은행"/>
      <sheetName val="SoD By Account Class"/>
      <sheetName val="工作表目录"/>
      <sheetName val="JE Upload"/>
      <sheetName val="未交税金明细表"/>
      <sheetName val="tax-ss"/>
      <sheetName val="Reference-Corn (MAN)"/>
      <sheetName val="剥离前"/>
      <sheetName val="查账分类序列"/>
      <sheetName val="会计分录序时簿"/>
      <sheetName val="固定资产清单"/>
      <sheetName val="C4-"/>
      <sheetName val="Consolidated AC"/>
      <sheetName val="04收发存汇总表"/>
      <sheetName val="Cntry"/>
      <sheetName val="1Ed"/>
      <sheetName val="2Ed"/>
      <sheetName val="TIG Loan Interest Calculation"/>
      <sheetName val="TOTALE"/>
      <sheetName val="47045"/>
      <sheetName val="June"/>
      <sheetName val="G313"/>
      <sheetName val="K1_100Breakdown"/>
      <sheetName val="K1_210新增清单"/>
      <sheetName val="ce"/>
      <sheetName val="fluxo de caixa"/>
      <sheetName val="CECO"/>
      <sheetName val="Tax Rates"/>
      <sheetName val="SH-3rd party"/>
      <sheetName val="Personnaliser votre facture"/>
      <sheetName val="BD ex Mellin"/>
      <sheetName val="OtherKPI"/>
      <sheetName val="Appendix - Joao Carlos ar"/>
      <sheetName val="Top 5 by TC"/>
      <sheetName val="其他业务利润明细表"/>
      <sheetName val="投资收益明细表"/>
      <sheetName val="其他股权投资"/>
      <sheetName val="资产占有方承诺函"/>
      <sheetName val="客户融资"/>
      <sheetName val="关联方_物流集团"/>
      <sheetName val="CONSSID12-96"/>
      <sheetName val="PRCcash"/>
      <sheetName val="Other  FI"/>
      <sheetName val="FS item Listing"/>
      <sheetName val="motor-vehicles（胡晓刚）"/>
      <sheetName val="aging 1003"/>
      <sheetName val="aging 1103"/>
      <sheetName val="aging 1203"/>
      <sheetName val="aging 0803"/>
      <sheetName val="Konsern1q99"/>
      <sheetName val="BilanzDaten2001_2004_Upos"/>
      <sheetName val="未开票"/>
      <sheetName val="New PRC TB"/>
      <sheetName val="Sheet2004"/>
      <sheetName val="VSPA"/>
      <sheetName val="免费"/>
      <sheetName val="Customize Your Invoice"/>
      <sheetName val="April"/>
      <sheetName val="feb"/>
      <sheetName val="t105"/>
      <sheetName val="0220"/>
      <sheetName val="Pricing Summary"/>
      <sheetName val="EHQ"/>
      <sheetName val="项目静态测算表"/>
      <sheetName val="长投明细"/>
      <sheetName val="价格策略"/>
      <sheetName val="总人口"/>
      <sheetName val="Est"/>
      <sheetName val="PM-TE-20211231税前利润"/>
      <sheetName val="K.01.1 BKD"/>
      <sheetName val="伯希和(北京)文化"/>
      <sheetName val="杭州伯希和"/>
      <sheetName val="安徽大江"/>
      <sheetName val="不打印"/>
      <sheetName val="navigation"/>
      <sheetName val="TOLOG"/>
      <sheetName val="struc_SBU"/>
      <sheetName val="struc_ru"/>
      <sheetName val="Download_SP"/>
      <sheetName val="struc_custom"/>
      <sheetName val="translate"/>
      <sheetName val="MA translate"/>
      <sheetName val="PL40"/>
      <sheetName val="Lease_AP_20084"/>
      <sheetName val="T__B3"/>
      <sheetName val="Comp_equip3"/>
      <sheetName val="Non-Statistical_Sampling4"/>
      <sheetName val="Invested_Capital2"/>
      <sheetName val="Chart_of_acct_2"/>
      <sheetName val="Vendor_Data4"/>
      <sheetName val="IRR_&amp;_NPV3"/>
      <sheetName val="Mov_from_2001_to_20033"/>
      <sheetName val="FA_Roll_to_GL_(p_2)2"/>
      <sheetName val="Lead_(p_1)2"/>
      <sheetName val="7_(2)3"/>
      <sheetName val="Net_REVENUE2"/>
      <sheetName val="M3_M41"/>
      <sheetName val="M3_M4_(2)1"/>
      <sheetName val="A3_&amp;_U_09-011"/>
      <sheetName val="Detail_Loan_Move__&amp;_Listing4"/>
      <sheetName val="A6620_Detail2"/>
      <sheetName val="7_-_ARO_Assumptions3"/>
      <sheetName val="VCC_11110-4613"/>
      <sheetName val="ICP费用ICP_Expense2"/>
      <sheetName val="ICP其他应付款ICP_OtherPayable2"/>
      <sheetName val="Trial_Balance2"/>
      <sheetName val="G_1R-Shou_COP_Gf1"/>
      <sheetName val="PRC_153"/>
      <sheetName val="Raw_materials4"/>
      <sheetName val="Review_pts1"/>
      <sheetName val="for_ey_reviewer_销售费用3"/>
      <sheetName val="for_ey_reviewer_制造费用3"/>
      <sheetName val="M_Schedules3"/>
      <sheetName val="TB_Link6"/>
      <sheetName val="Calibration_to_Swaptions1"/>
      <sheetName val="Swaption_Data1"/>
      <sheetName val="2007_12折旧差异1"/>
      <sheetName val="statement_19983"/>
      <sheetName val="XVIa(i)_-_average_price_(2)3"/>
      <sheetName val="Loc_Master1"/>
      <sheetName val="BOX_SUM4"/>
      <sheetName val="FIN_GOOD4"/>
      <sheetName val="Office_Improve2"/>
      <sheetName val="Ex_Diff4"/>
      <sheetName val="Detail_Loan_Move____Listing1"/>
      <sheetName val="For_Report1"/>
      <sheetName val="&lt;FF&gt;_Tax_Payable4"/>
      <sheetName val="Staff_List3"/>
      <sheetName val="Library_Procedures3"/>
      <sheetName val="Client_Data1"/>
      <sheetName val="IS_Summary-963"/>
      <sheetName val="Disclosure_Summary4"/>
      <sheetName val="Base_Info4"/>
      <sheetName val="SCH_1B,_1B-1_&amp;_1B-2"/>
      <sheetName val="Month_81"/>
      <sheetName val="P_&amp;_L_Account1"/>
      <sheetName val="BP_2001_rates"/>
      <sheetName val="销售6_134"/>
      <sheetName val="综合成本分析01_01-02053"/>
      <sheetName val="NewB_Sheet"/>
      <sheetName val="P&amp;L_Summary_Page2"/>
      <sheetName val="Invoice_detail"/>
      <sheetName val="App24__working"/>
      <sheetName val="Sundries_creditors"/>
      <sheetName val="Advance_to_staff"/>
      <sheetName val="H_R3"/>
      <sheetName val="资产评估结果分类汇总表_(2)3"/>
      <sheetName val="BALANCE_SHEET2"/>
      <sheetName val="1461（12_6）4"/>
      <sheetName val="A_R_017"/>
      <sheetName val="Consol_worksheet-Final"/>
      <sheetName val="Pre_Model"/>
      <sheetName val="方案分析_(分产品)"/>
      <sheetName val="P220_高管薪酬分析_(2)"/>
      <sheetName val="Chart_of_Acct2"/>
      <sheetName val="PRC_GAAP4"/>
      <sheetName val="Baseline_Exp"/>
      <sheetName val="Cash_&amp;_Bank"/>
      <sheetName val="6_比較資產負債表"/>
      <sheetName val="0-2_資料聯"/>
      <sheetName val="0-1_基本資料"/>
      <sheetName val="4_損益表"/>
      <sheetName val="9_各類給付扣繳表"/>
      <sheetName val="CCtr_structure"/>
      <sheetName val="2004_12_31"/>
      <sheetName val="Fixed_assets"/>
      <sheetName val="封面_Cover2"/>
      <sheetName val="目录_Index"/>
      <sheetName val="key_parameter1st"/>
      <sheetName val="Relationship_Analysis"/>
      <sheetName val="FC_switches"/>
      <sheetName val="Q_CF-E011"/>
      <sheetName val="Finance_Cost_Center"/>
      <sheetName val="06_11_24SAP"/>
      <sheetName val="338_Apparel"/>
      <sheetName val="Upload_Apr_13"/>
      <sheetName val="Interco_Sales"/>
      <sheetName val="Net_Bookings"/>
      <sheetName val="Net_Sales_&amp;_Cost_of_Sales"/>
      <sheetName val="Cost_structure_Alcatel"/>
      <sheetName val="Sales_for_20013"/>
      <sheetName val="Air_Conditional3"/>
      <sheetName val="Motor_Vehicle3"/>
      <sheetName val="固定资产增减表#0_00__"/>
      <sheetName val="CUSTOMER_(DETAIL)4"/>
      <sheetName val="ICP合同负债ICPContract_Liability"/>
      <sheetName val="ICP租赁负债ICPlease_liability"/>
      <sheetName val="ADJ_Sum(console)7"/>
      <sheetName val="Defer_tax7"/>
      <sheetName val="Estimated_AP_9_037"/>
      <sheetName val="2005_066"/>
      <sheetName val="Mar_OR6"/>
      <sheetName val="REC_976"/>
      <sheetName val="daywork-_Tham_khao6"/>
      <sheetName val="office_supplies5"/>
      <sheetName val="truc_tiep5"/>
      <sheetName val="P_1预收、其他应付、其他流动负债5"/>
      <sheetName val="G_预付账款、其他应收款、其他流动资产5"/>
      <sheetName val="_U1505"/>
      <sheetName val="2-分类汇总_Classified_Summary5"/>
      <sheetName val="Financ__Overview5"/>
      <sheetName val="各年往来_(2)5"/>
      <sheetName val="IFRS_REPORTING5"/>
      <sheetName val="关联交易-存款hࢀ_ࢀ__x005f_x0001_5"/>
      <sheetName val="A5_Summary5"/>
      <sheetName val="关联交易-存款hࢀ_ࢀ__x005f_x005f_x005f_x0001_5"/>
      <sheetName val="zero_(3)5"/>
      <sheetName val="3_25"/>
      <sheetName val="A3_Sum5"/>
      <sheetName val="Invest_5"/>
      <sheetName val="Inv_days_#55"/>
      <sheetName val="control_sheet_fund_II5"/>
      <sheetName val="Exec_Summary5"/>
      <sheetName val="N_应付账款4"/>
      <sheetName val="TAB_Daten4"/>
      <sheetName val="关联交易-存款hࢀ_ࢀ__x005f_x005f_x005f_x005f_x005f4"/>
      <sheetName val="关联交易-存款hࢀ_ࢀ__x005f_x005f_4"/>
      <sheetName val="F1100芯片测试费_5"/>
      <sheetName val="II-_Liability_Component_June_05"/>
      <sheetName val="I-Conclusion_4"/>
      <sheetName val="II-_Liab__comp_IAS4"/>
      <sheetName val="Conversion_feature4"/>
      <sheetName val="I-_Summary4"/>
      <sheetName val="Sch_PR-24"/>
      <sheetName val="Sch_PR-34"/>
      <sheetName val="Consol_BS4"/>
      <sheetName val="HO_&amp;_Aust_BS4"/>
      <sheetName val="JAC11_304"/>
      <sheetName val="Tier1_Pref_SGP4"/>
      <sheetName val="Rev__Losses4"/>
      <sheetName val="SoP_SGP24"/>
      <sheetName val="Prop_R4"/>
      <sheetName val="Tier1_Pref_SBP4"/>
      <sheetName val="Income_Statement_breakdown4"/>
      <sheetName val="关联交易-存款hࢀ_ࢀ__4"/>
      <sheetName val="qad_TB4"/>
      <sheetName val="短期投资股票投资_dbf4"/>
      <sheetName val="短期投资国债投资_dbf4"/>
      <sheetName val="股票投资收益_dbf4"/>
      <sheetName val="其他货币海通_dbf4"/>
      <sheetName val="其他货币零领路_dbf4"/>
      <sheetName val="投资收益债券_dbf4"/>
      <sheetName val="PV6_3_5L_LX5_GMX1704"/>
      <sheetName val="Company_Information4"/>
      <sheetName val="P&amp;L_adhoc4"/>
      <sheetName val="Suppl_Adhoc_Inv_(F)4"/>
      <sheetName val="Suppl_Adhoc_Pers4"/>
      <sheetName val="QTR_Data_Analysis4"/>
      <sheetName val="Hyperion_Link4"/>
      <sheetName val="关联交易-存款?滨?_4"/>
      <sheetName val="Bank_card_list4"/>
      <sheetName val="Payed_bonuses4"/>
      <sheetName val="Output_&amp;_Financial_Statements4"/>
      <sheetName val="Old_TWX_Quorfa4"/>
      <sheetName val="TWX_Model4"/>
      <sheetName val="FS_Output_44"/>
      <sheetName val="FS_Output_14"/>
      <sheetName val="FS_Output_34"/>
      <sheetName val="FS_Output24"/>
      <sheetName val="Deal_Structure_&amp;_Control_Page4"/>
      <sheetName val="Historic_Comps4"/>
      <sheetName val="Price_List4"/>
      <sheetName val="All_Cash_Dil4"/>
      <sheetName val="关联交易-存款hࢀ_ࢀ__x005f_x005f_x005f_x005f_4"/>
      <sheetName val="1-_Input_&amp;_Info4"/>
      <sheetName val="Antivol_D24"/>
      <sheetName val="2_5上年现金试算4"/>
      <sheetName val="Romford_Market4"/>
      <sheetName val="PPD_Schedule4"/>
      <sheetName val="清单12_314"/>
      <sheetName val="Economic_evaluation_-_FY98_bas4"/>
      <sheetName val="Base_Data4"/>
      <sheetName val="1_04"/>
      <sheetName val="AR_Drop_Downs4"/>
      <sheetName val="Table_13_1_-_33"/>
      <sheetName val="链接表（勿动）_元)3"/>
      <sheetName val="两次基准日的对比_(0531与0831)3"/>
      <sheetName val="链接表（勿动）_(元表)3"/>
      <sheetName val="CY_sales_report3"/>
      <sheetName val="addl_cost3"/>
      <sheetName val="C-1_总表3"/>
      <sheetName val="4_1-合同台帐3"/>
      <sheetName val="Income_Statement_and_KPIs3"/>
      <sheetName val="index_cc3"/>
      <sheetName val="1_5_合同、非合同台帐3"/>
      <sheetName val="Non-Statistical_Sampling_Maste3"/>
      <sheetName val="Global_Data3"/>
      <sheetName val="4_1拆出资金3"/>
      <sheetName val="aging_06123"/>
      <sheetName val="NA_QTR_PROD3"/>
      <sheetName val="Official_Lehman_PROD_Sched3"/>
      <sheetName val="Income_statement3"/>
      <sheetName val="acc_list3"/>
      <sheetName val="在建工程_final3"/>
      <sheetName val="SD-Report_5&quot;3"/>
      <sheetName val="Rejects_PPM3"/>
      <sheetName val="QOS_RPPM3"/>
      <sheetName val="Standort_(DE)3"/>
      <sheetName val="Act_Vol3"/>
      <sheetName val="Customer_Name3"/>
      <sheetName val="ACC_NAME3"/>
      <sheetName val="ZP7_gespritzt3"/>
      <sheetName val="GA5-2-1_明细表20153"/>
      <sheetName val="开发成本2002_-_Movement3"/>
      <sheetName val="国别报告数据填报模板(Information_Request3"/>
      <sheetName val="Salses_breakdown3"/>
      <sheetName val="VS_Consensus3"/>
      <sheetName val="销售人效_-_Overview3"/>
      <sheetName val="Two_Step_Revenue_Testing_Maste3"/>
      <sheetName val="Share_Prices3"/>
      <sheetName val="Book_1_Summary3"/>
      <sheetName val="Feb_Allocation%3"/>
      <sheetName val="Com_Lever3"/>
      <sheetName val="expenses_calc3"/>
      <sheetName val="existing_cities_benchmark3"/>
      <sheetName val="master_sheet3"/>
      <sheetName val="bike_loss3"/>
      <sheetName val="exchange_rate3"/>
      <sheetName val="Cash_Flow_Worksheet3"/>
      <sheetName val="Chart_Analysis3"/>
      <sheetName val="2005_013"/>
      <sheetName val="Access360_-_PP3"/>
      <sheetName val="Program_Controls3"/>
      <sheetName val="BS_Heading3"/>
      <sheetName val="PER_SALES_ORG3"/>
      <sheetName val="08_83"/>
      <sheetName val="其他货币资金_dbf3"/>
      <sheetName val="银行存款_dbf3"/>
      <sheetName val="2018_ADJ3"/>
      <sheetName val="F19_23"/>
      <sheetName val="F19_13"/>
      <sheetName val="F5_53"/>
      <sheetName val="F5_33"/>
      <sheetName val="Accounts_Database3"/>
      <sheetName val="CH_Car3"/>
      <sheetName val="App1_Entities_sequence_number3"/>
      <sheetName val="CJE_energy_inv3"/>
      <sheetName val="YTD_SALES3"/>
      <sheetName val="진행_DATA_(2)3"/>
      <sheetName val="POWER_ASSUMPTIONS3"/>
      <sheetName val="summary_3"/>
      <sheetName val="关联交易-存款_滨__4"/>
      <sheetName val="2018工程汇总_3"/>
      <sheetName val="Acq_Assumptions_I3"/>
      <sheetName val="Acq_Assumptions_II3"/>
      <sheetName val="Acq_Assumptions_III3"/>
      <sheetName val="Cash_Flow_-_CY_Workings3"/>
      <sheetName val="2_cot3"/>
      <sheetName val="1_资金支付台帐3"/>
      <sheetName val="0_1公司清单3"/>
      <sheetName val="Service_Parts_Rejects_(RPPM)3"/>
      <sheetName val="Carole_Worksheet_Table3"/>
      <sheetName val="1002-1031170406_Capital_Accoun3"/>
      <sheetName val="F40-Goodsin_transit3"/>
      <sheetName val="M&amp;A_pipeline3"/>
      <sheetName val="表二十二_(2)2"/>
      <sheetName val="附表1_年度人数2"/>
      <sheetName val="Cash_Flow3"/>
      <sheetName val="26_存货月报表2"/>
      <sheetName val="cum_pred2"/>
      <sheetName val="库存商品余额表_dbf3"/>
      <sheetName val="Project_Details3"/>
      <sheetName val="Tritel_Consolidated3"/>
      <sheetName val="TeleCorp_Holdco_Summary3"/>
      <sheetName val="Sales_Volumes_&amp;_Plan2"/>
      <sheetName val="Net_Sales_LC2"/>
      <sheetName val="query_results2"/>
      <sheetName val="Opening_check_Misc_(WO_Only)3"/>
      <sheetName val="IRR_Historic3"/>
      <sheetName val="Portfolio_IRR3"/>
      <sheetName val="Val_Inputs3"/>
      <sheetName val="Model_Inputs3"/>
      <sheetName val="Exchange_Rates&gt;&gt;3"/>
      <sheetName val="Funding_Combined3"/>
      <sheetName val="FY18_funding3"/>
      <sheetName val="iFood_funding3"/>
      <sheetName val="Summary_Adjusted3"/>
      <sheetName val="Summary_Combined3"/>
      <sheetName val="Conversion_Roll_forward3"/>
      <sheetName val="Summary_Roll_Forward3"/>
      <sheetName val="Conversion_DCF3"/>
      <sheetName val="Summary_DCF3"/>
      <sheetName val="Conversion_Cash_Flow3"/>
      <sheetName val="Summary_Cash_Flow3"/>
      <sheetName val="Company_Name_mappings3"/>
      <sheetName val="PH_Car3"/>
      <sheetName val="Related_company4"/>
      <sheetName val="Data_From_XXX4"/>
      <sheetName val="Delphi_original4"/>
      <sheetName val="FUEL_FILLER4"/>
      <sheetName val="Capex_report3"/>
      <sheetName val="___合同台账__3"/>
      <sheetName val="CIP_DETAILS2"/>
      <sheetName val="Info__Request2"/>
      <sheetName val="U1_63"/>
      <sheetName val="Price_Provision_清单2"/>
      <sheetName val="PltRpt_(A&amp;F)2"/>
      <sheetName val="PltRpt_(A&amp;FvsB)2"/>
      <sheetName val="PltRpt_(B&amp;AC)2"/>
      <sheetName val="Schedule_B2"/>
      <sheetName val="Tav_22_Rischio_di_Credito2"/>
      <sheetName val="信息费用预算表(A4)_2"/>
      <sheetName val="Depreciation_test2"/>
      <sheetName val="Table_US_Currency2"/>
      <sheetName val="fixed_assets_–Forklifts2"/>
      <sheetName val="fixed_assets_–battery2"/>
      <sheetName val="ARP_stt_22"/>
      <sheetName val="Gen_Accruals2"/>
      <sheetName val="Legal_Accrual2"/>
      <sheetName val="Payroll_Accrual2"/>
      <sheetName val="Cost_of_Equity3"/>
      <sheetName val="CLA-21_1-4_OLD3"/>
      <sheetName val="E3_A2"/>
      <sheetName val="_3"/>
      <sheetName val="Ex__rate2"/>
      <sheetName val="SPI_GMBH2"/>
      <sheetName val="Summary_Page_VDF2"/>
      <sheetName val="Invested_capital_VDF2"/>
      <sheetName val="LT_TB2"/>
      <sheetName val="LTMD_TB2"/>
      <sheetName val="OC_TB2"/>
      <sheetName val="ZD_TB2"/>
      <sheetName val="Agency_Walker_ID2"/>
      <sheetName val="sales_breakdown2"/>
      <sheetName val="co_info2"/>
      <sheetName val="Interim_NWA_converted_in_Dec022"/>
      <sheetName val="AP-NSK(trade)_USD2"/>
      <sheetName val="IV-NSK_JPY2"/>
      <sheetName val="AP-NSK_(trade)_JPY2"/>
      <sheetName val="AR-KTB_JPY2"/>
      <sheetName val="AR-NSK_(trade)_USD2"/>
      <sheetName val="ar-OKI_Micro2"/>
      <sheetName val="AR-TAIKO_JPY2"/>
      <sheetName val="BR-Thousand_JPY2"/>
      <sheetName val="F余额表2021_(2)2"/>
      <sheetName val="F余额表2021_(3)2"/>
      <sheetName val="其他业务成本_1110312"/>
      <sheetName val="K311_A_List022"/>
      <sheetName val="99Exh_I2"/>
      <sheetName val="외주현황_wq12"/>
      <sheetName val="Difference_Reconcliation2"/>
      <sheetName val="RPT_Disclosure2"/>
      <sheetName val="FY99_Volume2"/>
      <sheetName val="Sal_&amp;_Wage_Info2"/>
      <sheetName val="LAbor_estimate2"/>
      <sheetName val="2018_4_7_for_Bank2"/>
      <sheetName val="SPLICE_HOURS2"/>
      <sheetName val="SC_HKD_CA2"/>
      <sheetName val="M_P_2"/>
      <sheetName val="Taux_de_change_2"/>
      <sheetName val="plantilla_mes2"/>
      <sheetName val="PL_by_month-EFY2"/>
      <sheetName val="Calcs_for__quarterly_pres2"/>
      <sheetName val="Valuation_Matrix2"/>
      <sheetName val="cur_rates2"/>
      <sheetName val="Total_20092"/>
      <sheetName val="3rd_Qtr2"/>
      <sheetName val="5th_Qtr2"/>
      <sheetName val="6th_Qtr2"/>
      <sheetName val="7th_Qtr2"/>
      <sheetName val="Exit_Forecast2"/>
      <sheetName val="2nd_Qtr2"/>
      <sheetName val="Rounded_Input2"/>
      <sheetName val="_003_3固定资产2"/>
      <sheetName val="SUIVI_EFFECTIFS2"/>
      <sheetName val="Vendas_Tons2"/>
      <sheetName val="C_Estr_2"/>
      <sheetName val="EFFECT_2"/>
      <sheetName val="U210'_2"/>
      <sheetName val="_W60A_Seating_2011_3_7_xlsx2"/>
      <sheetName val="FIRE_Parameters2"/>
      <sheetName val="CREDIT_STATS2"/>
      <sheetName val="FAT_DB2"/>
      <sheetName val="CF_Bridge2"/>
      <sheetName val="Other_R&amp;O2"/>
      <sheetName val="Co_592"/>
      <sheetName val="FA_List2"/>
      <sheetName val="Operating_2"/>
      <sheetName val="CFS_adjustments2"/>
      <sheetName val="Drop_down2"/>
      <sheetName val="2010_Breakdown2"/>
      <sheetName val="CA_consolidated2"/>
      <sheetName val="VT_TEB_Planung-20062"/>
      <sheetName val="Expenses_with_Comparisons2"/>
      <sheetName val="TEV_Multiples2"/>
      <sheetName val="CSM_Data_by_CY_2"/>
      <sheetName val="Pref_Probable_Case_Returns2"/>
      <sheetName val="Interco_BSC_012"/>
      <sheetName val="BT_032"/>
      <sheetName val="BT_022"/>
      <sheetName val="BT_012"/>
      <sheetName val="Comparative_Balance_Sheet2"/>
      <sheetName val="Com_list2"/>
      <sheetName val="Headcount_and_Oil_Price2"/>
      <sheetName val="BOE_Stats2"/>
      <sheetName val="C_-_Cash_and_Bank2"/>
      <sheetName val="others_gl2"/>
      <sheetName val="总公司2002_12_312"/>
      <sheetName val="Beg-_End_balance2"/>
      <sheetName val="Net_Trans_Sum2"/>
      <sheetName val="5_基础档案2"/>
      <sheetName val="Sum_Hist2"/>
      <sheetName val="Corporate_PPT2"/>
      <sheetName val="WTI_Coporate_Eliminations_PPT2"/>
      <sheetName val="Sales_by_category2"/>
      <sheetName val="1102_TAB_OPPORTUNITY_to_import2"/>
      <sheetName val="_FY20002"/>
      <sheetName val="Product_List2"/>
      <sheetName val="BU_Parameters2"/>
      <sheetName val="Valuation_Summary2"/>
      <sheetName val="Capex_&amp;_Working_Capital_2"/>
      <sheetName val="Product_Summary2"/>
      <sheetName val="Revenue_Output2"/>
      <sheetName val="P&amp;L_Summary2"/>
      <sheetName val="Gross_Profit_Output_(100%)2"/>
      <sheetName val="Historical_IS2"/>
      <sheetName val="Other_Working_Assumptions2"/>
      <sheetName val="Valuation_Waterfall2"/>
      <sheetName val="Gross_Profit2"/>
      <sheetName val="Historical_BS2"/>
      <sheetName val="Key_Assumptions2"/>
      <sheetName val="Instruction_Sheet2"/>
      <sheetName val="Monthly_Ex_rate2"/>
      <sheetName val="Expense_Accrual2"/>
      <sheetName val="Gen__Accrual2"/>
      <sheetName val="Prod__Accrual2"/>
      <sheetName val="Rent_Accrual2"/>
      <sheetName val="Corporate_Sales2"/>
      <sheetName val="Freight_Issues2"/>
      <sheetName val="Financial_Summary2"/>
      <sheetName val="Rev_provit2"/>
      <sheetName val="Repayment_Summary2"/>
      <sheetName val="会计科目设置__科目汇总表2"/>
      <sheetName val="IND_2"/>
      <sheetName val="Performance_Graphs2"/>
      <sheetName val="Validation_source2"/>
      <sheetName val="EXP_LINE2"/>
      <sheetName val="Other_M&amp;R2"/>
      <sheetName val="QTP_dt_2"/>
      <sheetName val="05_AOP_-_Exp_by_CC2"/>
      <sheetName val="05_AOP_-_By_Acct_Detail2"/>
      <sheetName val="IB_Average2"/>
      <sheetName val="Int_ZFLS2"/>
      <sheetName val="I-cycle_count082"/>
      <sheetName val="TT_template2"/>
      <sheetName val="Valuation_-_GSJBW2"/>
      <sheetName val="Group_structure1"/>
      <sheetName val="Pick_Lists_Sheet2"/>
      <sheetName val="K1_Tax_computation2"/>
      <sheetName val="NBE_DCF2"/>
      <sheetName val="Consolidated_DCF2"/>
      <sheetName val="Boilers_DCF2"/>
      <sheetName val="NBE_(heat_rate)2"/>
      <sheetName val="2weeeks_All__Excess_and_Shorta1"/>
      <sheetName val="Business_Unit1"/>
      <sheetName val="1102_MIT1"/>
      <sheetName val="BS_CHECK1"/>
      <sheetName val="Financial_Statistics1"/>
      <sheetName val="Offering_Stats1"/>
      <sheetName val="Segment_to_Legal1"/>
      <sheetName val="Profit_and_loss1"/>
      <sheetName val="Consol_FS1"/>
      <sheetName val="2_1设计部1"/>
      <sheetName val="D410_应交税金变动表Movement1"/>
      <sheetName val="1_1_Project_Data1"/>
      <sheetName val="O_adj1"/>
      <sheetName val="BIS_LIST-NTH_181"/>
      <sheetName val="TB_&amp;_20131"/>
      <sheetName val="C_货币资金1"/>
      <sheetName val="C_抵押存款1"/>
      <sheetName val="D_可供出售投资-流动1"/>
      <sheetName val="D_衍生金融资产1"/>
      <sheetName val="D_持有至到期投资-流动1"/>
      <sheetName val="D_短期投资1"/>
      <sheetName val="D_单列金融资产1"/>
      <sheetName val="A5_dim&amp;adj_sum1"/>
      <sheetName val="E_应收账款1"/>
      <sheetName val="E_应收贸易款及票据1"/>
      <sheetName val="E_应收票据1"/>
      <sheetName val="F_存货1"/>
      <sheetName val="F_房地产1"/>
      <sheetName val="G_预付账款&amp;其他应收款&amp;待摊费用1"/>
      <sheetName val="G_应收股利1"/>
      <sheetName val="G_待售资产1"/>
      <sheetName val="G_HK其他应收1"/>
      <sheetName val="G_应收利息1"/>
      <sheetName val="G_其他流动资产1"/>
      <sheetName val="H_可供出售投资-非流动1"/>
      <sheetName val="H_HK长投1"/>
      <sheetName val="H_商誉1"/>
      <sheetName val="H_持有至到期投资-非流动1"/>
      <sheetName val="H_投资性房地产1"/>
      <sheetName val="H_PRC长投1"/>
      <sheetName val="I_应收关联方1"/>
      <sheetName val="I_应付关联方1"/>
      <sheetName val="J_在建工程1"/>
      <sheetName val="K_固定资产1"/>
      <sheetName val="K_固定资产清理1"/>
      <sheetName val="L_一年内到期的长期债权投资1"/>
      <sheetName val="L_无形1"/>
      <sheetName val="L_长期待摊1"/>
      <sheetName val="L_其他长期资产1"/>
      <sheetName val="M_短借1"/>
      <sheetName val="N_应付票据1"/>
      <sheetName val="P_预收账款&amp;其他应付款&amp;应付职工薪酬&amp;预提费用&amp;其他应交款1"/>
      <sheetName val="U_其他业务收支&amp;营业外收支&amp;补贴收入&amp;利息收入1"/>
      <sheetName val="U_所得税1"/>
      <sheetName val="O_递延税资产1"/>
      <sheetName val="O_递延税负债1"/>
      <sheetName val="O_应交税费1"/>
      <sheetName val="U_税金及附加1"/>
      <sheetName val="P_应付股利1"/>
      <sheetName val="P_HK其他应付1"/>
      <sheetName val="P_应付利息1"/>
      <sheetName val="P_其他应付款1"/>
      <sheetName val="P_其他流动负债1"/>
      <sheetName val="P_应付职工薪酬1"/>
      <sheetName val="P_预计负债1"/>
      <sheetName val="Q_应付债券1"/>
      <sheetName val="Q_可转债1"/>
      <sheetName val="Q_政府补助1"/>
      <sheetName val="Q_一年内到期负债1"/>
      <sheetName val="Q_应付融资租赁款1"/>
      <sheetName val="Q_长借1"/>
      <sheetName val="Q_长期应付1"/>
      <sheetName val="Q_其他长期负债1"/>
      <sheetName val="Q_专项应付1"/>
      <sheetName val="T_股本1"/>
      <sheetName val="T_资本公积1"/>
      <sheetName val="T_折算差额1"/>
      <sheetName val="T_未分配利润1"/>
      <sheetName val="T_盈余公积1"/>
      <sheetName val="U_主营业务1"/>
      <sheetName val="U_财务费用1"/>
      <sheetName val="U_投资收益&amp;公允价值变动收益1"/>
      <sheetName val="U_管理费用&amp;资产减值损失1"/>
      <sheetName val="U_成本倒轧表&amp;制造费用1"/>
      <sheetName val="U_销售费用1"/>
      <sheetName val="U_分占下属损益1"/>
      <sheetName val="NEWSPRINT_&amp;_UGW1"/>
      <sheetName val="WACC_Analysis_Output1"/>
      <sheetName val="Management_Projections1"/>
      <sheetName val="Inventories_Analysis1"/>
      <sheetName val="ALL_DATA1"/>
      <sheetName val="FF-2_(1)1"/>
      <sheetName val="M5_M6_Summary1"/>
      <sheetName val="Sheet1_(3)1"/>
      <sheetName val="06_11"/>
      <sheetName val="6126_07披露表(国资)1"/>
      <sheetName val="附件10_东莞百宏-待摊费用20191"/>
      <sheetName val="附件6_东莞百宏-其他应收款20191"/>
      <sheetName val="附件8_东莞百宏-预收账款20191"/>
      <sheetName val="PP&amp;E_&amp;_Intangibles1"/>
      <sheetName val="Cover_--&gt;1"/>
      <sheetName val="Comps_input1"/>
      <sheetName val="MT_by_Dept_管理报表费用分类1"/>
      <sheetName val="Volatility_raw1"/>
      <sheetName val="Welfare_PIT1"/>
      <sheetName val="sales_vol_1"/>
      <sheetName val="Occupancy_20041"/>
      <sheetName val="A_|_INPUT_Filler1"/>
      <sheetName val="Fitments_Abs_Ums1"/>
      <sheetName val="Datenbank_Fillers1"/>
      <sheetName val="SFC_fcst1"/>
      <sheetName val="Fcst_20171"/>
      <sheetName val="FA_ad09-121"/>
      <sheetName val="A3_试算表Financial_statement1"/>
      <sheetName val="K_固定资产&amp;投资性房地产1"/>
      <sheetName val="G_其他应收款1"/>
      <sheetName val="01_T1"/>
      <sheetName val="03_1"/>
      <sheetName val="by_category1"/>
      <sheetName val="Account_Map1"/>
      <sheetName val="附件25_2-销售收入1"/>
      <sheetName val="Sales_Data1"/>
      <sheetName val="资金使用假设_(可转债按账面拆分为股权与债权)1"/>
      <sheetName val="BS_data1"/>
      <sheetName val="Elim_Seg_LM1"/>
      <sheetName val="Elim_Seg_BM1"/>
      <sheetName val="2012-2016_Grp_Res_Bdgt1"/>
      <sheetName val="Annex_B1"/>
      <sheetName val="Sch0-_Tax_Recon1"/>
      <sheetName val="Balance_sheet_for_August1"/>
      <sheetName val="Income_statement_for_August1"/>
      <sheetName val="Lists_(Hide)1"/>
      <sheetName val="GGP_Expenses1"/>
      <sheetName val="Data_Arrangement1"/>
      <sheetName val="Data_sheet1"/>
      <sheetName val="1__Data_Entry_Sales,_Carline1"/>
      <sheetName val="Acct_220101"/>
      <sheetName val="P&amp;L_PP1"/>
      <sheetName val="Share_Px1"/>
      <sheetName val="Sept_BF1"/>
      <sheetName val="Anlage_3b,_Attachment_3b1"/>
      <sheetName val="Ant_Buss11"/>
      <sheetName val="Ant_Buss21"/>
      <sheetName val="Ant_ZSK1"/>
      <sheetName val="Historical_prices(D)1"/>
      <sheetName val="Historical_prices(M)1"/>
      <sheetName val="Historical_prices(W)1"/>
      <sheetName val="Exp__Summary1"/>
      <sheetName val="Tally_TB_June1"/>
      <sheetName val="Fee_Rate_Summary1"/>
      <sheetName val="FA__0012"/>
      <sheetName val="CTV_PL1"/>
      <sheetName val="Phase_I"/>
      <sheetName val="sales1-subsi_1"/>
      <sheetName val="sales2-subsi_1"/>
      <sheetName val="New_investment1"/>
      <sheetName val="BANK_ac_no,1"/>
      <sheetName val="001Disclosure_Summary"/>
      <sheetName val="L1-1_Ageing_analysis"/>
      <sheetName val="Co_Des_BBXL"/>
      <sheetName val="J-cycle_count09"/>
      <sheetName val="Total_Coach"/>
      <sheetName val="Sale_breakdown"/>
      <sheetName val="zhongshan_"/>
      <sheetName val="2016~2018_8凭证库加工"/>
      <sheetName val="SIZE_&amp;_VALUE"/>
      <sheetName val="Vorbereitende_Eingaben_(Teil_1)"/>
      <sheetName val="Scrap_Bridge_Ytd"/>
      <sheetName val="MCS_P&amp;L_By_Sub__USD1"/>
      <sheetName val="tax_payable1"/>
      <sheetName val="Details_of_ledger_1"/>
      <sheetName val="Management_report_vs_ledger1"/>
      <sheetName val="7378_StockBalance"/>
      <sheetName val="Base_基础"/>
      <sheetName val="Sign_Off_Form"/>
      <sheetName val="LBO_Valuation_Analysis"/>
      <sheetName val="Spin_1"/>
      <sheetName val="Sec_Equity"/>
      <sheetName val="GRAPH_&amp;_SOURCE_DATA"/>
      <sheetName val="LBO_Assumptions"/>
      <sheetName val="Drop_List_References"/>
      <sheetName val="Instructions_(2)"/>
      <sheetName val="Personal_property_HZ"/>
      <sheetName val="CY_BS"/>
      <sheetName val="FAL_as_of_7_31_06"/>
      <sheetName val="Phase2_movementDEC"/>
      <sheetName val="Phase1f_a_DEC"/>
      <sheetName val="Phase2_f_a_DEC_(2)"/>
      <sheetName val="Table_-_Current_Year"/>
      <sheetName val="Accrued_Expenses"/>
      <sheetName val="Value_summary"/>
      <sheetName val="CAB22_存放同业款项_"/>
      <sheetName val="Q1_"/>
      <sheetName val="loan_database"/>
      <sheetName val="SAP_01-12-311"/>
      <sheetName val="Service_Year"/>
      <sheetName val="PBC_-_PHS"/>
      <sheetName val="1_Eckdaten_in_LW"/>
      <sheetName val="Calc_&amp;_Export"/>
      <sheetName val="Carryover_2004"/>
      <sheetName val="AOP_Exec_Summary"/>
      <sheetName val="U102-U104_Detail"/>
      <sheetName val="Revenue_&amp;_Expenses"/>
      <sheetName val="PRC_13"/>
      <sheetName val="suivi_cash_flow_par_affaire"/>
      <sheetName val="AR_movement"/>
      <sheetName val="intbutot_wksheet_current"/>
      <sheetName val="Understand_the_client"/>
      <sheetName val="2_2_付款及计提明细"/>
      <sheetName val="1_汇总统计"/>
      <sheetName val="LTM_Volume"/>
      <sheetName val="Bank_Table"/>
      <sheetName val="1_LeadSchedule"/>
      <sheetName val="3_Analysis"/>
      <sheetName val="OCT_BANK"/>
      <sheetName val="GM_Trend"/>
      <sheetName val="GM%_Trend"/>
      <sheetName val="Linearity_Chart"/>
      <sheetName val="NP_Trend"/>
      <sheetName val="Rev_Trend"/>
      <sheetName val="Rev-GM_Detail_1"/>
      <sheetName val="Rev-GM_Detail_2"/>
      <sheetName val="Rev_Mix_Trend"/>
      <sheetName val="SUMMARY_(EXPD)"/>
      <sheetName val="SUMMARY_(%)"/>
      <sheetName val="QTD_TO_GO"/>
      <sheetName val="h1h2_model"/>
      <sheetName val="3_４Ｒ損益"/>
      <sheetName val="Table_Rates"/>
      <sheetName val="GG&amp;P_Yield"/>
      <sheetName val="PBY_Adj"/>
      <sheetName val="12_APaging附表"/>
      <sheetName val="Raw_Mtl_Prep"/>
      <sheetName val="HISTORY_"/>
      <sheetName val="Fidelity_Option"/>
      <sheetName val="PAY_REGISTER~Input_Values"/>
      <sheetName val="CD_FMA"/>
      <sheetName val="EFF_&amp;_HRS"/>
      <sheetName val="0_09"/>
      <sheetName val="Note16-1_(2)"/>
      <sheetName val="Note17-1_"/>
      <sheetName val="Note3_0-2"/>
      <sheetName val="Note3_0-1"/>
      <sheetName val="Note3_1-1"/>
      <sheetName val="Note3_1-2"/>
      <sheetName val="Note3_1-3"/>
      <sheetName val="Note3_1-5"/>
      <sheetName val="Note3_3-1_"/>
      <sheetName val="Note3_3-2"/>
      <sheetName val="Note3_3-3"/>
      <sheetName val="Note3_3-4"/>
      <sheetName val="Note3_3-5"/>
      <sheetName val="Note_37"/>
      <sheetName val="Ag_Sector_P&amp;L_01F"/>
      <sheetName val="1_预设值"/>
      <sheetName val="BS_Assets"/>
      <sheetName val="SERV__COMEDOR"/>
      <sheetName val="OrgEstSum(not_used)"/>
      <sheetName val="应收楼款账龄分析清单_"/>
      <sheetName val="8_adminexp_by_nature"/>
      <sheetName val="M1_1_Cash_at_Bank"/>
      <sheetName val="M1__Lead_sheet"/>
      <sheetName val="M1_2_Time_Deposit"/>
      <sheetName val="MP2006_data"/>
      <sheetName val="Company_Info"/>
      <sheetName val="Elim_(novated)_-#H"/>
      <sheetName val="Deal_CF"/>
      <sheetName val="MN_T_B_"/>
      <sheetName val="Cash_bal_Mar"/>
      <sheetName val="Com_Trial_Bal"/>
      <sheetName val="EXCHANGE_RATE_PROFIT_AND_LOSS"/>
      <sheetName val="Sensitivity_analysis"/>
      <sheetName val="Assumptions_&amp;_Returns"/>
      <sheetName val="所得税测算表_(2)"/>
      <sheetName val="Labor_cost"/>
      <sheetName val="By_Client_-_NPL_Purchase"/>
      <sheetName val="2_科目体系费用汇总表"/>
      <sheetName val="1_组织架构"/>
      <sheetName val="7_-_ORDER_ENTRIES"/>
      <sheetName val="8_-_BACKLOG"/>
      <sheetName val="9_-_SALES_BY_ENTITY"/>
      <sheetName val="10_-_SALES_BY_BA-SUMMARY"/>
      <sheetName val="11_-_SALES_BY_BA-FC"/>
      <sheetName val="12_-_SALES_BY_BA-CB"/>
      <sheetName val="13_-_SALES_BY_BA-FM"/>
      <sheetName val="14_-_BSA"/>
      <sheetName val="19_-_BIN"/>
      <sheetName val="-&gt;_EDV_Budget"/>
      <sheetName val="应收帐款_AR_"/>
      <sheetName val="Bank_Debt"/>
      <sheetName val="DEF_REV"/>
      <sheetName val="VAS_TB"/>
      <sheetName val="Mar_Begining_Balance"/>
      <sheetName val="Credit_debit_analysis"/>
      <sheetName val="Changes_in_vendor_master_file"/>
      <sheetName val="Transaction_group"/>
      <sheetName val="Transaction_type"/>
      <sheetName val="Income_Statement_Input"/>
      <sheetName val="Stock_Chart"/>
      <sheetName val="TAB_CA"/>
      <sheetName val="To_tied_2001_opening_RE"/>
      <sheetName val="Pick_Lists"/>
      <sheetName val="2_1_收入"/>
      <sheetName val="2_2营业成本"/>
      <sheetName val="1_10_长期应收款"/>
      <sheetName val="1_35应付债券"/>
      <sheetName val="1_22_短期借款"/>
      <sheetName val="1_11_发放贷款及垫款_"/>
      <sheetName val="1_20__长期待摊费用"/>
      <sheetName val="2_3_预收账款_"/>
      <sheetName val="2_5_应付职工薪酬"/>
      <sheetName val="1_6_应收股利"/>
      <sheetName val="1_18_开发支出_"/>
      <sheetName val="1_21_递延所得税资产&amp;负债"/>
      <sheetName val="3_1_应交税费"/>
      <sheetName val="1_1_短期借款"/>
      <sheetName val="1_4_其他流动负债"/>
      <sheetName val="4_6_吸收存款及同业存放"/>
      <sheetName val="2_1_应付票据"/>
      <sheetName val="2_6_其他应付款"/>
      <sheetName val="4_5_一年内到期的非流动负债"/>
      <sheetName val="1_3_应付债券"/>
      <sheetName val="4_1_预计负债"/>
      <sheetName val="4_4_其他非流动负债"/>
      <sheetName val="5_3_资本公积"/>
      <sheetName val="5_7_未分配利润"/>
      <sheetName val="5_8_少数股东权益"/>
      <sheetName val="1_43_应收利息"/>
      <sheetName val="5_1_股本"/>
      <sheetName val="Cover_&amp;_setup"/>
      <sheetName val="Invoice_Template"/>
      <sheetName val="Source_Gr_"/>
      <sheetName val="COSTOMAT_XLS"/>
      <sheetName val="2c_Sales_analysis_by_region-ok"/>
      <sheetName val="管理费用各月比较_"/>
      <sheetName val="Total_Europe_Calc__hours"/>
      <sheetName val="Total_Europe_1"/>
      <sheetName val="MTO_REV_2(ARMOR)"/>
      <sheetName val="CRI_-CR(HK)_unreal"/>
      <sheetName val="Flash_Data"/>
      <sheetName val="Sales_overheads"/>
      <sheetName val="Supply_chain_NF"/>
      <sheetName val="R&amp;D_and_TS"/>
      <sheetName val="A&amp;F_and_IT"/>
      <sheetName val="Factory_overheads"/>
      <sheetName val="A3_3_抗体中心"/>
      <sheetName val="Audited_BS-含关联方调整"/>
      <sheetName val="Semi-An_CF"/>
      <sheetName val="Macro_Summary"/>
      <sheetName val="1_1"/>
      <sheetName val="AIS_(Coating)"/>
      <sheetName val="AIS_(Tin)"/>
      <sheetName val="AIS-Forecast_(Coating)"/>
      <sheetName val="AIS-Forecast_(Tin)"/>
      <sheetName val="Trun-Over_RPTI"/>
      <sheetName val="Detailed_TB"/>
      <sheetName val="Client_Code"/>
      <sheetName val="Project_Code"/>
      <sheetName val="C3W_Summary"/>
      <sheetName val="Relationship_Analysis(1)"/>
      <sheetName val="FN Links"/>
      <sheetName val="O5 Lead"/>
      <sheetName val="Sheet1 (11)"/>
      <sheetName val="Sheet2203"/>
      <sheetName val="本期合并抵消分录"/>
      <sheetName val="附ADDR"/>
      <sheetName val="附Price List "/>
      <sheetName val="Finsum-NAS"/>
      <sheetName val="NAS-BS"/>
      <sheetName val="OpRev"/>
      <sheetName val="Taxation"/>
      <sheetName val="FinAsmp"/>
      <sheetName val="Price"/>
      <sheetName val="GenAsmp"/>
      <sheetName val="CpEx"/>
      <sheetName val="N27-1-短期借款"/>
      <sheetName val="其他应付款科目余额2005_12_31"/>
      <sheetName val="其它销售成本_A4"/>
      <sheetName val="Marco"/>
      <sheetName val="Augusta"/>
      <sheetName val="Dalton"/>
      <sheetName val="A1 - Income Statement"/>
      <sheetName val="尼泊尔嘎江-完工验收质保期11月过"/>
      <sheetName val="尼泊尔配网"/>
      <sheetName val="尼泊尔奇利米翠素里"/>
      <sheetName val="尼泊尔奇利米"/>
      <sheetName val="尼泊尔翠素里"/>
      <sheetName val="尼泊尔加德满都"/>
      <sheetName val="尼泊尔乌迪普"/>
      <sheetName val="埃塞俄比亚"/>
      <sheetName val="南非项目"/>
      <sheetName val="柬埔寨吴哥"/>
      <sheetName val="塔吉克项目"/>
      <sheetName val="老挝"/>
      <sheetName val="格但斯克项目"/>
      <sheetName val="波兰普拉格"/>
      <sheetName val="印度古德博"/>
      <sheetName val="DSR TOTAL"/>
      <sheetName val="P02YR01"/>
      <sheetName val="P02YR02"/>
      <sheetName val="存货汇总表10"/>
      <sheetName val="测试程序"/>
      <sheetName val="PL Buildup"/>
      <sheetName val="列表清单"/>
      <sheetName val="劳务费"/>
      <sheetName val="折旧"/>
      <sheetName val="工资"/>
      <sheetName val="福利费"/>
      <sheetName val="水电费"/>
      <sheetName val="办公费"/>
      <sheetName val="业务招待费"/>
      <sheetName val="差"/>
      <sheetName val="机"/>
      <sheetName val="劳保"/>
      <sheetName val="通迅费"/>
      <sheetName val="修"/>
      <sheetName val="适应症-for分摊"/>
      <sheetName val="合同进度填写-全(剔不涉及金额"/>
      <sheetName val="应收票据(关联方)(5)"/>
      <sheetName val="Actuals"/>
      <sheetName val="For 关联方披露-AR及合同资产"/>
      <sheetName val="内部销售"/>
      <sheetName val="200510内部往来"/>
      <sheetName val="O200_递延所得税资产或负债"/>
      <sheetName val="O_300VAT_20241231_子公司"/>
      <sheetName val="O_400其他税种_2024_子公司"/>
      <sheetName val="O_500 IIT"/>
      <sheetName val="O_410税金及附加"/>
      <sheetName val="O_100CIT Reco_诺尔康 "/>
      <sheetName val="O_300VAT_20241231_诺尔康"/>
      <sheetName val="O_400其他税种_20241231_诺尔康"/>
      <sheetName val="O_110所得税费用BKD"/>
      <sheetName val="E2_201_9+6银行"/>
      <sheetName val="Structure Sensitivity"/>
      <sheetName val="Old"/>
      <sheetName val="Operating Assumptions"/>
      <sheetName val="Consolidated"/>
      <sheetName val="CH Qs Form"/>
      <sheetName val="System"/>
      <sheetName val="列表"/>
    </sheetNames>
    <sheetDataSet>
      <sheetData sheetId="0">
        <row r="3">
          <cell r="B3" t="str">
            <v>Q1</v>
          </cell>
          <cell r="C3" t="str">
            <v>Q2</v>
          </cell>
          <cell r="D3" t="str">
            <v>Q3</v>
          </cell>
          <cell r="E3" t="str">
            <v>Q4</v>
          </cell>
          <cell r="F3" t="str">
            <v>Q5</v>
          </cell>
          <cell r="G3" t="str">
            <v>Q6</v>
          </cell>
          <cell r="H3" t="str">
            <v>Q7</v>
          </cell>
          <cell r="I3" t="str">
            <v>Q8</v>
          </cell>
          <cell r="J3" t="str">
            <v>Q9</v>
          </cell>
          <cell r="K3" t="str">
            <v>Q10</v>
          </cell>
          <cell r="L3" t="str">
            <v>Q11</v>
          </cell>
          <cell r="M3" t="str">
            <v>Q12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sheetData sheetId="335"/>
      <sheetData sheetId="336"/>
      <sheetData sheetId="337"/>
      <sheetData sheetId="338"/>
      <sheetData sheetId="339"/>
      <sheetData sheetId="340"/>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sheetData sheetId="984"/>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sheetData sheetId="6066" refreshError="1"/>
      <sheetData sheetId="6067" refreshError="1"/>
      <sheetData sheetId="6068" refreshError="1"/>
      <sheetData sheetId="6069" refreshError="1"/>
      <sheetData sheetId="6070" refreshError="1"/>
      <sheetData sheetId="6071" refreshError="1"/>
      <sheetData sheetId="6072"/>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sheetData sheetId="6131" refreshError="1"/>
      <sheetData sheetId="6132"/>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refreshError="1"/>
      <sheetData sheetId="7008" refreshError="1"/>
      <sheetData sheetId="7009" refreshError="1"/>
      <sheetData sheetId="7010"/>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sheetData sheetId="7024"/>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sheetData sheetId="7071"/>
      <sheetData sheetId="7072"/>
      <sheetData sheetId="7073"/>
      <sheetData sheetId="7074"/>
      <sheetData sheetId="7075"/>
      <sheetData sheetId="7076"/>
      <sheetData sheetId="7077"/>
      <sheetData sheetId="7078"/>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Compar"/>
      <sheetName val="ProdIntro"/>
      <sheetName val="Xilinx vs Altera"/>
      <sheetName val="AP Recap"/>
      <sheetName val="400吨现存量"/>
      <sheetName val="_600吨现存量"/>
      <sheetName val="U120"/>
      <sheetName val="Summary"/>
      <sheetName val="Ã«ÀûÂÊ·ÖÎö±í"/>
      <sheetName val="sheet1"/>
      <sheetName val="Data"/>
      <sheetName val="D4RP"/>
      <sheetName val="LinkData"/>
      <sheetName val="上报资产负债表"/>
      <sheetName val="上报损益表"/>
      <sheetName val="补充表"/>
      <sheetName val="TOD Poplulation_Billing"/>
      <sheetName val="TOD Population_Non-Billing"/>
      <sheetName val="TOD Population_Billing"/>
      <sheetName val="Lease AP 2008"/>
      <sheetName val="以前年度损益调整"/>
      <sheetName val="U1-OSP-04-01 客户清单"/>
      <sheetName val="Seoul"/>
      <sheetName val="F210-存货清单盘点日"/>
      <sheetName val="OA#6-2&amp;RA#5"/>
      <sheetName val="_http___xinc_Documents_and_Se_2"/>
      <sheetName val="Translation"/>
      <sheetName val="1.00 - Summary at Acquisition"/>
      <sheetName val="(i) Fixed assets-PBC"/>
      <sheetName val="G100-本部"/>
      <sheetName val="G100-非本部"/>
      <sheetName val="G200"/>
      <sheetName val="G400"/>
      <sheetName val="6001-TB 2021"/>
      <sheetName val="6001-TB 2020"/>
      <sheetName val="GL"/>
      <sheetName val="U130"/>
      <sheetName val="sch10-rm2"/>
      <sheetName val="sch6-rm"/>
      <sheetName val="披露表(标准)"/>
      <sheetName val="关联交易-存款"/>
      <sheetName val="140101-1451by category"/>
      <sheetName val="T  B"/>
      <sheetName val="OE AC#41111"/>
      <sheetName val="Trans"/>
      <sheetName val="For AFS"/>
      <sheetName val="Customer churn"/>
      <sheetName val="Transaction rollforward"/>
      <sheetName val="Aging analysis"/>
      <sheetName val="Credit limit analysis"/>
      <sheetName val="OI-Fcst"/>
      <sheetName val="ARP-U501"/>
      <sheetName val="平衡测试"/>
      <sheetName val="F1"/>
      <sheetName val="汇总"/>
      <sheetName val="A3"/>
      <sheetName val="Comp equip"/>
      <sheetName val="Mach &amp; equip"/>
      <sheetName val="热力"/>
      <sheetName val="CBUGL"/>
      <sheetName val="NBCF"/>
      <sheetName val="INVDAYS"/>
      <sheetName val="UFPrn20021113090847"/>
      <sheetName val="TOTAL"/>
      <sheetName val="Support"/>
      <sheetName val="XRef Table"/>
      <sheetName val="TB"/>
      <sheetName val="STATPARA"/>
      <sheetName val="conWP1"/>
      <sheetName val="_http___xinc_Documents_and_Se_3"/>
      <sheetName val="_http___xinc_Documents_and_Se_4"/>
      <sheetName val="_http___xinc_Documents_and_Se_5"/>
      <sheetName val="_http___xinc_Documents_and_Se_6"/>
      <sheetName val="_http___xinc_Documents_and_Se_7"/>
      <sheetName val="TOOLS"/>
      <sheetName val="U100"/>
      <sheetName val="敏感性"/>
      <sheetName val="101200"/>
      <sheetName val="ARP"/>
      <sheetName val="#REF"/>
      <sheetName val="Non-Statistical Sampling"/>
      <sheetName val="XREF"/>
      <sheetName val="GL-R"/>
      <sheetName val="YS02-02"/>
      <sheetName val="enums"/>
      <sheetName val="eqpmad2"/>
      <sheetName val="inventory2002"/>
      <sheetName val="PPV2002"/>
      <sheetName val="CCTL"/>
      <sheetName val="WIP"/>
      <sheetName val="Toolbox"/>
      <sheetName val="725 BS"/>
      <sheetName val="BJ Expenses"/>
      <sheetName val="Sample Rev"/>
      <sheetName val="Sample IS"/>
      <sheetName val="Probability View"/>
      <sheetName val="FY04ExpDetail"/>
      <sheetName val="4-货币资金-现金"/>
      <sheetName val="P&amp;L"/>
      <sheetName val="BS"/>
      <sheetName val="FA lead"/>
      <sheetName val="Sheet3"/>
      <sheetName val="Collateral"/>
      <sheetName val="B"/>
      <sheetName val="Invested Capital"/>
      <sheetName val="流资汇总"/>
      <sheetName val="Config"/>
      <sheetName val="DEPRECIATION"/>
      <sheetName val="FAB별"/>
      <sheetName val="BS 表"/>
      <sheetName val="C"/>
      <sheetName val="报表格式"/>
      <sheetName val="6621"/>
      <sheetName val="Sheet2"/>
      <sheetName val="原报调整分录"/>
      <sheetName val="AFEMAI"/>
      <sheetName val="KEY"/>
      <sheetName val="Chart of acct "/>
      <sheetName val="IS-客户直接转换"/>
      <sheetName val="企业表一"/>
      <sheetName val="M-5C"/>
      <sheetName val="M-5A"/>
      <sheetName val="NKCR_comm_scheme"/>
      <sheetName val="NKCR_appliedrates"/>
      <sheetName val="KCR_comm_scheme"/>
      <sheetName val="Settings"/>
      <sheetName val="A"/>
      <sheetName val="Account"/>
      <sheetName val="Journal"/>
      <sheetName val="Uexp_Lead"/>
      <sheetName val="PNL"/>
      <sheetName val="无形资产清单 "/>
      <sheetName val="本部"/>
      <sheetName val="历次融资情况"/>
      <sheetName val="12月底个人往来余额表"/>
      <sheetName val="Console TB"/>
      <sheetName val="Vendor Data"/>
      <sheetName val="sumdepn01"/>
      <sheetName val="Consol"/>
      <sheetName val="µ|²vªí"/>
      <sheetName val="IRR &amp; NPV"/>
      <sheetName val="Mov from 2001 to 2003"/>
      <sheetName val="JAN405"/>
      <sheetName val="US Bal_Sheet"/>
      <sheetName val="FA Roll to GL (p.2)"/>
      <sheetName val="Lead (p.1)"/>
      <sheetName val="dm"/>
      <sheetName val="Mapping"/>
      <sheetName val="K1_Lead"/>
      <sheetName val="P100"/>
      <sheetName val="7 (2)"/>
      <sheetName val="10K4"/>
      <sheetName val="18.存货"/>
      <sheetName val="G2"/>
      <sheetName val="_http___xinc_Documents_and_Se_8"/>
      <sheetName val="_http___xinc_Documents_and_Se_9"/>
      <sheetName val="_http___xinc_Documents_and_S_10"/>
      <sheetName val="Net REVENUE"/>
      <sheetName val="VEHMAINT"/>
      <sheetName val="VEHDAMAG"/>
      <sheetName val="OTHERVEH"/>
      <sheetName val="GASOLINE"/>
      <sheetName val="PL&amp;PD"/>
      <sheetName val="DEPRECIA"/>
      <sheetName val="INTEREST"/>
      <sheetName val="VEHSALWH"/>
      <sheetName val="VEHSALRE"/>
      <sheetName val="MANUCRED"/>
      <sheetName val="TRAWAGES"/>
      <sheetName val="INCENTIV"/>
      <sheetName val="WAGES"/>
      <sheetName val="OVERWAGE"/>
      <sheetName val="BENEFITS"/>
      <sheetName val="CONCESS"/>
      <sheetName val="COMMISSI"/>
      <sheetName val="RESERVAT"/>
      <sheetName val="CUSTOMER"/>
      <sheetName val="FACILITY"/>
      <sheetName val="SERVIVEH"/>
      <sheetName val="COMPUTER"/>
      <sheetName val="ADVSYST"/>
      <sheetName val="COUADMIN"/>
      <sheetName val="ADMINFLD"/>
      <sheetName val="ADVCIT&amp;D"/>
      <sheetName val="EURSALES"/>
      <sheetName val="ADMINREB"/>
      <sheetName val="97BGT6"/>
      <sheetName val="勤務ｼﾌﾄﾍﾞｰｽ表 下期"/>
      <sheetName val="車会集約"/>
      <sheetName val="楼宇价目表A10"/>
      <sheetName val="楼宇价目表A9"/>
      <sheetName val="楼宇价目表B1"/>
      <sheetName val="楼宇价目表B2"/>
      <sheetName val="_001年其他业务利润"/>
      <sheetName val="_002年其他业务利润"/>
      <sheetName val="_003年其他业务利润"/>
      <sheetName val="_2U03营业费用"/>
      <sheetName val="2001年营业费用"/>
      <sheetName val="PAX &amp; SEATS %"/>
      <sheetName val="CKS-KHH"/>
      <sheetName val="二厂单位成本结构图"/>
      <sheetName val="销售"/>
      <sheetName val="成品科"/>
      <sheetName val="U102"/>
      <sheetName val="Narrative"/>
      <sheetName val="Variance"/>
      <sheetName val="Database"/>
      <sheetName val="Source"/>
      <sheetName val="Lguide"/>
      <sheetName val="N1_AT"/>
      <sheetName val="C2_WKSP"/>
      <sheetName val="A1_INP"/>
      <sheetName val="A2_TINPM"/>
      <sheetName val="A3_TINPP"/>
      <sheetName val="act_96"/>
      <sheetName val="表三甲"/>
      <sheetName val="A300_主表"/>
      <sheetName val="Chart of Account"/>
      <sheetName val="2002-H300"/>
      <sheetName val="2001-H300"/>
      <sheetName val="L310-Adjustment for R&amp;D cost"/>
      <sheetName val="Lead"/>
      <sheetName val="FX"/>
      <sheetName val="1现金预算表"/>
      <sheetName val="选择报表"/>
      <sheetName val="move"/>
      <sheetName val="资产负债表"/>
      <sheetName val="31其他负债"/>
      <sheetName val="E1020"/>
      <sheetName val="LBO"/>
      <sheetName val="Main"/>
      <sheetName val="K100"/>
      <sheetName val="A500"/>
      <sheetName val="A300"/>
      <sheetName val="各项收入"/>
      <sheetName val="Trial Balance"/>
      <sheetName val="Hotel"/>
      <sheetName val="租赁收入(80105)Breakdown"/>
      <sheetName val="抽样测试"/>
      <sheetName val="Final sample listing"/>
      <sheetName val="附表6"/>
      <sheetName val="Movement"/>
      <sheetName val="Breakdown RMB"/>
      <sheetName val="科目体系"/>
      <sheetName val="A6620 Detail"/>
      <sheetName val="2008"/>
      <sheetName val="DEC Bank"/>
      <sheetName val="gares 02 BON FICHIER "/>
      <sheetName val="Depr.Exp. Testing (5)"/>
      <sheetName val="E-Client Information"/>
      <sheetName val="DAILY"/>
      <sheetName val="2. PPR REVENUE APR10"/>
      <sheetName val="I-Summary"/>
      <sheetName val="Dimensions"/>
      <sheetName val="PL"/>
      <sheetName val="XL4Poppy"/>
      <sheetName val="科目表"/>
      <sheetName val="2_假设"/>
      <sheetName val="Detail Loan Move. &amp; Listing"/>
      <sheetName val="完"/>
      <sheetName val="会计科目对照表"/>
      <sheetName val="目录"/>
      <sheetName val="订单"/>
      <sheetName val="订单418"/>
      <sheetName val="CRA"/>
      <sheetName val="Trading"/>
      <sheetName val="0406_Grade_data"/>
      <sheetName val="0412_Grade_data"/>
      <sheetName val="Sheet1 (2)"/>
      <sheetName val="M_5A"/>
      <sheetName val="M_5C"/>
      <sheetName val="____"/>
      <sheetName val="hiddenSheet1"/>
      <sheetName val="101"/>
      <sheetName val="G.1R-Shou COP Gf"/>
      <sheetName val="财务成本"/>
      <sheetName val="试算平衡表"/>
      <sheetName val="Validation"/>
      <sheetName val="_"/>
      <sheetName val="工时统计"/>
      <sheetName val="PRC 15"/>
      <sheetName val="退休基本情况说明"/>
      <sheetName val="P504_3.Expected life"/>
      <sheetName val="27-7"/>
      <sheetName val="存货"/>
      <sheetName val="长期股权投资"/>
      <sheetName val="关联方及关联交易"/>
      <sheetName val="营业收入"/>
      <sheetName val="4044"/>
      <sheetName val="PRC-Adjusted"/>
      <sheetName val="E101"/>
      <sheetName val="g101"/>
      <sheetName val="ARP-U201"/>
      <sheetName val="総合B"/>
      <sheetName val="AA#11"/>
      <sheetName val="DLDB10"/>
      <sheetName val="Customize Your Loan Manager"/>
      <sheetName val="Confirmation"/>
      <sheetName val="AGENT"/>
      <sheetName val="Revenue"/>
      <sheetName val="902"/>
      <sheetName val="土建表三乙"/>
      <sheetName val="original"/>
      <sheetName val="Control"/>
      <sheetName val="Loop"/>
      <sheetName val="GRAFICOCT"/>
      <sheetName val="Links"/>
      <sheetName val="表三"/>
      <sheetName val="M3 M4"/>
      <sheetName val="M3 M4 (2)"/>
      <sheetName val="所属企业备案表"/>
      <sheetName val="0、钩稽关系审核表"/>
      <sheetName val="直 接 法 "/>
      <sheetName val="间 接 法 "/>
      <sheetName val="Raw materials"/>
      <sheetName val="INDEX"/>
      <sheetName val="Projections"/>
      <sheetName val="Returns Analysis"/>
      <sheetName val="Cash Balance (Computed)"/>
      <sheetName val="Cap_EN"/>
      <sheetName val="OLDMAP"/>
      <sheetName val="01ADDL_F_A_"/>
      <sheetName val="Cover"/>
      <sheetName val="A3 &amp; U 09-01"/>
      <sheetName val="Sintesi"/>
      <sheetName val="L210"/>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1待摊"/>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1土地"/>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5502"/>
      <sheetName val="Xilinx_vs_Altera"/>
      <sheetName val="AP_Recap"/>
      <sheetName val="TOD_Poplulation_Billing"/>
      <sheetName val="TOD_Population_Non-Billing"/>
      <sheetName val="TOD_Population_Billing"/>
      <sheetName val="U1-OSP-04-01_客户清单"/>
      <sheetName val="Lease_AP_2008"/>
      <sheetName val="1_00_-_Summary_at_Acquisition"/>
      <sheetName val="(i)_Fixed_assets-PBC"/>
      <sheetName val=" U140-SalesTOT"/>
      <sheetName val="VCC 11110-461"/>
      <sheetName val="应付票据1NotesPayable1"/>
      <sheetName val="ICP主营业务成本ICP_CoreExpense"/>
      <sheetName val="ICP其他业务成本ICP_OtherExpense"/>
      <sheetName val="ICP主营业务收入ICP CoreRevenue"/>
      <sheetName val="ICP递延收益ICP DeferredIncome"/>
      <sheetName val="ICP股利分配ICP DevidendDeclared"/>
      <sheetName val="ICP费用ICP Expense"/>
      <sheetName val="固定资产FixedAssets"/>
      <sheetName val="ICP现金流量表ICP_CF"/>
      <sheetName val="ICP长期借款ICPLongtermBorrowings"/>
      <sheetName val="ICP其他应付款ICP OtherPayable"/>
      <sheetName val="ICP其他应收款ICP_OtherReceivables"/>
      <sheetName val="ICP投资收益ICP InvestmentIncome"/>
      <sheetName val="ICP应付利息ICP InterestPayable"/>
      <sheetName val="ICP应收利息ICP_InterestReceivable"/>
      <sheetName val="ICP长期应付款ICP LongtermPayable"/>
      <sheetName val="ICP长期应收款ICPLongtermReceivables"/>
      <sheetName val="短期借款ShorttermLoans"/>
      <sheetName val="ICP其他流动资产ICP_OtherCurrentAssets"/>
      <sheetName val="ICP其他流动负债ICP OtherCurrentLiab"/>
      <sheetName val="ICP其他非流动资产ICPOtherNoncurAsets"/>
      <sheetName val="ICP其他非流动负债ICPOtherNoncurrLiab"/>
      <sheetName val="ICP其他业务收入ICP OtherRevenue"/>
      <sheetName val="ICP预付款项ICP_Prepayment"/>
      <sheetName val="ICP短期借款ICP ShorttermLoans"/>
      <sheetName val="试算BS"/>
      <sheetName val="试算PL"/>
      <sheetName val="AcctCode"/>
      <sheetName val="Sheet4"/>
      <sheetName val="U300"/>
      <sheetName val="披露表(上市)"/>
      <sheetName val="Budget"/>
      <sheetName val="现金流量表（月报）"/>
      <sheetName val="Basic Info"/>
      <sheetName val="c_data"/>
      <sheetName val="co_code"/>
      <sheetName val="Register"/>
      <sheetName val="statement 1998"/>
      <sheetName val="K31X"/>
      <sheetName val="XVIa(i) - average price (2)"/>
      <sheetName val="153541"/>
      <sheetName val="PKH"/>
      <sheetName val="cov"/>
      <sheetName val="Sch11"/>
      <sheetName val="Input"/>
      <sheetName val="安全服务"/>
      <sheetName val="C101"/>
      <sheetName val="Heads"/>
      <sheetName val="Dati"/>
      <sheetName val="6001-TB_2021"/>
      <sheetName val="6001-TB_2020"/>
      <sheetName val="140101-1451by_category"/>
      <sheetName val="T__B"/>
      <sheetName val="OE_AC#41111"/>
      <sheetName val="For_AFS"/>
      <sheetName val="Customer_churn"/>
      <sheetName val="Transaction_rollforward"/>
      <sheetName val="Aging_analysis"/>
      <sheetName val="Credit_limit_analysis"/>
      <sheetName val="Comp_equip"/>
      <sheetName val="Mach_&amp;_equip"/>
      <sheetName val="XRef_Table"/>
      <sheetName val="Non-Statistical_Sampling"/>
      <sheetName val="725_BS"/>
      <sheetName val="BJ_Expenses"/>
      <sheetName val="Sample_Rev"/>
      <sheetName val="Sample_IS"/>
      <sheetName val="Probability_View"/>
      <sheetName val="FA_lead"/>
      <sheetName val="Invested_Capital"/>
      <sheetName val="BS_表"/>
      <sheetName val="Chart_of_acct_"/>
      <sheetName val="无形资产清单_"/>
      <sheetName val="Console_TB"/>
      <sheetName val="Vendor_Data"/>
      <sheetName val="IRR_&amp;_NPV"/>
      <sheetName val="Mov_from_2001_to_2003"/>
      <sheetName val="US_Bal_Sheet"/>
      <sheetName val="FA_Roll_to_GL_(p_2)"/>
      <sheetName val="Lead_(p_1)"/>
      <sheetName val="7_(2)"/>
      <sheetName val="18_存货"/>
      <sheetName val="Net_REVENUE"/>
      <sheetName val="勤務ｼﾌﾄﾍﾞｰｽ表_下期"/>
      <sheetName val="PAX_&amp;_SEATS_%"/>
      <sheetName val="Chart_of_Account"/>
      <sheetName val="L310-Adjustment_for_R&amp;D_cost"/>
      <sheetName val="中行汇率表"/>
      <sheetName val="A300_BS&amp;PL_21"/>
      <sheetName val="现 金 流 量 表"/>
      <sheetName val="Lease AP 2009"/>
      <sheetName val="Lease AP 2009 ITALY"/>
      <sheetName val="EDR Feb-09"/>
      <sheetName val="Entry 1412 - 2102"/>
      <sheetName val="PO upload sheet"/>
      <sheetName val="Italy Lease 2009"/>
      <sheetName val="2009"/>
      <sheetName val="REFERENCE FILE"/>
      <sheetName val="Gross Margin"/>
      <sheetName val="for ey reviewer 销售费用"/>
      <sheetName val="for ey reviewer 制造费用"/>
      <sheetName val="U1-OSP-03-02"/>
      <sheetName val="Poland £"/>
      <sheetName val="P&amp;LALL"/>
      <sheetName val="1015"/>
      <sheetName val="M Schedules"/>
      <sheetName val="Review pts"/>
      <sheetName val="W"/>
      <sheetName val="DJ"/>
      <sheetName val="报告披露_FIE未执行新金融工具准则、新收入准则和新租赁准则"/>
      <sheetName val="报表披露_企业会计制度"/>
      <sheetName val="其他应付款"/>
      <sheetName val="QQ"/>
      <sheetName val="実績SK"/>
      <sheetName val="六纺"/>
      <sheetName val="Template"/>
      <sheetName val="Depts LOOKUP"/>
      <sheetName val="B331"/>
      <sheetName val="表21 净利润调节表"/>
      <sheetName val="lookups"/>
      <sheetName val="matrix"/>
      <sheetName val="2007.12折旧差异"/>
      <sheetName val="Foundation"/>
      <sheetName val="材料明细"/>
      <sheetName val="7 - ARO Assumptions"/>
      <sheetName val="主要规划指标"/>
      <sheetName val="6balancesheet2000"/>
      <sheetName val="CBS - App1"/>
      <sheetName val="Q1001"/>
      <sheetName val="E100"/>
      <sheetName val="N100"/>
      <sheetName val="Pls do not delete"/>
      <sheetName val="LEDGER"/>
      <sheetName val="Loc Master"/>
      <sheetName val="Input-Act-Adj"/>
      <sheetName val="Input-Bud"/>
      <sheetName val="Input-Act"/>
      <sheetName val="Input-PY"/>
      <sheetName val="P&amp;L Report-S"/>
      <sheetName val="P&amp;L Report-M"/>
      <sheetName val="BOX SUM"/>
      <sheetName val="FIN GOOD"/>
      <sheetName val="A5_灿星"/>
      <sheetName val=" PPE"/>
      <sheetName val="K701"/>
      <sheetName val="CON MR2K AL ck"/>
      <sheetName val="Veh Info"/>
      <sheetName val="Currency Codes"/>
      <sheetName val="1. Scoping"/>
      <sheetName val="2. Expectation"/>
      <sheetName val="3. Variance threshold"/>
      <sheetName val="PopCache_Sheet1"/>
      <sheetName val="INPUT rates"/>
      <sheetName val="COMPANY"/>
      <sheetName val="회사정보"/>
      <sheetName val="이자율"/>
      <sheetName val="附表32 - 无形资产明细表"/>
      <sheetName val="GB11"/>
      <sheetName val="master"/>
      <sheetName val="TB Link"/>
      <sheetName val="SCTB"/>
      <sheetName val="#REF!"/>
      <sheetName val="A3-CLA"/>
      <sheetName val="07-6068"/>
      <sheetName val="40-2701"/>
      <sheetName val="营业外收入Dy"/>
      <sheetName val="N63_在其他主体中的权益-子（孙）公司"/>
      <sheetName val="N67_重要联营企业的主要财务信息"/>
      <sheetName val="N72_关联方往来（应收）"/>
      <sheetName val="Curve"/>
      <sheetName val="Calibration to Swaptions"/>
      <sheetName val="Swaption Data"/>
      <sheetName val="使用说明"/>
      <sheetName val="Leadsheet Template"/>
      <sheetName val="Input Sheet"/>
      <sheetName val="Virginia"/>
      <sheetName val="分录取数说明"/>
      <sheetName val="SignificantAcctsTemplate"/>
      <sheetName val="Configure"/>
      <sheetName val="D"/>
      <sheetName val="汇总自动调账龄"/>
      <sheetName val="Sheet8"/>
      <sheetName val="Criteria"/>
      <sheetName val="VA"/>
      <sheetName val="U110"/>
      <sheetName val="其他应收款-合并值"/>
      <sheetName val="1. Template"/>
      <sheetName val="E Lead"/>
      <sheetName val="PTC"/>
      <sheetName val="ARP_U201"/>
      <sheetName val="表头"/>
      <sheetName val="Admin"/>
      <sheetName val="Rate"/>
      <sheetName val="currency"/>
      <sheetName val="参数"/>
      <sheetName val="&lt;FF&gt; Tax Payable"/>
      <sheetName val="U324-Treaty ceding_船舶险"/>
      <sheetName val="M2"/>
      <sheetName val="M2_100_集团外"/>
      <sheetName val="REVALUATION"/>
      <sheetName val="JUly97"/>
      <sheetName val="SAL-2000"/>
      <sheetName val="当前明细账"/>
      <sheetName val="Client Data"/>
      <sheetName val="Production"/>
      <sheetName val="Daily net avail"/>
      <sheetName val="GRUPPO"/>
      <sheetName val="ELEN"/>
      <sheetName val="INTRACHECK"/>
      <sheetName val="BRL_package_2020"/>
      <sheetName val="O3"/>
      <sheetName val="Cover sheet"/>
      <sheetName val="P2"/>
      <sheetName val="A_Trial_Balance_mapping"/>
      <sheetName val="Revenue Trend New Prod_Update_i"/>
      <sheetName val="201810"/>
      <sheetName val="Office Improve"/>
      <sheetName val="Ex Diff"/>
      <sheetName val="ZLR1"/>
      <sheetName val="4035.4"/>
      <sheetName val="KSB1"/>
      <sheetName val="Intrep"/>
      <sheetName val="2001预提费用"/>
      <sheetName val="基础资产清单"/>
      <sheetName val="假设和输出"/>
      <sheetName val="IS Summary-96"/>
      <sheetName val="Namelist"/>
      <sheetName val="P1"/>
      <sheetName val="披露表(国资)"/>
      <sheetName val="真实性U120C"/>
      <sheetName val="Adf par resp"/>
      <sheetName val="Global"/>
      <sheetName val="ADJ"/>
      <sheetName val="科目列表"/>
      <sheetName val="Entity"/>
      <sheetName val="ICP"/>
      <sheetName val="安全性"/>
      <sheetName val="平衡类型"/>
      <sheetName val="凭证类型"/>
      <sheetName val="组"/>
      <sheetName val="Base Info"/>
      <sheetName val="For Report"/>
      <sheetName val="A300 and U"/>
      <sheetName val="A510 - SAD"/>
      <sheetName val="C - Cash"/>
      <sheetName val="E - AR"/>
      <sheetName val="F - Stock"/>
      <sheetName val="K - FA"/>
      <sheetName val="O - Tax pay"/>
      <sheetName val="P - Other pay"/>
      <sheetName val="U200 - Selling expenses"/>
      <sheetName val="14"/>
      <sheetName val="Detail Loan Move_ _ Listing"/>
      <sheetName val="#511BkRec"/>
      <sheetName val="#511-SEPT97"/>
      <sheetName val="#511-OCT97"/>
      <sheetName val="#511-NOV97"/>
      <sheetName val="#511-DEC97"/>
      <sheetName val="11-1"/>
      <sheetName val="I"/>
      <sheetName val="FF-21(a)"/>
      <sheetName val="Staff List"/>
      <sheetName val="FS"/>
      <sheetName val="毛利率分析表"/>
      <sheetName val="DEFLEET APR-05"/>
      <sheetName val="COA"/>
      <sheetName val="tf04"/>
      <sheetName val="PLALL"/>
      <sheetName val="F-5"/>
      <sheetName val="ADRESSES"/>
      <sheetName val="5 Analysis"/>
      <sheetName val="_0081231"/>
      <sheetName val="UFPrn20090225195104"/>
      <sheetName val="Tables"/>
      <sheetName val="综合成本分析01.01-0205"/>
      <sheetName val="A401"/>
      <sheetName val="Cash"/>
      <sheetName val="NewB Sheet"/>
      <sheetName val="P&amp;L Summary Page"/>
      <sheetName val="售楼明细"/>
      <sheetName val="Uexp_Lead-美国子公司"/>
      <sheetName val="汇总-美国子公司"/>
      <sheetName val="销售6.13"/>
      <sheetName val="H4000-05-01披露表(上市)"/>
      <sheetName val="Breakdown"/>
      <sheetName val="2004"/>
      <sheetName val="HB"/>
      <sheetName val="CF"/>
      <sheetName val="preBS"/>
      <sheetName val="preCF"/>
      <sheetName val="preIS"/>
      <sheetName val="preCE"/>
      <sheetName val="关联方"/>
      <sheetName val="263-B2 Business Segment BS 2005"/>
      <sheetName val="OT Hours"/>
      <sheetName val="UFPrn20220118134524"/>
      <sheetName val="EURMKTG"/>
      <sheetName val="12月发生额与余额表"/>
      <sheetName val="TOP10"/>
      <sheetName val="C_200银行余额调节表"/>
      <sheetName val="汇总底稿"/>
      <sheetName val="USPCL"/>
      <sheetName val="dklx"/>
      <sheetName val="BASE"/>
      <sheetName val="AR"/>
      <sheetName val="BR"/>
      <sheetName val="CA"/>
      <sheetName val="CO"/>
      <sheetName val="EIU"/>
      <sheetName val="Euro"/>
      <sheetName val="FI"/>
      <sheetName val="LEB"/>
      <sheetName val="MEX"/>
      <sheetName val="S&amp;P"/>
      <sheetName val="UK"/>
      <sheetName val="3. Other gains"/>
      <sheetName val="XLR_NoRangeSheet"/>
      <sheetName val="附表5-2"/>
      <sheetName val="科目余额表(原稿)"/>
      <sheetName val="adj10#-b"/>
      <sheetName val="基础信息"/>
      <sheetName val="科目余额表"/>
      <sheetName val="IR1598"/>
      <sheetName val="Cashbook"/>
      <sheetName val="AP018"/>
      <sheetName val="AP019"/>
      <sheetName val="AP020"/>
      <sheetName val="AP021"/>
      <sheetName val="AP022"/>
      <sheetName val="AP023"/>
      <sheetName val="AP026"/>
      <sheetName val="AP001_JiFeng"/>
      <sheetName val="AP010_KeXunBaoZhuang"/>
      <sheetName val="AP011_YiLi"/>
      <sheetName val="AP012_"/>
      <sheetName val="AP013_HuaLian"/>
      <sheetName val="AP015_Jinchang"/>
      <sheetName val="AP016"/>
      <sheetName val="AP017"/>
      <sheetName val="AP002_SanJi"/>
      <sheetName val="AP027"/>
      <sheetName val="AP003_QiDianMo"/>
      <sheetName val="AP004_FengZheng"/>
      <sheetName val="AP005_HanBuo"/>
      <sheetName val="AP006_SiYin"/>
      <sheetName val="AP007_DeLiTai"/>
      <sheetName val="AP008_ZhongYa"/>
      <sheetName val="AP009_YiDa"/>
      <sheetName val="AP9990"/>
      <sheetName val="AP9999"/>
      <sheetName val="계획"/>
      <sheetName val="索引"/>
      <sheetName val="UP1"/>
      <sheetName val="UP3"/>
      <sheetName val="List"/>
      <sheetName val="壓摸穿燈"/>
      <sheetName val="PSD-BICUTAN"/>
      <sheetName val="Category"/>
      <sheetName val="部门"/>
      <sheetName val="医院进销存"/>
      <sheetName val="一周期10片价格"/>
      <sheetName val="一周期6片价格"/>
      <sheetName val="2003年代表医院指标-一周期"/>
      <sheetName val="一周期IND价格"/>
      <sheetName val="Apr07"/>
      <sheetName val="Nebenrechnungen"/>
      <sheetName val="调16"/>
      <sheetName val="审计调整"/>
      <sheetName val="基础数据"/>
      <sheetName val="Payments"/>
      <sheetName val="科目名称库"/>
      <sheetName val="ex-rate"/>
      <sheetName val="POINTAGE (2)"/>
      <sheetName val="Timed Plan"/>
      <sheetName val="分产品销售收入、成本分析表"/>
      <sheetName val="Cles"/>
      <sheetName val="PROD."/>
      <sheetName val="调整说明"/>
      <sheetName val="Lessee Import new lease"/>
      <sheetName val="DPI"/>
      <sheetName val="OP Assets"/>
      <sheetName val="Par"/>
      <sheetName val="C3WB Revenue3 and Receivables"/>
      <sheetName val="Disclosure Summary"/>
      <sheetName val="Detail Test"/>
      <sheetName val="E1_100ARBreakdown"/>
      <sheetName val="E1_700贷项余额"/>
      <sheetName val="Invoice detail"/>
      <sheetName val="뒤차축소"/>
      <sheetName val="App24  working"/>
      <sheetName val="匯率"/>
      <sheetName val="Technology ID"/>
      <sheetName val="CRA-Detail"/>
      <sheetName val="八、关联方"/>
      <sheetName val="Scoping"/>
      <sheetName val="Loan Movement "/>
      <sheetName val="BS vs Rpt"/>
      <sheetName val="2012 BS with Rpt Jan-Apr"/>
      <sheetName val="Cashflow"/>
      <sheetName val="DIVIDEND LONG"/>
      <sheetName val="2012 IS with Rpt Jan-Apr (2)"/>
      <sheetName val="LdrPkg IS"/>
      <sheetName val="Library Procedures"/>
      <sheetName val="PM"/>
      <sheetName val="F100_RM"/>
      <sheetName val="F300_FG"/>
      <sheetName val="F200_WIP"/>
      <sheetName val="Sundries creditors"/>
      <sheetName val="Advance to staff"/>
      <sheetName val="试算资产负债表"/>
      <sheetName val="Cost-Tracking Detail"/>
      <sheetName val="新准则TB"/>
      <sheetName val="XBase"/>
      <sheetName val="INDICADORES"/>
      <sheetName val="MAR"/>
      <sheetName val="附注汇总"/>
      <sheetName val="报表目录"/>
      <sheetName val="H R"/>
      <sheetName val="graph1"/>
      <sheetName val="A300_"/>
      <sheetName val="FO-PastDue"/>
      <sheetName val="短期借款余额表"/>
      <sheetName val="资产评估结果分类汇总表 (2)"/>
      <sheetName val="新科目余额"/>
      <sheetName val="Menu"/>
      <sheetName val="TB's by Pak Code"/>
      <sheetName val="Sheet9"/>
      <sheetName val="固定资产卡片"/>
      <sheetName val="txfyb"/>
      <sheetName val="lrjsb"/>
      <sheetName val="zjfyb"/>
      <sheetName val="jcsjb"/>
      <sheetName val="zjsyb"/>
      <sheetName val="cbfyb"/>
      <sheetName val="ldzjb"/>
      <sheetName val="C1"/>
      <sheetName val="1st AP"/>
      <sheetName val="长待摊明细表"/>
      <sheetName val="BALANCE SHEET"/>
      <sheetName val="审计调整分录"/>
      <sheetName val="accode"/>
      <sheetName val="内销收人"/>
      <sheetName val="年初追溯"/>
      <sheetName val="2020.12.31"/>
      <sheetName val="Dashboard"/>
      <sheetName val="Exp"/>
      <sheetName val="T2S8M"/>
      <sheetName val="2-ReadResv"/>
      <sheetName val="1461（12.6）"/>
      <sheetName val="N_Lead"/>
      <sheetName val="rates"/>
      <sheetName val="BP 2001 rates"/>
      <sheetName val="A.R 01"/>
      <sheetName val="累计销售"/>
      <sheetName val="Month 8"/>
      <sheetName val="2002年资产负债表"/>
      <sheetName val="原版"/>
      <sheetName val="sz2"/>
      <sheetName val="Consol worksheet-Final"/>
      <sheetName val="合并清单"/>
      <sheetName val="MV"/>
      <sheetName val="Freezers"/>
      <sheetName val="币种"/>
      <sheetName val="公司清单"/>
      <sheetName val="C-Summary"/>
      <sheetName val="SW-TEO"/>
      <sheetName val="Graph 1"/>
      <sheetName val="ADDITION"/>
      <sheetName val="Setup"/>
      <sheetName val="Change Log"/>
      <sheetName val="Ass"/>
      <sheetName val="Sum"/>
      <sheetName val="Depr"/>
      <sheetName val="PCP"/>
      <sheetName val="IS"/>
      <sheetName val="Presentation"/>
      <sheetName val="Valuation"/>
      <sheetName val="Cost &amp; Expenses"/>
      <sheetName val="Value"/>
      <sheetName val="Man"/>
      <sheetName val="Working Cap"/>
      <sheetName val="Invest"/>
      <sheetName val="2002年预提费用"/>
      <sheetName val="SCH 1B, 1B-1 &amp; 1B-2"/>
      <sheetName val="TB_累2"/>
      <sheetName val="TB_当2"/>
      <sheetName val="TB_累1"/>
      <sheetName val="BKD"/>
      <sheetName val="ARP_G101"/>
      <sheetName val="ARP_U301"/>
      <sheetName val="E221"/>
      <sheetName val="RB"/>
      <sheetName val="Accrual"/>
      <sheetName val="管理费用(集团董事会)"/>
      <sheetName val="Tickmarks"/>
      <sheetName val="U700"/>
      <sheetName val="U200"/>
      <sheetName val="审定表"/>
      <sheetName val="Pre Model"/>
      <sheetName val="单位名录"/>
      <sheetName val="初始设定"/>
      <sheetName val="PLAC"/>
      <sheetName val="Incometl"/>
      <sheetName val="方案分析 (分产品)"/>
      <sheetName val="成本表"/>
      <sheetName val="合并抵消分录"/>
      <sheetName val="analyse"/>
      <sheetName val="P220_高管薪酬分析 (2)"/>
      <sheetName val="综合概算"/>
      <sheetName val="Chart of Acct"/>
      <sheetName val="通玻"/>
      <sheetName val="应收账款"/>
      <sheetName val="PRC GAAP"/>
      <sheetName val="A3_conso"/>
      <sheetName val="VARIABLES"/>
      <sheetName val="C_100Breakdown"/>
      <sheetName val="C_110函证控制表"/>
      <sheetName val="dt"/>
      <sheetName val="SAR"/>
      <sheetName val="Summ"/>
      <sheetName val="Options"/>
      <sheetName val="DFA"/>
      <sheetName val="Reporting"/>
      <sheetName val="BQMPALOC"/>
      <sheetName val="Baseline Exp"/>
      <sheetName val="项目部经营情况表"/>
      <sheetName val="沈阳三生商品总帐2006"/>
      <sheetName val="PROCESS"/>
      <sheetName val="Cash &amp; Bank"/>
      <sheetName val="2003(4)"/>
      <sheetName val="本月在途2003(5)"/>
      <sheetName val="6.比較資產負債表"/>
      <sheetName val="稅籍代碼檢查表"/>
      <sheetName val="0-2.資料聯"/>
      <sheetName val="基本稅額計算"/>
      <sheetName val="0-1.基本資料"/>
      <sheetName val="EFTvsTAXmapping"/>
      <sheetName val="4.損益表"/>
      <sheetName val="9.各類給付扣繳表"/>
      <sheetName val="M3_M4"/>
      <sheetName val="M3_M4_(2)"/>
      <sheetName val="CCtr structure"/>
      <sheetName val="2004.12.31"/>
      <sheetName val="坯布"/>
      <sheetName val="材料"/>
      <sheetName val="外销"/>
      <sheetName val="Fixed assets"/>
      <sheetName val="General"/>
      <sheetName val="P"/>
      <sheetName val="FDREPORT"/>
      <sheetName val="快报清单"/>
      <sheetName val="封面 Cover"/>
      <sheetName val="目录 Index"/>
      <sheetName val="补贴收入Dy"/>
      <sheetName val="应收账款Dy"/>
      <sheetName val="坏账准备_应收账款Dy"/>
      <sheetName val="预收账款Dy"/>
      <sheetName val="其他应交款Dy"/>
      <sheetName val="坏账准备_应收账款Mx"/>
      <sheetName val="参数表"/>
      <sheetName val="Revenue_Trend_New_Prod_Update_2"/>
      <sheetName val="基本资料"/>
      <sheetName val="o"/>
      <sheetName val="假设"/>
      <sheetName val="6月"/>
      <sheetName val="待摊费用明细表"/>
      <sheetName val="电子"/>
      <sheetName val="schdl"/>
      <sheetName val="Timing"/>
      <sheetName val="Q.CF-E01"/>
      <sheetName val="conCF"/>
      <sheetName val="conWP"/>
      <sheetName val="key parameter1st"/>
      <sheetName val="Relationship Analysis"/>
      <sheetName val="FC switches"/>
      <sheetName val="6641"/>
      <sheetName val="审计程序"/>
      <sheetName val="ﾁｮｺ停回数"/>
      <sheetName val="ﾁｮｺ停時間"/>
      <sheetName val="POV"/>
      <sheetName val="Finance Cost Center"/>
      <sheetName val="Site"/>
      <sheetName val="Vendor"/>
      <sheetName val="固定"/>
      <sheetName val="在建"/>
      <sheetName val="期间"/>
      <sheetName val="主营收支"/>
      <sheetName val="PL底稿"/>
      <sheetName val="A500_adjustment"/>
      <sheetName val="预算假设-项目状态"/>
      <sheetName val="ITEM"/>
      <sheetName val="老股估值及退出价格测算"/>
      <sheetName val="标本-资产"/>
      <sheetName val="06.11.24SAP"/>
      <sheetName val="标400章台账"/>
      <sheetName val="威娜"/>
      <sheetName val="A3_影视技术"/>
      <sheetName val="P &amp; L Account"/>
      <sheetName val="K(GDH)"/>
      <sheetName val="To tied 2001 opening RE"/>
      <sheetName val="338 Apparel"/>
      <sheetName val="Table"/>
      <sheetName val="Upload Apr 13"/>
      <sheetName val="96BP"/>
      <sheetName val="资金状况表"/>
      <sheetName val="SZSales07"/>
      <sheetName val="MthCust2007"/>
      <sheetName val="dbase"/>
      <sheetName val="利润表"/>
      <sheetName val="2.1 收入"/>
      <sheetName val="2.2营业成本"/>
      <sheetName val="1.10 长期应收款"/>
      <sheetName val="1.35应付债券"/>
      <sheetName val="1.22 短期借款"/>
      <sheetName val="B_负债及权益汇总"/>
      <sheetName val="1.11 发放贷款及垫款 "/>
      <sheetName val="1.20  长期待摊费用"/>
      <sheetName val="2.3 预收账款 "/>
      <sheetName val="2.5 应付职工薪酬"/>
      <sheetName val="1.6 应收股利"/>
      <sheetName val="1.18 开发支出 "/>
      <sheetName val="1.21 递延所得税资产&amp;负债"/>
      <sheetName val="3.1 应交税费"/>
      <sheetName val="1.1 短期借款"/>
      <sheetName val="1.4 其他流动负债"/>
      <sheetName val="4.6 吸收存款及同业存放"/>
      <sheetName val="2.1 应付票据"/>
      <sheetName val="2.6 其他应付款"/>
      <sheetName val="4.5 一年内到期的非流动负债"/>
      <sheetName val="1.3 应付债券"/>
      <sheetName val="4.1 预计负债"/>
      <sheetName val="4.4 其他非流动负债"/>
      <sheetName val="5.3 资本公积"/>
      <sheetName val="5.7 未分配利润"/>
      <sheetName val="5.8 少数股东权益"/>
      <sheetName val="1.43 应收利息"/>
      <sheetName val="5.1 股本"/>
      <sheetName val="Cover &amp; setup"/>
      <sheetName val="Cost structure Alcatel"/>
      <sheetName val="Assumptions"/>
      <sheetName val="合并抵消-2014"/>
      <sheetName val="表外事项"/>
      <sheetName val="表外项目－银行承兑汇票（外币）"/>
      <sheetName val="表外项目-银行承兑汇票（人民币）"/>
      <sheetName val="表外项目-开出保证凭信"/>
      <sheetName val="表外项目-开来保证凭信"/>
      <sheetName val="表外--信用证项下出口款项"/>
      <sheetName val="表外应收利息"/>
      <sheetName val="贷款前十名"/>
      <sheetName val="再贴现"/>
      <sheetName val="转贴现"/>
      <sheetName val="纳税调整表"/>
      <sheetName val="未决诉讼事项"/>
      <sheetName val="房屋租赁承诺"/>
      <sheetName val="应付利息（安永）"/>
      <sheetName val="财务承诺（安永）"/>
      <sheetName val="呆帐准备(安永）"/>
      <sheetName val="关联交易-贷款"/>
      <sheetName val="关联交易--资产负债类项目"/>
      <sheetName val="关联交易-表外及其他业务"/>
      <sheetName val="关联交易_存款"/>
      <sheetName val="¹ØÁª½»Ò×-´æ¿î"/>
      <sheetName val="±íÍâÊÂÏî"/>
      <sheetName val="±íÍâÏîÄ¿£­ÒøÐÐ³Ð¶Ò»ãÆ±£¨Íâ±Ò£©"/>
      <sheetName val="±íÍâÏîÄ¿-ÒøÐÐ³Ð¶Ò»ãÆ±£¨ÈËÃñ±Ò£©"/>
      <sheetName val="±íÍâÏîÄ¿-¿ª³ö±£Ö¤Æ¾ÐÅ"/>
      <sheetName val="±íÍâÏîÄ¿-¿ªÀ´±£Ö¤Æ¾ÐÅ"/>
      <sheetName val="±íÍâ--ÐÅÓÃÖ¤ÏîÏÂ³ö¿Ú¿îÏî"/>
      <sheetName val="±íÍâÓ¦ÊÕÀûÏ¢"/>
      <sheetName val="´û¿îÇ°Ê®Ãû"/>
      <sheetName val="ÔÙÌùÏÖ"/>
      <sheetName val="×ªÌùÏÖ"/>
      <sheetName val="ÄÉË°µ÷Õû±í"/>
      <sheetName val="Î´¾öËßËÏÊÂÏî"/>
      <sheetName val="·¿ÎÝ×âÁÞ³ÐÅµ"/>
      <sheetName val="Ó¦¸¶ÀûÏ¢£¨°²ÓÀ£©"/>
      <sheetName val="²ÆÎñ³ÐÅµ£¨°²ÓÀ£©"/>
      <sheetName val="´ôÕÊ×¼±¸(°²ÓÀ£©"/>
      <sheetName val="¹ØÁª½»Ò×-´û¿î"/>
      <sheetName val="¹ØÁª½»Ò×--×Ê²ú¸ºÕ®ÀàÏîÄ¿"/>
      <sheetName val="¹ØÁª½»Ò×-±íÍâ¼°ÆäËûÒµÎñ"/>
      <sheetName val="设备部房屋"/>
      <sheetName val="ADJ Sum(console)"/>
      <sheetName val="Defer tax"/>
      <sheetName val="法士特"/>
      <sheetName val="陕重汽"/>
      <sheetName val="株洲齿轮"/>
      <sheetName val="火炬进出口"/>
      <sheetName val="机械制造"/>
      <sheetName val="火炬房地产"/>
      <sheetName val="火花塞"/>
      <sheetName val="汽车密封"/>
      <sheetName val="汽车灯具"/>
      <sheetName val="汽车电器"/>
      <sheetName val="东风越野"/>
      <sheetName val="富通"/>
      <sheetName val="新疆进出口"/>
      <sheetName val="北京汇科盈"/>
      <sheetName val="上海和达"/>
      <sheetName val="MAT"/>
      <sheetName val="小合并"/>
      <sheetName val="??????¡¤???¡À¨ª"/>
      <sheetName val="??ユ-蹿"/>
      <sheetName val="??交易-存款"/>
      <sheetName val="______¡¤___¡À¨ª"/>
      <sheetName val="Estimated AP 9.03"/>
      <sheetName val="__ユ-蹿"/>
      <sheetName val="__交易-存款"/>
      <sheetName val="P201(F)"/>
      <sheetName val="C100-现金"/>
      <sheetName val="资产负债表(1)"/>
      <sheetName val="其他业务收入成本明细表"/>
      <sheetName val="申报表封面"/>
      <sheetName val="E201"/>
      <sheetName val="2005.06"/>
      <sheetName val="J200"/>
      <sheetName val="关联交易-存款a"/>
      <sheetName val="关联交易-存款%ঀȿঀȿ_x0001_"/>
      <sheetName val="Mar OR"/>
      <sheetName val="F100"/>
      <sheetName val="M"/>
      <sheetName val="A_R_01"/>
      <sheetName val="Defer_tax"/>
      <sheetName val="ADJ_Sum(console)"/>
      <sheetName val="Estimated_AP_9_03"/>
      <sheetName val="REC 97"/>
      <sheetName val="应付明细表(07年)"/>
      <sheetName val="U401"/>
      <sheetName val="U501"/>
      <sheetName val="关联交易-存款h_x0001__x0001_"/>
      <sheetName val="关联交易-存款hࢀ ࢀ _x0001_"/>
      <sheetName val="N23-1-预付、其他应收等"/>
      <sheetName val="daywork- Tham khao"/>
      <sheetName val="20140331"/>
      <sheetName val="20130331"/>
      <sheetName val="20131231"/>
      <sheetName val="20121231"/>
      <sheetName val="20111231"/>
      <sheetName val="20101231"/>
      <sheetName val="SAD"/>
      <sheetName val="说明1"/>
      <sheetName val="DataEntry"/>
      <sheetName val="Assets"/>
      <sheetName val="Parameters"/>
      <sheetName val="关联交易-存款h_x0001_"/>
      <sheetName val="项目"/>
      <sheetName val="________-____"/>
      <sheetName val="________"/>
      <sheetName val="______________________________"/>
      <sheetName val="________-______________________"/>
      <sheetName val="________-____________"/>
      <sheetName val="____--__________________"/>
      <sheetName val="____________"/>
      <sheetName val="__________"/>
      <sheetName val="______"/>
      <sheetName val="________________"/>
      <sheetName val="________(______"/>
      <sheetName val="________--______________"/>
      <sheetName val="________-______________"/>
      <sheetName val="????????-????"/>
      <sheetName val="????????"/>
      <sheetName val="??????????????????????????????"/>
      <sheetName val="????????-??????????????????????"/>
      <sheetName val="????????-????????????"/>
      <sheetName val="????--??????????????????"/>
      <sheetName val="????????????"/>
      <sheetName val="??????????"/>
      <sheetName val="??????"/>
      <sheetName val="????????????????"/>
      <sheetName val="????????(??????"/>
      <sheetName val="????????--??????????????"/>
      <sheetName val="????????-??????????????"/>
      <sheetName val="office supplies"/>
      <sheetName val="G&amp;A_Jan"/>
      <sheetName val="2006应付账款"/>
      <sheetName val="truc tiep"/>
      <sheetName val="关联交易-存款a_x"/>
      <sheetName val="关联交易-存款h_x0001__x0001__x"/>
      <sheetName val="关联交易-存款_x0"/>
      <sheetName val="N29-1-预收款及其他应付款项"/>
      <sheetName val="关联方清单"/>
      <sheetName val="????-??"/>
      <sheetName val="Consol_OR"/>
      <sheetName val="P.1预收、其他应付、其他流动负债"/>
      <sheetName val="后台"/>
      <sheetName val="G.预付账款、其他应收款、其他流动资产"/>
      <sheetName val=" U150"/>
      <sheetName val="销售收入成本"/>
      <sheetName val="关联交易-存款%ঀȿঀȿ_x005f_x0001_"/>
      <sheetName val="申报表封面Cover"/>
      <sheetName val="2-分类汇总 Classified Summary"/>
      <sheetName val="关联交易-存款a_x005f_x0000__x005f_x0000__x005f_x0000__x"/>
      <sheetName val="关联交易-存款%ঀȿঀȿ_x005f_x005f_x005f_x0001_"/>
      <sheetName val="Financ. Overview"/>
      <sheetName val="各年往来 (2)"/>
      <sheetName val="IFRS REPORTING"/>
      <sheetName val="PLJAN"/>
      <sheetName val="____-__"/>
      <sheetName val="汇率表"/>
      <sheetName val="C4_"/>
      <sheetName val="关联交易-存款h_x005f_x0001__x005f_x0000__x005f_x0001__x"/>
      <sheetName val="关联交易-存款hࢀ ࢀ _x005f_x0001_"/>
      <sheetName val="15年研发项目定稿"/>
      <sheetName val="S应收票据"/>
      <sheetName val="±íÍâÏîÄ¿£­ÒøÐÐ³Ð6Ò»ãÆ±£¨Íâ±Ò£©"/>
      <sheetName val="±íÍâÏîÄ¿-ÒøÐÐ³Ð¶Ò»ãÆ±#¨ÈËÃñ±Ò£©"/>
      <sheetName val="±íÍâÏîÄ¿-¿ª³ö±£Ö¤Æ¾PÅ"/>
      <sheetName val="´û¿îÇ°J®Ãû"/>
      <sheetName val="×ªÌyÏÖ"/>
      <sheetName val="下拉列表存储页"/>
      <sheetName val="N21-2-期末存货整车分车型"/>
      <sheetName val="ENT"/>
      <sheetName val="FTHL"/>
      <sheetName val="GX"/>
      <sheetName val="IN"/>
      <sheetName val="ITCD"/>
      <sheetName val="LVLT"/>
      <sheetName val="MFNX"/>
      <sheetName val="NOPT"/>
      <sheetName val="TCM"/>
      <sheetName val="TSIX"/>
      <sheetName val="WCG"/>
      <sheetName val="关联交易-存款_x005f_x0000__x005f_x0000__x005f_x0000__x0"/>
      <sheetName val="A5.Summary"/>
      <sheetName val="关联交易-存款a_x005f_x005f_x005f_x0000__x005f_x005f_x00"/>
      <sheetName val="关联交易-存款h_x005f_x0001_"/>
      <sheetName val="关联交易-存款%ঀȿঀȿ_x005f_x005f_x005f_x005f_x005f_x005f_"/>
      <sheetName val="关联交易-存款_x005f_x005f_x005f_x0000__x005f_x005f_x000"/>
      <sheetName val="关联交易-存款h_x005f_x005f_x005f_x0001__x005f_x005f_x00"/>
      <sheetName val="关联交易-存款hࢀ ࢀ _x005f_x005f_x005f_x0001_"/>
      <sheetName val="link"/>
      <sheetName val="2012"/>
      <sheetName val="关联交易-存款a_x005f_x005f_x005f_x005f_x005f_x005f_x000"/>
      <sheetName val="固定资产预测"/>
      <sheetName val="土地底稿"/>
      <sheetName val="zero (3)"/>
      <sheetName val="3.2"/>
      <sheetName val="热力系统"/>
      <sheetName val="A3_20141231"/>
      <sheetName val="F101"/>
      <sheetName val="삅ོ䚋栠"/>
      <sheetName val="삅ོ䚋栠Ѫ"/>
      <sheetName val="삅ོ䚋"/>
      <sheetName val="삅ོ䚋栠Ѫࡪ㋨ﯾ_xffff_ﱅ잃蔐緀薼"/>
      <sheetName val="삅ོ䚋栠Ѫࡪ㋨ﯾ_xffff_ﱅ잃蔐緀薼糀"/>
      <sheetName val="삅ོ䚋栠Ѫࡪ㋨ﯾ_xffff_ﱅ"/>
      <sheetName val="삅ོ䚋栠Ѫࡪ㋨ﯾ_xffff_ﱅ잃蔐"/>
      <sheetName val="삅ོ䚋栠Ѫࡪ㋨"/>
      <sheetName val="삅ོ䚋栠Ѫࡪ㋨ﯾ_xffff_ﱅ잃"/>
      <sheetName val="삅ོ䚋栠Ѫࡪ㋨ﯾ_xffff_ﱅ잃蔐緀薼糀謋⁎橓晴￻孟싉_x0004_譕凬䚋茠ﱥ"/>
      <sheetName val="삅ོ䚋栠Ѫࡪ㋨ﯾ_xffff_ﱅ잃蔐緀薼糀謋⁎橓晴￻孟싉_x0004_譕凬䚋茠ﱥ謀"/>
      <sheetName val="삅ོ䚋栠Ѫࡪ㋨ﯾ_xffff_ﱅ잃蔐緀薼糀謋⁎橓晴"/>
      <sheetName val="삅ོ䚋栠Ѫࡪ㋨ﯾ_xffff_ﱅ잃蔐緀薼糀謋⁎橓晴￻孟싉"/>
      <sheetName val="삅ོ䚋栠Ѫࡪ㋨ﯾ_xffff_"/>
      <sheetName val="삅ོ䚋栠Ѫࡪ㋨ﯾ_xffff_ﱅ잃蔐緀薼糀謋⁎橓晴￻孟"/>
      <sheetName val="关联交易-存款lঀ;ঀ;_x0001_"/>
      <sheetName val="关联交易-存款l઀Ƽ઀Ƽ_x0001_"/>
      <sheetName val="A_R_011"/>
      <sheetName val="Defer_tax1"/>
      <sheetName val="ADJ_Sum(console)1"/>
      <sheetName val="Estimated_AP_9_031"/>
      <sheetName val="2005_06"/>
      <sheetName val="关联交易-存款%ঀȿঀȿ"/>
      <sheetName val="Mar_OR"/>
      <sheetName val="关联交易-存款h"/>
      <sheetName val="关联交易-存款hࢀ_ࢀ_"/>
      <sheetName val="REC_97"/>
      <sheetName val="daywork-_Tham_khao"/>
      <sheetName val="TB_Link"/>
      <sheetName val="A3 Sum"/>
      <sheetName val="Invest "/>
      <sheetName val="选项"/>
      <sheetName val="填列指引"/>
      <sheetName val="关联交易-存款h_x005f_x005f_x005f_x0001_"/>
      <sheetName val="23"/>
      <sheetName val="Inv_days #5"/>
      <sheetName val="arDB"/>
      <sheetName val="control sheet fund II"/>
      <sheetName val="封面"/>
      <sheetName val="调整分录汇总上年"/>
      <sheetName val="调整分录汇总本年"/>
      <sheetName val="科目名称"/>
      <sheetName val="Exec Summary"/>
      <sheetName val="待摊费用审定表"/>
      <sheetName val="货币资金审定表"/>
      <sheetName val="销售成本审定表"/>
      <sheetName val="销售费用审定表"/>
      <sheetName val="应付帐款"/>
      <sheetName val="估值折扣率表"/>
      <sheetName val="关联交易-存款a_x005f_x0000__x00"/>
      <sheetName val="关联交易-存款h_x005f_x0001__x00"/>
      <sheetName val="关联交易-存款%ঀȿঀȿ_x005f_x005f_"/>
      <sheetName val="关联交易-存款a_x005f_x005f_x000"/>
      <sheetName val="关联交易-存款_x005f_x0000__x000"/>
      <sheetName val="N.应付账款"/>
      <sheetName val="表头内容"/>
      <sheetName val="TAB.Daten"/>
      <sheetName val="IR_Deckblatt"/>
      <sheetName val="42贴现"/>
      <sheetName val="43贴现融资"/>
      <sheetName val="U40"/>
      <sheetName val="业招费"/>
      <sheetName val="关联交易-存款h_x005f_x005f_x005f_x005f_x005f_x005f_x000"/>
      <sheetName val="关联交易-存款hࢀ ࢀ _x005f_x005f_x005f_x005f_x005f_x005f_"/>
      <sheetName val="关联交易-存款_x005f_x005f_x005f_x005f_x005f_x005f_x0000"/>
      <sheetName val="关联交易-存款a_x005f_x005f_x005f_x005f_x005f_x005f_x005"/>
      <sheetName val="삅ོ䚋栠Ѫ_x005f_x0000_ࡪ㋨ﯾ_x005f_xffff_ﱅ잃蔐緀薼"/>
      <sheetName val="삅ོ䚋栠Ѫ_x005f_x0000_ࡪ㋨ﯾ_x005f_xffff_ﱅ잃蔐緀薼糀"/>
      <sheetName val="삅ོ䚋栠Ѫ_x005f_x0000_ࡪ㋨ﯾ_x005f_xffff_ﱅ"/>
      <sheetName val="삅ོ䚋栠Ѫ_x005f_x0000_ࡪ㋨ﯾ_x005f_xffff_ﱅ잃蔐"/>
      <sheetName val="삅ོ䚋栠Ѫ_x005f_x0000_ࡪ㋨"/>
      <sheetName val="삅ོ䚋栠Ѫ_x005f_x0000_ࡪ㋨ﯾ_x005f_xffff_ﱅ잃"/>
      <sheetName val="삅ོ䚋栠Ѫ_x005f_x0000_ࡪ㋨ﯾ_x005f_xffff_ﱅ잃蔐緀薼糀謋⁎橓"/>
      <sheetName val="삅ོ䚋栠Ѫ_x005f_x0000_ࡪ㋨ﯾ_x005f_xffff_"/>
      <sheetName val="关联交易-存款lঀ;ঀ;_x005f_x0001_"/>
      <sheetName val="关联交易-存款l઀Ƽ઀Ƽ_x005f_x0001_"/>
      <sheetName val="综合"/>
      <sheetName val="关联交易-存款_x005f_x005f_x0000"/>
      <sheetName val="关联交易-存款h_x005f_x005f_x000"/>
      <sheetName val="关联交易-存款hࢀ ࢀ _x005f_x005f_"/>
      <sheetName val="F2100-半成品"/>
      <sheetName val="F2000-委托加工物资"/>
      <sheetName val="F1000芯片"/>
      <sheetName val="F1100芯片测试费 "/>
      <sheetName val="其他應付款代碼"/>
      <sheetName val="按产品收入汇总"/>
      <sheetName val="HP"/>
      <sheetName val="FA1"/>
      <sheetName val="SCHE-F"/>
      <sheetName val="关联交易-存款a_x005f_x005f_x005f_x0000__x00"/>
      <sheetName val="关联交易-存款%ঀȿঀȿ_x005f_x005f_x005f_x005f_"/>
      <sheetName val="科目源"/>
      <sheetName val="科目"/>
      <sheetName val="9D4FF100"/>
      <sheetName val="2-回收分析"/>
      <sheetName val="控制页"/>
      <sheetName val="科目序列"/>
      <sheetName val="STOCKGRGIDATA"/>
      <sheetName val="II- Liability Component June 04"/>
      <sheetName val="I-Conclusion "/>
      <sheetName val="II- Liab. comp_IAS"/>
      <sheetName val="Conversion feature"/>
      <sheetName val="I- Summary"/>
      <sheetName val="Cashflow(Scenario)"/>
      <sheetName val="Sch PR-2"/>
      <sheetName val="Sch PR-3"/>
      <sheetName val="Consol BS"/>
      <sheetName val="HO &amp; Aust BS"/>
      <sheetName val="胡匀匀"/>
      <sheetName val="JAC11.30"/>
      <sheetName val="Part_Datum"/>
      <sheetName val="5a"/>
      <sheetName val="6a"/>
      <sheetName val="4cI"/>
      <sheetName val="N19-1-预付、其他应收等"/>
      <sheetName val="cashflow-commercial"/>
      <sheetName val="关联交易-存款a_x00"/>
      <sheetName val="关联交易-存款%ঀȿঀȿ_"/>
      <sheetName val="truc_tiep"/>
      <sheetName val="P_1预收、其他应付、其他流动负债"/>
      <sheetName val="_U150"/>
      <sheetName val="G_预付账款、其他应收款、其他流动资产"/>
      <sheetName val="2-分类汇总_Classified_Summary"/>
      <sheetName val="CVRs"/>
      <sheetName val="Tier1 Pref SGP"/>
      <sheetName val="Contribution"/>
      <sheetName val="Rev. Losses"/>
      <sheetName val="Repurchase"/>
      <sheetName val="SoP SGP2"/>
      <sheetName val="Europe"/>
      <sheetName val="CVG"/>
      <sheetName val="H"/>
      <sheetName val="Impact"/>
      <sheetName val="Prop R"/>
      <sheetName val="PacMan"/>
      <sheetName val="Tier1 Pref SBP"/>
      <sheetName val="NewBid"/>
      <sheetName val="Income Statement breakdown"/>
      <sheetName val="资料情况统计表"/>
      <sheetName val="PG-Y-4(3)摊销测算表"/>
      <sheetName val="专项应付款2"/>
      <sheetName val="Beta计算表"/>
      <sheetName val="基本信息输入表"/>
      <sheetName val="表3-股东权益计算表(此表不用填写)"/>
      <sheetName val="关联交易-存款h_x0001__x00"/>
      <sheetName val="关联交易-存款_x000"/>
      <sheetName val="삅ོ䚋栠Ѫࡪ㋨ﯾ_xffff_ﱅ잃蔐緀薼糀謋⁎橓"/>
      <sheetName val="关联交易-存款a_x000"/>
      <sheetName val="关联交易-存款_x0000"/>
      <sheetName val="关联交易-存款h_x000"/>
      <sheetName val="关联交易-存款hࢀ ࢀ _"/>
      <sheetName val="关联交易-存款a_x005f_x005f_x005"/>
      <sheetName val="关联交易-存款?滨㠼"/>
      <sheetName val="关联交易-存款?"/>
      <sheetName val="关联交易-存款茀戫"/>
      <sheetName val="关联交易-存款?滨?_x001a_ "/>
      <sheetName val="账面外销"/>
      <sheetName val="链接勿动"/>
      <sheetName val="12月发往外库产品明细表"/>
      <sheetName val="内部交易抵销"/>
      <sheetName val="关联交易-存款h_x005f_x005f_x005f_x0001__x00"/>
      <sheetName val="关联交易-存款a_x005f_x005f_x005f_x005f_x000"/>
      <sheetName val="关联交易-存款_x005f_x005f_x005f_x0000__x000"/>
      <sheetName val="qad TB"/>
      <sheetName val="code"/>
      <sheetName val="收入明细－按客户"/>
      <sheetName val="月份"/>
      <sheetName val="短期投资股票投资.dbf"/>
      <sheetName val="短期投资国债投资.dbf"/>
      <sheetName val="股票投资收益.dbf"/>
      <sheetName val="其他货币海通.dbf"/>
      <sheetName val="其他货币零领路.dbf"/>
      <sheetName val="投资收益债券.dbf"/>
      <sheetName val="收入"/>
      <sheetName val="说明"/>
      <sheetName val="CQFMA"/>
      <sheetName val="关联交易-存款"/>
      <sheetName val="个人欠款账龄分析表"/>
      <sheetName val="12进销存"/>
      <sheetName val="辅助信息"/>
      <sheetName val="List数据"/>
      <sheetName val="PV6 3.5L LX5 GMX170"/>
      <sheetName val="12"/>
      <sheetName val="蒸汽冷凝水回收"/>
      <sheetName val="Factors"/>
      <sheetName val="Company Information"/>
      <sheetName val="lookup"/>
      <sheetName val="param"/>
      <sheetName val="Traduction"/>
      <sheetName val="6118"/>
      <sheetName val="OR"/>
      <sheetName val="P&amp;L adhoc"/>
      <sheetName val="Suppl Adhoc Inv (F)"/>
      <sheetName val="Suppl Adhoc Pers"/>
      <sheetName val="401-Mobo收入汇总"/>
      <sheetName val="QTR Data Analysis"/>
      <sheetName val="TIGROUP(LIT)"/>
      <sheetName val="BBEURO"/>
      <sheetName val="TIWIRE(LIT)"/>
      <sheetName val="关联交易-存款h_x0001_?_x0001_??"/>
      <sheetName val="关联交易-存款a???_x"/>
      <sheetName val="关联交易-存款h_x0001___x0001___"/>
      <sheetName val="关联交易-存款a____x"/>
      <sheetName val="REPORT"/>
      <sheetName val="UFPrn20130826085456"/>
      <sheetName val="UFPrn20130826085545"/>
      <sheetName val="关联交易-存款h_x005f_x005f_x005"/>
      <sheetName val="关联交易-存款_x005f_x005f_x005f"/>
      <sheetName val="삅ོ䚋栠Ѫ_x005f_x0000_ࡪ㋨ﯾ_xff"/>
      <sheetName val="TreeViewRécursif"/>
      <sheetName val="schedule"/>
      <sheetName val="ACTINV"/>
      <sheetName val="经济评价"/>
      <sheetName val="损益表"/>
      <sheetName val="Hyperion Link"/>
      <sheetName val="Open"/>
      <sheetName val="按客户"/>
      <sheetName val="利息7月-8月"/>
      <sheetName val="首先输入"/>
      <sheetName val="旷视"/>
      <sheetName val="_04009"/>
      <sheetName val="_0401"/>
      <sheetName val="UFPrn20040930171821"/>
      <sheetName val="A_R_012"/>
      <sheetName val="ADJ_Sum(console)2"/>
      <sheetName val="Defer_tax2"/>
      <sheetName val="Estimated_AP_9_032"/>
      <sheetName val="2005_061"/>
      <sheetName val="REC_971"/>
      <sheetName val="Mar_OR1"/>
      <sheetName val="daywork-_Tham_khao1"/>
      <sheetName val="Financ__Overview"/>
      <sheetName val="各年往来_(2)"/>
      <sheetName val="IFRS_REPORTING"/>
      <sheetName val="TB_Link1"/>
      <sheetName val="office_supplies"/>
      <sheetName val="关联交易-存款hࢀ_ࢀ__x005f_x0001_"/>
      <sheetName val="关联交易-存款hࢀ_ࢀ__x005f_x005f_x005f_x0001_"/>
      <sheetName val="zero_(3)"/>
      <sheetName val="A3_Sum"/>
      <sheetName val="关联交易-存款h_x"/>
      <sheetName val="A5_Summary"/>
      <sheetName val="삅ོ䚋栠Ѫࡪ㋨ﯾﱅ잃蔐緀薼糀謋⁎橓晴￻孟싉譕凬䚋茠ﱥ"/>
      <sheetName val="삅ོ䚋栠Ѫࡪ㋨ﯾﱅ잃蔐緀薼糀謋⁎橓晴￻孟싉譕凬䚋茠ﱥ謀"/>
      <sheetName val="关联交易-存款lঀ;ঀ;"/>
      <sheetName val="关联交易-存款l઀Ƽ઀Ƽ"/>
      <sheetName val="Invest_"/>
      <sheetName val="3_2"/>
      <sheetName val="Inv_days_#5"/>
      <sheetName val="control_sheet_fund_II"/>
      <sheetName val="Exec_Summary"/>
      <sheetName val="F1100芯片测试费_"/>
      <sheetName val="关联交易-存款?滨? "/>
      <sheetName val="A430"/>
      <sheetName val="A子公司"/>
      <sheetName val="Bank card list"/>
      <sheetName val="507"/>
      <sheetName val="note(1)"/>
      <sheetName val="承诺项目说明"/>
      <sheetName val="链接勿删"/>
      <sheetName val="CRITERIA1"/>
      <sheetName val="CRITERIA2"/>
      <sheetName val="ZA5"/>
      <sheetName val="FJ1"/>
      <sheetName val="ZH2"/>
      <sheetName val="FJ2"/>
      <sheetName val="ZX1"/>
      <sheetName val="ZX2"/>
      <sheetName val="1"/>
      <sheetName val="高嘉大厦2-5"/>
      <sheetName val="_701"/>
      <sheetName val="_702"/>
      <sheetName val="_703"/>
      <sheetName val="_704"/>
      <sheetName val="_705"/>
      <sheetName val="_712"/>
      <sheetName val="延期开票"/>
      <sheetName val="12月份产成品入库"/>
      <sheetName val="QT07"/>
      <sheetName val="QT全年收发存"/>
      <sheetName val="208"/>
      <sheetName val="12月份原材料出库"/>
      <sheetName val="11月产成品入库"/>
      <sheetName val="QT01"/>
      <sheetName val="QT02"/>
      <sheetName val="209"/>
      <sheetName val="206"/>
      <sheetName val="207"/>
      <sheetName val="203"/>
      <sheetName val="212"/>
      <sheetName val="211"/>
      <sheetName val="210"/>
      <sheetName val="204"/>
      <sheetName val="205"/>
      <sheetName val="201"/>
      <sheetName val="Disposition"/>
      <sheetName val="_200209"/>
      <sheetName val="8042"/>
      <sheetName val="折旧计算表"/>
      <sheetName val="折旧年限测算表"/>
      <sheetName val="表4_13_1无形资产—土地使用权"/>
      <sheetName val="Contacts"/>
      <sheetName val="表头信息"/>
      <sheetName val="出库"/>
      <sheetName val="入库"/>
      <sheetName val="2002P-BU"/>
      <sheetName val="P&amp;L(S1)"/>
      <sheetName val="Payed bonuses"/>
      <sheetName val="Help"/>
      <sheetName val="PXMODEL"/>
      <sheetName val="AVP"/>
      <sheetName val="Output2"/>
      <sheetName val="Module6"/>
      <sheetName val="Output &amp; Financial Statements"/>
      <sheetName val="DCF"/>
      <sheetName val="MainPrintCode"/>
      <sheetName val="Old TWX Quorfa"/>
      <sheetName val="TWX Model"/>
      <sheetName val="FS Output 4"/>
      <sheetName val="FS Output 1"/>
      <sheetName val="FS Output 3"/>
      <sheetName val="FS Output2"/>
      <sheetName val="Deal Structure &amp; Control Page"/>
      <sheetName val="Historic Comps"/>
      <sheetName val="Synergies"/>
      <sheetName val="关联交易-存款_"/>
      <sheetName val="关联交易-存款a_x005"/>
      <sheetName val="dxnsjtempsheet"/>
      <sheetName val="F"/>
      <sheetName val="合并抵消"/>
      <sheetName val="材料采购－原材料（购价）"/>
      <sheetName val="J301"/>
      <sheetName val="SY表35-1第二次筛选表"/>
      <sheetName val="UFPrn20070303114642"/>
      <sheetName val="Aging"/>
      <sheetName val="ref"/>
      <sheetName val="Con"/>
      <sheetName val="Refer"/>
      <sheetName val="Orders"/>
      <sheetName val="Price List"/>
      <sheetName val="（一）货币资金"/>
      <sheetName val="广告费和业务宣传费表"/>
      <sheetName val="资产减值准备表"/>
      <sheetName val="工资薪金表"/>
      <sheetName val="公允价值计量资产纳税调整表"/>
      <sheetName val="附件(excel）"/>
      <sheetName val="业务招待费表"/>
      <sheetName val="A300-2014-futrue"/>
      <sheetName val="短期借款"/>
      <sheetName val="分类表"/>
      <sheetName val="A300-2014-futrue_IFRS"/>
      <sheetName val="A1-IFRS报表"/>
      <sheetName val="All Cash Dil"/>
      <sheetName val="关联交易-存款_x005f_x005f_x005f_x005f_x005f_x005f_x005f"/>
      <sheetName val="关联交易-存款h_x005f_x005f_x005f_x005f_x005f_x005f_x005"/>
      <sheetName val="关联交易-存款_x005f_x005f_x005f_x005f_x0000"/>
      <sheetName val="关联交易-存款h_x005f_x005f_x005f_x005f_x000"/>
      <sheetName val="关联交易-存款hࢀ ࢀ _x005f_x005f_x005f_x005f_"/>
      <sheetName val="삅ོ䚋栠Ѫ_x005f_x005f_x005f_x0000_ࡪ㋨ﯾ_x005f_x005f_xff"/>
      <sheetName val="삅ོ䚋栠Ѫ_x005f_x005f_x005f_x0000_ࡪ㋨"/>
      <sheetName val="关联交易-存款lঀ;ঀ;_x005f_x005f_x005f_x0001_"/>
      <sheetName val="关联交易-存款l઀Ƽ઀Ƽ_x005f_x005f_x005f_x0001_"/>
      <sheetName val="データ"/>
      <sheetName val="1- Input &amp; Info"/>
      <sheetName val="CUSTOMER (DETAIL)"/>
      <sheetName val="20071-10月原材料发出计价测试(不打)"/>
      <sheetName val="投资收益Dy"/>
      <sheetName val="投资收益Mx"/>
      <sheetName val="200712"/>
      <sheetName val="自制半成品1-12计价测试"/>
      <sheetName val="产成品收发存余额表1-12"/>
      <sheetName val="数据有效性来源"/>
      <sheetName val="Antivol D2"/>
      <sheetName val="QAD-面套库存"/>
      <sheetName val="2.5上年现金试算"/>
      <sheetName val="基本信息"/>
      <sheetName val="Romford Market"/>
      <sheetName val="Group"/>
      <sheetName val="员工工资"/>
      <sheetName val="原因汇总"/>
      <sheetName val="PPD Schedule"/>
      <sheetName val="披露表（上市）"/>
      <sheetName val="{lookup}"/>
      <sheetName val="VAR"/>
      <sheetName val="设置"/>
      <sheetName val="清单12.31"/>
      <sheetName val="入库分类"/>
      <sheetName val="Economic evaluation - FY98 base"/>
      <sheetName val="控制测试样本量"/>
      <sheetName val="623"/>
      <sheetName val="799"/>
      <sheetName val="Base Data"/>
      <sheetName val="Title"/>
      <sheetName val="product"/>
      <sheetName val="664"/>
      <sheetName val="663"/>
      <sheetName val="6-历史收入趋势-LTM"/>
      <sheetName val="삅ོ䚋栠Ѫ_x005f_x005f_x005f_x005f_x005f_x005f_x005f_x0000_ࡪ"/>
      <sheetName val="本年店铺级表"/>
      <sheetName val="ROIC分析"/>
      <sheetName val="FY02"/>
      <sheetName val="Print"/>
      <sheetName val="关联交易-存款_滨㠼"/>
      <sheetName val="关联交易-存款__x"/>
      <sheetName val="关联交易-存款_滨_"/>
      <sheetName val="PBC-&gt;"/>
      <sheetName val="1.0"/>
      <sheetName val="美日管理费用6"/>
      <sheetName val="关联交易-存款2016"/>
      <sheetName val="关联交易-存款02016"/>
      <sheetName val="关联交易-存款l2016"/>
      <sheetName val="AR Drop Downs"/>
      <sheetName val="DropDown"/>
      <sheetName val="分类请勿修改"/>
      <sheetName val="关联交易-存款0"/>
      <sheetName val="关联交易-存款l"/>
      <sheetName val="Table 13.1 - 3"/>
      <sheetName val="CTSA2002"/>
      <sheetName val="汇总表"/>
      <sheetName val="FF-3"/>
      <sheetName val="填表说明"/>
      <sheetName val="索引（补充）"/>
      <sheetName val="申报表封面（此表不填，填索引）"/>
      <sheetName val="填表注意事项（先看）"/>
      <sheetName val="链接表（勿动） 元)"/>
      <sheetName val="链接表（勿动）"/>
      <sheetName val="流动资产链接表"/>
      <sheetName val="存货链接表"/>
      <sheetName val="链接表"/>
      <sheetName val="企业基本情况"/>
      <sheetName val="两次基准日的对比 (0531与0831)"/>
      <sheetName val="两次基准日的对比"/>
      <sheetName val="长期股权投资表"/>
      <sheetName val="收益法汇总表"/>
      <sheetName val="链接表（勿动） (元表)"/>
      <sheetName val="链接表万元（勿动）"/>
      <sheetName val="流动资产链接表（勿动）"/>
      <sheetName val="贵阳精铸表格填报问题"/>
      <sheetName val="1-汇总表"/>
      <sheetName val="2-分类汇总"/>
      <sheetName val="3-流动汇总"/>
      <sheetName val="3-1货币汇总表"/>
      <sheetName val="3-1-2银行存款"/>
      <sheetName val="3-1-3其他货币资金"/>
      <sheetName val="3-2交易性金融资产汇总"/>
      <sheetName val="3-2-1交易性-股票"/>
      <sheetName val="3-2-2交易性-债券"/>
      <sheetName val="3-2-3交易性-基金"/>
      <sheetName val="3-4应收账款"/>
      <sheetName val="3-5预付账款"/>
      <sheetName val="3-7应收股利"/>
      <sheetName val="3-8其他应收款"/>
      <sheetName val="3-9存货汇总"/>
      <sheetName val="3-9-1材料采购（在途物资）"/>
      <sheetName val="3-9-3在库周转材料"/>
      <sheetName val="3-9-4委托加工物资"/>
      <sheetName val="3-9-2原材料"/>
      <sheetName val="3-9-5-1产成品（库存商品）"/>
      <sheetName val="3-9-5-2产成品(开发产品)"/>
      <sheetName val="3-9-5-3产成品(出租开发产品)"/>
      <sheetName val="3-9-6-1在产品（自制半成品）"/>
      <sheetName val="报废工装模具"/>
      <sheetName val="3-9-8在用周转材料（工装模具）"/>
      <sheetName val="3-9-8在用周转材料（工装模具1）"/>
      <sheetName val="3-9-6-2在产品(开发成本)"/>
      <sheetName val="3-9-7发出商品"/>
      <sheetName val="3-9-8在用周转材料"/>
      <sheetName val="3-9-9未结算工程"/>
      <sheetName val="3-10一年到期非流动资产"/>
      <sheetName val="3-11其他流动资产"/>
      <sheetName val="4-非流动资产汇总"/>
      <sheetName val="4-1可供出售金融资产汇总"/>
      <sheetName val="4-1-2可出售-债券"/>
      <sheetName val="4-1-1可出售-股票"/>
      <sheetName val="4-1-3可出售-其他"/>
      <sheetName val="4-2持有到期投资"/>
      <sheetName val="4-3长期应收"/>
      <sheetName val="页面设置"/>
      <sheetName val="4-4长期股权投资"/>
      <sheetName val="4-5投资性房地产汇总表"/>
      <sheetName val="4-5-1投资性房地产"/>
      <sheetName val="4-5-2投资性房地产"/>
      <sheetName val="4-5-3投资性地产"/>
      <sheetName val="4-5-4投资性地产"/>
      <sheetName val="4-6固定资产汇总"/>
      <sheetName val="固定资产闲置报废及产权情况统计（不填）"/>
      <sheetName val="4-6-1房屋建筑物"/>
      <sheetName val="4-6-2构筑物"/>
      <sheetName val="4-6-3管道沟槽"/>
      <sheetName val="报废资产清单"/>
      <sheetName val="原购置设备"/>
      <sheetName val="4-6-4机器设备"/>
      <sheetName val="废钢价格"/>
      <sheetName val="4-6-5车辆"/>
      <sheetName val="4-6-6电子设备"/>
      <sheetName val="4-6-7土地"/>
      <sheetName val="4-7在建工程汇总"/>
      <sheetName val="4-7-1在建（土建）"/>
      <sheetName val="4-7-2在建（设备）"/>
      <sheetName val="4-8工程物资"/>
      <sheetName val="4-9固定资产清理"/>
      <sheetName val="4-10生产性生物资产"/>
      <sheetName val="4-11油气资产"/>
      <sheetName val="4-12无形资产汇总"/>
      <sheetName val="4-12-1无形-土地"/>
      <sheetName val="4-12-2无形-矿业权"/>
      <sheetName val="4-12-3无形-其他"/>
      <sheetName val="4-12-4无形-技术、商标、著作权等"/>
      <sheetName val="4-13开发支出"/>
      <sheetName val="4-14商誉"/>
      <sheetName val="4-15长期待摊费用"/>
      <sheetName val="4-16递延所得税资产"/>
      <sheetName val="4-17其他非流动资产"/>
      <sheetName val="5-流动负债汇总"/>
      <sheetName val="流动负债链接表（不填勿动）"/>
      <sheetName val="5-1短期借款"/>
      <sheetName val="5-2交易性金融负债"/>
      <sheetName val="5-3应付票据"/>
      <sheetName val="5-4应付账款"/>
      <sheetName val="5-5预收账款"/>
      <sheetName val="5-6职工薪酬"/>
      <sheetName val="5-7应交税费"/>
      <sheetName val="5-8应付利息"/>
      <sheetName val="5-9应付股利（利润）"/>
      <sheetName val="5-10其他应付款"/>
      <sheetName val="5-11一年到期非流动负债"/>
      <sheetName val="5-12其他流动负债"/>
      <sheetName val="6-非流动负债汇总"/>
      <sheetName val="6-1长期借款"/>
      <sheetName val="6-2应付债券"/>
      <sheetName val="6-3长期应付款"/>
      <sheetName val="非流动负债链接表（不填勿动）"/>
      <sheetName val="6-4专项应付款"/>
      <sheetName val="6-5预计负债"/>
      <sheetName val="6-6递延所得税负债"/>
      <sheetName val="6-7其他非流动负债"/>
      <sheetName val="或有事项声明书"/>
      <sheetName val="期后事项声明书"/>
      <sheetName val="关联交易-存款a_x005f_x005f_x005f_x005f_x005"/>
      <sheetName val="关联交易-存款h_x005"/>
      <sheetName val="关联交易-存款_x005f"/>
      <sheetName val="上年试算表(利)"/>
      <sheetName val="本年试算表(利)"/>
      <sheetName val="本年试算表(资)"/>
      <sheetName val="DCCB"/>
      <sheetName val="Consumer"/>
      <sheetName val="CY sales report"/>
      <sheetName val="_0101主料"/>
      <sheetName val="_0102中草药"/>
      <sheetName val="_0104燃料"/>
      <sheetName val="_0106备品备件"/>
      <sheetName val="_0109辅料"/>
      <sheetName val="_0110化剂"/>
      <sheetName val="_0206标签"/>
      <sheetName val="_0207纸箱纸盒"/>
      <sheetName val="_0208瓶类"/>
      <sheetName val="_0302办公用品"/>
      <sheetName val="_0303工具"/>
      <sheetName val="_0304玻璃仪器"/>
      <sheetName val="_0399其他"/>
      <sheetName val="_04产成品"/>
      <sheetName val="_05自制半成品"/>
      <sheetName val="_0108劳保"/>
      <sheetName val="_0112气体"/>
      <sheetName val="0101主料"/>
      <sheetName val="0102中草药"/>
      <sheetName val="0104燃料"/>
      <sheetName val="0106备品备件"/>
      <sheetName val="0109辅料"/>
      <sheetName val="0110化剂"/>
      <sheetName val="0112气体"/>
      <sheetName val="0206标签"/>
      <sheetName val="0207纸箱纸盒"/>
      <sheetName val="0208瓶类"/>
      <sheetName val="0302办公用品"/>
      <sheetName val="0303工具"/>
      <sheetName val="0304玻璃仪器"/>
      <sheetName val="0399其他材料"/>
      <sheetName val="05自制半成品"/>
      <sheetName val="Properties"/>
      <sheetName val="___耀____--______________"/>
      <sheetName val="SENSITIVITY"/>
      <sheetName val="DWMC"/>
      <sheetName val="营业收入和税金及附加估算表"/>
      <sheetName val="addl cost"/>
      <sheetName val="detail"/>
      <sheetName val="短期借款汇总表"/>
      <sheetName val="长期借款汇总表"/>
      <sheetName val="CHART_E"/>
      <sheetName val="C-1 总表"/>
      <sheetName val="4.1-合同台帐"/>
      <sheetName val="sch9-1-1"/>
      <sheetName val="Income Statement and KPIs"/>
      <sheetName val="Financials"/>
      <sheetName val="收入明细"/>
      <sheetName val="内贸合同总价表"/>
      <sheetName val="玛赛软件合同总价表"/>
      <sheetName val="内贸采购合同总价表"/>
      <sheetName val="CAPEX(M)"/>
      <sheetName val="数据定义1"/>
      <sheetName val="index cc"/>
      <sheetName val="采购计划信息"/>
      <sheetName val="抵消科目"/>
      <sheetName val="使用说明2-明细及范例"/>
      <sheetName val="B1-1"/>
      <sheetName val="Lib"/>
      <sheetName val="Lead&amp;Breakdown"/>
      <sheetName val="1.5 合同、非合同台帐"/>
      <sheetName val="汇率"/>
      <sheetName val="代码"/>
      <sheetName val="costcent-accoun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01"/>
      <sheetName val="C_311"/>
      <sheetName val="C_313"/>
      <sheetName val="C_318"/>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DLCD"/>
      <sheetName val="Non-Statistical Sampling Master"/>
      <sheetName val="Global Data"/>
      <sheetName val="交行定期存款户"/>
      <sheetName val="4.1拆出资金"/>
      <sheetName val="BE"/>
      <sheetName val="CH"/>
      <sheetName val="RU"/>
      <sheetName val="进口设备FOB总价表"/>
      <sheetName val="采购周期"/>
      <sheetName val="ENG_Cons"/>
      <sheetName val="NAO"/>
      <sheetName val="PAO_Cons"/>
      <sheetName val="WHQ_Cons"/>
      <sheetName val="Rev"/>
      <sheetName val="aging 0612"/>
      <sheetName val="cust"/>
      <sheetName val="NA QTR PROD"/>
      <sheetName val="Official Lehman PROD Sched"/>
      <sheetName val="快智"/>
      <sheetName val="快迪"/>
      <sheetName val="Income statement"/>
      <sheetName val="预收预付OROP"/>
      <sheetName val="AIS"/>
      <sheetName val="acc list"/>
      <sheetName val="在建工程 final"/>
      <sheetName val="Volatility"/>
      <sheetName val="Instructions"/>
      <sheetName val="SD-Report 5&quot;"/>
      <sheetName val="关联交易-存款hࢀ_ࢀ__x0001_"/>
      <sheetName val="整体计划"/>
      <sheetName val="主要会计政策"/>
      <sheetName val="基本情况"/>
      <sheetName val="SAP"/>
      <sheetName val="643"/>
      <sheetName val="665"/>
      <sheetName val="666"/>
      <sheetName val="667"/>
      <sheetName val="510"/>
      <sheetName val="677"/>
      <sheetName val="Sheet7"/>
      <sheetName val="Rejects PPM"/>
      <sheetName val="Roadmap"/>
      <sheetName val="QOS RPPM"/>
      <sheetName val="Standort (DE)"/>
      <sheetName val="Laendercodes"/>
      <sheetName val="LISTS"/>
      <sheetName val="Act Vol"/>
      <sheetName val="Validations"/>
      <sheetName val="1060"/>
      <sheetName val="Customer Name"/>
      <sheetName val="期末库存"/>
      <sheetName val="36"/>
      <sheetName val="细节测试审计抽样"/>
      <sheetName val="索引表"/>
      <sheetName val="Page-Acquisitions"/>
      <sheetName val="Quantity"/>
      <sheetName val="关联交易-存款__x005f_x0000__x005f_x0000_滨㠼_x005f_x0000_"/>
      <sheetName val="关联交易-存款__x005f_x0000__x005f_x0000__x005f_x0000__x"/>
      <sheetName val="关联交易-存款_x005f_x0000__x005f_x0000_茀戫_x005f_x0000_"/>
      <sheetName val="关联交易-存款__x005f_x0000__x005f_x0000_滨__x005f_x0000_"/>
      <sheetName val="全仕向地"/>
      <sheetName val="附注"/>
      <sheetName val="ACC.NAME"/>
      <sheetName val="6118-17"/>
      <sheetName val="U900"/>
      <sheetName val="Y2研发项目表"/>
      <sheetName val="ZP4"/>
      <sheetName val="zp5_kw38"/>
      <sheetName val="ZP7 gespritzt"/>
      <sheetName val="HEADER"/>
      <sheetName val="底稿0000"/>
      <sheetName val="货币兑换汇率"/>
      <sheetName val="chen"/>
      <sheetName val="Covering"/>
      <sheetName val="E1"/>
      <sheetName val="名称"/>
      <sheetName val="初表"/>
      <sheetName val="TB2005"/>
      <sheetName val="4-6生产"/>
      <sheetName val="4-6生产入库"/>
      <sheetName val="4-6销售出库"/>
      <sheetName val="7-9销售出库"/>
      <sheetName val="7-9生产零用"/>
      <sheetName val="7-9生产入库"/>
      <sheetName val="599"/>
      <sheetName val="关联交易-存款h_x005f_x0001___x005f_x0001___"/>
      <sheetName val="BS1"/>
      <sheetName val="BS2"/>
      <sheetName val="固定资产明细表"/>
      <sheetName val="总目录"/>
      <sheetName val="关联交易-存款h_x005f_x005f_x005f_x0001___x005f_x005f_x0"/>
      <sheetName val="501"/>
      <sheetName val="713"/>
      <sheetName val="715"/>
      <sheetName val="752"/>
      <sheetName val=""/>
      <sheetName val="A300-试算平衡表"/>
      <sheetName val="2550"/>
      <sheetName val="2552"/>
      <sheetName val="_2562"/>
      <sheetName val="_2565"/>
      <sheetName val="3409"/>
      <sheetName val="5059"/>
      <sheetName val="5133"/>
      <sheetName val="GA5-2-1 明细表2015"/>
      <sheetName val="truc_tiep1"/>
      <sheetName val="P_1预收、其他应付、其他流动负债1"/>
      <sheetName val="G_预付账款、其他应收款、其他流动资产1"/>
      <sheetName val="_U1501"/>
      <sheetName val="2-分类汇总_Classified_Summary1"/>
      <sheetName val="N_应付账款"/>
      <sheetName val="Raw_materials"/>
      <sheetName val="II-_Liability_Component_June_04"/>
      <sheetName val="I-Conclusion_"/>
      <sheetName val="II-_Liab__comp_IAS"/>
      <sheetName val="Conversion_feature"/>
      <sheetName val="I-_Summary"/>
      <sheetName val="Ex_Diff"/>
      <sheetName val="关联交易-存款hࢀ_ࢀ__x005f_x005f_x005f_x005f_x005f_x005f_"/>
      <sheetName val="TAB_Daten"/>
      <sheetName val="Sch_PR-2"/>
      <sheetName val="Sch_PR-3"/>
      <sheetName val="Consol_BS"/>
      <sheetName val="HO_&amp;_Aust_BS"/>
      <sheetName val="JAC11_30"/>
      <sheetName val="Tier1_Pref_SGP"/>
      <sheetName val="Rev__Losses"/>
      <sheetName val="SoP_SGP2"/>
      <sheetName val="Prop_R"/>
      <sheetName val="Tier1_Pref_SBP"/>
      <sheetName val="关联交易-存款hࢀ_ࢀ__x005f_x005f_"/>
      <sheetName val="qad_TB"/>
      <sheetName val="Income_Statement_breakdown"/>
      <sheetName val="销售6_13"/>
      <sheetName val="关联交易-存款?滨?_"/>
      <sheetName val="668"/>
      <sheetName val="669"/>
      <sheetName val="694"/>
      <sheetName val="O201"/>
      <sheetName val="开发成本2002 - Movement"/>
      <sheetName val="Safari09"/>
      <sheetName val="Cover_封面"/>
      <sheetName val="国别报告数据填报模板(Information Request)"/>
      <sheetName val="Salses breakdown"/>
      <sheetName val="삅ོ䚋栠Ѫ_x005f_x0000_ࡪ"/>
      <sheetName val="삅ོ䚋栠Ѫ_x005f_x005f_x005f_x0000_ࡪ"/>
      <sheetName val="삅ོ䚋栠Ѫࡪ㋨ﯾ_xff"/>
      <sheetName val="546"/>
      <sheetName val="Erg_rechnung"/>
      <sheetName val="_2590"/>
      <sheetName val="_2642"/>
      <sheetName val="_2647"/>
      <sheetName val="Questions"/>
      <sheetName val="fORMULAE"/>
      <sheetName val="短期投资"/>
      <sheetName val="Consolidation"/>
      <sheetName val="N201"/>
      <sheetName val="COP"/>
      <sheetName val="VIPS_Annotation_Sheet"/>
      <sheetName val="VIPS_Exchange_Sheet"/>
      <sheetName val="VIPS_Live_Sheet"/>
      <sheetName val="VS Consensus"/>
      <sheetName val="VIPS_Validation_Sheet"/>
      <sheetName val="销售人效 - Overview"/>
      <sheetName val="AV"/>
      <sheetName val="Storage"/>
      <sheetName val="RelR"/>
      <sheetName val="Factset"/>
      <sheetName val="Two Step Revenue Testing Master"/>
      <sheetName val="Share Prices"/>
      <sheetName val="geog"/>
      <sheetName val="data餐饮-FOOD"/>
      <sheetName val="Hist_BS"/>
      <sheetName val="职位序列JFJG"/>
      <sheetName val="TPU配比口径"/>
      <sheetName val="资本公积审定表"/>
      <sheetName val="Book 1 Summary"/>
      <sheetName val="Feb Allocation%"/>
      <sheetName val="P&amp;L_worksheet"/>
      <sheetName val="Com Lever"/>
      <sheetName val="expenses calc"/>
      <sheetName val="existing cities benchmark"/>
      <sheetName val="master sheet"/>
      <sheetName val="bike loss"/>
      <sheetName val="exchange rate"/>
      <sheetName val="DAU&amp;UV"/>
      <sheetName val="CB"/>
      <sheetName val="Cash Flow Worksheet"/>
      <sheetName val="Chart Analysis"/>
      <sheetName val="4月分摊比例"/>
      <sheetName val="P&amp;L透视数据"/>
      <sheetName val="P&amp;L调整数据"/>
      <sheetName val="BEER-PRO"/>
      <sheetName val="_137-2007"/>
      <sheetName val="Inputs"/>
      <sheetName val="2002"/>
      <sheetName val="2005.01"/>
      <sheetName val="利润表概览"/>
      <sheetName val="分录"/>
      <sheetName val="BD-1"/>
      <sheetName val="應付票據-附"/>
      <sheetName val="Form_1_C"/>
      <sheetName val="关联方信息"/>
      <sheetName val="9607"/>
      <sheetName val="Access360 - PP"/>
      <sheetName val="Program Controls"/>
      <sheetName val="BS Heading"/>
      <sheetName val="4月"/>
      <sheetName val="5月"/>
      <sheetName val="3月"/>
      <sheetName val="Reference2"/>
      <sheetName val="FSM"/>
      <sheetName val="关联交易-存款h_x005f_x005f_x005f_x005f_x005"/>
      <sheetName val="关联交易-存款_x005f_x005f_x005f_x005f_x005f"/>
      <sheetName val="삅ོ䚋栠Ѫ_x005f_x005f_x005f_x0000_ࡪ㋨ﯾ_xff"/>
      <sheetName val="外地"/>
      <sheetName val="PER SALES ORG"/>
      <sheetName val="ÆóÒµ±íÒ»"/>
      <sheetName val="明细表"/>
      <sheetName val="数据字典"/>
      <sheetName val="报表层次重要性水平"/>
      <sheetName val="利润及利润分配试算平衡表"/>
      <sheetName val="资产负债试算平衡表"/>
      <sheetName val="_______"/>
      <sheetName val="核算项目余额表"/>
      <sheetName val="08.8"/>
      <sheetName val="其他货币资金.dbf"/>
      <sheetName val="银行存款.dbf"/>
      <sheetName val="输入上年调整分录"/>
      <sheetName val="K200"/>
      <sheetName val="披露表"/>
      <sheetName val="6117（股份）"/>
      <sheetName val="EXP23BF45E1"/>
      <sheetName val="direct"/>
      <sheetName val="2018 ADJ"/>
      <sheetName val="预付账款汇总表"/>
      <sheetName val="表二甲机务F型"/>
      <sheetName val="options062906"/>
      <sheetName val="F19.2"/>
      <sheetName val="F19.1"/>
      <sheetName val="F5.5"/>
      <sheetName val="F5.3"/>
      <sheetName val="投行部保本理财产品清单"/>
      <sheetName val="Accounts Database"/>
      <sheetName val="FiedValidationSheet"/>
      <sheetName val="Rev05"/>
      <sheetName val="非合同台帐"/>
      <sheetName val="CH Car"/>
      <sheetName val="App1 Entities sequence number"/>
      <sheetName val="BS-舟山"/>
      <sheetName val="CJE_energy inv"/>
      <sheetName val="YTD SALES"/>
      <sheetName val="진행 DATA (2)"/>
      <sheetName val="02年1-2月营业费用部门明细"/>
      <sheetName val="22861"/>
      <sheetName val="_8004"/>
      <sheetName val="_8025"/>
      <sheetName val="PY-pp"/>
      <sheetName val="POWER ASSUMPTIONS"/>
      <sheetName val="summary "/>
      <sheetName val="基础条件"/>
      <sheetName val="关联交易-存款_滨_ "/>
      <sheetName val="Setting"/>
      <sheetName val="2018工程汇总 "/>
      <sheetName val="678"/>
      <sheetName val="1012"/>
      <sheetName val="품목코드"/>
      <sheetName val="CalcOutPut"/>
      <sheetName val="외화"/>
      <sheetName val="자금동향"/>
      <sheetName val="Acq Assumptions I"/>
      <sheetName val="Acq Assumptions II"/>
      <sheetName val="Acq Assumptions III"/>
      <sheetName val="A431_5030_GymboreeUK"/>
      <sheetName val="评估结论"/>
      <sheetName val="763"/>
      <sheetName val="固资序列表"/>
      <sheetName val="投资性房地产序列表"/>
      <sheetName val="清单"/>
      <sheetName val="Cash Flow - CY Workings"/>
      <sheetName val="2 cot"/>
      <sheetName val="647"/>
      <sheetName val="Company_Information"/>
      <sheetName val="Base_Info"/>
      <sheetName val="PV6_3_5L_LX5_GMX170"/>
      <sheetName val="清单12_31"/>
      <sheetName val="Economic_evaluation_-_FY98_base"/>
      <sheetName val="만기"/>
      <sheetName val="639"/>
      <sheetName val="356"/>
      <sheetName val="DNEA_2011"/>
      <sheetName val="시산표"/>
      <sheetName val="Calculations"/>
      <sheetName val="1.资金支付台帐"/>
      <sheetName val="0.1公司清单"/>
      <sheetName val="H101(OK)"/>
      <sheetName val="市場"/>
      <sheetName val="辅助"/>
      <sheetName val="托售"/>
      <sheetName val="电子库龄"/>
      <sheetName val="Service Parts Rejects (RPPM)"/>
      <sheetName val="零星(秋董)"/>
      <sheetName val="零星(X月度跟踪)"/>
      <sheetName val="Carole Worksheet Table"/>
      <sheetName val="N719(NC)"/>
      <sheetName val="1002-1031170406 Capital Account"/>
      <sheetName val="Aushilfe"/>
      <sheetName val="Umlagen"/>
      <sheetName val="Air Conditional"/>
      <sheetName val="Equipment"/>
      <sheetName val="Motor Vehicle"/>
      <sheetName val="Renovation"/>
      <sheetName val="Cash_Flow"/>
      <sheetName val="Income"/>
      <sheetName val="F40-Goodsin transit"/>
      <sheetName val="Margins"/>
      <sheetName val="P310"/>
      <sheetName val="G210"/>
      <sheetName val="HB1利润表2018"/>
      <sheetName val="SalaryData"/>
      <sheetName val="CHN_OLD"/>
      <sheetName val="M&amp;A pipeline"/>
      <sheetName val="Valmat"/>
      <sheetName val="J1_101_重分类明细"/>
      <sheetName val="A3_20161231"/>
      <sheetName val="1014"/>
      <sheetName val="1019"/>
      <sheetName val="625"/>
      <sheetName val="1013"/>
      <sheetName val="1016"/>
      <sheetName val="原材料变动表-金铜矿"/>
      <sheetName val="表二十二 (2)"/>
      <sheetName val="新的工作表_1"/>
      <sheetName val="附表1 年度人数"/>
      <sheetName val="成本测算"/>
      <sheetName val="设计部"/>
      <sheetName val="wl"/>
      <sheetName val="基础资料（B）"/>
      <sheetName val="Cash Flow"/>
      <sheetName val="备选项"/>
      <sheetName val="CS"/>
      <sheetName val="各公司简称"/>
      <sheetName val="WP-02"/>
      <sheetName val="编码表"/>
      <sheetName val="基础信息设置"/>
      <sheetName val="其他应收款"/>
      <sheetName val="WP-03"/>
      <sheetName val="FL"/>
      <sheetName val="WP-05"/>
      <sheetName val="函证对象基础表1"/>
      <sheetName val="往来科目余额明细表"/>
      <sheetName val="科目表（总）"/>
      <sheetName val="固定资产汇总表A17-1"/>
      <sheetName val="UFPrn20180206201449"/>
      <sheetName val="无形资产汇总表A21-1"/>
      <sheetName val="三和软件"/>
      <sheetName val="银行存款明细表"/>
      <sheetName val="_Profile"/>
      <sheetName val="26.存货月报表"/>
      <sheetName val="dpA"/>
      <sheetName val="METHANOL"/>
      <sheetName val="DSCR"/>
      <sheetName val="OPSRESULTS"/>
      <sheetName val="DEBT"/>
      <sheetName val="PARAMETER"/>
      <sheetName val="投入产出汇总"/>
      <sheetName val="指标"/>
      <sheetName val="IMPUTS"/>
      <sheetName val="CALCULOS"/>
      <sheetName val="2015调整分录"/>
      <sheetName val="2014调整分录"/>
      <sheetName val="项目索引"/>
      <sheetName val="2009调整分录"/>
      <sheetName val="cum pred"/>
      <sheetName val="签证"/>
      <sheetName val="明细分类账"/>
      <sheetName val="企业集团的构成"/>
      <sheetName val="MSIGet_Flags"/>
      <sheetName val="机房归属区域"/>
      <sheetName val="应收票据检查表"/>
      <sheetName val="K1_折旧测算表"/>
      <sheetName val="GenAssump"/>
      <sheetName val="营业"/>
      <sheetName val="人力成本数据源"/>
      <sheetName val="U1100_EJE调整"/>
      <sheetName val="Reference"/>
      <sheetName val="TZ0930"/>
      <sheetName val="D3"/>
      <sheetName val="邻酮定乙酚发出测试"/>
      <sheetName val="Group1"/>
      <sheetName val="采购订单"/>
      <sheetName val="15、采购订单"/>
      <sheetName val="关联交易-存款_滨__"/>
      <sheetName val="利塞专项"/>
      <sheetName val="Balance"/>
      <sheetName val="库存商品余额表.dbf"/>
      <sheetName val="UFPrn20010206163251"/>
      <sheetName val="6414-2"/>
      <sheetName val="Prices"/>
      <sheetName val="1017"/>
      <sheetName val="1018"/>
      <sheetName val="1020"/>
      <sheetName val="U112"/>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Sheet0"/>
      <sheetName val="Project Details"/>
      <sheetName val="_dropdownlistitems_"/>
      <sheetName val="N5b1-其他收入和利得净值"/>
      <sheetName val="关联交易-存款lঀ;ঀ;_x005f_x005f_"/>
      <sheetName val="关联交易-存款l઀Ƽ઀Ƽ_x005f_x005f_"/>
      <sheetName val="삅ོ䚋栠Ѫ_x005f_x005f_x005f_x005f_x"/>
      <sheetName val="Tritel Consolidated"/>
      <sheetName val="TeleCorp Holdco Summary"/>
      <sheetName val="类别"/>
      <sheetName val="DATA-P&amp;L98"/>
      <sheetName val="Sales Volumes &amp; Plan"/>
      <sheetName val="Net Sales LC"/>
      <sheetName val="项目目录"/>
      <sheetName val="企业项目目录"/>
      <sheetName val="科目名称表"/>
      <sheetName val="底稿01"/>
      <sheetName val="附注明细"/>
      <sheetName val="query results"/>
      <sheetName val="会计科目表"/>
      <sheetName val="Opening check_Misc (WO Only)"/>
      <sheetName val="Sum2000"/>
      <sheetName val="Returns&gt;&gt;"/>
      <sheetName val="IRR Historic"/>
      <sheetName val="Portfolio IRR"/>
      <sheetName val="Marimekko"/>
      <sheetName val="Inputs&gt;&gt;"/>
      <sheetName val="Analyst&gt;&gt;"/>
      <sheetName val="Val Inputs"/>
      <sheetName val="Model Inputs"/>
      <sheetName val="2_AC"/>
      <sheetName val="3_AC"/>
      <sheetName val="4_AC"/>
      <sheetName val="5_AC"/>
      <sheetName val="6_AC"/>
      <sheetName val="7_AC"/>
      <sheetName val="8_AC"/>
      <sheetName val="9_AC"/>
      <sheetName val="10_AC"/>
      <sheetName val="11_AC"/>
      <sheetName val="12_AC"/>
      <sheetName val="13_AC"/>
      <sheetName val="14_AC"/>
      <sheetName val="Exchange Rates&gt;&gt;"/>
      <sheetName val="2"/>
      <sheetName val="3"/>
      <sheetName val="4"/>
      <sheetName val="Funding&gt;&gt;"/>
      <sheetName val="Years"/>
      <sheetName val="Funding Combined"/>
      <sheetName val="Q1"/>
      <sheetName val="Q2"/>
      <sheetName val="Q3"/>
      <sheetName val="Q4"/>
      <sheetName val="FY18 funding"/>
      <sheetName val="Previous"/>
      <sheetName val="iFood funding"/>
      <sheetName val="Conversions&gt;&gt;"/>
      <sheetName val="Summary Adjusted"/>
      <sheetName val="Summary Combined"/>
      <sheetName val="Conversion Roll forward"/>
      <sheetName val="Summary Roll Forward"/>
      <sheetName val="Conversion DCF"/>
      <sheetName val="Summary DCF"/>
      <sheetName val="Conversion Cash Flow"/>
      <sheetName val="Summary Cash Flow"/>
      <sheetName val="Variables&gt;&gt;"/>
      <sheetName val="Companies"/>
      <sheetName val="Company Name mappings"/>
      <sheetName val="End"/>
      <sheetName val="PH Car"/>
      <sheetName val="FORGING"/>
      <sheetName val="Dic"/>
      <sheetName val="工行"/>
      <sheetName val="利润分析"/>
      <sheetName val="资产负债分析"/>
      <sheetName val="固定资产清理Dy"/>
      <sheetName val="Proforma"/>
      <sheetName val="Size_Growth_Adj"/>
      <sheetName val="NC差异表"/>
      <sheetName val="Related company"/>
      <sheetName val="JobDetails"/>
      <sheetName val="Data From XXX"/>
      <sheetName val="Delphi original"/>
      <sheetName val="FUEL FILLER"/>
      <sheetName val="CA-O7"/>
      <sheetName val="Related_company"/>
      <sheetName val="Delphi_original"/>
      <sheetName val="Data_From_XXX"/>
      <sheetName val="FUEL_FILLER"/>
      <sheetName val="list导入方式"/>
      <sheetName val="Equity"/>
      <sheetName val="短期借款审定表"/>
      <sheetName val="Capex report"/>
      <sheetName val="科目代码"/>
      <sheetName val="F&amp;F(2003)"/>
      <sheetName val="IT(2003)"/>
      <sheetName val="Budget-Bal"/>
      <sheetName val="info"/>
      <sheetName val="银行余额调节表(明细)"/>
      <sheetName val="   合同台账  "/>
      <sheetName val="付款进度表"/>
      <sheetName val="CIP DETAILS"/>
      <sheetName val="1021"/>
      <sheetName val="Sales for 2001"/>
      <sheetName val="Nvar"/>
      <sheetName val="1380"/>
      <sheetName val="1381"/>
      <sheetName val="Salinfo"/>
      <sheetName val="Cntmrs-Recruit"/>
      <sheetName val="2330900原稿"/>
      <sheetName val="Info. Request"/>
      <sheetName val="U-500销售费用"/>
      <sheetName val="U-700财务费用"/>
      <sheetName val="WP"/>
      <sheetName val="14480000"/>
      <sheetName val="AC_DATA"/>
      <sheetName val="U1.6"/>
      <sheetName val="底稿2001年"/>
      <sheetName val="后续pre-IPO及IPO融资计划"/>
      <sheetName val="假设受让老股股东以增资方式进入-估值测算"/>
      <sheetName val="Price Provision 清单"/>
      <sheetName val="预提明细"/>
      <sheetName val="1239"/>
      <sheetName val="SFS(ACTUAL)"/>
      <sheetName val="Contents"/>
      <sheetName val="WELCOME"/>
      <sheetName val="bank"/>
      <sheetName val="管理费用部门"/>
      <sheetName val="Corpalloc"/>
      <sheetName val="AcctChEntry"/>
      <sheetName val="ExchEntry"/>
      <sheetName val="PltRpt (A&amp;F)"/>
      <sheetName val="PltRpt (A&amp;FvsB)"/>
      <sheetName val="PltRpt (B&amp;AC)"/>
      <sheetName val="Schedule B"/>
      <sheetName val="TASSI2"/>
      <sheetName val="Tav.22 Rischio di Credito"/>
      <sheetName val="物流费用预算表(A4)"/>
      <sheetName val="销售费用预算表(A4)"/>
      <sheetName val="管理费用预算表(A4)"/>
      <sheetName val="信息费用预算表(A4) "/>
      <sheetName val="研发费用预算明细表A3"/>
      <sheetName val="制造成本预算表A3"/>
      <sheetName val="盈利打平趋势判断"/>
      <sheetName val="Depreciation test"/>
      <sheetName val="映射"/>
      <sheetName val="beer-indstry"/>
      <sheetName val="CoCos_Segments"/>
      <sheetName val="Table_US Currency"/>
      <sheetName val="Vol"/>
      <sheetName val="ORG"/>
      <sheetName val="工时"/>
      <sheetName val="T100"/>
      <sheetName val="ORG汇总表"/>
      <sheetName val="fixed assets –Forklifts"/>
      <sheetName val="fixed assets –battery"/>
      <sheetName val="ARP stt.2"/>
      <sheetName val="Jan"/>
      <sheetName val="Gen Accruals"/>
      <sheetName val="Legal Accrual"/>
      <sheetName val="Payroll Accrual"/>
      <sheetName val="Malaysia"/>
      <sheetName val="Taiwan"/>
      <sheetName val="CA_new"/>
      <sheetName val="匹配表"/>
      <sheetName val="物价指数（月度）"/>
      <sheetName val="Cost of Equity"/>
      <sheetName val="有効使用期間12年"/>
      <sheetName val="A_R_013"/>
      <sheetName val="ADJ_Sum(console)3"/>
      <sheetName val="Defer_tax3"/>
      <sheetName val="Estimated_AP_9_033"/>
      <sheetName val="2005_062"/>
      <sheetName val="Mar_OR2"/>
      <sheetName val="REC_972"/>
      <sheetName val="daywork-_Tham_khao2"/>
      <sheetName val="TB_Link2"/>
      <sheetName val="office_supplies1"/>
      <sheetName val="Financ__Overview1"/>
      <sheetName val="各年往来_(2)1"/>
      <sheetName val="IFRS_REPORTING1"/>
      <sheetName val="关联交易-存款hࢀ_ࢀ__x005f_x0001_1"/>
      <sheetName val="A5_Summary1"/>
      <sheetName val="关联交易-存款hࢀ_ࢀ__x005f_x005f_x005f_x0001_1"/>
      <sheetName val="zero_(3)1"/>
      <sheetName val="3_21"/>
      <sheetName val="A3_Sum1"/>
      <sheetName val="Invest_1"/>
      <sheetName val="Inv_days_#51"/>
      <sheetName val="control_sheet_fund_II1"/>
      <sheetName val="Exec_Summary1"/>
      <sheetName val="F1100芯片测试费_1"/>
      <sheetName val="关联交易-存款h_x00"/>
      <sheetName val="关联交易-存款hࢀ_ࢀ__"/>
      <sheetName val="短期投资股票投资_dbf"/>
      <sheetName val="短期投资国债投资_dbf"/>
      <sheetName val="股票投资收益_dbf"/>
      <sheetName val="其他货币海通_dbf"/>
      <sheetName val="其他货币零领路_dbf"/>
      <sheetName val="投资收益债券_dbf"/>
      <sheetName val="P&amp;L_adhoc"/>
      <sheetName val="Suppl_Adhoc_Inv_(F)"/>
      <sheetName val="Suppl_Adhoc_Pers"/>
      <sheetName val="QTR_Data_Analysis"/>
      <sheetName val="Disclosure_Summary"/>
      <sheetName val="关联交易-存款h???"/>
      <sheetName val="BOX_SUM"/>
      <sheetName val="FIN_GOOD"/>
      <sheetName val="Hyperion_Link"/>
      <sheetName val="Price_List"/>
      <sheetName val="1461（12_6）"/>
      <sheetName val="Payed_bonuses"/>
      <sheetName val="Output_&amp;_Financial_Statements"/>
      <sheetName val="Old_TWX_Quorfa"/>
      <sheetName val="TWX_Model"/>
      <sheetName val="FS_Output_4"/>
      <sheetName val="FS_Output_1"/>
      <sheetName val="FS_Output_3"/>
      <sheetName val="FS_Output2"/>
      <sheetName val="Deal_Structure_&amp;_Control_Page"/>
      <sheetName val="Historic_Comps"/>
      <sheetName val="Bank_card_list"/>
      <sheetName val="All_Cash_Dil"/>
      <sheetName val="关联交易-存款hࢀ_ࢀ__x005f_x005f_x005f_x005f_"/>
      <sheetName val="1-_Input_&amp;_Info"/>
      <sheetName val="CUSTOMER_(DETAIL)"/>
      <sheetName val="Antivol_D2"/>
      <sheetName val="2_5上年现金试算"/>
      <sheetName val="Romford_Market"/>
      <sheetName val="&lt;FF&gt;_Tax_Payable"/>
      <sheetName val="PPD_Schedule"/>
      <sheetName val="Base_Data"/>
      <sheetName val="1_0"/>
      <sheetName val="Detail_Loan_Move__&amp;_Listing"/>
      <sheetName val="AR_Drop_Downs"/>
      <sheetName val="PRC_GAAP"/>
      <sheetName val="CLA-21.1-4 OLD"/>
      <sheetName val="关联交易-存款hࢀ_ࢀ_1"/>
      <sheetName val="addl_cost"/>
      <sheetName val="综合成本分析01_01-0205"/>
      <sheetName val="CY_sales_report"/>
      <sheetName val="SD-Report_5&quot;"/>
      <sheetName val="M_Schedules"/>
      <sheetName val="Staff_List"/>
      <sheetName val="Rejects_PPM"/>
      <sheetName val="QOS_RPPM"/>
      <sheetName val="Standort_(DE)"/>
      <sheetName val="Act_Vol"/>
      <sheetName val="链接表（勿动）_元)"/>
      <sheetName val="两次基准日的对比_(0531与0831)"/>
      <sheetName val="链接表（勿动）_(元表)"/>
      <sheetName val="Customer_Name"/>
      <sheetName val="652"/>
      <sheetName val="E3 A"/>
      <sheetName val="1252"/>
      <sheetName val="1269"/>
      <sheetName val="648"/>
      <sheetName val="H101"/>
      <sheetName val=" "/>
      <sheetName val="首页"/>
      <sheetName val="程序执行复核"/>
      <sheetName val="单位情况调查表"/>
      <sheetName val="试算表"/>
      <sheetName val="调帐书(初)"/>
      <sheetName val="调帐书(末)"/>
      <sheetName val="资产负债(前)"/>
      <sheetName val="利润(前)"/>
      <sheetName val="资产负债(后)"/>
      <sheetName val="利润(后)"/>
      <sheetName val="现金流量"/>
      <sheetName val="流量表编制底稿"/>
      <sheetName val="所有者权益变动表"/>
      <sheetName val="税费"/>
      <sheetName val="个税"/>
      <sheetName val="透视表"/>
      <sheetName val="您好"/>
      <sheetName val="休息"/>
      <sheetName val="现金"/>
      <sheetName val="银行存款"/>
      <sheetName val="应收票据"/>
      <sheetName val="房款按项目分"/>
      <sheetName val="房款按明细"/>
      <sheetName val="25号、30号诚意金"/>
      <sheetName val="回迁区未给村面积"/>
      <sheetName val="一期已售未售统计"/>
      <sheetName val="一期未售明细"/>
      <sheetName val="一期未入账顶账差价"/>
      <sheetName val="一期顶账未定价、收款"/>
      <sheetName val="一期按揭款"/>
      <sheetName val="二期已售未售统计"/>
      <sheetName val="二期未售明细"/>
      <sheetName val="二期未入账顶账差价"/>
      <sheetName val="二期顶账未定价、收款"/>
      <sheetName val="储藏室"/>
      <sheetName val="车位"/>
      <sheetName val="27#计算"/>
      <sheetName val="应收-27#"/>
      <sheetName val="预付账款"/>
      <sheetName val="原材料"/>
      <sheetName val="低值易耗品"/>
      <sheetName val="开发成本"/>
      <sheetName val="待摊费用"/>
      <sheetName val="应付账款"/>
      <sheetName val="预收账款"/>
      <sheetName val="实收资本"/>
      <sheetName val="利润分配"/>
      <sheetName val="经营收入"/>
      <sheetName val="营业外收入"/>
      <sheetName val="经营成本"/>
      <sheetName val="税金及附加"/>
      <sheetName val="销售费用"/>
      <sheetName val="管理费用"/>
      <sheetName val="财务费用"/>
      <sheetName val="营业外支出"/>
      <sheetName val="所得税"/>
      <sheetName val="投资收益"/>
      <sheetName val="底稿"/>
      <sheetName val="空白表"/>
      <sheetName val="累计折旧计算"/>
      <sheetName val="存款"/>
      <sheetName val="增值税"/>
      <sheetName val="工资福利费"/>
      <sheetName val="房地产预售"/>
      <sheetName val="生产成本底稿"/>
      <sheetName val="成本倒轧"/>
      <sheetName val="发出计价"/>
      <sheetName val="期间费用分类明细"/>
      <sheetName val="通用检查底稿"/>
      <sheetName val="往来款款替代程序表"/>
      <sheetName val="函证汇总"/>
      <sheetName val="材料采购-入库"/>
      <sheetName val="原材料－其他"/>
      <sheetName val="材料成本差异－运费等"/>
      <sheetName val="会计政策"/>
      <sheetName val="设定"/>
      <sheetName val="2011年现金银行存款序时账"/>
      <sheetName val="receivable"/>
      <sheetName val="UFPrn20220125085127"/>
      <sheetName val="1月"/>
      <sheetName val="CAIXA"/>
      <sheetName val="Ex. rate"/>
      <sheetName val="报表项目"/>
      <sheetName val="591"/>
      <sheetName val="9100-PO"/>
      <sheetName val="制造费用分项明细表"/>
      <sheetName val="财务指标"/>
      <sheetName val="SPI"/>
      <sheetName val="SPI GMBH"/>
      <sheetName val="PDCC"/>
      <sheetName val="SSI"/>
      <sheetName val="Syntegra"/>
      <sheetName val="明細"/>
      <sheetName val="K140"/>
      <sheetName val="1107"/>
      <sheetName val="662"/>
      <sheetName val="141231#"/>
      <sheetName val="20141231"/>
      <sheetName val="1022"/>
      <sheetName val="MasterList"/>
      <sheetName val="帐户汇总表_2008年1月至12月_18末级"/>
      <sheetName val="帐户汇总表_2008年1月至12月_14一级"/>
      <sheetName val="帐户汇总表_2008年1月至12月_13末级"/>
      <sheetName val="帐户汇总表_2008年1月至12月_18一级"/>
      <sheetName val="帐户汇总表_2008年1月至12月_14末级"/>
      <sheetName val="Summary Page_VDF"/>
      <sheetName val="Invested capital_VDF"/>
      <sheetName val="FxdChg"/>
      <sheetName val="F2"/>
      <sheetName val="LT_ADJ"/>
      <sheetName val="LT TB"/>
      <sheetName val="LTMD TB"/>
      <sheetName val="OC TB"/>
      <sheetName val="ZD TB"/>
      <sheetName val="LSBP"/>
      <sheetName val="Agency Walker ID"/>
      <sheetName val="PublishCashFlow"/>
      <sheetName val="Client"/>
      <sheetName val="PublishIncome"/>
      <sheetName val="Databox"/>
      <sheetName val="sales breakdown"/>
      <sheetName val="co info"/>
      <sheetName val="Interim NWA converted in Dec02"/>
      <sheetName val="AP-NSK(other)"/>
      <sheetName val="AP-Sing"/>
      <sheetName val="AP-NSK(trade) USD"/>
      <sheetName val="IV-NSK JPY"/>
      <sheetName val="AP-anshun"/>
      <sheetName val="AP-KUSHAN"/>
      <sheetName val="ap-Korea"/>
      <sheetName val="AP-NSK (trade) JPY"/>
      <sheetName val="AP-ISC"/>
      <sheetName val="AR-Chiaphua"/>
      <sheetName val="AR-ASTEC"/>
      <sheetName val="AR-Handing"/>
      <sheetName val="AR-Hintai"/>
      <sheetName val="AR-INH"/>
      <sheetName val="AR-Iwatani"/>
      <sheetName val="ar-john"/>
      <sheetName val="AR-KTB JPY"/>
      <sheetName val="IV-KUSHAN"/>
      <sheetName val="ar-kusatsu"/>
      <sheetName val="AR-NSK (trade) USD"/>
      <sheetName val="ar-OKI Micro"/>
      <sheetName val="AR-Super"/>
      <sheetName val="AR-TAIKO JPY"/>
      <sheetName val="BR-Thousand JPY"/>
      <sheetName val="BR-Wah"/>
      <sheetName val="China-GBP"/>
      <sheetName val="China-JPY"/>
      <sheetName val="China-USD1"/>
      <sheetName val="IV-NIS"/>
      <sheetName val="DR-JPY"/>
      <sheetName val="DR-USD"/>
      <sheetName val="Fuji-USD"/>
      <sheetName val="Fuji-JPY"/>
      <sheetName val="Fuji"/>
      <sheetName val="IS01"/>
      <sheetName val="int-paid"/>
      <sheetName val="secretarial"/>
      <sheetName val="TR1"/>
      <sheetName val="气保"/>
      <sheetName val="联合"/>
      <sheetName val="分离后总调室"/>
      <sheetName val="F余额表2021"/>
      <sheetName val="F余额表2021 (2)"/>
      <sheetName val="F余额表2021 (3)"/>
      <sheetName val="其他业务收入2010"/>
      <sheetName val="其他业务收入09"/>
      <sheetName val="其他业务收入08"/>
      <sheetName val="营业外收入09"/>
      <sheetName val="营业外收入08"/>
      <sheetName val="营业外支出08"/>
      <sheetName val="其他业务成本.111031"/>
      <sheetName val="FSA"/>
      <sheetName val="K200-PRC"/>
      <sheetName val="TC-Pricing"/>
      <sheetName val="Calculation"/>
      <sheetName val="二厂一季度单位成本"/>
      <sheetName val="K311 A_List02"/>
      <sheetName val="99Exh I"/>
      <sheetName val="596"/>
      <sheetName val="외주현황.wq1"/>
      <sheetName val="1074"/>
      <sheetName val="关联交易-存款h_x005f_x0001_?_x005f_x0001_??"/>
      <sheetName val="감가상각비(2002)"/>
      <sheetName val="zw"/>
      <sheetName val="Difference Reconcliation"/>
      <sheetName val="RPT Disclosure"/>
      <sheetName val="FY99 Volume"/>
      <sheetName val="Sal &amp; Wage Info"/>
      <sheetName val="合并范围内关联方清单"/>
      <sheetName val="LAbor estimate"/>
      <sheetName val="表3_1_2货币资金—银行存款"/>
      <sheetName val="2018.4.7 for Bank"/>
      <sheetName val="재료비"/>
      <sheetName val="661"/>
      <sheetName val="金额式"/>
      <sheetName val="关联交易-存款__x005f_x0000__x00"/>
      <sheetName val="关联交易-存款_x005f_x0000__x00"/>
      <sheetName val="关联交易-存款h_x005f_x0001___x0"/>
      <sheetName val="statement_1998"/>
      <sheetName val="XVIa(i)_-_average_price_(2)"/>
      <sheetName val="Table_13_1_-_3"/>
      <sheetName val="SPLICE HOURS"/>
      <sheetName val="DEP"/>
      <sheetName val="노동부"/>
      <sheetName val="SC HKD CA"/>
      <sheetName val="GDH"/>
      <sheetName val="M.P."/>
      <sheetName val="销量"/>
      <sheetName val="成本要素表"/>
      <sheetName val="Taux de change "/>
      <sheetName val="plantilla mes"/>
      <sheetName val="PL by month-EFY"/>
      <sheetName val="AR1-F20"/>
      <sheetName val="AR2-F21"/>
      <sheetName val="283"/>
      <sheetName val="数据库"/>
      <sheetName val="Calcs_for _quarterly_pres"/>
      <sheetName val="FOREX_IMPACTS"/>
      <sheetName val="Valuation Matrix"/>
      <sheetName val="sales"/>
      <sheetName val="sd"/>
      <sheetName val="F-B"/>
      <sheetName val="Cash&amp;bank"/>
      <sheetName val="cur rates"/>
      <sheetName val="Total 2009"/>
      <sheetName val="3rd Qtr"/>
      <sheetName val="5th Qtr"/>
      <sheetName val="6th Qtr"/>
      <sheetName val="7th Qtr"/>
      <sheetName val="Exit Forecast"/>
      <sheetName val="2nd Qtr"/>
      <sheetName val="Rounded Input"/>
      <sheetName val="汇率影响"/>
      <sheetName val="_003.3固定资产"/>
      <sheetName val="551"/>
      <sheetName val="613"/>
      <sheetName val="1154"/>
      <sheetName val="620"/>
      <sheetName val="EV_VO"/>
      <sheetName val="SUIVI EFFECTIFS"/>
      <sheetName val="Tons"/>
      <sheetName val="tit"/>
      <sheetName val="#¡REF"/>
      <sheetName val="Vendas Tons"/>
      <sheetName val="C.Estr."/>
      <sheetName val="indice"/>
      <sheetName val="mixprod"/>
      <sheetName val="raf"/>
      <sheetName val="rce"/>
      <sheetName val="CAB"/>
      <sheetName val="EFFECT."/>
      <sheetName val="abcd"/>
      <sheetName val="P&amp;L-ACT"/>
      <sheetName val="U210' "/>
      <sheetName val="504"/>
      <sheetName val="1440"/>
      <sheetName val=" W60A Seating_2011.3.7.xlsx"/>
      <sheetName val="FIRE Parameters"/>
      <sheetName val="SALE"/>
      <sheetName val="LTM"/>
      <sheetName val="CREDIT STATS"/>
      <sheetName val="FAT DB"/>
      <sheetName val="CF Bridge"/>
      <sheetName val="收入分析_客商量价步行图"/>
      <sheetName val="净利润步行图"/>
      <sheetName val="Other R&amp;O"/>
      <sheetName val="Co 59"/>
      <sheetName val="FA List"/>
      <sheetName val="XLNXWKSH"/>
      <sheetName val="Mobile"/>
      <sheetName val="Operating "/>
      <sheetName val="Earnings"/>
      <sheetName val="AP_Accrued"/>
      <sheetName val="CFS adjustments"/>
      <sheetName val="2018底稿"/>
      <sheetName val="Drop down"/>
      <sheetName val="17-19IS"/>
      <sheetName val="17-19BS"/>
      <sheetName val="17-19CFS"/>
      <sheetName val="BEV"/>
      <sheetName val="TTCS"/>
      <sheetName val="CUST-STD"/>
      <sheetName val="1042"/>
      <sheetName val="2010 Breakdown"/>
      <sheetName val="1478"/>
      <sheetName val="70151"/>
      <sheetName val="CA consolidated"/>
      <sheetName val="T1"/>
      <sheetName val="104"/>
      <sheetName val="RMB"/>
      <sheetName val="Sheet562"/>
      <sheetName val="VT_TEB Planung-2006"/>
      <sheetName val="Expenses with Comparisons"/>
      <sheetName val="TEV Multiples"/>
      <sheetName val="srcsuses"/>
      <sheetName val="WACC"/>
      <sheetName val="pswzParams"/>
      <sheetName val="CSM Data by CY "/>
      <sheetName val="FX_Assumptions"/>
      <sheetName val="LBOSHEL5"/>
      <sheetName val="Pref Probable Case Returns"/>
      <sheetName val="Interco_BSC 01"/>
      <sheetName val="销售(合同)"/>
      <sheetName val="truc_tiep2"/>
      <sheetName val="P_1预收、其他应付、其他流动负债2"/>
      <sheetName val="G_预付账款、其他应收款、其他流动资产2"/>
      <sheetName val="_U1502"/>
      <sheetName val="2-分类汇总_Classified_Summary2"/>
      <sheetName val="TAB_Daten1"/>
      <sheetName val="N_应付账款1"/>
      <sheetName val="Raw_materials1"/>
      <sheetName val="Tier1_Pref_SGP1"/>
      <sheetName val="Rev__Losses1"/>
      <sheetName val="SoP_SGP21"/>
      <sheetName val="Prop_R1"/>
      <sheetName val="Tier1_Pref_SBP1"/>
      <sheetName val="关联交易-存款hࢀ_ࢀ__x005f_x005f_x005f_x005f_x005f1"/>
      <sheetName val="关联交易-存款hࢀ_ࢀ__x005f_x005f_1"/>
      <sheetName val="Ex_Diff1"/>
      <sheetName val="II-_Liability_Component_June_01"/>
      <sheetName val="I-Conclusion_1"/>
      <sheetName val="II-_Liab__comp_IAS1"/>
      <sheetName val="Conversion_feature1"/>
      <sheetName val="I-_Summary1"/>
      <sheetName val="Income_Statement_breakdown1"/>
      <sheetName val="销售6_131"/>
      <sheetName val="Sch_PR-21"/>
      <sheetName val="Sch_PR-31"/>
      <sheetName val="Consol_BS1"/>
      <sheetName val="HO_&amp;_Aust_BS1"/>
      <sheetName val="JAC11_301"/>
      <sheetName val="关联交易-存款?滨?_1"/>
      <sheetName val="qad_TB1"/>
      <sheetName val="F40-Goodsin_transit"/>
      <sheetName val="开发成本2002_-_Movement"/>
      <sheetName val="库存商品余额表_dbf"/>
      <sheetName val="C-1_总表"/>
      <sheetName val="4_1-合同台帐"/>
      <sheetName val="Income_Statement_and_KPIs"/>
      <sheetName val="index_cc"/>
      <sheetName val="1_5_合同、非合同台帐"/>
      <sheetName val="IS_Summary-96"/>
      <sheetName val="Library_Procedures"/>
      <sheetName val="Non-Statistical_Sampling_Master"/>
      <sheetName val="Global_Data"/>
      <sheetName val="4_1拆出资金"/>
      <sheetName val="aging_0612"/>
      <sheetName val="NA_QTR_PROD"/>
      <sheetName val="Official_Lehman_PROD_Sched"/>
      <sheetName val="Income_statement"/>
      <sheetName val="PRC_15"/>
      <sheetName val="acc_list"/>
      <sheetName val="在建工程_final"/>
      <sheetName val="ACC_NAME"/>
      <sheetName val="ZP7_gespritzt"/>
      <sheetName val="GA5-2-1_明细表2015"/>
      <sheetName val="진행_DATA_(2)"/>
      <sheetName val="Service_Parts_Rejects_(RPPM)"/>
      <sheetName val="Carole_Worksheet_Table"/>
      <sheetName val="VS_Consensus"/>
      <sheetName val="销售人效_-_Overview"/>
      <sheetName val="Two_Step_Revenue_Testing_Master"/>
      <sheetName val="Share_Prices"/>
      <sheetName val="Book_1_Summary"/>
      <sheetName val="Salses_breakdown"/>
      <sheetName val="国别报告数据填报模板(Information_Request)"/>
      <sheetName val="Acq_Assumptions_I"/>
      <sheetName val="Acq_Assumptions_II"/>
      <sheetName val="Acq_Assumptions_III"/>
      <sheetName val="1002-1031170406_Capital_Account"/>
      <sheetName val="CJE_energy_inv"/>
      <sheetName val="YTD_SALES"/>
      <sheetName val="Air_Conditional"/>
      <sheetName val="Motor_Vehicle"/>
      <sheetName val="关联交易-存款_滨__1"/>
      <sheetName val="Feb_Allocation%"/>
      <sheetName val="Com_Lever"/>
      <sheetName val="expenses_calc"/>
      <sheetName val="existing_cities_benchmark"/>
      <sheetName val="master_sheet"/>
      <sheetName val="bike_loss"/>
      <sheetName val="exchange_rate"/>
      <sheetName val="Cash_Flow_Worksheet"/>
      <sheetName val="Chart_Analysis"/>
      <sheetName val="M&amp;A_pipeline"/>
      <sheetName val="POWER_ASSUMPTIONS"/>
      <sheetName val="summary_"/>
      <sheetName val="2018工程汇总_"/>
      <sheetName val="2005_01"/>
      <sheetName val="Access360_-_PP"/>
      <sheetName val="Program_Controls"/>
      <sheetName val="BS_Heading"/>
      <sheetName val="PER_SALES_ORG"/>
      <sheetName val="08_8"/>
      <sheetName val="其他货币资金_dbf"/>
      <sheetName val="银行存款_dbf"/>
      <sheetName val="2018_ADJ"/>
      <sheetName val="F19_2"/>
      <sheetName val="F19_1"/>
      <sheetName val="F5_5"/>
      <sheetName val="F5_3"/>
      <sheetName val="Cash_Flow_-_CY_Workings"/>
      <sheetName val="2_cot"/>
      <sheetName val="for_ey_reviewer_销售费用"/>
      <sheetName val="for_ey_reviewer_制造费用"/>
      <sheetName val="Accounts_Database"/>
      <sheetName val="CH_Car"/>
      <sheetName val="App1_Entities_sequence_number"/>
      <sheetName val="BT 03"/>
      <sheetName val="BT 02"/>
      <sheetName val="BT 01"/>
      <sheetName val="国民经济行业分类"/>
      <sheetName val="下拉列表"/>
      <sheetName val="MarkComp"/>
      <sheetName val="Comparative Balance Sheet"/>
      <sheetName val="Com list"/>
      <sheetName val="Headcount and Oil Price"/>
      <sheetName val="BOE Stats"/>
      <sheetName val="C - Cash and Bank"/>
      <sheetName val="others gl"/>
      <sheetName val="Inputs-$150"/>
      <sheetName val="Printout2"/>
      <sheetName val="工作表1"/>
      <sheetName val="总公司2002.12.31"/>
      <sheetName val="截至2004年10月31日存货材料清单"/>
      <sheetName val="K110"/>
      <sheetName val="O111"/>
      <sheetName val="控制台"/>
      <sheetName val="Beg- End balance"/>
      <sheetName val="B30"/>
      <sheetName val="Net Trans Sum"/>
      <sheetName val="5.基础档案"/>
      <sheetName val="Sum Hist"/>
      <sheetName val="Corporate PPT"/>
      <sheetName val="WTI Coporate Eliminations PPT"/>
      <sheetName val="1436"/>
      <sheetName val="514"/>
      <sheetName val="PROD_CUST"/>
      <sheetName val="ExRate"/>
      <sheetName val="Manu"/>
      <sheetName val="Sheet618"/>
      <sheetName val="Sales by category"/>
      <sheetName val="Sheet626"/>
      <sheetName val="Sheet648"/>
      <sheetName val="1136"/>
      <sheetName val="PRDCTVTY"/>
      <sheetName val="1102 TAB_OPPORTUNITY to import"/>
      <sheetName val="F_OH"/>
      <sheetName val="Bookings-summary"/>
      <sheetName val=" FY2000"/>
      <sheetName val="PARAMETRES"/>
      <sheetName val="基本情報"/>
      <sheetName val="95059D"/>
      <sheetName val="F810"/>
      <sheetName val="1495"/>
      <sheetName val="1222"/>
      <sheetName val="1438"/>
      <sheetName val="1541"/>
      <sheetName val="1542"/>
      <sheetName val="分公司汇总更新"/>
      <sheetName val="Product List"/>
      <sheetName val="管理"/>
      <sheetName val="synthgraph"/>
      <sheetName val="113103"/>
      <sheetName val="113104"/>
      <sheetName val="113105"/>
      <sheetName val="113303"/>
      <sheetName val="21210301"/>
      <sheetName val="21210302"/>
      <sheetName val="JE10310X"/>
      <sheetName val="SharePoint"/>
      <sheetName val="Initial"/>
      <sheetName val="BU Parameters"/>
      <sheetName val="BU-Filter"/>
      <sheetName val="Filter"/>
      <sheetName val="基本資料"/>
      <sheetName val="Valuation Summary"/>
      <sheetName val="Capex &amp; Working Capital "/>
      <sheetName val="Product Summary"/>
      <sheetName val="Revenue Output"/>
      <sheetName val="P&amp;L Summary"/>
      <sheetName val="Gross Profit Output (100%)"/>
      <sheetName val="EBITDA"/>
      <sheetName val="Historical IS"/>
      <sheetName val="Other Working Assumptions"/>
      <sheetName val="Valuation Waterfall"/>
      <sheetName val="Gross Profit"/>
      <sheetName val="Historical BS"/>
      <sheetName val="Key Assumptions"/>
      <sheetName val="Instruction Sheet"/>
      <sheetName val="APCODE"/>
      <sheetName val="1558"/>
      <sheetName val="1270"/>
      <sheetName val="1271"/>
      <sheetName val="grofin"/>
      <sheetName val="1730"/>
      <sheetName val="1731"/>
      <sheetName val="Monthly Ex rate"/>
      <sheetName val="Expense Accrual"/>
      <sheetName val="Gen. Accrual"/>
      <sheetName val="Prod. Accrual"/>
      <sheetName val="Rent Accrual"/>
      <sheetName val="Sheet616"/>
      <sheetName val="N301"/>
      <sheetName val="Co-SEGC"/>
      <sheetName val="MI02"/>
      <sheetName val="FZ"/>
      <sheetName val="应付账款审定表"/>
      <sheetName val="中储"/>
      <sheetName val="凌益"/>
      <sheetName val="3收止"/>
      <sheetName val="B001(Y)"/>
      <sheetName val="Sheet5"/>
      <sheetName val="调整分录"/>
      <sheetName val="WP-04-GP"/>
      <sheetName val="填写说明"/>
      <sheetName val="Corporate Sales"/>
      <sheetName val="Bridge"/>
      <sheetName val="Freight Issues"/>
      <sheetName val="6419-2"/>
      <sheetName val="G203"/>
      <sheetName val="贷款基准利率"/>
      <sheetName val="Financial Summary"/>
      <sheetName val="113301"/>
      <sheetName val="Rev provit"/>
      <sheetName val="Dashboard基础数据录入（2018）"/>
      <sheetName val="Dashboard基础数据录入（2017）"/>
      <sheetName val="UFPrn20040104084034"/>
      <sheetName val="现金流量表"/>
      <sheetName val="Repayment Summary"/>
      <sheetName val="会计科目设置  科目汇总表"/>
      <sheetName val="维度管理"/>
      <sheetName val="信息"/>
      <sheetName val="A100000-A104000参数"/>
      <sheetName val="其它应收款"/>
      <sheetName val="所有者权益(股东权益)变动表(未审)"/>
      <sheetName val="IND."/>
      <sheetName val="试算"/>
      <sheetName val="TB表（期末）"/>
      <sheetName val="租赁收入明细"/>
      <sheetName val="P4管理费用"/>
      <sheetName val="L2银行存款"/>
      <sheetName val="Performance Graphs"/>
      <sheetName val="5折旧预测ok"/>
      <sheetName val="关南Bt2000大包装"/>
      <sheetName val="关南Bt2000成品"/>
      <sheetName val="低值易收发存"/>
      <sheetName val="76767"/>
      <sheetName val="07固定资产明细账"/>
      <sheetName val="原材料明细"/>
      <sheetName val="准备工作"/>
      <sheetName val="4528"/>
      <sheetName val="立项表"/>
      <sheetName val="_5081"/>
      <sheetName val="Validation source"/>
      <sheetName val="Custom"/>
      <sheetName val="CRP-BS"/>
      <sheetName val="外销涤布"/>
      <sheetName val="交易性金融资产Dy"/>
      <sheetName val="净现金流计算表"/>
      <sheetName val="EXP LINE"/>
      <sheetName val="_5284"/>
      <sheetName val="UFPrn20210522114546"/>
      <sheetName val="档案"/>
      <sheetName val="基本参数"/>
      <sheetName val="KM"/>
      <sheetName val="仪表"/>
      <sheetName val="A_R_014"/>
      <sheetName val="ADJ_Sum(console)4"/>
      <sheetName val="Defer_tax4"/>
      <sheetName val="Estimated_AP_9_034"/>
      <sheetName val="2005_063"/>
      <sheetName val="Mar_OR3"/>
      <sheetName val="REC_973"/>
      <sheetName val="daywork-_Tham_khao3"/>
      <sheetName val="TB_Link3"/>
      <sheetName val="office_supplies2"/>
      <sheetName val="Financ__Overview2"/>
      <sheetName val="各年往来_(2)2"/>
      <sheetName val="IFRS_REPORTING2"/>
      <sheetName val="关联交易-存款hࢀ_ࢀ__x005f_x0001_2"/>
      <sheetName val="A5_Summary2"/>
      <sheetName val="关联交易-存款hࢀ_ࢀ__x005f_x005f_x005f_x0001_2"/>
      <sheetName val="zero_(3)2"/>
      <sheetName val="3_22"/>
      <sheetName val="A3_Sum2"/>
      <sheetName val="Invest_2"/>
      <sheetName val="Inv_days_#52"/>
      <sheetName val="control_sheet_fund_II2"/>
      <sheetName val="Exec_Summary2"/>
      <sheetName val="F1100芯片测试费_2"/>
      <sheetName val="关联交易-存款hࢀ_ࢀ__1"/>
      <sheetName val="短期投资股票投资_dbf1"/>
      <sheetName val="短期投资国债投资_dbf1"/>
      <sheetName val="股票投资收益_dbf1"/>
      <sheetName val="其他货币海通_dbf1"/>
      <sheetName val="其他货币零领路_dbf1"/>
      <sheetName val="投资收益债券_dbf1"/>
      <sheetName val="Base_Info1"/>
      <sheetName val="PV6_3_5L_LX5_GMX1701"/>
      <sheetName val="Company_Information1"/>
      <sheetName val="P&amp;L_adhoc1"/>
      <sheetName val="Suppl_Adhoc_Inv_(F)1"/>
      <sheetName val="Suppl_Adhoc_Pers1"/>
      <sheetName val="QTR_Data_Analysis1"/>
      <sheetName val="Disclosure_Summary1"/>
      <sheetName val="BOX_SUM1"/>
      <sheetName val="FIN_GOOD1"/>
      <sheetName val="Hyperion_Link1"/>
      <sheetName val="Price_List1"/>
      <sheetName val="1461（12_6）1"/>
      <sheetName val="Payed_bonuses1"/>
      <sheetName val="Output_&amp;_Financial_Statements1"/>
      <sheetName val="Old_TWX_Quorfa1"/>
      <sheetName val="TWX_Model1"/>
      <sheetName val="FS_Output_41"/>
      <sheetName val="FS_Output_11"/>
      <sheetName val="FS_Output_31"/>
      <sheetName val="FS_Output21"/>
      <sheetName val="Deal_Structure_&amp;_Control_Page1"/>
      <sheetName val="Historic_Comps1"/>
      <sheetName val="Bank_card_list1"/>
      <sheetName val="All_Cash_Dil1"/>
      <sheetName val="关联交易-存款hࢀ_ࢀ__x005f_x005f_x005f_x005f_1"/>
      <sheetName val="1-_Input_&amp;_Info1"/>
      <sheetName val="CUSTOMER_(DETAIL)1"/>
      <sheetName val="Lease_AP_20081"/>
      <sheetName val="Antivol_D21"/>
      <sheetName val="Vendor_Data1"/>
      <sheetName val="Romford_Market1"/>
      <sheetName val="&lt;FF&gt;_Tax_Payable1"/>
      <sheetName val="PPD_Schedule1"/>
      <sheetName val="清单12_311"/>
      <sheetName val="Economic_evaluation_-_FY98_bas1"/>
      <sheetName val="2_5上年现金试算1"/>
      <sheetName val="Base_Data1"/>
      <sheetName val="1_01"/>
      <sheetName val="Detail_Loan_Move__&amp;_Listing1"/>
      <sheetName val="Non-Statistical_Sampling1"/>
      <sheetName val="AR_Drop_Downs1"/>
      <sheetName val="PRC_GAAP1"/>
      <sheetName val="Project_Details"/>
      <sheetName val="1_资金支付台帐"/>
      <sheetName val="0_1公司清单"/>
      <sheetName val="H_R"/>
      <sheetName val="IRR_Historic"/>
      <sheetName val="Portfolio_IRR"/>
      <sheetName val="Val_Inputs"/>
      <sheetName val="Model_Inputs"/>
      <sheetName val="Exchange_Rates&gt;&gt;"/>
      <sheetName val="Funding_Combined"/>
      <sheetName val="FY18_funding"/>
      <sheetName val="iFood_funding"/>
      <sheetName val="Summary_Adjusted"/>
      <sheetName val="Summary_Combined"/>
      <sheetName val="Conversion_Roll_forward"/>
      <sheetName val="Summary_Roll_Forward"/>
      <sheetName val="Conversion_DCF"/>
      <sheetName val="Summary_DCF"/>
      <sheetName val="Conversion_Cash_Flow"/>
      <sheetName val="Summary_Cash_Flow"/>
      <sheetName val="Company_Name_mappings"/>
      <sheetName val="7_-_ARO_Assumptions"/>
      <sheetName val="PH_Car"/>
      <sheetName val="___合同台账__"/>
      <sheetName val="Sales_for_2001"/>
      <sheetName val="Tritel_Consolidated"/>
      <sheetName val="TeleCorp_Holdco_Summary"/>
      <sheetName val="Opening_check_Misc_(WO_Only)"/>
      <sheetName val="U1_6"/>
      <sheetName val="CLA-21_1-4_OLD"/>
      <sheetName val="Related_company1"/>
      <sheetName val="Data_From_XXX1"/>
      <sheetName val="Delphi_original1"/>
      <sheetName val="FUEL_FILLER1"/>
      <sheetName val="资产评估结果分类汇总表_(2)"/>
      <sheetName val="Cost_of_Equity"/>
      <sheetName val="Capex_report"/>
      <sheetName val="VCC_11110-461"/>
      <sheetName val="Start"/>
      <sheetName val="Eingabe"/>
      <sheetName val="LE7"/>
      <sheetName val="职工薪酬抽查"/>
      <sheetName val="序列"/>
      <sheetName val="未审增减变动表"/>
      <sheetName val="固定资产审定表"/>
      <sheetName val="shan"/>
      <sheetName val="Other M&amp;R"/>
      <sheetName val="A141-20-17"/>
      <sheetName val="1－5月余额表"/>
      <sheetName val="1－10月余额表"/>
      <sheetName val="TR0198"/>
      <sheetName val="ProzessA"/>
      <sheetName val="EingabeMaske"/>
      <sheetName val="Q-Faehigk"/>
      <sheetName val="QTP_dt."/>
      <sheetName val="银行函证目录"/>
      <sheetName val="Basic_Local"/>
      <sheetName val="Aug"/>
      <sheetName val="Dec"/>
      <sheetName val="Nov"/>
      <sheetName val="Oct"/>
      <sheetName val="Sep"/>
      <sheetName val="05 AOP - Exp by CC"/>
      <sheetName val="05 AOP - By Acct Detail"/>
      <sheetName val="coststruk"/>
      <sheetName val="PersPlan"/>
      <sheetName val="IB Average"/>
      <sheetName val="IB"/>
      <sheetName val="Int ZFLS"/>
      <sheetName val="WB"/>
      <sheetName val="WoS"/>
      <sheetName val="2019科余表"/>
      <sheetName val="DCF_VDF"/>
      <sheetName val="I-cycle count08"/>
      <sheetName val="Phase_II_steel_1000"/>
      <sheetName val="盤點清冊汇总"/>
      <sheetName val="Steuerung"/>
      <sheetName val="Months"/>
      <sheetName val="TT template"/>
      <sheetName val="2038"/>
      <sheetName val="Valuation - GSJBW"/>
      <sheetName val="AssBook"/>
      <sheetName val="Ass1"/>
      <sheetName val="680"/>
      <sheetName val="Group structure"/>
      <sheetName val="624"/>
      <sheetName val="Sheet602"/>
      <sheetName val="670"/>
      <sheetName val="565"/>
      <sheetName val="1052"/>
      <sheetName val="547"/>
      <sheetName val="1226"/>
      <sheetName val="566"/>
      <sheetName val="1567"/>
      <sheetName val="_2594"/>
      <sheetName val="_2598"/>
      <sheetName val="2600"/>
      <sheetName val="5076"/>
      <sheetName val="_5174"/>
      <sheetName val="ContractList"/>
      <sheetName val="动态图表-定义名称"/>
      <sheetName val="Checking"/>
      <sheetName val="CF4"/>
      <sheetName val="CF5"/>
      <sheetName val="CF7"/>
      <sheetName val="CF8"/>
      <sheetName val="16EDO"/>
      <sheetName val="16SD"/>
      <sheetName val="16WB"/>
      <sheetName val="256M"/>
      <sheetName val="4M"/>
      <sheetName val="64EDO"/>
      <sheetName val="64SD"/>
      <sheetName val="DRD"/>
      <sheetName val="1149"/>
      <sheetName val="1148"/>
      <sheetName val="Sheet649"/>
      <sheetName val="UPLDGA"/>
      <sheetName val="Pick Lists Sheet"/>
      <sheetName val="市场法案例"/>
      <sheetName val="K1 Tax computation"/>
      <sheetName val="chart"/>
      <sheetName val="SET_UP"/>
      <sheetName val="Assistance"/>
      <sheetName val="出口免抵退"/>
      <sheetName val="ActiveRM"/>
      <sheetName val="1996"/>
      <sheetName val="1997"/>
      <sheetName val="NBE DCF"/>
      <sheetName val="Consolidated DCF"/>
      <sheetName val="Boilers DCF"/>
      <sheetName val="NBE (heat rate)"/>
      <sheetName val="物流超市5-1-1房建"/>
      <sheetName val="木"/>
      <sheetName val="Sheet502"/>
      <sheetName val="Sheet608"/>
      <sheetName val="Sheet656"/>
      <sheetName val="695"/>
      <sheetName val="2weeeks All  Excess and Shortag"/>
      <sheetName val="Sheet2055"/>
      <sheetName val="1023"/>
      <sheetName val="992"/>
      <sheetName val="1024"/>
      <sheetName val="Business Unit"/>
      <sheetName val="1102 MIT"/>
      <sheetName val="BB"/>
      <sheetName val="LOV"/>
      <sheetName val="HOME"/>
      <sheetName val="BS(goc)"/>
      <sheetName val="BS CHECK"/>
      <sheetName val="Scenario"/>
      <sheetName val="1056"/>
      <sheetName val="1065"/>
      <sheetName val="592"/>
      <sheetName val="PL1"/>
      <sheetName val="2077"/>
      <sheetName val="Financial Statistics"/>
      <sheetName val="班部番別"/>
      <sheetName val="Scenarios"/>
      <sheetName val="CRC"/>
      <sheetName val="Gastric"/>
      <sheetName val="NSCLC"/>
      <sheetName val="应收帐款"/>
      <sheetName val="Offering Stats"/>
      <sheetName val="Sheet639"/>
      <sheetName val="Segment to Legal"/>
      <sheetName val="DOC34"/>
      <sheetName val="Mov‘2008"/>
      <sheetName val="Mov‘2007"/>
      <sheetName val="Mov‘2005"/>
      <sheetName val="Mov‘2006"/>
      <sheetName val="A810-ASM"/>
      <sheetName val="Profit and loss"/>
      <sheetName val="R3抵消"/>
      <sheetName val="收入抵消"/>
      <sheetName val="关联交易-存款lঀ;ঀ;_"/>
      <sheetName val="关联交易-存款l઀Ƽ઀Ƽ_"/>
      <sheetName val="삅ོ䚋栠Ѫ_x005f_x005f_x"/>
      <sheetName val="关联交易-存款hࢀ_ࢀ__x0001_1"/>
      <sheetName val="关联交易-存款h_x0001___x0"/>
      <sheetName val="单位设置"/>
      <sheetName val="合并科目"/>
      <sheetName val="1817"/>
      <sheetName val="source-1"/>
      <sheetName val="687"/>
      <sheetName val="Sheet1013"/>
      <sheetName val="调整分录表"/>
      <sheetName val="全"/>
      <sheetName val="001铝锭"/>
      <sheetName val="003普废料"/>
      <sheetName val="004合金废料"/>
      <sheetName val="006精废料"/>
      <sheetName val="B03空调箔"/>
      <sheetName val="B06空调箔"/>
      <sheetName val="B02空调箔"/>
      <sheetName val="1218"/>
      <sheetName val="1220"/>
      <sheetName val="Consol FS"/>
      <sheetName val="2.1设计部"/>
      <sheetName val="1365"/>
      <sheetName val="651"/>
      <sheetName val="Konten"/>
      <sheetName val="0"/>
      <sheetName val="D410 应交税金变动表Movement"/>
      <sheetName val="归类"/>
      <sheetName val="油墨"/>
      <sheetName val="WendyCaymanEstimatePricing"/>
      <sheetName val="0521"/>
      <sheetName val="1268"/>
      <sheetName val="制费-分月"/>
      <sheetName val="Sheet482"/>
      <sheetName val="Sheet505"/>
      <sheetName val="Sheet1758"/>
      <sheetName val="Sheet1760"/>
      <sheetName val="Sheet1761"/>
      <sheetName val="SUM14ZC1"/>
      <sheetName val="枚举字典"/>
      <sheetName val="FZ-1"/>
      <sheetName val="Sheet643"/>
      <sheetName val="OPEX-IST"/>
      <sheetName val="TSA"/>
      <sheetName val="现金银行日记账"/>
      <sheetName val="关联交易-存款__x00"/>
      <sheetName val="关联交易-存款_x00"/>
      <sheetName val="1.1 Project Data"/>
      <sheetName val="O adj"/>
      <sheetName val="GZ"/>
      <sheetName val="1137"/>
      <sheetName val="BIS LIST-NTH 18"/>
      <sheetName val="TTL"/>
      <sheetName val="FY2016"/>
      <sheetName val="TB &amp; 2013"/>
      <sheetName val="EJE&amp;2013"/>
      <sheetName val="Sheet654"/>
      <sheetName val="Sheet1137"/>
      <sheetName val="A_R_015"/>
      <sheetName val="Defer_tax5"/>
      <sheetName val="ADJ_Sum(console)5"/>
      <sheetName val="Estimated_AP_9_035"/>
      <sheetName val="2005_064"/>
      <sheetName val="daywork-_Tham_khao4"/>
      <sheetName val="TB_Link4"/>
      <sheetName val="Mar_OR4"/>
      <sheetName val="truc_tiep3"/>
      <sheetName val="REC_974"/>
      <sheetName val="P_1预收、其他应付、其他流动负债3"/>
      <sheetName val="G_预付账款、其他应收款、其他流动资产3"/>
      <sheetName val="_U1503"/>
      <sheetName val="2-分类汇总_Classified_Summary3"/>
      <sheetName val="各年往来_(2)3"/>
      <sheetName val="Financ__Overview3"/>
      <sheetName val="IFRS_REPORTING3"/>
      <sheetName val="关联交易-存款hࢀ_ࢀ__x005f_x0001_3"/>
      <sheetName val="A5_Summary3"/>
      <sheetName val="office_supplies3"/>
      <sheetName val="zero_(3)3"/>
      <sheetName val="Ex_Diff2"/>
      <sheetName val="关联交易-存款hࢀ_ࢀ__x005f_x005f_x005f_x0001_3"/>
      <sheetName val="Invest_3"/>
      <sheetName val="TAB_Daten2"/>
      <sheetName val="A3_Sum3"/>
      <sheetName val="II-_Liability_Component_June_02"/>
      <sheetName val="I-Conclusion_2"/>
      <sheetName val="II-_Liab__comp_IAS2"/>
      <sheetName val="Conversion_feature2"/>
      <sheetName val="I-_Summary2"/>
      <sheetName val="3_23"/>
      <sheetName val="Inv_days_#53"/>
      <sheetName val="control_sheet_fund_II3"/>
      <sheetName val="Exec_Summary3"/>
      <sheetName val="N_应付账款2"/>
      <sheetName val="Raw_materials2"/>
      <sheetName val="关联交易-存款hࢀ_ࢀ__x005f_x005f_x005f_x005f_x005f2"/>
      <sheetName val="关联交易-存款hࢀ_ࢀ__x005f_x005f_2"/>
      <sheetName val="F1100芯片测试费_3"/>
      <sheetName val="Sch_PR-22"/>
      <sheetName val="Sch_PR-32"/>
      <sheetName val="Consol_BS2"/>
      <sheetName val="HO_&amp;_Aust_BS2"/>
      <sheetName val="JAC11_302"/>
      <sheetName val="Tier1_Pref_SGP2"/>
      <sheetName val="Rev__Losses2"/>
      <sheetName val="SoP_SGP22"/>
      <sheetName val="Prop_R2"/>
      <sheetName val="Tier1_Pref_SBP2"/>
      <sheetName val="Income_Statement_breakdown2"/>
      <sheetName val="销售6_132"/>
      <sheetName val="关联交易-存款hࢀ_ࢀ__2"/>
      <sheetName val="qad_TB2"/>
      <sheetName val="短期投资股票投资_dbf2"/>
      <sheetName val="短期投资国债投资_dbf2"/>
      <sheetName val="股票投资收益_dbf2"/>
      <sheetName val="其他货币海通_dbf2"/>
      <sheetName val="其他货币零领路_dbf2"/>
      <sheetName val="投资收益债券_dbf2"/>
      <sheetName val="Base_Info2"/>
      <sheetName val="PV6_3_5L_LX5_GMX1702"/>
      <sheetName val="Company_Information2"/>
      <sheetName val="P&amp;L_adhoc2"/>
      <sheetName val="Suppl_Adhoc_Inv_(F)2"/>
      <sheetName val="Suppl_Adhoc_Pers2"/>
      <sheetName val="QTR_Data_Analysis2"/>
      <sheetName val="Disclosure_Summary2"/>
      <sheetName val="BOX_SUM2"/>
      <sheetName val="FIN_GOOD2"/>
      <sheetName val="Hyperion_Link2"/>
      <sheetName val="关联交易-存款?滨?_2"/>
      <sheetName val="Price_List2"/>
      <sheetName val="1461（12_6）2"/>
      <sheetName val="Payed_bonuses2"/>
      <sheetName val="Output_&amp;_Financial_Statements2"/>
      <sheetName val="Old_TWX_Quorfa2"/>
      <sheetName val="TWX_Model2"/>
      <sheetName val="FS_Output_42"/>
      <sheetName val="FS_Output_12"/>
      <sheetName val="FS_Output_32"/>
      <sheetName val="FS_Output22"/>
      <sheetName val="Deal_Structure_&amp;_Control_Page2"/>
      <sheetName val="Historic_Comps2"/>
      <sheetName val="Bank_card_list2"/>
      <sheetName val="All_Cash_Dil2"/>
      <sheetName val="关联交易-存款hࢀ_ࢀ__x005f_x005f_x005f_x005f_2"/>
      <sheetName val="1-_Input_&amp;_Info2"/>
      <sheetName val="CUSTOMER_(DETAIL)2"/>
      <sheetName val="Lease_AP_20082"/>
      <sheetName val="Antivol_D22"/>
      <sheetName val="Vendor_Data2"/>
      <sheetName val="2_5上年现金试算2"/>
      <sheetName val="Romford_Market2"/>
      <sheetName val="&lt;FF&gt;_Tax_Payable2"/>
      <sheetName val="PPD_Schedule2"/>
      <sheetName val="清单12_312"/>
      <sheetName val="Economic_evaluation_-_FY98_bas2"/>
      <sheetName val="Base_Data2"/>
      <sheetName val="1_02"/>
      <sheetName val="Detail_Loan_Move__&amp;_Listing2"/>
      <sheetName val="Non-Statistical_Sampling2"/>
      <sheetName val="AR_Drop_Downs2"/>
      <sheetName val="PRC_GAAP2"/>
      <sheetName val="CY_sales_report1"/>
      <sheetName val="addl_cost1"/>
      <sheetName val="综合成本分析01_01-02051"/>
      <sheetName val="statement_19981"/>
      <sheetName val="XVIa(i)_-_average_price_(2)1"/>
      <sheetName val="Table_13_1_-_31"/>
      <sheetName val="T__B1"/>
      <sheetName val="ACC_NAME1"/>
      <sheetName val="Cash_Flow_-_CY_Workings1"/>
      <sheetName val="2_cot1"/>
      <sheetName val="for_ey_reviewer_销售费用1"/>
      <sheetName val="for_ey_reviewer_制造费用1"/>
      <sheetName val="Rejects_PPM1"/>
      <sheetName val="QOS_RPPM1"/>
      <sheetName val="Standort_(DE)1"/>
      <sheetName val="Act_Vol1"/>
      <sheetName val="SD-Report_5&quot;1"/>
      <sheetName val="M_Schedules1"/>
      <sheetName val="Staff_List1"/>
      <sheetName val="链接表（勿动）_元)1"/>
      <sheetName val="两次基准日的对比_(0531与0831)1"/>
      <sheetName val="链接表（勿动）_(元表)1"/>
      <sheetName val="Customer_Name1"/>
      <sheetName val="IRR_&amp;_NPV1"/>
      <sheetName val="ZP7_gespritzt1"/>
      <sheetName val="C-1_总表1"/>
      <sheetName val="4_1-合同台帐1"/>
      <sheetName val="Income_Statement_and_KPIs1"/>
      <sheetName val="GA5-2-1_明细表20151"/>
      <sheetName val="index_cc1"/>
      <sheetName val="1_5_合同、非合同台帐1"/>
      <sheetName val="IS_Summary-961"/>
      <sheetName val="Library_Procedures1"/>
      <sheetName val="Non-Statistical_Sampling_Maste1"/>
      <sheetName val="Global_Data1"/>
      <sheetName val="4_1拆出资金1"/>
      <sheetName val="aging_06121"/>
      <sheetName val="NA_QTR_PROD1"/>
      <sheetName val="Official_Lehman_PROD_Sched1"/>
      <sheetName val="Income_statement1"/>
      <sheetName val="PRC_151"/>
      <sheetName val="acc_list1"/>
      <sheetName val="在建工程_final1"/>
      <sheetName val="7_-_ARO_Assumptions1"/>
      <sheetName val="진행_DATA_(2)1"/>
      <sheetName val="开发成本2002_-_Movement1"/>
      <sheetName val="Acq_Assumptions_I1"/>
      <sheetName val="Acq_Assumptions_II1"/>
      <sheetName val="Acq_Assumptions_III1"/>
      <sheetName val="Service_Parts_Rejects_(RPPM)1"/>
      <sheetName val="Carole_Worksheet_Table1"/>
      <sheetName val="VS_Consensus1"/>
      <sheetName val="销售人效_-_Overview1"/>
      <sheetName val="Two_Step_Revenue_Testing_Maste1"/>
      <sheetName val="Share_Prices1"/>
      <sheetName val="Book_1_Summary1"/>
      <sheetName val="Salses_breakdown1"/>
      <sheetName val="国别报告数据填报模板(Information_Request1"/>
      <sheetName val="CJE_energy_inv1"/>
      <sheetName val="YTD_SALES1"/>
      <sheetName val="0_1公司清单1"/>
      <sheetName val="H_R1"/>
      <sheetName val="1_资金支付台帐1"/>
      <sheetName val="M&amp;A_pipeline1"/>
      <sheetName val="Feb_Allocation%1"/>
      <sheetName val="Com_Lever1"/>
      <sheetName val="expenses_calc1"/>
      <sheetName val="existing_cities_benchmark1"/>
      <sheetName val="master_sheet1"/>
      <sheetName val="bike_loss1"/>
      <sheetName val="exchange_rate1"/>
      <sheetName val="Cash_Flow_Worksheet1"/>
      <sheetName val="Chart_Analysis1"/>
      <sheetName val="2005_011"/>
      <sheetName val="Comp_equip1"/>
      <sheetName val="Access360_-_PP1"/>
      <sheetName val="Program_Controls1"/>
      <sheetName val="BS_Heading1"/>
      <sheetName val="PER_SALES_ORG1"/>
      <sheetName val="08_81"/>
      <sheetName val="其他货币资金_dbf1"/>
      <sheetName val="银行存款_dbf1"/>
      <sheetName val="2018_ADJ1"/>
      <sheetName val="F19_21"/>
      <sheetName val="F19_11"/>
      <sheetName val="F5_51"/>
      <sheetName val="F5_31"/>
      <sheetName val="Accounts_Database1"/>
      <sheetName val="CH_Car1"/>
      <sheetName val="App1_Entities_sequence_number1"/>
      <sheetName val="POWER_ASSUMPTIONS1"/>
      <sheetName val="summary_1"/>
      <sheetName val="关联交易-存款_滨__2"/>
      <sheetName val="F40-Goodsin_transit1"/>
      <sheetName val="1002-1031170406_Capital_Accoun1"/>
      <sheetName val="Air_Conditional1"/>
      <sheetName val="Motor_Vehicle1"/>
      <sheetName val="2018工程汇总_1"/>
      <sheetName val="表二十二_(2)"/>
      <sheetName val="附表1_年度人数"/>
      <sheetName val="Cash_Flow1"/>
      <sheetName val="26_存货月报表"/>
      <sheetName val="cum_pred"/>
      <sheetName val="库存商品余额表_dbf1"/>
      <sheetName val="Project_Details1"/>
      <sheetName val="Tritel_Consolidated1"/>
      <sheetName val="TeleCorp_Holdco_Summary1"/>
      <sheetName val="Sales_Volumes_&amp;_Plan"/>
      <sheetName val="Net_Sales_LC"/>
      <sheetName val="query_results"/>
      <sheetName val="Opening_check_Misc_(WO_Only)1"/>
      <sheetName val="IRR_Historic1"/>
      <sheetName val="Portfolio_IRR1"/>
      <sheetName val="Val_Inputs1"/>
      <sheetName val="Model_Inputs1"/>
      <sheetName val="Exchange_Rates&gt;&gt;1"/>
      <sheetName val="Funding_Combined1"/>
      <sheetName val="FY18_funding1"/>
      <sheetName val="iFood_funding1"/>
      <sheetName val="Summary_Adjusted1"/>
      <sheetName val="Summary_Combined1"/>
      <sheetName val="Conversion_Roll_forward1"/>
      <sheetName val="Summary_Roll_Forward1"/>
      <sheetName val="Conversion_DCF1"/>
      <sheetName val="Summary_DCF1"/>
      <sheetName val="Conversion_Cash_Flow1"/>
      <sheetName val="Summary_Cash_Flow1"/>
      <sheetName val="Company_Name_mappings1"/>
      <sheetName val="PH_Car1"/>
      <sheetName val="Related_company2"/>
      <sheetName val="Data_From_XXX2"/>
      <sheetName val="Delphi_original2"/>
      <sheetName val="FUEL_FILLER2"/>
      <sheetName val="Capex_report1"/>
      <sheetName val="___合同台账__1"/>
      <sheetName val="CIP_DETAILS"/>
      <sheetName val="Sales_for_20011"/>
      <sheetName val="7_(2)1"/>
      <sheetName val="Info__Request"/>
      <sheetName val="U1_61"/>
      <sheetName val="Price_Provision_清单"/>
      <sheetName val="PltRpt_(A&amp;F)"/>
      <sheetName val="PltRpt_(A&amp;FvsB)"/>
      <sheetName val="PltRpt_(B&amp;AC)"/>
      <sheetName val="Schedule_B"/>
      <sheetName val="Tav_22_Rischio_di_Credito"/>
      <sheetName val="信息费用预算表(A4)_"/>
      <sheetName val="Depreciation_test"/>
      <sheetName val="Table_US_Currency"/>
      <sheetName val="fixed_assets_–Forklifts"/>
      <sheetName val="fixed_assets_–battery"/>
      <sheetName val="ARP_stt_2"/>
      <sheetName val="Gen_Accruals"/>
      <sheetName val="Legal_Accrual"/>
      <sheetName val="Payroll_Accrual"/>
      <sheetName val="Cost_of_Equity1"/>
      <sheetName val="CLA-21_1-4_OLD1"/>
      <sheetName val="E3_A"/>
      <sheetName val="_1"/>
      <sheetName val="Ex__rate"/>
      <sheetName val="资产评估结果分类汇总表_(2)1"/>
      <sheetName val="SPI_GMBH"/>
      <sheetName val="Summary_Page_VDF"/>
      <sheetName val="Invested_capital_VDF"/>
      <sheetName val="LT_TB"/>
      <sheetName val="LTMD_TB"/>
      <sheetName val="OC_TB"/>
      <sheetName val="ZD_TB"/>
      <sheetName val="Agency_Walker_ID"/>
      <sheetName val="sales_breakdown"/>
      <sheetName val="co_info"/>
      <sheetName val="Interim_NWA_converted_in_Dec02"/>
      <sheetName val="AP-NSK(trade)_USD"/>
      <sheetName val="IV-NSK_JPY"/>
      <sheetName val="AP-NSK_(trade)_JPY"/>
      <sheetName val="AR-KTB_JPY"/>
      <sheetName val="AR-NSK_(trade)_USD"/>
      <sheetName val="ar-OKI_Micro"/>
      <sheetName val="AR-TAIKO_JPY"/>
      <sheetName val="BR-Thousand_JPY"/>
      <sheetName val="F余额表2021_(2)"/>
      <sheetName val="F余额表2021_(3)"/>
      <sheetName val="其他业务成本_111031"/>
      <sheetName val="A6620_Detail"/>
      <sheetName val="K311_A_List02"/>
      <sheetName val="99Exh_I"/>
      <sheetName val="외주현황_wq1"/>
      <sheetName val="Difference_Reconcliation"/>
      <sheetName val="RPT_Disclosure"/>
      <sheetName val="FY99_Volume"/>
      <sheetName val="Sal_&amp;_Wage_Info"/>
      <sheetName val="LAbor_estimate"/>
      <sheetName val="2018_4_7_for_Bank"/>
      <sheetName val="SPLICE_HOURS"/>
      <sheetName val="SC_HKD_CA"/>
      <sheetName val="M_P_"/>
      <sheetName val="Taux_de_change_"/>
      <sheetName val="plantilla_mes"/>
      <sheetName val="PL_by_month-EFY"/>
      <sheetName val="Calcs_for__quarterly_pres"/>
      <sheetName val="Valuation_Matrix"/>
      <sheetName val="Mov_from_2001_to_20031"/>
      <sheetName val="cur_rates"/>
      <sheetName val="Total_2009"/>
      <sheetName val="3rd_Qtr"/>
      <sheetName val="5th_Qtr"/>
      <sheetName val="6th_Qtr"/>
      <sheetName val="7th_Qtr"/>
      <sheetName val="Exit_Forecast"/>
      <sheetName val="2nd_Qtr"/>
      <sheetName val="Rounded_Input"/>
      <sheetName val="_003_3固定资产"/>
      <sheetName val="SUIVI_EFFECTIFS"/>
      <sheetName val="Vendas_Tons"/>
      <sheetName val="C_Estr_"/>
      <sheetName val="EFFECT_"/>
      <sheetName val="Trial_Balance"/>
      <sheetName val="VT_TEB_Planung-2006"/>
      <sheetName val="BT_03"/>
      <sheetName val="BT_02"/>
      <sheetName val="BT_01"/>
      <sheetName val="ICP费用ICP_Expense"/>
      <sheetName val="ICP其他应付款ICP_OtherPayable"/>
      <sheetName val="Product_List"/>
      <sheetName val="BALANCE_SHEET"/>
      <sheetName val="总公司2002_12_31"/>
      <sheetName val="_W60A_Seating_2011_3_7_xlsx"/>
      <sheetName val="FIRE_Parameters"/>
      <sheetName val="5_基础档案"/>
      <sheetName val="P&amp;L_Summary_Page"/>
      <sheetName val="Expenses_with_Comparisons"/>
      <sheetName val="TEV_Multiples"/>
      <sheetName val="CSM_Data_by_CY_"/>
      <sheetName val="Pref_Probable_Case_Returns"/>
      <sheetName val="Interco_BSC_01"/>
      <sheetName val="U210'_"/>
      <sheetName val="VCC_11110-4611"/>
      <sheetName val="CREDIT_STATS"/>
      <sheetName val="FAT_DB"/>
      <sheetName val="CF_Bridge"/>
      <sheetName val="Other_R&amp;O"/>
      <sheetName val="Co_59"/>
      <sheetName val="FA_List"/>
      <sheetName val="Operating_"/>
      <sheetName val="CFS_adjustments"/>
      <sheetName val="Office_Improve"/>
      <sheetName val="Drop_down"/>
      <sheetName val="2010_Breakdown"/>
      <sheetName val="CA_consolidated"/>
      <sheetName val="Chart_of_Acct"/>
      <sheetName val="Comparative_Balance_Sheet"/>
      <sheetName val="Com_list"/>
      <sheetName val="Headcount_and_Oil_Price"/>
      <sheetName val="BOE_Stats"/>
      <sheetName val="C_-_Cash_and_Bank"/>
      <sheetName val="others_gl"/>
      <sheetName val="Beg-_End_balance"/>
      <sheetName val="Net_Trans_Sum"/>
      <sheetName val="Sum_Hist"/>
      <sheetName val="Corporate_PPT"/>
      <sheetName val="WTI_Coporate_Eliminations_PPT"/>
      <sheetName val="Sales_by_category"/>
      <sheetName val="1102_TAB_OPPORTUNITY_to_import"/>
      <sheetName val="_FY2000"/>
      <sheetName val="BU_Parameters"/>
      <sheetName val="Valuation_Summary"/>
      <sheetName val="Capex_&amp;_Working_Capital_"/>
      <sheetName val="Product_Summary"/>
      <sheetName val="Revenue_Output"/>
      <sheetName val="P&amp;L_Summary"/>
      <sheetName val="Gross_Profit_Output_(100%)"/>
      <sheetName val="Historical_IS"/>
      <sheetName val="Other_Working_Assumptions"/>
      <sheetName val="Valuation_Waterfall"/>
      <sheetName val="Gross_Profit"/>
      <sheetName val="Historical_BS"/>
      <sheetName val="Key_Assumptions"/>
      <sheetName val="Instruction_Sheet"/>
      <sheetName val="Monthly_Ex_rate"/>
      <sheetName val="Expense_Accrual"/>
      <sheetName val="Gen__Accrual"/>
      <sheetName val="Prod__Accrual"/>
      <sheetName val="Rent_Accrual"/>
      <sheetName val="Corporate_Sales"/>
      <sheetName val="Freight_Issues"/>
      <sheetName val="Financial_Summary"/>
      <sheetName val="Rev_provit"/>
      <sheetName val="Repayment_Summary"/>
      <sheetName val="会计科目设置__科目汇总表"/>
      <sheetName val="IND_"/>
      <sheetName val="Performance_Graphs"/>
      <sheetName val="Validation_source"/>
      <sheetName val="EXP_LINE"/>
      <sheetName val="封面_Cover"/>
      <sheetName val="Other_M&amp;R"/>
      <sheetName val="QTP_dt_"/>
      <sheetName val="05_AOP_-_Exp_by_CC"/>
      <sheetName val="05_AOP_-_By_Acct_Detail"/>
      <sheetName val="IB_Average"/>
      <sheetName val="Int_ZFLS"/>
      <sheetName val="I-cycle_count08"/>
      <sheetName val="TT_template"/>
      <sheetName val="Valuation_-_GSJBW"/>
      <sheetName val="1887"/>
      <sheetName val="Sheet994"/>
      <sheetName val="C.货币资金"/>
      <sheetName val="C.抵押存款"/>
      <sheetName val="D.可供出售投资-流动"/>
      <sheetName val="D.衍生金融资产"/>
      <sheetName val="D.持有至到期投资-流动"/>
      <sheetName val="D.短期投资"/>
      <sheetName val="D.单列金融资产"/>
      <sheetName val="A5.dim&amp;adj sum"/>
      <sheetName val="E.应收账款"/>
      <sheetName val="E.应收贸易款及票据"/>
      <sheetName val="E.应收票据"/>
      <sheetName val="F.存货"/>
      <sheetName val="F.房地产"/>
      <sheetName val="G.预付账款&amp;其他应收款&amp;待摊费用"/>
      <sheetName val="G.应收股利"/>
      <sheetName val="G.待售资产"/>
      <sheetName val="G.HK其他应收"/>
      <sheetName val="G.应收利息"/>
      <sheetName val="G.其他流动资产"/>
      <sheetName val="H.可供出售投资-非流动"/>
      <sheetName val="H.HK长投"/>
      <sheetName val="H.商誉"/>
      <sheetName val="H.持有至到期投资-非流动"/>
      <sheetName val="H.投资性房地产"/>
      <sheetName val="H.PRC长投"/>
      <sheetName val="I.应收关联方"/>
      <sheetName val="I.应付关联方"/>
      <sheetName val="J.在建工程"/>
      <sheetName val="K.固定资产"/>
      <sheetName val="K.固定资产清理"/>
      <sheetName val="L.一年内到期的长期债权投资"/>
      <sheetName val="L.无形"/>
      <sheetName val="L.长期待摊"/>
      <sheetName val="L.其他长期资产"/>
      <sheetName val="M.短借"/>
      <sheetName val="N.应付票据"/>
      <sheetName val="P.预收账款&amp;其他应付款&amp;应付职工薪酬&amp;预提费用&amp;其他应交款"/>
      <sheetName val="U.其他业务收支&amp;营业外收支&amp;补贴收入&amp;利息收入"/>
      <sheetName val="U.所得税"/>
      <sheetName val="O.递延税资产"/>
      <sheetName val="O.递延税负债"/>
      <sheetName val="O.应交税费"/>
      <sheetName val="U.税金及附加"/>
      <sheetName val="P.应付股利"/>
      <sheetName val="P.HK其他应付"/>
      <sheetName val="P.应付利息"/>
      <sheetName val="P.其他应付款"/>
      <sheetName val="P.其他流动负债"/>
      <sheetName val="P.应付职工薪酬"/>
      <sheetName val="P.预计负债"/>
      <sheetName val="Q.应付债券"/>
      <sheetName val="Q.可转债"/>
      <sheetName val="Q.政府补助"/>
      <sheetName val="Q.一年内到期负债"/>
      <sheetName val="Q.应付融资租赁款"/>
      <sheetName val="Q.长借"/>
      <sheetName val="Q.长期应付"/>
      <sheetName val="Q.其他长期负债"/>
      <sheetName val="Q.专项应付"/>
      <sheetName val="T.股本"/>
      <sheetName val="T.资本公积"/>
      <sheetName val="T.折算差额"/>
      <sheetName val="T.未分配利润"/>
      <sheetName val="T.盈余公积"/>
      <sheetName val="U.主营业务"/>
      <sheetName val="U.财务费用"/>
      <sheetName val="U.投资收益&amp;公允价值变动收益"/>
      <sheetName val="U.管理费用&amp;资产减值损失"/>
      <sheetName val="U.成本倒轧表&amp;制造费用"/>
      <sheetName val="U.销售费用"/>
      <sheetName val="U.分占下属损益"/>
      <sheetName val="_8022"/>
      <sheetName val="应收热费101112"/>
      <sheetName val="1673"/>
      <sheetName val="2125"/>
      <sheetName val="2126"/>
      <sheetName val="Sheet567"/>
      <sheetName val="2454"/>
      <sheetName val="2456"/>
      <sheetName val="2675"/>
      <sheetName val="基本情况表"/>
      <sheetName val="Sheet768"/>
      <sheetName val="Sheet766"/>
      <sheetName val="Sheet662"/>
      <sheetName val="Sheet688"/>
      <sheetName val="NEWSPRINT &amp; UGW"/>
      <sheetName val="WACC Analysis Output"/>
      <sheetName val="Management Projections"/>
      <sheetName val="会计报表_PRC"/>
      <sheetName val="会计报表_IFRS"/>
      <sheetName val="预付帐龄"/>
      <sheetName val="Inventories Analysis"/>
      <sheetName val="Sheet1484"/>
      <sheetName val="ALL DATA"/>
      <sheetName val="Sheet668"/>
      <sheetName val="Sheet880"/>
      <sheetName val="FF-2 (1)"/>
      <sheetName val="FrontPage"/>
      <sheetName val="CheckSheet"/>
      <sheetName val="Data_Entry"/>
      <sheetName val="M1S"/>
      <sheetName val="M3"/>
      <sheetName val="M5A_M5B"/>
      <sheetName val="M6"/>
      <sheetName val="M5_M6 Summary"/>
      <sheetName val="M7"/>
      <sheetName val="M7B"/>
      <sheetName val="M8"/>
      <sheetName val="M8A"/>
      <sheetName val="M9"/>
      <sheetName val="AF1"/>
      <sheetName val="MD1"/>
      <sheetName val="MD2"/>
      <sheetName val="FC1"/>
      <sheetName val="FC2"/>
      <sheetName val="W1"/>
      <sheetName val="Dialogs"/>
      <sheetName val="Macros"/>
      <sheetName val="AutoData"/>
      <sheetName val="Sheet1 (3)"/>
      <sheetName val="应收帐款明细表"/>
      <sheetName val="现金流量表_月报_"/>
      <sheetName val="2006"/>
      <sheetName val="LOT別原価明細_マシン_"/>
      <sheetName val="604"/>
      <sheetName val="1727"/>
      <sheetName val="MB51"/>
      <sheetName val="会计科目"/>
      <sheetName val="2127"/>
      <sheetName val="06.1"/>
      <sheetName val="Sheet552"/>
      <sheetName val="현금"/>
      <sheetName val="별제권_정리담보권"/>
      <sheetName val="Cntmrs"/>
      <sheetName val="N1"/>
      <sheetName val="6126.07披露表(国资)"/>
      <sheetName val="汽车销量及出口（财务开票）"/>
      <sheetName val="10月份毛利表"/>
      <sheetName val="附件10 东莞百宏-待摊费用2019"/>
      <sheetName val="附件6 东莞百宏-其他应收款2019"/>
      <sheetName val="附件8 东莞百宏-预收账款2019"/>
      <sheetName val="科目余额2019"/>
      <sheetName val="Spending-mth(Sohu)"/>
      <sheetName val="Spending-Qtr"/>
      <sheetName val="PP&amp;E &amp; Intangibles"/>
      <sheetName val="Cover --&gt;"/>
      <sheetName val="节奏讨论用"/>
      <sheetName val="COA映射"/>
      <sheetName val="Comps input"/>
      <sheetName val="G2a"/>
      <sheetName val="配置"/>
      <sheetName val="新名称管理"/>
      <sheetName val="MT by Dept 管理报表费用分类"/>
      <sheetName val="Volatility raw"/>
      <sheetName val="Welfare PIT"/>
      <sheetName val="PPH1298S"/>
      <sheetName val="sales vol."/>
      <sheetName val="Occupancy 2004"/>
      <sheetName val="11累计完工表(内部)"/>
      <sheetName val="Graphs"/>
      <sheetName val="Regression_V1"/>
      <sheetName val="A | INPUT Filler"/>
      <sheetName val="Fitments Abs Ums"/>
      <sheetName val="Datenbank Fillers"/>
      <sheetName val="SFC fcst"/>
      <sheetName val="dd"/>
      <sheetName val="Sheet624"/>
      <sheetName val="Fcst 2017"/>
      <sheetName val="核对表"/>
      <sheetName val="其他流动资产"/>
      <sheetName val="其他业务收入成本"/>
      <sheetName val="FA ad09-12"/>
      <sheetName val="基本资料(不打印)"/>
      <sheetName val="1679"/>
      <sheetName val="1580"/>
      <sheetName val="2043"/>
      <sheetName val="2041"/>
      <sheetName val="2238"/>
      <sheetName val="2239"/>
      <sheetName val="1544"/>
      <sheetName val="中山低值"/>
      <sheetName val="A3.试算表Financial statement"/>
      <sheetName val="K.固定资产&amp;投资性房地产"/>
      <sheetName val="G.其他应收款"/>
      <sheetName val="关联交易-存款_滨__x001a_ "/>
      <sheetName val="河北肃宁"/>
      <sheetName val="重置价计算表"/>
      <sheetName val="A501_AADJ#14-对价调整"/>
      <sheetName val="D-PL"/>
      <sheetName val="Pick_Lists_Sheet"/>
      <sheetName val="K1_Tax_computation"/>
      <sheetName val="NBE_DCF"/>
      <sheetName val="Consolidated_DCF"/>
      <sheetName val="Boilers_DCF"/>
      <sheetName val="NBE_(heat_rate)"/>
      <sheetName val="Sheet571"/>
      <sheetName val="Sheet2662"/>
      <sheetName val="资产负债表验证表"/>
      <sheetName val="01 T"/>
      <sheetName val="03 "/>
      <sheetName val="by category"/>
      <sheetName val="物料"/>
      <sheetName val="Account Map"/>
      <sheetName val="Daglig_Likviditet"/>
      <sheetName val="附件25.2-销售收入"/>
      <sheetName val="2103"/>
      <sheetName val="U401(OK)"/>
      <sheetName val="大纲"/>
      <sheetName val="母公司应交税金明细表（含泵送）"/>
      <sheetName val="수정시산표"/>
      <sheetName val="GC0997"/>
      <sheetName val="Sheet2639"/>
      <sheetName val="COSTAB97"/>
      <sheetName val="F1910"/>
      <sheetName val="Movement-本部"/>
      <sheetName val="Movement-昌盛"/>
      <sheetName val="概括表、结果汇总表"/>
      <sheetName val="按期限计算有偿维保"/>
      <sheetName val="二级成本动态表"/>
      <sheetName val="conBS"/>
      <sheetName val="conCE"/>
      <sheetName val="conIS"/>
      <sheetName val="母公司TB"/>
      <sheetName val="Sales Data"/>
      <sheetName val="表二"/>
      <sheetName val="表五"/>
      <sheetName val="客户资料录入"/>
      <sheetName val="系统维护"/>
      <sheetName val="系统设置"/>
      <sheetName val="期初试算平衡表"/>
      <sheetName val="其他货币资金"/>
      <sheetName val="未审利润及利润分配表"/>
      <sheetName val="未审资产负债表"/>
      <sheetName val="现金流量表底稿"/>
      <sheetName val="一级科目表"/>
      <sheetName val="应收利息"/>
      <sheetName val="累计折旧"/>
      <sheetName val="未分配利润"/>
      <sheetName val="无形资产"/>
      <sheetName val="ZO-510"/>
      <sheetName val="Z0-350"/>
      <sheetName val="ZO-300"/>
      <sheetName val="TB0804"/>
      <sheetName val="NON-TP-ABB"/>
      <sheetName val="_606"/>
      <sheetName val="_607"/>
      <sheetName val="_608"/>
      <sheetName val="_609"/>
      <sheetName val="_610"/>
      <sheetName val="_611"/>
      <sheetName val="_612"/>
      <sheetName val="_706"/>
      <sheetName val="_707"/>
      <sheetName val="_708"/>
      <sheetName val="_709"/>
      <sheetName val="_710"/>
      <sheetName val="管理费用预测"/>
      <sheetName val="Guizhou"/>
      <sheetName val="Assumption"/>
      <sheetName val="Depn"/>
      <sheetName val="Operations"/>
      <sheetName val="EqptList"/>
      <sheetName val="债权成本-2020年"/>
      <sheetName val="测算汇总"/>
      <sheetName val="资金使用假设 (可转债按账面拆分为股权与债权)"/>
      <sheetName val="PKH-Income"/>
      <sheetName val="BS data"/>
      <sheetName val="capital"/>
      <sheetName val="Ambares"/>
      <sheetName val="期间费用率"/>
      <sheetName val="采购降成本情况进度统计表"/>
      <sheetName val="核算"/>
      <sheetName val="Elim Seg LM"/>
      <sheetName val="Elim Seg BM"/>
      <sheetName val="土方"/>
      <sheetName val="2012-2016 Grp Res Bdgt"/>
      <sheetName val="Annex B"/>
      <sheetName val="659"/>
      <sheetName val="Sch0- Tax Recon"/>
      <sheetName val="Sch20-ROU"/>
      <sheetName val="Balance sheet for August"/>
      <sheetName val="Income statement for August"/>
      <sheetName val="Lists (Hide)"/>
      <sheetName val="601"/>
      <sheetName val="1198"/>
      <sheetName val="TRF"/>
      <sheetName val="账"/>
      <sheetName val="（27）实收资本"/>
      <sheetName val="报表标准名称"/>
      <sheetName val="2002-CMHK"/>
      <sheetName val="GGP Expenses"/>
      <sheetName val="E201_AR"/>
      <sheetName val="E201_CA"/>
      <sheetName val="VWAP_PPTOutput"/>
      <sheetName val="Output"/>
      <sheetName val="15"/>
      <sheetName val="Data Arrangement"/>
      <sheetName val="1043"/>
      <sheetName val="Data sheet"/>
      <sheetName val="1. Data Entry Sales, Carline"/>
      <sheetName val="Adm"/>
      <sheetName val="sell"/>
      <sheetName val="Fin"/>
      <sheetName val="1406"/>
      <sheetName val="617"/>
      <sheetName val="UFPrn20081124111814"/>
      <sheetName val="公积捐赠"/>
      <sheetName val="总措施项目"/>
      <sheetName val="Set-up"/>
      <sheetName val="Acct 22010"/>
      <sheetName val="Administration"/>
      <sheetName val="P&amp;L PP"/>
      <sheetName val="Flash-pp"/>
      <sheetName val="MYF-pp"/>
      <sheetName val="Share Px"/>
      <sheetName val="2032"/>
      <sheetName val="A14_g280"/>
      <sheetName val="A14_g279"/>
      <sheetName val="REPOT"/>
      <sheetName val="REPEN"/>
      <sheetName val="209zt"/>
      <sheetName val="115zt"/>
      <sheetName val="11901zt"/>
      <sheetName val="存货和固定资产暂估明细"/>
      <sheetName val="Basic_Data"/>
      <sheetName val="QAD"/>
      <sheetName val="Sept BF"/>
      <sheetName val="HDPE2"/>
      <sheetName val="Anlage 3b, Attachment 3b"/>
      <sheetName val="KE30"/>
      <sheetName val="DAT"/>
      <sheetName val="Kal_PP3"/>
      <sheetName val="Ant.Buss1"/>
      <sheetName val="Ant.Buss2"/>
      <sheetName val="Ant.ZSK"/>
      <sheetName val="Dehy"/>
      <sheetName val="line1"/>
      <sheetName val="Ber_HDPE"/>
      <sheetName val="Ber_PP1"/>
      <sheetName val="Ber_PP2"/>
      <sheetName val="db"/>
      <sheetName val="T6-6(7)"/>
      <sheetName val="140509"/>
      <sheetName val="_80101"/>
      <sheetName val="_80102"/>
      <sheetName val="Historical prices(D)"/>
      <sheetName val="Historical prices(M)"/>
      <sheetName val="Historical prices(W)"/>
      <sheetName val="Sheet644"/>
      <sheetName val="收入成本明细"/>
      <sheetName val="Sheet2640"/>
      <sheetName val="Exp. Summary"/>
      <sheetName val="PTCG"/>
      <sheetName val="Tally TB June"/>
      <sheetName val="IBD"/>
      <sheetName val="MGT"/>
      <sheetName val="合并附注"/>
      <sheetName val="2货站"/>
      <sheetName val="省环保科目余额表9月"/>
      <sheetName val="基本"/>
      <sheetName val="2111"/>
      <sheetName val="5503"/>
      <sheetName val="Sheet865"/>
      <sheetName val="Fee Rate Summary"/>
      <sheetName val="미수"/>
      <sheetName val="外协件"/>
      <sheetName val="Mbew"/>
      <sheetName val="調整BS"/>
      <sheetName val="大额未达"/>
      <sheetName val="FA. 0012"/>
      <sheetName val="1H"/>
      <sheetName val="2H"/>
      <sheetName val="CTV PL"/>
      <sheetName val="综合概算(2003)"/>
      <sheetName val="重要性水平"/>
      <sheetName val="UFPrn20210114105843"/>
      <sheetName val="UFPrn20210114190800"/>
      <sheetName val="UFPrn20210114200340"/>
      <sheetName val="UFPrn20210114200354"/>
      <sheetName val="UFPrn20210114200426"/>
      <sheetName val="UFPrn20210114200550"/>
      <sheetName val="UFPrn20210114201346"/>
      <sheetName val="UFPrn20210116130132"/>
      <sheetName val="UFPrn20210116153205"/>
      <sheetName val="UFPrn20210116161353"/>
      <sheetName val="UFPrn20210116161456"/>
      <sheetName val="UFPrn20210116161512"/>
      <sheetName val="UFPrn20210116161529"/>
      <sheetName val="UFPrn20210116161544"/>
      <sheetName val="UFPrn20210116161601"/>
      <sheetName val="UFPrn20210116161616"/>
      <sheetName val="UFPrn20210116161630"/>
      <sheetName val="UFPrn20210118102619"/>
      <sheetName val="UFPrn20210130095810"/>
      <sheetName val="UFPrn20210205144440"/>
      <sheetName val="UFPrn20210205144827"/>
      <sheetName val="UFPrn20210205144835"/>
      <sheetName val="UFPrn20210205144855"/>
      <sheetName val="UFPrn20210205144917"/>
      <sheetName val="UFPrn20210205145020"/>
      <sheetName val="UFPrn20210205145028"/>
      <sheetName val="UFPrn20210205145038"/>
      <sheetName val="UFPrn20210205145048"/>
      <sheetName val="UFPrn20210205145059"/>
      <sheetName val="UFPrn20210205145116"/>
      <sheetName val="UFPrn20210205145125"/>
      <sheetName val="UFPrn20210218145645"/>
      <sheetName val="UFPrn20210218145851"/>
      <sheetName val="UFPrn20210218145904"/>
      <sheetName val="UFPrn20210218145928"/>
      <sheetName val="UFPrn20210224093859"/>
      <sheetName val="UFPrn20210314105647"/>
      <sheetName val="UFPrn20210314105724"/>
      <sheetName val="UFPrn20210314110215"/>
      <sheetName val="UFPrn20210316083000"/>
      <sheetName val="UFPrn20210316083159"/>
      <sheetName val="UFPrn20210316085117"/>
      <sheetName val="UFPrn20210316090225"/>
      <sheetName val="查询凭证列表"/>
      <sheetName val="UFPrn20210329152455"/>
      <sheetName val="UFPrn20210417141410"/>
      <sheetName val="UFPrn20210417142424"/>
      <sheetName val="UFPrn20210423192758"/>
      <sheetName val="UFPrn20210426134615"/>
      <sheetName val="UFPrn20210429165503"/>
      <sheetName val="UFPrn20210429165606"/>
      <sheetName val="UFPrn20210429180122"/>
      <sheetName val="UFPrn20210429180130"/>
      <sheetName val="UFPrn20210429180146"/>
      <sheetName val="UFPrn20210502105712"/>
      <sheetName val="UFPrn20210502143835"/>
      <sheetName val="UFPrn20210514142548"/>
      <sheetName val="UFPrn20210521100028"/>
      <sheetName val="UFPrn20210608222445"/>
      <sheetName val="UFPrn20210620093558"/>
      <sheetName val="UFPrn20210623133513"/>
      <sheetName val="UFPrn20210625123854"/>
      <sheetName val="凭证审核列表"/>
      <sheetName val="UFPrn20210628114802"/>
      <sheetName val="UFPrn20210701214708"/>
      <sheetName val="UFPrn20210712174811"/>
      <sheetName val="UFPrn20210719164600"/>
      <sheetName val="UFPrn20210727085509"/>
      <sheetName val="UFPrn20210819143755"/>
      <sheetName val="UFPrn20210914164248"/>
      <sheetName val="UFPrn20210914165238"/>
      <sheetName val="UFPrn20210914165836"/>
      <sheetName val="UFPrn20211019101411"/>
      <sheetName val="UFPrn20211201184329"/>
      <sheetName val="UFPrn20211209134041"/>
      <sheetName val="UFPrn20211209134323"/>
      <sheetName val="UFPrn20211209182658"/>
      <sheetName val="UFPrn20211209182714"/>
      <sheetName val="UFPrn20211215200537"/>
      <sheetName val="UFPrn20211215202839"/>
      <sheetName val="审计程序（旧）"/>
      <sheetName val="计提准备金明细"/>
      <sheetName val="Sheet455"/>
      <sheetName val="641"/>
      <sheetName val="446"/>
      <sheetName val="Phase I"/>
      <sheetName val="purchase-subsi"/>
      <sheetName val="sales1-subsi."/>
      <sheetName val="sales2-subsi."/>
      <sheetName val="sales3-subsi"/>
      <sheetName val="调12"/>
      <sheetName val="_200212"/>
      <sheetName val="底盘厂"/>
      <sheetName val="合并"/>
      <sheetName val="_2551"/>
      <sheetName val="_2555"/>
      <sheetName val="基础信息表"/>
      <sheetName val="N"/>
      <sheetName val="FY03"/>
      <sheetName val="Sheet429"/>
      <sheetName val="New investment"/>
      <sheetName val="load"/>
      <sheetName val="BANK ac no,"/>
      <sheetName val="关联交易-存款h_x0001_?_x0001__x"/>
      <sheetName val="Liste"/>
      <sheetName val="产品"/>
      <sheetName val="关联交易-存款h_x0001___x0001__x"/>
      <sheetName val="001Disclosure Summary"/>
      <sheetName val="L1-1 Ageing analysis"/>
      <sheetName val="本期报表"/>
      <sheetName val="对照表"/>
      <sheetName val="Co Des BBXL"/>
      <sheetName val="Regression"/>
      <sheetName val="J-cycle count09"/>
      <sheetName val="PCB"/>
      <sheetName val="客户略名"/>
      <sheetName val="Total Coach"/>
      <sheetName val="其他应收款个人"/>
      <sheetName val="Sale breakdown"/>
      <sheetName val="zhongshan "/>
      <sheetName val="A120-10"/>
      <sheetName val="中颖"/>
      <sheetName val="FF"/>
      <sheetName val="现金明细余额表"/>
      <sheetName val="其他货币资金余额表"/>
      <sheetName val="S-A130应收票据"/>
      <sheetName val="财务费用明细"/>
      <sheetName val="S-I210财务费用"/>
      <sheetName val="FY04Store"/>
      <sheetName val="Struktur"/>
      <sheetName val="2016~2018.8凭证库加工"/>
      <sheetName val="销售收入统计按科目"/>
      <sheetName val="应收票据(关联方)"/>
      <sheetName val="Directions"/>
      <sheetName val="A140-1应收账款明细"/>
      <sheetName val="SIZE &amp; VALUE"/>
      <sheetName val="MPC"/>
      <sheetName val="应收账款审定表"/>
      <sheetName val="软件公司收入与成本对应分析表"/>
      <sheetName val="Vorbereitende Eingaben (Teil 1)"/>
      <sheetName val="SB营业成本审定表"/>
      <sheetName val="Scrap Bridge Ytd"/>
      <sheetName val="202101-202106充值明细"/>
      <sheetName val="截止9月26日会员卡余额（企业提供）"/>
      <sheetName val="LookupTable"/>
      <sheetName val="MCS_P&amp;L_By_Sub_ USD"/>
      <sheetName val="tax payable"/>
      <sheetName val="其他未交款"/>
      <sheetName val="Details of ledger "/>
      <sheetName val="商业街销售情况统计表（PBC)"/>
      <sheetName val="Management report vs ledger"/>
      <sheetName val="raw"/>
      <sheetName val="Linkcleaner"/>
      <sheetName val="Berechnung"/>
      <sheetName val="报告披露_非上市合并&amp;FIE"/>
      <sheetName val="1540"/>
      <sheetName val="7378 StockBalance"/>
      <sheetName val="1048"/>
      <sheetName val="Base 基础"/>
      <sheetName val="Exchange_Rates"/>
      <sheetName val="CILO"/>
      <sheetName val="Sheet659"/>
      <sheetName val="PLCONSO"/>
      <sheetName val="Hidden"/>
      <sheetName val="Orientation"/>
      <sheetName val="Delivery"/>
      <sheetName val="Sheet686"/>
      <sheetName val="Sheet1459"/>
      <sheetName val="Sheet676"/>
      <sheetName val="Sheet660"/>
      <sheetName val="Sheet1460"/>
      <sheetName val="I101"/>
      <sheetName val="Sign Off Form"/>
      <sheetName val="Football"/>
      <sheetName val="LBO Valuation Analysis"/>
      <sheetName val="Buy"/>
      <sheetName val="Spin 1"/>
      <sheetName val="Sec Equity"/>
      <sheetName val="GRAPH &amp; SOURCE DATA"/>
      <sheetName val="LBO Assumptions"/>
      <sheetName val="Split"/>
      <sheetName val="TargetDCF"/>
      <sheetName val="A_Gen"/>
      <sheetName val="Sens"/>
      <sheetName val="E"/>
      <sheetName val="J&amp;Q"/>
      <sheetName val="Within"/>
      <sheetName val="收入完成预测"/>
      <sheetName val="短期借款&amp;长期借款明细表20021231"/>
      <sheetName val="0194"/>
      <sheetName val="毛利步行图-按产品类型"/>
      <sheetName val="毛利步行图-主要产品量价分析"/>
      <sheetName val="Drop List References"/>
      <sheetName val="Instructions (2)"/>
      <sheetName val="Sheet952"/>
      <sheetName val="新"/>
      <sheetName val="Personal property HZ"/>
      <sheetName val="CY BS"/>
      <sheetName val="FAL as of 7.31.06"/>
      <sheetName val="Model"/>
      <sheetName val="PLI-1994"/>
      <sheetName val="Phase2 movementDEC"/>
      <sheetName val="Phase1f.a.DEC"/>
      <sheetName val="Phase2 f.a.DEC (2)"/>
      <sheetName val="Table - Current Year"/>
      <sheetName val="Fin_Ass"/>
      <sheetName val="Accrued Expenses"/>
      <sheetName val="Value summary"/>
      <sheetName val="02车租"/>
      <sheetName val="定额"/>
      <sheetName val="CAB22.存放同业款项 "/>
      <sheetName val="Q1 "/>
      <sheetName val="loan database"/>
      <sheetName val="因子系数表"/>
      <sheetName val="Expenses"/>
      <sheetName val="TSNO-DC"/>
      <sheetName val="SAP 01-12-31"/>
      <sheetName val="Sheet628"/>
      <sheetName val="产品地区"/>
      <sheetName val="Month"/>
      <sheetName val="Interco Sales"/>
      <sheetName val="Net Bookings"/>
      <sheetName val="Net Sales &amp; Cost of Sales"/>
      <sheetName val="A_T5"/>
      <sheetName val="Sheet650"/>
      <sheetName val="NEW"/>
      <sheetName val="Sheet2621"/>
      <sheetName val="12201001"/>
      <sheetName val="unfinished"/>
      <sheetName val="Service Year"/>
      <sheetName val="Wufeng"/>
      <sheetName val="Wuchi"/>
      <sheetName val="Sheet1186"/>
      <sheetName val="sheet6"/>
      <sheetName val="PBC - PHS"/>
      <sheetName val="HKBUD"/>
      <sheetName val="May"/>
      <sheetName val="1 Eckdaten in LW"/>
      <sheetName val="Calc &amp; Export"/>
      <sheetName val="Carryover 2004"/>
      <sheetName val="AOP Exec Summary"/>
      <sheetName val="变动信息_变动类型"/>
      <sheetName val="U102-U104 Detail"/>
      <sheetName val="BBW"/>
      <sheetName val="983"/>
      <sheetName val="Revenue &amp; Expenses"/>
      <sheetName val="补贴收入"/>
      <sheetName val="分专业利润表"/>
      <sheetName val="分专业资产负债表"/>
      <sheetName val="分专业利润分配表"/>
      <sheetName val="上市公司与关联公司往来"/>
      <sheetName val="其他业务利润"/>
      <sheetName val="人工成本"/>
      <sheetName val="营业费用"/>
      <sheetName val="主营业务成本"/>
      <sheetName val="主营业务税金及附加"/>
      <sheetName val="主营业务收入长途"/>
      <sheetName val="主营业务收入数据"/>
      <sheetName val="主营业务收入移动"/>
      <sheetName val="主营业务收入固话"/>
      <sheetName val="主营业务收入新时空及其他"/>
      <sheetName val="主营业务收入寻呼"/>
      <sheetName val="不良排名"/>
      <sheetName val="PRC 13"/>
      <sheetName val="인사현황(부서)"/>
      <sheetName val="Vehicles"/>
      <sheetName val="suivi cash flow par affaire"/>
      <sheetName val="608"/>
      <sheetName val="변수"/>
      <sheetName val="基本信息输入"/>
      <sheetName val="AR movement"/>
      <sheetName val="intbutot wksheet current"/>
      <sheetName val="Understand the client"/>
      <sheetName val="Bokslutsprocessen"/>
      <sheetName val="Indata"/>
      <sheetName val="CO-Master"/>
      <sheetName val="BI-POLAR"/>
      <sheetName val="合并抵销或调整分录（1）"/>
      <sheetName val="2.2 付款及计提明细"/>
      <sheetName val="印花税档案"/>
      <sheetName val="1.汇总统计"/>
      <sheetName val="LTM Volume"/>
      <sheetName val="附表2-合同台账"/>
      <sheetName val="租赁合同期限超过5年的商户"/>
      <sheetName val="JPY_Rates"/>
      <sheetName val="HKD_Rates"/>
      <sheetName val="卖出国债test"/>
      <sheetName val="Bank Table"/>
      <sheetName val="1 LeadSchedule"/>
      <sheetName val="3 Analysis"/>
      <sheetName val="OCT BANK"/>
      <sheetName val="Lockbox"/>
      <sheetName val="Technical"/>
      <sheetName val="Parametri"/>
      <sheetName val="FP"/>
      <sheetName val="COS1"/>
      <sheetName val="COS2"/>
      <sheetName val="COS3"/>
      <sheetName val="COS4"/>
      <sheetName val="PL2"/>
      <sheetName val="PL3"/>
      <sheetName val="PL4"/>
      <sheetName val="GM Trend"/>
      <sheetName val="GM% Trend"/>
      <sheetName val="Linearity"/>
      <sheetName val="Linearity Chart"/>
      <sheetName val="NP Trend"/>
      <sheetName val="Recon"/>
      <sheetName val="Rev Trend"/>
      <sheetName val="Rev-GM Detail 1"/>
      <sheetName val="Rev-GM Detail 2"/>
      <sheetName val="Rev Mix Trend"/>
      <sheetName val="SUMMARY (EXPD)"/>
      <sheetName val="SUMMARY (%)"/>
      <sheetName val="QTD TO GO"/>
      <sheetName val="600"/>
      <sheetName val="analysis"/>
      <sheetName val="Sensitivities"/>
      <sheetName val="h1h2 model"/>
      <sheetName val="八月"/>
      <sheetName val="A5_合并调整"/>
      <sheetName val="A3_合并财务报表"/>
      <sheetName val="公司名称"/>
      <sheetName val="Sheet634"/>
      <sheetName val="王府井折旧测算表-税收口径"/>
      <sheetName val="10月"/>
      <sheetName val="11月"/>
      <sheetName val="12月"/>
      <sheetName val="2月"/>
      <sheetName val="7月"/>
      <sheetName val="8月"/>
      <sheetName val="9月"/>
      <sheetName val="公司股东权益变动"/>
      <sheetName val="余额表"/>
      <sheetName val="Sheet667"/>
      <sheetName val="3.４Ｒ損益"/>
      <sheetName val="Sheet833"/>
      <sheetName val="工具HK库龄"/>
      <sheetName val="Sheet547"/>
      <sheetName val="sapactivexlhiddensheet"/>
      <sheetName val="1025"/>
      <sheetName val="1026"/>
      <sheetName val="Sheet593"/>
      <sheetName val="Recov"/>
      <sheetName val="Sheet652"/>
      <sheetName val="总部&amp;平台10月费用明细-预算口径"/>
      <sheetName val="CLOC's"/>
      <sheetName val="LOB"/>
      <sheetName val="Sheet633"/>
      <sheetName val="现调整"/>
      <sheetName val="附表2关联交易"/>
      <sheetName val="Table Rates"/>
      <sheetName val="GG&amp;P Yield"/>
      <sheetName val="PBY Adj"/>
      <sheetName val="PMO"/>
      <sheetName val="RV"/>
      <sheetName val="bal1"/>
      <sheetName val="_2731"/>
      <sheetName val="_2733"/>
      <sheetName val="_2568"/>
      <sheetName val="5426"/>
      <sheetName val="_8048"/>
      <sheetName val="RJE#3"/>
      <sheetName val="取费表"/>
      <sheetName val="其他应付款4-12月份明细表"/>
      <sheetName val="表单1"/>
      <sheetName val="G-35-3"/>
      <sheetName val="经评"/>
      <sheetName val="1-12"/>
      <sheetName val="12.APaging附表"/>
      <sheetName val="Sheet449"/>
      <sheetName val="2_1设计部"/>
      <sheetName val="Group_structure"/>
      <sheetName val="Profit_and_loss"/>
      <sheetName val="Detail_Loan_Move____Listing"/>
      <sheetName val="2weeeks_All__Excess_and_Shortag"/>
      <sheetName val="Business_Unit"/>
      <sheetName val="TargIS"/>
      <sheetName val="Raw Mtl Prep"/>
      <sheetName val="2016分录"/>
      <sheetName val="Sheet3615"/>
      <sheetName val="Sheet435"/>
      <sheetName val="EQUIP"/>
      <sheetName val="3直"/>
      <sheetName val="HISTORY "/>
      <sheetName val="DOWNLOAD"/>
      <sheetName val="表2&lt;销售出库单&gt;"/>
      <sheetName val="U-3x1_YE"/>
      <sheetName val="U-3x2_YE"/>
      <sheetName val="V_over_1"/>
      <sheetName val="V_over_2"/>
      <sheetName val="MTRL"/>
      <sheetName val="Artikel"/>
      <sheetName val="Lås"/>
      <sheetName val="SHFMA"/>
      <sheetName val="NJFMA"/>
      <sheetName val="WHFMA"/>
      <sheetName val="CDFMA"/>
      <sheetName val="KMFMA"/>
      <sheetName val="Fidelity Option"/>
      <sheetName val="PAY REGISTER~Input Values"/>
      <sheetName val="04"/>
      <sheetName val="03"/>
      <sheetName val="CD FMA"/>
      <sheetName val="FMC"/>
      <sheetName val="FMT"/>
      <sheetName val="EFF &amp; HRS"/>
      <sheetName val="0.09"/>
      <sheetName val="Sheet630"/>
      <sheetName val="1月1"/>
      <sheetName val="Leasehold_imp"/>
      <sheetName val="A_R_016"/>
      <sheetName val="Defer_tax6"/>
      <sheetName val="ADJ_Sum(console)6"/>
      <sheetName val="Estimated_AP_9_036"/>
      <sheetName val="2005_065"/>
      <sheetName val="daywork-_Tham_khao5"/>
      <sheetName val="TB_Link5"/>
      <sheetName val="Mar_OR5"/>
      <sheetName val="truc_tiep4"/>
      <sheetName val="REC_975"/>
      <sheetName val="P_1预收、其他应付、其他流动负债4"/>
      <sheetName val="G_预付账款、其他应收款、其他流动资产4"/>
      <sheetName val="_U1504"/>
      <sheetName val="关联交易-存款hࢀ_ࢀ_2"/>
      <sheetName val="Financ__Overview4"/>
      <sheetName val="2-分类汇总_Classified_Summary4"/>
      <sheetName val="各年往来_(2)4"/>
      <sheetName val="IFRS_REPORTING4"/>
      <sheetName val="office_supplies4"/>
      <sheetName val="关联交易-存款hࢀ_ࢀ__x005f_x0001_4"/>
      <sheetName val="关联交易-存款hࢀ_ࢀ__x005f_x005f_x005f_x0001_4"/>
      <sheetName val="zero_(3)4"/>
      <sheetName val="A5_Summary4"/>
      <sheetName val="Invest_4"/>
      <sheetName val="A3_Sum4"/>
      <sheetName val="3_24"/>
      <sheetName val="Inv_days_#54"/>
      <sheetName val="control_sheet_fund_II4"/>
      <sheetName val="Exec_Summary4"/>
      <sheetName val="F1100芯片测试费_4"/>
      <sheetName val="TAB_Daten3"/>
      <sheetName val="N_应付账款3"/>
      <sheetName val="Raw_materials3"/>
      <sheetName val="关联交易-存款hࢀ_ࢀ__x005f_x005f_x005f_x005f_x005f3"/>
      <sheetName val="关联交易-存款hࢀ_ࢀ__x005f_x005f_3"/>
      <sheetName val="Ex_Diff3"/>
      <sheetName val="II-_Liability_Component_June_03"/>
      <sheetName val="I-Conclusion_3"/>
      <sheetName val="II-_Liab__comp_IAS3"/>
      <sheetName val="Conversion_feature3"/>
      <sheetName val="I-_Summary3"/>
      <sheetName val="Sch_PR-23"/>
      <sheetName val="Sch_PR-33"/>
      <sheetName val="Consol_BS3"/>
      <sheetName val="HO_&amp;_Aust_BS3"/>
      <sheetName val="JAC11_303"/>
      <sheetName val="Tier1_Pref_SGP3"/>
      <sheetName val="Rev__Losses3"/>
      <sheetName val="SoP_SGP23"/>
      <sheetName val="Prop_R3"/>
      <sheetName val="Tier1_Pref_SBP3"/>
      <sheetName val="Income_Statement_breakdown3"/>
      <sheetName val="销售6_133"/>
      <sheetName val="短期投资股票投资_dbf3"/>
      <sheetName val="短期投资国债投资_dbf3"/>
      <sheetName val="股票投资收益_dbf3"/>
      <sheetName val="其他货币海通_dbf3"/>
      <sheetName val="其他货币零领路_dbf3"/>
      <sheetName val="投资收益债券_dbf3"/>
      <sheetName val="关联交易-存款hࢀ_ࢀ__3"/>
      <sheetName val="关联交易-存款?滨?_3"/>
      <sheetName val="Base_Info3"/>
      <sheetName val="PV6_3_5L_LX5_GMX1703"/>
      <sheetName val="Company_Information3"/>
      <sheetName val="QTR_Data_Analysis3"/>
      <sheetName val="Disclosure_Summary3"/>
      <sheetName val="qad_TB3"/>
      <sheetName val="P&amp;L_adhoc3"/>
      <sheetName val="Suppl_Adhoc_Inv_(F)3"/>
      <sheetName val="Suppl_Adhoc_Pers3"/>
      <sheetName val="BOX_SUM3"/>
      <sheetName val="FIN_GOOD3"/>
      <sheetName val="Hyperion_Link3"/>
      <sheetName val="2_5上年现金试算3"/>
      <sheetName val="1461（12_6）3"/>
      <sheetName val="Romford_Market3"/>
      <sheetName val="Price_List3"/>
      <sheetName val="Payed_bonuses3"/>
      <sheetName val="Output_&amp;_Financial_Statements3"/>
      <sheetName val="Old_TWX_Quorfa3"/>
      <sheetName val="TWX_Model3"/>
      <sheetName val="FS_Output_43"/>
      <sheetName val="FS_Output_13"/>
      <sheetName val="FS_Output_33"/>
      <sheetName val="FS_Output23"/>
      <sheetName val="Deal_Structure_&amp;_Control_Page3"/>
      <sheetName val="Historic_Comps3"/>
      <sheetName val="All_Cash_Dil3"/>
      <sheetName val="关联交易-存款hࢀ_ࢀ__x005f_x005f_x005f_x005f_3"/>
      <sheetName val="&lt;FF&gt;_Tax_Payable3"/>
      <sheetName val="PPD_Schedule3"/>
      <sheetName val="清单12_313"/>
      <sheetName val="Economic_evaluation_-_FY98_bas3"/>
      <sheetName val="Bank_card_list3"/>
      <sheetName val="Base_Data3"/>
      <sheetName val="链接表（勿动）_元)2"/>
      <sheetName val="两次基准日的对比_(0531与0831)2"/>
      <sheetName val="链接表（勿动）_(元表)2"/>
      <sheetName val="Detail_Loan_Move__&amp;_Listing3"/>
      <sheetName val="1_03"/>
      <sheetName val="CUSTOMER_(DETAIL)3"/>
      <sheetName val="Non-Statistical_Sampling3"/>
      <sheetName val="AR_Drop_Downs3"/>
      <sheetName val="1-_Input_&amp;_Info3"/>
      <sheetName val="Lease_AP_20083"/>
      <sheetName val="Antivol_D23"/>
      <sheetName val="Vendor_Data3"/>
      <sheetName val="PRC_GAAP3"/>
      <sheetName val="CY_sales_report2"/>
      <sheetName val="M_Schedules2"/>
      <sheetName val="Staff_List2"/>
      <sheetName val="addl_cost2"/>
      <sheetName val="综合成本分析01_01-02052"/>
      <sheetName val="SD-Report_5&quot;2"/>
      <sheetName val="Rejects_PPM2"/>
      <sheetName val="QOS_RPPM2"/>
      <sheetName val="Standort_(DE)2"/>
      <sheetName val="Act_Vol2"/>
      <sheetName val="Customer_Name2"/>
      <sheetName val="T__B2"/>
      <sheetName val="IRR_&amp;_NPV2"/>
      <sheetName val="开发成本2002_-_Movement2"/>
      <sheetName val="statement_19982"/>
      <sheetName val="XVIa(i)_-_average_price_(2)2"/>
      <sheetName val="Table_13_1_-_32"/>
      <sheetName val="ACC_NAME2"/>
      <sheetName val="C-1_总表2"/>
      <sheetName val="4_1-合同台帐2"/>
      <sheetName val="Income_Statement_and_KPIs2"/>
      <sheetName val="index_cc2"/>
      <sheetName val="1_5_合同、非合同台帐2"/>
      <sheetName val="IS_Summary-962"/>
      <sheetName val="Library_Procedures2"/>
      <sheetName val="Non-Statistical_Sampling_Maste2"/>
      <sheetName val="Global_Data2"/>
      <sheetName val="4_1拆出资金2"/>
      <sheetName val="aging_06122"/>
      <sheetName val="NA_QTR_PROD2"/>
      <sheetName val="Official_Lehman_PROD_Sched2"/>
      <sheetName val="Income_statement2"/>
      <sheetName val="PRC_152"/>
      <sheetName val="acc_list2"/>
      <sheetName val="在建工程_final2"/>
      <sheetName val="VS_Consensus2"/>
      <sheetName val="CJE_energy_inv2"/>
      <sheetName val="YTD_SALES2"/>
      <sheetName val="国别报告数据填报模板(Information_Request2"/>
      <sheetName val="진행_DATA_(2)2"/>
      <sheetName val="Cash_Flow_-_CY_Workings2"/>
      <sheetName val="2_cot2"/>
      <sheetName val="for_ey_reviewer_销售费用2"/>
      <sheetName val="for_ey_reviewer_制造费用2"/>
      <sheetName val="ZP7_gespritzt2"/>
      <sheetName val="Acq_Assumptions_I2"/>
      <sheetName val="Acq_Assumptions_II2"/>
      <sheetName val="Acq_Assumptions_III2"/>
      <sheetName val="关联交易-存款_滨__3"/>
      <sheetName val="Book_1_Summary2"/>
      <sheetName val="销售人效_-_Overview2"/>
      <sheetName val="Two_Step_Revenue_Testing_Maste2"/>
      <sheetName val="Share_Prices2"/>
      <sheetName val="Feb_Allocation%2"/>
      <sheetName val="Com_Lever2"/>
      <sheetName val="expenses_calc2"/>
      <sheetName val="existing_cities_benchmark2"/>
      <sheetName val="master_sheet2"/>
      <sheetName val="bike_loss2"/>
      <sheetName val="exchange_rate2"/>
      <sheetName val="Cash_Flow_Worksheet2"/>
      <sheetName val="Chart_Analysis2"/>
      <sheetName val="2005_012"/>
      <sheetName val="Comp_equip2"/>
      <sheetName val="Access360_-_PP2"/>
      <sheetName val="Program_Controls2"/>
      <sheetName val="BS_Heading2"/>
      <sheetName val="GA5-2-1_明细表20152"/>
      <sheetName val="Salses_breakdown2"/>
      <sheetName val="其他货币资金_dbf2"/>
      <sheetName val="银行存款_dbf2"/>
      <sheetName val="2018_ADJ2"/>
      <sheetName val="08_82"/>
      <sheetName val="Service_Parts_Rejects_(RPPM)2"/>
      <sheetName val="Carole_Worksheet_Table2"/>
      <sheetName val="POWER_ASSUMPTIONS2"/>
      <sheetName val="0_1公司清单2"/>
      <sheetName val="H_R2"/>
      <sheetName val="7_-_ARO_Assumptions2"/>
      <sheetName val="1_资金支付台帐2"/>
      <sheetName val="M&amp;A_pipeline2"/>
      <sheetName val="PER_SALES_ORG2"/>
      <sheetName val="F19_22"/>
      <sheetName val="F19_12"/>
      <sheetName val="F5_52"/>
      <sheetName val="F5_32"/>
      <sheetName val="Accounts_Database2"/>
      <sheetName val="CH_Car2"/>
      <sheetName val="App1_Entities_sequence_number2"/>
      <sheetName val="summary_2"/>
      <sheetName val="F40-Goodsin_transit2"/>
      <sheetName val="Opening_check_Misc_(WO_Only)2"/>
      <sheetName val="1002-1031170406_Capital_Accoun2"/>
      <sheetName val="Air_Conditional2"/>
      <sheetName val="Motor_Vehicle2"/>
      <sheetName val="Sales_for_20012"/>
      <sheetName val="Project_Details2"/>
      <sheetName val="IRR_Historic2"/>
      <sheetName val="Portfolio_IRR2"/>
      <sheetName val="Val_Inputs2"/>
      <sheetName val="Model_Inputs2"/>
      <sheetName val="Exchange_Rates&gt;&gt;2"/>
      <sheetName val="Funding_Combined2"/>
      <sheetName val="FY18_funding2"/>
      <sheetName val="iFood_funding2"/>
      <sheetName val="Summary_Adjusted2"/>
      <sheetName val="Summary_Combined2"/>
      <sheetName val="Conversion_Roll_forward2"/>
      <sheetName val="Summary_Roll_Forward2"/>
      <sheetName val="Conversion_DCF2"/>
      <sheetName val="Summary_DCF2"/>
      <sheetName val="Conversion_Cash_Flow2"/>
      <sheetName val="Summary_Cash_Flow2"/>
      <sheetName val="Company_Name_mappings2"/>
      <sheetName val="PH_Car2"/>
      <sheetName val="Tritel_Consolidated2"/>
      <sheetName val="TeleCorp_Holdco_Summary2"/>
      <sheetName val="___合同台账__2"/>
      <sheetName val="U1_62"/>
      <sheetName val="2018工程汇总_2"/>
      <sheetName val="Related_company3"/>
      <sheetName val="Data_From_XXX3"/>
      <sheetName val="Delphi_original3"/>
      <sheetName val="FUEL_FILLER3"/>
      <sheetName val="Capex_report2"/>
      <sheetName val="Depreciation_test1"/>
      <sheetName val="query_results1"/>
      <sheetName val="Table_US_Currency1"/>
      <sheetName val="fixed_assets_–Forklifts1"/>
      <sheetName val="fixed_assets_–battery1"/>
      <sheetName val="VT_TEB_Planung-20061"/>
      <sheetName val="CLA-21_1-4_OLD2"/>
      <sheetName val="表二十二_(2)1"/>
      <sheetName val="附表1_年度人数1"/>
      <sheetName val="Cash_Flow2"/>
      <sheetName val="26_存货月报表1"/>
      <sheetName val="cum_pred1"/>
      <sheetName val="库存商品余额表_dbf2"/>
      <sheetName val="Sales_Volumes_&amp;_Plan1"/>
      <sheetName val="Net_Sales_LC1"/>
      <sheetName val="CIP_DETAILS1"/>
      <sheetName val="7_(2)2"/>
      <sheetName val="Info__Request1"/>
      <sheetName val="Price_Provision_清单1"/>
      <sheetName val="PltRpt_(A&amp;F)1"/>
      <sheetName val="PltRpt_(A&amp;FvsB)1"/>
      <sheetName val="PltRpt_(B&amp;AC)1"/>
      <sheetName val="Schedule_B1"/>
      <sheetName val="Tav_22_Rischio_di_Credito1"/>
      <sheetName val="信息费用预算表(A4)_1"/>
      <sheetName val="ARP_stt_21"/>
      <sheetName val="Gen_Accruals1"/>
      <sheetName val="Legal_Accrual1"/>
      <sheetName val="Payroll_Accrual1"/>
      <sheetName val="Cost_of_Equity2"/>
      <sheetName val="E3_A1"/>
      <sheetName val="Net_REVENUE1"/>
      <sheetName val="_2"/>
      <sheetName val="Ex__rate1"/>
      <sheetName val="资产评估结果分类汇总表_(2)2"/>
      <sheetName val="SPI_GMBH1"/>
      <sheetName val="Summary_Page_VDF1"/>
      <sheetName val="Invested_capital_VDF1"/>
      <sheetName val="LT_TB1"/>
      <sheetName val="LTMD_TB1"/>
      <sheetName val="OC_TB1"/>
      <sheetName val="ZD_TB1"/>
      <sheetName val="Agency_Walker_ID1"/>
      <sheetName val="sales_breakdown1"/>
      <sheetName val="co_info1"/>
      <sheetName val="FA_Roll_to_GL_(p_2)1"/>
      <sheetName val="Lead_(p_1)1"/>
      <sheetName val="Interim_NWA_converted_in_Dec021"/>
      <sheetName val="AP-NSK(trade)_USD1"/>
      <sheetName val="IV-NSK_JPY1"/>
      <sheetName val="AP-NSK_(trade)_JPY1"/>
      <sheetName val="AR-KTB_JPY1"/>
      <sheetName val="AR-NSK_(trade)_USD1"/>
      <sheetName val="ar-OKI_Micro1"/>
      <sheetName val="AR-TAIKO_JPY1"/>
      <sheetName val="BR-Thousand_JPY1"/>
      <sheetName val="F余额表2021_(2)1"/>
      <sheetName val="F余额表2021_(3)1"/>
      <sheetName val="其他业务成本_1110311"/>
      <sheetName val="A6620_Detail1"/>
      <sheetName val="K311_A_List021"/>
      <sheetName val="99Exh_I1"/>
      <sheetName val="외주현황_wq11"/>
      <sheetName val="Difference_Reconcliation1"/>
      <sheetName val="RPT_Disclosure1"/>
      <sheetName val="FY99_Volume1"/>
      <sheetName val="Sal_&amp;_Wage_Info1"/>
      <sheetName val="LAbor_estimate1"/>
      <sheetName val="2018_4_7_for_Bank1"/>
      <sheetName val="Chart_of_acct_1"/>
      <sheetName val="SPLICE_HOURS1"/>
      <sheetName val="SC_HKD_CA1"/>
      <sheetName val="M_P_1"/>
      <sheetName val="Taux_de_change_1"/>
      <sheetName val="plantilla_mes1"/>
      <sheetName val="PL_by_month-EFY1"/>
      <sheetName val="Calcs_for__quarterly_pres1"/>
      <sheetName val="Valuation_Matrix1"/>
      <sheetName val="Mov_from_2001_to_20032"/>
      <sheetName val="VCC_11110-4612"/>
      <sheetName val="CREDIT_STATS1"/>
      <sheetName val="FAT_DB1"/>
      <sheetName val="CF_Bridge1"/>
      <sheetName val="Other_R&amp;O1"/>
      <sheetName val="Co_591"/>
      <sheetName val="FA_List1"/>
      <sheetName val="Operating_1"/>
      <sheetName val="CFS_adjustments1"/>
      <sheetName val="Office_Improve1"/>
      <sheetName val="Drop_down1"/>
      <sheetName val="2010_Breakdown1"/>
      <sheetName val="_W60A_Seating_2011_3_7_xlsx1"/>
      <sheetName val="cur_rates1"/>
      <sheetName val="Total_20091"/>
      <sheetName val="3rd_Qtr1"/>
      <sheetName val="5th_Qtr1"/>
      <sheetName val="6th_Qtr1"/>
      <sheetName val="7th_Qtr1"/>
      <sheetName val="Exit_Forecast1"/>
      <sheetName val="2nd_Qtr1"/>
      <sheetName val="Rounded_Input1"/>
      <sheetName val="_003_3固定资产1"/>
      <sheetName val="CA_consolidated1"/>
      <sheetName val="SUIVI_EFFECTIFS1"/>
      <sheetName val="Vendas_Tons1"/>
      <sheetName val="C_Estr_1"/>
      <sheetName val="EFFECT_1"/>
      <sheetName val="P&amp;L_Summary_Page1"/>
      <sheetName val="Expenses_with_Comparisons1"/>
      <sheetName val="TEV_Multiples1"/>
      <sheetName val="CSM_Data_by_CY_1"/>
      <sheetName val="Pref_Probable_Case_Returns1"/>
      <sheetName val="Interco_BSC_011"/>
      <sheetName val="Chart_of_Acct1"/>
      <sheetName val="Trial_Balance1"/>
      <sheetName val="U210'_1"/>
      <sheetName val="Comparative_Balance_Sheet1"/>
      <sheetName val="Com_list1"/>
      <sheetName val="Headcount_and_Oil_Price1"/>
      <sheetName val="BOE_Stats1"/>
      <sheetName val="C_-_Cash_and_Bank1"/>
      <sheetName val="others_gl1"/>
      <sheetName val="BALANCE_SHEET1"/>
      <sheetName val="总公司2002_12_311"/>
      <sheetName val="Beg-_End_balance1"/>
      <sheetName val="Net_Trans_Sum1"/>
      <sheetName val="5_基础档案1"/>
      <sheetName val="Sum_Hist1"/>
      <sheetName val="Corporate_PPT1"/>
      <sheetName val="WTI_Coporate_Eliminations_PPT1"/>
      <sheetName val="BT_031"/>
      <sheetName val="BT_021"/>
      <sheetName val="BT_011"/>
      <sheetName val="ICP费用ICP_Expense1"/>
      <sheetName val="ICP其他应付款ICP_OtherPayable1"/>
      <sheetName val="FIRE_Parameters1"/>
      <sheetName val="Sales_by_category1"/>
      <sheetName val="1102_TAB_OPPORTUNITY_to_import1"/>
      <sheetName val="_FY20001"/>
      <sheetName val="Product_List1"/>
      <sheetName val="BU_Parameters1"/>
      <sheetName val="Valuation_Summary1"/>
      <sheetName val="Capex_&amp;_Working_Capital_1"/>
      <sheetName val="Product_Summary1"/>
      <sheetName val="Revenue_Output1"/>
      <sheetName val="P&amp;L_Summary1"/>
      <sheetName val="Gross_Profit_Output_(100%)1"/>
      <sheetName val="Historical_IS1"/>
      <sheetName val="Other_Working_Assumptions1"/>
      <sheetName val="Valuation_Waterfall1"/>
      <sheetName val="Gross_Profit1"/>
      <sheetName val="Historical_BS1"/>
      <sheetName val="Key_Assumptions1"/>
      <sheetName val="Instruction_Sheet1"/>
      <sheetName val="Invested_Capital1"/>
      <sheetName val="Monthly_Ex_rate1"/>
      <sheetName val="Expense_Accrual1"/>
      <sheetName val="Gen__Accrual1"/>
      <sheetName val="Prod__Accrual1"/>
      <sheetName val="Rent_Accrual1"/>
      <sheetName val="Corporate_Sales1"/>
      <sheetName val="Freight_Issues1"/>
      <sheetName val="Financial_Summary1"/>
      <sheetName val="Rev_provit1"/>
      <sheetName val="Repayment_Summary1"/>
      <sheetName val="会计科目设置__科目汇总表1"/>
      <sheetName val="IND_1"/>
      <sheetName val="Performance_Graphs1"/>
      <sheetName val="Validation_source1"/>
      <sheetName val="EXP_LINE1"/>
      <sheetName val="封面_Cover1"/>
      <sheetName val="Other_M&amp;R1"/>
      <sheetName val="QTP_dt_1"/>
      <sheetName val="05_AOP_-_Exp_by_CC1"/>
      <sheetName val="05_AOP_-_By_Acct_Detail1"/>
      <sheetName val="IB_Average1"/>
      <sheetName val="Int_ZFLS1"/>
      <sheetName val="I-cycle_count081"/>
      <sheetName val="TT_template1"/>
      <sheetName val="Valuation_-_GSJBW1"/>
      <sheetName val="NBE_DCF1"/>
      <sheetName val="Consolidated_DCF1"/>
      <sheetName val="Boilers_DCF1"/>
      <sheetName val="NBE_(heat_rate)1"/>
      <sheetName val="关联交易-存款h__x0"/>
      <sheetName val="1_1_Project_Data"/>
      <sheetName val="BS_CHECK"/>
      <sheetName val="C_货币资金"/>
      <sheetName val="C_抵押存款"/>
      <sheetName val="D_可供出售投资-流动"/>
      <sheetName val="D_衍生金融资产"/>
      <sheetName val="D_持有至到期投资-流动"/>
      <sheetName val="D_短期投资"/>
      <sheetName val="D_单列金融资产"/>
      <sheetName val="A5_dim&amp;adj_sum"/>
      <sheetName val="E_应收账款"/>
      <sheetName val="E_应收贸易款及票据"/>
      <sheetName val="E_应收票据"/>
      <sheetName val="F_存货"/>
      <sheetName val="F_房地产"/>
      <sheetName val="G_预付账款&amp;其他应收款&amp;待摊费用"/>
      <sheetName val="G_应收股利"/>
      <sheetName val="G_待售资产"/>
      <sheetName val="G_HK其他应收"/>
      <sheetName val="G_应收利息"/>
      <sheetName val="G_其他流动资产"/>
      <sheetName val="H_可供出售投资-非流动"/>
      <sheetName val="H_HK长投"/>
      <sheetName val="H_商誉"/>
      <sheetName val="H_持有至到期投资-非流动"/>
      <sheetName val="H_投资性房地产"/>
      <sheetName val="H_PRC长投"/>
      <sheetName val="I_应收关联方"/>
      <sheetName val="I_应付关联方"/>
      <sheetName val="J_在建工程"/>
      <sheetName val="K_固定资产"/>
      <sheetName val="K_固定资产清理"/>
      <sheetName val="L_一年内到期的长期债权投资"/>
      <sheetName val="L_无形"/>
      <sheetName val="L_长期待摊"/>
      <sheetName val="L_其他长期资产"/>
      <sheetName val="M_短借"/>
      <sheetName val="N_应付票据"/>
      <sheetName val="P_预收账款&amp;其他应付款&amp;应付职工薪酬&amp;预提费用&amp;其他应交款"/>
      <sheetName val="U_其他业务收支&amp;营业外收支&amp;补贴收入&amp;利息收入"/>
      <sheetName val="U_所得税"/>
      <sheetName val="O_递延税资产"/>
      <sheetName val="O_递延税负债"/>
      <sheetName val="O_应交税费"/>
      <sheetName val="U_税金及附加"/>
      <sheetName val="P_应付股利"/>
      <sheetName val="P_HK其他应付"/>
      <sheetName val="P_应付利息"/>
      <sheetName val="P_其他应付款"/>
      <sheetName val="P_其他流动负债"/>
      <sheetName val="P_应付职工薪酬"/>
      <sheetName val="P_预计负债"/>
      <sheetName val="Q_应付债券"/>
      <sheetName val="Q_可转债"/>
      <sheetName val="Q_政府补助"/>
      <sheetName val="Q_一年内到期负债"/>
      <sheetName val="Q_应付融资租赁款"/>
      <sheetName val="Q_长借"/>
      <sheetName val="Q_长期应付"/>
      <sheetName val="Q_其他长期负债"/>
      <sheetName val="Q_专项应付"/>
      <sheetName val="T_股本"/>
      <sheetName val="T_资本公积"/>
      <sheetName val="T_折算差额"/>
      <sheetName val="T_未分配利润"/>
      <sheetName val="T_盈余公积"/>
      <sheetName val="U_主营业务"/>
      <sheetName val="U_财务费用"/>
      <sheetName val="U_投资收益&amp;公允价值变动收益"/>
      <sheetName val="U_管理费用&amp;资产减值损失"/>
      <sheetName val="U_成本倒轧表&amp;制造费用"/>
      <sheetName val="U_销售费用"/>
      <sheetName val="U_分占下属损益"/>
      <sheetName val="Pick_Lists_Sheet1"/>
      <sheetName val="K1_Tax_computation1"/>
      <sheetName val="Financial_Statistics"/>
      <sheetName val="BIS_LIST-NTH_18"/>
      <sheetName val="TB_&amp;_2013"/>
      <sheetName val="Offering_Stats"/>
      <sheetName val="Consol_FS"/>
      <sheetName val="Segment_to_Legal"/>
      <sheetName val="P_&amp;_L_Account"/>
      <sheetName val="M5_M6_Summary"/>
      <sheetName val="Sheet1_(3)"/>
      <sheetName val="FF-2_(1)"/>
      <sheetName val="WACC_Analysis_Output"/>
      <sheetName val="D410_应交税金变动表Movement"/>
      <sheetName val="ALL_DATA"/>
      <sheetName val="06_1"/>
      <sheetName val="附件10_东莞百宏-待摊费用2019"/>
      <sheetName val="附件6_东莞百宏-其他应收款2019"/>
      <sheetName val="附件8_东莞百宏-预收账款2019"/>
      <sheetName val="A3_试算表Financial_statement"/>
      <sheetName val="K_固定资产&amp;投资性房地产"/>
      <sheetName val="G_其他应收款"/>
      <sheetName val="Occupancy_2004"/>
      <sheetName val="Fcst_2017"/>
      <sheetName val="Balance_sheet_for_August"/>
      <sheetName val="Income_statement_for_August"/>
      <sheetName val="O_adj"/>
      <sheetName val="Lists_(Hide)"/>
      <sheetName val="NEWSPRINT_&amp;_UGW"/>
      <sheetName val="Calibration_to_Swaptions"/>
      <sheetName val="Swaption_Data"/>
      <sheetName val="Account_Map"/>
      <sheetName val="Management_Projections"/>
      <sheetName val="Inventories_Analysis"/>
      <sheetName val="6126_07披露表(国资)"/>
      <sheetName val="附件25_2-销售收入"/>
      <sheetName val="FA_ad09-12"/>
      <sheetName val="SFC_fcst"/>
      <sheetName val="01_T"/>
      <sheetName val="03_"/>
      <sheetName val="A_|_INPUT_Filler"/>
      <sheetName val="Fitments_Abs_Ums"/>
      <sheetName val="Datenbank_Fillers"/>
      <sheetName val="1102_MIT"/>
      <sheetName val="Sept_BF"/>
      <sheetName val="Anlage_3b,_Attachment_3b"/>
      <sheetName val="Ant_Buss1"/>
      <sheetName val="Ant_Buss2"/>
      <sheetName val="Ant_ZSK"/>
      <sheetName val="PP&amp;E_&amp;_Intangibles"/>
      <sheetName val="Cover_--&gt;"/>
      <sheetName val="Comps_input"/>
      <sheetName val="MT_by_Dept_管理报表费用分类"/>
      <sheetName val="Volatility_raw"/>
      <sheetName val="Welfare_PIT"/>
      <sheetName val="sales_vol_"/>
      <sheetName val="Review_pts"/>
      <sheetName val="For_Report"/>
      <sheetName val="Sch0-_Tax_Recon"/>
      <sheetName val="Data_sheet"/>
      <sheetName val="1__Data_Entry_Sales,_Carline"/>
      <sheetName val="by_category"/>
      <sheetName val="Acct_22010"/>
      <sheetName val="Client_Data"/>
      <sheetName val="P&amp;L_PP"/>
      <sheetName val="Fee_Rate_Summary"/>
      <sheetName val="Exp__Summary"/>
      <sheetName val="Tally_TB_June"/>
      <sheetName val="2007_12折旧差异"/>
      <sheetName val="Historical_prices(D)"/>
      <sheetName val="Historical_prices(M)"/>
      <sheetName val="Historical_prices(W)"/>
      <sheetName val="Q_CF-E01"/>
      <sheetName val="资金使用假设_(可转债按账面拆分为股权与债权)"/>
      <sheetName val="BS_data"/>
      <sheetName val="Loc_Master"/>
      <sheetName val="Share_Px"/>
      <sheetName val="tax_payable"/>
      <sheetName val="Details_of_ledger_"/>
      <sheetName val="Management_report_vs_ledger"/>
      <sheetName val="Month_8"/>
      <sheetName val="CTV_PL"/>
      <sheetName val="Elim_Seg_LM"/>
      <sheetName val="Elim_Seg_BM"/>
      <sheetName val="2012-2016_Grp_Res_Bdgt"/>
      <sheetName val="Annex_B"/>
      <sheetName val="关联交易-存款h?_x"/>
      <sheetName val="SAP_01-12-31"/>
      <sheetName val="sales1-subsi_"/>
      <sheetName val="sales2-subsi_"/>
      <sheetName val="G_1R-Shou_COP_Gf"/>
      <sheetName val="GGP_Expenses"/>
      <sheetName val="MCS_P&amp;L_By_Sub__USD"/>
      <sheetName val="New_investment"/>
      <sheetName val="BANK_ac_no,"/>
      <sheetName val="A3_&amp;_U_09-01"/>
      <sheetName val="Sales_Data"/>
      <sheetName val="Data_Arrangement"/>
      <sheetName val="BS-1"/>
      <sheetName val="BS-2"/>
      <sheetName val="CF-1"/>
      <sheetName val="EM-1"/>
      <sheetName val="EM-2"/>
      <sheetName val="EM-3"/>
      <sheetName val="IS-2"/>
      <sheetName val="IS-1"/>
      <sheetName val="CF-3"/>
      <sheetName val="CF-4"/>
      <sheetName val="Non-GAAP"/>
      <sheetName val="Note10"/>
      <sheetName val="Note12-1"/>
      <sheetName val="Note12-2"/>
      <sheetName val="Note12-3"/>
      <sheetName val="Note12-4"/>
      <sheetName val="Note14-1"/>
      <sheetName val="Note15-1"/>
      <sheetName val="Note15-2"/>
      <sheetName val="Note16-2"/>
      <sheetName val="Note16-1"/>
      <sheetName val="Note16-1 (2)"/>
      <sheetName val="Note16-3"/>
      <sheetName val="Note16-6"/>
      <sheetName val="Note16-5"/>
      <sheetName val="Note16-4"/>
      <sheetName val="Note17-1 "/>
      <sheetName val="Note17-3"/>
      <sheetName val="Note17-2"/>
      <sheetName val="Note18-1"/>
      <sheetName val="Note18-2"/>
      <sheetName val="Note19"/>
      <sheetName val="Note20-1"/>
      <sheetName val="Note20-2"/>
      <sheetName val="Note20-3"/>
      <sheetName val="Note21"/>
      <sheetName val="Note23"/>
      <sheetName val="Note24-2"/>
      <sheetName val="Note24-3"/>
      <sheetName val="Note24-4"/>
      <sheetName val="Note24-5"/>
      <sheetName val="Note25-1"/>
      <sheetName val="Note25-2"/>
      <sheetName val="Note26-1"/>
      <sheetName val="Note26-2"/>
      <sheetName val="Note27"/>
      <sheetName val="Note28-2"/>
      <sheetName val="Note28-3"/>
      <sheetName val="Note29-1"/>
      <sheetName val="Note29-2"/>
      <sheetName val="Note29-3"/>
      <sheetName val="Note3.0-2"/>
      <sheetName val="Note3.0-1"/>
      <sheetName val="Note3.1-1"/>
      <sheetName val="Note3.1-2"/>
      <sheetName val="Note3.1-3"/>
      <sheetName val="Note3.1-5"/>
      <sheetName val="Note3.3-1 "/>
      <sheetName val="Note3.3-2"/>
      <sheetName val="Note3.3-3"/>
      <sheetName val="Note3.3-4"/>
      <sheetName val="Note3.3-5"/>
      <sheetName val="Note32"/>
      <sheetName val="Note33"/>
      <sheetName val="Note34-1"/>
      <sheetName val="Note34-2"/>
      <sheetName val="Note34-3"/>
      <sheetName val="Note34-4"/>
      <sheetName val="Note 37"/>
      <sheetName val="Note5-1"/>
      <sheetName val="Note5-2"/>
      <sheetName val="Note5-3"/>
      <sheetName val="Note5-4"/>
      <sheetName val="Note5-5"/>
      <sheetName val="Note6-1"/>
      <sheetName val="Note6-2"/>
      <sheetName val="Note6-3"/>
      <sheetName val="Note7"/>
      <sheetName val="Note8"/>
      <sheetName val="Note9-1"/>
      <sheetName val="Note9-2"/>
      <sheetName val="Note9-3"/>
      <sheetName val="Note9-4"/>
      <sheetName val="Note9-5"/>
      <sheetName val="Note9-6"/>
      <sheetName val="CF-2"/>
      <sheetName val="Ag Sector P&amp;L 01F"/>
      <sheetName val="1 预设值"/>
      <sheetName val="BS Assets"/>
      <sheetName val="PNVp2010"/>
      <sheetName val="SERV. COMEDOR"/>
      <sheetName val="门窗表"/>
      <sheetName val="楼梯钢筋"/>
      <sheetName val="2234"/>
      <sheetName val="2235"/>
      <sheetName val="A14_g132"/>
      <sheetName val="A14_g134"/>
      <sheetName val="‘‡B"/>
      <sheetName val="OrgEstSum(not used)"/>
      <sheetName val="1-11"/>
      <sheetName val="SFS(BUDGET)"/>
      <sheetName val="应收楼款账龄分析清单 "/>
      <sheetName val="8 adminexp by nature"/>
      <sheetName val="Bal_Sheet"/>
      <sheetName val="A4-4"/>
      <sheetName val="N310应付人民币"/>
      <sheetName val="UFPrn20081114105806"/>
      <sheetName val="DATOS"/>
      <sheetName val="M1.1 Cash at Bank"/>
      <sheetName val="M1. Lead sheet"/>
      <sheetName val="M1.2 Time Deposit"/>
      <sheetName val="CLRN-NEW"/>
      <sheetName val="MP2006 data"/>
      <sheetName val="Company Info"/>
      <sheetName val="產成品收發明細表5"/>
      <sheetName val="Elim (novated) -#H"/>
      <sheetName val="Movement-#E"/>
      <sheetName val="Deal CF"/>
      <sheetName val="已背书未到期票据清单"/>
      <sheetName val="01上製品計画"/>
      <sheetName val="Sheet625"/>
      <sheetName val="MN T.B."/>
      <sheetName val="Cash bal Mar"/>
      <sheetName val="Com Trial Bal"/>
      <sheetName val="EXCHANGE RATE PROFIT AND LOSS"/>
      <sheetName val="ﾏｽﾀｰ!"/>
      <sheetName val="Sensitivity analysis"/>
      <sheetName val="关联方参数表"/>
      <sheetName val="FUM_Source"/>
      <sheetName val="设备大修"/>
      <sheetName val="土地基准地价法"/>
      <sheetName val="实绩"/>
      <sheetName val="Sen_Mod"/>
      <sheetName val="Assumptions &amp; Returns"/>
      <sheetName val="CJE1"/>
      <sheetName val="所得税测算表 (2)"/>
      <sheetName val="5"/>
      <sheetName val="6"/>
      <sheetName val="7"/>
      <sheetName val="8"/>
      <sheetName val="9"/>
      <sheetName val="10"/>
      <sheetName val="11"/>
      <sheetName val="Labor cost"/>
      <sheetName val="宅E贷申请量"/>
      <sheetName val="By Client - NPL Purchase"/>
      <sheetName val="附表1-产品目录"/>
      <sheetName val="2.科目体系费用汇总表"/>
      <sheetName val="1.组织架构"/>
      <sheetName val="毛利及利润分析7月"/>
      <sheetName val="Stds"/>
      <sheetName val="2022"/>
      <sheetName val="7 - ORDER ENTRIES"/>
      <sheetName val="8 - BACKLOG"/>
      <sheetName val="9 - SALES BY ENTITY"/>
      <sheetName val="10 - SALES BY BA-SUMMARY"/>
      <sheetName val="11 - SALES BY BA-FC"/>
      <sheetName val="12 - SALES BY BA-CB"/>
      <sheetName val="13 - SALES BY BA-FM"/>
      <sheetName val="14 - BSA"/>
      <sheetName val="19 - BIN"/>
      <sheetName val="SIG_LANGUE"/>
      <sheetName val="-&gt; EDV Budget"/>
      <sheetName val="栏目及类别表"/>
      <sheetName val="P&amp;L(M)"/>
      <sheetName val="DIL4"/>
      <sheetName val="应收帐款 AR "/>
      <sheetName val="SCB-HK"/>
      <sheetName val="明细余额表"/>
      <sheetName val="U300-上海启昇"/>
      <sheetName val="U210_租赁PIT-上海朗昇"/>
      <sheetName val="U210_租赁PIT-上海启昇"/>
      <sheetName val="1055"/>
      <sheetName val="BKD-consol"/>
      <sheetName val="Bank Debt"/>
      <sheetName val="GFA"/>
      <sheetName val="P2_100Breakdown"/>
      <sheetName val="01TBlast"/>
      <sheetName val="DEF REV"/>
      <sheetName val="VAS TB"/>
      <sheetName val="Overview"/>
      <sheetName val="Mar Begining Balance"/>
      <sheetName val="Credit debit analysis"/>
      <sheetName val="Changes in vendor master file"/>
      <sheetName val="Transaction group"/>
      <sheetName val="Transaction type"/>
      <sheetName val="DataLookups"/>
      <sheetName val="饭煲次品盘点表"/>
      <sheetName val="次品原始数据"/>
      <sheetName val="Überleitung_15"/>
      <sheetName val="_4库产成品"/>
      <sheetName val="辅料"/>
      <sheetName val="工具"/>
      <sheetName val="内外包"/>
      <sheetName val="P11"/>
      <sheetName val="Income Statement Input"/>
      <sheetName val="ARP-U301"/>
      <sheetName val="U411"/>
      <sheetName val="Stock Chart"/>
      <sheetName val="柱"/>
      <sheetName val="data_Sheet2"/>
      <sheetName val="事業計画"/>
      <sheetName val="Age311299TAS"/>
      <sheetName val="TASintDec00"/>
      <sheetName val="P4DDBFTAS"/>
      <sheetName val="TAB CA"/>
      <sheetName val="Invoice Template"/>
      <sheetName val="MTO REV.2(ARMOR)"/>
      <sheetName val="COAT&amp;WRAP-QIOT-#3"/>
      <sheetName val="PNT-QUOT-#3"/>
      <sheetName val="CP"/>
      <sheetName val="坏帐准备"/>
      <sheetName val="detailitems_11"/>
      <sheetName val="detailitems_59"/>
      <sheetName val="detailitems_82"/>
      <sheetName val="U1120"/>
      <sheetName val="SZ3"/>
      <sheetName val="CRV"/>
      <sheetName val="JUU"/>
      <sheetName val="S30"/>
      <sheetName val="S0A"/>
      <sheetName val="S0D"/>
      <sheetName val="S3N"/>
      <sheetName val="部品名"/>
      <sheetName val="CTS"/>
      <sheetName val="JRZ"/>
      <sheetName val="Source Gr."/>
      <sheetName val="COSTOMAT.XLS"/>
      <sheetName val="aged"/>
      <sheetName val="Entities"/>
      <sheetName val="Pick Lists"/>
      <sheetName val="固定资产增减表#0.00_ "/>
      <sheetName val="ICP合同负债ICPContract Liability"/>
      <sheetName val="ICP租赁负债ICPlease liability"/>
      <sheetName val="建築面積"/>
      <sheetName val="十价"/>
      <sheetName val="冻品入库"/>
      <sheetName val="鸡油车间"/>
      <sheetName val="科目余额表（2017年1-9月）"/>
      <sheetName val="TM"/>
      <sheetName val="Profile"/>
      <sheetName val="Detailed TB"/>
      <sheetName val="免抵退"/>
      <sheetName val="21710130"/>
      <sheetName val="21710131"/>
      <sheetName val="2c.Sales analysis by region-ok"/>
      <sheetName val="Client Code"/>
      <sheetName val="Project Code"/>
      <sheetName val="纳税计算表"/>
      <sheetName val="G301(01)"/>
      <sheetName val="Baxter"/>
      <sheetName val="Twigg"/>
      <sheetName val="30"/>
      <sheetName val="22"/>
      <sheetName val="26"/>
      <sheetName val="20"/>
      <sheetName val="32"/>
      <sheetName val="21"/>
      <sheetName val="17"/>
      <sheetName val="31"/>
      <sheetName val="28"/>
      <sheetName val="19"/>
      <sheetName val="18"/>
      <sheetName val="Tabelle1"/>
      <sheetName val="CRI -CR(HK) unreal"/>
      <sheetName val="1204应付帐款明细表"/>
      <sheetName val="1109应付帐款明细表"/>
      <sheetName val="未分配盈餘明細表-17頁"/>
      <sheetName val="EmphasisList"/>
      <sheetName val="Upload"/>
      <sheetName val="SBUList"/>
      <sheetName val="Q4Purchases"/>
      <sheetName val="Flash Data"/>
      <sheetName val="Sales overheads"/>
      <sheetName val="Supply chain NF"/>
      <sheetName val="R&amp;D and TS"/>
      <sheetName val="A&amp;F and IT"/>
      <sheetName val="Factory overheads"/>
      <sheetName val="WTB"/>
      <sheetName val="dropdownList4"/>
      <sheetName val="A3.3_抗体中心"/>
      <sheetName val="Audited BS-含关联方调整"/>
      <sheetName val="C3W Summary"/>
      <sheetName val="final_1"/>
      <sheetName val="Relationship Analysis(1)"/>
      <sheetName val="廢品損失匯總表"/>
      <sheetName val="直接材料"/>
      <sheetName val="流量-销售支出明细"/>
      <sheetName val="GP_Product"/>
      <sheetName val="附加四-闲置固定资产"/>
      <sheetName val="管理费用各月比较 "/>
      <sheetName val="acc"/>
      <sheetName val="Total Europe Calc. hours"/>
      <sheetName val="Total Europe 1"/>
      <sheetName val="FS_0331"/>
      <sheetName val="Semi-An CF"/>
      <sheetName val="Macro Summary"/>
      <sheetName val="1.1"/>
      <sheetName val="AIS (Coating)"/>
      <sheetName val="AIS (Tin)"/>
      <sheetName val="AIS-Forecast (Coating)"/>
      <sheetName val="AIS-Forecast (Tin)"/>
      <sheetName val="Trun-Over RPTI"/>
      <sheetName val="CASH'99"/>
      <sheetName val="DateTemplate"/>
      <sheetName val="LCQ"/>
      <sheetName val="LC95SPEC"/>
      <sheetName val="其他应付款科目余额2005.12.31"/>
      <sheetName val="销售收入A4"/>
      <sheetName val="产量预算表Ａ4"/>
      <sheetName val="其它销售成本 A4"/>
      <sheetName val="销售成本A4"/>
      <sheetName val="销售量A4"/>
      <sheetName val="C3WD Secondary and Tertiary"/>
      <sheetName val="_http___xinc_Documents_and_S_11"/>
      <sheetName val="_http___xinc_Documents_and_S_12"/>
      <sheetName val="_http___xinc_Documents_and_S_13"/>
      <sheetName val="_http___xinc_Documents_and_S_14"/>
      <sheetName val="_http___xinc_Documents_and_S_15"/>
      <sheetName val="_http___xinc_Documents_and_S_16"/>
      <sheetName val="_http___xinc_Documents_and_S_17"/>
      <sheetName val="_http___xinc_Documents_and_S_18"/>
      <sheetName val="_http___xinc_Documents_and_S_19"/>
      <sheetName val="_http___xinc_Documents_and_S_20"/>
      <sheetName val="_http___xinc_Documents_and_S_21"/>
      <sheetName val="_http___xinc_Documents_and_S_22"/>
      <sheetName val="_http___xinc_Documents_and_S_23"/>
      <sheetName val="_http___xinc_Documents_and_S_24"/>
      <sheetName val="_http___xinc_Documents_and_S_25"/>
      <sheetName val="_http___xinc_Documents_and_S_26"/>
      <sheetName val="_http___xinc_Documents_and_S_27"/>
      <sheetName val="_http___xinc_Documents_and_S_28"/>
      <sheetName val="_http___xinc_Documents_and_S_29"/>
      <sheetName val="_http___xinc_Documents_and_S_30"/>
      <sheetName val="_http___xinc_Documents_and_S_31"/>
      <sheetName val="_http___xinc_Documents_and_S_32"/>
      <sheetName val="_http___xinc_Documents_and_S_33"/>
      <sheetName val="_http___xinc_Documents_and_S_34"/>
      <sheetName val="_http___xinc_Documents_and_S_35"/>
      <sheetName val="_http___xinc_Documents_and_S_36"/>
      <sheetName val="A500 AJE"/>
      <sheetName val="底稿（合并明细数据透视源）"/>
      <sheetName val="底稿（母公司明细数据源）"/>
      <sheetName val="detailitems_111"/>
      <sheetName val="detailitems_112"/>
      <sheetName val="detailitems_113"/>
      <sheetName val="detailitems_114"/>
      <sheetName val="detailitems_117"/>
      <sheetName val="detailitems_118"/>
      <sheetName val="detailitems_13"/>
      <sheetName val="detailitems_15"/>
      <sheetName val="detailitems_150"/>
      <sheetName val="detailitems_152"/>
      <sheetName val="detailitems_158"/>
      <sheetName val="detailitems_159"/>
      <sheetName val="detailitems_160"/>
      <sheetName val="detailitems_161"/>
      <sheetName val="detailitems_162"/>
      <sheetName val="detailitems_163"/>
      <sheetName val="detailitems_166"/>
      <sheetName val="detailitems_182"/>
      <sheetName val="detailitems_183"/>
      <sheetName val="detailitems_184"/>
      <sheetName val="detailitems_185"/>
      <sheetName val="detailitems_186"/>
      <sheetName val="detailitems_187"/>
      <sheetName val="detailitems_188"/>
      <sheetName val="detailitems_189"/>
      <sheetName val="detailitems_192"/>
      <sheetName val="detailitems_193"/>
      <sheetName val="detailitems_194"/>
      <sheetName val="detailitems_195"/>
      <sheetName val="detailitems_196"/>
      <sheetName val="detailitems_197"/>
      <sheetName val="detailitems_198"/>
      <sheetName val="detailitems_199"/>
      <sheetName val="detailitems_2"/>
      <sheetName val="detailitems_23"/>
      <sheetName val="detailitems_26"/>
      <sheetName val="detailitems_300"/>
      <sheetName val="detailitems_301"/>
      <sheetName val="detailitems_302"/>
      <sheetName val="detailitems_303"/>
      <sheetName val="detailitems_304"/>
      <sheetName val="detailitems_305"/>
      <sheetName val="detailitems_306"/>
      <sheetName val="detailitems_307"/>
      <sheetName val="detailitems_308"/>
      <sheetName val="detailitems_309"/>
      <sheetName val="detailitems_310"/>
      <sheetName val="detailitems_311"/>
      <sheetName val="detailitems_312"/>
      <sheetName val="detailitems_313"/>
      <sheetName val="detailitems_317"/>
      <sheetName val="detailitems_318"/>
      <sheetName val="detailitems_319"/>
      <sheetName val="detailitems_320"/>
      <sheetName val="detailitems_321"/>
      <sheetName val="detailitems_322"/>
      <sheetName val="detailitems_323"/>
      <sheetName val="detailitems_324"/>
      <sheetName val="detailitems_325"/>
      <sheetName val="detailitems_327"/>
      <sheetName val="detailitems_41"/>
      <sheetName val="detailitems_44"/>
      <sheetName val="detailitems_47"/>
      <sheetName val="detailitems_51"/>
      <sheetName val="detailitems_52"/>
      <sheetName val="detailitems_53"/>
      <sheetName val="detailitems_54"/>
      <sheetName val="detailitems_58"/>
      <sheetName val="detailitems_61"/>
      <sheetName val="detailitems_62"/>
      <sheetName val="detailitems_63"/>
      <sheetName val="detailitems_64"/>
      <sheetName val="detailitems_66"/>
      <sheetName val="detailitems_67"/>
      <sheetName val="detailitems_68"/>
      <sheetName val="detailitems_70"/>
      <sheetName val="detailitems_71"/>
      <sheetName val="detailitems_72"/>
      <sheetName val="detailitems_73"/>
      <sheetName val="detailitems_74"/>
      <sheetName val="detailitems_8"/>
      <sheetName val="detailitems_80"/>
      <sheetName val="detailitems_81"/>
      <sheetName val="detailitems_84"/>
      <sheetName val="detailitems_9"/>
      <sheetName val="detailitems_95"/>
      <sheetName val="detailitems_99"/>
      <sheetName val=" IncStatementMulti_Accts(1)"/>
      <sheetName val="Debit credit analysis"/>
      <sheetName val="1999 BUDGET"/>
      <sheetName val="关联交易-存款?_x0000__x0000_滨?_x0000__x001a__x0000__x0000__x0000__x0000__x0009__x0000_"/>
      <sheetName val="长期股权投资Dy"/>
      <sheetName val="主营业务收入Dy"/>
      <sheetName val="主营业务成本Dy"/>
      <sheetName val="应交税金Dy"/>
      <sheetName val="股本Dy"/>
      <sheetName val="盈余公积Dy"/>
      <sheetName val="未分配利润Dy"/>
      <sheetName val="应收出口退税mx"/>
      <sheetName val="Withholding Tax"/>
      <sheetName val="short term loan"/>
      <sheetName val="BE 重要性水平"/>
      <sheetName val="P12 TB SZ"/>
      <sheetName val="SalesMYP"/>
      <sheetName val="X-Rate"/>
      <sheetName val="CIP"/>
      <sheetName val="Bacis"/>
      <sheetName val="Sale summary"/>
      <sheetName val="Original Stefan"/>
      <sheetName val="SALES95"/>
      <sheetName val="关联交易-存款h__x"/>
      <sheetName val="96PRCBAK"/>
      <sheetName val="Actual-Roller"/>
      <sheetName val="KMB"/>
      <sheetName val="ACE"/>
      <sheetName val="ACN"/>
      <sheetName val="AC"/>
      <sheetName val="BEU"/>
      <sheetName val="BNA"/>
      <sheetName val="DR_EUR"/>
      <sheetName val="DR_NA"/>
      <sheetName val="GEU"/>
      <sheetName val="GW"/>
      <sheetName val="IW"/>
      <sheetName val="P+L LE"/>
      <sheetName val="LG"/>
      <sheetName val="OT"/>
      <sheetName val="PAP"/>
      <sheetName val="PBR"/>
      <sheetName val="PB"/>
      <sheetName val="PTF"/>
      <sheetName val="PTO"/>
      <sheetName val="Ressourcen LE"/>
      <sheetName val="RLA"/>
      <sheetName val="ROZ"/>
      <sheetName val="RT"/>
      <sheetName val="SCA"/>
      <sheetName val="SCO"/>
      <sheetName val="SCP"/>
      <sheetName val="SCR"/>
      <sheetName val="SEU"/>
      <sheetName val="SNA"/>
      <sheetName val="SV"/>
      <sheetName val="MOTO"/>
      <sheetName val="Consol A3"/>
      <sheetName val="Netearnanal"/>
      <sheetName val="Bielsko Biała"/>
      <sheetName val="Wałbrzych"/>
      <sheetName val="Leased Properties"/>
      <sheetName val="Sub-Leases"/>
      <sheetName val="Concessions"/>
      <sheetName val="GAR Recap"/>
      <sheetName val="1、基本假设"/>
      <sheetName val="3、产品单价"/>
      <sheetName val="2、规划指标"/>
      <sheetName val="辅助计算表"/>
      <sheetName val="表现奖"/>
      <sheetName val="补贴"/>
      <sheetName val="加班工资"/>
      <sheetName val="应付工资基本工资"/>
      <sheetName val="产成品库存帐"/>
      <sheetName val="方案设计1"/>
      <sheetName val="差异调整97"/>
      <sheetName val="流动资金估算表"/>
      <sheetName val="18.J"/>
      <sheetName val="FinStats"/>
      <sheetName val="清单定稿"/>
      <sheetName val="浮"/>
      <sheetName val="其他利润明细"/>
      <sheetName val="数量对比"/>
      <sheetName val="MOH"/>
      <sheetName val="2009movement"/>
      <sheetName val="sysparm"/>
      <sheetName val="INTER-CO"/>
      <sheetName val="OutSum"/>
      <sheetName val="PdcSAP2007"/>
      <sheetName val="PdcSAP2008"/>
      <sheetName val="CE Mensile"/>
      <sheetName val="Budget2007"/>
      <sheetName val="305上海"/>
      <sheetName val="Base de Gráficos"/>
      <sheetName val="cathayforecasts"/>
      <sheetName val="Sample Layout (new)"/>
      <sheetName val="BKD amt due from 20230630"/>
      <sheetName val="N17 prepayment"/>
      <sheetName val="N21 loans and borrowings"/>
      <sheetName val="N20&amp;N22 other payables"/>
    </sheetNames>
    <sheetDataSet>
      <sheetData sheetId="0">
        <row r="3">
          <cell r="B3" t="str">
            <v>Q1</v>
          </cell>
          <cell r="C3" t="str">
            <v>Q2</v>
          </cell>
          <cell r="D3" t="str">
            <v>Q3</v>
          </cell>
          <cell r="E3" t="str">
            <v>Q4</v>
          </cell>
          <cell r="F3" t="str">
            <v>Q5</v>
          </cell>
          <cell r="G3" t="str">
            <v>Q6</v>
          </cell>
          <cell r="H3" t="str">
            <v>Q7</v>
          </cell>
          <cell r="I3" t="str">
            <v>Q8</v>
          </cell>
          <cell r="J3" t="str">
            <v>Q9</v>
          </cell>
          <cell r="K3" t="str">
            <v>Q10</v>
          </cell>
          <cell r="L3" t="str">
            <v>Q11</v>
          </cell>
          <cell r="M3" t="str">
            <v>Q12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refreshError="1"/>
      <sheetData sheetId="490" refreshError="1"/>
      <sheetData sheetId="491" refreshError="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sheetData sheetId="942"/>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sheetData sheetId="5742"/>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se AP 2008"/>
      <sheetName val="Lease AP 2009"/>
      <sheetName val="Lease AP 2009 ITALY"/>
      <sheetName val="EDR Feb-09"/>
      <sheetName val="Entry 1412 - 2102"/>
      <sheetName val="PO upload sheet"/>
      <sheetName val="Italy Lease 2009"/>
      <sheetName val="2009"/>
      <sheetName val="REFERENCE FILE"/>
      <sheetName val="1"/>
      <sheetName val="ProdCompar"/>
      <sheetName val="HB"/>
      <sheetName val="流资汇总"/>
      <sheetName val="12月底个人往来余额表"/>
      <sheetName val="move"/>
      <sheetName val="通玻"/>
      <sheetName val="销售"/>
      <sheetName val="成品科"/>
      <sheetName val="关联交易-存款"/>
      <sheetName val="U510-final"/>
      <sheetName val="Vendor Data"/>
      <sheetName val="INVDAYS"/>
      <sheetName val="#REF"/>
      <sheetName val="車会集約"/>
      <sheetName val="Net REVENUE"/>
      <sheetName val="VEHMAINT"/>
      <sheetName val="VEHDAMAG"/>
      <sheetName val="OTHERVEH"/>
      <sheetName val="GASOLINE"/>
      <sheetName val="PL&amp;PD"/>
      <sheetName val="DEPRECIA"/>
      <sheetName val="INTEREST"/>
      <sheetName val="VEHSALWH"/>
      <sheetName val="VEHSALRE"/>
      <sheetName val="MANUCRED"/>
      <sheetName val="TRAWAGES"/>
      <sheetName val="INCENTIV"/>
      <sheetName val="WAGES"/>
      <sheetName val="OVERWAGE"/>
      <sheetName val="BENEFITS"/>
      <sheetName val="CONCESS"/>
      <sheetName val="COMMISSI"/>
      <sheetName val="RESERVAT"/>
      <sheetName val="CUSTOMER"/>
      <sheetName val="FACILITY"/>
      <sheetName val="SERVIVEH"/>
      <sheetName val="COMPUTER"/>
      <sheetName val="ADVSYST"/>
      <sheetName val="COUADMIN"/>
      <sheetName val="ADMINFLD"/>
      <sheetName val="ADVCIT&amp;D"/>
      <sheetName val="EURSALES"/>
      <sheetName val="ADMINREB"/>
      <sheetName val="Console"/>
      <sheetName val="0508"/>
      <sheetName val="0504"/>
      <sheetName val="0506"/>
      <sheetName val="AP Recap"/>
      <sheetName val="平衡测试"/>
      <sheetName val="Trans"/>
      <sheetName val="Summary"/>
      <sheetName val="上报资产负债表"/>
      <sheetName val="上报损益表"/>
      <sheetName val="补充表"/>
      <sheetName val="Lease_AP_2008"/>
      <sheetName val="Lease_AP_2009"/>
      <sheetName val="Lease_AP_2009_ITALY"/>
      <sheetName val="EDR_Feb-09"/>
      <sheetName val="Entry_1412_-_2102"/>
      <sheetName val="PO_upload_sheet"/>
      <sheetName val="Italy_Lease_2009"/>
      <sheetName val="REFERENCE_FILE"/>
      <sheetName val="营外收支"/>
      <sheetName val="管理"/>
      <sheetName val="托售"/>
      <sheetName val="NBCF"/>
      <sheetName val="PNL"/>
      <sheetName val="2007.12折旧差异"/>
      <sheetName val="c"/>
      <sheetName val="T  B"/>
      <sheetName val="Sheet3"/>
      <sheetName val="AP018"/>
      <sheetName val="AP019"/>
      <sheetName val="AP020"/>
      <sheetName val="AP021"/>
      <sheetName val="AP022"/>
      <sheetName val="AP023"/>
      <sheetName val="AP026"/>
      <sheetName val="AP001_JiFeng"/>
      <sheetName val="AP010_KeXunBaoZhuang"/>
      <sheetName val="AP011_YiLi"/>
      <sheetName val="AP012_"/>
      <sheetName val="AP013_HuaLian"/>
      <sheetName val="AP015_Jinchang"/>
      <sheetName val="AP016"/>
      <sheetName val="AP017"/>
      <sheetName val="AP002_SanJi"/>
      <sheetName val="AP027"/>
      <sheetName val="AP003_QiDianMo"/>
      <sheetName val="AP004_FengZheng"/>
      <sheetName val="AP005_HanBuo"/>
      <sheetName val="AP006_SiYin"/>
      <sheetName val="AP007_DeLiTai"/>
      <sheetName val="AP008_ZhongYa"/>
      <sheetName val="AP009_YiDa"/>
      <sheetName val="AP9990"/>
      <sheetName val="AP9999"/>
      <sheetName val="VENDORS"/>
      <sheetName val="HOU143A"/>
      <sheetName val="Sch11"/>
      <sheetName val="Input"/>
      <sheetName val="Consol"/>
      <sheetName val="Translation"/>
      <sheetName val="P310"/>
      <sheetName val="G210"/>
      <sheetName val="Final sample listing"/>
      <sheetName val="29-1 贴现融资-回购式"/>
      <sheetName val="总公司2002.12.31"/>
      <sheetName val="Lead"/>
      <sheetName val="Detail Loan Move. &amp; Listing"/>
      <sheetName val="会计科目对照表"/>
      <sheetName val="Movement"/>
      <sheetName val="Settings"/>
      <sheetName val="base"/>
      <sheetName val="C1"/>
      <sheetName val="(i) Fixed assets-PBC"/>
      <sheetName val="敏感性"/>
      <sheetName val="COSTOMAT.XLS"/>
      <sheetName val="Detail - CSM CY04 monthly"/>
      <sheetName val="aged"/>
      <sheetName val="Sal &amp; Wage Info"/>
      <sheetName val="CBUGL"/>
      <sheetName val="披露表(上市)"/>
      <sheetName val="A401"/>
      <sheetName val="Rate"/>
      <sheetName val="Sales Model Yr"/>
      <sheetName val="HL"/>
      <sheetName val="EURMKTG"/>
      <sheetName val="GZ"/>
      <sheetName val="Sheet1"/>
      <sheetName val="Ã«ÀûÂÊ·ÖÎö±í"/>
      <sheetName val="Air Conditional"/>
      <sheetName val="Equipment"/>
      <sheetName val="Motor Vehicle"/>
      <sheetName val="Renovation"/>
      <sheetName val="O"/>
      <sheetName val="10K4"/>
      <sheetName val="7 (2)"/>
      <sheetName val="Client Data"/>
      <sheetName val="F1"/>
      <sheetName val="CAL-TB-MFG"/>
      <sheetName val="Seoul"/>
      <sheetName val="W"/>
      <sheetName val="FAB별"/>
      <sheetName val="Validation"/>
      <sheetName val="导引表"/>
      <sheetName val="Parameter"/>
      <sheetName val="现金流量表（月报）"/>
      <sheetName val="B"/>
      <sheetName val="実績SK"/>
      <sheetName val="U-500销售费用"/>
      <sheetName val="U-600管理费用"/>
      <sheetName val="U-700财务费用"/>
      <sheetName val="IRR &amp; NPV"/>
      <sheetName val="US Bal_Sheet"/>
      <sheetName val="XREF"/>
      <sheetName val="Data"/>
      <sheetName val="Consol worksheet-Final"/>
      <sheetName val="Mov from 2001 to 2003"/>
      <sheetName val="차입종구분"/>
      <sheetName val="accode"/>
      <sheetName val="CCTL"/>
      <sheetName val="WIP"/>
      <sheetName val="Breakdown"/>
      <sheetName val="科目体系"/>
      <sheetName val="loan database"/>
      <sheetName val="3存放同业 (定期)"/>
      <sheetName val="4-1拆放同业"/>
      <sheetName val="4-2同业拆入"/>
      <sheetName val="6 买入返售票据（按协议）"/>
      <sheetName val="3存放同业 (活期)"/>
      <sheetName val="6 买入返售票据（按票）"/>
      <sheetName val="eqpmad2"/>
      <sheetName val="完"/>
      <sheetName val="Trading"/>
      <sheetName val="订单"/>
      <sheetName val="CRA"/>
      <sheetName val="报表格式"/>
      <sheetName val="资产负债表"/>
      <sheetName val="目录"/>
      <sheetName val="_dropdownlistitems_"/>
      <sheetName val="104"/>
      <sheetName val="通常結晶"/>
      <sheetName val="P&amp;L"/>
      <sheetName val="70151"/>
      <sheetName val="Chart"/>
      <sheetName val="TrialBalance"/>
      <sheetName val="2002年预提费用"/>
      <sheetName val="400吨现存量"/>
      <sheetName val="_600吨现存量"/>
      <sheetName val="Sum2000"/>
      <sheetName val="schdl"/>
      <sheetName val="FX"/>
      <sheetName val="以前年度损益调整"/>
      <sheetName val="TB"/>
      <sheetName val="医院进销存"/>
      <sheetName val="一周期10片价格"/>
      <sheetName val="一周期6片价格"/>
      <sheetName val="2003年代表医院指标-一周期"/>
      <sheetName val="一周期IND价格"/>
      <sheetName val="Collateral"/>
      <sheetName val="Disposition"/>
      <sheetName val="S"/>
      <sheetName val="DB"/>
      <sheetName val="披露表(标准)"/>
      <sheetName val="收入成本"/>
      <sheetName val="338 Apparel"/>
      <sheetName val="Table"/>
      <sheetName val="WTB"/>
      <sheetName val="ZLR1"/>
      <sheetName val="_001年其他业务利润"/>
      <sheetName val="_002年其他业务利润"/>
      <sheetName val="_003年其他业务利润"/>
      <sheetName val="_2U03营业费用"/>
      <sheetName val="2001年营业费用"/>
      <sheetName val="All Cash Dil"/>
      <sheetName val="Invoice detail"/>
      <sheetName val="Beg- End balance"/>
      <sheetName val="Q4Purchases"/>
      <sheetName val="VARIABLES"/>
      <sheetName val="Sheet2"/>
      <sheetName val="Info. Request"/>
      <sheetName val="C - Cash and Bank"/>
      <sheetName val="A300"/>
      <sheetName val="C101"/>
      <sheetName val="RMB"/>
      <sheetName val="D"/>
      <sheetName val="二厂一季度单位成本"/>
      <sheetName val="U100-GP"/>
      <sheetName val="Cover"/>
      <sheetName val="CA_new"/>
      <sheetName val="主料"/>
      <sheetName val="_4库产成品"/>
      <sheetName val="辅料"/>
      <sheetName val="工具"/>
      <sheetName val="内外包"/>
      <sheetName val="Dati"/>
      <sheetName val="sch10-rm2"/>
      <sheetName val="sch6-rm"/>
      <sheetName val="Lguide"/>
      <sheetName val="Comp equip"/>
      <sheetName val="6621"/>
      <sheetName val="TSA"/>
      <sheetName val="TT template"/>
      <sheetName val="by category"/>
      <sheetName val="FA Roll to GL (p.2)"/>
      <sheetName val="Lead (p.1)"/>
      <sheetName val="母公司应交税金明细表（含泵送）"/>
      <sheetName val="FS"/>
      <sheetName val="original"/>
      <sheetName val="表三甲"/>
      <sheetName val="AGENT"/>
      <sheetName val="Control"/>
      <sheetName val="Projections"/>
      <sheetName val="Returns Analysis"/>
      <sheetName val="A500-Audit adjustment"/>
      <sheetName val="Config"/>
      <sheetName val="ADJ"/>
      <sheetName val="应付明细"/>
      <sheetName val="BS"/>
      <sheetName val="PL"/>
      <sheetName val="D-PL"/>
      <sheetName val="六纺"/>
      <sheetName val="Namelist"/>
      <sheetName val="XL4Poppy"/>
      <sheetName val="1-11"/>
      <sheetName val="Staff List"/>
      <sheetName val="P &amp; L Account"/>
      <sheetName val="만기"/>
      <sheetName val="96BP"/>
      <sheetName val="02"/>
      <sheetName val="其他应收款-合并值"/>
      <sheetName val="科目表"/>
      <sheetName val="Base Info"/>
      <sheetName val="K701"/>
      <sheetName val="Sintesi"/>
      <sheetName val="enums"/>
      <sheetName val="inventory2002"/>
      <sheetName val="PPV2002"/>
      <sheetName val="GL-R"/>
      <sheetName val="YS02-02"/>
      <sheetName val="101200"/>
      <sheetName val="TOOLS"/>
      <sheetName val="Jan"/>
      <sheetName val="Dimensions"/>
      <sheetName val="Veh Info"/>
      <sheetName val="PopCache_Sheet1"/>
      <sheetName val="master"/>
      <sheetName val="Lease Data - LC"/>
      <sheetName val="未分配盈餘明細表-17頁"/>
      <sheetName val="DCF_3资产负债分析调整表"/>
      <sheetName val="Holidays"/>
      <sheetName val="Swap Calculator"/>
      <sheetName val=" U140-SalesTOT"/>
      <sheetName val="N63_在其他主体中的权益-子（孙）公司"/>
      <sheetName val="N67_重要联营企业的主要财务信息"/>
      <sheetName val="索引"/>
      <sheetName val="NKCR_comm_scheme"/>
      <sheetName val="NKCR_appliedrates"/>
      <sheetName val="KCR_comm_scheme"/>
      <sheetName val="Exchange Rates"/>
      <sheetName val="Chart of Acct"/>
      <sheetName val="不良排名"/>
      <sheetName val="G.1R-Shou COP Gf"/>
      <sheetName val="M_5A"/>
      <sheetName val="M_5C"/>
      <sheetName val="____"/>
      <sheetName val="工时统计"/>
      <sheetName val="选择报表"/>
      <sheetName val="租赁收入明细"/>
      <sheetName val="List - Components"/>
      <sheetName val="List - Equipment"/>
      <sheetName val="ContractList"/>
      <sheetName val="Checking"/>
      <sheetName val="合并抵消分录"/>
      <sheetName val="汇总"/>
      <sheetName val="Account"/>
      <sheetName val="sz2"/>
      <sheetName val="销售费用科目余额表"/>
      <sheetName val="Checklist"/>
      <sheetName val="&amp;Portfolio Changes"/>
      <sheetName val="Cumulative Performance"/>
      <sheetName val="Recent Actions"/>
      <sheetName val="Investment Guidelines"/>
      <sheetName val="Performance Summary"/>
      <sheetName val="Investment Review"/>
      <sheetName val="Portfolio Performance"/>
      <sheetName val="&amp;Portfolio vs. Benchmark"/>
      <sheetName val="&amp;Portfolio Summary TE Long Int"/>
      <sheetName val="&amp;Portfolio Summary TE Short"/>
      <sheetName val="&amp;Portfolio Summary Tax Short"/>
      <sheetName val="Portfolio Comparison"/>
      <sheetName val="ARP-U501"/>
      <sheetName val="LinkData"/>
      <sheetName val="TB Link"/>
      <sheetName val="SCTB"/>
      <sheetName val="Marshal"/>
      <sheetName val="Permanent info"/>
      <sheetName val="JE755-1"/>
      <sheetName val="Income Statement"/>
      <sheetName val="Balance Sheet"/>
      <sheetName val="Altman Z"/>
      <sheetName val="K100"/>
      <sheetName val="资金状况表"/>
      <sheetName val="M Schedules"/>
      <sheetName val="土建表三乙"/>
      <sheetName val="Parameters"/>
      <sheetName val="Premium Dec 03"/>
      <sheetName val="10色母料"/>
      <sheetName val="Comparative Balance Sheet"/>
      <sheetName val="µ|²vªí"/>
      <sheetName val="sumdepn01"/>
      <sheetName val="Yield Curves"/>
      <sheetName val="VCC 11110-461"/>
      <sheetName val="Poland £"/>
      <sheetName val="Bielsko Biała"/>
      <sheetName val="Wałbrzych"/>
      <sheetName val="QQ"/>
      <sheetName val="Lease_AP_20081"/>
      <sheetName val="Lease_AP_20091"/>
      <sheetName val="Lease_AP_2009_ITALY1"/>
      <sheetName val="EDR_Feb-091"/>
      <sheetName val="Entry_1412_-_21021"/>
      <sheetName val="PO_upload_sheet1"/>
      <sheetName val="Italy_Lease_20091"/>
      <sheetName val="REFERENCE_FILE1"/>
      <sheetName val="Vendor_Data"/>
      <sheetName val="Detail_Loan_Move__&amp;_Listing"/>
      <sheetName val="29-1_贴现融资-回购式"/>
      <sheetName val="总公司2002_12_31"/>
      <sheetName val="Final_sample_listing"/>
      <sheetName val="AP_Recap"/>
      <sheetName val="Net_REVENUE"/>
      <sheetName val="(i)_Fixed_assets-PBC"/>
      <sheetName val="COSTOMAT_XLS"/>
      <sheetName val="Detail_-_CSM_CY04_monthly"/>
      <sheetName val="Sal_&amp;_Wage_Info"/>
      <sheetName val="2007_12折旧差异"/>
      <sheetName val="Air_Conditional"/>
      <sheetName val="Motor_Vehicle"/>
      <sheetName val="7_(2)"/>
      <sheetName val="Client_Data"/>
      <sheetName val="T__B"/>
      <sheetName val="IRR_&amp;_NPV"/>
      <sheetName val="US_Bal_Sheet"/>
      <sheetName val="Mov_from_2001_to_2003"/>
      <sheetName val="Consol_worksheet-Final"/>
      <sheetName val="AR"/>
      <sheetName val="BR"/>
      <sheetName val="CA"/>
      <sheetName val="CO"/>
      <sheetName val="EIU"/>
      <sheetName val="Euro"/>
      <sheetName val="FI"/>
      <sheetName val="LEB"/>
      <sheetName val="MEX"/>
      <sheetName val="S&amp;P"/>
      <sheetName val="UK"/>
      <sheetName val="封面"/>
      <sheetName val="Input-Act"/>
      <sheetName val="Input-Act-Adj"/>
      <sheetName val="Input-Bud"/>
      <sheetName val="Input-PY"/>
      <sheetName val="P&amp;L(S1)"/>
      <sheetName val="表三"/>
      <sheetName val="Threshold Table"/>
      <sheetName val="SA Procedures (Depreciation)"/>
      <sheetName val="Cashbook"/>
      <sheetName val="热力"/>
      <sheetName val="kmb"/>
      <sheetName val="NOTE 29"/>
      <sheetName val="902"/>
      <sheetName val="其他业务成本09"/>
      <sheetName val="其他业务收入2010"/>
      <sheetName val="其他业务收入09"/>
      <sheetName val="其他业务收入08"/>
      <sheetName val="其他业务收支 杨"/>
      <sheetName val="CIP&lt;1&gt; 杨"/>
      <sheetName val="2001预提费用"/>
      <sheetName val="MAP"/>
      <sheetName val="历次融资情况"/>
      <sheetName val="老股估值及退出价格测算"/>
      <sheetName val="07应付工资"/>
      <sheetName val="Lsit"/>
      <sheetName val="No.4-3_現金同等物明細"/>
      <sheetName val="CA consolidated"/>
      <sheetName val="Mov‘2008"/>
      <sheetName val="Mov‘2007"/>
      <sheetName val="Mov‘2005"/>
      <sheetName val="Mov‘2006"/>
      <sheetName val="Cash Flow"/>
      <sheetName val="Namen"/>
      <sheetName val="0630"/>
      <sheetName val="3"/>
      <sheetName val="4"/>
      <sheetName val="5"/>
      <sheetName val="6"/>
      <sheetName val="9"/>
      <sheetName val="2"/>
      <sheetName val="7"/>
      <sheetName val="8"/>
      <sheetName val="DJ"/>
      <sheetName val="dm"/>
      <sheetName val="应收帐款"/>
      <sheetName val="A430"/>
      <sheetName val="INDEX"/>
      <sheetName val="_002。6新"/>
      <sheetName val="银行信息"/>
      <sheetName val="List"/>
      <sheetName val="TB0804"/>
      <sheetName val="披露表(国资)"/>
      <sheetName val="Custom"/>
      <sheetName val="Reconciliation"/>
      <sheetName val="Trading Statement"/>
      <sheetName val="Setup"/>
      <sheetName val="AmeSum"/>
      <sheetName val="EMEASum"/>
      <sheetName val="HPCoSum"/>
      <sheetName val="OGSum"/>
      <sheetName val="APJSum"/>
      <sheetName val="Hidden Lists"/>
      <sheetName val="9100-PO"/>
      <sheetName val="JE"/>
      <sheetName val="DEFLEET APR-05"/>
      <sheetName val="Sheet4"/>
      <sheetName val="DEC Bank"/>
      <sheetName val="DEC GL"/>
      <sheetName val="Review pts"/>
      <sheetName val="OCT BANK"/>
      <sheetName val="Lockbox"/>
      <sheetName val="Tables"/>
      <sheetName val="Gross Margin"/>
      <sheetName val="K(GDH)"/>
      <sheetName val="15"/>
      <sheetName val="Source"/>
      <sheetName val="dxnsjtempsheet"/>
      <sheetName val="U102-U104 Detail"/>
      <sheetName val="电子库龄"/>
      <sheetName val="LBO"/>
      <sheetName val="OI-Fcst"/>
      <sheetName val="bank"/>
      <sheetName val="U102"/>
      <sheetName val="Group1"/>
      <sheetName val="威娜"/>
      <sheetName val="ADJ Summary"/>
      <sheetName val="arDB"/>
      <sheetName val="BQ"/>
      <sheetName val="act_96"/>
      <sheetName val="GA expenses - HRML"/>
      <sheetName val="Deferred Dev Cost"/>
      <sheetName val="総合B"/>
      <sheetName val="9月收入"/>
      <sheetName val="0406_Grade_data"/>
      <sheetName val="0412_Grade_data"/>
      <sheetName val="Sheet1 (2)"/>
      <sheetName val="综合"/>
      <sheetName val="Tableau d'adossement"/>
      <sheetName val="财务成本"/>
      <sheetName val="101"/>
      <sheetName val="（27）实收资本"/>
      <sheetName val="DATA-P&amp;L98"/>
      <sheetName val="Erläuterungen"/>
      <sheetName val="Allgemein"/>
      <sheetName val="Ford_Verb"/>
      <sheetName val="Currency Codes"/>
      <sheetName val="Scoping"/>
      <sheetName val="Expectation"/>
      <sheetName val="Variance threshold"/>
      <sheetName val="SignificantAcctsTemplate"/>
      <sheetName val="Configure"/>
      <sheetName val="ARP"/>
      <sheetName val="Production"/>
      <sheetName val="Daily net avail"/>
      <sheetName val="Register"/>
      <sheetName val="Ex Diff"/>
      <sheetName val="#511BkRec"/>
      <sheetName val="#511-SEPT97"/>
      <sheetName val="#511-OCT97"/>
      <sheetName val="#511-NOV97"/>
      <sheetName val="P1"/>
      <sheetName val="RB"/>
      <sheetName val="A3"/>
      <sheetName val="analysis"/>
      <sheetName val="TAXSP07&amp;TAXSPXX-DTA计算"/>
      <sheetName val="CRA-Detail"/>
      <sheetName val="Budget"/>
      <sheetName val="Costs成本"/>
      <sheetName val="GLFY"/>
      <sheetName val="年初追溯"/>
      <sheetName val="2020.12.31"/>
      <sheetName val="Lessee Import new lease"/>
      <sheetName val="调整说明"/>
      <sheetName val="Cust List"/>
      <sheetName val="Comps"/>
      <sheetName val="新准则TB"/>
      <sheetName val="试算平衡表"/>
      <sheetName val="XBase"/>
      <sheetName val="synthgraph DCF"/>
      <sheetName val="Raw Mtl Prep"/>
      <sheetName val="2002-H300"/>
      <sheetName val="2001-H300"/>
      <sheetName val="Full Reconciliation 4011000"/>
      <sheetName val="note(1)"/>
      <sheetName val="A5_灿星"/>
      <sheetName val="科目名称"/>
      <sheetName val="Alloc"/>
      <sheetName val="首层砖墙"/>
      <sheetName val="表2&lt;销售出库单&gt;"/>
      <sheetName val="FF-21(a)"/>
      <sheetName val="11-1"/>
      <sheetName val="培训中心"/>
      <sheetName val="Cost structure Alcatel"/>
      <sheetName val="Month"/>
      <sheetName val="FG-Bat"/>
      <sheetName val="D4RP"/>
      <sheetName val="10160"/>
      <sheetName val="邻酮定乙酚发出测试"/>
      <sheetName val="16、半成品明细"/>
      <sheetName val="Financial statement"/>
      <sheetName val="盈余公积"/>
      <sheetName val="3. Other gains"/>
      <sheetName val="sheet6"/>
      <sheetName val="合同付款"/>
      <sheetName val="营销费用预算"/>
      <sheetName val="营销合约"/>
      <sheetName val="成本项目"/>
      <sheetName val="U434_Sample pool2008"/>
      <sheetName val="struc_SBU"/>
      <sheetName val="BS10"/>
      <sheetName val="navigation"/>
      <sheetName val="struc_country"/>
      <sheetName val="SP10"/>
      <sheetName val="translate"/>
      <sheetName val="Chart of Account"/>
      <sheetName val="Antivol D2"/>
      <sheetName val="1.1 Project Data"/>
      <sheetName val="Check"/>
      <sheetName val="SHELL"/>
      <sheetName val="1102 (2)"/>
      <sheetName val="환산SHEET"/>
      <sheetName val="ADJ Sum(console)"/>
      <sheetName val="Steuerung"/>
      <sheetName val="C08"/>
      <sheetName val="员工工资"/>
      <sheetName val="会计科目"/>
      <sheetName val="HanCai cost DT"/>
      <sheetName val="HanE cost DT"/>
      <sheetName val="ASN cost DT"/>
      <sheetName val="ASN FV DT"/>
      <sheetName val="HanCai FV DT"/>
      <sheetName val="HanE FV DT"/>
      <sheetName val="Currency"/>
      <sheetName val="090831-往来"/>
      <sheetName val="SAR"/>
      <sheetName val="A3-CLA"/>
      <sheetName val="H101(OK)"/>
      <sheetName val="E100"/>
      <sheetName val="N100"/>
      <sheetName val="P412-2001"/>
      <sheetName val="P413-2002"/>
      <sheetName val="辅表-原始利润表"/>
      <sheetName val="辅表-原始资产负债表"/>
      <sheetName val="FC switches"/>
      <sheetName val="N72_关联方往来（应收）"/>
      <sheetName val="3A FA Record"/>
      <sheetName val="9B RUL Range"/>
      <sheetName val="短期借款余额表"/>
      <sheetName val="#1 Basic"/>
      <sheetName val="00'미수"/>
      <sheetName val="SFS(BUDGET)"/>
      <sheetName val="A"/>
      <sheetName val="07-6068"/>
      <sheetName val="40-2701"/>
      <sheetName val="GDH"/>
      <sheetName val="CP"/>
      <sheetName val="source-1"/>
      <sheetName val="TDC COA Sumry"/>
      <sheetName val="TDC Item Dets"/>
      <sheetName val="TDC Item Sumry"/>
      <sheetName val="TDC Key Qty Sumry"/>
      <sheetName val="COA Sumry - Std Imp"/>
      <sheetName val="Contr TDC - Std Imp"/>
      <sheetName val="Item Sumry - Std Imp"/>
      <sheetName val="Unit Costs - Std Imp"/>
      <sheetName val="Unit MH - Std Imp"/>
      <sheetName val="Proj TIC - Std Imp"/>
      <sheetName val="A_T5"/>
      <sheetName val="YTD122006"/>
      <sheetName val="Budget'07"/>
      <sheetName val="detailitems_15"/>
      <sheetName val="报告披露_A股已执行新金融工具准则但尚未执行新收入及新租赁准则"/>
      <sheetName val="报告披露_企业会计制度"/>
      <sheetName val="其他业务收支_杨"/>
      <sheetName val="CIP&lt;1&gt;_杨"/>
      <sheetName val="FA_Roll_to_GL_(p_2)"/>
      <sheetName val="Lead_(p_1)"/>
      <sheetName val="NOTE_29"/>
      <sheetName val="TOTALE"/>
      <sheetName val="시산표"/>
      <sheetName val="资金流向日报表"/>
      <sheetName val="To tied 2001 opening RE"/>
      <sheetName val="Main"/>
      <sheetName val="M-14"/>
      <sheetName val="M-92"/>
      <sheetName val="M-19"/>
      <sheetName val="M-49"/>
      <sheetName val="M-12"/>
      <sheetName val="M-30"/>
      <sheetName val="调整分录"/>
      <sheetName val="OLDMAP"/>
      <sheetName val="Control Panel"/>
      <sheetName val="NOC"/>
      <sheetName val="E101"/>
      <sheetName val="ARP_U201"/>
      <sheetName val="g101"/>
      <sheetName val="ARP-U201"/>
      <sheetName val="Custom1"/>
      <sheetName val="Phase2movementDEC"/>
      <sheetName val="Phase1f_a_DEC"/>
      <sheetName val="Phase2f_a_DEC_2_"/>
      <sheetName val="公司名稱"/>
      <sheetName val="6641"/>
      <sheetName val="Lease_AP_20082"/>
      <sheetName val="Lease_AP_20092"/>
      <sheetName val="Lease_AP_2009_ITALY2"/>
      <sheetName val="EDR_Feb-092"/>
      <sheetName val="Entry_1412_-_21022"/>
      <sheetName val="PO_upload_sheet2"/>
      <sheetName val="Italy_Lease_20092"/>
      <sheetName val="REFERENCE_FILE2"/>
      <sheetName val="7_(2)1"/>
      <sheetName val="Vendor_Data1"/>
      <sheetName val="Detail_Loan_Move__&amp;_Listing1"/>
      <sheetName val="29-1_贴现融资-回购式1"/>
      <sheetName val="总公司2002_12_311"/>
      <sheetName val="Final_sample_listing1"/>
      <sheetName val="AP_Recap1"/>
      <sheetName val="Net_REVENUE1"/>
      <sheetName val="(i)_Fixed_assets-PBC1"/>
      <sheetName val="COSTOMAT_XLS1"/>
      <sheetName val="Detail_-_CSM_CY04_monthly1"/>
      <sheetName val="Sal_&amp;_Wage_Info1"/>
      <sheetName val="2007_12折旧差异1"/>
      <sheetName val="Client_Data1"/>
      <sheetName val="Air_Conditional1"/>
      <sheetName val="Motor_Vehicle1"/>
      <sheetName val="T__B1"/>
      <sheetName val="IRR_&amp;_NPV1"/>
      <sheetName val="US_Bal_Sheet1"/>
      <sheetName val="Consol_worksheet-Final1"/>
      <sheetName val="Mov_from_2001_to_20031"/>
      <sheetName val="Comp_equip"/>
      <sheetName val="Sales_Model_Yr"/>
      <sheetName val="TT_template"/>
      <sheetName val="loan_database"/>
      <sheetName val="3存放同业_(定期)"/>
      <sheetName val="6_买入返售票据（按协议）"/>
      <sheetName val="3存放同业_(活期)"/>
      <sheetName val="6_买入返售票据（按票）"/>
      <sheetName val="Invoice_detail"/>
      <sheetName val="Beg-_End_balance"/>
      <sheetName val="Info__Request"/>
      <sheetName val="C_-_Cash_and_Bank"/>
      <sheetName val="Base_Info"/>
      <sheetName val="All_Cash_Dil"/>
      <sheetName val="Veh_Info"/>
      <sheetName val="338_Apparel"/>
      <sheetName val="A500-Audit_adjustment"/>
      <sheetName val="Staff_List"/>
      <sheetName val="P_&amp;_L_Account"/>
      <sheetName val="by_category"/>
      <sheetName val="Returns_Analysis"/>
      <sheetName val="Lease_Data_-_LC"/>
      <sheetName val="Exchange_Rates"/>
      <sheetName val="Chart_of_Acct"/>
      <sheetName val="G_1R-Shou_COP_Gf"/>
      <sheetName val="List_-_Components"/>
      <sheetName val="List_-_Equipment"/>
      <sheetName val="&amp;Portfolio_Changes"/>
      <sheetName val="Cumulative_Performance"/>
      <sheetName val="Recent_Actions"/>
      <sheetName val="Investment_Guidelines"/>
      <sheetName val="Performance_Summary"/>
      <sheetName val="Investment_Review"/>
      <sheetName val="Portfolio_Performance"/>
      <sheetName val="&amp;Portfolio_vs__Benchmark"/>
      <sheetName val="&amp;Portfolio_Summary_TE_Long_Int"/>
      <sheetName val="&amp;Portfolio_Summary_TE_Short"/>
      <sheetName val="&amp;Portfolio_Summary_Tax_Short"/>
      <sheetName val="Portfolio_Comparison"/>
      <sheetName val="TB_Link"/>
      <sheetName val="Permanent_info"/>
      <sheetName val="Income_Statement"/>
      <sheetName val="Balance_Sheet"/>
      <sheetName val="Altman_Z"/>
      <sheetName val="M_Schedules"/>
      <sheetName val="Swap_Calculator"/>
      <sheetName val="_U140-SalesTOT"/>
      <sheetName val="Premium_Dec_03"/>
      <sheetName val="Comparative_Balance_Sheet"/>
      <sheetName val="Yield_Curves"/>
      <sheetName val="VCC_11110-461"/>
      <sheetName val="Poland_£"/>
      <sheetName val="Bielsko_Biała"/>
      <sheetName val="No_4-3_現金同等物明細"/>
      <sheetName val="CA_consolidated"/>
      <sheetName val="Cash_Flow"/>
      <sheetName val="Threshold_Table"/>
      <sheetName val="SA_Procedures_(Depreciation)"/>
      <sheetName val="Trading_Statement"/>
      <sheetName val="Hidden_Lists"/>
      <sheetName val="DEFLEET_APR-05"/>
      <sheetName val="DEC_Bank"/>
      <sheetName val="DEC_GL"/>
      <sheetName val="Review_pts"/>
      <sheetName val="OCT_BANK"/>
      <sheetName val="Gross_Margin"/>
      <sheetName val="分产品销售收入、成本分析表"/>
      <sheetName val="P&amp;L Report-S"/>
      <sheetName val="P&amp;L Report-M"/>
      <sheetName val="ITEM"/>
      <sheetName val="Sch PR-2"/>
      <sheetName val="Sch PR-3"/>
      <sheetName val="底稿2001年"/>
      <sheetName val="Revenue"/>
      <sheetName val="Sheet16"/>
      <sheetName val="基础数据"/>
      <sheetName val="3rd Qtr"/>
      <sheetName val="5th Qtr"/>
      <sheetName val="6th Qtr"/>
      <sheetName val="7th Qtr"/>
      <sheetName val="Exit Forecast"/>
      <sheetName val="2nd Qtr"/>
      <sheetName val="Rounded Input"/>
      <sheetName val="Lookups"/>
      <sheetName val="Payments"/>
      <sheetName val="97BGT6"/>
      <sheetName val="科目名称库"/>
      <sheetName val="SUIVI EFFECTIFS"/>
      <sheetName val="#¡REF"/>
      <sheetName val="EFFECT."/>
      <sheetName val="Tons"/>
      <sheetName val="tit"/>
      <sheetName val="humen DT"/>
      <sheetName val="Northring DT"/>
      <sheetName val="GWSR Cost DT"/>
      <sheetName val="shantou DT"/>
      <sheetName val="Qinglian Ex only DT"/>
      <sheetName val="Tianjin cost DT"/>
      <sheetName val="GNSR FV DT"/>
      <sheetName val="cangyu fv DT"/>
      <sheetName val="Tianjin - fv DT"/>
      <sheetName val="hanxiao FV"/>
      <sheetName val="changzhu FV DT"/>
      <sheetName val="GNSR cost DT"/>
      <sheetName val="WeiXu FV DT"/>
      <sheetName val="changzhu cost DT"/>
      <sheetName val="cangyu cost DT"/>
      <sheetName val="hanxiao cost DT"/>
      <sheetName val="weixu cost DT"/>
      <sheetName val="SYN cost DT"/>
      <sheetName val="SYN FV DT"/>
      <sheetName val="#REF!"/>
      <sheetName val="数据"/>
      <sheetName val="动态图2"/>
      <sheetName val="事業計画"/>
      <sheetName val="Share"/>
      <sheetName val="综合概算"/>
      <sheetName val="Sweco DCP"/>
      <sheetName val="Ricardo Football Field"/>
      <sheetName val="Sweco AVP"/>
      <sheetName val="Sweco Business Plan"/>
      <sheetName val="Ricardo Business Plan"/>
      <sheetName val="Sweco Football Field"/>
      <sheetName val="Ricardo DCP"/>
      <sheetName val="Ricardo AVP"/>
      <sheetName val="Sundries creditors"/>
      <sheetName val="Advance to staff"/>
      <sheetName val="Accrual"/>
      <sheetName val="TGS-TP"/>
      <sheetName val="重置价计算表"/>
      <sheetName val="5折旧预测ok"/>
      <sheetName val="物件明細表"/>
      <sheetName val="Capital leases"/>
      <sheetName val="各门店2016年1-12月费用"/>
      <sheetName val="各门店17.5费用明细"/>
      <sheetName val="各门店16年收入利润"/>
      <sheetName val="各门店17.5收入利润"/>
      <sheetName val="2017.6门店费用"/>
      <sheetName val="16年客流会员"/>
      <sheetName val="店名索引&gt;&gt;&gt;&gt;"/>
      <sheetName val="2017.6门店开业时间汇总"/>
      <sheetName val="4.门店信息汇总Output(运营版本）"/>
      <sheetName val="2017.6门店收入利润"/>
      <sheetName val="本期报表"/>
      <sheetName val="选择键"/>
      <sheetName val="底稿0000"/>
      <sheetName val="Vis Exp"/>
      <sheetName val="AR2-F21"/>
      <sheetName val="AR1-F20"/>
      <sheetName val="15、采购订单"/>
      <sheetName val="chart_acc"/>
      <sheetName val="Sum"/>
      <sheetName val="综合成本分析01.01-0205"/>
      <sheetName val="科目余额"/>
      <sheetName val="FY01 Actuals"/>
      <sheetName val="Raw materials"/>
      <sheetName val="A6620 Detail"/>
      <sheetName val="PL底稿"/>
      <sheetName val="A500_adjustment"/>
      <sheetName val="PRC 15"/>
      <sheetName val="BYco_2k"/>
      <sheetName val="TB-WP"/>
      <sheetName val="合并抵销或调整分录（1）"/>
      <sheetName val="Incometl"/>
      <sheetName val="Nvar"/>
      <sheetName val="Cashflow"/>
      <sheetName val="code"/>
      <sheetName val="填表说明"/>
      <sheetName val="公司清单"/>
      <sheetName val="资本公积取数"/>
      <sheetName val="UFPrn20220118134524"/>
      <sheetName val="利润及利润分配试算平衡表"/>
      <sheetName val="资产负债试算平衡表"/>
      <sheetName val="06.11.24SAP"/>
      <sheetName val="J&amp;Q"/>
      <sheetName val="IS-客户直接转换"/>
      <sheetName val="未开票-索引"/>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cean voyage"/>
      <sheetName val="NS02"/>
      <sheetName val="CONC_FEES02"/>
      <sheetName val="DEPREC_02"/>
      <sheetName val="LPD02"/>
      <sheetName val="sapactivexlhiddensheet"/>
      <sheetName val="VM02"/>
      <sheetName val="Sch.9"/>
      <sheetName val="12.APaging附表"/>
      <sheetName val="F_OH"/>
      <sheetName val="合同科目引用表"/>
      <sheetName val="Total Financials"/>
      <sheetName val="POV"/>
      <sheetName val="基本"/>
      <sheetName val="墙面"/>
      <sheetName val="Manual Price Book Detail"/>
      <sheetName val="Vendavo 12-17-07"/>
      <sheetName val="AJEs"/>
      <sheetName val="COA"/>
      <sheetName val="后续pre-IPO及IPO融资计划"/>
      <sheetName val="假设受让老股股东以增资方式进入-估值测算"/>
      <sheetName val="U110"/>
      <sheetName val="U1.6"/>
      <sheetName val="CILO"/>
      <sheetName val="待摊费用明细表"/>
      <sheetName val="原报调整分录"/>
      <sheetName val="审计调整分录"/>
      <sheetName val="6月"/>
      <sheetName val="PROCESS"/>
      <sheetName val="综合概算书2"/>
      <sheetName val="467733"/>
      <sheetName val="SCH 1B, 1B-1 &amp; 1B-2"/>
      <sheetName val="Entry_1412_-_2_x0001_021"/>
      <sheetName val="&lt;FF&gt; Tax Payable"/>
      <sheetName val="N__其他应收款"/>
      <sheetName val="N__应收账款"/>
      <sheetName val="N__营业收入及营业成本"/>
      <sheetName val="dropdownList6"/>
      <sheetName val="封面 Cover"/>
      <sheetName val="或有事项"/>
      <sheetName val="租赁承诺"/>
      <sheetName val="CMA Calculations- Figure 5440.1"/>
      <sheetName val="fedcapct2006"/>
      <sheetName val="E_Lead"/>
      <sheetName val="ACTINV"/>
      <sheetName val="0101主料"/>
      <sheetName val="0102中草药"/>
      <sheetName val="0104燃料"/>
      <sheetName val="0106备品备件"/>
      <sheetName val="0109辅料"/>
      <sheetName val="0110化剂"/>
      <sheetName val="0112气体"/>
      <sheetName val="0206标签"/>
      <sheetName val="0207纸箱纸盒"/>
      <sheetName val="0208瓶类"/>
      <sheetName val="0302办公用品"/>
      <sheetName val="0303工具"/>
      <sheetName val="0304玻璃仪器"/>
      <sheetName val="0399其他材料"/>
      <sheetName val="05自制半成品"/>
      <sheetName val="1xxxxxxx-6xxxxxxx"/>
      <sheetName val="재료(확정,11월19일)"/>
      <sheetName val="主营业务收入mx"/>
      <sheetName val="分录"/>
      <sheetName val="应收账款Mx"/>
      <sheetName val="应收账款"/>
      <sheetName val="主菜单"/>
      <sheetName val="FIRE Parameters"/>
      <sheetName val="COSTOxOPERAI"/>
      <sheetName val="控制清单"/>
      <sheetName val="TPQ INDEX"/>
      <sheetName val="1月"/>
      <sheetName val="short term loan"/>
      <sheetName val="U1 P&amp;L"/>
      <sheetName val="KPI"/>
      <sheetName val="Basic data"/>
      <sheetName val="DFA"/>
      <sheetName val="1999 BUDGET"/>
      <sheetName val="UFPrn20021113090847"/>
      <sheetName val="G140"/>
      <sheetName val="索引表"/>
      <sheetName val="Confirmation"/>
      <sheetName val="P&amp;L-Sch"/>
      <sheetName val="EBITDA Cause of Change"/>
      <sheetName val="Margin Cause of Change by Cat"/>
      <sheetName val="Dec.-TB summary "/>
      <sheetName val="纳税调整明细表2009"/>
      <sheetName val="电子"/>
      <sheetName val="利润分析"/>
      <sheetName val="资产负债分析"/>
      <sheetName val="List Equip"/>
      <sheetName val="LabCost"/>
      <sheetName val="MatCost"/>
      <sheetName val="Concrete"/>
      <sheetName val="Process C (1-166)"/>
      <sheetName val="Month 8"/>
      <sheetName val="BulkPall_Var"/>
      <sheetName val="Disclosure Summary"/>
      <sheetName val="SA02-03"/>
      <sheetName val="ExRate"/>
      <sheetName val="Manu"/>
      <sheetName val="Yr_1997"/>
      <sheetName val="ROCHE"/>
      <sheetName val="Valuation"/>
      <sheetName val="‘‡B"/>
      <sheetName val="Sheet1 (11)"/>
      <sheetName val="G"/>
      <sheetName val="G3"/>
      <sheetName val="首页"/>
      <sheetName val="C_110发函回函地址核查"/>
      <sheetName val="Mach &amp; equip"/>
      <sheetName val="A3_影视技术"/>
      <sheetName val="R-1"/>
      <sheetName val="DLDB10"/>
      <sheetName val="9-销售"/>
      <sheetName val="A3_conso"/>
      <sheetName val="Update check"/>
      <sheetName val="TRANS_ASSM"/>
      <sheetName val="h1h2 model"/>
      <sheetName val="A3 &amp; U 09-01"/>
      <sheetName val="Prices"/>
      <sheetName val="STATPARA"/>
      <sheetName val="Menu"/>
      <sheetName val="conCF"/>
      <sheetName val="conWP"/>
      <sheetName val="Var"/>
      <sheetName val="Admin"/>
      <sheetName val="CTRL"/>
      <sheetName val="BOX SUM"/>
      <sheetName val="FIN GOOD"/>
      <sheetName val="Canal_IS"/>
      <sheetName val="Graph 1"/>
      <sheetName val="IS Summary-96"/>
      <sheetName val="Heads"/>
      <sheetName val="TB-Total"/>
      <sheetName val="2171_BK"/>
      <sheetName val="Overview"/>
      <sheetName val="F301存货各明细"/>
      <sheetName val="_0101主料"/>
      <sheetName val="_0102中草药"/>
      <sheetName val="_0104燃料"/>
      <sheetName val="_0106备品备件"/>
      <sheetName val="_0109辅料"/>
      <sheetName val="_0110化剂"/>
      <sheetName val="_0206标签"/>
      <sheetName val="_0207纸箱纸盒"/>
      <sheetName val="_0208瓶类"/>
      <sheetName val="_0302办公用品"/>
      <sheetName val="_0303工具"/>
      <sheetName val="_0304玻璃仪器"/>
      <sheetName val="_0399其他"/>
      <sheetName val="_04产成品"/>
      <sheetName val="_05自制半成品"/>
      <sheetName val="_0108劳保"/>
      <sheetName val="_0112气体"/>
      <sheetName val="1_1_Project_Data"/>
      <sheetName val="U434_Sample_pool2008"/>
      <sheetName val="1102_(2)"/>
      <sheetName val="Chart_of_Account"/>
      <sheetName val="Antivol_D2"/>
      <sheetName val="ADJ_Sum(console)"/>
      <sheetName val="HanCai_cost_DT"/>
      <sheetName val="HanE_cost_DT"/>
      <sheetName val="ASN_cost_DT"/>
      <sheetName val="ASN_FV_DT"/>
      <sheetName val="HanCai_FV_DT"/>
      <sheetName val="HanE_FV_DT"/>
      <sheetName val="Currency_Codes"/>
      <sheetName val="Variance_threshold"/>
      <sheetName val="3A_FA_Record"/>
      <sheetName val="9B_RUL_Range"/>
      <sheetName val="#1_Basic"/>
      <sheetName val="FC_switches"/>
      <sheetName val="A810-ASM"/>
      <sheetName val="_018"/>
      <sheetName val="华域本部"/>
      <sheetName val="本部-年初"/>
      <sheetName val="分录取数说明"/>
      <sheetName val="YTD Summary"/>
      <sheetName val="Part_Datum"/>
      <sheetName val="08.8"/>
      <sheetName val="枚举字典"/>
      <sheetName val="FZ-1（合并）"/>
      <sheetName val="FZ-3往来"/>
      <sheetName val="L310-Adjustment for R&amp;D cost"/>
      <sheetName val="MASTER_主数据"/>
      <sheetName val="COVER_报表封面"/>
      <sheetName val="MASTER_主数据_补"/>
      <sheetName val="附表5-2"/>
      <sheetName val="PH Car"/>
      <sheetName val="科目余额表"/>
      <sheetName val="PBC - PHS"/>
      <sheetName val="Summary_"/>
      <sheetName val="adj10#-b"/>
      <sheetName val="科目余额表(原稿)"/>
      <sheetName val="Adjustment summary"/>
      <sheetName val="2004"/>
      <sheetName val="成本还原汇总表"/>
      <sheetName val="关联方"/>
      <sheetName val="U1120"/>
      <sheetName val="收入"/>
      <sheetName val="附表3"/>
      <sheetName val="Target"/>
      <sheetName val="WACC"/>
      <sheetName val="DCF"/>
      <sheetName val="Combined"/>
      <sheetName val="PFOut2"/>
      <sheetName val="现 金 流 量 表"/>
      <sheetName val="BSCF"/>
      <sheetName val="Credit Check"/>
      <sheetName val="Inputs"/>
      <sheetName val="AFA"/>
      <sheetName val="P&amp;L (AR version)"/>
      <sheetName val="6a bank loan &amp; bond analysis"/>
      <sheetName val="Summary of Bank loan and bond"/>
      <sheetName val="BPC input"/>
      <sheetName val="capital structures"/>
      <sheetName val="cashflow statement"/>
      <sheetName val="cashflow statement spreadsheet"/>
      <sheetName val="checking Dep DT"/>
      <sheetName val="P&amp;L for company (AR version)"/>
      <sheetName val="2021 interim"/>
      <sheetName val="COS breakdown working"/>
      <sheetName val="Deferred tax"/>
      <sheetName val="1 highlights and ratio"/>
      <sheetName val="inter CA input"/>
      <sheetName val="Intercom int"/>
      <sheetName val="SUMMARY RMB"/>
      <sheetName val="2 PL shortform"/>
      <sheetName val="rmb fa wrkng"/>
      <sheetName val="statutory reserves"/>
      <sheetName val="SUMMARY before elim"/>
      <sheetName val="SUMMARY MoM"/>
      <sheetName val="O200_递延所得税资产或负债"/>
      <sheetName val="O_210DTA可收回性"/>
      <sheetName val="O_300VAT"/>
      <sheetName val="O_400其他税种"/>
      <sheetName val="O_500 IIT"/>
      <sheetName val="O_Lead"/>
      <sheetName val="O_100CIT Reco"/>
      <sheetName val="O_120上年所得税汇算清缴"/>
      <sheetName val="BS_ReportingDate"/>
      <sheetName val="JAN405"/>
      <sheetName val="采购订单"/>
      <sheetName val="F101"/>
      <sheetName val="03ht"/>
      <sheetName val=" "/>
      <sheetName val="Office Improve"/>
      <sheetName val="V_Lead "/>
      <sheetName val="VA_Lead"/>
      <sheetName val="基础信息"/>
      <sheetName val="剥离前"/>
      <sheetName val="Sensitivity"/>
      <sheetName val="Tickmarks"/>
      <sheetName val="管理费用 "/>
      <sheetName val="其他业务收支_杨1"/>
      <sheetName val="CIP&lt;1&gt;_杨1"/>
      <sheetName val="FA_Roll_to_GL_(p_2)1"/>
      <sheetName val="Lead_(p_1)1"/>
      <sheetName val="NOTE_291"/>
      <sheetName val="No_4-3_現金同等物明細1"/>
      <sheetName val="CA_consolidated1"/>
      <sheetName val="TDC_COA_Sumry"/>
      <sheetName val="TDC_Item_Dets"/>
      <sheetName val="TDC_Item_Sumry"/>
      <sheetName val="TDC_Key_Qty_Sumry"/>
      <sheetName val="COA_Sumry_-_Std_Imp"/>
      <sheetName val="Contr_TDC_-_Std_Imp"/>
      <sheetName val="Item_Sumry_-_Std_Imp"/>
      <sheetName val="Unit_Costs_-_Std_Imp"/>
      <sheetName val="Unit_MH_-_Std_Imp"/>
      <sheetName val="Proj_TIC_-_Std_Imp"/>
      <sheetName val="Control_Panel"/>
      <sheetName val="调16"/>
      <sheetName val="For report WL"/>
      <sheetName val="二厂单位成本结构图"/>
      <sheetName val="Understand the client"/>
      <sheetName val="Bokslutsprocessen"/>
      <sheetName val="Indata"/>
      <sheetName val="N200"/>
      <sheetName val="FY03"/>
      <sheetName val="14"/>
      <sheetName val="last op "/>
      <sheetName val="support"/>
      <sheetName val="Wh &amp; Office Exp"/>
      <sheetName val="核銷表"/>
      <sheetName val="Benefit Tracking"/>
      <sheetName val="Benefit Form"/>
      <sheetName val="WACC Inputs"/>
      <sheetName val="销售收入A4"/>
      <sheetName val="产量预算表Ａ4"/>
      <sheetName val="制造成本预算表A3"/>
      <sheetName val="物流费用预算表(A4)"/>
      <sheetName val="销售费用预算表(A4)"/>
      <sheetName val="管理费用预算表(A4)"/>
      <sheetName val="其它销售成本 A4"/>
      <sheetName val="销售成本A4"/>
      <sheetName val="销售量A4"/>
      <sheetName val="审计程序 (2)"/>
      <sheetName val="审定表"/>
      <sheetName val="2100"/>
      <sheetName val="BBW"/>
      <sheetName val="设备部房屋"/>
      <sheetName val="泳场明细"/>
      <sheetName val="payroll "/>
      <sheetName val="3.2"/>
      <sheetName val="ALL"/>
      <sheetName val="PAX &amp; SEATS %"/>
      <sheetName val="Pcos"/>
      <sheetName val="Sales"/>
      <sheetName val="ITENM"/>
      <sheetName val="QAD-面套库存"/>
      <sheetName val="Comp. Transaction"/>
      <sheetName val="Assum"/>
      <sheetName val="Assumptions"/>
      <sheetName val="存货"/>
      <sheetName val="固定"/>
      <sheetName val="在建"/>
      <sheetName val="期间"/>
      <sheetName val="95059D"/>
      <sheetName val="A501_AADJ#14-对价调整"/>
      <sheetName val="FS_0331"/>
      <sheetName val="科目余额表（2017年1-9月）"/>
      <sheetName val="N1_AT"/>
      <sheetName val="C2_WKSP"/>
      <sheetName val="A1_INP"/>
      <sheetName val="A2_TINPM"/>
      <sheetName val="A3_TINPP"/>
      <sheetName val="HP"/>
      <sheetName val="FA1"/>
      <sheetName val="SCHE-F"/>
      <sheetName val="Amortization Schedules"/>
      <sheetName val="2_假设"/>
      <sheetName val="报表项目"/>
      <sheetName val="Q.CF-E01"/>
      <sheetName val="_010_10118"/>
      <sheetName val="P&amp;LALL"/>
      <sheetName val="1015"/>
      <sheetName val="2005 Sales breakdown"/>
      <sheetName val="余额表2"/>
      <sheetName val="Table 0703"/>
      <sheetName val="EHQ"/>
      <sheetName val=" FA retest"/>
      <sheetName val="Info"/>
      <sheetName val="K3"/>
      <sheetName val="披露表（上市）"/>
      <sheetName val="Breakdown 9.30"/>
      <sheetName val="c_data"/>
      <sheetName val="co_code"/>
      <sheetName val="statement 1998"/>
      <sheetName val="K31X"/>
      <sheetName val="XVIa(i) - average price (2)"/>
      <sheetName val="Mar Begining Balance"/>
      <sheetName val="Invested Capital"/>
      <sheetName val="CKS-KHH"/>
      <sheetName val="6.比較資產負債表"/>
      <sheetName val="稅籍代碼檢查表"/>
      <sheetName val="0-2.資料聯"/>
      <sheetName val="基本稅額計算"/>
      <sheetName val="0-1.基本資料"/>
      <sheetName val="EFTvsTAXmapping"/>
      <sheetName val="4.損益表"/>
      <sheetName val="9.各類給付扣繳表"/>
      <sheetName val="P11"/>
      <sheetName val="conBS"/>
      <sheetName val="conCE"/>
      <sheetName val="conIS"/>
      <sheetName val="母公司TB"/>
      <sheetName val="分离后总调室"/>
      <sheetName val="气保"/>
      <sheetName val="chitimc"/>
      <sheetName val="COMPANY"/>
      <sheetName val="dongia (2)"/>
      <sheetName val="-PLEASE NOTE-"/>
      <sheetName val="DataFrBuildBlock"/>
      <sheetName val="Static-Data"/>
      <sheetName val="Form1-1"/>
      <sheetName val="Document cover page"/>
      <sheetName val="单位名录"/>
      <sheetName val="审计程序（旧）"/>
      <sheetName val="OR"/>
      <sheetName val="附注"/>
      <sheetName val="ACC.NAME"/>
      <sheetName val="6126-30"/>
      <sheetName val="param"/>
      <sheetName val="Traduction"/>
      <sheetName val="TB_2021"/>
      <sheetName val="TB_2020"/>
      <sheetName val="TB_2019"/>
      <sheetName val="TB_2023.6.30"/>
      <sheetName val="TB_2022"/>
      <sheetName val="审定报表汇总"/>
      <sheetName val="U900"/>
      <sheetName val="Library Procedures"/>
      <sheetName val="M-5A"/>
      <sheetName val="F"/>
      <sheetName val="数据字典"/>
      <sheetName val="热力系统"/>
      <sheetName val="输入上年调整分录"/>
      <sheetName val="FZ-1"/>
      <sheetName val="FZ-2"/>
      <sheetName val="UFPrn20070303114642"/>
      <sheetName val="U200"/>
      <sheetName val="自制半成品"/>
      <sheetName val="U400"/>
      <sheetName val="2001"/>
      <sheetName val="A14_g132"/>
      <sheetName val="A14_g134"/>
      <sheetName val="明细分类账"/>
      <sheetName val="CF"/>
      <sheetName val="preBS"/>
      <sheetName val="preCF"/>
      <sheetName val="preIS"/>
      <sheetName val="preCE"/>
      <sheetName val="合同资产20230630"/>
      <sheetName val="E1_503_前瞻因子_20230630"/>
      <sheetName val="销售6.13"/>
      <sheetName val="E1020"/>
      <sheetName val="A16C"/>
      <sheetName val="Struktur"/>
      <sheetName val="消耗品"/>
      <sheetName val="消耗品2"/>
      <sheetName val="NA"/>
      <sheetName val="COAT&amp;WRAP-QIOT-#3"/>
      <sheetName val="PNT-QUOT-#3"/>
      <sheetName val="MTO REV.2(ARMOR)"/>
      <sheetName val="Breadown-Tham khao"/>
      <sheetName val="tygia"/>
      <sheetName val="FG Inventory"/>
      <sheetName val="0.FY23 Annual Plan @20221212"/>
      <sheetName val="Lease_AP_20083"/>
      <sheetName val="Lease_AP_20093"/>
      <sheetName val="Lease_AP_2009_ITALY3"/>
      <sheetName val="EDR_Feb-093"/>
      <sheetName val="Entry_1412_-_21023"/>
      <sheetName val="PO_upload_sheet3"/>
      <sheetName val="Italy_Lease_20093"/>
      <sheetName val="REFERENCE_FILE3"/>
      <sheetName val="AP_Recap2"/>
      <sheetName val="Vendor_Data2"/>
      <sheetName val="7_(2)2"/>
      <sheetName val="Net_REVENUE2"/>
      <sheetName val="Client_Data2"/>
      <sheetName val="Detail_Loan_Move__&amp;_Listing2"/>
      <sheetName val="29-1_贴现融资-回购式2"/>
      <sheetName val="总公司2002_12_312"/>
      <sheetName val="Final_sample_listing2"/>
      <sheetName val="(i)_Fixed_assets-PBC2"/>
      <sheetName val="COSTOMAT_XLS2"/>
      <sheetName val="Detail_-_CSM_CY04_monthly2"/>
      <sheetName val="Sal_&amp;_Wage_Info2"/>
      <sheetName val="2007_12折旧差异2"/>
      <sheetName val="Air_Conditional2"/>
      <sheetName val="Motor_Vehicle2"/>
      <sheetName val="T__B2"/>
      <sheetName val="Sales_Model_Yr1"/>
      <sheetName val="IRR_&amp;_NPV2"/>
      <sheetName val="US_Bal_Sheet2"/>
      <sheetName val="Consol_worksheet-Final2"/>
      <sheetName val="Mov_from_2001_to_20032"/>
      <sheetName val="loan_database1"/>
      <sheetName val="3存放同业_(定期)1"/>
      <sheetName val="6_买入返售票据（按协议）1"/>
      <sheetName val="3存放同业_(活期)1"/>
      <sheetName val="6_买入返售票据（按票）1"/>
      <sheetName val="338_Apparel1"/>
      <sheetName val="All_Cash_Dil1"/>
      <sheetName val="Invoice_detail1"/>
      <sheetName val="Beg-_End_balance1"/>
      <sheetName val="Info__Request1"/>
      <sheetName val="C_-_Cash_and_Bank1"/>
      <sheetName val="Comp_equip1"/>
      <sheetName val="TT_template1"/>
      <sheetName val="by_category1"/>
      <sheetName val="Returns_Analysis1"/>
      <sheetName val="A500-Audit_adjustment1"/>
      <sheetName val="Staff_List1"/>
      <sheetName val="P_&amp;_L_Account1"/>
      <sheetName val="Base_Info1"/>
      <sheetName val="Veh_Info1"/>
      <sheetName val="Lease_Data_-_LC1"/>
      <sheetName val="Swap_Calculator1"/>
      <sheetName val="_U140-SalesTOT1"/>
      <sheetName val="Exchange_Rates1"/>
      <sheetName val="Chart_of_Acct1"/>
      <sheetName val="G_1R-Shou_COP_Gf1"/>
      <sheetName val="List_-_Components1"/>
      <sheetName val="List_-_Equipment1"/>
      <sheetName val="&amp;Portfolio_Changes1"/>
      <sheetName val="Cumulative_Performance1"/>
      <sheetName val="Recent_Actions1"/>
      <sheetName val="Investment_Guidelines1"/>
      <sheetName val="Performance_Summary1"/>
      <sheetName val="Investment_Review1"/>
      <sheetName val="Portfolio_Performance1"/>
      <sheetName val="&amp;Portfolio_vs__Benchmark1"/>
      <sheetName val="&amp;Portfolio_Summary_TE_Long_Int1"/>
      <sheetName val="&amp;Portfolio_Summary_TE_Short1"/>
      <sheetName val="&amp;Portfolio_Summary_Tax_Short1"/>
      <sheetName val="Portfolio_Comparison1"/>
      <sheetName val="TB_Link1"/>
      <sheetName val="Permanent_info1"/>
      <sheetName val="Income_Statement1"/>
      <sheetName val="Balance_Sheet1"/>
      <sheetName val="Altman_Z1"/>
      <sheetName val="M_Schedules1"/>
      <sheetName val="Premium_Dec_031"/>
      <sheetName val="Comparative_Balance_Sheet1"/>
      <sheetName val="Yield_Curves1"/>
      <sheetName val="VCC_11110-4611"/>
      <sheetName val="Poland_£1"/>
      <sheetName val="Bielsko_Biała1"/>
      <sheetName val="Threshold_Table1"/>
      <sheetName val="SA_Procedures_(Depreciation)1"/>
      <sheetName val="Cash_Flow1"/>
      <sheetName val="Trading_Statement1"/>
      <sheetName val="Hidden_Lists1"/>
      <sheetName val="DEFLEET_APR-051"/>
      <sheetName val="DEC_Bank1"/>
      <sheetName val="DEC_GL1"/>
      <sheetName val="Review_pts1"/>
      <sheetName val="OCT_BANK1"/>
      <sheetName val="ADJ_Summary"/>
      <sheetName val="GA_expenses_-_HRML"/>
      <sheetName val="Deferred_Dev_Cost"/>
      <sheetName val="Sheet1_(2)"/>
      <sheetName val="Tableau_d'adossement"/>
      <sheetName val="U102-U104_Detail"/>
      <sheetName val="Full_Reconciliation_4011000"/>
      <sheetName val="2020_12_31"/>
      <sheetName val="Cost_structure_Alcatel"/>
      <sheetName val="Raw_Mtl_Prep"/>
      <sheetName val="synthgraph_DCF"/>
      <sheetName val="Sundries_creditors"/>
      <sheetName val="Advance_to_staff"/>
      <sheetName val="Cust_List"/>
      <sheetName val="SUIVI_EFFECTIFS"/>
      <sheetName val="EFFECT_"/>
      <sheetName val="Financial_statement"/>
      <sheetName val="Ex_Diff"/>
      <sheetName val="P&amp;L_Report-S"/>
      <sheetName val="P&amp;L_Report-M"/>
      <sheetName val="综合成本分析01_01-0205"/>
      <sheetName val="FY01_Actuals"/>
      <sheetName val="Raw_materials"/>
      <sheetName val="A6620_Detail"/>
      <sheetName val="Sweco_DCP"/>
      <sheetName val="Ricardo_Football_Field"/>
      <sheetName val="Sweco_AVP"/>
      <sheetName val="Sweco_Business_Plan"/>
      <sheetName val="Ricardo_Business_Plan"/>
      <sheetName val="Sweco_Football_Field"/>
      <sheetName val="Ricardo_DCP"/>
      <sheetName val="Ricardo_AVP"/>
      <sheetName val="3__Other_gains"/>
      <sheetName val="23"/>
      <sheetName val="目标成本"/>
      <sheetName val="ADJ-单体汇总"/>
      <sheetName val="ADJ-合并汇总"/>
      <sheetName val="科目清单"/>
      <sheetName val="_______"/>
      <sheetName val="核算项目余额表"/>
      <sheetName val="MasterList"/>
      <sheetName val="试算平衡表13"/>
      <sheetName val="营业外9"/>
      <sheetName val="（1）固定资产情况底稿"/>
      <sheetName val="SalesMYP"/>
      <sheetName val="assets"/>
      <sheetName val="By Expense"/>
      <sheetName val="By Function"/>
      <sheetName val="$QUAL2002"/>
      <sheetName val="应付帐款明细表"/>
      <sheetName val="ARP-U311"/>
      <sheetName val="ARP-U321"/>
      <sheetName val="Börskurser"/>
      <sheetName val="A3_Lead"/>
      <sheetName val="4-货币资金-现金"/>
      <sheetName val="PTC"/>
      <sheetName val="AFS-PL"/>
      <sheetName val="17. Non consolidated stock"/>
      <sheetName val="General Data"/>
      <sheetName val="Liabilities"/>
      <sheetName val="P-L"/>
      <sheetName val="14. Fixed assets"/>
      <sheetName val="13. Intangible assets"/>
      <sheetName val="NOPAT_VDF"/>
      <sheetName val="Invested capital_VDF"/>
      <sheetName val="DCF_VDF"/>
      <sheetName val="WACC_VDF"/>
      <sheetName val="Summary Page_VDF"/>
      <sheetName val="PV of Op Leases_VDF"/>
      <sheetName val="Income Statement_VDF"/>
      <sheetName val="603店"/>
      <sheetName val="14.04.03"/>
      <sheetName val="Checkbook"/>
      <sheetName val="Table calendaire"/>
      <sheetName val="Table paiements"/>
      <sheetName val="Table Fournisseurs"/>
      <sheetName val="T2S8M"/>
      <sheetName val="PROATIVOS"/>
      <sheetName val="5 Analysis"/>
      <sheetName val="Ex Rates"/>
      <sheetName val="detailitems_1"/>
      <sheetName val="detailitems_10"/>
      <sheetName val="detailitems_100"/>
      <sheetName val="detailitems_101"/>
      <sheetName val="detailitems_102"/>
      <sheetName val="detailitems_11"/>
      <sheetName val="detailitems_111"/>
      <sheetName val="detailitems_112"/>
      <sheetName val="detailitems_113"/>
      <sheetName val="detailitems_114"/>
      <sheetName val="detailitems_115"/>
      <sheetName val="detailitems_116"/>
      <sheetName val="detailitems_117"/>
      <sheetName val="detailitems_118"/>
      <sheetName val="detailitems_119"/>
      <sheetName val="detailitems_12"/>
      <sheetName val="detailitems_120"/>
      <sheetName val="detailitems_121"/>
      <sheetName val="detailitems_122"/>
      <sheetName val="detailitems_123"/>
      <sheetName val="detailitems_124"/>
      <sheetName val="detailitems_125"/>
      <sheetName val="detailitems_126"/>
      <sheetName val="detailitems_127"/>
      <sheetName val="detailitems_13"/>
      <sheetName val="detailitems_14"/>
      <sheetName val="detailitems_150"/>
      <sheetName val="detailitems_151"/>
      <sheetName val="detailitems_152"/>
      <sheetName val="detailitems_153"/>
      <sheetName val="detailitems_154"/>
      <sheetName val="detailitems_155"/>
      <sheetName val="detailitems_156"/>
      <sheetName val="detailitems_157"/>
      <sheetName val="detailitems_158"/>
      <sheetName val="detailitems_159"/>
      <sheetName val="detailitems_16"/>
      <sheetName val="detailitems_160"/>
      <sheetName val="detailitems_161"/>
      <sheetName val="detailitems_162"/>
      <sheetName val="detailitems_163"/>
      <sheetName val="detailitems_164"/>
      <sheetName val="detailitems_165"/>
      <sheetName val="detailitems_166"/>
      <sheetName val="detailitems_167"/>
      <sheetName val="detailitems_168"/>
      <sheetName val="detailitems_169"/>
      <sheetName val="detailitems_17"/>
      <sheetName val="detailitems_170"/>
      <sheetName val="detailitems_171"/>
      <sheetName val="detailitems_172"/>
      <sheetName val="detailitems_173"/>
      <sheetName val="detailitems_174"/>
      <sheetName val="detailitems_175"/>
      <sheetName val="detailitems_176"/>
      <sheetName val="detailitems_177"/>
      <sheetName val="detailitems_178"/>
      <sheetName val="detailitems_179"/>
      <sheetName val="detailitems_18"/>
      <sheetName val="detailitems_180"/>
      <sheetName val="detailitems_181"/>
      <sheetName val="detailitems_19"/>
      <sheetName val="detailitems_190"/>
      <sheetName val="detailitems_191"/>
      <sheetName val="detailitems_2"/>
      <sheetName val="detailitems_20"/>
      <sheetName val="detailitems_203"/>
      <sheetName val="detailitems_21"/>
      <sheetName val="detailitems_22"/>
      <sheetName val="detailitems_23"/>
      <sheetName val="detailitems_24"/>
      <sheetName val="detailitems_26"/>
      <sheetName val="detailitems_27"/>
      <sheetName val="detailitems_3"/>
      <sheetName val="detailitems_302"/>
      <sheetName val="detailitems_304"/>
      <sheetName val="detailitems_310"/>
      <sheetName val="detailitems_311"/>
      <sheetName val="detailitems_313"/>
      <sheetName val="detailitems_314"/>
      <sheetName val="detailitems_315"/>
      <sheetName val="detailitems_35"/>
      <sheetName val="detailitems_36"/>
      <sheetName val="detailitems_37"/>
      <sheetName val="detailitems_38"/>
      <sheetName val="detailitems_39"/>
      <sheetName val="detailitems_4"/>
      <sheetName val="detailitems_400"/>
      <sheetName val="detailitems_41"/>
      <sheetName val="detailitems_42"/>
      <sheetName val="detailitems_43"/>
      <sheetName val="detailitems_44"/>
      <sheetName val="detailitems_45"/>
      <sheetName val="detailitems_46"/>
      <sheetName val="detailitems_47"/>
      <sheetName val="detailitems_48"/>
      <sheetName val="detailitems_49"/>
      <sheetName val="detailitems_5"/>
      <sheetName val="detailitems_50"/>
      <sheetName val="detailitems_51"/>
      <sheetName val="detailitems_52"/>
      <sheetName val="detailitems_53"/>
      <sheetName val="detailitems_54"/>
      <sheetName val="detailitems_56"/>
      <sheetName val="detailitems_58"/>
      <sheetName val="detailitems_59"/>
      <sheetName val="detailitems_6"/>
      <sheetName val="detailitems_60"/>
      <sheetName val="detailitems_61"/>
      <sheetName val="detailitems_63"/>
      <sheetName val="detailitems_64"/>
      <sheetName val="detailitems_65"/>
      <sheetName val="detailitems_66"/>
      <sheetName val="detailitems_67"/>
      <sheetName val="detailitems_68"/>
      <sheetName val="detailitems_69"/>
      <sheetName val="detailitems_7"/>
      <sheetName val="detailitems_70"/>
      <sheetName val="detailitems_71"/>
      <sheetName val="detailitems_72"/>
      <sheetName val="detailitems_73"/>
      <sheetName val="detailitems_74"/>
      <sheetName val="detailitems_75"/>
      <sheetName val="detailitems_76"/>
      <sheetName val="detailitems_77"/>
      <sheetName val="detailitems_78"/>
      <sheetName val="detailitems_79"/>
      <sheetName val="detailitems_8"/>
      <sheetName val="detailitems_80"/>
      <sheetName val="detailitems_81"/>
      <sheetName val="detailitems_82"/>
      <sheetName val="detailitems_83"/>
      <sheetName val="detailitems_84"/>
      <sheetName val="detailitems_85"/>
      <sheetName val="detailitems_86"/>
      <sheetName val="detailitems_87"/>
      <sheetName val="detailitems_88"/>
      <sheetName val="detailitems_89"/>
      <sheetName val="detailitems_9"/>
      <sheetName val="detailitems_90"/>
      <sheetName val="detailitems_91"/>
      <sheetName val="detailitems_92"/>
      <sheetName val="detailitems_93"/>
      <sheetName val="detailitems_94"/>
      <sheetName val="detailitems_95"/>
      <sheetName val="detailitems_96"/>
      <sheetName val="detailitems_97"/>
      <sheetName val="detailitems_98"/>
      <sheetName val="detailitems_99"/>
      <sheetName val="detailitems_999"/>
      <sheetName val="product"/>
      <sheetName val="标本-资产"/>
      <sheetName val="CRI -CR(HK) unreal"/>
      <sheetName val="C_100Breakdown"/>
      <sheetName val="C_110函证控制表"/>
      <sheetName val="SIL"/>
      <sheetName val="Tax rate1"/>
      <sheetName val="JUly97"/>
      <sheetName val="STRAT PLAN WKSHT"/>
      <sheetName val="insurance"/>
      <sheetName val="YTD-Entity"/>
      <sheetName val="CA Sheet"/>
      <sheetName val="Corporate (Paste)"/>
      <sheetName val="SMD"/>
      <sheetName val="IFRS#7-1 stock provision"/>
      <sheetName val="_102中草药"/>
      <sheetName val="_104燃料"/>
      <sheetName val="_106备品备件"/>
      <sheetName val="_108劳保"/>
      <sheetName val="_109辅料"/>
      <sheetName val="_110化剂"/>
      <sheetName val="_112气体"/>
      <sheetName val="_206标签"/>
      <sheetName val="_207纸箱纸盒"/>
      <sheetName val="_208瓶类"/>
      <sheetName val="_302办公用品"/>
      <sheetName val="_303工具"/>
      <sheetName val="_304玻璃仪器"/>
      <sheetName val="_399其他材料"/>
      <sheetName val="_4产成品"/>
      <sheetName val="_5自制半成品"/>
      <sheetName val="ADRESSES"/>
      <sheetName val="USPCL"/>
      <sheetName val="CE-1"/>
      <sheetName val="Economic evaluation - FY98 base"/>
      <sheetName val="N201"/>
      <sheetName val="频度分析"/>
      <sheetName val="EntityList"/>
      <sheetName val="SBUList"/>
      <sheetName val="EmphasisList"/>
      <sheetName val="Libor"/>
      <sheetName val="99buddepr"/>
      <sheetName val="MV"/>
      <sheetName val="Freezers"/>
      <sheetName val="By Brand"/>
      <sheetName val="System"/>
      <sheetName val="N"/>
      <sheetName val="1.計数実績"/>
      <sheetName val="维多利实收明细(05.1-4)"/>
      <sheetName val="Structure Sensitivity"/>
      <sheetName val="Old"/>
      <sheetName val="Operating Assumptions"/>
      <sheetName val="COMDEX"/>
      <sheetName val="KINGSTON"/>
      <sheetName val="SB NON CONSOLIDATED"/>
      <sheetName val="OTHER"/>
      <sheetName val="SBH"/>
      <sheetName val="SBH Non-BK"/>
      <sheetName val="SBNET"/>
      <sheetName val="SBPUB"/>
      <sheetName val="CONTENTS"/>
      <sheetName val="FORUMS"/>
      <sheetName val="SBC"/>
      <sheetName val="ZDAVIS"/>
      <sheetName val="F汇总"/>
      <sheetName val="A300_主表"/>
      <sheetName val="Flash - M"/>
      <sheetName val="mis"/>
      <sheetName val="cashprem"/>
      <sheetName val="数字视频并帐"/>
      <sheetName val="A01"/>
      <sheetName val="M29"/>
      <sheetName val="原材料"/>
      <sheetName val="OP Assets"/>
      <sheetName val="PROD_CUST"/>
      <sheetName val="7 - ARO Assumptions"/>
      <sheetName val="RECAP RETURNS"/>
      <sheetName val="钻井(调整)"/>
      <sheetName val="Option Summary"/>
      <sheetName val="Financial Statements"/>
      <sheetName val="BilanzDaten2001_2004_Upos"/>
      <sheetName val="incomestatement"/>
      <sheetName val="JE_2013"/>
      <sheetName val="DSO"/>
      <sheetName val="FA"/>
      <sheetName val="ROI"/>
      <sheetName val="WC"/>
      <sheetName val="ave Capital"/>
      <sheetName val="ave WC"/>
      <sheetName val="balsht"/>
      <sheetName val="chartofaccts"/>
      <sheetName val="COGS"/>
      <sheetName val="CountryCode"/>
      <sheetName val="EBIT"/>
      <sheetName val="IncStmt w_Details"/>
      <sheetName val="Instructions"/>
      <sheetName val="date"/>
      <sheetName val="PASTETABLE"/>
      <sheetName val="S&amp;Aexp"/>
      <sheetName val="Fixed OH&amp;Vol"/>
      <sheetName val="RCF"/>
      <sheetName val="坏帐准备"/>
      <sheetName val="银行存款"/>
      <sheetName val="Breadown-Nop"/>
      <sheetName val="内部销售"/>
      <sheetName val="200510内部往来"/>
      <sheetName val="Profile"/>
      <sheetName val="表头信息"/>
      <sheetName val="AFEMAI"/>
      <sheetName val="KEY"/>
      <sheetName val="附表6"/>
      <sheetName val="企业表一"/>
      <sheetName val="M-5C"/>
      <sheetName val="1108应付帐款明细表"/>
      <sheetName val="1102应付帐款明细表"/>
      <sheetName val="1101应付帐款明细表"/>
      <sheetName val="1107应付帐款明细表"/>
      <sheetName val="1106应付帐款明细表"/>
      <sheetName val="1103应付帐款明细表"/>
      <sheetName val="1105应付帐款明细表"/>
      <sheetName val="1110应付帐款明细表"/>
      <sheetName val="Finsum-NAS"/>
      <sheetName val="NAS-BS"/>
      <sheetName val="FSA"/>
      <sheetName val="dt"/>
      <sheetName val="M.P.S."/>
      <sheetName val="资产评估结果分类汇总表 (2)"/>
      <sheetName val="Lists"/>
      <sheetName val="U120"/>
      <sheetName val="FX_Assumptions"/>
      <sheetName val="건설가"/>
      <sheetName val="Machinery"/>
      <sheetName val="BookSchema"/>
      <sheetName val="其他业务利润"/>
      <sheetName val="其他材料收入重复"/>
      <sheetName val="其他材料收入账"/>
      <sheetName val="预收"/>
      <sheetName val="收入明细－按客户"/>
      <sheetName val="22861"/>
      <sheetName val="信息费用预算表(A4) "/>
      <sheetName val="研发费用预算明细表A3"/>
      <sheetName val="Semi-An CF"/>
      <sheetName val="WIP - Total"/>
      <sheetName val="Bus Areas"/>
      <sheetName val="City-County"/>
      <sheetName val="CoCode"/>
      <sheetName val="State"/>
      <sheetName val="Main Asset Class &amp; UL"/>
      <sheetName val="List Sheet"/>
      <sheetName val="2月"/>
      <sheetName val="2006年TB"/>
      <sheetName val="G201"/>
      <sheetName val="G301"/>
      <sheetName val="I101"/>
      <sheetName val="ARP-U101"/>
      <sheetName val="ARP-U301"/>
      <sheetName val="U401"/>
      <sheetName val="FY02"/>
      <sheetName val="P&amp;L PP"/>
      <sheetName val="Flash-pp"/>
      <sheetName val="PY-pp"/>
      <sheetName val="MYF-pp"/>
      <sheetName val="PRC-Adjusted"/>
      <sheetName val="E-Client Information"/>
      <sheetName val="PCMO"/>
      <sheetName val="Beta DATA SHEET"/>
      <sheetName val="Vol"/>
      <sheetName val="ACM0131(GT)"/>
      <sheetName val="AVP"/>
      <sheetName val="Output2"/>
      <sheetName val="Module6"/>
      <sheetName val="Output &amp; Financial Statements"/>
      <sheetName val="MainPrintCode"/>
      <sheetName val="FS Output 4"/>
      <sheetName val="FS Output 1"/>
      <sheetName val="FS Output 3"/>
      <sheetName val="FS Output2"/>
      <sheetName val="Deal Structure &amp; Control Page"/>
      <sheetName val="Historic Comps"/>
      <sheetName val="Synergies"/>
      <sheetName val="WEEKLYSTD"/>
      <sheetName val="Information"/>
      <sheetName val="Master_Table"/>
      <sheetName val="FRP"/>
      <sheetName val="AP"/>
      <sheetName val="TAX"/>
      <sheetName val="毛利率分析表"/>
      <sheetName val="02. Italy Rents 2009 - Feb09"/>
      <sheetName val="PRC GAAP"/>
      <sheetName val="McLean"/>
      <sheetName val="PLANBILANZ-BEWEGUNGSBILANZ"/>
      <sheetName val="Chart of acct "/>
      <sheetName val="单体ADJ"/>
      <sheetName val="合并ADJ"/>
      <sheetName val="会计分录序时簿"/>
      <sheetName val="Leadsheet Template"/>
      <sheetName val="Input Sheet"/>
      <sheetName val="Romford Market"/>
      <sheetName val="2007 04 KE5Z detail"/>
      <sheetName val="试算BS"/>
      <sheetName val="试算PL"/>
      <sheetName val="Apr07"/>
      <sheetName val="应收票据(关联方)"/>
      <sheetName val="Revaluation"/>
      <sheetName val="KSB1"/>
      <sheetName val="1-1"/>
      <sheetName val="Matrix"/>
      <sheetName val="Non-Statistical Sampling Master"/>
      <sheetName val="Two Step Revenue Testing Master"/>
      <sheetName val="F-Lead"/>
      <sheetName val="Base 基础"/>
      <sheetName val="历年减少"/>
      <sheetName val="各项收入"/>
      <sheetName val="Centralisatie"/>
      <sheetName val="Drop Down"/>
      <sheetName val="流动资金估算表"/>
      <sheetName val="Budget99"/>
      <sheetName val="Actuals98"/>
      <sheetName val="Actuals99"/>
      <sheetName val="MAH"/>
      <sheetName val="预付款项本年明细表"/>
      <sheetName val="CON MR2K AL ck"/>
      <sheetName val="1. Scoping"/>
      <sheetName val="2. Expectation"/>
      <sheetName val="3. Variance threshold"/>
      <sheetName val="DataLookups"/>
      <sheetName val="C-Summary"/>
      <sheetName val="I-Summary"/>
      <sheetName val="INPUT rates"/>
      <sheetName val="N719(NC)"/>
      <sheetName val="Finished Goods"/>
      <sheetName val="归类"/>
      <sheetName val="A08"/>
      <sheetName val="B20"/>
      <sheetName val="D02"/>
      <sheetName val="D7B"/>
      <sheetName val="报表科目明细"/>
      <sheetName val="Finance Cost Center"/>
      <sheetName val="Site"/>
      <sheetName val="Vendor"/>
      <sheetName val="1. Project Hypothesis"/>
      <sheetName val="5. Capacity and Investment"/>
      <sheetName val="finance inputs and calculations"/>
      <sheetName val="PDP (GP-IRR-Cash Flow)"/>
      <sheetName val="4. WORKPLAN"/>
      <sheetName val="12. BOM_Customer"/>
      <sheetName val="13. LTA Calculation (optional)"/>
      <sheetName val="10. Cover page"/>
      <sheetName val="Revision follow up"/>
      <sheetName val="2. Forecast"/>
      <sheetName val="6. Tooling_(for Customer)"/>
      <sheetName val="应收票据(关联方)(5)"/>
      <sheetName val="SNR"/>
      <sheetName val="______¡¤___¡À¨ª"/>
      <sheetName val="其他应付款"/>
      <sheetName val="Financ. Overview"/>
      <sheetName val="Toolbox"/>
      <sheetName val="Global Data"/>
      <sheetName val="Trial Bal."/>
      <sheetName val="DETAIL"/>
      <sheetName val="管理费用"/>
      <sheetName val="Global"/>
      <sheetName val="Occupancy 2004"/>
      <sheetName val="BKD-财务部"/>
      <sheetName val="公司"/>
      <sheetName val="Filtered_IML"/>
      <sheetName val="固定资产清单"/>
      <sheetName val="CPP1"/>
      <sheetName val="CPP10"/>
      <sheetName val="CPP19"/>
      <sheetName val="Group"/>
      <sheetName val="PLALL"/>
      <sheetName val="总体预算表"/>
      <sheetName val="환율"/>
      <sheetName val="内部关联清单"/>
      <sheetName val="03合并附注"/>
      <sheetName val="SALES95"/>
      <sheetName val="PM-TE_2011"/>
      <sheetName val="Introduction说明"/>
      <sheetName val="1 Lillysummary"/>
      <sheetName val="AU"/>
      <sheetName val="DK"/>
      <sheetName val="PA"/>
      <sheetName val="RU"/>
      <sheetName val="wtm"/>
      <sheetName val="model"/>
      <sheetName val="Hist Prices"/>
      <sheetName val="VSPA"/>
      <sheetName val="By Monthly APR &amp; SPENDING(KCNY)"/>
      <sheetName val="cmg 68TF exp"/>
      <sheetName val="link killer"/>
      <sheetName val="ce"/>
      <sheetName val="CECO"/>
      <sheetName val="Netearnanal"/>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sheetData sheetId="644"/>
      <sheetData sheetId="645"/>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se AP 2008"/>
      <sheetName val="Lease AP 2009"/>
      <sheetName val="Lease AP 2009 ITALY"/>
      <sheetName val="EDR Feb-09"/>
      <sheetName val="Entry 1412 - 2102"/>
      <sheetName val="PO upload sheet"/>
      <sheetName val="Italy Lease 2009"/>
      <sheetName val="2009"/>
      <sheetName val="REFERENCE FILE"/>
      <sheetName val="历次融资情况"/>
      <sheetName val="老股估值及退出价格测算"/>
      <sheetName val="AP Recap"/>
      <sheetName val="902"/>
      <sheetName val="上报资产负债表"/>
      <sheetName val="上报损益表"/>
      <sheetName val="补充表"/>
      <sheetName val="热力"/>
      <sheetName val="ProdCompar"/>
      <sheetName val="关联交易-存款"/>
      <sheetName val="Lease_AP_2008"/>
      <sheetName val="Lease_AP_2009"/>
      <sheetName val="Lease_AP_2009_ITALY"/>
      <sheetName val="EDR_Feb-09"/>
      <sheetName val="Entry_1412_-_2102"/>
      <sheetName val="PO_upload_sheet"/>
      <sheetName val="Italy_Lease_2009"/>
      <sheetName val="REFERENCE_FILE"/>
      <sheetName val="表三"/>
      <sheetName val="其他业务成本09"/>
      <sheetName val="其他业务收入2010"/>
      <sheetName val="其他业务收入09"/>
      <sheetName val="其他业务收入08"/>
      <sheetName val="INVDAYS"/>
      <sheetName val="其他业务收支 杨"/>
      <sheetName val="CIP&lt;1&gt; 杨"/>
      <sheetName val="2001预提费用"/>
      <sheetName val="报表格式"/>
      <sheetName val="Sheet1"/>
      <sheetName val="MAP"/>
      <sheetName val="FA Roll to GL (p.2)"/>
      <sheetName val="Lead (p.1)"/>
      <sheetName val="XREF"/>
      <sheetName val="kmb"/>
      <sheetName val="7 (2)"/>
      <sheetName val="NOTE 29"/>
      <sheetName val="Ã«ÀûÂÊ·ÖÎö±í"/>
      <sheetName val="1"/>
      <sheetName val="HB"/>
      <sheetName val="流资汇总"/>
      <sheetName val="通玻"/>
      <sheetName val="销售"/>
      <sheetName val="成品科"/>
      <sheetName val="U510-final"/>
      <sheetName val="Vendor Data"/>
      <sheetName val="0508"/>
      <sheetName val="0504"/>
      <sheetName val="0506"/>
      <sheetName val="07应付工资"/>
      <sheetName val="Lsit"/>
      <sheetName val="c"/>
      <sheetName val="No.4-3_現金同等物明細"/>
      <sheetName val="10色母料"/>
      <sheetName val="现金流量表（月报）"/>
      <sheetName val="B"/>
      <sheetName val="NBCF"/>
      <sheetName val="EURMKTG"/>
      <sheetName val="実績SK"/>
      <sheetName val="ZLR1"/>
      <sheetName val="Chart"/>
      <sheetName val="TrialBalance"/>
      <sheetName val="通常結晶"/>
      <sheetName val="70151"/>
      <sheetName val="#REF"/>
      <sheetName val="CA consolidated"/>
      <sheetName val="104"/>
      <sheetName val="Namen"/>
      <sheetName val="0630"/>
      <sheetName val="3"/>
      <sheetName val="4"/>
      <sheetName val="5"/>
      <sheetName val="6"/>
      <sheetName val="9"/>
      <sheetName val="2"/>
      <sheetName val="7"/>
      <sheetName val="8"/>
      <sheetName val="选择报表"/>
      <sheetName val="BALANCE SHEET"/>
      <sheetName val="披露表(国资)"/>
      <sheetName val="F1"/>
      <sheetName val="土建表三乙"/>
      <sheetName val="表三甲"/>
      <sheetName val="2002-H300"/>
      <sheetName val="2001-H300"/>
      <sheetName val="CCTL"/>
      <sheetName val="WIP"/>
      <sheetName val="Check"/>
      <sheetName val="Mov‘2008"/>
      <sheetName val="Mov‘2007"/>
      <sheetName val="Mov‘2005"/>
      <sheetName val="Mov‘2006"/>
      <sheetName val="Sheet2"/>
      <sheetName val="Summary"/>
      <sheetName val="D"/>
      <sheetName val="CBUGL"/>
      <sheetName val="IRR &amp; NPV"/>
      <sheetName val="US Bal_Sheet"/>
      <sheetName val="VCC 11110-461"/>
      <sheetName val="sch10-rm2"/>
      <sheetName val="sch6-rm"/>
      <sheetName val="目录"/>
      <sheetName val="Comp equip"/>
      <sheetName val="Lguide"/>
      <sheetName val="Dati"/>
      <sheetName val="1.1 Project Data"/>
      <sheetName val="SHELL"/>
      <sheetName val="PNL"/>
      <sheetName val="TB0804"/>
      <sheetName val="FX"/>
      <sheetName val="schdl"/>
      <sheetName val="U434_Sample pool2008"/>
      <sheetName val="1102 (2)"/>
      <sheetName val="Client Data"/>
      <sheetName val="FF-21(a)"/>
      <sheetName val="Chart of Account"/>
      <sheetName val="Cash Flow"/>
      <sheetName val="Control"/>
      <sheetName val="Projections"/>
      <sheetName val="Returns Analysis"/>
      <sheetName val="Parameter"/>
      <sheetName val="T  B"/>
      <sheetName val="struc_SBU"/>
      <sheetName val="BS10"/>
      <sheetName val="navigation"/>
      <sheetName val="struc_country"/>
      <sheetName val="SP10"/>
      <sheetName val="cover"/>
      <sheetName val="translate"/>
      <sheetName val="Seoul"/>
      <sheetName val="환산SHEET"/>
      <sheetName val="合同付款"/>
      <sheetName val="营销费用预算"/>
      <sheetName val="营销合约"/>
      <sheetName val="成本项目"/>
      <sheetName val="Net REVENUE"/>
      <sheetName val="VEHMAINT"/>
      <sheetName val="VEHDAMAG"/>
      <sheetName val="OTHERVEH"/>
      <sheetName val="GASOLINE"/>
      <sheetName val="PL&amp;PD"/>
      <sheetName val="DEPRECIA"/>
      <sheetName val="INTEREST"/>
      <sheetName val="VEHSALWH"/>
      <sheetName val="VEHSALRE"/>
      <sheetName val="MANUCRED"/>
      <sheetName val="TRAWAGES"/>
      <sheetName val="INCENTIV"/>
      <sheetName val="WAGES"/>
      <sheetName val="OVERWAGE"/>
      <sheetName val="BENEFITS"/>
      <sheetName val="CONCESS"/>
      <sheetName val="COMMISSI"/>
      <sheetName val="RESERVAT"/>
      <sheetName val="CUSTOMER"/>
      <sheetName val="FACILITY"/>
      <sheetName val="SERVIVEH"/>
      <sheetName val="COMPUTER"/>
      <sheetName val="ADVSYST"/>
      <sheetName val="COUADMIN"/>
      <sheetName val="ADMINFLD"/>
      <sheetName val="ADVCIT&amp;D"/>
      <sheetName val="EURSALES"/>
      <sheetName val="ADMINREB"/>
      <sheetName val="U102"/>
      <sheetName val="Consol"/>
      <sheetName val="Antivol D2"/>
      <sheetName val="_001年其他业务利润"/>
      <sheetName val="_002年其他业务利润"/>
      <sheetName val="_003年其他业务利润"/>
      <sheetName val="_2U03营业费用"/>
      <sheetName val="2001年营业费用"/>
      <sheetName val="银行信息"/>
      <sheetName val="List"/>
      <sheetName val="Source"/>
      <sheetName val="Sheet3"/>
      <sheetName val="A300"/>
      <sheetName val="DATA"/>
      <sheetName val="eqpmad2"/>
      <sheetName val="GL-R"/>
      <sheetName val="ADJ Sum(console)"/>
      <sheetName val="K100"/>
      <sheetName val="(i) Fixed assets-PBC"/>
      <sheetName val="NKCR_comm_scheme"/>
      <sheetName val="NKCR_appliedrates"/>
      <sheetName val="KCR_comm_scheme"/>
      <sheetName val="Settings"/>
      <sheetName val="master"/>
      <sheetName val="Steuerung"/>
      <sheetName val="C08"/>
      <sheetName val="Parameters"/>
      <sheetName val="Invoice detail"/>
      <sheetName val="员工工资"/>
      <sheetName val="HanCai cost DT"/>
      <sheetName val="HanE cost DT"/>
      <sheetName val="ASN cost DT"/>
      <sheetName val="ASN FV DT"/>
      <sheetName val="HanCai FV DT"/>
      <sheetName val="HanE FV DT"/>
      <sheetName val="Currency"/>
      <sheetName val="A500-Audit adjustment"/>
      <sheetName val="Config"/>
      <sheetName val="12月底个人往来余额表"/>
      <sheetName val="move"/>
      <sheetName val="10K4"/>
      <sheetName val="090831-往来"/>
      <sheetName val="DB"/>
      <sheetName val="披露表(标准)"/>
      <sheetName val="Collateral"/>
      <sheetName val="Disposition"/>
      <sheetName val="ARP-U501"/>
      <sheetName val="SAR"/>
      <sheetName val="A3-CLA"/>
      <sheetName val="Staff List"/>
      <sheetName val="P&amp;L"/>
      <sheetName val="P &amp; L Account"/>
      <sheetName val="ADJ"/>
      <sheetName val="应付明细"/>
      <sheetName val="会计科目"/>
      <sheetName val="Lead"/>
      <sheetName val="Detail Loan Move. &amp; Listing"/>
      <sheetName val="29-1 贴现融资-回购式"/>
      <sheetName val="总公司2002.12.31"/>
      <sheetName val="Final sample listing"/>
      <sheetName val="平衡测试"/>
      <sheetName val="Trans"/>
      <sheetName val="base"/>
      <sheetName val="HOU143A"/>
      <sheetName val="Sch11"/>
      <sheetName val="Input"/>
      <sheetName val="会计科目对照表"/>
      <sheetName val="Movement"/>
      <sheetName val="Translation"/>
      <sheetName val="P310"/>
      <sheetName val="G210"/>
      <sheetName val="車会集約"/>
      <sheetName val="Console"/>
      <sheetName val="营外收支"/>
      <sheetName val="管理"/>
      <sheetName val="托售"/>
      <sheetName val="C1"/>
      <sheetName val="敏感性"/>
      <sheetName val="COSTOMAT.XLS"/>
      <sheetName val="Detail - CSM CY04 monthly"/>
      <sheetName val="aged"/>
      <sheetName val="Sal &amp; Wage Info"/>
      <sheetName val="2007.12折旧差异"/>
      <sheetName val="Air Conditional"/>
      <sheetName val="Equipment"/>
      <sheetName val="Motor Vehicle"/>
      <sheetName val="Renovation"/>
      <sheetName val="O"/>
      <sheetName val="AP018"/>
      <sheetName val="AP019"/>
      <sheetName val="AP020"/>
      <sheetName val="AP021"/>
      <sheetName val="AP022"/>
      <sheetName val="AP023"/>
      <sheetName val="AP026"/>
      <sheetName val="AP001_JiFeng"/>
      <sheetName val="AP010_KeXunBaoZhuang"/>
      <sheetName val="AP011_YiLi"/>
      <sheetName val="AP012_"/>
      <sheetName val="AP013_HuaLian"/>
      <sheetName val="AP015_Jinchang"/>
      <sheetName val="AP016"/>
      <sheetName val="AP017"/>
      <sheetName val="AP002_SanJi"/>
      <sheetName val="AP027"/>
      <sheetName val="AP003_QiDianMo"/>
      <sheetName val="AP004_FengZheng"/>
      <sheetName val="AP005_HanBuo"/>
      <sheetName val="AP006_SiYin"/>
      <sheetName val="AP007_DeLiTai"/>
      <sheetName val="AP008_ZhongYa"/>
      <sheetName val="AP009_YiDa"/>
      <sheetName val="AP9990"/>
      <sheetName val="AP9999"/>
      <sheetName val="VENDORS"/>
      <sheetName val="GZ"/>
      <sheetName val="CAL-TB-MFG"/>
      <sheetName val="Mov from 2001 to 2003"/>
      <sheetName val="披露表(上市)"/>
      <sheetName val="U-500销售费用"/>
      <sheetName val="U-600管理费用"/>
      <sheetName val="U-700财务费用"/>
      <sheetName val="Validation"/>
      <sheetName val="W"/>
      <sheetName val="FAB별"/>
      <sheetName val="母公司应交税金明细表（含泵送）"/>
      <sheetName val="FS"/>
      <sheetName val="Breakdown"/>
      <sheetName val="original"/>
      <sheetName val="AGENT"/>
      <sheetName val="by category"/>
      <sheetName val="Currency Codes"/>
      <sheetName val="Scoping"/>
      <sheetName val="Expectation"/>
      <sheetName val="Variance threshold"/>
      <sheetName val="SignificantAcctsTemplate"/>
      <sheetName val="Configure"/>
      <sheetName val="H101(OK)"/>
      <sheetName val="E100"/>
      <sheetName val="N100"/>
      <sheetName val="analysis"/>
      <sheetName val="P412-2001"/>
      <sheetName val="P413-2002"/>
      <sheetName val="enums"/>
      <sheetName val="inventory2002"/>
      <sheetName val="PPV2002"/>
      <sheetName val="3A FA Record"/>
      <sheetName val="9B RUL Range"/>
      <sheetName val="C - Cash and Bank"/>
      <sheetName val="短期借款余额表"/>
      <sheetName val="#1 Basic"/>
      <sheetName val="00'미수"/>
      <sheetName val="INDEX"/>
      <sheetName val="1-11"/>
      <sheetName val="SFS(BUDGET)"/>
      <sheetName val="A"/>
      <sheetName val="ContractList"/>
      <sheetName val="Checking"/>
      <sheetName val="07-6068"/>
      <sheetName val="40-2701"/>
      <sheetName val="辅表-原始利润表"/>
      <sheetName val="辅表-原始资产负债表"/>
      <sheetName val="FC switches"/>
      <sheetName val="索引"/>
      <sheetName val="N63_在其他主体中的权益-子（孙）公司"/>
      <sheetName val="N67_重要联营企业的主要财务信息"/>
      <sheetName val="N72_关联方往来（应收）"/>
      <sheetName val="sumdepn01"/>
      <sheetName val="Comparative Balance Sheet"/>
      <sheetName val="6621"/>
      <sheetName val="GDH"/>
      <sheetName val="BQ"/>
      <sheetName val="CP"/>
      <sheetName val="以前年度损益调整"/>
      <sheetName val="不良排名"/>
      <sheetName val="101"/>
      <sheetName val="YTD122006"/>
      <sheetName val="Budget'07"/>
      <sheetName val="Lease_AP_20081"/>
      <sheetName val="Lease_AP_20091"/>
      <sheetName val="Lease_AP_2009_ITALY1"/>
      <sheetName val="EDR_Feb-091"/>
      <sheetName val="Entry_1412_-_21021"/>
      <sheetName val="PO_upload_sheet1"/>
      <sheetName val="Italy_Lease_20091"/>
      <sheetName val="REFERENCE_FILE1"/>
      <sheetName val="AP_Recap"/>
      <sheetName val="其他业务收支_杨"/>
      <sheetName val="CIP&lt;1&gt;_杨"/>
      <sheetName val="FA_Roll_to_GL_(p_2)"/>
      <sheetName val="Lead_(p_1)"/>
      <sheetName val="7_(2)"/>
      <sheetName val="NOTE_29"/>
      <sheetName val="Vendor_Data"/>
      <sheetName val="TB"/>
      <sheetName val="TB Link"/>
      <sheetName val="SCTB"/>
      <sheetName val="LinkData"/>
      <sheetName val="TOTALE"/>
      <sheetName val="AR2-F21"/>
      <sheetName val="AR1-F20"/>
      <sheetName val="source-1"/>
      <sheetName val="TDC COA Sumry"/>
      <sheetName val="TDC Item Dets"/>
      <sheetName val="TDC Item Sumry"/>
      <sheetName val="TDC Key Qty Sumry"/>
      <sheetName val="COA Sumry - Std Imp"/>
      <sheetName val="Contr TDC - Std Imp"/>
      <sheetName val="Item Sumry - Std Imp"/>
      <sheetName val="Unit Costs - Std Imp"/>
      <sheetName val="Unit MH - Std Imp"/>
      <sheetName val="Proj TIC - Std Imp"/>
      <sheetName val="A_T5"/>
      <sheetName val="资金状况表"/>
      <sheetName val="detailitems_15"/>
      <sheetName val="报告披露_A股已执行新金融工具准则但尚未执行新收入及新租赁准则"/>
      <sheetName val="报告披露_企业会计制度"/>
      <sheetName val="dm"/>
      <sheetName val="应收帐款"/>
      <sheetName val="QQ"/>
      <sheetName val="96BP"/>
      <sheetName val="15、采购订单"/>
      <sheetName val="No_4-3_現金同等物明細"/>
      <sheetName val="CA_consolidated"/>
      <sheetName val="Control Panel"/>
      <sheetName val="NOC"/>
      <sheetName val="E101"/>
      <sheetName val="ARP_U201"/>
      <sheetName val="g101"/>
      <sheetName val="ARP-U201"/>
      <sheetName val="시산표"/>
      <sheetName val="OLDMAP"/>
      <sheetName val="资金流向日报表"/>
      <sheetName val="_dropdownlistitems_"/>
      <sheetName val="Rate"/>
      <sheetName val="Consol worksheet-Final"/>
      <sheetName val="导引表"/>
      <sheetName val="_002。6新"/>
      <sheetName val="Update check"/>
      <sheetName val="TRANS_ASSM"/>
      <sheetName val="h1h2 model"/>
      <sheetName val="M Schedules"/>
      <sheetName val="TT template"/>
      <sheetName val="科目体系"/>
      <sheetName val="만기"/>
      <sheetName val="‘‡B"/>
      <sheetName val="C_110发函回函地址核查"/>
      <sheetName val="Mach &amp; equip"/>
      <sheetName val="A3_影视技术"/>
      <sheetName val="Sheet1 (11)"/>
      <sheetName val="G"/>
      <sheetName val="G3"/>
      <sheetName val="首页"/>
      <sheetName val="A3 &amp; U 09-01"/>
      <sheetName val="A3_conso"/>
      <sheetName val="To tied 2001 opening RE"/>
      <sheetName val="LBO"/>
      <sheetName val="Main"/>
      <sheetName val="M-14"/>
      <sheetName val="M-92"/>
      <sheetName val="M-19"/>
      <sheetName val="M-49"/>
      <sheetName val="M-12"/>
      <sheetName val="M-30"/>
      <sheetName val="调整分录"/>
      <sheetName val="Yr_1997"/>
      <sheetName val="総合B"/>
      <sheetName val="Gross Margin"/>
      <sheetName val="2002年预提费用"/>
      <sheetName val="TSA"/>
      <sheetName val="A401"/>
      <sheetName val="Sales Model Yr"/>
      <sheetName val="HL"/>
      <sheetName val="收入成本"/>
      <sheetName val="CA_new"/>
      <sheetName val="loan database"/>
      <sheetName val="3存放同业 (定期)"/>
      <sheetName val="4-1拆放同业"/>
      <sheetName val="4-2同业拆入"/>
      <sheetName val="6 买入返售票据（按协议）"/>
      <sheetName val="3存放同业 (活期)"/>
      <sheetName val="6 买入返售票据（按票）"/>
      <sheetName val="完"/>
      <sheetName val="Trading"/>
      <sheetName val="订单"/>
      <sheetName val="CRA"/>
      <sheetName val="资产负债表"/>
      <sheetName val="Beg- End balance"/>
      <sheetName val="Q4Purchases"/>
      <sheetName val="VARIABLES"/>
      <sheetName val="Info. Request"/>
      <sheetName val="C101"/>
      <sheetName val="RMB"/>
      <sheetName val="Base Info"/>
      <sheetName val="accode"/>
      <sheetName val="WTB"/>
      <sheetName val="K701"/>
      <sheetName val="Sintesi"/>
      <sheetName val="YS02-02"/>
      <sheetName val="101200"/>
      <sheetName val="400吨现存量"/>
      <sheetName val="_600吨现存量"/>
      <sheetName val="TOOLS"/>
      <sheetName val="Jan"/>
      <sheetName val="All Cash Dil"/>
      <sheetName val="Dimensions"/>
      <sheetName val="Veh Info"/>
      <sheetName val="PopCache_Sheet1"/>
      <sheetName val="医院进销存"/>
      <sheetName val="一周期10片价格"/>
      <sheetName val="一周期6片价格"/>
      <sheetName val="2003年代表医院指标-一周期"/>
      <sheetName val="一周期IND价格"/>
      <sheetName val="二厂一季度单位成本"/>
      <sheetName val="차입종구분"/>
      <sheetName val="Sum2000"/>
      <sheetName val="S"/>
      <sheetName val="338 Apparel"/>
      <sheetName val="Table"/>
      <sheetName val="U100-GP"/>
      <sheetName val="BS"/>
      <sheetName val="PL"/>
      <sheetName val="D-PL"/>
      <sheetName val="六纺"/>
      <sheetName val="Namelist"/>
      <sheetName val="XL4Poppy"/>
      <sheetName val="主料"/>
      <sheetName val="_4库产成品"/>
      <sheetName val="辅料"/>
      <sheetName val="工具"/>
      <sheetName val="内外包"/>
      <sheetName val="02"/>
      <sheetName val="其他应收款-合并值"/>
      <sheetName val="科目表"/>
      <sheetName val="Lease Data - LC"/>
      <sheetName val="未分配盈餘明細表-17頁"/>
      <sheetName val="Exchange Rates"/>
      <sheetName val="Chart of Acct"/>
      <sheetName val="G.1R-Shou COP Gf"/>
      <sheetName val="M_5A"/>
      <sheetName val="M_5C"/>
      <sheetName val="____"/>
      <sheetName val="工时统计"/>
      <sheetName val="租赁收入明细"/>
      <sheetName val="List - Components"/>
      <sheetName val="List - Equipment"/>
      <sheetName val="合并抵消分录"/>
      <sheetName val="汇总"/>
      <sheetName val="Account"/>
      <sheetName val="sz2"/>
      <sheetName val="销售费用科目余额表"/>
      <sheetName val="Checklist"/>
      <sheetName val="&amp;Portfolio Changes"/>
      <sheetName val="Cumulative Performance"/>
      <sheetName val="Recent Actions"/>
      <sheetName val="Investment Guidelines"/>
      <sheetName val="Performance Summary"/>
      <sheetName val="Investment Review"/>
      <sheetName val="Portfolio Performance"/>
      <sheetName val="&amp;Portfolio vs. Benchmark"/>
      <sheetName val="&amp;Portfolio Summary TE Long Int"/>
      <sheetName val="&amp;Portfolio Summary TE Short"/>
      <sheetName val="&amp;Portfolio Summary Tax Short"/>
      <sheetName val="Portfolio Comparison"/>
      <sheetName val="JE755-1"/>
      <sheetName val="Marshal"/>
      <sheetName val="Permanent info"/>
      <sheetName val="Income Statement"/>
      <sheetName val="Altman Z"/>
      <sheetName val="DCF_3资产负债分析调整表"/>
      <sheetName val="Holidays"/>
      <sheetName val="Swap Calculator"/>
      <sheetName val=" U140-SalesTOT"/>
      <sheetName val="Custom"/>
      <sheetName val="Premium Dec 03"/>
      <sheetName val="µ|²vªí"/>
      <sheetName val="Yield Curves"/>
      <sheetName val="Poland £"/>
      <sheetName val="Bielsko Biała"/>
      <sheetName val="Wałbrzych"/>
      <sheetName val="Detail_Loan_Move__&amp;_Listing"/>
      <sheetName val="29-1_贴现融资-回购式"/>
      <sheetName val="总公司2002_12_31"/>
      <sheetName val="Final_sample_listing"/>
      <sheetName val="Net_REVENUE"/>
      <sheetName val="(i)_Fixed_assets-PBC"/>
      <sheetName val="COSTOMAT_XLS"/>
      <sheetName val="Detail_-_CSM_CY04_monthly"/>
      <sheetName val="Sal_&amp;_Wage_Info"/>
      <sheetName val="2007_12折旧差异"/>
      <sheetName val="Air_Conditional"/>
      <sheetName val="Motor_Vehicle"/>
      <sheetName val="Client_Data"/>
      <sheetName val="T__B"/>
      <sheetName val="IRR_&amp;_NPV"/>
      <sheetName val="US_Bal_Sheet"/>
      <sheetName val="Mov_from_2001_to_2003"/>
      <sheetName val="Consol_worksheet-Final"/>
      <sheetName val="AR"/>
      <sheetName val="BR"/>
      <sheetName val="CA"/>
      <sheetName val="CO"/>
      <sheetName val="EIU"/>
      <sheetName val="Euro"/>
      <sheetName val="FI"/>
      <sheetName val="LEB"/>
      <sheetName val="MEX"/>
      <sheetName val="S&amp;P"/>
      <sheetName val="UK"/>
      <sheetName val="封面"/>
      <sheetName val="Input-Act"/>
      <sheetName val="Input-Act-Adj"/>
      <sheetName val="Input-Bud"/>
      <sheetName val="Input-PY"/>
      <sheetName val="P&amp;L(S1)"/>
      <sheetName val="Threshold Table"/>
      <sheetName val="SA Procedures (Depreciation)"/>
      <sheetName val="Cashbook"/>
      <sheetName val="DJ"/>
      <sheetName val="A430"/>
      <sheetName val="Reconciliation"/>
      <sheetName val="Trading Statement"/>
      <sheetName val="Setup"/>
      <sheetName val="AmeSum"/>
      <sheetName val="EMEASum"/>
      <sheetName val="HPCoSum"/>
      <sheetName val="OGSum"/>
      <sheetName val="APJSum"/>
      <sheetName val="Hidden Lists"/>
      <sheetName val="9100-PO"/>
      <sheetName val="JE"/>
      <sheetName val="DEFLEET APR-05"/>
      <sheetName val="Sheet4"/>
      <sheetName val="DEC Bank"/>
      <sheetName val="DEC GL"/>
      <sheetName val="Review pts"/>
      <sheetName val="OCT BANK"/>
      <sheetName val="Lockbox"/>
      <sheetName val="Tables"/>
      <sheetName val="BALANCE_SHEET"/>
      <sheetName val="TPQ INDEX"/>
      <sheetName val="2171_BK"/>
      <sheetName val="Overview"/>
      <sheetName val="F301存货各明细"/>
      <sheetName val="note(1)"/>
      <sheetName val="STATPARA"/>
      <sheetName val="Menu"/>
      <sheetName val="conCF"/>
      <sheetName val="conWP"/>
      <sheetName val="BOX SUM"/>
      <sheetName val="FIN GOOD"/>
      <sheetName val="ADJ Summary"/>
      <sheetName val="ROCHE"/>
      <sheetName val="Valuation"/>
      <sheetName val="资本公积取数"/>
      <sheetName val="A810-ASM"/>
      <sheetName val="_018"/>
      <sheetName val="分录取数说明"/>
      <sheetName val="YTD Summary"/>
      <sheetName val="华域本部"/>
      <sheetName val="本部-年初"/>
      <sheetName val="Raw materials"/>
      <sheetName val="97BGT6"/>
      <sheetName val="收入"/>
      <sheetName val="_0101主料"/>
      <sheetName val="_0102中草药"/>
      <sheetName val="_0104燃料"/>
      <sheetName val="_0106备品备件"/>
      <sheetName val="_0109辅料"/>
      <sheetName val="_0110化剂"/>
      <sheetName val="_0206标签"/>
      <sheetName val="_0207纸箱纸盒"/>
      <sheetName val="_0208瓶类"/>
      <sheetName val="_0302办公用品"/>
      <sheetName val="_0303工具"/>
      <sheetName val="_0304玻璃仪器"/>
      <sheetName val="_0399其他"/>
      <sheetName val="_04产成品"/>
      <sheetName val="_05自制半成品"/>
      <sheetName val="_0108劳保"/>
      <sheetName val="_0112气体"/>
      <sheetName val="A3"/>
      <sheetName val="R-1"/>
      <sheetName val="DLDB10"/>
      <sheetName val="9-销售"/>
      <sheetName val="Accrual"/>
      <sheetName val="act_96"/>
      <sheetName val="附表3"/>
      <sheetName val="Target"/>
      <sheetName val="WACC"/>
      <sheetName val="DCF"/>
      <sheetName val="Combined"/>
      <sheetName val="PFOut2"/>
      <sheetName val="Prices"/>
      <sheetName val="Var"/>
      <sheetName val="U1120"/>
      <sheetName val="Part_Datum"/>
      <sheetName val="Graph 1"/>
      <sheetName val="IS Summary-96"/>
      <sheetName val="Heads"/>
      <sheetName val="VCC_11110-461"/>
      <sheetName val="Comp_equip"/>
      <sheetName val="1_1_Project_Data"/>
      <sheetName val="U434_Sample_pool2008"/>
      <sheetName val="1102_(2)"/>
      <sheetName val="Chart_of_Account"/>
      <sheetName val="Cash_Flow"/>
      <sheetName val="Returns_Analysis"/>
      <sheetName val="Antivol_D2"/>
      <sheetName val="ADJ_Sum(console)"/>
      <sheetName val="Invoice_detail"/>
      <sheetName val="HanCai_cost_DT"/>
      <sheetName val="HanE_cost_DT"/>
      <sheetName val="ASN_cost_DT"/>
      <sheetName val="ASN_FV_DT"/>
      <sheetName val="HanCai_FV_DT"/>
      <sheetName val="HanE_FV_DT"/>
      <sheetName val="A500-Audit_adjustment"/>
      <sheetName val="Staff_List"/>
      <sheetName val="P_&amp;_L_Account"/>
      <sheetName val="by_category"/>
      <sheetName val="Currency_Codes"/>
      <sheetName val="Variance_threshold"/>
      <sheetName val="3A_FA_Record"/>
      <sheetName val="9B_RUL_Range"/>
      <sheetName val="C_-_Cash_and_Bank"/>
      <sheetName val="#1_Basic"/>
      <sheetName val="FC_switches"/>
      <sheetName val="Comparative_Balance_Sheet"/>
      <sheetName val="Canal_IS"/>
      <sheetName val="CTRL"/>
      <sheetName val="Alloc"/>
      <sheetName val="现 金 流 量 表"/>
      <sheetName val="枚举字典"/>
      <sheetName val="FZ-1（合并）"/>
      <sheetName val="FZ-3往来"/>
      <sheetName val="#REF!"/>
      <sheetName val="08.8"/>
      <sheetName val="Comps"/>
      <sheetName val="Admin"/>
      <sheetName val="邻酮定乙酚发出测试"/>
      <sheetName val="表2&lt;销售出库单&gt;"/>
      <sheetName val="BSCF"/>
      <sheetName val="Credit Check"/>
      <sheetName val="Inputs"/>
      <sheetName val="AFA"/>
      <sheetName val="TB-Total"/>
      <sheetName val="P&amp;L (AR version)"/>
      <sheetName val="6a bank loan &amp; bond analysis"/>
      <sheetName val="Summary of Bank loan and bond"/>
      <sheetName val="BPC input"/>
      <sheetName val="capital structures"/>
      <sheetName val="cashflow statement"/>
      <sheetName val="cashflow statement spreadsheet"/>
      <sheetName val="checking Dep DT"/>
      <sheetName val="P&amp;L for company (AR version)"/>
      <sheetName val="2021 interim"/>
      <sheetName val="COS breakdown working"/>
      <sheetName val="Deferred tax"/>
      <sheetName val="1 highlights and ratio"/>
      <sheetName val="inter CA input"/>
      <sheetName val="Intercom int"/>
      <sheetName val="SUMMARY RMB"/>
      <sheetName val="2 PL shortform"/>
      <sheetName val="rmb fa wrkng"/>
      <sheetName val="statutory reserves"/>
      <sheetName val="SUMMARY before elim"/>
      <sheetName val="SUMMARY MoM"/>
      <sheetName val="L310-Adjustment for R&amp;D cost"/>
      <sheetName val="3. Other gains"/>
      <sheetName val="附表5-2"/>
      <sheetName val="MASTER_主数据"/>
      <sheetName val="COVER_报表封面"/>
      <sheetName val="MASTER_主数据_补"/>
      <sheetName val="PH Car"/>
      <sheetName val="科目余额表"/>
      <sheetName val="PBC - PHS"/>
      <sheetName val="Summary_"/>
      <sheetName val="adj10#-b"/>
      <sheetName val="科目余额表(原稿)"/>
      <sheetName val="Adjustment summary"/>
      <sheetName val="2004"/>
      <sheetName val="成本还原汇总表"/>
      <sheetName val="关联方"/>
      <sheetName val="G140"/>
      <sheetName val="基础信息"/>
      <sheetName val="剥离前"/>
      <sheetName val="公司清单"/>
      <sheetName val="Lease_AP_20082"/>
      <sheetName val="Lease_AP_20092"/>
      <sheetName val="Lease_AP_2009_ITALY2"/>
      <sheetName val="EDR_Feb-092"/>
      <sheetName val="Entry_1412_-_21022"/>
      <sheetName val="PO_upload_sheet2"/>
      <sheetName val="Italy_Lease_20092"/>
      <sheetName val="REFERENCE_FILE2"/>
      <sheetName val="AP_Recap1"/>
      <sheetName val="其他业务收支_杨1"/>
      <sheetName val="CIP&lt;1&gt;_杨1"/>
      <sheetName val="FA_Roll_to_GL_(p_2)1"/>
      <sheetName val="Lead_(p_1)1"/>
      <sheetName val="7_(2)1"/>
      <sheetName val="NOTE_291"/>
      <sheetName val="Vendor_Data1"/>
      <sheetName val="No_4-3_現金同等物明細1"/>
      <sheetName val="CA_consolidated1"/>
      <sheetName val="TB_Link"/>
      <sheetName val="TDC_COA_Sumry"/>
      <sheetName val="TDC_Item_Dets"/>
      <sheetName val="TDC_Item_Sumry"/>
      <sheetName val="TDC_Key_Qty_Sumry"/>
      <sheetName val="COA_Sumry_-_Std_Imp"/>
      <sheetName val="Contr_TDC_-_Std_Imp"/>
      <sheetName val="Item_Sumry_-_Std_Imp"/>
      <sheetName val="Unit_Costs_-_Std_Imp"/>
      <sheetName val="Unit_MH_-_Std_Imp"/>
      <sheetName val="Proj_TIC_-_Std_Imp"/>
      <sheetName val="Control_Panel"/>
      <sheetName val=" "/>
      <sheetName val="SA02-03"/>
      <sheetName val="V_Lead "/>
      <sheetName val="VA_Lead"/>
      <sheetName val="Office Improve"/>
      <sheetName val="审计程序 (2)"/>
      <sheetName val="审定表"/>
      <sheetName val="采购订单"/>
      <sheetName val="O200_递延所得税资产或负债"/>
      <sheetName val="O_210DTA可收回性"/>
      <sheetName val="O_300VAT"/>
      <sheetName val="O_400其他税种"/>
      <sheetName val="O_500 IIT"/>
      <sheetName val="O_Lead"/>
      <sheetName val="O_100CIT Reco"/>
      <sheetName val="O_120上年所得税汇算清缴"/>
      <sheetName val="Month 8"/>
      <sheetName val="F101"/>
      <sheetName val="Tickmarks"/>
      <sheetName val="管理费用 "/>
      <sheetName val="JAN405"/>
      <sheetName val="For report WL"/>
      <sheetName val="Wh &amp; Office Exp"/>
      <sheetName val="基础数据"/>
      <sheetName val="调16"/>
      <sheetName val="Total Financials"/>
      <sheetName val="Payments"/>
      <sheetName val="K(GDH)"/>
      <sheetName val="15"/>
      <sheetName val="2100"/>
      <sheetName val="BBW"/>
      <sheetName val="Confirmation"/>
      <sheetName val="Cashflow"/>
      <sheetName val="Sensitivity"/>
      <sheetName val="03ht"/>
      <sheetName val="核銷表"/>
      <sheetName val="Benefit Tracking"/>
      <sheetName val="Benefit Form"/>
      <sheetName val="Lessee Import new lease"/>
      <sheetName val="WACC Inputs"/>
      <sheetName val="设备部房屋"/>
      <sheetName val="DFA"/>
      <sheetName val="1999 BUDGET"/>
      <sheetName val="泳场明细"/>
      <sheetName val="payroll "/>
      <sheetName val="3.2"/>
      <sheetName val="ALL"/>
      <sheetName val="ARP"/>
      <sheetName val="二厂单位成本结构图"/>
      <sheetName val="Pcos"/>
      <sheetName val="Sales"/>
      <sheetName val="PAX &amp; SEATS %"/>
      <sheetName val="PLANBILANZ-BEWEGUNGSBILANZ"/>
      <sheetName val="A6620 Detail"/>
      <sheetName val="&lt;FF&gt; Tax Payable"/>
      <sheetName val="14"/>
      <sheetName val="FX_Assumptions"/>
      <sheetName val="分离后总调室"/>
      <sheetName val="气保"/>
      <sheetName val="IFRS#7-1 stock provision"/>
      <sheetName val="Apr07"/>
      <sheetName val="Machinery"/>
      <sheetName val="BookSchema"/>
      <sheetName val="2007 04 KE5Z detail"/>
      <sheetName val="건설가"/>
      <sheetName val="销售收入A4"/>
      <sheetName val="产量预算表Ａ4"/>
      <sheetName val="制造成本预算表A3"/>
      <sheetName val="物流费用预算表(A4)"/>
      <sheetName val="销售费用预算表(A4)"/>
      <sheetName val="管理费用预算表(A4)"/>
      <sheetName val="其它销售成本 A4"/>
      <sheetName val="销售成本A4"/>
      <sheetName val="销售量A4"/>
      <sheetName val="收入明细－按客户"/>
      <sheetName val="历年减少"/>
      <sheetName val="Understand the client"/>
      <sheetName val="Bokslutsprocessen"/>
      <sheetName val="Indata"/>
      <sheetName val="N200"/>
      <sheetName val="FY03"/>
      <sheetName val="22861"/>
      <sheetName val="PRC GAAP"/>
      <sheetName val="last op "/>
      <sheetName val="support"/>
      <sheetName val="McLean"/>
      <sheetName val="资产评估结果分类汇总表 (2)"/>
      <sheetName val="原报调整分录"/>
      <sheetName val="审计调整分录"/>
      <sheetName val="利润分析"/>
      <sheetName val="资产负债分析"/>
      <sheetName val="Lists"/>
      <sheetName val="U120"/>
      <sheetName val="其他业务利润"/>
      <sheetName val="其他材料收入重复"/>
      <sheetName val="其他材料收入账"/>
      <sheetName val="预收"/>
      <sheetName val="Profile"/>
      <sheetName val="表头信息"/>
      <sheetName val="PROD_CUST"/>
      <sheetName val="FSA"/>
      <sheetName val="C_100Breakdown"/>
      <sheetName val="C_110函证控制表"/>
      <sheetName val="dt"/>
      <sheetName val="M.P.S."/>
      <sheetName val="Breakdown 9.30"/>
      <sheetName val="95059D"/>
      <sheetName val="Chart of acct "/>
      <sheetName val="坏帐准备"/>
      <sheetName val="银行存款"/>
      <sheetName val="单体ADJ"/>
      <sheetName val="合并ADJ"/>
      <sheetName val="会计分录序时簿"/>
      <sheetName val="Leadsheet Template"/>
      <sheetName val="Input Sheet"/>
      <sheetName val="ADJ-单体汇总"/>
      <sheetName val="ADJ-合并汇总"/>
      <sheetName val="科目清单"/>
      <sheetName val="Romford Market"/>
      <sheetName val="Breadown-Nop"/>
      <sheetName val="chitimc"/>
      <sheetName val="试算BS"/>
      <sheetName val="试算PL"/>
      <sheetName val="AFEMAI"/>
      <sheetName val="KEY"/>
      <sheetName val="附表6"/>
      <sheetName val="企业表一"/>
      <sheetName val="M-5C"/>
      <sheetName val="M-5A"/>
      <sheetName val="BS_ReportingDate"/>
      <sheetName val="conBS"/>
      <sheetName val="conCE"/>
      <sheetName val="conIS"/>
      <sheetName val="母公司TB"/>
      <sheetName val="应收票据(关联方)"/>
      <sheetName val="Revaluation"/>
      <sheetName val="KSB1"/>
      <sheetName val="1-1"/>
      <sheetName val="Matrix"/>
      <sheetName val="Non-Statistical Sampling Master"/>
      <sheetName val="Two Step Revenue Testing Master"/>
      <sheetName val="PL底稿"/>
      <sheetName val="A500_adjustment"/>
      <sheetName val="F-Lead"/>
      <sheetName val="Base 基础"/>
      <sheetName val="各项收入"/>
      <sheetName val="Budget"/>
      <sheetName val="TAXSP07&amp;TAXSPXX-DTA计算"/>
      <sheetName val="首层砖墙"/>
      <sheetName val="sheet6"/>
      <sheetName val="Full Reconciliation 4011000"/>
      <sheetName val="U102-U104 Detail"/>
      <sheetName val="Raw Mtl Prep"/>
      <sheetName val="威娜"/>
      <sheetName val="DATA-P&amp;L98"/>
      <sheetName val="Erläuterungen"/>
      <sheetName val="Allgemein"/>
      <sheetName val="Ford_Verb"/>
      <sheetName val="SUIVI EFFECTIFS"/>
      <sheetName val="#¡REF"/>
      <sheetName val="EFFECT."/>
      <sheetName val="Tons"/>
      <sheetName val="tit"/>
      <sheetName val="数据"/>
      <sheetName val="动态图2"/>
      <sheetName val="GA expenses - HRML"/>
      <sheetName val="Deferred Dev Cost"/>
      <sheetName val="9月收入"/>
      <sheetName val="0406_Grade_data"/>
      <sheetName val="0412_Grade_data"/>
      <sheetName val="Sheet1 (2)"/>
      <sheetName val="综合"/>
      <sheetName val="Tableau d'adossement"/>
      <sheetName val="财务成本"/>
      <sheetName val="（27）实收资本"/>
      <sheetName val="arDB"/>
      <sheetName val="新准则TB"/>
      <sheetName val="试算平衡表"/>
      <sheetName val="XBase"/>
      <sheetName val="synthgraph DCF"/>
      <sheetName val="Register"/>
      <sheetName val="Ex Diff"/>
      <sheetName val="#511BkRec"/>
      <sheetName val="#511-SEPT97"/>
      <sheetName val="#511-OCT97"/>
      <sheetName val="#511-NOV97"/>
      <sheetName val="P1"/>
      <sheetName val="RB"/>
      <sheetName val="科目名称"/>
      <sheetName val="6641"/>
      <sheetName val="CRA-Detail"/>
      <sheetName val="盈余公积"/>
      <sheetName val="利润及利润分配试算平衡表"/>
      <sheetName val="资产负债试算平衡表"/>
      <sheetName val="Costs成本"/>
      <sheetName val="GLFY"/>
      <sheetName val="年初追溯"/>
      <sheetName val="2020.12.31"/>
      <sheetName val="科目名称库"/>
      <sheetName val="16、半成品明细"/>
      <sheetName val="Financial statement"/>
      <sheetName val="A5_灿星"/>
      <sheetName val="Detail_Loan_Move__&amp;_Listing1"/>
      <sheetName val="29-1_贴现融资-回购式1"/>
      <sheetName val="总公司2002_12_311"/>
      <sheetName val="Final_sample_listing1"/>
      <sheetName val="Net_REVENUE1"/>
      <sheetName val="(i)_Fixed_assets-PBC1"/>
      <sheetName val="COSTOMAT_XLS1"/>
      <sheetName val="Detail_-_CSM_CY04_monthly1"/>
      <sheetName val="Sal_&amp;_Wage_Info1"/>
      <sheetName val="2007_12折旧差异1"/>
      <sheetName val="Client_Data1"/>
      <sheetName val="Air_Conditional1"/>
      <sheetName val="Motor_Vehicle1"/>
      <sheetName val="T__B1"/>
      <sheetName val="IRR_&amp;_NPV1"/>
      <sheetName val="US_Bal_Sheet1"/>
      <sheetName val="Consol_worksheet-Final1"/>
      <sheetName val="Mov_from_2001_to_20031"/>
      <sheetName val="Sales_Model_Yr"/>
      <sheetName val="TT_template"/>
      <sheetName val="loan_database"/>
      <sheetName val="3存放同业_(定期)"/>
      <sheetName val="6_买入返售票据（按协议）"/>
      <sheetName val="3存放同业_(活期)"/>
      <sheetName val="6_买入返售票据（按票）"/>
      <sheetName val="Beg-_End_balance"/>
      <sheetName val="Info__Request"/>
      <sheetName val="Base_Info"/>
      <sheetName val="All_Cash_Dil"/>
      <sheetName val="Veh_Info"/>
      <sheetName val="338_Apparel"/>
      <sheetName val="Lease_Data_-_LC"/>
      <sheetName val="Exchange_Rates"/>
      <sheetName val="Chart_of_Acct"/>
      <sheetName val="G_1R-Shou_COP_Gf"/>
      <sheetName val="List_-_Components"/>
      <sheetName val="List_-_Equipment"/>
      <sheetName val="&amp;Portfolio_Changes"/>
      <sheetName val="Cumulative_Performance"/>
      <sheetName val="Recent_Actions"/>
      <sheetName val="Investment_Guidelines"/>
      <sheetName val="Performance_Summary"/>
      <sheetName val="Investment_Review"/>
      <sheetName val="Portfolio_Performance"/>
      <sheetName val="&amp;Portfolio_vs__Benchmark"/>
      <sheetName val="&amp;Portfolio_Summary_TE_Long_Int"/>
      <sheetName val="&amp;Portfolio_Summary_TE_Short"/>
      <sheetName val="&amp;Portfolio_Summary_Tax_Short"/>
      <sheetName val="Portfolio_Comparison"/>
      <sheetName val="Permanent_info"/>
      <sheetName val="Income_Statement"/>
      <sheetName val="Altman_Z"/>
      <sheetName val="M_Schedules"/>
      <sheetName val="Swap_Calculator"/>
      <sheetName val="_U140-SalesTOT"/>
      <sheetName val="Premium_Dec_03"/>
      <sheetName val="Yield_Curves"/>
      <sheetName val="Poland_£"/>
      <sheetName val="Bielsko_Biała"/>
      <sheetName val="Threshold_Table"/>
      <sheetName val="SA_Procedures_(Depreciation)"/>
      <sheetName val="Trading_Statement"/>
      <sheetName val="Hidden_Lists"/>
      <sheetName val="DEFLEET_APR-05"/>
      <sheetName val="DEC_Bank"/>
      <sheetName val="DEC_GL"/>
      <sheetName val="Review_pts"/>
      <sheetName val="OCT_BANK"/>
      <sheetName val="11-1"/>
      <sheetName val="培训中心"/>
      <sheetName val="Cost structure Alcatel"/>
      <sheetName val="Month"/>
      <sheetName val="事業計画"/>
      <sheetName val="Share"/>
      <sheetName val="综合概算"/>
      <sheetName val="Sweco DCP"/>
      <sheetName val="Ricardo Football Field"/>
      <sheetName val="Sweco AVP"/>
      <sheetName val="Sweco Business Plan"/>
      <sheetName val="Ricardo Business Plan"/>
      <sheetName val="Sweco Football Field"/>
      <sheetName val="Ricardo DCP"/>
      <sheetName val="Ricardo AVP"/>
      <sheetName val="code"/>
      <sheetName val="填表说明"/>
      <sheetName val="Sundries creditors"/>
      <sheetName val="Advance to staff"/>
      <sheetName val="TGS-TP"/>
      <sheetName val="humen DT"/>
      <sheetName val="Northring DT"/>
      <sheetName val="GWSR Cost DT"/>
      <sheetName val="shantou DT"/>
      <sheetName val="Qinglian Ex only DT"/>
      <sheetName val="Tianjin cost DT"/>
      <sheetName val="GNSR FV DT"/>
      <sheetName val="cangyu fv DT"/>
      <sheetName val="Tianjin - fv DT"/>
      <sheetName val="hanxiao FV"/>
      <sheetName val="changzhu FV DT"/>
      <sheetName val="GNSR cost DT"/>
      <sheetName val="WeiXu FV DT"/>
      <sheetName val="changzhu cost DT"/>
      <sheetName val="cangyu cost DT"/>
      <sheetName val="hanxiao cost DT"/>
      <sheetName val="weixu cost DT"/>
      <sheetName val="SYN cost DT"/>
      <sheetName val="SYN FV DT"/>
      <sheetName val="分产品销售收入、成本分析表"/>
      <sheetName val="P&amp;L Report-S"/>
      <sheetName val="P&amp;L Report-M"/>
      <sheetName val="12.APaging附表"/>
      <sheetName val="Cust List"/>
      <sheetName val="内部销售"/>
      <sheetName val="200510内部往来"/>
      <sheetName val="Finsum-NAS"/>
      <sheetName val="NAS-BS"/>
      <sheetName val="Finance Cost Center"/>
      <sheetName val="Site"/>
      <sheetName val="Vendor"/>
      <sheetName val="未开票-索引"/>
      <sheetName val="Phase2movementDEC"/>
      <sheetName val="Phase1f_a_DEC"/>
      <sheetName val="Phase2f_a_DEC_2_"/>
      <sheetName val="Group1"/>
      <sheetName val="电子库龄"/>
      <sheetName val="OI-Fcst"/>
      <sheetName val="bank"/>
      <sheetName val="Production"/>
      <sheetName val="Daily net avail"/>
      <sheetName val="5折旧预测ok"/>
      <sheetName val="Capital leases"/>
      <sheetName val="各门店2016年1-12月费用"/>
      <sheetName val="各门店17.5费用明细"/>
      <sheetName val="各门店16年收入利润"/>
      <sheetName val="各门店17.5收入利润"/>
      <sheetName val="2017.6门店费用"/>
      <sheetName val="16年客流会员"/>
      <sheetName val="店名索引&gt;&gt;&gt;&gt;"/>
      <sheetName val="2017.6门店开业时间汇总"/>
      <sheetName val="4.门店信息汇总Output(运营版本）"/>
      <sheetName val="2017.6门店收入利润"/>
      <sheetName val="本期报表"/>
      <sheetName val="选择键"/>
      <sheetName val="Financ. Overview"/>
      <sheetName val="Toolbox"/>
      <sheetName val="P11"/>
      <sheetName val="Trial Bal."/>
      <sheetName val="Q.CF-E01"/>
      <sheetName val="Sch.9"/>
      <sheetName val="DETAIL"/>
      <sheetName val="重置价计算表"/>
      <sheetName val="公司名稱"/>
      <sheetName val="物件明細表"/>
      <sheetName val="底稿0000"/>
      <sheetName val="Vis Exp"/>
      <sheetName val="chart_acc"/>
      <sheetName val="综合成本分析01.01-0205"/>
      <sheetName val="Sum"/>
      <sheetName val="科目余额"/>
      <sheetName val="FY01 Actuals"/>
      <sheetName val="PRC 15"/>
      <sheetName val="BYco_2k"/>
      <sheetName val="UFPrn20220118134524"/>
      <sheetName val="Gross_Margin"/>
      <sheetName val="ITEM"/>
      <sheetName val="Sch PR-2"/>
      <sheetName val="Sch PR-3"/>
      <sheetName val="底稿2001年"/>
      <sheetName val="Revenue"/>
      <sheetName val="Sheet16"/>
      <sheetName val="Incometl"/>
      <sheetName val="Nvar"/>
      <sheetName val="IS-客户直接转换"/>
      <sheetName val="3rd Qtr"/>
      <sheetName val="5th Qtr"/>
      <sheetName val="6th Qtr"/>
      <sheetName val="7th Qtr"/>
      <sheetName val="Exit Forecast"/>
      <sheetName val="2nd Qtr"/>
      <sheetName val="Rounded Input"/>
      <sheetName val="Lookups"/>
      <sheetName val="short term loan"/>
      <sheetName val="N__其他应收款"/>
      <sheetName val="N__应收账款"/>
      <sheetName val="N__营业收入及营业成本"/>
      <sheetName val="AJEs"/>
      <sheetName val="F_OH"/>
      <sheetName val="J&amp;Q"/>
      <sheetName val="10160"/>
      <sheetName val="CILO"/>
      <sheetName val="调整说明"/>
      <sheetName val="ocean voyage"/>
      <sheetName val="NS02"/>
      <sheetName val="CONC_FEES02"/>
      <sheetName val="DEPREC_02"/>
      <sheetName val="LPD02"/>
      <sheetName val="sapactivexlhiddensheet"/>
      <sheetName val="VM02"/>
      <sheetName val="06.11.24SAP"/>
      <sheetName val="待摊费用明细表"/>
      <sheetName val="6月"/>
      <sheetName val="PROCESS"/>
      <sheetName val="综合概算书2"/>
      <sheetName val="合同科目引用表"/>
      <sheetName val="dropdownList6"/>
      <sheetName val="POV"/>
      <sheetName val="02. Italy Rents 2009 - Feb09"/>
      <sheetName val="SalesMYP"/>
      <sheetName val="Centralisatie"/>
      <sheetName val="Drop Down"/>
      <sheetName val="UFPrn20021113090847"/>
      <sheetName val="Assumptions"/>
      <sheetName val="T2S8M"/>
      <sheetName val="EHQ"/>
      <sheetName val="流动资金估算表"/>
      <sheetName val="Budget99"/>
      <sheetName val="Actuals98"/>
      <sheetName val="Actuals99"/>
      <sheetName val="MAH"/>
      <sheetName val="E-Client Information"/>
      <sheetName val="预付款项本年明细表"/>
      <sheetName val="CON MR2K AL ck"/>
      <sheetName val="1. Scoping"/>
      <sheetName val="2. Expectation"/>
      <sheetName val="3. Variance threshold"/>
      <sheetName val="DataLookups"/>
      <sheetName val="C-Summary"/>
      <sheetName val="I-Summary"/>
      <sheetName val="INPUT rates"/>
      <sheetName val="COMPANY"/>
      <sheetName val="N719(NC)"/>
      <sheetName val="ADRESSES"/>
      <sheetName val="Finished Goods"/>
      <sheetName val="归类"/>
      <sheetName val="A08"/>
      <sheetName val="B20"/>
      <sheetName val="D02"/>
      <sheetName val="D7B"/>
      <sheetName val="M29"/>
      <sheetName val="报表科目明细"/>
      <sheetName val="I101"/>
      <sheetName val="1. Project Hypothesis"/>
      <sheetName val="5. Capacity and Investment"/>
      <sheetName val="finance inputs and calculations"/>
      <sheetName val="PDP (GP-IRR-Cash Flow)"/>
      <sheetName val="4. WORKPLAN"/>
      <sheetName val="12. BOM_Customer"/>
      <sheetName val="13. LTA Calculation (optional)"/>
      <sheetName val="10. Cover page"/>
      <sheetName val="Revision follow up"/>
      <sheetName val="2. Forecast"/>
      <sheetName val="6. Tooling_(for Customer)"/>
      <sheetName val="应收票据(关联方)(5)"/>
      <sheetName val="SNR"/>
      <sheetName val="______¡¤___¡À¨ª"/>
      <sheetName val="其他应付款"/>
      <sheetName val="Global Data"/>
      <sheetName val="6.比較資產負債表"/>
      <sheetName val="稅籍代碼檢查表"/>
      <sheetName val="0-2.資料聯"/>
      <sheetName val="基本稅額計算"/>
      <sheetName val="0-1.基本資料"/>
      <sheetName val="EFTvsTAXmapping"/>
      <sheetName val="4.損益表"/>
      <sheetName val="9.各類給付扣繳表"/>
      <sheetName val="c_data"/>
      <sheetName val="co_code"/>
      <sheetName val="statement 1998"/>
      <sheetName val="K31X"/>
      <sheetName val="XVIa(i) - average price (2)"/>
      <sheetName val="管理费用"/>
      <sheetName val="Global"/>
      <sheetName val="Occupancy 2004"/>
      <sheetName val="BKD-财务部"/>
      <sheetName val="A501_AADJ#14-对价调整"/>
      <sheetName val="公司"/>
      <sheetName val="-PLEASE NOTE-"/>
      <sheetName val="Form1-1"/>
      <sheetName val="DataFrBuildBlock"/>
      <sheetName val="Static-Data"/>
      <sheetName val="Filtered_IML"/>
      <sheetName val="固定资产清单"/>
      <sheetName val="CPP1"/>
      <sheetName val="CPP10"/>
      <sheetName val="CPP19"/>
      <sheetName val="Group"/>
      <sheetName val="PLALL"/>
      <sheetName val="总体预算表"/>
      <sheetName val="환율"/>
      <sheetName val="内部关联清单"/>
      <sheetName val="03合并附注"/>
      <sheetName val="SALES95"/>
      <sheetName val="PM-TE_2011"/>
      <sheetName val="Introduction说明"/>
      <sheetName val="1 Lillysummary"/>
      <sheetName val="NOPAT_VDF"/>
      <sheetName val="Invested capital_VDF"/>
      <sheetName val="DCF_VDF"/>
      <sheetName val="WACC_VDF"/>
      <sheetName val="Summary Page_VDF"/>
      <sheetName val="PV of Op Leases_VDF"/>
      <sheetName val="Income Statement_VDF"/>
      <sheetName val="INVENTORY"/>
      <sheetName val="dxnsjtempsheet"/>
      <sheetName val="Custom1"/>
      <sheetName val="TB-WP"/>
      <sheetName val="合并抵销或调整分录（1）"/>
      <sheetName val="JUly97"/>
      <sheetName val="1108应付帐款明细表"/>
      <sheetName val="1102应付帐款明细表"/>
      <sheetName val="1101应付帐款明细表"/>
      <sheetName val="1107应付帐款明细表"/>
      <sheetName val="1106应付帐款明细表"/>
      <sheetName val="1103应付帐款明细表"/>
      <sheetName val="1105应付帐款明细表"/>
      <sheetName val="1110应付帐款明细表"/>
      <sheetName val="后续pre-IPO及IPO融资计划"/>
      <sheetName val="假设受让老股股东以增资方式进入-估值测算"/>
      <sheetName val="1月"/>
      <sheetName val="TIG Loan Interest Calculation"/>
      <sheetName val="04收发存汇总表"/>
      <sheetName val="Contratos"/>
      <sheetName val="A.2.b"/>
      <sheetName val="价格策略"/>
      <sheetName val="Company Info"/>
      <sheetName val="报告披露_FIE未执行新金融工具准则、新收入准则和新租赁准则"/>
      <sheetName val="报表披露_企业会计制度"/>
      <sheetName val="Surgical(2010)"/>
      <sheetName val="SAP 01-12-31"/>
      <sheetName val="OutSum"/>
      <sheetName val="List Sheet"/>
      <sheetName val="Quantity"/>
      <sheetName val="PTC"/>
      <sheetName val="JAC11.30"/>
      <sheetName val="Ex Rates"/>
      <sheetName val="Black list"/>
      <sheetName val="CE-1"/>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dongia (2)"/>
      <sheetName val="主营业务收入mx"/>
      <sheetName val="分录"/>
      <sheetName val="应收账款Mx"/>
      <sheetName val="应收账款"/>
      <sheetName val="主菜单"/>
      <sheetName val="FIRE Parameters"/>
      <sheetName val="COSTOxOPERAI"/>
      <sheetName val="COA"/>
      <sheetName val="合成単価作成・-BLDG"/>
      <sheetName val="CTS"/>
      <sheetName val="COS"/>
      <sheetName val="BalanceSheet"/>
      <sheetName val="FY 2004"/>
      <sheetName val="Calc &amp; Export"/>
      <sheetName val="Carryover 2004"/>
      <sheetName val="Corpalloc"/>
      <sheetName val="Report"/>
      <sheetName val="AOP Exec Summary"/>
      <sheetName val="W.REG"/>
      <sheetName val="上海静安店"/>
      <sheetName val="持有至到期投资"/>
      <sheetName val="递延所得税资产和递延所得税负债"/>
      <sheetName val="短期借款"/>
      <sheetName val="股本"/>
      <sheetName val="固定资产"/>
      <sheetName val="或有事项"/>
      <sheetName val="可供出售金融资产"/>
      <sheetName val="母公司(投资收益)"/>
      <sheetName val="母公司(长期股权投资)"/>
      <sheetName val="其他事项说明"/>
      <sheetName val="其他综合收益"/>
      <sheetName val="生产性生物资产"/>
      <sheetName val="投资收益"/>
      <sheetName val="应付债券"/>
      <sheetName val="应付职工薪酬"/>
      <sheetName val="应收票据"/>
      <sheetName val="营业收入及营业成本"/>
      <sheetName val="预付款项"/>
      <sheetName val="在建工程"/>
      <sheetName val="长期股权投资"/>
      <sheetName val="长期应付款"/>
      <sheetName val="长期应收款"/>
      <sheetName val="Forecast"/>
      <sheetName val="Recov"/>
      <sheetName val="others gl"/>
      <sheetName val="CF"/>
      <sheetName val="preBS"/>
      <sheetName val="preCF"/>
      <sheetName val="preIS"/>
      <sheetName val="preCE"/>
      <sheetName val="_003.3固定资产"/>
      <sheetName val="Freight Issues"/>
      <sheetName val="Service Parts Rejects (RPPM)"/>
      <sheetName val="Technical"/>
      <sheetName val="应付帐款明细表"/>
      <sheetName val="LBOSHELL"/>
      <sheetName val="Assum"/>
      <sheetName val="Exh B-5"/>
      <sheetName val="Exh B-2"/>
      <sheetName val="Exh B-6"/>
      <sheetName val="Exh B-8"/>
      <sheetName val="Exh B-4"/>
      <sheetName val="Exh B-3"/>
      <sheetName val="Exh B-7"/>
      <sheetName val="Exh B-1"/>
      <sheetName val="detailitems_11"/>
      <sheetName val="detailitems_111"/>
      <sheetName val="detailitems_112"/>
      <sheetName val="detailitems_113"/>
      <sheetName val="detailitems_114"/>
      <sheetName val="detailitems_117"/>
      <sheetName val="detailitems_118"/>
      <sheetName val="detailitems_13"/>
      <sheetName val="detailitems_150"/>
      <sheetName val="detailitems_152"/>
      <sheetName val="detailitems_158"/>
      <sheetName val="detailitems_159"/>
      <sheetName val="detailitems_160"/>
      <sheetName val="detailitems_161"/>
      <sheetName val="detailitems_162"/>
      <sheetName val="detailitems_163"/>
      <sheetName val="detailitems_166"/>
      <sheetName val="detailitems_182"/>
      <sheetName val="detailitems_183"/>
      <sheetName val="detailitems_184"/>
      <sheetName val="detailitems_185"/>
      <sheetName val="detailitems_186"/>
      <sheetName val="detailitems_187"/>
      <sheetName val="detailitems_188"/>
      <sheetName val="detailitems_189"/>
      <sheetName val="detailitems_192"/>
      <sheetName val="detailitems_193"/>
      <sheetName val="detailitems_194"/>
      <sheetName val="detailitems_195"/>
      <sheetName val="detailitems_196"/>
      <sheetName val="detailitems_197"/>
      <sheetName val="detailitems_198"/>
      <sheetName val="detailitems_199"/>
      <sheetName val="detailitems_2"/>
      <sheetName val="detailitems_23"/>
      <sheetName val="detailitems_26"/>
      <sheetName val="detailitems_300"/>
      <sheetName val="detailitems_301"/>
      <sheetName val="detailitems_302"/>
      <sheetName val="detailitems_303"/>
      <sheetName val="detailitems_304"/>
      <sheetName val="detailitems_305"/>
      <sheetName val="detailitems_306"/>
      <sheetName val="detailitems_307"/>
      <sheetName val="detailitems_308"/>
      <sheetName val="detailitems_309"/>
      <sheetName val="detailitems_310"/>
      <sheetName val="detailitems_311"/>
      <sheetName val="detailitems_312"/>
      <sheetName val="detailitems_313"/>
      <sheetName val="detailitems_317"/>
      <sheetName val="detailitems_318"/>
      <sheetName val="detailitems_319"/>
      <sheetName val="detailitems_320"/>
      <sheetName val="detailitems_321"/>
      <sheetName val="detailitems_322"/>
      <sheetName val="detailitems_323"/>
      <sheetName val="detailitems_324"/>
      <sheetName val="detailitems_325"/>
      <sheetName val="detailitems_327"/>
      <sheetName val="detailitems_41"/>
      <sheetName val="detailitems_44"/>
      <sheetName val="detailitems_47"/>
      <sheetName val="detailitems_51"/>
      <sheetName val="detailitems_52"/>
      <sheetName val="detailitems_53"/>
      <sheetName val="detailitems_54"/>
      <sheetName val="detailitems_58"/>
      <sheetName val="detailitems_59"/>
      <sheetName val="detailitems_61"/>
      <sheetName val="detailitems_62"/>
      <sheetName val="detailitems_63"/>
      <sheetName val="detailitems_64"/>
      <sheetName val="detailitems_66"/>
      <sheetName val="detailitems_67"/>
      <sheetName val="detailitems_68"/>
      <sheetName val="detailitems_70"/>
      <sheetName val="detailitems_71"/>
      <sheetName val="detailitems_72"/>
      <sheetName val="detailitems_73"/>
      <sheetName val="detailitems_74"/>
      <sheetName val="detailitems_8"/>
      <sheetName val="detailitems_80"/>
      <sheetName val="detailitems_81"/>
      <sheetName val="detailitems_82"/>
      <sheetName val="detailitems_84"/>
      <sheetName val="detailitems_9"/>
      <sheetName val="detailitems_95"/>
      <sheetName val="detailitems_99"/>
      <sheetName val="product"/>
      <sheetName val="業種マスター"/>
      <sheetName val="INPUT WH"/>
      <sheetName val="Economic evaluation - FY98 base"/>
      <sheetName val="营业成本Dy"/>
      <sheetName val="往来账龄-RPT"/>
      <sheetName val="CIP"/>
      <sheetName val="AFS-PL"/>
      <sheetName val=" Trade Receivable(2)"/>
      <sheetName val="SoDRelReceivables Payables"/>
      <sheetName val="SoDRelCash Revenue"/>
      <sheetName val="SoDRelSales Cost of Sales"/>
      <sheetName val=" MATERIALS AND SUPPLIES"/>
      <sheetName val="Work Performed"/>
      <sheetName val=" IncStatementMultiAccts"/>
      <sheetName val="Changes in vendor master file"/>
      <sheetName val=" Sales, sales allowances, o(1)"/>
      <sheetName val="FG-Bat"/>
      <sheetName val="D4RP"/>
      <sheetName val="基本"/>
      <sheetName val="墙面"/>
      <sheetName val="Manual Price Book Detail"/>
      <sheetName val="Vendavo 12-17-07"/>
      <sheetName val="U110"/>
      <sheetName val="U1.6"/>
      <sheetName val="467733"/>
      <sheetName val="SCH 1B, 1B-1 &amp; 1B-2"/>
      <sheetName val="Entry_1412_-_2_x0001_021"/>
      <sheetName val="封面 Cover"/>
      <sheetName val="租赁承诺"/>
      <sheetName val="CMA Calculations- Figure 5440.1"/>
      <sheetName val="fedcapct2006"/>
      <sheetName val="E_Lead"/>
      <sheetName val="ACTINV"/>
      <sheetName val="0101主料"/>
      <sheetName val="0102中草药"/>
      <sheetName val="0104燃料"/>
      <sheetName val="0106备品备件"/>
      <sheetName val="0109辅料"/>
      <sheetName val="0110化剂"/>
      <sheetName val="0112气体"/>
      <sheetName val="0206标签"/>
      <sheetName val="0207纸箱纸盒"/>
      <sheetName val="0208瓶类"/>
      <sheetName val="0302办公用品"/>
      <sheetName val="0303工具"/>
      <sheetName val="0304玻璃仪器"/>
      <sheetName val="0399其他材料"/>
      <sheetName val="05自制半成品"/>
      <sheetName val="1xxxxxxx-6xxxxxxx"/>
      <sheetName val="재료(확정,11월19일)"/>
      <sheetName val="控制清单"/>
      <sheetName val="U1 P&amp;L"/>
      <sheetName val="KPI"/>
      <sheetName val="Basic data"/>
      <sheetName val="ITENM"/>
      <sheetName val="QAD-面套库存"/>
      <sheetName val="Disclosure Summary"/>
      <sheetName val="ExRate"/>
      <sheetName val="Manu"/>
      <sheetName val="Comp. Transaction"/>
      <sheetName val="存货"/>
      <sheetName val="固定"/>
      <sheetName val="在建"/>
      <sheetName val="期间"/>
      <sheetName val="List Equip"/>
      <sheetName val="LabCost"/>
      <sheetName val="MatCost"/>
      <sheetName val="Concrete"/>
      <sheetName val="Process C (1-166)"/>
      <sheetName val="BulkPall_Var"/>
      <sheetName val="FS_0331"/>
      <sheetName val="科目余额表（2017年1-9月）"/>
      <sheetName val="N1_AT"/>
      <sheetName val="C2_WKSP"/>
      <sheetName val="A1_INP"/>
      <sheetName val="A2_TINPM"/>
      <sheetName val="A3_TINPP"/>
      <sheetName val="HP"/>
      <sheetName val="FA1"/>
      <sheetName val="SCHE-F"/>
      <sheetName val="P&amp;L-Sch"/>
      <sheetName val="EBITDA Cause of Change"/>
      <sheetName val="Margin Cause of Change by Cat"/>
      <sheetName val="索引表"/>
      <sheetName val="Amortization Schedules"/>
      <sheetName val="电子"/>
      <sheetName val="2_假设"/>
      <sheetName val="报表项目"/>
      <sheetName val="_010_10118"/>
      <sheetName val="P&amp;LALL"/>
      <sheetName val="1015"/>
      <sheetName val="2005 Sales breakdown"/>
      <sheetName val="余额表2"/>
      <sheetName val="Table 0703"/>
      <sheetName val=" FA retest"/>
      <sheetName val="Info"/>
      <sheetName val="K3"/>
      <sheetName val="披露表（上市）"/>
      <sheetName val="Mar Begining Balance"/>
      <sheetName val="Invested Capital"/>
      <sheetName val="CKS-KHH"/>
      <sheetName val="Document cover page"/>
      <sheetName val="单位名录"/>
      <sheetName val="审计程序（旧）"/>
      <sheetName val="OR"/>
      <sheetName val="附注"/>
      <sheetName val="ACC.NAME"/>
      <sheetName val="6126-30"/>
      <sheetName val="param"/>
      <sheetName val="Traduction"/>
      <sheetName val="TB_2021"/>
      <sheetName val="TB_2020"/>
      <sheetName val="TB_2019"/>
      <sheetName val="TB_2023.6.30"/>
      <sheetName val="TB_2022"/>
      <sheetName val="审定报表汇总"/>
      <sheetName val="U900"/>
      <sheetName val="Library Procedures"/>
      <sheetName val="F"/>
      <sheetName val="数据字典"/>
      <sheetName val="热力系统"/>
      <sheetName val="输入上年调整分录"/>
      <sheetName val="FZ-1"/>
      <sheetName val="FZ-2"/>
      <sheetName val="UFPrn20070303114642"/>
      <sheetName val="U200"/>
      <sheetName val="自制半成品"/>
      <sheetName val="Dec.-TB summary "/>
      <sheetName val="纳税调整明细表2009"/>
      <sheetName val="Struktur"/>
      <sheetName val="消耗品"/>
      <sheetName val="消耗品2"/>
      <sheetName val="assets"/>
      <sheetName val="By Expense"/>
      <sheetName val="By Function"/>
      <sheetName val="合同资产20230630"/>
      <sheetName val="E1_503_前瞻因子_20230630"/>
      <sheetName val="销售6.13"/>
      <sheetName val="E1020"/>
      <sheetName val="A16C"/>
      <sheetName val="NA"/>
      <sheetName val="$QUAL2002"/>
      <sheetName val="U400"/>
      <sheetName val="2001"/>
      <sheetName val="A14_g132"/>
      <sheetName val="A14_g134"/>
      <sheetName val="明细分类账"/>
      <sheetName val="COAT&amp;WRAP-QIOT-#3"/>
      <sheetName val="PNT-QUOT-#3"/>
      <sheetName val="MTO REV.2(ARMOR)"/>
      <sheetName val="Breadown-Tham khao"/>
      <sheetName val="tygia"/>
      <sheetName val="FG Inventory"/>
      <sheetName val="0.FY23 Annual Plan @20221212"/>
      <sheetName val="Lease_AP_20083"/>
      <sheetName val="Lease_AP_20093"/>
      <sheetName val="Lease_AP_2009_ITALY3"/>
      <sheetName val="EDR_Feb-093"/>
      <sheetName val="Entry_1412_-_21023"/>
      <sheetName val="PO_upload_sheet3"/>
      <sheetName val="Italy_Lease_20093"/>
      <sheetName val="REFERENCE_FILE3"/>
      <sheetName val="AP_Recap2"/>
      <sheetName val="Vendor_Data2"/>
      <sheetName val="7_(2)2"/>
      <sheetName val="Net_REVENUE2"/>
      <sheetName val="Client_Data2"/>
      <sheetName val="Detail_Loan_Move__&amp;_Listing2"/>
      <sheetName val="29-1_贴现融资-回购式2"/>
      <sheetName val="总公司2002_12_312"/>
      <sheetName val="Final_sample_listing2"/>
      <sheetName val="(i)_Fixed_assets-PBC2"/>
      <sheetName val="COSTOMAT_XLS2"/>
      <sheetName val="Detail_-_CSM_CY04_monthly2"/>
      <sheetName val="Sal_&amp;_Wage_Info2"/>
      <sheetName val="2007_12折旧差异2"/>
      <sheetName val="Air_Conditional2"/>
      <sheetName val="Motor_Vehicle2"/>
      <sheetName val="T__B2"/>
      <sheetName val="Sales_Model_Yr1"/>
      <sheetName val="IRR_&amp;_NPV2"/>
      <sheetName val="US_Bal_Sheet2"/>
      <sheetName val="Consol_worksheet-Final2"/>
      <sheetName val="Mov_from_2001_to_20032"/>
      <sheetName val="loan_database1"/>
      <sheetName val="3存放同业_(定期)1"/>
      <sheetName val="6_买入返售票据（按协议）1"/>
      <sheetName val="3存放同业_(活期)1"/>
      <sheetName val="6_买入返售票据（按票）1"/>
      <sheetName val="338_Apparel1"/>
      <sheetName val="All_Cash_Dil1"/>
      <sheetName val="Invoice_detail1"/>
      <sheetName val="Beg-_End_balance1"/>
      <sheetName val="Info__Request1"/>
      <sheetName val="C_-_Cash_and_Bank1"/>
      <sheetName val="Comp_equip1"/>
      <sheetName val="TT_template1"/>
      <sheetName val="by_category1"/>
      <sheetName val="Returns_Analysis1"/>
      <sheetName val="A500-Audit_adjustment1"/>
      <sheetName val="Staff_List1"/>
      <sheetName val="P_&amp;_L_Account1"/>
      <sheetName val="Base_Info1"/>
      <sheetName val="Veh_Info1"/>
      <sheetName val="Lease_Data_-_LC1"/>
      <sheetName val="Swap_Calculator1"/>
      <sheetName val="_U140-SalesTOT1"/>
      <sheetName val="Exchange_Rates1"/>
      <sheetName val="Chart_of_Acct1"/>
      <sheetName val="G_1R-Shou_COP_Gf1"/>
      <sheetName val="List_-_Components1"/>
      <sheetName val="List_-_Equipment1"/>
      <sheetName val="&amp;Portfolio_Changes1"/>
      <sheetName val="Cumulative_Performance1"/>
      <sheetName val="Recent_Actions1"/>
      <sheetName val="Investment_Guidelines1"/>
      <sheetName val="Performance_Summary1"/>
      <sheetName val="Investment_Review1"/>
      <sheetName val="Portfolio_Performance1"/>
      <sheetName val="&amp;Portfolio_vs__Benchmark1"/>
      <sheetName val="&amp;Portfolio_Summary_TE_Long_Int1"/>
      <sheetName val="&amp;Portfolio_Summary_TE_Short1"/>
      <sheetName val="&amp;Portfolio_Summary_Tax_Short1"/>
      <sheetName val="Portfolio_Comparison1"/>
      <sheetName val="TB_Link1"/>
      <sheetName val="Permanent_info1"/>
      <sheetName val="Income_Statement1"/>
      <sheetName val="Balance_Sheet1"/>
      <sheetName val="Altman_Z1"/>
      <sheetName val="M_Schedules1"/>
      <sheetName val="Premium_Dec_031"/>
      <sheetName val="Comparative_Balance_Sheet1"/>
      <sheetName val="Yield_Curves1"/>
      <sheetName val="VCC_11110-4611"/>
      <sheetName val="Poland_£1"/>
      <sheetName val="Bielsko_Biała1"/>
      <sheetName val="Threshold_Table1"/>
      <sheetName val="SA_Procedures_(Depreciation)1"/>
      <sheetName val="Cash_Flow1"/>
      <sheetName val="Trading_Statement1"/>
      <sheetName val="Hidden_Lists1"/>
      <sheetName val="DEFLEET_APR-051"/>
      <sheetName val="DEC_Bank1"/>
      <sheetName val="DEC_GL1"/>
      <sheetName val="Review_pts1"/>
      <sheetName val="OCT_BANK1"/>
      <sheetName val="ADJ_Summary"/>
      <sheetName val="GA_expenses_-_HRML"/>
      <sheetName val="Deferred_Dev_Cost"/>
      <sheetName val="Sheet1_(2)"/>
      <sheetName val="Tableau_d'adossement"/>
      <sheetName val="U102-U104_Detail"/>
      <sheetName val="Full_Reconciliation_4011000"/>
      <sheetName val="2020_12_31"/>
      <sheetName val="Cost_structure_Alcatel"/>
      <sheetName val="Raw_Mtl_Prep"/>
      <sheetName val="synthgraph_DCF"/>
      <sheetName val="Sundries_creditors"/>
      <sheetName val="Advance_to_staff"/>
      <sheetName val="Cust_List"/>
      <sheetName val="SUIVI_EFFECTIFS"/>
      <sheetName val="EFFECT_"/>
      <sheetName val="Financial_statement"/>
      <sheetName val="Ex_Diff"/>
      <sheetName val="P&amp;L_Report-S"/>
      <sheetName val="P&amp;L_Report-M"/>
      <sheetName val="综合成本分析01_01-0205"/>
      <sheetName val="FY01_Actuals"/>
      <sheetName val="Raw_materials"/>
      <sheetName val="A6620_Detail"/>
      <sheetName val="Sweco_DCP"/>
      <sheetName val="Ricardo_Football_Field"/>
      <sheetName val="Sweco_AVP"/>
      <sheetName val="Sweco_Business_Plan"/>
      <sheetName val="Ricardo_Business_Plan"/>
      <sheetName val="Sweco_Football_Field"/>
      <sheetName val="Ricardo_DCP"/>
      <sheetName val="Ricardo_AVP"/>
      <sheetName val="3__Other_gains"/>
      <sheetName val="23"/>
      <sheetName val="目标成本"/>
      <sheetName val="_______"/>
      <sheetName val="核算项目余额表"/>
      <sheetName val="MasterList"/>
      <sheetName val="试算平衡表13"/>
      <sheetName val="营业外9"/>
      <sheetName val="（1）固定资产情况底稿"/>
      <sheetName val="EmphasisList"/>
      <sheetName val="Upload"/>
      <sheetName val="SBUList"/>
      <sheetName val="长期待摊费用审定表"/>
      <sheetName val="利润"/>
      <sheetName val="资产"/>
      <sheetName val="TB2000"/>
      <sheetName val="TB2001"/>
      <sheetName val="毛利率分析表"/>
      <sheetName val="利润及利润分配表"/>
      <sheetName val="ACTABLE"/>
      <sheetName val="COMMON"/>
      <sheetName val="01ADDL.F.A."/>
      <sheetName val="WEEKLYVLS"/>
      <sheetName val="Act &amp; Est13"/>
      <sheetName val="SDE SF AK"/>
      <sheetName val="cost variance vs MYF"/>
      <sheetName val="cmg SF exp"/>
      <sheetName val="ACTUAL2001"/>
      <sheetName val="PRODUCT COSTING FOSHAN(Local)"/>
      <sheetName val=" YEFcst2001"/>
      <sheetName val="6 Aug"/>
      <sheetName val="MM"/>
      <sheetName val="cmg SF"/>
      <sheetName val="5nr"/>
      <sheetName val="cmg VHP CH"/>
      <sheetName val="合同台帐"/>
      <sheetName val="主要规划指标"/>
      <sheetName val="III-1-10"/>
      <sheetName val="III-1-9"/>
      <sheetName val="III-1-1"/>
      <sheetName val="J301"/>
      <sheetName val="J200"/>
      <sheetName val="单位名称"/>
      <sheetName val="Group_Cash flow"/>
      <sheetName val="存货汇总表10"/>
      <sheetName val="Coding"/>
      <sheetName val="Other expenses"/>
      <sheetName val="USPCL"/>
      <sheetName val="4-货币资金-现金"/>
      <sheetName val="adj."/>
      <sheetName val="FY02"/>
      <sheetName val="报表标准名称"/>
      <sheetName val="1.計数実績"/>
      <sheetName val="Tailored procedures"/>
      <sheetName val="公司基本资料"/>
      <sheetName val="参数设定"/>
      <sheetName val="K110"/>
      <sheetName val="O111"/>
      <sheetName val="Repayment Summary"/>
      <sheetName val="日産ｺﾓﾝR"/>
      <sheetName val="内销收人"/>
      <sheetName val="TB96"/>
      <sheetName val="TB97"/>
      <sheetName val="2月"/>
      <sheetName val="cg"/>
      <sheetName val="Lookup tabels"/>
      <sheetName val="数字视频并帐"/>
      <sheetName val="CA Sheet"/>
      <sheetName val="121105"/>
      <sheetName val="列表"/>
      <sheetName val="schedule"/>
      <sheetName val="Change Log"/>
      <sheetName val="Ass"/>
      <sheetName val="Depr"/>
      <sheetName val="PCP"/>
      <sheetName val="IS"/>
      <sheetName val="Presentation"/>
      <sheetName val="Cost &amp; Expenses"/>
      <sheetName val="Value"/>
      <sheetName val="Man"/>
      <sheetName val="Working Cap"/>
      <sheetName val="Invest"/>
      <sheetName val="集計Detail①"/>
      <sheetName val="贷方"/>
      <sheetName val="Sales Master SKU"/>
      <sheetName val="WAPiTi NZ"/>
      <sheetName val="中山低值"/>
      <sheetName val="ARP_U501"/>
      <sheetName val="CRE"/>
      <sheetName val="Salesfor2001"/>
      <sheetName val="7 - ARO Assumptions"/>
      <sheetName val="zfi044-ALL"/>
      <sheetName val="By Monthly APR &amp; SPENDING(KCNY)"/>
      <sheetName val="cmg 68TF exp"/>
      <sheetName val="link killer"/>
      <sheetName val="具体产品毛利"/>
      <sheetName val="G101(OK)"/>
      <sheetName val="Proforma"/>
      <sheetName val="Invoiced as at Nov-02"/>
      <sheetName val="196-4"/>
      <sheetName val="FS item Listing"/>
      <sheetName val="detailitems_1"/>
      <sheetName val="detailitems_10"/>
      <sheetName val="detailitems_100"/>
      <sheetName val="detailitems_101"/>
      <sheetName val="detailitems_102"/>
      <sheetName val="detailitems_115"/>
      <sheetName val="detailitems_116"/>
      <sheetName val="detailitems_119"/>
      <sheetName val="detailitems_12"/>
      <sheetName val="detailitems_120"/>
      <sheetName val="detailitems_121"/>
      <sheetName val="detailitems_122"/>
      <sheetName val="detailitems_123"/>
      <sheetName val="detailitems_124"/>
      <sheetName val="detailitems_125"/>
      <sheetName val="detailitems_126"/>
      <sheetName val="detailitems_127"/>
      <sheetName val="detailitems_14"/>
      <sheetName val="detailitems_151"/>
      <sheetName val="detailitems_153"/>
      <sheetName val="detailitems_154"/>
      <sheetName val="detailitems_155"/>
      <sheetName val="detailitems_156"/>
      <sheetName val="detailitems_157"/>
      <sheetName val="detailitems_16"/>
      <sheetName val="detailitems_164"/>
      <sheetName val="detailitems_165"/>
      <sheetName val="detailitems_167"/>
      <sheetName val="detailitems_168"/>
      <sheetName val="detailitems_169"/>
      <sheetName val="detailitems_17"/>
      <sheetName val="detailitems_170"/>
      <sheetName val="detailitems_171"/>
      <sheetName val="detailitems_172"/>
      <sheetName val="detailitems_173"/>
      <sheetName val="detailitems_174"/>
      <sheetName val="detailitems_175"/>
      <sheetName val="detailitems_176"/>
      <sheetName val="detailitems_177"/>
      <sheetName val="detailitems_178"/>
      <sheetName val="detailitems_179"/>
      <sheetName val="detailitems_18"/>
      <sheetName val="detailitems_180"/>
      <sheetName val="detailitems_181"/>
      <sheetName val="detailitems_19"/>
      <sheetName val="detailitems_190"/>
      <sheetName val="detailitems_191"/>
      <sheetName val="detailitems_20"/>
      <sheetName val="detailitems_21"/>
      <sheetName val="detailitems_22"/>
      <sheetName val="detailitems_24"/>
      <sheetName val="detailitems_27"/>
      <sheetName val="detailitems_3"/>
      <sheetName val="detailitems_314"/>
      <sheetName val="detailitems_315"/>
      <sheetName val="detailitems_35"/>
      <sheetName val="detailitems_36"/>
      <sheetName val="detailitems_37"/>
      <sheetName val="detailitems_38"/>
      <sheetName val="detailitems_39"/>
      <sheetName val="detailitems_4"/>
      <sheetName val="detailitems_400"/>
      <sheetName val="detailitems_42"/>
      <sheetName val="detailitems_43"/>
      <sheetName val="detailitems_45"/>
      <sheetName val="detailitems_46"/>
      <sheetName val="detailitems_48"/>
      <sheetName val="detailitems_49"/>
      <sheetName val="detailitems_5"/>
      <sheetName val="detailitems_50"/>
      <sheetName val="detailitems_56"/>
      <sheetName val="detailitems_6"/>
      <sheetName val="detailitems_60"/>
      <sheetName val="detailitems_65"/>
      <sheetName val="detailitems_69"/>
      <sheetName val="detailitems_7"/>
      <sheetName val="detailitems_75"/>
      <sheetName val="detailitems_76"/>
      <sheetName val="detailitems_77"/>
      <sheetName val="detailitems_78"/>
      <sheetName val="detailitems_79"/>
      <sheetName val="detailitems_83"/>
      <sheetName val="detailitems_85"/>
      <sheetName val="detailitems_86"/>
      <sheetName val="detailitems_87"/>
      <sheetName val="detailitems_88"/>
      <sheetName val="detailitems_89"/>
      <sheetName val="detailitems_90"/>
      <sheetName val="detailitems_91"/>
      <sheetName val="detailitems_92"/>
      <sheetName val="detailitems_93"/>
      <sheetName val="detailitems_94"/>
      <sheetName val="detailitems_96"/>
      <sheetName val="detailitems_97"/>
      <sheetName val="detailitems_98"/>
      <sheetName val="detailitems_999"/>
      <sheetName val="AGRO-DATA"/>
      <sheetName val="cathayforecasts"/>
      <sheetName val="FIAT"/>
      <sheetName val="001Disclosure Summary"/>
      <sheetName val="FA movement"/>
      <sheetName val="部门"/>
      <sheetName val="Useful Lives"/>
      <sheetName val="BEER-PRO"/>
      <sheetName val="model"/>
      <sheetName val="VA"/>
      <sheetName val="基本信息输入"/>
      <sheetName val="LCGRAPH"/>
      <sheetName val="DOCCTRL41"/>
      <sheetName val="其他资产"/>
      <sheetName val="其他附注"/>
      <sheetName val="aging 1003"/>
      <sheetName val="aging 1103"/>
      <sheetName val="aging 1203"/>
      <sheetName val="aging 0803"/>
      <sheetName val="Adiantamentos"/>
      <sheetName val="202 normal"/>
      <sheetName val="N201"/>
      <sheetName val="YTD-Entity"/>
      <sheetName val="Tag analysis"/>
      <sheetName val="17. Non consolidated stock"/>
      <sheetName val="General Data"/>
      <sheetName val="Liabilities"/>
      <sheetName val="P-L"/>
      <sheetName val="14. Fixed assets"/>
      <sheetName val="13. Intangible assets"/>
      <sheetName val="Börskurser"/>
      <sheetName val="603店"/>
      <sheetName val="14.04.03"/>
      <sheetName val="Checkbook"/>
      <sheetName val="Table calendaire"/>
      <sheetName val="Table paiements"/>
      <sheetName val="Table Fournisseurs"/>
      <sheetName val="STRAT PLAN WKSHT"/>
      <sheetName val="insurance"/>
      <sheetName val="PROATIVOS"/>
      <sheetName val="A3_Lead"/>
      <sheetName val="Tax rate1"/>
      <sheetName val="5 Analysis"/>
      <sheetName val="ARP-U311"/>
      <sheetName val="ARP-U321"/>
      <sheetName val="应收出口退税"/>
      <sheetName val="SkywindSettingSheet"/>
      <sheetName val="E1_100ARBreakdown"/>
      <sheetName val="E2_100应收票据Breakdown"/>
      <sheetName val="E1_100保理业务"/>
      <sheetName val="E1_100保理业务终止确认判断"/>
      <sheetName val="ECL_决策树"/>
      <sheetName val="E110_逾期金额per client"/>
      <sheetName val="E1_510_AR 账龄复核 FIFO（账龄）"/>
      <sheetName val="E1_510_AR 账龄复核（第三方逾期金额）"/>
      <sheetName val="E1_500_坏账准备"/>
      <sheetName val="E1_200_函证抽样"/>
      <sheetName val="E1_400_Cutoff细节测试"/>
      <sheetName val="E1_600应收其他调整"/>
      <sheetName val="E1_700贷项余额"/>
      <sheetName val="E113_客户信用期明细"/>
      <sheetName val="FA list"/>
      <sheetName val="递延税款Dy"/>
      <sheetName val="资本公积Dy"/>
      <sheetName val="盈余公积Dy"/>
      <sheetName val="未分配利润Dy"/>
      <sheetName val="补贴收入Dy"/>
      <sheetName val="所得税Dy"/>
      <sheetName val="应收账款Dy"/>
      <sheetName val="坏账准备_应收账款Dy"/>
      <sheetName val="预收账款Dy"/>
      <sheetName val="应交税金Dy"/>
      <sheetName val="其他应交款Dy"/>
      <sheetName val="主营业务收入Dy"/>
      <sheetName val="坏账准备_应收账款Mx"/>
      <sheetName val="Corporate (Paste)"/>
      <sheetName val="SMD"/>
      <sheetName val="_102中草药"/>
      <sheetName val="_104燃料"/>
      <sheetName val="_106备品备件"/>
      <sheetName val="_108劳保"/>
      <sheetName val="_109辅料"/>
      <sheetName val="_110化剂"/>
      <sheetName val="_112气体"/>
      <sheetName val="_206标签"/>
      <sheetName val="_207纸箱纸盒"/>
      <sheetName val="_208瓶类"/>
      <sheetName val="_302办公用品"/>
      <sheetName val="_303工具"/>
      <sheetName val="_304玻璃仪器"/>
      <sheetName val="_399其他材料"/>
      <sheetName val="_4产成品"/>
      <sheetName val="_5自制半成品"/>
      <sheetName val="ACM0131(GT)"/>
      <sheetName val="System"/>
      <sheetName val="频度分析"/>
      <sheetName val="EntityList"/>
      <sheetName val="Libor"/>
      <sheetName val="99buddepr"/>
      <sheetName val="MV"/>
      <sheetName val="Freezers"/>
      <sheetName val="By Brand"/>
      <sheetName val="N"/>
      <sheetName val="CRI -CR(HK) unreal"/>
      <sheetName val="辽宁三生库存商品总帐2005 3.1.3a"/>
      <sheetName val="NSV"/>
      <sheetName val="VARIANCES"/>
      <sheetName val="Engineers"/>
      <sheetName val="cov"/>
      <sheetName val="IND."/>
      <sheetName val="K311 A_List02"/>
      <sheetName val="FIXTURES IN LH PREMISES 0002"/>
      <sheetName val="INSS1"/>
      <sheetName val="CONSSID12-96"/>
      <sheetName val="Andy"/>
      <sheetName val="应收票据Dy"/>
      <sheetName val="维护"/>
      <sheetName val="Prefinal-LT Prepaid "/>
      <sheetName val="建行R"/>
      <sheetName val="其他业务收支_杨2"/>
      <sheetName val="CIP&lt;1&gt;_杨2"/>
      <sheetName val="FA_Roll_to_GL_(p_2)2"/>
      <sheetName val="Lead_(p_1)2"/>
      <sheetName val="NOTE_292"/>
      <sheetName val="No_4-3_現金同等物明細2"/>
      <sheetName val="CA_consolidated2"/>
      <sheetName val="1_1_Project_Data1"/>
      <sheetName val="U434_Sample_pool20081"/>
      <sheetName val="1102_(2)1"/>
      <sheetName val="Chart_of_Account1"/>
      <sheetName val="Antivol_D21"/>
      <sheetName val="ADJ_Sum(console)1"/>
      <sheetName val="HanCai_cost_DT1"/>
      <sheetName val="HanE_cost_DT1"/>
      <sheetName val="ASN_cost_DT1"/>
      <sheetName val="ASN_FV_DT1"/>
      <sheetName val="HanCai_FV_DT1"/>
      <sheetName val="HanE_FV_DT1"/>
      <sheetName val="Currency_Codes1"/>
      <sheetName val="Variance_threshold1"/>
      <sheetName val="3A_FA_Record1"/>
      <sheetName val="9B_RUL_Range1"/>
      <sheetName val="#1_Basic1"/>
      <sheetName val="FC_switches1"/>
      <sheetName val="TDC_COA_Sumry1"/>
      <sheetName val="TDC_Item_Dets1"/>
      <sheetName val="TDC_Item_Sumry1"/>
      <sheetName val="TDC_Key_Qty_Sumry1"/>
      <sheetName val="COA_Sumry_-_Std_Imp1"/>
      <sheetName val="Contr_TDC_-_Std_Imp1"/>
      <sheetName val="Item_Sumry_-_Std_Imp1"/>
      <sheetName val="Unit_Costs_-_Std_Imp1"/>
      <sheetName val="Unit_MH_-_Std_Imp1"/>
      <sheetName val="Proj_TIC_-_Std_Imp1"/>
      <sheetName val="Control_Panel1"/>
      <sheetName val="Update_check"/>
      <sheetName val="h1h2_model"/>
      <sheetName val="A3_&amp;_U_09-01"/>
      <sheetName val="Sheet1_(11)"/>
      <sheetName val="08_8"/>
      <sheetName val="Mach_&amp;_equip"/>
      <sheetName val="To_tied_2001_opening_RE"/>
      <sheetName val="BOX_SUM"/>
      <sheetName val="FIN_GOOD"/>
      <sheetName val="1999_BUDGET"/>
      <sheetName val="Gross_Margin1"/>
      <sheetName val="TPQ_INDEX"/>
      <sheetName val="YTD_Summary"/>
      <sheetName val="Graph_1"/>
      <sheetName val="IS_Summary-96"/>
      <sheetName val="Month_8"/>
      <sheetName val="O_500_IIT"/>
      <sheetName val="O_100CIT_Reco"/>
      <sheetName val="L310-Adjustment_for_R&amp;D_cost"/>
      <sheetName val="PH_Car"/>
      <sheetName val="PBC_-_PHS"/>
      <sheetName val="Adjustment_summary"/>
      <sheetName val="现_金_流_量_表"/>
      <sheetName val="Credit_Check"/>
      <sheetName val="P&amp;L_(AR_version)"/>
      <sheetName val="6a_bank_loan_&amp;_bond_analysis"/>
      <sheetName val="Summary_of_Bank_loan_and_bond"/>
      <sheetName val="BPC_input"/>
      <sheetName val="capital_structures"/>
      <sheetName val="cashflow_statement"/>
      <sheetName val="cashflow_statement_spreadsheet"/>
      <sheetName val="checking_Dep_DT"/>
      <sheetName val="P&amp;L_for_company_(AR_version)"/>
      <sheetName val="2021_interim"/>
      <sheetName val="COS_breakdown_working"/>
      <sheetName val="Deferred_tax"/>
      <sheetName val="1_highlights_and_ratio"/>
      <sheetName val="inter_CA_input"/>
      <sheetName val="Intercom_int"/>
      <sheetName val="SUMMARY_RMB"/>
      <sheetName val="2_PL_shortform"/>
      <sheetName val="rmb_fa_wrkng"/>
      <sheetName val="statutory_reserves"/>
      <sheetName val="SUMMARY_before_elim"/>
      <sheetName val="SUMMARY_MoM"/>
      <sheetName val="Understand_the_client"/>
      <sheetName val="Total_Financials"/>
      <sheetName val="_"/>
      <sheetName val="Office_Improve"/>
      <sheetName val="V_Lead_"/>
      <sheetName val="管理费用_"/>
      <sheetName val="PRC_GAAP"/>
      <sheetName val="last_op_"/>
      <sheetName val="资产评估结果分类汇总表_(2)"/>
      <sheetName val="Wh_&amp;_Office_Exp"/>
      <sheetName val="审计程序_(2)"/>
      <sheetName val="For_report_WL"/>
      <sheetName val="Lessee_Import_new_lease"/>
      <sheetName val="Benefit_Tracking"/>
      <sheetName val="Benefit_Form"/>
      <sheetName val="payroll_"/>
      <sheetName val="3_2"/>
      <sheetName val="WACC_Inputs"/>
      <sheetName val="PAX_&amp;_SEATS_%"/>
      <sheetName val="M_P_S_"/>
      <sheetName val="Breakdown_9_30"/>
      <sheetName val="Chart_of_acct_"/>
      <sheetName val="Leadsheet_Template"/>
      <sheetName val="Input_Sheet"/>
      <sheetName val="Romford_Market"/>
      <sheetName val="2007_04_KE5Z_detail"/>
      <sheetName val="其它销售成本_A4"/>
      <sheetName val="IFRS#7-1_stock_provision"/>
      <sheetName val="Non-Statistical_Sampling_Master"/>
      <sheetName val="Two_Step_Revenue_Testing_Master"/>
      <sheetName val="Base_基础"/>
      <sheetName val="humen_DT"/>
      <sheetName val="Northring_DT"/>
      <sheetName val="GWSR_Cost_DT"/>
      <sheetName val="shantou_DT"/>
      <sheetName val="Qinglian_Ex_only_DT"/>
      <sheetName val="Tianjin_cost_DT"/>
      <sheetName val="GNSR_FV_DT"/>
      <sheetName val="cangyu_fv_DT"/>
      <sheetName val="Tianjin_-_fv_DT"/>
      <sheetName val="hanxiao_FV"/>
      <sheetName val="changzhu_FV_DT"/>
      <sheetName val="GNSR_cost_DT"/>
      <sheetName val="WeiXu_FV_DT"/>
      <sheetName val="changzhu_cost_DT"/>
      <sheetName val="cangyu_cost_DT"/>
      <sheetName val="hanxiao_cost_DT"/>
      <sheetName val="weixu_cost_DT"/>
      <sheetName val="SYN_cost_DT"/>
      <sheetName val="SYN_FV_DT"/>
      <sheetName val="12_APaging附表"/>
      <sheetName val="Daily_net_avail"/>
      <sheetName val="Capital_leases"/>
      <sheetName val="各门店17_5费用明细"/>
      <sheetName val="各门店17_5收入利润"/>
      <sheetName val="2017_6门店费用"/>
      <sheetName val="2017_6门店开业时间汇总"/>
      <sheetName val="4_门店信息汇总Output(运营版本）"/>
      <sheetName val="2017_6门店收入利润"/>
      <sheetName val="Vis_Exp"/>
      <sheetName val="PRC_15"/>
      <sheetName val="Sch_PR-2"/>
      <sheetName val="Sch_PR-3"/>
      <sheetName val="3rd_Qtr"/>
      <sheetName val="5th_Qtr"/>
      <sheetName val="6th_Qtr"/>
      <sheetName val="7th_Qtr"/>
      <sheetName val="Exit_Forecast"/>
      <sheetName val="2nd_Qtr"/>
      <sheetName val="Rounded_Input"/>
      <sheetName val="short_term_loan"/>
      <sheetName val="ocean_voyage"/>
      <sheetName val="06_11_24SAP"/>
      <sheetName val="&lt;FF&gt;_Tax_Payable"/>
      <sheetName val="Finance_Cost_Center"/>
      <sheetName val="Financ__Overview"/>
      <sheetName val="E-Client_Information"/>
      <sheetName val="Trial_Bal_"/>
      <sheetName val="6_比較資產負債表"/>
      <sheetName val="0-2_資料聯"/>
      <sheetName val="0-1_基本資料"/>
      <sheetName val="4_損益表"/>
      <sheetName val="9_各類給付扣繳表"/>
      <sheetName val="Q_CF-E01"/>
      <sheetName val="Sch_9"/>
      <sheetName val="statement_1998"/>
      <sheetName val="XVIa(i)_-_average_price_(2)"/>
      <sheetName val="Occupancy_2004"/>
      <sheetName val="-PLEASE_NOTE-"/>
      <sheetName val="02__Italy_Rents_2009_-_Feb09"/>
      <sheetName val="Drop_Down"/>
      <sheetName val="CON_MR2K_AL_ck"/>
      <sheetName val="1__Scoping"/>
      <sheetName val="2__Expectation"/>
      <sheetName val="3__Variance_threshold"/>
      <sheetName val="INPUT_rates"/>
      <sheetName val="Finished_Goods"/>
      <sheetName val="1__Project_Hypothesis"/>
      <sheetName val="5__Capacity_and_Investment"/>
      <sheetName val="finance_inputs_and_calculations"/>
      <sheetName val="PDP_(GP-IRR-Cash_Flow)"/>
      <sheetName val="4__WORKPLAN"/>
      <sheetName val="12__BOM_Customer"/>
      <sheetName val="13__LTA Calculation_(optional)"/>
      <sheetName val="10__Cover_page"/>
      <sheetName val="Revision_follow_up"/>
      <sheetName val="2__Forecast"/>
      <sheetName val="6__Tooling_(for_Customer)"/>
      <sheetName val="Global_Data"/>
      <sheetName val="1_Lillysummary"/>
      <sheetName val="Summery"/>
      <sheetName val="gcl-BS"/>
      <sheetName val="gcl-PL"/>
      <sheetName val="Print"/>
      <sheetName val="Services Proposal - Track II"/>
      <sheetName val="CH Qs Form"/>
      <sheetName val="corvar"/>
      <sheetName val="for disclosure"/>
      <sheetName val="FA lead"/>
      <sheetName val="Upload Apr 13"/>
      <sheetName val="抽凭"/>
      <sheetName val="取引先別BL"/>
      <sheetName val="资金来源与运用表"/>
      <sheetName val="Source1"/>
      <sheetName val="核对表"/>
      <sheetName val="17其他资产"/>
      <sheetName val="국문FS(제조원가 반영전)"/>
      <sheetName val="ce"/>
      <sheetName val="CECO"/>
      <sheetName val="市场法案例"/>
      <sheetName val=" 弃"/>
      <sheetName val="RECAP RETURNS"/>
      <sheetName val="钻井(调整)"/>
      <sheetName val="Option Summary"/>
      <sheetName val="Financial Statements"/>
      <sheetName val="BilanzDaten2001_2004_Upos"/>
      <sheetName val="incomestatement"/>
      <sheetName val="Workings"/>
      <sheetName val="103105"/>
      <sheetName val="合并附注"/>
      <sheetName val="2货站"/>
      <sheetName val="Bacis"/>
      <sheetName val="AOP FY 99"/>
      <sheetName val="生皮,盐"/>
      <sheetName val="S145曲阜"/>
      <sheetName val="Residential Properties 20181231"/>
      <sheetName val="S128恒基大庆"/>
      <sheetName val="S083诸暨越都预收"/>
      <sheetName val="S083诸暨越都"/>
      <sheetName val="S223淄博预收"/>
      <sheetName val="vol can rop"/>
      <sheetName val="VOL CAN CARAT"/>
      <sheetName val="PDMTONFFR"/>
      <sheetName val="PDMVALPLF"/>
      <sheetName val="PDMVALYOG"/>
      <sheetName val="PDMVALDES"/>
      <sheetName val="PDMVALFFR"/>
      <sheetName val="专项应付款Dy"/>
      <sheetName val="财务费用Dy"/>
      <sheetName val="专项应付款Mx"/>
      <sheetName val="PRE0502"/>
      <sheetName val="HIN-BR Detail"/>
      <sheetName val="05PLAN VAR"/>
      <sheetName val="其他应收款Dy"/>
      <sheetName val="坏账准备_其他应收款Dy"/>
      <sheetName val="其他应付款Dy"/>
      <sheetName val="其他应收款Mx"/>
      <sheetName val="Res.Autor.Motivo"/>
      <sheetName val="Res.Devolv.Motivo"/>
      <sheetName val="Template"/>
      <sheetName val="Vendas Tons"/>
      <sheetName val="C.Estr."/>
      <sheetName val="COSTAB97"/>
      <sheetName val="indice"/>
      <sheetName val="mixprod"/>
      <sheetName val="raf"/>
      <sheetName val="rce"/>
      <sheetName val="CAB"/>
      <sheetName val="abcd"/>
      <sheetName val="5 - ASSETS"/>
      <sheetName val="Exp type&amp;cost element mapping"/>
      <sheetName val="종기실공문"/>
      <sheetName val="12进销存"/>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BUD-DI"/>
      <sheetName val="使用说明"/>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refreshError="1"/>
      <sheetData sheetId="702" refreshError="1"/>
      <sheetData sheetId="703" refreshError="1"/>
      <sheetData sheetId="704" refreshError="1"/>
      <sheetData sheetId="705"/>
      <sheetData sheetId="706"/>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sheetData sheetId="1560"/>
      <sheetData sheetId="156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外事项"/>
      <sheetName val="表外项目－银行承兑汇票（外币）"/>
      <sheetName val="表外项目-银行承兑汇票（人民币）"/>
      <sheetName val="表外项目-开出保证凭信"/>
      <sheetName val="表外项目-开来保证凭信"/>
      <sheetName val="表外--信用证项下出口款项"/>
      <sheetName val="表外应收利息"/>
      <sheetName val="贷款前十名"/>
      <sheetName val="再贴现"/>
      <sheetName val="转贴现"/>
      <sheetName val="纳税调整表"/>
      <sheetName val="未决诉讼事项"/>
      <sheetName val="房屋租赁承诺"/>
      <sheetName val="应付利息（安永）"/>
      <sheetName val="财务承诺（安永）"/>
      <sheetName val="呆帐准备(安永）"/>
      <sheetName val="关联交易-存款"/>
      <sheetName val="关联交易-贷款"/>
      <sheetName val="关联交易--资产负债类项目"/>
      <sheetName val="关联交易-表外及其他业务"/>
      <sheetName val="Sheet1"/>
      <sheetName val="关联交易_存款"/>
      <sheetName val="¹ØÁª½»Ò×-´æ¿î"/>
      <sheetName val="±íÍâÊÂÏî"/>
      <sheetName val="±íÍâÏîÄ¿£­ÒøÐÐ³Ð¶Ò»ãÆ±£¨Íâ±Ò£©"/>
      <sheetName val="±íÍâÏîÄ¿-ÒøÐÐ³Ð¶Ò»ãÆ±£¨ÈËÃñ±Ò£©"/>
      <sheetName val="±íÍâÏîÄ¿-¿ª³ö±£Ö¤Æ¾ÐÅ"/>
      <sheetName val="±íÍâÏîÄ¿-¿ªÀ´±£Ö¤Æ¾ÐÅ"/>
      <sheetName val="±íÍâ--ÐÅÓÃÖ¤ÏîÏÂ³ö¿Ú¿îÏî"/>
      <sheetName val="±íÍâÓ¦ÊÕÀûÏ¢"/>
      <sheetName val="´û¿îÇ°Ê®Ãû"/>
      <sheetName val="ÔÙÌùÏÖ"/>
      <sheetName val="×ªÌùÏÖ"/>
      <sheetName val="ÄÉË°µ÷Õû±í"/>
      <sheetName val="Î´¾öËßËÏÊÂÏî"/>
      <sheetName val="·¿ÎÝ×âÁÞ³ÐÅµ"/>
      <sheetName val="Ó¦¸¶ÀûÏ¢£¨°²ÓÀ£©"/>
      <sheetName val="²ÆÎñ³ÐÅµ£¨°²ÓÀ£©"/>
      <sheetName val="´ôÕÊ×¼±¸(°²ÓÀ£©"/>
      <sheetName val="¹ØÁª½»Ò×-´û¿î"/>
      <sheetName val="¹ØÁª½»Ò×--×Ê²ú¸ºÕ®ÀàÏîÄ¿"/>
      <sheetName val="¹ØÁª½»Ò×-±íÍâ¼°ÆäËûÒµÎñ"/>
      <sheetName val="CRA-Detail"/>
      <sheetName val="设备部房屋"/>
      <sheetName val="E1020"/>
      <sheetName val="B"/>
      <sheetName val="M-5C"/>
      <sheetName val="企业表一"/>
      <sheetName val="M-5A"/>
      <sheetName val="master"/>
      <sheetName val="A.R 01"/>
      <sheetName val="ADJ Sum(console)"/>
      <sheetName val="上报资产负债表"/>
      <sheetName val="上报损益表"/>
      <sheetName val="现金流量表（月报）"/>
      <sheetName val="补充表"/>
      <sheetName val="U110"/>
      <sheetName val="Defer tax"/>
      <sheetName val="法士特"/>
      <sheetName val="陕重汽"/>
      <sheetName val="株洲齿轮"/>
      <sheetName val="火炬进出口"/>
      <sheetName val="机械制造"/>
      <sheetName val="火炬房地产"/>
      <sheetName val="火花塞"/>
      <sheetName val="汽车密封"/>
      <sheetName val="汽车灯具"/>
      <sheetName val="汽车电器"/>
      <sheetName val="东风越野"/>
      <sheetName val="富通"/>
      <sheetName val="新疆进出口"/>
      <sheetName val="北京汇科盈"/>
      <sheetName val="上海和达"/>
      <sheetName val="MAT"/>
      <sheetName val="小合并"/>
      <sheetName val="??????¡¤???¡À¨ª"/>
      <sheetName val="??ユ-蹿"/>
      <sheetName val="??交易-存款"/>
      <sheetName val="eqpmad2"/>
      <sheetName val="M_5A"/>
      <sheetName val="M_5C"/>
      <sheetName val="____"/>
      <sheetName val="______¡¤___¡À¨ª"/>
      <sheetName val="Source"/>
      <sheetName val="Estimated AP 9.03"/>
      <sheetName val="__ユ-蹿"/>
      <sheetName val="__交易-存款"/>
      <sheetName val="表三"/>
      <sheetName val="11-1"/>
      <sheetName val="P201(F)"/>
      <sheetName val="C100-现金"/>
      <sheetName val="资产负债表(1)"/>
      <sheetName val="其他业务收入成本明细表"/>
      <sheetName val="CCTL"/>
      <sheetName val="WIP"/>
      <sheetName val="I"/>
      <sheetName val="申报表封面"/>
      <sheetName val="#REF!"/>
      <sheetName val="E201"/>
      <sheetName val="Ã«ÀûÂÊ·ÖÎö±í"/>
      <sheetName val="2005.06"/>
      <sheetName val="J200"/>
      <sheetName val="INDEX"/>
      <sheetName val="Tables"/>
      <sheetName val="关联交易-存款a_x0000__x0000__x0000__x0000__x0000_"/>
      <sheetName val="关联交易-存款%ঀȿঀȿ_x0001_"/>
      <sheetName val="Mar OR"/>
      <sheetName val="F100"/>
      <sheetName val="M"/>
      <sheetName val="选择报表"/>
      <sheetName val="A_R_01"/>
      <sheetName val="Defer_tax"/>
      <sheetName val="ADJ_Sum(console)"/>
      <sheetName val="Estimated_AP_9_03"/>
      <sheetName val="RATE"/>
      <sheetName val="REC 97"/>
      <sheetName val="应付明细表(07年)"/>
      <sheetName val="U401"/>
      <sheetName val="U501"/>
      <sheetName val="INVDAYS"/>
      <sheetName val="关联交易-存款h_x0001__x0000__x0001__x0000__x0000_"/>
      <sheetName val="关联交易-存款hࢀ ࢀ _x0001_"/>
      <sheetName val="N23-1-预付、其他应收等"/>
      <sheetName val="daywork- Tham khao"/>
      <sheetName val="公司清单"/>
      <sheetName val="SUMMARY"/>
      <sheetName val="20140331"/>
      <sheetName val="20130331"/>
      <sheetName val="20131231"/>
      <sheetName val="20121231"/>
      <sheetName val="20111231"/>
      <sheetName val="20101231"/>
      <sheetName val="SAD"/>
      <sheetName val="以前年度损益调整"/>
      <sheetName val="说明1"/>
      <sheetName val="DataEntry"/>
      <sheetName val="Assets"/>
      <sheetName val="Parameters"/>
      <sheetName val="TB"/>
      <sheetName val="TB Link"/>
      <sheetName val="SCTB"/>
      <sheetName val="关联交易-存款h_x0001_"/>
      <sheetName val="项目"/>
      <sheetName val="2002年预提费用"/>
      <sheetName val="________-____"/>
      <sheetName val="________"/>
      <sheetName val="______________________________"/>
      <sheetName val="________-______________________"/>
      <sheetName val="________-____________"/>
      <sheetName val="____--__________________"/>
      <sheetName val="____________"/>
      <sheetName val="__________"/>
      <sheetName val="______"/>
      <sheetName val="________________"/>
      <sheetName val="________(______"/>
      <sheetName val="________--______________"/>
      <sheetName val="________-______________"/>
      <sheetName val="????????-????"/>
      <sheetName val="????????"/>
      <sheetName val="??????????????????????????????"/>
      <sheetName val="????????-??????????????????????"/>
      <sheetName val="????????-????????????"/>
      <sheetName val="????--??????????????????"/>
      <sheetName val="????????????"/>
      <sheetName val="??????????"/>
      <sheetName val="??????"/>
      <sheetName val="????????????????"/>
      <sheetName val="????????(??????"/>
      <sheetName val="????????--??????????????"/>
      <sheetName val="????????-??????????????"/>
      <sheetName val="office supplies"/>
      <sheetName val="G&amp;A_Jan"/>
      <sheetName val="2006应付账款"/>
      <sheetName val="truc tiep"/>
      <sheetName val="关联交易-存款a_x0000__x0000__x0000__x"/>
      <sheetName val="关联交易-存款h_x0001__x0000__x0001__x"/>
      <sheetName val="关联交易-存款_x0000__x0000__x0000__x0"/>
      <sheetName val="N29-1-预收款及其他应付款项"/>
      <sheetName val="E100"/>
      <sheetName val="N100"/>
      <sheetName val="关联方清单"/>
      <sheetName val="????-??"/>
      <sheetName val="Consol_OR"/>
      <sheetName val="P.1预收、其他应付、其他流动负债"/>
      <sheetName val="后台"/>
      <sheetName val="G.预付账款、其他应收款、其他流动资产"/>
      <sheetName val="P"/>
      <sheetName val="P100"/>
      <sheetName val=" U150"/>
      <sheetName val="销售收入成本"/>
      <sheetName val="关联交易-存款%ঀȿঀȿ_x005f_x0001_"/>
      <sheetName val="申报表封面Cover"/>
      <sheetName val="2-分类汇总 Classified Summary"/>
      <sheetName val="关联交易-存款a_x005f_x0000__x005f_x0000__x005f_x0000__x"/>
      <sheetName val="关联交易-存款%ঀȿঀȿ_x005f_x005f_x005f_x0001_"/>
      <sheetName val="资产负债表"/>
      <sheetName val="Financ. Overview"/>
      <sheetName val="Toolbox"/>
      <sheetName val="各年往来 (2)"/>
      <sheetName val="IFRS REPORTING"/>
      <sheetName val="PLJAN"/>
      <sheetName val="CBUGL"/>
      <sheetName val="____-__"/>
      <sheetName val="汇率表"/>
      <sheetName val="A3"/>
      <sheetName val="C4_"/>
      <sheetName val="关联交易-存款h_x005f_x0001__x005f_x0000__x005f_x0001__x"/>
      <sheetName val="关联交易-存款hࢀ ࢀ _x005f_x0001_"/>
      <sheetName val="15年研发项目定稿"/>
      <sheetName val="S应收票据"/>
      <sheetName val="±íÍâÏîÄ¿£­ÒøÐÐ³Ð6Ò»ãÆ±£¨Íâ±Ò£©"/>
      <sheetName val="±íÍâÏîÄ¿-ÒøÐÐ³Ð¶Ò»ãÆ±#¨ÈËÃñ±Ò£©"/>
      <sheetName val="±íÍâÏîÄ¿-¿ª³ö±£Ö¤Æ¾PÅ"/>
      <sheetName val="´û¿îÇ°J®Ãû"/>
      <sheetName val="×ªÌyÏÖ"/>
      <sheetName val="下拉列表存储页"/>
      <sheetName val="N21-2-期末存货整车分车型"/>
      <sheetName val="F-5"/>
      <sheetName val="ENT"/>
      <sheetName val="FTHL"/>
      <sheetName val="GX"/>
      <sheetName val="IN"/>
      <sheetName val="ITCD"/>
      <sheetName val="LVLT"/>
      <sheetName val="MFNX"/>
      <sheetName val="NOPT"/>
      <sheetName val="TCM"/>
      <sheetName val="TSIX"/>
      <sheetName val="WCG"/>
      <sheetName val="关联交易-存款_x005f_x0000__x005f_x0000__x005f_x0000__x0"/>
      <sheetName val="A5.Summary"/>
      <sheetName val="关联交易-存款a_x005f_x005f_x005f_x0000__x005f_x005f_x00"/>
      <sheetName val="#REF"/>
      <sheetName val="关联交易-存款h_x005f_x0001_"/>
      <sheetName val="关联交易-存款%ঀȿঀȿ_x005f_x005f_x005f_x005f_x005f_x005f_"/>
      <sheetName val="关联交易-存款_x005f_x005f_x005f_x0000__x005f_x005f_x000"/>
      <sheetName val="关联交易-存款h_x005f_x005f_x005f_x0001__x005f_x005f_x00"/>
      <sheetName val="关联交易-存款hࢀ ࢀ _x005f_x005f_x005f_x0001_"/>
      <sheetName val="link"/>
      <sheetName val="Breakdown"/>
      <sheetName val="2012"/>
      <sheetName val="关联交易-存款a_x005f_x005f_x005f_x005f_x005f_x005f_x000"/>
      <sheetName val="热力"/>
      <sheetName val="固定资产预测"/>
      <sheetName val="土地底稿"/>
      <sheetName val="zero (3)"/>
      <sheetName val="Valuation"/>
      <sheetName val="3.2"/>
      <sheetName val="热力系统"/>
      <sheetName val="科目余额表"/>
      <sheetName val="A3_20141231"/>
      <sheetName val="Sheet3"/>
      <sheetName val="F101"/>
      <sheetName val="삅ོ䚋栠"/>
      <sheetName val="삅ོ䚋栠Ѫ"/>
      <sheetName val="삅ོ䚋"/>
      <sheetName val="삅ོ䚋栠Ѫ_x0000_ࡪ㋨ﯾ_xffff_ﱅ잃蔐緀薼"/>
      <sheetName val="삅ོ䚋栠Ѫ_x0000_ࡪ㋨ﯾ_xffff_ﱅ잃蔐緀薼糀"/>
      <sheetName val="삅ོ䚋栠Ѫ_x0000_ࡪ㋨ﯾ_xffff_ﱅ"/>
      <sheetName val="삅ོ䚋栠Ѫ_x0000_ࡪ㋨ﯾ_xffff_ﱅ잃蔐"/>
      <sheetName val="삅ོ䚋栠Ѫ_x0000_ࡪ㋨"/>
      <sheetName val="삅ོ䚋栠Ѫ_x0000_ࡪ㋨ﯾ_xffff_ﱅ잃"/>
      <sheetName val="삅ོ䚋栠Ѫ_x0000_ࡪ㋨ﯾ_xffff_ﱅ잃蔐緀薼糀謋⁎橓晴￻孟싉_x0004_譕凬䚋茠ﱥ"/>
      <sheetName val="삅ོ䚋栠Ѫ_x0000_ࡪ㋨ﯾ_xffff_ﱅ잃蔐緀薼糀謋⁎橓晴￻孟싉_x0004_譕凬䚋茠ﱥ謀"/>
      <sheetName val="삅ོ䚋栠Ѫ_x0000_ࡪ㋨ﯾ_xffff_ﱅ잃蔐緀薼糀謋⁎橓晴"/>
      <sheetName val="삅ོ䚋栠Ѫ_x0000_ࡪ㋨ﯾ_xffff_ﱅ잃蔐緀薼糀謋⁎橓晴￻孟싉"/>
      <sheetName val="삅ོ䚋栠Ѫ_x0000_ࡪ㋨ﯾ_xffff_"/>
      <sheetName val="삅ོ䚋栠Ѫ_x0000_ࡪ㋨ﯾ_xffff_ﱅ잃蔐緀薼糀謋⁎橓晴￻孟"/>
      <sheetName val="关联交易-存款lঀ;ঀ;_x0001_"/>
      <sheetName val="关联交易-存款l઀Ƽ઀Ƽ_x0001_"/>
      <sheetName val="A_R_011"/>
      <sheetName val="Defer_tax1"/>
      <sheetName val="ADJ_Sum(console)1"/>
      <sheetName val="Estimated_AP_9_031"/>
      <sheetName val="2005_06"/>
      <sheetName val="关联交易-存款%ঀȿঀȿ"/>
      <sheetName val="Mar_OR"/>
      <sheetName val="关联交易-存款h"/>
      <sheetName val="关联交易-存款hࢀ_ࢀ_"/>
      <sheetName val="REC_97"/>
      <sheetName val="daywork-_Tham_khao"/>
      <sheetName val="TB_Link"/>
      <sheetName val="A3 Sum"/>
      <sheetName val="Invest "/>
      <sheetName val="选项"/>
      <sheetName val="填列指引"/>
      <sheetName val="关联交易-存款h_x005f_x005f_x005f_x0001_"/>
      <sheetName val="XL4Poppy"/>
      <sheetName val="F1"/>
      <sheetName val="关联方"/>
      <sheetName val="23"/>
      <sheetName val="Inv_days #5"/>
      <sheetName val="arDB"/>
      <sheetName val="control sheet fund II"/>
      <sheetName val="封面"/>
      <sheetName val="Input"/>
      <sheetName val="调整分录汇总上年"/>
      <sheetName val="调整分录汇总本年"/>
      <sheetName val="科目名称"/>
      <sheetName val="Exec Summary"/>
      <sheetName val="索引"/>
      <sheetName val="待摊费用审定表"/>
      <sheetName val="货币资金审定表"/>
      <sheetName val="销售成本审定表"/>
      <sheetName val="销售费用审定表"/>
      <sheetName val="应付帐款"/>
      <sheetName val="SW-TEO"/>
      <sheetName val="估值折扣率表"/>
      <sheetName val="关联交易-存款a_x005f_x0000__x00"/>
      <sheetName val="关联交易-存款h_x005f_x0001__x00"/>
      <sheetName val="关联交易-存款%ঀȿঀȿ_x005f_x005f_"/>
      <sheetName val="关联交易-存款a_x005f_x005f_x000"/>
      <sheetName val="关联交易-存款_x005f_x0000__x000"/>
      <sheetName val="N.应付账款"/>
      <sheetName val="Raw materials"/>
      <sheetName val="表头内容"/>
      <sheetName val="敏感性"/>
      <sheetName val="TAB.Daten"/>
      <sheetName val="IR_Deckblatt"/>
      <sheetName val="42贴现"/>
      <sheetName val="43贴现融资"/>
      <sheetName val="Register"/>
      <sheetName val="U40"/>
      <sheetName val="业招费"/>
      <sheetName val="关联交易-存款h_x005f_x005f_x005f_x005f_x005f_x005f_x000"/>
      <sheetName val="关联交易-存款hࢀ ࢀ _x005f_x005f_x005f_x005f_x005f_x005f_"/>
      <sheetName val="关联交易-存款_x005f_x005f_x005f_x005f_x005f_x005f_x0000"/>
      <sheetName val="关联交易-存款a_x005f_x005f_x005f_x005f_x005f_x005f_x005"/>
      <sheetName val="삅ོ䚋栠Ѫ_x005f_x0000_ࡪ㋨ﯾ_x005f_xffff_ﱅ잃蔐緀薼"/>
      <sheetName val="삅ོ䚋栠Ѫ_x005f_x0000_ࡪ㋨ﯾ_x005f_xffff_ﱅ잃蔐緀薼糀"/>
      <sheetName val="삅ོ䚋栠Ѫ_x005f_x0000_ࡪ㋨ﯾ_x005f_xffff_ﱅ"/>
      <sheetName val="삅ོ䚋栠Ѫ_x005f_x0000_ࡪ㋨ﯾ_x005f_xffff_ﱅ잃蔐"/>
      <sheetName val="삅ོ䚋栠Ѫ_x005f_x0000_ࡪ㋨"/>
      <sheetName val="삅ོ䚋栠Ѫ_x005f_x0000_ࡪ㋨ﯾ_x005f_xffff_ﱅ잃"/>
      <sheetName val="삅ོ䚋栠Ѫ_x005f_x0000_ࡪ㋨ﯾ_x005f_xffff_ﱅ잃蔐緀薼糀謋⁎橓"/>
      <sheetName val="삅ོ䚋栠Ѫ_x005f_x0000_ࡪ㋨ﯾ_x005f_xffff_"/>
      <sheetName val="关联交易-存款lঀ;ঀ;_x005f_x0001_"/>
      <sheetName val="关联交易-存款l઀Ƽ઀Ƽ_x005f_x0001_"/>
      <sheetName val="综合"/>
      <sheetName val="3-1-1现金"/>
      <sheetName val="关联交易-存款_x005f_x005f_x0000"/>
      <sheetName val="关联交易-存款h_x005f_x005f_x000"/>
      <sheetName val="关联交易-存款hࢀ ࢀ _x005f_x005f_"/>
      <sheetName val="Confirmation"/>
      <sheetName val="ZLR1"/>
      <sheetName val="F2100-半成品"/>
      <sheetName val="F2000-委托加工物资"/>
      <sheetName val="F1000芯片"/>
      <sheetName val="F1100芯片测试费 "/>
      <sheetName val="其他應付款代碼"/>
      <sheetName val="DLDB10"/>
      <sheetName val="按产品收入汇总"/>
      <sheetName val="HP"/>
      <sheetName val="FA1"/>
      <sheetName val="SCHE-F"/>
      <sheetName val="关联交易-存款a_x005f_x005f_x005f_x0000__x00"/>
      <sheetName val="关联交易-存款%ঀȿঀȿ_x005f_x005f_x005f_x005f_"/>
      <sheetName val="科目源"/>
      <sheetName val="科目"/>
      <sheetName val="9D4FF100"/>
      <sheetName val="YS02-02"/>
      <sheetName val="2-回收分析"/>
      <sheetName val="控制页"/>
      <sheetName val="Ex Diff"/>
      <sheetName val="科目序列"/>
      <sheetName val="Mapping"/>
      <sheetName val="STOCKGRGIDATA"/>
      <sheetName val="完"/>
      <sheetName val="II- Liability Component June 04"/>
      <sheetName val="I-Conclusion "/>
      <sheetName val="II- Liab. comp_IAS"/>
      <sheetName val="Conversion feature"/>
      <sheetName val="Collateral"/>
      <sheetName val="Control"/>
      <sheetName val="I- Summary"/>
      <sheetName val="Cashflow(Scenario)"/>
      <sheetName val="Sch PR-2"/>
      <sheetName val="Sch PR-3"/>
      <sheetName val="Consol BS"/>
      <sheetName val="HO &amp; Aust BS"/>
      <sheetName val="胡匀匀"/>
      <sheetName val="JAC11.30"/>
      <sheetName val="中行汇率表"/>
      <sheetName val="Part_Datum"/>
      <sheetName val="5a"/>
      <sheetName val="6a"/>
      <sheetName val="4cI"/>
      <sheetName val="N19-1-预付、其他应收等"/>
      <sheetName val="cashflow-commercial"/>
      <sheetName val="关联交易-存款a_x0000__x00"/>
      <sheetName val="关联交易-存款%ঀȿঀȿ_"/>
      <sheetName val="truc_tiep"/>
      <sheetName val="P_1预收、其他应付、其他流动负债"/>
      <sheetName val="_U150"/>
      <sheetName val="G_预付账款、其他应收款、其他流动资产"/>
      <sheetName val="2-分类汇总_Classified_Summary"/>
      <sheetName val="CVRs"/>
      <sheetName val="Tier1 Pref SGP"/>
      <sheetName val="Contribution"/>
      <sheetName val="Rev. Losses"/>
      <sheetName val="Repurchase"/>
      <sheetName val="SoP SGP2"/>
      <sheetName val="Europe"/>
      <sheetName val="CVG"/>
      <sheetName val="H"/>
      <sheetName val="Impact"/>
      <sheetName val="Prop R"/>
      <sheetName val="PacMan"/>
      <sheetName val="Tier1 Pref SBP"/>
      <sheetName val="BS"/>
      <sheetName val="NewBid"/>
      <sheetName val="Budget"/>
      <sheetName val="Income Statement breakdown"/>
      <sheetName val="资料情况统计表"/>
      <sheetName val="PG-Y-4(3)摊销测算表"/>
      <sheetName val="专项应付款2"/>
      <sheetName val="销售6.13"/>
      <sheetName val="Beta计算表"/>
      <sheetName val="基本信息输入表"/>
      <sheetName val="表3-股东权益计算表(此表不用填写)"/>
      <sheetName val="关联交易-存款h_x0001__x00"/>
      <sheetName val="关联交易-存款_x0000__x000"/>
      <sheetName val="삅ོ䚋栠Ѫ_x0000_ࡪ㋨ﯾ_xffff_ﱅ잃蔐緀薼糀謋⁎橓"/>
      <sheetName val="关联交易-存款a_x000"/>
      <sheetName val="关联交易-存款_x0000"/>
      <sheetName val="关联交易-存款h_x000"/>
      <sheetName val="关联交易-存款hࢀ ࢀ _"/>
      <sheetName val="关联交易-存款a_x005f_x005f_x005"/>
      <sheetName val="关联交易-存款?_x0000__x0000_滨㠼_x0000_"/>
      <sheetName val="关联交易-存款?_x0000__x0000__x0000__x0000__x0000_"/>
      <sheetName val="关联交易-存款_x0000__x0000_茀戫_x0000_"/>
      <sheetName val="关联交易-存款?_x0000__x0000_滨?_x0000__x001a__x0000__x0000__x0000__x0000_ _x0000_"/>
      <sheetName val="账面外销"/>
      <sheetName val="链接勿动"/>
      <sheetName val="12月发往外库产品明细表"/>
      <sheetName val="内部交易抵销"/>
      <sheetName val="关联交易-存款h_x005f_x005f_x005f_x0001__x00"/>
      <sheetName val="关联交易-存款a_x005f_x005f_x005f_x005f_x000"/>
      <sheetName val="关联交易-存款_x005f_x005f_x005f_x0000__x000"/>
      <sheetName val="qad TB"/>
      <sheetName val="data"/>
      <sheetName val="code"/>
      <sheetName val="收入明细－按客户"/>
      <sheetName val="月份"/>
      <sheetName val="短期投资股票投资.dbf"/>
      <sheetName val="短期投资国债投资.dbf"/>
      <sheetName val="股票投资收益.dbf"/>
      <sheetName val="其他货币海通.dbf"/>
      <sheetName val="其他货币零领路.dbf"/>
      <sheetName val="投资收益债券.dbf"/>
      <sheetName val="ARP-U501"/>
      <sheetName val="收入"/>
      <sheetName val="说明"/>
      <sheetName val="CQFMA"/>
      <sheetName val="关联交易-存款"/>
      <sheetName val="个人欠款账龄分析表"/>
      <sheetName val="12进销存"/>
      <sheetName val="辅助信息"/>
      <sheetName val="List数据"/>
      <sheetName val="Base Info"/>
      <sheetName val="PV6 3.5L LX5 GMX170"/>
      <sheetName val="12"/>
      <sheetName val="蒸汽冷凝水回收"/>
      <sheetName val="Factors"/>
      <sheetName val="Company Information"/>
      <sheetName val="lookup"/>
      <sheetName val="param"/>
      <sheetName val="Traduction"/>
      <sheetName val="O"/>
      <sheetName val="6118"/>
      <sheetName val="OR"/>
      <sheetName val="P&amp;L adhoc"/>
      <sheetName val="Suppl Adhoc Inv (F)"/>
      <sheetName val="Suppl Adhoc Pers"/>
      <sheetName val="401-Mobo收入汇总"/>
      <sheetName val="QTR Data Analysis"/>
      <sheetName val="TIGROUP(LIT)"/>
      <sheetName val="BBEURO"/>
      <sheetName val="TIWIRE(LIT)"/>
      <sheetName val="Disclosure Summary"/>
      <sheetName val="关联交易-存款h_x0001_?_x0001_??"/>
      <sheetName val="关联交易-存款a???_x"/>
      <sheetName val="关联交易-存款h_x0001___x0001___"/>
      <sheetName val="关联交易-存款a____x"/>
      <sheetName val="REPORT"/>
      <sheetName val="UFPrn20130826085456"/>
      <sheetName val="UFPrn20130826085545"/>
      <sheetName val="关联交易-存款h_x005f_x005f_x005"/>
      <sheetName val="关联交易-存款_x005f_x005f_x005f"/>
      <sheetName val="삅ོ䚋栠Ѫ_x005f_x0000_ࡪ㋨ﯾ_xff"/>
      <sheetName val="BOX SUM"/>
      <sheetName val="FIN GOOD"/>
      <sheetName val="TreeViewRécursif"/>
      <sheetName val="Consol"/>
      <sheetName val="schedule"/>
      <sheetName val="ACTINV"/>
      <sheetName val="经济评价"/>
      <sheetName val="损益表"/>
      <sheetName val="Hyperion Link"/>
      <sheetName val="Open"/>
      <sheetName val="Cover"/>
      <sheetName val="按客户"/>
      <sheetName val="利息7月-8月"/>
      <sheetName val="首先输入"/>
      <sheetName val="dm"/>
      <sheetName val="旷视"/>
      <sheetName val="_04009"/>
      <sheetName val="_0401"/>
      <sheetName val="UFPrn20040930171821"/>
      <sheetName val="A_R_012"/>
      <sheetName val="ADJ_Sum(console)2"/>
      <sheetName val="Defer_tax2"/>
      <sheetName val="Estimated_AP_9_032"/>
      <sheetName val="2005_061"/>
      <sheetName val="REC_971"/>
      <sheetName val="Mar_OR1"/>
      <sheetName val="daywork-_Tham_khao1"/>
      <sheetName val="Financ__Overview"/>
      <sheetName val="各年往来_(2)"/>
      <sheetName val="IFRS_REPORTING"/>
      <sheetName val="TB_Link1"/>
      <sheetName val="office_supplies"/>
      <sheetName val="关联交易-存款hࢀ_ࢀ__x005f_x0001_"/>
      <sheetName val="关联交易-存款hࢀ_ࢀ__x005f_x005f_x005f_x0001_"/>
      <sheetName val="zero_(3)"/>
      <sheetName val="A3_Sum"/>
      <sheetName val="关联交易-存款h_x"/>
      <sheetName val="A5_Summary"/>
      <sheetName val="삅ོ䚋栠Ѫࡪ㋨ﯾﱅ잃蔐緀薼糀謋⁎橓晴￻孟싉譕凬䚋茠ﱥ"/>
      <sheetName val="삅ོ䚋栠Ѫࡪ㋨ﯾﱅ잃蔐緀薼糀謋⁎橓晴￻孟싉譕凬䚋茠ﱥ謀"/>
      <sheetName val="关联交易-存款lঀ;ঀ;"/>
      <sheetName val="关联交易-存款l઀Ƽ઀Ƽ"/>
      <sheetName val="Invest_"/>
      <sheetName val="3_2"/>
      <sheetName val="Inv_days_#5"/>
      <sheetName val="control_sheet_fund_II"/>
      <sheetName val="Exec_Summary"/>
      <sheetName val="F1100芯片测试费_"/>
      <sheetName val="关联交易-存款?滨? "/>
      <sheetName val="dxnsjtempsheet"/>
      <sheetName val="F"/>
      <sheetName val="合并抵消"/>
      <sheetName val="材料采购－原材料（购价）"/>
      <sheetName val="_701"/>
      <sheetName val="_702"/>
      <sheetName val="_703"/>
      <sheetName val="_704"/>
      <sheetName val="_705"/>
      <sheetName val="_712"/>
      <sheetName val="延期开票"/>
      <sheetName val="审定表"/>
      <sheetName val="J301"/>
      <sheetName val="SY表35-1第二次筛选表"/>
      <sheetName val="表头信息"/>
      <sheetName val="UFPrn20070303114642"/>
      <sheetName val="12月份产成品入库"/>
      <sheetName val="QT07"/>
      <sheetName val="QT全年收发存"/>
      <sheetName val="208"/>
      <sheetName val="12月份原材料出库"/>
      <sheetName val="11月产成品入库"/>
      <sheetName val="QT01"/>
      <sheetName val="QT02"/>
      <sheetName val="209"/>
      <sheetName val="206"/>
      <sheetName val="207"/>
      <sheetName val="203"/>
      <sheetName val="212"/>
      <sheetName val="211"/>
      <sheetName val="210"/>
      <sheetName val="204"/>
      <sheetName val="205"/>
      <sheetName val="201"/>
      <sheetName val="Tickmarks"/>
      <sheetName val="Aging"/>
      <sheetName val="Movement"/>
      <sheetName val="2004"/>
      <sheetName val="P1"/>
      <sheetName val="ref"/>
      <sheetName val="Con"/>
      <sheetName val="Refer"/>
      <sheetName val="Orders"/>
      <sheetName val="Price List"/>
      <sheetName val="note(1)"/>
      <sheetName val="（一）货币资金"/>
      <sheetName val="二厂单位成本结构图"/>
      <sheetName val="PROCESS"/>
      <sheetName val="1461（12.6）"/>
      <sheetName val="W"/>
      <sheetName val="真实性U120C"/>
      <sheetName val="CRITERIA1"/>
      <sheetName val="CRITERIA2"/>
      <sheetName val="披露表(上市)"/>
      <sheetName val="披露表(国资)"/>
      <sheetName val="ZA5"/>
      <sheetName val="FJ1"/>
      <sheetName val="ZH2"/>
      <sheetName val="FJ2"/>
      <sheetName val="ZX1"/>
      <sheetName val="ZX2"/>
      <sheetName val="Main"/>
      <sheetName val="1"/>
      <sheetName val="高嘉大厦2-5"/>
      <sheetName val="累计销售"/>
      <sheetName val="Disposition"/>
      <sheetName val="_200209"/>
      <sheetName val="8042"/>
      <sheetName val="折旧计算表"/>
      <sheetName val="折旧年限测算表"/>
      <sheetName val="表4_13_1无形资产—土地使用权"/>
      <sheetName val="Contacts"/>
      <sheetName val="出库"/>
      <sheetName val="入库"/>
      <sheetName val="2002P-BU"/>
      <sheetName val="P&amp;L(S1)"/>
      <sheetName val="Payed bonuses"/>
      <sheetName val="Help"/>
      <sheetName val="PXMODEL"/>
      <sheetName val="AVP"/>
      <sheetName val="Output2"/>
      <sheetName val="Module6"/>
      <sheetName val="Output &amp; Financial Statements"/>
      <sheetName val="DCF"/>
      <sheetName val="MainPrintCode"/>
      <sheetName val="Old TWX Quorfa"/>
      <sheetName val="TWX Model"/>
      <sheetName val="FS Output 4"/>
      <sheetName val="FS Output 1"/>
      <sheetName val="FS Output 3"/>
      <sheetName val="FS Output2"/>
      <sheetName val="Deal Structure &amp; Control Page"/>
      <sheetName val="Historic Comps"/>
      <sheetName val="Synergies"/>
      <sheetName val="承诺项目说明"/>
      <sheetName val="链接勿删"/>
      <sheetName val="广告费和业务宣传费表"/>
      <sheetName val="资产减值准备表"/>
      <sheetName val="工资薪金表"/>
      <sheetName val="公允价值计量资产纳税调整表"/>
      <sheetName val="附件(excel）"/>
      <sheetName val="业务招待费表"/>
      <sheetName val="A300-2014-futrue"/>
      <sheetName val="短期借款"/>
      <sheetName val="分类表"/>
      <sheetName val="A300-2014-futrue_IFRS"/>
      <sheetName val="A1-IFRS报表"/>
      <sheetName val="Bank card list"/>
      <sheetName val=""/>
      <sheetName val="All Cash Dil"/>
      <sheetName val="关联交易-存款_x005f_x005f_x005f_x005f_x005f_x005f_x005f"/>
      <sheetName val="关联交易-存款h_x005f_x005f_x005f_x005f_x005f_x005f_x005"/>
      <sheetName val="关联交易-存款_x005f_x005f_x005f_x005f_x0000"/>
      <sheetName val="关联交易-存款h_x005f_x005f_x005f_x005f_x000"/>
      <sheetName val="关联交易-存款hࢀ ࢀ _x005f_x005f_x005f_x005f_"/>
      <sheetName val="삅ོ䚋栠Ѫ_x005f_x005f_x005f_x0000_ࡪ㋨ﯾ_x005f_x005f_xff"/>
      <sheetName val="삅ོ䚋栠Ѫ_x005f_x005f_x005f_x0000_ࡪ㋨"/>
      <sheetName val="关联交易-存款lঀ;ঀ;_x005f_x005f_x005f_x0001_"/>
      <sheetName val="关联交易-存款l઀Ƽ઀Ƽ_x005f_x005f_x005f_x0001_"/>
      <sheetName val="データ"/>
      <sheetName val="1- Input &amp; Info"/>
      <sheetName val="CUSTOMER (DETAIL)"/>
      <sheetName val="Database"/>
      <sheetName val="Narrative"/>
      <sheetName val="20071-10月原材料发出计价测试(不打)"/>
      <sheetName val="投资收益Dy"/>
      <sheetName val="投资收益Mx"/>
      <sheetName val="200712"/>
      <sheetName val="自制半成品1-12计价测试"/>
      <sheetName val="产成品收发存余额表1-12"/>
      <sheetName val="A430"/>
      <sheetName val="A子公司"/>
      <sheetName val="关联交易-存款_"/>
      <sheetName val="关联交易-存款a_x005"/>
      <sheetName val="数据有效性来源"/>
      <sheetName val="Lease AP 2008"/>
      <sheetName val="Antivol D2"/>
      <sheetName val="Vendor Data"/>
      <sheetName val="Account"/>
      <sheetName val="D4RP"/>
      <sheetName val="LinkData"/>
      <sheetName val="员工工资"/>
      <sheetName val="原因汇总"/>
      <sheetName val="Romford Market"/>
      <sheetName val="Group"/>
      <sheetName val="&lt;FF&gt; Tax Payable"/>
      <sheetName val="PPD Schedule"/>
      <sheetName val="U200"/>
      <sheetName val="披露表（上市）"/>
      <sheetName val="{lookup}"/>
      <sheetName val="VAR"/>
      <sheetName val="设置"/>
      <sheetName val="清单12.31"/>
      <sheetName val="実績SK"/>
      <sheetName val="入库分类"/>
      <sheetName val="Economic evaluation - FY98 base"/>
      <sheetName val="PKH"/>
      <sheetName val="控制测试样本量"/>
      <sheetName val="NBCF"/>
      <sheetName val="QAD-面套库存"/>
      <sheetName val="2.5上年现金试算"/>
      <sheetName val="基本信息"/>
      <sheetName val="623"/>
      <sheetName val="original"/>
      <sheetName val="799"/>
      <sheetName val="Base Data"/>
      <sheetName val="Title"/>
      <sheetName val="product"/>
      <sheetName val="664"/>
      <sheetName val="663"/>
      <sheetName val="6-历史收入趋势-LTM"/>
      <sheetName val="삅ོ䚋栠Ѫ_x005f_x005f_x005f_x005f_x005f_x005f_x005f_x0000_ࡪ"/>
      <sheetName val="本年店铺级表"/>
      <sheetName val="参数"/>
      <sheetName val="ROIC分析"/>
      <sheetName val="FY02"/>
      <sheetName val="Print"/>
      <sheetName val="关联交易-存款__x0000__x0000_滨㠼_x0000_"/>
      <sheetName val="关联交易-存款__x0000__x0000__x0000__x"/>
      <sheetName val="关联交易-存款__x0000__x0000_滨__x0000_"/>
      <sheetName val="2001预提费用"/>
      <sheetName val="PBC-&gt;"/>
      <sheetName val="1.0"/>
      <sheetName val="美日管理费用6"/>
      <sheetName val="Detail Loan Move. &amp; Listing"/>
      <sheetName val="关联交易-存款_x0000__x0000_2016"/>
      <sheetName val="关联交易-存款0_x0000_2016"/>
      <sheetName val="关联交易-存款l_x0000_2016"/>
      <sheetName val="Currency"/>
      <sheetName val="Non-Statistical Sampling"/>
      <sheetName val="AR Drop Downs"/>
      <sheetName val="DropDown"/>
      <sheetName val="PRC GAAP"/>
      <sheetName val="分类请勿修改"/>
      <sheetName val="关联交易-存款0"/>
      <sheetName val="关联交易-存款l"/>
      <sheetName val="c"/>
      <sheetName val="Properties"/>
      <sheetName val="Setup"/>
      <sheetName val="___耀____--______________"/>
      <sheetName val="上年试算表(利)"/>
      <sheetName val="本年试算表(利)"/>
      <sheetName val="本年试算表(资)"/>
      <sheetName val="SENSITIVITY"/>
      <sheetName val="原报调整分录"/>
      <sheetName val="审计调整分录"/>
      <sheetName val="DWMC"/>
      <sheetName val="营业收入和税金及附加估算表"/>
      <sheetName val="addl cost"/>
      <sheetName val="detail"/>
      <sheetName val="综合成本分析01.01-0205"/>
      <sheetName val="短期借款汇总表"/>
      <sheetName val="长期借款汇总表"/>
      <sheetName val="汇总底稿"/>
      <sheetName val="汇总"/>
      <sheetName val="Consumer"/>
      <sheetName val="CY sales report"/>
      <sheetName val="毛利率分析表"/>
      <sheetName val="AR"/>
      <sheetName val="_0101主料"/>
      <sheetName val="_0102中草药"/>
      <sheetName val="_0104燃料"/>
      <sheetName val="_0106备品备件"/>
      <sheetName val="_0109辅料"/>
      <sheetName val="_0110化剂"/>
      <sheetName val="_0206标签"/>
      <sheetName val="_0207纸箱纸盒"/>
      <sheetName val="_0208瓶类"/>
      <sheetName val="_0302办公用品"/>
      <sheetName val="_0303工具"/>
      <sheetName val="_0304玻璃仪器"/>
      <sheetName val="_0399其他"/>
      <sheetName val="_04产成品"/>
      <sheetName val="_05自制半成品"/>
      <sheetName val="_0108劳保"/>
      <sheetName val="_0112气体"/>
      <sheetName val="0101主料"/>
      <sheetName val="0102中草药"/>
      <sheetName val="0104燃料"/>
      <sheetName val="0106备品备件"/>
      <sheetName val="0109辅料"/>
      <sheetName val="0110化剂"/>
      <sheetName val="0112气体"/>
      <sheetName val="0206标签"/>
      <sheetName val="0207纸箱纸盒"/>
      <sheetName val="0208瓶类"/>
      <sheetName val="0302办公用品"/>
      <sheetName val="0303工具"/>
      <sheetName val="0304玻璃仪器"/>
      <sheetName val="0399其他材料"/>
      <sheetName val="05自制半成品"/>
      <sheetName val="CTSA2002"/>
      <sheetName val="SD-Report 5&quot;"/>
      <sheetName val="关联交易-存款hࢀ_ࢀ__x0001_"/>
      <sheetName val="M Schedules"/>
      <sheetName val="Staff List"/>
      <sheetName val="整体计划"/>
      <sheetName val="主要会计政策"/>
      <sheetName val="基本情况"/>
      <sheetName val="SAP"/>
      <sheetName val="643"/>
      <sheetName val="665"/>
      <sheetName val="666"/>
      <sheetName val="667"/>
      <sheetName val="ProdCompar"/>
      <sheetName val="510"/>
      <sheetName val="677"/>
      <sheetName val="Revenue"/>
      <sheetName val="关联交易-存款a_x005f_x005f_x005f_x005f_x005"/>
      <sheetName val="Sheet7"/>
      <sheetName val="Rejects PPM"/>
      <sheetName val="Roadmap"/>
      <sheetName val="QOS RPPM"/>
      <sheetName val="Standort (DE)"/>
      <sheetName val="Laendercodes"/>
      <sheetName val="LISTS"/>
      <sheetName val="Act Vol"/>
      <sheetName val="Validations"/>
      <sheetName val="FF-3"/>
      <sheetName val="填表说明"/>
      <sheetName val="索引（补充）"/>
      <sheetName val="申报表封面（此表不填，填索引）"/>
      <sheetName val="填表注意事项（先看）"/>
      <sheetName val="链接表（勿动） 元)"/>
      <sheetName val="链接表（勿动）"/>
      <sheetName val="流动资产链接表"/>
      <sheetName val="存货链接表"/>
      <sheetName val="链接表"/>
      <sheetName val="企业基本情况"/>
      <sheetName val="两次基准日的对比 (0531与0831)"/>
      <sheetName val="两次基准日的对比"/>
      <sheetName val="长期股权投资表"/>
      <sheetName val="收益法汇总表"/>
      <sheetName val="链接表（勿动） (元表)"/>
      <sheetName val="链接表万元（勿动）"/>
      <sheetName val="流动资产链接表（勿动）"/>
      <sheetName val="贵阳精铸表格填报问题"/>
      <sheetName val="1-汇总表"/>
      <sheetName val="2-分类汇总"/>
      <sheetName val="3-流动汇总"/>
      <sheetName val="3-1货币汇总表"/>
      <sheetName val="3-1-2银行存款"/>
      <sheetName val="3-1-3其他货币资金"/>
      <sheetName val="3-2交易性金融资产汇总"/>
      <sheetName val="3-2-1交易性-股票"/>
      <sheetName val="3-2-2交易性-债券"/>
      <sheetName val="3-2-3交易性-基金"/>
      <sheetName val="3-3应收票据"/>
      <sheetName val="3-4应收账款"/>
      <sheetName val="3-5预付账款"/>
      <sheetName val="3-6应收利息"/>
      <sheetName val="3-7应收股利"/>
      <sheetName val="3-8其他应收款"/>
      <sheetName val="3-9存货汇总"/>
      <sheetName val="3-9-1材料采购（在途物资）"/>
      <sheetName val="3-9-3在库周转材料"/>
      <sheetName val="3-9-4委托加工物资"/>
      <sheetName val="3-9-2原材料"/>
      <sheetName val="3-9-5-1产成品（库存商品）"/>
      <sheetName val="3-9-5-2产成品(开发产品)"/>
      <sheetName val="3-9-5-3产成品(出租开发产品)"/>
      <sheetName val="3-9-6-1在产品（自制半成品）"/>
      <sheetName val="报废工装模具"/>
      <sheetName val="3-9-8在用周转材料（工装模具）"/>
      <sheetName val="3-9-8在用周转材料（工装模具1）"/>
      <sheetName val="3-9-6-2在产品(开发成本)"/>
      <sheetName val="3-9-7发出商品"/>
      <sheetName val="3-9-8在用周转材料"/>
      <sheetName val="3-9-9未结算工程"/>
      <sheetName val="3-10一年到期非流动资产"/>
      <sheetName val="3-11其他流动资产"/>
      <sheetName val="4-非流动资产汇总"/>
      <sheetName val="4-1可供出售金融资产汇总"/>
      <sheetName val="4-1-2可出售-债券"/>
      <sheetName val="4-1-1可出售-股票"/>
      <sheetName val="4-1-3可出售-其他"/>
      <sheetName val="4-2持有到期投资"/>
      <sheetName val="4-3长期应收"/>
      <sheetName val="页面设置"/>
      <sheetName val="4-4长期股权投资"/>
      <sheetName val="4-5投资性房地产汇总表"/>
      <sheetName val="4-5-1投资性房地产"/>
      <sheetName val="4-5-2投资性房地产"/>
      <sheetName val="4-5-3投资性地产"/>
      <sheetName val="4-5-4投资性地产"/>
      <sheetName val="4-6固定资产汇总"/>
      <sheetName val="固定资产闲置报废及产权情况统计（不填）"/>
      <sheetName val="4-6-1房屋建筑物"/>
      <sheetName val="4-6-2构筑物"/>
      <sheetName val="4-6-3管道沟槽"/>
      <sheetName val="报废资产清单"/>
      <sheetName val="原购置设备"/>
      <sheetName val="4-6-4机器设备"/>
      <sheetName val="废钢价格"/>
      <sheetName val="4-6-5车辆"/>
      <sheetName val="4-6-6电子设备"/>
      <sheetName val="4-6-7土地"/>
      <sheetName val="4-7在建工程汇总"/>
      <sheetName val="4-7-1在建（土建）"/>
      <sheetName val="4-7-2在建（设备）"/>
      <sheetName val="4-8工程物资"/>
      <sheetName val="4-9固定资产清理"/>
      <sheetName val="4-10生产性生物资产"/>
      <sheetName val="4-11油气资产"/>
      <sheetName val="4-12无形资产汇总"/>
      <sheetName val="4-12-1无形-土地"/>
      <sheetName val="4-12-2无形-矿业权"/>
      <sheetName val="4-12-3无形-其他"/>
      <sheetName val="4-12-4无形-技术、商标、著作权等"/>
      <sheetName val="4-13开发支出"/>
      <sheetName val="4-14商誉"/>
      <sheetName val="4-15长期待摊费用"/>
      <sheetName val="4-16递延所得税资产"/>
      <sheetName val="4-17其他非流动资产"/>
      <sheetName val="5-流动负债汇总"/>
      <sheetName val="流动负债链接表（不填勿动）"/>
      <sheetName val="5-1短期借款"/>
      <sheetName val="5-2交易性金融负债"/>
      <sheetName val="5-3应付票据"/>
      <sheetName val="5-4应付账款"/>
      <sheetName val="5-5预收账款"/>
      <sheetName val="5-6职工薪酬"/>
      <sheetName val="5-7应交税费"/>
      <sheetName val="5-8应付利息"/>
      <sheetName val="5-9应付股利（利润）"/>
      <sheetName val="5-10其他应付款"/>
      <sheetName val="5-11一年到期非流动负债"/>
      <sheetName val="5-12其他流动负债"/>
      <sheetName val="6-非流动负债汇总"/>
      <sheetName val="6-1长期借款"/>
      <sheetName val="6-2应付债券"/>
      <sheetName val="6-3长期应付款"/>
      <sheetName val="非流动负债链接表（不填勿动）"/>
      <sheetName val="6-4专项应付款"/>
      <sheetName val="6-5预计负债"/>
      <sheetName val="6-6递延所得税负债"/>
      <sheetName val="6-7其他非流动负债"/>
      <sheetName val="或有事项声明书"/>
      <sheetName val="期后事项声明书"/>
      <sheetName val="XREF"/>
      <sheetName val="关联交易-存款h_x005"/>
      <sheetName val="关联交易-存款_x005f"/>
      <sheetName val="1060"/>
      <sheetName val="Customer Name"/>
      <sheetName val="期末库存"/>
      <sheetName val="E101"/>
      <sheetName val="36"/>
      <sheetName val="T  B"/>
      <sheetName val="Sum"/>
      <sheetName val="细节测试审计抽样"/>
      <sheetName val="索引表"/>
      <sheetName val="Page-Acquisitions"/>
      <sheetName val="txfyb"/>
      <sheetName val="lrjsb"/>
      <sheetName val="zjfyb"/>
      <sheetName val="jcsjb"/>
      <sheetName val="zjsyb"/>
      <sheetName val="cbfyb"/>
      <sheetName val="ldzjb"/>
      <sheetName val="g101"/>
      <sheetName val="ARP-U201"/>
      <sheetName val="Instructions"/>
      <sheetName val="_001年其他业务利润"/>
      <sheetName val="_002年其他业务利润"/>
      <sheetName val="_003年其他业务利润"/>
      <sheetName val="_2U03营业费用"/>
      <sheetName val="2001年营业费用"/>
      <sheetName val="Quantity"/>
      <sheetName val="关联交易-存款__x005f_x0000__x005f_x0000_滨㠼_x005f_x0000_"/>
      <sheetName val="关联交易-存款__x005f_x0000__x005f_x0000__x005f_x0000__x"/>
      <sheetName val="关联交易-存款_x005f_x0000__x005f_x0000_茀戫_x005f_x0000_"/>
      <sheetName val="关联交易-存款__x005f_x0000__x005f_x0000_滨__x005f_x0000_"/>
      <sheetName val="IRR &amp; NPV"/>
      <sheetName val="全仕向地"/>
      <sheetName val="CHART_E"/>
      <sheetName val="DCCB"/>
      <sheetName val="cov"/>
      <sheetName val="附注"/>
      <sheetName val="ACC.NAME"/>
      <sheetName val="Variables"/>
      <sheetName val="6118-17"/>
      <sheetName val="U900"/>
      <sheetName val="Y2研发项目表"/>
      <sheetName val="ZP4"/>
      <sheetName val="zp5_kw38"/>
      <sheetName val="ZP7 gespritzt"/>
      <sheetName val="C-1 总表"/>
      <sheetName val="4.1-合同台帐"/>
      <sheetName val="sch9-1-1"/>
      <sheetName val="Income Statement and KPIs"/>
      <sheetName val="Financials"/>
      <sheetName val="HEADER"/>
      <sheetName val="底稿0000"/>
      <sheetName val="货币兑换汇率"/>
      <sheetName val="目录"/>
      <sheetName val="Sheet4"/>
      <sheetName val="statement 1998"/>
      <sheetName val="c_data"/>
      <sheetName val="co_code"/>
      <sheetName val="K31X"/>
      <sheetName val="XVIa(i) - average price (2)"/>
      <sheetName val="153541"/>
      <sheetName val="PLAC"/>
      <sheetName val="chen"/>
      <sheetName val="Covering"/>
      <sheetName val="E1"/>
      <sheetName val="PTC"/>
      <sheetName val="名称"/>
      <sheetName val="初表"/>
      <sheetName val="TB2005"/>
      <sheetName val="4-6生产"/>
      <sheetName val="4-6生产入库"/>
      <sheetName val="4-6销售出库"/>
      <sheetName val="7-9销售出库"/>
      <sheetName val="7-9生产零用"/>
      <sheetName val="7-9生产入库"/>
      <sheetName val="599"/>
      <sheetName val="LEDGER"/>
      <sheetName val="Table 13.1 - 3"/>
      <sheetName val="关联交易-存款h_x005f_x0001___x005f_x0001___"/>
      <sheetName val="BS1"/>
      <sheetName val="BS2"/>
      <sheetName val="PL"/>
      <sheetName val="固定资产明细表"/>
      <sheetName val="总目录"/>
      <sheetName val="关联交易-存款h_x005f_x005f_x005f_x0001___x005f_x005f_x0"/>
      <sheetName val="501"/>
      <sheetName val="713"/>
      <sheetName val="715"/>
      <sheetName val="752"/>
      <sheetName val="A300-试算平衡表"/>
      <sheetName val="2550"/>
      <sheetName val="2552"/>
      <sheetName val="_2562"/>
      <sheetName val="_2565"/>
      <sheetName val="3409"/>
      <sheetName val="5059"/>
      <sheetName val="5133"/>
      <sheetName val="GA5-2-1 明细表2015"/>
      <sheetName val="汇总表"/>
      <sheetName val="truc_tiep1"/>
      <sheetName val="P_1预收、其他应付、其他流动负债1"/>
      <sheetName val="G_预付账款、其他应收款、其他流动资产1"/>
      <sheetName val="_U1501"/>
      <sheetName val="2-分类汇总_Classified_Summary1"/>
      <sheetName val="N_应付账款"/>
      <sheetName val="Raw_materials"/>
      <sheetName val="II-_Liability_Component_June_04"/>
      <sheetName val="I-Conclusion_"/>
      <sheetName val="II-_Liab__comp_IAS"/>
      <sheetName val="Conversion_feature"/>
      <sheetName val="I-_Summary"/>
      <sheetName val="Ex_Diff"/>
      <sheetName val="关联交易-存款hࢀ_ࢀ__x005f_x005f_x005f_x005f_x005f_x005f_"/>
      <sheetName val="TAB_Daten"/>
      <sheetName val="Sch_PR-2"/>
      <sheetName val="Sch_PR-3"/>
      <sheetName val="Consol_BS"/>
      <sheetName val="HO_&amp;_Aust_BS"/>
      <sheetName val="JAC11_30"/>
      <sheetName val="Tier1_Pref_SGP"/>
      <sheetName val="Rev__Losses"/>
      <sheetName val="SoP_SGP2"/>
      <sheetName val="Prop_R"/>
      <sheetName val="Tier1_Pref_SBP"/>
      <sheetName val="关联交易-存款hࢀ_ࢀ__x005f_x005f_"/>
      <sheetName val="qad_TB"/>
      <sheetName val="Income_Statement_breakdown"/>
      <sheetName val="销售6_13"/>
      <sheetName val="关联交易-存款?滨?_"/>
      <sheetName val="FDREPORT"/>
      <sheetName val="668"/>
      <sheetName val="669"/>
      <sheetName val="694"/>
      <sheetName val="收入明细"/>
      <sheetName val="内贸合同总价表"/>
      <sheetName val="玛赛软件合同总价表"/>
      <sheetName val="内贸采购合同总价表"/>
      <sheetName val="CAPEX(M)"/>
      <sheetName val="数据定义1"/>
      <sheetName val="index cc"/>
      <sheetName val="安全服务"/>
      <sheetName val="采购计划信息"/>
      <sheetName val="抵消科目"/>
      <sheetName val="使用说明2-明细及范例"/>
      <sheetName val="B1-1"/>
      <sheetName val="Assumptions"/>
      <sheetName val="Scoping"/>
      <sheetName val="Lib"/>
      <sheetName val="Lead&amp;Breakdown"/>
      <sheetName val="1.5 合同、非合同台帐"/>
      <sheetName val="IS Summary-96"/>
      <sheetName val="汇率"/>
      <sheetName val="代码"/>
      <sheetName val="costcent-accoun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01"/>
      <sheetName val="C_311"/>
      <sheetName val="C_313"/>
      <sheetName val="C_318"/>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DLCD"/>
      <sheetName val="Library Procedures"/>
      <sheetName val="Non-Statistical Sampling Master"/>
      <sheetName val="Global Data"/>
      <sheetName val="交行定期存款户"/>
      <sheetName val="4.1拆出资金"/>
      <sheetName val="BE"/>
      <sheetName val="CH"/>
      <sheetName val="RU"/>
      <sheetName val="进口设备FOB总价表"/>
      <sheetName val="采购周期"/>
      <sheetName val="ENG_Cons"/>
      <sheetName val="NAO"/>
      <sheetName val="PAO_Cons"/>
      <sheetName val="WHQ_Cons"/>
      <sheetName val="Rev"/>
      <sheetName val="aging 0612"/>
      <sheetName val="cust"/>
      <sheetName val="NA QTR PROD"/>
      <sheetName val="Official Lehman PROD Sched"/>
      <sheetName val="快智"/>
      <sheetName val="快迪"/>
      <sheetName val="Income statement"/>
      <sheetName val="预收预付OROP"/>
      <sheetName val="A"/>
      <sheetName val="PRC 15"/>
      <sheetName val="AIS"/>
      <sheetName val="acc list"/>
      <sheetName val="在建工程 final"/>
      <sheetName val="Volatility"/>
      <sheetName val="O201"/>
      <sheetName val="开发成本2002 - Movement"/>
      <sheetName val="输入上年调整分录"/>
      <sheetName val="K200"/>
      <sheetName val="Company_Information"/>
      <sheetName val="Base_Info"/>
      <sheetName val="PV6_3_5L_LX5_GMX170"/>
      <sheetName val="清单12_31"/>
      <sheetName val="Economic_evaluation_-_FY98_base"/>
      <sheetName val="Safari09"/>
      <sheetName val="Cover_封面"/>
      <sheetName val="VIPS_Annotation_Sheet"/>
      <sheetName val="VIPS_Exchange_Sheet"/>
      <sheetName val="VIPS_Live_Sheet"/>
      <sheetName val="VS Consensus"/>
      <sheetName val="VIPS_Validation_Sheet"/>
      <sheetName val="CJE_energy inv"/>
      <sheetName val="YTD SALES"/>
      <sheetName val="507"/>
      <sheetName val="678"/>
      <sheetName val="1012"/>
      <sheetName val="A431_5030_GymboreeUK"/>
      <sheetName val="披露表(标准)"/>
      <sheetName val="评估结论"/>
      <sheetName val="546"/>
      <sheetName val="763"/>
      <sheetName val="삅ོ䚋栠Ѫ_x005f_x005f_x005f_x0000_ࡪ"/>
      <sheetName val="N201"/>
      <sheetName val="固资序列表"/>
      <sheetName val="投资性房地产序列表"/>
      <sheetName val="清单"/>
      <sheetName val="Cash Flow - CY Workings"/>
      <sheetName val="2 cot"/>
      <sheetName val="for ey reviewer 销售费用"/>
      <sheetName val="for ey reviewer 制造费用"/>
      <sheetName val="품목코드"/>
      <sheetName val="CalcOutPut"/>
      <sheetName val="외화"/>
      <sheetName val="자금동향"/>
      <sheetName val="Questions"/>
      <sheetName val="fORMULAE"/>
      <sheetName val="短期投资"/>
      <sheetName val="Consolidation"/>
      <sheetName val="国别报告数据填报模板(Information Request)"/>
      <sheetName val="List"/>
      <sheetName val="진행 DATA (2)"/>
      <sheetName val="02年1-2月营业费用部门明细"/>
      <sheetName val="22861"/>
      <sheetName val="Acq Assumptions I"/>
      <sheetName val="Acq Assumptions II"/>
      <sheetName val="Acq Assumptions III"/>
      <sheetName val="P310"/>
      <sheetName val="G210"/>
      <sheetName val="HB1利润表2018"/>
      <sheetName val="SalaryData"/>
      <sheetName val="CHN_OLD"/>
      <sheetName val="M&amp;A pipeline"/>
      <sheetName val="Valmat"/>
      <sheetName val="A3_20161231"/>
      <sheetName val="H101(OK)"/>
      <sheetName val="市場"/>
      <sheetName val="Erg_rechnung"/>
      <sheetName val="基础条件"/>
      <sheetName val="_8004"/>
      <sheetName val="_8025"/>
      <sheetName val="PY-pp"/>
      <sheetName val="POWER ASSUMPTIONS"/>
      <sheetName val="356"/>
      <sheetName val="0.1公司清单"/>
      <sheetName val="H R"/>
      <sheetName val="企业集团的构成"/>
      <sheetName val="1.资金支付台帐"/>
      <sheetName val="销售人效 - Overview"/>
      <sheetName val="AV"/>
      <sheetName val="Storage"/>
      <sheetName val="RelR"/>
      <sheetName val="Factset"/>
      <sheetName val="Two Step Revenue Testing Master"/>
      <sheetName val="Share Prices"/>
      <sheetName val="geog"/>
      <sheetName val="data餐饮-FOOD"/>
      <sheetName val="Hist_BS"/>
      <sheetName val="职位序列JFJG"/>
      <sheetName val="TPU配比口径"/>
      <sheetName val="资本公积审定表"/>
      <sheetName val="Feb Allocation%"/>
      <sheetName val="P&amp;L_worksheet"/>
      <sheetName val="Com Lever"/>
      <sheetName val="expenses calc"/>
      <sheetName val="existing cities benchmark"/>
      <sheetName val="master sheet"/>
      <sheetName val="bike loss"/>
      <sheetName val="exchange rate"/>
      <sheetName val="DAU&amp;UV"/>
      <sheetName val="CB"/>
      <sheetName val="Cash Flow Worksheet"/>
      <sheetName val="Chart Analysis"/>
      <sheetName val="4月分摊比例"/>
      <sheetName val="P&amp;L透视数据"/>
      <sheetName val="P&amp;L调整数据"/>
      <sheetName val="其他应付款"/>
      <sheetName val="BEER-PRO"/>
      <sheetName val="_137-2007"/>
      <sheetName val="Inputs"/>
      <sheetName val="GenAssump"/>
      <sheetName val="総合B"/>
      <sheetName val="Salses breakdown"/>
      <sheetName val="Variance"/>
      <sheetName val="采购订单"/>
      <sheetName val="15、采购订单"/>
      <sheetName val="summary "/>
      <sheetName val="삅ོ䚋栠Ѫ_x005f_x0000_ࡪ"/>
      <sheetName val="삅ོ䚋栠Ѫ_x0000_ࡪ㋨ﯾ_xff"/>
      <sheetName val="Prices"/>
      <sheetName val="FAB별"/>
      <sheetName val="营业"/>
      <sheetName val="Tritel Consolidated"/>
      <sheetName val="TeleCorp Holdco Summary"/>
      <sheetName val="其他货币资金.dbf"/>
      <sheetName val="银行存款.dbf"/>
      <sheetName val="明细表"/>
      <sheetName val="数据字典"/>
      <sheetName val="报表层次重要性水平"/>
      <sheetName val="利润及利润分配试算平衡表"/>
      <sheetName val="资产负债试算平衡表"/>
      <sheetName val="2018 ADJ"/>
      <sheetName val="披露表"/>
      <sheetName val="6117（股份）"/>
      <sheetName val="EXP23BF45E1"/>
      <sheetName val="direct"/>
      <sheetName val="外地"/>
      <sheetName val="坯布"/>
      <sheetName val="材料"/>
      <sheetName val="外销"/>
      <sheetName val="08.8"/>
      <sheetName val="_______"/>
      <sheetName val="核算项目余额表"/>
      <sheetName val="C1"/>
      <sheetName val="_2590"/>
      <sheetName val="_2642"/>
      <sheetName val="_2647"/>
      <sheetName val="3-10-10委托代销"/>
      <sheetName val="3-10-11受托代销"/>
      <sheetName val="3-10-2材料采购"/>
      <sheetName val="3-10-3在库低值"/>
      <sheetName val="3-10-4包装物"/>
      <sheetName val="3-10-5委托加工"/>
      <sheetName val="3-10-8分期发出"/>
      <sheetName val="3-10-9在用低值"/>
      <sheetName val="Opening check_Misc (WO Only)"/>
      <sheetName val="Sum2000"/>
      <sheetName val="639"/>
      <sheetName val="Reference2"/>
      <sheetName val="Book 1 Summary"/>
      <sheetName val="2002"/>
      <sheetName val="2005.01"/>
      <sheetName val="Comp equip"/>
      <sheetName val="利润表概览"/>
      <sheetName val="分录"/>
      <sheetName val="BD-1"/>
      <sheetName val="應付票據-附"/>
      <sheetName val="Form_1_C"/>
      <sheetName val="关联方信息"/>
      <sheetName val="9607"/>
      <sheetName val="Access360 - PP"/>
      <sheetName val="Program Controls"/>
      <sheetName val="BS Heading"/>
      <sheetName val="4月"/>
      <sheetName val="5月"/>
      <sheetName val="3月"/>
      <sheetName val="6月"/>
      <sheetName val="利塞专项"/>
      <sheetName val="投行部保本理财产品清单"/>
      <sheetName val="关联交易-存款h_x005f_x005f_x005f_x005f_x005"/>
      <sheetName val="关联交易-存款_x005f_x005f_x005f_x005f_x005f"/>
      <sheetName val="삅ོ䚋栠Ѫ_x005f_x005f_x005f_x0000_ࡪ㋨ﯾ_xff"/>
      <sheetName val="辅助"/>
      <sheetName val="托售"/>
      <sheetName val="电子库龄"/>
      <sheetName val="Menu"/>
      <sheetName val="Service Parts Rejects (RPPM)"/>
      <sheetName val="零星(秋董)"/>
      <sheetName val="零星(X月度跟踪)"/>
      <sheetName val="Carole Worksheet Table"/>
      <sheetName val="N719(NC)"/>
      <sheetName val="1002-1031170406 Capital Account"/>
      <sheetName val="Aushilfe"/>
      <sheetName val="Umlagen"/>
      <sheetName val="Air Conditional"/>
      <sheetName val="Computer"/>
      <sheetName val="Equipment"/>
      <sheetName val="Motor Vehicle"/>
      <sheetName val="Renovation"/>
      <sheetName val="K701"/>
      <sheetName val="Cash_Flow"/>
      <sheetName val="Income"/>
      <sheetName val="F40-Goodsin transit"/>
      <sheetName val="Margins"/>
      <sheetName val="FX"/>
      <sheetName val="Calculations"/>
      <sheetName val="6621"/>
      <sheetName val="DNEA_2011"/>
      <sheetName val="시산표"/>
      <sheetName val="J1_101_重分类明细"/>
      <sheetName val="FSM"/>
      <sheetName val="Setting"/>
      <sheetName val="2018工程汇总 "/>
      <sheetName val="原材料变动表-金铜矿"/>
      <sheetName val="Customer"/>
      <sheetName val="Sintesi"/>
      <sheetName val="Namelist"/>
      <sheetName val="表二十二 (2)"/>
      <sheetName val="新的工作表_1"/>
      <sheetName val="UFPrn20021113090847"/>
      <sheetName val="附表1 年度人数"/>
      <sheetName val="成本测算"/>
      <sheetName val="设计部"/>
      <sheetName val="wl"/>
      <sheetName val="基础资料（B）"/>
      <sheetName val="A401"/>
      <sheetName val="主要规划指标"/>
      <sheetName val="Cash Flow"/>
      <sheetName val="备选项"/>
      <sheetName val="CS"/>
      <sheetName val="各公司简称"/>
      <sheetName val="WP-02"/>
      <sheetName val="编码表"/>
      <sheetName val="基础信息设置"/>
      <sheetName val="其他应收款"/>
      <sheetName val="WP-03"/>
      <sheetName val="FL"/>
      <sheetName val="WP-05"/>
      <sheetName val="函证对象基础表1"/>
      <sheetName val="往来科目余额明细表"/>
      <sheetName val="科目表（总）"/>
      <sheetName val="固定资产汇总表A17-1"/>
      <sheetName val="UFPrn20180206201449"/>
      <sheetName val="无形资产汇总表A21-1"/>
      <sheetName val="三和软件"/>
      <sheetName val="ITEM"/>
      <sheetName val="银行存款明细表"/>
      <sheetName val="_Profile"/>
      <sheetName val="26.存货月报表"/>
      <sheetName val="accode"/>
      <sheetName val="dpA"/>
      <sheetName val="METHANOL"/>
      <sheetName val="DSCR"/>
      <sheetName val="OPSRESULTS"/>
      <sheetName val="DEBT"/>
      <sheetName val="PARAMETER"/>
      <sheetName val="投入产出汇总"/>
      <sheetName val="指标"/>
      <sheetName val="IMPUTS"/>
      <sheetName val="CALCULOS"/>
      <sheetName val="2015调整分录"/>
      <sheetName val="2014调整分录"/>
      <sheetName val="项目索引"/>
      <sheetName val="2009调整分录"/>
      <sheetName val="cum pred"/>
      <sheetName val="签证"/>
      <sheetName val="Lead"/>
      <sheetName val="1014"/>
      <sheetName val="1019"/>
      <sheetName val="625"/>
      <sheetName val="1013"/>
      <sheetName val="1015"/>
      <sheetName val="1016"/>
      <sheetName val="COP"/>
      <sheetName val="PER SALES ORG"/>
      <sheetName val="ÆóÒµ±íÒ»"/>
      <sheetName val="预付账款汇总表"/>
      <sheetName val="表二甲机务F型"/>
      <sheetName val="options062906"/>
      <sheetName val="F19.2"/>
      <sheetName val="F19.1"/>
      <sheetName val="F5.5"/>
      <sheetName val="F5.3"/>
      <sheetName val="流资汇总"/>
      <sheetName val="关联交易-存款_滨_ "/>
      <sheetName val="明细分类账"/>
      <sheetName val="MSIGet_Flags"/>
      <sheetName val="P&amp;L"/>
      <sheetName val="机房归属区域"/>
      <sheetName val="应收票据检查表"/>
      <sheetName val="K1_折旧测算表"/>
      <sheetName val="人力成本数据源"/>
      <sheetName val="647"/>
      <sheetName val="U1100_EJE调整"/>
      <sheetName val="Reference"/>
      <sheetName val="STATPARA"/>
      <sheetName val="Accounts Database"/>
      <sheetName val="FiedValidationSheet"/>
      <sheetName val="Rev05"/>
      <sheetName val="非合同台帐"/>
      <sheetName val="CH Car"/>
      <sheetName val="App1 Entities sequence number"/>
      <sheetName val="BS-舟山"/>
      <sheetName val="TZ0930"/>
      <sheetName val="D3"/>
      <sheetName val="邻酮定乙酚发出测试"/>
      <sheetName val="Group1"/>
      <sheetName val="7 - ARO Assumptions"/>
      <sheetName val="关联交易-存款_滨__"/>
      <sheetName val="Balance"/>
      <sheetName val="库存商品余额表.dbf"/>
      <sheetName val="UFPrn20010206163251"/>
      <sheetName val="表三甲"/>
      <sheetName val="6414-2"/>
      <sheetName val="1017"/>
      <sheetName val="1018"/>
      <sheetName val="1020"/>
      <sheetName val="U112"/>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Sheet0"/>
      <sheetName val="Project Details"/>
      <sheetName val="_dropdownlistitems_"/>
      <sheetName val="만기"/>
      <sheetName val="Base"/>
      <sheetName val="N5b1-其他收入和利得净值"/>
      <sheetName val="关联交易-存款lঀ;ঀ;_x005f_x005f_"/>
      <sheetName val="关联交易-存款l઀Ƽ઀Ƽ_x005f_x005f_"/>
      <sheetName val="삅ོ䚋栠Ѫ_x005f_x005f_x005f_x005f_x"/>
      <sheetName val="类别"/>
      <sheetName val="DATA-P&amp;L98"/>
      <sheetName val="Sales Volumes &amp; Plan"/>
      <sheetName val="Net Sales LC"/>
      <sheetName val="项目目录"/>
      <sheetName val="企业项目目录"/>
      <sheetName val="科目名称表"/>
      <sheetName val="底稿01"/>
      <sheetName val="基础信息"/>
      <sheetName val="附注明细"/>
      <sheetName val="query results"/>
      <sheetName val="会计科目表"/>
      <sheetName val="Returns&gt;&gt;"/>
      <sheetName val="IRR Historic"/>
      <sheetName val="Portfolio IRR"/>
      <sheetName val="Marimekko"/>
      <sheetName val="Inputs&gt;&gt;"/>
      <sheetName val="Analyst&gt;&gt;"/>
      <sheetName val="Val Inputs"/>
      <sheetName val="Model Inputs"/>
      <sheetName val="2_AC"/>
      <sheetName val="3_AC"/>
      <sheetName val="4_AC"/>
      <sheetName val="5_AC"/>
      <sheetName val="6_AC"/>
      <sheetName val="7_AC"/>
      <sheetName val="8_AC"/>
      <sheetName val="9_AC"/>
      <sheetName val="10_AC"/>
      <sheetName val="11_AC"/>
      <sheetName val="12_AC"/>
      <sheetName val="13_AC"/>
      <sheetName val="14_AC"/>
      <sheetName val="Exchange Rates&gt;&gt;"/>
      <sheetName val="2"/>
      <sheetName val="3"/>
      <sheetName val="4"/>
      <sheetName val="Funding&gt;&gt;"/>
      <sheetName val="Years"/>
      <sheetName val="Funding Combined"/>
      <sheetName val="Q1"/>
      <sheetName val="Q2"/>
      <sheetName val="Q3"/>
      <sheetName val="Q4"/>
      <sheetName val="FY18 funding"/>
      <sheetName val="Previous"/>
      <sheetName val="iFood funding"/>
      <sheetName val="Conversions&gt;&gt;"/>
      <sheetName val="Summary Adjusted"/>
      <sheetName val="Summary Combined"/>
      <sheetName val="Conversion Roll forward"/>
      <sheetName val="Summary Roll Forward"/>
      <sheetName val="Conversion DCF"/>
      <sheetName val="Summary DCF"/>
      <sheetName val="Conversion Cash Flow"/>
      <sheetName val="Summary Cash Flow"/>
      <sheetName val="Variables&gt;&gt;"/>
      <sheetName val="Companies"/>
      <sheetName val="Company Name mappings"/>
      <sheetName val="End"/>
      <sheetName val="PH Car"/>
      <sheetName val="FORGING"/>
      <sheetName val="Dic"/>
      <sheetName val="工行"/>
      <sheetName val="利润分析"/>
      <sheetName val="资产负债分析"/>
      <sheetName val="固定资产清理Dy"/>
      <sheetName val="Proforma"/>
      <sheetName val="Size_Growth_Adj"/>
      <sheetName val="NC差异表"/>
      <sheetName val="Related company"/>
      <sheetName val="JobDetails"/>
      <sheetName val="Data From XXX"/>
      <sheetName val="Delphi original"/>
      <sheetName val="gl"/>
      <sheetName val="FUEL FILLER"/>
      <sheetName val="CA-O7"/>
      <sheetName val="Related_company"/>
      <sheetName val="Delphi_original"/>
      <sheetName val="Data_From_XXX"/>
      <sheetName val="FUEL_FILLER"/>
      <sheetName val="list导入方式"/>
      <sheetName val="Equity"/>
      <sheetName val="短期借款审定表"/>
      <sheetName val="Capex report"/>
      <sheetName val="科目代码"/>
      <sheetName val="F&amp;F(2003)"/>
      <sheetName val="IT(2003)"/>
      <sheetName val="Budget-Bal"/>
      <sheetName val="info"/>
      <sheetName val="银行余额调节表(明细)"/>
      <sheetName val="   合同台账  "/>
      <sheetName val="科目列表"/>
      <sheetName val="付款进度表"/>
      <sheetName val="表头"/>
      <sheetName val="CIP DETAILS"/>
      <sheetName val="1021"/>
      <sheetName val="Sales for 2001"/>
      <sheetName val="Admin"/>
      <sheetName val="Incometl"/>
      <sheetName val="Nvar"/>
      <sheetName val="1380"/>
      <sheetName val="1381"/>
      <sheetName val="Salinfo"/>
      <sheetName val="平衡测试"/>
      <sheetName val="7 (2)"/>
      <sheetName val="Cntmrs-Recruit"/>
      <sheetName val="2330900原稿"/>
      <sheetName val="Info. Request"/>
      <sheetName val="U-500销售费用"/>
      <sheetName val="U-700财务费用"/>
      <sheetName val="WP"/>
      <sheetName val="PNL"/>
      <sheetName val="14480000"/>
      <sheetName val="AC_DATA"/>
      <sheetName val="U1.6"/>
      <sheetName val="底稿2001年"/>
      <sheetName val="老股估值及退出价格测算"/>
      <sheetName val="后续pre-IPO及IPO融资计划"/>
      <sheetName val="假设受让老股股东以增资方式进入-估值测算"/>
      <sheetName val="U102"/>
      <sheetName val="Price Provision 清单"/>
      <sheetName val="预提明细"/>
      <sheetName val="1239"/>
      <sheetName val="SFS(ACTUAL)"/>
      <sheetName val="Contents"/>
      <sheetName val="WELCOME"/>
      <sheetName val="bank"/>
      <sheetName val="管理费用部门"/>
      <sheetName val="CASH"/>
      <sheetName val="Corpalloc"/>
      <sheetName val="AcctChEntry"/>
      <sheetName val="ExchEntry"/>
      <sheetName val="PltRpt (A&amp;F)"/>
      <sheetName val="PltRpt (A&amp;FvsB)"/>
      <sheetName val="PltRpt (B&amp;AC)"/>
      <sheetName val="Schedule B"/>
      <sheetName val="TASSI2"/>
      <sheetName val="Tav.22 Rischio di Credito"/>
      <sheetName val="物流费用预算表(A4)"/>
      <sheetName val="销售费用预算表(A4)"/>
      <sheetName val="管理费用预算表(A4)"/>
      <sheetName val="信息费用预算表(A4) "/>
      <sheetName val="研发费用预算明细表A3"/>
      <sheetName val="制造成本预算表A3"/>
      <sheetName val="盈利打平趋势判断"/>
      <sheetName val="Depreciation test"/>
      <sheetName val="映射"/>
      <sheetName val="beer-indstry"/>
      <sheetName val="CoCos_Segments"/>
      <sheetName val="Table_US Currency"/>
      <sheetName val="Vol"/>
      <sheetName val="ORG"/>
      <sheetName val="工时"/>
      <sheetName val="T100"/>
      <sheetName val="ORG汇总表"/>
      <sheetName val="fixed assets –Forklifts"/>
      <sheetName val="fixed assets –battery"/>
      <sheetName val="ARP stt.2"/>
      <sheetName val="Jan"/>
      <sheetName val="Gen Accruals"/>
      <sheetName val="Legal Accrual"/>
      <sheetName val="Payroll Accrual"/>
      <sheetName val="Malaysia"/>
      <sheetName val="Taiwan"/>
      <sheetName val="CA_new"/>
      <sheetName val="匹配表"/>
      <sheetName val="物价指数（月度）"/>
      <sheetName val="analyse"/>
      <sheetName val="Cost of Equity"/>
      <sheetName val="有効使用期間12年"/>
      <sheetName val="A_R_013"/>
      <sheetName val="ADJ_Sum(console)3"/>
      <sheetName val="Defer_tax3"/>
      <sheetName val="Estimated_AP_9_033"/>
      <sheetName val="2005_062"/>
      <sheetName val="Mar_OR2"/>
      <sheetName val="REC_972"/>
      <sheetName val="daywork-_Tham_khao2"/>
      <sheetName val="TB_Link2"/>
      <sheetName val="office_supplies1"/>
      <sheetName val="Financ__Overview1"/>
      <sheetName val="各年往来_(2)1"/>
      <sheetName val="IFRS_REPORTING1"/>
      <sheetName val="关联交易-存款hࢀ_ࢀ__x005f_x0001_1"/>
      <sheetName val="A5_Summary1"/>
      <sheetName val="关联交易-存款hࢀ_ࢀ__x005f_x005f_x005f_x0001_1"/>
      <sheetName val="zero_(3)1"/>
      <sheetName val="3_21"/>
      <sheetName val="A3_Sum1"/>
      <sheetName val="Invest_1"/>
      <sheetName val="Inv_days_#51"/>
      <sheetName val="control_sheet_fund_II1"/>
      <sheetName val="Exec_Summary1"/>
      <sheetName val="F1100芯片测试费_1"/>
      <sheetName val="关联交易-存款h_x00"/>
      <sheetName val="关联交易-存款hࢀ_ࢀ__"/>
      <sheetName val="短期投资股票投资_dbf"/>
      <sheetName val="短期投资国债投资_dbf"/>
      <sheetName val="股票投资收益_dbf"/>
      <sheetName val="其他货币海通_dbf"/>
      <sheetName val="其他货币零领路_dbf"/>
      <sheetName val="投资收益债券_dbf"/>
      <sheetName val="P&amp;L_adhoc"/>
      <sheetName val="Suppl_Adhoc_Inv_(F)"/>
      <sheetName val="Suppl_Adhoc_Pers"/>
      <sheetName val="QTR_Data_Analysis"/>
      <sheetName val="Disclosure_Summary"/>
      <sheetName val="关联交易-存款h???"/>
      <sheetName val="BOX_SUM"/>
      <sheetName val="FIN_GOOD"/>
      <sheetName val="Hyperion_Link"/>
      <sheetName val="Price_List"/>
      <sheetName val="1461（12_6）"/>
      <sheetName val="Payed_bonuses"/>
      <sheetName val="Output_&amp;_Financial_Statements"/>
      <sheetName val="Old_TWX_Quorfa"/>
      <sheetName val="TWX_Model"/>
      <sheetName val="FS_Output_4"/>
      <sheetName val="FS_Output_1"/>
      <sheetName val="FS_Output_3"/>
      <sheetName val="FS_Output2"/>
      <sheetName val="Deal_Structure_&amp;_Control_Page"/>
      <sheetName val="Historic_Comps"/>
      <sheetName val="Bank_card_list"/>
      <sheetName val="All_Cash_Dil"/>
      <sheetName val="关联交易-存款hࢀ_ࢀ__x005f_x005f_x005f_x005f_"/>
      <sheetName val="1-_Input_&amp;_Info"/>
      <sheetName val="CUSTOMER_(DETAIL)"/>
      <sheetName val="Lease_AP_2008"/>
      <sheetName val="Antivol_D2"/>
      <sheetName val="Vendor_Data"/>
      <sheetName val="2_5上年现金试算"/>
      <sheetName val="Romford_Market"/>
      <sheetName val="&lt;FF&gt;_Tax_Payable"/>
      <sheetName val="PPD_Schedule"/>
      <sheetName val="Base_Data"/>
      <sheetName val="1_0"/>
      <sheetName val="Detail_Loan_Move__&amp;_Listing"/>
      <sheetName val="Non-Statistical_Sampling"/>
      <sheetName val="AR_Drop_Downs"/>
      <sheetName val="PRC_GAAP"/>
      <sheetName val="CLA-21.1-4 OLD"/>
      <sheetName val="关联交易-存款hࢀ_ࢀ_1"/>
      <sheetName val="addl_cost"/>
      <sheetName val="综合成本分析01_01-0205"/>
      <sheetName val="CY_sales_report"/>
      <sheetName val="SD-Report_5&quot;"/>
      <sheetName val="M_Schedules"/>
      <sheetName val="Staff_List"/>
      <sheetName val="Rejects_PPM"/>
      <sheetName val="QOS_RPPM"/>
      <sheetName val="Standort_(DE)"/>
      <sheetName val="Act_Vol"/>
      <sheetName val="链接表（勿动）_元)"/>
      <sheetName val="两次基准日的对比_(0531与0831)"/>
      <sheetName val="链接表（勿动）_(元表)"/>
      <sheetName val="Customer_Name"/>
      <sheetName val="T__B"/>
      <sheetName val="IRR_&amp;_NPV"/>
      <sheetName val="652"/>
      <sheetName val="E3 A"/>
      <sheetName val="1252"/>
      <sheetName val="1269"/>
      <sheetName val="648"/>
      <sheetName val="Net REVENUE"/>
      <sheetName val="VEHMAINT"/>
      <sheetName val="VEHDAMAG"/>
      <sheetName val="OTHERVEH"/>
      <sheetName val="GASOLINE"/>
      <sheetName val="PL&amp;PD"/>
      <sheetName val="DEPRECIA"/>
      <sheetName val="INTEREST"/>
      <sheetName val="VEHSALWH"/>
      <sheetName val="VEHSALRE"/>
      <sheetName val="MANUCRED"/>
      <sheetName val="TRAWAGES"/>
      <sheetName val="INCENTIV"/>
      <sheetName val="WAGES"/>
      <sheetName val="OVERWAGE"/>
      <sheetName val="BENEFITS"/>
      <sheetName val="CONCESS"/>
      <sheetName val="COMMISSI"/>
      <sheetName val="RESERVAT"/>
      <sheetName val="FACILITY"/>
      <sheetName val="SERVIVEH"/>
      <sheetName val="ADVSYST"/>
      <sheetName val="COUADMIN"/>
      <sheetName val="ADMINFLD"/>
      <sheetName val="ADVCIT&amp;D"/>
      <sheetName val="EURSALES"/>
      <sheetName val="ADMINREB"/>
      <sheetName val="H101"/>
      <sheetName val=" "/>
      <sheetName val="报表格式"/>
      <sheetName val="首页"/>
      <sheetName val="程序执行复核"/>
      <sheetName val="单位情况调查表"/>
      <sheetName val="试算表"/>
      <sheetName val="调帐书(初)"/>
      <sheetName val="调帐书(末)"/>
      <sheetName val="资产负债(前)"/>
      <sheetName val="利润(前)"/>
      <sheetName val="资产负债(后)"/>
      <sheetName val="利润(后)"/>
      <sheetName val="现金流量"/>
      <sheetName val="流量表编制底稿"/>
      <sheetName val="所有者权益变动表"/>
      <sheetName val="税费"/>
      <sheetName val="个税"/>
      <sheetName val="透视表"/>
      <sheetName val="您好"/>
      <sheetName val="休息"/>
      <sheetName val="现金"/>
      <sheetName val="银行存款"/>
      <sheetName val="应收票据"/>
      <sheetName val="应收账款"/>
      <sheetName val="房款按项目分"/>
      <sheetName val="房款按明细"/>
      <sheetName val="25号、30号诚意金"/>
      <sheetName val="回迁区未给村面积"/>
      <sheetName val="一期已售未售统计"/>
      <sheetName val="一期未售明细"/>
      <sheetName val="一期未入账顶账差价"/>
      <sheetName val="一期顶账未定价、收款"/>
      <sheetName val="一期按揭款"/>
      <sheetName val="二期已售未售统计"/>
      <sheetName val="二期未售明细"/>
      <sheetName val="二期未入账顶账差价"/>
      <sheetName val="二期顶账未定价、收款"/>
      <sheetName val="储藏室"/>
      <sheetName val="车位"/>
      <sheetName val="27#计算"/>
      <sheetName val="应收-27#"/>
      <sheetName val="预付账款"/>
      <sheetName val="原材料"/>
      <sheetName val="低值易耗品"/>
      <sheetName val="开发成本"/>
      <sheetName val="待摊费用"/>
      <sheetName val="应付账款"/>
      <sheetName val="预收账款"/>
      <sheetName val="实收资本"/>
      <sheetName val="利润分配"/>
      <sheetName val="经营收入"/>
      <sheetName val="营业外收入"/>
      <sheetName val="经营成本"/>
      <sheetName val="税金及附加"/>
      <sheetName val="销售费用"/>
      <sheetName val="管理费用"/>
      <sheetName val="财务费用"/>
      <sheetName val="营业外支出"/>
      <sheetName val="所得税"/>
      <sheetName val="投资收益"/>
      <sheetName val="底稿"/>
      <sheetName val="空白表"/>
      <sheetName val="累计折旧计算"/>
      <sheetName val="存款"/>
      <sheetName val="增值税"/>
      <sheetName val="工资福利费"/>
      <sheetName val="房地产预售"/>
      <sheetName val="生产成本底稿"/>
      <sheetName val="成本倒轧"/>
      <sheetName val="发出计价"/>
      <sheetName val="期间费用分类明细"/>
      <sheetName val="通用检查底稿"/>
      <sheetName val="往来款款替代程序表"/>
      <sheetName val="函证汇总"/>
      <sheetName val="材料采购-入库"/>
      <sheetName val="原材料－其他"/>
      <sheetName val="材料成本差异－运费等"/>
      <sheetName val="会计政策"/>
      <sheetName val="设定"/>
      <sheetName val="2011年现金银行存款序时账"/>
      <sheetName val="receivable"/>
      <sheetName val="UFPrn20220125085127"/>
      <sheetName val="1月"/>
      <sheetName val="CAIXA"/>
      <sheetName val="Ex. rate"/>
      <sheetName val="报表项目"/>
      <sheetName val="enums"/>
      <sheetName val="POV"/>
      <sheetName val="EURMKTG"/>
      <sheetName val="591"/>
      <sheetName val="9100-PO"/>
      <sheetName val="制造费用分项明细表"/>
      <sheetName val="财务指标"/>
      <sheetName val="资产评估结果分类汇总表 (2)"/>
      <sheetName val="SPI"/>
      <sheetName val="SPI GMBH"/>
      <sheetName val="PDCC"/>
      <sheetName val="SSI"/>
      <sheetName val="Syntegra"/>
      <sheetName val="UK"/>
      <sheetName val="明細"/>
      <sheetName val="K140"/>
      <sheetName val="其他业务收入2010"/>
      <sheetName val="其他业务收入09"/>
      <sheetName val="其他业务收入08"/>
      <sheetName val="营业外收入09"/>
      <sheetName val="营业外收入08"/>
      <sheetName val="营业外支出08"/>
      <sheetName val="G2"/>
      <sheetName val="其他业务成本.111031"/>
      <sheetName val="Sheet2"/>
      <sheetName val="气保"/>
      <sheetName val="联合"/>
      <sheetName val="分离后总调室"/>
      <sheetName val="400吨现存量"/>
      <sheetName val="_600吨现存量"/>
      <sheetName val="1107"/>
      <sheetName val="A6620 Detail"/>
      <sheetName val="FSA"/>
      <sheetName val="µ|²vªí"/>
      <sheetName val="K200-PRC"/>
      <sheetName val="TC-Pricing"/>
      <sheetName val="Calculation"/>
      <sheetName val="二厂一季度单位成本"/>
      <sheetName val="K311 A_List02"/>
      <sheetName val="99Exh I"/>
      <sheetName val="596"/>
      <sheetName val="외주현황.wq1"/>
      <sheetName val="1074"/>
      <sheetName val="关联交易-存款h_x005f_x0001_?_x005f_x0001_??"/>
      <sheetName val="감가상각비(2002)"/>
      <sheetName val="zw"/>
      <sheetName val="Difference Reconcliation"/>
      <sheetName val="RPT Disclosure"/>
      <sheetName val="审计调整"/>
      <sheetName val="FY99 Volume"/>
      <sheetName val="Sal &amp; Wage Info"/>
      <sheetName val="合并范围内关联方清单"/>
      <sheetName val="LAbor estimate"/>
      <sheetName val="662"/>
      <sheetName val="141231#"/>
      <sheetName val="20141231"/>
      <sheetName val="1022"/>
      <sheetName val="MasterList"/>
      <sheetName val="帐户汇总表_2008年1月至12月_18末级"/>
      <sheetName val="帐户汇总表_2008年1月至12月_14一级"/>
      <sheetName val="帐户汇总表_2008年1月至12月_13末级"/>
      <sheetName val="帐户汇总表_2008年1月至12月_18一级"/>
      <sheetName val="帐户汇总表_2008年1月至12月_14末级"/>
      <sheetName val="Interim NWA converted in Dec02"/>
      <sheetName val="AP-NSK(other)"/>
      <sheetName val="AP-Sing"/>
      <sheetName val="AP-NSK(trade) USD"/>
      <sheetName val="IV-NSK JPY"/>
      <sheetName val="AP-anshun"/>
      <sheetName val="AP-KUSHAN"/>
      <sheetName val="ap-Korea"/>
      <sheetName val="AP-NSK (trade) JPY"/>
      <sheetName val="AP-ISC"/>
      <sheetName val="AR-Chiaphua"/>
      <sheetName val="AR-ASTEC"/>
      <sheetName val="AR-Handing"/>
      <sheetName val="AR-Hintai"/>
      <sheetName val="AR-INH"/>
      <sheetName val="AR-Iwatani"/>
      <sheetName val="ar-john"/>
      <sheetName val="AR-KTB JPY"/>
      <sheetName val="IV-KUSHAN"/>
      <sheetName val="ar-kusatsu"/>
      <sheetName val="AR-NSK (trade) USD"/>
      <sheetName val="ar-OKI Micro"/>
      <sheetName val="AR-Super"/>
      <sheetName val="AR-TAIKO JPY"/>
      <sheetName val="BR-Thousand JPY"/>
      <sheetName val="BR-Wah"/>
      <sheetName val="China-GBP"/>
      <sheetName val="China-JPY"/>
      <sheetName val="China-USD1"/>
      <sheetName val="IV-NIS"/>
      <sheetName val="DR-JPY"/>
      <sheetName val="DR-USD"/>
      <sheetName val="Fuji-USD"/>
      <sheetName val="Fuji-JPY"/>
      <sheetName val="Fuji"/>
      <sheetName val="IS01"/>
      <sheetName val="int-paid"/>
      <sheetName val="secretarial"/>
      <sheetName val="TR1"/>
      <sheetName val="F余额表2021"/>
      <sheetName val="F余额表2021 (2)"/>
      <sheetName val="F余额表2021 (3)"/>
      <sheetName val="Translation"/>
      <sheetName val="Summary Page_VDF"/>
      <sheetName val="Invested capital_VDF"/>
      <sheetName val="FxdChg"/>
      <sheetName val="F2"/>
      <sheetName val="LT_ADJ"/>
      <sheetName val="LT TB"/>
      <sheetName val="LTMD TB"/>
      <sheetName val="OC TB"/>
      <sheetName val="ZD TB"/>
      <sheetName val="LSBP"/>
      <sheetName val="Agency Walker ID"/>
      <sheetName val="PublishCashFlow"/>
      <sheetName val="Client"/>
      <sheetName val="PublishIncome"/>
      <sheetName val="Databox"/>
      <sheetName val="sales breakdown"/>
      <sheetName val="试算平衡表"/>
      <sheetName val="co info"/>
      <sheetName val="FA Roll to GL (p.2)"/>
      <sheetName val="Lead (p.1)"/>
      <sheetName val="K(GDH)"/>
      <sheetName val="2002-H300"/>
      <sheetName val="2001-H300"/>
      <sheetName val="Chart of acct "/>
      <sheetName val="statement_1998"/>
      <sheetName val="XVIa(i)_-_average_price_(2)"/>
      <sheetName val="Table_13_1_-_3"/>
      <sheetName val="act_96"/>
      <sheetName val="SPLICE HOURS"/>
      <sheetName val="DEP"/>
      <sheetName val="노동부"/>
      <sheetName val="Lguide"/>
      <sheetName val="Cashbook"/>
      <sheetName val="SC HKD CA"/>
      <sheetName val="FS"/>
      <sheetName val="六纺"/>
      <sheetName val="GDH"/>
      <sheetName val="M.P."/>
      <sheetName val="销量"/>
      <sheetName val="成本要素表"/>
      <sheetName val="Taux de change "/>
      <sheetName val="plantilla mes"/>
      <sheetName val="PL by month-EFY"/>
      <sheetName val="AR1-F20"/>
      <sheetName val="AR2-F21"/>
      <sheetName val="283"/>
      <sheetName val="TB_累2"/>
      <sheetName val="TB_当2"/>
      <sheetName val="TB_累1"/>
      <sheetName val="表3_1_2货币资金—银行存款"/>
      <sheetName val="schdl"/>
      <sheetName val="数据库"/>
      <sheetName val="N63_在其他主体中的权益-子（孙）公司"/>
      <sheetName val="N67_重要联营企业的主要财务信息"/>
      <sheetName val="N72_关联方往来（应收）"/>
      <sheetName val="Calcs_for _quarterly_pres"/>
      <sheetName val="FOREX_IMPACTS"/>
      <sheetName val="Valuation Matrix"/>
      <sheetName val="sales"/>
      <sheetName val="sd"/>
      <sheetName val="2018.4.7 for Bank"/>
      <sheetName val="재료비"/>
      <sheetName val="661"/>
      <sheetName val="金额式"/>
      <sheetName val="关联交易-存款__x005f_x0000__x00"/>
      <sheetName val="关联交易-存款_x005f_x0000__x00"/>
      <sheetName val="关联交易-存款h_x005f_x0001___x0"/>
      <sheetName val="F-B"/>
      <sheetName val="Mov from 2001 to 2003"/>
      <sheetName val="Cash&amp;bank"/>
      <sheetName val="cur rates"/>
      <sheetName val="Total 2009"/>
      <sheetName val="3rd Qtr"/>
      <sheetName val="5th Qtr"/>
      <sheetName val="6th Qtr"/>
      <sheetName val="7th Qtr"/>
      <sheetName val="Exit Forecast"/>
      <sheetName val="2nd Qtr"/>
      <sheetName val="Rounded Input"/>
      <sheetName val="Lookups"/>
      <sheetName val="汇率影响"/>
      <sheetName val="_003.3固定资产"/>
      <sheetName val="551"/>
      <sheetName val="613"/>
      <sheetName val="1154"/>
      <sheetName val="620"/>
      <sheetName val="EV_VO"/>
      <sheetName val="SUIVI EFFECTIFS"/>
      <sheetName val="Tons"/>
      <sheetName val="tit"/>
      <sheetName val="#¡REF"/>
      <sheetName val="Vendas Tons"/>
      <sheetName val="C.Estr."/>
      <sheetName val="indice"/>
      <sheetName val="mixprod"/>
      <sheetName val="raf"/>
      <sheetName val="rce"/>
      <sheetName val="CAB"/>
      <sheetName val="EFFECT."/>
      <sheetName val="abcd"/>
      <sheetName val="P&amp;L-ACT"/>
      <sheetName val="U210' "/>
      <sheetName val="VCC 11110-461"/>
      <sheetName val="SALE"/>
      <sheetName val="LTM"/>
      <sheetName val="CREDIT STATS"/>
      <sheetName val="FAT DB"/>
      <sheetName val="CF Bridge"/>
      <sheetName val="收入分析_客商量价步行图"/>
      <sheetName val="净利润步行图"/>
      <sheetName val="Other R&amp;O"/>
      <sheetName val="Co 59"/>
      <sheetName val="FA List"/>
      <sheetName val="XLNXWKSH"/>
      <sheetName val="Mobile"/>
      <sheetName val="Operating "/>
      <sheetName val="Earnings"/>
      <sheetName val="Input-Act"/>
      <sheetName val="Input-Act-Adj"/>
      <sheetName val="Input-Bud"/>
      <sheetName val="Input-PY"/>
      <sheetName val="AP_Accrued"/>
      <sheetName val="CFS adjustments"/>
      <sheetName val="Links"/>
      <sheetName val="2018底稿"/>
      <sheetName val="Office Improve"/>
      <sheetName val="Drop down"/>
      <sheetName val="17-19IS"/>
      <sheetName val="17-19BS"/>
      <sheetName val="17-19CFS"/>
      <sheetName val="BEV"/>
      <sheetName val="TTCS"/>
      <sheetName val="ﾁｮｺ停回数"/>
      <sheetName val="ﾁｮｺ停時間"/>
      <sheetName val="DFA"/>
      <sheetName val="初始设定"/>
      <sheetName val="CUST-STD"/>
      <sheetName val="1042"/>
      <sheetName val="2010 Breakdown"/>
      <sheetName val="1478"/>
      <sheetName val="504"/>
      <sheetName val="1440"/>
      <sheetName val=" W60A Seating_2011.3.7.xlsx"/>
      <sheetName val="70151"/>
      <sheetName val="CA consolidated"/>
      <sheetName val="T1"/>
      <sheetName val="104"/>
      <sheetName val="RMB"/>
      <sheetName val="Sheet562"/>
      <sheetName val="VT_TEB Planung-2006"/>
      <sheetName val="P&amp;L Summary Page"/>
      <sheetName val="Expenses with Comparisons"/>
      <sheetName val="TEV Multiples"/>
      <sheetName val="srcsuses"/>
      <sheetName val="WACC"/>
      <sheetName val="pswzParams"/>
      <sheetName val="CSM Data by CY "/>
      <sheetName val="FX_Assumptions"/>
      <sheetName val="LBOSHEL5"/>
      <sheetName val="Pref Probable Case Returns"/>
      <sheetName val="Interco_BSC 01"/>
      <sheetName val="Chart of Acct"/>
      <sheetName val="Trial Balance"/>
      <sheetName val="销售(合同)"/>
      <sheetName val="truc_tiep2"/>
      <sheetName val="P_1预收、其他应付、其他流动负债2"/>
      <sheetName val="G_预付账款、其他应收款、其他流动资产2"/>
      <sheetName val="_U1502"/>
      <sheetName val="2-分类汇总_Classified_Summary2"/>
      <sheetName val="TAB_Daten1"/>
      <sheetName val="N_应付账款1"/>
      <sheetName val="Raw_materials1"/>
      <sheetName val="Tier1_Pref_SGP1"/>
      <sheetName val="Rev__Losses1"/>
      <sheetName val="SoP_SGP21"/>
      <sheetName val="Prop_R1"/>
      <sheetName val="Tier1_Pref_SBP1"/>
      <sheetName val="关联交易-存款hࢀ_ࢀ__x005f_x005f_x005f_x005f_x005f1"/>
      <sheetName val="关联交易-存款hࢀ_ࢀ__x005f_x005f_1"/>
      <sheetName val="Ex_Diff1"/>
      <sheetName val="II-_Liability_Component_June_01"/>
      <sheetName val="I-Conclusion_1"/>
      <sheetName val="II-_Liab__comp_IAS1"/>
      <sheetName val="Conversion_feature1"/>
      <sheetName val="I-_Summary1"/>
      <sheetName val="Income_Statement_breakdown1"/>
      <sheetName val="销售6_131"/>
      <sheetName val="Sch_PR-21"/>
      <sheetName val="Sch_PR-31"/>
      <sheetName val="Consol_BS1"/>
      <sheetName val="HO_&amp;_Aust_BS1"/>
      <sheetName val="JAC11_301"/>
      <sheetName val="关联交易-存款?滨?_1"/>
      <sheetName val="qad_TB1"/>
      <sheetName val="F40-Goodsin_transit"/>
      <sheetName val="开发成本2002_-_Movement"/>
      <sheetName val="库存商品余额表_dbf"/>
      <sheetName val="C-1_总表"/>
      <sheetName val="4_1-合同台帐"/>
      <sheetName val="Income_Statement_and_KPIs"/>
      <sheetName val="index_cc"/>
      <sheetName val="1_5_合同、非合同台帐"/>
      <sheetName val="IS_Summary-96"/>
      <sheetName val="Library_Procedures"/>
      <sheetName val="Non-Statistical_Sampling_Master"/>
      <sheetName val="Global_Data"/>
      <sheetName val="4_1拆出资金"/>
      <sheetName val="aging_0612"/>
      <sheetName val="NA_QTR_PROD"/>
      <sheetName val="Official_Lehman_PROD_Sched"/>
      <sheetName val="Income_statement"/>
      <sheetName val="PRC_15"/>
      <sheetName val="acc_list"/>
      <sheetName val="在建工程_final"/>
      <sheetName val="ACC_NAME"/>
      <sheetName val="ZP7_gespritzt"/>
      <sheetName val="GA5-2-1_明细表2015"/>
      <sheetName val="진행_DATA_(2)"/>
      <sheetName val="Service_Parts_Rejects_(RPPM)"/>
      <sheetName val="Carole_Worksheet_Table"/>
      <sheetName val="VS_Consensus"/>
      <sheetName val="销售人效_-_Overview"/>
      <sheetName val="Two_Step_Revenue_Testing_Master"/>
      <sheetName val="Share_Prices"/>
      <sheetName val="Book_1_Summary"/>
      <sheetName val="Salses_breakdown"/>
      <sheetName val="国别报告数据填报模板(Information_Request)"/>
      <sheetName val="Acq_Assumptions_I"/>
      <sheetName val="Acq_Assumptions_II"/>
      <sheetName val="Acq_Assumptions_III"/>
      <sheetName val="1002-1031170406_Capital_Account"/>
      <sheetName val="CJE_energy_inv"/>
      <sheetName val="YTD_SALES"/>
      <sheetName val="Air_Conditional"/>
      <sheetName val="Motor_Vehicle"/>
      <sheetName val="关联交易-存款_滨__1"/>
      <sheetName val="Feb_Allocation%"/>
      <sheetName val="Com_Lever"/>
      <sheetName val="expenses_calc"/>
      <sheetName val="existing_cities_benchmark"/>
      <sheetName val="master_sheet"/>
      <sheetName val="bike_loss"/>
      <sheetName val="exchange_rate"/>
      <sheetName val="Cash_Flow_Worksheet"/>
      <sheetName val="Chart_Analysis"/>
      <sheetName val="M&amp;A_pipeline"/>
      <sheetName val="POWER_ASSUMPTIONS"/>
      <sheetName val="summary_"/>
      <sheetName val="2018工程汇总_"/>
      <sheetName val="2005_01"/>
      <sheetName val="Comp_equip"/>
      <sheetName val="Access360_-_PP"/>
      <sheetName val="Program_Controls"/>
      <sheetName val="BS_Heading"/>
      <sheetName val="PER_SALES_ORG"/>
      <sheetName val="08_8"/>
      <sheetName val="其他货币资金_dbf"/>
      <sheetName val="银行存款_dbf"/>
      <sheetName val="2018_ADJ"/>
      <sheetName val="F19_2"/>
      <sheetName val="F19_1"/>
      <sheetName val="F5_5"/>
      <sheetName val="F5_3"/>
      <sheetName val="Cash_Flow_-_CY_Workings"/>
      <sheetName val="2_cot"/>
      <sheetName val="for_ey_reviewer_销售费用"/>
      <sheetName val="for_ey_reviewer_制造费用"/>
      <sheetName val="Accounts_Database"/>
      <sheetName val="CH_Car"/>
      <sheetName val="App1_Entities_sequence_number"/>
      <sheetName val="BT 03"/>
      <sheetName val="BT 02"/>
      <sheetName val="BT 01"/>
      <sheetName val="国民经济行业分类"/>
      <sheetName val="下拉列表"/>
      <sheetName val="ICP费用ICP Expense"/>
      <sheetName val="ICP其他应付款ICP OtherPayable"/>
      <sheetName val="MarkComp"/>
      <sheetName val="sumdepn01"/>
      <sheetName val="Comparative Balance Sheet"/>
      <sheetName val="Com list"/>
      <sheetName val="Headcount and Oil Price"/>
      <sheetName val="BOE Stats"/>
      <sheetName val="C - Cash and Bank"/>
      <sheetName val="A300"/>
      <sheetName val="others gl"/>
      <sheetName val="Inputs-$150"/>
      <sheetName val="Printout2"/>
      <sheetName val="工作表1"/>
      <sheetName val="ARP"/>
      <sheetName val="BALANCE SHEET"/>
      <sheetName val="AFEMAI"/>
      <sheetName val="KEY"/>
      <sheetName val="总公司2002.12.31"/>
      <sheetName val="附表6"/>
      <sheetName val="截至2004年10月31日存货材料清单"/>
      <sheetName val="K110"/>
      <sheetName val="O111"/>
      <sheetName val="控制台"/>
      <sheetName val="Beg- End balance"/>
      <sheetName val="B30"/>
      <sheetName val="Net Trans Sum"/>
      <sheetName val="FF-21(a)"/>
      <sheetName val="5.基础档案"/>
      <sheetName val="Sum Hist"/>
      <sheetName val="Corporate PPT"/>
      <sheetName val="WTI Coporate Eliminations PPT"/>
      <sheetName val="1436"/>
      <sheetName val="514"/>
      <sheetName val="PROD_CUST"/>
      <sheetName val="ExRate"/>
      <sheetName val="Manu"/>
      <sheetName val="Sheet618"/>
      <sheetName val="FIRE Parameters"/>
      <sheetName val="1136"/>
      <sheetName val="Product List"/>
      <sheetName val="1149"/>
      <sheetName val="N301"/>
      <sheetName val="Co-SEGC"/>
      <sheetName val="MI02"/>
      <sheetName val="FZ"/>
      <sheetName val="应付账款审定表"/>
      <sheetName val="中储"/>
      <sheetName val="凌益"/>
      <sheetName val="3收止"/>
      <sheetName val="B001(Y)"/>
      <sheetName val="Sheet5"/>
      <sheetName val="基础数据"/>
      <sheetName val="调整分录"/>
      <sheetName val="WP-04-GP"/>
      <sheetName val="填写说明"/>
      <sheetName val="Corporate Sales"/>
      <sheetName val="113301"/>
      <sheetName val="Bridge"/>
      <sheetName val="Freight Issues"/>
      <sheetName val="1148"/>
      <sheetName val="680"/>
      <sheetName val="Sheet648"/>
      <sheetName val="Start"/>
      <sheetName val="Eingabe"/>
      <sheetName val="LE7"/>
      <sheetName val="职工薪酬抽查"/>
      <sheetName val="序列"/>
      <sheetName val="未审增减变动表"/>
      <sheetName val="固定资产审定表"/>
      <sheetName val="shan"/>
      <sheetName val="封面 Cover"/>
      <sheetName val="Other M&amp;R"/>
      <sheetName val="A141-20-17"/>
      <sheetName val="1－5月余额表"/>
      <sheetName val="1－10月余额表"/>
      <sheetName val="TR0198"/>
      <sheetName val="ProzessA"/>
      <sheetName val="EingabeMaske"/>
      <sheetName val="Q-Faehigk"/>
      <sheetName val="QTP_dt."/>
      <sheetName val="银行函证目录"/>
      <sheetName val="Basic_Local"/>
      <sheetName val="Aug"/>
      <sheetName val="Dec"/>
      <sheetName val="Nov"/>
      <sheetName val="Oct"/>
      <sheetName val="Sep"/>
      <sheetName val="Total"/>
      <sheetName val="参数表"/>
      <sheetName val="05 AOP - Exp by CC"/>
      <sheetName val="05 AOP - By Acct Detail"/>
      <sheetName val="coststruk"/>
      <sheetName val="PersPlan"/>
      <sheetName val="IB Average"/>
      <sheetName val="IB"/>
      <sheetName val="Int ZFLS"/>
      <sheetName val="WB"/>
      <sheetName val="WoS"/>
      <sheetName val="2019科余表"/>
      <sheetName val="DCF_VDF"/>
      <sheetName val="I-cycle count08"/>
      <sheetName val="Phase_II_steel_1000"/>
      <sheetName val="盤點清冊汇总"/>
      <sheetName val="Steuerung"/>
      <sheetName val="Months"/>
      <sheetName val="TT template"/>
      <sheetName val="Sheet649"/>
      <sheetName val="Initial"/>
      <sheetName val="BU Parameters"/>
      <sheetName val="BU-Filter"/>
      <sheetName val="Filter"/>
      <sheetName val="113103"/>
      <sheetName val="113104"/>
      <sheetName val="113105"/>
      <sheetName val="113303"/>
      <sheetName val="21210301"/>
      <sheetName val="21210302"/>
      <sheetName val="JE10310X"/>
      <sheetName val="附注汇总"/>
      <sheetName val="SharePoint"/>
      <sheetName val="UPLDGA"/>
      <sheetName val="Pick Lists Sheet"/>
      <sheetName val="市场法案例"/>
      <sheetName val="K1 Tax computation"/>
      <sheetName val="chart"/>
      <sheetName val="SET_UP"/>
      <sheetName val="F_OH"/>
      <sheetName val="Bookings-summary"/>
      <sheetName val="Assistance"/>
      <sheetName val="出口免抵退"/>
      <sheetName val="ActiveRM"/>
      <sheetName val="1996"/>
      <sheetName val="1997"/>
      <sheetName val="NBE DCF"/>
      <sheetName val="Consolidated DCF"/>
      <sheetName val="Boilers DCF"/>
      <sheetName val="NBE (heat rate)"/>
      <sheetName val="物流超市5-1-1房建"/>
      <sheetName val="Sch11"/>
      <sheetName val="Sales by category"/>
      <sheetName val="Sheet626"/>
      <sheetName val="PRDCTVTY"/>
      <sheetName val="1102 TAB_OPPORTUNITY to import"/>
      <sheetName val=" FY2000"/>
      <sheetName val="PARAMETRES"/>
      <sheetName val="基本情報"/>
      <sheetName val="95059D"/>
      <sheetName val="F810"/>
      <sheetName val="1495"/>
      <sheetName val="1222"/>
      <sheetName val="1438"/>
      <sheetName val="1541"/>
      <sheetName val="1542"/>
      <sheetName val="分公司汇总更新"/>
      <sheetName val="管理"/>
      <sheetName val="synthgraph"/>
      <sheetName val="基本資料"/>
      <sheetName val="Valuation Summary"/>
      <sheetName val="Capex &amp; Working Capital "/>
      <sheetName val="Product Summary"/>
      <sheetName val="Revenue Output"/>
      <sheetName val="P&amp;L Summary"/>
      <sheetName val="Gross Profit Output (100%)"/>
      <sheetName val="EBITDA"/>
      <sheetName val="Historical IS"/>
      <sheetName val="Other Working Assumptions"/>
      <sheetName val="Valuation Waterfall"/>
      <sheetName val="Gross Profit"/>
      <sheetName val="Historical BS"/>
      <sheetName val="Key Assumptions"/>
      <sheetName val="Instruction Sheet"/>
      <sheetName val="APCODE"/>
      <sheetName val="Invested Capital"/>
      <sheetName val="1558"/>
      <sheetName val="1270"/>
      <sheetName val="1271"/>
      <sheetName val="grofin"/>
      <sheetName val="1730"/>
      <sheetName val="1731"/>
      <sheetName val="CF"/>
      <sheetName val="preBS"/>
      <sheetName val="preCF"/>
      <sheetName val="preIS"/>
      <sheetName val="preCE"/>
      <sheetName val="Monthly Ex rate"/>
      <sheetName val="Expense Accrual"/>
      <sheetName val="Gen. Accrual"/>
      <sheetName val="Prod. Accrual"/>
      <sheetName val="Rent Accrual"/>
      <sheetName val="Sheet616"/>
      <sheetName val="6419-2"/>
      <sheetName val="G203"/>
      <sheetName val="贷款基准利率"/>
      <sheetName val="Financial Summary"/>
      <sheetName val="Rev provit"/>
      <sheetName val="Dashboard基础数据录入（2018）"/>
      <sheetName val="Dashboard基础数据录入（2017）"/>
      <sheetName val="UFPrn20040104084034"/>
      <sheetName val="现金流量表"/>
      <sheetName val="Repayment Summary"/>
      <sheetName val="当前明细账"/>
      <sheetName val="会计科目设置  科目汇总表"/>
      <sheetName val="维度管理"/>
      <sheetName val="信息"/>
      <sheetName val="ADJ"/>
      <sheetName val="A100000-A104000参数"/>
      <sheetName val="其它应收款"/>
      <sheetName val="所有者权益(股东权益)变动表(未审)"/>
      <sheetName val="IND."/>
      <sheetName val="试算"/>
      <sheetName val="TB表（期末）"/>
      <sheetName val="租赁收入明细"/>
      <sheetName val="P4管理费用"/>
      <sheetName val="L2银行存款"/>
      <sheetName val="Performance Graphs"/>
      <sheetName val="5折旧预测ok"/>
      <sheetName val="关南Bt2000大包装"/>
      <sheetName val="关南Bt2000成品"/>
      <sheetName val="低值易收发存"/>
      <sheetName val="76767"/>
      <sheetName val="07固定资产明细账"/>
      <sheetName val="原材料明细"/>
      <sheetName val="准备工作"/>
      <sheetName val="4528"/>
      <sheetName val="立项表"/>
      <sheetName val="_5081"/>
      <sheetName val="Validation"/>
      <sheetName val="Validation source"/>
      <sheetName val="Custom"/>
      <sheetName val="CRP-BS"/>
      <sheetName val="外销涤布"/>
      <sheetName val="交易性金融资产Dy"/>
      <sheetName val="净现金流计算表"/>
      <sheetName val="EXP LINE"/>
      <sheetName val="XBase"/>
      <sheetName val="_5284"/>
      <sheetName val="UFPrn20210522114546"/>
      <sheetName val="档案"/>
      <sheetName val="基本参数"/>
      <sheetName val="KM"/>
      <sheetName val="仪表"/>
      <sheetName val="A_R_014"/>
      <sheetName val="ADJ_Sum(console)4"/>
      <sheetName val="Defer_tax4"/>
      <sheetName val="Estimated_AP_9_034"/>
      <sheetName val="2005_063"/>
      <sheetName val="Mar_OR3"/>
      <sheetName val="REC_973"/>
      <sheetName val="daywork-_Tham_khao3"/>
      <sheetName val="TB_Link3"/>
      <sheetName val="office_supplies2"/>
      <sheetName val="Financ__Overview2"/>
      <sheetName val="各年往来_(2)2"/>
      <sheetName val="IFRS_REPORTING2"/>
      <sheetName val="关联交易-存款hࢀ_ࢀ__x005f_x0001_2"/>
      <sheetName val="A5_Summary2"/>
      <sheetName val="关联交易-存款hࢀ_ࢀ__x005f_x005f_x005f_x0001_2"/>
      <sheetName val="zero_(3)2"/>
      <sheetName val="3_22"/>
      <sheetName val="A3_Sum2"/>
      <sheetName val="Invest_2"/>
      <sheetName val="Inv_days_#52"/>
      <sheetName val="control_sheet_fund_II2"/>
      <sheetName val="Exec_Summary2"/>
      <sheetName val="F1100芯片测试费_2"/>
      <sheetName val="关联交易-存款hࢀ_ࢀ__1"/>
      <sheetName val="短期投资股票投资_dbf1"/>
      <sheetName val="短期投资国债投资_dbf1"/>
      <sheetName val="股票投资收益_dbf1"/>
      <sheetName val="其他货币海通_dbf1"/>
      <sheetName val="其他货币零领路_dbf1"/>
      <sheetName val="投资收益债券_dbf1"/>
      <sheetName val="Base_Info1"/>
      <sheetName val="PV6_3_5L_LX5_GMX1701"/>
      <sheetName val="Company_Information1"/>
      <sheetName val="P&amp;L_adhoc1"/>
      <sheetName val="Suppl_Adhoc_Inv_(F)1"/>
      <sheetName val="Suppl_Adhoc_Pers1"/>
      <sheetName val="QTR_Data_Analysis1"/>
      <sheetName val="Disclosure_Summary1"/>
      <sheetName val="BOX_SUM1"/>
      <sheetName val="FIN_GOOD1"/>
      <sheetName val="Hyperion_Link1"/>
      <sheetName val="Price_List1"/>
      <sheetName val="1461（12_6）1"/>
      <sheetName val="Payed_bonuses1"/>
      <sheetName val="Output_&amp;_Financial_Statements1"/>
      <sheetName val="Old_TWX_Quorfa1"/>
      <sheetName val="TWX_Model1"/>
      <sheetName val="FS_Output_41"/>
      <sheetName val="FS_Output_11"/>
      <sheetName val="FS_Output_31"/>
      <sheetName val="FS_Output21"/>
      <sheetName val="Deal_Structure_&amp;_Control_Page1"/>
      <sheetName val="Historic_Comps1"/>
      <sheetName val="Bank_card_list1"/>
      <sheetName val="All_Cash_Dil1"/>
      <sheetName val="关联交易-存款hࢀ_ࢀ__x005f_x005f_x005f_x005f_1"/>
      <sheetName val="1-_Input_&amp;_Info1"/>
      <sheetName val="CUSTOMER_(DETAIL)1"/>
      <sheetName val="Lease_AP_20081"/>
      <sheetName val="Antivol_D21"/>
      <sheetName val="Vendor_Data1"/>
      <sheetName val="Romford_Market1"/>
      <sheetName val="&lt;FF&gt;_Tax_Payable1"/>
      <sheetName val="PPD_Schedule1"/>
      <sheetName val="清单12_311"/>
      <sheetName val="Economic_evaluation_-_FY98_bas1"/>
      <sheetName val="2_5上年现金试算1"/>
      <sheetName val="Base_Data1"/>
      <sheetName val="1_01"/>
      <sheetName val="Detail_Loan_Move__&amp;_Listing1"/>
      <sheetName val="Non-Statistical_Sampling1"/>
      <sheetName val="AR_Drop_Downs1"/>
      <sheetName val="PRC_GAAP1"/>
      <sheetName val="Project_Details"/>
      <sheetName val="1_资金支付台帐"/>
      <sheetName val="0_1公司清单"/>
      <sheetName val="H_R"/>
      <sheetName val="IRR_Historic"/>
      <sheetName val="Portfolio_IRR"/>
      <sheetName val="Val_Inputs"/>
      <sheetName val="Model_Inputs"/>
      <sheetName val="Exchange_Rates&gt;&gt;"/>
      <sheetName val="Funding_Combined"/>
      <sheetName val="FY18_funding"/>
      <sheetName val="iFood_funding"/>
      <sheetName val="Summary_Adjusted"/>
      <sheetName val="Summary_Combined"/>
      <sheetName val="Conversion_Roll_forward"/>
      <sheetName val="Summary_Roll_Forward"/>
      <sheetName val="Conversion_DCF"/>
      <sheetName val="Summary_DCF"/>
      <sheetName val="Conversion_Cash_Flow"/>
      <sheetName val="Summary_Cash_Flow"/>
      <sheetName val="Company_Name_mappings"/>
      <sheetName val="7_-_ARO_Assumptions"/>
      <sheetName val="PH_Car"/>
      <sheetName val="___合同台账__"/>
      <sheetName val="Sales_for_2001"/>
      <sheetName val="Tritel_Consolidated"/>
      <sheetName val="TeleCorp_Holdco_Summary"/>
      <sheetName val="Opening_check_Misc_(WO_Only)"/>
      <sheetName val="U1_6"/>
      <sheetName val="7_(2)"/>
      <sheetName val="CLA-21_1-4_OLD"/>
      <sheetName val="Mov_from_2001_to_2003"/>
      <sheetName val="Related_company1"/>
      <sheetName val="Data_From_XXX1"/>
      <sheetName val="Delphi_original1"/>
      <sheetName val="FUEL_FILLER1"/>
      <sheetName val="资产评估结果分类汇总表_(2)"/>
      <sheetName val="Cost_of_Equity"/>
      <sheetName val="Capex_report"/>
      <sheetName val="_"/>
      <sheetName val="VCC_11110-461"/>
      <sheetName val="2038"/>
      <sheetName val="Valuation - GSJBW"/>
      <sheetName val="AssBook"/>
      <sheetName val="Ass1"/>
      <sheetName val="10K4"/>
      <sheetName val="1268"/>
      <sheetName val="566"/>
      <sheetName val="1226"/>
      <sheetName val="1052"/>
      <sheetName val="670"/>
      <sheetName val="CF4"/>
      <sheetName val="CF5"/>
      <sheetName val="CF7"/>
      <sheetName val="CF8"/>
      <sheetName val="16EDO"/>
      <sheetName val="16SD"/>
      <sheetName val="16WB"/>
      <sheetName val="256M"/>
      <sheetName val="4M"/>
      <sheetName val="64EDO"/>
      <sheetName val="64SD"/>
      <sheetName val="DRD"/>
      <sheetName val="Group structure"/>
      <sheetName val="制费-分月"/>
      <sheetName val="565"/>
      <sheetName val="592"/>
      <sheetName val="PL1"/>
      <sheetName val="BJ Expenses"/>
      <sheetName val="Sample Rev"/>
      <sheetName val="Sample IS"/>
      <sheetName val="Probability View"/>
      <sheetName val="FY04ExpDetail"/>
      <sheetName val="Heads"/>
      <sheetName val="1056"/>
      <sheetName val="1065"/>
      <sheetName val="2.1设计部"/>
      <sheetName val="单位设置"/>
      <sheetName val="合并科目"/>
      <sheetName val="Mov‘2008"/>
      <sheetName val="Mov‘2007"/>
      <sheetName val="Mov‘2005"/>
      <sheetName val="Mov‘2006"/>
      <sheetName val="14"/>
      <sheetName val="Profit and loss"/>
      <sheetName val="内销收人"/>
      <sheetName val="#511BkRec"/>
      <sheetName val="#511-SEPT97"/>
      <sheetName val="#511-OCT97"/>
      <sheetName val="#511-NOV97"/>
      <sheetName val="R3抵消"/>
      <sheetName val="收入抵消"/>
      <sheetName val="(i) Fixed assets-PBC"/>
      <sheetName val="#511-DEC97"/>
      <sheetName val="RB"/>
      <sheetName val="Detail Loan Move_ _ Listing"/>
      <sheetName val="1567"/>
      <sheetName val="_2594"/>
      <sheetName val="_2598"/>
      <sheetName val="2600"/>
      <sheetName val="5076"/>
      <sheetName val="_5174"/>
      <sheetName val="ContractList"/>
      <sheetName val="动态图表-定义名称"/>
      <sheetName val="Checking"/>
      <sheetName val="2weeeks All  Excess and Shortag"/>
      <sheetName val="547"/>
      <sheetName val="624"/>
      <sheetName val="Sheet602"/>
      <sheetName val="Chart of Account"/>
      <sheetName val="SUM14ZC1"/>
      <sheetName val="Business Unit"/>
      <sheetName val="D"/>
      <sheetName val="应收热费101112"/>
      <sheetName val="1673"/>
      <sheetName val="2125"/>
      <sheetName val="2126"/>
      <sheetName val="LOT別原価明細_マシン_"/>
      <sheetName val="Consol FS"/>
      <sheetName val="Scenarios"/>
      <sheetName val="CRC"/>
      <sheetName val="Gastric"/>
      <sheetName val="NSCLC"/>
      <sheetName val="FF-2 (1)"/>
      <sheetName val="WACC Analysis Output"/>
      <sheetName val="分产品销售收入、成本分析表"/>
      <sheetName val="TSA"/>
      <sheetName val="现金银行日记账"/>
      <sheetName val="关联交易-存款hࢀ_ࢀ__x0001_1"/>
      <sheetName val="삅ོ䚋栠Ѫ_x005f_x005f_x"/>
      <sheetName val="关联交易-存款__x0000__x00"/>
      <sheetName val="关联交易-存款_x0000__x00"/>
      <sheetName val="关联交易-存款h_x0001___x0"/>
      <sheetName val="关联交易-存款lঀ;ঀ;_"/>
      <sheetName val="关联交易-存款l઀Ƽ઀Ƽ_"/>
      <sheetName val="sch10-rm2"/>
      <sheetName val="sch6-rm"/>
      <sheetName val="1.1 Project Data"/>
      <sheetName val="C.货币资金"/>
      <sheetName val="C.抵押存款"/>
      <sheetName val="D.可供出售投资-流动"/>
      <sheetName val="D.衍生金融资产"/>
      <sheetName val="D.持有至到期投资-流动"/>
      <sheetName val="D.短期投资"/>
      <sheetName val="D.单列金融资产"/>
      <sheetName val="A5.dim&amp;adj sum"/>
      <sheetName val="E.应收账款"/>
      <sheetName val="E.应收贸易款及票据"/>
      <sheetName val="E.应收票据"/>
      <sheetName val="F.存货"/>
      <sheetName val="F.房地产"/>
      <sheetName val="G.预付账款&amp;其他应收款&amp;待摊费用"/>
      <sheetName val="G.应收股利"/>
      <sheetName val="G.待售资产"/>
      <sheetName val="G.HK其他应收"/>
      <sheetName val="G.应收利息"/>
      <sheetName val="G.其他流动资产"/>
      <sheetName val="H.可供出售投资-非流动"/>
      <sheetName val="H.HK长投"/>
      <sheetName val="H.商誉"/>
      <sheetName val="H.持有至到期投资-非流动"/>
      <sheetName val="H.投资性房地产"/>
      <sheetName val="H.PRC长投"/>
      <sheetName val="I.应收关联方"/>
      <sheetName val="I.应付关联方"/>
      <sheetName val="J.在建工程"/>
      <sheetName val="K.固定资产"/>
      <sheetName val="K.固定资产清理"/>
      <sheetName val="L.一年内到期的长期债权投资"/>
      <sheetName val="L.无形"/>
      <sheetName val="L.长期待摊"/>
      <sheetName val="L.其他长期资产"/>
      <sheetName val="M.短借"/>
      <sheetName val="N.应付票据"/>
      <sheetName val="P.预收账款&amp;其他应付款&amp;应付职工薪酬&amp;预提费用&amp;其他应交款"/>
      <sheetName val="U.其他业务收支&amp;营业外收支&amp;补贴收入&amp;利息收入"/>
      <sheetName val="U.所得税"/>
      <sheetName val="O.递延税资产"/>
      <sheetName val="O.递延税负债"/>
      <sheetName val="O.应交税费"/>
      <sheetName val="U.税金及附加"/>
      <sheetName val="P.应付股利"/>
      <sheetName val="P.HK其他应付"/>
      <sheetName val="P.应付利息"/>
      <sheetName val="P.其他应付款"/>
      <sheetName val="P.其他流动负债"/>
      <sheetName val="P.应付职工薪酬"/>
      <sheetName val="P.预计负债"/>
      <sheetName val="Q.应付债券"/>
      <sheetName val="Q.可转债"/>
      <sheetName val="Q.政府补助"/>
      <sheetName val="Q.一年内到期负债"/>
      <sheetName val="Q.应付融资租赁款"/>
      <sheetName val="Q.长借"/>
      <sheetName val="Q.长期应付"/>
      <sheetName val="Q.其他长期负债"/>
      <sheetName val="Q.专项应付"/>
      <sheetName val="T.股本"/>
      <sheetName val="T.资本公积"/>
      <sheetName val="T.折算差额"/>
      <sheetName val="T.未分配利润"/>
      <sheetName val="T.盈余公积"/>
      <sheetName val="U.主营业务"/>
      <sheetName val="U.财务费用"/>
      <sheetName val="U.投资收益&amp;公允价值变动收益"/>
      <sheetName val="U.管理费用&amp;资产减值损失"/>
      <sheetName val="U.成本倒轧表&amp;制造费用"/>
      <sheetName val="U.销售费用"/>
      <sheetName val="U.分占下属损益"/>
      <sheetName val="LOV"/>
      <sheetName val="HOME"/>
      <sheetName val="BS(goc)"/>
      <sheetName val="BS CHECK"/>
      <sheetName val="Scenario"/>
      <sheetName val="Sheet502"/>
      <sheetName val="Sheet608"/>
      <sheetName val="Sheet656"/>
      <sheetName val="695"/>
      <sheetName val="1023"/>
      <sheetName val="992"/>
      <sheetName val="1024"/>
      <sheetName val="OPEX-IST"/>
      <sheetName val="source-1"/>
      <sheetName val="Offering Stats"/>
      <sheetName val="inventory2002"/>
      <sheetName val="PPV2002"/>
      <sheetName val="Sheet639"/>
      <sheetName val="Segment to Legal"/>
      <sheetName val="Sheet994"/>
      <sheetName val="101200"/>
      <sheetName val="U120"/>
      <sheetName val="Sheet482"/>
      <sheetName val="Sheet505"/>
      <sheetName val="Sheet1758"/>
      <sheetName val="P &amp; L Account"/>
      <sheetName val="현금"/>
      <sheetName val="별제권_정리담보권"/>
      <sheetName val="Financial Statistics"/>
      <sheetName val="班部番別"/>
      <sheetName val="Sheet552"/>
      <sheetName val="6641"/>
      <sheetName val="687"/>
      <sheetName val="1887"/>
      <sheetName val="Sheet668"/>
      <sheetName val="Sheet2055"/>
      <sheetName val="604"/>
      <sheetName val="Dati"/>
      <sheetName val="木"/>
      <sheetName val="Konten"/>
      <sheetName val="0"/>
      <sheetName val="settings"/>
      <sheetName val="D410 应交税金变动表Movement"/>
      <sheetName val="PPH1298S"/>
      <sheetName val="2077"/>
      <sheetName val="A810-ASM"/>
      <sheetName val="调整分录表"/>
      <sheetName val="Fcst 2017"/>
      <sheetName val="1817"/>
      <sheetName val="FrontPage"/>
      <sheetName val="CheckSheet"/>
      <sheetName val="Data_Entry"/>
      <sheetName val="M1S"/>
      <sheetName val="M3"/>
      <sheetName val="M5A_M5B"/>
      <sheetName val="M6"/>
      <sheetName val="M5_M6 Summary"/>
      <sheetName val="M7"/>
      <sheetName val="M7B"/>
      <sheetName val="M8"/>
      <sheetName val="M8A"/>
      <sheetName val="M9"/>
      <sheetName val="AF1"/>
      <sheetName val="MD1"/>
      <sheetName val="MD2"/>
      <sheetName val="FC1"/>
      <sheetName val="FC2"/>
      <sheetName val="W1"/>
      <sheetName val="Dialogs"/>
      <sheetName val="Macros"/>
      <sheetName val="AutoData"/>
      <sheetName val="Sheet1 (3)"/>
      <sheetName val="应收帐款明细表"/>
      <sheetName val="现金流量表_月报_"/>
      <sheetName val="2006"/>
      <sheetName val="1727"/>
      <sheetName val="基本资料(不打印)"/>
      <sheetName val="汽车销量及出口（财务开票）"/>
      <sheetName val="10月份毛利表"/>
      <sheetName val="1544"/>
      <sheetName val="中山低值"/>
      <sheetName val="应收帐款"/>
      <sheetName val="651"/>
      <sheetName val="Sheet1013"/>
      <sheetName val="1102 MIT"/>
      <sheetName val="BB"/>
      <sheetName val="DOC34"/>
      <sheetName val="Dimensions"/>
      <sheetName val="全"/>
      <sheetName val="001铝锭"/>
      <sheetName val="003普废料"/>
      <sheetName val="004合金废料"/>
      <sheetName val="006精废料"/>
      <sheetName val="B03空调箔"/>
      <sheetName val="B06空调箔"/>
      <sheetName val="B02空调箔"/>
      <sheetName val="1218"/>
      <sheetName val="1220"/>
      <sheetName val="1365"/>
      <sheetName val="归类"/>
      <sheetName val="油墨"/>
      <sheetName val="WendyCaymanEstimatePricing"/>
      <sheetName val="0521"/>
      <sheetName val="Sheet1760"/>
      <sheetName val="Sheet1761"/>
      <sheetName val="枚举字典"/>
      <sheetName val="FZ-1"/>
      <sheetName val="Sheet643"/>
      <sheetName val="O adj"/>
      <sheetName val="GZ"/>
      <sheetName val="1137"/>
      <sheetName val="BIS LIST-NTH 18"/>
      <sheetName val="TTL"/>
      <sheetName val="FY2016"/>
      <sheetName val="TB &amp; 2013"/>
      <sheetName val="EJE&amp;2013"/>
      <sheetName val="Sheet654"/>
      <sheetName val="Sheet1137"/>
      <sheetName val="A_R_015"/>
      <sheetName val="Defer_tax5"/>
      <sheetName val="ADJ_Sum(console)5"/>
      <sheetName val="Estimated_AP_9_035"/>
      <sheetName val="2005_064"/>
      <sheetName val="daywork-_Tham_khao4"/>
      <sheetName val="TB_Link4"/>
      <sheetName val="Mar_OR4"/>
      <sheetName val="truc_tiep3"/>
      <sheetName val="REC_974"/>
      <sheetName val="P_1预收、其他应付、其他流动负债3"/>
      <sheetName val="G_预付账款、其他应收款、其他流动资产3"/>
      <sheetName val="_U1503"/>
      <sheetName val="2-分类汇总_Classified_Summary3"/>
      <sheetName val="各年往来_(2)3"/>
      <sheetName val="Financ__Overview3"/>
      <sheetName val="IFRS_REPORTING3"/>
      <sheetName val="关联交易-存款hࢀ_ࢀ__x005f_x0001_3"/>
      <sheetName val="A5_Summary3"/>
      <sheetName val="office_supplies3"/>
      <sheetName val="zero_(3)3"/>
      <sheetName val="Ex_Diff2"/>
      <sheetName val="关联交易-存款hࢀ_ࢀ__x005f_x005f_x005f_x0001_3"/>
      <sheetName val="Invest_3"/>
      <sheetName val="TAB_Daten2"/>
      <sheetName val="A3_Sum3"/>
      <sheetName val="II-_Liability_Component_June_02"/>
      <sheetName val="I-Conclusion_2"/>
      <sheetName val="II-_Liab__comp_IAS2"/>
      <sheetName val="Conversion_feature2"/>
      <sheetName val="I-_Summary2"/>
      <sheetName val="3_23"/>
      <sheetName val="Inv_days_#53"/>
      <sheetName val="control_sheet_fund_II3"/>
      <sheetName val="Exec_Summary3"/>
      <sheetName val="N_应付账款2"/>
      <sheetName val="Raw_materials2"/>
      <sheetName val="关联交易-存款hࢀ_ࢀ__x005f_x005f_x005f_x005f_x005f2"/>
      <sheetName val="关联交易-存款hࢀ_ࢀ__x005f_x005f_2"/>
      <sheetName val="F1100芯片测试费_3"/>
      <sheetName val="Sch_PR-22"/>
      <sheetName val="Sch_PR-32"/>
      <sheetName val="Consol_BS2"/>
      <sheetName val="HO_&amp;_Aust_BS2"/>
      <sheetName val="JAC11_302"/>
      <sheetName val="Tier1_Pref_SGP2"/>
      <sheetName val="Rev__Losses2"/>
      <sheetName val="SoP_SGP22"/>
      <sheetName val="Prop_R2"/>
      <sheetName val="Tier1_Pref_SBP2"/>
      <sheetName val="Income_Statement_breakdown2"/>
      <sheetName val="销售6_132"/>
      <sheetName val="关联交易-存款hࢀ_ࢀ__2"/>
      <sheetName val="qad_TB2"/>
      <sheetName val="短期投资股票投资_dbf2"/>
      <sheetName val="短期投资国债投资_dbf2"/>
      <sheetName val="股票投资收益_dbf2"/>
      <sheetName val="其他货币海通_dbf2"/>
      <sheetName val="其他货币零领路_dbf2"/>
      <sheetName val="投资收益债券_dbf2"/>
      <sheetName val="Base_Info2"/>
      <sheetName val="PV6_3_5L_LX5_GMX1702"/>
      <sheetName val="Company_Information2"/>
      <sheetName val="P&amp;L_adhoc2"/>
      <sheetName val="Suppl_Adhoc_Inv_(F)2"/>
      <sheetName val="Suppl_Adhoc_Pers2"/>
      <sheetName val="QTR_Data_Analysis2"/>
      <sheetName val="Disclosure_Summary2"/>
      <sheetName val="BOX_SUM2"/>
      <sheetName val="FIN_GOOD2"/>
      <sheetName val="Hyperion_Link2"/>
      <sheetName val="关联交易-存款?滨?_2"/>
      <sheetName val="Price_List2"/>
      <sheetName val="1461（12_6）2"/>
      <sheetName val="Payed_bonuses2"/>
      <sheetName val="Output_&amp;_Financial_Statements2"/>
      <sheetName val="Old_TWX_Quorfa2"/>
      <sheetName val="TWX_Model2"/>
      <sheetName val="FS_Output_42"/>
      <sheetName val="FS_Output_12"/>
      <sheetName val="FS_Output_32"/>
      <sheetName val="FS_Output22"/>
      <sheetName val="Deal_Structure_&amp;_Control_Page2"/>
      <sheetName val="Historic_Comps2"/>
      <sheetName val="Bank_card_list2"/>
      <sheetName val="All_Cash_Dil2"/>
      <sheetName val="关联交易-存款hࢀ_ࢀ__x005f_x005f_x005f_x005f_2"/>
      <sheetName val="1-_Input_&amp;_Info2"/>
      <sheetName val="CUSTOMER_(DETAIL)2"/>
      <sheetName val="Lease_AP_20082"/>
      <sheetName val="Antivol_D22"/>
      <sheetName val="Vendor_Data2"/>
      <sheetName val="2_5上年现金试算2"/>
      <sheetName val="Romford_Market2"/>
      <sheetName val="&lt;FF&gt;_Tax_Payable2"/>
      <sheetName val="PPD_Schedule2"/>
      <sheetName val="清单12_312"/>
      <sheetName val="Economic_evaluation_-_FY98_bas2"/>
      <sheetName val="Base_Data2"/>
      <sheetName val="1_02"/>
      <sheetName val="Detail_Loan_Move__&amp;_Listing2"/>
      <sheetName val="Non-Statistical_Sampling2"/>
      <sheetName val="AR_Drop_Downs2"/>
      <sheetName val="PRC_GAAP2"/>
      <sheetName val="CY_sales_report1"/>
      <sheetName val="addl_cost1"/>
      <sheetName val="综合成本分析01_01-02051"/>
      <sheetName val="statement_19981"/>
      <sheetName val="XVIa(i)_-_average_price_(2)1"/>
      <sheetName val="Table_13_1_-_31"/>
      <sheetName val="T__B1"/>
      <sheetName val="ACC_NAME1"/>
      <sheetName val="Cash_Flow_-_CY_Workings1"/>
      <sheetName val="2_cot1"/>
      <sheetName val="for_ey_reviewer_销售费用1"/>
      <sheetName val="for_ey_reviewer_制造费用1"/>
      <sheetName val="Rejects_PPM1"/>
      <sheetName val="QOS_RPPM1"/>
      <sheetName val="Standort_(DE)1"/>
      <sheetName val="Act_Vol1"/>
      <sheetName val="SD-Report_5&quot;1"/>
      <sheetName val="M_Schedules1"/>
      <sheetName val="Staff_List1"/>
      <sheetName val="链接表（勿动）_元)1"/>
      <sheetName val="两次基准日的对比_(0531与0831)1"/>
      <sheetName val="链接表（勿动）_(元表)1"/>
      <sheetName val="Customer_Name1"/>
      <sheetName val="IRR_&amp;_NPV1"/>
      <sheetName val="ZP7_gespritzt1"/>
      <sheetName val="C-1_总表1"/>
      <sheetName val="4_1-合同台帐1"/>
      <sheetName val="Income_Statement_and_KPIs1"/>
      <sheetName val="GA5-2-1_明细表20151"/>
      <sheetName val="index_cc1"/>
      <sheetName val="1_5_合同、非合同台帐1"/>
      <sheetName val="IS_Summary-961"/>
      <sheetName val="Library_Procedures1"/>
      <sheetName val="Non-Statistical_Sampling_Maste1"/>
      <sheetName val="Global_Data1"/>
      <sheetName val="4_1拆出资金1"/>
      <sheetName val="aging_06121"/>
      <sheetName val="NA_QTR_PROD1"/>
      <sheetName val="Official_Lehman_PROD_Sched1"/>
      <sheetName val="Income_statement1"/>
      <sheetName val="PRC_151"/>
      <sheetName val="acc_list1"/>
      <sheetName val="在建工程_final1"/>
      <sheetName val="7_-_ARO_Assumptions1"/>
      <sheetName val="진행_DATA_(2)1"/>
      <sheetName val="开发成本2002_-_Movement1"/>
      <sheetName val="Acq_Assumptions_I1"/>
      <sheetName val="Acq_Assumptions_II1"/>
      <sheetName val="Acq_Assumptions_III1"/>
      <sheetName val="Service_Parts_Rejects_(RPPM)1"/>
      <sheetName val="Carole_Worksheet_Table1"/>
      <sheetName val="VS_Consensus1"/>
      <sheetName val="销售人效_-_Overview1"/>
      <sheetName val="Two_Step_Revenue_Testing_Maste1"/>
      <sheetName val="Share_Prices1"/>
      <sheetName val="Book_1_Summary1"/>
      <sheetName val="Salses_breakdown1"/>
      <sheetName val="国别报告数据填报模板(Information_Request1"/>
      <sheetName val="CJE_energy_inv1"/>
      <sheetName val="YTD_SALES1"/>
      <sheetName val="0_1公司清单1"/>
      <sheetName val="H_R1"/>
      <sheetName val="1_资金支付台帐1"/>
      <sheetName val="M&amp;A_pipeline1"/>
      <sheetName val="Feb_Allocation%1"/>
      <sheetName val="Com_Lever1"/>
      <sheetName val="expenses_calc1"/>
      <sheetName val="existing_cities_benchmark1"/>
      <sheetName val="master_sheet1"/>
      <sheetName val="bike_loss1"/>
      <sheetName val="exchange_rate1"/>
      <sheetName val="Cash_Flow_Worksheet1"/>
      <sheetName val="Chart_Analysis1"/>
      <sheetName val="2005_011"/>
      <sheetName val="Comp_equip1"/>
      <sheetName val="Access360_-_PP1"/>
      <sheetName val="Program_Controls1"/>
      <sheetName val="BS_Heading1"/>
      <sheetName val="PER_SALES_ORG1"/>
      <sheetName val="08_81"/>
      <sheetName val="其他货币资金_dbf1"/>
      <sheetName val="银行存款_dbf1"/>
      <sheetName val="2018_ADJ1"/>
      <sheetName val="F19_21"/>
      <sheetName val="F19_11"/>
      <sheetName val="F5_51"/>
      <sheetName val="F5_31"/>
      <sheetName val="Accounts_Database1"/>
      <sheetName val="CH_Car1"/>
      <sheetName val="App1_Entities_sequence_number1"/>
      <sheetName val="POWER_ASSUMPTIONS1"/>
      <sheetName val="summary_1"/>
      <sheetName val="关联交易-存款_滨__2"/>
      <sheetName val="F40-Goodsin_transit1"/>
      <sheetName val="1002-1031170406_Capital_Accoun1"/>
      <sheetName val="Air_Conditional1"/>
      <sheetName val="Motor_Vehicle1"/>
      <sheetName val="2018工程汇总_1"/>
      <sheetName val="表二十二_(2)"/>
      <sheetName val="附表1_年度人数"/>
      <sheetName val="Cash_Flow1"/>
      <sheetName val="26_存货月报表"/>
      <sheetName val="cum_pred"/>
      <sheetName val="库存商品余额表_dbf1"/>
      <sheetName val="Project_Details1"/>
      <sheetName val="Tritel_Consolidated1"/>
      <sheetName val="TeleCorp_Holdco_Summary1"/>
      <sheetName val="Sales_Volumes_&amp;_Plan"/>
      <sheetName val="Net_Sales_LC"/>
      <sheetName val="query_results"/>
      <sheetName val="Opening_check_Misc_(WO_Only)1"/>
      <sheetName val="IRR_Historic1"/>
      <sheetName val="Portfolio_IRR1"/>
      <sheetName val="Val_Inputs1"/>
      <sheetName val="Model_Inputs1"/>
      <sheetName val="Exchange_Rates&gt;&gt;1"/>
      <sheetName val="Funding_Combined1"/>
      <sheetName val="FY18_funding1"/>
      <sheetName val="iFood_funding1"/>
      <sheetName val="Summary_Adjusted1"/>
      <sheetName val="Summary_Combined1"/>
      <sheetName val="Conversion_Roll_forward1"/>
      <sheetName val="Summary_Roll_Forward1"/>
      <sheetName val="Conversion_DCF1"/>
      <sheetName val="Summary_DCF1"/>
      <sheetName val="Conversion_Cash_Flow1"/>
      <sheetName val="Summary_Cash_Flow1"/>
      <sheetName val="Company_Name_mappings1"/>
      <sheetName val="PH_Car1"/>
      <sheetName val="Related_company2"/>
      <sheetName val="Data_From_XXX2"/>
      <sheetName val="Delphi_original2"/>
      <sheetName val="FUEL_FILLER2"/>
      <sheetName val="Capex_report1"/>
      <sheetName val="___合同台账__1"/>
      <sheetName val="CIP_DETAILS"/>
      <sheetName val="Sales_for_20011"/>
      <sheetName val="7_(2)1"/>
      <sheetName val="Info__Request"/>
      <sheetName val="U1_61"/>
      <sheetName val="Price_Provision_清单"/>
      <sheetName val="PltRpt_(A&amp;F)"/>
      <sheetName val="PltRpt_(A&amp;FvsB)"/>
      <sheetName val="PltRpt_(B&amp;AC)"/>
      <sheetName val="Schedule_B"/>
      <sheetName val="Tav_22_Rischio_di_Credito"/>
      <sheetName val="信息费用预算表(A4)_"/>
      <sheetName val="Depreciation_test"/>
      <sheetName val="Table_US_Currency"/>
      <sheetName val="fixed_assets_–Forklifts"/>
      <sheetName val="fixed_assets_–battery"/>
      <sheetName val="ARP_stt_2"/>
      <sheetName val="Gen_Accruals"/>
      <sheetName val="Legal_Accrual"/>
      <sheetName val="Payroll_Accrual"/>
      <sheetName val="Cost_of_Equity1"/>
      <sheetName val="CLA-21_1-4_OLD1"/>
      <sheetName val="E3_A"/>
      <sheetName val="Net_REVENUE"/>
      <sheetName val="_1"/>
      <sheetName val="Ex__rate"/>
      <sheetName val="资产评估结果分类汇总表_(2)1"/>
      <sheetName val="SPI_GMBH"/>
      <sheetName val="Summary_Page_VDF"/>
      <sheetName val="Invested_capital_VDF"/>
      <sheetName val="LT_TB"/>
      <sheetName val="LTMD_TB"/>
      <sheetName val="OC_TB"/>
      <sheetName val="ZD_TB"/>
      <sheetName val="Agency_Walker_ID"/>
      <sheetName val="sales_breakdown"/>
      <sheetName val="co_info"/>
      <sheetName val="FA_Roll_to_GL_(p_2)"/>
      <sheetName val="Lead_(p_1)"/>
      <sheetName val="Interim_NWA_converted_in_Dec02"/>
      <sheetName val="AP-NSK(trade)_USD"/>
      <sheetName val="IV-NSK_JPY"/>
      <sheetName val="AP-NSK_(trade)_JPY"/>
      <sheetName val="AR-KTB_JPY"/>
      <sheetName val="AR-NSK_(trade)_USD"/>
      <sheetName val="ar-OKI_Micro"/>
      <sheetName val="AR-TAIKO_JPY"/>
      <sheetName val="BR-Thousand_JPY"/>
      <sheetName val="F余额表2021_(2)"/>
      <sheetName val="F余额表2021_(3)"/>
      <sheetName val="其他业务成本_111031"/>
      <sheetName val="A6620_Detail"/>
      <sheetName val="K311_A_List02"/>
      <sheetName val="99Exh_I"/>
      <sheetName val="외주현황_wq1"/>
      <sheetName val="Difference_Reconcliation"/>
      <sheetName val="RPT_Disclosure"/>
      <sheetName val="FY99_Volume"/>
      <sheetName val="Sal_&amp;_Wage_Info"/>
      <sheetName val="LAbor_estimate"/>
      <sheetName val="2018_4_7_for_Bank"/>
      <sheetName val="Chart_of_acct_"/>
      <sheetName val="SPLICE_HOURS"/>
      <sheetName val="SC_HKD_CA"/>
      <sheetName val="M_P_"/>
      <sheetName val="Taux_de_change_"/>
      <sheetName val="plantilla_mes"/>
      <sheetName val="PL_by_month-EFY"/>
      <sheetName val="Calcs_for__quarterly_pres"/>
      <sheetName val="Valuation_Matrix"/>
      <sheetName val="Mov_from_2001_to_20031"/>
      <sheetName val="cur_rates"/>
      <sheetName val="Total_2009"/>
      <sheetName val="3rd_Qtr"/>
      <sheetName val="5th_Qtr"/>
      <sheetName val="6th_Qtr"/>
      <sheetName val="7th_Qtr"/>
      <sheetName val="Exit_Forecast"/>
      <sheetName val="2nd_Qtr"/>
      <sheetName val="Rounded_Input"/>
      <sheetName val="_003_3固定资产"/>
      <sheetName val="SUIVI_EFFECTIFS"/>
      <sheetName val="Vendas_Tons"/>
      <sheetName val="C_Estr_"/>
      <sheetName val="EFFECT_"/>
      <sheetName val="Trial_Balance"/>
      <sheetName val="VT_TEB_Planung-2006"/>
      <sheetName val="BT_03"/>
      <sheetName val="BT_02"/>
      <sheetName val="BT_01"/>
      <sheetName val="ICP费用ICP_Expense"/>
      <sheetName val="ICP其他应付款ICP_OtherPayable"/>
      <sheetName val="Product_List"/>
      <sheetName val="BALANCE_SHEET"/>
      <sheetName val="总公司2002_12_31"/>
      <sheetName val="_W60A_Seating_2011_3_7_xlsx"/>
      <sheetName val="FIRE_Parameters"/>
      <sheetName val="5_基础档案"/>
      <sheetName val="P&amp;L_Summary_Page"/>
      <sheetName val="Expenses_with_Comparisons"/>
      <sheetName val="TEV_Multiples"/>
      <sheetName val="CSM_Data_by_CY_"/>
      <sheetName val="Pref_Probable_Case_Returns"/>
      <sheetName val="Interco_BSC_01"/>
      <sheetName val="U210'_"/>
      <sheetName val="VCC_11110-4611"/>
      <sheetName val="CREDIT_STATS"/>
      <sheetName val="FAT_DB"/>
      <sheetName val="CF_Bridge"/>
      <sheetName val="Other_R&amp;O"/>
      <sheetName val="Co_59"/>
      <sheetName val="FA_List"/>
      <sheetName val="Operating_"/>
      <sheetName val="CFS_adjustments"/>
      <sheetName val="Office_Improve"/>
      <sheetName val="Drop_down"/>
      <sheetName val="2010_Breakdown"/>
      <sheetName val="CA_consolidated"/>
      <sheetName val="Chart_of_Acct"/>
      <sheetName val="Comparative_Balance_Sheet"/>
      <sheetName val="Com_list"/>
      <sheetName val="Headcount_and_Oil_Price"/>
      <sheetName val="BOE_Stats"/>
      <sheetName val="C_-_Cash_and_Bank"/>
      <sheetName val="others_gl"/>
      <sheetName val="Beg-_End_balance"/>
      <sheetName val="Net_Trans_Sum"/>
      <sheetName val="Sum_Hist"/>
      <sheetName val="Corporate_PPT"/>
      <sheetName val="WTI_Coporate_Eliminations_PPT"/>
      <sheetName val="Sales_by_category"/>
      <sheetName val="1102_TAB_OPPORTUNITY_to_import"/>
      <sheetName val="_FY2000"/>
      <sheetName val="BU_Parameters"/>
      <sheetName val="Valuation_Summary"/>
      <sheetName val="Capex_&amp;_Working_Capital_"/>
      <sheetName val="Product_Summary"/>
      <sheetName val="Revenue_Output"/>
      <sheetName val="P&amp;L_Summary"/>
      <sheetName val="Gross_Profit_Output_(100%)"/>
      <sheetName val="Historical_IS"/>
      <sheetName val="Other_Working_Assumptions"/>
      <sheetName val="Valuation_Waterfall"/>
      <sheetName val="Gross_Profit"/>
      <sheetName val="Historical_BS"/>
      <sheetName val="Key_Assumptions"/>
      <sheetName val="Instruction_Sheet"/>
      <sheetName val="Invested_Capital"/>
      <sheetName val="Monthly_Ex_rate"/>
      <sheetName val="Expense_Accrual"/>
      <sheetName val="Gen__Accrual"/>
      <sheetName val="Prod__Accrual"/>
      <sheetName val="Rent_Accrual"/>
      <sheetName val="Corporate_Sales"/>
      <sheetName val="Freight_Issues"/>
      <sheetName val="Financial_Summary"/>
      <sheetName val="Rev_provit"/>
      <sheetName val="Repayment_Summary"/>
      <sheetName val="会计科目设置__科目汇总表"/>
      <sheetName val="IND_"/>
      <sheetName val="Performance_Graphs"/>
      <sheetName val="Validation_source"/>
      <sheetName val="EXP_LINE"/>
      <sheetName val="封面_Cover"/>
      <sheetName val="Other_M&amp;R"/>
      <sheetName val="QTP_dt_"/>
      <sheetName val="05_AOP_-_Exp_by_CC"/>
      <sheetName val="05_AOP_-_By_Acct_Detail"/>
      <sheetName val="IB_Average"/>
      <sheetName val="Int_ZFLS"/>
      <sheetName val="I-cycle_count08"/>
      <sheetName val="TT_template"/>
      <sheetName val="Valuation_-_GSJBW"/>
      <sheetName val="_8022"/>
      <sheetName val="Sheet567"/>
      <sheetName val="2454"/>
      <sheetName val="2456"/>
      <sheetName val="2675"/>
      <sheetName val="基本情况表"/>
      <sheetName val="Sheet768"/>
      <sheetName val="Sheet766"/>
      <sheetName val="Sheet662"/>
      <sheetName val="Sheet688"/>
      <sheetName val="NEWSPRINT &amp; UGW"/>
      <sheetName val="Management Projections"/>
      <sheetName val="会计报表_PRC"/>
      <sheetName val="会计报表_IFRS"/>
      <sheetName val="预付帐龄"/>
      <sheetName val="Inventories Analysis"/>
      <sheetName val="Sheet1484"/>
      <sheetName val="ALL DATA"/>
      <sheetName val="Sheet880"/>
      <sheetName val="Ex-Rate"/>
      <sheetName val="MB51"/>
      <sheetName val="会计科目"/>
      <sheetName val="2127"/>
      <sheetName val="Spending-mth(Sohu)"/>
      <sheetName val="Spending-Qtr"/>
      <sheetName val="IS"/>
      <sheetName val="PP&amp;E &amp; Intangibles"/>
      <sheetName val="Cover --&gt;"/>
      <sheetName val="节奏讨论用"/>
      <sheetName val="COA映射"/>
      <sheetName val="Comps input"/>
      <sheetName val="G2a"/>
      <sheetName val="ConWP"/>
      <sheetName val="配置"/>
      <sheetName val="新名称管理"/>
      <sheetName val="MT by Dept 管理报表费用分类"/>
      <sheetName val="Volatility raw"/>
      <sheetName val="Welfare PIT"/>
      <sheetName val="by category"/>
      <sheetName val="Curve"/>
      <sheetName val="Calibration to Swaptions"/>
      <sheetName val="Swaption Data"/>
      <sheetName val="1580"/>
      <sheetName val="附件10 东莞百宏-待摊费用2019"/>
      <sheetName val="附件6 东莞百宏-其他应收款2019"/>
      <sheetName val="附件8 东莞百宏-预收账款2019"/>
      <sheetName val="科目余额2019"/>
      <sheetName val="2043"/>
      <sheetName val="物料"/>
      <sheetName val="Account Map"/>
      <sheetName val="Cntmrs"/>
      <sheetName val="A3.试算表Financial statement"/>
      <sheetName val="K.固定资产&amp;投资性房地产"/>
      <sheetName val="G.其他应收款"/>
      <sheetName val="Occupancy 2004"/>
      <sheetName val="N1_AT"/>
      <sheetName val="C2_WKSP"/>
      <sheetName val="A1_INP"/>
      <sheetName val="A2_TINPM"/>
      <sheetName val="A3_TINPP"/>
      <sheetName val="关联交易-存款_滨__x001a_ "/>
      <sheetName val="1679"/>
      <sheetName val="06.1"/>
      <sheetName val="标本-资产"/>
      <sheetName val="AP Recap"/>
      <sheetName val="sales vol."/>
      <sheetName val="Month 8"/>
      <sheetName val="Daglig_Likviditet"/>
      <sheetName val="MV"/>
      <sheetName val="2041"/>
      <sheetName val="2238"/>
      <sheetName val="2239"/>
      <sheetName val="Summ"/>
      <sheetName val="Options"/>
      <sheetName val="附件25.2-销售收入"/>
      <sheetName val="2103"/>
      <sheetName val="U401(OK)"/>
      <sheetName val="使用说明"/>
      <sheetName val="大纲"/>
      <sheetName val="母公司应交税金明细表（含泵送）"/>
      <sheetName val="N1"/>
      <sheetName val="6126.07披露表(国资)"/>
      <sheetName val="Pick_Lists_Sheet"/>
      <sheetName val="K1_Tax_computation"/>
      <sheetName val="NBE_DCF"/>
      <sheetName val="Consolidated_DCF"/>
      <sheetName val="Boilers_DCF"/>
      <sheetName val="NBE_(heat_rate)"/>
      <sheetName val="Sheet571"/>
      <sheetName val="Sheet2662"/>
      <sheetName val="Aging Analysis"/>
      <sheetName val="수정시산표"/>
      <sheetName val="Review pts"/>
      <sheetName val="GC0997"/>
      <sheetName val="A501_AADJ#14-对价调整"/>
      <sheetName val="2_假设"/>
      <sheetName val="D-PL"/>
      <sheetName val="Trans"/>
      <sheetName val="11累计完工表(内部)"/>
      <sheetName val="Sheet2639"/>
      <sheetName val="COSTAB97"/>
      <sheetName val="Q.CF-E01"/>
      <sheetName val="F1910"/>
      <sheetName val="For Report"/>
      <sheetName val="Movement-本部"/>
      <sheetName val="Movement-昌盛"/>
      <sheetName val="重置价计算表"/>
      <sheetName val="河北肃宁"/>
      <sheetName val="SFC fcst"/>
      <sheetName val="dd"/>
      <sheetName val="资产负债表验证表"/>
      <sheetName val="01 T"/>
      <sheetName val="03 "/>
      <sheetName val="概括表、结果汇总表"/>
      <sheetName val="按期限计算有偿维保"/>
      <sheetName val="二级成本动态表"/>
      <sheetName val="FA ad09-12"/>
      <sheetName val="核对表"/>
      <sheetName val="其他流动资产"/>
      <sheetName val="其他业务收入成本"/>
      <sheetName val="conBS"/>
      <sheetName val="conCE"/>
      <sheetName val="conCF"/>
      <sheetName val="conIS"/>
      <sheetName val="母公司TB"/>
      <sheetName val="Sales Data"/>
      <sheetName val="Graphs"/>
      <sheetName val="Regression_V1"/>
      <sheetName val="A | INPUT Filler"/>
      <sheetName val="Fitments Abs Ums"/>
      <sheetName val="Datenbank Fillers"/>
      <sheetName val="表二"/>
      <sheetName val="表五"/>
      <sheetName val="客户资料录入"/>
      <sheetName val="系统维护"/>
      <sheetName val="系统设置"/>
      <sheetName val="期初试算平衡表"/>
      <sheetName val="其他货币资金"/>
      <sheetName val="未审利润及利润分配表"/>
      <sheetName val="未审资产负债表"/>
      <sheetName val="现金流量表底稿"/>
      <sheetName val="一级科目表"/>
      <sheetName val="应收利息"/>
      <sheetName val="累计折旧"/>
      <sheetName val="未分配利润"/>
      <sheetName val="无形资产"/>
      <sheetName val="ZO-510"/>
      <sheetName val="Z0-350"/>
      <sheetName val="ZO-300"/>
      <sheetName val="Sheet624"/>
      <sheetName val="OE AC#41111"/>
      <sheetName val="TB0804"/>
      <sheetName val="NON-TP-ABB"/>
      <sheetName val="_606"/>
      <sheetName val="_607"/>
      <sheetName val="_608"/>
      <sheetName val="_609"/>
      <sheetName val="_610"/>
      <sheetName val="_611"/>
      <sheetName val="_612"/>
      <sheetName val="_706"/>
      <sheetName val="_707"/>
      <sheetName val="_708"/>
      <sheetName val="_709"/>
      <sheetName val="_710"/>
      <sheetName val="管理费用预测"/>
      <sheetName val="Guizhou"/>
      <sheetName val="Assumption"/>
      <sheetName val="Depn"/>
      <sheetName val="Operations"/>
      <sheetName val="EqptList"/>
      <sheetName val="债权成本-2020年"/>
      <sheetName val="测算汇总"/>
      <sheetName val="资金使用假设 (可转债按账面拆分为股权与债权)"/>
      <sheetName val="PKH-Income"/>
      <sheetName val="BS data"/>
      <sheetName val="capital"/>
      <sheetName val="Ambares"/>
      <sheetName val="期间费用率"/>
      <sheetName val="采购降成本情况进度统计表"/>
      <sheetName val="核算"/>
      <sheetName val="A3 &amp; U 09-01"/>
      <sheetName val="Elim Seg LM"/>
      <sheetName val="Elim Seg BM"/>
      <sheetName val="土方"/>
      <sheetName val="2012-2016 Grp Res Bdgt"/>
      <sheetName val="Annex B"/>
      <sheetName val="659"/>
      <sheetName val="Sch0- Tax Recon"/>
      <sheetName val="Sch20-ROU"/>
      <sheetName val="Balance sheet for August"/>
      <sheetName val="Income statement for August"/>
      <sheetName val="Lists (Hide)"/>
      <sheetName val="ICP"/>
      <sheetName val="601"/>
      <sheetName val="1198"/>
      <sheetName val="TRF"/>
      <sheetName val="账"/>
      <sheetName val="（27）实收资本"/>
      <sheetName val="报表标准名称"/>
      <sheetName val="2002-CMHK"/>
      <sheetName val="GGP Expenses"/>
      <sheetName val="Client Data"/>
      <sheetName val="E201_AR"/>
      <sheetName val="E201_CA"/>
      <sheetName val="VWAP_PPTOutput"/>
      <sheetName val="Output"/>
      <sheetName val="15"/>
      <sheetName val="Data Arrangement"/>
      <sheetName val="1043"/>
      <sheetName val="Data sheet"/>
      <sheetName val="1. Data Entry Sales, Carline"/>
      <sheetName val="Adm"/>
      <sheetName val="sell"/>
      <sheetName val="Fin"/>
      <sheetName val="1406"/>
      <sheetName val="617"/>
      <sheetName val="UFPrn20081124111814"/>
      <sheetName val="公积捐赠"/>
      <sheetName val="总措施项目"/>
      <sheetName val="Set-up"/>
      <sheetName val="dklx"/>
      <sheetName val="TOOLS"/>
      <sheetName val="Acct 22010"/>
      <sheetName val="Administration"/>
      <sheetName val="P&amp;L PP"/>
      <sheetName val="Flash-pp"/>
      <sheetName val="MYF-pp"/>
      <sheetName val="Share Px"/>
      <sheetName val="ARP_U201"/>
      <sheetName val="2032"/>
      <sheetName val="A14_g280"/>
      <sheetName val="A14_g279"/>
      <sheetName val="REPOT"/>
      <sheetName val="REPEN"/>
      <sheetName val="209zt"/>
      <sheetName val="115zt"/>
      <sheetName val="11901zt"/>
      <sheetName val="科目表"/>
      <sheetName val="存货和固定资产暂估明细"/>
      <sheetName val="General"/>
      <sheetName val="Basic_Data"/>
      <sheetName val="QAD"/>
      <sheetName val="Sept BF"/>
      <sheetName val="HDPE2"/>
      <sheetName val="Anlage 3b, Attachment 3b"/>
      <sheetName val="KE30"/>
      <sheetName val="DAT"/>
      <sheetName val="Kal_PP3"/>
      <sheetName val="Ant.Buss1"/>
      <sheetName val="Ant.Buss2"/>
      <sheetName val="Ant.ZSK"/>
      <sheetName val="Dehy"/>
      <sheetName val="line1"/>
      <sheetName val="Ber_HDPE"/>
      <sheetName val="Ber_PP1"/>
      <sheetName val="Ber_PP2"/>
      <sheetName val="db"/>
      <sheetName val="T6-6(7)"/>
      <sheetName val="140509"/>
      <sheetName val="_80101"/>
      <sheetName val="_80102"/>
      <sheetName val="Historical prices(D)"/>
      <sheetName val="Historical prices(M)"/>
      <sheetName val="Historical prices(W)"/>
      <sheetName val="Sheet644"/>
      <sheetName val="收入成本明细"/>
      <sheetName val="Sheet2640"/>
      <sheetName val="Exp. Summary"/>
      <sheetName val="PTCG"/>
      <sheetName val="Tally TB June"/>
      <sheetName val="2007.12折旧差异"/>
      <sheetName val="IBD"/>
      <sheetName val="MGT"/>
      <sheetName val="合并附注"/>
      <sheetName val="2货站"/>
      <sheetName val="1H"/>
      <sheetName val="2H"/>
      <sheetName val="CTV PL"/>
      <sheetName val="综合概算(2003)"/>
      <sheetName val="省环保科目余额表9月"/>
      <sheetName val="基本"/>
      <sheetName val="2111"/>
      <sheetName val="5503"/>
      <sheetName val="Sheet865"/>
      <sheetName val="BKD"/>
      <sheetName val="Fee Rate Summary"/>
      <sheetName val="미수"/>
      <sheetName val="外协件"/>
      <sheetName val="Mbew"/>
      <sheetName val="調整BS"/>
      <sheetName val="大额未达"/>
      <sheetName val="FA. 0012"/>
      <sheetName val="重要性水平"/>
      <sheetName val="UFPrn20210114105843"/>
      <sheetName val="UFPrn20210114190800"/>
      <sheetName val="UFPrn20210114200340"/>
      <sheetName val="UFPrn20210114200354"/>
      <sheetName val="UFPrn20210114200426"/>
      <sheetName val="UFPrn20210114200550"/>
      <sheetName val="UFPrn20210114201346"/>
      <sheetName val="UFPrn20210116130132"/>
      <sheetName val="UFPrn20210116153205"/>
      <sheetName val="UFPrn20210116161353"/>
      <sheetName val="UFPrn20210116161456"/>
      <sheetName val="UFPrn20210116161512"/>
      <sheetName val="UFPrn20210116161529"/>
      <sheetName val="UFPrn20210116161544"/>
      <sheetName val="UFPrn20210116161601"/>
      <sheetName val="UFPrn20210116161616"/>
      <sheetName val="UFPrn20210116161630"/>
      <sheetName val="UFPrn20210118102619"/>
      <sheetName val="UFPrn20210130095810"/>
      <sheetName val="UFPrn20210205144440"/>
      <sheetName val="UFPrn20210205144827"/>
      <sheetName val="UFPrn20210205144835"/>
      <sheetName val="UFPrn20210205144855"/>
      <sheetName val="UFPrn20210205144917"/>
      <sheetName val="UFPrn20210205145020"/>
      <sheetName val="UFPrn20210205145028"/>
      <sheetName val="UFPrn20210205145038"/>
      <sheetName val="UFPrn20210205145048"/>
      <sheetName val="UFPrn20210205145059"/>
      <sheetName val="UFPrn20210205145116"/>
      <sheetName val="UFPrn20210205145125"/>
      <sheetName val="UFPrn20210218145645"/>
      <sheetName val="UFPrn20210218145851"/>
      <sheetName val="UFPrn20210218145904"/>
      <sheetName val="UFPrn20210218145928"/>
      <sheetName val="UFPrn20210224093859"/>
      <sheetName val="UFPrn20210314105647"/>
      <sheetName val="UFPrn20210314105724"/>
      <sheetName val="UFPrn20210314110215"/>
      <sheetName val="UFPrn20210316083000"/>
      <sheetName val="UFPrn20210316083159"/>
      <sheetName val="UFPrn20210316085117"/>
      <sheetName val="UFPrn20210316090225"/>
      <sheetName val="查询凭证列表"/>
      <sheetName val="UFPrn20210329152455"/>
      <sheetName val="UFPrn20210417141410"/>
      <sheetName val="UFPrn20210417142424"/>
      <sheetName val="UFPrn20210423192758"/>
      <sheetName val="UFPrn20210426134615"/>
      <sheetName val="UFPrn20210429165503"/>
      <sheetName val="UFPrn20210429165606"/>
      <sheetName val="UFPrn20210429180122"/>
      <sheetName val="UFPrn20210429180130"/>
      <sheetName val="UFPrn20210429180146"/>
      <sheetName val="UFPrn20210502105712"/>
      <sheetName val="UFPrn20210502143835"/>
      <sheetName val="UFPrn20210514142548"/>
      <sheetName val="UFPrn20210521100028"/>
      <sheetName val="UFPrn20210608222445"/>
      <sheetName val="UFPrn20210620093558"/>
      <sheetName val="UFPrn20210623133513"/>
      <sheetName val="UFPrn20210625123854"/>
      <sheetName val="凭证审核列表"/>
      <sheetName val="UFPrn20210628114802"/>
      <sheetName val="UFPrn20210701214708"/>
      <sheetName val="UFPrn20210712174811"/>
      <sheetName val="UFPrn20210719164600"/>
      <sheetName val="UFPrn20210727085509"/>
      <sheetName val="UFPrn20210819143755"/>
      <sheetName val="UFPrn20210914164248"/>
      <sheetName val="UFPrn20210914165238"/>
      <sheetName val="UFPrn20210914165836"/>
      <sheetName val="UFPrn20211019101411"/>
      <sheetName val="UFPrn20211201184329"/>
      <sheetName val="UFPrn20211209134041"/>
      <sheetName val="UFPrn20211209134323"/>
      <sheetName val="UFPrn20211209182658"/>
      <sheetName val="UFPrn20211209182714"/>
      <sheetName val="UFPrn20211215200537"/>
      <sheetName val="UFPrn20211215202839"/>
      <sheetName val="审计程序（旧）"/>
      <sheetName val="计提准备金明细"/>
      <sheetName val="Sheet455"/>
      <sheetName val="641"/>
      <sheetName val="446"/>
      <sheetName val="Phase I"/>
      <sheetName val="威娜"/>
      <sheetName val="土建表三乙"/>
      <sheetName val="purchase-subsi"/>
      <sheetName val="sales1-subsi."/>
      <sheetName val="sales2-subsi."/>
      <sheetName val="sales3-subsi"/>
      <sheetName val="调12"/>
      <sheetName val="_200212"/>
      <sheetName val="底盘厂"/>
      <sheetName val="合并"/>
      <sheetName val="G.1R-Shou COP Gf"/>
      <sheetName val="_2551"/>
      <sheetName val="_2555"/>
      <sheetName val="基础信息表"/>
      <sheetName val="N"/>
      <sheetName val="新准则TB"/>
      <sheetName val="Loc Master"/>
      <sheetName val="FY03"/>
      <sheetName val="graph1"/>
      <sheetName val="Sheet429"/>
      <sheetName val="New investment"/>
      <sheetName val="load"/>
      <sheetName val="BANK ac no,"/>
      <sheetName val="关联交易-存款h_x0001_?_x0001__x"/>
      <sheetName val="Liste"/>
      <sheetName val="产品"/>
      <sheetName val="关联交易-存款h_x0001___x0001__x"/>
      <sheetName val="001Disclosure Summary"/>
      <sheetName val="L1-1 Ageing analysis"/>
      <sheetName val="本期报表"/>
      <sheetName val="对照表"/>
      <sheetName val="Co Des BBXL"/>
      <sheetName val="Regression"/>
      <sheetName val="J-cycle count09"/>
      <sheetName val="PCB"/>
      <sheetName val="客户略名"/>
      <sheetName val="Total Coach"/>
      <sheetName val="其他应收款个人"/>
      <sheetName val="Sale breakdown"/>
      <sheetName val="zhongshan "/>
      <sheetName val="A120-10"/>
      <sheetName val="中颖"/>
      <sheetName val="FF"/>
      <sheetName val="现金明细余额表"/>
      <sheetName val="其他货币资金余额表"/>
      <sheetName val="S-A130应收票据"/>
      <sheetName val="财务费用明细"/>
      <sheetName val="S-I210财务费用"/>
      <sheetName val="FY04Store"/>
      <sheetName val="Struktur"/>
      <sheetName val="2016~2018.8凭证库加工"/>
      <sheetName val="销售收入统计按科目"/>
      <sheetName val="应收票据(关联方)"/>
      <sheetName val="Directions"/>
      <sheetName val="A140-1应收账款明细"/>
      <sheetName val="SIZE &amp; VALUE"/>
      <sheetName val="MPC"/>
      <sheetName val="应收账款审定表"/>
      <sheetName val="软件公司收入与成本对应分析表"/>
      <sheetName val="Vorbereitende Eingaben (Teil 1)"/>
      <sheetName val="销售"/>
      <sheetName val="成品科"/>
      <sheetName val="SB营业成本审定表"/>
      <sheetName val="Scrap Bridge Ytd"/>
      <sheetName val="202101-202106充值明细"/>
      <sheetName val="截止9月26日会员卡余额（企业提供）"/>
      <sheetName val="LookupTable"/>
      <sheetName val="MCS_P&amp;L_By_Sub_ USD"/>
      <sheetName val="tax payable"/>
      <sheetName val="其他未交款"/>
      <sheetName val="Details of ledger "/>
      <sheetName val="商业街销售情况统计表（PBC)"/>
      <sheetName val="Management report vs ledger"/>
      <sheetName val="raw"/>
      <sheetName val="Linkcleaner"/>
      <sheetName val="Berechnung"/>
      <sheetName val="报告披露_非上市合并&amp;FIE"/>
      <sheetName val="1540"/>
      <sheetName val="7378 StockBalance"/>
      <sheetName val="1048"/>
      <sheetName val="Base 基础"/>
      <sheetName val="Exchange_Rates"/>
      <sheetName val="CILO"/>
      <sheetName val="Sheet659"/>
      <sheetName val="PLCONSO"/>
      <sheetName val="Hidden"/>
      <sheetName val="Orientation"/>
      <sheetName val="Delivery"/>
      <sheetName val="Sheet686"/>
      <sheetName val="Sheet1459"/>
      <sheetName val="Sheet676"/>
      <sheetName val="Sheet660"/>
      <sheetName val="Sheet1460"/>
      <sheetName val="I101"/>
      <sheetName val="Sign Off Form"/>
      <sheetName val="Football"/>
      <sheetName val="LBO Valuation Analysis"/>
      <sheetName val="Sheet1 (2)"/>
      <sheetName val="Buy"/>
      <sheetName val="Spin 1"/>
      <sheetName val="Sec Equity"/>
      <sheetName val="GRAPH &amp; SOURCE DATA"/>
      <sheetName val="Projections"/>
      <sheetName val="LBO Assumptions"/>
      <sheetName val="Split"/>
      <sheetName val="TargetDCF"/>
      <sheetName val="A_Gen"/>
      <sheetName val="Sens"/>
      <sheetName val="E"/>
      <sheetName val="J&amp;Q"/>
      <sheetName val="Within"/>
      <sheetName val="收入完成预测"/>
      <sheetName val="短期借款&amp;长期借款明细表20021231"/>
      <sheetName val="0194"/>
      <sheetName val="毛利步行图-按产品类型"/>
      <sheetName val="毛利步行图-主要产品量价分析"/>
      <sheetName val="Drop List References"/>
      <sheetName val="Instructions (2)"/>
      <sheetName val="Sheet952"/>
      <sheetName val="新"/>
      <sheetName val="Personal property HZ"/>
      <sheetName val="CY BS"/>
      <sheetName val="FAL as of 7.31.06"/>
      <sheetName val="Depreciation"/>
      <sheetName val="Model"/>
      <sheetName val="PLI-1994"/>
      <sheetName val="Phase2 movementDEC"/>
      <sheetName val="Phase1f.a.DEC"/>
      <sheetName val="Phase2 f.a.DEC (2)"/>
      <sheetName val="Table - Current Year"/>
      <sheetName val="Ass"/>
      <sheetName val="Fin_Ass"/>
      <sheetName val="Accrued Expenses"/>
      <sheetName val="Value summary"/>
      <sheetName val="Matrix"/>
      <sheetName val="Sheet9"/>
      <sheetName val="02车租"/>
      <sheetName val="定额"/>
      <sheetName val="CAB22.存放同业款项 "/>
      <sheetName val="Q1 "/>
      <sheetName val="loan database"/>
      <sheetName val="因子系数表"/>
      <sheetName val="Expenses"/>
      <sheetName val="TSNO-DC"/>
      <sheetName val="SAP 01-12-31"/>
      <sheetName val="Sheet628"/>
      <sheetName val="产品地区"/>
      <sheetName val="07-6068"/>
      <sheetName val="40-2701"/>
      <sheetName val="Month"/>
      <sheetName val="Interco Sales"/>
      <sheetName val="Net Bookings"/>
      <sheetName val="Net Sales &amp; Cost of Sales"/>
      <sheetName val="A_T5"/>
      <sheetName val="Sheet650"/>
      <sheetName val="NEW"/>
      <sheetName val="Sheet2621"/>
      <sheetName val="LBO"/>
      <sheetName val="12201001"/>
      <sheetName val="unfinished"/>
      <sheetName val="Wufeng"/>
      <sheetName val="Wuchi"/>
      <sheetName val="Table"/>
      <sheetName val="Sheet1186"/>
      <sheetName val="sheet6"/>
      <sheetName val="A3_conso"/>
      <sheetName val="科目余额表(原稿)"/>
      <sheetName val="PBC - PHS"/>
      <sheetName val="HKBUD"/>
      <sheetName val="adj10#-b"/>
      <sheetName val="IR1598"/>
      <sheetName val="May"/>
      <sheetName val="1 Eckdaten in LW"/>
      <sheetName val="2008"/>
      <sheetName val="Calc &amp; Export"/>
      <sheetName val="Carryover 2004"/>
      <sheetName val="AOP Exec Summary"/>
      <sheetName val="变动信息_变动类型"/>
      <sheetName val="U102-U104 Detail"/>
      <sheetName val="Service Year"/>
      <sheetName val="A3_影视技术"/>
      <sheetName val="Mach &amp; equip"/>
      <sheetName val="BBW"/>
      <sheetName val="Revenue &amp; Expenses"/>
      <sheetName val="补贴收入"/>
      <sheetName val="分专业利润表"/>
      <sheetName val="分专业资产负债表"/>
      <sheetName val="分专业利润分配表"/>
      <sheetName val="上市公司与关联公司往来"/>
      <sheetName val="其他业务利润"/>
      <sheetName val="人工成本"/>
      <sheetName val="营业费用"/>
      <sheetName val="主营业务成本"/>
      <sheetName val="主营业务税金及附加"/>
      <sheetName val="主营业务收入长途"/>
      <sheetName val="主营业务收入数据"/>
      <sheetName val="主营业务收入移动"/>
      <sheetName val="主营业务收入固话"/>
      <sheetName val="主营业务收入新时空及其他"/>
      <sheetName val="主营业务收入寻呼"/>
      <sheetName val="不良排名"/>
      <sheetName val="PRC 13"/>
      <sheetName val="983"/>
      <sheetName val="인사현황(부서)"/>
      <sheetName val="Vehicles"/>
      <sheetName val="suivi cash flow par affaire"/>
      <sheetName val="608"/>
      <sheetName val="변수"/>
      <sheetName val="基本信息输入"/>
      <sheetName val="AR movement"/>
      <sheetName val="intbutot wksheet current"/>
      <sheetName val="Understand the client"/>
      <sheetName val="Bokslutsprocessen"/>
      <sheetName val="Indata"/>
      <sheetName val="CRA"/>
      <sheetName val="CO-Master"/>
      <sheetName val="BI-POLAR"/>
      <sheetName val="合并抵销或调整分录（1）"/>
      <sheetName val="2.2 付款及计提明细"/>
      <sheetName val="印花税档案"/>
      <sheetName val="1.汇总统计"/>
      <sheetName val="LTM Volume"/>
      <sheetName val="附表2-合同台账"/>
      <sheetName val="租赁合同期限超过5年的商户"/>
      <sheetName val="JPY_Rates"/>
      <sheetName val="HKD_Rates"/>
      <sheetName val="卖出国债test"/>
      <sheetName val="Bank Table"/>
      <sheetName val="1 LeadSchedule"/>
      <sheetName val="3 Analysis"/>
      <sheetName val="OCT BANK"/>
      <sheetName val="Lockbox"/>
      <sheetName val="Technical"/>
      <sheetName val="Parametri"/>
      <sheetName val="FP"/>
      <sheetName val="COS1"/>
      <sheetName val="COS2"/>
      <sheetName val="COS3"/>
      <sheetName val="COS4"/>
      <sheetName val="PL2"/>
      <sheetName val="PL3"/>
      <sheetName val="PL4"/>
      <sheetName val="GM Trend"/>
      <sheetName val="GM% Trend"/>
      <sheetName val="Linearity"/>
      <sheetName val="Linearity Chart"/>
      <sheetName val="NP Trend"/>
      <sheetName val="Recon"/>
      <sheetName val="Rev Trend"/>
      <sheetName val="Rev-GM Detail 1"/>
      <sheetName val="Rev-GM Detail 2"/>
      <sheetName val="Rev Mix Trend"/>
      <sheetName val="SUMMARY (EXPD)"/>
      <sheetName val="SUMMARY (%)"/>
      <sheetName val="QTD TO GO"/>
      <sheetName val="600"/>
      <sheetName val="analysis"/>
      <sheetName val="Sensitivities"/>
      <sheetName val="h1h2 model"/>
      <sheetName val="八月"/>
      <sheetName val="A5_合并调整"/>
      <sheetName val="A3_合并财务报表"/>
      <sheetName val="AP018"/>
      <sheetName val="AP019"/>
      <sheetName val="AP020"/>
      <sheetName val="AP021"/>
      <sheetName val="AP022"/>
      <sheetName val="AP023"/>
      <sheetName val="AP026"/>
      <sheetName val="AP001_JiFeng"/>
      <sheetName val="AP010_KeXunBaoZhuang"/>
      <sheetName val="AP011_YiLi"/>
      <sheetName val="AP012_"/>
      <sheetName val="AP013_HuaLian"/>
      <sheetName val="AP015_Jinchang"/>
      <sheetName val="AP016"/>
      <sheetName val="AP017"/>
      <sheetName val="AP002_SanJi"/>
      <sheetName val="AP027"/>
      <sheetName val="AP003_QiDianMo"/>
      <sheetName val="AP004_FengZheng"/>
      <sheetName val="AP005_HanBuo"/>
      <sheetName val="AP006_SiYin"/>
      <sheetName val="AP007_DeLiTai"/>
      <sheetName val="AP008_ZhongYa"/>
      <sheetName val="AP009_YiDa"/>
      <sheetName val="AP9990"/>
      <sheetName val="AP9999"/>
      <sheetName val="公司名称"/>
      <sheetName val="Sheet634"/>
      <sheetName val="工具HK库龄"/>
      <sheetName val="Sheet547"/>
      <sheetName val="CA"/>
      <sheetName val="sapactivexlhiddensheet"/>
      <sheetName val="Fixed Assets"/>
      <sheetName val="1025"/>
      <sheetName val="1026"/>
      <sheetName val="王府井折旧测算表-税收口径"/>
      <sheetName val="10月"/>
      <sheetName val="11月"/>
      <sheetName val="12月"/>
      <sheetName val="2月"/>
      <sheetName val="7月"/>
      <sheetName val="8月"/>
      <sheetName val="9月"/>
      <sheetName val="公司股东权益变动"/>
      <sheetName val="余额表"/>
      <sheetName val="Sheet667"/>
      <sheetName val="3.４Ｒ損益"/>
      <sheetName val="Sheet833"/>
      <sheetName val="总部&amp;平台10月费用明细-预算口径"/>
      <sheetName val="CLOC's"/>
      <sheetName val="LOB"/>
      <sheetName val="Sheet633"/>
      <sheetName val="现调整"/>
      <sheetName val="附表2关联交易"/>
      <sheetName val="車会集約"/>
      <sheetName val="Table Rates"/>
      <sheetName val="GG&amp;P Yield"/>
      <sheetName val="PBY Adj"/>
      <sheetName val="PMO"/>
      <sheetName val="RV"/>
      <sheetName val="bal1"/>
      <sheetName val="_2731"/>
      <sheetName val="_2733"/>
      <sheetName val="_2568"/>
      <sheetName val="5426"/>
      <sheetName val="_8048"/>
      <sheetName val="RJE#3"/>
      <sheetName val="取费表"/>
      <sheetName val="其他应付款4-12月份明细表"/>
      <sheetName val="表单1"/>
      <sheetName val="G-35-3"/>
      <sheetName val="经评"/>
      <sheetName val="1-12"/>
      <sheetName val="Sheet593"/>
      <sheetName val="Recov"/>
      <sheetName val="Sheet652"/>
      <sheetName val="3直"/>
      <sheetName val="PNL_COST"/>
      <sheetName val="12.APaging附表"/>
      <sheetName val="明细余额表"/>
      <sheetName val="5-1-3管沟"/>
      <sheetName val="EFF &amp; HRS"/>
      <sheetName val="1-11"/>
      <sheetName val="SFS(BUDGET)"/>
      <sheetName val="A4-4"/>
      <sheetName val="Support"/>
      <sheetName val="N310应付人民币"/>
      <sheetName val="Template"/>
      <sheetName val="Depts LOOKUP"/>
      <sheetName val="BJ_Expenses"/>
      <sheetName val="Sample_Rev"/>
      <sheetName val="Sample_IS"/>
      <sheetName val="Probability_View"/>
      <sheetName val="2_1设计部"/>
      <sheetName val="Group_structure"/>
      <sheetName val="Profit_and_loss"/>
      <sheetName val="(i)_Fixed_assets-PBC"/>
      <sheetName val="Detail_Loan_Move____Listing"/>
      <sheetName val="2weeeks_All__Excess_and_Shortag"/>
      <sheetName val="Chart_of_Account"/>
      <sheetName val="Business_Unit"/>
      <sheetName val="2234"/>
      <sheetName val="2235"/>
      <sheetName val="A14_g132"/>
      <sheetName val="A14_g134"/>
      <sheetName val="0804"/>
      <sheetName val="Sheet449"/>
      <sheetName val="TargIS"/>
      <sheetName val="U300-上海启昇"/>
      <sheetName val="U210_租赁PIT-上海朗昇"/>
      <sheetName val="U210_租赁PIT-上海启昇"/>
      <sheetName val="DATOS"/>
      <sheetName val="U-3x1_YE"/>
      <sheetName val="U-3x2_YE"/>
      <sheetName val="V_over_1"/>
      <sheetName val="V_over_2"/>
      <sheetName val="1055"/>
      <sheetName val="AGENT"/>
      <sheetName val="Sheet625"/>
      <sheetName val="MN T.B."/>
      <sheetName val="Cash bal Mar"/>
      <sheetName val="Com Trial Bal"/>
      <sheetName val="EXCHANGE RATE PROFIT AND LOSS"/>
      <sheetName val="ﾏｽﾀｰ!"/>
      <sheetName val="Sensitivity analysis"/>
      <sheetName val="关联方参数表"/>
      <sheetName val="FUM_Source"/>
      <sheetName val="设备大修"/>
      <sheetName val="EQUIP"/>
      <sheetName val="门窗表"/>
      <sheetName val="楼梯钢筋"/>
      <sheetName val="01上製品計画"/>
      <sheetName val="C_100Breakdown"/>
      <sheetName val="C_110函证控制表"/>
      <sheetName val="Raw Mtl Prep"/>
      <sheetName val="2016分录"/>
      <sheetName val="Sheet3615"/>
      <sheetName val="Sheet435"/>
      <sheetName val="‘‡B"/>
      <sheetName val="OrgEstSum(not used)"/>
      <sheetName val="已背书未到期票据清单"/>
      <sheetName val="库存表"/>
      <sheetName val="Summary Financials"/>
      <sheetName val="Reported"/>
      <sheetName val="Adjusted"/>
      <sheetName val="A_R_016"/>
      <sheetName val="ADJ_Sum(console)6"/>
      <sheetName val="Defer_tax6"/>
      <sheetName val="Estimated_AP_9_036"/>
      <sheetName val="2005_065"/>
      <sheetName val="Mar_OR5"/>
      <sheetName val="REC_975"/>
      <sheetName val="关联交易-存款hࢀ_ࢀ_2"/>
      <sheetName val="daywork-_Tham_khao5"/>
      <sheetName val="TB_Link5"/>
      <sheetName val="office_supplies4"/>
      <sheetName val="truc_tiep4"/>
      <sheetName val="P_1预收、其他应付、其他流动负债4"/>
      <sheetName val="G_预付账款、其他应收款、其他流动资产4"/>
      <sheetName val="_U1504"/>
      <sheetName val="2-分类汇总_Classified_Summary4"/>
      <sheetName val="Financ__Overview4"/>
      <sheetName val="各年往来_(2)4"/>
      <sheetName val="IFRS_REPORTING4"/>
      <sheetName val="关联交易-存款hࢀ_ࢀ__x005f_x0001_4"/>
      <sheetName val="A5_Summary4"/>
      <sheetName val="关联交易-存款hࢀ_ࢀ__x005f_x005f_x005f_x0001_4"/>
      <sheetName val="zero_(3)4"/>
      <sheetName val="3_24"/>
      <sheetName val="A3_Sum4"/>
      <sheetName val="Invest_4"/>
      <sheetName val="Inv_days_#54"/>
      <sheetName val="control_sheet_fund_II4"/>
      <sheetName val="Exec_Summary4"/>
      <sheetName val="N_应付账款3"/>
      <sheetName val="Raw_materials3"/>
      <sheetName val="TAB_Daten3"/>
      <sheetName val="关联交易-存款hࢀ_ࢀ__x005f_x005f_x005f_x005f_x005f3"/>
      <sheetName val="关联交易-存款hࢀ_ࢀ__x005f_x005f_3"/>
      <sheetName val="F1100芯片测试费_4"/>
      <sheetName val="Ex_Diff3"/>
      <sheetName val="II-_Liability_Component_June_03"/>
      <sheetName val="I-Conclusion_3"/>
      <sheetName val="II-_Liab__comp_IAS3"/>
      <sheetName val="Conversion_feature3"/>
      <sheetName val="I-_Summary3"/>
      <sheetName val="Sch_PR-23"/>
      <sheetName val="Sch_PR-33"/>
      <sheetName val="Consol_BS3"/>
      <sheetName val="HO_&amp;_Aust_BS3"/>
      <sheetName val="JAC11_303"/>
      <sheetName val="Tier1_Pref_SGP3"/>
      <sheetName val="Rev__Losses3"/>
      <sheetName val="SoP_SGP23"/>
      <sheetName val="Prop_R3"/>
      <sheetName val="Tier1_Pref_SBP3"/>
      <sheetName val="Income_Statement_breakdown3"/>
      <sheetName val="销售6_133"/>
      <sheetName val="关联交易-存款hࢀ_ࢀ__3"/>
      <sheetName val="qad_TB3"/>
      <sheetName val="短期投资股票投资_dbf3"/>
      <sheetName val="短期投资国债投资_dbf3"/>
      <sheetName val="股票投资收益_dbf3"/>
      <sheetName val="其他货币海通_dbf3"/>
      <sheetName val="其他货币零领路_dbf3"/>
      <sheetName val="投资收益债券_dbf3"/>
      <sheetName val="Base_Info3"/>
      <sheetName val="PV6_3_5L_LX5_GMX1703"/>
      <sheetName val="Company_Information3"/>
      <sheetName val="P&amp;L_adhoc3"/>
      <sheetName val="Suppl_Adhoc_Inv_(F)3"/>
      <sheetName val="Suppl_Adhoc_Pers3"/>
      <sheetName val="QTR_Data_Analysis3"/>
      <sheetName val="Disclosure_Summary3"/>
      <sheetName val="BOX_SUM3"/>
      <sheetName val="FIN_GOOD3"/>
      <sheetName val="Hyperion_Link3"/>
      <sheetName val="关联交易-存款?滨?_3"/>
      <sheetName val="Price_List3"/>
      <sheetName val="1461（12_6）3"/>
      <sheetName val="Payed_bonuses3"/>
      <sheetName val="Output_&amp;_Financial_Statements3"/>
      <sheetName val="Old_TWX_Quorfa3"/>
      <sheetName val="TWX_Model3"/>
      <sheetName val="FS_Output_43"/>
      <sheetName val="FS_Output_13"/>
      <sheetName val="FS_Output_33"/>
      <sheetName val="FS_Output23"/>
      <sheetName val="Deal_Structure_&amp;_Control_Page3"/>
      <sheetName val="Historic_Comps3"/>
      <sheetName val="Bank_card_list3"/>
      <sheetName val="All_Cash_Dil3"/>
      <sheetName val="关联交易-存款hࢀ_ࢀ__x005f_x005f_x005f_x005f_3"/>
      <sheetName val="1-_Input_&amp;_Info3"/>
      <sheetName val="CUSTOMER_(DETAIL)3"/>
      <sheetName val="Lease_AP_20083"/>
      <sheetName val="Antivol_D23"/>
      <sheetName val="Vendor_Data3"/>
      <sheetName val="2_5上年现金试算3"/>
      <sheetName val="Romford_Market3"/>
      <sheetName val="&lt;FF&gt;_Tax_Payable3"/>
      <sheetName val="PPD_Schedule3"/>
      <sheetName val="清单12_313"/>
      <sheetName val="Economic_evaluation_-_FY98_bas3"/>
      <sheetName val="Base_Data3"/>
      <sheetName val="1_03"/>
      <sheetName val="Detail_Loan_Move__&amp;_Listing3"/>
      <sheetName val="Non-Statistical_Sampling3"/>
      <sheetName val="AR_Drop_Downs3"/>
      <sheetName val="PRC_GAAP3"/>
      <sheetName val="addl_cost2"/>
      <sheetName val="综合成本分析01_01-02052"/>
      <sheetName val="CY_sales_report2"/>
      <sheetName val="SD-Report_5&quot;2"/>
      <sheetName val="M_Schedules2"/>
      <sheetName val="Staff_List2"/>
      <sheetName val="Rejects_PPM2"/>
      <sheetName val="QOS_RPPM2"/>
      <sheetName val="Standort_(DE)2"/>
      <sheetName val="Act_Vol2"/>
      <sheetName val="链接表（勿动）_元)2"/>
      <sheetName val="两次基准日的对比_(0531与0831)2"/>
      <sheetName val="链接表（勿动）_(元表)2"/>
      <sheetName val="Customer_Name2"/>
      <sheetName val="T__B2"/>
      <sheetName val="IRR_&amp;_NPV2"/>
      <sheetName val="statement_19982"/>
      <sheetName val="XVIa(i)_-_average_price_(2)2"/>
      <sheetName val="Table_13_1_-_32"/>
      <sheetName val="ACC_NAME2"/>
      <sheetName val="GA5-2-1_明细表20152"/>
      <sheetName val="ZP7_gespritzt2"/>
      <sheetName val="C-1_总表2"/>
      <sheetName val="4_1-合同台帐2"/>
      <sheetName val="Income_Statement_and_KPIs2"/>
      <sheetName val="index_cc2"/>
      <sheetName val="1_5_合同、非合同台帐2"/>
      <sheetName val="IS_Summary-962"/>
      <sheetName val="Library_Procedures2"/>
      <sheetName val="Non-Statistical_Sampling_Maste2"/>
      <sheetName val="Global_Data2"/>
      <sheetName val="4_1拆出资金2"/>
      <sheetName val="aging_06122"/>
      <sheetName val="NA_QTR_PROD2"/>
      <sheetName val="Official_Lehman_PROD_Sched2"/>
      <sheetName val="Income_statement2"/>
      <sheetName val="PRC_152"/>
      <sheetName val="acc_list2"/>
      <sheetName val="在建工程_final2"/>
      <sheetName val="开发成本2002_-_Movement2"/>
      <sheetName val="Acq_Assumptions_I2"/>
      <sheetName val="Acq_Assumptions_II2"/>
      <sheetName val="Acq_Assumptions_III2"/>
      <sheetName val="1_资金支付台帐2"/>
      <sheetName val="VS_Consensus2"/>
      <sheetName val="CJE_energy_inv2"/>
      <sheetName val="YTD_SALES2"/>
      <sheetName val="国别报告数据填报模板(Information_Request2"/>
      <sheetName val="진행_DATA_(2)2"/>
      <sheetName val="0_1公司清单2"/>
      <sheetName val="H_R2"/>
      <sheetName val="POWER_ASSUMPTIONS2"/>
      <sheetName val="summary_2"/>
      <sheetName val="Salses_breakdown2"/>
      <sheetName val="其他货币资金_dbf2"/>
      <sheetName val="银行存款_dbf2"/>
      <sheetName val="2018_ADJ2"/>
      <sheetName val="08_82"/>
      <sheetName val="Cash_Flow_-_CY_Workings2"/>
      <sheetName val="2_cot2"/>
      <sheetName val="for_ey_reviewer_销售费用2"/>
      <sheetName val="for_ey_reviewer_制造费用2"/>
      <sheetName val="Service_Parts_Rejects_(RPPM)2"/>
      <sheetName val="Carole_Worksheet_Table2"/>
      <sheetName val="销售人效_-_Overview2"/>
      <sheetName val="Two_Step_Revenue_Testing_Maste2"/>
      <sheetName val="Share_Prices2"/>
      <sheetName val="Book_1_Summary2"/>
      <sheetName val="1002-1031170406_Capital_Accoun2"/>
      <sheetName val="Air_Conditional2"/>
      <sheetName val="Motor_Vehicle2"/>
      <sheetName val="F40-Goodsin_transit2"/>
      <sheetName val="M&amp;A_pipeline2"/>
      <sheetName val="Feb_Allocation%2"/>
      <sheetName val="Com_Lever2"/>
      <sheetName val="expenses_calc2"/>
      <sheetName val="existing_cities_benchmark2"/>
      <sheetName val="master_sheet2"/>
      <sheetName val="bike_loss2"/>
      <sheetName val="exchange_rate2"/>
      <sheetName val="Access360_-_PP2"/>
      <sheetName val="Program_Controls2"/>
      <sheetName val="BS_Heading2"/>
      <sheetName val="Cash_Flow_Worksheet2"/>
      <sheetName val="Chart_Analysis2"/>
      <sheetName val="2005_012"/>
      <sheetName val="Comp_equip2"/>
      <sheetName val="2018工程汇总_2"/>
      <sheetName val="表二十二_(2)1"/>
      <sheetName val="附表1_年度人数1"/>
      <sheetName val="Cash_Flow2"/>
      <sheetName val="26_存货月报表1"/>
      <sheetName val="cum_pred1"/>
      <sheetName val="PER_SALES_ORG2"/>
      <sheetName val="F19_22"/>
      <sheetName val="F19_12"/>
      <sheetName val="F5_52"/>
      <sheetName val="F5_32"/>
      <sheetName val="关联交易-存款_滨__3"/>
      <sheetName val="Accounts_Database2"/>
      <sheetName val="CH_Car2"/>
      <sheetName val="App1_Entities_sequence_number2"/>
      <sheetName val="7_-_ARO_Assumptions2"/>
      <sheetName val="库存商品余额表_dbf2"/>
      <sheetName val="Project_Details2"/>
      <sheetName val="Tritel_Consolidated2"/>
      <sheetName val="TeleCorp_Holdco_Summary2"/>
      <sheetName val="Sales_Volumes_&amp;_Plan1"/>
      <sheetName val="Net_Sales_LC1"/>
      <sheetName val="query_results1"/>
      <sheetName val="Opening_check_Misc_(WO_Only)2"/>
      <sheetName val="IRR_Historic2"/>
      <sheetName val="Portfolio_IRR2"/>
      <sheetName val="Val_Inputs2"/>
      <sheetName val="Model_Inputs2"/>
      <sheetName val="Exchange_Rates&gt;&gt;2"/>
      <sheetName val="Funding_Combined2"/>
      <sheetName val="FY18_funding2"/>
      <sheetName val="iFood_funding2"/>
      <sheetName val="Summary_Adjusted2"/>
      <sheetName val="Summary_Combined2"/>
      <sheetName val="Conversion_Roll_forward2"/>
      <sheetName val="Summary_Roll_Forward2"/>
      <sheetName val="Conversion_DCF2"/>
      <sheetName val="Summary_DCF2"/>
      <sheetName val="Conversion_Cash_Flow2"/>
      <sheetName val="Summary_Cash_Flow2"/>
      <sheetName val="Company_Name_mappings2"/>
      <sheetName val="PH_Car2"/>
      <sheetName val="Related_company3"/>
      <sheetName val="Data_From_XXX3"/>
      <sheetName val="Delphi_original3"/>
      <sheetName val="FUEL_FILLER3"/>
      <sheetName val="Capex_report2"/>
      <sheetName val="___合同台账__2"/>
      <sheetName val="CIP_DETAILS1"/>
      <sheetName val="Sales_for_20012"/>
      <sheetName val="7_(2)2"/>
      <sheetName val="Info__Request1"/>
      <sheetName val="U1_62"/>
      <sheetName val="Price_Provision_清单1"/>
      <sheetName val="PltRpt_(A&amp;F)1"/>
      <sheetName val="PltRpt_(A&amp;FvsB)1"/>
      <sheetName val="PltRpt_(B&amp;AC)1"/>
      <sheetName val="Schedule_B1"/>
      <sheetName val="Tav_22_Rischio_di_Credito1"/>
      <sheetName val="信息费用预算表(A4)_1"/>
      <sheetName val="Depreciation_test1"/>
      <sheetName val="Table_US_Currency1"/>
      <sheetName val="fixed_assets_–Forklifts1"/>
      <sheetName val="fixed_assets_–battery1"/>
      <sheetName val="ARP_stt_21"/>
      <sheetName val="Gen_Accruals1"/>
      <sheetName val="Legal_Accrual1"/>
      <sheetName val="Payroll_Accrual1"/>
      <sheetName val="Cost_of_Equity2"/>
      <sheetName val="CLA-21_1-4_OLD2"/>
      <sheetName val="E3_A1"/>
      <sheetName val="Net_REVENUE1"/>
      <sheetName val="_2"/>
      <sheetName val="Ex__rate1"/>
      <sheetName val="资产评估结果分类汇总表_(2)2"/>
      <sheetName val="SPI_GMBH1"/>
      <sheetName val="Summary_Page_VDF1"/>
      <sheetName val="Invested_capital_VDF1"/>
      <sheetName val="LT_TB1"/>
      <sheetName val="LTMD_TB1"/>
      <sheetName val="OC_TB1"/>
      <sheetName val="ZD_TB1"/>
      <sheetName val="Agency_Walker_ID1"/>
      <sheetName val="sales_breakdown1"/>
      <sheetName val="co_info1"/>
      <sheetName val="FA_Roll_to_GL_(p_2)1"/>
      <sheetName val="Lead_(p_1)1"/>
      <sheetName val="Interim_NWA_converted_in_Dec021"/>
      <sheetName val="AP-NSK(trade)_USD1"/>
      <sheetName val="IV-NSK_JPY1"/>
      <sheetName val="AP-NSK_(trade)_JPY1"/>
      <sheetName val="AR-KTB_JPY1"/>
      <sheetName val="AR-NSK_(trade)_USD1"/>
      <sheetName val="ar-OKI_Micro1"/>
      <sheetName val="AR-TAIKO_JPY1"/>
      <sheetName val="BR-Thousand_JPY1"/>
      <sheetName val="F余额表2021_(2)1"/>
      <sheetName val="F余额表2021_(3)1"/>
      <sheetName val="其他业务成本_1110311"/>
      <sheetName val="A6620_Detail1"/>
      <sheetName val="K311_A_List021"/>
      <sheetName val="99Exh_I1"/>
      <sheetName val="외주현황_wq11"/>
      <sheetName val="Difference_Reconcliation1"/>
      <sheetName val="RPT_Disclosure1"/>
      <sheetName val="FY99_Volume1"/>
      <sheetName val="Sal_&amp;_Wage_Info1"/>
      <sheetName val="LAbor_estimate1"/>
      <sheetName val="2018_4_7_for_Bank1"/>
      <sheetName val="Chart_of_acct_1"/>
      <sheetName val="SPLICE_HOURS1"/>
      <sheetName val="SC_HKD_CA1"/>
      <sheetName val="M_P_1"/>
      <sheetName val="Taux_de_change_1"/>
      <sheetName val="plantilla_mes1"/>
      <sheetName val="PL_by_month-EFY1"/>
      <sheetName val="Calcs_for__quarterly_pres1"/>
      <sheetName val="Valuation_Matrix1"/>
      <sheetName val="Mov_from_2001_to_20032"/>
      <sheetName val="VCC_11110-4612"/>
      <sheetName val="CREDIT_STATS1"/>
      <sheetName val="FAT_DB1"/>
      <sheetName val="CF_Bridge1"/>
      <sheetName val="Other_R&amp;O1"/>
      <sheetName val="Co_591"/>
      <sheetName val="FA_List1"/>
      <sheetName val="Operating_1"/>
      <sheetName val="CFS_adjustments1"/>
      <sheetName val="Office_Improve1"/>
      <sheetName val="Drop_down1"/>
      <sheetName val="2010_Breakdown1"/>
      <sheetName val="_W60A_Seating_2011_3_7_xlsx1"/>
      <sheetName val="cur_rates1"/>
      <sheetName val="Total_20091"/>
      <sheetName val="3rd_Qtr1"/>
      <sheetName val="5th_Qtr1"/>
      <sheetName val="6th_Qtr1"/>
      <sheetName val="7th_Qtr1"/>
      <sheetName val="Exit_Forecast1"/>
      <sheetName val="2nd_Qtr1"/>
      <sheetName val="Rounded_Input1"/>
      <sheetName val="_003_3固定资产1"/>
      <sheetName val="CA_consolidated1"/>
      <sheetName val="VT_TEB_Planung-20061"/>
      <sheetName val="SUIVI_EFFECTIFS1"/>
      <sheetName val="Vendas_Tons1"/>
      <sheetName val="C_Estr_1"/>
      <sheetName val="EFFECT_1"/>
      <sheetName val="P&amp;L_Summary_Page1"/>
      <sheetName val="Expenses_with_Comparisons1"/>
      <sheetName val="TEV_Multiples1"/>
      <sheetName val="CSM_Data_by_CY_1"/>
      <sheetName val="Pref_Probable_Case_Returns1"/>
      <sheetName val="Interco_BSC_011"/>
      <sheetName val="Chart_of_Acct1"/>
      <sheetName val="Trial_Balance1"/>
      <sheetName val="U210'_1"/>
      <sheetName val="Comparative_Balance_Sheet1"/>
      <sheetName val="Com_list1"/>
      <sheetName val="Headcount_and_Oil_Price1"/>
      <sheetName val="BOE_Stats1"/>
      <sheetName val="C_-_Cash_and_Bank1"/>
      <sheetName val="others_gl1"/>
      <sheetName val="BALANCE_SHEET1"/>
      <sheetName val="总公司2002_12_311"/>
      <sheetName val="Beg-_End_balance1"/>
      <sheetName val="Net_Trans_Sum1"/>
      <sheetName val="5_基础档案1"/>
      <sheetName val="Sum_Hist1"/>
      <sheetName val="Corporate_PPT1"/>
      <sheetName val="WTI_Coporate_Eliminations_PPT1"/>
      <sheetName val="BT_031"/>
      <sheetName val="BT_021"/>
      <sheetName val="BT_011"/>
      <sheetName val="ICP费用ICP_Expense1"/>
      <sheetName val="ICP其他应付款ICP_OtherPayable1"/>
      <sheetName val="BU_Parameters1"/>
      <sheetName val="Product_List1"/>
      <sheetName val="Monthly_Ex_rate1"/>
      <sheetName val="Expense_Accrual1"/>
      <sheetName val="Gen__Accrual1"/>
      <sheetName val="Prod__Accrual1"/>
      <sheetName val="Rent_Accrual1"/>
      <sheetName val="Sales_by_category1"/>
      <sheetName val="Corporate_Sales1"/>
      <sheetName val="Freight_Issues1"/>
      <sheetName val="Financial_Summary1"/>
      <sheetName val="Rev_provit1"/>
      <sheetName val="Repayment_Summary1"/>
      <sheetName val="会计科目设置__科目汇总表1"/>
      <sheetName val="IND_1"/>
      <sheetName val="Performance_Graphs1"/>
      <sheetName val="Validation_source1"/>
      <sheetName val="EXP_LINE1"/>
      <sheetName val="封面_Cover1"/>
      <sheetName val="Other_M&amp;R1"/>
      <sheetName val="QTP_dt_1"/>
      <sheetName val="05_AOP_-_Exp_by_CC1"/>
      <sheetName val="05_AOP_-_By_Acct_Detail1"/>
      <sheetName val="IB_Average1"/>
      <sheetName val="Int_ZFLS1"/>
      <sheetName val="I-cycle_count081"/>
      <sheetName val="TT_template1"/>
      <sheetName val="FIRE_Parameters1"/>
      <sheetName val="1102_TAB_OPPORTUNITY_to_import1"/>
      <sheetName val="_FY20001"/>
      <sheetName val="Valuation_Summary1"/>
      <sheetName val="Capex_&amp;_Working_Capital_1"/>
      <sheetName val="Product_Summary1"/>
      <sheetName val="Revenue_Output1"/>
      <sheetName val="P&amp;L_Summary1"/>
      <sheetName val="Gross_Profit_Output_(100%)1"/>
      <sheetName val="Historical_IS1"/>
      <sheetName val="Other_Working_Assumptions1"/>
      <sheetName val="Valuation_Waterfall1"/>
      <sheetName val="Gross_Profit1"/>
      <sheetName val="Historical_BS1"/>
      <sheetName val="Key_Assumptions1"/>
      <sheetName val="Instruction_Sheet1"/>
      <sheetName val="Invested_Capital1"/>
      <sheetName val="Valuation_-_GSJBW1"/>
      <sheetName val="Pick_Lists_Sheet1"/>
      <sheetName val="K1_Tax_computation1"/>
      <sheetName val="NBE_DCF1"/>
      <sheetName val="Consolidated_DCF1"/>
      <sheetName val="Boilers_DCF1"/>
      <sheetName val="NBE_(heat_rate)1"/>
      <sheetName val="M5_M6_Summary"/>
      <sheetName val="Sheet1_(3)"/>
      <sheetName val="BIS_LIST-NTH_18"/>
      <sheetName val="TB_&amp;_2013"/>
      <sheetName val="附件10_东莞百宏-待摊费用2019"/>
      <sheetName val="附件6_东莞百宏-其他应收款2019"/>
      <sheetName val="附件8_东莞百宏-预收账款2019"/>
      <sheetName val="关联交易-存款h__x0"/>
      <sheetName val="1_1_Project_Data"/>
      <sheetName val="BS_CHECK"/>
      <sheetName val="C_货币资金"/>
      <sheetName val="C_抵押存款"/>
      <sheetName val="D_可供出售投资-流动"/>
      <sheetName val="D_衍生金融资产"/>
      <sheetName val="D_持有至到期投资-流动"/>
      <sheetName val="D_短期投资"/>
      <sheetName val="D_单列金融资产"/>
      <sheetName val="A5_dim&amp;adj_sum"/>
      <sheetName val="E_应收账款"/>
      <sheetName val="E_应收贸易款及票据"/>
      <sheetName val="E_应收票据"/>
      <sheetName val="F_存货"/>
      <sheetName val="F_房地产"/>
      <sheetName val="G_预付账款&amp;其他应收款&amp;待摊费用"/>
      <sheetName val="G_应收股利"/>
      <sheetName val="G_待售资产"/>
      <sheetName val="G_HK其他应收"/>
      <sheetName val="G_应收利息"/>
      <sheetName val="G_其他流动资产"/>
      <sheetName val="H_可供出售投资-非流动"/>
      <sheetName val="H_HK长投"/>
      <sheetName val="H_商誉"/>
      <sheetName val="H_持有至到期投资-非流动"/>
      <sheetName val="H_投资性房地产"/>
      <sheetName val="H_PRC长投"/>
      <sheetName val="I_应收关联方"/>
      <sheetName val="I_应付关联方"/>
      <sheetName val="J_在建工程"/>
      <sheetName val="K_固定资产"/>
      <sheetName val="K_固定资产清理"/>
      <sheetName val="L_一年内到期的长期债权投资"/>
      <sheetName val="L_无形"/>
      <sheetName val="L_长期待摊"/>
      <sheetName val="L_其他长期资产"/>
      <sheetName val="M_短借"/>
      <sheetName val="N_应付票据"/>
      <sheetName val="P_预收账款&amp;其他应付款&amp;应付职工薪酬&amp;预提费用&amp;其他应交款"/>
      <sheetName val="U_其他业务收支&amp;营业外收支&amp;补贴收入&amp;利息收入"/>
      <sheetName val="U_所得税"/>
      <sheetName val="O_递延税资产"/>
      <sheetName val="O_递延税负债"/>
      <sheetName val="O_应交税费"/>
      <sheetName val="U_税金及附加"/>
      <sheetName val="P_应付股利"/>
      <sheetName val="P_HK其他应付"/>
      <sheetName val="P_应付利息"/>
      <sheetName val="P_其他应付款"/>
      <sheetName val="P_其他流动负债"/>
      <sheetName val="P_应付职工薪酬"/>
      <sheetName val="P_预计负债"/>
      <sheetName val="Q_应付债券"/>
      <sheetName val="Q_可转债"/>
      <sheetName val="Q_政府补助"/>
      <sheetName val="Q_一年内到期负债"/>
      <sheetName val="Q_应付融资租赁款"/>
      <sheetName val="Q_长借"/>
      <sheetName val="Q_长期应付"/>
      <sheetName val="Q_其他长期负债"/>
      <sheetName val="Q_专项应付"/>
      <sheetName val="T_股本"/>
      <sheetName val="T_资本公积"/>
      <sheetName val="T_折算差额"/>
      <sheetName val="T_未分配利润"/>
      <sheetName val="T_盈余公积"/>
      <sheetName val="U_主营业务"/>
      <sheetName val="U_财务费用"/>
      <sheetName val="U_投资收益&amp;公允价值变动收益"/>
      <sheetName val="U_管理费用&amp;资产减值损失"/>
      <sheetName val="U_成本倒轧表&amp;制造费用"/>
      <sheetName val="U_销售费用"/>
      <sheetName val="U_分占下属损益"/>
      <sheetName val="Offering_Stats"/>
      <sheetName val="Segment_to_Legal"/>
      <sheetName val="Consol_FS"/>
      <sheetName val="D410_应交税金变动表Movement"/>
      <sheetName val="Financial_Statistics"/>
      <sheetName val="P_&amp;_L_Account"/>
      <sheetName val="A3_试算表Financial_statement"/>
      <sheetName val="K_固定资产&amp;投资性房地产"/>
      <sheetName val="G_其他应收款"/>
      <sheetName val="Occupancy_2004"/>
      <sheetName val="Fcst_2017"/>
      <sheetName val="FF-2_(1)"/>
      <sheetName val="WACC_Analysis_Output"/>
      <sheetName val="ALL_DATA"/>
      <sheetName val="PP&amp;E_&amp;_Intangibles"/>
      <sheetName val="Cover_--&gt;"/>
      <sheetName val="Comps_input"/>
      <sheetName val="NEWSPRINT_&amp;_UGW"/>
      <sheetName val="MT_by_Dept_管理报表费用分类"/>
      <sheetName val="Volatility_raw"/>
      <sheetName val="Welfare_PIT"/>
      <sheetName val="O_adj"/>
      <sheetName val="Management_Projections"/>
      <sheetName val="Inventories_Analysis"/>
      <sheetName val="06_1"/>
      <sheetName val="Account_Map"/>
      <sheetName val="SFC_fcst"/>
      <sheetName val="01_T"/>
      <sheetName val="03_"/>
      <sheetName val="1102_MIT"/>
      <sheetName val="Sept_BF"/>
      <sheetName val="Anlage_3b,_Attachment_3b"/>
      <sheetName val="Ant_Buss1"/>
      <sheetName val="Ant_Buss2"/>
      <sheetName val="Ant_ZSK"/>
      <sheetName val="6126_07披露表(国资)"/>
      <sheetName val="sales_vol_"/>
      <sheetName val="For_Report"/>
      <sheetName val="附件25_2-销售收入"/>
      <sheetName val="Review_pts"/>
      <sheetName val="OE_AC#41111"/>
      <sheetName val="资金使用假设_(可转债按账面拆分为股权与债权)"/>
      <sheetName val="BS_data"/>
      <sheetName val="Balance_sheet_for_August"/>
      <sheetName val="Income_statement_for_August"/>
      <sheetName val="Aging_Analysis"/>
      <sheetName val="Data_sheet"/>
      <sheetName val="1__Data_Entry_Sales,_Carline"/>
      <sheetName val="A_|_INPUT_Filler"/>
      <sheetName val="Fitments_Abs_Ums"/>
      <sheetName val="Datenbank_Fillers"/>
      <sheetName val="FA_ad09-12"/>
      <sheetName val="Calibration_to_Swaptions"/>
      <sheetName val="Swaption_Data"/>
      <sheetName val="Acct_22010"/>
      <sheetName val="P&amp;L_PP"/>
      <sheetName val="Sch0-_Tax_Recon"/>
      <sheetName val="G_1R-Shou_COP_Gf"/>
      <sheetName val="sales1-subsi_"/>
      <sheetName val="sales2-subsi_"/>
      <sheetName val="Lists_(Hide)"/>
      <sheetName val="Historical_prices(D)"/>
      <sheetName val="Historical_prices(M)"/>
      <sheetName val="Historical_prices(W)"/>
      <sheetName val="Client_Data"/>
      <sheetName val="Sales_Data"/>
      <sheetName val="Base_基础"/>
      <sheetName val="Month_8"/>
      <sheetName val="tax_payable"/>
      <sheetName val="Details_of_ledger_"/>
      <sheetName val="Management_report_vs_ledger"/>
      <sheetName val="AP_Recap"/>
      <sheetName val="Exp__Summary"/>
      <sheetName val="Tally_TB_June"/>
      <sheetName val="2007_12折旧差异"/>
      <sheetName val="by_category"/>
      <sheetName val="Q_CF-E01"/>
      <sheetName val="A3_&amp;_U_09-01"/>
      <sheetName val="Elim_Seg_LM"/>
      <sheetName val="Elim_Seg_BM"/>
      <sheetName val="2012-2016_Grp_Res_Bdgt"/>
      <sheetName val="Annex_B"/>
      <sheetName val="GGP_Expenses"/>
      <sheetName val="Data_Arrangement"/>
      <sheetName val="Share_Px"/>
      <sheetName val="CTV_PL"/>
      <sheetName val="Fee_Rate_Summary"/>
      <sheetName val="FA__0012"/>
      <sheetName val="Phase_I"/>
      <sheetName val="Loc_Master"/>
      <sheetName val="New_investment"/>
      <sheetName val="BANK_ac_no,"/>
      <sheetName val="关联交易-存款h?_x"/>
      <sheetName val="关联交易-存款h__x"/>
      <sheetName val="001Disclosure_Summary"/>
      <sheetName val="L1-1_Ageing_analysis"/>
      <sheetName val="Co_Des_BBXL"/>
      <sheetName val="J-cycle_count09"/>
      <sheetName val="Total_Coach"/>
      <sheetName val="Sale_breakdown"/>
      <sheetName val="zhongshan_"/>
      <sheetName val="2016~2018_8凭证库加工"/>
      <sheetName val="SIZE_&amp;_VALUE"/>
      <sheetName val="Vorbereitende_Eingaben_(Teil_1)"/>
      <sheetName val="Scrap_Bridge_Ytd"/>
      <sheetName val="MCS_P&amp;L_By_Sub__USD"/>
      <sheetName val="7378_StockBalance"/>
      <sheetName val="Sign_Off_Form"/>
      <sheetName val="LBO_Valuation_Analysis"/>
      <sheetName val="Sheet1_(2)"/>
      <sheetName val="Spin_1"/>
      <sheetName val="Sec_Equity"/>
      <sheetName val="GRAPH_&amp;_SOURCE_DATA"/>
      <sheetName val="LBO_Assumptions"/>
      <sheetName val="Drop_List_References"/>
      <sheetName val="Instructions_(2)"/>
      <sheetName val="Personal_property_HZ"/>
      <sheetName val="CY_BS"/>
      <sheetName val="FAL_as_of_7_31_06"/>
      <sheetName val="Phase2_movementDEC"/>
      <sheetName val="Phase1f_a_DEC"/>
      <sheetName val="Phase2_f_a_DEC_(2)"/>
      <sheetName val="Table_-_Current_Year"/>
      <sheetName val="Accrued_Expenses"/>
      <sheetName val="Value_summary"/>
      <sheetName val="CAB22_存放同业款项_"/>
      <sheetName val="Q1_"/>
      <sheetName val="loan_database"/>
      <sheetName val="SAP_01-12-31"/>
      <sheetName val="Interco_Sales"/>
      <sheetName val="Net_Bookings"/>
      <sheetName val="Net_Sales_&amp;_Cost_of_Sales"/>
      <sheetName val="PBC_-_PHS"/>
      <sheetName val="1_Eckdaten_in_LW"/>
      <sheetName val="Calc_&amp;_Export"/>
      <sheetName val="Carryover_2004"/>
      <sheetName val="AOP_Exec_Summary"/>
      <sheetName val="U102-U104_Detail"/>
      <sheetName val="Service_Year"/>
      <sheetName val="Mach_&amp;_equip"/>
      <sheetName val="Revenue_&amp;_Expenses"/>
      <sheetName val="PRC_13"/>
      <sheetName val="suivi_cash_flow_par_affaire"/>
      <sheetName val="AR_movement"/>
      <sheetName val="intbutot_wksheet_current"/>
      <sheetName val="Understand_the_client"/>
      <sheetName val="2_2_付款及计提明细"/>
      <sheetName val="1_汇总统计"/>
      <sheetName val="LTM_Volume"/>
      <sheetName val="Bank_Table"/>
      <sheetName val="1_LeadSchedule"/>
      <sheetName val="3_Analysis"/>
      <sheetName val="OCT_BANK"/>
      <sheetName val="GM_Trend"/>
      <sheetName val="GM%_Trend"/>
      <sheetName val="Linearity_Chart"/>
      <sheetName val="NP_Trend"/>
      <sheetName val="Rev_Trend"/>
      <sheetName val="Rev-GM_Detail_1"/>
      <sheetName val="Rev-GM_Detail_2"/>
      <sheetName val="Rev_Mix_Trend"/>
      <sheetName val="SUMMARY_(EXPD)"/>
      <sheetName val="SUMMARY_(%)"/>
      <sheetName val="QTD_TO_GO"/>
      <sheetName val="MASTER_主数据"/>
      <sheetName val="MASTER_主数据_补"/>
      <sheetName val="COVER_报表封面"/>
      <sheetName val="主表-TB输入表-手填(地产专用)"/>
      <sheetName val="IFRS-TB自动对照-手填(地产专用)"/>
      <sheetName val="3. Other gains"/>
      <sheetName val="附表5-2"/>
      <sheetName val="U1300"/>
      <sheetName val="U1310"/>
      <sheetName val="Elim (novated) -#H"/>
      <sheetName val="Movement-#E"/>
      <sheetName val="土地基准地价法"/>
      <sheetName val="实绩"/>
      <sheetName val="工时统计"/>
      <sheetName val="Sen_Mod"/>
      <sheetName val="Assumptions &amp; Returns"/>
      <sheetName val="CJE1"/>
      <sheetName val="所得税测算表 (2)"/>
      <sheetName val="5"/>
      <sheetName val="6"/>
      <sheetName val="7"/>
      <sheetName val="8"/>
      <sheetName val="9"/>
      <sheetName val="10"/>
      <sheetName val="11"/>
      <sheetName val="Labor cost"/>
      <sheetName val="宅E贷申请量"/>
      <sheetName val="By Client - NPL Purchase"/>
      <sheetName val="附表1-产品目录"/>
      <sheetName val="2.科目体系费用汇总表"/>
      <sheetName val="1.组织架构"/>
      <sheetName val="毛利及利润分析7月"/>
      <sheetName val="Stds"/>
      <sheetName val="2022"/>
      <sheetName val="7 - ORDER ENTRIES"/>
      <sheetName val="8 - BACKLOG"/>
      <sheetName val="9 - SALES BY ENTITY"/>
      <sheetName val="10 - SALES BY BA-SUMMARY"/>
      <sheetName val="11 - SALES BY BA-FC"/>
      <sheetName val="12 - SALES BY BA-CB"/>
      <sheetName val="13 - SALES BY BA-FM"/>
      <sheetName val="14 - BSA"/>
      <sheetName val="19 - BIN"/>
      <sheetName val="SIG_LANGUE"/>
      <sheetName val="-&gt; EDV Budget"/>
      <sheetName val="栏目及类别表"/>
      <sheetName val="P&amp;L(M)"/>
      <sheetName val="DIL4"/>
      <sheetName val="应收帐款 AR "/>
      <sheetName val="SCB-HK"/>
      <sheetName val="Aladdin Macro1"/>
      <sheetName val="BS-1"/>
      <sheetName val="BS-2"/>
      <sheetName val="CF-1"/>
      <sheetName val="Rates"/>
      <sheetName val="EM-1"/>
      <sheetName val="EM-2"/>
      <sheetName val="EM-3"/>
      <sheetName val="IS-2"/>
      <sheetName val="IS-1"/>
      <sheetName val="CF-3"/>
      <sheetName val="CF-4"/>
      <sheetName val="Non-GAAP"/>
      <sheetName val="Note10"/>
      <sheetName val="Note12-1"/>
      <sheetName val="Note12-2"/>
      <sheetName val="Note12-3"/>
      <sheetName val="Note12-4"/>
      <sheetName val="Note14-1"/>
      <sheetName val="Note15-1"/>
      <sheetName val="Note15-2"/>
      <sheetName val="Note16-2"/>
      <sheetName val="Note16-1"/>
      <sheetName val="Note16-1 (2)"/>
      <sheetName val="Note16-3"/>
      <sheetName val="Note16-6"/>
      <sheetName val="Note16-5"/>
      <sheetName val="Note16-4"/>
      <sheetName val="Note17-1 "/>
      <sheetName val="Note17-3"/>
      <sheetName val="Note17-2"/>
      <sheetName val="Note18-1"/>
      <sheetName val="Note18-2"/>
      <sheetName val="Note19"/>
      <sheetName val="Note20-1"/>
      <sheetName val="Note20-2"/>
      <sheetName val="Note20-3"/>
      <sheetName val="Note21"/>
      <sheetName val="Note23"/>
      <sheetName val="Note24-2"/>
      <sheetName val="Note24-3"/>
      <sheetName val="Note24-4"/>
      <sheetName val="Note24-5"/>
      <sheetName val="Note25-1"/>
      <sheetName val="Note25-2"/>
      <sheetName val="Note26-1"/>
      <sheetName val="Note26-2"/>
      <sheetName val="Note27"/>
      <sheetName val="Note28-2"/>
      <sheetName val="Note28-3"/>
      <sheetName val="Note29-1"/>
      <sheetName val="Note29-2"/>
      <sheetName val="Note29-3"/>
      <sheetName val="Note3.0-2"/>
      <sheetName val="Note3.0-1"/>
      <sheetName val="Note3.1-1"/>
      <sheetName val="Note3.1-2"/>
      <sheetName val="Note3.1-3"/>
      <sheetName val="Note3.1-5"/>
      <sheetName val="Note3.3-1 "/>
      <sheetName val="Note3.3-2"/>
      <sheetName val="Note3.3-3"/>
      <sheetName val="Note3.3-4"/>
      <sheetName val="Note3.3-5"/>
      <sheetName val="Note32"/>
      <sheetName val="Note33"/>
      <sheetName val="Note34-1"/>
      <sheetName val="Note34-2"/>
      <sheetName val="Note34-3"/>
      <sheetName val="Note34-4"/>
      <sheetName val="Note 37"/>
      <sheetName val="Note5-1"/>
      <sheetName val="Note5-2"/>
      <sheetName val="Note5-3"/>
      <sheetName val="Note5-4"/>
      <sheetName val="Note5-5"/>
      <sheetName val="Note6-1"/>
      <sheetName val="Note6-2"/>
      <sheetName val="Note6-3"/>
      <sheetName val="Note7"/>
      <sheetName val="Note8"/>
      <sheetName val="Note9-1"/>
      <sheetName val="Note9-2"/>
      <sheetName val="Note9-3"/>
      <sheetName val="Note9-4"/>
      <sheetName val="Note9-5"/>
      <sheetName val="Note9-6"/>
      <sheetName val="CF-2"/>
      <sheetName val="Ag Sector P&amp;L 01F"/>
      <sheetName val="1 预设值"/>
      <sheetName val="BS Assets"/>
      <sheetName val="PNVp2010"/>
      <sheetName val="基本信息表"/>
      <sheetName val="元数据"/>
      <sheetName val="FORM06"/>
      <sheetName val="Basic Information"/>
      <sheetName val="Bal_Sheet"/>
      <sheetName val="应收楼款账龄分析清单 "/>
      <sheetName val="8 adminexp by nature"/>
      <sheetName val="Accrual"/>
      <sheetName val="特殊情况表"/>
      <sheetName val="计算期表"/>
      <sheetName val="能源动力表"/>
      <sheetName val="人工表"/>
      <sheetName val="投资表4"/>
      <sheetName val="投资表3"/>
      <sheetName val="二次取费表"/>
      <sheetName val="投资表2"/>
      <sheetName val="投资表1"/>
      <sheetName val="融资表"/>
      <sheetName val="辅助材料表"/>
      <sheetName val="原料表"/>
      <sheetName val="产品表"/>
      <sheetName val="二级取费计算表"/>
      <sheetName val="FA lead"/>
      <sheetName val="SignificantAcctsTemplate"/>
      <sheetName val="Configure"/>
      <sheetName val="0.09"/>
      <sheetName val="Sheet630"/>
      <sheetName val="1月1"/>
      <sheetName val="Leasehold_imp"/>
      <sheetName val="Bank Debt"/>
      <sheetName val="GFA"/>
      <sheetName val="UFPrn20081114105806"/>
      <sheetName val="HISTORY "/>
      <sheetName val="DOWNLOAD"/>
      <sheetName val="表2&lt;销售出库单&gt;"/>
      <sheetName val="利润表"/>
      <sheetName val="SERV. COMEDOR"/>
      <sheetName val="h1h2_model"/>
      <sheetName val="Sheet677"/>
      <sheetName val="Sheet697"/>
      <sheetName val="Sheet671"/>
      <sheetName val="Sheet703"/>
      <sheetName val="Sheet979"/>
      <sheetName val="Sheet694"/>
      <sheetName val="勿动 选项列表"/>
      <sheetName val="Sheet693"/>
      <sheetName val="Sheet950"/>
      <sheetName val="Sheet1843"/>
      <sheetName val="Sheet981"/>
      <sheetName val="Sheet982"/>
      <sheetName val="Sheet983"/>
      <sheetName val="97 Mnthly Splits Caps"/>
      <sheetName val="V - Income"/>
      <sheetName val="CLRN-NEW"/>
      <sheetName val="產成品收發明細表5"/>
      <sheetName val="MP2006 data"/>
      <sheetName val="COA"/>
      <sheetName val="5 Analysis"/>
      <sheetName val="Company Info"/>
      <sheetName val="BKD-consol"/>
      <sheetName val="US Bal_Sheet"/>
      <sheetName val="Devises"/>
      <sheetName val="U-13-2(disc)"/>
      <sheetName val="zValidations-DO NOT TOUCH"/>
      <sheetName val="列表"/>
      <sheetName val="ACTUAL_TOTAL"/>
      <sheetName val="LABELS-PRODUCT"/>
      <sheetName val="TNT"/>
      <sheetName val="FS_0331"/>
      <sheetName val="Stock Chart"/>
      <sheetName val="选择键"/>
      <sheetName val="SH-3rd party"/>
      <sheetName val="MTRL"/>
      <sheetName val="Artikel"/>
      <sheetName val="Lås"/>
      <sheetName val="SHFMA"/>
      <sheetName val="NJFMA"/>
      <sheetName val="WHFMA"/>
      <sheetName val="CDFMA"/>
      <sheetName val="KMFMA"/>
      <sheetName val="Fidelity Option"/>
      <sheetName val="PAY REGISTER~Input Values"/>
      <sheetName val="04"/>
      <sheetName val="03"/>
      <sheetName val="CD FMA"/>
      <sheetName val="FMC"/>
      <sheetName val="FMT"/>
      <sheetName val="1011"/>
      <sheetName val="C1-Cash"/>
      <sheetName val="OR Breakdown"/>
      <sheetName val="Sheet16"/>
      <sheetName val="应收"/>
      <sheetName val="By client"/>
      <sheetName val="By nature"/>
      <sheetName val="8.31"/>
      <sheetName val="Sheet494"/>
      <sheetName val="构筑物"/>
      <sheetName val="机器设备"/>
      <sheetName val="电子设备"/>
      <sheetName val="土地使用权"/>
      <sheetName val="Interim --&gt; Top"/>
      <sheetName val="Pnl-10"/>
      <sheetName val="20"/>
      <sheetName val="30"/>
      <sheetName val="70"/>
      <sheetName val="AA"/>
      <sheetName val="AP110"/>
      <sheetName val="B-10"/>
      <sheetName val="BB-1"/>
      <sheetName val="C-5"/>
      <sheetName val="C-6"/>
      <sheetName val="C-6a"/>
      <sheetName val="CC"/>
      <sheetName val="F-1l2"/>
      <sheetName val="F-21"/>
      <sheetName val="F-4"/>
      <sheetName val="F-9c"/>
      <sheetName val="FF-2"/>
      <sheetName val="F-8(FSA)"/>
      <sheetName val="L"/>
      <sheetName val="M MM"/>
      <sheetName val="30a"/>
      <sheetName val="30-Note"/>
      <sheetName val="U-2"/>
      <sheetName val="Results"/>
      <sheetName val="ROE"/>
      <sheetName val="Pivot Aug'01"/>
      <sheetName val="LAPORAN"/>
      <sheetName val="Center"/>
      <sheetName val="填报说明"/>
      <sheetName val="分类"/>
      <sheetName val="資料"/>
      <sheetName val="Deal CF"/>
      <sheetName val="4011"/>
      <sheetName val="Fixed_Assets"/>
      <sheetName val="3_４Ｒ損益"/>
      <sheetName val="Table_Rates"/>
      <sheetName val="GG&amp;P_Yield"/>
      <sheetName val="PBY_Adj"/>
      <sheetName val="现金流量基础数据"/>
      <sheetName val="2033"/>
      <sheetName val="BKD-2008"/>
      <sheetName val="Tailored procedures"/>
      <sheetName val="C101"/>
      <sheetName val="entry"/>
      <sheetName val="chart_acc"/>
      <sheetName val="VENDORS"/>
      <sheetName val="企业邮局 (2)"/>
      <sheetName val="REBPAYJE"/>
      <sheetName val="CJE_Building Prod"/>
      <sheetName val="CJE_VSC ENERGY DEV"/>
      <sheetName val="CJE_vantage"/>
      <sheetName val="CJE_HONG"/>
      <sheetName val="CJE_VSC HOLDINGS"/>
      <sheetName val="PAJE"/>
      <sheetName val="CJE_SBSC"/>
      <sheetName val="CJE_VSC BVI"/>
      <sheetName val="CJE_VSC FE"/>
      <sheetName val="订"/>
      <sheetName val="2000"/>
      <sheetName val="BD-breakdown"/>
      <sheetName val="存货明细2002"/>
      <sheetName val="付款统计"/>
      <sheetName val="合同法摊销金额合计"/>
      <sheetName val="会计科目使用"/>
      <sheetName val="1.2持有参数"/>
      <sheetName val="1.1销售参数"/>
      <sheetName val="2.2规划方案"/>
      <sheetName val="4.1持有输入"/>
      <sheetName val="3.2销售去化"/>
      <sheetName val="貨品科目"/>
      <sheetName val="MET_H_KK"/>
      <sheetName val="单位名称"/>
      <sheetName val="审计资料清单"/>
      <sheetName val="附件2、往来"/>
      <sheetName val="公司"/>
      <sheetName val="年初数"/>
      <sheetName val="上月累计"/>
      <sheetName val="损益同期"/>
      <sheetName val="资料"/>
      <sheetName val="G201"/>
      <sheetName val="G301"/>
      <sheetName val="J.工程物资"/>
      <sheetName val="K.生物资产"/>
      <sheetName val="L.开发支出"/>
      <sheetName val="L.一年内到期长期资产"/>
      <sheetName val="L.长期应收"/>
      <sheetName val="L.HK单列无形"/>
      <sheetName val="M.衍生金融负债"/>
      <sheetName val="M.交易性金融负债"/>
      <sheetName val="M.带息借款-流动"/>
      <sheetName val="M.无息借款-流动"/>
      <sheetName val="M.其他金融负债"/>
      <sheetName val="N.应付贸易款及票据"/>
      <sheetName val="O.应交所得税"/>
      <sheetName val="Q.递延收益"/>
      <sheetName val="Q.带息借款-非流动"/>
      <sheetName val="Q.无息借款-非流动"/>
      <sheetName val="T.少数股东"/>
      <sheetName val="U.财务成本"/>
      <sheetName val="U.财务收入"/>
      <sheetName val="U.公允价值变动收益"/>
      <sheetName val="U.资产减值损失"/>
      <sheetName val="U.其他费用"/>
      <sheetName val="U.其他收入"/>
      <sheetName val="Erection"/>
      <sheetName val="2453"/>
      <sheetName val="4020"/>
      <sheetName val="Sheet448"/>
      <sheetName val="Sheet4040"/>
      <sheetName val="Monomers"/>
      <sheetName val="TB-WP"/>
      <sheetName val="688"/>
      <sheetName val="AP RMB"/>
      <sheetName val="tblNNSExport23Master"/>
      <sheetName val="11. equity"/>
      <sheetName val="7.taxes payable &amp; 9.income tax "/>
      <sheetName val="2. sales and cost of sales"/>
      <sheetName val="F420SP_Breakdown"/>
      <sheetName val="ARTARG"/>
      <sheetName val="301 RTI"/>
      <sheetName val="zfi044-ALL"/>
      <sheetName val="调整说明"/>
      <sheetName val="Sheet545"/>
      <sheetName val="Group_structure1"/>
      <sheetName val="2weeeks_All__Excess_and_Shorta1"/>
      <sheetName val="Business_Unit1"/>
      <sheetName val="BJ_Expenses1"/>
      <sheetName val="Sample_Rev1"/>
      <sheetName val="Sample_IS1"/>
      <sheetName val="Probability_View1"/>
      <sheetName val="Profit_and_loss1"/>
      <sheetName val="(i)_Fixed_assets-PBC1"/>
      <sheetName val="Detail_Loan_Move____Listing1"/>
      <sheetName val="2_1设计部1"/>
      <sheetName val="Chart_of_Account1"/>
      <sheetName val="12_APaging附表"/>
      <sheetName val="Raw_Mtl_Prep"/>
      <sheetName val="HISTORY_"/>
      <sheetName val="Sheet506"/>
      <sheetName val="Sheet858"/>
      <sheetName val="SA02-03"/>
      <sheetName val="CIP"/>
      <sheetName val="Permit"/>
      <sheetName val="sz2"/>
      <sheetName val="NKCR_comm_scheme"/>
      <sheetName val="NKCR_appliedrates"/>
      <sheetName val="KCR_comm_scheme"/>
      <sheetName val="PM-TE_2011"/>
      <sheetName val="关联单位列表"/>
      <sheetName val="USD_Rates"/>
      <sheetName val="Sheet4084"/>
      <sheetName val="3.1 应收账款"/>
      <sheetName val="钻井(调整)"/>
      <sheetName val="主营业务收入"/>
      <sheetName val="管理费用 "/>
      <sheetName val="AcctCode"/>
      <sheetName val="China_Rev&amp;ProviderCost"/>
      <sheetName val="BL Multiples"/>
      <sheetName val="CALEND"/>
      <sheetName val="3690.HK_Annotation_Sheet"/>
      <sheetName val="3690.HK_Exchange_Sheet"/>
      <sheetName val="3690.HK_Live_Sheet"/>
      <sheetName val="3690.HK_Validation_Sheet"/>
      <sheetName val="MasterSheet"/>
      <sheetName val="资本承诺"/>
      <sheetName val="担保情况表"/>
      <sheetName val="合并报表编制资料目录"/>
      <sheetName val="escenarios"/>
      <sheetName val="P&amp;L Mth 02"/>
      <sheetName val="2052"/>
      <sheetName val=" U140-SalesTOT"/>
      <sheetName val="北京对帐表"/>
      <sheetName val="M1.1 Cash at Bank"/>
      <sheetName val="M1. Lead sheet"/>
      <sheetName val="M1.2 Time Deposit"/>
      <sheetName val="G9"/>
      <sheetName val="Sheet1136"/>
      <sheetName val="translate"/>
      <sheetName val="sales by product"/>
      <sheetName val="Details listing per department"/>
      <sheetName val="坏帐准备"/>
      <sheetName val="预决算"/>
      <sheetName val="Sheet613"/>
      <sheetName val="2007 04 KE5Z detail"/>
      <sheetName val="ACCTS"/>
      <sheetName val="2100"/>
      <sheetName val="07KM"/>
      <sheetName val="KPI"/>
      <sheetName val="2000 Cal"/>
      <sheetName val="试算资产负债表"/>
      <sheetName val="EBITDA Cause of Change"/>
      <sheetName val="Margin Cause of Change by Cat"/>
      <sheetName val="Work Centers"/>
      <sheetName val="采购底稿"/>
      <sheetName val="variable 1"/>
      <sheetName val="Theoretical Sales comparison"/>
      <sheetName val="存货"/>
      <sheetName val="主营收支"/>
      <sheetName val="联盛持有项目"/>
      <sheetName val="附件19"/>
      <sheetName val="运维收入确认台账202111|字段补充"/>
      <sheetName val="现金流量分析表"/>
      <sheetName val="边际贡献分析表"/>
      <sheetName val="主料"/>
      <sheetName val="备品"/>
      <sheetName val="燃料"/>
      <sheetName val="纸箱纸盒"/>
      <sheetName val="FINCAL"/>
      <sheetName val="Sheet1431"/>
      <sheetName val="Sheet1462"/>
      <sheetName val="Sheet1461"/>
      <sheetName val="Sheet1464"/>
      <sheetName val="Sheet1468"/>
      <sheetName val="Sheet1493"/>
      <sheetName val="CAR"/>
      <sheetName val="B1-Assumption"/>
      <sheetName val="Sheet01S"/>
      <sheetName val="Country Risk"/>
      <sheetName val="Change Log"/>
      <sheetName val="Depr"/>
      <sheetName val="PCP"/>
      <sheetName val="Presentation"/>
      <sheetName val="Cost &amp; Expenses"/>
      <sheetName val="Value"/>
      <sheetName val="Man"/>
      <sheetName val="Working Cap"/>
      <sheetName val="Invest"/>
      <sheetName val="_2640"/>
      <sheetName val="06"/>
      <sheetName val="07"/>
      <sheetName val="08"/>
      <sheetName val="09"/>
      <sheetName val="01"/>
      <sheetName val="010"/>
      <sheetName val="011"/>
      <sheetName val="02"/>
      <sheetName val="05"/>
      <sheetName val="Derrames la"/>
      <sheetName val="FZ9用于合并"/>
      <sheetName val="FZ1"/>
      <sheetName val="FZ5 ITE测算表"/>
      <sheetName val="FZ2"/>
      <sheetName val="FZ3往来"/>
      <sheetName val="FZ4借款"/>
      <sheetName val="FZ5 DITE测算表"/>
      <sheetName val="FZ6并购与处置"/>
      <sheetName val="W附注模板"/>
      <sheetName val="调查表"/>
      <sheetName val="A16C"/>
      <sheetName val="NOC"/>
      <sheetName val="5.6 回拨运营收入"/>
      <sheetName val="May 07"/>
      <sheetName val="供应商资料"/>
      <sheetName val="工程物资Dy"/>
      <sheetName val="FLdeleted"/>
      <sheetName val="长期股权投资Dy"/>
      <sheetName val="存货_库存商品Dy"/>
      <sheetName val="应付工资Dy"/>
      <sheetName val="应付福利费Dy"/>
      <sheetName val="预提费用Dy"/>
      <sheetName val="主营业务成本Dy"/>
      <sheetName val="长期股权投资Mx"/>
      <sheetName val="存货_库存商品Mx"/>
      <sheetName val="应付工资Mx"/>
      <sheetName val="应付福利费Mx"/>
      <sheetName val="预提费用Mx"/>
      <sheetName val="主营业务成本Mx"/>
      <sheetName val="短期投资Dy"/>
      <sheetName val="Assum"/>
      <sheetName val="预付款项"/>
      <sheetName val="材料采购"/>
      <sheetName val="周转材料"/>
      <sheetName val="投资性房地产"/>
      <sheetName val="委托加工物资"/>
      <sheetName val="库存商品"/>
      <sheetName val="在产品"/>
      <sheetName val="发出商品"/>
      <sheetName val="消耗性生物"/>
      <sheetName val="委托代销商品"/>
      <sheetName val="受托代销商品"/>
      <sheetName val="长期应收款"/>
      <sheetName val="一年到期非流资产"/>
      <sheetName val="可售金融资产"/>
      <sheetName val="持有到期投资"/>
      <sheetName val="长期股权投资"/>
      <sheetName val="房屋建筑物"/>
      <sheetName val="管道和沟槽"/>
      <sheetName val="车辆"/>
      <sheetName val="工程物资"/>
      <sheetName val="土建工程"/>
      <sheetName val="安装工程"/>
      <sheetName val="交易性金融资产"/>
      <sheetName val="固定资产清理"/>
      <sheetName val="油气资产"/>
      <sheetName val="其他无形资产"/>
      <sheetName val="开发支出"/>
      <sheetName val="长期待摊费用"/>
      <sheetName val="其他非流资产"/>
      <sheetName val="递延税资产"/>
      <sheetName val="应付票据"/>
      <sheetName val="预收款项"/>
      <sheetName val="交易性金融负债"/>
      <sheetName val="应付薪酬"/>
      <sheetName val="应付利息"/>
      <sheetName val="应交税费"/>
      <sheetName val="应付股利"/>
      <sheetName val="预计负债"/>
      <sheetName val="一年到期非流负债"/>
      <sheetName val="其他流动负债"/>
      <sheetName val="长期借款"/>
      <sheetName val="应付债券"/>
      <sheetName val="长期应付款"/>
      <sheetName val="专项应付款"/>
      <sheetName val="其他非流负债"/>
      <sheetName val="递延税负债"/>
      <sheetName val="应收股利"/>
      <sheetName val="2009 3KE5Z detail"/>
      <sheetName val="1403"/>
      <sheetName val="Plan1"/>
      <sheetName val="data_Sheet2"/>
      <sheetName val="BWSHEET1"/>
      <sheetName val="ECU_BOM"/>
      <sheetName val="SummaryReport"/>
      <sheetName val="EE BOM"/>
      <sheetName val="变动表"/>
      <sheetName val="ALL"/>
      <sheetName val="Global Epi Inputs"/>
      <sheetName val="  ACTadj  "/>
      <sheetName val="  ACTvol  "/>
      <sheetName val="成本调整明细表"/>
      <sheetName val="게이트 지연시간 설정 2"/>
      <sheetName val="Sheet690"/>
      <sheetName val="Sheet669"/>
      <sheetName val="运煤预算"/>
      <sheetName val="Sheet2538"/>
      <sheetName val="Sheet793"/>
      <sheetName val="ADRESSES"/>
      <sheetName val="SAR"/>
      <sheetName val="DAILY"/>
      <sheetName val="Sheet512"/>
      <sheetName val="MI_SepNov2012"/>
      <sheetName val="MI_DecFeb2013"/>
      <sheetName val="MI_MarMay2013"/>
      <sheetName val="MI_JunAug2013"/>
      <sheetName val="1-7月"/>
      <sheetName val="CE-1"/>
      <sheetName val="EJE#9权益调整"/>
      <sheetName val="CF附注"/>
      <sheetName val="Sheet1849"/>
      <sheetName val="附表-勿动"/>
      <sheetName val="BS_ReportingDate"/>
      <sheetName val="_002。6新"/>
      <sheetName val="x_rates"/>
      <sheetName val="1.1牛奶--原奶和产品指标统计表"/>
      <sheetName val="Transinputs"/>
      <sheetName val="Data Input"/>
      <sheetName val="报表项目对照"/>
      <sheetName val="明细项目字段"/>
      <sheetName val="p &amp; lx"/>
      <sheetName val="K3100"/>
      <sheetName val="Sheet431"/>
      <sheetName val="E-Client Information"/>
      <sheetName val="M3 M4 (2)"/>
      <sheetName val="M3 M4"/>
      <sheetName val="Hidden Lists"/>
      <sheetName val="202204 ACT"/>
      <sheetName val="Sheet558"/>
      <sheetName val="Sheet990"/>
      <sheetName val="U110_收入明细分析"/>
      <sheetName val="Sheet700"/>
      <sheetName val="银行借款询证"/>
      <sheetName val="Sheet1910"/>
      <sheetName val="Sheet572"/>
      <sheetName val="Sheet1911"/>
      <sheetName val="Sheet1913"/>
      <sheetName val="Sheet3419"/>
      <sheetName val="Sheet3420"/>
      <sheetName val="Sheet3421"/>
      <sheetName val="TB-Total"/>
      <sheetName val="Value 1"/>
      <sheetName val="名称表"/>
      <sheetName val="AUD_Rates"/>
      <sheetName val="SalesMYP"/>
      <sheetName val="Sheet553"/>
      <sheetName val="ROCE"/>
      <sheetName val="SUNDRIES"/>
      <sheetName val="Sheet603"/>
      <sheetName val="P412-2001"/>
      <sheetName val="P413-2002"/>
      <sheetName val="INDEXES"/>
      <sheetName val="工单类型数据定义"/>
      <sheetName val="Sheet1015"/>
      <sheetName val="Sheet2866"/>
      <sheetName val="878"/>
      <sheetName val="0295INV"/>
      <sheetName val="对应现金流量表1"/>
      <sheetName val="低值易耗摊销明晰"/>
      <sheetName val="Società"/>
      <sheetName val="Peer"/>
      <sheetName val="PCL"/>
      <sheetName val="map"/>
      <sheetName val="数外余额"/>
      <sheetName val="Based Data_wacc"/>
      <sheetName val="DEH94"/>
      <sheetName val="BU"/>
      <sheetName val="STD. COST"/>
      <sheetName val="Marshal"/>
      <sheetName val="Depreciation  schedule"/>
      <sheetName val="BI RATE"/>
      <sheetName val="3020101010"/>
      <sheetName val="K-0 PPE Overview PSP_OSP"/>
      <sheetName val="2104"/>
      <sheetName val="U1120"/>
      <sheetName val="Sheet1964"/>
      <sheetName val="Sheet2786"/>
      <sheetName val="Sheet1850"/>
      <sheetName val="categoryHidden6"/>
      <sheetName val="KOR"/>
      <sheetName val="원가관리"/>
      <sheetName val="미지급이자(분쟁대상)"/>
      <sheetName val="Hardware"/>
      <sheetName val="North America AR"/>
      <sheetName val="Confirm form"/>
      <sheetName val="Contact info"/>
      <sheetName val="GiaVL"/>
      <sheetName val="dongia (2)"/>
      <sheetName val="giathanh1"/>
      <sheetName val="THPDMoi  (2)"/>
      <sheetName val="gtrinh"/>
      <sheetName val="phuluc1"/>
      <sheetName val="lam-moi"/>
      <sheetName val="DONGIA"/>
      <sheetName val="thao-go"/>
      <sheetName val="DON GIA"/>
      <sheetName val="TONGKE-HT"/>
      <sheetName val="DG"/>
      <sheetName val="t-h HA THE"/>
      <sheetName val="CHITIET VL-NC-TT -1p"/>
      <sheetName val="TONG HOP VL-NC TT"/>
      <sheetName val="TNHCHINH"/>
      <sheetName val="TH XL"/>
      <sheetName val="TONGKE3p "/>
      <sheetName val="CHITIET VL-NC"/>
      <sheetName val="chitiet"/>
      <sheetName val="VC"/>
      <sheetName val="Tiepdia"/>
      <sheetName val="CHITIET VL-NC-TT-3p"/>
      <sheetName val="TDTKP"/>
      <sheetName val="TDTKP1"/>
      <sheetName val="KPVC-BD "/>
      <sheetName val="VCV-BE-TONG"/>
      <sheetName val="Breadown"/>
      <sheetName val="Exp"/>
      <sheetName val="Imp"/>
      <sheetName val="Sheet5158"/>
      <sheetName val="Sheet3484"/>
      <sheetName val="시설이용권명세서"/>
      <sheetName val="#RIF"/>
      <sheetName val="0506合并附注"/>
      <sheetName val="2动力设备"/>
      <sheetName val="I200-内部交易"/>
      <sheetName val="Source1"/>
      <sheetName val="W200关联方交易"/>
      <sheetName val="W100关联方往来"/>
      <sheetName val="Sheet5117"/>
      <sheetName val="Sheet653"/>
      <sheetName val="BS 表"/>
      <sheetName val="생계99ST"/>
      <sheetName val="Sheet542"/>
      <sheetName val="Overview"/>
      <sheetName val="合并报表"/>
      <sheetName val="Data_Functional"/>
      <sheetName val="Data Credit Losses"/>
      <sheetName val="Data_Equity II"/>
      <sheetName val="Data_Equity I"/>
      <sheetName val="Data_FL Maturity"/>
      <sheetName val="Data PaL"/>
      <sheetName val="Data_Pensions"/>
      <sheetName val="Positionsplan englisch"/>
      <sheetName val="Data_Provisions"/>
      <sheetName val="Data_Receivables"/>
      <sheetName val="Data_COGS"/>
      <sheetName val="Data_Leasing"/>
      <sheetName val="Data_Line of Credit"/>
      <sheetName val="Data_Assets"/>
      <sheetName val="Data_Employees"/>
      <sheetName val="Data_Cashflow"/>
      <sheetName val="Data_Balance Sheet"/>
      <sheetName val="Data_IT"/>
      <sheetName val="现 金 流 量 表"/>
      <sheetName val="通用设备"/>
      <sheetName val="目錄"/>
      <sheetName val="0302_生技科"/>
      <sheetName val="0303_制造科"/>
      <sheetName val="FA-LISTING"/>
      <sheetName val="Floating leg"/>
      <sheetName val="Fixed Leg Curve"/>
      <sheetName val="Floating Leg Curve"/>
      <sheetName val="Swap summary"/>
      <sheetName val="G4-2 应付账款明细-常熟"/>
      <sheetName val="uvap"/>
      <sheetName val="InventorySummary"/>
      <sheetName val="Revenue &amp; Cost"/>
      <sheetName val="Other Income and other expenses"/>
      <sheetName val="Contratos"/>
      <sheetName val="4-货币资金-现金"/>
      <sheetName val="Config"/>
      <sheetName val="Cntry"/>
      <sheetName val="1Ed"/>
      <sheetName val="2Ed"/>
      <sheetName val="电子"/>
      <sheetName val="Riepilogo linee-direz BUD"/>
      <sheetName val="AN532"/>
      <sheetName val="MOTO"/>
      <sheetName val="Age311299TAS"/>
      <sheetName val="TASintDec00"/>
      <sheetName val="P4DDBFTAS"/>
      <sheetName val="Comps"/>
      <sheetName val="TMS2000"/>
      <sheetName val="NRV2"/>
      <sheetName val="1111应付帐款明细表"/>
      <sheetName val="JF"/>
      <sheetName val="JVoutput"/>
      <sheetName val="DB9911"/>
      <sheetName val="JVFORM"/>
      <sheetName val="DO"/>
      <sheetName val="DN &amp;IN"/>
      <sheetName val="DB9910"/>
      <sheetName val="Program"/>
      <sheetName val="AFA_O.A.B"/>
      <sheetName val="Cust List"/>
      <sheetName val="cr余额"/>
      <sheetName val="7a.Other Inc Exp"/>
      <sheetName val="EX-TGS"/>
      <sheetName val="2003(4)"/>
      <sheetName val="本月在途2003(5)"/>
      <sheetName val="客戶清單customer list"/>
      <sheetName val="เครื่องตกแต่ง"/>
      <sheetName val="เครื่องมือ"/>
      <sheetName val="อาคาร"/>
      <sheetName val="瓶类"/>
      <sheetName val="办公用品"/>
      <sheetName val="备品备件"/>
      <sheetName val="标签"/>
      <sheetName val="玻璃仪器"/>
      <sheetName val="辅料"/>
      <sheetName val="化剂"/>
      <sheetName val="劳保"/>
      <sheetName val="其他材料"/>
      <sheetName val="产成品"/>
      <sheetName val="中草药"/>
      <sheetName val="自制半成品"/>
      <sheetName val=" Kostenstruktur Fab."/>
      <sheetName val="17. Non consolidated stock"/>
      <sheetName val="General Data"/>
      <sheetName val="Liabilities"/>
      <sheetName val="P-L"/>
      <sheetName val="14. Fixed assets"/>
      <sheetName val="13. Intangible assets"/>
      <sheetName val="Page 1"/>
      <sheetName val="Page 2"/>
      <sheetName val="30万表三"/>
      <sheetName val="Finsum-NAS"/>
      <sheetName val="NAS-BS"/>
      <sheetName val="长期投资"/>
      <sheetName val="同业借款"/>
      <sheetName val="财务费用明细表"/>
      <sheetName val="长期待摊费用明细表"/>
      <sheetName val="应收票据(关联方)(5)"/>
      <sheetName val="Sheet1 (11)"/>
      <sheetName val="tf04"/>
      <sheetName val="Ex_Rate"/>
      <sheetName val="10月回款"/>
      <sheetName val="10月销售"/>
      <sheetName val="B5 SUAD"/>
      <sheetName val="10年12月应付工资余额表"/>
      <sheetName val="10年12月份应交个人所得税余额表"/>
      <sheetName val="10年12月份应付帐款余额表"/>
      <sheetName val="10年12月份销项税额余额表"/>
      <sheetName val="10年12月份应付帐款余额表-暂估"/>
      <sheetName val="10年12月份其他应交款余额表"/>
      <sheetName val="+++ Help +++"/>
      <sheetName val="Grunddaten"/>
      <sheetName val="应收账款Dy"/>
      <sheetName val="预收账款Dy"/>
      <sheetName val="主营业务收入Dy"/>
      <sheetName val="应收账款Mx"/>
      <sheetName val="OUT"/>
      <sheetName val="F4110-Inventory List"/>
      <sheetName val="100172"/>
      <sheetName val="GroƲ_x0000_Ʋ_x0000__x0006__x0000__x0007__x0000_t_Output_(100%)"/>
      <sheetName val="Flow"/>
      <sheetName val="少数股东损益测算表"/>
      <sheetName val="Stock Analysis"/>
      <sheetName val="company operations"/>
      <sheetName val="hangzhou2"/>
      <sheetName val="Yearly"/>
      <sheetName val="Slides 1-3"/>
      <sheetName val="Sources &amp; Uses"/>
      <sheetName val="数据源"/>
      <sheetName val="Chart of Accounts"/>
      <sheetName val="总人口"/>
      <sheetName val="3rd_FIS"/>
      <sheetName val="FA"/>
      <sheetName val="MACRO2"/>
      <sheetName val="营业外收入Dy"/>
      <sheetName val="DCF_3资产负债分析调整表"/>
      <sheetName val="212101"/>
      <sheetName val="办事处经费"/>
      <sheetName val="办事处市场部经费"/>
      <sheetName val="营销人员借款"/>
      <sheetName val="离职营销人员借款"/>
      <sheetName val="公司备用金"/>
      <sheetName val="律师"/>
      <sheetName val="2670"/>
      <sheetName val="其他业务收支 杨"/>
      <sheetName val="CIP&lt;1&gt; 杨"/>
      <sheetName val="L3-1 AR ageing list"/>
      <sheetName val="Sheet1135"/>
      <sheetName val="Currency Codes"/>
      <sheetName val="Expectation"/>
      <sheetName val="Variance threshold"/>
      <sheetName val="实际2020"/>
      <sheetName val="M002"/>
      <sheetName val="实际2019"/>
      <sheetName val="Sheet1907"/>
      <sheetName val="Sheet1908"/>
      <sheetName val="AP"/>
      <sheetName val="Input Tab"/>
      <sheetName val="Sheet651"/>
      <sheetName val="model by field"/>
      <sheetName val="Summary model"/>
      <sheetName val="Block A"/>
      <sheetName val="Corridor"/>
      <sheetName val="Crude oil"/>
      <sheetName val="Sheet1463"/>
      <sheetName val="Sheet1432"/>
      <sheetName val="Sheet685"/>
      <sheetName val="Sheet1494"/>
      <sheetName val="Sheet1495"/>
      <sheetName val="Sheet1496"/>
      <sheetName val="Sheet1467"/>
      <sheetName val="Sheet1498"/>
      <sheetName val="Checkbook"/>
      <sheetName val="FIN_STAT"/>
      <sheetName val="GroƲ"/>
      <sheetName val="A1 - Income Statement"/>
      <sheetName val="EBITDA Charts"/>
      <sheetName val="科目列表其中项"/>
      <sheetName val="币种其中项"/>
      <sheetName val="自定义一列表"/>
      <sheetName val="自定义二列表"/>
      <sheetName val="其中项及原币调整"/>
      <sheetName val="基础表"/>
      <sheetName val="定义-ready"/>
      <sheetName val="DEFLEET APR-05"/>
      <sheetName val="Sheet524"/>
      <sheetName val="售后资产租回测算过程"/>
      <sheetName val="售后回租资产对应的借款"/>
      <sheetName val="收入和成本对应表"/>
      <sheetName val="CMX-1298"/>
      <sheetName val="Sheet850"/>
      <sheetName val="Sheet3379"/>
      <sheetName val="Sheet849"/>
      <sheetName val="Sheet640"/>
      <sheetName val="Corporate"/>
      <sheetName val="DC A VS B"/>
      <sheetName val="Depreciation PIT"/>
      <sheetName val="Exp Structure by Project"/>
      <sheetName val="Exp Structure by BU"/>
      <sheetName val="组织"/>
      <sheetName val="部门"/>
      <sheetName val="RefH"/>
      <sheetName val="2008实际(每月)"/>
      <sheetName val="2008实际(截至)"/>
      <sheetName val="2008予算(每月)"/>
      <sheetName val="2008予算(截至)"/>
      <sheetName val="B1 - HC Forecast"/>
      <sheetName val="Q1 销售人力成本 - 实际"/>
      <sheetName val="成本中心Mapping 1-7月"/>
      <sheetName val="Sheet951"/>
      <sheetName val="download from LIVE"/>
      <sheetName val="Sheet980"/>
      <sheetName val="ws9"/>
      <sheetName val="shtLookup"/>
      <sheetName val="InfoMatrix"/>
      <sheetName val="Index &amp; SignOff"/>
      <sheetName val="GVCT &amp; FOH_BS"/>
      <sheetName val="SMI"/>
      <sheetName val="Payroll (E-5)"/>
      <sheetName val="Apportionment Summary"/>
      <sheetName val="PPE - Summary"/>
      <sheetName val="Sales Summary"/>
      <sheetName val="Contribution Analysis New"/>
      <sheetName val="附表32 - 无形资产明细表"/>
      <sheetName val="营外收支"/>
      <sheetName val="II-3.매출입금채권계획"/>
      <sheetName val="Input 1 Main"/>
      <sheetName val="Input 2 NAV"/>
      <sheetName val="C_110发函回函地址核查"/>
      <sheetName val="AirConditional"/>
      <sheetName val="MotorVehicle"/>
      <sheetName val="ProformaWS"/>
      <sheetName val="layout"/>
      <sheetName val="Tombstone"/>
      <sheetName val="E110"/>
      <sheetName val="QTLY"/>
      <sheetName val="COATED PUBLICATION"/>
      <sheetName val="Feb04 VAT (AL-3)"/>
      <sheetName val="变动类型"/>
      <sheetName val="分类汇总表"/>
      <sheetName val="未完工合同成本设备"/>
      <sheetName val="预付款项RMB租金"/>
      <sheetName val="长期其他应收款"/>
      <sheetName val="MPL 技連"/>
      <sheetName val="342E BLOCK"/>
      <sheetName val="ECON"/>
      <sheetName val="Merger"/>
      <sheetName val="SCALE"/>
      <sheetName val="96BP"/>
      <sheetName val="P12 TB SZ"/>
      <sheetName val="USPCL"/>
      <sheetName val="GuV"/>
      <sheetName val="Sheet543"/>
      <sheetName val="POINTAGE (2)"/>
      <sheetName val="Consol worksheet-Final"/>
      <sheetName val="辅表-标的原始利润表"/>
      <sheetName val="辅表-标的原始资产负债表"/>
      <sheetName val="生皮,盐"/>
      <sheetName val="辅助计算表"/>
      <sheetName val="ARP-G101"/>
      <sheetName val="ARP-U101"/>
      <sheetName val="US$ TRIAL BALANCE BY MONTH"/>
      <sheetName val="Deferred Tax"/>
      <sheetName val="Sheet670"/>
      <sheetName val="P&amp;L - BS mapping table"/>
      <sheetName val="直运直汇到站明细表"/>
      <sheetName val="Pick Lists"/>
      <sheetName val="sheet 1"/>
      <sheetName val="Table 0703"/>
      <sheetName val="Item Info."/>
      <sheetName val="Summary Fins Output"/>
      <sheetName val="Football Field"/>
      <sheetName val="PandL"/>
      <sheetName val="Birow"/>
      <sheetName val="BS Birow"/>
      <sheetName val="VolGrwth"/>
      <sheetName val="2006 NOPAT"/>
      <sheetName val="Prior &amp; Plan Capital"/>
      <sheetName val="Prior &amp; Plan NOPAT"/>
      <sheetName val="2006 Capital"/>
      <sheetName val="Working"/>
      <sheetName val="A01"/>
      <sheetName val="A08"/>
      <sheetName val="B20"/>
      <sheetName val="D02"/>
      <sheetName val="D7B"/>
      <sheetName val="M29"/>
      <sheetName val="T&amp;D"/>
      <sheetName val="WW"/>
      <sheetName val="Consuntivo1"/>
      <sheetName val="Consuntivo2"/>
      <sheetName val="Consuntivo3"/>
      <sheetName val="Consuntivo4"/>
      <sheetName val="FamiglieProd"/>
      <sheetName val="APP1999"/>
      <sheetName val="PM-TE"/>
      <sheetName val="补充资料"/>
      <sheetName val="持有待售资产"/>
      <sheetName val="递延收益"/>
      <sheetName val="递延所得税资产和递延所得税负债"/>
      <sheetName val="费用按性质分类的利润表补充资料"/>
      <sheetName val="在建工程"/>
      <sheetName val="公允价值变动收益"/>
      <sheetName val="公允价值的披露"/>
      <sheetName val="股本"/>
      <sheetName val="固定资产"/>
      <sheetName val="合并范围的变更"/>
      <sheetName val="资合并"/>
      <sheetName val="利合并"/>
      <sheetName val="所合并"/>
      <sheetName val="现合并"/>
      <sheetName val="合同负债"/>
      <sheetName val="合同资产"/>
      <sheetName val="持有待售负债"/>
      <sheetName val="货币资金"/>
      <sheetName val="净敞口套期收益"/>
      <sheetName val="库存股"/>
      <sheetName val="每股收益"/>
      <sheetName val="资"/>
      <sheetName val="利"/>
      <sheetName val="母公司其他应收款"/>
      <sheetName val="所"/>
      <sheetName val="母公司投资收益"/>
      <sheetName val="现"/>
      <sheetName val="母公司应收款项融资"/>
      <sheetName val="母公司应收票据"/>
      <sheetName val="母公司应收账款"/>
      <sheetName val="母公司营业收入和营业成本"/>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其他重要事项"/>
      <sheetName val="其他综合收益"/>
      <sheetName val="商誉"/>
      <sheetName val="生产性生物资产"/>
      <sheetName val="使用权资产"/>
      <sheetName val="所得税费用"/>
      <sheetName val="所有权或使用权受到限制的资产"/>
      <sheetName val="套期"/>
      <sheetName val="外币货币性项目"/>
      <sheetName val="现金流量表补充资料"/>
      <sheetName val="现金流量表项目"/>
      <sheetName val="信用减值损失"/>
      <sheetName val="研发费用"/>
      <sheetName val="衍生金融负债"/>
      <sheetName val="衍生金融资产"/>
      <sheetName val="一年内到期的非流动负债"/>
      <sheetName val="一年内到期的非流动资产"/>
      <sheetName val="应付职工薪酬"/>
      <sheetName val="应收款项融资"/>
      <sheetName val="盈余公积"/>
      <sheetName val="营业收入和营业成本"/>
      <sheetName val="与金融工具相关的风险"/>
      <sheetName val="在其他主体中的权益"/>
      <sheetName val="债权投资"/>
      <sheetName val="长期应付职工薪酬"/>
      <sheetName val="政府补助"/>
      <sheetName val="专项储备"/>
      <sheetName val="资本公积"/>
      <sheetName val="资本管理"/>
      <sheetName val="资产处置收益"/>
      <sheetName val="资产负债表日后事项"/>
      <sheetName val="资产减值损失"/>
      <sheetName val="租赁"/>
      <sheetName val="租赁负债"/>
      <sheetName val="原料"/>
      <sheetName val="关联交易-存款?_x005f_x0000__x005f_x0000_滨㠼_x005f_x0000_"/>
      <sheetName val="关联交易-存款?_x005f_x0000__x005f_x0000__x005f_x0000__x"/>
      <sheetName val="关联交易-存款?_x005f_x0000__x005f_x0000_滨?_x005f_x0000_"/>
      <sheetName val="HC"/>
      <sheetName val="Sheet874"/>
      <sheetName val="Global Assumptions"/>
      <sheetName val="其他应付款Dy"/>
      <sheetName val="地税税%"/>
      <sheetName val="FF-1"/>
      <sheetName val="DEF REV"/>
      <sheetName val="Oct Starts Plan"/>
      <sheetName val="3级明细余额表.dbf"/>
      <sheetName val="mm"/>
      <sheetName val="PROOF"/>
      <sheetName val="Extent of Tests"/>
      <sheetName val="Sample Planning"/>
      <sheetName val="Sample Tables"/>
      <sheetName val="Demand"/>
      <sheetName val="Occ"/>
      <sheetName val="Detailed Profit and Loss"/>
      <sheetName val="Liste sociétés"/>
      <sheetName val="Procédure"/>
      <sheetName val="TX_CUMUL"/>
      <sheetName val="下拉框来源"/>
      <sheetName val="核銷表"/>
      <sheetName val="Prices P11 and P12 (PAG) (2)"/>
      <sheetName val="Rental Exp Adj"/>
      <sheetName val="BP沈阳领事馆"/>
      <sheetName val="AB郑州二七"/>
      <sheetName val="BM包头"/>
      <sheetName val="L无锡川妹子"/>
      <sheetName val="Adjustment Summary"/>
      <sheetName val="Criteria"/>
      <sheetName val="SA Procedures"/>
      <sheetName val="G140"/>
      <sheetName val="当前视图_Data"/>
      <sheetName val="Landed Costs"/>
      <sheetName val="HideSheet"/>
      <sheetName val="VSPA"/>
      <sheetName val="下拉值"/>
      <sheetName val="1999 Revenue Forecast"/>
      <sheetName val="NON_OP I&amp;E_JV1"/>
      <sheetName val="_4库产成品"/>
      <sheetName val="工具"/>
      <sheetName val="内外包"/>
      <sheetName val="CON MR2K AL ck"/>
      <sheetName val="INPUT ICO balances"/>
      <sheetName val="INPUT ICO balances currency"/>
      <sheetName val="00 FG breakdown"/>
      <sheetName val="01 FG breakdown"/>
      <sheetName val="99 FG breakdown"/>
      <sheetName val="A_R_017"/>
      <sheetName val="ADJ_Sum(console)7"/>
      <sheetName val="Defer_tax7"/>
      <sheetName val="Estimated_AP_9_037"/>
      <sheetName val="2005_066"/>
      <sheetName val="REC_976"/>
      <sheetName val="Mar_OR6"/>
      <sheetName val="daywork-_Tham_khao6"/>
      <sheetName val="TB_Link6"/>
      <sheetName val="truc_tiep5"/>
      <sheetName val="P_1预收、其他应付、其他流动负债5"/>
      <sheetName val="G_预付账款、其他应收款、其他流动资产5"/>
      <sheetName val="_U1505"/>
      <sheetName val="2-分类汇总_Classified_Summary5"/>
      <sheetName val="Financ__Overview5"/>
      <sheetName val="各年往来_(2)5"/>
      <sheetName val="IFRS_REPORTING5"/>
      <sheetName val="office_supplies5"/>
      <sheetName val="关联交易-存款hࢀ_ࢀ__x005f_x0001_5"/>
      <sheetName val="A5_Summary5"/>
      <sheetName val="关联交易-存款hࢀ_ࢀ__x005f_x005f_x005f_x0001_5"/>
      <sheetName val="Invest_5"/>
      <sheetName val="A3_Sum5"/>
      <sheetName val="zero_(3)5"/>
      <sheetName val="3_25"/>
      <sheetName val="Inv_days_#55"/>
      <sheetName val="control_sheet_fund_II5"/>
      <sheetName val="Exec_Summary5"/>
      <sheetName val="F1100芯片测试费_5"/>
      <sheetName val="TAB_Daten4"/>
      <sheetName val="关联交易-存款hࢀ_ࢀ__x005f_x005f_x005f_x005f_x005f4"/>
      <sheetName val="关联交易-存款hࢀ_ࢀ__x005f_x005f_4"/>
      <sheetName val="Ex_Diff4"/>
      <sheetName val="Sch_PR-24"/>
      <sheetName val="Sch_PR-34"/>
      <sheetName val="II-_Liability_Component_June_05"/>
      <sheetName val="I-Conclusion_4"/>
      <sheetName val="II-_Liab__comp_IAS4"/>
      <sheetName val="Conversion_feature4"/>
      <sheetName val="I-_Summary4"/>
      <sheetName val="Consol_BS4"/>
      <sheetName val="HO_&amp;_Aust_BS4"/>
      <sheetName val="JAC11_304"/>
      <sheetName val="N_应付账款4"/>
      <sheetName val="Raw_materials4"/>
      <sheetName val="Tier1_Pref_SGP4"/>
      <sheetName val="Rev__Losses4"/>
      <sheetName val="SoP_SGP24"/>
      <sheetName val="Prop_R4"/>
      <sheetName val="Tier1_Pref_SBP4"/>
      <sheetName val="关联交易-存款hࢀ_ࢀ__4"/>
      <sheetName val="Income_Statement_breakdown4"/>
      <sheetName val="销售6_134"/>
      <sheetName val="短期投资股票投资_dbf4"/>
      <sheetName val="短期投资国债投资_dbf4"/>
      <sheetName val="股票投资收益_dbf4"/>
      <sheetName val="其他货币海通_dbf4"/>
      <sheetName val="其他货币零领路_dbf4"/>
      <sheetName val="投资收益债券_dbf4"/>
      <sheetName val="Base_Info4"/>
      <sheetName val="PV6_3_5L_LX5_GMX1704"/>
      <sheetName val="Company_Information4"/>
      <sheetName val="qad_TB4"/>
      <sheetName val="P&amp;L_adhoc4"/>
      <sheetName val="Suppl_Adhoc_Inv_(F)4"/>
      <sheetName val="Suppl_Adhoc_Pers4"/>
      <sheetName val="QTR_Data_Analysis4"/>
      <sheetName val="Disclosure_Summary4"/>
      <sheetName val="BOX_SUM4"/>
      <sheetName val="FIN_GOOD4"/>
      <sheetName val="Hyperion_Link4"/>
      <sheetName val="Lease_AP_20084"/>
      <sheetName val="关联交易-存款?滨?_4"/>
      <sheetName val="Bank_card_list4"/>
      <sheetName val="Antivol_D24"/>
      <sheetName val="Vendor_Data4"/>
      <sheetName val="1461（12_6）4"/>
      <sheetName val="&lt;FF&gt;_Tax_Payable4"/>
      <sheetName val="PPD_Schedule4"/>
      <sheetName val="清单12_314"/>
      <sheetName val="Economic_evaluation_-_FY98_bas4"/>
      <sheetName val="Price_List4"/>
      <sheetName val="1-_Input_&amp;_Info4"/>
      <sheetName val="CUSTOMER_(DETAIL)4"/>
      <sheetName val="Payed_bonuses4"/>
      <sheetName val="Output_&amp;_Financial_Statements4"/>
      <sheetName val="Old_TWX_Quorfa4"/>
      <sheetName val="TWX_Model4"/>
      <sheetName val="FS_Output_44"/>
      <sheetName val="FS_Output_14"/>
      <sheetName val="FS_Output_34"/>
      <sheetName val="FS_Output24"/>
      <sheetName val="Deal_Structure_&amp;_Control_Page4"/>
      <sheetName val="Historic_Comps4"/>
      <sheetName val="All_Cash_Dil4"/>
      <sheetName val="关联交易-存款hࢀ_ࢀ__x005f_x005f_x005f_x005f_4"/>
      <sheetName val="2_5上年现金试算4"/>
      <sheetName val="Base_Data4"/>
      <sheetName val="CY_sales_report3"/>
      <sheetName val="Romford_Market4"/>
      <sheetName val="1_04"/>
      <sheetName val="Detail_Loan_Move__&amp;_Listing4"/>
      <sheetName val="Non-Statistical_Sampling4"/>
      <sheetName val="AR_Drop_Downs4"/>
      <sheetName val="PRC_GAAP4"/>
      <sheetName val="addl_cost3"/>
      <sheetName val="综合成本分析01_01-02053"/>
      <sheetName val="SD-Report_5&quot;3"/>
      <sheetName val="M_Schedules3"/>
      <sheetName val="Staff_List3"/>
      <sheetName val="Rejects_PPM3"/>
      <sheetName val="QOS_RPPM3"/>
      <sheetName val="Standort_(DE)3"/>
      <sheetName val="Act_Vol3"/>
      <sheetName val="链接表（勿动）_元)3"/>
      <sheetName val="两次基准日的对比_(0531与0831)3"/>
      <sheetName val="链接表（勿动）_(元表)3"/>
      <sheetName val="Customer_Name3"/>
      <sheetName val="T__B3"/>
      <sheetName val="IRR_&amp;_NPV3"/>
      <sheetName val="M&amp;A_pipeline3"/>
      <sheetName val="开发成本2002_-_Movement3"/>
      <sheetName val="ACC_NAME3"/>
      <sheetName val="statement_19983"/>
      <sheetName val="XVIa(i)_-_average_price_(2)3"/>
      <sheetName val="Table_13_1_-_33"/>
      <sheetName val="Cash_Flow_-_CY_Workings3"/>
      <sheetName val="2_cot3"/>
      <sheetName val="for_ey_reviewer_销售费用3"/>
      <sheetName val="for_ey_reviewer_制造费用3"/>
      <sheetName val="C-1_总表3"/>
      <sheetName val="4_1-合同台帐3"/>
      <sheetName val="Income_Statement_and_KPIs3"/>
      <sheetName val="index_cc3"/>
      <sheetName val="GA5-2-1_明细表20153"/>
      <sheetName val="VS_Consensus3"/>
      <sheetName val="CJE_energy_inv3"/>
      <sheetName val="YTD_SALES3"/>
      <sheetName val="国别报告数据填报模板(Information_Request3"/>
      <sheetName val="진행_DATA_(2)3"/>
      <sheetName val="0_1公司清单3"/>
      <sheetName val="H_R3"/>
      <sheetName val="Acq_Assumptions_I3"/>
      <sheetName val="Acq_Assumptions_II3"/>
      <sheetName val="Acq_Assumptions_III3"/>
      <sheetName val="ZP7_gespritzt3"/>
      <sheetName val="1_5_合同、非合同台帐3"/>
      <sheetName val="IS_Summary-963"/>
      <sheetName val="Library_Procedures3"/>
      <sheetName val="Non-Statistical_Sampling_Maste3"/>
      <sheetName val="Global_Data3"/>
      <sheetName val="4_1拆出资金3"/>
      <sheetName val="aging_06123"/>
      <sheetName val="NA_QTR_PROD3"/>
      <sheetName val="Official_Lehman_PROD_Sched3"/>
      <sheetName val="Income_statement3"/>
      <sheetName val="PRC_153"/>
      <sheetName val="acc_list3"/>
      <sheetName val="在建工程_final3"/>
      <sheetName val="Service_Parts_Rejects_(RPPM)3"/>
      <sheetName val="Carole_Worksheet_Table3"/>
      <sheetName val="销售人效_-_Overview3"/>
      <sheetName val="Two_Step_Revenue_Testing_Maste3"/>
      <sheetName val="Share_Prices3"/>
      <sheetName val="Book_1_Summary3"/>
      <sheetName val="Salses_breakdown3"/>
      <sheetName val="POWER_ASSUMPTIONS3"/>
      <sheetName val="7_-_ARO_Assumptions3"/>
      <sheetName val="Tritel_Consolidated3"/>
      <sheetName val="TeleCorp_Holdco_Summary3"/>
      <sheetName val="关联交易-存款_滨__4"/>
      <sheetName val="F40-Goodsin_transit3"/>
      <sheetName val="1_资金支付台帐3"/>
      <sheetName val="Feb_Allocation%3"/>
      <sheetName val="Com_Lever3"/>
      <sheetName val="expenses_calc3"/>
      <sheetName val="existing_cities_benchmark3"/>
      <sheetName val="master_sheet3"/>
      <sheetName val="bike_loss3"/>
      <sheetName val="exchange_rate3"/>
      <sheetName val="Cash_Flow_Worksheet3"/>
      <sheetName val="Chart_Analysis3"/>
      <sheetName val="2005_013"/>
      <sheetName val="Comp_equip3"/>
      <sheetName val="Access360_-_PP3"/>
      <sheetName val="Program_Controls3"/>
      <sheetName val="BS_Heading3"/>
      <sheetName val="其他货币资金_dbf3"/>
      <sheetName val="银行存款_dbf3"/>
      <sheetName val="2018_ADJ3"/>
      <sheetName val="08_83"/>
      <sheetName val="1002-1031170406_Capital_Accoun3"/>
      <sheetName val="Air_Conditional3"/>
      <sheetName val="Motor_Vehicle3"/>
      <sheetName val="7_(2)3"/>
      <sheetName val="summary_3"/>
      <sheetName val="PER_SALES_ORG3"/>
      <sheetName val="F19_23"/>
      <sheetName val="F19_13"/>
      <sheetName val="F5_53"/>
      <sheetName val="F5_33"/>
      <sheetName val="Accounts_Database3"/>
      <sheetName val="CH_Car3"/>
      <sheetName val="App1_Entities_sequence_number3"/>
      <sheetName val="Project_Details3"/>
      <sheetName val="Sales_Volumes_&amp;_Plan2"/>
      <sheetName val="Net_Sales_LC2"/>
      <sheetName val="2018工程汇总_3"/>
      <sheetName val="表二十二_(2)2"/>
      <sheetName val="附表1_年度人数2"/>
      <sheetName val="Cash_Flow3"/>
      <sheetName val="26_存货月报表2"/>
      <sheetName val="cum_pred2"/>
      <sheetName val="库存商品余额表_dbf3"/>
      <sheetName val="query_results2"/>
      <sheetName val="Opening_check_Misc_(WO_Only)3"/>
      <sheetName val="IRR_Historic3"/>
      <sheetName val="Portfolio_IRR3"/>
      <sheetName val="Val_Inputs3"/>
      <sheetName val="Model_Inputs3"/>
      <sheetName val="Exchange_Rates&gt;&gt;3"/>
      <sheetName val="Funding_Combined3"/>
      <sheetName val="FY18_funding3"/>
      <sheetName val="iFood_funding3"/>
      <sheetName val="Summary_Adjusted3"/>
      <sheetName val="Summary_Combined3"/>
      <sheetName val="Conversion_Roll_forward3"/>
      <sheetName val="Summary_Roll_Forward3"/>
      <sheetName val="Conversion_DCF3"/>
      <sheetName val="Summary_DCF3"/>
      <sheetName val="Conversion_Cash_Flow3"/>
      <sheetName val="Summary_Cash_Flow3"/>
      <sheetName val="Company_Name_mappings3"/>
      <sheetName val="PH_Car3"/>
      <sheetName val="Related_company4"/>
      <sheetName val="Data_From_XXX4"/>
      <sheetName val="Delphi_original4"/>
      <sheetName val="FUEL_FILLER4"/>
      <sheetName val="Capex_report3"/>
      <sheetName val="___合同台账__3"/>
      <sheetName val="CIP_DETAILS2"/>
      <sheetName val="Sales_for_20013"/>
      <sheetName val="Info__Request2"/>
      <sheetName val="U1_63"/>
      <sheetName val="Price_Provision_清单2"/>
      <sheetName val="PltRpt_(A&amp;F)2"/>
      <sheetName val="PltRpt_(A&amp;FvsB)2"/>
      <sheetName val="PltRpt_(B&amp;AC)2"/>
      <sheetName val="Schedule_B2"/>
      <sheetName val="Tav_22_Rischio_di_Credito2"/>
      <sheetName val="信息费用预算表(A4)_2"/>
      <sheetName val="Depreciation_test2"/>
      <sheetName val="Table_US_Currency2"/>
      <sheetName val="fixed_assets_–Forklifts2"/>
      <sheetName val="fixed_assets_–battery2"/>
      <sheetName val="ARP_stt_22"/>
      <sheetName val="Gen_Accruals2"/>
      <sheetName val="Legal_Accrual2"/>
      <sheetName val="Payroll_Accrual2"/>
      <sheetName val="Cost_of_Equity3"/>
      <sheetName val="CLA-21_1-4_OLD3"/>
      <sheetName val="E3_A2"/>
      <sheetName val="Net_REVENUE2"/>
      <sheetName val="_3"/>
      <sheetName val="Ex__rate2"/>
      <sheetName val="资产评估结果分类汇总表_(2)3"/>
      <sheetName val="SPI_GMBH2"/>
      <sheetName val="Summary_Page_VDF2"/>
      <sheetName val="Invested_capital_VDF2"/>
      <sheetName val="LT_TB2"/>
      <sheetName val="LTMD_TB2"/>
      <sheetName val="OC_TB2"/>
      <sheetName val="ZD_TB2"/>
      <sheetName val="Agency_Walker_ID2"/>
      <sheetName val="sales_breakdown2"/>
      <sheetName val="co_info2"/>
      <sheetName val="FA_Roll_to_GL_(p_2)2"/>
      <sheetName val="Lead_(p_1)2"/>
      <sheetName val="Interim_NWA_converted_in_Dec022"/>
      <sheetName val="AP-NSK(trade)_USD2"/>
      <sheetName val="IV-NSK_JPY2"/>
      <sheetName val="AP-NSK_(trade)_JPY2"/>
      <sheetName val="AR-KTB_JPY2"/>
      <sheetName val="AR-NSK_(trade)_USD2"/>
      <sheetName val="ar-OKI_Micro2"/>
      <sheetName val="AR-TAIKO_JPY2"/>
      <sheetName val="BR-Thousand_JPY2"/>
      <sheetName val="F余额表2021_(2)2"/>
      <sheetName val="F余额表2021_(3)2"/>
      <sheetName val="其他业务成本_1110312"/>
      <sheetName val="A6620_Detail2"/>
      <sheetName val="K311_A_List022"/>
      <sheetName val="99Exh_I2"/>
      <sheetName val="외주현황_wq12"/>
      <sheetName val="Difference_Reconcliation2"/>
      <sheetName val="RPT_Disclosure2"/>
      <sheetName val="FY99_Volume2"/>
      <sheetName val="Sal_&amp;_Wage_Info2"/>
      <sheetName val="LAbor_estimate2"/>
      <sheetName val="2018_4_7_for_Bank2"/>
      <sheetName val="Chart_of_acct_2"/>
      <sheetName val="SPLICE_HOURS2"/>
      <sheetName val="SC_HKD_CA2"/>
      <sheetName val="M_P_2"/>
      <sheetName val="Taux_de_change_2"/>
      <sheetName val="plantilla_mes2"/>
      <sheetName val="PL_by_month-EFY2"/>
      <sheetName val="Calcs_for__quarterly_pres2"/>
      <sheetName val="Valuation_Matrix2"/>
      <sheetName val="Mov_from_2001_to_20033"/>
      <sheetName val="cur_rates2"/>
      <sheetName val="Total_20092"/>
      <sheetName val="3rd_Qtr2"/>
      <sheetName val="5th_Qtr2"/>
      <sheetName val="6th_Qtr2"/>
      <sheetName val="7th_Qtr2"/>
      <sheetName val="Exit_Forecast2"/>
      <sheetName val="2nd_Qtr2"/>
      <sheetName val="Rounded_Input2"/>
      <sheetName val="_003_3固定资产2"/>
      <sheetName val="SUIVI_EFFECTIFS2"/>
      <sheetName val="Vendas_Tons2"/>
      <sheetName val="C_Estr_2"/>
      <sheetName val="EFFECT_2"/>
      <sheetName val="Valuation_-_GSJBW2"/>
      <sheetName val="_W60A_Seating_2011_3_7_xlsx2"/>
      <sheetName val="VT_TEB_Planung-20062"/>
      <sheetName val="BT_032"/>
      <sheetName val="BT_022"/>
      <sheetName val="BT_012"/>
      <sheetName val="ICP费用ICP_Expense2"/>
      <sheetName val="ICP其他应付款ICP_OtherPayable2"/>
      <sheetName val="VCC_11110-4613"/>
      <sheetName val="CREDIT_STATS2"/>
      <sheetName val="FAT_DB2"/>
      <sheetName val="CF_Bridge2"/>
      <sheetName val="Other_R&amp;O2"/>
      <sheetName val="Co_592"/>
      <sheetName val="FA_List2"/>
      <sheetName val="Operating_2"/>
      <sheetName val="CFS_adjustments2"/>
      <sheetName val="Office_Improve2"/>
      <sheetName val="Drop_down2"/>
      <sheetName val="2010_Breakdown2"/>
      <sheetName val="CA_consolidated2"/>
      <sheetName val="P&amp;L_Summary_Page2"/>
      <sheetName val="Expenses_with_Comparisons2"/>
      <sheetName val="TEV_Multiples2"/>
      <sheetName val="CSM_Data_by_CY_2"/>
      <sheetName val="Pref_Probable_Case_Returns2"/>
      <sheetName val="Interco_BSC_012"/>
      <sheetName val="Chart_of_Acct2"/>
      <sheetName val="Trial_Balance2"/>
      <sheetName val="U210'_2"/>
      <sheetName val="Comparative_Balance_Sheet2"/>
      <sheetName val="Com_list2"/>
      <sheetName val="Headcount_and_Oil_Price2"/>
      <sheetName val="BOE_Stats2"/>
      <sheetName val="C_-_Cash_and_Bank2"/>
      <sheetName val="others_gl2"/>
      <sheetName val="BALANCE_SHEET2"/>
      <sheetName val="总公司2002_12_312"/>
      <sheetName val="Beg-_End_balance2"/>
      <sheetName val="Net_Trans_Sum2"/>
      <sheetName val="5_基础档案2"/>
      <sheetName val="Sum_Hist2"/>
      <sheetName val="Corporate_PPT2"/>
      <sheetName val="WTI_Coporate_Eliminations_PPT2"/>
      <sheetName val="Sales_by_category2"/>
      <sheetName val="FIRE_Parameters2"/>
      <sheetName val="Group_structure2"/>
      <sheetName val="Product_List2"/>
      <sheetName val="Corporate_Sales2"/>
      <sheetName val="1102_TAB_OPPORTUNITY_to_import2"/>
      <sheetName val="_FY20002"/>
      <sheetName val="BU_Parameters2"/>
      <sheetName val="Valuation_Summary2"/>
      <sheetName val="Capex_&amp;_Working_Capital_2"/>
      <sheetName val="Product_Summary2"/>
      <sheetName val="Revenue_Output2"/>
      <sheetName val="P&amp;L_Summary2"/>
      <sheetName val="Gross_Profit_Output_(100%)2"/>
      <sheetName val="Historical_IS2"/>
      <sheetName val="Other_Working_Assumptions2"/>
      <sheetName val="Valuation_Waterfall2"/>
      <sheetName val="Gross_Profit2"/>
      <sheetName val="Historical_BS2"/>
      <sheetName val="Key_Assumptions2"/>
      <sheetName val="Instruction_Sheet2"/>
      <sheetName val="Invested_Capital2"/>
      <sheetName val="Monthly_Ex_rate2"/>
      <sheetName val="Expense_Accrual2"/>
      <sheetName val="Gen__Accrual2"/>
      <sheetName val="Prod__Accrual2"/>
      <sheetName val="Rent_Accrual2"/>
      <sheetName val="Freight_Issues2"/>
      <sheetName val="Financial_Summary2"/>
      <sheetName val="Rev_provit2"/>
      <sheetName val="Repayment_Summary2"/>
      <sheetName val="会计科目设置__科目汇总表2"/>
      <sheetName val="IND_2"/>
      <sheetName val="Performance_Graphs2"/>
      <sheetName val="Validation_source2"/>
      <sheetName val="EXP_LINE2"/>
      <sheetName val="封面_Cover2"/>
      <sheetName val="Other_M&amp;R2"/>
      <sheetName val="QTP_dt_2"/>
      <sheetName val="05_AOP_-_Exp_by_CC2"/>
      <sheetName val="05_AOP_-_By_Acct_Detail2"/>
      <sheetName val="IB_Average2"/>
      <sheetName val="Int_ZFLS2"/>
      <sheetName val="I-cycle_count082"/>
      <sheetName val="TT_template2"/>
      <sheetName val="Profit_and_loss2"/>
      <sheetName val="(i)_Fixed_assets-PBC2"/>
      <sheetName val="Detail_Loan_Move____Listing2"/>
      <sheetName val="2weeeks_All__Excess_and_Shorta2"/>
      <sheetName val="Pick_Lists_Sheet2"/>
      <sheetName val="K1_Tax_computation2"/>
      <sheetName val="NBE_DCF2"/>
      <sheetName val="Consolidated_DCF2"/>
      <sheetName val="Boilers_DCF2"/>
      <sheetName val="NBE_(heat_rate)2"/>
      <sheetName val="P_&amp;_L_Account1"/>
      <sheetName val="Offering_Stats1"/>
      <sheetName val="Segment_to_Legal1"/>
      <sheetName val="Financial_Statistics1"/>
      <sheetName val="1_1_Project_Data1"/>
      <sheetName val="A3_试算表Financial_statement1"/>
      <sheetName val="K_固定资产&amp;投资性房地产1"/>
      <sheetName val="P_其他应付款1"/>
      <sheetName val="G_其他应收款1"/>
      <sheetName val="BJ_Expenses2"/>
      <sheetName val="Sample_Rev2"/>
      <sheetName val="Sample_IS2"/>
      <sheetName val="Probability_View2"/>
      <sheetName val="2_1设计部2"/>
      <sheetName val="Chart_of_Account2"/>
      <sheetName val="Business_Unit2"/>
      <sheetName val="TB_&amp;_20131"/>
      <sheetName val="BIS_LIST-NTH_181"/>
      <sheetName val="BS_CHECK1"/>
      <sheetName val="Consol_FS1"/>
      <sheetName val="D410_应交税金变动表Movement1"/>
      <sheetName val="1102_MIT1"/>
      <sheetName val="O_adj1"/>
      <sheetName val="NEWSPRINT_&amp;_UGW1"/>
      <sheetName val="WACC_Analysis_Output1"/>
      <sheetName val="Management_Projections1"/>
      <sheetName val="Inventories_Analysis1"/>
      <sheetName val="sales_vol_1"/>
      <sheetName val="ALL_DATA1"/>
      <sheetName val="C_货币资金1"/>
      <sheetName val="C_抵押存款1"/>
      <sheetName val="D_可供出售投资-流动1"/>
      <sheetName val="D_衍生金融资产1"/>
      <sheetName val="D_持有至到期投资-流动1"/>
      <sheetName val="D_短期投资1"/>
      <sheetName val="D_单列金融资产1"/>
      <sheetName val="A5_dim&amp;adj_sum1"/>
      <sheetName val="E_应收账款1"/>
      <sheetName val="E_应收贸易款及票据1"/>
      <sheetName val="E_应收票据1"/>
      <sheetName val="F_存货1"/>
      <sheetName val="F_房地产1"/>
      <sheetName val="G_预付账款&amp;其他应收款&amp;待摊费用1"/>
      <sheetName val="G_应收股利1"/>
      <sheetName val="G_待售资产1"/>
      <sheetName val="G_HK其他应收1"/>
      <sheetName val="G_应收利息1"/>
      <sheetName val="G_其他流动资产1"/>
      <sheetName val="H_可供出售投资-非流动1"/>
      <sheetName val="H_HK长投1"/>
      <sheetName val="H_商誉1"/>
      <sheetName val="H_持有至到期投资-非流动1"/>
      <sheetName val="H_投资性房地产1"/>
      <sheetName val="H_PRC长投1"/>
      <sheetName val="I_应收关联方1"/>
      <sheetName val="I_应付关联方1"/>
      <sheetName val="J_在建工程1"/>
      <sheetName val="K_固定资产1"/>
      <sheetName val="K_固定资产清理1"/>
      <sheetName val="L_一年内到期的长期债权投资1"/>
      <sheetName val="L_无形1"/>
      <sheetName val="L_长期待摊1"/>
      <sheetName val="L_其他长期资产1"/>
      <sheetName val="M_短借1"/>
      <sheetName val="N_应付票据1"/>
      <sheetName val="P_预收账款&amp;其他应付款&amp;应付职工薪酬&amp;预提费用&amp;其他应交款1"/>
      <sheetName val="U_其他业务收支&amp;营业外收支&amp;补贴收入&amp;利息收入1"/>
      <sheetName val="U_所得税1"/>
      <sheetName val="O_递延税资产1"/>
      <sheetName val="O_递延税负债1"/>
      <sheetName val="O_应交税费1"/>
      <sheetName val="U_税金及附加1"/>
      <sheetName val="P_应付股利1"/>
      <sheetName val="P_HK其他应付1"/>
      <sheetName val="P_应付利息1"/>
      <sheetName val="P_其他流动负债1"/>
      <sheetName val="P_应付职工薪酬1"/>
      <sheetName val="P_预计负债1"/>
      <sheetName val="Q_应付债券1"/>
      <sheetName val="Q_可转债1"/>
      <sheetName val="Q_政府补助1"/>
      <sheetName val="Q_一年内到期负债1"/>
      <sheetName val="Q_应付融资租赁款1"/>
      <sheetName val="Q_长借1"/>
      <sheetName val="Q_长期应付1"/>
      <sheetName val="Q_其他长期负债1"/>
      <sheetName val="Q_专项应付1"/>
      <sheetName val="T_股本1"/>
      <sheetName val="T_资本公积1"/>
      <sheetName val="T_折算差额1"/>
      <sheetName val="T_未分配利润1"/>
      <sheetName val="T_盈余公积1"/>
      <sheetName val="U_主营业务1"/>
      <sheetName val="U_财务费用1"/>
      <sheetName val="U_投资收益&amp;公允价值变动收益1"/>
      <sheetName val="U_管理费用&amp;资产减值损失1"/>
      <sheetName val="U_成本倒轧表&amp;制造费用1"/>
      <sheetName val="U_销售费用1"/>
      <sheetName val="U_分占下属损益1"/>
      <sheetName val="Occupancy_20041"/>
      <sheetName val="M5_M6_Summary1"/>
      <sheetName val="Sheet1_(3)1"/>
      <sheetName val="A_|_INPUT_Filler1"/>
      <sheetName val="Fitments_Abs_Ums1"/>
      <sheetName val="Datenbank_Fillers1"/>
      <sheetName val="SFC_fcst1"/>
      <sheetName val="Fcst_20171"/>
      <sheetName val="FF-2_(1)1"/>
      <sheetName val="PP&amp;E_&amp;_Intangibles1"/>
      <sheetName val="Cover_--&gt;1"/>
      <sheetName val="Comps_input1"/>
      <sheetName val="MT_by_Dept_管理报表费用分类1"/>
      <sheetName val="Volatility_raw1"/>
      <sheetName val="Welfare_PIT1"/>
      <sheetName val="by_category1"/>
      <sheetName val="Calibration_to_Swaptions1"/>
      <sheetName val="Swaption_Data1"/>
      <sheetName val="附件10_东莞百宏-待摊费用20191"/>
      <sheetName val="附件6_东莞百宏-其他应收款20191"/>
      <sheetName val="附件8_东莞百宏-预收账款20191"/>
      <sheetName val="Account_Map1"/>
      <sheetName val="06_11"/>
      <sheetName val="AP_Recap1"/>
      <sheetName val="Month_81"/>
      <sheetName val="附件25_2-销售收入1"/>
      <sheetName val="6126_07披露表(国资)1"/>
      <sheetName val="Aging_Analysis1"/>
      <sheetName val="Review_pts1"/>
      <sheetName val="Q_CF-E011"/>
      <sheetName val="For_Report1"/>
      <sheetName val="01_T1"/>
      <sheetName val="03_1"/>
      <sheetName val="FA_ad09-121"/>
      <sheetName val="Sales_Data1"/>
      <sheetName val="OE_AC#411111"/>
      <sheetName val="资金使用假设_(可转债按账面拆分为股权与债权)1"/>
      <sheetName val="BS_data1"/>
      <sheetName val="A3_&amp;_U_09-011"/>
      <sheetName val="Elim_Seg_LM1"/>
      <sheetName val="Elim_Seg_BM1"/>
      <sheetName val="2012-2016_Grp_Res_Bdgt1"/>
      <sheetName val="Annex_B1"/>
      <sheetName val="Sch0-_Tax_Recon1"/>
      <sheetName val="Balance_sheet_for_August1"/>
      <sheetName val="Income_statement_for_August1"/>
      <sheetName val="Lists_(Hide)1"/>
      <sheetName val="GGP_Expenses1"/>
      <sheetName val="Client_Data1"/>
      <sheetName val="Data_Arrangement1"/>
      <sheetName val="Data_sheet1"/>
      <sheetName val="1__Data_Entry_Sales,_Carline1"/>
      <sheetName val="Acct_220101"/>
      <sheetName val="P&amp;L_PP1"/>
      <sheetName val="Share_Px1"/>
      <sheetName val="Sept_BF1"/>
      <sheetName val="Anlage_3b,_Attachment_3b1"/>
      <sheetName val="Ant_Buss11"/>
      <sheetName val="Ant_Buss21"/>
      <sheetName val="Ant_ZSK1"/>
      <sheetName val="Historical_prices(D)1"/>
      <sheetName val="Historical_prices(M)1"/>
      <sheetName val="Historical_prices(W)1"/>
      <sheetName val="Exp__Summary1"/>
      <sheetName val="Tally_TB_June1"/>
      <sheetName val="2007_12折旧差异1"/>
      <sheetName val="Fee_Rate_Summary1"/>
      <sheetName val="FA__00121"/>
      <sheetName val="CTV_PL1"/>
      <sheetName val="Phase_I1"/>
      <sheetName val="sales1-subsi_1"/>
      <sheetName val="sales2-subsi_1"/>
      <sheetName val="G_1R-Shou_COP_Gf1"/>
      <sheetName val="Loc_Master1"/>
      <sheetName val="New_investment1"/>
      <sheetName val="BANK_ac_no,1"/>
      <sheetName val="001Disclosure_Summary1"/>
      <sheetName val="L1-1_Ageing_analysis1"/>
      <sheetName val="Co_Des_BBXL1"/>
      <sheetName val="J-cycle_count091"/>
      <sheetName val="Total_Coach1"/>
      <sheetName val="Sale_breakdown1"/>
      <sheetName val="zhongshan_1"/>
      <sheetName val="2016~2018_8凭证库加工1"/>
      <sheetName val="SIZE_&amp;_VALUE1"/>
      <sheetName val="Vorbereitende_Eingaben_(Teil_11"/>
      <sheetName val="Scrap_Bridge_Ytd1"/>
      <sheetName val="MCS_P&amp;L_By_Sub__USD1"/>
      <sheetName val="tax_payable1"/>
      <sheetName val="Details_of_ledger_1"/>
      <sheetName val="Management_report_vs_ledger1"/>
      <sheetName val="7378_StockBalance1"/>
      <sheetName val="Base_基础1"/>
      <sheetName val="Sign_Off_Form1"/>
      <sheetName val="LBO_Valuation_Analysis1"/>
      <sheetName val="Sheet1_(2)1"/>
      <sheetName val="Spin_11"/>
      <sheetName val="Sec_Equity1"/>
      <sheetName val="GRAPH_&amp;_SOURCE_DATA1"/>
      <sheetName val="LBO_Assumptions1"/>
      <sheetName val="Drop_List_References1"/>
      <sheetName val="Instructions_(2)1"/>
      <sheetName val="Personal_property_HZ1"/>
      <sheetName val="CY_BS1"/>
      <sheetName val="FAL_as_of_7_31_061"/>
      <sheetName val="Phase2_movementDEC1"/>
      <sheetName val="Phase1f_a_DEC1"/>
      <sheetName val="Phase2_f_a_DEC_(2)1"/>
      <sheetName val="Table_-_Current_Year1"/>
      <sheetName val="Accrued_Expenses1"/>
      <sheetName val="Value_summary1"/>
      <sheetName val="CAB22_存放同业款项_1"/>
      <sheetName val="Q1_1"/>
      <sheetName val="loan_database1"/>
      <sheetName val="SAP_01-12-311"/>
      <sheetName val="Interco_Sales1"/>
      <sheetName val="Net_Bookings1"/>
      <sheetName val="Net_Sales_&amp;_Cost_of_Sales1"/>
      <sheetName val="PBC_-_PHS1"/>
      <sheetName val="1_Eckdaten_in_LW1"/>
      <sheetName val="Calc_&amp;_Export1"/>
      <sheetName val="Carryover_20041"/>
      <sheetName val="AOP_Exec_Summary1"/>
      <sheetName val="U102-U104_Detail1"/>
      <sheetName val="Service_Year1"/>
      <sheetName val="Mach_&amp;_equip1"/>
      <sheetName val="Revenue_&amp;_Expenses1"/>
      <sheetName val="PRC_131"/>
      <sheetName val="suivi_cash_flow_par_affaire1"/>
      <sheetName val="AR_movement1"/>
      <sheetName val="intbutot_wksheet_current1"/>
      <sheetName val="Understand_the_client1"/>
      <sheetName val="2_2_付款及计提明细1"/>
      <sheetName val="1_汇总统计1"/>
      <sheetName val="LTM_Volume1"/>
      <sheetName val="Bank_Table1"/>
      <sheetName val="1_LeadSchedule1"/>
      <sheetName val="3_Analysis1"/>
      <sheetName val="OCT_BANK1"/>
      <sheetName val="GM_Trend1"/>
      <sheetName val="GM%_Trend1"/>
      <sheetName val="Linearity_Chart1"/>
      <sheetName val="NP_Trend1"/>
      <sheetName val="Rev_Trend1"/>
      <sheetName val="Rev-GM_Detail_11"/>
      <sheetName val="Rev-GM_Detail_21"/>
      <sheetName val="Rev_Mix_Trend1"/>
      <sheetName val="SUMMARY_(EXPD)1"/>
      <sheetName val="SUMMARY_(%)1"/>
      <sheetName val="QTD_TO_GO1"/>
      <sheetName val="h1h2_model1"/>
      <sheetName val="3_４Ｒ損益1"/>
      <sheetName val="EFF_&amp;_HRS"/>
      <sheetName val="12_APaging附表1"/>
      <sheetName val="GG&amp;P_Yield1"/>
      <sheetName val="PBY_Adj1"/>
      <sheetName val="Fixed_Assets1"/>
      <sheetName val="Raw_Mtl_Prep1"/>
      <sheetName val="OrgEstSum(not_used)"/>
      <sheetName val="应收楼款账龄分析清单_"/>
      <sheetName val="8_adminexp_by_nature"/>
      <sheetName val="Note16-1_(2)"/>
      <sheetName val="Note17-1_"/>
      <sheetName val="Note3_0-2"/>
      <sheetName val="Note3_0-1"/>
      <sheetName val="Note3_1-1"/>
      <sheetName val="Note3_1-2"/>
      <sheetName val="Note3_1-3"/>
      <sheetName val="Note3_1-5"/>
      <sheetName val="Note3_3-1_"/>
      <sheetName val="Note3_3-2"/>
      <sheetName val="Note3_3-3"/>
      <sheetName val="Note3_3-4"/>
      <sheetName val="Note3_3-5"/>
      <sheetName val="Note_37"/>
      <sheetName val="Ag_Sector_P&amp;L_01F"/>
      <sheetName val="1_预设值"/>
      <sheetName val="BS_Assets"/>
      <sheetName val="Basic_Information"/>
      <sheetName val="Depts_LOOKUP"/>
      <sheetName val="Elim_(novated)_-#H"/>
      <sheetName val="Assumptions_&amp;_Returns"/>
      <sheetName val="所得税测算表_(2)"/>
      <sheetName val="MN_T_B_"/>
      <sheetName val="Labor_cost"/>
      <sheetName val="By_Client_-_NPL_Purchase"/>
      <sheetName val="2_科目体系费用汇总表"/>
      <sheetName val="1_组织架构"/>
      <sheetName val="7_-_ORDER_ENTRIES"/>
      <sheetName val="8_-_BACKLOG"/>
      <sheetName val="9_-_SALES_BY_ENTITY"/>
      <sheetName val="10_-_SALES_BY_BA-SUMMARY"/>
      <sheetName val="11_-_SALES_BY_BA-FC"/>
      <sheetName val="12_-_SALES_BY_BA-CB"/>
      <sheetName val="13_-_SALES_BY_BA-FM"/>
      <sheetName val="14_-_BSA"/>
      <sheetName val="19_-_BIN"/>
      <sheetName val="-&gt;_EDV_Budget"/>
      <sheetName val="应收帐款_AR_"/>
      <sheetName val="Cash_bal_Mar"/>
      <sheetName val="Com_Trial_Bal"/>
      <sheetName val="EXCHANGE_RATE_PROFIT_AND_LOSS"/>
      <sheetName val="Sensitivity_analysis"/>
      <sheetName val="Table_Rates1"/>
      <sheetName val="HISTORY_1"/>
      <sheetName val="Aladdin_Macro1"/>
      <sheetName val="SERV__COMEDOR"/>
      <sheetName val="0_09"/>
      <sheetName val="Bank_Debt"/>
      <sheetName val="3__Other_gains"/>
      <sheetName val="MP2006_data"/>
      <sheetName val="5_Analysis"/>
      <sheetName val="Company_Info"/>
      <sheetName val="FA_lead"/>
      <sheetName val="Summary_Financials"/>
      <sheetName val="zValidations-DO_NOT_TOUCH"/>
      <sheetName val="勿动_选项列表"/>
      <sheetName val="97_Mnthly_Splits_Caps"/>
      <sheetName val="V_-_Income"/>
      <sheetName val="3_1_应收账款"/>
      <sheetName val="1_2持有参数"/>
      <sheetName val="1_1销售参数"/>
      <sheetName val="2_2规划方案"/>
      <sheetName val="4_1持有输入"/>
      <sheetName val="3_2销售去化"/>
      <sheetName val="OR_Breakdown"/>
      <sheetName val="US_Bal_Sheet"/>
      <sheetName val="Pivot_Aug'01"/>
      <sheetName val="Deal_CF"/>
      <sheetName val="Interim_--&gt;_Top"/>
      <sheetName val="M_MM"/>
      <sheetName val="By_client"/>
      <sheetName val="By_nature"/>
      <sheetName val="8_31"/>
      <sheetName val="Stock_Chart"/>
      <sheetName val="SH-3rd_party"/>
      <sheetName val="Fidelity_Option"/>
      <sheetName val="PAY_REGISTER~Input_Values"/>
      <sheetName val="CD_FMA"/>
      <sheetName val="Tailored_procedures"/>
      <sheetName val="企业邮局_(2)"/>
      <sheetName val="BL_Multiples"/>
      <sheetName val="3690_HK_Annotation_Sheet"/>
      <sheetName val="3690_HK_Exchange_Sheet"/>
      <sheetName val="3690_HK_Live_Sheet"/>
      <sheetName val="3690_HK_Validation_Sheet"/>
      <sheetName val="CJE_Building_Prod"/>
      <sheetName val="CJE_VSC_ENERGY_DEV"/>
      <sheetName val="CJE_VSC_HOLDINGS"/>
      <sheetName val="CJE_VSC_BVI"/>
      <sheetName val="CJE_VSC_FE"/>
      <sheetName val="J_工程物资"/>
      <sheetName val="K_生物资产"/>
      <sheetName val="L_开发支出"/>
      <sheetName val="L_一年内到期长期资产"/>
      <sheetName val="L_长期应收"/>
      <sheetName val="L_HK单列无形"/>
      <sheetName val="M_衍生金融负债"/>
      <sheetName val="M_交易性金融负债"/>
      <sheetName val="M_带息借款-流动"/>
      <sheetName val="M_无息借款-流动"/>
      <sheetName val="M_其他金融负债"/>
      <sheetName val="N_应付贸易款及票据"/>
      <sheetName val="O_应交所得税"/>
      <sheetName val="Q_递延收益"/>
      <sheetName val="Q_带息借款-非流动"/>
      <sheetName val="Q_无息借款-非流动"/>
      <sheetName val="T_少数股东"/>
      <sheetName val="U_财务成本"/>
      <sheetName val="U_财务收入"/>
      <sheetName val="U_公允价值变动收益"/>
      <sheetName val="U_资产减值损失"/>
      <sheetName val="U_其他费用"/>
      <sheetName val="U_其他收入"/>
      <sheetName val="AP_RMB"/>
      <sheetName val="301_RTI"/>
      <sheetName val="_U140-SalesTOT"/>
      <sheetName val="sales_by_product"/>
      <sheetName val="Country_Risk"/>
      <sheetName val="11__equity"/>
      <sheetName val="7_taxes_payable_&amp;_9_income_tax_"/>
      <sheetName val="2__sales_and_cost_of_sales"/>
      <sheetName val="P&amp;L_Mth_02"/>
      <sheetName val="管理费用_"/>
      <sheetName val="Details_listing_per_department"/>
      <sheetName val="2000_Cal"/>
      <sheetName val="5_6_回拨运营收入"/>
      <sheetName val="May_07"/>
      <sheetName val="M1_1_Cash_at_Bank"/>
      <sheetName val="M1__Lead_sheet"/>
      <sheetName val="M1_2_Time_Deposit"/>
      <sheetName val="2007_04_KE5Z_detail"/>
      <sheetName val="Derrames_la"/>
      <sheetName val="FZ5_ITE测算表"/>
      <sheetName val="FZ5_DITE测算表"/>
      <sheetName val="variable_1"/>
      <sheetName val="Theoretical_Sales_comparison"/>
      <sheetName val="게이트_지연시간_설정_2"/>
      <sheetName val="月损益表"/>
      <sheetName val="ARP-U401"/>
      <sheetName val="委托加工材料"/>
      <sheetName val="本月计画"/>
      <sheetName val="新规"/>
      <sheetName val="报表目录"/>
      <sheetName val="各门店2016年1-12月费用"/>
      <sheetName val="各门店17.5费用明细"/>
      <sheetName val="各门店16年收入利润"/>
      <sheetName val="各门店17.5收入利润"/>
      <sheetName val="2017.6门店费用"/>
      <sheetName val="16年客流会员"/>
      <sheetName val="店名索引&gt;&gt;&gt;&gt;"/>
      <sheetName val="2017.6门店开业时间汇总"/>
      <sheetName val="4.门店信息汇总Output(运营版本）"/>
      <sheetName val="2017.6门店收入利润"/>
      <sheetName val="AR NET后"/>
      <sheetName val="F110"/>
      <sheetName val="ARP-U301"/>
      <sheetName val="E221"/>
      <sheetName val="Seg P&amp;L"/>
      <sheetName val="Sheet614"/>
      <sheetName val="Data_Credit_Losses"/>
      <sheetName val="Data_Equity_II"/>
      <sheetName val="Data_Equity_I"/>
      <sheetName val="Data_FL_Maturity"/>
      <sheetName val="Data_PaL"/>
      <sheetName val="Positionsplan_englisch"/>
      <sheetName val="Data_Line_of_Credit"/>
      <sheetName val="Data_Balance_Sheet"/>
      <sheetName val="Summary_Fins_Output"/>
      <sheetName val="Football_Field"/>
      <sheetName val="KE5Z"/>
      <sheetName val="TB_09"/>
      <sheetName val="MBAG"/>
      <sheetName val="Elements"/>
      <sheetName val="30.09.2017"/>
      <sheetName val="N3000"/>
      <sheetName val="UFPrn20041012143803"/>
      <sheetName val="PLANBILANZ-BEWEGUNGSBILANZ"/>
      <sheetName val="EmphasisList"/>
      <sheetName val="EntityList"/>
      <sheetName val="Upload"/>
      <sheetName val="chitimc"/>
      <sheetName val="dt"/>
      <sheetName val="Welfare SAR"/>
      <sheetName val="A964_Provision"/>
      <sheetName val="科目库"/>
      <sheetName val="差异调整97"/>
      <sheetName val="SD-1销售费用审定表"/>
      <sheetName val="Macro"/>
      <sheetName val="行业数据summary"/>
      <sheetName val="PSR DATA"/>
      <sheetName val="SummaryMIS"/>
      <sheetName val="规划指标表"/>
      <sheetName val="表2"/>
      <sheetName val="BEST"/>
      <sheetName val="Revenue by Customer&amp;Brand"/>
      <sheetName val="DDETABLE "/>
      <sheetName val="Titel"/>
      <sheetName val="家电类模具"/>
      <sheetName val="关联交易-存款hࢀ_ࢀ__x005f_x005f_x005f1"/>
      <sheetName val="关联交易-存款hࢀ_ࢀ__x0001_2"/>
      <sheetName val="G301(01)"/>
      <sheetName val="辅助项"/>
      <sheetName val="TRANSACTION"/>
      <sheetName val="POTO MAC"/>
      <sheetName val="Control Page"/>
      <sheetName val="Data_Input"/>
      <sheetName val="2009_3KE5Z_detail"/>
      <sheetName val="p_&amp;_lx"/>
      <sheetName val="E-Client_Information"/>
      <sheetName val="M3_M4_(2)"/>
      <sheetName val="M3_M4"/>
      <sheetName val="长期待摊费用审定表"/>
      <sheetName val="butubmf"/>
      <sheetName val="_2576"/>
      <sheetName val="_2577"/>
      <sheetName val="_3422"/>
      <sheetName val="5039"/>
      <sheetName val="_3432(1)"/>
      <sheetName val="_3436(1)"/>
      <sheetName val="_3440(1)"/>
      <sheetName val="_4339(1)"/>
      <sheetName val="_4356(1)"/>
      <sheetName val="yb"/>
      <sheetName val="_5534"/>
      <sheetName val="For SRM_COS"/>
      <sheetName val="U_D_针对负数销售明细的程序"/>
      <sheetName val="待摊费用明细表"/>
      <sheetName val="长期借款明细表1"/>
      <sheetName val="纳入合并范围企业口径"/>
      <sheetName val="辽宁三生库存商品总帐2005 3.1.3a"/>
      <sheetName val="1601 Detail information"/>
      <sheetName val="Eur-Azeo Report"/>
      <sheetName val="BetaSolver"/>
      <sheetName val="Source Tables"/>
      <sheetName val="Backend"/>
      <sheetName val="Buffer"/>
      <sheetName val="StabilityBands-4Yr"/>
      <sheetName val="Liability Inputs"/>
      <sheetName val="StabilityBands-1Yr"/>
      <sheetName val="Scratch Pad2"/>
      <sheetName val="CIP additions"/>
      <sheetName val="F4301"/>
      <sheetName val="IP breakdown"/>
      <sheetName val="APP_2&amp;3"/>
      <sheetName val="$_TEU"/>
      <sheetName val="Sheet695"/>
      <sheetName val="Sheet500"/>
      <sheetName val="설계상수"/>
      <sheetName val="DB_固定资产-PY"/>
      <sheetName val="Sheet836"/>
      <sheetName val="Sheet835"/>
      <sheetName val="Accounts"/>
      <sheetName val="HB"/>
      <sheetName val="_detailitems_171"/>
      <sheetName val="学历"/>
      <sheetName val="应付账款Dy"/>
      <sheetName val="应付账款mx"/>
      <sheetName val="固定资产减值准备mx"/>
      <sheetName val="在建工程mx"/>
      <sheetName val="KLHT"/>
      <sheetName val="$TB 1"/>
      <sheetName val="$TB"/>
      <sheetName val="职位"/>
      <sheetName val="专业"/>
      <sheetName val="政治"/>
      <sheetName val="SDK流水-台服4月"/>
      <sheetName val="SDK流水-日服4月"/>
      <sheetName val="预算明细数据"/>
      <sheetName val="输入表"/>
      <sheetName val="onfin"/>
      <sheetName val="TB表"/>
      <sheetName val="SP"/>
      <sheetName val="05分析性底稿"/>
      <sheetName val="Data Dump 2004_2007Q1"/>
      <sheetName val="Map2007"/>
      <sheetName val="MAP1205"/>
      <sheetName val="GGF"/>
      <sheetName val="固定资产增减表#0.00_ "/>
      <sheetName val="关联交易-存款?_x0000__x0000_滨?_x0000__x001a__x0000__x0000__x0000__x0000__x0009__x0000_"/>
      <sheetName val="Licences"/>
      <sheetName val="关联交易-存款h_x005f_x0001__x005f_x0001_"/>
      <sheetName val="关联交易-存款h_x005f_x0001__x005f_x0001__x"/>
      <sheetName val="삅ོ䚋栠Ѫࡪ㋨ﯾ_x005f_xffff_ﱅ잃蔐緀薼"/>
      <sheetName val="삅ོ䚋栠Ѫࡪ㋨ﯾ_x005f_xffff_ﱅ잃蔐緀薼糀"/>
      <sheetName val="삅ོ䚋栠Ѫࡪ㋨ﯾ_x005f_xffff_ﱅ"/>
      <sheetName val="삅ོ䚋栠Ѫࡪ㋨ﯾ_x005f_xffff_ﱅ잃蔐"/>
      <sheetName val="삅ོ䚋栠Ѫࡪ㋨ﯾ_x005f_xffff_ﱅ잃"/>
      <sheetName val="삅ོ䚋栠Ѫࡪ㋨ﯾ_x005f_xffff_ﱅ잃蔐緀薼糀謋⁎橓晴￻孟싉_x"/>
      <sheetName val="삅ོ䚋栠Ѫࡪ㋨ﯾ_x005f_xffff_ﱅ잃蔐緀薼糀謋⁎橓晴"/>
      <sheetName val="삅ོ䚋栠Ѫࡪ㋨ﯾ_x005f_xffff_ﱅ잃蔐緀薼糀謋⁎橓晴￻孟싉"/>
      <sheetName val="삅ོ䚋栠Ѫࡪ㋨ﯾ_x005f_xffff_"/>
      <sheetName val="삅ོ䚋栠Ѫࡪ㋨ﯾ_x005f_xffff_ﱅ잃蔐緀薼糀謋⁎橓晴￻孟"/>
      <sheetName val="Select month"/>
      <sheetName val="QY"/>
      <sheetName val="标准索引体系_CF当期档案"/>
      <sheetName val="Salesfor2001"/>
      <sheetName val="ARP_U501"/>
      <sheetName val="外表面Ａ"/>
      <sheetName val="CE"/>
      <sheetName val="maping"/>
      <sheetName val="StkIndx"/>
      <sheetName val="GoTo"/>
      <sheetName val="VS 07_08"/>
      <sheetName val="应收账款明细表"/>
      <sheetName val="To tied 2001 opening RE"/>
      <sheetName val="AFS-PL"/>
      <sheetName val="DEC Bank"/>
      <sheetName val="1、日记账调整分录"/>
      <sheetName val="GPM(同比)"/>
      <sheetName val="EST2(L)"/>
      <sheetName val="Node(1)"/>
      <sheetName val="SIGA"/>
      <sheetName val="Smoke Det"/>
      <sheetName val="Manual Price Book Detail"/>
      <sheetName val="Vendavo 12-17-07"/>
      <sheetName val="BKK_marketing"/>
      <sheetName val="PL_PKT"/>
      <sheetName val="PKT_sales"/>
      <sheetName val="BKK_sale"/>
      <sheetName val="Aug01 Status Rpt"/>
      <sheetName val="Input Area"/>
      <sheetName val="-SH"/>
      <sheetName val="-GZ"/>
      <sheetName val="-SZ"/>
      <sheetName val="-WZ"/>
      <sheetName val="OTA"/>
      <sheetName val="-BJ"/>
      <sheetName val="差异调整95"/>
      <sheetName val="差异调整96"/>
      <sheetName val="Africa"/>
      <sheetName val="Ocean"/>
      <sheetName val="S Amer"/>
      <sheetName val="W Eur"/>
      <sheetName val="C Amer"/>
      <sheetName val="E Eur"/>
      <sheetName val="E Asia"/>
      <sheetName val="Mideast"/>
      <sheetName val="Bid_Sheet"/>
      <sheetName val="Balance-M"/>
      <sheetName val="jhcyl"/>
      <sheetName val="MasterFile"/>
      <sheetName val="TEMP"/>
      <sheetName val="封皮"/>
      <sheetName val="研发费审定底稿--小数点后2位"/>
      <sheetName val="项目目录定稿"/>
      <sheetName val="Report_Y"/>
      <sheetName val="DIV"/>
      <sheetName val="其他应付款科目余额2005.12.31"/>
      <sheetName val="71"/>
      <sheetName val="预付款明细表"/>
      <sheetName val="Merkmalstabelle"/>
      <sheetName val="内部往来明细帐"/>
      <sheetName val="法人entity调整后TB-2016"/>
      <sheetName val="TB-2016"/>
      <sheetName val="F-Lead"/>
      <sheetName val="其他应收款Dy"/>
      <sheetName val="坏账准备_其他应收款Dy"/>
      <sheetName val="无形资产Dy"/>
      <sheetName val="无形资产减值准备Dy"/>
      <sheetName val="补贴收入Dy"/>
      <sheetName val="营业外支出Dy"/>
      <sheetName val="所得税Dy"/>
      <sheetName val="应收补贴款Dy"/>
      <sheetName val="内部往来Dy"/>
      <sheetName val="长期待摊费用Dy"/>
      <sheetName val="管理费用mx"/>
      <sheetName val="其他应收款mx"/>
      <sheetName val="adj."/>
      <sheetName val="US Peers"/>
      <sheetName val="CAN Peers"/>
      <sheetName val="注册信息"/>
      <sheetName val="Macro 1"/>
      <sheetName val="marco"/>
      <sheetName val="590负债底表"/>
      <sheetName val="其他材料收入重复"/>
      <sheetName val="其他材料收入账"/>
      <sheetName val="预收"/>
      <sheetName val="DPL"/>
      <sheetName val="Andy"/>
      <sheetName val="收入明细表"/>
      <sheetName val="TB 1999-2000"/>
      <sheetName val="DMC-DCF"/>
      <sheetName val="Fixed Asset"/>
      <sheetName val="OP Assets"/>
      <sheetName val="Invoiced as at Nov-02"/>
      <sheetName val="Sheet5326"/>
      <sheetName val="Q4Purchases"/>
      <sheetName val="Feb"/>
      <sheetName val="Cost File"/>
      <sheetName val="CMF2005"/>
      <sheetName val="MF"/>
      <sheetName val="OS1"/>
      <sheetName val="Exchange_Rate &amp; Costs"/>
      <sheetName val="Opening"/>
      <sheetName val="Disposal"/>
      <sheetName val="Addition"/>
      <sheetName val="会计分录序时簿"/>
      <sheetName val="0R"/>
      <sheetName val="FORECAST 2006"/>
      <sheetName val="General 1st Qtr Spend"/>
      <sheetName val="Indian Steel"/>
      <sheetName val="Indian Metals"/>
      <sheetName val="Bauxite &amp; Alumina"/>
      <sheetName val="Asian Ferro Alloys"/>
      <sheetName val="IM Congress"/>
      <sheetName val="Latin American Steel"/>
      <sheetName val="evt08"/>
      <sheetName val="General 2nd Qtr Spend"/>
      <sheetName val="Far East Steel"/>
      <sheetName val="Chinese Iron Ore"/>
      <sheetName val="Asian Stainless Steel"/>
      <sheetName val="Steel Tube &amp; Pipe"/>
      <sheetName val="Zinc"/>
      <sheetName val="Russian Steel"/>
      <sheetName val="International Iron Ore"/>
      <sheetName val="FFC Expo"/>
      <sheetName val="Copper"/>
      <sheetName val="evt19"/>
      <sheetName val="General 3rd Qtr Spend"/>
      <sheetName val="Nickel-Stainless-Specials"/>
      <sheetName val="International Aluminium"/>
      <sheetName val="Galvanizing"/>
      <sheetName val="evt24"/>
      <sheetName val="General 4th Qtr Spend"/>
      <sheetName val="Central &amp; East European Steel"/>
      <sheetName val="Asian Tinplate"/>
      <sheetName val="Fluorspar"/>
      <sheetName val="IM Forum &amp; Dinner"/>
      <sheetName val="International Ferro Alloys"/>
      <sheetName val="Chinese Aluminium"/>
      <sheetName val="Chinese Copper"/>
      <sheetName val="Secondary Aluminium"/>
      <sheetName val="Middle East Steel"/>
      <sheetName val="Steel Success Strategies"/>
      <sheetName val="evt36"/>
      <sheetName val="evt37"/>
      <sheetName val="担保"/>
      <sheetName val="6126-30"/>
      <sheetName val="枚举字段"/>
      <sheetName val="存货跌价准备"/>
      <sheetName val="6113"/>
      <sheetName val="E304"/>
      <sheetName val="BP 2001 rates"/>
      <sheetName val="REITs &amp; S&amp;P"/>
      <sheetName val="PL2012"/>
      <sheetName val="PL2013"/>
      <sheetName val="PL2014"/>
      <sheetName val="PL2015"/>
      <sheetName val="PL2016"/>
      <sheetName val="PL2017"/>
      <sheetName val="HK-HKD"/>
      <sheetName val="Sheet4026"/>
      <sheetName val="BoM-Incremental"/>
      <sheetName val="ALLOC-3"/>
      <sheetName val="Sheet586"/>
      <sheetName val="sal"/>
      <sheetName val="삅ོ䚋栠Ѫ_x"/>
      <sheetName val="关联交易-存款hࢀ_ࢀ__x0001_3"/>
      <sheetName val="关联交易-存款hࢀ_ࢀ__x005f_x005f_x005f2"/>
      <sheetName val="关联交易-存款hࢀ_ࢀ__x0001_4"/>
      <sheetName val="关联交易-存款hࢀ_ࢀ__x005f_x005f_x005f3"/>
      <sheetName val="沈阳三生商品总帐2006"/>
      <sheetName val="MCHPWKSH"/>
      <sheetName val="Notes"/>
      <sheetName val="compsge"/>
      <sheetName val="10色母料"/>
      <sheetName val="Veh Info"/>
      <sheetName val="福利费1"/>
      <sheetName val="1.計数実績"/>
      <sheetName val="Sheet632"/>
      <sheetName val="_010_10118"/>
      <sheetName val="2015_SUM"/>
      <sheetName val="DropDowns"/>
      <sheetName val="K100"/>
      <sheetName val="dep08"/>
      <sheetName val="内部关联清单"/>
      <sheetName val="118.세금과공과"/>
      <sheetName val="P&amp;LALL"/>
      <sheetName val="Sheet557"/>
      <sheetName val="Share price data"/>
      <sheetName val="核电成本H08053"/>
      <sheetName val="单元格下拉项"/>
      <sheetName val="联想集团"/>
      <sheetName val="Worksheet       (PASS WORD 650)"/>
      <sheetName val="表8-1房租收入"/>
      <sheetName val="BB01"/>
      <sheetName val="6113-2明细表-2019-2020"/>
      <sheetName val="CMA_Calculations"/>
      <sheetName val="PriceList"/>
      <sheetName val="UFPrn20061113135115"/>
      <sheetName val="辅助制造"/>
      <sheetName val="直接制造"/>
      <sheetName val="1205"/>
      <sheetName val="自定义"/>
      <sheetName val="常"/>
      <sheetName val="gares 02 BON FICHIER "/>
      <sheetName val="detailitems_119"/>
      <sheetName val="detailitems_1"/>
      <sheetName val="detailitems_10"/>
      <sheetName val="detailitems_100"/>
      <sheetName val="detailitems_101"/>
      <sheetName val="detailitems_102"/>
      <sheetName val="detailitems_11"/>
      <sheetName val="detailitems_111"/>
      <sheetName val="detailitems_112"/>
      <sheetName val="detailitems_113"/>
      <sheetName val="detailitems_114"/>
      <sheetName val="detailitems_115"/>
      <sheetName val="detailitems_116"/>
      <sheetName val="detailitems_117"/>
      <sheetName val="detailitems_118"/>
      <sheetName val="detailitems_12"/>
      <sheetName val="detailitems_120"/>
      <sheetName val="detailitems_121"/>
      <sheetName val="detailitems_122"/>
      <sheetName val="detailitems_123"/>
      <sheetName val="detailitems_124"/>
      <sheetName val="detailitems_125"/>
      <sheetName val="detailitems_126"/>
      <sheetName val="detailitems_127"/>
      <sheetName val="detailitems_13"/>
      <sheetName val="detailitems_14"/>
      <sheetName val="detailitems_15"/>
      <sheetName val="detailitems_150"/>
      <sheetName val="detailitems_151"/>
      <sheetName val="detailitems_152"/>
      <sheetName val="detailitems_153"/>
      <sheetName val="detailitems_154"/>
      <sheetName val="detailitems_155"/>
      <sheetName val="detailitems_156"/>
      <sheetName val="detailitems_157"/>
      <sheetName val="detailitems_158"/>
      <sheetName val="detailitems_159"/>
      <sheetName val="detailitems_16"/>
      <sheetName val="detailitems_160"/>
      <sheetName val="detailitems_161"/>
      <sheetName val="detailitems_162"/>
      <sheetName val="detailitems_163"/>
      <sheetName val="detailitems_164"/>
      <sheetName val="detailitems_165"/>
      <sheetName val="detailitems_166"/>
      <sheetName val="detailitems_167"/>
      <sheetName val="detailitems_168"/>
      <sheetName val="detailitems_169"/>
      <sheetName val="detailitems_17"/>
      <sheetName val="detailitems_170"/>
      <sheetName val="detailitems_171"/>
      <sheetName val="detailitems_172"/>
      <sheetName val="detailitems_173"/>
      <sheetName val="detailitems_174"/>
      <sheetName val="detailitems_175"/>
      <sheetName val="detailitems_176"/>
      <sheetName val="detailitems_177"/>
      <sheetName val="detailitems_178"/>
      <sheetName val="detailitems_179"/>
      <sheetName val="detailitems_18"/>
      <sheetName val="detailitems_180"/>
      <sheetName val="detailitems_181"/>
      <sheetName val="detailitems_19"/>
      <sheetName val="detailitems_190"/>
      <sheetName val="detailitems_191"/>
      <sheetName val="detailitems_2"/>
      <sheetName val="detailitems_20"/>
      <sheetName val="detailitems_203"/>
      <sheetName val="detailitems_21"/>
      <sheetName val="detailitems_22"/>
      <sheetName val="detailitems_23"/>
      <sheetName val="detailitems_24"/>
      <sheetName val="detailitems_26"/>
      <sheetName val="detailitems_27"/>
      <sheetName val="detailitems_3"/>
      <sheetName val="detailitems_302"/>
      <sheetName val="detailitems_304"/>
      <sheetName val="detailitems_310"/>
      <sheetName val="detailitems_311"/>
      <sheetName val="detailitems_313"/>
      <sheetName val="detailitems_314"/>
      <sheetName val="detailitems_315"/>
      <sheetName val="detailitems_35"/>
      <sheetName val="detailitems_36"/>
      <sheetName val="detailitems_37"/>
      <sheetName val="detailitems_38"/>
      <sheetName val="detailitems_39"/>
      <sheetName val="detailitems_4"/>
      <sheetName val="detailitems_400"/>
      <sheetName val="detailitems_41"/>
      <sheetName val="detailitems_42"/>
      <sheetName val="detailitems_43"/>
      <sheetName val="detailitems_44"/>
      <sheetName val="detailitems_45"/>
      <sheetName val="detailitems_46"/>
      <sheetName val="detailitems_47"/>
      <sheetName val="detailitems_48"/>
      <sheetName val="detailitems_49"/>
      <sheetName val="detailitems_5"/>
      <sheetName val="detailitems_50"/>
      <sheetName val="detailitems_51"/>
      <sheetName val="detailitems_52"/>
      <sheetName val="detailitems_53"/>
      <sheetName val="detailitems_54"/>
      <sheetName val="detailitems_56"/>
      <sheetName val="detailitems_58"/>
      <sheetName val="detailitems_59"/>
      <sheetName val="detailitems_6"/>
      <sheetName val="detailitems_60"/>
      <sheetName val="detailitems_61"/>
      <sheetName val="detailitems_63"/>
      <sheetName val="detailitems_64"/>
      <sheetName val="detailitems_65"/>
      <sheetName val="detailitems_66"/>
      <sheetName val="detailitems_67"/>
      <sheetName val="detailitems_68"/>
      <sheetName val="detailitems_69"/>
      <sheetName val="detailitems_7"/>
      <sheetName val="detailitems_70"/>
      <sheetName val="detailitems_71"/>
      <sheetName val="detailitems_72"/>
      <sheetName val="detailitems_73"/>
      <sheetName val="detailitems_74"/>
      <sheetName val="detailitems_75"/>
      <sheetName val="detailitems_76"/>
      <sheetName val="detailitems_77"/>
      <sheetName val="detailitems_78"/>
      <sheetName val="detailitems_79"/>
      <sheetName val="detailitems_8"/>
      <sheetName val="detailitems_80"/>
      <sheetName val="detailitems_81"/>
      <sheetName val="detailitems_82"/>
      <sheetName val="detailitems_83"/>
      <sheetName val="detailitems_84"/>
      <sheetName val="detailitems_85"/>
      <sheetName val="detailitems_86"/>
      <sheetName val="detailitems_87"/>
      <sheetName val="detailitems_88"/>
      <sheetName val="detailitems_89"/>
      <sheetName val="detailitems_9"/>
      <sheetName val="detailitems_90"/>
      <sheetName val="detailitems_91"/>
      <sheetName val="detailitems_92"/>
      <sheetName val="detailitems_93"/>
      <sheetName val="detailitems_94"/>
      <sheetName val="detailitems_95"/>
      <sheetName val="detailitems_96"/>
      <sheetName val="detailitems_97"/>
      <sheetName val="detailitems_98"/>
      <sheetName val="detailitems_99"/>
      <sheetName val="detailitems_999"/>
      <sheetName val="27-7"/>
      <sheetName val="SPDOL"/>
      <sheetName val="TB2000"/>
      <sheetName val="TB2001"/>
      <sheetName val="ACTABLE"/>
      <sheetName val="COMMON"/>
      <sheetName val="未经调整的审计差异"/>
      <sheetName val="标准"/>
      <sheetName val="DataLookups"/>
      <sheetName val="wip_calc"/>
      <sheetName val="Master_Table"/>
      <sheetName val="Sheet6805"/>
      <sheetName val="2001"/>
      <sheetName val="INPUT rates"/>
      <sheetName val="P220_高管薪酬分析 (2)"/>
      <sheetName val="Nov,01"/>
      <sheetName val="Category"/>
      <sheetName val="Pie Charts"/>
      <sheetName val="Ppty Listing Summary"/>
      <sheetName val="CMBS Underwriting"/>
      <sheetName val="FINAL PROPERTY LIST 11.9.06"/>
      <sheetName val="KeyMultInputs"/>
      <sheetName val="工资分析"/>
      <sheetName val="愛知・日デ"/>
      <sheetName val="Index_Page"/>
      <sheetName val="Technology ID"/>
      <sheetName val="假设"/>
      <sheetName val="Exh B-5"/>
      <sheetName val="Exh B-2"/>
      <sheetName val="Exh B-6"/>
      <sheetName val="Exh B-8"/>
      <sheetName val="Exh B-4"/>
      <sheetName val="Exh B-3"/>
      <sheetName val="Exh B-7"/>
      <sheetName val="Exh B-1"/>
      <sheetName val="B28(old version)"/>
      <sheetName val="Nature &amp; Type Lists"/>
      <sheetName val="TGS-TP"/>
      <sheetName val="I-HC"/>
      <sheetName val="Int-FS"/>
      <sheetName val="Int-Sale"/>
      <sheetName val="L-Sale"/>
      <sheetName val="代码表"/>
      <sheetName val="企业集团构成表"/>
      <sheetName val="财务报表附注"/>
      <sheetName val="Sheet1148"/>
      <sheetName val="1. Scoping"/>
      <sheetName val="2. Expectation"/>
      <sheetName val="3. Variance threshold"/>
      <sheetName val="PopCache_Sheet1"/>
      <sheetName val="COMPANY"/>
      <sheetName val="associates movement "/>
      <sheetName val="OFF PRICE LIST - 10"/>
      <sheetName val="OFF PRICE LIST - 11"/>
      <sheetName val="gong"/>
      <sheetName val="1999 Plan Summary"/>
      <sheetName val="12(762mm)套管"/>
      <sheetName val="Volume Graph (May-ytd)"/>
      <sheetName val="Profile"/>
      <sheetName val="PP"/>
      <sheetName val="DEFFERED REV MAR 98"/>
      <sheetName val="Sheet609"/>
      <sheetName val="CY2001"/>
      <sheetName val="CY2002"/>
      <sheetName val="CY2003"/>
      <sheetName val="CY2004"/>
      <sheetName val="Sheet1503"/>
      <sheetName val="Sheet684"/>
      <sheetName val="Sheet1497"/>
      <sheetName val="Sheet1499"/>
      <sheetName val="Sheet1500"/>
      <sheetName val="Sheet719"/>
      <sheetName val="Sheet2880"/>
      <sheetName val="电话清单"/>
      <sheetName val="U100-POI POC主营收入成本"/>
      <sheetName val="N010-short-term loans 短期借款明细"/>
      <sheetName val="L150-ROU使用权资产"/>
      <sheetName val="Sheet1433"/>
      <sheetName val="Sheet1434"/>
      <sheetName val="Sheet1451"/>
      <sheetName val="Sheet1452"/>
      <sheetName val="Sheet1453"/>
      <sheetName val="Sheet1454"/>
      <sheetName val="Sheet2883"/>
      <sheetName val="Sheet1429"/>
      <sheetName val="Sheet638"/>
      <sheetName val="&lt;CF100&gt;-现金流量表"/>
      <sheetName val="Sheet631"/>
      <sheetName val="Sheet546"/>
      <sheetName val="BalanceSheet"/>
      <sheetName val="E_100_11"/>
      <sheetName val="DATA08"/>
      <sheetName val="DATA09"/>
      <sheetName val=" 弃"/>
      <sheetName val="9609추"/>
      <sheetName val="废"/>
      <sheetName val="Q_Charts"/>
      <sheetName val="A_Charts"/>
      <sheetName val="Q_A1"/>
      <sheetName val="Q_A2"/>
      <sheetName val="Q_BS"/>
      <sheetName val="Q_CF"/>
      <sheetName val="Q_PL"/>
      <sheetName val="Text"/>
      <sheetName val="M_C"/>
      <sheetName val="Q_PR"/>
      <sheetName val="45_A"/>
      <sheetName val="Quik"/>
      <sheetName val="Front"/>
      <sheetName val="Upgrade"/>
      <sheetName val="0DISCOUN"/>
      <sheetName val="FIAT"/>
      <sheetName val="RENDFIN"/>
      <sheetName val="ROC"/>
      <sheetName val="Customize Your Loan Manager"/>
      <sheetName val="基础资产汇总表"/>
      <sheetName val="帝谷二期"/>
      <sheetName val="月山村"/>
      <sheetName val="C4-"/>
      <sheetName val="Budget 2004"/>
      <sheetName val="Controlsheet"/>
      <sheetName val="Rates - 03"/>
      <sheetName val="Principal"/>
      <sheetName val="2006-01-31"/>
      <sheetName val="A500-Audit adjustment"/>
      <sheetName val="U 510"/>
      <sheetName val="JHL1188 Herceptin TS"/>
      <sheetName val="DCF ($mn)"/>
      <sheetName val="Scenario Manager"/>
      <sheetName val="Charts"/>
      <sheetName val="Sources Uses Output"/>
      <sheetName val="JHL1101 Rituxan TS"/>
      <sheetName val="START PAGE"/>
      <sheetName val="PV Graph Data"/>
      <sheetName val="1-1"/>
      <sheetName val="披露表-国企报告"/>
      <sheetName val="【参照】房托项目"/>
      <sheetName val="Reconciliation"/>
      <sheetName val="ReadVal"/>
      <sheetName val="CIT Summary"/>
      <sheetName val="ReferenceData"/>
      <sheetName val="Projection Checking"/>
      <sheetName val="下拉菜单选项"/>
      <sheetName val="Cal2005"/>
      <sheetName val="données"/>
      <sheetName val="Sheet742"/>
      <sheetName val="BS Liability"/>
      <sheetName val="Inter_co"/>
      <sheetName val="SPP 2004 plan by TOS"/>
      <sheetName val="收获率计算模型"/>
      <sheetName val="2007.01-03"/>
      <sheetName val="供应商、材料列表"/>
      <sheetName val="Sheet2940"/>
      <sheetName val="Sheet2941"/>
      <sheetName val="Sheet2943"/>
      <sheetName val="A_R_018"/>
      <sheetName val="ADJ_Sum(console)8"/>
      <sheetName val="Defer_tax8"/>
      <sheetName val="Estimated_AP_9_038"/>
      <sheetName val="2005_067"/>
      <sheetName val="Mar_OR7"/>
      <sheetName val="REC_977"/>
      <sheetName val="关联交易-存款hࢀ_ࢀ_3"/>
      <sheetName val="daywork-_Tham_khao7"/>
      <sheetName val="TB_Link7"/>
      <sheetName val="office_supplies6"/>
      <sheetName val="truc_tiep6"/>
      <sheetName val="P_1预收、其他应付、其他流动负债6"/>
      <sheetName val="G_预付账款、其他应收款、其他流动资产6"/>
      <sheetName val="_U1506"/>
      <sheetName val="2-分类汇总_Classified_Summary6"/>
      <sheetName val="Financ__Overview6"/>
      <sheetName val="各年往来_(2)6"/>
      <sheetName val="IFRS_REPORTING6"/>
      <sheetName val="关联交易-存款hࢀ_ࢀ__x005f_x0001_6"/>
      <sheetName val="A5_Summary6"/>
      <sheetName val="关联交易-存款hࢀ_ࢀ__x005f_x005f_x005f_x0001_6"/>
      <sheetName val="zero_(3)6"/>
      <sheetName val="3_26"/>
      <sheetName val="A3_Sum6"/>
      <sheetName val="Invest_6"/>
      <sheetName val="Inv_days_#56"/>
      <sheetName val="control_sheet_fund_II6"/>
      <sheetName val="Exec_Summary6"/>
      <sheetName val="N_应付账款5"/>
      <sheetName val="Raw_materials5"/>
      <sheetName val="TAB_Daten5"/>
      <sheetName val="关联交易-存款hࢀ_ࢀ__x005f_x005f_x005f_x005f_x005f5"/>
      <sheetName val="关联交易-存款hࢀ_ࢀ__x005f_x005f_5"/>
      <sheetName val="F1100芯片测试费_6"/>
      <sheetName val="Ex_Diff5"/>
      <sheetName val="II-_Liability_Component_June_06"/>
      <sheetName val="I-Conclusion_5"/>
      <sheetName val="II-_Liab__comp_IAS5"/>
      <sheetName val="Conversion_feature5"/>
      <sheetName val="I-_Summary5"/>
      <sheetName val="Sch_PR-25"/>
      <sheetName val="Sch_PR-35"/>
      <sheetName val="Consol_BS5"/>
      <sheetName val="HO_&amp;_Aust_BS5"/>
      <sheetName val="JAC11_305"/>
      <sheetName val="Tier1_Pref_SGP5"/>
      <sheetName val="Rev__Losses5"/>
      <sheetName val="SoP_SGP25"/>
      <sheetName val="Prop_R5"/>
      <sheetName val="Tier1_Pref_SBP5"/>
      <sheetName val="Income_Statement_breakdown5"/>
      <sheetName val="销售6_135"/>
      <sheetName val="关联交易-存款hࢀ_ࢀ__5"/>
      <sheetName val="qad_TB5"/>
      <sheetName val="短期投资股票投资_dbf5"/>
      <sheetName val="短期投资国债投资_dbf5"/>
      <sheetName val="股票投资收益_dbf5"/>
      <sheetName val="其他货币海通_dbf5"/>
      <sheetName val="其他货币零领路_dbf5"/>
      <sheetName val="投资收益债券_dbf5"/>
      <sheetName val="Base_Info5"/>
      <sheetName val="PV6_3_5L_LX5_GMX1705"/>
      <sheetName val="Company_Information5"/>
      <sheetName val="P&amp;L_adhoc5"/>
      <sheetName val="Suppl_Adhoc_Inv_(F)5"/>
      <sheetName val="Suppl_Adhoc_Pers5"/>
      <sheetName val="QTR_Data_Analysis5"/>
      <sheetName val="Disclosure_Summary5"/>
      <sheetName val="BOX_SUM5"/>
      <sheetName val="FIN_GOOD5"/>
      <sheetName val="Hyperion_Link5"/>
      <sheetName val="关联交易-存款?滨?_5"/>
      <sheetName val="Bank_card_list5"/>
      <sheetName val="1461（12_6）5"/>
      <sheetName val="Payed_bonuses5"/>
      <sheetName val="Output_&amp;_Financial_Statements5"/>
      <sheetName val="Old_TWX_Quorfa5"/>
      <sheetName val="TWX_Model5"/>
      <sheetName val="FS_Output_45"/>
      <sheetName val="FS_Output_15"/>
      <sheetName val="FS_Output_35"/>
      <sheetName val="FS_Output25"/>
      <sheetName val="Deal_Structure_&amp;_Control_Page5"/>
      <sheetName val="Historic_Comps5"/>
      <sheetName val="Price_List5"/>
      <sheetName val="All_Cash_Dil5"/>
      <sheetName val="关联交易-存款hࢀ_ࢀ__x005f_x005f_x005f_x005f_5"/>
      <sheetName val="1-_Input_&amp;_Info5"/>
      <sheetName val="CUSTOMER_(DETAIL)5"/>
      <sheetName val="Lease_AP_20085"/>
      <sheetName val="Antivol_D25"/>
      <sheetName val="Vendor_Data5"/>
      <sheetName val="2_5上年现金试算5"/>
      <sheetName val="Romford_Market5"/>
      <sheetName val="&lt;FF&gt;_Tax_Payable5"/>
      <sheetName val="PPD_Schedule5"/>
      <sheetName val="清单12_315"/>
      <sheetName val="Economic_evaluation_-_FY98_bas5"/>
      <sheetName val="Base_Data5"/>
      <sheetName val="1_05"/>
      <sheetName val="Detail_Loan_Move__&amp;_Listing5"/>
      <sheetName val="Non-Statistical_Sampling5"/>
      <sheetName val="AR_Drop_Downs5"/>
      <sheetName val="PRC_GAAP5"/>
      <sheetName val="statement_19984"/>
      <sheetName val="XVIa(i)_-_average_price_(2)4"/>
      <sheetName val="Table_13_1_-_34"/>
      <sheetName val="链接表（勿动）_元)4"/>
      <sheetName val="两次基准日的对比_(0531与0831)4"/>
      <sheetName val="链接表（勿动）_(元表)4"/>
      <sheetName val="CY_sales_report4"/>
      <sheetName val="T__B4"/>
      <sheetName val="addl_cost4"/>
      <sheetName val="综合成本分析01_01-02054"/>
      <sheetName val="C-1_总表4"/>
      <sheetName val="4_1-合同台帐4"/>
      <sheetName val="Income_Statement_and_KPIs4"/>
      <sheetName val="index_cc4"/>
      <sheetName val="1_5_合同、非合同台帐4"/>
      <sheetName val="IS_Summary-964"/>
      <sheetName val="Library_Procedures4"/>
      <sheetName val="Non-Statistical_Sampling_Maste4"/>
      <sheetName val="Global_Data4"/>
      <sheetName val="4_1拆出资金4"/>
      <sheetName val="aging_06124"/>
      <sheetName val="NA_QTR_PROD4"/>
      <sheetName val="Official_Lehman_PROD_Sched4"/>
      <sheetName val="Income_statement4"/>
      <sheetName val="PRC_154"/>
      <sheetName val="acc_list4"/>
      <sheetName val="在建工程_final4"/>
      <sheetName val="SD-Report_5&quot;4"/>
      <sheetName val="M_Schedules4"/>
      <sheetName val="Staff_List4"/>
      <sheetName val="Rejects_PPM4"/>
      <sheetName val="QOS_RPPM4"/>
      <sheetName val="Standort_(DE)4"/>
      <sheetName val="Act_Vol4"/>
      <sheetName val="Customer_Name4"/>
      <sheetName val="IRR_&amp;_NPV4"/>
      <sheetName val="ACC_NAME4"/>
      <sheetName val="ZP7_gespritzt4"/>
      <sheetName val="GA5-2-1_明细表20154"/>
      <sheetName val="开发成本2002_-_Movement4"/>
      <sheetName val="国别报告数据填报模板(Information_Request4"/>
      <sheetName val="Salses_breakdown4"/>
      <sheetName val="VS_Consensus4"/>
      <sheetName val="销售人效_-_Overview4"/>
      <sheetName val="Two_Step_Revenue_Testing_Maste4"/>
      <sheetName val="Share_Prices4"/>
      <sheetName val="Book_1_Summary4"/>
      <sheetName val="Feb_Allocation%4"/>
      <sheetName val="Com_Lever4"/>
      <sheetName val="expenses_calc4"/>
      <sheetName val="existing_cities_benchmark4"/>
      <sheetName val="master_sheet4"/>
      <sheetName val="bike_loss4"/>
      <sheetName val="exchange_rate4"/>
      <sheetName val="Cash_Flow_Worksheet4"/>
      <sheetName val="Chart_Analysis4"/>
      <sheetName val="2005_014"/>
      <sheetName val="Comp_equip4"/>
      <sheetName val="Access360_-_PP4"/>
      <sheetName val="Program_Controls4"/>
      <sheetName val="BS_Heading4"/>
      <sheetName val="PER_SALES_ORG4"/>
      <sheetName val="08_84"/>
      <sheetName val="其他货币资金_dbf4"/>
      <sheetName val="银行存款_dbf4"/>
      <sheetName val="2018_ADJ4"/>
      <sheetName val="F19_24"/>
      <sheetName val="F19_14"/>
      <sheetName val="F5_54"/>
      <sheetName val="F5_34"/>
      <sheetName val="Accounts_Database4"/>
      <sheetName val="CH_Car4"/>
      <sheetName val="App1_Entities_sequence_number4"/>
      <sheetName val="CJE_energy_inv4"/>
      <sheetName val="YTD_SALES4"/>
      <sheetName val="진행_DATA_(2)4"/>
      <sheetName val="POWER_ASSUMPTIONS4"/>
      <sheetName val="summary_4"/>
      <sheetName val="关联交易-存款_滨__5"/>
      <sheetName val="2018工程汇总_4"/>
      <sheetName val="Acq_Assumptions_I4"/>
      <sheetName val="Acq_Assumptions_II4"/>
      <sheetName val="Acq_Assumptions_III4"/>
      <sheetName val="Chart_of_acct_3"/>
      <sheetName val="Cash_Flow_-_CY_Workings4"/>
      <sheetName val="2_cot4"/>
      <sheetName val="for_ey_reviewer_销售费用4"/>
      <sheetName val="for_ey_reviewer_制造费用4"/>
      <sheetName val="1_资金支付台帐4"/>
      <sheetName val="0_1公司清单4"/>
      <sheetName val="H_R4"/>
      <sheetName val="Service_Parts_Rejects_(RPPM)4"/>
      <sheetName val="Carole_Worksheet_Table4"/>
      <sheetName val="1002-1031170406_Capital_Accoun4"/>
      <sheetName val="Air_Conditional4"/>
      <sheetName val="Motor_Vehicle4"/>
      <sheetName val="F40-Goodsin_transit4"/>
      <sheetName val="M&amp;A_pipeline4"/>
      <sheetName val="表二十二_(2)3"/>
      <sheetName val="附表1_年度人数3"/>
      <sheetName val="Cash_Flow4"/>
      <sheetName val="26_存货月报表3"/>
      <sheetName val="cum_pred3"/>
      <sheetName val="7_-_ARO_Assumptions4"/>
      <sheetName val="库存商品余额表_dbf4"/>
      <sheetName val="Project_Details4"/>
      <sheetName val="Tritel_Consolidated4"/>
      <sheetName val="TeleCorp_Holdco_Summary4"/>
      <sheetName val="Sales_Volumes_&amp;_Plan3"/>
      <sheetName val="Net_Sales_LC3"/>
      <sheetName val="query_results3"/>
      <sheetName val="Opening_check_Misc_(WO_Only)4"/>
      <sheetName val="IRR_Historic4"/>
      <sheetName val="Portfolio_IRR4"/>
      <sheetName val="Val_Inputs4"/>
      <sheetName val="Model_Inputs4"/>
      <sheetName val="Exchange_Rates&gt;&gt;4"/>
      <sheetName val="Funding_Combined4"/>
      <sheetName val="FY18_funding4"/>
      <sheetName val="iFood_funding4"/>
      <sheetName val="Summary_Adjusted4"/>
      <sheetName val="Summary_Combined4"/>
      <sheetName val="Conversion_Roll_forward4"/>
      <sheetName val="Summary_Roll_Forward4"/>
      <sheetName val="Conversion_DCF4"/>
      <sheetName val="Summary_DCF4"/>
      <sheetName val="Conversion_Cash_Flow4"/>
      <sheetName val="Summary_Cash_Flow4"/>
      <sheetName val="Company_Name_mappings4"/>
      <sheetName val="PH_Car4"/>
      <sheetName val="Related_company5"/>
      <sheetName val="Data_From_XXX5"/>
      <sheetName val="Delphi_original5"/>
      <sheetName val="FUEL_FILLER5"/>
      <sheetName val="Capex_report4"/>
      <sheetName val="___合同台账__4"/>
      <sheetName val="CIP_DETAILS3"/>
      <sheetName val="Sales_for_20014"/>
      <sheetName val="7_(2)4"/>
      <sheetName val="Info__Request3"/>
      <sheetName val="U1_64"/>
      <sheetName val="Price_Provision_清单3"/>
      <sheetName val="PltRpt_(A&amp;F)3"/>
      <sheetName val="PltRpt_(A&amp;FvsB)3"/>
      <sheetName val="PltRpt_(B&amp;AC)3"/>
      <sheetName val="Schedule_B3"/>
      <sheetName val="Tav_22_Rischio_di_Credito3"/>
      <sheetName val="信息费用预算表(A4)_3"/>
      <sheetName val="Depreciation_test3"/>
      <sheetName val="Table_US_Currency3"/>
      <sheetName val="fixed_assets_–Forklifts3"/>
      <sheetName val="fixed_assets_–battery3"/>
      <sheetName val="ARP_stt_23"/>
      <sheetName val="Gen_Accruals3"/>
      <sheetName val="Legal_Accrual3"/>
      <sheetName val="Payroll_Accrual3"/>
      <sheetName val="Cost_of_Equity4"/>
      <sheetName val="CLA-21_1-4_OLD4"/>
      <sheetName val="E3_A3"/>
      <sheetName val="Net_REVENUE3"/>
      <sheetName val="_4"/>
      <sheetName val="Ex__rate3"/>
      <sheetName val="资产评估结果分类汇总表_(2)4"/>
      <sheetName val="SPI_GMBH3"/>
      <sheetName val="Summary_Page_VDF3"/>
      <sheetName val="Invested_capital_VDF3"/>
      <sheetName val="LT_TB3"/>
      <sheetName val="LTMD_TB3"/>
      <sheetName val="OC_TB3"/>
      <sheetName val="ZD_TB3"/>
      <sheetName val="Agency_Walker_ID3"/>
      <sheetName val="sales_breakdown3"/>
      <sheetName val="co_info3"/>
      <sheetName val="FA_Roll_to_GL_(p_2)3"/>
      <sheetName val="Lead_(p_1)3"/>
      <sheetName val="Interim_NWA_converted_in_Dec023"/>
      <sheetName val="AP-NSK(trade)_USD3"/>
      <sheetName val="IV-NSK_JPY3"/>
      <sheetName val="AP-NSK_(trade)_JPY3"/>
      <sheetName val="AR-KTB_JPY3"/>
      <sheetName val="AR-NSK_(trade)_USD3"/>
      <sheetName val="ar-OKI_Micro3"/>
      <sheetName val="AR-TAIKO_JPY3"/>
      <sheetName val="BR-Thousand_JPY3"/>
      <sheetName val="F余额表2021_(2)3"/>
      <sheetName val="F余额表2021_(3)3"/>
      <sheetName val="其他业务成本_1110313"/>
      <sheetName val="A6620_Detail3"/>
      <sheetName val="K311_A_List023"/>
      <sheetName val="99Exh_I3"/>
      <sheetName val="외주현황_wq13"/>
      <sheetName val="Difference_Reconcliation3"/>
      <sheetName val="RPT_Disclosure3"/>
      <sheetName val="FY99_Volume3"/>
      <sheetName val="Sal_&amp;_Wage_Info3"/>
      <sheetName val="LAbor_estimate3"/>
      <sheetName val="2018_4_7_for_Bank3"/>
      <sheetName val="SPLICE_HOURS3"/>
      <sheetName val="SC_HKD_CA3"/>
      <sheetName val="M_P_3"/>
      <sheetName val="Taux_de_change_3"/>
      <sheetName val="plantilla_mes3"/>
      <sheetName val="PL_by_month-EFY3"/>
      <sheetName val="Calcs_for__quarterly_pres3"/>
      <sheetName val="Valuation_Matrix3"/>
      <sheetName val="Mov_from_2001_to_20034"/>
      <sheetName val="cur_rates3"/>
      <sheetName val="Total_20093"/>
      <sheetName val="3rd_Qtr3"/>
      <sheetName val="5th_Qtr3"/>
      <sheetName val="6th_Qtr3"/>
      <sheetName val="7th_Qtr3"/>
      <sheetName val="Exit_Forecast3"/>
      <sheetName val="2nd_Qtr3"/>
      <sheetName val="Rounded_Input3"/>
      <sheetName val="_003_3固定资产3"/>
      <sheetName val="SUIVI_EFFECTIFS3"/>
      <sheetName val="Vendas_Tons3"/>
      <sheetName val="C_Estr_3"/>
      <sheetName val="EFFECT_3"/>
      <sheetName val="U210'_3"/>
      <sheetName val="_W60A_Seating_2011_3_7_xlsx3"/>
      <sheetName val="FIRE_Parameters3"/>
      <sheetName val="VCC_11110-4614"/>
      <sheetName val="CREDIT_STATS3"/>
      <sheetName val="FAT_DB3"/>
      <sheetName val="CF_Bridge3"/>
      <sheetName val="Other_R&amp;O3"/>
      <sheetName val="Co_593"/>
      <sheetName val="FA_List3"/>
      <sheetName val="Operating_3"/>
      <sheetName val="CFS_adjustments3"/>
      <sheetName val="Office_Improve3"/>
      <sheetName val="Drop_down3"/>
      <sheetName val="2010_Breakdown3"/>
      <sheetName val="CA_consolidated3"/>
      <sheetName val="VT_TEB_Planung-20063"/>
      <sheetName val="P&amp;L_Summary_Page3"/>
      <sheetName val="Expenses_with_Comparisons3"/>
      <sheetName val="TEV_Multiples3"/>
      <sheetName val="CSM_Data_by_CY_3"/>
      <sheetName val="Pref_Probable_Case_Returns3"/>
      <sheetName val="Interco_BSC_013"/>
      <sheetName val="Chart_of_Acct3"/>
      <sheetName val="Trial_Balance3"/>
      <sheetName val="BT_033"/>
      <sheetName val="BT_023"/>
      <sheetName val="BT_013"/>
      <sheetName val="ICP费用ICP_Expense3"/>
      <sheetName val="ICP其他应付款ICP_OtherPayable3"/>
      <sheetName val="Comparative_Balance_Sheet3"/>
      <sheetName val="Com_list3"/>
      <sheetName val="Headcount_and_Oil_Price3"/>
      <sheetName val="BOE_Stats3"/>
      <sheetName val="C_-_Cash_and_Bank3"/>
      <sheetName val="others_gl3"/>
      <sheetName val="BALANCE_SHEET3"/>
      <sheetName val="总公司2002_12_313"/>
      <sheetName val="Beg-_End_balance3"/>
      <sheetName val="Net_Trans_Sum3"/>
      <sheetName val="5_基础档案3"/>
      <sheetName val="Sum_Hist3"/>
      <sheetName val="Corporate_PPT3"/>
      <sheetName val="WTI_Coporate_Eliminations_PPT3"/>
      <sheetName val="Sales_by_category3"/>
      <sheetName val="1102_TAB_OPPORTUNITY_to_import3"/>
      <sheetName val="_FY20003"/>
      <sheetName val="Product_List3"/>
      <sheetName val="BU_Parameters3"/>
      <sheetName val="Valuation_Summary3"/>
      <sheetName val="Capex_&amp;_Working_Capital_3"/>
      <sheetName val="Product_Summary3"/>
      <sheetName val="Revenue_Output3"/>
      <sheetName val="P&amp;L_Summary3"/>
      <sheetName val="Gross_Profit_Output_(100%)3"/>
      <sheetName val="Historical_IS3"/>
      <sheetName val="Other_Working_Assumptions3"/>
      <sheetName val="Valuation_Waterfall3"/>
      <sheetName val="Gross_Profit3"/>
      <sheetName val="Historical_BS3"/>
      <sheetName val="Key_Assumptions3"/>
      <sheetName val="Instruction_Sheet3"/>
      <sheetName val="Invested_Capital3"/>
      <sheetName val="Monthly_Ex_rate3"/>
      <sheetName val="Expense_Accrual3"/>
      <sheetName val="Gen__Accrual3"/>
      <sheetName val="Prod__Accrual3"/>
      <sheetName val="Rent_Accrual3"/>
      <sheetName val="Corporate_Sales3"/>
      <sheetName val="Freight_Issues3"/>
      <sheetName val="Financial_Summary3"/>
      <sheetName val="Rev_provit3"/>
      <sheetName val="Repayment_Summary3"/>
      <sheetName val="会计科目设置__科目汇总表3"/>
      <sheetName val="IND_3"/>
      <sheetName val="Performance_Graphs3"/>
      <sheetName val="Validation_source3"/>
      <sheetName val="EXP_LINE3"/>
      <sheetName val="封面_Cover3"/>
      <sheetName val="Other_M&amp;R3"/>
      <sheetName val="QTP_dt_3"/>
      <sheetName val="05_AOP_-_Exp_by_CC3"/>
      <sheetName val="05_AOP_-_By_Acct_Detail3"/>
      <sheetName val="IB_Average3"/>
      <sheetName val="Int_ZFLS3"/>
      <sheetName val="I-cycle_count083"/>
      <sheetName val="TT_template3"/>
      <sheetName val="Valuation_-_GSJBW3"/>
      <sheetName val="Group_structure3"/>
      <sheetName val="Pick_Lists_Sheet3"/>
      <sheetName val="K1_Tax_computation3"/>
      <sheetName val="NBE_DCF3"/>
      <sheetName val="Consolidated_DCF3"/>
      <sheetName val="Boilers_DCF3"/>
      <sheetName val="NBE_(heat_rate)3"/>
      <sheetName val="2weeeks_All__Excess_and_Shorta3"/>
      <sheetName val="Business_Unit3"/>
      <sheetName val="1102_MIT2"/>
      <sheetName val="BS_CHECK2"/>
      <sheetName val="BJ_Expenses3"/>
      <sheetName val="Sample_Rev3"/>
      <sheetName val="Sample_IS3"/>
      <sheetName val="Probability_View3"/>
      <sheetName val="Financial_Statistics2"/>
      <sheetName val="Offering_Stats2"/>
      <sheetName val="Segment_to_Legal2"/>
      <sheetName val="Profit_and_loss3"/>
      <sheetName val="(i)_Fixed_assets-PBC3"/>
      <sheetName val="Detail_Loan_Move____Listing3"/>
      <sheetName val="P_&amp;_L_Account2"/>
      <sheetName val="Consol_FS2"/>
      <sheetName val="2_1设计部3"/>
      <sheetName val="D410_应交税金变动表Movement2"/>
      <sheetName val="Chart_of_Account3"/>
      <sheetName val="1_1_Project_Data2"/>
      <sheetName val="O_adj2"/>
      <sheetName val="BIS_LIST-NTH_182"/>
      <sheetName val="TB_&amp;_20132"/>
      <sheetName val="C_货币资金2"/>
      <sheetName val="C_抵押存款2"/>
      <sheetName val="D_可供出售投资-流动2"/>
      <sheetName val="D_衍生金融资产2"/>
      <sheetName val="D_持有至到期投资-流动2"/>
      <sheetName val="D_短期投资2"/>
      <sheetName val="D_单列金融资产2"/>
      <sheetName val="A5_dim&amp;adj_sum2"/>
      <sheetName val="E_应收账款2"/>
      <sheetName val="E_应收贸易款及票据2"/>
      <sheetName val="E_应收票据2"/>
      <sheetName val="F_存货2"/>
      <sheetName val="F_房地产2"/>
      <sheetName val="G_预付账款&amp;其他应收款&amp;待摊费用2"/>
      <sheetName val="G_应收股利2"/>
      <sheetName val="G_待售资产2"/>
      <sheetName val="G_HK其他应收2"/>
      <sheetName val="G_应收利息2"/>
      <sheetName val="G_其他流动资产2"/>
      <sheetName val="H_可供出售投资-非流动2"/>
      <sheetName val="H_HK长投2"/>
      <sheetName val="H_商誉2"/>
      <sheetName val="H_持有至到期投资-非流动2"/>
      <sheetName val="H_投资性房地产2"/>
      <sheetName val="H_PRC长投2"/>
      <sheetName val="I_应收关联方2"/>
      <sheetName val="I_应付关联方2"/>
      <sheetName val="J_在建工程2"/>
      <sheetName val="K_固定资产2"/>
      <sheetName val="K_固定资产清理2"/>
      <sheetName val="L_一年内到期的长期债权投资2"/>
      <sheetName val="L_无形2"/>
      <sheetName val="L_长期待摊2"/>
      <sheetName val="L_其他长期资产2"/>
      <sheetName val="M_短借2"/>
      <sheetName val="N_应付票据2"/>
      <sheetName val="P_预收账款&amp;其他应付款&amp;应付职工薪酬&amp;预提费用&amp;其他应交款2"/>
      <sheetName val="U_其他业务收支&amp;营业外收支&amp;补贴收入&amp;利息收入2"/>
      <sheetName val="U_所得税2"/>
      <sheetName val="O_递延税资产2"/>
      <sheetName val="O_递延税负债2"/>
      <sheetName val="O_应交税费2"/>
      <sheetName val="U_税金及附加2"/>
      <sheetName val="P_应付股利2"/>
      <sheetName val="P_HK其他应付2"/>
      <sheetName val="P_应付利息2"/>
      <sheetName val="P_其他应付款2"/>
      <sheetName val="P_其他流动负债2"/>
      <sheetName val="P_应付职工薪酬2"/>
      <sheetName val="P_预计负债2"/>
      <sheetName val="Q_应付债券2"/>
      <sheetName val="Q_可转债2"/>
      <sheetName val="Q_政府补助2"/>
      <sheetName val="Q_一年内到期负债2"/>
      <sheetName val="Q_应付融资租赁款2"/>
      <sheetName val="Q_长借2"/>
      <sheetName val="Q_长期应付2"/>
      <sheetName val="Q_其他长期负债2"/>
      <sheetName val="Q_专项应付2"/>
      <sheetName val="T_股本2"/>
      <sheetName val="T_资本公积2"/>
      <sheetName val="T_折算差额2"/>
      <sheetName val="T_未分配利润2"/>
      <sheetName val="T_盈余公积2"/>
      <sheetName val="U_主营业务2"/>
      <sheetName val="U_财务费用2"/>
      <sheetName val="U_投资收益&amp;公允价值变动收益2"/>
      <sheetName val="U_管理费用&amp;资产减值损失2"/>
      <sheetName val="U_成本倒轧表&amp;制造费用2"/>
      <sheetName val="U_销售费用2"/>
      <sheetName val="U_分占下属损益2"/>
      <sheetName val="NEWSPRINT_&amp;_UGW2"/>
      <sheetName val="WACC_Analysis_Output2"/>
      <sheetName val="Management_Projections2"/>
      <sheetName val="Inventories_Analysis2"/>
      <sheetName val="ALL_DATA2"/>
      <sheetName val="FF-2_(1)2"/>
      <sheetName val="M5_M6_Summary2"/>
      <sheetName val="Sheet1_(3)2"/>
      <sheetName val="06_12"/>
      <sheetName val="6126_07披露表(国资)2"/>
      <sheetName val="附件10_东莞百宏-待摊费用20192"/>
      <sheetName val="附件6_东莞百宏-其他应收款20192"/>
      <sheetName val="附件8_东莞百宏-预收账款20192"/>
      <sheetName val="PP&amp;E_&amp;_Intangibles2"/>
      <sheetName val="Cover_--&gt;2"/>
      <sheetName val="Comps_input2"/>
      <sheetName val="MT_by_Dept_管理报表费用分类2"/>
      <sheetName val="Volatility_raw2"/>
      <sheetName val="Welfare_PIT2"/>
      <sheetName val="sales_vol_2"/>
      <sheetName val="Occupancy_20042"/>
      <sheetName val="A_|_INPUT_Filler2"/>
      <sheetName val="Fitments_Abs_Ums2"/>
      <sheetName val="Datenbank_Fillers2"/>
      <sheetName val="SFC_fcst2"/>
      <sheetName val="Fcst_20172"/>
      <sheetName val="FA_ad09-122"/>
      <sheetName val="Calibration_to_Swaptions2"/>
      <sheetName val="Swaption_Data2"/>
      <sheetName val="A3_试算表Financial_statement2"/>
      <sheetName val="K_固定资产&amp;投资性房地产2"/>
      <sheetName val="G_其他应收款2"/>
      <sheetName val="01_T2"/>
      <sheetName val="03_2"/>
      <sheetName val="by_category2"/>
      <sheetName val="Account_Map2"/>
      <sheetName val="AP_Recap2"/>
      <sheetName val="Month_82"/>
      <sheetName val="附件25_2-销售收入2"/>
      <sheetName val="Aging_Analysis2"/>
      <sheetName val="Review_pts2"/>
      <sheetName val="Q_CF-E012"/>
      <sheetName val="For_Report2"/>
      <sheetName val="Sales_Data2"/>
      <sheetName val="OE_AC#411112"/>
      <sheetName val="资金使用假设_(可转债按账面拆分为股权与债权)2"/>
      <sheetName val="BS_data2"/>
      <sheetName val="A3_&amp;_U_09-012"/>
      <sheetName val="Elim_Seg_LM2"/>
      <sheetName val="Elim_Seg_BM2"/>
      <sheetName val="2012-2016_Grp_Res_Bdgt2"/>
      <sheetName val="Annex_B2"/>
      <sheetName val="Sch0-_Tax_Recon2"/>
      <sheetName val="Balance_sheet_for_August2"/>
      <sheetName val="Income_statement_for_August2"/>
      <sheetName val="Lists_(Hide)2"/>
      <sheetName val="GGP_Expenses2"/>
      <sheetName val="Client_Data2"/>
      <sheetName val="Data_Arrangement2"/>
      <sheetName val="1__Data_Entry_Sales,_Carline2"/>
      <sheetName val="Acct_220102"/>
      <sheetName val="P&amp;L_PP2"/>
      <sheetName val="Share_Px2"/>
      <sheetName val="Sept_BF2"/>
      <sheetName val="Anlage_3b,_Attachment_3b2"/>
      <sheetName val="Ant_Buss12"/>
      <sheetName val="Ant_Buss22"/>
      <sheetName val="Ant_ZSK2"/>
      <sheetName val="Historical_prices(D)2"/>
      <sheetName val="Historical_prices(M)2"/>
      <sheetName val="Historical_prices(W)2"/>
      <sheetName val="Exp__Summary2"/>
      <sheetName val="Tally_TB_June2"/>
      <sheetName val="2007_12折旧差异2"/>
      <sheetName val="Fee_Rate_Summary2"/>
      <sheetName val="FA__00122"/>
      <sheetName val="CTV_PL2"/>
      <sheetName val="Phase_I2"/>
      <sheetName val="sales1-subsi_2"/>
      <sheetName val="sales2-subsi_2"/>
      <sheetName val="G_1R-Shou_COP_Gf2"/>
      <sheetName val="Loc_Master2"/>
      <sheetName val="New_investment2"/>
      <sheetName val="BANK_ac_no,2"/>
      <sheetName val="001Disclosure_Summary2"/>
      <sheetName val="L1-1_Ageing_analysis2"/>
      <sheetName val="Co_Des_BBXL2"/>
      <sheetName val="J-cycle_count092"/>
      <sheetName val="Total_Coach2"/>
      <sheetName val="Sale_breakdown2"/>
      <sheetName val="zhongshan_2"/>
      <sheetName val="2016~2018_8凭证库加工2"/>
      <sheetName val="SIZE_&amp;_VALUE2"/>
      <sheetName val="Vorbereitende_Eingaben_(Teil_12"/>
      <sheetName val="Scrap_Bridge_Ytd2"/>
      <sheetName val="MCS_P&amp;L_By_Sub__USD2"/>
      <sheetName val="tax_payable2"/>
      <sheetName val="Details_of_ledger_2"/>
      <sheetName val="Management_report_vs_ledger2"/>
      <sheetName val="7378_StockBalance2"/>
      <sheetName val="Base_基础2"/>
      <sheetName val="Sign_Off_Form2"/>
      <sheetName val="LBO_Valuation_Analysis2"/>
      <sheetName val="Sheet1_(2)2"/>
      <sheetName val="Spin_12"/>
      <sheetName val="Sec_Equity2"/>
      <sheetName val="GRAPH_&amp;_SOURCE_DATA2"/>
      <sheetName val="LBO_Assumptions2"/>
      <sheetName val="Drop_List_References2"/>
      <sheetName val="Instructions_(2)2"/>
      <sheetName val="Personal_property_HZ2"/>
      <sheetName val="CY_BS2"/>
      <sheetName val="FAL_as_of_7_31_062"/>
      <sheetName val="Phase2_movementDEC2"/>
      <sheetName val="Phase1f_a_DEC2"/>
      <sheetName val="Phase2_f_a_DEC_(2)2"/>
      <sheetName val="Table_-_Current_Year2"/>
      <sheetName val="Accrued_Expenses2"/>
      <sheetName val="Value_summary2"/>
      <sheetName val="CAB22_存放同业款项_2"/>
      <sheetName val="Q1_2"/>
      <sheetName val="loan_database2"/>
      <sheetName val="SAP_01-12-312"/>
      <sheetName val="Interco_Sales2"/>
      <sheetName val="Net_Bookings2"/>
      <sheetName val="Net_Sales_&amp;_Cost_of_Sales2"/>
      <sheetName val="Service_Year2"/>
      <sheetName val="PBC_-_PHS2"/>
      <sheetName val="1_Eckdaten_in_LW2"/>
      <sheetName val="Calc_&amp;_Export2"/>
      <sheetName val="Carryover_20042"/>
      <sheetName val="AOP_Exec_Summary2"/>
      <sheetName val="U102-U104_Detail2"/>
      <sheetName val="Mach_&amp;_equip2"/>
      <sheetName val="Revenue_&amp;_Expenses2"/>
      <sheetName val="PRC_132"/>
      <sheetName val="suivi_cash_flow_par_affaire2"/>
      <sheetName val="AR_movement2"/>
      <sheetName val="intbutot_wksheet_current2"/>
      <sheetName val="Understand_the_client2"/>
      <sheetName val="2_2_付款及计提明细2"/>
      <sheetName val="1_汇总统计2"/>
      <sheetName val="LTM_Volume2"/>
      <sheetName val="Bank_Table2"/>
      <sheetName val="1_LeadSchedule2"/>
      <sheetName val="3_Analysis2"/>
      <sheetName val="OCT_BANK2"/>
      <sheetName val="GM_Trend2"/>
      <sheetName val="GM%_Trend2"/>
      <sheetName val="Linearity_Chart2"/>
      <sheetName val="NP_Trend2"/>
      <sheetName val="Rev_Trend2"/>
      <sheetName val="Rev-GM_Detail_12"/>
      <sheetName val="Rev-GM_Detail_22"/>
      <sheetName val="Rev_Mix_Trend2"/>
      <sheetName val="SUMMARY_(EXPD)2"/>
      <sheetName val="SUMMARY_(%)2"/>
      <sheetName val="QTD_TO_GO2"/>
      <sheetName val="h1h2_model2"/>
      <sheetName val="3_４Ｒ損益2"/>
      <sheetName val="Fixed_Assets2"/>
      <sheetName val="Table_Rates2"/>
      <sheetName val="GG&amp;P_Yield2"/>
      <sheetName val="PBY_Adj2"/>
      <sheetName val="12_APaging附表2"/>
      <sheetName val="Raw_Mtl_Prep2"/>
      <sheetName val="HISTORY_2"/>
      <sheetName val="MN_T_B_1"/>
      <sheetName val="Cash_bal_Mar1"/>
      <sheetName val="Com_Trial_Bal1"/>
      <sheetName val="EXCHANGE_RATE_PROFIT_AND_LOSS1"/>
      <sheetName val="Sensitivity_analysis1"/>
      <sheetName val="EFF_&amp;_HRS1"/>
      <sheetName val="OrgEstSum(not_used)1"/>
      <sheetName val="应收楼款账龄分析清单_1"/>
      <sheetName val="8_adminexp_by_nature1"/>
      <sheetName val="Depts_LOOKUP1"/>
      <sheetName val="Elim_(novated)_-#H1"/>
      <sheetName val="Assumptions_&amp;_Returns1"/>
      <sheetName val="所得税测算表_(2)1"/>
      <sheetName val="Labor_cost1"/>
      <sheetName val="By_Client_-_NPL_Purchase1"/>
      <sheetName val="2_科目体系费用汇总表1"/>
      <sheetName val="1_组织架构1"/>
      <sheetName val="7_-_ORDER_ENTRIES1"/>
      <sheetName val="8_-_BACKLOG1"/>
      <sheetName val="9_-_SALES_BY_ENTITY1"/>
      <sheetName val="10_-_SALES_BY_BA-SUMMARY1"/>
      <sheetName val="11_-_SALES_BY_BA-FC1"/>
      <sheetName val="12_-_SALES_BY_BA-CB1"/>
      <sheetName val="13_-_SALES_BY_BA-FM1"/>
      <sheetName val="14_-_BSA1"/>
      <sheetName val="19_-_BIN1"/>
      <sheetName val="-&gt;_EDV_Budget1"/>
      <sheetName val="应收帐款_AR_1"/>
      <sheetName val="0_091"/>
      <sheetName val="SERV__COMEDOR1"/>
      <sheetName val="Stock_Chart1"/>
      <sheetName val="Note16-1_(2)1"/>
      <sheetName val="Note17-1_1"/>
      <sheetName val="Note3_0-21"/>
      <sheetName val="Note3_0-11"/>
      <sheetName val="Note3_1-11"/>
      <sheetName val="Note3_1-21"/>
      <sheetName val="Note3_1-31"/>
      <sheetName val="Note3_1-51"/>
      <sheetName val="Note3_3-1_1"/>
      <sheetName val="Note3_3-21"/>
      <sheetName val="Note3_3-31"/>
      <sheetName val="Note3_3-41"/>
      <sheetName val="Note3_3-51"/>
      <sheetName val="Note_371"/>
      <sheetName val="Ag_Sector_P&amp;L_01F1"/>
      <sheetName val="1_预设值1"/>
      <sheetName val="BS_Assets1"/>
      <sheetName val="Summary_Financials1"/>
      <sheetName val="SH-3rd_party1"/>
      <sheetName val="Fidelity_Option1"/>
      <sheetName val="PAY_REGISTER~Input_Values1"/>
      <sheetName val="CD_FMA1"/>
      <sheetName val="OR_Breakdown1"/>
      <sheetName val="MP2006_data1"/>
      <sheetName val="5_Analysis1"/>
      <sheetName val="Company_Info1"/>
      <sheetName val="Pivot_Aug'011"/>
      <sheetName val="Aladdin_Macro11"/>
      <sheetName val="Basic_Information1"/>
      <sheetName val="Bank_Debt1"/>
      <sheetName val="FA_lead1"/>
      <sheetName val="3__Other_gains1"/>
      <sheetName val="US_Bal_Sheet1"/>
      <sheetName val="Deal_CF1"/>
      <sheetName val="zValidations-DO_NOT_TOUCH1"/>
      <sheetName val="勿动_选项列表1"/>
      <sheetName val="97_Mnthly_Splits_Caps1"/>
      <sheetName val="V_-_Income1"/>
      <sheetName val="By_client1"/>
      <sheetName val="By_nature1"/>
      <sheetName val="8_311"/>
      <sheetName val="Interim_--&gt;_Top1"/>
      <sheetName val="M_MM1"/>
      <sheetName val="Tailored_procedures1"/>
      <sheetName val="1_2持有参数1"/>
      <sheetName val="1_1销售参数1"/>
      <sheetName val="2_2规划方案1"/>
      <sheetName val="4_1持有输入1"/>
      <sheetName val="3_2销售去化1"/>
      <sheetName val="11__equity1"/>
      <sheetName val="7_taxes_payable_&amp;_9_income_tax1"/>
      <sheetName val="2__sales_and_cost_of_sales1"/>
      <sheetName val="CJE_Building_Prod1"/>
      <sheetName val="CJE_VSC_ENERGY_DEV1"/>
      <sheetName val="CJE_VSC_HOLDINGS1"/>
      <sheetName val="CJE_VSC_BVI1"/>
      <sheetName val="CJE_VSC_FE1"/>
      <sheetName val="P&amp;L_Mth_021"/>
      <sheetName val="管理费用_1"/>
      <sheetName val="J_工程物资1"/>
      <sheetName val="K_生物资产1"/>
      <sheetName val="L_开发支出1"/>
      <sheetName val="L_一年内到期长期资产1"/>
      <sheetName val="L_长期应收1"/>
      <sheetName val="L_HK单列无形1"/>
      <sheetName val="M_衍生金融负债1"/>
      <sheetName val="M_交易性金融负债1"/>
      <sheetName val="M_带息借款-流动1"/>
      <sheetName val="M_无息借款-流动1"/>
      <sheetName val="M_其他金融负债1"/>
      <sheetName val="N_应付贸易款及票据1"/>
      <sheetName val="O_应交所得税1"/>
      <sheetName val="Q_递延收益1"/>
      <sheetName val="Q_带息借款-非流动1"/>
      <sheetName val="Q_无息借款-非流动1"/>
      <sheetName val="T_少数股东1"/>
      <sheetName val="U_财务成本1"/>
      <sheetName val="U_财务收入1"/>
      <sheetName val="U_公允价值变动收益1"/>
      <sheetName val="U_资产减值损失1"/>
      <sheetName val="U_其他费用1"/>
      <sheetName val="U_其他收入1"/>
      <sheetName val="2000_Cal1"/>
      <sheetName val="企业邮局_(2)1"/>
      <sheetName val="Derrames_la1"/>
      <sheetName val="FZ5_ITE测算表1"/>
      <sheetName val="FZ5_DITE测算表1"/>
      <sheetName val="3_1_应收账款1"/>
      <sheetName val="_U140-SalesTOT1"/>
      <sheetName val="Country_Risk1"/>
      <sheetName val="BL_Multiples1"/>
      <sheetName val="3690_HK_Annotation_Sheet1"/>
      <sheetName val="3690_HK_Exchange_Sheet1"/>
      <sheetName val="3690_HK_Live_Sheet1"/>
      <sheetName val="3690_HK_Validation_Sheet1"/>
      <sheetName val="301_RTI1"/>
      <sheetName val="2007_04_KE5Z_detail1"/>
      <sheetName val="5_6_回拨运营收入1"/>
      <sheetName val="May_071"/>
      <sheetName val="AP_RMB1"/>
      <sheetName val="Details_listing_per_department1"/>
      <sheetName val="Data_Input1"/>
      <sheetName val="sales_by_product1"/>
      <sheetName val="M1_1_Cash_at_Bank1"/>
      <sheetName val="M1__Lead_sheet1"/>
      <sheetName val="M1_2_Time_Deposit1"/>
      <sheetName val="variable_11"/>
      <sheetName val="Theoretical_Sales_comparison1"/>
      <sheetName val="2009_3KE5Z_detail1"/>
      <sheetName val="게이트_지연시간_설정_21"/>
      <sheetName val="p_&amp;_lx1"/>
      <sheetName val="E-Client_Information1"/>
      <sheetName val="M3_M4_(2)1"/>
      <sheetName val="M3_M41"/>
      <sheetName val="EE_BOM"/>
      <sheetName val="Change_Log"/>
      <sheetName val="Cost_&amp;_Expenses"/>
      <sheetName val="Working_Cap"/>
      <sheetName val="Global_Epi_Inputs"/>
      <sheetName val="__ACTadj__"/>
      <sheetName val="__ACTvol__"/>
      <sheetName val="BS_表"/>
      <sheetName val="Hidden_Lists"/>
      <sheetName val="Data_Credit_Losses1"/>
      <sheetName val="Data_Equity_II1"/>
      <sheetName val="Data_Equity_I1"/>
      <sheetName val="Data_FL_Maturity1"/>
      <sheetName val="Data_PaL1"/>
      <sheetName val="Positionsplan_englisch1"/>
      <sheetName val="Data_Line_of_Credit1"/>
      <sheetName val="Data_Balance_Sheet1"/>
      <sheetName val="现_金_流_量_表"/>
      <sheetName val="EBITDA_Cause_of_Change"/>
      <sheetName val="Margin_Cause_of_Change_by_Cat"/>
      <sheetName val="Work_Centers"/>
      <sheetName val="Riepilogo_linee-direz_BUD"/>
      <sheetName val="STD__COST"/>
      <sheetName val="Depreciation__schedule"/>
      <sheetName val="BI_RATE"/>
      <sheetName val="K-0_PPE_Overview_PSP_OSP"/>
      <sheetName val="+++_Help_+++"/>
      <sheetName val="Based_Data_wacc"/>
      <sheetName val="GroƲƲt_Output_(100%)"/>
      <sheetName val="Revenue_&amp;_Cost"/>
      <sheetName val="Other_Income_and_other_expenses"/>
      <sheetName val="Value_1"/>
      <sheetName val="Page_1"/>
      <sheetName val="Page_2"/>
      <sheetName val="dongia_(2)"/>
      <sheetName val="THPDMoi__(2)"/>
      <sheetName val="DON_GIA"/>
      <sheetName val="t-h_HA_THE"/>
      <sheetName val="CHITIET_VL-NC-TT_-1p"/>
      <sheetName val="TONG_HOP_VL-NC_TT"/>
      <sheetName val="TH_XL"/>
      <sheetName val="TONGKE3p_"/>
      <sheetName val="CHITIET_VL-NC"/>
      <sheetName val="CHITIET_VL-NC-TT-3p"/>
      <sheetName val="KPVC-BD_"/>
      <sheetName val="1_1牛奶--原奶和产品指标统计表"/>
      <sheetName val="202204_ACT"/>
      <sheetName val="Sheet1_(11)"/>
      <sheetName val="Contribution_Analysis_New"/>
      <sheetName val="附表32_-_无形资产明细表"/>
      <sheetName val="II-3_매출입금채권계획"/>
      <sheetName val="Input_1_Main"/>
      <sheetName val="Input_2_NAV"/>
      <sheetName val="model_by_field"/>
      <sheetName val="Summary_model"/>
      <sheetName val="Block_A"/>
      <sheetName val="Crude_oil"/>
      <sheetName val="Floating_leg"/>
      <sheetName val="Fixed_Leg_Curve"/>
      <sheetName val="Floating_Leg_Curve"/>
      <sheetName val="Swap_summary"/>
      <sheetName val="G4-2_应付账款明细-常熟"/>
      <sheetName val="North_America_AR"/>
      <sheetName val="Item_Info_"/>
      <sheetName val="Chart_of_Accounts"/>
      <sheetName val="Stock_Analysis"/>
      <sheetName val="company_operations"/>
      <sheetName val="Slides_1-3"/>
      <sheetName val="Sources_&amp;_Uses"/>
      <sheetName val="F4110-Inventory_List"/>
      <sheetName val="Confirm_form"/>
      <sheetName val="Contact_info"/>
      <sheetName val="Summary_Fins_Output1"/>
      <sheetName val="Football_Field1"/>
      <sheetName val="BS_Birow"/>
      <sheetName val="2006_NOPAT"/>
      <sheetName val="Prior_&amp;_Plan_Capital"/>
      <sheetName val="Prior_&amp;_Plan_NOPAT"/>
      <sheetName val="2006_Capital"/>
      <sheetName val="Liste_sociétés"/>
      <sheetName val="AR_NET后"/>
      <sheetName val="B5_SUAD"/>
      <sheetName val="Input_Tab"/>
      <sheetName val="DN_&amp;IN"/>
      <sheetName val="AFA_O_A_B"/>
      <sheetName val="Cust_List"/>
      <sheetName val="7a_Other_Inc_Exp"/>
      <sheetName val="客戶清單customer_list"/>
      <sheetName val="_Kostenstruktur_Fab_"/>
      <sheetName val="17__Non_consolidated_stock"/>
      <sheetName val="General_Data"/>
      <sheetName val="14__Fixed_assets"/>
      <sheetName val="13__Intangible_assets"/>
      <sheetName val="L3-1_AR_ageing_list"/>
      <sheetName val="Global_Assumptions"/>
      <sheetName val="DEFLEET_APR-05"/>
      <sheetName val="MPL_技連"/>
      <sheetName val="342E_BLOCK"/>
      <sheetName val="其他业务收支_杨"/>
      <sheetName val="CIP&lt;1&gt;_杨"/>
      <sheetName val="EBITDA_Charts"/>
      <sheetName val="DC_A_VS_B"/>
      <sheetName val="Depreciation_PIT"/>
      <sheetName val="Exp_Structure_by_Project"/>
      <sheetName val="Exp_Structure_by_BU"/>
      <sheetName val="B1_-_HC_Forecast"/>
      <sheetName val="Q1_销售人力成本_-_实际"/>
      <sheetName val="成本中心Mapping_1-7月"/>
      <sheetName val="download_from_LIVE"/>
      <sheetName val="Index_&amp;_SignOff"/>
      <sheetName val="GVCT_&amp;_FOH_BS"/>
      <sheetName val="Payroll_(E-5)"/>
      <sheetName val="Apportionment_Summary"/>
      <sheetName val="PPE_-_Summary"/>
      <sheetName val="Sales_Summary"/>
      <sheetName val="A1_-_Income_Statement"/>
      <sheetName val="Currency_Codes"/>
      <sheetName val="Variance_threshold"/>
      <sheetName val="Feb04_VAT_(AL-3)"/>
      <sheetName val="US$_TRIAL_BALANCE_BY_MONTH"/>
      <sheetName val="Deferred_Tax"/>
      <sheetName val="P12_TB_SZ"/>
      <sheetName val="P&amp;L_-_BS_mapping_table"/>
      <sheetName val="POINTAGE_(2)"/>
      <sheetName val="Consol_worksheet-Final"/>
      <sheetName val="Pick_Lists"/>
      <sheetName val="sheet_1"/>
      <sheetName val="Table_0703"/>
      <sheetName val="COATED_PUBLICATION"/>
      <sheetName val="Seg_P&amp;L"/>
      <sheetName val="DEF_REV"/>
      <sheetName val="Oct_Starts_Plan"/>
      <sheetName val="3级明细余额表_dbf"/>
      <sheetName val="Extent_of_Tests"/>
      <sheetName val="Sample_Planning"/>
      <sheetName val="Sample_Tables"/>
      <sheetName val="Prices_P11_and_P12_(PAG)_(2)"/>
      <sheetName val="各门店17_5费用明细"/>
      <sheetName val="各门店17_5收入利润"/>
      <sheetName val="2017_6门店费用"/>
      <sheetName val="2017_6门店开业时间汇总"/>
      <sheetName val="4_门店信息汇总Output(运营版本）"/>
      <sheetName val="2017_6门店收入利润"/>
      <sheetName val="30_09_2017"/>
      <sheetName val="Rental_Exp_Adj"/>
      <sheetName val="Adjustment_Summary"/>
      <sheetName val="SA_Procedures"/>
      <sheetName val="Landed_Costs"/>
      <sheetName val="Detailed_Profit_and_Loss"/>
      <sheetName val="1999_Revenue_Forecast"/>
      <sheetName val="NON_OP_I&amp;E_JV1"/>
      <sheetName val="CON_MR2K_AL_ck"/>
      <sheetName val="INPUT_ICO_balances"/>
      <sheetName val="INPUT_ICO_balances_currency"/>
      <sheetName val="00_FG_breakdown"/>
      <sheetName val="01_FG_breakdown"/>
      <sheetName val="99_FG_breakdown"/>
      <sheetName val="Welfare_SAR"/>
      <sheetName val="DDETABLE_"/>
      <sheetName val="PSR_DATA"/>
      <sheetName val="Revenue_by_Customer&amp;Brand"/>
      <sheetName val="POTO_MAC"/>
      <sheetName val="Control_Page"/>
      <sheetName val="For_SRM_COS"/>
      <sheetName val="通玻"/>
      <sheetName val="11待摊费用"/>
      <sheetName val="维护"/>
      <sheetName val="工商R"/>
      <sheetName val="20应交税金"/>
      <sheetName val="Prefinal-LT Prepaid "/>
      <sheetName val="17应付票据明细表"/>
      <sheetName val="Gest_List"/>
      <sheetName val="Sheet1492"/>
      <sheetName val="OI-Fcst"/>
      <sheetName val="F920_MRB"/>
      <sheetName val="ContributionExhibition"/>
      <sheetName val="Sheet504"/>
      <sheetName val="Revenue streams"/>
      <sheetName val="FixedAsset List_US Vs PRC GAAP"/>
      <sheetName val="预付账款Dy"/>
      <sheetName val="System"/>
      <sheetName val="Produkt-Entscheidungsrechnung"/>
      <sheetName val="A股vsH股"/>
      <sheetName val="经销商"/>
      <sheetName val="辽宁三生库存商品总帐2005_3_1_3a"/>
      <sheetName val="Data_Dump_2004_2007Q1"/>
      <sheetName val="1601_Detail_information"/>
      <sheetName val="Eur-Azeo_Report"/>
      <sheetName val="Source_Tables"/>
      <sheetName val="Liability_Inputs"/>
      <sheetName val="Scratch_Pad2"/>
      <sheetName val="CIP_additions"/>
      <sheetName val="IP_breakdown"/>
      <sheetName val="$TB_1"/>
      <sheetName val="固定资产增减表#0_00__"/>
      <sheetName val="GB2001FOB"/>
      <sheetName val="链接"/>
      <sheetName val="Rev per Sub"/>
      <sheetName val=" Advance to supplier0812"/>
      <sheetName val="Aug01_Status_Rpt"/>
      <sheetName val="Input_Area"/>
      <sheetName val="To_tied_2001_opening_RE"/>
      <sheetName val="Sheet549"/>
      <sheetName val="关联交易-存款_x005f_x0000__x005f_x0000_2016"/>
      <sheetName val="关联交易-存款0_x005f_x0000_2016"/>
      <sheetName val="关联交易-存款l_x005f_x0000_2016"/>
      <sheetName val="关联交易-存款lঀ;ঀ;_x005f_x005f_x005f_x005f_x005f_x005f_"/>
      <sheetName val="关联交易-存款l઀Ƽ઀Ƽ_x005f_x005f_x005f_x005f_x005f_x005f_"/>
      <sheetName val="삅ོ䚋栠Ѫ_x005f_x005f_x005f_x005f_x005f_x005f_x005f_x005f_x"/>
      <sheetName val="关联交易-存款__x005f_x005f_x005f_x0000__x005f_x005f_x00"/>
      <sheetName val="关联交易-存款_x005f_x005f_x005f_x0000__x005f_x005f_x00"/>
      <sheetName val="关联交易-存款lঀ;ঀ;_x005f_x005f_x005f_x005f_"/>
      <sheetName val="关联交易-存款l઀Ƽ઀Ƽ_x005f_x005f_x005f_x005f_"/>
      <sheetName val="销售结构"/>
      <sheetName val="二级下拉菜单"/>
      <sheetName val="实体参数表"/>
      <sheetName val="合并底稿全表"/>
      <sheetName val="规划指标"/>
      <sheetName val="Sheet575"/>
      <sheetName val="价格策略"/>
      <sheetName val="Breadown-Tham khao"/>
      <sheetName val="FS item Listing"/>
      <sheetName val="2003 Lifetable"/>
      <sheetName val="Feb03 "/>
      <sheetName val="wdr bldg"/>
      <sheetName val="Graph 1"/>
      <sheetName val="Sheet689"/>
      <sheetName val="Sheet674"/>
      <sheetName val="Cap Ex actual &amp; forecasted"/>
      <sheetName val="0000"/>
      <sheetName val="Sheet3422"/>
      <sheetName val="1102 (2)"/>
      <sheetName val="McLean"/>
      <sheetName val="B28(old_version)"/>
      <sheetName val="S_Amer"/>
      <sheetName val="W_Eur"/>
      <sheetName val="C_Amer"/>
      <sheetName val="E_Eur"/>
      <sheetName val="E_Asia"/>
      <sheetName val="Exchange_Rate_&amp;_Costs"/>
      <sheetName val="Select_month"/>
      <sheetName val="Key Stats"/>
      <sheetName val="Earn by Month"/>
      <sheetName val="State of Earn"/>
      <sheetName val="SAL-2000"/>
      <sheetName val="before"/>
      <sheetName val="Sheet1014"/>
      <sheetName val="603店"/>
      <sheetName val="Sheet824"/>
      <sheetName val="Sheet5101"/>
      <sheetName val="Sheet5102"/>
      <sheetName val="LEGEND"/>
      <sheetName val="总概算表"/>
      <sheetName val="贷方"/>
      <sheetName val="Sheet2706"/>
      <sheetName val="Sheet2816"/>
      <sheetName val="Sheet2818"/>
      <sheetName val="Sheet2819"/>
      <sheetName val="Sheet2820"/>
      <sheetName val="Sheet2821"/>
      <sheetName val="Sheet2822"/>
      <sheetName val="Sheet2823"/>
      <sheetName val="Sheet2824"/>
      <sheetName val="Sheet2825"/>
      <sheetName val="R05"/>
      <sheetName val="OtherKPI"/>
      <sheetName val="CLD"/>
      <sheetName val="底稿（合并明细数据透视源）"/>
      <sheetName val="底稿（母公司明细数据源）"/>
      <sheetName val="合并TB"/>
      <sheetName val="Sheet1489"/>
      <sheetName val="Sheet617"/>
      <sheetName val="Sheet1504"/>
      <sheetName val="Sheet2885"/>
      <sheetName val="Sheet2730"/>
      <sheetName val="Sheet2732"/>
      <sheetName val="Sheet2886"/>
      <sheetName val="Sheet2731"/>
      <sheetName val="Sheet2887"/>
      <sheetName val="投资差额"/>
      <sheetName val="安吉汽车2016审计调整汇总"/>
      <sheetName val="fluxo de caixa"/>
      <sheetName val="RF-G7"/>
      <sheetName val=" g300"/>
      <sheetName val="GRSSBAR6"/>
      <sheetName val="TWC"/>
      <sheetName val="JE"/>
      <sheetName val="UFPrn20031111164207"/>
      <sheetName val="OAR_PL"/>
      <sheetName val="Sheet4092"/>
      <sheetName val="应收票据Dy"/>
      <sheetName val="KSB1"/>
      <sheetName val="Chiet tinh dz35"/>
      <sheetName val="Mp-team 1"/>
      <sheetName val="calendar"/>
      <sheetName val="引用区域"/>
      <sheetName val="2171_FYbk"/>
      <sheetName val="2171-BK"/>
      <sheetName val="Sheet576"/>
      <sheetName val="工程量2"/>
      <sheetName val="07应付工资"/>
      <sheetName val="调查分析表"/>
      <sheetName val="固定资产折旧表"/>
      <sheetName val="Sheet544"/>
      <sheetName val="预算构成"/>
      <sheetName val="要素表"/>
      <sheetName val="Sheet594"/>
      <sheetName val="Sheet595"/>
      <sheetName val="应付票据1NotesPayable1"/>
      <sheetName val="ICP主营业务成本ICP_CoreExpense"/>
      <sheetName val="ICP其他业务成本ICP_OtherExpense"/>
      <sheetName val="ICP主营业务收入ICP CoreRevenue"/>
      <sheetName val="ICP递延收益ICP DeferredIncome"/>
      <sheetName val="ICP股利分配ICP DevidendDeclared"/>
      <sheetName val="固定资产FixedAssets"/>
      <sheetName val="ICP现金流量表ICP_CF"/>
      <sheetName val="ICP长期借款ICPLongtermBorrowings"/>
      <sheetName val="ICP其他应收款ICP_OtherReceivables"/>
      <sheetName val="ICP投资收益ICP InvestmentIncome"/>
      <sheetName val="ICP应付利息ICP InterestPayable"/>
      <sheetName val="ICP应收利息ICP_InterestReceivable"/>
      <sheetName val="ICP长期应付款ICP LongtermPayable"/>
      <sheetName val="ICP长期应收款ICPLongtermReceivables"/>
      <sheetName val="短期借款ShorttermLoans"/>
      <sheetName val="ICP其他流动资产ICP_OtherCurrentAssets"/>
      <sheetName val="ICP其他流动负债ICP OtherCurrentLiab"/>
      <sheetName val="ICP其他非流动资产ICPOtherNoncurAsets"/>
      <sheetName val="ICP其他非流动负债ICPOtherNoncurrLiab"/>
      <sheetName val="ICP其他业务收入ICP OtherRevenue"/>
      <sheetName val="ICP预付款项ICP_Prepayment"/>
      <sheetName val="ICP短期借款ICP ShorttermLoans"/>
      <sheetName val="试算BS"/>
      <sheetName val="试算PL"/>
      <sheetName val="Transition Pricing"/>
      <sheetName val="Sheet666"/>
      <sheetName val="OTHFA-1"/>
      <sheetName val="Face Total Control"/>
      <sheetName val="剥离前"/>
      <sheetName val="Overhead"/>
      <sheetName val="KLT 330 ASOF"/>
      <sheetName val="SBU KF Monthly"/>
      <sheetName val="P+L value"/>
      <sheetName val="BJ Debt Summary"/>
      <sheetName val="C.现金"/>
      <sheetName val="D.交易性金融资产"/>
      <sheetName val="G.预付"/>
      <sheetName val="P.预收"/>
      <sheetName val="T.专项储备"/>
      <sheetName val="U.管理费用"/>
      <sheetName val="U.投资收益"/>
      <sheetName val="U.营业外"/>
      <sheetName val="U.其他业务"/>
      <sheetName val="关联交易-存款hࢀ_ࢀ_5"/>
      <sheetName val="DEC_Bank"/>
      <sheetName val="Worksheet_______(PASS_WORD_650)"/>
      <sheetName val="Share_price_data"/>
      <sheetName val="Invoiced_as_at_Nov-02"/>
      <sheetName val="VS_07_08"/>
      <sheetName val="FORECAST_2006"/>
      <sheetName val="General_1st_Qtr_Spend"/>
      <sheetName val="Indian_Steel"/>
      <sheetName val="Indian_Metals"/>
      <sheetName val="Bauxite_&amp;_Alumina"/>
      <sheetName val="Asian_Ferro_Alloys"/>
      <sheetName val="IM_Congress"/>
      <sheetName val="Latin_American_Steel"/>
      <sheetName val="General_2nd_Qtr_Spend"/>
      <sheetName val="Far_East_Steel"/>
      <sheetName val="Chinese_Iron_Ore"/>
      <sheetName val="Asian_Stainless_Steel"/>
      <sheetName val="Steel_Tube_&amp;_Pipe"/>
      <sheetName val="Russian_Steel"/>
      <sheetName val="International_Iron_Ore"/>
      <sheetName val="FFC_Expo"/>
      <sheetName val="General_3rd_Qtr_Spend"/>
      <sheetName val="International_Aluminium"/>
      <sheetName val="General_4th_Qtr_Spend"/>
      <sheetName val="Central_&amp;_East_European_Steel"/>
      <sheetName val="Asian_Tinplate"/>
      <sheetName val="IM_Forum_&amp;_Dinner"/>
      <sheetName val="International_Ferro_Alloys"/>
      <sheetName val="Chinese_Aluminium"/>
      <sheetName val="Chinese_Copper"/>
      <sheetName val="Secondary_Aluminium"/>
      <sheetName val="Middle_East_Steel"/>
      <sheetName val="Steel_Success_Strategies"/>
      <sheetName val="BP_2001_rates"/>
      <sheetName val="Cost_File"/>
      <sheetName val="adj_"/>
      <sheetName val="US_Peers"/>
      <sheetName val="CAN_Peers"/>
      <sheetName val="Macro_1"/>
      <sheetName val="Technology_ID"/>
      <sheetName val="其他应付款科目余额2005_12_31"/>
      <sheetName val="OP_Assets"/>
      <sheetName val="REITs_&amp;_S&amp;P"/>
      <sheetName val="Fixed_Asset"/>
      <sheetName val="Smoke_Det"/>
      <sheetName val="Manual_Price_Book_Detail"/>
      <sheetName val="Vendavo_12-17-07"/>
      <sheetName val="gares_02_BON_FICHIER_"/>
      <sheetName val="关联交易-存款hࢀ_ࢀ_4"/>
      <sheetName val="Veh_Info"/>
      <sheetName val="1_計数実績"/>
      <sheetName val="118_세금과공과"/>
      <sheetName val="INPUT_rates"/>
      <sheetName val="P220_高管薪酬分析_(2)"/>
      <sheetName val="Exh_B-5"/>
      <sheetName val="Exh_B-2"/>
      <sheetName val="Exh_B-6"/>
      <sheetName val="Exh_B-8"/>
      <sheetName val="Exh_B-4"/>
      <sheetName val="Exh_B-3"/>
      <sheetName val="Exh_B-7"/>
      <sheetName val="Exh_B-1"/>
      <sheetName val="Abs-Br Erg 1-6 2001"/>
      <sheetName val="05PLAN VAR"/>
      <sheetName val="CASHFLOW"/>
      <sheetName val="TPQ INDEX"/>
      <sheetName val="频度分析"/>
      <sheetName val="1133"/>
      <sheetName val="cathayforecasts"/>
      <sheetName val="Destination Table"/>
      <sheetName val="汇总试算平衡表(期末)"/>
      <sheetName val="汇总试算平衡表(2019年)"/>
      <sheetName val="科目索引号目录"/>
      <sheetName val="现金流量表编制-调整分录"/>
      <sheetName val="现金流量表编制-调整分录校验"/>
      <sheetName val="Sheet540"/>
      <sheetName val="COW Detail"/>
      <sheetName val="Graph data"/>
      <sheetName val="Tables and numbers"/>
      <sheetName val="PLBA"/>
      <sheetName val="长投明细"/>
      <sheetName val="N27-1-短期借款"/>
      <sheetName val="填表单位"/>
      <sheetName val="设计指标"/>
      <sheetName val="收入预测"/>
      <sheetName val="账龄分析表"/>
      <sheetName val="PROP_95"/>
      <sheetName val="光缆总表"/>
      <sheetName val="波动率"/>
      <sheetName val="参数设置"/>
      <sheetName val="10-1永续支出折旧（重资产企业考虑）"/>
      <sheetName val="财务费用附表"/>
      <sheetName val="Consolidated AC"/>
      <sheetName val="CAL-TB-MFG"/>
      <sheetName val="_102中草药"/>
      <sheetName val="_104燃料"/>
      <sheetName val="_106备品备件"/>
      <sheetName val="_108劳保"/>
      <sheetName val="_109辅料"/>
      <sheetName val="_110化剂"/>
      <sheetName val="_112气体"/>
      <sheetName val="_206标签"/>
      <sheetName val="_207纸箱纸盒"/>
      <sheetName val="_208瓶类"/>
      <sheetName val="_302办公用品"/>
      <sheetName val="_303工具"/>
      <sheetName val="_304玻璃仪器"/>
      <sheetName val="_399其他材料"/>
      <sheetName val="_4产成品"/>
      <sheetName val="_5自制半成品"/>
      <sheetName val="Formules"/>
      <sheetName val="往来账龄-RPT"/>
      <sheetName val="UFPrn20031027155556"/>
      <sheetName val="Adjusted Market Cap Graph"/>
      <sheetName val="Summary_Ind_Growth"/>
      <sheetName val="E2.1.1-Fat 06.2006"/>
      <sheetName val="brands"/>
      <sheetName val="或有事项"/>
      <sheetName val="关联方交易"/>
      <sheetName val="短期借款Dy"/>
      <sheetName val="Orig FC Pivot Table"/>
      <sheetName val="Sheet2729"/>
      <sheetName val="Bank and cash"/>
      <sheetName val="Financial expenses"/>
      <sheetName val="Investment income"/>
      <sheetName val="Long-term Investment"/>
      <sheetName val="AR and bad provision"/>
      <sheetName val="Advance from customer"/>
      <sheetName val="Advance to supplier"/>
      <sheetName val="22.3.老版本"/>
      <sheetName val="固定资产购买及处置（N90-2）"/>
      <sheetName val="FACTOR"/>
      <sheetName val="1_Support"/>
      <sheetName val="2006DEP.sap data"/>
      <sheetName val="5 - ASSETS"/>
      <sheetName val="BSA Breakdown"/>
      <sheetName val="A3-CLA"/>
      <sheetName val="IFRS#7-1 stock provision"/>
      <sheetName val="Malasia"/>
      <sheetName val="Sheet583"/>
      <sheetName val="DSR TOTAL"/>
      <sheetName val="G2TempSheet"/>
      <sheetName val="_3220"/>
      <sheetName val="未分配盈餘明細表-17頁"/>
      <sheetName val="Conclusions（结论）"/>
      <sheetName val="00 - 01 Rates"/>
      <sheetName val="成本预测"/>
      <sheetName val="차입종구분"/>
      <sheetName val="PRC_ 080630-Parent-Mgt"/>
      <sheetName val="0508"/>
      <sheetName val="0504"/>
      <sheetName val="0506"/>
      <sheetName val="NSV"/>
      <sheetName val="VARIANCES"/>
      <sheetName val="Sheet5193"/>
      <sheetName val="aging 1003"/>
      <sheetName val="aging 1103"/>
      <sheetName val="aging 1203"/>
      <sheetName val="aging 0803"/>
      <sheetName val="FA2"/>
      <sheetName val="J2"/>
      <sheetName val="客服部"/>
      <sheetName val="accudepr1"/>
      <sheetName val="Auswertung (2)"/>
      <sheetName val="17其他资产"/>
      <sheetName val="A3-100"/>
      <sheetName val="P210"/>
      <sheetName val="A300_主表"/>
      <sheetName val="CT Thang Mo"/>
      <sheetName val="Chiet tinh dz22"/>
      <sheetName val="CT  PL"/>
      <sheetName val="MFG Capital"/>
      <sheetName val="データ分類"/>
      <sheetName val="客户科目余额1-6"/>
      <sheetName val="暂估收入台账"/>
      <sheetName val="Forward Prices"/>
      <sheetName val="2012CB724003"/>
      <sheetName val="LY01006"/>
      <sheetName val="LY01008"/>
      <sheetName val="LY011102"/>
      <sheetName val="LY011203"/>
      <sheetName val="LY011204"/>
      <sheetName val="LY011205"/>
      <sheetName val="LY03006"/>
      <sheetName val="LY05007"/>
      <sheetName val="LY10004"/>
      <sheetName val="LY10006"/>
      <sheetName val="LY10601"/>
      <sheetName val="TS1006"/>
      <sheetName val="TS1007"/>
      <sheetName val="TS1103"/>
      <sheetName val="TS1201"/>
      <sheetName val="WT0801"/>
      <sheetName val="WT1001"/>
      <sheetName val="WT1101"/>
      <sheetName val="WT1201"/>
      <sheetName val="WT1202"/>
      <sheetName val="WT1203"/>
      <sheetName val="GR204(ly04008)"/>
      <sheetName val="MD101(LY03001)"/>
      <sheetName val="MD102(LY03003)"/>
      <sheetName val="MD103(LY03004)"/>
      <sheetName val="PAT或ZX"/>
      <sheetName val="SR203(LY03002)"/>
      <sheetName val="SR204(LY03005)"/>
      <sheetName val="TS0802-LY01005"/>
      <sheetName val="TS0901-LY05006"/>
      <sheetName val="TS090-LY01007"/>
      <sheetName val="TS1101-LY04009"/>
      <sheetName val="甘氨双唑钠"/>
      <sheetName val="领用材料"/>
      <sheetName val="麦通纳二次开发"/>
      <sheetName val="尿酸康平或TS1003"/>
      <sheetName val="欧开"/>
      <sheetName val="希美纳"/>
      <sheetName val="exchange rates"/>
      <sheetName val="Comparables Output"/>
      <sheetName val="FY2012 Merchandise Gross Margin"/>
      <sheetName val="固定资产清单"/>
      <sheetName val="GB11"/>
      <sheetName val="下拉菜单"/>
      <sheetName val="Staff Welfare"/>
      <sheetName val="TURNOVER"/>
      <sheetName val="内围地梁钢筋说明"/>
      <sheetName val="客户基本概况表"/>
      <sheetName val="手续费收入检查情况表"/>
      <sheetName val="Sheet673"/>
      <sheetName val="3393"/>
      <sheetName val="5132"/>
      <sheetName val="_8064"/>
      <sheetName val="_2662"/>
      <sheetName val="_2678"/>
      <sheetName val="_2927"/>
      <sheetName val="表1 结果汇总表-长期资产"/>
      <sheetName val="_2704"/>
      <sheetName val="_2706"/>
      <sheetName val="_8002"/>
      <sheetName val="HK-GL-AR"/>
      <sheetName val="Prelim September"/>
      <sheetName val="运输收入"/>
      <sheetName val="注意事项"/>
      <sheetName val="04收发存汇总表"/>
      <sheetName val="TB's by Pak Code"/>
      <sheetName val="batch"/>
      <sheetName val="选项表"/>
      <sheetName val="outdat.prn"/>
      <sheetName val="Reference Dates"/>
      <sheetName val="_formula_"/>
      <sheetName val="应付账款明细BS.09 "/>
      <sheetName val="Sheet432"/>
      <sheetName val="CONSSID12-96"/>
      <sheetName val="AE1218"/>
      <sheetName val="F150"/>
      <sheetName val="B_S"/>
      <sheetName val="dropdown list ref"/>
      <sheetName val="進捗状況管理表インポート"/>
      <sheetName val="发生额"/>
      <sheetName val="Planung Stromversorgung"/>
      <sheetName val="Planung Güterverkehr"/>
      <sheetName val="Planung Personenverkehr"/>
      <sheetName val="Planung KVH"/>
      <sheetName val="Finanzbedarfsrechnung (EUR)"/>
      <sheetName val="Erfolgsrechnung GV"/>
      <sheetName val="Erfolgsrechnung Gesamt"/>
      <sheetName val="KVH TDM"/>
      <sheetName val="Erfolgsrechnung Strom"/>
      <sheetName val="Disposal 删除后"/>
      <sheetName val="Marketing product ranges"/>
      <sheetName val="Value Chain definitions"/>
      <sheetName val="Marketing vehicle definitions"/>
      <sheetName val="E15"/>
      <sheetName val="TEM_PAY(09R)"/>
      <sheetName val="A191-10"/>
      <sheetName val="信息表"/>
      <sheetName val="Forecast Submission summary"/>
      <sheetName val="HIN-BR Detail"/>
      <sheetName val="Inv 6000"/>
      <sheetName val="103105"/>
      <sheetName val="FRA1"/>
      <sheetName val="Sheet532"/>
      <sheetName val="Actual"/>
      <sheetName val="Indent Sales"/>
      <sheetName val="1-5-1、责任调整项目"/>
      <sheetName val="1-5-1、责任调整项目-新模版"/>
      <sheetName val="2、成本和管理费用细分"/>
      <sheetName val="新增固定资产"/>
      <sheetName val="费用"/>
      <sheetName val="A5"/>
      <sheetName val="Audited PL"/>
      <sheetName val="navigation"/>
      <sheetName val="TOLOG"/>
      <sheetName val="struc_SBU"/>
      <sheetName val="struc_ru"/>
      <sheetName val="Download_SP"/>
      <sheetName val="struc_custom"/>
      <sheetName val="MA translate"/>
      <sheetName val="PL40"/>
      <sheetName val="表2-5 存货"/>
      <sheetName val=" 表2-10无形资产"/>
      <sheetName val="表2-12应付账款"/>
      <sheetName val=" 表2-15预收账款"/>
      <sheetName val="表2-19 其他应付款"/>
      <sheetName val="表2-16应付利息"/>
      <sheetName val="表2-14 工资及附加勾稽表"/>
      <sheetName val="表2-20 应收、应付票据情况表"/>
      <sheetName val="表2-17  应收、应付股利表"/>
      <sheetName val="表6经济指标"/>
      <sheetName val="表2-2 应收账款"/>
      <sheetName val="表2-3 预付账款"/>
      <sheetName val="表2-4 其他应收款"/>
      <sheetName val="表2-6 长期股权投资明细表"/>
      <sheetName val="表3-3 人工成本分析表"/>
      <sheetName val="表1-2 科目余额表（含重分类）"/>
      <sheetName val="附表3关联方往来余额表"/>
      <sheetName val="表2-18 预提费用明细表"/>
      <sheetName val="表2 资产负债表"/>
      <sheetName val="表3 利润表"/>
      <sheetName val="表4 现金流量表"/>
      <sheetName val="表5 现金流量表补充"/>
      <sheetName val="表3-1利润分析表"/>
      <sheetName val="表2-13 应交税费表"/>
      <sheetName val="附表2关联交易明细表"/>
      <sheetName val="graph"/>
      <sheetName val="GME ADJ"/>
      <sheetName val="Inventory"/>
      <sheetName val="CL"/>
      <sheetName val="Light"/>
      <sheetName val="UFPrn20051203090721"/>
      <sheetName val="Group Summary"/>
      <sheetName val="YOEMAGUM"/>
      <sheetName val="Aging-ARSum"/>
      <sheetName val="200806"/>
      <sheetName val="Key Analyst Data"/>
      <sheetName val="Sheet599"/>
      <sheetName val="InputWerte"/>
      <sheetName val="Projekte"/>
      <sheetName val="维多利实收明细(05.1-4)"/>
      <sheetName val="FCF"/>
      <sheetName val="gcl-BS"/>
      <sheetName val="gcl-PL"/>
      <sheetName val="A3.试算表"/>
      <sheetName val="U411"/>
      <sheetName val="Sheet8430"/>
      <sheetName val="控制清单"/>
      <sheetName val="P.预收账款&amp;其他应收款&amp;应付职工薪酬&amp;预提费用&amp;其他应交款"/>
      <sheetName val="U.其他业务收入成本&amp;营业外收支&amp;补贴收入&amp;利息收入"/>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新城资金明细"/>
      <sheetName val="申鑫大厦租金明细"/>
      <sheetName val="三林明细"/>
      <sheetName val="东陆明细"/>
      <sheetName val="Sales&amp;Profit-YTD"/>
      <sheetName val="ML"/>
      <sheetName val="Content"/>
      <sheetName val="FRANCE"/>
      <sheetName val="办公用品库存"/>
      <sheetName val="902"/>
      <sheetName val="Total_A(A&amp;B)"/>
      <sheetName val="Financing"/>
      <sheetName val="CIFC"/>
      <sheetName val="CKL"/>
      <sheetName val="CRNC"/>
      <sheetName val="CW"/>
      <sheetName val="Hangzhou"/>
      <sheetName val="HKUL"/>
      <sheetName val="Hubei"/>
      <sheetName val="Huzhou"/>
      <sheetName val="Jiaxing"/>
      <sheetName val="JNCF"/>
      <sheetName val="JNNF"/>
      <sheetName val="JWSR"/>
      <sheetName val="JWST"/>
      <sheetName val="KLC"/>
      <sheetName val="LF"/>
      <sheetName val="LY"/>
      <sheetName val="NFFM"/>
      <sheetName val="NFHSZ"/>
      <sheetName val="NFSH"/>
      <sheetName val="NFT"/>
      <sheetName val="NFTSS"/>
      <sheetName val="Shanghai"/>
      <sheetName val="SLH"/>
      <sheetName val="TSL"/>
      <sheetName val="UE"/>
      <sheetName val="UFFE"/>
      <sheetName val="_Current_DATA"/>
      <sheetName val="効率UP目論見"/>
      <sheetName val="SysInfor"/>
      <sheetName val="fatable"/>
      <sheetName val="Acq_matrix"/>
      <sheetName val="Venus value"/>
      <sheetName val="EPS Output"/>
      <sheetName val="Control Sheet"/>
      <sheetName val="重分类02"/>
      <sheetName val="自制半成品余额"/>
      <sheetName val="Sheet406"/>
      <sheetName val="CANDOI"/>
      <sheetName val="MATK"/>
      <sheetName val="NHATKY"/>
      <sheetName val="ADJ20"/>
      <sheetName val="Résultats"/>
      <sheetName val="Building"/>
      <sheetName val="应交税金"/>
      <sheetName val="III-1-10"/>
      <sheetName val="III-1-9"/>
      <sheetName val="III-1-1"/>
      <sheetName val="采购"/>
      <sheetName val=" 現金明細表"/>
      <sheetName val="坏账准备_预付账款Dy"/>
      <sheetName val="提示表"/>
      <sheetName val="GSH"/>
      <sheetName val="GSH (2)"/>
      <sheetName val="19.4disc"/>
      <sheetName val="Sheet635"/>
      <sheetName val="HP99"/>
      <sheetName val="ADD"/>
      <sheetName val="3月固定"/>
      <sheetName val="BPR"/>
      <sheetName val="F17CIP"/>
      <sheetName val="F18 Intangible assets"/>
      <sheetName val="F19L-T deferred expense"/>
      <sheetName val="Data 1"/>
      <sheetName val="F49 RPT transaction"/>
      <sheetName val="inc. claim 97"/>
      <sheetName val="tot.invest"/>
      <sheetName val="Drivers"/>
      <sheetName val="Sheet646"/>
      <sheetName val="Sheet772"/>
      <sheetName val="NewB Sheet"/>
      <sheetName val="Days"/>
      <sheetName val="Iron Curtain Method"/>
      <sheetName val="H_Lead"/>
      <sheetName val="SAP Data"/>
      <sheetName val="Time cost by activity actual "/>
      <sheetName val="agrylin"/>
      <sheetName val="C7-Wacc"/>
      <sheetName val="Adiantamentos"/>
      <sheetName val="SA-Lamp"/>
      <sheetName val="Fixed sg&amp;A "/>
      <sheetName val="Vol 2"/>
      <sheetName val="Vol 1"/>
      <sheetName val="Matl Burden"/>
      <sheetName val="BulkPall_Var"/>
      <sheetName val="252"/>
      <sheetName val="RANGES"/>
      <sheetName val="CECO"/>
      <sheetName val="Exp type&amp;cost element mapping"/>
      <sheetName val="专项应付款Dy"/>
      <sheetName val="财务费用Dy"/>
      <sheetName val="专项应付款Mx"/>
      <sheetName val="应付职工薪酬Dy"/>
      <sheetName val="PTPL95"/>
      <sheetName val="CuHDG"/>
      <sheetName val="PRE0502"/>
      <sheetName val="Financial Statement"/>
      <sheetName val="事業計画"/>
      <sheetName val="tygia"/>
      <sheetName val="一般資料GF-2-2"/>
      <sheetName val="IFRS_Tax Proof V1"/>
      <sheetName val="其他應收款"/>
      <sheetName val="s03"/>
      <sheetName val="固定资产明细测算表"/>
      <sheetName val="Comps Bloomberg"/>
      <sheetName val="3级余额表-累计"/>
      <sheetName val="電気設備表"/>
      <sheetName val="Prov for tax"/>
      <sheetName val="Aging-Feb.2009"/>
      <sheetName val="A-Eingang Laender (ändert)"/>
      <sheetName val="Cash-Flow (offen)"/>
      <sheetName val="U-Erloese Laender(ände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2">
          <cell r="B2" t="str">
            <v>Ref</v>
          </cell>
        </row>
      </sheetData>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sheetData sheetId="454"/>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sheetData sheetId="1183"/>
      <sheetData sheetId="1184"/>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sheetData sheetId="1595"/>
      <sheetData sheetId="1596"/>
      <sheetData sheetId="1597"/>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sheetData sheetId="1670"/>
      <sheetData sheetId="1671"/>
      <sheetData sheetId="1672"/>
      <sheetData sheetId="1673"/>
      <sheetData sheetId="1674"/>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sheetData sheetId="1689"/>
      <sheetData sheetId="1690"/>
      <sheetData sheetId="1691"/>
      <sheetData sheetId="1692"/>
      <sheetData sheetId="1693"/>
      <sheetData sheetId="1694"/>
      <sheetData sheetId="1695"/>
      <sheetData sheetId="1696"/>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refreshError="1"/>
      <sheetData sheetId="1885" refreshError="1"/>
      <sheetData sheetId="1886" refreshError="1"/>
      <sheetData sheetId="1887"/>
      <sheetData sheetId="1888"/>
      <sheetData sheetId="1889"/>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sheetData sheetId="2808"/>
      <sheetData sheetId="2809"/>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sheetData sheetId="2822" refreshError="1"/>
      <sheetData sheetId="2823" refreshError="1"/>
      <sheetData sheetId="2824"/>
      <sheetData sheetId="2825"/>
      <sheetData sheetId="2826"/>
      <sheetData sheetId="2827" refreshError="1"/>
      <sheetData sheetId="2828" refreshError="1"/>
      <sheetData sheetId="2829" refreshError="1"/>
      <sheetData sheetId="2830" refreshError="1"/>
      <sheetData sheetId="2831" refreshError="1"/>
      <sheetData sheetId="2832"/>
      <sheetData sheetId="2833" refreshError="1"/>
      <sheetData sheetId="2834" refreshError="1"/>
      <sheetData sheetId="2835" refreshError="1"/>
      <sheetData sheetId="2836"/>
      <sheetData sheetId="2837"/>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sheetData sheetId="2906"/>
      <sheetData sheetId="2907" refreshError="1"/>
      <sheetData sheetId="2908" refreshError="1"/>
      <sheetData sheetId="2909"/>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refreshError="1"/>
      <sheetData sheetId="3333"/>
      <sheetData sheetId="3334" refreshError="1"/>
      <sheetData sheetId="3335" refreshError="1"/>
      <sheetData sheetId="3336" refreshError="1"/>
      <sheetData sheetId="3337" refreshError="1"/>
      <sheetData sheetId="3338"/>
      <sheetData sheetId="3339"/>
      <sheetData sheetId="3340"/>
      <sheetData sheetId="3341"/>
      <sheetData sheetId="3342" refreshError="1"/>
      <sheetData sheetId="3343" refreshError="1"/>
      <sheetData sheetId="3344" refreshError="1"/>
      <sheetData sheetId="3345" refreshError="1"/>
      <sheetData sheetId="3346" refreshError="1"/>
      <sheetData sheetId="3347" refreshError="1"/>
      <sheetData sheetId="3348"/>
      <sheetData sheetId="3349" refreshError="1"/>
      <sheetData sheetId="3350"/>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sheetData sheetId="3415"/>
      <sheetData sheetId="3416"/>
      <sheetData sheetId="3417"/>
      <sheetData sheetId="3418"/>
      <sheetData sheetId="3419"/>
      <sheetData sheetId="3420"/>
      <sheetData sheetId="342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sheetData sheetId="3796" refreshError="1"/>
      <sheetData sheetId="3797" refreshError="1"/>
      <sheetData sheetId="3798" refreshError="1"/>
      <sheetData sheetId="3799" refreshError="1"/>
      <sheetData sheetId="3800"/>
      <sheetData sheetId="3801"/>
      <sheetData sheetId="3802"/>
      <sheetData sheetId="3803"/>
      <sheetData sheetId="3804"/>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sheetData sheetId="3867" refreshError="1"/>
      <sheetData sheetId="3868"/>
      <sheetData sheetId="3869" refreshError="1"/>
      <sheetData sheetId="3870" refreshError="1"/>
      <sheetData sheetId="3871" refreshError="1"/>
      <sheetData sheetId="3872" refreshError="1"/>
      <sheetData sheetId="3873" refreshError="1"/>
      <sheetData sheetId="3874" refreshError="1"/>
      <sheetData sheetId="3875"/>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sheetData sheetId="4002" refreshError="1"/>
      <sheetData sheetId="4003"/>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sheetData sheetId="4020" refreshError="1"/>
      <sheetData sheetId="4021" refreshError="1"/>
      <sheetData sheetId="4022" refreshError="1"/>
      <sheetData sheetId="4023" refreshError="1"/>
      <sheetData sheetId="4024" refreshError="1"/>
      <sheetData sheetId="4025"/>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sheetData sheetId="4048" refreshError="1"/>
      <sheetData sheetId="4049"/>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refreshError="1"/>
      <sheetData sheetId="4076" refreshError="1"/>
      <sheetData sheetId="4077" refreshError="1"/>
      <sheetData sheetId="4078" refreshError="1"/>
      <sheetData sheetId="4079" refreshError="1"/>
      <sheetData sheetId="4080"/>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sheetData sheetId="4110"/>
      <sheetData sheetId="4111"/>
      <sheetData sheetId="4112" refreshError="1"/>
      <sheetData sheetId="4113" refreshError="1"/>
      <sheetData sheetId="4114" refreshError="1"/>
      <sheetData sheetId="4115" refreshError="1"/>
      <sheetData sheetId="4116" refreshError="1"/>
      <sheetData sheetId="4117" refreshError="1"/>
      <sheetData sheetId="4118" refreshError="1"/>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sheetData sheetId="4963"/>
      <sheetData sheetId="4964"/>
      <sheetData sheetId="4965"/>
      <sheetData sheetId="4966"/>
      <sheetData sheetId="4967"/>
      <sheetData sheetId="4968"/>
      <sheetData sheetId="4969" refreshError="1"/>
      <sheetData sheetId="4970"/>
      <sheetData sheetId="4971" refreshError="1"/>
      <sheetData sheetId="4972"/>
      <sheetData sheetId="4973"/>
      <sheetData sheetId="4974"/>
      <sheetData sheetId="4975"/>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sheetData sheetId="5060"/>
      <sheetData sheetId="5061"/>
      <sheetData sheetId="5062"/>
      <sheetData sheetId="5063"/>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sheetData sheetId="5134"/>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sheetData sheetId="5203" refreshError="1"/>
      <sheetData sheetId="5204" refreshError="1"/>
      <sheetData sheetId="5205" refreshError="1"/>
      <sheetData sheetId="5206" refreshError="1"/>
      <sheetData sheetId="5207" refreshError="1"/>
      <sheetData sheetId="5208"/>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sheetData sheetId="5235"/>
      <sheetData sheetId="5236"/>
      <sheetData sheetId="5237"/>
      <sheetData sheetId="5238"/>
      <sheetData sheetId="5239"/>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sheetData sheetId="5362" refreshError="1"/>
      <sheetData sheetId="5363" refreshError="1"/>
      <sheetData sheetId="5364" refreshError="1"/>
      <sheetData sheetId="5365"/>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sheetData sheetId="5387" refreshError="1"/>
      <sheetData sheetId="5388" refreshError="1"/>
      <sheetData sheetId="5389" refreshError="1"/>
      <sheetData sheetId="5390" refreshError="1"/>
      <sheetData sheetId="5391" refreshError="1"/>
      <sheetData sheetId="5392"/>
      <sheetData sheetId="5393"/>
      <sheetData sheetId="5394" refreshError="1"/>
      <sheetData sheetId="5395"/>
      <sheetData sheetId="5396" refreshError="1"/>
      <sheetData sheetId="5397"/>
      <sheetData sheetId="5398"/>
      <sheetData sheetId="5399"/>
      <sheetData sheetId="5400"/>
      <sheetData sheetId="5401"/>
      <sheetData sheetId="5402"/>
      <sheetData sheetId="5403"/>
      <sheetData sheetId="5404" refreshError="1"/>
      <sheetData sheetId="5405" refreshError="1"/>
      <sheetData sheetId="5406" refreshError="1"/>
      <sheetData sheetId="5407" refreshError="1"/>
      <sheetData sheetId="5408" refreshError="1"/>
      <sheetData sheetId="5409"/>
      <sheetData sheetId="5410" refreshError="1"/>
      <sheetData sheetId="5411" refreshError="1"/>
      <sheetData sheetId="5412"/>
      <sheetData sheetId="5413" refreshError="1"/>
      <sheetData sheetId="5414" refreshError="1"/>
      <sheetData sheetId="5415" refreshError="1"/>
      <sheetData sheetId="5416" refreshError="1"/>
      <sheetData sheetId="5417"/>
      <sheetData sheetId="5418"/>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sheetData sheetId="5440"/>
      <sheetData sheetId="544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sheetData sheetId="548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sheetData sheetId="5491"/>
      <sheetData sheetId="5492" refreshError="1"/>
      <sheetData sheetId="5493" refreshError="1"/>
      <sheetData sheetId="5494"/>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sheetData sheetId="5548"/>
      <sheetData sheetId="5549"/>
      <sheetData sheetId="5550"/>
      <sheetData sheetId="5551"/>
      <sheetData sheetId="5552"/>
      <sheetData sheetId="5553"/>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sheetData sheetId="5645" refreshError="1"/>
      <sheetData sheetId="5646" refreshError="1"/>
      <sheetData sheetId="5647" refreshError="1"/>
      <sheetData sheetId="5648" refreshError="1"/>
      <sheetData sheetId="5649" refreshError="1"/>
      <sheetData sheetId="5650" refreshError="1"/>
      <sheetData sheetId="5651"/>
      <sheetData sheetId="5652"/>
      <sheetData sheetId="5653" refreshError="1"/>
      <sheetData sheetId="5654" refreshError="1"/>
      <sheetData sheetId="5655"/>
      <sheetData sheetId="5656" refreshError="1"/>
      <sheetData sheetId="5657" refreshError="1"/>
      <sheetData sheetId="5658" refreshError="1"/>
      <sheetData sheetId="5659" refreshError="1"/>
      <sheetData sheetId="5660" refreshError="1"/>
      <sheetData sheetId="5661"/>
      <sheetData sheetId="5662"/>
      <sheetData sheetId="5663"/>
      <sheetData sheetId="5664"/>
      <sheetData sheetId="5665"/>
      <sheetData sheetId="5666"/>
      <sheetData sheetId="5667"/>
      <sheetData sheetId="5668"/>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sheetData sheetId="5688"/>
      <sheetData sheetId="5689"/>
      <sheetData sheetId="5690"/>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sheetData sheetId="5709" refreshError="1"/>
      <sheetData sheetId="5710" refreshError="1"/>
      <sheetData sheetId="5711" refreshError="1"/>
      <sheetData sheetId="5712" refreshError="1"/>
      <sheetData sheetId="5713" refreshError="1"/>
      <sheetData sheetId="5714"/>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sheetData sheetId="6761"/>
      <sheetData sheetId="6762"/>
      <sheetData sheetId="6763"/>
      <sheetData sheetId="6764"/>
      <sheetData sheetId="6765"/>
      <sheetData sheetId="6766"/>
      <sheetData sheetId="6767"/>
      <sheetData sheetId="6768"/>
      <sheetData sheetId="6769"/>
      <sheetData sheetId="6770"/>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sheetData sheetId="6808"/>
      <sheetData sheetId="6809"/>
      <sheetData sheetId="6810"/>
      <sheetData sheetId="6811"/>
      <sheetData sheetId="6812"/>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sheetData sheetId="6848"/>
      <sheetData sheetId="6849" refreshError="1"/>
      <sheetData sheetId="6850" refreshError="1"/>
      <sheetData sheetId="6851"/>
      <sheetData sheetId="6852"/>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sheetData sheetId="7054" refreshError="1"/>
      <sheetData sheetId="7055" refreshError="1"/>
      <sheetData sheetId="7056"/>
      <sheetData sheetId="7057" refreshError="1"/>
      <sheetData sheetId="7058" refreshError="1"/>
      <sheetData sheetId="7059"/>
      <sheetData sheetId="7060"/>
      <sheetData sheetId="7061"/>
      <sheetData sheetId="7062"/>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sheetData sheetId="7311" refreshError="1"/>
      <sheetData sheetId="7312" refreshError="1"/>
      <sheetData sheetId="7313" refreshError="1"/>
      <sheetData sheetId="7314" refreshError="1"/>
      <sheetData sheetId="7315"/>
      <sheetData sheetId="7316"/>
      <sheetData sheetId="7317" refreshError="1"/>
      <sheetData sheetId="7318" refreshError="1"/>
      <sheetData sheetId="7319" refreshError="1"/>
      <sheetData sheetId="7320"/>
      <sheetData sheetId="7321"/>
      <sheetData sheetId="7322" refreshError="1"/>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refreshError="1"/>
      <sheetData sheetId="7336"/>
      <sheetData sheetId="7337"/>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sheetData sheetId="8464"/>
      <sheetData sheetId="8465"/>
      <sheetData sheetId="8466"/>
      <sheetData sheetId="8467"/>
      <sheetData sheetId="8468"/>
      <sheetData sheetId="8469"/>
      <sheetData sheetId="8470"/>
      <sheetData sheetId="8471" refreshError="1"/>
      <sheetData sheetId="8472" refreshError="1"/>
      <sheetData sheetId="8473" refreshError="1"/>
      <sheetData sheetId="8474" refreshError="1"/>
      <sheetData sheetId="8475" refreshError="1"/>
      <sheetData sheetId="8476"/>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sheetData sheetId="8501"/>
      <sheetData sheetId="8502"/>
      <sheetData sheetId="8503"/>
      <sheetData sheetId="8504"/>
      <sheetData sheetId="8505"/>
      <sheetData sheetId="8506"/>
      <sheetData sheetId="8507"/>
      <sheetData sheetId="8508"/>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sheetData sheetId="8529" refreshError="1"/>
      <sheetData sheetId="8530" refreshError="1"/>
      <sheetData sheetId="8531" refreshError="1"/>
      <sheetData sheetId="8532" refreshError="1"/>
      <sheetData sheetId="8533"/>
      <sheetData sheetId="8534" refreshError="1"/>
      <sheetData sheetId="8535" refreshError="1"/>
      <sheetData sheetId="8536"/>
      <sheetData sheetId="8537"/>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sheetData sheetId="8860"/>
      <sheetData sheetId="8861"/>
      <sheetData sheetId="8862"/>
      <sheetData sheetId="8863"/>
      <sheetData sheetId="8864"/>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sheetData sheetId="9017"/>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_Sheet1"/>
      <sheetName val="Sheet1"/>
      <sheetName val="关联交易-存款"/>
      <sheetName val="Master"/>
      <sheetName val="schdl"/>
      <sheetName val="c7tb"/>
      <sheetName val="CX ELIM"/>
      <sheetName val="C5TB"/>
      <sheetName val="C3TB"/>
      <sheetName val="C6TB"/>
      <sheetName val="C8TB"/>
      <sheetName val="2007.12折旧差异"/>
      <sheetName val="定义-ready"/>
      <sheetName val="科目明细"/>
      <sheetName val="FA Roll to GL (p.2)"/>
      <sheetName val="Lead (p.1)"/>
      <sheetName val="XREF"/>
      <sheetName val="披露表(国资)"/>
      <sheetName val="Sales"/>
      <sheetName val="B"/>
      <sheetName val="员工工资"/>
      <sheetName val="Sheet3"/>
      <sheetName val="Input-Act"/>
      <sheetName val="Input-Act-Adj"/>
      <sheetName val="Input-Bud"/>
      <sheetName val="Input-PY"/>
      <sheetName val="F1"/>
      <sheetName val="Summary"/>
      <sheetName val="eqpmad2"/>
      <sheetName val="Table"/>
      <sheetName val="rate"/>
      <sheetName val="上报资产负债表"/>
      <sheetName val="Lease AP 2008"/>
      <sheetName val="Lead"/>
      <sheetName val="TB"/>
      <sheetName val="CF"/>
      <sheetName val="科目表"/>
      <sheetName val="_001年其他业务利润"/>
      <sheetName val="_002年其他业务利润"/>
      <sheetName val="_003年其他业务利润"/>
      <sheetName val="_2U03营业费用"/>
      <sheetName val="2001年营业费用"/>
      <sheetName val="Invoice detail"/>
      <sheetName val="大纲"/>
      <sheetName val="披露表(上市)"/>
      <sheetName val="Net REVENUE"/>
      <sheetName val="VEHMAINT"/>
      <sheetName val="VEHDAMAG"/>
      <sheetName val="OTHERVEH"/>
      <sheetName val="GASOLINE"/>
      <sheetName val="PL&amp;PD"/>
      <sheetName val="DEPRECIA"/>
      <sheetName val="INTEREST"/>
      <sheetName val="VEHSALWH"/>
      <sheetName val="VEHSALRE"/>
      <sheetName val="MANUCRED"/>
      <sheetName val="TRAWAGES"/>
      <sheetName val="INCENTIV"/>
      <sheetName val="WAGES"/>
      <sheetName val="OVERWAGE"/>
      <sheetName val="BENEFITS"/>
      <sheetName val="CONCESS"/>
      <sheetName val="COMMISSI"/>
      <sheetName val="RESERVAT"/>
      <sheetName val="CUSTOMER"/>
      <sheetName val="FACILITY"/>
      <sheetName val="SERVIVEH"/>
      <sheetName val="COMPUTER"/>
      <sheetName val="ADVSYST"/>
      <sheetName val="COUADMIN"/>
      <sheetName val="ADMINFLD"/>
      <sheetName val="ADVCIT&amp;D"/>
      <sheetName val="EURSALES"/>
      <sheetName val="ADMINREB"/>
      <sheetName val="Group"/>
      <sheetName val="EURMKTG"/>
      <sheetName val="DFA"/>
      <sheetName val="All"/>
      <sheetName val="FA-LISTING"/>
      <sheetName val="以前年度损益调整"/>
      <sheetName val="a"/>
      <sheetName val="上报损益表"/>
      <sheetName val="补充表"/>
      <sheetName val="U102"/>
      <sheetName val="sumdepn01"/>
      <sheetName val="C1"/>
      <sheetName val="PNL"/>
      <sheetName val="Ã«ÀûÂÊ·ÖÎö±í"/>
      <sheetName val="DATA"/>
      <sheetName val="CA-Est"/>
      <sheetName val="Stock Chart"/>
      <sheetName val="PL-Summary"/>
      <sheetName val="Volumes"/>
      <sheetName val="51"/>
      <sheetName val="11-13"/>
      <sheetName val="30"/>
      <sheetName val="8-10"/>
      <sheetName val="16"/>
      <sheetName val="35-36"/>
      <sheetName val="28"/>
      <sheetName val="14-15"/>
      <sheetName val="32-33"/>
      <sheetName val="18"/>
      <sheetName val="26"/>
      <sheetName val="二厂单位成本结构图"/>
      <sheetName val="DCSC"/>
      <sheetName val="JPY_Rates"/>
      <sheetName val="HKD_Rates"/>
      <sheetName val="USD_Rates"/>
      <sheetName val="Final sample listing"/>
      <sheetName val="base"/>
      <sheetName val="BS"/>
      <sheetName val="Hidden Lists"/>
      <sheetName val="AC_DATA"/>
      <sheetName val="COA"/>
      <sheetName val="Sheet4"/>
      <sheetName val="C"/>
      <sheetName val="E101"/>
      <sheetName val="G101"/>
      <sheetName val="G201"/>
      <sheetName val="G301"/>
      <sheetName val="I101"/>
      <sheetName val="ARP-U301"/>
      <sheetName val="U401"/>
      <sheetName val="ARP-U501"/>
      <sheetName val="Mthly Data"/>
      <sheetName val="UPLDGA"/>
      <sheetName val="Library"/>
      <sheetName val="BBW"/>
      <sheetName val="conSum"/>
      <sheetName val="N201"/>
      <sheetName val="明细表"/>
      <sheetName val="DATA INPUT"/>
      <sheetName val="original"/>
      <sheetName val="95PREM"/>
      <sheetName val="AGENT"/>
      <sheetName val="06年全年回笼"/>
      <sheetName val="06年全年销售"/>
      <sheetName val="F101"/>
      <sheetName val="Edo Res"/>
      <sheetName val="Parameter"/>
      <sheetName val="A300"/>
      <sheetName val="FN8"/>
      <sheetName val="Index"/>
      <sheetName val="Tickmarks"/>
      <sheetName val="LinkData"/>
      <sheetName val="Validation"/>
      <sheetName val="合并信息数据表"/>
      <sheetName val="ProdCompar"/>
      <sheetName val="Chart of Acct"/>
      <sheetName val="7 - ARO Assumptions"/>
      <sheetName val="#REF"/>
      <sheetName val="T  B"/>
      <sheetName val="DEC Bank"/>
      <sheetName val="5.基础档案"/>
      <sheetName val="INVDAYS"/>
      <sheetName val="제조부문배부"/>
      <sheetName val="902"/>
      <sheetName val="营业外支出08"/>
      <sheetName val="其他业务成本.111031"/>
      <sheetName val="营业外收入09"/>
      <sheetName val="营业外收入08"/>
      <sheetName val="其他业务成本09"/>
      <sheetName val="NTA"/>
      <sheetName val="Control"/>
      <sheetName val="TAB.Daten"/>
      <sheetName val="source"/>
      <sheetName val="JE - Depn Sept"/>
      <sheetName val="资产负债表及损益表"/>
      <sheetName val="财务费用"/>
      <sheetName val="制造费用"/>
      <sheetName val="目录"/>
      <sheetName val="重要内部交易"/>
      <sheetName val="威尚重要交易"/>
      <sheetName val="管理费用"/>
      <sheetName val="营业费用"/>
      <sheetName val="P310"/>
      <sheetName val="G210"/>
      <sheetName val="Input"/>
      <sheetName val="Global Data"/>
      <sheetName val="Graph 1"/>
      <sheetName val="A6620 Detail"/>
      <sheetName val="H101(OK)"/>
      <sheetName val="科目余额表-公司"/>
      <sheetName val="SUMMARY OUTSTANDING"/>
      <sheetName val="CA_new"/>
      <sheetName val="注释过渡"/>
      <sheetName val="退货"/>
      <sheetName val="batch"/>
      <sheetName val="固定资产增减表#0.00_ "/>
      <sheetName val="IRR &amp; NPV"/>
      <sheetName val="Beg- End balance"/>
      <sheetName val="ZLR1"/>
      <sheetName val="C101"/>
      <sheetName val="ARP-U101"/>
      <sheetName val="JE"/>
      <sheetName val="附表10"/>
      <sheetName val="W"/>
      <sheetName val="单位库"/>
      <sheetName val="现金清单"/>
      <sheetName val="附表32 - 无形资产明细表"/>
      <sheetName val="A3"/>
      <sheetName val="Sheet2"/>
      <sheetName val="Überleitung_15"/>
      <sheetName val="生皮,盐"/>
      <sheetName val="K1 Tax computation"/>
      <sheetName val="Original Stefan"/>
      <sheetName val="Volumen AOP 2004"/>
      <sheetName val="客戶清單customer list"/>
      <sheetName val="U110"/>
      <sheetName val="Eingabe"/>
      <sheetName val="実績SK"/>
      <sheetName val="流资汇总"/>
      <sheetName val="现金流量表（月报）"/>
      <sheetName val="Collateral"/>
      <sheetName val="A5"/>
      <sheetName val="Audited PL"/>
      <sheetName val="Bank Table"/>
      <sheetName val="Expenses"/>
      <sheetName val="STD. COST"/>
      <sheetName val="ARP"/>
      <sheetName val="选择报表"/>
      <sheetName val="Invested Capital"/>
      <sheetName val="Paramètres"/>
      <sheetName val="Feb 2016"/>
      <sheetName val="ROC"/>
      <sheetName val="INDEXES"/>
      <sheetName val="N23-1-预付、其他应收等"/>
      <sheetName val="N27-1-短期借款"/>
      <sheetName val="N29-1-预收款及其他应付款项"/>
      <sheetName val="N5b1-其他收入和利得净值"/>
      <sheetName val="Invoice Template"/>
      <sheetName val="Veh Info"/>
      <sheetName val="Q4Purchases"/>
      <sheetName val="#REF!"/>
      <sheetName val="CLG115-3-1比較用"/>
      <sheetName val="国内連結"/>
      <sheetName val="P&amp;L"/>
      <sheetName val="10"/>
      <sheetName val="2002年预提费用"/>
      <sheetName val="应收帐款明细表"/>
      <sheetName val="All Cash Dil"/>
      <sheetName val="油墨"/>
      <sheetName val="Anlagespiegel_F_Assets_Receiv"/>
      <sheetName val="Bilanz_B_S_Budget"/>
      <sheetName val="GuV_Income_Budget"/>
      <sheetName val="CHIP_O"/>
      <sheetName val="FRT_O"/>
      <sheetName val="YIELD"/>
      <sheetName val="PL summary"/>
      <sheetName val="CC"/>
      <sheetName val="Vendor Data"/>
      <sheetName val="产品销售收入与成本明细表"/>
      <sheetName val="zero (3)"/>
      <sheetName val="2weeeks All  Excess and Shortag"/>
      <sheetName val="c_data"/>
      <sheetName val="Exchange_Rate &amp; Costs"/>
      <sheetName val="tables"/>
      <sheetName val="ADJ Sum(console)"/>
      <sheetName val="Dec"/>
      <sheetName val="Mar_Det"/>
      <sheetName val="Margins"/>
      <sheetName val="PL-Accumulate"/>
      <sheetName val="PL-Current"/>
      <sheetName val="Repayment Summary"/>
      <sheetName val="企业表一"/>
      <sheetName val="M-5C"/>
      <sheetName val="M-5A"/>
      <sheetName val="US Disclosure"/>
      <sheetName val="I20.b Disclosure Lead"/>
      <sheetName val="I20 LEAD"/>
      <sheetName val="I20-1 FWD"/>
      <sheetName val="I20-2 CNYFWD"/>
      <sheetName val="I20-3 FXS"/>
      <sheetName val="I20-4 CNYS"/>
      <sheetName val="I20-5 IRS"/>
      <sheetName val="I20-7 TOD"/>
      <sheetName val="I20-7-1 TOD Breakdown"/>
      <sheetName val="I20-9 Comfirmation summary"/>
      <sheetName val="分产品销售收入、成本分析表"/>
      <sheetName val="Tests of control"/>
      <sheetName val="Translation"/>
      <sheetName val="20201231-客户报表核对"/>
      <sheetName val="J&amp;Q"/>
      <sheetName val="a       "/>
      <sheetName val="loan database"/>
      <sheetName val="BALANCE SHEET"/>
      <sheetName val="AFEMAI"/>
      <sheetName val="MUS"/>
      <sheetName val="调整分录"/>
      <sheetName val="通用设备"/>
      <sheetName val="BlueCross table"/>
      <sheetName val="Bank card list"/>
      <sheetName val="PTCN"/>
      <sheetName val="ws9"/>
      <sheetName val="_010_10118"/>
      <sheetName val="Phase_II_steel_1000"/>
      <sheetName val="CCTL"/>
      <sheetName val="WIP"/>
      <sheetName val="培训选项"/>
      <sheetName val="安全服务"/>
      <sheetName val="details"/>
      <sheetName val="L310-Adjustment for R&amp;D cost"/>
      <sheetName val="(i) Fixed assets-PBC"/>
      <sheetName val="WTB"/>
      <sheetName val="cover"/>
      <sheetName val="Key"/>
      <sheetName val="01TBlast"/>
      <sheetName val="R3抵消"/>
      <sheetName val="收入抵消"/>
      <sheetName val="Ex Diff"/>
      <sheetName val="Confirmation"/>
      <sheetName val="grofin"/>
      <sheetName val="Profit and loss"/>
      <sheetName val="Assumptions"/>
      <sheetName val="Register"/>
      <sheetName val="土建表三乙"/>
      <sheetName val="#511BkRec"/>
      <sheetName val="#511-SEPT97"/>
      <sheetName val="#511-OCT97"/>
      <sheetName val="#511-NOV97"/>
      <sheetName val="NBCF"/>
      <sheetName val="BJ Expenses"/>
      <sheetName val="Sample Rev"/>
      <sheetName val="Sample IS"/>
      <sheetName val="Probability View"/>
      <sheetName val="FY04ExpDetail"/>
      <sheetName val="披露表(标准)"/>
      <sheetName val="Dati"/>
      <sheetName val="UKLF Portfolio"/>
      <sheetName val="ARP-G101"/>
      <sheetName val="E221"/>
      <sheetName val="A3 &amp; U 09-01"/>
      <sheetName val="Returns Backup"/>
      <sheetName val="Int Rates"/>
      <sheetName val="D"/>
      <sheetName val="sch10-rm2"/>
      <sheetName val="sch6-rm"/>
      <sheetName val="Comp equip"/>
      <sheetName val="Lguide"/>
      <sheetName val="TSA"/>
      <sheetName val="1.1 Project Data"/>
      <sheetName val="Admin"/>
      <sheetName val="C.货币资金"/>
      <sheetName val="C.抵押存款"/>
      <sheetName val="D.可供出售投资-流动"/>
      <sheetName val="D.衍生金融资产"/>
      <sheetName val="D.持有至到期投资-流动"/>
      <sheetName val="D.短期投资"/>
      <sheetName val="D.单列金融资产"/>
      <sheetName val="A5.dim&amp;adj sum"/>
      <sheetName val="E.应收账款"/>
      <sheetName val="E.应收贸易款及票据"/>
      <sheetName val="E.应收票据"/>
      <sheetName val="F.存货"/>
      <sheetName val="F.房地产"/>
      <sheetName val="G.预付账款&amp;其他应收款&amp;待摊费用"/>
      <sheetName val="G.应收股利"/>
      <sheetName val="G.待售资产"/>
      <sheetName val="G.HK其他应收"/>
      <sheetName val="G.应收利息"/>
      <sheetName val="G.其他流动资产"/>
      <sheetName val="H.可供出售投资-非流动"/>
      <sheetName val="H.HK长投"/>
      <sheetName val="H.商誉"/>
      <sheetName val="H.持有至到期投资-非流动"/>
      <sheetName val="H.投资性房地产"/>
      <sheetName val="H.PRC长投"/>
      <sheetName val="I.应收关联方"/>
      <sheetName val="I.应付关联方"/>
      <sheetName val="J.在建工程"/>
      <sheetName val="K.固定资产"/>
      <sheetName val="K.固定资产清理"/>
      <sheetName val="L.一年内到期的长期债权投资"/>
      <sheetName val="L.无形"/>
      <sheetName val="L.长期待摊"/>
      <sheetName val="L.其他长期资产"/>
      <sheetName val="M.短借"/>
      <sheetName val="N.应付账款"/>
      <sheetName val="N.应付票据"/>
      <sheetName val="P.预收账款&amp;其他应付款&amp;应付职工薪酬&amp;预提费用&amp;其他应交款"/>
      <sheetName val="U.其他业务收支&amp;营业外收支&amp;补贴收入&amp;利息收入"/>
      <sheetName val="U.所得税"/>
      <sheetName val="O.递延税资产"/>
      <sheetName val="O.递延税负债"/>
      <sheetName val="O.应交税费"/>
      <sheetName val="U.税金及附加"/>
      <sheetName val="P.应付股利"/>
      <sheetName val="P.HK其他应付"/>
      <sheetName val="P.应付利息"/>
      <sheetName val="P.其他应付款"/>
      <sheetName val="P.其他流动负债"/>
      <sheetName val="P.应付职工薪酬"/>
      <sheetName val="P.预计负债"/>
      <sheetName val="Q.应付债券"/>
      <sheetName val="Q.可转债"/>
      <sheetName val="Q.政府补助"/>
      <sheetName val="Q.一年内到期负债"/>
      <sheetName val="Q.应付融资租赁款"/>
      <sheetName val="Q.长借"/>
      <sheetName val="Q.长期应付"/>
      <sheetName val="Q.其他长期负债"/>
      <sheetName val="Q.专项应付"/>
      <sheetName val="T.股本"/>
      <sheetName val="T.资本公积"/>
      <sheetName val="T.折算差额"/>
      <sheetName val="T.未分配利润"/>
      <sheetName val="T.盈余公积"/>
      <sheetName val="U.主营业务"/>
      <sheetName val="U.财务费用"/>
      <sheetName val="U.投资收益&amp;公允价值变动收益"/>
      <sheetName val="U.管理费用&amp;资产减值损失"/>
      <sheetName val="U.成本倒轧表&amp;制造费用"/>
      <sheetName val="U.销售费用"/>
      <sheetName val="U.分占下属损益"/>
      <sheetName val="Key Assumptions"/>
      <sheetName val="Chart of Account"/>
      <sheetName val="ContractList"/>
      <sheetName val="Checking"/>
      <sheetName val="E1"/>
      <sheetName val="Inputs"/>
      <sheetName val="A501_AADJ#14-对价调整"/>
      <sheetName val="2_假设"/>
      <sheetName val="Input A"/>
      <sheetName val="VARIABLES"/>
      <sheetName val="CRA-Detail"/>
      <sheetName val="MC-BIL"/>
      <sheetName val="Balance"/>
      <sheetName val="Cash_Flow"/>
      <sheetName val="Income"/>
      <sheetName val="调整分录表"/>
      <sheetName val="Covenants"/>
      <sheetName val="Addbacks - Slide 8"/>
      <sheetName val="Financial Statistics"/>
      <sheetName val="2001预提费用"/>
      <sheetName val="SAP原始"/>
      <sheetName val="FIN GOOD"/>
      <sheetName val="资产负债表"/>
      <sheetName val="by category"/>
      <sheetName val="synthgraph"/>
      <sheetName val="12月底个人往来余额表"/>
      <sheetName val="Cashbook"/>
      <sheetName val="FDREPORT"/>
      <sheetName val="中山低值"/>
      <sheetName val="存货报表"/>
      <sheetName val="PPE Mov't- HC "/>
      <sheetName val="U3"/>
      <sheetName val="ACCODE"/>
      <sheetName val="Sales for 2001"/>
      <sheetName val="Q.CF-E01"/>
      <sheetName val="sch9-1-1"/>
      <sheetName val="1.1银行函证CC"/>
      <sheetName val="A14.Long Term Investment "/>
      <sheetName val="U201"/>
      <sheetName val="list"/>
      <sheetName val="基本"/>
      <sheetName val="bs分析"/>
      <sheetName val="Setting"/>
      <sheetName val="Income Tax"/>
      <sheetName val="Movement under PRC&amp;TW"/>
      <sheetName val="BKD-2019"/>
      <sheetName val="1102 (2)"/>
      <sheetName val="合并附注"/>
      <sheetName val="2货站"/>
      <sheetName val="Feb"/>
      <sheetName val="Ex-Rate"/>
      <sheetName val="费用科目"/>
      <sheetName val="ARP-U401"/>
      <sheetName val="Parameters"/>
      <sheetName val="FX"/>
      <sheetName val="raw"/>
      <sheetName val="Cash &amp; Bank"/>
      <sheetName val="柱"/>
      <sheetName val="PL"/>
      <sheetName val="N1_AT"/>
      <sheetName val="C2_WKSP"/>
      <sheetName val="A1_INP"/>
      <sheetName val="A2_TINPM"/>
      <sheetName val="A3_TINPP"/>
      <sheetName val="FAB별"/>
      <sheetName val="truc tiep"/>
      <sheetName val="FS_0331"/>
      <sheetName val="DLDB10"/>
      <sheetName val="12(762mm)套管"/>
      <sheetName val="CONSOL"/>
      <sheetName val="Assumption"/>
      <sheetName val="六纺"/>
      <sheetName val="邮件发送资料"/>
      <sheetName val="inventory2002"/>
      <sheetName val="PPV2002"/>
      <sheetName val="Disposition"/>
      <sheetName val="1"/>
      <sheetName val="售后回租应付款"/>
      <sheetName val="InvoiceList"/>
      <sheetName val="Swap Curve Inputs"/>
      <sheetName val="BS2"/>
      <sheetName val="B30"/>
      <sheetName val="SET_UP"/>
      <sheetName val="IS Summary-96"/>
      <sheetName val="BOX SUM"/>
      <sheetName val="ye"/>
      <sheetName val="H R"/>
      <sheetName val="OTA"/>
      <sheetName val="Business Unit"/>
      <sheetName val="DB"/>
      <sheetName val="Sheet1 (11)"/>
      <sheetName val="15"/>
      <sheetName val="Corp"/>
      <sheetName val="BOC Classic"/>
      <sheetName val="Sign Off Form"/>
      <sheetName val="Breakdown on Retail Loan Grade"/>
      <sheetName val="hiddenSheet1"/>
      <sheetName val="表0-汇总表"/>
      <sheetName val="WORKING"/>
      <sheetName val="Face of the report"/>
      <sheetName val="OrgList"/>
      <sheetName val="Balanza"/>
      <sheetName val="Nov,01"/>
      <sheetName val="Category"/>
      <sheetName val="Cover_CT"/>
      <sheetName val="校验"/>
      <sheetName val="2003 scrapped"/>
      <sheetName val="Defn"/>
      <sheetName val="Database"/>
      <sheetName val="COST FINAL"/>
      <sheetName val="Bal Dolares"/>
      <sheetName val="C.现金"/>
      <sheetName val="D.交易性金融资产"/>
      <sheetName val="A3.试算表"/>
      <sheetName val="G.预付"/>
      <sheetName val="G.其他应收款"/>
      <sheetName val="J.工程物资"/>
      <sheetName val="K.生物资产"/>
      <sheetName val="L.开发支出"/>
      <sheetName val="L.一年内到期长期资产"/>
      <sheetName val="L.长期应收"/>
      <sheetName val="L.HK单列无形"/>
      <sheetName val="M.衍生金融负债"/>
      <sheetName val="M.交易性金融负债"/>
      <sheetName val="M.带息借款-流动"/>
      <sheetName val="M.无息借款-流动"/>
      <sheetName val="M.其他金融负债"/>
      <sheetName val="N.应付贸易款及票据"/>
      <sheetName val="O.应交所得税"/>
      <sheetName val="P.预收"/>
      <sheetName val="Q.递延收益"/>
      <sheetName val="Q.带息借款-非流动"/>
      <sheetName val="Q.无息借款-非流动"/>
      <sheetName val="T.少数股东"/>
      <sheetName val="T.专项储备"/>
      <sheetName val="U.财务成本"/>
      <sheetName val="U.财务收入"/>
      <sheetName val="U.公允价值变动收益"/>
      <sheetName val="U.管理费用"/>
      <sheetName val="U.资产减值损失"/>
      <sheetName val="U.投资收益"/>
      <sheetName val="U.营业外"/>
      <sheetName val="U.其他费用"/>
      <sheetName val="U.其他收入"/>
      <sheetName val="U.其他业务"/>
      <sheetName val="Cust List"/>
      <sheetName val="charts"/>
      <sheetName val="µ|²vªí"/>
      <sheetName val="H101"/>
      <sheetName val="Links"/>
      <sheetName val="P&amp;L Consol"/>
      <sheetName val="Accounts receivables"/>
      <sheetName val="AP-RPT "/>
      <sheetName val="U1100"/>
      <sheetName val="U1120"/>
      <sheetName val="CX_ELIM"/>
      <sheetName val="2007_12折旧差异"/>
      <sheetName val="FA_Roll_to_GL_(p_2)"/>
      <sheetName val="Lead_(p_1)"/>
      <sheetName val="Lease_AP_2008"/>
      <sheetName val="Invoice_detail"/>
      <sheetName val="Net_REVENUE"/>
      <sheetName val="Stock_Chart"/>
      <sheetName val="Final_sample_listing"/>
      <sheetName val="Hidden_Lists"/>
      <sheetName val="Mthly_Data"/>
      <sheetName val="DATA_INPUT"/>
      <sheetName val="Global_Data"/>
      <sheetName val="DEC_Bank"/>
      <sheetName val="5_基础档案"/>
      <sheetName val="其他业务成本_111031"/>
      <sheetName val="TAB_Daten"/>
      <sheetName val="JE_-_Depn_Sept"/>
      <sheetName val="T__B"/>
      <sheetName val="Chart_of_Acct"/>
      <sheetName val="7_-_ARO_Assumptions"/>
      <sheetName val="Graph_1"/>
      <sheetName val="A6620_Detail"/>
      <sheetName val="SUMMARY_OUTSTANDING"/>
      <sheetName val="固定资产增减表#0_00__"/>
      <sheetName val="IRR_&amp;_NPV"/>
      <sheetName val="Beg-_End_balance"/>
      <sheetName val="附表32_-_无形资产明细表"/>
      <sheetName val="K1_Tax_computation"/>
      <sheetName val="MasterList"/>
      <sheetName val="封面"/>
      <sheetName val="Input Sheet"/>
      <sheetName val="P&amp;L PP"/>
      <sheetName val="Flash-pp"/>
      <sheetName val="PY-pp"/>
      <sheetName val="MYF-pp"/>
      <sheetName val="Asset9809CAK"/>
      <sheetName val="Asset98-CAK"/>
      <sheetName val="Lists"/>
      <sheetName val="SBUList"/>
      <sheetName val="DEC GL"/>
      <sheetName val="Rev Sen"/>
      <sheetName val="Case"/>
      <sheetName val="MetaData"/>
      <sheetName val="CHART_E"/>
      <sheetName val="BARS"/>
      <sheetName val="XL4Poppy"/>
      <sheetName val="212101"/>
      <sheetName val="办事处经费"/>
      <sheetName val="办事处市场部经费"/>
      <sheetName val="营销人员借款"/>
      <sheetName val="离职营销人员借款"/>
      <sheetName val="公司备用金"/>
      <sheetName val="律师"/>
      <sheetName val="长投明细"/>
      <sheetName val="多辅助核算汇总by 客户"/>
      <sheetName val="G140"/>
      <sheetName val="Non-Statistical Sampling Master"/>
      <sheetName val="Two Step Revenue Testing Master"/>
      <sheetName val="物流费用预算表(A4)"/>
      <sheetName val="销售费用预算表(A4)"/>
      <sheetName val="管理费用预算表(A4)"/>
      <sheetName val="信息费用预算表(A4) "/>
      <sheetName val="研发费用预算明细表A3"/>
      <sheetName val="制造成本预算表A3"/>
      <sheetName val="索引"/>
      <sheetName val="数据模板1"/>
      <sheetName val="表格清单"/>
      <sheetName val="综合成本分析01.01-0205"/>
      <sheetName val="CBCN"/>
      <sheetName val="SAP vs Oracle1"/>
      <sheetName val="DEFLEET APR-05"/>
      <sheetName val="detail"/>
      <sheetName val="Cash Flow"/>
      <sheetName val="（ご参考）イールドカーブ 0.5年単位※コピー不可"/>
      <sheetName val="制造费用分项明细表"/>
      <sheetName val="Validation source"/>
      <sheetName val="Allgem. Angaben"/>
      <sheetName val="前提1-综合"/>
      <sheetName val="K(GDH)"/>
      <sheetName val="A3.试算表Financial statement"/>
      <sheetName val="K.固定资产&amp;投资性房地产"/>
      <sheetName val="車会集約"/>
      <sheetName val="03合并附注"/>
      <sheetName val="制费-分月"/>
      <sheetName val="BU"/>
      <sheetName val="报表格式"/>
      <sheetName val="报告披露_非上市合并&amp;FIE"/>
      <sheetName val="brands"/>
      <sheetName val="基础数据"/>
      <sheetName val="成本科目数据"/>
      <sheetName val="2006DEP.sap data"/>
      <sheetName val="Phase2 movementDEC"/>
      <sheetName val="Phase1f.a.DEC"/>
      <sheetName val="Phase2 f.a.DEC (2)"/>
      <sheetName val="C - Cash and Bank"/>
      <sheetName val="AJEs &amp; RJEs"/>
      <sheetName val="Vauxhall Opel 30004"/>
      <sheetName val="HKBUD"/>
      <sheetName val="科目余额表"/>
      <sheetName val="管理费用表"/>
      <sheetName val="PBC - PHS"/>
      <sheetName val="output"/>
      <sheetName val="cost"/>
      <sheetName val="NAV Output"/>
      <sheetName val="明细分类账"/>
      <sheetName val="所有凭证"/>
      <sheetName val="adj10#-b"/>
      <sheetName val="Netearnanal"/>
      <sheetName val="参数"/>
      <sheetName val="00PSC"/>
      <sheetName val="ID"/>
      <sheetName val="Financial Exp明细分类账"/>
      <sheetName val="FA Addition"/>
      <sheetName val="损（蓝5）"/>
      <sheetName val="UNIT"/>
      <sheetName val="评估结论"/>
      <sheetName val="act_96"/>
      <sheetName val="订单418"/>
      <sheetName val="YS02-02"/>
      <sheetName val="无形资产、长期待摊费用、开办费鉴证表"/>
      <sheetName val="应交税金明细表"/>
      <sheetName val="dxnsjtempsheet"/>
      <sheetName val="CBUGL"/>
      <sheetName val="VCC 11110-461"/>
      <sheetName val="U120"/>
      <sheetName val="Staff List"/>
      <sheetName val="M Schedules"/>
      <sheetName val="2002-H300"/>
      <sheetName val="2001-H300"/>
      <sheetName val="销管费用明细"/>
      <sheetName val="D3"/>
      <sheetName val="NON-TP-ABB"/>
      <sheetName val="E100"/>
      <sheetName val="N100"/>
      <sheetName val="胡匀匀"/>
      <sheetName val="P11"/>
      <sheetName val="AVIM"/>
      <sheetName val="Info. Request"/>
      <sheetName val="中行汇率表"/>
      <sheetName val="STATPARA"/>
      <sheetName val="Menu"/>
      <sheetName val="conCF"/>
      <sheetName val="conWP"/>
      <sheetName val="conBS"/>
      <sheetName val="conCE"/>
      <sheetName val="conIS"/>
      <sheetName val="母公司TB"/>
      <sheetName val="FLdeleted"/>
      <sheetName val="长期股权投资Dy"/>
      <sheetName val="投资收益Dy"/>
      <sheetName val="存货_库存商品Dy"/>
      <sheetName val="应付工资Dy"/>
      <sheetName val="应付福利费Dy"/>
      <sheetName val="预提费用Dy"/>
      <sheetName val="主营业务成本Dy"/>
      <sheetName val="分录"/>
      <sheetName val="长期股权投资Mx"/>
      <sheetName val="存货_库存商品Mx"/>
      <sheetName val="应付工资Mx"/>
      <sheetName val="应付福利费Mx"/>
      <sheetName val="预提费用Mx"/>
      <sheetName val="主营业务成本Mx"/>
      <sheetName val="短期投资Dy"/>
      <sheetName val="September-IVC"/>
      <sheetName val="Octomber-IVC"/>
      <sheetName val="August-IVC"/>
      <sheetName val="July-IVC"/>
      <sheetName val="Filtered_IML"/>
      <sheetName val="Trial Balance"/>
      <sheetName val="Account"/>
      <sheetName val="学历"/>
      <sheetName val="GP Analysis"/>
      <sheetName val="表二甲机务F型"/>
      <sheetName val="RE Mov't"/>
      <sheetName val="GZ_MOP"/>
      <sheetName val="2008"/>
      <sheetName val="总部帐2"/>
      <sheetName val="Drop List References"/>
      <sheetName val="May"/>
      <sheetName val="Client Data"/>
      <sheetName val="5050 Bank HKD"/>
      <sheetName val="Mth"/>
      <sheetName val="Variance by Mth"/>
      <sheetName val="LBO"/>
      <sheetName val="ASP from Barb"/>
      <sheetName val="OMFG Cost"/>
      <sheetName val="PAL&amp;DPAL AP610"/>
      <sheetName val="母公司应交税金明细表（含泵送）"/>
      <sheetName val="Bank_Table"/>
      <sheetName val="STD__COST"/>
      <sheetName val="Invested_Capital"/>
      <sheetName val="综合成本分析01_01-0205"/>
      <sheetName val="HFC-GA-OR-000041 - reclass 1945"/>
      <sheetName val="NKCR_comm_scheme"/>
      <sheetName val="NKCR_appliedrates"/>
      <sheetName val="KCR_comm_scheme"/>
      <sheetName val="Settings"/>
      <sheetName val="tf04"/>
      <sheetName val="OP-930"/>
      <sheetName val="fee_tabel"/>
      <sheetName val="IDA Project"/>
      <sheetName val="Controls"/>
      <sheetName val="RMB"/>
      <sheetName val="平衡测试"/>
      <sheetName val="基础信息"/>
      <sheetName val="IncidentsEAP"/>
      <sheetName val="Dimensions"/>
      <sheetName val="IBA&amp;HP"/>
      <sheetName val="Inc&amp;Exp"/>
      <sheetName val="Sheet2 (3)"/>
      <sheetName val="gares 02 BON FICHIER "/>
      <sheetName val="Oct Starts Plan"/>
      <sheetName val="Invest "/>
      <sheetName val="2. PPR REVENUE APR10"/>
      <sheetName val="PLALL"/>
      <sheetName val="IR_Deckblatt"/>
      <sheetName val="FP"/>
      <sheetName val="COS1"/>
      <sheetName val="COS2"/>
      <sheetName val="COS3"/>
      <sheetName val="COS4"/>
      <sheetName val="PL1"/>
      <sheetName val="PL2"/>
      <sheetName val="PL3"/>
      <sheetName val="PL4"/>
      <sheetName val="GM Trend"/>
      <sheetName val="GM% Trend"/>
      <sheetName val="Linearity"/>
      <sheetName val="Linearity Chart"/>
      <sheetName val="NP Trend"/>
      <sheetName val="Recon"/>
      <sheetName val="Rev Trend"/>
      <sheetName val="Rev-GM Detail 1"/>
      <sheetName val="Rev-GM Detail 2"/>
      <sheetName val="Rev Mix Trend"/>
      <sheetName val="SUMMARY (EXPD)"/>
      <sheetName val="SUMMARY (%)"/>
      <sheetName val="QTD TO GO"/>
      <sheetName val="1月"/>
      <sheetName val="15、采购订单"/>
      <sheetName val="JAC11.30"/>
      <sheetName val="Share Prices"/>
      <sheetName val="oifi01"/>
      <sheetName val="Product Costs"/>
      <sheetName val="N719(NC)"/>
      <sheetName val="敏感性"/>
      <sheetName val="H_Lead"/>
      <sheetName val="K311 A_List02"/>
      <sheetName val="Detail Loan Move. &amp; Listing"/>
      <sheetName val="AP Recap"/>
      <sheetName val="新准则TB"/>
      <sheetName val="试算平衡表"/>
      <sheetName val="XBase"/>
      <sheetName val="银行存款余额验证表"/>
      <sheetName val="BalSheetBUD"/>
      <sheetName val="BE Environmental Group Ltd"/>
      <sheetName val="CAL-TB-MFG"/>
      <sheetName val="Aging Datasheet"/>
      <sheetName val="ECCS_1 DataSheet"/>
      <sheetName val="KPI Datasheet"/>
      <sheetName val="核对表"/>
      <sheetName val="TEE"/>
      <sheetName val="表三甲"/>
      <sheetName val="11-1"/>
      <sheetName val="Sheet10"/>
      <sheetName val="Sheet19"/>
      <sheetName val="Sheet16"/>
      <sheetName val="Sheet6"/>
      <sheetName val="Sheet5"/>
      <sheetName val="Sheet11"/>
      <sheetName val="Sheet12"/>
      <sheetName val="Breakdown"/>
      <sheetName val="R&amp;D P"/>
      <sheetName val="Costs成本"/>
      <sheetName val="ACTINV"/>
      <sheetName val="0406_Grade_data"/>
      <sheetName val="0412_Grade_data"/>
      <sheetName val="退休基本情况说明"/>
      <sheetName val="P504_3.Expected life"/>
      <sheetName val="16. Appendix - Intercompany Ref"/>
      <sheetName val="jg"/>
      <sheetName val="AUD_Rates"/>
      <sheetName val="Toolbox"/>
      <sheetName val="会计科目对照表"/>
      <sheetName val="Grading Summary"/>
      <sheetName val="Financ. Overview"/>
      <sheetName val="完"/>
      <sheetName val="29-1 贴现融资-回购式"/>
      <sheetName val="年报财务资料追加报表一览表"/>
      <sheetName val="analysis"/>
      <sheetName val="加压泵房"/>
      <sheetName val="100172"/>
      <sheetName val="INIT"/>
      <sheetName val="TB Link"/>
      <sheetName val="SCTB"/>
      <sheetName val="Benefit Tracking"/>
      <sheetName val="Benefit Form"/>
      <sheetName val="Cntmrs-Recruit"/>
      <sheetName val="UFPrn20031111164207"/>
      <sheetName val="Romford Market"/>
      <sheetName val="Calcul"/>
      <sheetName val="E15"/>
      <sheetName val="Equity Development"/>
      <sheetName val="K204"/>
      <sheetName val="机器设备"/>
      <sheetName val="Data Validation"/>
      <sheetName val="被审计单位清单"/>
      <sheetName val="Financial documents"/>
      <sheetName val="Upload Apr 13"/>
      <sheetName val="MET_H_KK"/>
      <sheetName val="USCV3"/>
      <sheetName val="Deposit"/>
      <sheetName val="(QB0) Global Properties"/>
      <sheetName val="(QB1) Quick Budget"/>
      <sheetName val="(QB3) StaffAllocation"/>
      <sheetName val="Form B5"/>
      <sheetName val="(B1)WorkAcquis"/>
      <sheetName val="Air Conditional"/>
      <sheetName val="Equipment"/>
      <sheetName val="Motor Vehicle"/>
      <sheetName val="Renovation"/>
      <sheetName val="Raw materials"/>
      <sheetName val="A300 (to del)"/>
      <sheetName val="EX-TGS"/>
      <sheetName val="Iron Curtain Method"/>
      <sheetName val="co_code"/>
      <sheetName val="BS - USGAAP"/>
      <sheetName val="資料庫"/>
      <sheetName val="WACC Conclusion"/>
      <sheetName val="Terminal Value"/>
      <sheetName val="Exh B-5"/>
      <sheetName val="Exh B-2"/>
      <sheetName val="Exh B-6"/>
      <sheetName val="Exh B-8"/>
      <sheetName val="Exh B-4"/>
      <sheetName val="Exh B-3"/>
      <sheetName val="Exh B-7"/>
      <sheetName val="Exh B-1"/>
      <sheetName val="CapitalUsage"/>
      <sheetName val="Positions_PandL"/>
      <sheetName val="ACTvsFST"/>
      <sheetName val="D3-1"/>
      <sheetName val="ExchEntry"/>
      <sheetName val="PltRpt (A&amp;F)"/>
      <sheetName val="PltRpt (A&amp;FvsB)"/>
      <sheetName val="PltRpt (B&amp;AC)"/>
      <sheetName val="AcctChEntry"/>
      <sheetName val="Schedule B"/>
      <sheetName val="Print Controls"/>
      <sheetName val="采购订单"/>
      <sheetName val="&lt;FF&gt; Tax Payable"/>
      <sheetName val="代码表"/>
      <sheetName val="核銷表"/>
      <sheetName val="调整说明"/>
      <sheetName val="现 金 流 量 表"/>
      <sheetName val="ITS budget for FY05"/>
      <sheetName val="Full Assets List"/>
      <sheetName val="ARP for BS"/>
      <sheetName val="C102"/>
      <sheetName val="ARP for P&amp;L"/>
      <sheetName val="2売掛金残高比較"/>
      <sheetName val="1売上債権期間分析"/>
      <sheetName val="adj."/>
      <sheetName val="DCF_VDF"/>
      <sheetName val="NOPAT_VDF"/>
      <sheetName val="Invested capital_VDF"/>
      <sheetName val="Summary Page_VDF"/>
      <sheetName val="2004"/>
      <sheetName val="POLYOLEFINS"/>
      <sheetName val="over"/>
      <sheetName val="加入者数集計"/>
      <sheetName val="fin data"/>
      <sheetName val="92,93"/>
      <sheetName val="94"/>
      <sheetName val="G301(01)"/>
      <sheetName val="COA "/>
      <sheetName val="A3_conso"/>
      <sheetName val="收入明细－按客户"/>
      <sheetName val="A3_影视技术"/>
      <sheetName val="WACC and EV Inputs"/>
      <sheetName val="DATA GPC"/>
      <sheetName val="EBIT Reconciliation"/>
      <sheetName val="START"/>
      <sheetName val="DCF"/>
      <sheetName val="Ranking"/>
      <sheetName val="Depreciation and Tax Benefit"/>
      <sheetName val="INC STAT Hist Input"/>
      <sheetName val="PFI Inputs"/>
      <sheetName val="Reference"/>
      <sheetName val="Error Check"/>
      <sheetName val="NOL Tax Benefit"/>
      <sheetName val="Segment Information"/>
      <sheetName val="PFI Inc Stat Common Size"/>
      <sheetName val="PFI Inc Stat"/>
      <sheetName val="WACC"/>
      <sheetName val="Tax Amortization Benefit"/>
      <sheetName val="表21 净利润调节表"/>
      <sheetName val="U210_租赁PIT-上海朗昇"/>
      <sheetName val="U210_租赁PIT-上海启昇"/>
      <sheetName val="F_OH"/>
      <sheetName val="C_301"/>
      <sheetName val="C_311"/>
      <sheetName val="C_318"/>
      <sheetName val="P &amp; L Account"/>
      <sheetName val="Pick Lists"/>
      <sheetName val="目錄"/>
      <sheetName val="表2&lt;销售出库单&gt;"/>
      <sheetName val="P1398"/>
      <sheetName val="P1397"/>
      <sheetName val="1-11"/>
      <sheetName val="SFS(BUDGET)"/>
      <sheetName val="CONTENTS"/>
      <sheetName val="OTHER(FLASH)"/>
      <sheetName val="B-4_2"/>
      <sheetName val="nj-Mixed"/>
      <sheetName val="sz-Mixed"/>
      <sheetName val=" FY2000"/>
      <sheetName val="2002(7)"/>
      <sheetName val="收入_按产品类别（旧版已作废）_"/>
      <sheetName val="销售收入A4"/>
      <sheetName val="A1000"/>
      <sheetName val="14480000"/>
      <sheetName val="Par"/>
      <sheetName val="6621"/>
      <sheetName val="ARCELIK项目收入成本"/>
      <sheetName val="ee&amp;offsort"/>
      <sheetName val="New Cancelled Breakout"/>
      <sheetName val="OfficerList"/>
      <sheetName val="VestTemp&amp;Typeclean"/>
      <sheetName val="0000"/>
      <sheetName val="14.04.03"/>
      <sheetName val="AmeSum"/>
      <sheetName val="EMEASum"/>
      <sheetName val="HPCoSum"/>
      <sheetName val="OGSum"/>
      <sheetName val="APJSum"/>
      <sheetName val="ADRESSES"/>
      <sheetName val="Rented Equipment"/>
      <sheetName val="工料机"/>
      <sheetName val="附件四  第三方后台收集信息表"/>
      <sheetName val="Key_Inputs"/>
      <sheetName val="1.2_CoCo_Financials_Meta"/>
      <sheetName val="1_ShortName_Calculation_Meta"/>
      <sheetName val="BOM for Nexum IV"/>
      <sheetName val="Questions"/>
      <sheetName val="Equity Index"/>
      <sheetName val="CX_ELIM1"/>
      <sheetName val="2007_12折旧差异1"/>
      <sheetName val="FA_Roll_to_GL_(p_2)1"/>
      <sheetName val="Lead_(p_1)1"/>
      <sheetName val="Lease_AP_20081"/>
      <sheetName val="Invoice_detail1"/>
      <sheetName val="Net_REVENUE1"/>
      <sheetName val="Stock_Chart1"/>
      <sheetName val="Final_sample_listing1"/>
      <sheetName val="Hidden_Lists1"/>
      <sheetName val="Mthly_Data1"/>
      <sheetName val="DATA_INPUT1"/>
      <sheetName val="Global_Data1"/>
      <sheetName val="DEC_Bank1"/>
      <sheetName val="5_基础档案1"/>
      <sheetName val="其他业务成本_1110311"/>
      <sheetName val="TAB_Daten1"/>
      <sheetName val="JE_-_Depn_Sept1"/>
      <sheetName val="T__B1"/>
      <sheetName val="Chart_of_Acct1"/>
      <sheetName val="7_-_ARO_Assumptions1"/>
      <sheetName val="Graph_11"/>
      <sheetName val="A6620_Detail1"/>
      <sheetName val="SUMMARY_OUTSTANDING1"/>
      <sheetName val="固定资产增减表#0_00__1"/>
      <sheetName val="IRR_&amp;_NPV1"/>
      <sheetName val="Beg-_End_balance1"/>
      <sheetName val="附表32_-_无形资产明细表1"/>
      <sheetName val="K1_Tax_computation1"/>
      <sheetName val="Repayment_Summary"/>
      <sheetName val="Comp_equip"/>
      <sheetName val="1_1_Project_Data"/>
      <sheetName val="C_货币资金"/>
      <sheetName val="C_抵押存款"/>
      <sheetName val="D_可供出售投资-流动"/>
      <sheetName val="D_衍生金融资产"/>
      <sheetName val="D_持有至到期投资-流动"/>
      <sheetName val="D_短期投资"/>
      <sheetName val="D_单列金融资产"/>
      <sheetName val="A5_dim&amp;adj_sum"/>
      <sheetName val="E_应收账款"/>
      <sheetName val="E_应收贸易款及票据"/>
      <sheetName val="E_应收票据"/>
      <sheetName val="F_存货"/>
      <sheetName val="F_房地产"/>
      <sheetName val="G_预付账款&amp;其他应收款&amp;待摊费用"/>
      <sheetName val="G_应收股利"/>
      <sheetName val="G_待售资产"/>
      <sheetName val="G_HK其他应收"/>
      <sheetName val="G_应收利息"/>
      <sheetName val="G_其他流动资产"/>
      <sheetName val="H_可供出售投资-非流动"/>
      <sheetName val="H_HK长投"/>
      <sheetName val="H_商誉"/>
      <sheetName val="H_持有至到期投资-非流动"/>
      <sheetName val="H_投资性房地产"/>
      <sheetName val="H_PRC长投"/>
      <sheetName val="I_应收关联方"/>
      <sheetName val="I_应付关联方"/>
      <sheetName val="J_在建工程"/>
      <sheetName val="K_固定资产"/>
      <sheetName val="K_固定资产清理"/>
      <sheetName val="L_一年内到期的长期债权投资"/>
      <sheetName val="L_无形"/>
      <sheetName val="L_长期待摊"/>
      <sheetName val="L_其他长期资产"/>
      <sheetName val="M_短借"/>
      <sheetName val="N_应付账款"/>
      <sheetName val="N_应付票据"/>
      <sheetName val="P_预收账款&amp;其他应付款&amp;应付职工薪酬&amp;预提费用&amp;其他应交款"/>
      <sheetName val="U_其他业务收支&amp;营业外收支&amp;补贴收入&amp;利息收入"/>
      <sheetName val="U_所得税"/>
      <sheetName val="O_递延税资产"/>
      <sheetName val="O_递延税负债"/>
      <sheetName val="O_应交税费"/>
      <sheetName val="U_税金及附加"/>
      <sheetName val="P_应付股利"/>
      <sheetName val="P_HK其他应付"/>
      <sheetName val="P_应付利息"/>
      <sheetName val="P_其他应付款"/>
      <sheetName val="P_其他流动负债"/>
      <sheetName val="P_应付职工薪酬"/>
      <sheetName val="P_预计负债"/>
      <sheetName val="Q_应付债券"/>
      <sheetName val="Q_可转债"/>
      <sheetName val="Q_政府补助"/>
      <sheetName val="Q_一年内到期负债"/>
      <sheetName val="Q_应付融资租赁款"/>
      <sheetName val="Q_长借"/>
      <sheetName val="Q_长期应付"/>
      <sheetName val="Q_其他长期负债"/>
      <sheetName val="Q_专项应付"/>
      <sheetName val="T_股本"/>
      <sheetName val="T_资本公积"/>
      <sheetName val="T_折算差额"/>
      <sheetName val="T_未分配利润"/>
      <sheetName val="T_盈余公积"/>
      <sheetName val="U_主营业务"/>
      <sheetName val="U_财务费用"/>
      <sheetName val="U_投资收益&amp;公允价值变动收益"/>
      <sheetName val="U_管理费用&amp;资产减值损失"/>
      <sheetName val="U_成本倒轧表&amp;制造费用"/>
      <sheetName val="U_销售费用"/>
      <sheetName val="U_分占下属损益"/>
      <sheetName val="Key_Assumptions"/>
      <sheetName val="A3_&amp;_U_09-01"/>
      <sheetName val="Volumen_AOP_2004"/>
      <sheetName val="客戶清單customer_list"/>
      <sheetName val="All_Cash_Dil"/>
      <sheetName val="Input_A"/>
      <sheetName val="STD__COST1"/>
      <sheetName val="Bank_Table1"/>
      <sheetName val="Invested_Capital1"/>
      <sheetName val="Addbacks_-_Slide_8"/>
      <sheetName val="Financial_Statistics"/>
      <sheetName val="US_Disclosure"/>
      <sheetName val="I20_b_Disclosure_Lead"/>
      <sheetName val="I20_LEAD"/>
      <sheetName val="I20-1_FWD"/>
      <sheetName val="I20-2_CNYFWD"/>
      <sheetName val="I20-3_FXS"/>
      <sheetName val="I20-4_CNYS"/>
      <sheetName val="I20-5_IRS"/>
      <sheetName val="I20-7_TOD"/>
      <sheetName val="I20-7-1_TOD_Breakdown"/>
      <sheetName val="I20-9_Comfirmation_summary"/>
      <sheetName val="Tests_of_control"/>
      <sheetName val="a_______"/>
      <sheetName val="loan_database"/>
      <sheetName val="BALANCE_SHEET"/>
      <sheetName val="Vendor_Data"/>
      <sheetName val="Original_Stefan"/>
      <sheetName val="Edo_Res"/>
      <sheetName val="L310-Adjustment_for_R&amp;D_cost"/>
      <sheetName val="PPE_Mov't-_HC_"/>
      <sheetName val="Sales_for_2001"/>
      <sheetName val="Audited_PL"/>
      <sheetName val="(i)_Fixed_assets-PBC"/>
      <sheetName val="Ex_Diff"/>
      <sheetName val="Profit_and_loss"/>
      <sheetName val="UKLF_Portfolio"/>
      <sheetName val="Invoice_Template"/>
      <sheetName val="Veh_Info"/>
      <sheetName val="1_1银行函证CC"/>
      <sheetName val="Chart_of_Account"/>
      <sheetName val="zero_(3)"/>
      <sheetName val="2weeeks_All__Excess_and_Shortag"/>
      <sheetName val="Exchange_Rate_&amp;_Costs"/>
      <sheetName val="ADJ_Sum(console)"/>
      <sheetName val="Feb_2016"/>
      <sheetName val="PL_summary"/>
      <sheetName val="BJ_Expenses"/>
      <sheetName val="Sample_Rev"/>
      <sheetName val="Sample_IS"/>
      <sheetName val="Probability_View"/>
      <sheetName val="FIN_GOOD"/>
      <sheetName val="BlueCross_table"/>
      <sheetName val="Bank_card_list"/>
      <sheetName val="Face_of_the_report"/>
      <sheetName val="Sheet1_(11)"/>
      <sheetName val="COST_FINAL"/>
      <sheetName val="Bal_Dolares"/>
      <sheetName val="C_现金"/>
      <sheetName val="D_交易性金融资产"/>
      <sheetName val="A3_试算表"/>
      <sheetName val="G_预付"/>
      <sheetName val="G_其他应收款"/>
      <sheetName val="J_工程物资"/>
      <sheetName val="K_生物资产"/>
      <sheetName val="L_开发支出"/>
      <sheetName val="L_一年内到期长期资产"/>
      <sheetName val="L_长期应收"/>
      <sheetName val="L_HK单列无形"/>
      <sheetName val="M_衍生金融负债"/>
      <sheetName val="M_交易性金融负债"/>
      <sheetName val="M_带息借款-流动"/>
      <sheetName val="M_无息借款-流动"/>
      <sheetName val="M_其他金融负债"/>
      <sheetName val="N_应付贸易款及票据"/>
      <sheetName val="O_应交所得税"/>
      <sheetName val="P_预收"/>
      <sheetName val="Q_递延收益"/>
      <sheetName val="Q_带息借款-非流动"/>
      <sheetName val="Q_无息借款-非流动"/>
      <sheetName val="T_少数股东"/>
      <sheetName val="T_专项储备"/>
      <sheetName val="U_财务成本"/>
      <sheetName val="U_财务收入"/>
      <sheetName val="U_公允价值变动收益"/>
      <sheetName val="U_管理费用"/>
      <sheetName val="U_资产减值损失"/>
      <sheetName val="U_投资收益"/>
      <sheetName val="U_营业外"/>
      <sheetName val="U_其他费用"/>
      <sheetName val="U_其他收入"/>
      <sheetName val="U_其他业务"/>
      <sheetName val="Cust_List"/>
      <sheetName val="P&amp;L_Consol"/>
      <sheetName val="H_R"/>
      <sheetName val="1102_(2)"/>
      <sheetName val="Income_Tax"/>
      <sheetName val="Movement_under_PRC&amp;TW"/>
      <sheetName val="Returns_Backup"/>
      <sheetName val="Int_Rates"/>
      <sheetName val="Cash_&amp;_Bank"/>
      <sheetName val="truc_tiep"/>
      <sheetName val="by_category"/>
      <sheetName val="Q_CF-E01"/>
      <sheetName val="A14_Long_Term_Investment_"/>
      <sheetName val="2006DEP_sap_data"/>
      <sheetName val="Phase2_movementDEC"/>
      <sheetName val="Phase1f_a_DEC"/>
      <sheetName val="Phase2_f_a_DEC_(2)"/>
      <sheetName val="C_-_Cash_and_Bank"/>
      <sheetName val="Swap_Curve_Inputs"/>
      <sheetName val="IS_Summary-96"/>
      <sheetName val="BOX_SUM"/>
      <sheetName val="Business_Unit"/>
      <sheetName val="BOC_Classic"/>
      <sheetName val="Sign_Off_Form"/>
      <sheetName val="Breakdown_on_Retail_Loan_Grade"/>
      <sheetName val="2003_scrapped"/>
      <sheetName val="Accounts_receivables"/>
      <sheetName val="AP-RPT_"/>
      <sheetName val="Input_Sheet"/>
      <sheetName val="P&amp;L_PP"/>
      <sheetName val="DEC_GL"/>
      <sheetName val="Rev_Sen"/>
      <sheetName val="多辅助核算汇总by_客户"/>
      <sheetName val="Non-Statistical_Sampling_Master"/>
      <sheetName val="Two_Step_Revenue_Testing_Master"/>
      <sheetName val="信息费用预算表(A4)_"/>
      <sheetName val="综合成本分析01_01-02051"/>
      <sheetName val="SAP_vs_Oracle1"/>
      <sheetName val="DEFLEET_APR-05"/>
      <sheetName val="Cash_Flow1"/>
      <sheetName val="（ご参考）イールドカーブ_0_5年単位※コピー不可"/>
      <sheetName val="Validation_source"/>
      <sheetName val="Allgem__Angaben"/>
      <sheetName val="A3_试算表Financial_statement"/>
      <sheetName val="K_固定资产&amp;投资性房地产"/>
      <sheetName val="AJEs_&amp;_RJEs"/>
      <sheetName val="Vauxhall_Opel_30004"/>
      <sheetName val="PBC_-_PHS"/>
      <sheetName val="NAV_Output"/>
      <sheetName val="Financial_Exp明细分类账"/>
      <sheetName val="FA_Addition"/>
      <sheetName val="VCC_11110-461"/>
      <sheetName val="Staff_List"/>
      <sheetName val="M_Schedules"/>
      <sheetName val="Info__Request"/>
      <sheetName val="Trial_Balance"/>
      <sheetName val="GP_Analysis"/>
      <sheetName val="RE_Mov't"/>
      <sheetName val="Drop_List_References"/>
      <sheetName val="Client_Data"/>
      <sheetName val="5050_Bank_HKD"/>
      <sheetName val="Variance_by_Mth"/>
      <sheetName val="ASP_from_Barb"/>
      <sheetName val="OMFG_Cost"/>
      <sheetName val="PAL&amp;DPAL_AP610"/>
      <sheetName val="HFC-GA-OR-000041_-_reclass_1945"/>
      <sheetName val="IDA_Project"/>
      <sheetName val="Sheet2_(3)"/>
      <sheetName val="gares_02_BON_FICHIER_"/>
      <sheetName val="Oct_Starts_Plan"/>
      <sheetName val="Invest_"/>
      <sheetName val="2__PPR_REVENUE_APR10"/>
      <sheetName val="GM_Trend"/>
      <sheetName val="GM%_Trend"/>
      <sheetName val="Linearity_Chart"/>
      <sheetName val="NP_Trend"/>
      <sheetName val="Rev_Trend"/>
      <sheetName val="Rev-GM_Detail_1"/>
      <sheetName val="Rev-GM_Detail_2"/>
      <sheetName val="Rev_Mix_Trend"/>
      <sheetName val="SUMMARY_(EXPD)"/>
      <sheetName val="SUMMARY_(%)"/>
      <sheetName val="QTD_TO_GO"/>
      <sheetName val="JAC11_30"/>
      <sheetName val="2008收发存"/>
      <sheetName val="Review pts"/>
      <sheetName val="四川住贸"/>
      <sheetName val="杭州山松"/>
      <sheetName val="吉林小松"/>
      <sheetName val="武汉小松"/>
      <sheetName val="西安安松"/>
      <sheetName val="FSA"/>
      <sheetName val="data elements"/>
      <sheetName val="U300"/>
      <sheetName val="U310"/>
      <sheetName val="AR"/>
      <sheetName val="BR"/>
      <sheetName val="CA"/>
      <sheetName val="CO"/>
      <sheetName val="EIU"/>
      <sheetName val="Euro"/>
      <sheetName val="FI"/>
      <sheetName val="LEB"/>
      <sheetName val="MEX"/>
      <sheetName val="S&amp;P"/>
      <sheetName val="UK"/>
      <sheetName val="存货汇总表10"/>
      <sheetName val="1-3"/>
      <sheetName val="基础条件"/>
      <sheetName val="Sheet9"/>
      <sheetName val="Valuation Summary"/>
      <sheetName val="Income Statement"/>
      <sheetName val="Revenue Output"/>
      <sheetName val="EBITDA"/>
      <sheetName val="Gross Profit"/>
      <sheetName val="Scenario"/>
      <sheetName val="K701"/>
      <sheetName val="Loan Movement "/>
      <sheetName val="SALE&amp;COST"/>
      <sheetName val="1102 MIT"/>
      <sheetName val="P412-2001"/>
      <sheetName val="P413-2002"/>
      <sheetName val="综合"/>
      <sheetName val="3-1-1现金"/>
      <sheetName val="成本台帐"/>
      <sheetName val="Centralisatie"/>
      <sheetName val="Mov from 2001 to 2003"/>
      <sheetName val="录入界面"/>
      <sheetName val="会计科目"/>
      <sheetName val="A500-Audit adjustment"/>
      <sheetName val="Config"/>
      <sheetName val="layout"/>
      <sheetName val="Tombstone"/>
      <sheetName val="Cover sheet"/>
      <sheetName val="Valspar"/>
      <sheetName val="抽凭"/>
      <sheetName val="F420SP_Breakdown"/>
      <sheetName val="other investment"/>
      <sheetName val="固定资产清单"/>
      <sheetName val="12.APaging附表"/>
      <sheetName val="Manual Adjustments"/>
      <sheetName val="Conversion Date"/>
      <sheetName val="Inventory"/>
      <sheetName val="总公司2002.12.31"/>
      <sheetName val="kczj0401"/>
      <sheetName val="Calculation step - AFPGD"/>
      <sheetName val="BJ"/>
      <sheetName val="gz"/>
      <sheetName val="sh"/>
      <sheetName val="Raw Mtl Prep"/>
      <sheetName val="借款变动"/>
      <sheetName val="U401(OK)"/>
      <sheetName val="开店"/>
      <sheetName val="应收账款Dy"/>
      <sheetName val="预收账款Dy"/>
      <sheetName val="主营业务收入Dy"/>
      <sheetName val="应收账款Mx"/>
      <sheetName val="p2-1"/>
      <sheetName val="Sales Seasonality by Month"/>
      <sheetName val="Cntry"/>
      <sheetName val="1Ed"/>
      <sheetName val="2Ed"/>
      <sheetName val="G7310_扬州餐厨"/>
      <sheetName val="G7180_高安Redo"/>
      <sheetName val="3A FA Record"/>
      <sheetName val="9B RUL Range"/>
      <sheetName val="基础数据2"/>
      <sheetName val="B.0"/>
      <sheetName val="Chart of acct "/>
      <sheetName val="9100-PO"/>
      <sheetName val="BI RATE"/>
      <sheetName val="AP-NR"/>
      <sheetName val="2007.12.31 暂估清单"/>
      <sheetName val="BKD-财务部"/>
      <sheetName val="GDH"/>
      <sheetName val="Equity"/>
      <sheetName val="company operations"/>
      <sheetName val="hangzhou2"/>
      <sheetName val="IT scope"/>
      <sheetName val="Basic_Information"/>
      <sheetName val="FORM14_2"/>
      <sheetName val="BEV"/>
      <sheetName val="Blank"/>
      <sheetName val="Total"/>
      <sheetName val="F &amp; S INV"/>
      <sheetName val="报表目录"/>
      <sheetName val="Investment Property"/>
      <sheetName val="&lt;原报&gt;资产负债表"/>
      <sheetName val="报表层次重要性水平"/>
      <sheetName val="所有者权益(股东权益)变动表(未审)"/>
      <sheetName val="#511-DEC97"/>
      <sheetName val="设备部房屋"/>
      <sheetName val="M_5A"/>
      <sheetName val="M_5C"/>
      <sheetName val="____"/>
      <sheetName val="预付账款Dy"/>
      <sheetName val="金利グラ"/>
      <sheetName val="租赁收入(80105)Breakdown"/>
      <sheetName val="抽样测试"/>
      <sheetName val="总"/>
      <sheetName val="利息7月-8月"/>
      <sheetName val="U 510"/>
      <sheetName val="0"/>
      <sheetName val="C_100Breakdown"/>
      <sheetName val="Sales_Prefinal"/>
      <sheetName val="AP_Prefinal"/>
      <sheetName val="应付明细"/>
      <sheetName val="14"/>
      <sheetName val="C_110函证控制表"/>
      <sheetName val="Open"/>
      <sheetName val="Product_Costs"/>
      <sheetName val="Share_Prices"/>
      <sheetName val="Detail_Loan_Move__&amp;_Listing"/>
      <sheetName val="Chart of accounts"/>
      <sheetName val="UFPrn20201203092258"/>
      <sheetName val="CY sales report"/>
      <sheetName val="预付账款明细表"/>
      <sheetName val="產成品收發明細表"/>
      <sheetName val="CHN03 5e"/>
      <sheetName val="CHN01 5e"/>
      <sheetName val="trib"/>
      <sheetName val="ARP-U201"/>
      <sheetName val="Börskurser"/>
      <sheetName val="销售费用截止"/>
      <sheetName val="管理费用截止"/>
      <sheetName val="To tied 2001 opening RE"/>
      <sheetName val="成品入库05"/>
      <sheetName val="EY data"/>
      <sheetName val="K311_A_List02"/>
      <sheetName val="AP_Recap"/>
      <sheetName val="BE_Environmental_Group_Ltd"/>
      <sheetName val="Aging_Datasheet"/>
      <sheetName val="ECCS_1_DataSheet"/>
      <sheetName val="KPI_Datasheet"/>
      <sheetName val="R&amp;D_P"/>
      <sheetName val="P504_3_Expected_life"/>
      <sheetName val="16__Appendix_-_Intercompany_Ref"/>
      <sheetName val="Grading_Summary"/>
      <sheetName val="Financ__Overview"/>
      <sheetName val="29-1_贴现融资-回购式"/>
      <sheetName val="调整"/>
      <sheetName val="Confirmation Letter"/>
      <sheetName val="crıter"/>
      <sheetName val="REF CBU"/>
      <sheetName val="9609Aß"/>
      <sheetName val="PKG"/>
      <sheetName val="집계표(OPTION)"/>
      <sheetName val="M"/>
      <sheetName val="邻酮定乙酚发出测试"/>
      <sheetName val="漢科合併"/>
      <sheetName val="Cost Rev(Lot16)"/>
      <sheetName val="月"/>
      <sheetName val="Mobile"/>
      <sheetName val="Company Info"/>
      <sheetName val="Budget"/>
      <sheetName val="LQE1"/>
      <sheetName val="LQE2"/>
      <sheetName val="LQE3"/>
      <sheetName val="PM"/>
      <sheetName val="GoTo"/>
      <sheetName val="B1-1001"/>
      <sheetName val="PTC"/>
      <sheetName val="E2 AR listing(not used)"/>
      <sheetName val="DETBIL"/>
      <sheetName val="外销涤布"/>
      <sheetName val="FY03"/>
      <sheetName val="Malli"/>
      <sheetName val="tax-ss"/>
      <sheetName val="G402."/>
      <sheetName val="原材料"/>
      <sheetName val="PPE (HKGAAP) 2002"/>
      <sheetName val="Economic evaluation - FY98 base"/>
      <sheetName val="OR"/>
      <sheetName val="U200"/>
      <sheetName val="审定表"/>
      <sheetName val="Assets"/>
      <sheetName val="DataEntry"/>
      <sheetName val="PAY REGISTER~Input Values"/>
      <sheetName val="UFPrn20081114105806"/>
      <sheetName val="E1020"/>
      <sheetName val="Mktcap Price"/>
      <sheetName val="Abbreviations"/>
      <sheetName val="E0 Design Interface chart"/>
      <sheetName val="销售订单（每月系统导出）"/>
      <sheetName val="03年1季度"/>
      <sheetName val="Mach &amp; equip"/>
      <sheetName val="Freezers"/>
      <sheetName val="Building"/>
      <sheetName val="1月明细汇总"/>
      <sheetName val="INPUT WH"/>
      <sheetName val="Input Open Orders"/>
      <sheetName val="______¡¤___¡À¨ª"/>
      <sheetName val="银行列表"/>
      <sheetName val="statement of account BT"/>
      <sheetName val="KE5Z detail"/>
      <sheetName val="Setup"/>
      <sheetName val="费用重分类"/>
      <sheetName val="B-6 investment"/>
      <sheetName val="汇总"/>
      <sheetName val="U.所得税2016"/>
      <sheetName val="O.递延税资产2016"/>
      <sheetName val="O.递延税负债2016"/>
      <sheetName val="T0调整表"/>
      <sheetName val="成形机"/>
      <sheetName val="1 LeadSchedule"/>
      <sheetName val="3 Analysis"/>
      <sheetName val="Module2"/>
      <sheetName val="资债比较原"/>
      <sheetName val="AA#11"/>
      <sheetName val="R-1"/>
      <sheetName val="COSTOMAT.XLS"/>
      <sheetName val="Base Info"/>
      <sheetName val="5 Analysis"/>
      <sheetName val="General"/>
      <sheetName val="GeneralInfo"/>
      <sheetName val="Credit Card"/>
      <sheetName val="1(分品种)"/>
      <sheetName val="Data List"/>
      <sheetName val="Irregular Income"/>
      <sheetName val="FE-1770.P1"/>
      <sheetName val="prod"/>
      <sheetName val="各店铺收入费用差异分析"/>
      <sheetName val="cg"/>
      <sheetName val="System"/>
      <sheetName val="Sum_of_Brand"/>
      <sheetName val="Sum_of_Model"/>
      <sheetName val="Sum_of_Manufacturer"/>
      <sheetName val="001Disclosure Summary"/>
      <sheetName val="CIP"/>
      <sheetName val="往来账龄-RPT"/>
      <sheetName val="V_Lead "/>
      <sheetName val="A3-100"/>
      <sheetName val="BS_ReportingDate"/>
      <sheetName val="CPost"/>
      <sheetName val="Journal"/>
      <sheetName val="Post"/>
      <sheetName val="OCT BANK"/>
      <sheetName val="Lockbox"/>
      <sheetName val="SC HKD CA"/>
      <sheetName val="G201os"/>
      <sheetName val="400吨现存量"/>
      <sheetName val="_600吨现存量"/>
      <sheetName val="Threshold Table"/>
      <sheetName val="Hist_BS"/>
      <sheetName val="应收账款"/>
      <sheetName val="165_ok"/>
      <sheetName val="Monthly"/>
      <sheetName val="LAbor estimate"/>
      <sheetName val="BQ"/>
      <sheetName val="preBS"/>
      <sheetName val="preCF"/>
      <sheetName val="preIS"/>
      <sheetName val="preCE"/>
      <sheetName val="主菜单"/>
      <sheetName val="lookups"/>
      <sheetName val="Scoping"/>
      <sheetName val="固定资产总清单"/>
      <sheetName val="Cap Ex actual &amp; forecasted"/>
      <sheetName val="Sal &amp; Wage Info"/>
      <sheetName val="分配"/>
      <sheetName val="月份数据"/>
      <sheetName val="consol A300"/>
      <sheetName val="consol adj1_子公司合并抵消"/>
      <sheetName val="DHB PSGL"/>
      <sheetName val="PCCODE"/>
      <sheetName val="同业借款"/>
      <sheetName val="费用"/>
      <sheetName val="Untitled"/>
      <sheetName val="VW_EUR1"/>
      <sheetName val="Pnl-10"/>
      <sheetName val="20"/>
      <sheetName val="70"/>
      <sheetName val="AA"/>
      <sheetName val="AP110"/>
      <sheetName val="B-10"/>
      <sheetName val="BB-1"/>
      <sheetName val="C-5"/>
      <sheetName val="C-6"/>
      <sheetName val="C-6a"/>
      <sheetName val="F-1l2"/>
      <sheetName val="F-21"/>
      <sheetName val="F-4"/>
      <sheetName val="F-9c"/>
      <sheetName val="FF"/>
      <sheetName val="FF-2"/>
      <sheetName val="F-8(FSA)"/>
      <sheetName val="L"/>
      <sheetName val="M MM"/>
      <sheetName val="30a"/>
      <sheetName val="30-Note"/>
      <sheetName val="U-2"/>
      <sheetName val="產成品收發明細表5"/>
      <sheetName val="Exh.2.1A"/>
      <sheetName val="Exh.2.1B"/>
      <sheetName val="input data"/>
      <sheetName val="DropDowns"/>
      <sheetName val="DAILY"/>
      <sheetName val="04-B11"/>
      <sheetName val="gia vt,nc,may"/>
      <sheetName val="Currency"/>
      <sheetName val="Non-Statistical Sampling"/>
      <sheetName val="AR Drop Downs"/>
      <sheetName val="DropDown"/>
      <sheetName val="Month 8"/>
      <sheetName val="CPP1"/>
      <sheetName val="CPP10"/>
      <sheetName val="CPP19"/>
      <sheetName val="CFC"/>
      <sheetName val="TPFC"/>
      <sheetName val="DEP"/>
      <sheetName val="prod."/>
      <sheetName val="Historical IS"/>
      <sheetName val="短期借款审定表"/>
      <sheetName val="Exchange rates"/>
      <sheetName val="嘉华仓库"/>
      <sheetName val="Com list"/>
      <sheetName val="存货"/>
      <sheetName val="固定"/>
      <sheetName val="在建"/>
      <sheetName val="期间"/>
      <sheetName val="Sales Summary"/>
      <sheetName val="P&amp;L Detail"/>
      <sheetName val="P&amp;L "/>
      <sheetName val="Global Variables"/>
      <sheetName val="RZ"/>
      <sheetName val="众宏"/>
      <sheetName val="余姚众力"/>
      <sheetName val="PTY"/>
      <sheetName val="HB"/>
      <sheetName val="HF"/>
      <sheetName val="HBZH"/>
      <sheetName val="ZHSH"/>
      <sheetName val="Days"/>
      <sheetName val="Defaults"/>
      <sheetName val="txfyb"/>
      <sheetName val="lrjsb"/>
      <sheetName val="zjfyb"/>
      <sheetName val="jcsjb"/>
      <sheetName val="zjsyb"/>
      <sheetName val="cbfyb"/>
      <sheetName val="ldzjb"/>
      <sheetName val="short term loan"/>
      <sheetName val="预收账龄"/>
      <sheetName val="vp detail"/>
      <sheetName val="reconc cnd"/>
      <sheetName val="Accrual"/>
      <sheetName val="利润分析"/>
      <sheetName val="资产负债分析"/>
      <sheetName val="散热器"/>
      <sheetName val="SAGbehov"/>
      <sheetName val="Graph"/>
      <sheetName val="Comp"/>
      <sheetName val="Financial Assets and Liability"/>
      <sheetName val="GRN Main"/>
      <sheetName val="ARP_U101"/>
      <sheetName val="ARP_U301"/>
      <sheetName val="ARP_U501"/>
      <sheetName val="DISP"/>
      <sheetName val="RPT"/>
      <sheetName val="Consulting"/>
      <sheetName val="Property"/>
      <sheetName val="Transport"/>
      <sheetName val="Water"/>
      <sheetName val="A800"/>
      <sheetName val="盛联余"/>
      <sheetName val="J411"/>
      <sheetName val="J412"/>
      <sheetName val="A14_g132"/>
      <sheetName val="A14_g134"/>
      <sheetName val="INPUT ICO balances"/>
      <sheetName val="INPUT ICO balances currency"/>
      <sheetName val="Inputsheet"/>
      <sheetName val="Checkbook"/>
      <sheetName val="SHIP"/>
      <sheetName val="TB2000"/>
      <sheetName val="TB2001"/>
      <sheetName val="INI"/>
      <sheetName val="AV"/>
      <sheetName val="LS"/>
      <sheetName val="TR"/>
      <sheetName val="F"/>
      <sheetName val="IVT"/>
      <sheetName val="C 8 D"/>
      <sheetName val="Provisions"/>
      <sheetName val="Treasury_BANKEN_Matrix"/>
      <sheetName val="EHQ"/>
      <sheetName val="PROCESS"/>
      <sheetName val="FED DEPR"/>
      <sheetName val="K5-1"/>
      <sheetName val="Value 1"/>
      <sheetName val="汇总底稿"/>
      <sheetName val="列表"/>
      <sheetName val="FINANCEIRA"/>
      <sheetName val="医院进销存"/>
      <sheetName val="一周期10片价格"/>
      <sheetName val="一周期6片价格"/>
      <sheetName val="2003年代表医院指标-一周期"/>
      <sheetName val="一周期IND价格"/>
      <sheetName val="6641"/>
      <sheetName val="Hist Prices"/>
      <sheetName val="HC-45"/>
      <sheetName val="Marco"/>
      <sheetName val="28521502"/>
      <sheetName val="已背书未到期票据清单"/>
      <sheetName val="03.7"/>
      <sheetName val="CRITERIA1"/>
      <sheetName val="单体ADJ"/>
      <sheetName val="合并ADJ"/>
      <sheetName val="ADJ-单体汇总"/>
      <sheetName val="ADJ-合并汇总"/>
      <sheetName val="科目清单"/>
      <sheetName val="CON MR2K AL ck"/>
      <sheetName val="zfi044-ALL"/>
      <sheetName val="Quantity"/>
      <sheetName val="TTU"/>
      <sheetName val="Fundamentals"/>
      <sheetName val="BetaCalcs"/>
      <sheetName val="RateIfFullFY2001"/>
      <sheetName val="MSIGet_Flags"/>
      <sheetName val="市場"/>
      <sheetName val="SAP Data"/>
      <sheetName val="U1"/>
      <sheetName val="BalancesCalc"/>
      <sheetName val="BalEntAccComp"/>
      <sheetName val="BenchmarkPercentage"/>
      <sheetName val="Benchmarks"/>
      <sheetName val="Backend"/>
      <sheetName val="Components"/>
      <sheetName val="FilteredBenchmark"/>
      <sheetName val="ToolTipControl"/>
      <sheetName val="chitiet"/>
      <sheetName val="D4RP"/>
      <sheetName val="SAP Upload Template"/>
      <sheetName val=" 弃"/>
      <sheetName val="FinAsmp"/>
      <sheetName val="Price"/>
      <sheetName val="GenAsmp"/>
      <sheetName val="CpEx"/>
      <sheetName val="Contribution"/>
      <sheetName val="I-Summary"/>
      <sheetName val="PBC2010_RM"/>
      <sheetName val="Drop-Down Lists"/>
      <sheetName val="合并TB"/>
      <sheetName val="部门"/>
      <sheetName val="Personnaliser votre facture"/>
      <sheetName val="SignificantAcctsTemplate"/>
      <sheetName val="Configure"/>
      <sheetName val="Currency Codes"/>
      <sheetName val="1. Scoping"/>
      <sheetName val="2. Expectation"/>
      <sheetName val="3. Variance threshold"/>
      <sheetName val="K100"/>
      <sheetName val="G100"/>
      <sheetName val="Name"/>
      <sheetName val="N63_在其他主体中的权益-子（孙）公司"/>
      <sheetName val="N67_重要联营企业的主要财务信息"/>
      <sheetName val="N72_关联方往来（应收）"/>
      <sheetName val="JY"/>
      <sheetName val="96BP"/>
      <sheetName val="P&amp;L(S1)"/>
      <sheetName val="1 Lillysummary"/>
      <sheetName val="2002P-BU"/>
      <sheetName val="底稿0000"/>
      <sheetName val="ctrl"/>
      <sheetName val="Input Page"/>
      <sheetName val="2021_Sub_Equity movement"/>
      <sheetName val="A3_2021"/>
      <sheetName val="Incometl"/>
      <sheetName val="Nvar"/>
      <sheetName val="Dep.HK"/>
      <sheetName val="CodeDescription"/>
      <sheetName val="客户往来余额表"/>
      <sheetName val="Assump Input"/>
      <sheetName val="Salesfor2001"/>
      <sheetName val="CompanyValues"/>
      <sheetName val="InputDownload"/>
      <sheetName val="Update check"/>
      <sheetName val="存货明细2002"/>
      <sheetName val="Basic Data"/>
      <sheetName val="BREssPack"/>
      <sheetName val="ListVariables"/>
      <sheetName val="ProdPlan"/>
      <sheetName val="Model"/>
      <sheetName val="030 Ex &amp; Gl"/>
      <sheetName val="动态图表-定义名称"/>
      <sheetName val="Table of Contents"/>
      <sheetName val="3rd"/>
      <sheetName val="67205110_NAVECO_MONTH_DATE"/>
      <sheetName val="EntityList"/>
      <sheetName val="EmphasisList"/>
      <sheetName val="Library Procedures"/>
      <sheetName val="LJ-Y07"/>
      <sheetName val="Instructions"/>
      <sheetName val="Index Data"/>
      <sheetName val="ILU share price data"/>
      <sheetName val="Bemax data"/>
      <sheetName val="gl"/>
      <sheetName val="10K4"/>
      <sheetName val="C_110函证控制表_1"/>
      <sheetName val="历年减少"/>
      <sheetName val="GTM"/>
      <sheetName val="fedcapct2006"/>
      <sheetName val="97BGT6"/>
      <sheetName val="CFS"/>
      <sheetName val="Jan"/>
      <sheetName val="PRC_ 080630-Parent-Mgt"/>
      <sheetName val="面积指标表"/>
      <sheetName val="1、日记账调整分录"/>
      <sheetName val="自定义一列表"/>
      <sheetName val="科目列表"/>
      <sheetName val="科目列表其中项"/>
      <sheetName val="币种其中项"/>
      <sheetName val="其中项及原币调整"/>
      <sheetName val="自定义二列表"/>
      <sheetName val="基础表"/>
      <sheetName val="6月"/>
      <sheetName val="負荷計算"/>
      <sheetName val="FEIT Breakdown"/>
      <sheetName val="HongKong"/>
      <sheetName val="Macro"/>
      <sheetName val="LIST!"/>
      <sheetName val="Cash"/>
      <sheetName val="A810-ASM"/>
      <sheetName val="6.比較資產負債表"/>
      <sheetName val="稅籍代碼檢查表"/>
      <sheetName val="0-2.資料聯"/>
      <sheetName val="基本稅額計算"/>
      <sheetName val="0-1.基本資料"/>
      <sheetName val="EFTvsTAXmapping"/>
      <sheetName val="4.損益表"/>
      <sheetName val="9.各類給付扣繳表"/>
      <sheetName val="Income Statement Input"/>
      <sheetName val="表头信息"/>
      <sheetName val="基本情况表"/>
      <sheetName val="实体清单"/>
      <sheetName val="关联方"/>
      <sheetName val="集团内公司"/>
      <sheetName val="对照表"/>
      <sheetName val="I"/>
      <sheetName val="II"/>
      <sheetName val="AE"/>
      <sheetName val="TSNO-DC"/>
      <sheetName val="Debtor Turnover Period"/>
      <sheetName val="CX_ELIM2"/>
      <sheetName val="2007_12折旧差异2"/>
      <sheetName val="FA_Roll_to_GL_(p_2)2"/>
      <sheetName val="Lead_(p_1)2"/>
      <sheetName val="Lease_AP_20082"/>
      <sheetName val="Invoice_detail2"/>
      <sheetName val="Net_REVENUE2"/>
      <sheetName val="Stock_Chart2"/>
      <sheetName val="Final_sample_listing2"/>
      <sheetName val="Hidden_Lists2"/>
      <sheetName val="Mthly_Data2"/>
      <sheetName val="DATA_INPUT2"/>
      <sheetName val="Global_Data2"/>
      <sheetName val="DEC_Bank2"/>
      <sheetName val="5_基础档案2"/>
      <sheetName val="其他业务成本_1110312"/>
      <sheetName val="TAB_Daten2"/>
      <sheetName val="JE_-_Depn_Sept2"/>
      <sheetName val="T__B2"/>
      <sheetName val="Chart_of_Acct2"/>
      <sheetName val="7_-_ARO_Assumptions2"/>
      <sheetName val="Graph_12"/>
      <sheetName val="A6620_Detail2"/>
      <sheetName val="SUMMARY_OUTSTANDING2"/>
      <sheetName val="固定资产增减表#0_00__2"/>
      <sheetName val="IRR_&amp;_NPV2"/>
      <sheetName val="Beg-_End_balance2"/>
      <sheetName val="附表32_-_无形资产明细表2"/>
      <sheetName val="K1_Tax_computation2"/>
      <sheetName val="Repayment_Summary1"/>
      <sheetName val="Comp_equip1"/>
      <sheetName val="1_1_Project_Data1"/>
      <sheetName val="C_货币资金1"/>
      <sheetName val="C_抵押存款1"/>
      <sheetName val="D_可供出售投资-流动1"/>
      <sheetName val="D_衍生金融资产1"/>
      <sheetName val="D_持有至到期投资-流动1"/>
      <sheetName val="D_短期投资1"/>
      <sheetName val="D_单列金融资产1"/>
      <sheetName val="A5_dim&amp;adj_sum1"/>
      <sheetName val="E_应收账款1"/>
      <sheetName val="E_应收贸易款及票据1"/>
      <sheetName val="E_应收票据1"/>
      <sheetName val="F_存货1"/>
      <sheetName val="F_房地产1"/>
      <sheetName val="G_预付账款&amp;其他应收款&amp;待摊费用1"/>
      <sheetName val="G_应收股利1"/>
      <sheetName val="G_待售资产1"/>
      <sheetName val="G_HK其他应收1"/>
      <sheetName val="G_应收利息1"/>
      <sheetName val="G_其他流动资产1"/>
      <sheetName val="H_可供出售投资-非流动1"/>
      <sheetName val="H_HK长投1"/>
      <sheetName val="H_商誉1"/>
      <sheetName val="H_持有至到期投资-非流动1"/>
      <sheetName val="H_投资性房地产1"/>
      <sheetName val="H_PRC长投1"/>
      <sheetName val="I_应收关联方1"/>
      <sheetName val="I_应付关联方1"/>
      <sheetName val="J_在建工程1"/>
      <sheetName val="K_固定资产1"/>
      <sheetName val="K_固定资产清理1"/>
      <sheetName val="L_一年内到期的长期债权投资1"/>
      <sheetName val="L_无形1"/>
      <sheetName val="L_长期待摊1"/>
      <sheetName val="L_其他长期资产1"/>
      <sheetName val="M_短借1"/>
      <sheetName val="N_应付账款1"/>
      <sheetName val="N_应付票据1"/>
      <sheetName val="P_预收账款&amp;其他应付款&amp;应付职工薪酬&amp;预提费用&amp;其他应交款1"/>
      <sheetName val="U_其他业务收支&amp;营业外收支&amp;补贴收入&amp;利息收入1"/>
      <sheetName val="U_所得税1"/>
      <sheetName val="O_递延税资产1"/>
      <sheetName val="O_递延税负债1"/>
      <sheetName val="O_应交税费1"/>
      <sheetName val="U_税金及附加1"/>
      <sheetName val="P_应付股利1"/>
      <sheetName val="P_HK其他应付1"/>
      <sheetName val="P_应付利息1"/>
      <sheetName val="P_其他应付款1"/>
      <sheetName val="P_其他流动负债1"/>
      <sheetName val="P_应付职工薪酬1"/>
      <sheetName val="P_预计负债1"/>
      <sheetName val="Q_应付债券1"/>
      <sheetName val="Q_可转债1"/>
      <sheetName val="Q_政府补助1"/>
      <sheetName val="Q_一年内到期负债1"/>
      <sheetName val="Q_应付融资租赁款1"/>
      <sheetName val="Q_长借1"/>
      <sheetName val="Q_长期应付1"/>
      <sheetName val="Q_其他长期负债1"/>
      <sheetName val="Q_专项应付1"/>
      <sheetName val="T_股本1"/>
      <sheetName val="T_资本公积1"/>
      <sheetName val="T_折算差额1"/>
      <sheetName val="T_未分配利润1"/>
      <sheetName val="T_盈余公积1"/>
      <sheetName val="U_主营业务1"/>
      <sheetName val="U_财务费用1"/>
      <sheetName val="U_投资收益&amp;公允价值变动收益1"/>
      <sheetName val="U_管理费用&amp;资产减值损失1"/>
      <sheetName val="U_成本倒轧表&amp;制造费用1"/>
      <sheetName val="U_销售费用1"/>
      <sheetName val="U_分占下属损益1"/>
      <sheetName val="Key_Assumptions1"/>
      <sheetName val="A3_&amp;_U_09-011"/>
      <sheetName val="Volumen_AOP_20041"/>
      <sheetName val="客戶清單customer_list1"/>
      <sheetName val="All_Cash_Dil1"/>
      <sheetName val="Input_A1"/>
      <sheetName val="STD__COST2"/>
      <sheetName val="Bank_Table2"/>
      <sheetName val="Invested_Capital2"/>
      <sheetName val="Addbacks_-_Slide_81"/>
      <sheetName val="Financial_Statistics1"/>
      <sheetName val="US_Disclosure1"/>
      <sheetName val="I20_b_Disclosure_Lead1"/>
      <sheetName val="I20_LEAD1"/>
      <sheetName val="I20-1_FWD1"/>
      <sheetName val="I20-2_CNYFWD1"/>
      <sheetName val="I20-3_FXS1"/>
      <sheetName val="I20-4_CNYS1"/>
      <sheetName val="I20-5_IRS1"/>
      <sheetName val="I20-7_TOD1"/>
      <sheetName val="I20-7-1_TOD_Breakdown1"/>
      <sheetName val="I20-9_Comfirmation_summary1"/>
      <sheetName val="Tests_of_control1"/>
      <sheetName val="a_______1"/>
      <sheetName val="loan_database1"/>
      <sheetName val="BALANCE_SHEET1"/>
      <sheetName val="Vendor_Data1"/>
      <sheetName val="Original_Stefan1"/>
      <sheetName val="Edo_Res1"/>
      <sheetName val="L310-Adjustment_for_R&amp;D_cost1"/>
      <sheetName val="PPE_Mov't-_HC_1"/>
      <sheetName val="Sales_for_20011"/>
      <sheetName val="Audited_PL1"/>
      <sheetName val="(i)_Fixed_assets-PBC1"/>
      <sheetName val="Ex_Diff1"/>
      <sheetName val="Profit_and_loss1"/>
      <sheetName val="UKLF_Portfolio1"/>
      <sheetName val="Invoice_Template1"/>
      <sheetName val="Veh_Info1"/>
      <sheetName val="1_1银行函证CC1"/>
      <sheetName val="Chart_of_Account1"/>
      <sheetName val="zero_(3)1"/>
      <sheetName val="2weeeks_All__Excess_and_Shorta1"/>
      <sheetName val="Exchange_Rate_&amp;_Costs1"/>
      <sheetName val="ADJ_Sum(console)1"/>
      <sheetName val="Feb_20161"/>
      <sheetName val="PL_summary1"/>
      <sheetName val="BJ_Expenses1"/>
      <sheetName val="Sample_Rev1"/>
      <sheetName val="Sample_IS1"/>
      <sheetName val="Probability_View1"/>
      <sheetName val="FIN_GOOD1"/>
      <sheetName val="BlueCross_table1"/>
      <sheetName val="Bank_card_list1"/>
      <sheetName val="Face_of_the_report1"/>
      <sheetName val="Sheet1_(11)1"/>
      <sheetName val="COST_FINAL1"/>
      <sheetName val="Bal_Dolares1"/>
      <sheetName val="C_现金1"/>
      <sheetName val="D_交易性金融资产1"/>
      <sheetName val="A3_试算表1"/>
      <sheetName val="G_预付1"/>
      <sheetName val="G_其他应收款1"/>
      <sheetName val="J_工程物资1"/>
      <sheetName val="K_生物资产1"/>
      <sheetName val="L_开发支出1"/>
      <sheetName val="L_一年内到期长期资产1"/>
      <sheetName val="L_长期应收1"/>
      <sheetName val="L_HK单列无形1"/>
      <sheetName val="M_衍生金融负债1"/>
      <sheetName val="M_交易性金融负债1"/>
      <sheetName val="M_带息借款-流动1"/>
      <sheetName val="M_无息借款-流动1"/>
      <sheetName val="M_其他金融负债1"/>
      <sheetName val="N_应付贸易款及票据1"/>
      <sheetName val="O_应交所得税1"/>
      <sheetName val="P_预收1"/>
      <sheetName val="Q_递延收益1"/>
      <sheetName val="Q_带息借款-非流动1"/>
      <sheetName val="Q_无息借款-非流动1"/>
      <sheetName val="T_少数股东1"/>
      <sheetName val="T_专项储备1"/>
      <sheetName val="U_财务成本1"/>
      <sheetName val="U_财务收入1"/>
      <sheetName val="U_公允价值变动收益1"/>
      <sheetName val="U_管理费用1"/>
      <sheetName val="U_资产减值损失1"/>
      <sheetName val="U_投资收益1"/>
      <sheetName val="U_营业外1"/>
      <sheetName val="U_其他费用1"/>
      <sheetName val="U_其他收入1"/>
      <sheetName val="U_其他业务1"/>
      <sheetName val="Cust_List1"/>
      <sheetName val="P&amp;L_Consol1"/>
      <sheetName val="H_R1"/>
      <sheetName val="1102_(2)1"/>
      <sheetName val="Income_Tax1"/>
      <sheetName val="Movement_under_PRC&amp;TW1"/>
      <sheetName val="Returns_Backup1"/>
      <sheetName val="Int_Rates1"/>
      <sheetName val="Cash_&amp;_Bank1"/>
      <sheetName val="truc_tiep1"/>
      <sheetName val="by_category1"/>
      <sheetName val="Q_CF-E011"/>
      <sheetName val="A14_Long_Term_Investment_1"/>
      <sheetName val="2006DEP_sap_data1"/>
      <sheetName val="Phase2_movementDEC1"/>
      <sheetName val="Phase1f_a_DEC1"/>
      <sheetName val="Phase2_f_a_DEC_(2)1"/>
      <sheetName val="C_-_Cash_and_Bank1"/>
      <sheetName val="Swap_Curve_Inputs1"/>
      <sheetName val="IS_Summary-961"/>
      <sheetName val="BOX_SUM1"/>
      <sheetName val="Business_Unit1"/>
      <sheetName val="BOC_Classic1"/>
      <sheetName val="Sign_Off_Form1"/>
      <sheetName val="Breakdown_on_Retail_Loan_Grade1"/>
      <sheetName val="2003_scrapped1"/>
      <sheetName val="Accounts_receivables1"/>
      <sheetName val="AP-RPT_1"/>
      <sheetName val="Input_Sheet1"/>
      <sheetName val="P&amp;L_PP1"/>
      <sheetName val="DEC_GL1"/>
      <sheetName val="Rev_Sen1"/>
      <sheetName val="多辅助核算汇总by_客户1"/>
      <sheetName val="Non-Statistical_Sampling_Maste1"/>
      <sheetName val="Two_Step_Revenue_Testing_Maste1"/>
      <sheetName val="信息费用预算表(A4)_1"/>
      <sheetName val="综合成本分析01_01-02052"/>
      <sheetName val="SAP_vs_Oracle11"/>
      <sheetName val="DEFLEET_APR-051"/>
      <sheetName val="Cash_Flow2"/>
      <sheetName val="（ご参考）イールドカーブ_0_5年単位※コピー不可1"/>
      <sheetName val="Validation_source1"/>
      <sheetName val="Allgem__Angaben1"/>
      <sheetName val="A3_试算表Financial_statement1"/>
      <sheetName val="K_固定资产&amp;投资性房地产1"/>
      <sheetName val="AJEs_&amp;_RJEs1"/>
      <sheetName val="Vauxhall_Opel_300041"/>
      <sheetName val="PBC_-_PHS1"/>
      <sheetName val="NAV_Output1"/>
      <sheetName val="Financial_Exp明细分类账1"/>
      <sheetName val="FA_Addition1"/>
      <sheetName val="VCC_11110-4611"/>
      <sheetName val="Staff_List1"/>
      <sheetName val="M_Schedules1"/>
      <sheetName val="Info__Request1"/>
      <sheetName val="Trial_Balance1"/>
      <sheetName val="GP_Analysis1"/>
      <sheetName val="RE_Mov't1"/>
      <sheetName val="Drop_List_References1"/>
      <sheetName val="Client_Data1"/>
      <sheetName val="5050_Bank_HKD1"/>
      <sheetName val="Variance_by_Mth1"/>
      <sheetName val="ASP_from_Barb1"/>
      <sheetName val="OMFG_Cost1"/>
      <sheetName val="PAL&amp;DPAL_AP6101"/>
      <sheetName val="HFC-GA-OR-000041_-_reclass_1941"/>
      <sheetName val="IDA_Project1"/>
      <sheetName val="Sheet2_(3)1"/>
      <sheetName val="gares_02_BON_FICHIER_1"/>
      <sheetName val="Oct_Starts_Plan1"/>
      <sheetName val="Invest_1"/>
      <sheetName val="2__PPR_REVENUE_APR101"/>
      <sheetName val="GM_Trend1"/>
      <sheetName val="GM%_Trend1"/>
      <sheetName val="Linearity_Chart1"/>
      <sheetName val="NP_Trend1"/>
      <sheetName val="Rev_Trend1"/>
      <sheetName val="Rev-GM_Detail_11"/>
      <sheetName val="Rev-GM_Detail_21"/>
      <sheetName val="Rev_Mix_Trend1"/>
      <sheetName val="SUMMARY_(EXPD)1"/>
      <sheetName val="SUMMARY_(%)1"/>
      <sheetName val="QTD_TO_GO1"/>
      <sheetName val="JAC11_301"/>
      <sheetName val="BS_-_USGAAP"/>
      <sheetName val="Romford_Market"/>
      <sheetName val="ITS_budget_for_FY05"/>
      <sheetName val="Full_Assets_List"/>
      <sheetName val="ARP_for_BS"/>
      <sheetName val="ARP_for_P&amp;L"/>
      <sheetName val="adj_"/>
      <sheetName val="Invested_capital_VDF"/>
      <sheetName val="Summary_Page_VDF"/>
      <sheetName val="fin_data"/>
      <sheetName val="Data_Validation"/>
      <sheetName val="WACC_Conclusion"/>
      <sheetName val="Terminal_Value"/>
      <sheetName val="Exh_B-5"/>
      <sheetName val="Exh_B-2"/>
      <sheetName val="Exh_B-6"/>
      <sheetName val="Exh_B-8"/>
      <sheetName val="Exh_B-4"/>
      <sheetName val="Exh_B-3"/>
      <sheetName val="Exh_B-7"/>
      <sheetName val="Exh_B-1"/>
      <sheetName val="PltRpt_(A&amp;F)"/>
      <sheetName val="PltRpt_(A&amp;FvsB)"/>
      <sheetName val="PltRpt_(B&amp;AC)"/>
      <sheetName val="Schedule_B"/>
      <sheetName val="Print_Controls"/>
      <sheetName val="Financial_documents"/>
      <sheetName val="COA_"/>
      <sheetName val="Equity_Development"/>
      <sheetName val="WACC_and_EV_Inputs"/>
      <sheetName val="DATA_GPC"/>
      <sheetName val="EBIT_Reconciliation"/>
      <sheetName val="Depreciation_and_Tax_Benefit"/>
      <sheetName val="INC_STAT_Hist_Input"/>
      <sheetName val="PFI_Inputs"/>
      <sheetName val="Error_Check"/>
      <sheetName val="NOL_Tax_Benefit"/>
      <sheetName val="Segment_Information"/>
      <sheetName val="PFI_Inc_Stat_Common_Size"/>
      <sheetName val="PFI_Inc_Stat"/>
      <sheetName val="Tax_Amortization_Benefit"/>
      <sheetName val="(QB0)_Global_Properties"/>
      <sheetName val="(QB1)_Quick_Budget"/>
      <sheetName val="(QB3)_StaffAllocation"/>
      <sheetName val="Form_B5"/>
      <sheetName val="Air_Conditional"/>
      <sheetName val="Motor_Vehicle"/>
      <sheetName val="Raw_materials"/>
      <sheetName val="A300_(to_del)"/>
      <sheetName val="Iron_Curtain_Method"/>
      <sheetName val="New_Cancelled_Breakout"/>
      <sheetName val="14_04_03"/>
      <sheetName val="Rented_Equipment"/>
      <sheetName val="Valuation_Summary"/>
      <sheetName val="Income_Statement"/>
      <sheetName val="Revenue_Output"/>
      <sheetName val="Gross_Profit"/>
      <sheetName val="Loan_Movement_"/>
      <sheetName val="1102_MIT"/>
      <sheetName val="Pick_Lists"/>
      <sheetName val="Mov_from_2001_to_2003"/>
      <sheetName val="A500-Audit_adjustment"/>
      <sheetName val="Cover_sheet"/>
      <sheetName val="other_investment"/>
      <sheetName val="12_APaging附表"/>
      <sheetName val="Manual_Adjustments"/>
      <sheetName val="Conversion_Date"/>
      <sheetName val="总公司2002_12_31"/>
      <sheetName val="Calculation_step_-_AFPGD"/>
      <sheetName val="Raw_Mtl_Prep"/>
      <sheetName val="Sales_Seasonality_by_Month"/>
      <sheetName val="3A_FA_Record"/>
      <sheetName val="9B_RUL_Range"/>
      <sheetName val="B_0"/>
      <sheetName val="Chart_of_acct_"/>
      <sheetName val="BI_RATE"/>
      <sheetName val="2007_12_31_暂估清单"/>
      <sheetName val="company_operations"/>
      <sheetName val="IT_scope"/>
      <sheetName val="TB_Link"/>
      <sheetName val="_FY2000"/>
      <sheetName val="P_&amp;_L_Account"/>
      <sheetName val="附件四__第三方后台收集信息表"/>
      <sheetName val="Review_pts"/>
      <sheetName val="表21_净利润调节表"/>
      <sheetName val="U_510"/>
      <sheetName val="Upload_Apr_13"/>
      <sheetName val="data_elements"/>
      <sheetName val="&lt;FF&gt;_Tax_Payable"/>
      <sheetName val="1_2_CoCo_Financials_Meta"/>
      <sheetName val="原报调整分录"/>
      <sheetName val="Reckitt"/>
      <sheetName val="H4000-04披露表(上市)"/>
      <sheetName val="H4000-02审定表"/>
      <sheetName val="THCT"/>
      <sheetName val="THDZ0,4"/>
      <sheetName val="TH DZ35"/>
      <sheetName val="THTram"/>
      <sheetName val="Breadown-Tham khao"/>
      <sheetName val="tygia"/>
      <sheetName val="Prepaid expenses-Wendy"/>
      <sheetName val="G313"/>
      <sheetName val="SILICATE"/>
      <sheetName val="WEEKLYVLS"/>
      <sheetName val="ACTABLE"/>
      <sheetName val="COMMON"/>
      <sheetName val="MIS1"/>
      <sheetName val="H4000-05-01披露表(上市)"/>
      <sheetName val="应收账款明细-ss"/>
      <sheetName val="VIDE1"/>
      <sheetName val="VIDE2"/>
      <sheetName val="U1.6"/>
      <sheetName val="Consolidated"/>
      <sheetName val="1.11 长期应收款"/>
      <sheetName val="1.12 长期股权投资"/>
      <sheetName val="statement 1998"/>
      <sheetName val="zhongshan "/>
      <sheetName val="AU"/>
      <sheetName val="DK"/>
      <sheetName val="PA"/>
      <sheetName val="RU"/>
      <sheetName val="JAG"/>
      <sheetName val="MINC"/>
      <sheetName val="TOTLATAM"/>
      <sheetName val="PCJE"/>
      <sheetName val="FA Breakdown"/>
      <sheetName val="GIU"/>
      <sheetName val="Purchase"/>
      <sheetName val="Consolidated AC"/>
      <sheetName val="TTL"/>
      <sheetName val="Introduction"/>
      <sheetName val="利润及利润分配表"/>
      <sheetName val="Customize Your Loan Manager"/>
      <sheetName val="RAW - Billing Data"/>
      <sheetName val="RAW - Commercial"/>
      <sheetName val="RAW - Infonet-NP"/>
      <sheetName val="All Discounts"/>
      <sheetName val="Calculation"/>
      <sheetName val="COSTOxOPERAI"/>
      <sheetName val="QAD-面套库存"/>
      <sheetName val="运煤预算"/>
      <sheetName val="Assum"/>
      <sheetName val="Projections"/>
      <sheetName val="9609추"/>
      <sheetName val="Workings"/>
      <sheetName val="LBOSHELL"/>
      <sheetName val="GB2001FOB"/>
      <sheetName val="Mapping"/>
      <sheetName val="会计分录"/>
      <sheetName val="40-2701"/>
      <sheetName val="Codes"/>
      <sheetName val="零部件"/>
      <sheetName val="S"/>
      <sheetName val="OutSum"/>
      <sheetName val="Q1-3"/>
      <sheetName val="SalesMYP"/>
      <sheetName val="Main"/>
      <sheetName val="auditor"/>
      <sheetName val="101"/>
      <sheetName val="销售6.13"/>
      <sheetName val="Daten"/>
      <sheetName val="11. PPE Roll"/>
      <sheetName val="M400长期借款"/>
      <sheetName val="9900"/>
      <sheetName val="2005"/>
      <sheetName val="Transaction Summary"/>
      <sheetName val="CModel"/>
      <sheetName val="GEN Inputs"/>
      <sheetName val="Financial Statements"/>
      <sheetName val="Nature &amp; Type Lists"/>
      <sheetName val="Instruction Sheet"/>
      <sheetName val="Can doi so ps"/>
      <sheetName val="Asmptns"/>
      <sheetName val="Sale Total"/>
      <sheetName val="Part_Datum"/>
      <sheetName val="总部余额（未结转损益）"/>
      <sheetName val="Breakdown RMB"/>
      <sheetName val="AS400 PA TB"/>
      <sheetName val="AS400 TB"/>
      <sheetName val="E1 TB"/>
      <sheetName val="E1 WDS TB"/>
      <sheetName val="Add Sub totals "/>
      <sheetName val="dept number"/>
      <sheetName val="Blacklight"/>
      <sheetName val="BlacklightHardware"/>
      <sheetName val="R450_HW"/>
      <sheetName val="HC Pools"/>
      <sheetName val="应收帐款 AR "/>
      <sheetName val="AFA_O.A.B"/>
      <sheetName val="基本信息输入"/>
      <sheetName val="分录汇总表"/>
      <sheetName val="17应付票据明细表"/>
      <sheetName val="7a_Other Inc Exp"/>
      <sheetName val="Depr.Exp. Testing (5)"/>
      <sheetName val="Change Log"/>
      <sheetName val="Ass"/>
      <sheetName val="Sum"/>
      <sheetName val="Depr"/>
      <sheetName val="PCP"/>
      <sheetName val="IS"/>
      <sheetName val="Presentation"/>
      <sheetName val="Valuation"/>
      <sheetName val="Cost &amp; Expenses"/>
      <sheetName val="Value"/>
      <sheetName val="Man"/>
      <sheetName val="Working Cap"/>
      <sheetName val="Invest"/>
      <sheetName val="A.R 01"/>
      <sheetName val="应付款项"/>
      <sheetName val="Nissan YTD"/>
      <sheetName val="公司清单"/>
      <sheetName val="NOVO"/>
      <sheetName val="Headcount"/>
      <sheetName val="基本資料"/>
      <sheetName val="表2-损益表"/>
      <sheetName val="滚动预测"/>
      <sheetName val="科目分类"/>
      <sheetName val="借款还本付息估算表"/>
      <sheetName val="生产成本和费用表"/>
      <sheetName val="评价基础数据表一"/>
      <sheetName val="评价基础数据表二"/>
      <sheetName val="固定资产投资估算计算表"/>
      <sheetName val="固定资产投资估算表"/>
      <sheetName val="投资计划与资金筹措表"/>
      <sheetName val="销售收入与销售税金及附加计算表"/>
      <sheetName val="销售收入与销售税金及附加明细表"/>
      <sheetName val="SaveData"/>
      <sheetName val="损益表"/>
      <sheetName val="财务现金流量表(全部投资)"/>
      <sheetName val="财务现金流量表(自有资金)"/>
      <sheetName val="KeyAs"/>
      <sheetName val="Brachy"/>
      <sheetName val="Catheters"/>
      <sheetName val="DU"/>
      <sheetName val="MH"/>
      <sheetName val="OUS"/>
      <sheetName val="US"/>
      <sheetName val="WH"/>
      <sheetName val="IncomeStmt"/>
      <sheetName val="BalSheet"/>
      <sheetName val="for ey reviewer 销售费用"/>
      <sheetName val="for ey reviewer 制造费用"/>
      <sheetName val="TCL_A"/>
      <sheetName val="kejian"/>
      <sheetName val="Bird"/>
      <sheetName val="BYD"/>
      <sheetName val="dklx"/>
      <sheetName val="1 Eckdaten in LW"/>
      <sheetName val="FXrates"/>
      <sheetName val="IFRS#7-1 stock provision"/>
      <sheetName val="账龄分析表"/>
      <sheetName val="Full yr summary"/>
      <sheetName val="F-Lead"/>
      <sheetName val="Movem. in fixed assets - Depr."/>
      <sheetName val="12.13.ＢＳ"/>
      <sheetName val="底稿"/>
      <sheetName val="196-4"/>
      <sheetName val="J301"/>
      <sheetName val="J200"/>
      <sheetName val="热力系统"/>
      <sheetName val="热力"/>
      <sheetName val="S-Hotel"/>
      <sheetName val="III-1-10"/>
      <sheetName val="III-1-9"/>
      <sheetName val="III-1-1"/>
      <sheetName val="计提准备金明细"/>
      <sheetName val="6126-10"/>
      <sheetName val="product"/>
      <sheetName val="dm"/>
      <sheetName val="K110"/>
      <sheetName val="O111"/>
      <sheetName val="6215-1 调整分录汇总"/>
      <sheetName val="U900"/>
      <sheetName val="__98"/>
      <sheetName val="营业费用测试"/>
      <sheetName val="Master_Table"/>
      <sheetName val="FRP"/>
      <sheetName val="AP"/>
      <sheetName val="TAX"/>
      <sheetName val="Total Fixed Cost (Detailed)"/>
      <sheetName val="Non-operating Items (Detailed)"/>
      <sheetName val="Sum by Month-5th ver"/>
      <sheetName val="Variable Costs by Cost Ctr"/>
      <sheetName val="Other expenses"/>
      <sheetName val="1月_物流出库"/>
      <sheetName val="detailitems_119"/>
      <sheetName val="F26-各类借款变动表-关联方"/>
      <sheetName val="内销收人"/>
      <sheetName val="引用区域"/>
      <sheetName val="Input老口径"/>
      <sheetName val="P1"/>
      <sheetName val="FIAT"/>
      <sheetName val="TOOLS"/>
      <sheetName val="Ambares"/>
      <sheetName val="US Bal_Sheet"/>
      <sheetName val="Corporate PPT"/>
      <sheetName val="WTI Coporate Eliminations PPT"/>
      <sheetName val="重要性水平"/>
      <sheetName val="标本-资产"/>
      <sheetName val="Code"/>
      <sheetName val="社内出货"/>
      <sheetName val="折旧表"/>
      <sheetName val="P12 TB SZ"/>
      <sheetName val="FA movement"/>
      <sheetName val="company"/>
      <sheetName val="A430"/>
      <sheetName val="EY USE ONLY"/>
      <sheetName val="zw"/>
      <sheetName val="IS-客户直接转换"/>
      <sheetName val="Month"/>
      <sheetName val="Sheet"/>
      <sheetName val="support"/>
      <sheetName val="February"/>
      <sheetName val="January"/>
      <sheetName val="March"/>
      <sheetName val="Form Admin"/>
      <sheetName val="管理费用 "/>
      <sheetName val="_102中草药"/>
      <sheetName val="_104燃料"/>
      <sheetName val="_106备品备件"/>
      <sheetName val="_108劳保"/>
      <sheetName val="_109辅料"/>
      <sheetName val="_110化剂"/>
      <sheetName val="_112气体"/>
      <sheetName val="_206标签"/>
      <sheetName val="_207纸箱纸盒"/>
      <sheetName val="_208瓶类"/>
      <sheetName val="_302办公用品"/>
      <sheetName val="_303工具"/>
      <sheetName val="_304玻璃仪器"/>
      <sheetName val="_399其他材料"/>
      <sheetName val="_4产成品"/>
      <sheetName val="_5自制半成品"/>
      <sheetName val="0101主料"/>
      <sheetName val="PCAP"/>
      <sheetName val="进口设备FOB总价表"/>
      <sheetName val="ACCT 24050"/>
      <sheetName val="PROVISON"/>
      <sheetName val="15287贵阳市乌当区天网工程"/>
      <sheetName val="填报说明"/>
      <sheetName val="分类"/>
      <sheetName val="进销存"/>
      <sheetName val="#¡REF"/>
      <sheetName val="物料"/>
      <sheetName val="201912"/>
      <sheetName val="ICP其他应付款ICP OtherPayable"/>
      <sheetName val="vlook from"/>
      <sheetName val="99 00 plan - base case"/>
      <sheetName val="其他应收款Dy"/>
      <sheetName val="坏账准备_其他应收款Dy"/>
      <sheetName val="其他应付款Dy"/>
      <sheetName val="其他应收款Mx"/>
      <sheetName val="Pur"/>
      <sheetName val="CA Comp"/>
      <sheetName val="科目余额表(原稿)"/>
      <sheetName val="Bank Debt"/>
      <sheetName val="GFA"/>
      <sheetName val="Summary_"/>
      <sheetName val="合并范围清单(股比）Sub0111"/>
      <sheetName val="MASTER_主数据"/>
      <sheetName val="COVER_报表封面"/>
      <sheetName val="MASTER_主数据_补"/>
      <sheetName val="主表-TB输入表-手填(地产专用)"/>
      <sheetName val="IFRS-TB自动对照-手填(地产专用)"/>
      <sheetName val="01ADDL.F.A."/>
      <sheetName val="U411"/>
      <sheetName val="B_10"/>
      <sheetName val="C_5"/>
      <sheetName val="C_6"/>
      <sheetName val="C_6a"/>
      <sheetName val="F_1l2"/>
      <sheetName val="F_21"/>
      <sheetName val="F_4"/>
      <sheetName val="F_9c"/>
      <sheetName val="F_8_FSA_"/>
      <sheetName val="Lookup"/>
      <sheetName val="样本池"/>
      <sheetName val="Intra Company "/>
      <sheetName val="WACC Calculation"/>
      <sheetName val="商用机信息更新090611"/>
      <sheetName val="GER IFO vs Const"/>
      <sheetName val="Europe sales Graph"/>
      <sheetName val="EU Ind vs EU Cons"/>
      <sheetName val="Proforma"/>
      <sheetName val="07KM"/>
      <sheetName val="选择键"/>
      <sheetName val="OE AC#41111"/>
      <sheetName val="CP费用"/>
      <sheetName val="Active"/>
      <sheetName val="Outbox"/>
      <sheetName val="NeoPrice® Pricing Analysis"/>
      <sheetName val="Break-Even Analysis"/>
      <sheetName val="Working Assumptions"/>
      <sheetName val="Reporting"/>
      <sheetName val="生产领料序时簿"/>
      <sheetName val="3. Other gains"/>
      <sheetName val="Liquidity Risk"/>
      <sheetName val="499"/>
      <sheetName val="Namelist"/>
      <sheetName val="Other Calc"/>
      <sheetName val="Disclosure Summary"/>
      <sheetName val="Names &amp; Mapping"/>
      <sheetName val="dic"/>
      <sheetName val="Prices"/>
      <sheetName val="Dropdown list"/>
      <sheetName val="审计调整分录"/>
      <sheetName val="DRIVERS"/>
      <sheetName val="NSV"/>
      <sheetName val="VARIANCES"/>
      <sheetName val="供应商___002_Minor_"/>
      <sheetName val="Group_Cash flow"/>
      <sheetName val="Permit"/>
      <sheetName val="schedule"/>
      <sheetName val="DEF REV"/>
      <sheetName val=" "/>
      <sheetName val="U300-上海启昇"/>
      <sheetName val="Share Px"/>
      <sheetName val="逾期"/>
      <sheetName val="三个月到一年"/>
      <sheetName val="一到三个月"/>
      <sheetName val="一到五年"/>
      <sheetName val="一个月以内"/>
      <sheetName val="cov"/>
      <sheetName val="O adj"/>
      <sheetName val="0521"/>
      <sheetName val="BBcode_convert"/>
      <sheetName val="综合概算(2003)"/>
      <sheetName val="级次及股比（截至20111231）"/>
      <sheetName val="FF-3"/>
      <sheetName val="辅助表"/>
      <sheetName val="DCF_3资产负债分析调整表"/>
      <sheetName val="LT TB"/>
      <sheetName val="LTMD TB"/>
      <sheetName val="OC TB"/>
      <sheetName val="ZD TB"/>
      <sheetName val="LT_ADJ"/>
      <sheetName val="Note 1 - Recon Profit"/>
      <sheetName val="Cash Flow Statement"/>
      <sheetName val="GLFY"/>
      <sheetName val="DEP12"/>
      <sheetName val="Hist_Prices"/>
      <sheetName val="1_Lillysummary"/>
      <sheetName val="其他货币资金.dbf"/>
      <sheetName val="银行存款.dbf"/>
      <sheetName val="Matrix P&amp;L - Retail Normal"/>
      <sheetName val="chart"/>
      <sheetName val="Ownership"/>
      <sheetName val="Vol Dan Fev"/>
      <sheetName val="NewB Sheet"/>
      <sheetName val="Coversheet-Quarterly_Report"/>
      <sheetName val="Budget2000OB"/>
      <sheetName val="cathayforecasts"/>
      <sheetName val="Sample Layout (new)"/>
      <sheetName val="2171_FYbk"/>
      <sheetName val="2171-BK"/>
      <sheetName val="O1"/>
      <sheetName val="M1"/>
      <sheetName val="H1"/>
      <sheetName val="hk"/>
      <sheetName val="note(1)"/>
      <sheetName val="TOC"/>
      <sheetName val="PW"/>
      <sheetName val="AR-BS"/>
      <sheetName val="ExelStor Dec 2002"/>
      <sheetName val="财务费用多栏明细账"/>
      <sheetName val="管理费用多栏明细账"/>
      <sheetName val="营业费用多栏明细账"/>
      <sheetName val="FX Evo"/>
      <sheetName val="16、半成品明细"/>
      <sheetName val="DATA_RANGES_3"/>
      <sheetName val="338 Apparel"/>
      <sheetName val="purchase-subsi"/>
      <sheetName val="sales1-subsi."/>
      <sheetName val="sales2-subsi."/>
      <sheetName val="sales3-subsi"/>
      <sheetName val="FTE's"/>
      <sheetName val="销售"/>
      <sheetName val="成品科"/>
      <sheetName val="Marketing product ranges"/>
      <sheetName val="Value Chain definitions"/>
      <sheetName val="Marketing vehicle definitions"/>
      <sheetName val="Tax proj-Shenzhen"/>
      <sheetName val="assets list"/>
      <sheetName val="Corpalloc"/>
      <sheetName val="Calc &amp; Export"/>
      <sheetName val="AOP Exec Summary"/>
      <sheetName val="cycztb"/>
      <sheetName val="代码"/>
      <sheetName val="库存商品余额表.dbf"/>
      <sheetName val="FS"/>
      <sheetName val="Adm"/>
      <sheetName val="sell"/>
      <sheetName val="Fin"/>
      <sheetName val="ProArcInfo"/>
      <sheetName val="FIXASSET"/>
      <sheetName val="Reserves"/>
      <sheetName val="Load Sheet"/>
      <sheetName val="分类排序表 (核算用)"/>
      <sheetName val="TP-ABB"/>
      <sheetName val="坏帐准备"/>
      <sheetName val="银行存款"/>
      <sheetName val="BANVAL"/>
      <sheetName val="ECON"/>
      <sheetName val="管理"/>
      <sheetName val="SalaryData"/>
      <sheetName val="shtLookup"/>
      <sheetName val="科目余额表（2017年1-9月）"/>
      <sheetName val="ADJ"/>
      <sheetName val="table data"/>
      <sheetName val="HR-10"/>
      <sheetName val="M3-COS"/>
      <sheetName val="M4-Adm"/>
      <sheetName val="Dealer Stock"/>
      <sheetName val="FY Corrections"/>
      <sheetName val="Importer Stock"/>
      <sheetName val="Production"/>
      <sheetName val="Start up restrictions"/>
      <sheetName val="Used Cars Importer"/>
      <sheetName val="REVALUATION-Jul-02"/>
      <sheetName val="管理费用-技术部"/>
      <sheetName val="管理费用-管理部"/>
      <sheetName val="Suppliers"/>
      <sheetName val="2100"/>
      <sheetName val="OTHERSUM"/>
      <sheetName val="2009 3KE5Z detail"/>
      <sheetName val="BKD"/>
      <sheetName val="数字视频并帐"/>
      <sheetName val=" U140-SalesTOT"/>
      <sheetName val="专项应付款Dy"/>
      <sheetName val="财务费用Dy"/>
      <sheetName val="专项应付款Mx"/>
      <sheetName val="‘‡B"/>
      <sheetName val="PRC 15"/>
      <sheetName val="PSD-BICUTAN"/>
      <sheetName val="beer-indstry"/>
      <sheetName val="cogs-Rx"/>
      <sheetName val="Beregninger"/>
      <sheetName val="_010_10100"/>
      <sheetName val="_010_10102"/>
      <sheetName val="Marshal"/>
      <sheetName val="Invoices_table"/>
      <sheetName val="Audit Results"/>
      <sheetName val="Audit Results Upper Stratum"/>
      <sheetName val="Planning"/>
      <sheetName val="Population Characteristics"/>
      <sheetName val="FOIL"/>
      <sheetName val="Forecast Comparison Data"/>
      <sheetName val="Understand the client"/>
      <sheetName val="Bokslutsprocessen"/>
      <sheetName val="Indata"/>
      <sheetName val="CRA"/>
      <sheetName val="Table COA P&amp;L"/>
      <sheetName val="Interco Sales"/>
      <sheetName val="Net Bookings"/>
      <sheetName val="Net Sales &amp; Cost of Sales"/>
      <sheetName val="Front"/>
      <sheetName val="95059D"/>
      <sheetName val="Global"/>
      <sheetName val="BKD-所得税"/>
      <sheetName val="BKD-应交税费"/>
      <sheetName val="所得税费用for Feport"/>
      <sheetName val="可抵扣亏损统计表-from 所得税汇算清缴报告"/>
      <sheetName val="N101"/>
      <sheetName val="Sensitivities"/>
      <sheetName val="Sundries creditors"/>
      <sheetName val="Advance to staff"/>
      <sheetName val="DEPOSIT-PPYMT"/>
      <sheetName val="中小学生"/>
      <sheetName val="财务费用明细表"/>
      <sheetName val="长期待摊费用明细表"/>
      <sheetName val="iRepository"/>
      <sheetName val="__"/>
      <sheetName val="5税收优惠明细表"/>
      <sheetName val="K1-2明细表"/>
      <sheetName val="P120"/>
      <sheetName val="01 T"/>
      <sheetName val="03 "/>
      <sheetName val="Comparative Balance Sheet"/>
      <sheetName val="本年收入合计"/>
      <sheetName val="所并"/>
      <sheetName val="Office Improve"/>
      <sheetName val="Introduction说明"/>
      <sheetName val="BSCF"/>
      <sheetName val="Credit Check"/>
      <sheetName val="清单12.31"/>
      <sheetName val="递延税款Dy"/>
      <sheetName val="资本公积Dy"/>
      <sheetName val="盈余公积Dy"/>
      <sheetName val="未分配利润Dy"/>
      <sheetName val="补贴收入Dy"/>
      <sheetName val="所得税Dy"/>
      <sheetName val="坏账准备_应收账款Dy"/>
      <sheetName val="应交税金Dy"/>
      <sheetName val="其他应交款Dy"/>
      <sheetName val="坏账准备_应收账款Mx"/>
      <sheetName val="RECONCILIATION"/>
      <sheetName val="报表科目明细"/>
      <sheetName val="5.07 vs 4.07 je"/>
      <sheetName val="Hotel"/>
      <sheetName val="壓摸穿燈"/>
      <sheetName val="P101"/>
      <sheetName val="产成品"/>
      <sheetName val="合同件"/>
      <sheetName val="BMP______xls_99__"/>
      <sheetName val="Sheet8"/>
      <sheetName val="说明"/>
      <sheetName val="收入"/>
      <sheetName val="Lists (Hide)"/>
      <sheetName val="Exch"/>
      <sheetName val="sys"/>
      <sheetName val="员工信息"/>
      <sheetName val="8.25 动态图表-图片自动更新"/>
      <sheetName val="8.28 动态图表-定义名称动态图表"/>
      <sheetName val="8.30 动态图表-单选控件变动图表"/>
      <sheetName val="8.31 动态图表-组合框控件变动图表"/>
      <sheetName val="8.32 动态图表-多选控件变动图表"/>
      <sheetName val="8.33 动态图表-滚动条控件变动图表"/>
      <sheetName val="8.34 动态图表-双控件组合变动图表(1)"/>
      <sheetName val="8.34 动态图表-双控件组合变动图表(2)"/>
      <sheetName val="8.29 动态图表-自动更新"/>
      <sheetName val="FTK"/>
      <sheetName val="P800-Vouching"/>
      <sheetName val="O - Doubtful Debts"/>
      <sheetName val="FA"/>
      <sheetName val="PopCache"/>
      <sheetName val="AP0606"/>
      <sheetName val="CAUDIT"/>
      <sheetName val="Manual Price Book Detail"/>
      <sheetName val="Vendavo 12-17-07"/>
      <sheetName val="Parametri"/>
      <sheetName val="추정99"/>
      <sheetName val="应收账款明细表"/>
      <sheetName val="G101(OK)"/>
      <sheetName val="ARP-U311"/>
      <sheetName val="ARP-U321"/>
      <sheetName val="HK-HKD"/>
      <sheetName val="C3WD AR and Cash and Clearing"/>
      <sheetName val="C3WB Revenue and AR"/>
      <sheetName val="C3W Summary"/>
      <sheetName val="Reconciliation report"/>
      <sheetName val="1. LR Decision Trees"/>
      <sheetName val="2. Management Inquiries"/>
      <sheetName val="6. LR Required Procedures"/>
      <sheetName val="C3WD AR and Cash"/>
      <sheetName val="PCM"/>
      <sheetName val="差异调整97"/>
      <sheetName val="差异调整95"/>
      <sheetName val="差异调整96"/>
      <sheetName val="X Rates"/>
      <sheetName val="BasicInfo"/>
      <sheetName val="毛利率分析表"/>
      <sheetName val="English"/>
      <sheetName val="Tax Comp"/>
      <sheetName val="Bonds"/>
      <sheetName val="PROOF"/>
      <sheetName val="Partner Statement check"/>
      <sheetName val="Aging-ARSum"/>
      <sheetName val="Budget vs Actual"/>
      <sheetName val="#RIF"/>
      <sheetName val="通玻"/>
      <sheetName val="ce"/>
      <sheetName val="GFIS Global Work Locations"/>
      <sheetName val="Rental Commitment 06.01"/>
      <sheetName val="Index_Page"/>
      <sheetName val="SRFData"/>
      <sheetName val="CommData"/>
      <sheetName val="CX_ELIM3"/>
      <sheetName val="2007_12折旧差异3"/>
      <sheetName val="FA_Roll_to_GL_(p_2)3"/>
      <sheetName val="Lead_(p_1)3"/>
      <sheetName val="Lease_AP_20083"/>
      <sheetName val="Invoice_detail3"/>
      <sheetName val="Net_REVENUE3"/>
      <sheetName val="T__B3"/>
      <sheetName val="固定资产增减表#0_00__3"/>
      <sheetName val="Stock_Chart3"/>
      <sheetName val="Final_sample_listing3"/>
      <sheetName val="Hidden_Lists3"/>
      <sheetName val="Original_Stefan2"/>
      <sheetName val="Volumen_AOP_20042"/>
      <sheetName val="客戶清單customer_list2"/>
      <sheetName val="Mthly_Data3"/>
      <sheetName val="DATA_INPUT3"/>
      <sheetName val="DEC_Bank3"/>
      <sheetName val="5_基础档案3"/>
      <sheetName val="其他业务成本_1110313"/>
      <sheetName val="TAB_Daten3"/>
      <sheetName val="JE_-_Depn_Sept3"/>
      <sheetName val="Global_Data3"/>
      <sheetName val="Graph_13"/>
      <sheetName val="SUMMARY_OUTSTANDING3"/>
      <sheetName val="Audited_PL2"/>
      <sheetName val="附表32_-_无形资产明细表3"/>
      <sheetName val="Chart_of_Acct3"/>
      <sheetName val="7_-_ARO_Assumptions3"/>
      <sheetName val="A6620_Detail3"/>
      <sheetName val="IRR_&amp;_NPV3"/>
      <sheetName val="Beg-_End_balance3"/>
      <sheetName val="K1_Tax_computation3"/>
      <sheetName val="Bank_Table3"/>
      <sheetName val="STD__COST3"/>
      <sheetName val="Invested_Capital3"/>
      <sheetName val="Feb_20162"/>
      <sheetName val="Invoice_Template2"/>
      <sheetName val="Veh_Info2"/>
      <sheetName val="All_Cash_Dil2"/>
      <sheetName val="PL_summary2"/>
      <sheetName val="Vendor_Data2"/>
      <sheetName val="zero_(3)2"/>
      <sheetName val="2weeeks_All__Excess_and_Shorta2"/>
      <sheetName val="Exchange_Rate_&amp;_Costs2"/>
      <sheetName val="ADJ_Sum(console)2"/>
      <sheetName val="Repayment_Summary2"/>
      <sheetName val="US_Disclosure2"/>
      <sheetName val="I20_b_Disclosure_Lead2"/>
      <sheetName val="I20_LEAD2"/>
      <sheetName val="I20-1_FWD2"/>
      <sheetName val="I20-2_CNYFWD2"/>
      <sheetName val="I20-3_FXS2"/>
      <sheetName val="I20-4_CNYS2"/>
      <sheetName val="I20-5_IRS2"/>
      <sheetName val="I20-7_TOD2"/>
      <sheetName val="I20-7-1_TOD_Breakdown2"/>
      <sheetName val="I20-9_Comfirmation_summary2"/>
      <sheetName val="Tests_of_control2"/>
      <sheetName val="a_______2"/>
      <sheetName val="loan_database2"/>
      <sheetName val="BALANCE_SHEET2"/>
      <sheetName val="BlueCross_table2"/>
      <sheetName val="Bank_card_list2"/>
      <sheetName val="L310-Adjustment_for_R&amp;D_cost2"/>
      <sheetName val="(i)_Fixed_assets-PBC2"/>
      <sheetName val="Ex_Diff2"/>
      <sheetName val="Profit_and_loss2"/>
      <sheetName val="BJ_Expenses2"/>
      <sheetName val="Sample_Rev2"/>
      <sheetName val="Sample_IS2"/>
      <sheetName val="Probability_View2"/>
      <sheetName val="UKLF_Portfolio2"/>
      <sheetName val="Edo_Res2"/>
      <sheetName val="A3_&amp;_U_09-012"/>
      <sheetName val="Returns_Backup2"/>
      <sheetName val="Int_Rates2"/>
      <sheetName val="Comp_equip2"/>
      <sheetName val="1_1_Project_Data2"/>
      <sheetName val="C_货币资金2"/>
      <sheetName val="C_抵押存款2"/>
      <sheetName val="D_可供出售投资-流动2"/>
      <sheetName val="D_衍生金融资产2"/>
      <sheetName val="D_持有至到期投资-流动2"/>
      <sheetName val="D_短期投资2"/>
      <sheetName val="D_单列金融资产2"/>
      <sheetName val="A5_dim&amp;adj_sum2"/>
      <sheetName val="E_应收账款2"/>
      <sheetName val="E_应收贸易款及票据2"/>
      <sheetName val="E_应收票据2"/>
      <sheetName val="F_存货2"/>
      <sheetName val="F_房地产2"/>
      <sheetName val="G_预付账款&amp;其他应收款&amp;待摊费用2"/>
      <sheetName val="G_应收股利2"/>
      <sheetName val="G_待售资产2"/>
      <sheetName val="G_HK其他应收2"/>
      <sheetName val="G_应收利息2"/>
      <sheetName val="G_其他流动资产2"/>
      <sheetName val="H_可供出售投资-非流动2"/>
      <sheetName val="H_HK长投2"/>
      <sheetName val="H_商誉2"/>
      <sheetName val="H_持有至到期投资-非流动2"/>
      <sheetName val="H_投资性房地产2"/>
      <sheetName val="H_PRC长投2"/>
      <sheetName val="I_应收关联方2"/>
      <sheetName val="I_应付关联方2"/>
      <sheetName val="J_在建工程2"/>
      <sheetName val="K_固定资产2"/>
      <sheetName val="K_固定资产清理2"/>
      <sheetName val="L_一年内到期的长期债权投资2"/>
      <sheetName val="L_无形2"/>
      <sheetName val="L_长期待摊2"/>
      <sheetName val="L_其他长期资产2"/>
      <sheetName val="M_短借2"/>
      <sheetName val="N_应付账款2"/>
      <sheetName val="N_应付票据2"/>
      <sheetName val="P_预收账款&amp;其他应付款&amp;应付职工薪酬&amp;预提费用&amp;其他应交款2"/>
      <sheetName val="U_其他业务收支&amp;营业外收支&amp;补贴收入&amp;利息收入2"/>
      <sheetName val="U_所得税2"/>
      <sheetName val="O_递延税资产2"/>
      <sheetName val="O_递延税负债2"/>
      <sheetName val="O_应交税费2"/>
      <sheetName val="U_税金及附加2"/>
      <sheetName val="P_应付股利2"/>
      <sheetName val="P_HK其他应付2"/>
      <sheetName val="P_应付利息2"/>
      <sheetName val="P_其他应付款2"/>
      <sheetName val="P_其他流动负债2"/>
      <sheetName val="P_应付职工薪酬2"/>
      <sheetName val="P_预计负债2"/>
      <sheetName val="Q_应付债券2"/>
      <sheetName val="Q_可转债2"/>
      <sheetName val="Q_政府补助2"/>
      <sheetName val="Q_一年内到期负债2"/>
      <sheetName val="Q_应付融资租赁款2"/>
      <sheetName val="Q_长借2"/>
      <sheetName val="Q_长期应付2"/>
      <sheetName val="Q_其他长期负债2"/>
      <sheetName val="Q_专项应付2"/>
      <sheetName val="T_股本2"/>
      <sheetName val="T_资本公积2"/>
      <sheetName val="T_折算差额2"/>
      <sheetName val="T_未分配利润2"/>
      <sheetName val="T_盈余公积2"/>
      <sheetName val="U_主营业务2"/>
      <sheetName val="U_财务费用2"/>
      <sheetName val="U_投资收益&amp;公允价值变动收益2"/>
      <sheetName val="U_管理费用&amp;资产减值损失2"/>
      <sheetName val="U_成本倒轧表&amp;制造费用2"/>
      <sheetName val="U_销售费用2"/>
      <sheetName val="U_分占下属损益2"/>
      <sheetName val="Key_Assumptions2"/>
      <sheetName val="Chart_of_Account2"/>
      <sheetName val="Input_A2"/>
      <sheetName val="Addbacks_-_Slide_82"/>
      <sheetName val="Financial_Statistics2"/>
      <sheetName val="FIN_GOOD2"/>
      <sheetName val="by_category2"/>
      <sheetName val="PPE_Mov't-_HC_2"/>
      <sheetName val="Sales_for_20012"/>
      <sheetName val="Q_CF-E012"/>
      <sheetName val="1_1银行函证CC2"/>
      <sheetName val="A14_Long_Term_Investment_2"/>
      <sheetName val="Income_Tax2"/>
      <sheetName val="Movement_under_PRC&amp;TW2"/>
      <sheetName val="1102_(2)2"/>
      <sheetName val="Cash_&amp;_Bank2"/>
      <sheetName val="truc_tiep2"/>
      <sheetName val="Swap_Curve_Inputs2"/>
      <sheetName val="IS_Summary-962"/>
      <sheetName val="BOX_SUM2"/>
      <sheetName val="H_R2"/>
      <sheetName val="Business_Unit2"/>
      <sheetName val="Sheet1_(11)2"/>
      <sheetName val="BOC_Classic2"/>
      <sheetName val="Sign_Off_Form2"/>
      <sheetName val="Breakdown_on_Retail_Loan_Grade2"/>
      <sheetName val="Face_of_the_report2"/>
      <sheetName val="2003_scrapped2"/>
      <sheetName val="COST_FINAL2"/>
      <sheetName val="Bal_Dolares2"/>
      <sheetName val="C_现金2"/>
      <sheetName val="D_交易性金融资产2"/>
      <sheetName val="A3_试算表2"/>
      <sheetName val="G_预付2"/>
      <sheetName val="G_其他应收款2"/>
      <sheetName val="J_工程物资2"/>
      <sheetName val="K_生物资产2"/>
      <sheetName val="L_开发支出2"/>
      <sheetName val="L_一年内到期长期资产2"/>
      <sheetName val="L_长期应收2"/>
      <sheetName val="L_HK单列无形2"/>
      <sheetName val="M_衍生金融负债2"/>
      <sheetName val="M_交易性金融负债2"/>
      <sheetName val="M_带息借款-流动2"/>
      <sheetName val="M_无息借款-流动2"/>
      <sheetName val="M_其他金融负债2"/>
      <sheetName val="N_应付贸易款及票据2"/>
      <sheetName val="O_应交所得税2"/>
      <sheetName val="P_预收2"/>
      <sheetName val="Q_递延收益2"/>
      <sheetName val="Q_带息借款-非流动2"/>
      <sheetName val="Q_无息借款-非流动2"/>
      <sheetName val="T_少数股东2"/>
      <sheetName val="T_专项储备2"/>
      <sheetName val="U_财务成本2"/>
      <sheetName val="U_财务收入2"/>
      <sheetName val="U_公允价值变动收益2"/>
      <sheetName val="U_管理费用2"/>
      <sheetName val="U_资产减值损失2"/>
      <sheetName val="U_投资收益2"/>
      <sheetName val="U_营业外2"/>
      <sheetName val="U_其他费用2"/>
      <sheetName val="U_其他收入2"/>
      <sheetName val="U_其他业务2"/>
      <sheetName val="Cust_List2"/>
      <sheetName val="P&amp;L_Consol2"/>
      <sheetName val="Accounts_receivables2"/>
      <sheetName val="AP-RPT_2"/>
      <sheetName val="Input_Sheet2"/>
      <sheetName val="P&amp;L_PP2"/>
      <sheetName val="DEC_GL2"/>
      <sheetName val="Rev_Sen2"/>
      <sheetName val="多辅助核算汇总by_客户2"/>
      <sheetName val="Non-Statistical_Sampling_Maste2"/>
      <sheetName val="Two_Step_Revenue_Testing_Maste2"/>
      <sheetName val="信息费用预算表(A4)_2"/>
      <sheetName val="综合成本分析01_01-02053"/>
      <sheetName val="SAP_vs_Oracle12"/>
      <sheetName val="DEFLEET_APR-052"/>
      <sheetName val="Cash_Flow3"/>
      <sheetName val="（ご参考）イールドカーブ_0_5年単位※コピー不可2"/>
      <sheetName val="Validation_source2"/>
      <sheetName val="Allgem__Angaben2"/>
      <sheetName val="A3_试算表Financial_statement2"/>
      <sheetName val="K_固定资产&amp;投资性房地产2"/>
      <sheetName val="2006DEP_sap_data2"/>
      <sheetName val="Phase2_movementDEC2"/>
      <sheetName val="Phase1f_a_DEC2"/>
      <sheetName val="Phase2_f_a_DEC_(2)2"/>
      <sheetName val="C_-_Cash_and_Bank2"/>
      <sheetName val="AJEs_&amp;_RJEs2"/>
      <sheetName val="Vauxhall_Opel_300042"/>
      <sheetName val="PBC_-_PHS2"/>
      <sheetName val="NAV_Output2"/>
      <sheetName val="Financial_Exp明细分类账2"/>
      <sheetName val="FA_Addition2"/>
      <sheetName val="VCC_11110-4612"/>
      <sheetName val="Staff_List2"/>
      <sheetName val="M_Schedules2"/>
      <sheetName val="Info__Request2"/>
      <sheetName val="Trial_Balance2"/>
      <sheetName val="GP_Analysis2"/>
      <sheetName val="RE_Mov't2"/>
      <sheetName val="Drop_List_References2"/>
      <sheetName val="Client_Data2"/>
      <sheetName val="5050_Bank_HKD2"/>
      <sheetName val="Variance_by_Mth2"/>
      <sheetName val="ASP_from_Barb2"/>
      <sheetName val="OMFG_Cost2"/>
      <sheetName val="PAL&amp;DPAL_AP6102"/>
      <sheetName val="HFC-GA-OR-000041_-_reclass_1942"/>
      <sheetName val="IDA_Project2"/>
      <sheetName val="Sheet2_(3)2"/>
      <sheetName val="gares_02_BON_FICHIER_2"/>
      <sheetName val="Oct_Starts_Plan2"/>
      <sheetName val="Invest_2"/>
      <sheetName val="2__PPR_REVENUE_APR102"/>
      <sheetName val="GM_Trend2"/>
      <sheetName val="GM%_Trend2"/>
      <sheetName val="Linearity_Chart2"/>
      <sheetName val="NP_Trend2"/>
      <sheetName val="Rev_Trend2"/>
      <sheetName val="Rev-GM_Detail_12"/>
      <sheetName val="Rev-GM_Detail_22"/>
      <sheetName val="Rev_Mix_Trend2"/>
      <sheetName val="SUMMARY_(EXPD)2"/>
      <sheetName val="SUMMARY_(%)2"/>
      <sheetName val="QTD_TO_GO2"/>
      <sheetName val="JAC11_302"/>
      <sheetName val="Share_Prices1"/>
      <sheetName val="Aging_Datasheet1"/>
      <sheetName val="ECCS_1_DataSheet1"/>
      <sheetName val="KPI_Datasheet1"/>
      <sheetName val="Romford_Market1"/>
      <sheetName val="Product_Costs1"/>
      <sheetName val="Detail_Loan_Move__&amp;_Listing1"/>
      <sheetName val="K311_A_List021"/>
      <sheetName val="AP_Recap1"/>
      <sheetName val="BE_Environmental_Group_Ltd1"/>
      <sheetName val="R&amp;D_P1"/>
      <sheetName val="P504_3_Expected_life1"/>
      <sheetName val="16__Appendix_-_Intercompany_Re1"/>
      <sheetName val="Grading_Summary1"/>
      <sheetName val="Financ__Overview1"/>
      <sheetName val="29-1_贴现融资-回购式1"/>
      <sheetName val="Equity_Development1"/>
      <sheetName val="BS_-_USGAAP1"/>
      <sheetName val="ARP_for_BS1"/>
      <sheetName val="ARP_for_P&amp;L1"/>
      <sheetName val="adj_1"/>
      <sheetName val="Invested_capital_VDF1"/>
      <sheetName val="Summary_Page_VDF1"/>
      <sheetName val="fin_data1"/>
      <sheetName val="COA_1"/>
      <sheetName val="ITS_budget_for_FY051"/>
      <sheetName val="Full_Assets_List1"/>
      <sheetName val="_FY20001"/>
      <sheetName val="WACC_and_EV_Inputs1"/>
      <sheetName val="DATA_GPC1"/>
      <sheetName val="EBIT_Reconciliation1"/>
      <sheetName val="Depreciation_and_Tax_Benefit1"/>
      <sheetName val="INC_STAT_Hist_Input1"/>
      <sheetName val="PFI_Inputs1"/>
      <sheetName val="Error_Check1"/>
      <sheetName val="NOL_Tax_Benefit1"/>
      <sheetName val="Segment_Information1"/>
      <sheetName val="PFI_Inc_Stat_Common_Size1"/>
      <sheetName val="PFI_Inc_Stat1"/>
      <sheetName val="Tax_Amortization_Benefit1"/>
      <sheetName val="表21_净利润调节表1"/>
      <sheetName val="TB_Link1"/>
      <sheetName val="Data_Validation1"/>
      <sheetName val="&lt;FF&gt;_Tax_Payable1"/>
      <sheetName val="1_2_CoCo_Financials_Meta1"/>
      <sheetName val="Financial_documents1"/>
      <sheetName val="WACC_Conclusion1"/>
      <sheetName val="Terminal_Value1"/>
      <sheetName val="Exh_B-51"/>
      <sheetName val="Exh_B-21"/>
      <sheetName val="Exh_B-61"/>
      <sheetName val="Exh_B-81"/>
      <sheetName val="Exh_B-41"/>
      <sheetName val="Exh_B-31"/>
      <sheetName val="Exh_B-71"/>
      <sheetName val="Exh_B-11"/>
      <sheetName val="PltRpt_(A&amp;F)1"/>
      <sheetName val="PltRpt_(A&amp;FvsB)1"/>
      <sheetName val="PltRpt_(B&amp;AC)1"/>
      <sheetName val="Schedule_B1"/>
      <sheetName val="Print_Controls1"/>
      <sheetName val="(QB0)_Global_Properties1"/>
      <sheetName val="(QB1)_Quick_Budget1"/>
      <sheetName val="(QB3)_StaffAllocation1"/>
      <sheetName val="Form_B51"/>
      <sheetName val="Air_Conditional1"/>
      <sheetName val="Motor_Vehicle1"/>
      <sheetName val="Upload_Apr_131"/>
      <sheetName val="Raw_materials1"/>
      <sheetName val="A300_(to_del)1"/>
      <sheetName val="Iron_Curtain_Method1"/>
      <sheetName val="To_tied_2001_opening_RE"/>
      <sheetName val="EY_data"/>
      <sheetName val="New_Cancelled_Breakout1"/>
      <sheetName val="14_04_031"/>
      <sheetName val="Rented_Equipment1"/>
      <sheetName val="Valuation_Summary1"/>
      <sheetName val="Income_Statement1"/>
      <sheetName val="Revenue_Output1"/>
      <sheetName val="Gross_Profit1"/>
      <sheetName val="Loan_Movement_1"/>
      <sheetName val="1102_MIT1"/>
      <sheetName val="Pick_Lists1"/>
      <sheetName val="Mov_from_2001_to_20031"/>
      <sheetName val="A500-Audit_adjustment1"/>
      <sheetName val="Cover_sheet1"/>
      <sheetName val="other_investment1"/>
      <sheetName val="12_APaging附表1"/>
      <sheetName val="Manual_Adjustments1"/>
      <sheetName val="Conversion_Date1"/>
      <sheetName val="总公司2002_12_311"/>
      <sheetName val="Calculation_step_-_AFPGD1"/>
      <sheetName val="Raw_Mtl_Prep1"/>
      <sheetName val="Sales_Seasonality_by_Month1"/>
      <sheetName val="3A_FA_Record1"/>
      <sheetName val="9B_RUL_Range1"/>
      <sheetName val="B_01"/>
      <sheetName val="Chart_of_acct_1"/>
      <sheetName val="BI_RATE1"/>
      <sheetName val="2007_12_31_暂估清单1"/>
      <sheetName val="company_operations1"/>
      <sheetName val="IT_scope1"/>
      <sheetName val="P_&amp;_L_Account1"/>
      <sheetName val="附件四__第三方后台收集信息表1"/>
      <sheetName val="Review_pts1"/>
      <sheetName val="Equity_Index"/>
      <sheetName val="F_&amp;_S_INV"/>
      <sheetName val="Benefit_Tracking"/>
      <sheetName val="Benefit_Form"/>
      <sheetName val="现_金_流_量_表"/>
      <sheetName val="BOM_for_Nexum_IV"/>
      <sheetName val="data_elements1"/>
      <sheetName val="Investment_Property"/>
      <sheetName val="U_5101"/>
      <sheetName val="Chart_of_accounts"/>
      <sheetName val="CY_sales_report"/>
      <sheetName val="CHN03_5e"/>
      <sheetName val="CHN01_5e"/>
      <sheetName val="Confirmation_Letter"/>
      <sheetName val="REF_CBU"/>
      <sheetName val="Cost_Rev(Lot16)"/>
      <sheetName val="Company_Info"/>
      <sheetName val="E2_AR_listing(not_used)"/>
      <sheetName val="G402_"/>
      <sheetName val="PPE_(HKGAAP)_2002"/>
      <sheetName val="Economic_evaluation_-_FY98_base"/>
      <sheetName val="PAY_REGISTER~Input_Values"/>
      <sheetName val="Mktcap_Price"/>
      <sheetName val="E0_Design_Interface_chart"/>
      <sheetName val="Mach_&amp;_equip"/>
      <sheetName val="INPUT_WH"/>
      <sheetName val="Input_Open_Orders"/>
      <sheetName val="statement_of_account_BT"/>
      <sheetName val="KE5Z_detail"/>
      <sheetName val="B-6_investment"/>
      <sheetName val="U_所得税2016"/>
      <sheetName val="O_递延税资产2016"/>
      <sheetName val="O_递延税负债2016"/>
      <sheetName val="1_LeadSchedule"/>
      <sheetName val="3_Analysis"/>
      <sheetName val="COSTOMAT_XLS"/>
      <sheetName val="Base_Info"/>
      <sheetName val="5_Analysis"/>
      <sheetName val="Credit_Card"/>
      <sheetName val="Data_List"/>
      <sheetName val="Irregular_Income"/>
      <sheetName val="FE-1770_P1"/>
      <sheetName val="001Disclosure_Summary"/>
      <sheetName val="V_Lead_"/>
      <sheetName val="OCT_BANK"/>
      <sheetName val="SC_HKD_CA"/>
      <sheetName val="Threshold_Table"/>
      <sheetName val="LAbor_estimate"/>
      <sheetName val="Cap_Ex_actual_&amp;_forecasted"/>
      <sheetName val="Sal_&amp;_Wage_Info"/>
      <sheetName val="consol_A300"/>
      <sheetName val="consol_adj1_子公司合并抵消"/>
      <sheetName val="DHB_PSGL"/>
      <sheetName val="M_MM"/>
      <sheetName val="Exh_2_1A"/>
      <sheetName val="Exh_2_1B"/>
      <sheetName val="input_data"/>
      <sheetName val="gia_vt,nc,may"/>
      <sheetName val="Non-Statistical_Sampling"/>
      <sheetName val="AR_Drop_Downs"/>
      <sheetName val="Month_8"/>
      <sheetName val="prod_"/>
      <sheetName val="Historical_IS"/>
      <sheetName val="Exchange_rates"/>
      <sheetName val="Com_list"/>
      <sheetName val="Sales_Summary"/>
      <sheetName val="P&amp;L_Detail"/>
      <sheetName val="P&amp;L_"/>
      <sheetName val="Global_Variables"/>
      <sheetName val="short_term_loan"/>
      <sheetName val="vp_detail"/>
      <sheetName val="reconc_cnd"/>
      <sheetName val="Financial_Assets_and_Liability"/>
      <sheetName val="GRN_Main"/>
      <sheetName val="C_8_D"/>
      <sheetName val="INPUT_ICO_balances"/>
      <sheetName val="INPUT_ICO_balances_currency"/>
      <sheetName val="SAP_Upload_Template"/>
      <sheetName val="03_7"/>
      <sheetName val="SAP_Data"/>
      <sheetName val="Index_Data"/>
      <sheetName val="ILU_share_price_data"/>
      <sheetName val="Bemax_data"/>
      <sheetName val="Currency_Codes"/>
      <sheetName val="1__Scoping"/>
      <sheetName val="2__Expectation"/>
      <sheetName val="3__Variance_threshold"/>
      <sheetName val="Library_Procedures"/>
      <sheetName val="FEIT_Breakdown"/>
      <sheetName val="FED_DEPR"/>
      <sheetName val="Personnaliser_votre_facture"/>
      <sheetName val="_弃"/>
      <sheetName val="Value_1"/>
      <sheetName val="Input_Page"/>
      <sheetName val="2021_Sub_Equity_movement"/>
      <sheetName val="Dep_HK"/>
      <sheetName val="Assump_Input"/>
      <sheetName val="Update_check"/>
      <sheetName val="Basic_Data"/>
      <sheetName val="030_Ex_&amp;_Gl"/>
      <sheetName val="Table_of_Contents"/>
      <sheetName val="CON_MR2K_AL_ck"/>
      <sheetName val="PRC__080630-Parent-Mgt"/>
      <sheetName val="Drop-Down_Lists"/>
      <sheetName val="6_比較資產負債表"/>
      <sheetName val="0-2_資料聯"/>
      <sheetName val="0-1_基本資料"/>
      <sheetName val="4_損益表"/>
      <sheetName val="9_各類給付扣繳表"/>
      <sheetName val="Income_Statement_Input"/>
      <sheetName val="Debtor_Turnover_Period"/>
      <sheetName val="TH_DZ35"/>
      <sheetName val="Breadown-Tham_khao"/>
      <sheetName val="Prepaid_expenses-Wendy"/>
      <sheetName val="Movem__in_fixed_assets_-_Depr_"/>
      <sheetName val="statement_1998"/>
      <sheetName val="U1_6"/>
      <sheetName val="1_11_长期应收款"/>
      <sheetName val="1_12_长期股权投资"/>
      <sheetName val="zhongshan_"/>
      <sheetName val="FA_Breakdown"/>
      <sheetName val="Consolidated_AC"/>
      <sheetName val="Customize_Your_Loan_Manager"/>
      <sheetName val="RAW_-_Billing_Data"/>
      <sheetName val="RAW_-_Commercial"/>
      <sheetName val="RAW_-_Infonet-NP"/>
      <sheetName val="All_Discounts"/>
      <sheetName val="Can_doi_so_ps"/>
      <sheetName val="Sale_Total"/>
      <sheetName val="销售6_13"/>
      <sheetName val="11__PPE_Roll"/>
      <sheetName val="Transaction_Summary"/>
      <sheetName val="GEN_Inputs"/>
      <sheetName val="7a_Other_Inc_Exp"/>
      <sheetName val="税费明细"/>
      <sheetName val="Categories of Tax Positions"/>
      <sheetName val="매입매출(입력)"/>
      <sheetName val="PARAM"/>
      <sheetName val="detailitems_161"/>
      <sheetName val="Acquisition Costs- Base Case"/>
      <sheetName val="OI-Fcst"/>
      <sheetName val="Salinfo"/>
      <sheetName val="Stock Analysis"/>
      <sheetName val="提示表"/>
      <sheetName val="COVER A"/>
      <sheetName val="O201"/>
      <sheetName val="Estatísticas {pbc}"/>
      <sheetName val="Stat 17"/>
      <sheetName val="ReportingDates"/>
      <sheetName val="Validation Tables"/>
      <sheetName val="Reason list"/>
      <sheetName val="SAPGen"/>
      <sheetName val="U510"/>
      <sheetName val="ActiveRM"/>
      <sheetName val="付款进度表"/>
      <sheetName val="   合同台账  "/>
      <sheetName val="  ACTadj  "/>
      <sheetName val="Key Stats"/>
      <sheetName val="CAN DOI - KET QUA"/>
      <sheetName val="CL"/>
      <sheetName val="Drum"/>
      <sheetName val="SM-DR"/>
      <sheetName val="EL"/>
      <sheetName val="ML"/>
      <sheetName val="99 Rego"/>
      <sheetName val="Page 1"/>
      <sheetName val="Page 2"/>
      <sheetName val="PRE0502"/>
      <sheetName val="Data - Param &amp; Calc"/>
      <sheetName val="Data - BS , IS Level"/>
      <sheetName val="Data- Months Lists "/>
      <sheetName val="1 - Trial Balance - REPORT"/>
      <sheetName val="2 - Trial Balance - BUDGET"/>
      <sheetName val="Output2"/>
      <sheetName val="LBO Assumptions"/>
      <sheetName val="Public Comps"/>
      <sheetName val="Sensitivity Tables"/>
      <sheetName val="LBO IRR"/>
      <sheetName val="LBO Debt Schedule"/>
      <sheetName val="LBO BS"/>
      <sheetName val="BS Assets"/>
      <sheetName val="BS Liability"/>
      <sheetName val="CONSSID12-96"/>
      <sheetName val="00 FG breakdown"/>
      <sheetName val="01 FG breakdown"/>
      <sheetName val="99 FG breakdown"/>
      <sheetName val="F310"/>
      <sheetName val="F100"/>
      <sheetName val="F110"/>
      <sheetName val="F120"/>
      <sheetName val="Ratios"/>
      <sheetName val="RNK_Map"/>
      <sheetName val="Check Sums"/>
      <sheetName val="Watch_List"/>
      <sheetName val="RNK"/>
      <sheetName val="RangeDictionary"/>
      <sheetName val="Sample Layout"/>
      <sheetName val="Style"/>
      <sheetName val="RNK_Value"/>
      <sheetName val="RNK_Master"/>
      <sheetName val="WARNING"/>
      <sheetName val="RNK_PD"/>
      <sheetName val="User_Uni_PD"/>
      <sheetName val="User_Uni"/>
      <sheetName val="User_Uni_Val"/>
      <sheetName val="Master_PD"/>
      <sheetName val="剥离前"/>
      <sheetName val="fluxo de caixa"/>
      <sheetName val="Schedule 1.0."/>
      <sheetName val="OR Breakdown"/>
      <sheetName val="Factset"/>
      <sheetName val="HYP"/>
      <sheetName val="_HFC_GA_OR_000041___reclass_1_2"/>
      <sheetName val="2月收入成本明细表"/>
      <sheetName val="数据验证源"/>
      <sheetName val="Tearsheet"/>
      <sheetName val="研发费用抽样"/>
      <sheetName val="KSB1"/>
      <sheetName val="1043600"/>
      <sheetName val="Openfile"/>
      <sheetName val="Produzione"/>
      <sheetName val="Airport - Downtown"/>
      <sheetName val="Reservations"/>
      <sheetName val="Fichier CC"/>
      <sheetName val="托售"/>
      <sheetName val="FF-6"/>
      <sheetName val="Asset_inputs"/>
      <sheetName val="Operating Assumptions"/>
      <sheetName val="Info"/>
      <sheetName val="Other Assumptions"/>
      <sheetName val="Global Assumptions"/>
      <sheetName val="Date Input"/>
      <sheetName val="대리점리스트"/>
      <sheetName val="Lease Data - LC"/>
      <sheetName val="审计程序"/>
      <sheetName val="产品销售收入、产品销售成本表"/>
      <sheetName val="MN T.B."/>
      <sheetName val="企业提供表"/>
      <sheetName val="BHA"/>
      <sheetName val="长期借款汇总表"/>
      <sheetName val="0503固定资产清单"/>
      <sheetName val="980731"/>
      <sheetName val="CASINO2"/>
      <sheetName val="Historical prices"/>
      <sheetName val="ARP_U201"/>
      <sheetName val="F-1 MgmtAC"/>
      <sheetName val="ProcessVIPP"/>
      <sheetName val="P2_100Breakdown"/>
      <sheetName val="GERREAL"/>
      <sheetName val="U510-final"/>
      <sheetName val="TITEL"/>
      <sheetName val="Accountant Instr and Options"/>
      <sheetName val="Sum Rept"/>
      <sheetName val="Macro_2003"/>
      <sheetName val="外债利息"/>
      <sheetName val="ISRDATA"/>
      <sheetName val="ACC.NAME"/>
      <sheetName val="5 - ASSETS"/>
      <sheetName val="DATA-P&amp;L98"/>
      <sheetName val="RF-G7"/>
      <sheetName val="_Profile"/>
      <sheetName val="频度分析"/>
      <sheetName val="合并抵消-BS&amp;PL"/>
      <sheetName val="基本信息"/>
      <sheetName val="CO-Master"/>
      <sheetName val="Lev Recap Future Price"/>
      <sheetName val="Football Field"/>
      <sheetName val="Future Price"/>
      <sheetName val="Q4 Cash Balance Est."/>
      <sheetName val="Lev Recap Table Output"/>
      <sheetName val="Paydown"/>
      <sheetName val="S&amp;U"/>
      <sheetName val="Leveraged Recap Math"/>
      <sheetName val="Sensitivity"/>
      <sheetName val="AVP"/>
      <sheetName val="EPS Calc"/>
      <sheetName val="FinSum"/>
      <sheetName val="Debt Maturity"/>
      <sheetName val="Global M&amp;A Activity"/>
      <sheetName val="Exposre"/>
      <sheetName val="market segments"/>
      <sheetName val="Surprise"/>
      <sheetName val="Business Mix"/>
      <sheetName val="Cap Table"/>
      <sheetName val="Capital Structure"/>
      <sheetName val="price chart"/>
      <sheetName val="External"/>
      <sheetName val="1、基本假设"/>
      <sheetName val="3、产品单价"/>
      <sheetName val="2、规划指标"/>
      <sheetName val="合同台帐"/>
      <sheetName val="AIS"/>
      <sheetName val="0.科目余额表"/>
      <sheetName val="EBITDA Cause of Change"/>
      <sheetName val="Margin Cause of Change by Cat"/>
      <sheetName val="贷方"/>
      <sheetName val="103105"/>
      <sheetName val="PriceList"/>
      <sheetName val="预算构成"/>
      <sheetName val="BSA Breakdown"/>
      <sheetName val="WACC and TIC Inputs"/>
      <sheetName val="Pivat_CNENS"/>
      <sheetName val="R540ACFI"/>
      <sheetName val="IC"/>
      <sheetName val="NTL-R&amp;PM Cover in weeks"/>
      <sheetName val="Sum2000"/>
      <sheetName val="Accrued Expenses Detail"/>
      <sheetName val="Macro1"/>
      <sheetName val="VII-Redemption Nov"/>
      <sheetName val="AP_Accrued"/>
      <sheetName val="PRC GAAP"/>
      <sheetName val="APCODE"/>
      <sheetName val="C4-"/>
      <sheetName val="Bilanz"/>
      <sheetName val="GuV(LM)"/>
      <sheetName val="GuV(LM) (kurz)"/>
      <sheetName val="Plan (kurze)"/>
      <sheetName val="Plan"/>
      <sheetName val="Transl"/>
      <sheetName val="lam-moi"/>
      <sheetName val="others gl"/>
      <sheetName val="SAD"/>
      <sheetName val="_002。6新"/>
      <sheetName val="K140"/>
      <sheetName val="4-货币资金-现金"/>
      <sheetName val="director"/>
      <sheetName val="process "/>
      <sheetName val="June"/>
      <sheetName val="Macros"/>
      <sheetName val="99_00_plan_-_base_case"/>
      <sheetName val="EY_USE_ONLY"/>
      <sheetName val="A401"/>
      <sheetName val="  listing  "/>
      <sheetName val="K-0 PPE Overview PSP_OSP"/>
      <sheetName val="Orders"/>
      <sheetName val="Estimated AP 9.03"/>
      <sheetName val="营业成本Dy"/>
      <sheetName val="100152"/>
      <sheetName val="Timing"/>
      <sheetName val="WW"/>
      <sheetName val="CF附注"/>
      <sheetName val="供应商交易额Summary"/>
      <sheetName val="覆盖率测算"/>
      <sheetName val="代理收入"/>
      <sheetName val="0.1客户交易额Summary"/>
      <sheetName val="联运商汇总"/>
      <sheetName val="长期待摊费用审定表"/>
      <sheetName val="利润"/>
      <sheetName val="资产"/>
      <sheetName val="DataLookups"/>
      <sheetName val="GLASS"/>
      <sheetName val="WWEst"/>
      <sheetName val="细节测试审计抽样"/>
      <sheetName val="短期投资股票投资.dbf"/>
      <sheetName val="短期投资国债投资.dbf"/>
      <sheetName val="股票投资收益.dbf"/>
      <sheetName val="其他货币海通.dbf"/>
      <sheetName val="其他货币零领路.dbf"/>
      <sheetName val="投资收益债券.dbf"/>
      <sheetName val="附表6"/>
      <sheetName val="F2100-半成品"/>
      <sheetName val="F2000-委托加工物资"/>
      <sheetName val="F1000芯片"/>
      <sheetName val="F1100芯片测试费 "/>
      <sheetName val="作業シート"/>
      <sheetName val="Custs #2"/>
      <sheetName val="Interest #9"/>
      <sheetName val="bgbvgyprocorig"/>
      <sheetName val="Family"/>
      <sheetName val="To Generate"/>
      <sheetName val="Projection"/>
      <sheetName val="Breadown-Nop"/>
      <sheetName val="Sch11"/>
      <sheetName val="POWER ASSUMPTIONS"/>
      <sheetName val="Item Info."/>
      <sheetName val="ws-holiday"/>
      <sheetName val="(Sch C) Reconciliation"/>
      <sheetName val="Parameters (Hide)"/>
      <sheetName val="USPCL"/>
      <sheetName val="Account List"/>
      <sheetName val="data to hide"/>
      <sheetName val="Inventory-22100100-IMT"/>
      <sheetName val="Dropdown Lists"/>
      <sheetName val="감독1130"/>
      <sheetName val="aging 1003"/>
      <sheetName val="aging 1103"/>
      <sheetName val="aging 1203"/>
      <sheetName val="aging 0803"/>
      <sheetName val="Drop down list"/>
      <sheetName val="Cntmrs"/>
      <sheetName val="主营业务收入"/>
      <sheetName val="利润表"/>
      <sheetName val="1st &amp; 2nd PL"/>
      <sheetName val="productmix"/>
      <sheetName val="营外收支"/>
      <sheetName val="Sch PR-2"/>
      <sheetName val="Sch PR-3"/>
      <sheetName val="Base Q"/>
      <sheetName val="Funct Area Q"/>
      <sheetName val="Select month"/>
      <sheetName val="冷轧流体"/>
      <sheetName val="热轧流体"/>
      <sheetName val="炼钢流体"/>
      <sheetName val="自来水"/>
      <sheetName val="生活用水"/>
      <sheetName val="LPG"/>
      <sheetName val="工业气体"/>
      <sheetName val="ST"/>
      <sheetName val="1-6"/>
      <sheetName val="固定资产明细"/>
      <sheetName val="SoD By Account Class"/>
      <sheetName val="Dados BLP"/>
      <sheetName val="Historical Financial Statements"/>
      <sheetName val="Calculations"/>
      <sheetName val="Ratio Analysis"/>
      <sheetName val="收发存汇总表"/>
      <sheetName val="单位名称"/>
      <sheetName val="枚举字典"/>
      <sheetName val="FZ-1-0"/>
      <sheetName val="关联方披露表"/>
      <sheetName val="福利费1"/>
      <sheetName val="应付账款借方"/>
      <sheetName val="FZ-1"/>
      <sheetName val="Status"/>
      <sheetName val="设备"/>
      <sheetName val="7300-10-1内部往来"/>
      <sheetName val="单位名录"/>
      <sheetName val="草稿"/>
      <sheetName val="UFPrn20070303114642"/>
      <sheetName val="0R"/>
      <sheetName val="数量金额总账"/>
      <sheetName val="E-Client Information"/>
      <sheetName val="Comparison"/>
      <sheetName val="SA Procedures"/>
      <sheetName val="中旅集團屬下和中投屬下公司明細表"/>
      <sheetName val="Q1 -08"/>
      <sheetName val="FC switches"/>
      <sheetName val="FS item Listing"/>
      <sheetName val="Size_Growth_Adj"/>
      <sheetName val="J33_2008"/>
      <sheetName val="J33_2009"/>
      <sheetName val="J33_2010"/>
      <sheetName val="J33_201106"/>
      <sheetName val="Bid_Sheet"/>
      <sheetName val="itnernal sales"/>
      <sheetName val="Bloomberg"/>
      <sheetName val="M-FAM-I"/>
      <sheetName val="M-FAM-S"/>
      <sheetName val="M-INS"/>
      <sheetName val="M-INV-ILP"/>
      <sheetName val="Select Cost Center"/>
      <sheetName val="EBITDA Bridge"/>
      <sheetName val="Detailed Output"/>
      <sheetName val="Rules 2"/>
      <sheetName val="上年未使用Smart报告清单"/>
      <sheetName val="References"/>
      <sheetName val="DB Apps"/>
      <sheetName val="DB CB"/>
      <sheetName val="DB M3"/>
      <sheetName val="Stakeholder Data"/>
      <sheetName val="雇员养老险'2000年度 "/>
      <sheetName val="Hs_FAB"/>
      <sheetName val="Guidance-English"/>
      <sheetName val="CYMR7tb"/>
      <sheetName val="CRITERIA2"/>
      <sheetName val="CRITERIA3"/>
      <sheetName val="Key Info"/>
      <sheetName val="Mod 34(a)"/>
      <sheetName val="Base Data"/>
      <sheetName val="Title"/>
      <sheetName val="评估假设"/>
      <sheetName val="1.0 Contract Terms &amp; Conditions"/>
      <sheetName val="2.0 Sales &amp; Activity Forecasts"/>
      <sheetName val="Lists &amp; References"/>
      <sheetName val="GP1 bridge"/>
      <sheetName val="Bloomberg bonds"/>
      <sheetName val="Tropical Beta active days"/>
      <sheetName val="M2&amp; M3 Leadsheet "/>
      <sheetName val="M2.1&amp;M3.1 Breakdown "/>
      <sheetName val="n-stn单位成本"/>
      <sheetName val="FY99 Volume"/>
      <sheetName val="待摊费用"/>
      <sheetName val="应收票据(关联方)"/>
      <sheetName val="CECO"/>
      <sheetName val="FINALPHP"/>
      <sheetName val="BGBVBPBASIA3"/>
      <sheetName val="FORM-11"/>
      <sheetName val="HashTotale"/>
      <sheetName val="Group structure"/>
      <sheetName val="source-1"/>
      <sheetName val="10-03"/>
      <sheetName val="07-03"/>
      <sheetName val="原材料Dy"/>
      <sheetName val="累计折旧_2"/>
      <sheetName val="坏账准备_预付账款Dy"/>
      <sheetName val="08.8"/>
      <sheetName val="Link-PRC"/>
      <sheetName val="Link-Misal"/>
      <sheetName val="sort by production"/>
      <sheetName val="addiFA"/>
      <sheetName val="dfEX"/>
      <sheetName val="dispFA"/>
      <sheetName val="faSUSP"/>
      <sheetName val="interAP"/>
      <sheetName val="interAR"/>
      <sheetName val="oAR"/>
      <sheetName val="stock"/>
      <sheetName val="From SAP"/>
      <sheetName val="BLLP-GL Link"/>
      <sheetName val="1.0"/>
      <sheetName val="factor 1999"/>
      <sheetName val="E 1.2.1 - RECEBIMENTOS ABR"/>
      <sheetName val="56271-2"/>
      <sheetName val="报表标准名称"/>
      <sheetName val="QUERY"/>
    </sheetNames>
    <sheetDataSet>
      <sheetData sheetId="0">
        <row r="1">
          <cell r="A1" t="str">
            <v>No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sheetData sheetId="1424"/>
      <sheetData sheetId="1425"/>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_Sheet1"/>
      <sheetName val="Sheet1"/>
      <sheetName val="제조부문배부"/>
      <sheetName val="上报资产负债表"/>
      <sheetName val="上报损益表"/>
      <sheetName val="补充表"/>
      <sheetName val="大纲"/>
      <sheetName val="902"/>
      <sheetName val="EURMKTG"/>
      <sheetName val="定义-ready"/>
      <sheetName val="营业外支出08"/>
      <sheetName val="其他业务成本.111031"/>
      <sheetName val="营业外收入09"/>
      <sheetName val="营业外收入08"/>
      <sheetName val="其他业务成本09"/>
      <sheetName val="以前年度损益调整"/>
      <sheetName val="NTA"/>
      <sheetName val="Control"/>
      <sheetName val="TAB.Daten"/>
      <sheetName val="source"/>
      <sheetName val="JE - Depn Sept"/>
      <sheetName val="BS"/>
      <sheetName val="Net REVENUE"/>
      <sheetName val="VEHMAINT"/>
      <sheetName val="VEHDAMAG"/>
      <sheetName val="OTHERVEH"/>
      <sheetName val="GASOLINE"/>
      <sheetName val="PL&amp;PD"/>
      <sheetName val="DEPRECIA"/>
      <sheetName val="INTEREST"/>
      <sheetName val="VEHSALWH"/>
      <sheetName val="VEHSALRE"/>
      <sheetName val="MANUCRED"/>
      <sheetName val="TRAWAGES"/>
      <sheetName val="INCENTIV"/>
      <sheetName val="WAGES"/>
      <sheetName val="OVERWAGE"/>
      <sheetName val="BENEFITS"/>
      <sheetName val="CONCESS"/>
      <sheetName val="COMMISSI"/>
      <sheetName val="RESERVAT"/>
      <sheetName val="CUSTOMER"/>
      <sheetName val="FACILITY"/>
      <sheetName val="SERVIVEH"/>
      <sheetName val="COMPUTER"/>
      <sheetName val="ADVSYST"/>
      <sheetName val="COUADMIN"/>
      <sheetName val="ADMINFLD"/>
      <sheetName val="ADVCIT&amp;D"/>
      <sheetName val="EURSALES"/>
      <sheetName val="ADMINREB"/>
      <sheetName val="Sheet4"/>
      <sheetName val="FA Roll to GL (p.2)"/>
      <sheetName val="Lead (p.1)"/>
      <sheetName val="XREF"/>
      <sheetName val="披露表(上市)"/>
      <sheetName val="Summary"/>
      <sheetName val="INVDAYS"/>
      <sheetName val="资产负债表及损益表"/>
      <sheetName val="财务费用"/>
      <sheetName val="制造费用"/>
      <sheetName val="目录"/>
      <sheetName val="重要内部交易"/>
      <sheetName val="威尚重要交易"/>
      <sheetName val="管理费用"/>
      <sheetName val="营业费用"/>
      <sheetName val="UPLDGA"/>
      <sheetName val="披露表(国资)"/>
      <sheetName val="P310"/>
      <sheetName val="G210"/>
      <sheetName val="关联交易-存款"/>
      <sheetName val="Master"/>
      <sheetName val="schdl"/>
      <sheetName val="c7tb"/>
      <sheetName val="CX ELIM"/>
      <sheetName val="C5TB"/>
      <sheetName val="C3TB"/>
      <sheetName val="C6TB"/>
      <sheetName val="C8TB"/>
      <sheetName val="2007.12折旧差异"/>
      <sheetName val="科目明细"/>
      <sheetName val="Sales"/>
      <sheetName val="B"/>
      <sheetName val="员工工资"/>
      <sheetName val="Lease AP 2008"/>
      <sheetName val="综合成本分析01.01-0205"/>
      <sheetName val="CBCN"/>
      <sheetName val="c"/>
      <sheetName val="SAP vs Oracle1"/>
      <sheetName val="应收帐款明细表"/>
      <sheetName val="DEFLEET APR-05"/>
      <sheetName val="1"/>
      <sheetName val="BOX SUM"/>
      <sheetName val="FIN GOOD"/>
      <sheetName val="ZLR1"/>
      <sheetName val="VARIABLES"/>
      <sheetName val="COA"/>
      <sheetName val="ProdCompar"/>
      <sheetName val="DEC Bank"/>
      <sheetName val="DEC GL"/>
      <sheetName val="报告披露_非上市合并&amp;FIE"/>
      <sheetName val="资产负债表"/>
      <sheetName val="Validation source"/>
      <sheetName val="brands"/>
      <sheetName val="基础数据"/>
      <sheetName val="成本科目数据"/>
      <sheetName val="（ご参考）イールドカーブ 0.5年単位※コピー不可"/>
      <sheetName val="FDREPORT"/>
      <sheetName val="10"/>
      <sheetName val="P&amp;L"/>
      <sheetName val="#REF"/>
      <sheetName val="CLG115-3-1比較用"/>
      <sheetName val="#REF!"/>
      <sheetName val="制造费用分项明细表"/>
      <sheetName val="F1"/>
      <sheetName val="Allgem. Angaben"/>
      <sheetName val="detail"/>
      <sheetName val="W"/>
      <sheetName val="科目表"/>
      <sheetName val="损（蓝5）"/>
      <sheetName val="UNIT"/>
      <sheetName val="评估结论"/>
      <sheetName val="AGENT"/>
      <sheetName val="act_96"/>
      <sheetName val="A3"/>
      <sheetName val="Sheet3"/>
      <sheetName val="无形资产、长期待摊费用、开办费鉴证表"/>
      <sheetName val="应交税金明细表"/>
      <sheetName val="dxnsjtempsheet"/>
      <sheetName val="Ã«ÀûÂÊ·ÖÎö±í"/>
      <sheetName val="A"/>
      <sheetName val="CBUGL"/>
      <sheetName val="VCC 11110-461"/>
      <sheetName val="U120"/>
      <sheetName val="_010_10118"/>
      <sheetName val="退货"/>
      <sheetName val="HFC-GA-OR-000041 - reclass 1945"/>
      <sheetName val="流资汇总"/>
      <sheetName val="现金流量表（月报）"/>
      <sheetName val="CRA-Detail"/>
      <sheetName val="D"/>
      <sheetName val="sch10-rm2"/>
      <sheetName val="sch6-rm"/>
      <sheetName val="Lguide"/>
      <sheetName val="Dati"/>
      <sheetName val="Comp equip"/>
      <sheetName val="1.1 Project Data"/>
      <sheetName val="Key Assumptions"/>
      <sheetName val="Scenario"/>
      <sheetName val="Valuation Summary"/>
      <sheetName val="Income Statement"/>
      <sheetName val="Revenue Output"/>
      <sheetName val="EBITDA"/>
      <sheetName val="Gross Profit"/>
      <sheetName val="OP-930"/>
      <sheetName val="Parameters"/>
      <sheetName val="DATA"/>
      <sheetName val="fee_tabel"/>
      <sheetName val="Invoice detail"/>
      <sheetName val="IDA Project"/>
      <sheetName val="inventory2002"/>
      <sheetName val="PPV2002"/>
      <sheetName val="Chart of Acct"/>
      <sheetName val="NON-TP-ABB"/>
      <sheetName val="安全服务"/>
      <sheetName val="Controls"/>
      <sheetName val="RMB"/>
      <sheetName val="TSA"/>
      <sheetName val="录入界面"/>
      <sheetName val="T  B"/>
      <sheetName val="Mov from 2001 to 2003"/>
      <sheetName val="RE Mov't"/>
      <sheetName val="12月底个人往来余额表"/>
      <sheetName val="IRR &amp; NPV"/>
      <sheetName val="基础信息"/>
      <sheetName val="NKCR_comm_scheme"/>
      <sheetName val="NKCR_appliedrates"/>
      <sheetName val="KCR_comm_scheme"/>
      <sheetName val="Settings"/>
      <sheetName val="ContractList"/>
      <sheetName val="Hidden Lists"/>
      <sheetName val="G140"/>
      <sheetName val="assumption"/>
      <sheetName val="SALE&amp;COST"/>
      <sheetName val="抽凭"/>
      <sheetName val="Cash Flow"/>
      <sheetName val="INDEX"/>
      <sheetName val="by category"/>
      <sheetName val="中行汇率表"/>
      <sheetName val="synthgraph"/>
      <sheetName val="会计科目"/>
      <sheetName val="Lead"/>
      <sheetName val="其他业务成本_111031"/>
      <sheetName val="TAB_Daten"/>
      <sheetName val="JE_-_Depn_Sept"/>
      <sheetName val="Net_REVENUE"/>
      <sheetName val="FA_Roll_to_GL_(p_2)"/>
      <sheetName val="Lead_(p_1)"/>
      <sheetName val="Lease_AP_2008"/>
      <sheetName val="CX_ELIM"/>
      <sheetName val="2007_12折旧差异"/>
      <sheetName val="综合成本分析01_01-0205"/>
      <sheetName val="USCV3"/>
      <sheetName val="Stock Chart"/>
      <sheetName val="tf04"/>
      <sheetName val="2001预提费用"/>
      <sheetName val="P412-2001"/>
      <sheetName val="P413-2002"/>
      <sheetName val="成本台帐"/>
      <sheetName val="Pick Lists"/>
      <sheetName val="Centralisatie"/>
      <sheetName val="Sheet10"/>
      <sheetName val="Sheet19"/>
      <sheetName val="Sheet2"/>
      <sheetName val="Sheet16"/>
      <sheetName val="Sheet6"/>
      <sheetName val="Sheet5"/>
      <sheetName val="Sheet11"/>
      <sheetName val="Sheet12"/>
      <sheetName val="AFEMAI"/>
      <sheetName val="费用科目"/>
      <sheetName val="固定资产增减表#0.00_ "/>
      <sheetName val="F420SP_Breakdown"/>
      <sheetName val="Lists"/>
      <sheetName val="COST FINAL"/>
      <sheetName val="Bank card list"/>
      <sheetName val="Input-Act"/>
      <sheetName val="Input-Act-Adj"/>
      <sheetName val="Input-Bud"/>
      <sheetName val="Input-PY"/>
      <sheetName val="eqpmad2"/>
      <sheetName val="Table"/>
      <sheetName val="rate"/>
      <sheetName val="TB"/>
      <sheetName val="CF"/>
      <sheetName val="_001年其他业务利润"/>
      <sheetName val="_002年其他业务利润"/>
      <sheetName val="_003年其他业务利润"/>
      <sheetName val="_2U03营业费用"/>
      <sheetName val="2001年营业费用"/>
      <sheetName val="Group"/>
      <sheetName val="DFA"/>
      <sheetName val="All"/>
      <sheetName val="FA-LISTING"/>
      <sheetName val="U102"/>
      <sheetName val="sumdepn01"/>
      <sheetName val="C1"/>
      <sheetName val="PNL"/>
      <sheetName val="CA-Est"/>
      <sheetName val="PL-Summary"/>
      <sheetName val="Volumes"/>
      <sheetName val="51"/>
      <sheetName val="11-13"/>
      <sheetName val="30"/>
      <sheetName val="8-10"/>
      <sheetName val="16"/>
      <sheetName val="35-36"/>
      <sheetName val="28"/>
      <sheetName val="14-15"/>
      <sheetName val="32-33"/>
      <sheetName val="18"/>
      <sheetName val="26"/>
      <sheetName val="二厂单位成本结构图"/>
      <sheetName val="DCSC"/>
      <sheetName val="JPY_Rates"/>
      <sheetName val="HKD_Rates"/>
      <sheetName val="USD_Rates"/>
      <sheetName val="Final sample listing"/>
      <sheetName val="base"/>
      <sheetName val="AC_DATA"/>
      <sheetName val="E101"/>
      <sheetName val="G101"/>
      <sheetName val="G201"/>
      <sheetName val="G301"/>
      <sheetName val="I101"/>
      <sheetName val="ARP-U301"/>
      <sheetName val="U401"/>
      <sheetName val="ARP-U501"/>
      <sheetName val="Mthly Data"/>
      <sheetName val="Library"/>
      <sheetName val="BBW"/>
      <sheetName val="conSum"/>
      <sheetName val="N201"/>
      <sheetName val="明细表"/>
      <sheetName val="DATA INPUT"/>
      <sheetName val="original"/>
      <sheetName val="95PREM"/>
      <sheetName val="5.基础档案"/>
      <sheetName val="Input"/>
      <sheetName val="batch"/>
      <sheetName val="存货报表"/>
      <sheetName val="H101(OK)"/>
      <sheetName val="科目余额表-公司"/>
      <sheetName val="Global Data"/>
      <sheetName val="Graph 1"/>
      <sheetName val="SUMMARY OUTSTANDING"/>
      <sheetName val="CA_new"/>
      <sheetName val="注释过渡"/>
      <sheetName val="Beg- End balance"/>
      <sheetName val="Cashbook"/>
      <sheetName val="中山低值"/>
      <sheetName val="車会集約"/>
      <sheetName val="选择报表"/>
      <sheetName val="生皮,盐"/>
      <sheetName val="Überleitung_15"/>
      <sheetName val="PL-Accumulate"/>
      <sheetName val="PL-Current"/>
      <sheetName val="Repayment Summary"/>
      <sheetName val="Phase_II_steel_1000"/>
      <sheetName val="CCTL"/>
      <sheetName val="WIP"/>
      <sheetName val="培训选项"/>
      <sheetName val="details"/>
      <sheetName val="L310-Adjustment for R&amp;D cost"/>
      <sheetName val="PPE Mov't- HC "/>
      <sheetName val="订单418"/>
      <sheetName val="YS02-02"/>
      <sheetName val="1102 MIT"/>
      <sheetName val="A6620 Detail"/>
      <sheetName val="ACCODE"/>
      <sheetName val="综合"/>
      <sheetName val="3-1-1现金"/>
      <sheetName val="油墨"/>
      <sheetName val="parameter"/>
      <sheetName val="FX"/>
      <sheetName val="A500-Audit adjustment"/>
      <sheetName val="Config"/>
      <sheetName val="layout"/>
      <sheetName val="Tombstone"/>
      <sheetName val="Cover sheet"/>
      <sheetName val="Valspar"/>
      <sheetName val="XL4Poppy"/>
      <sheetName val="C101"/>
      <sheetName val="ARP-U101"/>
      <sheetName val="JE"/>
      <sheetName val="附表10"/>
      <sheetName val="单位库"/>
      <sheetName val="现金清单"/>
      <sheetName val="附表32 - 无形资产明细表"/>
      <sheetName val="Validation"/>
      <sheetName val="合并信息数据表"/>
      <sheetName val="7 - ARO Assumptions"/>
      <sheetName val="K1 Tax computation"/>
      <sheetName val="Collateral"/>
      <sheetName val="06年全年回笼"/>
      <sheetName val="06年全年销售"/>
      <sheetName val="F101"/>
      <sheetName val="Edo Res"/>
      <sheetName val="A300"/>
      <sheetName val="FN8"/>
      <sheetName val="Tickmarks"/>
      <sheetName val="LinkData"/>
      <sheetName val="Bank Table"/>
      <sheetName val="Expenses"/>
      <sheetName val="STD. COST"/>
      <sheetName val="ARP"/>
      <sheetName val="Invested Capital"/>
      <sheetName val="K701"/>
      <sheetName val="Loan Movement "/>
      <sheetName val="Manual Adjustments"/>
      <sheetName val="Conversion Date"/>
      <sheetName val="Inventory"/>
      <sheetName val="BU"/>
      <sheetName val="总公司2002.12.31"/>
      <sheetName val="A14.Long Term Investment "/>
      <sheetName val="STATPARA"/>
      <sheetName val="Menu"/>
      <sheetName val="conWP"/>
      <sheetName val="conBS"/>
      <sheetName val="conCE"/>
      <sheetName val="conCF"/>
      <sheetName val="conIS"/>
      <sheetName val="母公司TB"/>
      <sheetName val="kczj0401"/>
      <sheetName val="Calculation step - AFPGD"/>
      <sheetName val="BJ"/>
      <sheetName val="gz"/>
      <sheetName val="sh"/>
      <sheetName val="UFPrn20031111164207"/>
      <sheetName val="other investment"/>
      <sheetName val="固定资产清单"/>
      <sheetName val="12.APaging附表"/>
      <sheetName val="Raw Mtl Prep"/>
      <sheetName val="A3.试算表Financial statement"/>
      <sheetName val="K.固定资产&amp;投资性房地产"/>
      <sheetName val="P.其他应付款"/>
      <sheetName val="G.其他应收款"/>
      <sheetName val="基本"/>
      <sheetName val="bs分析"/>
      <sheetName val="借款变动"/>
      <sheetName val="报表格式"/>
      <sheetName val="KEY"/>
      <sheetName val="E100"/>
      <sheetName val="N100"/>
      <sheetName val="U401(OK)"/>
      <sheetName val="索引"/>
      <sheetName val="开店"/>
      <sheetName val="FLdeleted"/>
      <sheetName val="长期股权投资Dy"/>
      <sheetName val="投资收益Dy"/>
      <sheetName val="存货_库存商品Dy"/>
      <sheetName val="应付工资Dy"/>
      <sheetName val="应付福利费Dy"/>
      <sheetName val="预提费用Dy"/>
      <sheetName val="主营业务成本Dy"/>
      <sheetName val="分录"/>
      <sheetName val="长期股权投资Mx"/>
      <sheetName val="存货_库存商品Mx"/>
      <sheetName val="应付工资Mx"/>
      <sheetName val="应付福利费Mx"/>
      <sheetName val="预提费用Mx"/>
      <sheetName val="主营业务成本Mx"/>
      <sheetName val="短期投资Dy"/>
      <sheetName val="应收账款Dy"/>
      <sheetName val="预收账款Dy"/>
      <sheetName val="主营业务收入Dy"/>
      <sheetName val="应收账款Mx"/>
      <sheetName val="企业表一"/>
      <sheetName val="M-5A"/>
      <sheetName val="p2-1"/>
      <sheetName val="Disposition"/>
      <sheetName val="BJ Expenses"/>
      <sheetName val="Sample Rev"/>
      <sheetName val="Sample IS"/>
      <sheetName val="Probability View"/>
      <sheetName val="FY04ExpDetail"/>
      <sheetName val="Sales Seasonality by Month"/>
      <sheetName val="Cntry"/>
      <sheetName val="Tables"/>
      <sheetName val="1Ed"/>
      <sheetName val="2Ed"/>
      <sheetName val="G7310_扬州餐厨"/>
      <sheetName val="G7180_高安Redo"/>
      <sheetName val="3A FA Record"/>
      <sheetName val="9B RUL Range"/>
      <sheetName val="基础数据2"/>
      <sheetName val="通用设备"/>
      <sheetName val="土建表三乙"/>
      <sheetName val="B.0"/>
      <sheetName val="Filtered_IML"/>
      <sheetName val="Chart of acct "/>
      <sheetName val="A3 &amp; U 09-01"/>
      <sheetName val="9100-PO"/>
      <sheetName val="BI RATE"/>
      <sheetName val="AP-NR"/>
      <sheetName val="2007.12.31 暂估清单"/>
      <sheetName val="GDH"/>
      <sheetName val="Equity"/>
      <sheetName val="company operations"/>
      <sheetName val="hangzhou2"/>
      <sheetName val="IT scope"/>
      <sheetName val="Basic_Information"/>
      <sheetName val="FORM14_2"/>
      <sheetName val="0406_Grade_data"/>
      <sheetName val="0412_Grade_data"/>
      <sheetName val="Vendor Data"/>
      <sheetName val="Balance"/>
      <sheetName val="BEV"/>
      <sheetName val="JAC11.30"/>
      <sheetName val="采购订单"/>
      <sheetName val="BKD-财务部"/>
      <sheetName val="A501_AADJ#14-对价调整"/>
      <sheetName val="Sales for 2001"/>
      <sheetName val="P&amp;L(S1)"/>
      <sheetName val="Hist Prices"/>
      <sheetName val="Swap Curve Inputs"/>
      <sheetName val="1 Lillysummary"/>
      <sheetName val="2002P-BU"/>
      <sheetName val="底稿0000"/>
      <sheetName val="Validation_source"/>
      <sheetName val="SAP_vs_Oracle1"/>
      <sheetName val="DEFLEET_APR-05"/>
      <sheetName val="BOX_SUM"/>
      <sheetName val="FIN_GOOD"/>
      <sheetName val="DEC_Bank"/>
      <sheetName val="DEC_GL"/>
      <sheetName val="（ご参考）イールドカーブ_0_5年単位※コピー不可"/>
      <sheetName val="Allgem__Angaben"/>
      <sheetName val="调整分录"/>
      <sheetName val="U201"/>
      <sheetName val="ctrl"/>
      <sheetName val="Client Data"/>
      <sheetName val="2021_Sub_Equity movement"/>
      <sheetName val="A3_2021"/>
      <sheetName val="Assump Input"/>
      <sheetName val="FSA"/>
      <sheetName val="Incometl"/>
      <sheetName val="Nvar"/>
      <sheetName val="E1"/>
      <sheetName val="Volumen AOP 2004"/>
      <sheetName val="客戶清單customer list"/>
      <sheetName val="U110"/>
      <sheetName val="Eingabe"/>
      <sheetName val="All Cash Dil"/>
      <sheetName val="Input A"/>
      <sheetName val="2_假设"/>
      <sheetName val="MC-BIL"/>
      <sheetName val="Cash_Flow"/>
      <sheetName val="Income"/>
      <sheetName val="调整分录表"/>
      <sheetName val="Covenants"/>
      <sheetName val="Addbacks - Slide 8"/>
      <sheetName val="Financial Statistics"/>
      <sheetName val="実績SK"/>
      <sheetName val="Chart of Account"/>
      <sheetName val="Checking"/>
      <sheetName val="CHIP_O"/>
      <sheetName val="FRT_O"/>
      <sheetName val="YIELD"/>
      <sheetName val="(i) Fixed assets-PBC"/>
      <sheetName val="WTB"/>
      <sheetName val="cover"/>
      <sheetName val="01TBlast"/>
      <sheetName val="R3抵消"/>
      <sheetName val="收入抵消"/>
      <sheetName val="Ex Diff"/>
      <sheetName val="Confirmation"/>
      <sheetName val="grofin"/>
      <sheetName val="Profit and loss"/>
      <sheetName val="Assumptions"/>
      <sheetName val="Register"/>
      <sheetName val="#511BkRec"/>
      <sheetName val="#511-SEPT97"/>
      <sheetName val="#511-OCT97"/>
      <sheetName val="#511-NOV97"/>
      <sheetName val="Margins"/>
      <sheetName val="M-5C"/>
      <sheetName val="US Disclosure"/>
      <sheetName val="I20.b Disclosure Lead"/>
      <sheetName val="I20 LEAD"/>
      <sheetName val="I20-1 FWD"/>
      <sheetName val="I20-2 CNYFWD"/>
      <sheetName val="I20-3 FXS"/>
      <sheetName val="I20-4 CNYS"/>
      <sheetName val="I20-5 IRS"/>
      <sheetName val="I20-7 TOD"/>
      <sheetName val="I20-7-1 TOD Breakdown"/>
      <sheetName val="I20-9 Comfirmation summary"/>
      <sheetName val="分产品销售收入、成本分析表"/>
      <sheetName val="Tests of control"/>
      <sheetName val="Translation"/>
      <sheetName val="20201231-客户报表核对"/>
      <sheetName val="J&amp;Q"/>
      <sheetName val="a       "/>
      <sheetName val="loan database"/>
      <sheetName val="BALANCE SHEET"/>
      <sheetName val="MUS"/>
      <sheetName val="Dep.HK"/>
      <sheetName val="CAL-TB-MFG"/>
      <sheetName val="DEP"/>
      <sheetName val="K204"/>
      <sheetName val="Air Conditional"/>
      <sheetName val="Equipment"/>
      <sheetName val="Motor Vehicle"/>
      <sheetName val="Renovation"/>
      <sheetName val="机器设备"/>
      <sheetName val="制造成本预算表A3"/>
      <sheetName val="DLDB10"/>
      <sheetName val="物流费用预算表(A4)"/>
      <sheetName val="销售费用预算表(A4)"/>
      <sheetName val="管理费用预算表(A4)"/>
      <sheetName val="信息费用预算表(A4) "/>
      <sheetName val="研发费用预算明细表A3"/>
      <sheetName val="Projections"/>
      <sheetName val="Defn"/>
      <sheetName val="Database"/>
      <sheetName val="Detail Loan Move. &amp; Listing"/>
      <sheetName val="AP Recap"/>
      <sheetName val="Staff List"/>
      <sheetName val="99 00 plan - base case"/>
      <sheetName val="SAP原始"/>
      <sheetName val="ACTINV"/>
      <sheetName val="P &amp; L Account"/>
      <sheetName val="CodeDescription"/>
      <sheetName val="客户往来余额表"/>
      <sheetName val="Input Page"/>
      <sheetName val="Returns Backup"/>
      <sheetName val="Int Rates"/>
      <sheetName val="其他应收款Dy"/>
      <sheetName val="坏账准备_其他应收款Dy"/>
      <sheetName val="其他应付款Dy"/>
      <sheetName val="其他应收款Mx"/>
      <sheetName val="EY USE ONLY"/>
      <sheetName val="存货明细2002"/>
      <sheetName val="zw"/>
      <sheetName val="IS-客户直接转换"/>
      <sheetName val="Month"/>
      <sheetName val="auditor"/>
      <sheetName val="101"/>
      <sheetName val="销售6.13"/>
      <sheetName val="Daten"/>
      <sheetName val="11. PPE Roll"/>
      <sheetName val="M400长期借款"/>
      <sheetName val="Setup"/>
      <sheetName val="Assum"/>
      <sheetName val="Börskurser"/>
      <sheetName val="2008"/>
      <sheetName val="BlueCross table"/>
      <sheetName val="Invoice_detail"/>
      <sheetName val="Stock_Chart"/>
      <sheetName val="Final_sample_listing"/>
      <sheetName val="Hidden_Lists"/>
      <sheetName val="Mthly_Data"/>
      <sheetName val="DATA_INPUT"/>
      <sheetName val="Setting"/>
      <sheetName val="Pur"/>
      <sheetName val="CHART_E"/>
      <sheetName val="Part_Datum"/>
      <sheetName val="AR"/>
      <sheetName val="96BP"/>
      <sheetName val="15"/>
      <sheetName val="Sheet"/>
      <sheetName val="support"/>
      <sheetName val="Trial Balance"/>
      <sheetName val="&lt;FF&gt; Tax Payable"/>
      <sheetName val="Contribution"/>
      <sheetName val="201912"/>
      <sheetName val="6621"/>
      <sheetName val="PROCESS"/>
      <sheetName val="_102中草药"/>
      <sheetName val="_104燃料"/>
      <sheetName val="_106备品备件"/>
      <sheetName val="_108劳保"/>
      <sheetName val="_109辅料"/>
      <sheetName val="_110化剂"/>
      <sheetName val="_112气体"/>
      <sheetName val="_206标签"/>
      <sheetName val="_207纸箱纸盒"/>
      <sheetName val="_208瓶类"/>
      <sheetName val="_302办公用品"/>
      <sheetName val="_303工具"/>
      <sheetName val="_304玻璃仪器"/>
      <sheetName val="_399其他材料"/>
      <sheetName val="_4产成品"/>
      <sheetName val="_5自制半成品"/>
      <sheetName val="0101主料"/>
      <sheetName val="PCAP"/>
      <sheetName val="物料"/>
      <sheetName val="进销存"/>
      <sheetName val="LIST"/>
      <sheetName val="ICP其他应付款ICP OtherPayable"/>
      <sheetName val="TOOLS"/>
      <sheetName val="Ambares"/>
      <sheetName val="Budget"/>
      <sheetName val="OutSum"/>
      <sheetName val="COA "/>
      <sheetName val="Salesfor2001"/>
      <sheetName val="CompanyValues"/>
      <sheetName val="InputDownload"/>
      <sheetName val="Update check"/>
      <sheetName val="CP费用"/>
      <sheetName val="01ADDL.F.A."/>
      <sheetName val="Raw materials"/>
      <sheetName val="FEB"/>
      <sheetName val="P1"/>
      <sheetName val="ARP_U301"/>
      <sheetName val="U411"/>
      <sheetName val="tax-ss"/>
      <sheetName val="AP110"/>
      <sheetName val="B_10"/>
      <sheetName val="C_5"/>
      <sheetName val="C_6"/>
      <sheetName val="C_6a"/>
      <sheetName val="F_1l2"/>
      <sheetName val="F_21"/>
      <sheetName val="F_4"/>
      <sheetName val="F_9c"/>
      <sheetName val="F_8_FSA_"/>
      <sheetName val="L"/>
      <sheetName val="管理费用 "/>
      <sheetName val="D3"/>
      <sheetName val="11-1"/>
      <sheetName val="9609추"/>
      <sheetName val="年报财务资料追加报表一览表"/>
      <sheetName val="analysis"/>
      <sheetName val="vlook from"/>
      <sheetName val="OE AC#41111"/>
      <sheetName val="应付款项"/>
      <sheetName val="Economic evaluation - FY98 base"/>
      <sheetName val="ARP-U401"/>
      <sheetName val="其他业务成本_1110311"/>
      <sheetName val="TAB_Daten1"/>
      <sheetName val="JE_-_Depn_Sept1"/>
      <sheetName val="Net_REVENUE1"/>
      <sheetName val="FA_Roll_to_GL_(p_2)1"/>
      <sheetName val="Lead_(p_1)1"/>
      <sheetName val="Lease_AP_20081"/>
      <sheetName val="CX_ELIM1"/>
      <sheetName val="2007_12折旧差异1"/>
      <sheetName val="综合成本分析01_01-02051"/>
      <sheetName val="1102_MIT"/>
      <sheetName val="HFC-GA-OR-000041_-_reclass_1945"/>
      <sheetName val="T__B"/>
      <sheetName val="Chart_of_Acct"/>
      <sheetName val="A6620_Detail"/>
      <sheetName val="IDA_Project"/>
      <sheetName val="VCC_11110-461"/>
      <sheetName val="Pick_Lists"/>
      <sheetName val="Mov_from_2001_to_2003"/>
      <sheetName val="IRR_&amp;_NPV"/>
      <sheetName val="RE_Mov't"/>
      <sheetName val="Comp_equip"/>
      <sheetName val="1_1_Project_Data"/>
      <sheetName val="Key_Assumptions"/>
      <sheetName val="A500-Audit_adjustment"/>
      <sheetName val="Cover_sheet"/>
      <sheetName val="Valuation_Summary"/>
      <sheetName val="Income_Statement"/>
      <sheetName val="Revenue_Output"/>
      <sheetName val="Gross_Profit"/>
      <sheetName val="by_category"/>
      <sheetName val="固定资产增减表#0_00__"/>
      <sheetName val="COST_FINAL"/>
      <sheetName val="Bank_card_list"/>
      <sheetName val="5_基础档案"/>
      <sheetName val="Global_Data"/>
      <sheetName val="Graph_1"/>
      <sheetName val="SUMMARY_OUTSTANDING"/>
      <sheetName val="Beg-_End_balance"/>
      <sheetName val="Repayment_Summary"/>
      <sheetName val="L310-Adjustment_for_R&amp;D_cost"/>
      <sheetName val="PPE_Mov't-_HC_"/>
      <sheetName val="附表32_-_无形资产明细表"/>
      <sheetName val="7_-_ARO_Assumptions"/>
      <sheetName val="K1_Tax_computation"/>
      <sheetName val="Edo_Res"/>
      <sheetName val="Bank_Table"/>
      <sheetName val="STD__COST"/>
      <sheetName val="Invested_Capital"/>
      <sheetName val="Loan_Movement_"/>
      <sheetName val="Manual_Adjustments"/>
      <sheetName val="Conversion_Date"/>
      <sheetName val="总公司2002_12_31"/>
      <sheetName val="A14_Long_Term_Investment_"/>
      <sheetName val="Calculation_step_-_AFPGD"/>
      <sheetName val="Raw_Mtl_Prep"/>
      <sheetName val="A3_试算表Financial_statement"/>
      <sheetName val="K_固定资产&amp;投资性房地产"/>
      <sheetName val="P_其他应付款"/>
      <sheetName val="G_其他应收款"/>
      <sheetName val="other_investment"/>
      <sheetName val="12_APaging附表"/>
      <sheetName val="Chart_of_acct_"/>
      <sheetName val="A3_&amp;_U_09-01"/>
      <sheetName val="BJ_Expenses"/>
      <sheetName val="Sample_Rev"/>
      <sheetName val="Sample_IS"/>
      <sheetName val="Probability_View"/>
      <sheetName val="Sales_Seasonality_by_Month"/>
      <sheetName val="3A_FA_Record"/>
      <sheetName val="9B_RUL_Range"/>
      <sheetName val="B_0"/>
      <sheetName val="2007_12_31_暂估清单"/>
      <sheetName val="BI_RATE"/>
      <sheetName val="company_operations"/>
      <sheetName val="IT_scope"/>
      <sheetName val="Vendor_Data"/>
      <sheetName val="JAC11_30"/>
      <sheetName val="Sales_for_2001"/>
      <sheetName val="已背书未到期票据清单"/>
      <sheetName val="Drop List References"/>
      <sheetName val="Corporate PPT"/>
      <sheetName val="WTI Coporate Eliminations PPT"/>
      <sheetName val="OTA"/>
      <sheetName val="CA Comp"/>
      <sheetName val="Company Info"/>
      <sheetName val="#¡REF"/>
      <sheetName val="Info. Request"/>
      <sheetName val="C - Cash and Bank"/>
      <sheetName val="G301(01)"/>
      <sheetName val="Graph"/>
      <sheetName val="GER IFO vs Const"/>
      <sheetName val="Europe sales Graph"/>
      <sheetName val="EU Ind vs EU Cons"/>
      <sheetName val="进口设备FOB总价表"/>
      <sheetName val="ACCT 24050"/>
      <sheetName val="PROVISON"/>
      <sheetName val=" "/>
      <sheetName val="CIP"/>
      <sheetName val="FA movement"/>
      <sheetName val="00PSC"/>
      <sheetName val="样本池"/>
      <sheetName val="FS_0331"/>
      <sheetName val="Active"/>
      <sheetName val="Outbox"/>
      <sheetName val="Validation_source1"/>
      <sheetName val="SAP_vs_Oracle11"/>
      <sheetName val="DEFLEET_APR-051"/>
      <sheetName val="BOX_SUM1"/>
      <sheetName val="FIN_GOOD1"/>
      <sheetName val="DEC_Bank1"/>
      <sheetName val="DEC_GL1"/>
      <sheetName val="（ご参考）イールドカーブ_0_5年単位※コピー不可1"/>
      <sheetName val="Allgem__Angaben1"/>
      <sheetName val="Hist_Prices"/>
      <sheetName val="Swap_Curve_Inputs"/>
      <sheetName val="1_Lillysummary"/>
      <sheetName val="Client_Data"/>
      <sheetName val="Lookup"/>
      <sheetName val="US Bal_Sheet"/>
      <sheetName val="设备部房屋"/>
      <sheetName val="Blank"/>
      <sheetName val="Total"/>
      <sheetName val="F &amp; S INV"/>
      <sheetName val="Ex-rate"/>
      <sheetName val="级次及股比（截至20111231）"/>
      <sheetName val="新准则TB"/>
      <sheetName val="商用机信息更新090611"/>
      <sheetName val="WACC Calculation"/>
      <sheetName val="To tied 2001 opening RE"/>
      <sheetName val="0521"/>
      <sheetName val="O adj"/>
      <sheetName val="逾期"/>
      <sheetName val="三个月到一年"/>
      <sheetName val="一到三个月"/>
      <sheetName val="一到五年"/>
      <sheetName val="一个月以内"/>
      <sheetName val="cov"/>
      <sheetName val="科目余额表"/>
      <sheetName val="合并范围清单(股比）Sub0111"/>
      <sheetName val="MASTER_主数据"/>
      <sheetName val="COVER_报表封面"/>
      <sheetName val="MASTER_主数据_补"/>
      <sheetName val="主表-TB输入表-手填(地产专用)"/>
      <sheetName val="IFRS-TB自动对照-手填(地产专用)"/>
      <sheetName val="科目余额表(原稿)"/>
      <sheetName val="Bank Debt"/>
      <sheetName val="GFA"/>
      <sheetName val="Netearnanal"/>
      <sheetName val="adj10#-b"/>
      <sheetName val="Summary_"/>
      <sheetName val="CPost"/>
      <sheetName val="Journal"/>
      <sheetName val="U300-上海启昇"/>
      <sheetName val="U210_租赁PIT-上海朗昇"/>
      <sheetName val="U210_租赁PIT-上海启昇"/>
      <sheetName val="TOC"/>
      <sheetName val="PW"/>
      <sheetName val="Valuation"/>
      <sheetName val="Paramètres"/>
      <sheetName val="Admin"/>
      <sheetName val="C.货币资金"/>
      <sheetName val="C.抵押存款"/>
      <sheetName val="D.可供出售投资-流动"/>
      <sheetName val="D.衍生金融资产"/>
      <sheetName val="D.持有至到期投资-流动"/>
      <sheetName val="D.短期投资"/>
      <sheetName val="D.单列金融资产"/>
      <sheetName val="A5.dim&amp;adj sum"/>
      <sheetName val="E.应收账款"/>
      <sheetName val="E.应收贸易款及票据"/>
      <sheetName val="E.应收票据"/>
      <sheetName val="F.存货"/>
      <sheetName val="F.房地产"/>
      <sheetName val="G.预付账款&amp;其他应收款&amp;待摊费用"/>
      <sheetName val="G.应收股利"/>
      <sheetName val="G.待售资产"/>
      <sheetName val="G.HK其他应收"/>
      <sheetName val="G.应收利息"/>
      <sheetName val="G.其他流动资产"/>
      <sheetName val="H.可供出售投资-非流动"/>
      <sheetName val="H.HK长投"/>
      <sheetName val="H.商誉"/>
      <sheetName val="H.持有至到期投资-非流动"/>
      <sheetName val="H.投资性房地产"/>
      <sheetName val="H.PRC长投"/>
      <sheetName val="I.应收关联方"/>
      <sheetName val="I.应付关联方"/>
      <sheetName val="J.在建工程"/>
      <sheetName val="K.固定资产"/>
      <sheetName val="K.固定资产清理"/>
      <sheetName val="L.一年内到期的长期债权投资"/>
      <sheetName val="L.无形"/>
      <sheetName val="L.长期待摊"/>
      <sheetName val="L.其他长期资产"/>
      <sheetName val="M.短借"/>
      <sheetName val="N.应付账款"/>
      <sheetName val="N.应付票据"/>
      <sheetName val="P.预收账款&amp;其他应付款&amp;应付职工薪酬&amp;预提费用&amp;其他应交款"/>
      <sheetName val="U.其他业务收支&amp;营业外收支&amp;补贴收入&amp;利息收入"/>
      <sheetName val="U.所得税"/>
      <sheetName val="O.递延税资产"/>
      <sheetName val="O.递延税负债"/>
      <sheetName val="O.应交税费"/>
      <sheetName val="U.税金及附加"/>
      <sheetName val="P.应付股利"/>
      <sheetName val="P.HK其他应付"/>
      <sheetName val="P.应付利息"/>
      <sheetName val="P.其他流动负债"/>
      <sheetName val="P.应付职工薪酬"/>
      <sheetName val="P.预计负债"/>
      <sheetName val="Q.应付债券"/>
      <sheetName val="Q.可转债"/>
      <sheetName val="Q.政府补助"/>
      <sheetName val="Q.一年内到期负债"/>
      <sheetName val="Q.应付融资租赁款"/>
      <sheetName val="Q.长借"/>
      <sheetName val="Q.长期应付"/>
      <sheetName val="Q.其他长期负债"/>
      <sheetName val="Q.专项应付"/>
      <sheetName val="T.股本"/>
      <sheetName val="T.资本公积"/>
      <sheetName val="T.折算差额"/>
      <sheetName val="T.未分配利润"/>
      <sheetName val="T.盈余公积"/>
      <sheetName val="U.主营业务"/>
      <sheetName val="U.财务费用"/>
      <sheetName val="U.投资收益&amp;公允价值变动收益"/>
      <sheetName val="U.管理费用&amp;资产减值损失"/>
      <sheetName val="U.成本倒轧表&amp;制造费用"/>
      <sheetName val="U.销售费用"/>
      <sheetName val="U.分占下属损益"/>
      <sheetName val="Original Stefan"/>
      <sheetName val="U3"/>
      <sheetName val="InvoiceList"/>
      <sheetName val="A5"/>
      <sheetName val="Audited PL"/>
      <sheetName val="UKLF Portfolio"/>
      <sheetName val="INDEXES"/>
      <sheetName val="N23-1-预付、其他应收等"/>
      <sheetName val="N27-1-短期借款"/>
      <sheetName val="N29-1-预收款及其他应付款项"/>
      <sheetName val="N5b1-其他收入和利得净值"/>
      <sheetName val="Invoice Template"/>
      <sheetName val="Veh Info"/>
      <sheetName val="Q4Purchases"/>
      <sheetName val="校验"/>
      <sheetName val="sch9-1-1"/>
      <sheetName val="2002年预提费用"/>
      <sheetName val="国内連結"/>
      <sheetName val="1.1银行函证CC"/>
      <sheetName val="ws9"/>
      <sheetName val="售后回租应付款"/>
      <sheetName val="产品销售收入与成本明细表"/>
      <sheetName val="zero (3)"/>
      <sheetName val="2weeeks All  Excess and Shortag"/>
      <sheetName val="c_data"/>
      <sheetName val="Exchange_Rate &amp; Costs"/>
      <sheetName val="ADJ Sum(console)"/>
      <sheetName val="Dec"/>
      <sheetName val="Mar_Det"/>
      <sheetName val="PTCN"/>
      <sheetName val="Anlagespiegel_F_Assets_Receiv"/>
      <sheetName val="Bilanz_B_S_Budget"/>
      <sheetName val="GuV_Income_Budget"/>
      <sheetName val="Feb 2016"/>
      <sheetName val="ROC"/>
      <sheetName val="PL summary"/>
      <sheetName val="CC"/>
      <sheetName val="NBCF"/>
      <sheetName val="披露表(标准)"/>
      <sheetName val="表0-汇总表"/>
      <sheetName val="WORKING"/>
      <sheetName val="Face of the report"/>
      <sheetName val="OrgList"/>
      <sheetName val="Balanza"/>
      <sheetName val="PL"/>
      <sheetName val="Nov,01"/>
      <sheetName val="Category"/>
      <sheetName val="Cover_CT"/>
      <sheetName val="Sheet1 (11)"/>
      <sheetName val="U1100"/>
      <sheetName val="U1120"/>
      <sheetName val="DB"/>
      <sheetName val="Bal Dolares"/>
      <sheetName val="C.现金"/>
      <sheetName val="D.交易性金融资产"/>
      <sheetName val="A3.试算表"/>
      <sheetName val="G.预付"/>
      <sheetName val="J.工程物资"/>
      <sheetName val="K.生物资产"/>
      <sheetName val="L.开发支出"/>
      <sheetName val="L.一年内到期长期资产"/>
      <sheetName val="L.长期应收"/>
      <sheetName val="L.HK单列无形"/>
      <sheetName val="M.衍生金融负债"/>
      <sheetName val="M.交易性金融负债"/>
      <sheetName val="M.带息借款-流动"/>
      <sheetName val="M.无息借款-流动"/>
      <sheetName val="M.其他金融负债"/>
      <sheetName val="N.应付贸易款及票据"/>
      <sheetName val="O.应交所得税"/>
      <sheetName val="P.预收"/>
      <sheetName val="Q.递延收益"/>
      <sheetName val="Q.带息借款-非流动"/>
      <sheetName val="Q.无息借款-非流动"/>
      <sheetName val="T.少数股东"/>
      <sheetName val="T.专项储备"/>
      <sheetName val="U.财务成本"/>
      <sheetName val="U.财务收入"/>
      <sheetName val="U.公允价值变动收益"/>
      <sheetName val="U.管理费用"/>
      <sheetName val="U.资产减值损失"/>
      <sheetName val="U.投资收益"/>
      <sheetName val="U.营业外"/>
      <sheetName val="U.其他费用"/>
      <sheetName val="U.其他收入"/>
      <sheetName val="U.其他业务"/>
      <sheetName val="Cust List"/>
      <sheetName val="charts"/>
      <sheetName val="µ|²vªí"/>
      <sheetName val="H101"/>
      <sheetName val="Links"/>
      <sheetName val="P&amp;L Consol"/>
      <sheetName val="ARP-G101"/>
      <sheetName val="E221"/>
      <sheetName val="ye"/>
      <sheetName val="H R"/>
      <sheetName val="1102 (2)"/>
      <sheetName val="Income Tax"/>
      <sheetName val="Movement under PRC&amp;TW"/>
      <sheetName val="BKD-2019"/>
      <sheetName val="raw"/>
      <sheetName val="合并附注"/>
      <sheetName val="2货站"/>
      <sheetName val="Cash &amp; Bank"/>
      <sheetName val="柱"/>
      <sheetName val="N1_AT"/>
      <sheetName val="C2_WKSP"/>
      <sheetName val="A1_INP"/>
      <sheetName val="A2_TINPM"/>
      <sheetName val="A3_TINPP"/>
      <sheetName val="FAB별"/>
      <sheetName val="truc tiep"/>
      <sheetName val="12(762mm)套管"/>
      <sheetName val="CONSOL"/>
      <sheetName val="六纺"/>
      <sheetName val="邮件发送资料"/>
      <sheetName val="Inputs"/>
      <sheetName val="Q.CF-E01"/>
      <sheetName val="2006DEP.sap data"/>
      <sheetName val="Phase2 movementDEC"/>
      <sheetName val="Phase1f.a.DEC"/>
      <sheetName val="Phase2 f.a.DEC (2)"/>
      <sheetName val="BS2"/>
      <sheetName val="B30"/>
      <sheetName val="SET_UP"/>
      <sheetName val="IS Summary-96"/>
      <sheetName val="Business Unit"/>
      <sheetName val="Corp"/>
      <sheetName val="BOC Classic"/>
      <sheetName val="Sign Off Form"/>
      <sheetName val="Breakdown on Retail Loan Grade"/>
      <sheetName val="hiddenSheet1"/>
      <sheetName val="2003 scrapped"/>
      <sheetName val="Accounts receivables"/>
      <sheetName val="AP-RPT "/>
      <sheetName val="MasterList"/>
      <sheetName val="封面"/>
      <sheetName val="Input Sheet"/>
      <sheetName val="P&amp;L PP"/>
      <sheetName val="Flash-pp"/>
      <sheetName val="PY-pp"/>
      <sheetName val="MYF-pp"/>
      <sheetName val="Asset9809CAK"/>
      <sheetName val="Asset98-CAK"/>
      <sheetName val="SBUList"/>
      <sheetName val="Rev Sen"/>
      <sheetName val="Case"/>
      <sheetName val="MetaData"/>
      <sheetName val="BARS"/>
      <sheetName val="212101"/>
      <sheetName val="办事处经费"/>
      <sheetName val="办事处市场部经费"/>
      <sheetName val="营销人员借款"/>
      <sheetName val="离职营销人员借款"/>
      <sheetName val="公司备用金"/>
      <sheetName val="律师"/>
      <sheetName val="长投明细"/>
      <sheetName val="多辅助核算汇总by 客户"/>
      <sheetName val="Non-Statistical Sampling Master"/>
      <sheetName val="Two Step Revenue Testing Master"/>
      <sheetName val="数据模板1"/>
      <sheetName val="表格清单"/>
      <sheetName val="前提1-综合"/>
      <sheetName val="K(GDH)"/>
      <sheetName val="03合并附注"/>
      <sheetName val="制费-分月"/>
      <sheetName val="AJEs &amp; RJEs"/>
      <sheetName val="Vauxhall Opel 30004"/>
      <sheetName val="HKBUD"/>
      <sheetName val="管理费用表"/>
      <sheetName val="PBC - PHS"/>
      <sheetName val="output"/>
      <sheetName val="cost"/>
      <sheetName val="NAV Output"/>
      <sheetName val="明细分类账"/>
      <sheetName val="所有凭证"/>
      <sheetName val="参数"/>
      <sheetName val="ID"/>
      <sheetName val="Financial Exp明细分类账"/>
      <sheetName val="FA Addition"/>
      <sheetName val="M Schedules"/>
      <sheetName val="2002-H300"/>
      <sheetName val="2001-H300"/>
      <sheetName val="销管费用明细"/>
      <sheetName val="胡匀匀"/>
      <sheetName val="P11"/>
      <sheetName val="AVIM"/>
      <sheetName val="September-IVC"/>
      <sheetName val="Octomber-IVC"/>
      <sheetName val="August-IVC"/>
      <sheetName val="July-IVC"/>
      <sheetName val="Account"/>
      <sheetName val="学历"/>
      <sheetName val="GP Analysis"/>
      <sheetName val="GZ_MOP"/>
      <sheetName val="表二甲机务F型"/>
      <sheetName val="总部帐2"/>
      <sheetName val="May"/>
      <sheetName val="5050 Bank HKD"/>
      <sheetName val="Mth"/>
      <sheetName val="Variance by Mth"/>
      <sheetName val="LBO"/>
      <sheetName val="ASP from Barb"/>
      <sheetName val="OMFG Cost"/>
      <sheetName val="PAL&amp;DPAL AP610"/>
      <sheetName val="母公司应交税金明细表（含泵送）"/>
      <sheetName val="IncidentsEAP"/>
      <sheetName val="Dimensions"/>
      <sheetName val="IBA&amp;HP"/>
      <sheetName val="Inc&amp;Exp"/>
      <sheetName val="平衡测试"/>
      <sheetName val="Sheet2 (3)"/>
      <sheetName val="gares 02 BON FICHIER "/>
      <sheetName val="Oct Starts Plan"/>
      <sheetName val="Invest "/>
      <sheetName val="2. PPR REVENUE APR10"/>
      <sheetName val="PLALL"/>
      <sheetName val="IR_Deckblatt"/>
      <sheetName val="FP"/>
      <sheetName val="COS1"/>
      <sheetName val="COS2"/>
      <sheetName val="COS3"/>
      <sheetName val="COS4"/>
      <sheetName val="PL1"/>
      <sheetName val="PL2"/>
      <sheetName val="PL3"/>
      <sheetName val="PL4"/>
      <sheetName val="GM Trend"/>
      <sheetName val="GM% Trend"/>
      <sheetName val="Linearity"/>
      <sheetName val="Linearity Chart"/>
      <sheetName val="NP Trend"/>
      <sheetName val="Recon"/>
      <sheetName val="Rev Trend"/>
      <sheetName val="Rev-GM Detail 1"/>
      <sheetName val="Rev-GM Detail 2"/>
      <sheetName val="Rev Mix Trend"/>
      <sheetName val="SUMMARY (EXPD)"/>
      <sheetName val="SUMMARY (%)"/>
      <sheetName val="QTD TO GO"/>
      <sheetName val="1月"/>
      <sheetName val="15、采购订单"/>
      <sheetName val="表21 净利润调节表"/>
      <sheetName val="Inputsheet"/>
      <sheetName val="BBcode_convert"/>
      <sheetName val="综合概算(2003)"/>
      <sheetName val="分配"/>
      <sheetName val="月份数据"/>
      <sheetName val="销售"/>
      <sheetName val="成品科"/>
      <sheetName val="KeyAs"/>
      <sheetName val="Brachy"/>
      <sheetName val="Catheters"/>
      <sheetName val="DU"/>
      <sheetName val="MH"/>
      <sheetName val="OUS"/>
      <sheetName val="US"/>
      <sheetName val="WH"/>
      <sheetName val="收入明细－按客户"/>
      <sheetName val="重要性水平"/>
      <sheetName val="preBS"/>
      <sheetName val="preCF"/>
      <sheetName val="preIS"/>
      <sheetName val="preCE"/>
      <sheetName val="关联方"/>
      <sheetName val="15287贵阳市乌当区天网工程"/>
      <sheetName val="February"/>
      <sheetName val="January"/>
      <sheetName val="March"/>
      <sheetName val="Form Admin"/>
      <sheetName val="邻酮定乙酚发出测试"/>
      <sheetName val="表2&lt;销售出库单&gt;"/>
      <sheetName val="C_301"/>
      <sheetName val="C_311"/>
      <sheetName val="C_318"/>
      <sheetName val="标本-资产"/>
      <sheetName val="Breakdown"/>
      <sheetName val="Code"/>
      <sheetName val="社内出货"/>
      <sheetName val="折旧表"/>
      <sheetName val="P12 TB SZ"/>
      <sheetName val="company"/>
      <sheetName val="A430"/>
      <sheetName val="填报说明"/>
      <sheetName val="分类"/>
      <sheetName val="Intra Company "/>
      <sheetName val="DEP12"/>
      <sheetName val="note(1)"/>
      <sheetName val="hk"/>
      <sheetName val="财务费用多栏明细账"/>
      <sheetName val="管理费用多栏明细账"/>
      <sheetName val="营业费用多栏明细账"/>
      <sheetName val="NewB Sheet"/>
      <sheetName val="Library Procedures"/>
      <sheetName val="Sheet9"/>
      <sheetName val="H_Lead"/>
      <sheetName val="K311 A_List02"/>
      <sheetName val="AR-BS"/>
      <sheetName val="ExelStor Dec 2002"/>
      <sheetName val="热力系统"/>
      <sheetName val="chitiet"/>
      <sheetName val="D4RP"/>
      <sheetName val="2171_FYbk"/>
      <sheetName val="2171-BK"/>
      <sheetName val="O1"/>
      <sheetName val="M1"/>
      <sheetName val="H1"/>
      <sheetName val="Share Px"/>
      <sheetName val="FTE's"/>
      <sheetName val="C_110函证控制表"/>
      <sheetName val="assets list"/>
      <sheetName val="LT TB"/>
      <sheetName val="LTMD TB"/>
      <sheetName val="OC TB"/>
      <sheetName val="ZD TB"/>
      <sheetName val="LT_ADJ"/>
      <sheetName val="Note 1 - Recon Profit"/>
      <sheetName val="Cash Flow Statement"/>
      <sheetName val="Costs成本"/>
      <sheetName val="GLFY"/>
      <sheetName val="Share Prices"/>
      <sheetName val="Deposit"/>
      <sheetName val="(QB0) Global Properties"/>
      <sheetName val="(QB1) Quick Budget"/>
      <sheetName val="(QB3) StaffAllocation"/>
      <sheetName val="Form B5"/>
      <sheetName val="(B1)WorkAcquis"/>
      <sheetName val="A300 (to del)"/>
      <sheetName val="EX-TGS"/>
      <sheetName val="U 510"/>
      <sheetName val="0"/>
      <sheetName val="C_100Breakdown"/>
      <sheetName val="核銷表"/>
      <sheetName val="14"/>
      <sheetName val="oifi01"/>
      <sheetName val="Product Costs"/>
      <sheetName val="N719(NC)"/>
      <sheetName val="敏感性"/>
      <sheetName val="选择键"/>
      <sheetName val="purchase-subsi"/>
      <sheetName val="sales1-subsi."/>
      <sheetName val="sales2-subsi."/>
      <sheetName val="sales3-subsi"/>
      <sheetName val="公司清单"/>
      <sheetName val="Corpalloc"/>
      <sheetName val="Calc &amp; Export"/>
      <sheetName val="AOP Exec Summary"/>
      <sheetName val="Coversheet-Quarterly_Report"/>
      <sheetName val="statement 1998"/>
      <sheetName val="2100"/>
      <sheetName val="OTHERSUM"/>
      <sheetName val="2009 3KE5Z detail"/>
      <sheetName val="BKD"/>
      <sheetName val="NeoPrice® Pricing Analysis"/>
      <sheetName val="Break-Even Analysis"/>
      <sheetName val="Working Assumptions"/>
      <sheetName val="Currency Codes"/>
      <sheetName val="1. Scoping"/>
      <sheetName val="2. Expectation"/>
      <sheetName val="3. Variance threshold"/>
      <sheetName val="数字视频并帐"/>
      <sheetName val="338 Apparel"/>
      <sheetName val="Proforma"/>
      <sheetName val="DATA_RANGES_3"/>
      <sheetName val="Dealer Stock"/>
      <sheetName val="FY Corrections"/>
      <sheetName val="Importer Stock"/>
      <sheetName val="Production"/>
      <sheetName val="Start up restrictions"/>
      <sheetName val="Used Cars Importer"/>
      <sheetName val="exchange rates"/>
      <sheetName val="Marco"/>
      <sheetName val="Financ. Overview"/>
      <sheetName val="Toolbox"/>
      <sheetName val="AP"/>
      <sheetName val="REVALUATION-Jul-02"/>
      <sheetName val="DCF_3资产负债分析调整表"/>
      <sheetName val="其他货币资金.dbf"/>
      <sheetName val="银行存款.dbf"/>
      <sheetName val="N63_在其他主体中的权益-子（孙）公司"/>
      <sheetName val="N67_重要联营企业的主要财务信息"/>
      <sheetName val="N72_关联方往来（应收）"/>
      <sheetName val="Matrix P&amp;L - Retail Normal"/>
      <sheetName val="04-B11"/>
      <sheetName val="Ownership"/>
      <sheetName val="cathayforecasts"/>
      <sheetName val="Sample Layout (new)"/>
      <sheetName val="CRITERIA1"/>
      <sheetName val="Personnaliser votre facture"/>
      <sheetName val="A3_影视技术"/>
      <sheetName val="代码"/>
      <sheetName val="OCT BANK"/>
      <sheetName val="Lockbox"/>
      <sheetName val="Aging Datasheet"/>
      <sheetName val="ECCS_1 DataSheet"/>
      <sheetName val="KPI Datasheet"/>
      <sheetName val="核对表"/>
      <sheetName val="管理费用-技术部"/>
      <sheetName val="管理费用-管理部"/>
      <sheetName val="Suppliers"/>
      <sheetName val="chart"/>
      <sheetName val="Vol Dan Fev"/>
      <sheetName val="General"/>
      <sheetName val="BREssPack"/>
      <sheetName val="库存商品余额表.dbf"/>
      <sheetName val="FS"/>
      <sheetName val="gl"/>
      <sheetName val="Adm"/>
      <sheetName val="sell"/>
      <sheetName val="Fin"/>
      <sheetName val=" U140-SalesTOT"/>
      <sheetName val="Data Validation"/>
      <sheetName val="专项应付款Dy"/>
      <sheetName val="财务费用Dy"/>
      <sheetName val="专项应付款Mx"/>
      <sheetName val="집계표(OPTION)"/>
      <sheetName val="M"/>
      <sheetName val="FX Evo"/>
      <sheetName val="16、半成品明细"/>
      <sheetName val="FIXASSET"/>
      <sheetName val="sum"/>
      <sheetName val="ARP-U201"/>
      <sheetName val="‘‡B"/>
      <sheetName val="表三甲"/>
      <sheetName val="Accrual"/>
      <sheetName val="PRC 15"/>
      <sheetName val="model"/>
      <sheetName val="PSD-BICUTAN"/>
      <sheetName val="beer-indstry"/>
      <sheetName val="DEPOSIT-PPYMT"/>
      <sheetName val="中小学生"/>
      <sheetName val="科目列表"/>
      <sheetName val="科目列表其中项"/>
      <sheetName val="币种其中项"/>
      <sheetName val="自定义一列表"/>
      <sheetName val="自定义二列表"/>
      <sheetName val="其中项及原币调整"/>
      <sheetName val="基础表"/>
      <sheetName val="1、日记账调整分录"/>
      <sheetName val="财务费用明细表"/>
      <sheetName val="长期待摊费用明细表"/>
      <sheetName val="iRepository"/>
      <sheetName val="ProArcInfo"/>
      <sheetName val="Tax proj-Shenzhen"/>
      <sheetName val="DEF REV"/>
      <sheetName val="试算平衡表"/>
      <sheetName val="XBase"/>
      <sheetName val="银行存款余额验证表"/>
      <sheetName val="BalSheetBUD"/>
      <sheetName val="BE Environmental Group Ltd"/>
      <sheetName val="TEE"/>
      <sheetName val="R&amp;D P"/>
      <sheetName val="退休基本情况说明"/>
      <sheetName val="P504_3.Expected life"/>
      <sheetName val="16. Appendix - Intercompany Ref"/>
      <sheetName val="jg"/>
      <sheetName val="AUD_Rates"/>
      <sheetName val="会计科目对照表"/>
      <sheetName val="Grading Summary"/>
      <sheetName val="完"/>
      <sheetName val="29-1 贴现融资-回购式"/>
      <sheetName val="加压泵房"/>
      <sheetName val="BS - USGAAP"/>
      <sheetName val="Cntmrs-Recruit"/>
      <sheetName val="Romford Market"/>
      <sheetName val="Calcul"/>
      <sheetName val="ITS budget for FY05"/>
      <sheetName val="Full Assets List"/>
      <sheetName val="A3_conso"/>
      <sheetName val="資料庫"/>
      <sheetName val="ARP for BS"/>
      <sheetName val="C102"/>
      <sheetName val="ARP for P&amp;L"/>
      <sheetName val="2売掛金残高比較"/>
      <sheetName val="1売上債権期間分析"/>
      <sheetName val="adj."/>
      <sheetName val="DCF_VDF"/>
      <sheetName val="NOPAT_VDF"/>
      <sheetName val="Invested capital_VDF"/>
      <sheetName val="Summary Page_VDF"/>
      <sheetName val="2004"/>
      <sheetName val="POLYOLEFINS"/>
      <sheetName val="over"/>
      <sheetName val="加入者数集計"/>
      <sheetName val="fin data"/>
      <sheetName val="92,93"/>
      <sheetName val="94"/>
      <sheetName val="F_OH"/>
      <sheetName val="WACC Conclusion"/>
      <sheetName val="Terminal Value"/>
      <sheetName val="Exh B-5"/>
      <sheetName val="Exh B-2"/>
      <sheetName val="Exh B-6"/>
      <sheetName val="Exh B-8"/>
      <sheetName val="Exh B-4"/>
      <sheetName val="Exh B-3"/>
      <sheetName val="Exh B-7"/>
      <sheetName val="Exh B-1"/>
      <sheetName val="CapitalUsage"/>
      <sheetName val="Positions_PandL"/>
      <sheetName val="ACTvsFST"/>
      <sheetName val="D3-1"/>
      <sheetName val="ExchEntry"/>
      <sheetName val="PltRpt (A&amp;F)"/>
      <sheetName val="PltRpt (A&amp;FvsB)"/>
      <sheetName val="PltRpt (B&amp;AC)"/>
      <sheetName val="AcctChEntry"/>
      <sheetName val="Schedule B"/>
      <sheetName val="Print Controls"/>
      <sheetName val="被审计单位清单"/>
      <sheetName val="Financial documents"/>
      <sheetName val="Equity Development"/>
      <sheetName val="WACC and EV Inputs"/>
      <sheetName val="DATA GPC"/>
      <sheetName val="EBIT Reconciliation"/>
      <sheetName val="START"/>
      <sheetName val="DCF"/>
      <sheetName val="Ranking"/>
      <sheetName val="Depreciation and Tax Benefit"/>
      <sheetName val="INC STAT Hist Input"/>
      <sheetName val="PFI Inputs"/>
      <sheetName val="Reference"/>
      <sheetName val="Error Check"/>
      <sheetName val="NOL Tax Benefit"/>
      <sheetName val="Segment Information"/>
      <sheetName val="PFI Inc Stat Common Size"/>
      <sheetName val="PFI Inc Stat"/>
      <sheetName val="WACC"/>
      <sheetName val="Tax Amortization Benefit"/>
      <sheetName val="U300"/>
      <sheetName val="U310"/>
      <sheetName val="BR"/>
      <sheetName val="CA"/>
      <sheetName val="CO"/>
      <sheetName val="EIU"/>
      <sheetName val="Euro"/>
      <sheetName val="FI"/>
      <sheetName val="LEB"/>
      <sheetName val="MEX"/>
      <sheetName val="S&amp;P"/>
      <sheetName val="UK"/>
      <sheetName val="存货汇总表10"/>
      <sheetName val="1-3"/>
      <sheetName val="Iron Curtain Method"/>
      <sheetName val="co_code"/>
      <sheetName val="代码表"/>
      <sheetName val="Par"/>
      <sheetName val="ARCELIK项目收入成本"/>
      <sheetName val="ee&amp;offsort"/>
      <sheetName val="New Cancelled Breakout"/>
      <sheetName val="OfficerList"/>
      <sheetName val="VestTemp&amp;Typeclean"/>
      <sheetName val="0000"/>
      <sheetName val="14.04.03"/>
      <sheetName val="AmeSum"/>
      <sheetName val="EMEASum"/>
      <sheetName val="HPCoSum"/>
      <sheetName val="OGSum"/>
      <sheetName val="APJSum"/>
      <sheetName val="ADRESSES"/>
      <sheetName val="Rented Equipment"/>
      <sheetName val="TB Link"/>
      <sheetName val="SCTB"/>
      <sheetName val="基础条件"/>
      <sheetName val="P1398"/>
      <sheetName val="P1397"/>
      <sheetName val="1-11"/>
      <sheetName val="SFS(BUDGET)"/>
      <sheetName val="CONTENTS"/>
      <sheetName val="OTHER(FLASH)"/>
      <sheetName val="B-4_2"/>
      <sheetName val="nj-Mixed"/>
      <sheetName val="sz-Mixed"/>
      <sheetName val=" FY2000"/>
      <sheetName val="2002(7)"/>
      <sheetName val="收入_按产品类别（旧版已作废）_"/>
      <sheetName val="销售收入A4"/>
      <sheetName val="A1000"/>
      <sheetName val="14480000"/>
      <sheetName val="工料机"/>
      <sheetName val="100172"/>
      <sheetName val="目錄"/>
      <sheetName val="附件四  第三方后台收集信息表"/>
      <sheetName val="Invoice_detail1"/>
      <sheetName val="Stock_Chart1"/>
      <sheetName val="Final_sample_listing1"/>
      <sheetName val="Hidden_Lists1"/>
      <sheetName val="Mthly_Data1"/>
      <sheetName val="DATA_INPUT1"/>
      <sheetName val="Global_Data1"/>
      <sheetName val="5_基础档案1"/>
      <sheetName val="T__B1"/>
      <sheetName val="Chart_of_Acct1"/>
      <sheetName val="7_-_ARO_Assumptions1"/>
      <sheetName val="Graph_11"/>
      <sheetName val="A6620_Detail1"/>
      <sheetName val="SUMMARY_OUTSTANDING1"/>
      <sheetName val="固定资产增减表#0_00__1"/>
      <sheetName val="IRR_&amp;_NPV1"/>
      <sheetName val="Beg-_End_balance1"/>
      <sheetName val="附表32_-_无形资产明细表1"/>
      <sheetName val="K1_Tax_computation1"/>
      <sheetName val="C_货币资金"/>
      <sheetName val="C_抵押存款"/>
      <sheetName val="D_可供出售投资-流动"/>
      <sheetName val="D_衍生金融资产"/>
      <sheetName val="D_持有至到期投资-流动"/>
      <sheetName val="D_短期投资"/>
      <sheetName val="D_单列金融资产"/>
      <sheetName val="A5_dim&amp;adj_sum"/>
      <sheetName val="E_应收账款"/>
      <sheetName val="E_应收贸易款及票据"/>
      <sheetName val="E_应收票据"/>
      <sheetName val="F_存货"/>
      <sheetName val="F_房地产"/>
      <sheetName val="G_预付账款&amp;其他应收款&amp;待摊费用"/>
      <sheetName val="G_应收股利"/>
      <sheetName val="G_待售资产"/>
      <sheetName val="G_HK其他应收"/>
      <sheetName val="G_应收利息"/>
      <sheetName val="G_其他流动资产"/>
      <sheetName val="H_可供出售投资-非流动"/>
      <sheetName val="H_HK长投"/>
      <sheetName val="H_商誉"/>
      <sheetName val="H_持有至到期投资-非流动"/>
      <sheetName val="H_投资性房地产"/>
      <sheetName val="H_PRC长投"/>
      <sheetName val="I_应收关联方"/>
      <sheetName val="I_应付关联方"/>
      <sheetName val="J_在建工程"/>
      <sheetName val="K_固定资产"/>
      <sheetName val="K_固定资产清理"/>
      <sheetName val="L_一年内到期的长期债权投资"/>
      <sheetName val="L_无形"/>
      <sheetName val="L_长期待摊"/>
      <sheetName val="L_其他长期资产"/>
      <sheetName val="M_短借"/>
      <sheetName val="N_应付账款"/>
      <sheetName val="N_应付票据"/>
      <sheetName val="P_预收账款&amp;其他应付款&amp;应付职工薪酬&amp;预提费用&amp;其他应交款"/>
      <sheetName val="U_其他业务收支&amp;营业外收支&amp;补贴收入&amp;利息收入"/>
      <sheetName val="U_所得税"/>
      <sheetName val="O_递延税资产"/>
      <sheetName val="O_递延税负债"/>
      <sheetName val="O_应交税费"/>
      <sheetName val="U_税金及附加"/>
      <sheetName val="P_应付股利"/>
      <sheetName val="P_HK其他应付"/>
      <sheetName val="P_应付利息"/>
      <sheetName val="P_其他流动负债"/>
      <sheetName val="P_应付职工薪酬"/>
      <sheetName val="P_预计负债"/>
      <sheetName val="Q_应付债券"/>
      <sheetName val="Q_可转债"/>
      <sheetName val="Q_政府补助"/>
      <sheetName val="Q_一年内到期负债"/>
      <sheetName val="Q_应付融资租赁款"/>
      <sheetName val="Q_长借"/>
      <sheetName val="Q_长期应付"/>
      <sheetName val="Q_其他长期负债"/>
      <sheetName val="Q_专项应付"/>
      <sheetName val="T_股本"/>
      <sheetName val="T_资本公积"/>
      <sheetName val="T_折算差额"/>
      <sheetName val="T_未分配利润"/>
      <sheetName val="T_盈余公积"/>
      <sheetName val="U_主营业务"/>
      <sheetName val="U_财务费用"/>
      <sheetName val="U_投资收益&amp;公允价值变动收益"/>
      <sheetName val="U_管理费用&amp;资产减值损失"/>
      <sheetName val="U_成本倒轧表&amp;制造费用"/>
      <sheetName val="U_销售费用"/>
      <sheetName val="U_分占下属损益"/>
      <sheetName val="Volumen_AOP_2004"/>
      <sheetName val="客戶清單customer_list"/>
      <sheetName val="All_Cash_Dil"/>
      <sheetName val="Input_A"/>
      <sheetName val="STD__COST1"/>
      <sheetName val="Bank_Table1"/>
      <sheetName val="Invested_Capital1"/>
      <sheetName val="Addbacks_-_Slide_8"/>
      <sheetName val="Financial_Statistics"/>
      <sheetName val="US_Disclosure"/>
      <sheetName val="I20_b_Disclosure_Lead"/>
      <sheetName val="I20_LEAD"/>
      <sheetName val="I20-1_FWD"/>
      <sheetName val="I20-2_CNYFWD"/>
      <sheetName val="I20-3_FXS"/>
      <sheetName val="I20-4_CNYS"/>
      <sheetName val="I20-5_IRS"/>
      <sheetName val="I20-7_TOD"/>
      <sheetName val="I20-7-1_TOD_Breakdown"/>
      <sheetName val="I20-9_Comfirmation_summary"/>
      <sheetName val="Tests_of_control"/>
      <sheetName val="a_______"/>
      <sheetName val="loan_database"/>
      <sheetName val="BALANCE_SHEET"/>
      <sheetName val="Original_Stefan"/>
      <sheetName val="Audited_PL"/>
      <sheetName val="(i)_Fixed_assets-PBC"/>
      <sheetName val="Ex_Diff"/>
      <sheetName val="Profit_and_loss"/>
      <sheetName val="UKLF_Portfolio"/>
      <sheetName val="Invoice_Template"/>
      <sheetName val="Veh_Info"/>
      <sheetName val="1_1银行函证CC"/>
      <sheetName val="Chart_of_Account"/>
      <sheetName val="zero_(3)"/>
      <sheetName val="2weeeks_All__Excess_and_Shortag"/>
      <sheetName val="Exchange_Rate_&amp;_Costs"/>
      <sheetName val="ADJ_Sum(console)"/>
      <sheetName val="Feb_2016"/>
      <sheetName val="PL_summary"/>
      <sheetName val="BlueCross_table"/>
      <sheetName val="Face_of_the_report"/>
      <sheetName val="Sheet1_(11)"/>
      <sheetName val="Bal_Dolares"/>
      <sheetName val="C_现金"/>
      <sheetName val="D_交易性金融资产"/>
      <sheetName val="A3_试算表"/>
      <sheetName val="G_预付"/>
      <sheetName val="J_工程物资"/>
      <sheetName val="K_生物资产"/>
      <sheetName val="L_开发支出"/>
      <sheetName val="L_一年内到期长期资产"/>
      <sheetName val="L_长期应收"/>
      <sheetName val="L_HK单列无形"/>
      <sheetName val="M_衍生金融负债"/>
      <sheetName val="M_交易性金融负债"/>
      <sheetName val="M_带息借款-流动"/>
      <sheetName val="M_无息借款-流动"/>
      <sheetName val="M_其他金融负债"/>
      <sheetName val="N_应付贸易款及票据"/>
      <sheetName val="O_应交所得税"/>
      <sheetName val="P_预收"/>
      <sheetName val="Q_递延收益"/>
      <sheetName val="Q_带息借款-非流动"/>
      <sheetName val="Q_无息借款-非流动"/>
      <sheetName val="T_少数股东"/>
      <sheetName val="T_专项储备"/>
      <sheetName val="U_财务成本"/>
      <sheetName val="U_财务收入"/>
      <sheetName val="U_公允价值变动收益"/>
      <sheetName val="U_管理费用"/>
      <sheetName val="U_资产减值损失"/>
      <sheetName val="U_投资收益"/>
      <sheetName val="U_营业外"/>
      <sheetName val="U_其他费用"/>
      <sheetName val="U_其他收入"/>
      <sheetName val="U_其他业务"/>
      <sheetName val="Cust_List"/>
      <sheetName val="P&amp;L_Consol"/>
      <sheetName val="H_R"/>
      <sheetName val="1102_(2)"/>
      <sheetName val="Income_Tax"/>
      <sheetName val="Movement_under_PRC&amp;TW"/>
      <sheetName val="Returns_Backup"/>
      <sheetName val="Int_Rates"/>
      <sheetName val="Cash_&amp;_Bank"/>
      <sheetName val="truc_tiep"/>
      <sheetName val="Q_CF-E01"/>
      <sheetName val="2006DEP_sap_data"/>
      <sheetName val="Phase2_movementDEC"/>
      <sheetName val="Phase1f_a_DEC"/>
      <sheetName val="Phase2_f_a_DEC_(2)"/>
      <sheetName val="C_-_Cash_and_Bank"/>
      <sheetName val="IS_Summary-96"/>
      <sheetName val="Business_Unit"/>
      <sheetName val="BOC_Classic"/>
      <sheetName val="Sign_Off_Form"/>
      <sheetName val="Breakdown_on_Retail_Loan_Grade"/>
      <sheetName val="2003_scrapped"/>
      <sheetName val="Accounts_receivables"/>
      <sheetName val="AP-RPT_"/>
      <sheetName val="Input_Sheet"/>
      <sheetName val="P&amp;L_PP"/>
      <sheetName val="Rev_Sen"/>
      <sheetName val="多辅助核算汇总by_客户"/>
      <sheetName val="Non-Statistical_Sampling_Master"/>
      <sheetName val="Two_Step_Revenue_Testing_Master"/>
      <sheetName val="信息费用预算表(A4)_"/>
      <sheetName val="Cash_Flow1"/>
      <sheetName val="AJEs_&amp;_RJEs"/>
      <sheetName val="Vauxhall_Opel_30004"/>
      <sheetName val="PBC_-_PHS"/>
      <sheetName val="NAV_Output"/>
      <sheetName val="Financial_Exp明细分类账"/>
      <sheetName val="FA_Addition"/>
      <sheetName val="Staff_List"/>
      <sheetName val="M_Schedules"/>
      <sheetName val="Info__Request"/>
      <sheetName val="Trial_Balance"/>
      <sheetName val="GP_Analysis"/>
      <sheetName val="Drop_List_References"/>
      <sheetName val="5050_Bank_HKD"/>
      <sheetName val="Variance_by_Mth"/>
      <sheetName val="ASP_from_Barb"/>
      <sheetName val="OMFG_Cost"/>
      <sheetName val="PAL&amp;DPAL_AP610"/>
      <sheetName val="Sheet2_(3)"/>
      <sheetName val="gares_02_BON_FICHIER_"/>
      <sheetName val="Oct_Starts_Plan"/>
      <sheetName val="Invest_"/>
      <sheetName val="2__PPR_REVENUE_APR10"/>
      <sheetName val="GM_Trend"/>
      <sheetName val="GM%_Trend"/>
      <sheetName val="Linearity_Chart"/>
      <sheetName val="NP_Trend"/>
      <sheetName val="Rev_Trend"/>
      <sheetName val="Rev-GM_Detail_1"/>
      <sheetName val="Rev-GM_Detail_2"/>
      <sheetName val="Rev_Mix_Trend"/>
      <sheetName val="SUMMARY_(EXPD)"/>
      <sheetName val="SUMMARY_(%)"/>
      <sheetName val="QTD_TO_GO"/>
      <sheetName val="2008收发存"/>
      <sheetName val="Review pts"/>
      <sheetName val="Key_Inputs"/>
      <sheetName val="1.2_CoCo_Financials_Meta"/>
      <sheetName val="1_ShortName_Calculation_Meta"/>
      <sheetName val="四川住贸"/>
      <sheetName val="杭州山松"/>
      <sheetName val="吉林小松"/>
      <sheetName val="武汉小松"/>
      <sheetName val="西安安松"/>
      <sheetName val="data elements"/>
      <sheetName val="利息7月-8月"/>
      <sheetName val="Cost Rev(Lot16)"/>
      <sheetName val="Sales_Prefinal"/>
      <sheetName val="AP_Prefinal"/>
      <sheetName val="应付明细"/>
      <sheetName val="Open"/>
      <sheetName val="crıter"/>
      <sheetName val="REF CBU"/>
      <sheetName val="INIT"/>
      <sheetName val="E15"/>
      <sheetName val="Upload Apr 13"/>
      <sheetName val="MET_H_KK"/>
      <sheetName val="UFPrn20201203092258"/>
      <sheetName val="CY sales report"/>
      <sheetName val="预付账款明细表"/>
      <sheetName val="总"/>
      <sheetName val="Investment Property"/>
      <sheetName val="&lt;原报&gt;资产负债表"/>
      <sheetName val="报表目录"/>
      <sheetName val="报表层次重要性水平"/>
      <sheetName val="所有者权益(股东权益)变动表(未审)"/>
      <sheetName val="#511-DEC97"/>
      <sheetName val="外销涤布"/>
      <sheetName val="FY03"/>
      <sheetName val="B1-1001"/>
      <sheetName val="PTC"/>
      <sheetName val="费用重分类"/>
      <sheetName val="Equity Index"/>
      <sheetName val="M_5A"/>
      <sheetName val="M_5C"/>
      <sheetName val="____"/>
      <sheetName val="预付账款Dy"/>
      <sheetName val="金利グラ"/>
      <sheetName val="租赁收入(80105)Breakdown"/>
      <sheetName val="抽样测试"/>
      <sheetName val="G402."/>
      <sheetName val="原材料"/>
      <sheetName val="PPE (HKGAAP) 2002"/>
      <sheetName val="Threshold Table"/>
      <sheetName val="Malli"/>
      <sheetName val="Mobile"/>
      <sheetName val="Abbreviations"/>
      <sheetName val="E0 Design Interface chart"/>
      <sheetName val="9609Aß"/>
      <sheetName val="PKG"/>
      <sheetName val="Confirmation Letter"/>
      <sheetName val="月"/>
      <sheetName val="LQE1"/>
      <sheetName val="LQE2"/>
      <sheetName val="LQE3"/>
      <sheetName val="PM"/>
      <sheetName val="GoTo"/>
      <sheetName val="Product_Costs"/>
      <sheetName val="Share_Prices"/>
      <sheetName val="Detail_Loan_Move__&amp;_Listing"/>
      <sheetName val="E2 AR listing(not used)"/>
      <sheetName val="DETBIL"/>
      <sheetName val="產成品收發明細表"/>
      <sheetName val="CHN03 5e"/>
      <sheetName val="CHN01 5e"/>
      <sheetName val="销售费用截止"/>
      <sheetName val="管理费用截止"/>
      <sheetName val="成品入库05"/>
      <sheetName val="EY data"/>
      <sheetName val="调整"/>
      <sheetName val="Chart of accounts"/>
      <sheetName val="B-6 investment"/>
      <sheetName val="1月明细汇总"/>
      <sheetName val="汇总"/>
      <sheetName val="U.所得税2016"/>
      <sheetName val="O.递延税资产2016"/>
      <sheetName val="O.递延税负债2016"/>
      <sheetName val="K311_A_List02"/>
      <sheetName val="AP_Recap"/>
      <sheetName val="BE_Environmental_Group_Ltd"/>
      <sheetName val="Aging_Datasheet"/>
      <sheetName val="ECCS_1_DataSheet"/>
      <sheetName val="KPI_Datasheet"/>
      <sheetName val="R&amp;D_P"/>
      <sheetName val="P504_3_Expected_life"/>
      <sheetName val="16__Appendix_-_Intercompany_Ref"/>
      <sheetName val="Grading_Summary"/>
      <sheetName val="Financ__Overview"/>
      <sheetName val="29-1_贴现融资-回购式"/>
      <sheetName val="资债比较原"/>
      <sheetName val="T0调整表"/>
      <sheetName val="成形机"/>
      <sheetName val="Mktcap Price"/>
      <sheetName val="Questions"/>
      <sheetName val="漢科合併"/>
      <sheetName val="销售订单（每月系统导出）"/>
      <sheetName val="03年1季度"/>
      <sheetName val="Mach &amp; equip"/>
      <sheetName val="Freezers"/>
      <sheetName val="Building"/>
      <sheetName val="trib"/>
      <sheetName val="INPUT WH"/>
      <sheetName val="Input Open Orders"/>
      <sheetName val="AA#11"/>
      <sheetName val="R-1"/>
      <sheetName val="COSTOMAT.XLS"/>
      <sheetName val="Base Info"/>
      <sheetName val="主菜单"/>
      <sheetName val="BQ"/>
      <sheetName val="400吨现存量"/>
      <sheetName val="_600吨现存量"/>
      <sheetName val="OR"/>
      <sheetName val="U200"/>
      <sheetName val="审定表"/>
      <sheetName val="Assets"/>
      <sheetName val="DataEntry"/>
      <sheetName val="PAY REGISTER~Input Values"/>
      <sheetName val="Exh.2.1A"/>
      <sheetName val="Exh.2.1B"/>
      <sheetName val="001Disclosure Summary"/>
      <sheetName val="往来账龄-RPT"/>
      <sheetName val="V_Lead "/>
      <sheetName val="银行列表"/>
      <sheetName val="应收账款"/>
      <sheetName val="______¡¤___¡À¨ª"/>
      <sheetName val="statement of account BT"/>
      <sheetName val="165_ok"/>
      <sheetName val="Module2"/>
      <sheetName val="1 LeadSchedule"/>
      <sheetName val="3 Analysis"/>
      <sheetName val="E1020"/>
      <sheetName val="各店铺收入费用差异分析"/>
      <sheetName val="5 Analysis"/>
      <sheetName val="GeneralInfo"/>
      <sheetName val="Credit Card"/>
      <sheetName val="1(分品种)"/>
      <sheetName val="Data List"/>
      <sheetName val="Irregular Income"/>
      <sheetName val="FE-1770.P1"/>
      <sheetName val="prod"/>
      <sheetName val="cg"/>
      <sheetName val="System"/>
      <sheetName val="Sum_of_Brand"/>
      <sheetName val="Sum_of_Model"/>
      <sheetName val="Sum_of_Manufacturer"/>
      <sheetName val="產成品收發明細表5"/>
      <sheetName val="A3-100"/>
      <sheetName val="Monthly"/>
      <sheetName val="LAbor estimate"/>
      <sheetName val="SAGbehov"/>
      <sheetName val="Hist_BS"/>
      <sheetName val="vp detail"/>
      <sheetName val="reconc cnd"/>
      <sheetName val="固定资产总清单"/>
      <sheetName val="调整说明"/>
      <sheetName val="现 金 流 量 表"/>
      <sheetName val="BS_ReportingDate"/>
      <sheetName val="Cap Ex actual &amp; forecasted"/>
      <sheetName val="G201os"/>
      <sheetName val="CPP1"/>
      <sheetName val="CPP10"/>
      <sheetName val="CPP19"/>
      <sheetName val="DAILY"/>
      <sheetName val="gia vt,nc,may"/>
      <sheetName val="Benefit Tracking"/>
      <sheetName val="Benefit Form"/>
      <sheetName val="lookups"/>
      <sheetName val="Scoping"/>
      <sheetName val="Currency"/>
      <sheetName val="Non-Statistical Sampling"/>
      <sheetName val="AR Drop Downs"/>
      <sheetName val="DropDown"/>
      <sheetName val="Untitled"/>
      <sheetName val="VW_EUR1"/>
      <sheetName val="KE5Z detail"/>
      <sheetName val="cogs-Rx"/>
      <sheetName val="Beregninger"/>
      <sheetName val="_010_10100"/>
      <sheetName val="_010_10102"/>
      <sheetName val="Marshal"/>
      <sheetName val="Invoices_table"/>
      <sheetName val="Audit Results"/>
      <sheetName val="Audit Results Upper Stratum"/>
      <sheetName val="Planning"/>
      <sheetName val="Population Characteristics"/>
      <sheetName val="FOIL"/>
      <sheetName val="Forecast Comparison Data"/>
      <sheetName val="Understand the client"/>
      <sheetName val="Bokslutsprocessen"/>
      <sheetName val="Indata"/>
      <sheetName val="CRA"/>
      <sheetName val="Budget2000OB"/>
      <sheetName val="ProdPlan"/>
      <sheetName val="Table COA P&amp;L"/>
      <sheetName val="Marketing product ranges"/>
      <sheetName val="Value Chain definitions"/>
      <sheetName val="Marketing vehicle definitions"/>
      <sheetName val="Interco Sales"/>
      <sheetName val="Net Bookings"/>
      <sheetName val="Net Sales &amp; Cost of Sales"/>
      <sheetName val="Front"/>
      <sheetName val="Quantity"/>
      <sheetName val="95059D"/>
      <sheetName val="Global"/>
      <sheetName val="BKD-所得税"/>
      <sheetName val="BKD-应交税费"/>
      <sheetName val="所得税费用for Feport"/>
      <sheetName val="可抵扣亏损统计表-from 所得税汇算清缴报告"/>
      <sheetName val="N101"/>
      <sheetName val="Sensitivities"/>
      <sheetName val="Sundries creditors"/>
      <sheetName val="Advance to staff"/>
      <sheetName val="Permit"/>
      <sheetName val="__"/>
      <sheetName val="5税收优惠明细表"/>
      <sheetName val="K1-2明细表"/>
      <sheetName val="zfi044-ALL"/>
      <sheetName val="GIU"/>
      <sheetName val="07KM"/>
      <sheetName val="Comparative Balance Sheet"/>
      <sheetName val="Checkbook"/>
      <sheetName val="本年收入合计"/>
      <sheetName val="cycztb"/>
      <sheetName val="单体ADJ"/>
      <sheetName val="合并ADJ"/>
      <sheetName val="ADJ-单体汇总"/>
      <sheetName val="ADJ-合并汇总"/>
      <sheetName val="科目清单"/>
      <sheetName val="所并"/>
      <sheetName val="Office Improve"/>
      <sheetName val="Introduction说明"/>
      <sheetName val="BSCF"/>
      <sheetName val="Credit Check"/>
      <sheetName val="P120"/>
      <sheetName val="__98"/>
      <sheetName val="01 T"/>
      <sheetName val="03 "/>
      <sheetName val="清单12.31"/>
      <sheetName val="递延税款Dy"/>
      <sheetName val="资本公积Dy"/>
      <sheetName val="盈余公积Dy"/>
      <sheetName val="未分配利润Dy"/>
      <sheetName val="补贴收入Dy"/>
      <sheetName val="所得税Dy"/>
      <sheetName val="坏账准备_应收账款Dy"/>
      <sheetName val="应交税金Dy"/>
      <sheetName val="其他应交款Dy"/>
      <sheetName val="坏账准备_应收账款Mx"/>
      <sheetName val="INPUT ICO balances"/>
      <sheetName val="INPUT ICO balances currency"/>
      <sheetName val="RECONCILIATION"/>
      <sheetName val="报表科目明细"/>
      <sheetName val="AA"/>
      <sheetName val="5.07 vs 4.07 je"/>
      <sheetName val="Hotel"/>
      <sheetName val="壓摸穿燈"/>
      <sheetName val="Customize Your Loan Manager"/>
      <sheetName val="Reserves"/>
      <sheetName val="P101"/>
      <sheetName val="产成品"/>
      <sheetName val="合同件"/>
      <sheetName val="BMP______xls_99__"/>
      <sheetName val="Sheet8"/>
      <sheetName val="ADJ"/>
      <sheetName val="LBOSHELL"/>
      <sheetName val="Lists (Hide)"/>
      <sheetName val="Exch"/>
      <sheetName val="FTK"/>
      <sheetName val="PRC GAAP"/>
      <sheetName val="APCODE"/>
      <sheetName val="FF-3"/>
      <sheetName val="Accrued Expenses Detail"/>
      <sheetName val="Macro1"/>
      <sheetName val="VII-Redemption Nov"/>
      <sheetName val="AP_Accrued"/>
      <sheetName val="2021_Sub_Equity_movement"/>
      <sheetName val="Assump_Input"/>
      <sheetName val="Dep_HK"/>
      <sheetName val="销售6_13"/>
      <sheetName val="11__PPE_Roll"/>
      <sheetName val="P_&amp;_L_Account"/>
      <sheetName val="Air_Conditional"/>
      <sheetName val="Motor_Vehicle"/>
      <sheetName val="99_00_plan_-_base_case"/>
      <sheetName val="Input_Page"/>
      <sheetName val="EY_USE_ONLY"/>
      <sheetName val="&lt;FF&gt;_Tax_Payable"/>
      <sheetName val="OCT_BANK"/>
      <sheetName val="辅助表"/>
      <sheetName val="A401"/>
      <sheetName val="Main"/>
      <sheetName val="JAN"/>
      <sheetName val="说明"/>
      <sheetName val="收入"/>
      <sheetName val="账龄分析表"/>
      <sheetName val="sys"/>
      <sheetName val="P800-Vouching"/>
      <sheetName val="O - Doubtful Debts"/>
      <sheetName val="A800"/>
      <sheetName val="员工信息"/>
      <sheetName val="8.25 动态图表-图片自动更新"/>
      <sheetName val="8.28 动态图表-定义名称动态图表"/>
      <sheetName val="8.30 动态图表-单选控件变动图表"/>
      <sheetName val="8.31 动态图表-组合框控件变动图表"/>
      <sheetName val="8.32 动态图表-多选控件变动图表"/>
      <sheetName val="8.33 动态图表-滚动条控件变动图表"/>
      <sheetName val="8.34 动态图表-双控件组合变动图表(1)"/>
      <sheetName val="8.34 动态图表-双控件组合变动图表(2)"/>
      <sheetName val="8.29 动态图表-自动更新"/>
      <sheetName val="lam-moi"/>
      <sheetName val="R540ACFI"/>
      <sheetName val="IC"/>
      <sheetName val="Price"/>
      <sheetName val="others gl"/>
      <sheetName val="SAD"/>
      <sheetName val="_002。6新"/>
      <sheetName val="CREDIT"/>
      <sheetName val="Actuals98"/>
      <sheetName val="Actuals99"/>
      <sheetName val="INSTRUCTIONS"/>
      <sheetName val="Macros"/>
      <sheetName val="Parameters (Hide)"/>
      <sheetName val="WACC and TIC Inputs"/>
      <sheetName val="Projection"/>
      <sheetName val="NTL-R&amp;PM Cover in weeks"/>
      <sheetName val="Sum2000"/>
      <sheetName val="Basic Data"/>
      <sheetName val="Pivat_CNENS"/>
      <sheetName val="Bilanz"/>
      <sheetName val="GuV(LM)"/>
      <sheetName val="GuV(LM) (kurz)"/>
      <sheetName val="Plan (kurze)"/>
      <sheetName val="Plan"/>
      <sheetName val="Transl"/>
      <sheetName val="C4-"/>
      <sheetName val="E1.1.2 - RECEBIMENTOS"/>
      <sheetName val="LTM"/>
      <sheetName val="CREDIT STATS"/>
      <sheetName val="bgbvgyprocorig"/>
      <sheetName val="作業シート"/>
      <sheetName val="WW"/>
      <sheetName val="Custs #2"/>
      <sheetName val="Interest #9"/>
      <sheetName val="Family"/>
      <sheetName val="  listing  "/>
      <sheetName val="CF附注"/>
      <sheetName val="F2100-半成品"/>
      <sheetName val="F2000-委托加工物资"/>
      <sheetName val="F1000芯片"/>
      <sheetName val="F1100芯片测试费 "/>
      <sheetName val="Namelist"/>
      <sheetName val="C_110函证控制表_1"/>
      <sheetName val="K110"/>
      <sheetName val="O111"/>
      <sheetName val="Sch11"/>
      <sheetName val="Breadown-Nop"/>
      <sheetName val="(Sch C) Reconciliation"/>
      <sheetName val="Item Info."/>
      <sheetName val="K-0 PPE Overview PSP_OSP"/>
      <sheetName val="Orders"/>
      <sheetName val="Estimated AP 9.03"/>
      <sheetName val="营业成本Dy"/>
      <sheetName val="100152"/>
      <sheetName val="Introduction"/>
      <sheetName val="Timing"/>
      <sheetName val="供应商交易额Summary"/>
      <sheetName val="覆盖率测算"/>
      <sheetName val="代理收入"/>
      <sheetName val="0.1客户交易额Summary"/>
      <sheetName val="联运商汇总"/>
      <sheetName val="长期待摊费用审定表"/>
      <sheetName val="短期借款审定表"/>
      <sheetName val="利润"/>
      <sheetName val="资产"/>
      <sheetName val="DataLookups"/>
      <sheetName val="GLASS"/>
      <sheetName val="WWEst"/>
      <sheetName val="细节测试审计抽样"/>
      <sheetName val="dm"/>
      <sheetName val="短期投资股票投资.dbf"/>
      <sheetName val="短期投资国债投资.dbf"/>
      <sheetName val="股票投资收益.dbf"/>
      <sheetName val="其他货币海通.dbf"/>
      <sheetName val="其他货币零领路.dbf"/>
      <sheetName val="投资收益债券.dbf"/>
      <sheetName val="附表6"/>
      <sheetName val="S"/>
      <sheetName val="Schedule 1.0. HYP"/>
      <sheetName val="Payroll Recs"/>
      <sheetName val="6月"/>
      <sheetName val="sysparm"/>
      <sheetName val="23"/>
      <sheetName val="22"/>
      <sheetName val="9"/>
      <sheetName val="20"/>
      <sheetName val="32"/>
      <sheetName val="21"/>
      <sheetName val="17"/>
      <sheetName val="31"/>
      <sheetName val="19"/>
      <sheetName val="Directions"/>
      <sheetName val="ws-holiday"/>
      <sheetName val="Additions Interface"/>
      <sheetName val="CFS"/>
      <sheetName val="BAL0901"/>
      <sheetName val="FEVEREIRO"/>
      <sheetName val="ITEM"/>
      <sheetName val="存货"/>
      <sheetName val="固定"/>
      <sheetName val="在建"/>
      <sheetName val="期间"/>
      <sheetName val="QAD-面套库存"/>
      <sheetName val="PriceList"/>
      <sheetName val="Base Budget"/>
      <sheetName val="BaseCA"/>
      <sheetName val="BaseCli"/>
      <sheetName val="填表说明"/>
      <sheetName val="企业应提供资料"/>
      <sheetName val="E3_100(合同资产)_集团内"/>
      <sheetName val="POWER ASSUMPTIONS"/>
      <sheetName val="数量金额总账"/>
      <sheetName val="K140"/>
      <sheetName val="4-货币资金-现金"/>
      <sheetName val="JAN405"/>
      <sheetName val="Plothers"/>
      <sheetName val="CY BS"/>
      <sheetName val="director"/>
      <sheetName val="process "/>
      <sheetName val="June"/>
      <sheetName val="0403"/>
      <sheetName val="HR-10"/>
      <sheetName val="Headcount"/>
      <sheetName val="GSH"/>
      <sheetName val="提示表"/>
      <sheetName val="GSH (2)"/>
      <sheetName val="UFPrn20021113090847"/>
      <sheetName val="Other  FI"/>
      <sheetName val="To Generate"/>
      <sheetName val="TB0804"/>
      <sheetName val="Cash"/>
      <sheetName val="corvar"/>
      <sheetName val="rental"/>
      <sheetName val="Loan Amortization Schedule"/>
      <sheetName val="dklx"/>
      <sheetName val="BJ呼和浩特鼓楼"/>
      <sheetName val="Rental Exp Adj"/>
      <sheetName val="P天津哈尔滨"/>
      <sheetName val="Q上海逸仙"/>
      <sheetName val="R江阴司马街"/>
      <sheetName val="T南京草场门"/>
      <sheetName val="U济南槐荫"/>
      <sheetName val="V上海南桥"/>
      <sheetName val="W武汉紫阳"/>
      <sheetName val="Y镇江丹徒"/>
      <sheetName val="AA哈尔滨铁道街"/>
      <sheetName val="AC成都人民公园"/>
      <sheetName val="AD杭州城东"/>
      <sheetName val="AJ呼和浩特光华街"/>
      <sheetName val="AM泰州青年"/>
      <sheetName val="AO北京西部"/>
      <sheetName val="AP山东莱芜"/>
      <sheetName val="AQ长沙韶山"/>
      <sheetName val="AX乌鲁木齐青松楼"/>
      <sheetName val="BO乌鲁木齐火车站"/>
      <sheetName val="AL山东德州"/>
      <sheetName val="BK呼和浩特文化宫"/>
      <sheetName val="BE延吉解放路"/>
      <sheetName val="BD江苏淮安"/>
      <sheetName val="BC吉林海关"/>
      <sheetName val="BM包头"/>
      <sheetName val="BB大丰"/>
      <sheetName val="沙面南街"/>
      <sheetName val="Pnl-10"/>
      <sheetName val="70"/>
      <sheetName val="B-10"/>
      <sheetName val="BB-1"/>
      <sheetName val="C-5"/>
      <sheetName val="C-6"/>
      <sheetName val="C-6a"/>
      <sheetName val="F-1l2"/>
      <sheetName val="F-21"/>
      <sheetName val="F-4"/>
      <sheetName val="F-9c"/>
      <sheetName val="FF"/>
      <sheetName val="FF-2"/>
      <sheetName val="F-8(FSA)"/>
      <sheetName val="M MM"/>
      <sheetName val="30a"/>
      <sheetName val="30-Note"/>
      <sheetName val="U-2"/>
      <sheetName val="Sal &amp; Wage Info"/>
      <sheetName val="SC HKD CA"/>
      <sheetName val="利润分析"/>
      <sheetName val="资产负债分析"/>
      <sheetName val="散热器"/>
      <sheetName val="txfyb"/>
      <sheetName val="lrjsb"/>
      <sheetName val="zjfyb"/>
      <sheetName val="jcsjb"/>
      <sheetName val="zjsyb"/>
      <sheetName val="cbfyb"/>
      <sheetName val="ldzjb"/>
      <sheetName val="Comp"/>
      <sheetName val="Post"/>
      <sheetName val="Financial Assets and Liability"/>
      <sheetName val="GRN Main"/>
      <sheetName val="ARP_U101"/>
      <sheetName val="ARP_U501"/>
      <sheetName val="DISP"/>
      <sheetName val="RPT"/>
      <sheetName val="Consulting"/>
      <sheetName val="Property"/>
      <sheetName val="Transport"/>
      <sheetName val="Water"/>
      <sheetName val="盛联余"/>
      <sheetName val="J411"/>
      <sheetName val="J412"/>
      <sheetName val="UFPrn20081114105806"/>
      <sheetName val="A14_g132"/>
      <sheetName val="A14_g134"/>
      <sheetName val="嘉华仓库"/>
      <sheetName val="SHIP"/>
      <sheetName val="TB2000"/>
      <sheetName val="TB2001"/>
      <sheetName val="INI"/>
      <sheetName val="AV"/>
      <sheetName val="LS"/>
      <sheetName val="TR"/>
      <sheetName val="F"/>
      <sheetName val="IVT"/>
      <sheetName val="C 8 D"/>
      <sheetName val="Provisions"/>
      <sheetName val="Treasury_BANKEN_Matrix"/>
      <sheetName val="EHQ"/>
      <sheetName val="FED DEPR"/>
      <sheetName val="K5-1"/>
      <sheetName val="Value 1"/>
      <sheetName val="汇总底稿"/>
      <sheetName val="Com list"/>
      <sheetName val="列表"/>
      <sheetName val="FINANCEIRA"/>
      <sheetName val="医院进销存"/>
      <sheetName val="一周期10片价格"/>
      <sheetName val="一周期6片价格"/>
      <sheetName val="2003年代表医院指标-一周期"/>
      <sheetName val="一周期IND价格"/>
      <sheetName val="6641"/>
      <sheetName val="HC-45"/>
      <sheetName val="28521502"/>
      <sheetName val="03.7"/>
      <sheetName val="Historical IS"/>
      <sheetName val="CON MR2K AL ck"/>
      <sheetName val="BOM for Nexum IV"/>
      <sheetName val="SAP Upload Template"/>
      <sheetName val="Sales Summary"/>
      <sheetName val="P&amp;L Detail"/>
      <sheetName val="P&amp;L "/>
      <sheetName val="Global Variables"/>
      <sheetName val="RZ"/>
      <sheetName val="众宏"/>
      <sheetName val="余姚众力"/>
      <sheetName val="PTY"/>
      <sheetName val="HB"/>
      <sheetName val="HF"/>
      <sheetName val="HBZH"/>
      <sheetName val="ZHSH"/>
      <sheetName val="Days"/>
      <sheetName val="SignificantAcctsTemplate"/>
      <sheetName val="Configure"/>
      <sheetName val=" 弃"/>
      <sheetName val="JY"/>
      <sheetName val="assembly_r12 detail"/>
      <sheetName val="其他业务成本_1110312"/>
      <sheetName val="TAB_Daten2"/>
      <sheetName val="JE_-_Depn_Sept2"/>
      <sheetName val="Net_REVENUE2"/>
      <sheetName val="FA_Roll_to_GL_(p_2)2"/>
      <sheetName val="Lead_(p_1)2"/>
      <sheetName val="Lease_AP_20082"/>
      <sheetName val="CX_ELIM2"/>
      <sheetName val="2007_12折旧差异2"/>
      <sheetName val="综合成本分析01_01-02052"/>
      <sheetName val="Validation_source2"/>
      <sheetName val="SAP_vs_Oracle12"/>
      <sheetName val="DEFLEET_APR-052"/>
      <sheetName val="BOX_SUM2"/>
      <sheetName val="FIN_GOOD2"/>
      <sheetName val="DEC_Bank2"/>
      <sheetName val="DEC_GL2"/>
      <sheetName val="（ご参考）イールドカーブ_0_5年単位※コピー不可2"/>
      <sheetName val="Allgem__Angaben2"/>
      <sheetName val="1102_MIT1"/>
      <sheetName val="HFC-GA-OR-000041_-_reclass_1941"/>
      <sheetName val="Cash_Flow2"/>
      <sheetName val="Stock_Chart2"/>
      <sheetName val="T__B2"/>
      <sheetName val="Chart_of_Acct2"/>
      <sheetName val="Invoice_detail2"/>
      <sheetName val="A6620_Detail2"/>
      <sheetName val="IDA_Project1"/>
      <sheetName val="VCC_11110-4611"/>
      <sheetName val="Pick_Lists1"/>
      <sheetName val="Mov_from_2001_to_20031"/>
      <sheetName val="IRR_&amp;_NPV2"/>
      <sheetName val="RE_Mov't1"/>
      <sheetName val="Hidden_Lists2"/>
      <sheetName val="Comp_equip1"/>
      <sheetName val="1_1_Project_Data1"/>
      <sheetName val="Key_Assumptions1"/>
      <sheetName val="A500-Audit_adjustment1"/>
      <sheetName val="Cover_sheet1"/>
      <sheetName val="Valuation_Summary1"/>
      <sheetName val="Income_Statement1"/>
      <sheetName val="Revenue_Output1"/>
      <sheetName val="Gross_Profit1"/>
      <sheetName val="by_category1"/>
      <sheetName val="固定资产增减表#0_00__2"/>
      <sheetName val="COST_FINAL1"/>
      <sheetName val="Bank_card_list1"/>
      <sheetName val="Final_sample_listing2"/>
      <sheetName val="Mthly_Data2"/>
      <sheetName val="DATA_INPUT2"/>
      <sheetName val="5_基础档案2"/>
      <sheetName val="Global_Data2"/>
      <sheetName val="Graph_12"/>
      <sheetName val="SUMMARY_OUTSTANDING2"/>
      <sheetName val="Beg-_End_balance2"/>
      <sheetName val="Repayment_Summary1"/>
      <sheetName val="L310-Adjustment_for_R&amp;D_cost1"/>
      <sheetName val="PPE_Mov't-_HC_1"/>
      <sheetName val="附表32_-_无形资产明细表2"/>
      <sheetName val="7_-_ARO_Assumptions2"/>
      <sheetName val="K1_Tax_computation2"/>
      <sheetName val="Edo_Res1"/>
      <sheetName val="Bank_Table2"/>
      <sheetName val="STD__COST2"/>
      <sheetName val="Invested_Capital2"/>
      <sheetName val="Loan_Movement_1"/>
      <sheetName val="Manual_Adjustments1"/>
      <sheetName val="Conversion_Date1"/>
      <sheetName val="总公司2002_12_311"/>
      <sheetName val="A14_Long_Term_Investment_1"/>
      <sheetName val="Calculation_step_-_AFPGD1"/>
      <sheetName val="Raw_Mtl_Prep1"/>
      <sheetName val="A3_试算表Financial_statement1"/>
      <sheetName val="K_固定资产&amp;投资性房地产1"/>
      <sheetName val="P_其他应付款1"/>
      <sheetName val="G_其他应收款1"/>
      <sheetName val="other_investment1"/>
      <sheetName val="12_APaging附表1"/>
      <sheetName val="Chart_of_acct_1"/>
      <sheetName val="A3_&amp;_U_09-011"/>
      <sheetName val="BJ_Expenses1"/>
      <sheetName val="Sample_Rev1"/>
      <sheetName val="Sample_IS1"/>
      <sheetName val="Probability_View1"/>
      <sheetName val="Sales_Seasonality_by_Month1"/>
      <sheetName val="3A_FA_Record1"/>
      <sheetName val="9B_RUL_Range1"/>
      <sheetName val="B_01"/>
      <sheetName val="2007_12_31_暂估清单1"/>
      <sheetName val="BI_RATE1"/>
      <sheetName val="company_operations1"/>
      <sheetName val="IT_scope1"/>
      <sheetName val="Vendor_Data1"/>
      <sheetName val="JAC11_301"/>
      <sheetName val="Sales_for_20011"/>
      <sheetName val="Hist_Prices1"/>
      <sheetName val="Swap_Curve_Inputs1"/>
      <sheetName val="1_Lillysummary1"/>
      <sheetName val="Client_Data1"/>
      <sheetName val="Volumen_AOP_20041"/>
      <sheetName val="客戶清單customer_list1"/>
      <sheetName val="All_Cash_Dil1"/>
      <sheetName val="Input_A1"/>
      <sheetName val="Addbacks_-_Slide_81"/>
      <sheetName val="Financial_Statistics1"/>
      <sheetName val="Chart_of_Account1"/>
      <sheetName val="(i)_Fixed_assets-PBC1"/>
      <sheetName val="Ex_Diff1"/>
      <sheetName val="Profit_and_loss1"/>
      <sheetName val="US_Disclosure1"/>
      <sheetName val="I20_b_Disclosure_Lead1"/>
      <sheetName val="I20_LEAD1"/>
      <sheetName val="I20-1_FWD1"/>
      <sheetName val="I20-2_CNYFWD1"/>
      <sheetName val="I20-3_FXS1"/>
      <sheetName val="I20-4_CNYS1"/>
      <sheetName val="I20-5_IRS1"/>
      <sheetName val="I20-7_TOD1"/>
      <sheetName val="I20-7-1_TOD_Breakdown1"/>
      <sheetName val="I20-9_Comfirmation_summary1"/>
      <sheetName val="Tests_of_control1"/>
      <sheetName val="a_______1"/>
      <sheetName val="loan_database1"/>
      <sheetName val="BALANCE_SHEET1"/>
      <sheetName val="ICP其他应付款ICP_OtherPayable"/>
      <sheetName val="BlueCross_table1"/>
      <sheetName val="Update_check"/>
      <sheetName val="Returns_Backup1"/>
      <sheetName val="Int_Rates1"/>
      <sheetName val="Detail_Loan_Move__&amp;_Listing1"/>
      <sheetName val="Trial_Balance1"/>
      <sheetName val="vlook_from"/>
      <sheetName val="信息费用预算表(A4)_1"/>
      <sheetName val="AP_Recap1"/>
      <sheetName val="Staff_List1"/>
      <sheetName val="OE_AC#41111"/>
      <sheetName val="Economic_evaluation_-_FY98_base"/>
      <sheetName val="COA_"/>
      <sheetName val="01ADDL_F_A_"/>
      <sheetName val="Raw_materials"/>
      <sheetName val="管理费用_"/>
      <sheetName val="Drop_List_References1"/>
      <sheetName val="Corporate_PPT"/>
      <sheetName val="WTI_Coporate_Eliminations_PPT"/>
      <sheetName val="CA_Comp"/>
      <sheetName val="Company_Info"/>
      <sheetName val="GER_IFO_vs_Const"/>
      <sheetName val="Europe_sales_Graph"/>
      <sheetName val="EU_Ind_vs_EU_Cons"/>
      <sheetName val="ACCT_24050"/>
      <sheetName val="_"/>
      <sheetName val="FA_movement"/>
      <sheetName val="Info__Request1"/>
      <sheetName val="C_-_Cash_and_Bank1"/>
      <sheetName val="US_Bal_Sheet"/>
      <sheetName val="F_&amp;_S_INV"/>
      <sheetName val="WACC_Calculation"/>
      <sheetName val="To_tied_2001_opening_RE"/>
      <sheetName val="O_adj"/>
      <sheetName val="Bank_Debt"/>
      <sheetName val="C_货币资金1"/>
      <sheetName val="C_抵押存款1"/>
      <sheetName val="D_可供出售投资-流动1"/>
      <sheetName val="D_衍生金融资产1"/>
      <sheetName val="D_持有至到期投资-流动1"/>
      <sheetName val="D_短期投资1"/>
      <sheetName val="D_单列金融资产1"/>
      <sheetName val="A5_dim&amp;adj_sum1"/>
      <sheetName val="E_应收账款1"/>
      <sheetName val="E_应收贸易款及票据1"/>
      <sheetName val="E_应收票据1"/>
      <sheetName val="F_存货1"/>
      <sheetName val="F_房地产1"/>
      <sheetName val="G_预付账款&amp;其他应收款&amp;待摊费用1"/>
      <sheetName val="G_应收股利1"/>
      <sheetName val="G_待售资产1"/>
      <sheetName val="G_HK其他应收1"/>
      <sheetName val="G_应收利息1"/>
      <sheetName val="G_其他流动资产1"/>
      <sheetName val="H_可供出售投资-非流动1"/>
      <sheetName val="H_HK长投1"/>
      <sheetName val="H_商誉1"/>
      <sheetName val="H_持有至到期投资-非流动1"/>
      <sheetName val="H_投资性房地产1"/>
      <sheetName val="H_PRC长投1"/>
      <sheetName val="I_应收关联方1"/>
      <sheetName val="I_应付关联方1"/>
      <sheetName val="J_在建工程1"/>
      <sheetName val="K_固定资产1"/>
      <sheetName val="K_固定资产清理1"/>
      <sheetName val="L_一年内到期的长期债权投资1"/>
      <sheetName val="L_无形1"/>
      <sheetName val="L_长期待摊1"/>
      <sheetName val="L_其他长期资产1"/>
      <sheetName val="M_短借1"/>
      <sheetName val="N_应付账款1"/>
      <sheetName val="N_应付票据1"/>
      <sheetName val="P_预收账款&amp;其他应付款&amp;应付职工薪酬&amp;预提费用&amp;其他应交款1"/>
      <sheetName val="U_其他业务收支&amp;营业外收支&amp;补贴收入&amp;利息收入1"/>
      <sheetName val="U_所得税1"/>
      <sheetName val="O_递延税资产1"/>
      <sheetName val="O_递延税负债1"/>
      <sheetName val="O_应交税费1"/>
      <sheetName val="U_税金及附加1"/>
      <sheetName val="P_应付股利1"/>
      <sheetName val="P_HK其他应付1"/>
      <sheetName val="P_应付利息1"/>
      <sheetName val="P_其他流动负债1"/>
      <sheetName val="P_应付职工薪酬1"/>
      <sheetName val="P_预计负债1"/>
      <sheetName val="Q_应付债券1"/>
      <sheetName val="Q_可转债1"/>
      <sheetName val="Q_政府补助1"/>
      <sheetName val="Q_一年内到期负债1"/>
      <sheetName val="Q_应付融资租赁款1"/>
      <sheetName val="Q_长借1"/>
      <sheetName val="Q_长期应付1"/>
      <sheetName val="Q_其他长期负债1"/>
      <sheetName val="Q_专项应付1"/>
      <sheetName val="T_股本1"/>
      <sheetName val="T_资本公积1"/>
      <sheetName val="T_折算差额1"/>
      <sheetName val="T_未分配利润1"/>
      <sheetName val="T_盈余公积1"/>
      <sheetName val="U_主营业务1"/>
      <sheetName val="U_财务费用1"/>
      <sheetName val="U_投资收益&amp;公允价值变动收益1"/>
      <sheetName val="U_管理费用&amp;资产减值损失1"/>
      <sheetName val="U_成本倒轧表&amp;制造费用1"/>
      <sheetName val="U_销售费用1"/>
      <sheetName val="U_分占下属损益1"/>
      <sheetName val="Original_Stefan1"/>
      <sheetName val="Audited_PL1"/>
      <sheetName val="UKLF_Portfolio1"/>
      <sheetName val="Invoice_Template1"/>
      <sheetName val="Veh_Info1"/>
      <sheetName val="1_1银行函证CC1"/>
      <sheetName val="zero_(3)1"/>
      <sheetName val="2weeeks_All__Excess_and_Shorta1"/>
      <sheetName val="Exchange_Rate_&amp;_Costs1"/>
      <sheetName val="ADJ_Sum(console)1"/>
      <sheetName val="Feb_20161"/>
      <sheetName val="PL_summary1"/>
      <sheetName val="Face_of_the_report1"/>
      <sheetName val="Sheet1_(11)1"/>
      <sheetName val="Bal_Dolares1"/>
      <sheetName val="C_现金1"/>
      <sheetName val="D_交易性金融资产1"/>
      <sheetName val="A3_试算表1"/>
      <sheetName val="G_预付1"/>
      <sheetName val="J_工程物资1"/>
      <sheetName val="K_生物资产1"/>
      <sheetName val="L_开发支出1"/>
      <sheetName val="L_一年内到期长期资产1"/>
      <sheetName val="L_长期应收1"/>
      <sheetName val="L_HK单列无形1"/>
      <sheetName val="M_衍生金融负债1"/>
      <sheetName val="M_交易性金融负债1"/>
      <sheetName val="M_带息借款-流动1"/>
      <sheetName val="M_无息借款-流动1"/>
      <sheetName val="M_其他金融负债1"/>
      <sheetName val="N_应付贸易款及票据1"/>
      <sheetName val="O_应交所得税1"/>
      <sheetName val="P_预收1"/>
      <sheetName val="Q_递延收益1"/>
      <sheetName val="Q_带息借款-非流动1"/>
      <sheetName val="Q_无息借款-非流动1"/>
      <sheetName val="T_少数股东1"/>
      <sheetName val="T_专项储备1"/>
      <sheetName val="U_财务成本1"/>
      <sheetName val="U_财务收入1"/>
      <sheetName val="U_公允价值变动收益1"/>
      <sheetName val="U_管理费用1"/>
      <sheetName val="U_资产减值损失1"/>
      <sheetName val="U_投资收益1"/>
      <sheetName val="U_营业外1"/>
      <sheetName val="U_其他费用1"/>
      <sheetName val="U_其他收入1"/>
      <sheetName val="U_其他业务1"/>
      <sheetName val="Cust_List1"/>
      <sheetName val="P&amp;L_Consol1"/>
      <sheetName val="H_R1"/>
      <sheetName val="1102_(2)1"/>
      <sheetName val="Income_Tax1"/>
      <sheetName val="Movement_under_PRC&amp;TW1"/>
      <sheetName val="Cash_&amp;_Bank1"/>
      <sheetName val="truc_tiep1"/>
      <sheetName val="Q_CF-E011"/>
      <sheetName val="2006DEP_sap_data1"/>
      <sheetName val="Phase2_movementDEC1"/>
      <sheetName val="Phase1f_a_DEC1"/>
      <sheetName val="Phase2_f_a_DEC_(2)1"/>
      <sheetName val="IS_Summary-961"/>
      <sheetName val="Business_Unit1"/>
      <sheetName val="BOC_Classic1"/>
      <sheetName val="Sign_Off_Form1"/>
      <sheetName val="Breakdown_on_Retail_Loan_Grade1"/>
      <sheetName val="2003_scrapped1"/>
      <sheetName val="Accounts_receivables1"/>
      <sheetName val="AP-RPT_1"/>
      <sheetName val="Input_Sheet1"/>
      <sheetName val="P&amp;L_PP1"/>
      <sheetName val="Rev_Sen1"/>
      <sheetName val="多辅助核算汇总by_客户1"/>
      <sheetName val="Non-Statistical_Sampling_Maste1"/>
      <sheetName val="Two_Step_Revenue_Testing_Maste1"/>
      <sheetName val="AJEs_&amp;_RJEs1"/>
      <sheetName val="Vauxhall_Opel_300041"/>
      <sheetName val="PBC_-_PHS1"/>
      <sheetName val="NAV_Output1"/>
      <sheetName val="Financial_Exp明细分类账1"/>
      <sheetName val="FA_Addition1"/>
      <sheetName val="M_Schedules1"/>
      <sheetName val="GP_Analysis1"/>
      <sheetName val="5050_Bank_HKD1"/>
      <sheetName val="Variance_by_Mth1"/>
      <sheetName val="ASP_from_Barb1"/>
      <sheetName val="OMFG_Cost1"/>
      <sheetName val="PAL&amp;DPAL_AP6101"/>
      <sheetName val="Sheet2_(3)1"/>
      <sheetName val="gares_02_BON_FICHIER_1"/>
      <sheetName val="Oct_Starts_Plan1"/>
      <sheetName val="Invest_1"/>
      <sheetName val="2__PPR_REVENUE_APR101"/>
      <sheetName val="GM_Trend1"/>
      <sheetName val="GM%_Trend1"/>
      <sheetName val="Linearity_Chart1"/>
      <sheetName val="NP_Trend1"/>
      <sheetName val="Rev_Trend1"/>
      <sheetName val="Rev-GM_Detail_11"/>
      <sheetName val="Rev-GM_Detail_21"/>
      <sheetName val="Rev_Mix_Trend1"/>
      <sheetName val="SUMMARY_(EXPD)1"/>
      <sheetName val="SUMMARY_(%)1"/>
      <sheetName val="QTD_TO_GO1"/>
      <sheetName val="表21_净利润调节表"/>
      <sheetName val="Form_Admin"/>
      <sheetName val="P12_TB_SZ"/>
      <sheetName val="Intra_Company_"/>
      <sheetName val="NewB_Sheet"/>
      <sheetName val="Library_Procedures"/>
      <sheetName val="K311_A_List021"/>
      <sheetName val="ExelStor_Dec_2002"/>
      <sheetName val="Share_Px"/>
      <sheetName val="assets_list"/>
      <sheetName val="LT_TB"/>
      <sheetName val="LTMD_TB"/>
      <sheetName val="OC_TB"/>
      <sheetName val="ZD_TB"/>
      <sheetName val="Note_1_-_Recon_Profit"/>
      <sheetName val="Cash_Flow_Statement"/>
      <sheetName val="Share_Prices1"/>
      <sheetName val="(QB0)_Global_Properties"/>
      <sheetName val="(QB1)_Quick_Budget"/>
      <sheetName val="(QB3)_StaffAllocation"/>
      <sheetName val="Form_B5"/>
      <sheetName val="A300_(to_del)"/>
      <sheetName val="U_510"/>
      <sheetName val="Product_Costs1"/>
      <sheetName val="sales1-subsi_"/>
      <sheetName val="sales2-subsi_"/>
      <sheetName val="Calc_&amp;_Export"/>
      <sheetName val="AOP_Exec_Summary"/>
      <sheetName val="statement_1998"/>
      <sheetName val="2009_3KE5Z_detail"/>
      <sheetName val="NeoPrice®_Pricing_Analysis"/>
      <sheetName val="Break-Even_Analysis"/>
      <sheetName val="Working_Assumptions"/>
      <sheetName val="Currency_Codes"/>
      <sheetName val="1__Scoping"/>
      <sheetName val="2__Expectation"/>
      <sheetName val="3__Variance_threshold"/>
      <sheetName val="338_Apparel"/>
      <sheetName val="Dealer_Stock"/>
      <sheetName val="FY_Corrections"/>
      <sheetName val="Importer_Stock"/>
      <sheetName val="Start_up_restrictions"/>
      <sheetName val="Used_Cars_Importer"/>
      <sheetName val="exchange_rates"/>
      <sheetName val="Financ__Overview1"/>
      <sheetName val="其他货币资金_dbf"/>
      <sheetName val="银行存款_dbf"/>
      <sheetName val="Matrix_P&amp;L_-_Retail_Normal"/>
      <sheetName val="Sample_Layout_(new)"/>
      <sheetName val="Personnaliser_votre_facture"/>
      <sheetName val="Aging_Datasheet1"/>
      <sheetName val="ECCS_1_DataSheet1"/>
      <sheetName val="KPI_Datasheet1"/>
      <sheetName val="Vol_Dan_Fev"/>
      <sheetName val="库存商品余额表_dbf"/>
      <sheetName val="_U140-SalesTOT"/>
      <sheetName val="Data_Validation"/>
      <sheetName val="FX_Evo"/>
      <sheetName val="PRC_15"/>
      <sheetName val="Tax_proj-Shenzhen"/>
      <sheetName val="DEF_REV"/>
      <sheetName val="BE_Environmental_Group_Ltd1"/>
      <sheetName val="R&amp;D_P1"/>
      <sheetName val="P504_3_Expected_life1"/>
      <sheetName val="16__Appendix_-_Intercompany_Re1"/>
      <sheetName val="Grading_Summary1"/>
      <sheetName val="29-1_贴现融资-回购式1"/>
      <sheetName val="BS_-_USGAAP"/>
      <sheetName val="Romford_Market"/>
      <sheetName val="ITS_budget_for_FY05"/>
      <sheetName val="Full_Assets_List"/>
      <sheetName val="ARP_for_BS"/>
      <sheetName val="ARP_for_P&amp;L"/>
      <sheetName val="adj_"/>
      <sheetName val="Invested_capital_VDF"/>
      <sheetName val="Summary_Page_VDF"/>
      <sheetName val="fin_data"/>
      <sheetName val="WACC_Conclusion"/>
      <sheetName val="Terminal_Value"/>
      <sheetName val="Exh_B-5"/>
      <sheetName val="Exh_B-2"/>
      <sheetName val="Exh_B-6"/>
      <sheetName val="Exh_B-8"/>
      <sheetName val="Exh_B-4"/>
      <sheetName val="Exh_B-3"/>
      <sheetName val="Exh_B-7"/>
      <sheetName val="Exh_B-1"/>
      <sheetName val="PltRpt_(A&amp;F)"/>
      <sheetName val="PltRpt_(A&amp;FvsB)"/>
      <sheetName val="PltRpt_(B&amp;AC)"/>
      <sheetName val="Schedule_B"/>
      <sheetName val="Print_Controls"/>
      <sheetName val="Financial_documents"/>
      <sheetName val="Equity_Development"/>
      <sheetName val="WACC_and_EV_Inputs"/>
      <sheetName val="DATA_GPC"/>
      <sheetName val="EBIT_Reconciliation"/>
      <sheetName val="Depreciation_and_Tax_Benefit"/>
      <sheetName val="INC_STAT_Hist_Input"/>
      <sheetName val="PFI_Inputs"/>
      <sheetName val="Error_Check"/>
      <sheetName val="NOL_Tax_Benefit"/>
      <sheetName val="Segment_Information"/>
      <sheetName val="PFI_Inc_Stat_Common_Size"/>
      <sheetName val="PFI_Inc_Stat"/>
      <sheetName val="Tax_Amortization_Benefit"/>
      <sheetName val="Iron_Curtain_Method"/>
      <sheetName val="New_Cancelled_Breakout"/>
      <sheetName val="14_04_03"/>
      <sheetName val="Rented_Equipment"/>
      <sheetName val="TB_Link"/>
      <sheetName val="_FY2000"/>
      <sheetName val="附件四__第三方后台收集信息表"/>
      <sheetName val="Review_pts"/>
      <sheetName val="1_2_CoCo_Financials_Meta"/>
      <sheetName val="data_elements"/>
      <sheetName val="Cost_Rev(Lot16)"/>
      <sheetName val="REF_CBU"/>
      <sheetName val="Upload_Apr_13"/>
      <sheetName val="CY_sales_report"/>
      <sheetName val="Investment_Property"/>
      <sheetName val="Equity_Index"/>
      <sheetName val="G402_"/>
      <sheetName val="PPE_(HKGAAP)_2002"/>
      <sheetName val="Threshold_Table"/>
      <sheetName val="E0_Design_Interface_chart"/>
      <sheetName val="Confirmation_Letter"/>
      <sheetName val="E2_AR_listing(not_used)"/>
      <sheetName val="CHN03_5e"/>
      <sheetName val="CHN01_5e"/>
      <sheetName val="EY_data"/>
      <sheetName val="Chart_of_accounts"/>
      <sheetName val="B-6_investment"/>
      <sheetName val="U_所得税2016"/>
      <sheetName val="O_递延税资产2016"/>
      <sheetName val="O_递延税负债2016"/>
      <sheetName val="Mktcap_Price"/>
      <sheetName val="Mach_&amp;_equip"/>
      <sheetName val="INPUT_WH"/>
      <sheetName val="Input_Open_Orders"/>
      <sheetName val="COSTOMAT_XLS"/>
      <sheetName val="Base_Info"/>
      <sheetName val="PAY_REGISTER~Input_Values"/>
      <sheetName val="Exh_2_1A"/>
      <sheetName val="Exh_2_1B"/>
      <sheetName val="001Disclosure_Summary"/>
      <sheetName val="V_Lead_"/>
      <sheetName val="statement_of_account_BT"/>
      <sheetName val="1_LeadSchedule"/>
      <sheetName val="3_Analysis"/>
      <sheetName val="5_Analysis"/>
      <sheetName val="Credit_Card"/>
      <sheetName val="Data_List"/>
      <sheetName val="Irregular_Income"/>
      <sheetName val="FE-1770_P1"/>
      <sheetName val="LAbor_estimate"/>
      <sheetName val="vp_detail"/>
      <sheetName val="reconc_cnd"/>
      <sheetName val="现_金_流_量_表"/>
      <sheetName val="Cap_Ex_actual_&amp;_forecasted"/>
      <sheetName val="gia_vt,nc,may"/>
      <sheetName val="Benefit_Tracking"/>
      <sheetName val="Benefit_Form"/>
      <sheetName val="Non-Statistical_Sampling"/>
      <sheetName val="AR_Drop_Downs"/>
      <sheetName val="KE5Z_detail"/>
      <sheetName val="Audit_Results"/>
      <sheetName val="Audit_Results_Upper_Stratum"/>
      <sheetName val="Population_Characteristics"/>
      <sheetName val="Forecast_Comparison_Data"/>
      <sheetName val="Understand_the_client"/>
      <sheetName val="Table_COA_P&amp;L"/>
      <sheetName val="Marketing_product_ranges"/>
      <sheetName val="Value_Chain_definitions"/>
      <sheetName val="Marketing_vehicle_definitions"/>
      <sheetName val="Interco_Sales"/>
      <sheetName val="Net_Bookings"/>
      <sheetName val="Net_Sales_&amp;_Cost_of_Sales"/>
      <sheetName val="所得税费用for_Feport"/>
      <sheetName val="可抵扣亏损统计表-from_所得税汇算清缴报告"/>
      <sheetName val="Sundries_creditors"/>
      <sheetName val="Advance_to_staff"/>
      <sheetName val="Comparative_Balance_Sheet"/>
      <sheetName val="Office_Improve"/>
      <sheetName val="Credit_Check"/>
      <sheetName val="01_T"/>
      <sheetName val="03_"/>
      <sheetName val="清单12_31"/>
      <sheetName val="INPUT_ICO_balances"/>
      <sheetName val="INPUT_ICO_balances_currency"/>
      <sheetName val="5_07_vs_4_07_je"/>
      <sheetName val="Customize_Your_Loan_Manager"/>
      <sheetName val="Mod 34(a)"/>
      <sheetName val="Hidden"/>
      <sheetName val="Cellular"/>
      <sheetName val="GLR"/>
      <sheetName val="NER"/>
      <sheetName val="SWBW&amp;PBW"/>
      <sheetName val="通玻"/>
      <sheetName val="Prefinal-LT Prepaid "/>
      <sheetName val="中行R"/>
      <sheetName val="detailitems_183"/>
      <sheetName val="Debtor Turnover Period"/>
      <sheetName val="10月20日估值"/>
      <sheetName val="同业借款"/>
      <sheetName val="超过一年未发料"/>
      <sheetName val="材料库存20141231"/>
      <sheetName val="Base Q"/>
      <sheetName val="Funct Area Q"/>
      <sheetName val="1.岚图空间北京合生汇店"/>
      <sheetName val="60.岚图空间上海长宁龙之梦店"/>
      <sheetName val="70.岚图汽车上海交付服务中心"/>
      <sheetName val="83.岚图空间佛山王府井紫薇港店"/>
      <sheetName val="LR_100使用权资产"/>
      <sheetName val="LR_100租赁负债"/>
      <sheetName val="样品成本251"/>
      <sheetName val="1.計数実績"/>
      <sheetName val="consol A300"/>
      <sheetName val="consol adj1_子公司合并抵消"/>
      <sheetName val="DHB PSGL"/>
      <sheetName val="PCCODE"/>
      <sheetName val="费用"/>
      <sheetName val="input data"/>
      <sheetName val="DropDowns"/>
      <sheetName val="Month 8"/>
      <sheetName val="CFC"/>
      <sheetName val="TPFC"/>
      <sheetName val="prod."/>
      <sheetName val="Defaults"/>
      <sheetName val="short term loan"/>
      <sheetName val="预收账龄"/>
      <sheetName val="A810-ASM"/>
      <sheetName val="TTU"/>
      <sheetName val="SAP Data"/>
      <sheetName val="Index Data"/>
      <sheetName val="ILU share price data"/>
      <sheetName val="Bemax data"/>
      <sheetName val="Name"/>
      <sheetName val="10K4"/>
      <sheetName val="合并TB"/>
      <sheetName val="PBC2010_RM"/>
      <sheetName val="GTM"/>
      <sheetName val="K100"/>
      <sheetName val="LJ-Y07"/>
      <sheetName val="FEIT Breakdown"/>
      <sheetName val="HongKong"/>
      <sheetName val="Fundamentals"/>
      <sheetName val="BetaCalcs"/>
      <sheetName val="RateIfFullFY2001"/>
      <sheetName val="MSIGet_Flags"/>
      <sheetName val="市場"/>
      <sheetName val="U1"/>
      <sheetName val="BalancesCalc"/>
      <sheetName val="BalEntAccComp"/>
      <sheetName val="BenchmarkPercentage"/>
      <sheetName val="Benchmarks"/>
      <sheetName val="Backend"/>
      <sheetName val="Components"/>
      <sheetName val="FilteredBenchmark"/>
      <sheetName val="ToolTipControl"/>
      <sheetName val="历年减少"/>
      <sheetName val="ListVariables"/>
      <sheetName val="030 Ex &amp; Gl"/>
      <sheetName val="动态图表-定义名称"/>
      <sheetName val="Table of Contents"/>
      <sheetName val="3rd"/>
      <sheetName val="67205110_NAVECO_MONTH_DATE"/>
      <sheetName val="EntityList"/>
      <sheetName val="EmphasisList"/>
      <sheetName val="FinAsmp"/>
      <sheetName val="GenAsmp"/>
      <sheetName val="CpEx"/>
      <sheetName val="I-Summary"/>
      <sheetName val="97BGT6"/>
      <sheetName val="部门"/>
      <sheetName val="LIST!"/>
      <sheetName val="G100"/>
      <sheetName val="負荷計算"/>
      <sheetName val="Macro"/>
      <sheetName val="PRC_ 080630-Parent-Mgt"/>
      <sheetName val="面积指标表"/>
      <sheetName val="fedcapct2006"/>
      <sheetName val="Drop-Down Lists"/>
      <sheetName val="I"/>
      <sheetName val="II"/>
      <sheetName val="AE"/>
      <sheetName val="6.比較資產負債表"/>
      <sheetName val="稅籍代碼檢查表"/>
      <sheetName val="0-2.資料聯"/>
      <sheetName val="基本稅額計算"/>
      <sheetName val="0-1.基本資料"/>
      <sheetName val="EFTvsTAXmapping"/>
      <sheetName val="4.損益表"/>
      <sheetName val="9.各類給付扣繳表"/>
      <sheetName val="Income Statement Input"/>
      <sheetName val="TSNO-DC"/>
      <sheetName val="表头信息"/>
      <sheetName val="基本情况表"/>
      <sheetName val="实体清单"/>
      <sheetName val="集团内公司"/>
      <sheetName val="对照表"/>
      <sheetName val="原报调整分录"/>
      <sheetName val="Reckitt"/>
      <sheetName val="H4000-04披露表(上市)"/>
      <sheetName val="H4000-02审定表"/>
      <sheetName val="THCT"/>
      <sheetName val="THDZ0,4"/>
      <sheetName val="TH DZ35"/>
      <sheetName val="THTram"/>
      <sheetName val="Breadown-Tham khao"/>
      <sheetName val="tygia"/>
      <sheetName val="Prepaid expenses-Wendy"/>
      <sheetName val="WEEKLYVLS"/>
      <sheetName val="ACTABLE"/>
      <sheetName val="COMMON"/>
      <sheetName val="MIS1"/>
      <sheetName val="SILICATE"/>
      <sheetName val="PCJE"/>
      <sheetName val="JAG"/>
      <sheetName val="MINC"/>
      <sheetName val="TOTLATAM"/>
      <sheetName val="U1.6"/>
      <sheetName val="VIDE1"/>
      <sheetName val="VIDE2"/>
      <sheetName val="40-2701"/>
      <sheetName val="1.11 长期应收款"/>
      <sheetName val="1.12 长期股权投资"/>
      <sheetName val="zhongshan "/>
      <sheetName val="AU"/>
      <sheetName val="DK"/>
      <sheetName val="PA"/>
      <sheetName val="RU"/>
      <sheetName val="Consolidated"/>
      <sheetName val="FA Breakdown"/>
      <sheetName val="Purchase"/>
      <sheetName val="Workings"/>
      <sheetName val="Codes"/>
      <sheetName val="零部件"/>
      <sheetName val="CE"/>
      <sheetName val="Peer1"/>
      <sheetName val="Peer10"/>
      <sheetName val="Peer11"/>
      <sheetName val="Peer12"/>
      <sheetName val="Peer13"/>
      <sheetName val="Peer14"/>
      <sheetName val="Peer15"/>
      <sheetName val="Peer16"/>
      <sheetName val="Peer17"/>
      <sheetName val="Peer18"/>
      <sheetName val="Peer19"/>
      <sheetName val="Peer2"/>
      <sheetName val="Peer20"/>
      <sheetName val="Peer3"/>
      <sheetName val="Peer4"/>
      <sheetName val="Peer5"/>
      <sheetName val="Peer6"/>
      <sheetName val="Peer7"/>
      <sheetName val="Peer8"/>
      <sheetName val="Peer9"/>
      <sheetName val="rates"/>
      <sheetName val="Blacklight"/>
      <sheetName val="BlacklightHardware"/>
      <sheetName val="R450_HW"/>
      <sheetName val="Flash - M"/>
      <sheetName val="E2.1-PCLD 06-2006"/>
      <sheetName val="ContributionExhibition"/>
      <sheetName val="Add Sub totals "/>
      <sheetName val="dept number"/>
      <sheetName val="Baxter"/>
      <sheetName val="Twigg"/>
      <sheetName val="Nature &amp; Type Lists"/>
      <sheetName val="Instruction Sheet"/>
      <sheetName val="AS400 PA TB"/>
      <sheetName val="AS400 TB"/>
      <sheetName val="E1 TB"/>
      <sheetName val="E1 WDS TB"/>
      <sheetName val="Full yr summary"/>
      <sheetName val="Gross Receipts"/>
      <sheetName val="累计销售"/>
      <sheetName val="QY"/>
      <sheetName val="Taxes"/>
      <sheetName val="C_Lead"/>
      <sheetName val="C_100 Breakdown"/>
      <sheetName val="A760"/>
      <sheetName val="Bal Sheet"/>
      <sheetName val="Dropdown list"/>
      <sheetName val="PENY"/>
      <sheetName val="合并"/>
      <sheetName val="内部往来调节表6"/>
      <sheetName val="销售成本明细表19之一"/>
      <sheetName val="FIAT"/>
      <sheetName val="应付"/>
      <sheetName val="#RIF"/>
      <sheetName val="ECON"/>
      <sheetName val="CF_1"/>
      <sheetName val="Note11_1"/>
      <sheetName val="rentab."/>
      <sheetName val="Index_Page"/>
      <sheetName val="CASINO2"/>
      <sheetName val="AirConditional"/>
      <sheetName val="MotorVehicle"/>
      <sheetName val="LOV"/>
      <sheetName val="2022年明细"/>
      <sheetName val="Adiantamentos"/>
      <sheetName val="schedule"/>
      <sheetName val="P1 Disclosure"/>
      <sheetName val="A300 and U"/>
      <sheetName val="A500"/>
      <sheetName val="A510 - SAD"/>
      <sheetName val="C - Cash"/>
      <sheetName val="E - AR"/>
      <sheetName val="F - Stock"/>
      <sheetName val="K - FA"/>
      <sheetName val="O - Tax pay"/>
      <sheetName val="P - Other pay"/>
      <sheetName val="U200 - Selling expenses"/>
      <sheetName val="Table calendaire"/>
      <sheetName val="Table paiements"/>
      <sheetName val="Table Fournisseurs"/>
      <sheetName val="Guidance"/>
      <sheetName val="摊销表"/>
      <sheetName val="PROOF"/>
      <sheetName val="1月养老"/>
      <sheetName val="1月医保"/>
      <sheetName val="1月住房"/>
      <sheetName val="2月医保"/>
      <sheetName val="主营业务成本"/>
      <sheetName val="销售费用汇总"/>
      <sheetName val="2010 上半年利润表"/>
      <sheetName val="客户余额-RMB"/>
      <sheetName val="客户明细-RMB"/>
      <sheetName val="LATE1"/>
      <sheetName val="数据源"/>
      <sheetName val="VSPA"/>
      <sheetName val="Pro"/>
      <sheetName val="FF-6"/>
      <sheetName val="BTS"/>
      <sheetName val="资金来源与运用表"/>
      <sheetName val="1.0"/>
      <sheetName val="E-Client Information"/>
      <sheetName val="Car models"/>
      <sheetName val="海盐加工装置"/>
      <sheetName val="ﾄﾖﾀUNIT"/>
      <sheetName val="利润表验证表"/>
      <sheetName val="资产负债表验证表"/>
      <sheetName val="Pivot"/>
      <sheetName val="Q1-3"/>
      <sheetName val="Financial Summary"/>
      <sheetName val="Results from Nov 98"/>
      <sheetName val="GH1 2"/>
      <sheetName val="SG&amp;A"/>
      <sheetName val="cosol cash flow"/>
      <sheetName val="U130"/>
      <sheetName val="Page 1"/>
      <sheetName val="Interpool"/>
      <sheetName val="贷方"/>
      <sheetName val="UGP_Breakdown"/>
      <sheetName val="SAAS_by业务_BKD"/>
      <sheetName val="SAAS_by客户_BKD"/>
      <sheetName val="OSP_T云收入真实性"/>
      <sheetName val="精准营销_BKD"/>
      <sheetName val="Classificação"/>
      <sheetName val="ResIns"/>
      <sheetName val="差异调整97"/>
      <sheetName val="差异调整95"/>
      <sheetName val="差异调整96"/>
      <sheetName val="00 FG breakdown"/>
      <sheetName val="01 FG breakdown"/>
      <sheetName val="99 FG breakdown"/>
      <sheetName val="企业提供表"/>
      <sheetName val="INVENTORY-25"/>
      <sheetName val="COGS-23"/>
      <sheetName val="Financials pres"/>
      <sheetName val="aging 1003"/>
      <sheetName val="aging 1103"/>
      <sheetName val="aging 1203"/>
      <sheetName val="aging 0803"/>
      <sheetName val="NSV"/>
      <sheetName val="VARIANCES"/>
      <sheetName val="托售"/>
      <sheetName val="Price Updates"/>
      <sheetName val="cost表"/>
      <sheetName val="DSR TOTAL"/>
      <sheetName val="N3000"/>
      <sheetName val="销售费用截止测试"/>
      <sheetName val="AWD"/>
      <sheetName val="prebdg97"/>
      <sheetName val="premi96"/>
      <sheetName val="E 1.2.1 - RECEBIMENTOS ABR"/>
      <sheetName val="PTPL95"/>
      <sheetName val="CuHDG"/>
      <sheetName val="PRE0502"/>
      <sheetName val="CECO"/>
      <sheetName val="闭店"/>
      <sheetName val="K1 Mapa"/>
      <sheetName val="detail total"/>
      <sheetName val="预算构成"/>
      <sheetName val="A.R 01"/>
      <sheetName val=" BRANCHES VS REEL"/>
      <sheetName val="Segment"/>
      <sheetName val="GP1 bridge"/>
      <sheetName val="GP1% bridge FY16-20"/>
      <sheetName val="GP1% bridge FY14-16"/>
      <sheetName val="直运直汇客户名称"/>
      <sheetName val="Partner Statement check"/>
      <sheetName val="CAN DOI - KET QUA"/>
      <sheetName val="热力"/>
      <sheetName val="AR2-F21"/>
      <sheetName val="AR1-F20"/>
      <sheetName val="5 - ASSETS"/>
      <sheetName val="EFFECT."/>
      <sheetName val="H4000-05-01披露表(上市)"/>
      <sheetName val="应收账款明细-ss"/>
      <sheetName val="Consolidated AC"/>
      <sheetName val="TTL"/>
      <sheetName val="利润及利润分配表"/>
      <sheetName val="RAW - Billing Data"/>
      <sheetName val="RAW - Commercial"/>
      <sheetName val="RAW - Infonet-NP"/>
      <sheetName val="All Discounts"/>
      <sheetName val="Calculation"/>
      <sheetName val="COSTOxOPERAI"/>
      <sheetName val="G313"/>
      <sheetName val="运煤预算"/>
      <sheetName val="GB2001FOB"/>
      <sheetName val="Mapping"/>
      <sheetName val="会计分录"/>
      <sheetName val="SalesMYP"/>
      <sheetName val="Can doi so ps"/>
      <sheetName val="Asmptns"/>
      <sheetName val="Sale Total"/>
      <sheetName val="9900"/>
      <sheetName val="2005"/>
      <sheetName val="Transaction Summary"/>
      <sheetName val="CModel"/>
      <sheetName val="GEN Inputs"/>
      <sheetName val="AFA_O.A.B"/>
      <sheetName val="基本信息输入"/>
      <sheetName val="分录汇总表"/>
      <sheetName val="17应付票据明细表"/>
      <sheetName val="7a_Other Inc Exp"/>
      <sheetName val="Financial Statements"/>
      <sheetName val="Depr.Exp. Testing (5)"/>
      <sheetName val="Change Log"/>
      <sheetName val="Ass"/>
      <sheetName val="Depr"/>
      <sheetName val="PCP"/>
      <sheetName val="IS"/>
      <sheetName val="Presentation"/>
      <sheetName val="Cost &amp; Expenses"/>
      <sheetName val="Value"/>
      <sheetName val="Man"/>
      <sheetName val="Working Cap"/>
      <sheetName val="Invest"/>
      <sheetName val="HC Pools"/>
      <sheetName val="应收帐款 AR "/>
      <sheetName val="C3WD AR and Cash and Clearing"/>
      <sheetName val="C3WB Revenue and AR"/>
      <sheetName val="C3W Summary"/>
      <sheetName val="Reconciliation report"/>
      <sheetName val="1. LR Decision Trees"/>
      <sheetName val="2. Management Inquiries"/>
      <sheetName val="6. LR Required Procedures"/>
      <sheetName val="C3WD AR and Cash"/>
      <sheetName val="PCM"/>
      <sheetName val="X Rates"/>
      <sheetName val="J301"/>
      <sheetName val="J200"/>
      <sheetName val="S-Hotel"/>
      <sheetName val="III-1-10"/>
      <sheetName val="III-1-9"/>
      <sheetName val="III-1-1"/>
      <sheetName val="计提准备金明细"/>
      <sheetName val="6126-10"/>
      <sheetName val="product"/>
      <sheetName val="6215-1 调整分录汇总"/>
      <sheetName val="U900"/>
      <sheetName val="1 Eckdaten in LW"/>
      <sheetName val="FXrates"/>
      <sheetName val="IFRS#7-1 stock provision"/>
      <sheetName val="底稿"/>
      <sheetName val="Movem. in fixed assets - Depr."/>
      <sheetName val="12.13.ＢＳ"/>
      <sheetName val="基本資料"/>
      <sheetName val="营业费用测试"/>
      <sheetName val="TCL_A"/>
      <sheetName val="kejian"/>
      <sheetName val="Bird"/>
      <sheetName val="BYD"/>
      <sheetName val="表2-损益表"/>
      <sheetName val="滚动预测"/>
      <sheetName val="科目分类"/>
      <sheetName val="借款还本付息估算表"/>
      <sheetName val="生产成本和费用表"/>
      <sheetName val="评价基础数据表一"/>
      <sheetName val="评价基础数据表二"/>
      <sheetName val="固定资产投资估算计算表"/>
      <sheetName val="固定资产投资估算表"/>
      <sheetName val="投资计划与资金筹措表"/>
      <sheetName val="销售收入与销售税金及附加计算表"/>
      <sheetName val="销售收入与销售税金及附加明细表"/>
      <sheetName val="SaveData"/>
      <sheetName val="损益表"/>
      <sheetName val="财务现金流量表(全部投资)"/>
      <sheetName val="财务现金流量表(自有资金)"/>
      <sheetName val="IncomeStmt"/>
      <sheetName val="BalSheet"/>
      <sheetName val="for ey reviewer 销售费用"/>
      <sheetName val="for ey reviewer 制造费用"/>
      <sheetName val="内销收人"/>
      <sheetName val="Master_Table"/>
      <sheetName val="FRP"/>
      <sheetName val="TAX"/>
      <sheetName val="Total Fixed Cost (Detailed)"/>
      <sheetName val="Non-operating Items (Detailed)"/>
      <sheetName val="Sum by Month-5th ver"/>
      <sheetName val="Variable Costs by Cost Ctr"/>
      <sheetName val="Other expenses"/>
      <sheetName val="1月_物流出库"/>
      <sheetName val="Nissan YTD"/>
      <sheetName val="NOVO"/>
      <sheetName val="detailitems_119"/>
      <sheetName val="F26-各类借款变动表-关联方"/>
      <sheetName val="引用区域"/>
      <sheetName val="Input老口径"/>
      <sheetName val="Reporting"/>
      <sheetName val="TP-ABB"/>
      <sheetName val="DRIVERS"/>
      <sheetName val="3. Other gains"/>
      <sheetName val="dic"/>
      <sheetName val="F-Lead"/>
      <sheetName val="196-4"/>
      <sheetName val="BANVAL"/>
      <sheetName val="PopCache"/>
      <sheetName val="CO-Master"/>
      <sheetName val="BS Assets"/>
      <sheetName val="Load Sheet"/>
      <sheetName val="Disclosure Summary"/>
      <sheetName val="DATA-P&amp;L98"/>
      <sheetName val="PV Stock Price"/>
      <sheetName val="DCF Output"/>
      <sheetName val="FCF"/>
      <sheetName val="产品SAP"/>
      <sheetName val="委托加工材料"/>
      <sheetName val="原材料Dy"/>
      <sheetName val="应交税费Dy"/>
      <sheetName val="addiFA"/>
      <sheetName val="dfEX"/>
      <sheetName val="dispFA"/>
      <sheetName val="faSUSP"/>
      <sheetName val="interAP"/>
      <sheetName val="interAR"/>
      <sheetName val="oAR"/>
      <sheetName val="stock"/>
      <sheetName val="fluxo de caixa"/>
      <sheetName val="RF-G7"/>
      <sheetName val="BS Liability"/>
      <sheetName val="SoD By Account Class"/>
      <sheetName val="Dados BLP"/>
    </sheetNames>
    <sheetDataSet>
      <sheetData sheetId="0">
        <row r="1">
          <cell r="A1" t="str">
            <v>No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sheetData sheetId="199"/>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sheetData sheetId="470"/>
      <sheetData sheetId="471"/>
      <sheetData sheetId="472"/>
      <sheetData sheetId="473"/>
      <sheetData sheetId="474"/>
      <sheetData sheetId="475"/>
      <sheetData sheetId="476"/>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sheetData sheetId="1791"/>
      <sheetData sheetId="1792"/>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p.1)"/>
      <sheetName val="Links"/>
      <sheetName val="FA Roll to GL (p.2)"/>
      <sheetName val="FA Additions (p.3)"/>
      <sheetName val="FA Disposals (p.4)"/>
      <sheetName val="Capital Leases (p.5)"/>
      <sheetName val=" Depreciation Expense (p.6)"/>
      <sheetName val="FA roll to report p.7"/>
      <sheetName val="XREF"/>
      <sheetName val="Tickmarks"/>
      <sheetName val="Depr.Exp. Testing (5)"/>
      <sheetName val="Sheet1"/>
      <sheetName val="汇总"/>
      <sheetName val="C-OSP-03-01"/>
      <sheetName val="F1"/>
      <sheetName val="data"/>
      <sheetName val="Pro Forma"/>
      <sheetName val="ProdCompar"/>
      <sheetName val="ADRESSES"/>
      <sheetName val="VARIABLES"/>
      <sheetName val="销售"/>
      <sheetName val="成品科"/>
      <sheetName val="Openfile"/>
      <sheetName val="Produzione"/>
      <sheetName val="Airport - Downtown"/>
      <sheetName val="Reservations"/>
      <sheetName val="披露表(上市)"/>
      <sheetName val="披露表(国资)"/>
      <sheetName val="Base"/>
      <sheetName val="original"/>
      <sheetName val="上报资产负债表"/>
      <sheetName val="上报损益表"/>
      <sheetName val="补充表"/>
      <sheetName val="‘‡B"/>
      <sheetName val="Staff List"/>
      <sheetName val="#REF"/>
      <sheetName val="폐토수익화 "/>
      <sheetName val="销售收入A4"/>
      <sheetName val="产量预算表Ａ4"/>
      <sheetName val="制造成本预算表A3"/>
      <sheetName val="物流费用预算表(A4)"/>
      <sheetName val="销售费用预算表(A4)"/>
      <sheetName val="管理费用预算表(A4)"/>
      <sheetName val="其它销售成本 A4"/>
      <sheetName val="销售成本A4"/>
      <sheetName val="销售量A4"/>
      <sheetName val="信息费用预算表(A4) "/>
      <sheetName val="研发费用预算明细表A3"/>
      <sheetName val="5月份呆料分析"/>
      <sheetName val="Input"/>
      <sheetName val="面积指标"/>
      <sheetName val="B"/>
      <sheetName val="企业表一"/>
      <sheetName val="M-5C"/>
      <sheetName val="M-5A"/>
      <sheetName val="科目体系"/>
      <sheetName val="租赁收入(80105)Breakdown"/>
      <sheetName val="抽样测试"/>
      <sheetName val="Sign Off Form"/>
      <sheetName val="E1020"/>
      <sheetName val="move"/>
      <sheetName val="08序时账"/>
      <sheetName val="09收入"/>
      <sheetName val="09应收"/>
      <sheetName val="08应收"/>
      <sheetName val="07预收"/>
      <sheetName val="Chart of Acct"/>
      <sheetName val="审计调整"/>
      <sheetName val="UFPrn20050110083250"/>
      <sheetName val="F100"/>
      <sheetName val="F110"/>
      <sheetName val="100172"/>
      <sheetName val="2001预提费用"/>
      <sheetName val="6621"/>
      <sheetName val="EURMKTG"/>
      <sheetName val="Vendor Data"/>
      <sheetName val="sumdepn01"/>
      <sheetName val="others gl"/>
      <sheetName val="Non-Statistical Sampling Master"/>
      <sheetName val="Two Step Revenue Testing Master"/>
      <sheetName val="Global Data"/>
      <sheetName val="关联交易-存款"/>
      <sheetName val="Trial Balance"/>
      <sheetName val="detail"/>
      <sheetName val="2. PPR REVENUE APR10"/>
      <sheetName val="资产负债表"/>
      <sheetName val="master"/>
      <sheetName val="TB"/>
      <sheetName val="´æ»õÊÕ·¢»ã×Ü±í"/>
      <sheetName val="A"/>
      <sheetName val="VAS TB"/>
      <sheetName val="Profile"/>
      <sheetName val="C3WB Sales and Receivables"/>
      <sheetName val="5.基础档案"/>
      <sheetName val="Lease AP 2008"/>
      <sheetName val="Sheet3"/>
      <sheetName val="Sheet2"/>
      <sheetName val="accode"/>
      <sheetName val="03-B4"/>
      <sheetName val="03-B10"/>
      <sheetName val="04-B5"/>
      <sheetName val="04-B11"/>
      <sheetName val="Credit Card"/>
      <sheetName val="ARP-U501"/>
      <sheetName val="热力"/>
      <sheetName val="CON CT SINO AGRO"/>
      <sheetName val="Verhandlungsmandat"/>
      <sheetName val="RBCY"/>
      <sheetName val="营业外收入09"/>
      <sheetName val="营业外收入08"/>
      <sheetName val="G2"/>
      <sheetName val="P1_Lead"/>
      <sheetName val="7 - ARO Assumptions"/>
      <sheetName val="P500-预提费用明细表"/>
      <sheetName val="E100"/>
      <sheetName val="N100"/>
      <sheetName val="LinkData"/>
      <sheetName val="เครื่องมือ"/>
      <sheetName val="ยานพาหนะ"/>
      <sheetName val="อาคาร"/>
      <sheetName val="Ã«ÀûÂÊ·ÖÎö±í"/>
      <sheetName val="Summary"/>
      <sheetName val="(i) Fixed assets-PBC"/>
      <sheetName val="A3"/>
      <sheetName val="中行汇率表"/>
      <sheetName val="MasterList"/>
      <sheetName val="JRZ"/>
      <sheetName val="Lookup"/>
      <sheetName val="Expenses with Comparisons"/>
      <sheetName val="WP"/>
      <sheetName val="选择报表"/>
      <sheetName val="Price Provision 清单"/>
      <sheetName val="预提明细"/>
      <sheetName val="Other expenses"/>
      <sheetName val="生產部"/>
      <sheetName val="C0-Lead"/>
      <sheetName val="SCH 2 - Highlights_2"/>
      <sheetName val="99年度原単位"/>
      <sheetName val="gl"/>
      <sheetName val="Check-Rate"/>
      <sheetName val="DEP12"/>
      <sheetName val="核銷表"/>
      <sheetName val="DATA SHEET-DO NOT DELETE"/>
      <sheetName val="PTCN"/>
      <sheetName val="首先输入"/>
      <sheetName val="Invoices received and payment"/>
      <sheetName val="Doors-TBH(Internship)"/>
      <sheetName val="INCOME"/>
      <sheetName val=" Kostenstruktur Fab."/>
      <sheetName val="CapitalUsage"/>
      <sheetName val="Positions_PandL"/>
      <sheetName val="assumption1"/>
      <sheetName val="details"/>
      <sheetName val="FY02"/>
      <sheetName val="后续pre-IPO及IPO融资计划"/>
      <sheetName val="假设受让老股股东以增资方式进入-估值测算"/>
      <sheetName val="GZ-Sum"/>
      <sheetName val="SUD-Iron Curtain Method"/>
      <sheetName val="存货和固定资产暂估明细"/>
      <sheetName val="list"/>
      <sheetName val="09"/>
      <sheetName val="07"/>
      <sheetName val="U1120"/>
      <sheetName val="DAILY"/>
      <sheetName val="Quantity"/>
      <sheetName val="VALUATION"/>
      <sheetName val="RMB"/>
      <sheetName val="1.11 长期应收款"/>
      <sheetName val="1.12 长期股权投资"/>
      <sheetName val="Translation"/>
      <sheetName val="Namen"/>
      <sheetName val="F40-Goodsin transit"/>
      <sheetName val="TABLES"/>
      <sheetName val="Repayment Summary"/>
      <sheetName val="Worksheet in 5610 Property &amp; Eq"/>
      <sheetName val="INDEX"/>
      <sheetName val="Tax proj-Shenzhen"/>
      <sheetName val="Labor"/>
      <sheetName val="Source"/>
      <sheetName val="INVDAYS"/>
      <sheetName val="Office Improve"/>
      <sheetName val="Graph"/>
      <sheetName val="Sales"/>
      <sheetName val="100152"/>
      <sheetName val="应交税金明细"/>
      <sheetName val="内仓免税进口"/>
      <sheetName val="SC HKD CA"/>
      <sheetName val="Data List"/>
      <sheetName val="应收帐款 AR "/>
      <sheetName val="AGENT"/>
      <sheetName val="A14_g132"/>
      <sheetName val="A14_g134"/>
      <sheetName val="土建表三乙"/>
      <sheetName val="K420"/>
      <sheetName val="TopAct_Actives"/>
      <sheetName val="IMPORT"/>
      <sheetName val="bal1"/>
      <sheetName val="12月底个人往来余额表"/>
      <sheetName val="BT 03"/>
      <sheetName val="BT 02"/>
      <sheetName val="BT 01"/>
      <sheetName val="A3-CLA"/>
      <sheetName val="96000407"/>
      <sheetName val="truc tiep"/>
      <sheetName val="科目明细"/>
      <sheetName val="CC SAP"/>
      <sheetName val="Within"/>
      <sheetName val="accounting"/>
      <sheetName val="余额表(RT)"/>
      <sheetName val="UFPrn20021113090847"/>
      <sheetName val="中山低值"/>
      <sheetName val=" g300"/>
      <sheetName val="11-1"/>
      <sheetName val="A.R 01"/>
      <sheetName val="#REF!"/>
      <sheetName val="N23-1-预付、其他应收等"/>
      <sheetName val="Invidual Company_E.Asia MCO"/>
      <sheetName val="报告披露_A股已执行新金融工具准则但尚未执行新收入及新租赁准则"/>
      <sheetName val="报告披露_企业会计制度"/>
      <sheetName val="披露表_非上市合并未执行"/>
      <sheetName val="披露表_企业会计制度"/>
      <sheetName val="报告披露_FIE未执行新金融工具准则、新收入准则和新租赁准则"/>
      <sheetName val="报表披露_企业会计制度"/>
      <sheetName val="dm"/>
      <sheetName val="清单"/>
      <sheetName val="Net REVENUE"/>
      <sheetName val="VEHMAINT"/>
      <sheetName val="VEHDAMAG"/>
      <sheetName val="OTHERVEH"/>
      <sheetName val="GASOLINE"/>
      <sheetName val="PL&amp;PD"/>
      <sheetName val="DEPRECIA"/>
      <sheetName val="INTEREST"/>
      <sheetName val="VEHSALWH"/>
      <sheetName val="VEHSALRE"/>
      <sheetName val="MANUCRED"/>
      <sheetName val="TRAWAGES"/>
      <sheetName val="INCENTIV"/>
      <sheetName val="WAGES"/>
      <sheetName val="OVERWAGE"/>
      <sheetName val="BENEFITS"/>
      <sheetName val="CONCESS"/>
      <sheetName val="COMMISSI"/>
      <sheetName val="RESERVAT"/>
      <sheetName val="CUSTOMER"/>
      <sheetName val="FACILITY"/>
      <sheetName val="SERVIVEH"/>
      <sheetName val="COMPUTER"/>
      <sheetName val="ADVSYST"/>
      <sheetName val="COUADMIN"/>
      <sheetName val="ADMINFLD"/>
      <sheetName val="ADVCIT&amp;D"/>
      <sheetName val="EURSALES"/>
      <sheetName val="ADMINREB"/>
      <sheetName val="Financial Statistics"/>
      <sheetName val="tf04"/>
      <sheetName val="CY sales report"/>
      <sheetName val="ARP-P101"/>
      <sheetName val="F2100-半成品"/>
      <sheetName val="F2000-委托加工物资"/>
      <sheetName val="F1000芯片"/>
      <sheetName val="F1100芯片测试费 "/>
      <sheetName val="管理"/>
      <sheetName val="A3单体_20191231"/>
      <sheetName val="待摊费用"/>
      <sheetName val="E100--AR--Major"/>
      <sheetName val="E101AR--Others"/>
      <sheetName val="CRA-Detail"/>
      <sheetName val="K110"/>
      <sheetName val="G210"/>
      <sheetName val="O111"/>
      <sheetName val="_001年其他业务利润"/>
      <sheetName val="_002年其他业务利润"/>
      <sheetName val="_003年其他业务利润"/>
      <sheetName val="_2U03营业费用"/>
      <sheetName val="2001年营业费用"/>
      <sheetName val="OUT EDP 04"/>
      <sheetName val="10"/>
      <sheetName val="t_b"/>
      <sheetName val="下拉菜单表"/>
      <sheetName val="AR"/>
      <sheetName val="U1.6"/>
      <sheetName val="OutSum"/>
      <sheetName val="F101"/>
      <sheetName val="AOP 07 INPUT - local currency"/>
      <sheetName val="T  B"/>
      <sheetName val="固定资产清单"/>
      <sheetName val="Lead"/>
      <sheetName val="U130"/>
      <sheetName val="U110"/>
      <sheetName val="U120"/>
      <sheetName val="CHART_E"/>
      <sheetName val="样品成本251"/>
      <sheetName val="其他流动资产"/>
      <sheetName val="其他业务收入成本"/>
      <sheetName val="FY17 Revenue Tracker Data"/>
      <sheetName val="Mov from 2001 to 2003"/>
      <sheetName val="CBUGL"/>
      <sheetName val="IRR &amp; NPV"/>
      <sheetName val="关联库"/>
      <sheetName val="9月TB"/>
      <sheetName val="盛联余"/>
      <sheetName val="常用项目"/>
      <sheetName val="Sheet1 (11)"/>
      <sheetName val="科目说明表-资产、负债、权益类COA"/>
      <sheetName val="沈阳三生库存商品总帐2005"/>
      <sheetName val="沈阳三生商品总帐2006"/>
      <sheetName val="10月帐务"/>
      <sheetName val="FY12发机预估"/>
      <sheetName val="FY13-17发机台量"/>
      <sheetName val="填写说明"/>
      <sheetName val="调整结果明细表"/>
      <sheetName val="BJ05-经开"/>
      <sheetName val="BJ04-中科创投"/>
      <sheetName val="洪泰成都"/>
      <sheetName val="洪泰成都独角兽"/>
      <sheetName val="信息定义"/>
      <sheetName val="510103"/>
      <sheetName val="Table"/>
      <sheetName val=" "/>
      <sheetName val="Parameters"/>
      <sheetName val="生产成本"/>
      <sheetName val="Model"/>
      <sheetName val="xbase"/>
      <sheetName val="现金流量表"/>
      <sheetName val="Ass"/>
      <sheetName val="Collateral"/>
      <sheetName val="dxnsjtempsheet"/>
      <sheetName val="F100-2018"/>
      <sheetName val="Premisses"/>
      <sheetName val="流资汇总"/>
      <sheetName val="现金流量表（月报）"/>
      <sheetName val="Client Data"/>
      <sheetName val="Chart of acct "/>
      <sheetName val="6641"/>
      <sheetName val="K-0 PPE Overview PSP_OSP"/>
      <sheetName val="A6620 Detail"/>
      <sheetName val="PARAM"/>
      <sheetName val="IS-客户直接转换"/>
      <sheetName val="Uexp_Lead"/>
      <sheetName val="CJE"/>
      <sheetName val="Consol worksheet-Final"/>
      <sheetName val="Journal"/>
      <sheetName val="Filtered_IML"/>
      <sheetName val="ContractList"/>
      <sheetName val="Month"/>
      <sheetName val="DCF"/>
      <sheetName val="Marketing product ranges"/>
      <sheetName val="Value Chain definitions"/>
      <sheetName val="Marketing vehicle definitions"/>
      <sheetName val="19-直方和正态图1"/>
      <sheetName val="SAP Trend-Revenue"/>
      <sheetName val="Control"/>
      <sheetName val="Assumptions"/>
      <sheetName val="Income Statement"/>
      <sheetName val="Balance Sheet"/>
      <sheetName val="Altman Z"/>
      <sheetName val="A3单体_20181231"/>
      <sheetName val="Library procedures"/>
      <sheetName val="以前年度损益调整"/>
      <sheetName val="完"/>
      <sheetName val="选择项"/>
      <sheetName val="H R"/>
      <sheetName val="Final sample listing"/>
      <sheetName val="科目表"/>
      <sheetName val="2-1"/>
      <sheetName val="2-5"/>
      <sheetName val="4-1"/>
      <sheetName val="4-6"/>
      <sheetName val="损（蓝5）"/>
      <sheetName val="H101(OK)"/>
      <sheetName val="U401(OK)"/>
      <sheetName val="资金状况表"/>
      <sheetName val="预提"/>
      <sheetName val="AREAINDEX"/>
      <sheetName val="Cashflow "/>
      <sheetName val="长期待摊费用"/>
      <sheetName val="借款"/>
      <sheetName val="无形资产"/>
      <sheetName val="Floating leg"/>
      <sheetName val="Fixed Leg Curve"/>
      <sheetName val="Floating Leg Curve"/>
      <sheetName val="Swap summary"/>
      <sheetName val="ARP"/>
      <sheetName val="O5-1 Notes"/>
      <sheetName val="PACK"/>
      <sheetName val="10.10.2003"/>
      <sheetName val="Q1 "/>
      <sheetName val="资产减值损失-final"/>
      <sheetName val="细节测试审计抽样"/>
      <sheetName val="成本项目"/>
      <sheetName val="BS"/>
      <sheetName val="通用数据"/>
      <sheetName val="BKD-钻井深圳"/>
      <sheetName val="BKD-钻井湛江"/>
      <sheetName val="SH FA 检查"/>
      <sheetName val="1 - Lead"/>
      <sheetName val="2 - Lapsing"/>
      <sheetName val="3- Depreciation"/>
      <sheetName val="4 - Additions"/>
      <sheetName val="5 -Capital Lease"/>
      <sheetName val="6 - FA Verification"/>
      <sheetName val="Sched "/>
      <sheetName val="Beg. Balance Sched"/>
      <sheetName val="Assets with no cost"/>
      <sheetName val="Beg__Balance_Sched"/>
      <sheetName val="1_-_Lead"/>
      <sheetName val="2_-_Lapsing"/>
      <sheetName val="3-_Depreciation"/>
      <sheetName val="4_-_Additions"/>
      <sheetName val="5_-Capital_Lease"/>
      <sheetName val="6_-_FA_Verification"/>
      <sheetName val="Sched_"/>
      <sheetName val="Beg__Balance_Sched1"/>
      <sheetName val="Assets_with_no_cost"/>
      <sheetName val="Lead_(p_1)"/>
      <sheetName val="FA_Roll_to_GL_(p_2)"/>
      <sheetName val="FA_Additions_(p_3)"/>
      <sheetName val="FA_Disposals_(p_4)"/>
      <sheetName val="Capital_Leases_(p_5)"/>
      <sheetName val="_Depreciation_Expense_(p_6)"/>
      <sheetName val="FA_roll_to_report_p_7"/>
      <sheetName val="1_-_Lead1"/>
      <sheetName val="2_-_Lapsing1"/>
      <sheetName val="3-_Depreciation1"/>
      <sheetName val="4_-_Additions1"/>
      <sheetName val="5_-Capital_Lease1"/>
      <sheetName val="6_-_FA_Verification1"/>
      <sheetName val="Sched_1"/>
      <sheetName val="Beg__Balance_Sched2"/>
      <sheetName val="Assets_with_no_cost1"/>
      <sheetName val="Lead_(p_1)1"/>
      <sheetName val="FA_Roll_to_GL_(p_2)1"/>
      <sheetName val="FA_Additions_(p_3)1"/>
      <sheetName val="FA_Disposals_(p_4)1"/>
      <sheetName val="Capital_Leases_(p_5)1"/>
      <sheetName val="_Depreciation_Expense_(p_6)1"/>
      <sheetName val="FA_roll_to_report_p_71"/>
      <sheetName val="1_-_Lead2"/>
      <sheetName val="2_-_Lapsing2"/>
      <sheetName val="3-_Depreciation2"/>
      <sheetName val="4_-_Additions2"/>
      <sheetName val="5_-Capital_Lease2"/>
      <sheetName val="6_-_FA_Verification2"/>
      <sheetName val="Sched_2"/>
      <sheetName val="Beg__Balance_Sched3"/>
      <sheetName val="Assets_with_no_cost2"/>
      <sheetName val="Lead_(p_1)2"/>
      <sheetName val="FA_Roll_to_GL_(p_2)2"/>
      <sheetName val="FA_Additions_(p_3)2"/>
      <sheetName val="FA_Disposals_(p_4)2"/>
      <sheetName val="Capital_Leases_(p_5)2"/>
      <sheetName val="_Depreciation_Expense_(p_6)2"/>
      <sheetName val="FA_roll_to_report_p_72"/>
      <sheetName val="A&amp;P"/>
      <sheetName val="Insurance"/>
      <sheetName val="IT Costs"/>
      <sheetName val="Legal and Prof"/>
      <sheetName val="Relationship Analysis(2)"/>
      <sheetName val="PopCache_Sheet1"/>
      <sheetName val="ENG_Cons"/>
      <sheetName val="NAO"/>
      <sheetName val="PAO_Cons"/>
      <sheetName val="WHQ_Cons"/>
      <sheetName val="incomplete - 5411B"/>
      <sheetName val="低值易耗摊销明晰"/>
      <sheetName val="钻井(调整)"/>
      <sheetName val="Basic data"/>
      <sheetName val="AP018"/>
      <sheetName val="AP019"/>
      <sheetName val="AP020"/>
      <sheetName val="AP021"/>
      <sheetName val="AP022"/>
      <sheetName val="AP023"/>
      <sheetName val="AP026"/>
      <sheetName val="AP001_JiFeng"/>
      <sheetName val="AP010_KeXunBaoZhuang"/>
      <sheetName val="AP011_YiLi"/>
      <sheetName val="AP012_"/>
      <sheetName val="AP013_HuaLian"/>
      <sheetName val="AP015_Jinchang"/>
      <sheetName val="AP016"/>
      <sheetName val="AP017"/>
      <sheetName val="AP002_SanJi"/>
      <sheetName val="AP027"/>
      <sheetName val="AP003_QiDianMo"/>
      <sheetName val="AP004_FengZheng"/>
      <sheetName val="AP005_HanBuo"/>
      <sheetName val="AP006_SiYin"/>
      <sheetName val="AP007_DeLiTai"/>
      <sheetName val="AP008_ZhongYa"/>
      <sheetName val="AP009_YiDa"/>
      <sheetName val="AP9990"/>
      <sheetName val="AP9999"/>
      <sheetName val="進銷存"/>
      <sheetName val="Related companies"/>
      <sheetName val="中旅集團屬下和中投屬下公司明細表"/>
      <sheetName val="4_货币资金_现金"/>
      <sheetName val="内销收人"/>
      <sheetName val="cover"/>
      <sheetName val="WTB"/>
      <sheetName val="Key"/>
      <sheetName val="01TBlast"/>
      <sheetName val="R3抵消"/>
      <sheetName val="收入抵消"/>
      <sheetName val="drivers"/>
      <sheetName val="Rates"/>
      <sheetName val="2007-09折旧"/>
      <sheetName val="应付票据1NotesPayable1"/>
      <sheetName val="ICP主营业务成本ICP_CoreExpense"/>
      <sheetName val="ICP其他业务成本ICP_OtherExpense"/>
      <sheetName val="ICP主营业务收入ICP CoreRevenue"/>
      <sheetName val="ICP递延收益ICP DeferredIncome"/>
      <sheetName val="ICP股利分配ICP DevidendDeclared"/>
      <sheetName val="ICP费用ICP Expense"/>
      <sheetName val="固定资产FixedAssets"/>
      <sheetName val="ICP现金流量表ICP_CF"/>
      <sheetName val="ICP长期借款ICPLongtermBorrowings"/>
      <sheetName val="ICP其他应付款ICP OtherPayable"/>
      <sheetName val="ICP其他应收款ICP_OtherReceivables"/>
      <sheetName val="ICP投资收益ICP InvestmentIncome"/>
      <sheetName val="ICP应付利息ICP InterestPayable"/>
      <sheetName val="ICP应收利息ICP_InterestReceivable"/>
      <sheetName val="ICP长期应付款ICP LongtermPayable"/>
      <sheetName val="ICP长期应收款ICPLongtermReceivables"/>
      <sheetName val="短期借款ShorttermLoans"/>
      <sheetName val="ICP其他流动资产ICP_OtherCurrentAssets"/>
      <sheetName val="ICP其他流动负债ICP OtherCurrentLiab"/>
      <sheetName val="ICP其他非流动资产ICPOtherNoncurAsets"/>
      <sheetName val="ICP其他非流动负债ICPOtherNoncurrLiab"/>
      <sheetName val="ICP其他业务收入ICP OtherRevenue"/>
      <sheetName val="ICP预付款项ICP_Prepayment"/>
      <sheetName val="ICP短期借款ICP ShorttermLoans"/>
      <sheetName val="试算BS"/>
      <sheetName val="试算PL"/>
      <sheetName val="F_Summary"/>
      <sheetName val="JE Upload"/>
      <sheetName val="2002年预提费用"/>
      <sheetName val="ARP-U301"/>
      <sheetName val="U411"/>
      <sheetName val="Guidance"/>
      <sheetName val="二厂一季度单位成本"/>
      <sheetName val="Guidance-English"/>
      <sheetName val="分离后总调室"/>
      <sheetName val="气保"/>
      <sheetName val="联合"/>
      <sheetName val="C101"/>
      <sheetName val="BJ Expenses"/>
      <sheetName val="Sample Rev"/>
      <sheetName val="Sample IS"/>
      <sheetName val="Probability View"/>
      <sheetName val="FY04ExpDetail"/>
      <sheetName val="2月回款"/>
      <sheetName val="2月销售"/>
      <sheetName val="FF-6"/>
      <sheetName val="BZJ"/>
      <sheetName val="Constants"/>
      <sheetName val="schdl"/>
      <sheetName val="FA台账2012"/>
      <sheetName val="Q4Purchases"/>
      <sheetName val="Mov‘2008"/>
      <sheetName val="Mov‘2007"/>
      <sheetName val="Mov‘2005"/>
      <sheetName val="Mov‘2006"/>
      <sheetName val="Sheet1 (3)"/>
      <sheetName val="31夹层类-1-3"/>
      <sheetName val="enums"/>
      <sheetName val="YS02-02"/>
      <sheetName val="I-Summary"/>
      <sheetName val="eqpmad2"/>
      <sheetName val="Consultants local currency"/>
      <sheetName val="BOX SUM"/>
      <sheetName val="FIN GOOD"/>
      <sheetName val="索引"/>
      <sheetName val="封面"/>
      <sheetName val="数据模板1"/>
      <sheetName val="CRITERIA1"/>
      <sheetName val="Key Assumptions"/>
      <sheetName val="D"/>
      <sheetName val="Comp equip"/>
      <sheetName val="Lguide"/>
      <sheetName val="TSA"/>
      <sheetName val="目录"/>
      <sheetName val="Admin"/>
      <sheetName val="C.货币资金"/>
      <sheetName val="C.抵押存款"/>
      <sheetName val="D.可供出售投资-流动"/>
      <sheetName val="D.衍生金融资产"/>
      <sheetName val="D.持有至到期投资-流动"/>
      <sheetName val="D.短期投资"/>
      <sheetName val="D.单列金融资产"/>
      <sheetName val="A5.dim&amp;adj sum"/>
      <sheetName val="E.应收账款"/>
      <sheetName val="E.应收贸易款及票据"/>
      <sheetName val="E.应收票据"/>
      <sheetName val="F.存货"/>
      <sheetName val="F.房地产"/>
      <sheetName val="G.预付账款&amp;其他应收款&amp;待摊费用"/>
      <sheetName val="G.应收股利"/>
      <sheetName val="G.待售资产"/>
      <sheetName val="G.HK其他应收"/>
      <sheetName val="G.应收利息"/>
      <sheetName val="G.其他流动资产"/>
      <sheetName val="H.可供出售投资-非流动"/>
      <sheetName val="H.HK长投"/>
      <sheetName val="H.商誉"/>
      <sheetName val="H.持有至到期投资-非流动"/>
      <sheetName val="H.投资性房地产"/>
      <sheetName val="H.PRC长投"/>
      <sheetName val="I.应收关联方"/>
      <sheetName val="I.应付关联方"/>
      <sheetName val="J.在建工程"/>
      <sheetName val="K.固定资产"/>
      <sheetName val="K.固定资产清理"/>
      <sheetName val="L.一年内到期的长期债权投资"/>
      <sheetName val="L.无形"/>
      <sheetName val="L.长期待摊"/>
      <sheetName val="L.其他长期资产"/>
      <sheetName val="M.短借"/>
      <sheetName val="N.应付账款"/>
      <sheetName val="N.应付票据"/>
      <sheetName val="P.预收账款&amp;其他应付款&amp;应付职工薪酬&amp;预提费用&amp;其他应交款"/>
      <sheetName val="U.其他业务收支&amp;营业外收支&amp;补贴收入&amp;利息收入"/>
      <sheetName val="U.所得税"/>
      <sheetName val="O.递延税资产"/>
      <sheetName val="O.递延税负债"/>
      <sheetName val="O.应交税费"/>
      <sheetName val="U.税金及附加"/>
      <sheetName val="P.应付股利"/>
      <sheetName val="P.HK其他应付"/>
      <sheetName val="P.应付利息"/>
      <sheetName val="P.其他应付款"/>
      <sheetName val="P.其他流动负债"/>
      <sheetName val="P.应付职工薪酬"/>
      <sheetName val="P.预计负债"/>
      <sheetName val="Q.应付债券"/>
      <sheetName val="Q.可转债"/>
      <sheetName val="Q.政府补助"/>
      <sheetName val="Q.一年内到期负债"/>
      <sheetName val="Q.应付融资租赁款"/>
      <sheetName val="Q.长借"/>
      <sheetName val="Q.长期应付"/>
      <sheetName val="Q.其他长期负债"/>
      <sheetName val="Q.专项应付"/>
      <sheetName val="T.股本"/>
      <sheetName val="T.资本公积"/>
      <sheetName val="T.折算差额"/>
      <sheetName val="T.未分配利润"/>
      <sheetName val="T.盈余公积"/>
      <sheetName val="U.主营业务"/>
      <sheetName val="U.财务费用"/>
      <sheetName val="U.投资收益&amp;公允价值变动收益"/>
      <sheetName val="U.管理费用&amp;资产减值损失"/>
      <sheetName val="U.成本倒轧表&amp;制造费用"/>
      <sheetName val="U.销售费用"/>
      <sheetName val="U.分占下属损益"/>
      <sheetName val="sch10-rm2"/>
      <sheetName val="sch6-rm"/>
      <sheetName val="1.1 Project Data"/>
      <sheetName val="Dati"/>
      <sheetName val="2005租赁汇总bj"/>
      <sheetName val="Baitak PS schedule"/>
      <sheetName val="detailitems_40"/>
      <sheetName val="Understand the client"/>
      <sheetName val="Bokslutsprocessen"/>
      <sheetName val="Indata"/>
      <sheetName val="CRA"/>
      <sheetName val="电子"/>
      <sheetName val="TIG Loan Interest Calculation"/>
      <sheetName val="Proforma BS"/>
      <sheetName val="Notes"/>
      <sheetName val="J&amp;Q"/>
      <sheetName val="유통망계획"/>
      <sheetName val="협조전"/>
      <sheetName val="전체현황"/>
      <sheetName val="dep08"/>
      <sheetName val="总公司2002.12.31"/>
      <sheetName val="GDB-SZB"/>
      <sheetName val="参数表"/>
      <sheetName val="产品销售毛利表"/>
      <sheetName val="1资产负债表"/>
      <sheetName val="Walkthrough "/>
      <sheetName val="1102 (2)"/>
      <sheetName val="STATPARA"/>
      <sheetName val="Whse Code"/>
      <sheetName val="FSM"/>
      <sheetName val="validation"/>
      <sheetName val="ws9"/>
      <sheetName val="ZLR1"/>
      <sheetName val="财务费用明细表"/>
      <sheetName val="长期待摊费用明细表"/>
      <sheetName val="6.3.1关联交易"/>
      <sheetName val="ICTSI"/>
      <sheetName val="For Dis."/>
      <sheetName val="Yuhui"/>
      <sheetName val="成本动态台帐"/>
      <sheetName val="codeValue"/>
      <sheetName val="CCTL"/>
      <sheetName val="I1"/>
      <sheetName val="K701"/>
      <sheetName val="Depr_Exp__Testing_(5)"/>
      <sheetName val="Pro_Forma"/>
      <sheetName val="Airport_-_Downtown"/>
      <sheetName val="Vendor_Data"/>
      <sheetName val="others_gl"/>
      <sheetName val="Non-Statistical_Sampling_Master"/>
      <sheetName val="Two_Step_Revenue_Testing_Master"/>
      <sheetName val="Global_Data"/>
      <sheetName val="Staff_List"/>
      <sheetName val="폐토수익화_"/>
      <sheetName val="其它销售成本_A4"/>
      <sheetName val="信息费用预算表(A4)_"/>
      <sheetName val="Sign_Off_Form"/>
      <sheetName val="Chart_of_Acct"/>
      <sheetName val="Trial_Balance"/>
      <sheetName val="2__PPR_REVENUE_APR10"/>
      <sheetName val="VAS_TB"/>
      <sheetName val="C3WB_Sales_and_Receivables"/>
      <sheetName val="5_基础档案"/>
      <sheetName val="Lease_AP_2008"/>
      <sheetName val="Credit_Card"/>
      <sheetName val="CON_CT_SINO_AGRO"/>
      <sheetName val="7_-_ARO_Assumptions"/>
      <sheetName val="(i)_Fixed_assets-PBC"/>
      <sheetName val="Expenses_with_Comparisons"/>
      <sheetName val="Price_Provision_清单"/>
      <sheetName val="Other_expenses"/>
      <sheetName val="SCH_2_-_Highlights_2"/>
      <sheetName val="DATA_SHEET-DO_NOT_DELETE"/>
      <sheetName val="Invoices_received_and_payment"/>
      <sheetName val="_Kostenstruktur_Fab_"/>
      <sheetName val="SUD-Iron_Curtain_Method"/>
      <sheetName val="1_11_长期应收款"/>
      <sheetName val="1_12_长期股权投资"/>
      <sheetName val="F40-Goodsin_transit"/>
      <sheetName val="Repayment_Summary"/>
      <sheetName val="Worksheet_in_5610_Property_&amp;_Eq"/>
      <sheetName val="Tax_proj-Shenzhen"/>
      <sheetName val="Office_Improve"/>
      <sheetName val="SC_HKD_CA"/>
      <sheetName val="Data_List"/>
      <sheetName val="应收帐款_AR_"/>
      <sheetName val="BT_03"/>
      <sheetName val="BT_02"/>
      <sheetName val="BT_01"/>
      <sheetName val="truc_tiep"/>
      <sheetName val="CC_SAP"/>
      <sheetName val="营业税金所得税Breakdown"/>
      <sheetName val="员工工资"/>
      <sheetName val="PLAC"/>
      <sheetName val="YTD-Entity"/>
      <sheetName val="HQ C"/>
      <sheetName val="conBS"/>
      <sheetName val="conCE"/>
      <sheetName val="conCF"/>
      <sheetName val="conWP"/>
      <sheetName val="conIS"/>
      <sheetName val="Menu"/>
      <sheetName val="母公司TB"/>
      <sheetName val="1月"/>
      <sheetName val="2009movement"/>
      <sheetName val="商会大厦-总表-楼层顺序"/>
      <sheetName val="房屋类"/>
      <sheetName val="Projects structure"/>
      <sheetName val="Breakdown"/>
      <sheetName val="TOP10"/>
      <sheetName val="Date Source"/>
      <sheetName val="报告披露"/>
      <sheetName val="ACTINV"/>
      <sheetName val="AGRO PRC DATABASE"/>
      <sheetName val="L1-1-1拆放同业合理性测试"/>
      <sheetName val="TS-Zero"/>
      <sheetName val="Terms Summary"/>
      <sheetName val="会计科目"/>
      <sheetName val="SAR"/>
      <sheetName val="G2TempSheet"/>
      <sheetName val="H1.3"/>
      <sheetName val="3.2.100.4.1    3"/>
      <sheetName val="3.2.100.4.3 aging Equip  "/>
      <sheetName val="3.2.100.4.1    1"/>
      <sheetName val="MORE"/>
      <sheetName val="DFI Statement_Jan"/>
      <sheetName val="Riepilogo linee-direz BUD"/>
      <sheetName val="2月收入成本明细表"/>
      <sheetName val="A300-合并"/>
      <sheetName val="设备部房屋"/>
      <sheetName val="进口设备FOB总价表"/>
      <sheetName val="15287贵阳市乌当区天网工程"/>
      <sheetName val="U401-租赁合同"/>
      <sheetName val="Entry Sheet"/>
      <sheetName val="核对表"/>
      <sheetName val="所有者权益变动表"/>
      <sheetName val="固定资产"/>
      <sheetName val="Sale summary"/>
      <sheetName val="Offering Structure"/>
      <sheetName val="1.概述"/>
      <sheetName val="Jumei"/>
      <sheetName val="数据引用"/>
      <sheetName val="IBC Project Overview2012918"/>
      <sheetName val="P310"/>
      <sheetName val="Consol"/>
      <sheetName val="应付明细"/>
      <sheetName val="FS_0331"/>
      <sheetName val="c"/>
      <sheetName val="Bloomberg"/>
      <sheetName val="Datastream_IBES"/>
      <sheetName val="DB_Estimates"/>
      <sheetName val="analysis"/>
      <sheetName val="E110"/>
      <sheetName val="A3 &amp; U 09-01"/>
      <sheetName val="E101"/>
      <sheetName val="g101"/>
      <sheetName val="ARP-U201"/>
      <sheetName val="SignificantAcctsTemplate"/>
      <sheetName val="Configure"/>
      <sheetName val="H_Lead"/>
      <sheetName val="Custom"/>
      <sheetName val="ICP"/>
      <sheetName val="嘉华仓库"/>
      <sheetName val="Interest #9"/>
      <sheetName val="Bank_sum#10"/>
      <sheetName val="Custs #2"/>
      <sheetName val="C1"/>
      <sheetName val="销管费用明细"/>
      <sheetName val="Data sheet"/>
      <sheetName val="sintesi per referenza"/>
      <sheetName val="BKD-财务部"/>
      <sheetName val="A501_AADJ#14-对价调整"/>
      <sheetName val="1999 Plan Summary"/>
      <sheetName val="To tied 2001 opening RE"/>
      <sheetName val="集团财务报表"/>
      <sheetName val="A430"/>
      <sheetName val="&lt;FF&gt; Tax Payable"/>
      <sheetName val="A_R_01"/>
      <sheetName val="Invidual_Company_E_Asia_MCO"/>
      <sheetName val="Net_REVENUE"/>
      <sheetName val="Financial_Statistics"/>
      <sheetName val="CY_sales_report"/>
      <sheetName val="F1100芯片测试费_"/>
      <sheetName val="OUT_EDP_04"/>
      <sheetName val="_g300"/>
      <sheetName val="U1_6"/>
      <sheetName val="AOP_07_INPUT_-_local_currency"/>
      <sheetName val="T__B"/>
      <sheetName val="FY17_Revenue_Tracker_Data"/>
      <sheetName val="Mov_from_2001_to_2003"/>
      <sheetName val="IRR_&amp;_NPV"/>
      <sheetName val="Sheet1_(11)"/>
      <sheetName val="_"/>
      <sheetName val="Client_Data"/>
      <sheetName val="Chart_of_acct_"/>
      <sheetName val="K-0_PPE_Overview_PSP_OSP"/>
      <sheetName val="A6620_Detail"/>
      <sheetName val="Consol_worksheet-Final"/>
      <sheetName val="Marketing_product_ranges"/>
      <sheetName val="Value_Chain_definitions"/>
      <sheetName val="Marketing_vehicle_definitions"/>
      <sheetName val="SAP_Trend-Revenue"/>
      <sheetName val="现 金 流 量 表"/>
      <sheetName val="00年损益（分月）"/>
      <sheetName val="by category"/>
      <sheetName val="Range Values"/>
      <sheetName val="EY data"/>
      <sheetName val="G1_100Breakdown"/>
      <sheetName val="AFS"/>
      <sheetName val="G1_130双边挂账Check"/>
      <sheetName val="SRM"/>
      <sheetName val="其他应收款Dy"/>
      <sheetName val="17应付票据明细表"/>
      <sheetName val="Bal 1997-1998"/>
      <sheetName val="F-5"/>
      <sheetName val="1売上債権期間分析"/>
      <sheetName val="2売掛金残高比較"/>
      <sheetName val="ARP-U401"/>
      <sheetName val="totalg&amp;a"/>
      <sheetName val="工具"/>
      <sheetName val="BS1"/>
      <sheetName val="成本计算-6"/>
      <sheetName val="信息费用预算表(A4)"/>
      <sheetName val="XVIa(i) - average price (2)"/>
      <sheetName val="PL"/>
      <sheetName val="US WACC"/>
      <sheetName val="BS-past"/>
      <sheetName val="Business Unit"/>
      <sheetName val="AR Ageing - 1130"/>
      <sheetName val="应收账款明细表"/>
      <sheetName val="Coach Chassis (inventory)"/>
      <sheetName val="VAT Payable01"/>
      <sheetName val="VAT Payable 02"/>
      <sheetName val="VAT Payable 03"/>
      <sheetName val="销售收入统计按科目"/>
      <sheetName val="Pro Forma (2)"/>
      <sheetName val="nSAP GLSU Template"/>
      <sheetName val="Reversal Reason - Reversal Date"/>
      <sheetName val="Base_Results"/>
      <sheetName val="Sum sum Dep"/>
      <sheetName val="Parameter"/>
      <sheetName val="N719(NC)"/>
      <sheetName val="CUSTOMER (DETAIL)"/>
      <sheetName val="G201"/>
      <sheetName val="G301"/>
      <sheetName val="I101"/>
      <sheetName val="ARP-U101"/>
      <sheetName val="U401"/>
      <sheetName val="A2爱威思特"/>
      <sheetName val="sal"/>
      <sheetName val="冲A11预提房租"/>
      <sheetName val="订单418"/>
      <sheetName val="2004年"/>
      <sheetName val="ARP_U501"/>
      <sheetName val="Item master"/>
      <sheetName val="D4RP"/>
      <sheetName val="PopCache"/>
      <sheetName val="W"/>
      <sheetName val="Romford Market"/>
      <sheetName val="P800-Vouching"/>
      <sheetName val="U113(1)-details 2005"/>
      <sheetName val="asset list"/>
      <sheetName val="月别计"/>
      <sheetName val="课别计"/>
      <sheetName val="要員"/>
      <sheetName val="M.P.S."/>
      <sheetName val="U130-1按月"/>
      <sheetName val="XL4Poppy"/>
      <sheetName val="9.银行持有之局部付款"/>
      <sheetName val="PARAMETRES"/>
      <sheetName val="FIXASSET"/>
      <sheetName val="G1_Lead"/>
      <sheetName val="SH-3rd party"/>
      <sheetName val="12.APaging附表"/>
      <sheetName val="WWCA科目表"/>
      <sheetName val="FA"/>
      <sheetName val="prices"/>
      <sheetName val="K1500"/>
      <sheetName val="其他业务利润明细表"/>
      <sheetName val="投资收益明细表"/>
      <sheetName val="未交税金明细表"/>
      <sheetName val="GeneralInfo"/>
      <sheetName val="prod"/>
      <sheetName val="REP04B 301202"/>
      <sheetName val="backlog"/>
      <sheetName val="存货明细2002"/>
      <sheetName val="P412-2001"/>
      <sheetName val="P413-2002"/>
      <sheetName val="FX"/>
      <sheetName val="MASTER_主数据_补"/>
      <sheetName val="汇总底稿"/>
      <sheetName val="SP"/>
      <sheetName val="出库"/>
      <sheetName val="入库"/>
      <sheetName val="G.1R-Shou COP Gf"/>
      <sheetName val="UFPrn20080612114440"/>
      <sheetName val="序时账"/>
      <sheetName val="余额表"/>
      <sheetName val="本期报表"/>
      <sheetName val="上期报表"/>
      <sheetName val="G"/>
      <sheetName val="G3"/>
      <sheetName val="首页"/>
      <sheetName val="表头信息"/>
      <sheetName val="调整原因汇总表"/>
      <sheetName val="收入2"/>
      <sheetName val="报告披露_非上市合并&amp;FIE"/>
      <sheetName val="FLdeleted"/>
      <sheetName val="长期股权投资Dy"/>
      <sheetName val="投资收益Dy"/>
      <sheetName val="存货_库存商品Dy"/>
      <sheetName val="应付工资Dy"/>
      <sheetName val="应付福利费Dy"/>
      <sheetName val="预提费用Dy"/>
      <sheetName val="主营业务成本Dy"/>
      <sheetName val="分录"/>
      <sheetName val="长期股权投资Mx"/>
      <sheetName val="存货_库存商品Mx"/>
      <sheetName val="应付工资Mx"/>
      <sheetName val="应付福利费Mx"/>
      <sheetName val="预提费用Mx"/>
      <sheetName val="主营业务成本Mx"/>
      <sheetName val="短期投资Dy"/>
      <sheetName val="闭店"/>
      <sheetName val="应收账款"/>
      <sheetName val="坏账准备_其他应收款Dy"/>
      <sheetName val="其他应付款Dy"/>
      <sheetName val="其他应收款Mx"/>
      <sheetName val="DCF_3资产负债分析调整表"/>
      <sheetName val="合并清单"/>
      <sheetName val="应收账款Dy"/>
      <sheetName val="预收账款Dy"/>
      <sheetName val="主营业务收入Dy"/>
      <sheetName val="应收账款Mx"/>
      <sheetName val="营业外收入Dy"/>
      <sheetName val="专项应付款Dy"/>
      <sheetName val="财务费用Dy"/>
      <sheetName val="专项应付款Mx"/>
      <sheetName val="TB_HBII"/>
      <sheetName val="BR"/>
      <sheetName val="CA"/>
      <sheetName val="CO"/>
      <sheetName val="EIU"/>
      <sheetName val="Euro"/>
      <sheetName val="FI"/>
      <sheetName val="LEB"/>
      <sheetName val="MEX"/>
      <sheetName val="S&amp;P"/>
      <sheetName val="UK"/>
      <sheetName val="Lists"/>
      <sheetName val="AU"/>
      <sheetName val="DK"/>
      <sheetName val="PA"/>
      <sheetName val="RU"/>
      <sheetName val="P&amp;L(S1)"/>
      <sheetName val="M Schedules"/>
      <sheetName val="진행 DATA (2)"/>
      <sheetName val="Calc &amp; Export"/>
      <sheetName val="Carryover 2004"/>
      <sheetName val="Corpalloc"/>
      <sheetName val="Report"/>
      <sheetName val="AOP Exec Summary"/>
      <sheetName val="1 Lillysummary"/>
      <sheetName val="Detail Loan Move. &amp; Listing"/>
      <sheetName val="계DATA"/>
      <sheetName val="실DATA "/>
      <sheetName val="resume"/>
      <sheetName val="생산전망"/>
      <sheetName val="Reference"/>
      <sheetName val="2000"/>
      <sheetName val="附表6"/>
      <sheetName val="已背书未到期票据清单"/>
      <sheetName val="Drop List References"/>
      <sheetName val="FDREPORT"/>
      <sheetName val="Regionen"/>
      <sheetName val="20211231网点收入"/>
      <sheetName val="Vol"/>
      <sheetName val="Beta DATA SHEET"/>
      <sheetName val="Worksheet_in_5610_Property____2"/>
      <sheetName val="大纲"/>
      <sheetName val="实际与预算对比"/>
      <sheetName val="AGRO-DATA"/>
      <sheetName val="科目代码-匹配用"/>
      <sheetName val="NewB Sheet"/>
      <sheetName val="报表格式"/>
      <sheetName val="Par"/>
      <sheetName val="Coffeemate"/>
      <sheetName val="0402"/>
      <sheetName val="A401"/>
      <sheetName val="表三"/>
      <sheetName val="银行代码"/>
      <sheetName val="Asset9809CAK"/>
      <sheetName val="input data"/>
      <sheetName val="Jan"/>
      <sheetName val="Sal &amp; Wage Info"/>
      <sheetName val="P&amp;L PP"/>
      <sheetName val="Flash-pp"/>
      <sheetName val="PY-pp"/>
      <sheetName val="MYF-pp"/>
      <sheetName val="WEIGHT"/>
      <sheetName val="Asset98-CAK"/>
      <sheetName val="S"/>
      <sheetName val="Disposition"/>
      <sheetName val="基础信息"/>
      <sheetName val="_010_10118"/>
      <sheetName val="COSTI"/>
      <sheetName val="明细"/>
      <sheetName val="分公司07年余额明细"/>
      <sheetName val="2-ReadResv"/>
      <sheetName val="POWER ASSUMPTIONS"/>
      <sheetName val="B5302 Random population"/>
      <sheetName val="NBCF"/>
      <sheetName val="C_100Breakdown"/>
      <sheetName val="C_110函证控制表"/>
      <sheetName val="C_Lead"/>
      <sheetName val="參數"/>
      <sheetName val="Slide 1"/>
      <sheetName val="Slide 2"/>
      <sheetName val="slide 3"/>
      <sheetName val="4-货币资金-现金"/>
      <sheetName val="制费-分月"/>
      <sheetName val="G402."/>
      <sheetName val="COTIZACIONES"/>
      <sheetName val="ACTData"/>
      <sheetName val="CommData"/>
      <sheetName val="Budget"/>
      <sheetName val="N201"/>
      <sheetName val="差异率"/>
      <sheetName val="OBData"/>
      <sheetName val="Setup"/>
      <sheetName val="管理费用表"/>
      <sheetName val="FIRE Parameters"/>
      <sheetName val="2002-H300"/>
      <sheetName val="2001-H300"/>
      <sheetName val="Movement"/>
      <sheetName val="Account"/>
      <sheetName val="11111111"/>
      <sheetName val="Consignment_Analysis"/>
      <sheetName val="敏感性"/>
      <sheetName val="GP Analysis"/>
      <sheetName val="费用重分类"/>
      <sheetName val="Checking"/>
      <sheetName val="dklx"/>
      <sheetName val="18.BGEI Mgt (SH)-BJ Br"/>
      <sheetName val="U120_借项余额测试"/>
      <sheetName val="U130_成本倒轧表"/>
      <sheetName val="U_TOD成本"/>
      <sheetName val="UGP_Lead"/>
      <sheetName val="UGP_Breakdown"/>
      <sheetName val="U100_收入合同审阅"/>
      <sheetName val="U_TOD收入&amp;成本"/>
      <sheetName val="U110_收入分析按产品类别"/>
      <sheetName val="U110_收入明细分析"/>
      <sheetName val="FS"/>
      <sheetName val="PNL"/>
      <sheetName val="FAB별"/>
      <sheetName val="FAST TRACK"/>
      <sheetName val="車会集約"/>
      <sheetName val="数据录入"/>
      <sheetName val="K401"/>
      <sheetName val="其他应付款科目余额2005.12.31"/>
      <sheetName val="P08A自制半成品收发存"/>
      <sheetName val="consol bal sheet"/>
      <sheetName val="F34-1"/>
      <sheetName val="B11-1"/>
      <sheetName val="12月"/>
      <sheetName val="B01-1"/>
      <sheetName val="应付款项"/>
      <sheetName val="AP1998KX(estimated)"/>
      <sheetName val="JAL "/>
      <sheetName val="P2"/>
      <sheetName val="P2_100"/>
      <sheetName val="F601-pool"/>
      <sheetName val="2004"/>
      <sheetName val="ADJ Sum(console)"/>
      <sheetName val="Bank"/>
      <sheetName val="A3_conso"/>
      <sheetName val="3. Other gains"/>
      <sheetName val="原报调整分录"/>
      <sheetName val="审计调整分录"/>
      <sheetName val="科目余额表(原稿)"/>
      <sheetName val="科目余额表"/>
      <sheetName val="PBC - PHS"/>
      <sheetName val="参数"/>
      <sheetName val="Invested Capital"/>
      <sheetName val="公司清单"/>
      <sheetName val="产品地区"/>
      <sheetName val="0194"/>
      <sheetName val="其他业务成本.111031"/>
      <sheetName val="数外余额"/>
      <sheetName val="累计1"/>
      <sheetName val="应收账龄BS.01"/>
      <sheetName val="被审单位科目余额表"/>
      <sheetName val="IFRS 9规定"/>
      <sheetName val="hidden"/>
      <sheetName val="附表2"/>
      <sheetName val="hiddenSheet1"/>
      <sheetName val="附表3"/>
      <sheetName val="6月回款"/>
      <sheetName val="3月回款"/>
      <sheetName val="7月销售"/>
      <sheetName val="4月回款"/>
      <sheetName val="5月回款"/>
      <sheetName val="PRC 15"/>
      <sheetName val="会计科目对照表"/>
      <sheetName val="上海2012年1-11月科目余额表"/>
      <sheetName val="退休基本情况说明"/>
      <sheetName val="P504_3.Expected life"/>
      <sheetName val="40"/>
      <sheetName val=".xls)rep1011173124(1)"/>
      <sheetName val="不良排名"/>
      <sheetName val="PRC 13"/>
      <sheetName val="0406_Grade_data"/>
      <sheetName val="0412_Grade_data"/>
      <sheetName val="Main"/>
      <sheetName val="Australia"/>
      <sheetName val="Working"/>
      <sheetName val="Tax Rates"/>
      <sheetName val="Accuracy Check"/>
      <sheetName val="Namelist"/>
      <sheetName val="E1"/>
      <sheetName val="N"/>
      <sheetName val="UNIT COST REC"/>
      <sheetName val="D3"/>
      <sheetName val="Capital leases"/>
      <sheetName val="suivi cash flow par affaire"/>
      <sheetName val="support"/>
      <sheetName val="compare to jan07"/>
      <sheetName val="Ex Diff"/>
      <sheetName val="graph1"/>
      <sheetName val=" Due from (Sep)"/>
      <sheetName val="Due to 1005"/>
      <sheetName val="#511BkRec"/>
      <sheetName val="#511-DEC97"/>
      <sheetName val="153541"/>
      <sheetName val="Volume"/>
      <sheetName val="FF-21(a)"/>
      <sheetName val="H101"/>
      <sheetName val="FSA"/>
      <sheetName val="G301(01)"/>
      <sheetName val="02"/>
      <sheetName val="Input-Act"/>
      <sheetName val="Input-Act-Adj"/>
      <sheetName val="Input-Bud"/>
      <sheetName val="Input-PY"/>
      <sheetName val="P&amp;L Report-S"/>
      <sheetName val="P&amp;L Report-M"/>
      <sheetName val="1.1销售参数"/>
      <sheetName val="Table calendaire"/>
      <sheetName val="Table paiements"/>
      <sheetName val="Table Fournisseurs"/>
      <sheetName val="0000"/>
      <sheetName val="Summary Data"/>
      <sheetName val="ARCELIK项目收入成本"/>
      <sheetName val="8.2.1-单项计提明细"/>
      <sheetName val="12-合并资产负债表"/>
      <sheetName val="ee&amp;offsort"/>
      <sheetName val="New Cancelled Breakout"/>
      <sheetName val="OfficerList"/>
      <sheetName val="VestTemp&amp;Typeclean"/>
      <sheetName val="Vauxhall Opel 30004"/>
      <sheetName val="Comet Q202 Flash"/>
      <sheetName val="蚓激酶成品30万单位-板装"/>
      <sheetName val="SCB-HK"/>
      <sheetName val="实收资本"/>
      <sheetName val="盈余公积"/>
      <sheetName val="17 AR ECL &lt;对上5,439m&gt;"/>
      <sheetName val="5.2 Multipler"/>
      <sheetName val="计秖参璸"/>
      <sheetName val="玻Θ珇虫Θセ璸衡猭(5)"/>
      <sheetName val="Permit"/>
      <sheetName val="#511-SEPT97"/>
      <sheetName val="#511-OCT97"/>
      <sheetName val="#511-NOV97"/>
      <sheetName val="表三甲"/>
      <sheetName val="계획"/>
      <sheetName val="胡匀匀"/>
      <sheetName val="15、采购订单"/>
      <sheetName val="5a"/>
      <sheetName val="6a"/>
      <sheetName val="4cI"/>
      <sheetName val="G&amp;A"/>
      <sheetName val="C2WB Primary and Secondary"/>
      <sheetName val="IG non trade"/>
      <sheetName val="Ex_Rate"/>
      <sheetName val="VISION MRP"/>
      <sheetName val="MEXICO"/>
      <sheetName val="IS"/>
      <sheetName val="差异调整97"/>
      <sheetName val="差异调整95"/>
      <sheetName val="差异调整96"/>
      <sheetName val="PL1506"/>
      <sheetName val="by BU1506"/>
      <sheetName val="exp1506"/>
      <sheetName val="BS1506"/>
      <sheetName val="TASSI2"/>
      <sheetName val="Tav.22 Rischio di Credito"/>
      <sheetName val="Sum2000"/>
      <sheetName val="Comparison"/>
      <sheetName val="Inventory Change(FG)"/>
      <sheetName val="EV"/>
      <sheetName val="11月回款"/>
      <sheetName val="11月销售"/>
      <sheetName val="Macro1"/>
      <sheetName val="期別全体表"/>
      <sheetName val="Sponsor as Beneficiary (Burl)"/>
      <sheetName val="0.科目余额表"/>
      <sheetName val="orignal"/>
      <sheetName val="Toolbox"/>
      <sheetName val="U1 P&amp;L"/>
      <sheetName val="96BP"/>
      <sheetName val="Financial highligts"/>
      <sheetName val="科目列表"/>
      <sheetName val="付款进度表"/>
      <sheetName val="   合同台账  "/>
      <sheetName val="现调整"/>
      <sheetName val="附表2关联交易"/>
      <sheetName val="重要性水平"/>
      <sheetName val="关联方清单"/>
      <sheetName val="P &amp; L Account"/>
      <sheetName val="关联方"/>
      <sheetName val="CF"/>
      <sheetName val="preBS"/>
      <sheetName val="preCF"/>
      <sheetName val="preIS"/>
      <sheetName val="preCE"/>
      <sheetName val="收入明细－按客户"/>
      <sheetName val="M3-COS"/>
      <sheetName val="M4-Adm"/>
      <sheetName val="BB01"/>
      <sheetName val="科目名称表"/>
      <sheetName val="基本情况表"/>
      <sheetName val="实体清单"/>
      <sheetName val="集团内公司"/>
      <sheetName val="项目信息"/>
      <sheetName val="B3Ex-Rate"/>
      <sheetName val="基本信息输入"/>
      <sheetName val="固定资产折旧表"/>
      <sheetName val="2011Cash"/>
      <sheetName val="报表11"/>
      <sheetName val="SW-TEO"/>
      <sheetName val="收入"/>
      <sheetName val="IR1598"/>
      <sheetName val="明细分类账"/>
      <sheetName val="所有凭证"/>
      <sheetName val="adj10#-b"/>
      <sheetName val="Scoping"/>
      <sheetName val="sensitivity"/>
      <sheetName val="P&amp;L"/>
      <sheetName val="NAV Output"/>
      <sheetName val="output"/>
      <sheetName val="Changed"/>
      <sheetName val="MWA RR"/>
      <sheetName val="cost"/>
      <sheetName val="RGDP"/>
      <sheetName val="company operations"/>
      <sheetName val="hangzhou2"/>
      <sheetName val="Results"/>
      <sheetName val="ROE"/>
      <sheetName val="PH Car"/>
      <sheetName val="财务成本"/>
      <sheetName val="O5-1_Notes"/>
      <sheetName val="10_10_2003"/>
      <sheetName val="Q1_"/>
      <sheetName val="Cashflow_"/>
      <sheetName val="Floating_leg"/>
      <sheetName val="Fixed_Leg_Curve"/>
      <sheetName val="Floating_Leg_Curve"/>
      <sheetName val="Swap_summary"/>
      <sheetName val="detailitems_162"/>
      <sheetName val="Calcs"/>
      <sheetName val="AirConditional"/>
      <sheetName val="Equipment"/>
      <sheetName val="MotorVehicle"/>
      <sheetName val="Renovation"/>
      <sheetName val="Salesfor2001"/>
      <sheetName val="AP Recap"/>
      <sheetName val="Steuerung"/>
      <sheetName val="Merge"/>
      <sheetName val="OPEX-IST"/>
      <sheetName val="AJE"/>
      <sheetName val="RJE"/>
      <sheetName val="母公司财务报表"/>
      <sheetName val="EJE"/>
      <sheetName val="N1_100APBreakdown"/>
      <sheetName val="表2&lt;销售出库单&gt;"/>
      <sheetName val="邻酮定乙酚发出测试"/>
      <sheetName val="外地"/>
      <sheetName val="坯布"/>
      <sheetName val="材料"/>
      <sheetName val="外销"/>
      <sheetName val="P12 TB SZ"/>
      <sheetName val="表格清单"/>
      <sheetName val="其他货币资金.dbf"/>
      <sheetName val="银行存款.dbf"/>
      <sheetName val="N_Lead"/>
      <sheetName val="银行列表"/>
      <sheetName val="Specifications"/>
      <sheetName val="val"/>
      <sheetName val="HTM市值变动"/>
      <sheetName val="UFPrn20180528111055"/>
      <sheetName val="nada"/>
      <sheetName val="0"/>
      <sheetName val="99.12"/>
      <sheetName val="Current Account"/>
      <sheetName val="AP movement"/>
      <sheetName val="P101"/>
      <sheetName val="应付账款Dy"/>
      <sheetName val="股本Dy"/>
      <sheetName val="资本公积Dy"/>
      <sheetName val="盈余公积Dy"/>
      <sheetName val="F10~22圆形柱及零星非通用"/>
      <sheetName val="XLR_NoRangeSheet"/>
      <sheetName val="INV Sep"/>
      <sheetName val="账面外销"/>
      <sheetName val="Work Centers"/>
      <sheetName val="A4_报表-202206"/>
      <sheetName val="A4_公司架构_20220630"/>
      <sheetName val="科目设置"/>
      <sheetName val="凭证"/>
      <sheetName val="ap"/>
      <sheetName val="其他应付款.dbf"/>
      <sheetName val="2002-07"/>
      <sheetName val="for retest"/>
      <sheetName val="PI"/>
      <sheetName val="PW1"/>
      <sheetName val="Interim"/>
      <sheetName val="其他应收款"/>
      <sheetName val="Interim --&gt; Top"/>
      <sheetName val="财务费用&lt;U200&gt;"/>
      <sheetName val="Major Account"/>
      <sheetName val="主营业务税金及附加Dy"/>
      <sheetName val="UFPrn20220118134524"/>
      <sheetName val="before"/>
      <sheetName val="ANNUAL.OLD"/>
      <sheetName val="Video"/>
      <sheetName val="ANNUAL"/>
      <sheetName val="Content"/>
      <sheetName val="QVC"/>
      <sheetName val="Telephony"/>
      <sheetName val="Receiver"/>
      <sheetName val="Chart of Account"/>
      <sheetName val="07-6068"/>
      <sheetName val="40-2701"/>
      <sheetName val="TB96"/>
      <sheetName val="TB97"/>
      <sheetName val="订单"/>
      <sheetName val="TPQ INDEX"/>
      <sheetName val="N102"/>
      <sheetName val="SENA"/>
      <sheetName val="合并抵消分录"/>
      <sheetName val="Parametri"/>
      <sheetName val="Q2_Lead"/>
      <sheetName val="Q2_100Breakdown"/>
      <sheetName val="Detail Summary"/>
      <sheetName val="二期销售日报表20110331"/>
      <sheetName val="前提1-综合"/>
      <sheetName val="VACCINE"/>
      <sheetName val="Ambares"/>
      <sheetName val="C - Cash and Bank"/>
      <sheetName val="A300"/>
      <sheetName val="cogs-Rx"/>
      <sheetName val="17. Non consolidated stock"/>
      <sheetName val="General Data"/>
      <sheetName val="Assets"/>
      <sheetName val="Liabilities"/>
      <sheetName val="P-L"/>
      <sheetName val="14. Fixed assets"/>
      <sheetName val="13. Intangible assets"/>
      <sheetName val="PCAP"/>
      <sheetName val="Sum"/>
      <sheetName val="ctTBA"/>
      <sheetName val="市場"/>
      <sheetName val="EX-TGS"/>
      <sheetName val="Volumen AOP 2004"/>
      <sheetName val="Conso-PL(A4.3)"/>
      <sheetName val="Input_Eingabewerte"/>
      <sheetName val="Ausdruck"/>
      <sheetName val="機器"/>
      <sheetName val="FMT"/>
      <sheetName val="SHFMA"/>
      <sheetName val="Part_Datum"/>
      <sheetName val="利润表"/>
      <sheetName val="假设"/>
      <sheetName val="二厂单位成本结构图"/>
      <sheetName val="营业费用"/>
      <sheetName val="Investment Property"/>
      <sheetName val="sheet"/>
      <sheetName val="六纺"/>
      <sheetName val="管理费用-CM"/>
      <sheetName val="管理费用-SH"/>
      <sheetName val="研发费用-CM"/>
      <sheetName val="121105"/>
      <sheetName val="2005 BS Preliminary"/>
      <sheetName val="Malli"/>
      <sheetName val="Salaried main"/>
      <sheetName val="B1"/>
      <sheetName val="Questions"/>
      <sheetName val="IA2"/>
      <sheetName val="R2"/>
      <sheetName val="pd"/>
      <sheetName val="1104a"/>
      <sheetName val="1110b"/>
      <sheetName val="1112c"/>
      <sheetName val="其他应付款"/>
      <sheetName val="其它应收款"/>
      <sheetName val="应付账款"/>
      <sheetName val="预付货款"/>
      <sheetName val="C2W Summary"/>
      <sheetName val="New FC Pivot Table"/>
      <sheetName val="CHART"/>
      <sheetName val="February"/>
      <sheetName val="January"/>
      <sheetName val="batch"/>
      <sheetName val="data_val"/>
      <sheetName val="O201_VAT销项测算"/>
      <sheetName val="Cust List"/>
      <sheetName val="客戶清單customer list"/>
      <sheetName val="N101"/>
      <sheetName val="Sales for 2001"/>
      <sheetName val="V1-OSP-05"/>
      <sheetName val="威娜"/>
      <sheetName val="Historical prices(M)"/>
      <sheetName val="Historical prices(W)"/>
      <sheetName val="输入数据和汇总"/>
      <sheetName val="Confirmation"/>
      <sheetName val="表二甲机务F型"/>
      <sheetName val="总表"/>
      <sheetName val="利息7月-8月"/>
      <sheetName val="9 analysis of finance costs"/>
      <sheetName val="6a bank loan &amp; bond analysis"/>
      <sheetName val="capital structures"/>
      <sheetName val="checking Dep DT"/>
      <sheetName val="7 operating by nature"/>
      <sheetName val="1 highlights and ratio"/>
      <sheetName val="2020 final"/>
      <sheetName val="3 net profit by jv"/>
      <sheetName val="analysis of net profit "/>
      <sheetName val="2 PL shortform"/>
      <sheetName val="5 turnover by non-contrlled jv"/>
      <sheetName val="turnver &amp; pl by non-cont jv"/>
      <sheetName val="4,6 turnover by controlled jv"/>
      <sheetName val="F_Lead"/>
      <sheetName val="Sheet9"/>
      <sheetName val="系统数据"/>
      <sheetName val="Nov,01"/>
      <sheetName val="Category"/>
      <sheetName val="J3122_403天井"/>
      <sheetName val="J3123_518硐"/>
      <sheetName val="J3124_520硐"/>
      <sheetName val="J3125_1号堆场"/>
      <sheetName val="J3126_2号堆场"/>
      <sheetName val="J3127_3号堆场"/>
      <sheetName val="J3128_4号堆场"/>
      <sheetName val="J3131_技改粉矿仓"/>
      <sheetName val="J3129_517至520轨道"/>
      <sheetName val="C_100 Breakdown"/>
      <sheetName val="VarianceFY00vsBP"/>
      <sheetName val="预付账款"/>
      <sheetName val="审计项目信息"/>
      <sheetName val="gares 02 BON FICHIER "/>
      <sheetName val="往来函证(基本资料) "/>
      <sheetName val="试算平衡表"/>
      <sheetName val="ZKA2_lista"/>
      <sheetName val="E-Client Information"/>
      <sheetName val="冲压加工13ACCD BB BH用模具 11-A-028"/>
      <sheetName val="Lead_(p_1)3"/>
      <sheetName val="FA_Roll_to_GL_(p_2)3"/>
      <sheetName val="FA_Additions_(p_3)3"/>
      <sheetName val="FA_Disposals_(p_4)3"/>
      <sheetName val="Capital_Leases_(p_5)3"/>
      <sheetName val="_Depreciation_Expense_(p_6)3"/>
      <sheetName val="FA_roll_to_report_p_73"/>
      <sheetName val="Depr_Exp__Testing_(5)1"/>
      <sheetName val="Pro_Forma1"/>
      <sheetName val="Airport_-_Downtown1"/>
      <sheetName val="Staff_List1"/>
      <sheetName val="폐토수익화_1"/>
      <sheetName val="其它销售成本_A41"/>
      <sheetName val="信息费用预算表(A4)_1"/>
      <sheetName val="Sign_Off_Form1"/>
      <sheetName val="Chart_of_Acct1"/>
      <sheetName val="Vendor_Data1"/>
      <sheetName val="others_gl1"/>
      <sheetName val="Non-Statistical_Sampling_Maste1"/>
      <sheetName val="Two_Step_Revenue_Testing_Maste1"/>
      <sheetName val="Global_Data1"/>
      <sheetName val="Trial_Balance1"/>
      <sheetName val="2__PPR_REVENUE_APR101"/>
      <sheetName val="VAS_TB1"/>
      <sheetName val="C3WB_Sales_and_Receivables1"/>
      <sheetName val="5_基础档案1"/>
      <sheetName val="Lease_AP_20081"/>
      <sheetName val="Credit_Card1"/>
      <sheetName val="CON_CT_SINO_AGRO1"/>
      <sheetName val="7_-_ARO_Assumptions1"/>
      <sheetName val="(i)_Fixed_assets-PBC1"/>
      <sheetName val="Expenses_with_Comparisons1"/>
      <sheetName val="Price_Provision_清单1"/>
      <sheetName val="Other_expenses1"/>
      <sheetName val="SCH_2_-_Highlights_21"/>
      <sheetName val="DATA_SHEET-DO_NOT_DELETE1"/>
      <sheetName val="Invoices_received_and_payment1"/>
      <sheetName val="_Kostenstruktur_Fab_1"/>
      <sheetName val="SUD-Iron_Curtain_Method1"/>
      <sheetName val="1_11_长期应收款1"/>
      <sheetName val="1_12_长期股权投资1"/>
      <sheetName val="F40-Goodsin_transit1"/>
      <sheetName val="Repayment_Summary1"/>
      <sheetName val="Worksheet_in_5610_Property_&amp;_E1"/>
      <sheetName val="Tax_proj-Shenzhen1"/>
      <sheetName val="Office_Improve1"/>
      <sheetName val="SC_HKD_CA1"/>
      <sheetName val="Data_List1"/>
      <sheetName val="应收帐款_AR_1"/>
      <sheetName val="BT_031"/>
      <sheetName val="BT_021"/>
      <sheetName val="BT_011"/>
      <sheetName val="truc_tiep1"/>
      <sheetName val="CC_SAP1"/>
      <sheetName val="_g3001"/>
      <sheetName val="Marketing_product_ranges1"/>
      <sheetName val="Value_Chain_definitions1"/>
      <sheetName val="Marketing_vehicle_definitions1"/>
      <sheetName val="SAP_Trend-Revenue1"/>
      <sheetName val="A_R_011"/>
      <sheetName val="Invidual_Company_E_Asia_MCO1"/>
      <sheetName val="Net_REVENUE1"/>
      <sheetName val="Financial_Statistics1"/>
      <sheetName val="CY_sales_report1"/>
      <sheetName val="F1100芯片测试费_1"/>
      <sheetName val="OUT_EDP_041"/>
      <sheetName val="U1_61"/>
      <sheetName val="AOP_07_INPUT_-_local_currency1"/>
      <sheetName val="T__B1"/>
      <sheetName val="FY17_Revenue_Tracker_Data1"/>
      <sheetName val="Mov_from_2001_to_20031"/>
      <sheetName val="IRR_&amp;_NPV1"/>
      <sheetName val="Sheet1_(11)1"/>
      <sheetName val="_1"/>
      <sheetName val="Client_Data1"/>
      <sheetName val="Chart_of_acct_1"/>
      <sheetName val="K-0_PPE_Overview_PSP_OSP1"/>
      <sheetName val="A6620_Detail1"/>
      <sheetName val="Consol_worksheet-Final1"/>
      <sheetName val="For_Dis_"/>
      <sheetName val="Income_Statement"/>
      <sheetName val="Balance_Sheet"/>
      <sheetName val="Altman_Z"/>
      <sheetName val="Library_procedures"/>
      <sheetName val="Key_Assumptions"/>
      <sheetName val="Comp_equip"/>
      <sheetName val="C_货币资金"/>
      <sheetName val="C_抵押存款"/>
      <sheetName val="D_可供出售投资-流动"/>
      <sheetName val="D_衍生金融资产"/>
      <sheetName val="D_持有至到期投资-流动"/>
      <sheetName val="D_短期投资"/>
      <sheetName val="D_单列金融资产"/>
      <sheetName val="A5_dim&amp;adj_sum"/>
      <sheetName val="E_应收账款"/>
      <sheetName val="E_应收贸易款及票据"/>
      <sheetName val="E_应收票据"/>
      <sheetName val="F_存货"/>
      <sheetName val="F_房地产"/>
      <sheetName val="G_预付账款&amp;其他应收款&amp;待摊费用"/>
      <sheetName val="G_应收股利"/>
      <sheetName val="G_待售资产"/>
      <sheetName val="G_HK其他应收"/>
      <sheetName val="G_应收利息"/>
      <sheetName val="G_其他流动资产"/>
      <sheetName val="H_可供出售投资-非流动"/>
      <sheetName val="H_HK长投"/>
      <sheetName val="H_商誉"/>
      <sheetName val="H_持有至到期投资-非流动"/>
      <sheetName val="H_投资性房地产"/>
      <sheetName val="H_PRC长投"/>
      <sheetName val="I_应收关联方"/>
      <sheetName val="I_应付关联方"/>
      <sheetName val="J_在建工程"/>
      <sheetName val="K_固定资产"/>
      <sheetName val="K_固定资产清理"/>
      <sheetName val="L_一年内到期的长期债权投资"/>
      <sheetName val="L_无形"/>
      <sheetName val="L_长期待摊"/>
      <sheetName val="L_其他长期资产"/>
      <sheetName val="M_短借"/>
      <sheetName val="N_应付账款"/>
      <sheetName val="N_应付票据"/>
      <sheetName val="P_预收账款&amp;其他应付款&amp;应付职工薪酬&amp;预提费用&amp;其他应交款"/>
      <sheetName val="U_其他业务收支&amp;营业外收支&amp;补贴收入&amp;利息收入"/>
      <sheetName val="U_所得税"/>
      <sheetName val="O_递延税资产"/>
      <sheetName val="O_递延税负债"/>
      <sheetName val="O_应交税费"/>
      <sheetName val="U_税金及附加"/>
      <sheetName val="P_应付股利"/>
      <sheetName val="P_HK其他应付"/>
      <sheetName val="P_应付利息"/>
      <sheetName val="P_其他应付款"/>
      <sheetName val="P_其他流动负债"/>
      <sheetName val="P_应付职工薪酬"/>
      <sheetName val="P_预计负债"/>
      <sheetName val="Q_应付债券"/>
      <sheetName val="Q_可转债"/>
      <sheetName val="Q_政府补助"/>
      <sheetName val="Q_一年内到期负债"/>
      <sheetName val="Q_应付融资租赁款"/>
      <sheetName val="Q_长借"/>
      <sheetName val="Q_长期应付"/>
      <sheetName val="Q_其他长期负债"/>
      <sheetName val="Q_专项应付"/>
      <sheetName val="T_股本"/>
      <sheetName val="T_资本公积"/>
      <sheetName val="T_折算差额"/>
      <sheetName val="T_未分配利润"/>
      <sheetName val="T_盈余公积"/>
      <sheetName val="U_主营业务"/>
      <sheetName val="U_财务费用"/>
      <sheetName val="U_投资收益&amp;公允价值变动收益"/>
      <sheetName val="U_管理费用&amp;资产减值损失"/>
      <sheetName val="U_成本倒轧表&amp;制造费用"/>
      <sheetName val="U_销售费用"/>
      <sheetName val="U_分占下属损益"/>
      <sheetName val="1_1_Project_Data"/>
      <sheetName val="H1_3"/>
      <sheetName val="BJ_Expenses"/>
      <sheetName val="Sample_Rev"/>
      <sheetName val="Sample_IS"/>
      <sheetName val="Probability_View"/>
      <sheetName val="Consultants_local_currency"/>
      <sheetName val="BOX_SUM"/>
      <sheetName val="FIN_GOOD"/>
      <sheetName val="Date_Source"/>
      <sheetName val="SH_FA_检查"/>
      <sheetName val="ICP主营业务收入ICP_CoreRevenue"/>
      <sheetName val="ICP递延收益ICP_DeferredIncome"/>
      <sheetName val="ICP股利分配ICP_DevidendDeclared"/>
      <sheetName val="ICP费用ICP_Expense"/>
      <sheetName val="ICP其他应付款ICP_OtherPayable"/>
      <sheetName val="ICP投资收益ICP_InvestmentIncome"/>
      <sheetName val="ICP应付利息ICP_InterestPayable"/>
      <sheetName val="ICP长期应付款ICP_LongtermPayable"/>
      <sheetName val="ICP其他流动负债ICP_OtherCurrentLiab"/>
      <sheetName val="ICP其他业务收入ICP_OtherRevenue"/>
      <sheetName val="ICP短期借款ICP_ShorttermLoans"/>
      <sheetName val="JE_Upload"/>
      <sheetName val="Basic_data"/>
      <sheetName val="Related_companies"/>
      <sheetName val="incomplete_-_5411B"/>
      <sheetName val="Terms_Summary"/>
      <sheetName val="Offering_Structure"/>
      <sheetName val="Sale_summary"/>
      <sheetName val="6_3_1关联交易"/>
      <sheetName val="3_2_100_4_1____3"/>
      <sheetName val="3_2_100_4_3_aging_Equip__"/>
      <sheetName val="3_2_100_4_1____1"/>
      <sheetName val="Sum_sum_Dep"/>
      <sheetName val="CUSTOMER_(DETAIL)"/>
      <sheetName val="1_-_Lead3"/>
      <sheetName val="2_-_Lapsing3"/>
      <sheetName val="3-_Depreciation3"/>
      <sheetName val="4_-_Additions3"/>
      <sheetName val="5_-Capital_Lease3"/>
      <sheetName val="6_-_FA_Verification3"/>
      <sheetName val="Sched_3"/>
      <sheetName val="Beg__Balance_Sched4"/>
      <sheetName val="Assets_with_no_cost3"/>
      <sheetName val="IT_Costs"/>
      <sheetName val="Legal_and_Prof"/>
      <sheetName val="Relationship_Analysis(2)"/>
      <sheetName val="Sheet1_(3)"/>
      <sheetName val="Walkthrough_"/>
      <sheetName val="XVIa(i)_-_average_price_(2)"/>
      <sheetName val="US_WACC"/>
      <sheetName val="H_R"/>
      <sheetName val="Final_sample_listing"/>
      <sheetName val="Business_Unit"/>
      <sheetName val="AR_Ageing_-_1130"/>
      <sheetName val="Coach_Chassis_(inventory)"/>
      <sheetName val="VAT_Payable01"/>
      <sheetName val="VAT_Payable_02"/>
      <sheetName val="VAT_Payable_03"/>
      <sheetName val="1102_(2)"/>
      <sheetName val="HQ_C"/>
      <sheetName val="Entry_Sheet"/>
      <sheetName val="U113(1)-details_2005"/>
      <sheetName val="asset_list"/>
      <sheetName val="Baitak_PS_schedule"/>
      <sheetName val="AGRO_PRC_DATABASE"/>
      <sheetName val="A3_&amp;_U_09-01"/>
      <sheetName val="Romford_Market"/>
      <sheetName val="总公司2002_12_31"/>
      <sheetName val="Understand_the_client"/>
      <sheetName val="TIG_Loan_Interest_Calculation"/>
      <sheetName val="Proforma_BS"/>
      <sheetName val="Whse_Code"/>
      <sheetName val="Pro_Forma_(2)"/>
      <sheetName val="M_P_S_"/>
      <sheetName val="Data_sheet"/>
      <sheetName val="sintesi_per_referenza"/>
      <sheetName val="1_概述"/>
      <sheetName val="IBC_Project_Overview2012918"/>
      <sheetName val="Projects_structure"/>
      <sheetName val="DFI_Statement_Jan"/>
      <sheetName val="Riepilogo_linee-direz_BUD"/>
      <sheetName val="现_金_流_量_表"/>
      <sheetName val="by_category"/>
      <sheetName val="Range_Values"/>
      <sheetName val="EY_data"/>
      <sheetName val="Bal_1997-1998"/>
      <sheetName val="nSAP_GLSU_Template"/>
      <sheetName val="Reversal_Reason_-_Reversal_Date"/>
      <sheetName val="&lt;FF&gt;_Tax_Payable"/>
      <sheetName val="1999_Plan_Summary"/>
      <sheetName val="To_tied_2001_opening_RE"/>
      <sheetName val="Interest_#9"/>
      <sheetName val="Custs_#2"/>
      <sheetName val="Item_master"/>
      <sheetName val="9_银行持有之局部付款"/>
      <sheetName val="SH-3rd_party"/>
      <sheetName val="12_APaging附表"/>
      <sheetName val="REP04B_301202"/>
      <sheetName val="NewB_Sheet"/>
      <sheetName val="Drop_List_References"/>
      <sheetName val="G_1R-Shou_COP_Gf"/>
      <sheetName val="M_Schedules"/>
      <sheetName val="진행_DATA_(2)"/>
      <sheetName val="Calc_&amp;_Export"/>
      <sheetName val="Carryover_2004"/>
      <sheetName val="AOP_Exec_Summary"/>
      <sheetName val="1_Lillysummary"/>
      <sheetName val="Detail_Loan_Move__&amp;_Listing"/>
      <sheetName val="실DATA_"/>
      <sheetName val="Beta_DATA_SHEET"/>
      <sheetName val="input_data"/>
      <sheetName val="Sal_&amp;_Wage_Info"/>
      <sheetName val="P&amp;L_PP"/>
      <sheetName val="POWER_ASSUMPTIONS"/>
      <sheetName val="B5302_Random_population"/>
      <sheetName val="Slide_1"/>
      <sheetName val="Slide_2"/>
      <sheetName val="slide_3"/>
      <sheetName val="G402_"/>
      <sheetName val="FIRE_Parameters"/>
      <sheetName val="GP_Analysis"/>
      <sheetName val="18_BGEI_Mgt_(SH)-BJ_Br"/>
      <sheetName val="FAST_TRACK"/>
      <sheetName val="JAL_"/>
      <sheetName val="其他应付款科目余额2005_12_31"/>
      <sheetName val="consol_bal_sheet"/>
      <sheetName val="3__Other_gains"/>
      <sheetName val="PBC_-_PHS"/>
      <sheetName val="Invested_Capital"/>
      <sheetName val="ADJ_Sum(console)"/>
      <sheetName val="其他业务成本_111031"/>
      <sheetName val="应收账龄BS_01"/>
      <sheetName val="IFRS_9规定"/>
      <sheetName val="PRC_15"/>
      <sheetName val="P504_3_Expected_life"/>
      <sheetName val="_xls)rep1011173124(1)"/>
      <sheetName val="PRC_13"/>
      <sheetName val="UNIT_COST_REC"/>
      <sheetName val="Capital_leases"/>
      <sheetName val="suivi_cash_flow_par_affaire"/>
      <sheetName val="compare_to_jan07"/>
      <sheetName val="Ex_Diff"/>
      <sheetName val="_Due_from_(Sep)"/>
      <sheetName val="Due_to_1005"/>
      <sheetName val="Tax_Rates"/>
      <sheetName val="Accuracy_Check"/>
      <sheetName val="P&amp;L_Report-S"/>
      <sheetName val="P&amp;L_Report-M"/>
      <sheetName val="1_1销售参数"/>
      <sheetName val="Table_calendaire"/>
      <sheetName val="Table_paiements"/>
      <sheetName val="Table_Fournisseurs"/>
      <sheetName val="Summary_Data"/>
      <sheetName val="8_2_1-单项计提明细"/>
      <sheetName val="New_Cancelled_Breakout"/>
      <sheetName val="Vauxhall_Opel_30004"/>
      <sheetName val="Comet_Q202_Flash"/>
      <sheetName val="17_AR_ECL_&lt;对上5,439m&gt;"/>
      <sheetName val="5_2_Multipler"/>
      <sheetName val="CA Comp"/>
      <sheetName val="Company Info"/>
      <sheetName val="TB Link"/>
      <sheetName val="SCTB"/>
      <sheetName val="510102明细"/>
      <sheetName val="510101明细"/>
      <sheetName val="51010102明细"/>
      <sheetName val="51010103明细"/>
      <sheetName val="510103明细"/>
      <sheetName val="510104明细"/>
      <sheetName val="512101明细"/>
      <sheetName val="512102明细"/>
      <sheetName val="512103明细"/>
      <sheetName val="512106明细"/>
      <sheetName val="510101"/>
      <sheetName val="510102"/>
      <sheetName val="510104"/>
      <sheetName val="512101"/>
      <sheetName val="512102"/>
      <sheetName val="512103"/>
      <sheetName val="512105"/>
      <sheetName val="512106"/>
      <sheetName val="UFPrn20060102184135"/>
      <sheetName val="UFPrn20060102184147"/>
      <sheetName val="2011-11-14执行表 (资源表）"/>
      <sheetName val="区域提供台量及价格"/>
      <sheetName val="三分厂04年1-12月销售价 "/>
      <sheetName val="05年1月销售价"/>
      <sheetName val="04年12月销售价"/>
      <sheetName val="基础资料（B）"/>
      <sheetName val="CJA 2006"/>
      <sheetName val="7.5 FY08 TCOE执行计划完成情况回顾"/>
      <sheetName val="敏感参数"/>
      <sheetName val="CREDIT STATS"/>
      <sheetName val="PLRMB"/>
      <sheetName val="CA_new"/>
      <sheetName val="应收票据(关联方)(5)"/>
      <sheetName val="UFPrn20070308145706"/>
      <sheetName val="Sales by customer "/>
      <sheetName val="Interest Method"/>
      <sheetName val="表头"/>
      <sheetName val="PER SALES ORG"/>
      <sheetName val="other lia"/>
      <sheetName val="prepayment"/>
      <sheetName val="related co"/>
      <sheetName val="adm"/>
      <sheetName val="sel"/>
      <sheetName val="工时统计"/>
      <sheetName val="披露表(标准)"/>
      <sheetName val="sell"/>
      <sheetName val="fin"/>
      <sheetName val="import duties"/>
      <sheetName val="SysNavigation"/>
      <sheetName val="BlsPrvOpv"/>
      <sheetName val="枚举字典"/>
      <sheetName val="东软发展1"/>
      <sheetName val="东软发展2"/>
      <sheetName val="大发3"/>
      <sheetName val="Scatter"/>
      <sheetName val="1997 IPO"/>
      <sheetName val="Customize Your Purchase Order"/>
      <sheetName val="1.3 应收票据、应收款项融资"/>
      <sheetName val="1.2 交易性金融资产、衍生金融资产"/>
      <sheetName val="1.10 长期应收款"/>
      <sheetName val="1.9 其他流动资产"/>
      <sheetName val="1.12 其他权益工具投资"/>
      <sheetName val="1.11 长期股权投资"/>
      <sheetName val="1.15 固定资产"/>
      <sheetName val="1.16 在建工程"/>
      <sheetName val="1.18 无形资产"/>
      <sheetName val="1.19 商誉"/>
      <sheetName val="1.21 其他非流动资产"/>
      <sheetName val="1.6 其他应收款(含应收资金集中管理款)"/>
      <sheetName val="1.7 存货"/>
      <sheetName val="1.5 预付账款"/>
      <sheetName val="-GZ"/>
      <sheetName val="-SZ"/>
      <sheetName val="-WZ"/>
      <sheetName val="OTA"/>
      <sheetName val="CDFMA"/>
      <sheetName val="NJFMA"/>
      <sheetName val="WHFMA"/>
      <sheetName val="-SH"/>
      <sheetName val="-BJ"/>
      <sheetName val="2004核对表"/>
      <sheetName val="基本参数"/>
      <sheetName val="ye"/>
      <sheetName val="Categories of Tax Positions"/>
      <sheetName val="PSR Names"/>
      <sheetName val="A812-1_法审报告PM TE设定"/>
      <sheetName val="E3_100(合同资产)_集团内"/>
      <sheetName val="DataLookups"/>
      <sheetName val="IS Summary-96"/>
      <sheetName val="固定资产12月"/>
      <sheetName val="工程部备件库9月份消耗"/>
      <sheetName val="工程部辅料库9月份消耗"/>
      <sheetName val="UFPrn20081124111814"/>
      <sheetName val="Volatility "/>
      <sheetName val="Deal CF"/>
      <sheetName val="A810-ASM"/>
      <sheetName val="Formal Name"/>
      <sheetName val="03合并附注"/>
      <sheetName val="2007.12折旧差异"/>
      <sheetName val="Depr"/>
      <sheetName val="Deduction ok"/>
      <sheetName val="Addition1 ok"/>
      <sheetName val="Addition2 ok"/>
      <sheetName val="K311 A_List02"/>
      <sheetName val="MFG Capital"/>
      <sheetName val="1. Data Entry Sales, Carline"/>
      <sheetName val="F130&quot;"/>
      <sheetName val="Fixed Assets"/>
      <sheetName val="07-7月"/>
      <sheetName val="statement 1998"/>
      <sheetName val="壓摸穿燈"/>
      <sheetName val="Sheet8"/>
      <sheetName val="2001"/>
      <sheetName val="Dimensions"/>
      <sheetName val="2003-H300"/>
      <sheetName val="Reprice Lookup"/>
      <sheetName val="Termination Dates clean"/>
      <sheetName val="Setting"/>
      <sheetName val="IG_non_trade"/>
      <sheetName val="VISION_MRP"/>
      <sheetName val="by_BU1506"/>
      <sheetName val="Tav_22_Rischio_di_Credito"/>
      <sheetName val="Inventory_Change(FG)"/>
      <sheetName val="Sponsor_as_Beneficiary_(Burl)"/>
      <sheetName val="C2WB_Primary_and_Secondary"/>
      <sheetName val="0_科目余额表"/>
      <sheetName val="U1_P&amp;L"/>
      <sheetName val="Financial_highligts"/>
      <sheetName val="___合同台账__"/>
      <sheetName val="P_&amp;_L_Account"/>
      <sheetName val="2_假设"/>
      <sheetName val="ADJ"/>
      <sheetName val="INPUT WH"/>
      <sheetName val="中山市新泰兴粉末冶金有限公司-其他应付款替代测试表 "/>
      <sheetName val="CIP"/>
      <sheetName val="FA movement"/>
      <sheetName val="STDCOST"/>
      <sheetName val="V_Lead "/>
      <sheetName val="Bacis"/>
      <sheetName val="往来账龄-RPT"/>
      <sheetName val="营外收支"/>
      <sheetName val="母公司应交税金明细表（含泵送）"/>
      <sheetName val="BS2"/>
      <sheetName val="BS3"/>
      <sheetName val="BS4"/>
      <sheetName val="BS5"/>
      <sheetName val="BS6"/>
      <sheetName val="BS7"/>
      <sheetName val="IC0"/>
      <sheetName val="PL2"/>
      <sheetName val="PL3"/>
      <sheetName val="PL5"/>
      <sheetName val="TB1"/>
      <sheetName val="TB2"/>
      <sheetName val="U710"/>
      <sheetName val="F911"/>
      <sheetName val="CIP details"/>
      <sheetName val="손익계산서"/>
      <sheetName val="HR-10"/>
      <sheetName val="Ex-Rate"/>
      <sheetName val="Module2"/>
      <sheetName val="F_Model-KWSC"/>
      <sheetName val="Assumptions for OPEX"/>
      <sheetName val="Type"/>
      <sheetName val="081231"/>
      <sheetName val="04收发存汇总表"/>
      <sheetName val="Net Assets"/>
      <sheetName val="5400-재고자산Lead"/>
      <sheetName val="11累计完工表(内部)"/>
      <sheetName val="Inventory"/>
      <sheetName val="G201os"/>
      <sheetName val="TBM"/>
      <sheetName val="Reserves"/>
      <sheetName val="Values"/>
      <sheetName val="Orders"/>
      <sheetName val="2171_FYbk"/>
      <sheetName val="2171-BK"/>
      <sheetName val="Lessee Import new lease"/>
      <sheetName val="Ratings"/>
      <sheetName val="STD"/>
      <sheetName val="Assumption"/>
      <sheetName val="Lead -1"/>
      <sheetName val="Consolidation Rates"/>
      <sheetName val="E302"/>
      <sheetName val="Sales taxes"/>
      <sheetName val="Blad1"/>
      <sheetName val="KRP"/>
      <sheetName val="MSIGet_Flags"/>
      <sheetName val="O adj"/>
      <sheetName val="3.3.3额外增加审计范围的考虑"/>
      <sheetName val="A6-2"/>
      <sheetName val="A6-1"/>
      <sheetName val="PRC-BS-SZ"/>
      <sheetName val="812户日记帐"/>
      <sheetName val="817户日记帐"/>
      <sheetName val="PCBC_Sec_Acct"/>
      <sheetName val="Int_history"/>
      <sheetName val="Breakdown-SH"/>
      <sheetName val="합계잔액시산표"/>
      <sheetName val="BasicInfo_IT"/>
      <sheetName val="Marshal"/>
      <sheetName val="Combined1"/>
      <sheetName val="Permanent info"/>
      <sheetName val="BI RATE"/>
      <sheetName val="OTHER PREPAID EXPENSE"/>
      <sheetName val="科目余额"/>
      <sheetName val="Link-PRC"/>
      <sheetName val="Link-Misal"/>
      <sheetName val="Payroll-Interim"/>
      <sheetName val="C2WB ICO and Cash"/>
      <sheetName val="Total Stock Summary"/>
      <sheetName val="WIP Valuation"/>
      <sheetName val="Consumption"/>
      <sheetName val="CC1"/>
      <sheetName val="辽宁三生库存商品总帐2005 3.1.3a"/>
      <sheetName val="cov"/>
      <sheetName val="安装指标库1"/>
      <sheetName val="Report Schedule"/>
      <sheetName val="comparison march to feb"/>
      <sheetName val=" UA. Revenue"/>
      <sheetName val="临时借款"/>
      <sheetName val="Product sales"/>
      <sheetName val="wsData"/>
      <sheetName val="2. Brk - PT"/>
      <sheetName val="LZ Component FG"/>
      <sheetName val="COMPANY"/>
      <sheetName val="A3_conso_集团"/>
      <sheetName val="表0-汇总表"/>
      <sheetName val="K2-03-100"/>
      <sheetName val="收入_按产品类别（旧版已作废）_"/>
      <sheetName val="Accrual"/>
      <sheetName val="WIP"/>
      <sheetName val="µ|²vªí"/>
      <sheetName val="12月到货 "/>
      <sheetName val="Lead sheet"/>
      <sheetName val="Matrix-Level 3-Gastonia"/>
      <sheetName val="item"/>
      <sheetName val="INPUT rates"/>
      <sheetName val="1"/>
      <sheetName val="usermap1-9"/>
      <sheetName val="土地摊销"/>
      <sheetName val="inventory2002"/>
      <sheetName val="PPV2002"/>
      <sheetName val="Movement-DPCA"/>
      <sheetName val="销售订单（每月系统导出）"/>
      <sheetName val="截止10.31"/>
      <sheetName val="2月OP PAY"/>
      <sheetName val="DFA"/>
      <sheetName val="Balance"/>
      <sheetName val="Cash_Flow"/>
      <sheetName val="HB"/>
      <sheetName val="Plano Contas"/>
      <sheetName val="资产负债表及利润表"/>
      <sheetName val="销售费用明细表"/>
      <sheetName val="制造费用明细表"/>
      <sheetName val="o"/>
      <sheetName val="M1.1 Cash at Bank"/>
      <sheetName val="M1.4 Vouch bank rec."/>
      <sheetName val="Sheet4"/>
      <sheetName val="Financial Assets and Liability"/>
      <sheetName val="Workload"/>
      <sheetName val="应收地区分析"/>
      <sheetName val="2020年研发费用折旧明细账"/>
      <sheetName val="N63_在其他主体中的权益-子（孙）公司"/>
      <sheetName val="N67_重要联营企业的主要财务信息"/>
      <sheetName val="N72_关联方往来（应收）"/>
      <sheetName val="辅表-原始利润表"/>
      <sheetName val="辅表-原始资产负债表"/>
      <sheetName val="Technical"/>
      <sheetName val="VIDE1"/>
      <sheetName val="VIDE2"/>
      <sheetName val="Promo"/>
      <sheetName val="Investment_Income$ NEW"/>
      <sheetName val="Data Validation"/>
      <sheetName val="Exchange rates"/>
      <sheetName val="Gross Margin"/>
      <sheetName val="Journal Entries - EJE(09930)"/>
      <sheetName val="Taxes"/>
      <sheetName val="BTR"/>
      <sheetName val="BGR"/>
      <sheetName val="BKS"/>
      <sheetName val="Control panel"/>
      <sheetName val="Segment"/>
      <sheetName val="list of LC"/>
      <sheetName val="B1-4001"/>
      <sheetName val="7-9月补发王志华工资"/>
      <sheetName val="P1"/>
      <sheetName val="Schedules"/>
      <sheetName val="CASH"/>
      <sheetName val="Cash Lead Schedule"/>
      <sheetName val="GEAUDIT"/>
      <sheetName val="Collateral Monitoring"/>
      <sheetName val="单位名称"/>
      <sheetName val="cg"/>
      <sheetName val="878"/>
      <sheetName val="2100"/>
      <sheetName val="综合"/>
      <sheetName val="3-1-1现金"/>
      <sheetName val="MUS Calculations- Figure 5410.1"/>
      <sheetName val="Backward Calculation"/>
      <sheetName val="Group"/>
      <sheetName val="key parameter1st"/>
      <sheetName val="C3W Summary"/>
      <sheetName val="C3WB Revenue and Debtors"/>
      <sheetName val="C3WD Debtors and Cash"/>
      <sheetName val=".1 Lead"/>
      <sheetName val=".2 FA Rollforward"/>
      <sheetName val=".3 Additions"/>
      <sheetName val=".4 IPE Testing"/>
      <sheetName val="LBSA-BS(2nd)"/>
      <sheetName val="LBSA-PL(2nd)"/>
      <sheetName val="VISION 1"/>
      <sheetName val="应收款信用分析(汇总)"/>
      <sheetName val="ARP-U311"/>
      <sheetName val="ARP-U321"/>
      <sheetName val="递延所得税资产审定表"/>
      <sheetName val="PG Valor Residual"/>
      <sheetName val="assembly_r12 detail"/>
      <sheetName val="已审CF"/>
      <sheetName val="Yr_1997"/>
      <sheetName val="Disclosure 1-12"/>
      <sheetName val="分部-Dec"/>
      <sheetName val="Trade Payable &amp;Vendor Dashboard"/>
      <sheetName val="Cut-off Weekly"/>
      <sheetName val="Cut-off Daily"/>
      <sheetName val="TEE"/>
      <sheetName val="Page1"/>
      <sheetName val="SF OR2"/>
      <sheetName val="Select month"/>
      <sheetName val="OR"/>
      <sheetName val="Process cost"/>
      <sheetName val="oil收发存"/>
      <sheetName val="应付账款 (2)"/>
      <sheetName val="UFPrn20040104084034"/>
      <sheetName val="L3"/>
      <sheetName val="L2-9"/>
      <sheetName val="L2-8"/>
      <sheetName val="L2-10"/>
      <sheetName val="00 FG breakdown"/>
      <sheetName val="01 FG breakdown"/>
      <sheetName val="99 FG breakdown"/>
      <sheetName val="HEAD"/>
      <sheetName val="2000F"/>
      <sheetName val="adj#5-b-2筛选底稿"/>
      <sheetName val="Sheet1 "/>
      <sheetName val="hkgapadj"/>
      <sheetName val="retained movt"/>
      <sheetName val="inv in GWSR"/>
      <sheetName val="Detail Test"/>
      <sheetName val="Bank Adjustment"/>
      <sheetName val="徊,戈の硑禣ノ"/>
      <sheetName val="附注列表"/>
      <sheetName val="税费明细"/>
      <sheetName val="(QB0) Global Properties"/>
      <sheetName val="1-11"/>
      <sheetName val="SFS(BUDGET)"/>
      <sheetName val="CONTENTS"/>
      <sheetName val="OTHER(FLASH)"/>
      <sheetName val="B-4_2"/>
      <sheetName val="14"/>
      <sheetName val="Macro"/>
      <sheetName val="7a_Other Inc Exp"/>
      <sheetName val="直接材料"/>
      <sheetName val="標准成本"/>
      <sheetName val="Inv breakdown-PRCGAAP for ref"/>
      <sheetName val="Recon."/>
      <sheetName val="Group1"/>
      <sheetName val="FX Rate Table"/>
      <sheetName val="Bal Sheet"/>
      <sheetName val="INF"/>
      <sheetName val="2003"/>
      <sheetName val="销售6.13"/>
      <sheetName val="Tax"/>
      <sheetName val="WORDs"/>
      <sheetName val="เครื่องตกแต่ง"/>
      <sheetName val="priv"/>
      <sheetName val="Cash Flow"/>
      <sheetName val="报表项目"/>
      <sheetName val="Personnaliser votre facture"/>
      <sheetName val="Assum"/>
      <sheetName val="Directions"/>
      <sheetName val="Rented Equipment"/>
      <sheetName val="COA"/>
      <sheetName val="短期借款余额表"/>
      <sheetName val="Input Area"/>
      <sheetName val="30.06.03"/>
      <sheetName val="Veh Info"/>
      <sheetName val="Estimated AP 9.03"/>
      <sheetName val="Tracking"/>
      <sheetName val="2008"/>
      <sheetName val="K3"/>
      <sheetName val="Timing"/>
      <sheetName val="坏账核销"/>
      <sheetName val="Paramètres"/>
      <sheetName val="損益表-年度比較"/>
      <sheetName val="資產負債表-年度比較"/>
      <sheetName val="明细表"/>
      <sheetName val="K3100"/>
      <sheetName val="Executive Summary"/>
      <sheetName val="Table of Contents"/>
      <sheetName val="Net Sales"/>
      <sheetName val="列表"/>
      <sheetName val="F2-1 unvouvcher PPV "/>
      <sheetName val="A400"/>
      <sheetName val="Stock Chart"/>
      <sheetName val="福利费1"/>
      <sheetName val="Credit debit analysis"/>
      <sheetName val="login"/>
      <sheetName val="Communication Eco dev"/>
      <sheetName val="Communication Eco frf"/>
      <sheetName val="Payroll"/>
      <sheetName val="Closing of Accounts"/>
      <sheetName val="cm3g"/>
      <sheetName val="包材领用工作底稿"/>
      <sheetName val="原料领用工作底稿"/>
      <sheetName val="zfi044-ALL"/>
      <sheetName val="ACTUALCD - FCST Download"/>
      <sheetName val="3.2.400.4.TOD01.0010"/>
      <sheetName val="输液器"/>
      <sheetName val="Other IA and Goodwill"/>
      <sheetName val="应收票据Dy"/>
      <sheetName val="E430"/>
      <sheetName val="PMTE"/>
      <sheetName val="三江对萧山2010"/>
      <sheetName val="运煤预算"/>
      <sheetName val="财政供养人员增幅"/>
      <sheetName val="调12"/>
      <sheetName val="应付股利_原"/>
      <sheetName val="VII-Redemption Nov"/>
      <sheetName val="Forecast"/>
      <sheetName val="内部往来"/>
      <sheetName val="PV6 3.5L LX5 GMX170"/>
      <sheetName val="DI-ESTI"/>
      <sheetName val="94B"/>
      <sheetName val="Debtors Aging List"/>
      <sheetName val="CodeDescription"/>
      <sheetName val="长期应付款Dy"/>
      <sheetName val="应交税金Dy"/>
      <sheetName val="附表32 - 无形资产明细表"/>
      <sheetName val="值列表"/>
      <sheetName val="周承惠（嘉隆利）"/>
      <sheetName val="PL2013"/>
      <sheetName val="Conso adj"/>
      <sheetName val="BS2013"/>
      <sheetName val="FRS 107"/>
      <sheetName val="U"/>
      <sheetName val="直接法"/>
      <sheetName val="专项资金构成"/>
      <sheetName val="June"/>
      <sheetName val="ADJ-单体汇总"/>
      <sheetName val="ADJ-合并汇总"/>
      <sheetName val="科目清单"/>
      <sheetName val="所并"/>
      <sheetName val="#¡REF"/>
      <sheetName val="ref"/>
      <sheetName val="PROCESS"/>
      <sheetName val="Coding"/>
      <sheetName val="FORMAT 1 - GENERAL FORMAT"/>
      <sheetName val="Selection"/>
      <sheetName val="应收票据(关联方)"/>
      <sheetName val="ex. rate"/>
      <sheetName val="UFPrn20070303114642"/>
      <sheetName val="O101"/>
      <sheetName val="管理费用"/>
      <sheetName val="Thuc thanh"/>
      <sheetName val="Base Info"/>
      <sheetName val="条件输入页"/>
      <sheetName val="清单定稿"/>
      <sheetName val="EXCH97 (1101)"/>
      <sheetName val="wyniki"/>
      <sheetName val="wynikiRCV"/>
      <sheetName val="M_5A"/>
      <sheetName val="M_5C"/>
      <sheetName val="____"/>
      <sheetName val="主要财务指标表"/>
      <sheetName val="Non-Statistical Sampling"/>
      <sheetName val="AR Drop Downs"/>
      <sheetName val="DropDown"/>
      <sheetName val="auditor"/>
      <sheetName val="N100-evie"/>
      <sheetName val="VCC 11110-461"/>
      <sheetName val="C-Summary"/>
      <sheetName val="h1h2 model"/>
      <sheetName val="Feb 1-26"/>
      <sheetName val="表紙"/>
      <sheetName val="dieu kien"/>
      <sheetName val="Internal Data"/>
      <sheetName val="Data Summary"/>
      <sheetName val="PLDTL911"/>
      <sheetName val="A3_杭州启明"/>
      <sheetName val="Checkbook"/>
      <sheetName val="预收帐款"/>
      <sheetName val="C.现金"/>
      <sheetName val="D.交易性金融资产"/>
      <sheetName val="A3.试算表"/>
      <sheetName val="G.预付"/>
      <sheetName val="G.其他应收款"/>
      <sheetName val="J.工程物资"/>
      <sheetName val="K.生物资产"/>
      <sheetName val="L.开发支出"/>
      <sheetName val="L.一年内到期长期资产"/>
      <sheetName val="L.长期应收"/>
      <sheetName val="L.HK单列无形"/>
      <sheetName val="M.衍生金融负债"/>
      <sheetName val="M.交易性金融负债"/>
      <sheetName val="M.带息借款-流动"/>
      <sheetName val="M.无息借款-流动"/>
      <sheetName val="M.其他金融负债"/>
      <sheetName val="N.应付贸易款及票据"/>
      <sheetName val="O.应交所得税"/>
      <sheetName val="P.预收"/>
      <sheetName val="Q.递延收益"/>
      <sheetName val="Q.带息借款-非流动"/>
      <sheetName val="Q.无息借款-非流动"/>
      <sheetName val="T.少数股东"/>
      <sheetName val="T.专项储备"/>
      <sheetName val="U.财务成本"/>
      <sheetName val="U.财务收入"/>
      <sheetName val="U.公允价值变动收益"/>
      <sheetName val="U.管理费用"/>
      <sheetName val="U.资产减值损失"/>
      <sheetName val="U.投资收益"/>
      <sheetName val="U.营业外"/>
      <sheetName val="U.其他费用"/>
      <sheetName val="U.其他收入"/>
      <sheetName val="U.其他业务"/>
      <sheetName val="劳务成本（新动）"/>
      <sheetName val="待摊费用审定表"/>
      <sheetName val="货币资金审定表"/>
      <sheetName val="销售成本审定表"/>
      <sheetName val="销售费用审定表"/>
      <sheetName val="应付帐款"/>
      <sheetName val="Download"/>
      <sheetName val="k100-transferred out"/>
      <sheetName val="Flow"/>
      <sheetName val="杭州华健"/>
      <sheetName val="Expenses"/>
      <sheetName val="C2WB G&amp;A Prepaid &amp; Accrue and G"/>
      <sheetName val="Rate"/>
      <sheetName val="Senior Notes"/>
      <sheetName val="Table b4 Redemp"/>
      <sheetName val="EIR b4 Redemp"/>
      <sheetName val="DEF REV"/>
      <sheetName val="Claims&amp;Dispute"/>
      <sheetName val="IV - Assumptions"/>
      <sheetName val="报表科目明细"/>
      <sheetName val="程序的适用范围"/>
      <sheetName val="U1-OSP-01"/>
      <sheetName val="FDV B45"/>
      <sheetName val="2011.3应付职工薪酬明细账"/>
      <sheetName val="Cellular"/>
      <sheetName val="GLR"/>
      <sheetName val="NER"/>
      <sheetName val="SWBW&amp;PBW"/>
      <sheetName val="INTER-CO"/>
      <sheetName val="A20a"/>
      <sheetName val="______¡¤___¡À¨ª"/>
      <sheetName val="28100-1-1EJE 调整汇总"/>
      <sheetName val="Carver Merger Model"/>
      <sheetName val="Comps"/>
      <sheetName val="sd"/>
      <sheetName val="递延税款Dy"/>
      <sheetName val="未分配利润Dy"/>
      <sheetName val="补贴收入Dy"/>
      <sheetName val="所得税Dy"/>
      <sheetName val="坏账准备_应收账款Dy"/>
      <sheetName val="其他应交款Dy"/>
      <sheetName val="坏账准备_应收账款Mx"/>
      <sheetName val="库存商品余额表.dbf"/>
      <sheetName val=" U140-SalesTOT"/>
      <sheetName val="2.1. Claimed Not Ack as debts"/>
      <sheetName val="2.2. Unitech Contingent"/>
      <sheetName val="7. Pauling Joint Venture"/>
      <sheetName val="31. EPS"/>
      <sheetName val="13. Finance Lease"/>
      <sheetName val="18. Earnings"/>
      <sheetName val="8. Non Provision"/>
      <sheetName val="Hidden Lists"/>
      <sheetName val="Lead Sheets"/>
      <sheetName val="Raw materials"/>
      <sheetName val="NOPAT_VDF"/>
      <sheetName val="Invested capital_VDF"/>
      <sheetName val="DCF_VDF"/>
      <sheetName val="Summary Page_VDF"/>
      <sheetName val="WACC_VDF"/>
      <sheetName val="PV of Op Leases_VDF"/>
      <sheetName val="Income Statement_VDF"/>
      <sheetName val="T1_100Breakdown实收资本"/>
      <sheetName val="G102"/>
      <sheetName val="财务费用"/>
      <sheetName val="明细项目字段"/>
      <sheetName val="报表项目对照"/>
      <sheetName val="泳场明细"/>
      <sheetName val="R.F"/>
      <sheetName val="PriceList"/>
      <sheetName val="SAD Conclusion"/>
      <sheetName val="SA02-03"/>
      <sheetName val="CD FMA"/>
      <sheetName val="FMC"/>
      <sheetName val="Logistic"/>
      <sheetName val="JAC11.30"/>
      <sheetName val="设置"/>
      <sheetName val="Suppliers"/>
      <sheetName val="BOMA"/>
      <sheetName val="BOMA-G&amp;A"/>
      <sheetName val="BOMA-Inventory"/>
      <sheetName val="Supplier"/>
      <sheetName val="TAB CA"/>
      <sheetName val="Antivol D2"/>
      <sheetName val="VA"/>
      <sheetName val="03年待摊费用"/>
      <sheetName val="弘文list"/>
      <sheetName val="MGT ACCT"/>
      <sheetName val="JE - Depn Sept"/>
      <sheetName val="fedcapct2006"/>
      <sheetName val="RefH"/>
      <sheetName val="O_310捐赠明细"/>
      <sheetName val="O_300VAT"/>
      <sheetName val="accudepr1"/>
      <sheetName val="PROFIT &amp; LOSS PLANNING"/>
      <sheetName val="Investment Planning"/>
      <sheetName val="Breakdown of Expenses "/>
      <sheetName val="合并底稿-自营"/>
      <sheetName val="E221"/>
      <sheetName val="MetricsRef"/>
      <sheetName val="Oct Starts Plan"/>
      <sheetName val="Invoice detail"/>
      <sheetName val="Bud (200-OO)"/>
      <sheetName val="Cash_fcst-currrent-inputs"/>
      <sheetName val="K100"/>
      <sheetName val="上月26-15"/>
      <sheetName val="Approved Renov Payment Schedule"/>
      <sheetName val="A310-Ledger Summary"/>
      <sheetName val="A320-ADJ_CLA"/>
      <sheetName val="损益表（按单位)01"/>
      <sheetName val="Land and Building"/>
      <sheetName val="주주명부&lt;끝&gt;"/>
      <sheetName val="START"/>
      <sheetName val="Outsourcing Service-2018"/>
      <sheetName val="Outsourcing Service-2019"/>
      <sheetName val="研发费用by nature"/>
      <sheetName val="上海药明生物"/>
      <sheetName val="5201.2004"/>
      <sheetName val="長投"/>
      <sheetName val="2005 Sales breakdown"/>
      <sheetName val="编辑部03"/>
      <sheetName val="Fundamentals"/>
      <sheetName val="BetaCalcs"/>
      <sheetName val="Sch.1"/>
      <sheetName val="USD Swap Rates"/>
      <sheetName val="存货（替换）"/>
      <sheetName val="2015固定资产清单"/>
      <sheetName val="ASSETMST"/>
      <sheetName val="MAP"/>
      <sheetName val="Sheet7"/>
      <sheetName val="OTHERSUM"/>
      <sheetName val="wrk"/>
      <sheetName val="D3-1"/>
      <sheetName val="竜･高機械"/>
      <sheetName val="FLYLEAF PLANNING"/>
      <sheetName val="OrgList"/>
      <sheetName val="PL1"/>
      <sheetName val="_0101主料"/>
      <sheetName val="_0102中草药"/>
      <sheetName val="_0104燃料"/>
      <sheetName val="_0106备品备件"/>
      <sheetName val="_0109辅料"/>
      <sheetName val="_0110化剂"/>
      <sheetName val="_0206标签"/>
      <sheetName val="_0207纸箱纸盒"/>
      <sheetName val="_0208瓶类"/>
      <sheetName val="_0302办公用品"/>
      <sheetName val="_0303工具"/>
      <sheetName val="_0304玻璃仪器"/>
      <sheetName val="_0399其他"/>
      <sheetName val="_04产成品"/>
      <sheetName val="_05自制半成品"/>
      <sheetName val="_0108劳保"/>
      <sheetName val="_0112气体"/>
      <sheetName val="绛RMB"/>
      <sheetName val="US Codes"/>
      <sheetName val="LIST OF CLIENTS "/>
      <sheetName val="wko_as of 20 Mar-02"/>
      <sheetName val="O- Sumaria"/>
      <sheetName val="J1-1"/>
      <sheetName val="For Ref"/>
      <sheetName val="Costing of D"/>
      <sheetName val="Cost summary"/>
      <sheetName val="Costing of ABC"/>
      <sheetName val="Sundries creditors"/>
      <sheetName val="Advance to staff"/>
      <sheetName val="Hotel"/>
      <sheetName val="HK-GL-AR"/>
      <sheetName val="FS Output 4"/>
      <sheetName val="FS Output 1"/>
      <sheetName val="FS Output 3"/>
      <sheetName val="FS Output2"/>
      <sheetName val="Output &amp; Financial Statements"/>
      <sheetName val="AVP"/>
      <sheetName val="Deal Structure &amp; Control Page"/>
      <sheetName val="Historic Comps"/>
      <sheetName val="Synergies"/>
      <sheetName val="ABB(final)"/>
      <sheetName val="99 Affil Combined"/>
      <sheetName val="毛利率分析表"/>
      <sheetName val="A401_PL"/>
      <sheetName val="Check Mark"/>
      <sheetName val="2002年12月预"/>
      <sheetName val="丹阳绝缘"/>
      <sheetName val="东莞生益"/>
      <sheetName val="河北肃宁"/>
      <sheetName val="湖州锦龙"/>
      <sheetName val="浙华立达"/>
      <sheetName val="南京同德"/>
      <sheetName val="三和国际"/>
      <sheetName val="山东招远"/>
      <sheetName val="上海田村"/>
      <sheetName val="应付工资"/>
      <sheetName val="应付福利费"/>
      <sheetName val="短期借款"/>
      <sheetName val="长期借款"/>
      <sheetName val="TB04"/>
      <sheetName val="C3WB Revenue and Contas a receb"/>
      <sheetName val="C3WD Contas a recebe and Caixa "/>
      <sheetName val="Relationship Analysis(1)"/>
      <sheetName val="35.1租赁明细"/>
      <sheetName val="source-1"/>
      <sheetName val="Bank card list"/>
      <sheetName val="DEFLEET APR-05"/>
      <sheetName val="実績SK"/>
      <sheetName val="U1.2"/>
      <sheetName val="U1.5"/>
      <sheetName val="U1.1"/>
      <sheetName val="U1.3"/>
      <sheetName val="For BLS &amp; TX"/>
      <sheetName val="Q of E-worse"/>
      <sheetName val="Loading List"/>
      <sheetName val="MB51"/>
      <sheetName val="国际店"/>
      <sheetName val="石厦(华沙)"/>
      <sheetName val="福华店"/>
      <sheetName val="民治店"/>
      <sheetName val="国王店"/>
      <sheetName val="华之沙"/>
      <sheetName val="Banner"/>
      <sheetName val="Relationship Analysis"/>
      <sheetName val="C2W Summary(1)"/>
      <sheetName val="3392 Grand Hyatt Denver TB"/>
      <sheetName val="dongia (2)"/>
      <sheetName val="giathanh1"/>
      <sheetName val="THPDMoi  (2)"/>
      <sheetName val="gtrinh"/>
      <sheetName val="phuluc1"/>
      <sheetName val="lam-moi"/>
      <sheetName val="DONGIA"/>
      <sheetName val="thao-go"/>
      <sheetName val="DON GIA"/>
      <sheetName val="TONGKE-HT"/>
      <sheetName val="DG"/>
      <sheetName val="t-h HA THE"/>
      <sheetName val="CHITIET VL-NC-TT -1p"/>
      <sheetName val="TONG HOP VL-NC TT"/>
      <sheetName val="TNHCHINH"/>
      <sheetName val="TH XL"/>
      <sheetName val="TONGKE3p "/>
      <sheetName val="CHITIET VL-NC"/>
      <sheetName val="chitiet"/>
      <sheetName val="VC"/>
      <sheetName val="Tiepdia"/>
      <sheetName val="CHITIET VL-NC-TT-3p"/>
      <sheetName val="TDTKP"/>
      <sheetName val="TDTKP1"/>
      <sheetName val="KPVC-BD "/>
      <sheetName val="VCV-BE-TONG"/>
      <sheetName val="H4000-04披露表(上市)"/>
      <sheetName val="H4000-02审定表"/>
      <sheetName val="JE10310X"/>
      <sheetName val="MUS"/>
      <sheetName val="H4000-05-01披露表(上市)"/>
      <sheetName val="PPE Mov't- HC "/>
      <sheetName val="ROC"/>
      <sheetName val="Asset_Data"/>
      <sheetName val="DATE_Instructions"/>
      <sheetName val="表21 净利润调节表"/>
      <sheetName val="Economic evaluation - FY98 base"/>
      <sheetName val="Code"/>
      <sheetName val="ALL"/>
      <sheetName val="ARP-G201"/>
      <sheetName val="ARP-P201"/>
      <sheetName val="Revenue"/>
      <sheetName val="6-GZ"/>
      <sheetName val="预付款-Supporting（含固定资产）"/>
      <sheetName val="财务费用明细"/>
      <sheetName val="6月账龄"/>
      <sheetName val="一级科目余额表"/>
      <sheetName val="二级科目余额表"/>
      <sheetName val="计提折旧清单"/>
      <sheetName val="减少固定资产清单"/>
      <sheetName val="固定资产增减"/>
      <sheetName val="1-6月收入"/>
      <sheetName val="6月应收账款明细"/>
      <sheetName val="Country Risk"/>
      <sheetName val="Cap Ex actual &amp; forecasted"/>
      <sheetName val="P100-其他应付款"/>
      <sheetName val="Capex"/>
      <sheetName val="P - 导引表"/>
      <sheetName val="P&amp;L Consol"/>
      <sheetName val="tax summary-total"/>
      <sheetName val="DEP SHA-Moyu 2006Mar"/>
      <sheetName val="2008收发存"/>
      <sheetName val="IND."/>
      <sheetName val="WORDTAB"/>
      <sheetName val="Store Lists"/>
      <sheetName val="Jan 2014"/>
      <sheetName val="Oct 2013"/>
      <sheetName val="Nov 2013"/>
      <sheetName val="Dec 2013"/>
      <sheetName val="Feb 2014"/>
      <sheetName val="Mar 2014"/>
      <sheetName val="Apr 2014"/>
      <sheetName val="Sep 2013"/>
      <sheetName val="DataConsol (BSP)"/>
      <sheetName val="04.9.30"/>
      <sheetName val="U102"/>
      <sheetName val="Headcount Reduction"/>
      <sheetName val="1370"/>
      <sheetName val="1380_3YR"/>
      <sheetName val="BPR"/>
      <sheetName val="营业税针对性测试"/>
      <sheetName val="工單差异分攤"/>
      <sheetName val="通用设备折旧复核"/>
      <sheetName val="专用设备折旧复核"/>
      <sheetName val="运输设备折旧复核"/>
      <sheetName val="电子设备折旧复核"/>
      <sheetName val="其他设备折旧"/>
      <sheetName val="F212-监盘样本选择"/>
      <sheetName val="PCJE"/>
      <sheetName val="1月销售"/>
      <sheetName val="1月回款"/>
      <sheetName val="发电量&amp;主营业务收入"/>
      <sheetName val="Raw Data"/>
      <sheetName val="Administration"/>
      <sheetName val="Q110"/>
      <sheetName val="附表"/>
      <sheetName val="SGA"/>
      <sheetName val="Share capital"/>
      <sheetName val="Reserve"/>
      <sheetName val="输血器Breakdown"/>
      <sheetName val="2006 Deferred Tax"/>
      <sheetName val="Validation source"/>
      <sheetName val="B21.1"/>
      <sheetName val="煲"/>
      <sheetName val="Titel"/>
      <sheetName val="BD-breakdown"/>
      <sheetName val="瓶类"/>
      <sheetName val="办公用品"/>
      <sheetName val="备品备件"/>
      <sheetName val="标签"/>
      <sheetName val="玻璃仪器"/>
      <sheetName val="辅料"/>
      <sheetName val="化剂"/>
      <sheetName val="劳保"/>
      <sheetName val="其他材料"/>
      <sheetName val="燃料"/>
      <sheetName val="产成品"/>
      <sheetName val="纸箱纸盒"/>
      <sheetName val="中草药"/>
      <sheetName val="主料"/>
      <sheetName val="自制半成品"/>
      <sheetName val="CE"/>
      <sheetName val="18.J"/>
      <sheetName val="III-1-10"/>
      <sheetName val="III-1-7"/>
      <sheetName val="III-1-9"/>
      <sheetName val="III-1-6"/>
      <sheetName val="III-1-1"/>
      <sheetName val="III-1-8"/>
      <sheetName val="III-1-2-1"/>
      <sheetName val="III-1-5"/>
      <sheetName val="III-1-4"/>
      <sheetName val="国倍率表"/>
      <sheetName val="BOT模型 2011.12.31"/>
      <sheetName val="累计投资明细"/>
      <sheetName val="累计投资Movement"/>
      <sheetName val="PIT"/>
      <sheetName val="明细清单-2016.12.31"/>
      <sheetName val="Output2"/>
      <sheetName val="Module6"/>
      <sheetName val="MainPrintCode"/>
      <sheetName val="Introduction"/>
      <sheetName val="Exch.rate"/>
      <sheetName val="original2"/>
      <sheetName val="材料出库单"/>
      <sheetName val="&lt;8110&gt;"/>
      <sheetName val="A4-2"/>
      <sheetName val="직원별 11월"/>
      <sheetName val="C3WB Ingresos and CXC"/>
      <sheetName val="C3WD CXC and Efectivo"/>
      <sheetName val="Transaction tagging analysis"/>
      <sheetName val="U600-投资收益"/>
      <sheetName val="15"/>
      <sheetName val="U4"/>
      <sheetName val="B5 SUAD"/>
      <sheetName val="AR Breakdown&amp;Aging"/>
      <sheetName val="AP Breakdown &amp; Aging"/>
      <sheetName val="M2.1.1 Leadsheet - ST Loan"/>
      <sheetName val="（1）固定资产情况底稿"/>
      <sheetName val="12201001"/>
      <sheetName val="Deferred Dev Cost"/>
      <sheetName val="下拉框来源"/>
      <sheetName val="TSNO-DC"/>
      <sheetName val="Duration "/>
      <sheetName val=" IncStatementMulti_Accts(1)"/>
      <sheetName val="至爱板块_无小计"/>
      <sheetName val="1002_广州至爱智家"/>
      <sheetName val="数据定义1"/>
      <sheetName val="Review pts"/>
      <sheetName val="Summary-ending bal"/>
      <sheetName val="云达"/>
      <sheetName val="AM"/>
      <sheetName val="ROMI"/>
      <sheetName val="struc_SBU"/>
      <sheetName val="translate"/>
      <sheetName val="日報表"/>
      <sheetName val="Profit and Loss"/>
      <sheetName val="Statement"/>
      <sheetName val="表15"/>
      <sheetName val="试算资产负债表"/>
      <sheetName val="Income Tax Expense"/>
      <sheetName val="Comp Data"/>
      <sheetName val="Reporting"/>
      <sheetName val="FinStats"/>
      <sheetName val="6月"/>
      <sheetName val="Lookups"/>
      <sheetName val="担保"/>
      <sheetName val="exch rates"/>
      <sheetName val="Teste de Adições"/>
      <sheetName val="Peso áreas e CPs"/>
      <sheetName val="Taxas"/>
      <sheetName val="Language"/>
      <sheetName val="BookSchema"/>
      <sheetName val="K1_100Breakdown"/>
      <sheetName val="K1_210新增清单"/>
      <sheetName val="K1_Lead"/>
      <sheetName val="P600"/>
      <sheetName val="USPCL"/>
      <sheetName val="Consumer"/>
      <sheetName val="試 算 表"/>
      <sheetName val="FF_1"/>
      <sheetName val="FF_2"/>
      <sheetName val="会计科目表"/>
      <sheetName val="UFPrn20230620153939"/>
      <sheetName val="Rental Commitment 06.01"/>
      <sheetName val="DateAnalysis Day Lag"/>
      <sheetName val="ActiveRM"/>
      <sheetName val="Factset"/>
      <sheetName val="BS-HK"/>
      <sheetName val="BS&amp;PL- PRC"/>
      <sheetName val="PL-HK"/>
      <sheetName val="ZHF"/>
      <sheetName val="其他应付款4-12月份明细表"/>
      <sheetName val="BKD"/>
      <sheetName val="Turnover analysis"/>
      <sheetName val="Consol A300"/>
      <sheetName val="I1.Lead 长期股权投资"/>
      <sheetName val="I1.CLA"/>
      <sheetName val="Premium Sep 03"/>
      <sheetName val="Premium Dec 03"/>
      <sheetName val="FIAT"/>
      <sheetName val="detailitems_316"/>
      <sheetName val="tax movement"/>
      <sheetName val="Index_Page"/>
      <sheetName val="coststruk"/>
      <sheetName val="PersPlan"/>
      <sheetName val="IB Average"/>
      <sheetName val="IB"/>
      <sheetName val="Int ZFLS"/>
      <sheetName val="WB"/>
      <sheetName val="WoS"/>
      <sheetName val="Inputs"/>
      <sheetName val="标准定义"/>
      <sheetName val="merger"/>
      <sheetName val="Balance-M"/>
      <sheetName val="Level 1-3 Change Overview"/>
      <sheetName val="应收帐款余额表"/>
      <sheetName val="VXX"/>
      <sheetName val="Target"/>
      <sheetName val="Note Lines - Consolidation"/>
      <sheetName val="Journal Entries - EJE"/>
      <sheetName val="Journal Entries - AJE"/>
      <sheetName val="&lt;U-1-2&gt;UGP_Breakdown"/>
      <sheetName val="SAAS_by客户_BKD"/>
      <sheetName val="Leadsheet"/>
      <sheetName val="精准营销_BKD"/>
      <sheetName val="多主体清单"/>
      <sheetName val="INPUT ICO balances"/>
      <sheetName val="INPUT ICO balances currency"/>
      <sheetName val="CON MR2K AL ck"/>
      <sheetName val="②業務ステップ"/>
      <sheetName val="B25-95"/>
      <sheetName val="销售收入预算表"/>
      <sheetName val="1) Customers"/>
      <sheetName val="Consol notes_IFRS"/>
      <sheetName val="K31X"/>
      <sheetName val="促销费内容"/>
      <sheetName val="Config"/>
      <sheetName val="1030002 A"/>
      <sheetName val="1030004 A"/>
      <sheetName val="1030006 A"/>
      <sheetName val="COMMON"/>
      <sheetName val="频度分析"/>
      <sheetName val="FXrates"/>
      <sheetName val="co_code"/>
      <sheetName val="Total Fixed Cost (Detailed)"/>
      <sheetName val="Non-operating Items (Detailed)"/>
      <sheetName val="Sum by Month-5th ver"/>
      <sheetName val="Variable Costs by Cost Ctr"/>
      <sheetName val="VE20"/>
      <sheetName val="GB"/>
      <sheetName val="NE"/>
      <sheetName val="SAP Debt Age"/>
      <sheetName val="SAP Due Age - Insurance"/>
      <sheetName val="MIS1"/>
      <sheetName val="DEC Bank"/>
      <sheetName val="DEC GL"/>
      <sheetName val="底稿0000"/>
      <sheetName val="Prepaid expenses-Wendy"/>
      <sheetName val="Notes receivable"/>
      <sheetName val="M2.1.2 Breakdown - ST Loan草稿"/>
      <sheetName val="HFM P&amp;L"/>
      <sheetName val="Note 3 Other revenue"/>
      <sheetName val="Depreciation Policy"/>
      <sheetName val="Entry"/>
      <sheetName val="14480000"/>
      <sheetName val="Define"/>
      <sheetName val="Jun12 640 BS"/>
      <sheetName val="K(GDH)"/>
      <sheetName val="Finance"/>
      <sheetName val="K5-1"/>
      <sheetName val="-&gt; EDV Budget"/>
      <sheetName val="A股tie数表-1"/>
      <sheetName val="VW_Material_HK"/>
      <sheetName val="K100-在建工程、固定资产、无形资产"/>
      <sheetName val="출금실적"/>
      <sheetName val="A500-Audit adjustment"/>
      <sheetName val="CAL-TB-MFG"/>
      <sheetName val="201109"/>
      <sheetName val="ECON"/>
      <sheetName val="#RIF"/>
      <sheetName val="CALEND"/>
      <sheetName val="geog"/>
      <sheetName val="审定表"/>
      <sheetName val="U200"/>
      <sheetName val="热力系统"/>
      <sheetName val="J301"/>
      <sheetName val="J200"/>
      <sheetName val="General"/>
      <sheetName val="报表层次重要性水平"/>
      <sheetName val="所有者权益(股东权益)变动表(未审)"/>
      <sheetName val="计提准备金明细"/>
      <sheetName val="表六 "/>
      <sheetName val="DataEntry"/>
      <sheetName val="物资采购"/>
      <sheetName val="C3WB Omzet and Debiteuren"/>
      <sheetName val="C3WD Receivables and Cash"/>
      <sheetName val="A5_PRC_20221231"/>
      <sheetName val="Financial Exp."/>
      <sheetName val="JE"/>
      <sheetName val="2月"/>
      <sheetName val="현금흐름표"/>
      <sheetName val="省地市对照表"/>
      <sheetName val="AB"/>
      <sheetName val="K Imobilizado"/>
      <sheetName val="关联方往来"/>
      <sheetName val="Balance #1"/>
      <sheetName val="Inv_days #5"/>
      <sheetName val="Adjust #14"/>
      <sheetName val="FA_Dep #7"/>
      <sheetName val="director"/>
      <sheetName val="process "/>
      <sheetName val="Costs成本"/>
      <sheetName val="Heading"/>
      <sheetName val="Minput"/>
      <sheetName val="Weekly"/>
      <sheetName val="BudMF"/>
      <sheetName val="J300"/>
      <sheetName val="J-310定单"/>
      <sheetName val="AU锦江城市"/>
      <sheetName val="2015"/>
      <sheetName val="A3-100"/>
      <sheetName val="Cashf_ch#6"/>
      <sheetName val="M.I."/>
      <sheetName val="成本匯總表"/>
      <sheetName val="所屬公司"/>
      <sheetName val="制造費用"/>
      <sheetName val="Income Tax"/>
      <sheetName val="P200"/>
      <sheetName val="RA#3"/>
      <sheetName val="AA#7-2023"/>
      <sheetName val="Reconciliation form"/>
      <sheetName val="Final"/>
      <sheetName val="建信置业"/>
      <sheetName val="绍兴信达"/>
      <sheetName val="Bank Table"/>
      <sheetName val="FxdChg"/>
      <sheetName val="RECONCILIATION"/>
      <sheetName val="Others"/>
      <sheetName val="本"/>
      <sheetName val="2005余额表"/>
      <sheetName val="Korrekt_Fin_Debts_InteCo2005"/>
      <sheetName val="日本材發注表"/>
      <sheetName val="Netearnanal"/>
      <sheetName val="JPY_Rates"/>
      <sheetName val="HKD_Rates"/>
      <sheetName val="USD_Rates"/>
      <sheetName val="Transinputs"/>
      <sheetName val="gcl-BS"/>
      <sheetName val="gcl-PL"/>
      <sheetName val="ASS01Assumptions"/>
      <sheetName val="U040_cost明细_CP rental "/>
      <sheetName val="BL Multiples"/>
      <sheetName val="各项收入"/>
      <sheetName val="O1"/>
      <sheetName val="M1"/>
      <sheetName val="H1"/>
      <sheetName val="OI-Fcst"/>
      <sheetName val="Sampling Table"/>
      <sheetName val="Sch11"/>
      <sheetName val="评估结论"/>
      <sheetName val="INSS1"/>
      <sheetName val="Cálculo Detallado"/>
      <sheetName val="Transaction type"/>
      <sheetName val="Movem. in fixed assets - Depr."/>
      <sheetName val="BM"/>
      <sheetName val="PO"/>
      <sheetName val="Records"/>
      <sheetName val="Input A"/>
      <sheetName val="OCT BANK"/>
      <sheetName val="Lockbox"/>
      <sheetName val="Main Menu"/>
      <sheetName val="K100 - Fixed assets"/>
      <sheetName val="VSPA"/>
      <sheetName val="For AFS PRC"/>
      <sheetName val="9100-PO"/>
      <sheetName val="Sch PR-2"/>
      <sheetName val="Sch PR-3"/>
      <sheetName val="Cutoff Analysis(1)"/>
      <sheetName val="import_all"/>
      <sheetName val="2009汉虹设计"/>
      <sheetName val="2009汉虹精密"/>
      <sheetName val="G110"/>
      <sheetName val="Summary P&amp;L"/>
      <sheetName val="Chart Analysis"/>
      <sheetName val="Finished Goods"/>
      <sheetName val="3. P.Y. Min Baseline"/>
      <sheetName val="报表附注"/>
      <sheetName val="Nov Sales"/>
      <sheetName val="Oct Sales"/>
      <sheetName val="FF-3"/>
      <sheetName val="FF-2"/>
      <sheetName val="Trade Spend PSP 3"/>
      <sheetName val="Customer Hierarchy 6"/>
      <sheetName val="Customer Hierarchy 4"/>
      <sheetName val="Process Map"/>
      <sheetName val="浮"/>
      <sheetName val="Changes in customer master file"/>
      <sheetName val="J411"/>
      <sheetName val="Shunde"/>
      <sheetName val="2002年"/>
      <sheetName val="TB2000"/>
      <sheetName val="TB2001"/>
      <sheetName val="利润及利润分配表"/>
      <sheetName val="EAST"/>
      <sheetName val="RGUL"/>
      <sheetName val="P &amp; L"/>
      <sheetName val="Intelenet"/>
      <sheetName val="DEPOSIT-PPYMT"/>
      <sheetName val="C3WB Primary and Secondary"/>
      <sheetName val="C3WD Secondary and Tertiary"/>
      <sheetName val="Asset listing for AUC"/>
      <sheetName val="Ingressados"/>
      <sheetName val="F-C"/>
      <sheetName val="C3W Summary(6)"/>
      <sheetName val="C3WB Primary and Secondary(6)"/>
      <sheetName val="C3WD Secondary and Tertiary(6)"/>
      <sheetName val="C3WD Receivable and Cash"/>
      <sheetName val="历年减少"/>
      <sheetName val="其他应收款(合计)"/>
      <sheetName val="应收票据"/>
      <sheetName val="A100"/>
      <sheetName val="FS item Listing"/>
      <sheetName val="prebdg97"/>
      <sheetName val="premi96"/>
      <sheetName val="detailitems_11"/>
      <sheetName val="detailitems_59"/>
      <sheetName val="detailitems_82"/>
      <sheetName val="ex rate"/>
      <sheetName val="Cashbook"/>
      <sheetName val="水分析"/>
      <sheetName val="wl"/>
      <sheetName val="OP-YZ"/>
      <sheetName val="研发费用222"/>
      <sheetName val="Detail List 2019"/>
      <sheetName val="E Lead"/>
      <sheetName val="Valuation of Investment"/>
      <sheetName val="WIP(08)"/>
      <sheetName val="263-B2 Business Segment BS 2005"/>
      <sheetName val="263-B3 Business Segment BS 2006"/>
      <sheetName val="成本预测"/>
      <sheetName val="销售成本"/>
      <sheetName val="Fin_prefinal"/>
      <sheetName val="help"/>
      <sheetName val="1998"/>
      <sheetName val="I"/>
      <sheetName val="Liquidity Risk"/>
      <sheetName val="Lease Data - LC"/>
      <sheetName val="tax-ss"/>
      <sheetName val="MGM11"/>
      <sheetName val="MGM12"/>
      <sheetName val="MGM1"/>
      <sheetName val="MGM4"/>
      <sheetName val="MGM3"/>
      <sheetName val="sheet6"/>
      <sheetName val="會計科目"/>
      <sheetName val="EXCH"/>
      <sheetName val="AR Data"/>
      <sheetName val="產品名稱"/>
      <sheetName val="銅屑分配表"/>
      <sheetName val="在制品計算表"/>
      <sheetName val="Dept_P&amp;M"/>
      <sheetName val="U600_Lead"/>
      <sheetName val="不重要分部"/>
      <sheetName val="XVIa_i_ _ average price _2_"/>
      <sheetName val="報價"/>
      <sheetName val="98年5月新報價"/>
      <sheetName val="RF-G7"/>
      <sheetName val="Finsum-NAS"/>
      <sheetName val="NAS-BS"/>
      <sheetName val="PROOF"/>
      <sheetName val="Sheet3 (2)"/>
      <sheetName val="A400 (Jun 2015)."/>
      <sheetName val="托售"/>
      <sheetName val="21030511盘点票"/>
      <sheetName val="11月"/>
      <sheetName val="8月"/>
      <sheetName val="ControlItems"/>
      <sheetName val="HAS04RND"/>
      <sheetName val="Performance Summary"/>
      <sheetName val="SPI"/>
      <sheetName val="Requirements"/>
      <sheetName val="Storage"/>
      <sheetName val="97BGT6"/>
      <sheetName val="HIN-BR Detail"/>
      <sheetName val="调整分录"/>
      <sheetName val="Overview"/>
      <sheetName val="1.1 - Summary"/>
      <sheetName val="1.2 - Detailed"/>
      <sheetName val="3.1 - Summary"/>
      <sheetName val="4 - Management fee"/>
      <sheetName val="BT - report"/>
      <sheetName val="1000052"/>
      <sheetName val="PRE0502"/>
      <sheetName val="余额"/>
      <sheetName val="产品销售收入与成本明细表"/>
      <sheetName val="人民币合同模板"/>
      <sheetName val="图表数据源"/>
      <sheetName val="图表"/>
      <sheetName val="运费汇总表"/>
      <sheetName val="额定运力汇总表"/>
      <sheetName val="开单量汇总表"/>
      <sheetName val="货量汇总表"/>
      <sheetName val="FA Breakdown"/>
      <sheetName val="AT"/>
      <sheetName val="check list"/>
      <sheetName val="Disclosure"/>
      <sheetName val="10月20日估值"/>
      <sheetName val="提示表"/>
      <sheetName val="T160_摊余成本"/>
      <sheetName val="Budget Rates"/>
      <sheetName val="l eq"/>
      <sheetName val="交易"/>
      <sheetName val="目标成本"/>
      <sheetName val="辅助计算表"/>
      <sheetName val="通玻"/>
      <sheetName val="11待摊费用"/>
      <sheetName val="CASHFLOW"/>
      <sheetName val="OSP|C_500现金盘点"/>
      <sheetName val="C_102特殊账户程序"/>
      <sheetName val="C_300现金截止性测试"/>
      <sheetName val="Total"/>
      <sheetName val="SalesMYP"/>
      <sheetName val="P2_100_杭州乐刻"/>
      <sheetName val="P2_100_北京乐刻"/>
      <sheetName val="RoXDataTables"/>
      <sheetName val="tb-cy"/>
      <sheetName val="Marco"/>
      <sheetName val="SalaryData"/>
      <sheetName val="有效性"/>
      <sheetName val="合同记录"/>
      <sheetName val="研发费用支出明细表（7-9）月"/>
      <sheetName val="U340-2_研发支出分明细（from 20240630)"/>
      <sheetName val="AR2-F21"/>
      <sheetName val="Appendix - Joao Carlos ar"/>
      <sheetName val="SC Cover"/>
      <sheetName val="QAD-面套库存"/>
      <sheetName val="所得税费用"/>
      <sheetName val="sapactivexlhiddensheet"/>
      <sheetName val="low series"/>
      <sheetName val="中间价"/>
      <sheetName val="U501"/>
      <sheetName val="合并TB"/>
      <sheetName val="Internal"/>
      <sheetName val="P301"/>
      <sheetName val="Bank Recon"/>
      <sheetName val="会计科目(不能修订）"/>
      <sheetName val="CECO"/>
      <sheetName val="FF3"/>
      <sheetName val="PTPL95"/>
      <sheetName val="CuHDG"/>
      <sheetName val="INTELSAT"/>
      <sheetName val="DADOS"/>
      <sheetName val="RIS_TECNICHE"/>
      <sheetName val="integral"/>
      <sheetName val="tabela"/>
      <sheetName val="bal"/>
      <sheetName val="U400_管理费用Breakdown"/>
      <sheetName val="U600_财务费用Breakdown"/>
      <sheetName val="说明"/>
      <sheetName val="零部件"/>
      <sheetName val="西部开发"/>
      <sheetName val="华融致远"/>
      <sheetName val=" 弃"/>
      <sheetName val="103105"/>
      <sheetName val="贷方"/>
      <sheetName val="调整说明"/>
      <sheetName val="BS-PRC GAAP (Consol)"/>
      <sheetName val="A3_Consol"/>
      <sheetName val="212101"/>
      <sheetName val="办事处经费"/>
      <sheetName val="办事处市场部经费"/>
      <sheetName val="营销人员借款"/>
      <sheetName val="离职营销人员借款"/>
      <sheetName val="公司备用金"/>
      <sheetName val="律师"/>
      <sheetName val="Note 27 (O.Income Auditors)"/>
      <sheetName val="Valuation of Inv (Deloitte)"/>
      <sheetName val="CR8-C1"/>
      <sheetName val="Hist_BS"/>
      <sheetName val="Beverage Volume"/>
      <sheetName val="Dep allowance"/>
      <sheetName val="Historical prices"/>
      <sheetName val="Valuation - GSJBW"/>
      <sheetName val="AssBook"/>
      <sheetName val="Ass1"/>
      <sheetName val="ARP_U201"/>
      <sheetName val="2001 based proj"/>
      <sheetName val="1. Exercised"/>
      <sheetName val="TITLE"/>
      <sheetName val="1Cash-Petty"/>
      <sheetName val="FUTURES"/>
      <sheetName val="月损益表"/>
      <sheetName val="ACTUAL_TOTAL"/>
      <sheetName val="Reimbursable"/>
      <sheetName val="평가&amp;선급.미지급"/>
      <sheetName val="은행"/>
      <sheetName val="Audit Results"/>
      <sheetName val="Audit Results Upper Stratum"/>
      <sheetName val="Planning"/>
      <sheetName val="Population Characteristics"/>
      <sheetName val="FX_Assumptions"/>
      <sheetName val="FY99 Volume"/>
      <sheetName val="Co Code Mapping"/>
      <sheetName val="Filter"/>
      <sheetName val="FP"/>
      <sheetName val="Time Dimension Lookup"/>
      <sheetName val="合并单位 (2)"/>
      <sheetName val="合并单位"/>
      <sheetName val="Headcount"/>
      <sheetName val="填表单位及所需资料清单"/>
      <sheetName val="N27-1-短期借款"/>
      <sheetName val="N29-1-预收款及其他应付款项"/>
      <sheetName val="N5b1-其他收入和利得净值"/>
      <sheetName val="ORGANIZACION"/>
      <sheetName val="BVE"/>
      <sheetName val="RESUMEN Vtas-Util Op"/>
      <sheetName val="JW Debt &amp; Interests"/>
      <sheetName val="Detail Test-SH"/>
      <sheetName val="Movement-SH"/>
      <sheetName val="depreciation PIT-SH"/>
      <sheetName val="NAME"/>
      <sheetName val="Curto-Longo(Atual)"/>
      <sheetName val="BS HCX_21"/>
      <sheetName val="A3_合并财务报表"/>
      <sheetName val="Gesamt 13"/>
      <sheetName val="detailitems_183"/>
      <sheetName val="S3 20130930 PRC"/>
      <sheetName val="F"/>
      <sheetName val="LB411"/>
      <sheetName val="增加值汇总"/>
      <sheetName val="LTM"/>
      <sheetName val="固定资产清理"/>
      <sheetName val="Sale breakdown"/>
      <sheetName val="Valid Values"/>
      <sheetName val="降低额统计(会签)"/>
      <sheetName val="1月考勤"/>
      <sheetName val="tot.invest"/>
      <sheetName val="tot.invest&amp;fund raising "/>
      <sheetName val="总成本费用"/>
      <sheetName val="流动资金估算表"/>
      <sheetName val="All Cash Dil"/>
      <sheetName val="Überleitung P Budget"/>
      <sheetName val="CW12毛利分析-产品线"/>
      <sheetName val="Var. in WC main Markets"/>
      <sheetName val="Period Admin"/>
      <sheetName val="Menü"/>
      <sheetName val="新"/>
      <sheetName val="F302"/>
      <sheetName val="F401"/>
      <sheetName val="ZA Home"/>
      <sheetName val="  mis-ple  "/>
      <sheetName val="Coversheet-Quarterly_Report"/>
      <sheetName val="NKCR_comm_scheme"/>
      <sheetName val="NKCR_appliedrates"/>
      <sheetName val="KCR_comm_scheme"/>
      <sheetName val="Settings"/>
      <sheetName val="CONCUR"/>
      <sheetName val="General assumptions"/>
      <sheetName val="A5_合并调整"/>
      <sheetName val="03 P&amp;L by Month"/>
      <sheetName val="2006DEP.sap data"/>
      <sheetName val="Look3"/>
      <sheetName val="Look4"/>
      <sheetName val="Look5"/>
      <sheetName val="BS and PL"/>
      <sheetName val="SAP"/>
      <sheetName val="5570"/>
      <sheetName val="5560"/>
      <sheetName val="PossibleA"/>
      <sheetName val="PossibleB1"/>
      <sheetName val="PossibleB2"/>
      <sheetName val="PossibleC1"/>
      <sheetName val="PossibleC2"/>
      <sheetName val="PossibleD"/>
      <sheetName val="PossibleE"/>
      <sheetName val=" Regional trade sales"/>
      <sheetName val=" Cost of sales"/>
      <sheetName val="存货_生产成本Dy"/>
      <sheetName val="Instr + GQL ORM"/>
      <sheetName val="Contribution"/>
      <sheetName val="KPI"/>
      <sheetName val="Adf par resp"/>
      <sheetName val="consolid soc"/>
      <sheetName val="P2_100Breakdown"/>
      <sheetName val="P2_101薪酬分析"/>
      <sheetName val="PRC GAAP"/>
      <sheetName val="BSDownload"/>
      <sheetName val="PLDownload"/>
      <sheetName val="Dashboard"/>
      <sheetName val="IPE"/>
      <sheetName val="E1_100ARBreakdown"/>
      <sheetName val="Exp type&amp;cost element mapping"/>
      <sheetName val="SUIVI EFFECTIFS"/>
      <sheetName val="EFFECT."/>
      <sheetName val="Tons"/>
      <sheetName val="tit"/>
      <sheetName val="PL by month-EFY"/>
      <sheetName val="直运直汇客户名称"/>
      <sheetName val="产品SAP"/>
      <sheetName val="abcd"/>
      <sheetName val="Vendas Tons"/>
      <sheetName val="C.Estr."/>
      <sheetName val="COSTAB97"/>
      <sheetName val="indice"/>
      <sheetName val="mixprod"/>
      <sheetName val="raf"/>
      <sheetName val="rce"/>
      <sheetName val="CAB"/>
      <sheetName val="TONGKE1P"/>
      <sheetName val="_detailitems_171"/>
      <sheetName val="Adiantamentos"/>
      <sheetName val="95FF_Bal"/>
      <sheetName val=" 1000 - Bank and Cash"/>
      <sheetName val=" 2_76080 - PENSION _ EMPLOYER"/>
      <sheetName val="F600计价测试"/>
      <sheetName val="U1300-1_Test on deferred income"/>
      <sheetName val="Configuration"/>
      <sheetName val="AP Entry"/>
      <sheetName val="附注15-1在建工程有关资料"/>
      <sheetName val="附注20-1借款"/>
      <sheetName val="附注25-应付工资及福利费"/>
      <sheetName val="附注29-应上交应弥补款项表"/>
      <sheetName val="附注37-1产品成本"/>
      <sheetName val="附注48-非货币性交易事项"/>
      <sheetName val="附注49-债务重组事项"/>
      <sheetName val="附注50-担保"/>
      <sheetName val="附注13-2对外投资"/>
      <sheetName val="附注51-对外开证"/>
      <sheetName val="数字视频并帐"/>
      <sheetName val="ESTOQUE TRANSITORIO"/>
      <sheetName val="控制清单"/>
      <sheetName val="Jul HK"/>
      <sheetName val="SUAD"/>
      <sheetName val="moban"/>
      <sheetName val="N101_Comfirmation selection"/>
      <sheetName val="Andy"/>
      <sheetName val="05PLAN VAR"/>
      <sheetName val="一轮日程第一周"/>
      <sheetName val="UFPrn20230109083351"/>
      <sheetName val="E 1.2.1 - RECEBIMENTOS ABR"/>
      <sheetName val="Consolidado"/>
      <sheetName val="A3_康沣上海"/>
      <sheetName val="India April 06"/>
      <sheetName val="Feuil1"/>
      <sheetName val="1.Pgm"/>
      <sheetName val="4) Coat Est for Upper Platform"/>
      <sheetName val="5) Cost Estimation Jacket"/>
      <sheetName val="Properties"/>
      <sheetName val="DLCD"/>
      <sheetName val="14.04.03"/>
      <sheetName val="ortho P1-12"/>
      <sheetName val="Working Capital "/>
      <sheetName val="D1535"/>
      <sheetName val="D1534"/>
      <sheetName val="ERS CWC"/>
      <sheetName val="二级明细"/>
      <sheetName val="其他应收-导出"/>
      <sheetName val="营业外支出"/>
      <sheetName val="PICK to 1022"/>
      <sheetName val="PICK to 1037"/>
      <sheetName val="Markup Table"/>
      <sheetName val="Detail2015"/>
      <sheetName val="Main data"/>
      <sheetName val="Centralisatie"/>
      <sheetName val="Transl"/>
      <sheetName val="Net Trans Sum"/>
      <sheetName val="GSH"/>
      <sheetName val="GSH (2)"/>
      <sheetName val="Dropdown Lists"/>
      <sheetName val="C.1 Reconcile Cost"/>
      <sheetName val="Tax recon. detail"/>
      <sheetName val="FEIT breakdown"/>
      <sheetName val="Matrixes"/>
      <sheetName val="other bonus"/>
      <sheetName val="DLDB10"/>
      <sheetName val="B&amp;S 1999"/>
      <sheetName val="O200_CIT movement"/>
      <sheetName val="Act"/>
      <sheetName val="Customers"/>
      <sheetName val="Payments"/>
      <sheetName val="PSP-Lead-C"/>
      <sheetName val="Struktur"/>
      <sheetName val="对应代码"/>
      <sheetName val="选项-勿动!!！"/>
      <sheetName val="Ku_Wk_Sys"/>
      <sheetName val="Txns"/>
      <sheetName val="Data Source"/>
      <sheetName val="Deferred tax 15100"/>
      <sheetName val="Pur"/>
      <sheetName val="Eco-Fin"/>
      <sheetName val="Consol BS"/>
      <sheetName val="HO &amp; Aust BS"/>
      <sheetName val="7a.Other Inc Exp"/>
      <sheetName val="O500"/>
      <sheetName val="PPL"/>
      <sheetName val="CIE"/>
      <sheetName val="Cash flow(FC)"/>
      <sheetName val="PPL(FC)"/>
      <sheetName val="Group BS '000 MA"/>
      <sheetName val="智行链subcon_BS"/>
      <sheetName val="DCF阳新修改后"/>
      <sheetName val="JV"/>
      <sheetName val="剔除过程-预审"/>
      <sheetName val="2007"/>
      <sheetName val="资产类"/>
      <sheetName val="负债类"/>
      <sheetName val="损益类"/>
      <sheetName val="合同件"/>
      <sheetName val="cutoff04Jan"/>
      <sheetName val="EcoIndic"/>
      <sheetName val="低值品"/>
      <sheetName val="x504明细"/>
      <sheetName val="Sens"/>
      <sheetName val="A3-Conso_2023"/>
      <sheetName val="A3-Conso_2022"/>
      <sheetName val="F19L-T deferred expense"/>
      <sheetName val="F49 RPT transaction"/>
      <sheetName val="基本情况(非输出页）"/>
      <sheetName val="市政表建安"/>
      <sheetName val="BS COA as of 2007-4-10"/>
      <sheetName val="2_应收票据"/>
      <sheetName val="U100"/>
      <sheetName val="自定义"/>
      <sheetName val="consol-费用"/>
      <sheetName val="sysparm"/>
      <sheetName val="长期投资科目余额表"/>
      <sheetName val="长期投资一级余额"/>
      <sheetName val="长期投资二级余额"/>
      <sheetName val="长期投资三级余额"/>
      <sheetName val="长期投资明细帐"/>
      <sheetName val="投资收益明细帐"/>
      <sheetName val="利润分配明细帐"/>
      <sheetName val="2004年度应收账款分析"/>
      <sheetName val="应收账款明细表_内部"/>
      <sheetName val="应收账款明细表_外部"/>
      <sheetName val="应收出口退税mx"/>
      <sheetName val="Amortization Schedules"/>
      <sheetName val="H.Satuan"/>
      <sheetName val="Downside Case Comparison"/>
      <sheetName val="A3-PRC-Reporting"/>
      <sheetName val="O2 Lead "/>
      <sheetName val="Cost Centre Xref"/>
      <sheetName val="待摊费用明细表"/>
      <sheetName val="INDEXES"/>
      <sheetName val="FF-2 (1)"/>
      <sheetName val="Sch 13"/>
      <sheetName val="Mapping table"/>
      <sheetName val="LS"/>
      <sheetName val="Calculo y Asignacion ZAR-TAC"/>
      <sheetName val="fluxo de caixa"/>
      <sheetName val="VC.00销售费用BKD"/>
      <sheetName val="VD.00管理费用BKD"/>
      <sheetName val="Uexp.01 TOD 抽样工具输出-全年"/>
      <sheetName val="Mach &amp; equip"/>
      <sheetName val="ACCT 24050"/>
      <sheetName val="PROVISON"/>
      <sheetName val="IFRS#7-1 stock provision"/>
      <sheetName val="TB-原币"/>
      <sheetName val="填表单位"/>
      <sheetName val="CorpBreak"/>
      <sheetName val="HL"/>
      <sheetName val="7300-10-1内部往来"/>
      <sheetName val="单位名录"/>
      <sheetName val="MTL$-INTER"/>
      <sheetName val="KH-Q1,Q2,01"/>
      <sheetName val="坏账准备_预付账款Dy"/>
      <sheetName val="U900"/>
      <sheetName val="收发存汇总表"/>
      <sheetName val="短期投资股票投资.dbf"/>
      <sheetName val="短期投资国债投资.dbf"/>
      <sheetName val="股票投资收益.dbf"/>
      <sheetName val="其他货币海通.dbf"/>
      <sheetName val="其他货币零领路.dbf"/>
      <sheetName val="投资收益债券.dbf"/>
      <sheetName val="输入上年调整分录"/>
      <sheetName val="应付帐款期后付款"/>
      <sheetName val="FZ-1"/>
      <sheetName val="6126-2"/>
      <sheetName val="Aging"/>
      <sheetName val="CMA_Calculations"/>
      <sheetName val="预算构成"/>
      <sheetName val="K200"/>
      <sheetName val="ExRate"/>
      <sheetName val="Résultats"/>
      <sheetName val="银存A2-1"/>
      <sheetName val="FZ-2"/>
      <sheetName val="FZ-3往来"/>
      <sheetName val="Initial"/>
      <sheetName val="6414-2"/>
      <sheetName val="其他应收款－个人"/>
      <sheetName val="房产税"/>
      <sheetName val="Mon1"/>
      <sheetName val="GAAP adjustment"/>
      <sheetName val="HFM Plant List"/>
      <sheetName val="Phase_II_steel_1000"/>
      <sheetName val="USCV3"/>
      <sheetName val="HH"/>
      <sheetName val="Actual"/>
      <sheetName val="Disclosure Summary"/>
      <sheetName val="372A-1固定资产折旧测算"/>
      <sheetName val="M"/>
      <sheetName val="1-12科目余额表"/>
      <sheetName val="11-12月科目余额表"/>
      <sheetName val="12.31固定资产清单"/>
      <sheetName val="预付11-12"/>
      <sheetName val="在建工程Mx"/>
      <sheetName val="收入分析"/>
      <sheetName val="PBC"/>
      <sheetName val="DatosSwitch"/>
      <sheetName val="DatosFront"/>
      <sheetName val="DatosRear"/>
      <sheetName val="2007年度"/>
      <sheetName val="Significant Processes"/>
      <sheetName val="PublicData"/>
      <sheetName val="Mio_Euro"/>
      <sheetName val="análise"/>
      <sheetName val="Income tax reconciliation"/>
      <sheetName val="5821長投增減變動表"/>
      <sheetName val="5826權益法認列PHI"/>
      <sheetName val="5829PHK股東權益"/>
      <sheetName val="5820查核說明"/>
      <sheetName val="固定資產"/>
      <sheetName val="Com list"/>
      <sheetName val="FNS9697"/>
      <sheetName val="应收账款k"/>
      <sheetName val="T2ItemName"/>
      <sheetName val="T3DepthStuctureName"/>
      <sheetName val="Tax Rate Table"/>
      <sheetName val="Aging analysis"/>
      <sheetName val="Log"/>
      <sheetName val="欧元价格"/>
      <sheetName val="Cost-Bud"/>
      <sheetName val="Turnover-Bud"/>
      <sheetName val="Vol-Bud"/>
      <sheetName val="Amortisation"/>
      <sheetName val="INFO"/>
      <sheetName val="DTA(2012)"/>
      <sheetName val="AR1-F20"/>
      <sheetName val="标本-资产"/>
      <sheetName val="应付职工薪酬Dy"/>
      <sheetName val="累计折旧_2"/>
      <sheetName val="N2.2"/>
      <sheetName val="Índices"/>
      <sheetName val="CP"/>
      <sheetName val="SCG"/>
      <sheetName val="期初B"/>
      <sheetName val="Grid Calc"/>
      <sheetName val="KE30"/>
      <sheetName val="總計(按月份)"/>
      <sheetName val="Help2"/>
      <sheetName val="HELP1"/>
      <sheetName val="Est"/>
      <sheetName val="清单12.31"/>
      <sheetName val="Formules"/>
      <sheetName val="Detail_坏账测算"/>
      <sheetName val="生產明細"/>
      <sheetName val="U210"/>
      <sheetName val="K.03.1 折旧测试"/>
      <sheetName val="PL Duke - June"/>
      <sheetName val="Text"/>
      <sheetName val="Simu &amp; Ass"/>
      <sheetName val="K101_2023"/>
      <sheetName val="For AFS 固定资产2024"/>
      <sheetName val="COA "/>
      <sheetName val="分产品销售收入、成本分析表"/>
      <sheetName val="人民币"/>
      <sheetName val="美元"/>
      <sheetName val="6月收入预测"/>
      <sheetName val="Deferred Tax"/>
      <sheetName val="D-Cons"/>
      <sheetName val="IC"/>
      <sheetName val="WC"/>
      <sheetName val="net debt"/>
      <sheetName val="QoA(report)"/>
      <sheetName val="Financial highlight"/>
      <sheetName val="earn out"/>
      <sheetName val="Foreign Deferred Rollforward"/>
      <sheetName val="1月1"/>
      <sheetName val="ce99"/>
      <sheetName val="E2.1.1-Fat 06.2006"/>
      <sheetName val="08.8"/>
      <sheetName val="Jahresdurchschnittskurse GUV"/>
      <sheetName val="OtherKPI"/>
      <sheetName val="03 Price"/>
      <sheetName val="M1.1"/>
      <sheetName val="選項"/>
      <sheetName val="Step 5a (PO#1)"/>
      <sheetName val="Res.Autor.Motivo"/>
      <sheetName val="Res.Devolv.Motivo"/>
      <sheetName val="摊销表"/>
      <sheetName val="MJE adjustment list"/>
      <sheetName val="SBU Tax Rates"/>
      <sheetName val="G2 Lead"/>
      <sheetName val="O5 Lead"/>
      <sheetName val="O5-4  Lead"/>
      <sheetName val="Ratios"/>
      <sheetName val="RNK_Map"/>
      <sheetName val="Check Sums"/>
      <sheetName val="Watch_List"/>
      <sheetName val="RNK"/>
      <sheetName val="RangeDictionary"/>
      <sheetName val="Sample Layout"/>
      <sheetName val="Style"/>
      <sheetName val="RNK_Value"/>
      <sheetName val="RNK_Master"/>
      <sheetName val="WARNING"/>
      <sheetName val="RNK_PD"/>
      <sheetName val="User_Uni_PD"/>
      <sheetName val="User_Uni"/>
      <sheetName val="User_Uni_Val"/>
      <sheetName val="Master_PD"/>
      <sheetName val="剥离前"/>
      <sheetName val="明细账"/>
      <sheetName val="2"/>
      <sheetName val="UserInput"/>
      <sheetName val="_2590"/>
      <sheetName val="_2642"/>
      <sheetName val="_2647"/>
      <sheetName val="FA ad09-12"/>
      <sheetName val="April"/>
      <sheetName val="Augest"/>
      <sheetName val="Dec"/>
      <sheetName val="Feb"/>
      <sheetName val="July"/>
      <sheetName val="Mar"/>
      <sheetName val="May"/>
      <sheetName val="Nov"/>
      <sheetName val="Oct"/>
      <sheetName val="OH"/>
      <sheetName val="Sep"/>
      <sheetName val="jun94"/>
      <sheetName val="BTS"/>
      <sheetName val="A301-Direct"/>
      <sheetName val="FY03"/>
      <sheetName val="Excess Calc"/>
      <sheetName val="总部帐2"/>
      <sheetName val="新准则TB"/>
      <sheetName val="XpertInt"/>
      <sheetName val="Monthly"/>
      <sheetName val="Tax Computation (1)"/>
      <sheetName val="Depn Allowance (2)"/>
      <sheetName val="(1)Global Properties"/>
      <sheetName val="21710103"/>
      <sheetName val="2171010501"/>
      <sheetName val="2171010502"/>
      <sheetName val="217102"/>
      <sheetName val="TB of Head office"/>
      <sheetName val="Peso"/>
      <sheetName val="MCIT10_Tent"/>
      <sheetName val="Datos Entrada"/>
      <sheetName val="Datos de entrada"/>
      <sheetName val="Common Assumptions"/>
      <sheetName val="Common Size Statements"/>
      <sheetName val="M3.1 Leadsheet_LT Loan"/>
      <sheetName val="Definition"/>
      <sheetName val="Margins"/>
      <sheetName val="E100_医疗板块1231"/>
      <sheetName val="回款日报表（分部门）"/>
      <sheetName val="应收账款账龄分析表（分客户）"/>
      <sheetName val="发货日报表（分部门）"/>
      <sheetName val="发货日报表（分品种）"/>
      <sheetName val="1. Data Entry Sales, AL2"/>
      <sheetName val="Tab"/>
      <sheetName val="0101主料"/>
      <sheetName val="0102中草药"/>
      <sheetName val="0104燃料"/>
      <sheetName val="0106备品备件"/>
      <sheetName val="0109辅料"/>
      <sheetName val="0110化剂"/>
      <sheetName val="0112气体"/>
      <sheetName val="0206标签"/>
      <sheetName val="0207纸箱纸盒"/>
      <sheetName val="0208瓶类"/>
      <sheetName val="0302办公用品"/>
      <sheetName val="0303工具"/>
      <sheetName val="0304玻璃仪器"/>
      <sheetName val="0399其他材料"/>
      <sheetName val="05自制半成品"/>
      <sheetName val="CQFMA"/>
      <sheetName val="OP Assets"/>
      <sheetName val="_102中草药"/>
      <sheetName val="_104燃料"/>
      <sheetName val="_106备品备件"/>
      <sheetName val="_108劳保"/>
      <sheetName val="_109辅料"/>
      <sheetName val="_110化剂"/>
      <sheetName val="_112气体"/>
      <sheetName val="_206标签"/>
      <sheetName val="_207纸箱纸盒"/>
      <sheetName val="_208瓶类"/>
      <sheetName val="_302办公用品"/>
      <sheetName val="_303工具"/>
      <sheetName val="_304玻璃仪器"/>
      <sheetName val="_399其他材料"/>
      <sheetName val="_4产成品"/>
      <sheetName val="_5自制半成品"/>
      <sheetName val="478 - Subledger balance"/>
      <sheetName val="SubAlloc"/>
      <sheetName val="PH_BAL"/>
      <sheetName val="Third party"/>
      <sheetName val="应交税费审定表"/>
      <sheetName val="COO2"/>
      <sheetName val="AcctMgt"/>
      <sheetName val="Creative"/>
      <sheetName val="Hotmedia2"/>
      <sheetName val="m2"/>
      <sheetName val="PR2"/>
      <sheetName val="sales2"/>
      <sheetName val="1_Support"/>
      <sheetName val="Tax computation"/>
      <sheetName val="MetaData"/>
      <sheetName val="GP1 bridge"/>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sheetData sheetId="1318"/>
      <sheetData sheetId="1319"/>
      <sheetData sheetId="1320"/>
      <sheetData sheetId="1321"/>
      <sheetData sheetId="1322"/>
      <sheetData sheetId="1323"/>
      <sheetData sheetId="1324"/>
      <sheetData sheetId="1325"/>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sheetData sheetId="1895"/>
      <sheetData sheetId="1896"/>
      <sheetData sheetId="1897"/>
      <sheetData sheetId="1898"/>
      <sheetData sheetId="1899"/>
      <sheetData sheetId="1900"/>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ow r="2">
          <cell r="I2" t="str">
            <v>Preliminary</v>
          </cell>
        </row>
      </sheetData>
      <sheetData sheetId="2150"/>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sheetData sheetId="2273"/>
      <sheetData sheetId="2274"/>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sheetData sheetId="2534"/>
      <sheetData sheetId="2535"/>
      <sheetData sheetId="2536"/>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x:/r/sites/GCknowledgecenter/Shared%20Documents/%E5%AE%A1%E8%AE%A1%E6%A0%87%E5%87%86%E5%BA%95%E7%A8%BF/%E6%A0%87%E5%87%86%E5%AE%A1%E8%AE%A1%E5%BA%95%E7%A8%BF%E6%A8%A1%E6%9D%BF%E7%AC%AC%E4%BA%94%E7%89%88-%E4%BD%BF%E7%94%A8%E7%89%88/OSP/OSP%20SWP%20%E7%A0%94%E5%8F%91%E8%B4%B9%E7%94%A8%20202YMMDD%20XYZ%E5%85%AC%E5%8F%B8.xlsx?d=w648945e24f054a0b8925dd8ccc54956e&amp;csf=1&amp;web=1&amp;e=bMmdW6" TargetMode="External"/><Relationship Id="rId1" Type="http://schemas.openxmlformats.org/officeDocument/2006/relationships/hyperlink" Target="https://live.atlas.ey.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O51"/>
  <sheetViews>
    <sheetView showGridLines="0" tabSelected="1" zoomScale="70" zoomScaleNormal="70" workbookViewId="0">
      <selection activeCell="B11" sqref="B11"/>
    </sheetView>
  </sheetViews>
  <sheetFormatPr defaultColWidth="10.3984375" defaultRowHeight="12.65" customHeight="1" outlineLevelRow="1"/>
  <cols>
    <col min="1" max="1" width="9.765625E-2" style="430" customWidth="1"/>
    <col min="2" max="2" width="5.69921875" style="214" customWidth="1"/>
    <col min="3" max="3" width="21.09765625" style="431" customWidth="1"/>
    <col min="4" max="4" width="31.3984375" style="214" customWidth="1"/>
    <col min="5" max="5" width="31" style="214" customWidth="1"/>
    <col min="6" max="6" width="15.09765625" style="431" customWidth="1"/>
    <col min="7" max="7" width="17.3984375" style="432" customWidth="1"/>
    <col min="8" max="8" width="52.69921875" style="214" customWidth="1"/>
    <col min="9" max="9" width="16.59765625" style="214" customWidth="1"/>
    <col min="10" max="10" width="32.69921875" style="433" customWidth="1"/>
    <col min="11" max="11" width="27.69921875" style="214" customWidth="1"/>
    <col min="12" max="12" width="30.09765625" style="214" customWidth="1"/>
    <col min="13" max="13" width="20" style="214" customWidth="1"/>
    <col min="14" max="14" width="74.09765625" style="214" customWidth="1"/>
    <col min="15" max="62" width="10.3984375" style="214"/>
    <col min="63" max="63" width="34.8984375" style="214" customWidth="1"/>
    <col min="64" max="65" width="10.3984375" style="214"/>
    <col min="66" max="66" width="42.3984375" style="214" customWidth="1"/>
    <col min="67" max="16384" width="10.3984375" style="214"/>
  </cols>
  <sheetData>
    <row r="1" spans="1:67" ht="12.65" customHeight="1">
      <c r="A1" s="205" t="s">
        <v>2</v>
      </c>
      <c r="J1" s="178"/>
      <c r="BK1" s="546"/>
      <c r="BN1" s="550"/>
      <c r="BO1" s="551"/>
    </row>
    <row r="2" spans="1:67" ht="13.4" customHeight="1">
      <c r="A2" s="205"/>
      <c r="C2" s="434"/>
      <c r="D2" s="435"/>
      <c r="E2" s="435"/>
      <c r="F2" s="435"/>
      <c r="G2" s="436"/>
      <c r="J2" s="178"/>
      <c r="BK2" s="547"/>
      <c r="BN2" s="552"/>
      <c r="BO2" s="551"/>
    </row>
    <row r="3" spans="1:67" ht="13.4" customHeight="1">
      <c r="A3" s="205"/>
      <c r="C3" s="437" t="s">
        <v>3</v>
      </c>
      <c r="D3" s="555" t="s">
        <v>4</v>
      </c>
      <c r="E3" s="438"/>
      <c r="F3" s="432" t="s">
        <v>5</v>
      </c>
      <c r="G3" s="439">
        <f>G5*2</f>
        <v>21000000</v>
      </c>
      <c r="J3" s="178"/>
      <c r="BK3" s="547"/>
      <c r="BN3" s="552"/>
      <c r="BO3" s="551"/>
    </row>
    <row r="4" spans="1:67" ht="13.4" customHeight="1">
      <c r="A4" s="205"/>
      <c r="C4" s="440"/>
      <c r="D4" s="438"/>
      <c r="E4" s="438"/>
      <c r="F4" s="441"/>
      <c r="G4" s="442"/>
      <c r="J4" s="178"/>
      <c r="BK4" s="547"/>
      <c r="BN4" s="552"/>
      <c r="BO4" s="551"/>
    </row>
    <row r="5" spans="1:67" ht="13.4" customHeight="1">
      <c r="A5" s="205"/>
      <c r="C5" s="437" t="s">
        <v>6</v>
      </c>
      <c r="D5" s="443">
        <v>45657</v>
      </c>
      <c r="E5" s="438"/>
      <c r="F5" s="444" t="s">
        <v>7</v>
      </c>
      <c r="G5" s="439">
        <v>10500000</v>
      </c>
      <c r="BK5" s="548"/>
      <c r="BN5" s="553"/>
      <c r="BO5" s="551"/>
    </row>
    <row r="6" spans="1:67" ht="13.4" customHeight="1">
      <c r="A6" s="205"/>
      <c r="C6" s="440"/>
      <c r="D6" s="445"/>
      <c r="E6" s="438"/>
      <c r="F6" s="441"/>
      <c r="G6" s="442"/>
      <c r="BK6" s="548"/>
      <c r="BN6" s="553"/>
      <c r="BO6" s="551"/>
    </row>
    <row r="7" spans="1:67" ht="13.4" customHeight="1">
      <c r="A7" s="205"/>
      <c r="C7" s="437" t="s">
        <v>8</v>
      </c>
      <c r="D7" s="443" t="s">
        <v>9</v>
      </c>
      <c r="E7" s="438"/>
      <c r="F7" s="432" t="s">
        <v>10</v>
      </c>
      <c r="G7" s="439">
        <v>1050000</v>
      </c>
      <c r="BK7" s="548"/>
      <c r="BN7" s="553"/>
      <c r="BO7" s="551"/>
    </row>
    <row r="8" spans="1:67" ht="13.4" customHeight="1">
      <c r="A8" s="205"/>
      <c r="C8" s="440"/>
      <c r="D8" s="438"/>
      <c r="E8" s="438"/>
      <c r="F8" s="438"/>
      <c r="G8" s="442"/>
      <c r="BK8" s="549"/>
      <c r="BN8" s="552"/>
      <c r="BO8" s="551"/>
    </row>
    <row r="9" spans="1:67" ht="13.4" customHeight="1">
      <c r="A9" s="205"/>
      <c r="C9" s="437" t="s">
        <v>11</v>
      </c>
      <c r="D9" s="555" t="s">
        <v>12</v>
      </c>
      <c r="E9" s="438"/>
      <c r="F9" s="446"/>
      <c r="G9" s="447"/>
      <c r="BK9" s="547"/>
      <c r="BN9" s="552"/>
      <c r="BO9" s="551"/>
    </row>
    <row r="10" spans="1:67" ht="13.4" customHeight="1">
      <c r="A10" s="205"/>
      <c r="C10" s="448"/>
      <c r="D10" s="449"/>
      <c r="E10" s="449"/>
      <c r="F10" s="449"/>
      <c r="G10" s="450"/>
      <c r="BK10" s="549"/>
      <c r="BN10" s="552"/>
      <c r="BO10" s="551"/>
    </row>
    <row r="11" spans="1:67" s="427" customFormat="1" ht="12.65" customHeight="1">
      <c r="A11" s="451"/>
      <c r="C11" s="452"/>
      <c r="F11" s="452"/>
      <c r="G11" s="444"/>
      <c r="J11" s="530"/>
      <c r="BM11" s="214"/>
    </row>
    <row r="12" spans="1:67" s="427" customFormat="1" ht="12.65" hidden="1" customHeight="1" outlineLevel="1">
      <c r="A12" s="451"/>
      <c r="C12" s="453" t="s">
        <v>13</v>
      </c>
      <c r="D12" s="454" t="s">
        <v>14</v>
      </c>
      <c r="F12" s="452"/>
      <c r="G12" s="444"/>
      <c r="J12" s="530"/>
      <c r="BM12" s="214"/>
    </row>
    <row r="13" spans="1:67" s="427" customFormat="1" ht="12.65" hidden="1" customHeight="1" outlineLevel="1">
      <c r="A13" s="451"/>
      <c r="C13" s="455" t="s">
        <v>15</v>
      </c>
      <c r="D13" s="456">
        <v>0.1</v>
      </c>
      <c r="F13" s="452"/>
      <c r="G13" s="444"/>
      <c r="J13" s="530"/>
      <c r="BM13" s="214"/>
    </row>
    <row r="14" spans="1:67" s="427" customFormat="1" ht="12.65" hidden="1" customHeight="1" outlineLevel="1">
      <c r="A14" s="451"/>
      <c r="C14" s="455" t="s">
        <v>16</v>
      </c>
      <c r="D14" s="456">
        <v>0.15</v>
      </c>
      <c r="F14" s="452"/>
      <c r="G14" s="444"/>
      <c r="J14" s="530"/>
      <c r="BM14" s="214"/>
    </row>
    <row r="15" spans="1:67" s="427" customFormat="1" ht="12.65" hidden="1" customHeight="1" outlineLevel="1">
      <c r="A15" s="451"/>
      <c r="C15" s="455" t="s">
        <v>17</v>
      </c>
      <c r="D15" s="456">
        <v>0.25</v>
      </c>
      <c r="F15" s="452"/>
      <c r="G15" s="444"/>
      <c r="J15" s="530"/>
      <c r="BM15" s="214"/>
    </row>
    <row r="16" spans="1:67" s="427" customFormat="1" ht="12.65" hidden="1" customHeight="1" outlineLevel="1">
      <c r="A16" s="451"/>
      <c r="C16" s="455" t="s">
        <v>18</v>
      </c>
      <c r="D16" s="456">
        <v>0.5</v>
      </c>
      <c r="F16" s="452"/>
      <c r="G16" s="444"/>
      <c r="J16" s="530"/>
      <c r="BM16" s="214"/>
    </row>
    <row r="17" spans="1:65" s="427" customFormat="1" ht="12.65" hidden="1" customHeight="1" outlineLevel="1">
      <c r="A17" s="451"/>
      <c r="C17" s="457" t="s">
        <v>19</v>
      </c>
      <c r="D17" s="458"/>
      <c r="F17" s="452"/>
      <c r="G17" s="444"/>
      <c r="J17" s="530"/>
      <c r="BM17" s="214"/>
    </row>
    <row r="18" spans="1:65" s="427" customFormat="1" ht="12.65" hidden="1" customHeight="1" outlineLevel="1">
      <c r="A18" s="451"/>
      <c r="C18" s="459" t="s">
        <v>20</v>
      </c>
      <c r="D18" s="188"/>
      <c r="F18" s="452"/>
      <c r="G18" s="444"/>
      <c r="J18" s="530"/>
      <c r="BM18" s="214"/>
    </row>
    <row r="19" spans="1:65" s="427" customFormat="1" ht="12.65" customHeight="1" collapsed="1">
      <c r="A19" s="451"/>
      <c r="C19" s="452"/>
      <c r="F19" s="452"/>
      <c r="G19" s="444"/>
      <c r="J19" s="530"/>
      <c r="BM19" s="214"/>
    </row>
    <row r="20" spans="1:65" s="188" customFormat="1" ht="14.5">
      <c r="A20" s="205"/>
      <c r="B20" s="460"/>
      <c r="C20" s="461" t="s">
        <v>21</v>
      </c>
      <c r="D20" s="462" t="s">
        <v>13</v>
      </c>
      <c r="E20" s="462" t="s">
        <v>22</v>
      </c>
      <c r="F20" s="454" t="s">
        <v>23</v>
      </c>
      <c r="G20" s="463"/>
      <c r="L20" s="288"/>
      <c r="M20" s="288"/>
      <c r="N20" s="288"/>
      <c r="O20" s="288"/>
      <c r="P20" s="288"/>
      <c r="Q20" s="325"/>
    </row>
    <row r="21" spans="1:65" s="188" customFormat="1" ht="16.5" customHeight="1">
      <c r="A21" s="205"/>
      <c r="B21" s="464" t="s">
        <v>15</v>
      </c>
      <c r="C21" s="465" t="s">
        <v>24</v>
      </c>
      <c r="D21" s="466" t="s">
        <v>18</v>
      </c>
      <c r="E21" s="467">
        <f>IFERROR(VLOOKUP(D21,$C$13:$D$16,2,FALSE)*$G$5,"-")</f>
        <v>5250000</v>
      </c>
      <c r="F21" s="468">
        <f>MIN($E$21:$E$24)</f>
        <v>5250000</v>
      </c>
      <c r="G21" s="565"/>
      <c r="L21" s="288"/>
      <c r="M21" s="288"/>
      <c r="N21" s="288"/>
      <c r="O21" s="288"/>
      <c r="P21" s="288"/>
      <c r="Q21" s="325"/>
    </row>
    <row r="22" spans="1:65" s="188" customFormat="1" ht="16.5" customHeight="1">
      <c r="A22" s="205"/>
      <c r="B22" s="464" t="s">
        <v>16</v>
      </c>
      <c r="C22" s="465" t="s">
        <v>25</v>
      </c>
      <c r="D22" s="466" t="s">
        <v>18</v>
      </c>
      <c r="E22" s="467">
        <f>IFERROR(VLOOKUP(D22,$C$13:$D$16,2,FALSE)*$G$5,"-")</f>
        <v>5250000</v>
      </c>
      <c r="F22" s="469"/>
      <c r="G22" s="463"/>
      <c r="L22" s="288"/>
      <c r="M22" s="288"/>
      <c r="N22" s="288"/>
      <c r="O22" s="288"/>
      <c r="P22" s="288"/>
      <c r="Q22" s="325"/>
    </row>
    <row r="23" spans="1:65" s="188" customFormat="1" ht="16.5" customHeight="1">
      <c r="A23" s="205"/>
      <c r="B23" s="464" t="s">
        <v>17</v>
      </c>
      <c r="C23" s="465" t="s">
        <v>26</v>
      </c>
      <c r="D23" s="466" t="s">
        <v>18</v>
      </c>
      <c r="E23" s="467">
        <f>IFERROR(VLOOKUP(D23,$C$13:$D$16,2,FALSE)*$G$5,"-")</f>
        <v>5250000</v>
      </c>
      <c r="F23" s="469"/>
      <c r="G23" s="463"/>
      <c r="L23" s="288"/>
      <c r="M23" s="288"/>
      <c r="N23" s="288"/>
      <c r="O23" s="288"/>
      <c r="P23" s="288"/>
      <c r="Q23" s="325"/>
    </row>
    <row r="24" spans="1:65" s="188" customFormat="1" ht="16.5" customHeight="1">
      <c r="A24" s="205"/>
      <c r="B24" s="464" t="s">
        <v>18</v>
      </c>
      <c r="C24" s="470" t="s">
        <v>27</v>
      </c>
      <c r="D24" s="471" t="s">
        <v>18</v>
      </c>
      <c r="E24" s="472">
        <f>IFERROR(VLOOKUP(D24,$C$13:$D$16,2,FALSE)*$G$5,"-")</f>
        <v>5250000</v>
      </c>
      <c r="F24" s="473"/>
      <c r="G24" s="463"/>
      <c r="L24" s="288"/>
      <c r="M24" s="288"/>
      <c r="N24" s="288"/>
      <c r="O24" s="288"/>
      <c r="P24" s="288"/>
      <c r="Q24" s="325"/>
    </row>
    <row r="25" spans="1:65" s="188" customFormat="1" ht="16.5" customHeight="1">
      <c r="A25" s="205"/>
      <c r="B25" s="464" t="s">
        <v>19</v>
      </c>
      <c r="C25" s="474" t="s">
        <v>28</v>
      </c>
      <c r="D25" s="475"/>
      <c r="E25" s="476"/>
      <c r="F25" s="477"/>
      <c r="G25" s="463"/>
      <c r="L25" s="288"/>
      <c r="M25" s="288"/>
      <c r="N25" s="288"/>
      <c r="O25" s="288"/>
      <c r="P25" s="288"/>
      <c r="Q25" s="325"/>
    </row>
    <row r="26" spans="1:65" s="188" customFormat="1" ht="16.5" customHeight="1">
      <c r="A26" s="205"/>
      <c r="B26" s="464"/>
      <c r="C26" s="459"/>
      <c r="D26" s="478"/>
      <c r="E26" s="476"/>
      <c r="F26" s="477"/>
      <c r="G26" s="463"/>
      <c r="L26" s="288"/>
      <c r="M26" s="288"/>
      <c r="N26" s="288"/>
      <c r="O26" s="288"/>
      <c r="P26" s="288"/>
      <c r="Q26" s="325"/>
    </row>
    <row r="27" spans="1:65" ht="19.5" customHeight="1">
      <c r="A27" s="205"/>
      <c r="C27" s="479" t="s">
        <v>29</v>
      </c>
      <c r="E27" s="480" t="s">
        <v>30</v>
      </c>
      <c r="N27" s="428"/>
      <c r="O27" s="428"/>
      <c r="P27" s="428"/>
    </row>
    <row r="28" spans="1:65" ht="11.5" customHeight="1">
      <c r="A28" s="205"/>
      <c r="C28" s="479"/>
      <c r="N28" s="428"/>
      <c r="O28" s="428"/>
      <c r="P28" s="428"/>
    </row>
    <row r="29" spans="1:65" s="428" customFormat="1" ht="29">
      <c r="A29" s="481" t="s">
        <v>31</v>
      </c>
      <c r="C29" s="482" t="s">
        <v>32</v>
      </c>
      <c r="D29" s="483" t="s">
        <v>33</v>
      </c>
      <c r="E29" s="483" t="s">
        <v>34</v>
      </c>
      <c r="F29" s="483" t="s">
        <v>35</v>
      </c>
      <c r="G29" s="483" t="s">
        <v>21</v>
      </c>
      <c r="H29" s="483" t="s">
        <v>36</v>
      </c>
      <c r="I29" s="483" t="s">
        <v>37</v>
      </c>
      <c r="J29" s="483" t="s">
        <v>38</v>
      </c>
      <c r="K29" s="531" t="s">
        <v>39</v>
      </c>
      <c r="L29" s="532"/>
      <c r="M29" s="532"/>
      <c r="N29" s="532"/>
    </row>
    <row r="30" spans="1:65" s="188" customFormat="1" ht="58">
      <c r="A30" s="484"/>
      <c r="C30" s="485">
        <v>1</v>
      </c>
      <c r="D30" s="486" t="s">
        <v>40</v>
      </c>
      <c r="E30" s="486" t="s">
        <v>41</v>
      </c>
      <c r="F30" s="487" t="s">
        <v>42</v>
      </c>
      <c r="G30" s="488" t="s">
        <v>43</v>
      </c>
      <c r="H30" s="489" t="s">
        <v>44</v>
      </c>
      <c r="I30" s="533" t="s">
        <v>45</v>
      </c>
      <c r="J30" s="534" t="s">
        <v>0</v>
      </c>
      <c r="K30" s="535"/>
      <c r="L30" s="214"/>
      <c r="M30" s="214"/>
      <c r="N30" s="214"/>
      <c r="O30" s="428"/>
      <c r="P30" s="428"/>
      <c r="Q30" s="428"/>
      <c r="R30" s="214"/>
    </row>
    <row r="31" spans="1:65" s="188" customFormat="1" ht="118" customHeight="1">
      <c r="A31" s="484"/>
      <c r="C31" s="485">
        <v>2</v>
      </c>
      <c r="D31" s="486" t="s">
        <v>46</v>
      </c>
      <c r="E31" s="490" t="s">
        <v>47</v>
      </c>
      <c r="F31" s="487" t="s">
        <v>42</v>
      </c>
      <c r="G31" s="488" t="s">
        <v>43</v>
      </c>
      <c r="H31" s="491" t="s">
        <v>48</v>
      </c>
      <c r="I31" s="533" t="s">
        <v>45</v>
      </c>
      <c r="J31" s="534" t="s">
        <v>1</v>
      </c>
      <c r="K31" s="536"/>
    </row>
    <row r="32" spans="1:65" ht="46.75" customHeight="1">
      <c r="A32" s="484"/>
      <c r="C32" s="485">
        <v>3</v>
      </c>
      <c r="D32" s="492" t="s">
        <v>49</v>
      </c>
      <c r="E32" s="493" t="s">
        <v>50</v>
      </c>
      <c r="F32" s="487" t="s">
        <v>42</v>
      </c>
      <c r="G32" s="490" t="s">
        <v>43</v>
      </c>
      <c r="H32" s="493" t="s">
        <v>51</v>
      </c>
      <c r="I32" s="533" t="s">
        <v>45</v>
      </c>
      <c r="J32" s="537" t="s">
        <v>52</v>
      </c>
      <c r="K32" s="538"/>
    </row>
    <row r="33" spans="1:11" s="188" customFormat="1" ht="14.5">
      <c r="A33" s="484"/>
      <c r="C33" s="494">
        <v>16</v>
      </c>
      <c r="D33" s="495" t="s">
        <v>53</v>
      </c>
      <c r="E33" s="496" t="s">
        <v>54</v>
      </c>
      <c r="F33" s="497" t="s">
        <v>42</v>
      </c>
      <c r="G33" s="498" t="s">
        <v>55</v>
      </c>
      <c r="H33" s="499" t="s">
        <v>56</v>
      </c>
      <c r="I33" s="539" t="s">
        <v>45</v>
      </c>
      <c r="J33" s="540" t="s">
        <v>57</v>
      </c>
      <c r="K33" s="541"/>
    </row>
    <row r="34" spans="1:11" ht="14.5">
      <c r="A34" s="205"/>
      <c r="C34" s="452"/>
      <c r="D34" s="427"/>
      <c r="E34" s="427"/>
      <c r="F34" s="452"/>
      <c r="G34" s="444"/>
      <c r="H34" s="427"/>
      <c r="I34" s="452"/>
      <c r="J34" s="427"/>
      <c r="K34" s="427"/>
    </row>
    <row r="35" spans="1:11" ht="14.5">
      <c r="A35" s="484"/>
      <c r="C35" s="500" t="s">
        <v>58</v>
      </c>
      <c r="D35" s="501"/>
      <c r="E35" s="502"/>
      <c r="F35" s="503"/>
      <c r="G35" s="504"/>
      <c r="H35" s="504"/>
      <c r="I35" s="542"/>
      <c r="J35" s="542"/>
      <c r="K35" s="543"/>
    </row>
    <row r="36" spans="1:11" ht="43.5">
      <c r="A36" s="484" t="s">
        <v>59</v>
      </c>
      <c r="C36" s="505">
        <v>18</v>
      </c>
      <c r="D36" s="585" t="s">
        <v>60</v>
      </c>
      <c r="E36" s="586"/>
      <c r="F36" s="506"/>
      <c r="G36" s="507"/>
      <c r="H36" s="508" t="s">
        <v>61</v>
      </c>
      <c r="I36" s="544" t="s">
        <v>45</v>
      </c>
      <c r="J36" s="554" t="s">
        <v>62</v>
      </c>
      <c r="K36" s="545"/>
    </row>
    <row r="37" spans="1:11" ht="15.75" customHeight="1">
      <c r="A37" s="484"/>
    </row>
    <row r="38" spans="1:11" ht="18.75" customHeight="1">
      <c r="A38" s="205"/>
      <c r="C38" s="509" t="s">
        <v>63</v>
      </c>
      <c r="D38" s="510"/>
      <c r="E38" s="511"/>
      <c r="F38" s="510"/>
      <c r="G38" s="512"/>
    </row>
    <row r="39" spans="1:11" s="429" customFormat="1" ht="14.5">
      <c r="A39" s="513"/>
      <c r="C39" s="514" t="s">
        <v>64</v>
      </c>
      <c r="D39" s="515"/>
      <c r="E39" s="516"/>
      <c r="F39" s="515"/>
      <c r="G39" s="517"/>
    </row>
    <row r="40" spans="1:11" ht="14.25" customHeight="1">
      <c r="A40" s="451"/>
    </row>
    <row r="41" spans="1:11" ht="12.65" customHeight="1">
      <c r="A41" s="205"/>
      <c r="C41" s="518" t="s">
        <v>65</v>
      </c>
      <c r="D41" s="519"/>
    </row>
    <row r="42" spans="1:11" ht="43.5" customHeight="1">
      <c r="A42" s="205"/>
      <c r="C42" s="520" t="s">
        <v>66</v>
      </c>
      <c r="D42" s="521" t="s">
        <v>67</v>
      </c>
    </row>
    <row r="43" spans="1:11" ht="12.65" customHeight="1">
      <c r="A43" s="205"/>
      <c r="C43" s="522" t="s">
        <v>68</v>
      </c>
      <c r="D43" s="523" t="s">
        <v>69</v>
      </c>
    </row>
    <row r="44" spans="1:11" ht="12.65" customHeight="1">
      <c r="A44" s="484"/>
      <c r="C44" s="522" t="s">
        <v>70</v>
      </c>
      <c r="D44" s="523" t="s">
        <v>71</v>
      </c>
    </row>
    <row r="45" spans="1:11" ht="12.65" customHeight="1">
      <c r="A45" s="484"/>
      <c r="C45" s="522" t="s">
        <v>72</v>
      </c>
      <c r="D45" s="523" t="s">
        <v>73</v>
      </c>
    </row>
    <row r="46" spans="1:11" ht="12.65" customHeight="1">
      <c r="A46" s="484"/>
      <c r="C46" s="522" t="s">
        <v>74</v>
      </c>
      <c r="D46" s="524" t="s">
        <v>75</v>
      </c>
    </row>
    <row r="47" spans="1:11" ht="27.65" customHeight="1">
      <c r="A47" s="484"/>
      <c r="C47" s="525" t="s">
        <v>76</v>
      </c>
      <c r="D47" s="526" t="s">
        <v>77</v>
      </c>
    </row>
    <row r="48" spans="1:11" ht="12.65" customHeight="1">
      <c r="A48" s="484"/>
      <c r="C48" s="522" t="s">
        <v>78</v>
      </c>
      <c r="D48" s="523" t="s">
        <v>79</v>
      </c>
    </row>
    <row r="49" spans="1:4" ht="29.15" customHeight="1">
      <c r="A49" s="484"/>
      <c r="C49" s="525" t="s">
        <v>80</v>
      </c>
      <c r="D49" s="527" t="s">
        <v>81</v>
      </c>
    </row>
    <row r="50" spans="1:4" ht="12.65" customHeight="1">
      <c r="A50" s="484"/>
      <c r="C50" s="528" t="s">
        <v>82</v>
      </c>
      <c r="D50" s="529" t="s">
        <v>83</v>
      </c>
    </row>
    <row r="51" spans="1:4" ht="12.65" customHeight="1">
      <c r="A51" s="484"/>
    </row>
  </sheetData>
  <mergeCells count="1">
    <mergeCell ref="D36:E36"/>
  </mergeCells>
  <phoneticPr fontId="130" type="noConversion"/>
  <conditionalFormatting sqref="D3 G3 G5 D7 G7 D9 D21:D24 I30:I33 I36:J36">
    <cfRule type="containsBlanks" dxfId="7" priority="2">
      <formula>LEN(TRIM(D3))=0</formula>
    </cfRule>
  </conditionalFormatting>
  <conditionalFormatting sqref="D5">
    <cfRule type="containsBlanks" dxfId="6" priority="1">
      <formula>LEN(TRIM(D5))=0</formula>
    </cfRule>
  </conditionalFormatting>
  <conditionalFormatting sqref="K30:K31 K33 K36">
    <cfRule type="expression" dxfId="5" priority="108">
      <formula>SUMPRODUCT((I30="No")*(LEN(K30)=0))</formula>
    </cfRule>
  </conditionalFormatting>
  <dataValidations count="2">
    <dataValidation type="list" allowBlank="1" showInputMessage="1" showErrorMessage="1" sqref="I36 I30:I33" xr:uid="{00000000-0002-0000-0000-000000000000}">
      <formula1>" ,Yes, No"</formula1>
    </dataValidation>
    <dataValidation type="list" allowBlank="1" showInputMessage="1" showErrorMessage="1" sqref="D21:D25" xr:uid="{00000000-0002-0000-0000-000001000000}">
      <formula1>$C$13:$C$17</formula1>
    </dataValidation>
  </dataValidations>
  <hyperlinks>
    <hyperlink ref="J30" location="Uexp_Lead!A1" display="Uexp_Lead" xr:uid="{00000000-0004-0000-0000-000000000000}"/>
    <hyperlink ref="J33" location="Uexp_Cutoff!A1" display="Uexp_Cutoff" xr:uid="{00000000-0004-0000-0000-000001000000}"/>
    <hyperlink ref="H36" r:id="rId1" location="document/589804/pid88119662-589804?pref=20014/4/30&amp;crumb=8/1724596/553542" xr:uid="{00000000-0004-0000-0000-000002000000}"/>
    <hyperlink ref="J31" location="Uexp财务费用BKD!A1" display="Uexp财务费用BKD" xr:uid="{00000000-0004-0000-0000-000003000000}"/>
    <hyperlink ref="J32" location="Uexp利息测试!A1" display="Uexp利息测试" xr:uid="{00000000-0004-0000-0000-000004000000}"/>
    <hyperlink ref="E27" r:id="rId2" xr:uid="{00000000-0004-0000-0000-000005000000}"/>
  </hyperlinks>
  <pageMargins left="0.7" right="0.7" top="0.75" bottom="0.75" header="0.3" footer="0.3"/>
  <pageSetup paperSize="9"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34"/>
  <sheetViews>
    <sheetView showGridLines="0" topLeftCell="A19" zoomScale="70" zoomScaleNormal="70" workbookViewId="0">
      <selection activeCell="C25" sqref="C25"/>
    </sheetView>
  </sheetViews>
  <sheetFormatPr defaultColWidth="8.8984375" defaultRowHeight="12.75" customHeight="1" outlineLevelRow="1"/>
  <cols>
    <col min="1" max="1" width="9.765625E-2" style="268" customWidth="1"/>
    <col min="2" max="2" width="5.59765625" style="2" customWidth="1"/>
    <col min="3" max="3" width="21.296875" style="2" customWidth="1"/>
    <col min="4" max="4" width="33.3984375" style="2" customWidth="1"/>
    <col min="5" max="5" width="19.3984375" style="2" customWidth="1"/>
    <col min="6" max="7" width="18.8984375" style="2" customWidth="1"/>
    <col min="8" max="8" width="17.09765625" style="2" customWidth="1"/>
    <col min="9" max="9" width="18.8984375" style="2" customWidth="1"/>
    <col min="10" max="10" width="25.8984375" style="2" customWidth="1"/>
    <col min="11" max="11" width="17.69921875" style="2" customWidth="1"/>
    <col min="12" max="12" width="18.8984375" style="2" customWidth="1"/>
    <col min="13" max="14" width="15.59765625" style="2" customWidth="1"/>
    <col min="15" max="15" width="17.296875" style="2" customWidth="1"/>
    <col min="16" max="16" width="1.8984375" style="2" customWidth="1"/>
    <col min="17" max="18" width="7.69921875" style="2" customWidth="1"/>
    <col min="19" max="19" width="15.296875" style="2" customWidth="1"/>
    <col min="20" max="20" width="1.296875" style="2" customWidth="1"/>
    <col min="21" max="21" width="18.3984375" style="2" customWidth="1"/>
    <col min="22" max="22" width="13.296875" style="2" customWidth="1"/>
    <col min="23" max="24" width="16.8984375" style="2" customWidth="1"/>
    <col min="25" max="16384" width="8.8984375" style="2"/>
  </cols>
  <sheetData>
    <row r="1" spans="1:17" ht="12.65" customHeight="1">
      <c r="A1" s="6" t="s">
        <v>84</v>
      </c>
      <c r="C1" s="7"/>
    </row>
    <row r="2" spans="1:17" ht="14.5">
      <c r="A2" s="6"/>
      <c r="C2" s="49"/>
      <c r="D2" s="49"/>
      <c r="J2" s="50" t="s">
        <v>85</v>
      </c>
    </row>
    <row r="3" spans="1:17" ht="14.5">
      <c r="A3" s="6"/>
      <c r="C3" s="49"/>
      <c r="D3" s="49"/>
    </row>
    <row r="4" spans="1:17" ht="20">
      <c r="A4" s="6"/>
      <c r="C4" s="372" t="s">
        <v>86</v>
      </c>
      <c r="D4" s="373"/>
      <c r="E4" s="373"/>
      <c r="F4" s="373"/>
      <c r="G4" s="373"/>
      <c r="H4" s="373"/>
      <c r="I4" s="373"/>
      <c r="J4" s="410"/>
    </row>
    <row r="5" spans="1:17" ht="19">
      <c r="A5" s="6"/>
      <c r="C5" s="11" t="s">
        <v>87</v>
      </c>
      <c r="D5" s="374"/>
      <c r="E5" s="374"/>
      <c r="F5" s="374"/>
      <c r="G5" s="374"/>
      <c r="H5" s="374"/>
      <c r="I5" s="374"/>
      <c r="J5" s="411"/>
    </row>
    <row r="6" spans="1:17" ht="12.75" customHeight="1">
      <c r="A6" s="6"/>
      <c r="C6" s="11"/>
      <c r="D6" s="374"/>
      <c r="E6" s="374"/>
      <c r="F6" s="374"/>
      <c r="G6" s="374"/>
      <c r="H6" s="374"/>
      <c r="I6" s="374"/>
      <c r="J6" s="411"/>
    </row>
    <row r="7" spans="1:17" ht="27" customHeight="1">
      <c r="A7" s="6"/>
      <c r="C7" s="14" t="s">
        <v>32</v>
      </c>
      <c r="D7" s="587" t="s">
        <v>88</v>
      </c>
      <c r="E7" s="588"/>
      <c r="F7" s="589"/>
      <c r="G7" s="375" t="s">
        <v>89</v>
      </c>
      <c r="H7" s="16" t="s">
        <v>90</v>
      </c>
      <c r="I7" s="16" t="s">
        <v>91</v>
      </c>
      <c r="J7" s="55" t="s">
        <v>92</v>
      </c>
    </row>
    <row r="8" spans="1:17" ht="28.5" customHeight="1" outlineLevel="1">
      <c r="A8" s="267"/>
      <c r="C8" s="17">
        <v>1</v>
      </c>
      <c r="D8" s="590" t="s">
        <v>93</v>
      </c>
      <c r="E8" s="591"/>
      <c r="F8" s="592"/>
      <c r="G8" s="376" t="s">
        <v>94</v>
      </c>
      <c r="H8" s="19" t="s">
        <v>95</v>
      </c>
      <c r="I8" s="56" t="s">
        <v>95</v>
      </c>
      <c r="J8" s="282"/>
    </row>
    <row r="9" spans="1:17" ht="40.5" customHeight="1" outlineLevel="1">
      <c r="A9" s="267"/>
      <c r="C9" s="17">
        <v>2</v>
      </c>
      <c r="D9" s="590" t="s">
        <v>96</v>
      </c>
      <c r="E9" s="591"/>
      <c r="F9" s="592"/>
      <c r="G9" s="376" t="s">
        <v>94</v>
      </c>
      <c r="H9" s="19" t="s">
        <v>95</v>
      </c>
      <c r="I9" s="56" t="s">
        <v>95</v>
      </c>
      <c r="J9" s="282"/>
    </row>
    <row r="10" spans="1:17" ht="12.75" customHeight="1">
      <c r="A10" s="267"/>
      <c r="C10" s="377"/>
      <c r="D10" s="378"/>
      <c r="E10" s="378"/>
      <c r="F10" s="378"/>
      <c r="G10" s="379"/>
      <c r="H10" s="379"/>
      <c r="I10" s="379"/>
      <c r="J10" s="412"/>
    </row>
    <row r="11" spans="1:17" ht="12.65" customHeight="1">
      <c r="A11" s="267"/>
      <c r="C11" s="380"/>
      <c r="D11" s="381"/>
      <c r="E11" s="381"/>
      <c r="F11" s="381"/>
    </row>
    <row r="12" spans="1:17" s="187" customFormat="1" ht="19">
      <c r="A12" s="202"/>
      <c r="C12" s="203" t="s">
        <v>97</v>
      </c>
      <c r="D12" s="204"/>
      <c r="E12" s="204"/>
      <c r="F12" s="204"/>
      <c r="G12" s="204"/>
      <c r="H12" s="204"/>
      <c r="I12" s="204"/>
      <c r="J12" s="204"/>
      <c r="K12" s="66"/>
      <c r="L12" s="71"/>
      <c r="M12" s="71"/>
      <c r="Q12" s="52"/>
    </row>
    <row r="13" spans="1:17" s="187" customFormat="1" ht="18" customHeight="1">
      <c r="A13" s="202"/>
      <c r="C13" s="602" t="s">
        <v>98</v>
      </c>
      <c r="D13" s="603"/>
      <c r="E13" s="603"/>
      <c r="F13" s="603"/>
      <c r="G13" s="604"/>
      <c r="H13" s="204"/>
      <c r="I13" s="204"/>
      <c r="J13" s="204"/>
      <c r="K13" s="66"/>
      <c r="L13" s="71"/>
      <c r="M13" s="71"/>
      <c r="Q13" s="52"/>
    </row>
    <row r="14" spans="1:17" s="187" customFormat="1" ht="18" customHeight="1">
      <c r="A14" s="202"/>
      <c r="C14" s="605"/>
      <c r="D14" s="606"/>
      <c r="E14" s="606"/>
      <c r="F14" s="606"/>
      <c r="G14" s="607"/>
      <c r="H14" s="204"/>
      <c r="I14" s="204"/>
      <c r="J14" s="204"/>
      <c r="K14" s="66"/>
      <c r="L14" s="71"/>
      <c r="M14" s="71"/>
      <c r="Q14" s="52"/>
    </row>
    <row r="15" spans="1:17" s="187" customFormat="1" ht="18" customHeight="1">
      <c r="A15" s="202"/>
      <c r="C15" s="605"/>
      <c r="D15" s="606"/>
      <c r="E15" s="606"/>
      <c r="F15" s="606"/>
      <c r="G15" s="607"/>
      <c r="H15" s="204"/>
      <c r="I15" s="204"/>
      <c r="J15" s="204"/>
      <c r="K15" s="66"/>
      <c r="L15" s="71"/>
      <c r="M15" s="71"/>
      <c r="Q15" s="52"/>
    </row>
    <row r="16" spans="1:17" s="187" customFormat="1" ht="18" customHeight="1">
      <c r="A16" s="202"/>
      <c r="C16" s="605"/>
      <c r="D16" s="606"/>
      <c r="E16" s="606"/>
      <c r="F16" s="606"/>
      <c r="G16" s="607"/>
      <c r="H16" s="204"/>
      <c r="I16" s="204"/>
      <c r="J16" s="204"/>
      <c r="K16" s="66"/>
      <c r="L16" s="71"/>
      <c r="M16" s="71"/>
      <c r="Q16" s="52"/>
    </row>
    <row r="17" spans="1:22" s="187" customFormat="1" ht="18" customHeight="1">
      <c r="A17" s="202"/>
      <c r="C17" s="605"/>
      <c r="D17" s="606"/>
      <c r="E17" s="606"/>
      <c r="F17" s="606"/>
      <c r="G17" s="607"/>
      <c r="H17" s="204"/>
      <c r="I17" s="204"/>
      <c r="J17" s="204"/>
      <c r="K17" s="66"/>
      <c r="L17" s="71"/>
      <c r="M17" s="71"/>
      <c r="Q17" s="52"/>
    </row>
    <row r="18" spans="1:22" s="187" customFormat="1" ht="18" customHeight="1">
      <c r="A18" s="202"/>
      <c r="C18" s="608"/>
      <c r="D18" s="609"/>
      <c r="E18" s="609"/>
      <c r="F18" s="609"/>
      <c r="G18" s="610"/>
      <c r="H18" s="204"/>
      <c r="I18" s="204"/>
      <c r="J18" s="204"/>
      <c r="K18" s="66"/>
      <c r="L18" s="71"/>
      <c r="M18" s="71"/>
      <c r="Q18" s="52"/>
    </row>
    <row r="19" spans="1:22" s="187" customFormat="1" ht="18" customHeight="1">
      <c r="A19" s="202"/>
      <c r="D19" s="382"/>
      <c r="E19" s="383"/>
      <c r="F19" s="383"/>
      <c r="G19" s="383"/>
      <c r="H19" s="204"/>
      <c r="I19" s="204"/>
      <c r="J19" s="204"/>
      <c r="K19" s="66"/>
      <c r="L19" s="71"/>
      <c r="M19" s="71"/>
      <c r="Q19" s="52"/>
    </row>
    <row r="20" spans="1:22" s="187" customFormat="1" ht="18" customHeight="1">
      <c r="A20" s="202"/>
      <c r="C20" s="384" t="str">
        <f>"波动幅度 ("&amp;汇总!D7&amp;"):"</f>
        <v>波动幅度 (CNY):</v>
      </c>
      <c r="D20" s="385">
        <f>汇总!$F$21</f>
        <v>5250000</v>
      </c>
      <c r="E20" s="383"/>
      <c r="F20" s="383"/>
      <c r="G20" s="383"/>
      <c r="H20" s="204"/>
      <c r="I20" s="204"/>
      <c r="J20" s="204"/>
      <c r="K20" s="66"/>
      <c r="L20" s="71"/>
      <c r="M20" s="71"/>
      <c r="Q20" s="52"/>
    </row>
    <row r="21" spans="1:22" s="187" customFormat="1" ht="18" customHeight="1">
      <c r="A21" s="202"/>
      <c r="C21" s="386" t="s">
        <v>99</v>
      </c>
      <c r="D21" s="213">
        <v>0.1</v>
      </c>
      <c r="E21" s="383"/>
      <c r="F21" s="383"/>
      <c r="G21" s="383"/>
      <c r="H21" s="204"/>
      <c r="I21" s="204"/>
      <c r="J21" s="204"/>
      <c r="K21" s="66"/>
      <c r="L21" s="71"/>
      <c r="M21" s="71"/>
      <c r="Q21" s="52"/>
    </row>
    <row r="22" spans="1:22" s="187" customFormat="1" ht="18" customHeight="1">
      <c r="A22" s="202"/>
      <c r="C22" s="383"/>
      <c r="D22" s="383"/>
      <c r="E22" s="381" t="s">
        <v>100</v>
      </c>
      <c r="F22" s="381" t="s">
        <v>101</v>
      </c>
      <c r="G22" s="381" t="s">
        <v>102</v>
      </c>
      <c r="H22" s="208" t="s">
        <v>103</v>
      </c>
      <c r="I22" s="381" t="s">
        <v>104</v>
      </c>
      <c r="J22" s="413" t="s">
        <v>105</v>
      </c>
      <c r="K22" s="93" t="s">
        <v>106</v>
      </c>
      <c r="L22" s="129" t="s">
        <v>107</v>
      </c>
      <c r="O22" s="52"/>
    </row>
    <row r="23" spans="1:22" ht="23.25" customHeight="1">
      <c r="A23" s="267"/>
      <c r="C23" s="380"/>
      <c r="D23" s="381"/>
      <c r="H23" s="387"/>
      <c r="J23" s="387"/>
      <c r="K23" s="414" t="s">
        <v>108</v>
      </c>
      <c r="L23" s="415"/>
    </row>
    <row r="24" spans="1:22" s="191" customFormat="1" ht="29.9" customHeight="1">
      <c r="A24" s="267"/>
      <c r="B24" s="36" t="s">
        <v>94</v>
      </c>
      <c r="C24" s="388" t="s">
        <v>109</v>
      </c>
      <c r="D24" s="389" t="s">
        <v>110</v>
      </c>
      <c r="E24" s="390" t="s">
        <v>111</v>
      </c>
      <c r="F24" s="391" t="s">
        <v>112</v>
      </c>
      <c r="G24" s="392" t="s">
        <v>113</v>
      </c>
      <c r="H24" s="392" t="s">
        <v>114</v>
      </c>
      <c r="I24" s="416" t="s">
        <v>115</v>
      </c>
      <c r="J24" s="417" t="s">
        <v>116</v>
      </c>
      <c r="K24" s="418" t="s">
        <v>117</v>
      </c>
      <c r="L24" s="419" t="s">
        <v>118</v>
      </c>
    </row>
    <row r="25" spans="1:22" s="347" customFormat="1" ht="13.4" customHeight="1">
      <c r="A25" s="393"/>
      <c r="C25" s="394" t="s">
        <v>46</v>
      </c>
      <c r="D25" s="395" t="s">
        <v>1</v>
      </c>
      <c r="E25" s="396">
        <f>IFERROR(Uexp财务费用BKD!F45,"")</f>
        <v>19461257.899999999</v>
      </c>
      <c r="F25" s="397"/>
      <c r="G25" s="397">
        <f>E25+F25</f>
        <v>19461257.899999999</v>
      </c>
      <c r="H25" s="397">
        <f>IFERROR(Uexp财务费用BKD!L45,"")</f>
        <v>-19158.48</v>
      </c>
      <c r="I25" s="420">
        <f t="shared" ref="I25" si="0">G25+H25</f>
        <v>19442099.419999998</v>
      </c>
      <c r="J25" s="421">
        <f>IFERROR(Uexp财务费用BKD!N45,"")</f>
        <v>-1189100.4600000083</v>
      </c>
      <c r="K25" s="422">
        <f>I25-J25</f>
        <v>20631199.880000006</v>
      </c>
      <c r="L25" s="423">
        <f>IF(J25&lt;&gt;0,K25/J25,1)</f>
        <v>-17.350258093416144</v>
      </c>
    </row>
    <row r="26" spans="1:22" s="361" customFormat="1" ht="12.75" customHeight="1">
      <c r="A26" s="398"/>
      <c r="D26" s="2"/>
      <c r="E26" s="399"/>
      <c r="F26" s="399"/>
      <c r="G26" s="399"/>
      <c r="H26" s="245"/>
      <c r="I26" s="2"/>
      <c r="J26" s="2"/>
      <c r="K26" s="245"/>
      <c r="L26" s="424"/>
      <c r="M26" s="399"/>
      <c r="N26" s="399"/>
      <c r="O26" s="399"/>
      <c r="P26" s="245"/>
      <c r="Q26" s="424"/>
      <c r="R26" s="424"/>
      <c r="S26" s="424"/>
      <c r="T26" s="424"/>
      <c r="U26" s="424"/>
      <c r="V26" s="424"/>
    </row>
    <row r="27" spans="1:22" ht="12.75" customHeight="1">
      <c r="A27" s="267"/>
      <c r="B27" s="400" t="s">
        <v>119</v>
      </c>
      <c r="C27" s="593" t="s">
        <v>120</v>
      </c>
      <c r="D27" s="594"/>
      <c r="E27" s="594"/>
      <c r="F27" s="594"/>
      <c r="G27" s="595"/>
      <c r="H27" s="401"/>
      <c r="I27" s="402"/>
      <c r="J27" s="425"/>
    </row>
    <row r="28" spans="1:22" ht="12.75" customHeight="1">
      <c r="A28" s="267"/>
      <c r="B28" s="402"/>
      <c r="C28" s="596"/>
      <c r="D28" s="597"/>
      <c r="E28" s="597"/>
      <c r="F28" s="597"/>
      <c r="G28" s="598"/>
      <c r="H28" s="401"/>
      <c r="I28" s="402"/>
      <c r="J28" s="425"/>
    </row>
    <row r="29" spans="1:22" ht="12.75" customHeight="1">
      <c r="A29" s="267"/>
      <c r="B29" s="402"/>
      <c r="C29" s="599"/>
      <c r="D29" s="600"/>
      <c r="E29" s="600"/>
      <c r="F29" s="600"/>
      <c r="G29" s="601"/>
      <c r="H29" s="401"/>
      <c r="I29" s="402"/>
      <c r="J29" s="425"/>
    </row>
    <row r="30" spans="1:22" ht="12.75" customHeight="1">
      <c r="A30" s="6"/>
      <c r="E30" s="403"/>
      <c r="F30" s="403"/>
      <c r="G30" s="403"/>
      <c r="H30" s="403"/>
      <c r="I30" s="403"/>
      <c r="J30" s="403"/>
      <c r="K30" s="403"/>
      <c r="L30" s="403"/>
      <c r="M30" s="403"/>
    </row>
    <row r="31" spans="1:22" ht="12.75" customHeight="1">
      <c r="A31" s="267"/>
    </row>
    <row r="32" spans="1:22" ht="12.75" customHeight="1" thickBot="1">
      <c r="A32" s="267"/>
      <c r="C32" s="404" t="s">
        <v>121</v>
      </c>
      <c r="D32" s="48"/>
      <c r="E32" s="49"/>
      <c r="F32" s="49"/>
    </row>
    <row r="33" spans="1:10" ht="12.75" customHeight="1">
      <c r="A33" s="267"/>
      <c r="C33" s="574" t="s">
        <v>122</v>
      </c>
      <c r="D33" s="556"/>
      <c r="E33" s="556"/>
      <c r="F33" s="575"/>
      <c r="H33" s="426"/>
      <c r="J33" s="426"/>
    </row>
    <row r="34" spans="1:10" ht="12.75" customHeight="1">
      <c r="A34" s="267"/>
      <c r="C34" s="557" t="s">
        <v>123</v>
      </c>
      <c r="D34" s="370" t="s">
        <v>46</v>
      </c>
      <c r="E34" s="370"/>
      <c r="F34" s="405">
        <v>-19158.48</v>
      </c>
      <c r="H34" s="426"/>
      <c r="J34" s="426"/>
    </row>
    <row r="35" spans="1:10" ht="12.75" customHeight="1">
      <c r="A35" s="6"/>
      <c r="C35" s="557" t="s">
        <v>123</v>
      </c>
      <c r="D35" s="370" t="s">
        <v>124</v>
      </c>
      <c r="E35" s="370"/>
      <c r="F35" s="405">
        <v>19158.48</v>
      </c>
      <c r="G35" s="2" t="s">
        <v>125</v>
      </c>
      <c r="H35" s="426"/>
    </row>
    <row r="36" spans="1:10" ht="12.75" customHeight="1" thickBot="1">
      <c r="A36" s="6"/>
      <c r="C36" s="406"/>
      <c r="D36" s="407"/>
      <c r="E36" s="407"/>
      <c r="F36" s="408"/>
      <c r="H36" s="426"/>
    </row>
    <row r="37" spans="1:10" ht="12.75" customHeight="1">
      <c r="A37" s="6"/>
      <c r="H37" s="426"/>
    </row>
    <row r="38" spans="1:10" ht="12.75" customHeight="1">
      <c r="A38" s="409"/>
      <c r="H38" s="426"/>
    </row>
    <row r="39" spans="1:10" ht="12.75" customHeight="1">
      <c r="A39" s="409"/>
    </row>
    <row r="40" spans="1:10" ht="12.75" customHeight="1">
      <c r="A40" s="409"/>
    </row>
    <row r="41" spans="1:10" ht="12.75" customHeight="1">
      <c r="A41" s="409"/>
    </row>
    <row r="42" spans="1:10" ht="12.75" customHeight="1">
      <c r="A42" s="409"/>
    </row>
    <row r="43" spans="1:10" ht="12.75" customHeight="1">
      <c r="A43" s="409"/>
    </row>
    <row r="44" spans="1:10" ht="12.75" customHeight="1">
      <c r="A44" s="409"/>
    </row>
    <row r="45" spans="1:10" ht="12.75" customHeight="1">
      <c r="A45" s="409"/>
    </row>
    <row r="46" spans="1:10" ht="12.75" customHeight="1">
      <c r="A46" s="409"/>
    </row>
    <row r="47" spans="1:10" ht="12.75" customHeight="1">
      <c r="A47" s="409"/>
    </row>
    <row r="48" spans="1:10" ht="12.75" customHeight="1">
      <c r="A48" s="409"/>
    </row>
    <row r="49" spans="1:1" ht="12.75" customHeight="1">
      <c r="A49" s="409"/>
    </row>
    <row r="50" spans="1:1" ht="12.75" customHeight="1">
      <c r="A50" s="409"/>
    </row>
    <row r="51" spans="1:1" ht="12.75" customHeight="1">
      <c r="A51" s="409"/>
    </row>
    <row r="52" spans="1:1" ht="12.75" customHeight="1">
      <c r="A52" s="409"/>
    </row>
    <row r="53" spans="1:1" ht="12.75" customHeight="1">
      <c r="A53" s="409"/>
    </row>
    <row r="54" spans="1:1" ht="12.75" customHeight="1">
      <c r="A54" s="409"/>
    </row>
    <row r="55" spans="1:1" ht="12.75" customHeight="1">
      <c r="A55" s="409"/>
    </row>
    <row r="56" spans="1:1" ht="12.75" customHeight="1">
      <c r="A56" s="409"/>
    </row>
    <row r="57" spans="1:1" ht="12.75" customHeight="1">
      <c r="A57" s="409"/>
    </row>
    <row r="58" spans="1:1" ht="12.75" customHeight="1">
      <c r="A58" s="409"/>
    </row>
    <row r="59" spans="1:1" ht="12.75" customHeight="1">
      <c r="A59" s="409"/>
    </row>
    <row r="60" spans="1:1" ht="12.75" customHeight="1">
      <c r="A60" s="409"/>
    </row>
    <row r="61" spans="1:1" ht="12.75" customHeight="1">
      <c r="A61" s="409"/>
    </row>
    <row r="62" spans="1:1" ht="12.75" customHeight="1">
      <c r="A62" s="409"/>
    </row>
    <row r="63" spans="1:1" ht="12.75" customHeight="1">
      <c r="A63" s="409"/>
    </row>
    <row r="64" spans="1:1" ht="12.75" customHeight="1">
      <c r="A64" s="409"/>
    </row>
    <row r="65" spans="1:1" ht="12.75" customHeight="1">
      <c r="A65" s="409"/>
    </row>
    <row r="66" spans="1:1" ht="12.75" customHeight="1">
      <c r="A66" s="409"/>
    </row>
    <row r="67" spans="1:1" ht="12.75" customHeight="1">
      <c r="A67" s="409"/>
    </row>
    <row r="68" spans="1:1" ht="12.75" customHeight="1">
      <c r="A68" s="409"/>
    </row>
    <row r="69" spans="1:1" ht="12.75" customHeight="1">
      <c r="A69" s="409"/>
    </row>
    <row r="70" spans="1:1" ht="12.75" customHeight="1">
      <c r="A70" s="409"/>
    </row>
    <row r="71" spans="1:1" ht="12.75" customHeight="1">
      <c r="A71" s="409"/>
    </row>
    <row r="72" spans="1:1" ht="12.75" customHeight="1">
      <c r="A72" s="409"/>
    </row>
    <row r="73" spans="1:1" ht="12.75" customHeight="1">
      <c r="A73" s="409"/>
    </row>
    <row r="74" spans="1:1" ht="12.75" customHeight="1">
      <c r="A74" s="409"/>
    </row>
    <row r="75" spans="1:1" ht="12.75" customHeight="1">
      <c r="A75" s="409"/>
    </row>
    <row r="76" spans="1:1" ht="12.75" customHeight="1">
      <c r="A76" s="409"/>
    </row>
    <row r="77" spans="1:1" ht="12.75" customHeight="1">
      <c r="A77" s="409"/>
    </row>
    <row r="78" spans="1:1" ht="12.75" customHeight="1">
      <c r="A78" s="409"/>
    </row>
    <row r="79" spans="1:1" ht="12.75" customHeight="1">
      <c r="A79" s="409"/>
    </row>
    <row r="80" spans="1:1" ht="12.75" customHeight="1">
      <c r="A80" s="409"/>
    </row>
    <row r="81" spans="1:1" ht="12.75" customHeight="1">
      <c r="A81" s="409"/>
    </row>
    <row r="82" spans="1:1" ht="12.75" customHeight="1">
      <c r="A82" s="409"/>
    </row>
    <row r="83" spans="1:1" ht="12.75" customHeight="1">
      <c r="A83" s="409"/>
    </row>
    <row r="84" spans="1:1" ht="12.75" customHeight="1">
      <c r="A84" s="409"/>
    </row>
    <row r="85" spans="1:1" ht="12.75" customHeight="1">
      <c r="A85" s="409"/>
    </row>
    <row r="86" spans="1:1" ht="12.75" customHeight="1">
      <c r="A86" s="409"/>
    </row>
    <row r="87" spans="1:1" ht="12.75" customHeight="1">
      <c r="A87" s="409"/>
    </row>
    <row r="88" spans="1:1" ht="12.75" customHeight="1">
      <c r="A88" s="409"/>
    </row>
    <row r="89" spans="1:1" ht="12.75" customHeight="1">
      <c r="A89" s="409"/>
    </row>
    <row r="90" spans="1:1" ht="12.75" customHeight="1">
      <c r="A90" s="409"/>
    </row>
    <row r="91" spans="1:1" ht="12.75" customHeight="1">
      <c r="A91" s="409"/>
    </row>
    <row r="92" spans="1:1" ht="12.75" customHeight="1">
      <c r="A92" s="409"/>
    </row>
    <row r="93" spans="1:1" ht="12.75" customHeight="1">
      <c r="A93" s="409"/>
    </row>
    <row r="94" spans="1:1" ht="12.75" customHeight="1">
      <c r="A94" s="409"/>
    </row>
    <row r="95" spans="1:1" ht="12.75" customHeight="1">
      <c r="A95" s="409"/>
    </row>
    <row r="96" spans="1:1" ht="12.75" customHeight="1">
      <c r="A96" s="409"/>
    </row>
    <row r="97" spans="1:1" ht="12.75" customHeight="1">
      <c r="A97" s="409"/>
    </row>
    <row r="98" spans="1:1" ht="12.75" customHeight="1">
      <c r="A98" s="409"/>
    </row>
    <row r="99" spans="1:1" ht="12.75" customHeight="1">
      <c r="A99" s="409"/>
    </row>
    <row r="100" spans="1:1" ht="12.75" customHeight="1">
      <c r="A100" s="409"/>
    </row>
    <row r="101" spans="1:1" ht="12.75" customHeight="1">
      <c r="A101" s="409"/>
    </row>
    <row r="102" spans="1:1" ht="12.75" customHeight="1">
      <c r="A102" s="409"/>
    </row>
    <row r="103" spans="1:1" ht="12.75" customHeight="1">
      <c r="A103" s="409"/>
    </row>
    <row r="104" spans="1:1" ht="12.75" customHeight="1">
      <c r="A104" s="409"/>
    </row>
    <row r="105" spans="1:1" ht="12.75" customHeight="1">
      <c r="A105" s="409"/>
    </row>
    <row r="106" spans="1:1" ht="12.75" customHeight="1">
      <c r="A106" s="409"/>
    </row>
    <row r="107" spans="1:1" ht="12.75" customHeight="1">
      <c r="A107" s="409"/>
    </row>
    <row r="108" spans="1:1" ht="12.75" customHeight="1">
      <c r="A108" s="409"/>
    </row>
    <row r="109" spans="1:1" ht="12.75" customHeight="1">
      <c r="A109" s="409"/>
    </row>
    <row r="110" spans="1:1" ht="12.75" customHeight="1">
      <c r="A110" s="409"/>
    </row>
    <row r="111" spans="1:1" ht="12.75" customHeight="1">
      <c r="A111" s="409"/>
    </row>
    <row r="112" spans="1:1" ht="12.75" customHeight="1">
      <c r="A112" s="409"/>
    </row>
    <row r="113" spans="1:1" ht="12.75" customHeight="1">
      <c r="A113" s="409"/>
    </row>
    <row r="114" spans="1:1" ht="12.75" customHeight="1">
      <c r="A114" s="409"/>
    </row>
    <row r="115" spans="1:1" ht="12.75" customHeight="1">
      <c r="A115" s="409"/>
    </row>
    <row r="116" spans="1:1" ht="12.75" customHeight="1">
      <c r="A116" s="409"/>
    </row>
    <row r="117" spans="1:1" ht="12.75" customHeight="1">
      <c r="A117" s="409"/>
    </row>
    <row r="118" spans="1:1" ht="12.75" customHeight="1">
      <c r="A118" s="409"/>
    </row>
    <row r="119" spans="1:1" ht="12.75" customHeight="1">
      <c r="A119" s="409"/>
    </row>
    <row r="120" spans="1:1" ht="12.75" customHeight="1">
      <c r="A120" s="409"/>
    </row>
    <row r="121" spans="1:1" ht="12.75" customHeight="1">
      <c r="A121" s="409"/>
    </row>
    <row r="122" spans="1:1" ht="12.75" customHeight="1">
      <c r="A122" s="409"/>
    </row>
    <row r="123" spans="1:1" ht="12.75" customHeight="1">
      <c r="A123" s="409"/>
    </row>
    <row r="124" spans="1:1" ht="12.75" customHeight="1">
      <c r="A124" s="409"/>
    </row>
    <row r="125" spans="1:1" ht="12.75" customHeight="1">
      <c r="A125" s="409"/>
    </row>
    <row r="126" spans="1:1" ht="12.75" customHeight="1">
      <c r="A126" s="409"/>
    </row>
    <row r="127" spans="1:1" ht="12.75" customHeight="1">
      <c r="A127" s="409"/>
    </row>
    <row r="128" spans="1:1" ht="12.75" customHeight="1">
      <c r="A128" s="409"/>
    </row>
    <row r="129" spans="1:1" ht="12.75" customHeight="1">
      <c r="A129" s="409"/>
    </row>
    <row r="130" spans="1:1" ht="12.75" customHeight="1">
      <c r="A130" s="409"/>
    </row>
    <row r="131" spans="1:1" ht="12.75" customHeight="1">
      <c r="A131" s="409"/>
    </row>
    <row r="132" spans="1:1" ht="12.75" customHeight="1">
      <c r="A132" s="409"/>
    </row>
    <row r="133" spans="1:1" ht="12.75" customHeight="1">
      <c r="A133" s="409"/>
    </row>
    <row r="134" spans="1:1" ht="12.75" customHeight="1">
      <c r="A134" s="409"/>
    </row>
  </sheetData>
  <mergeCells count="5">
    <mergeCell ref="D7:F7"/>
    <mergeCell ref="D8:F8"/>
    <mergeCell ref="D9:F9"/>
    <mergeCell ref="C27:G29"/>
    <mergeCell ref="C13:G18"/>
  </mergeCells>
  <phoneticPr fontId="130" type="noConversion"/>
  <conditionalFormatting sqref="G8:I9 C13:G18 D21 C27:G29 C33 C34:F36">
    <cfRule type="containsBlanks" dxfId="4" priority="1">
      <formula>LEN(TRIM(C8))=0</formula>
    </cfRule>
  </conditionalFormatting>
  <dataValidations count="2">
    <dataValidation type="list" allowBlank="1" showInputMessage="1" sqref="H8:H9" xr:uid="{00000000-0002-0000-0100-000000000000}">
      <formula1>"是,否"</formula1>
    </dataValidation>
    <dataValidation type="list" allowBlank="1" showInputMessage="1" sqref="I8:I9" xr:uid="{00000000-0002-0000-0100-000001000000}">
      <formula1>"是,不适用"</formula1>
    </dataValidation>
  </dataValidations>
  <hyperlinks>
    <hyperlink ref="J2" location="汇总!A1" display="返回汇总页" xr:uid="{00000000-0004-0000-0100-000000000000}"/>
    <hyperlink ref="U24" location="汇总!A1" display="汇总!A1" xr:uid="{00000000-0004-0000-0100-000001000000}"/>
    <hyperlink ref="D25" location="Uexp财务费用BKD!A1" display="Uexp财务费用BKD" xr:uid="{00000000-0004-0000-0100-000002000000}"/>
  </hyperlinks>
  <pageMargins left="0.74791660000000004" right="0.74791660000000004" top="0.98402780000000001" bottom="0.98402780000000001" header="0.51180550000000002" footer="0.51180550000000002"/>
  <pageSetup paperSize="9" orientation="landscape" errors="blank"/>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DW68"/>
  <sheetViews>
    <sheetView showGridLines="0" topLeftCell="A43" zoomScale="70" zoomScaleNormal="70" workbookViewId="0">
      <selection activeCell="C65" sqref="C65"/>
    </sheetView>
  </sheetViews>
  <sheetFormatPr defaultColWidth="9.59765625" defaultRowHeight="12.65" customHeight="1" outlineLevelRow="1" outlineLevelCol="1"/>
  <cols>
    <col min="1" max="1" width="9.765625E-2" style="193" customWidth="1"/>
    <col min="2" max="2" width="7.3984375" style="49" customWidth="1"/>
    <col min="3" max="3" width="22.09765625" style="49" customWidth="1"/>
    <col min="4" max="4" width="30.69921875" style="49" customWidth="1"/>
    <col min="5" max="5" width="26.8984375" style="49" customWidth="1"/>
    <col min="6" max="6" width="18.3984375" style="49" customWidth="1"/>
    <col min="7" max="7" width="18.69921875" style="49" customWidth="1"/>
    <col min="8" max="8" width="15.59765625" style="49" customWidth="1"/>
    <col min="9" max="9" width="19" style="49" customWidth="1"/>
    <col min="10" max="10" width="14.09765625" style="49" customWidth="1"/>
    <col min="11" max="11" width="21.8984375" style="49" customWidth="1" outlineLevel="1"/>
    <col min="12" max="12" width="15.8984375" style="49" customWidth="1" outlineLevel="1"/>
    <col min="13" max="13" width="22.8984375" style="49" customWidth="1"/>
    <col min="14" max="14" width="17.59765625" style="49" customWidth="1"/>
    <col min="15" max="15" width="24.3984375" style="49" customWidth="1"/>
    <col min="16" max="16" width="16.296875" style="49" customWidth="1"/>
    <col min="17" max="17" width="19.59765625" style="49" customWidth="1"/>
    <col min="18" max="18" width="13.8984375" style="49" customWidth="1"/>
    <col min="19" max="19" width="23" style="49" customWidth="1"/>
    <col min="20" max="20" width="15.09765625" style="49" customWidth="1"/>
    <col min="21" max="23" width="8.69921875" style="49" customWidth="1"/>
    <col min="24" max="25" width="7.3984375" style="49" customWidth="1"/>
    <col min="26" max="27" width="13.09765625" style="49" customWidth="1"/>
    <col min="28" max="33" width="8.69921875" style="49" customWidth="1"/>
    <col min="34" max="34" width="11.69921875" style="49" customWidth="1"/>
    <col min="35" max="35" width="7.59765625" style="49" customWidth="1"/>
    <col min="36" max="36" width="8.8984375" style="49" customWidth="1"/>
    <col min="37" max="16384" width="9.59765625" style="49"/>
  </cols>
  <sheetData>
    <row r="1" spans="1:127" ht="12.65" customHeight="1">
      <c r="A1" s="194" t="s">
        <v>126</v>
      </c>
      <c r="CS1" s="344"/>
      <c r="CT1" s="191"/>
      <c r="CU1" s="191"/>
      <c r="CV1" s="345"/>
      <c r="CW1" s="343"/>
      <c r="CX1" s="343"/>
      <c r="CY1" s="343"/>
      <c r="CZ1" s="343"/>
      <c r="DA1" s="343"/>
      <c r="DB1" s="191"/>
      <c r="DC1" s="343"/>
      <c r="DD1" s="191"/>
      <c r="DE1" s="343"/>
      <c r="DF1" s="343"/>
      <c r="DG1" s="343"/>
      <c r="DH1" s="343"/>
      <c r="DI1" s="343"/>
      <c r="DJ1" s="343"/>
      <c r="DK1" s="191"/>
      <c r="DL1" s="350"/>
      <c r="DM1" s="351"/>
      <c r="DN1" s="352"/>
      <c r="DO1" s="352"/>
      <c r="DP1" s="191"/>
      <c r="DQ1" s="343"/>
      <c r="DR1" s="356"/>
      <c r="DS1" s="357"/>
      <c r="DT1" s="343"/>
      <c r="DU1" s="358"/>
    </row>
    <row r="2" spans="1:127" s="2" customFormat="1" ht="17.899999999999999" customHeight="1">
      <c r="A2" s="6"/>
      <c r="C2" s="7"/>
      <c r="J2" s="50" t="s">
        <v>85</v>
      </c>
    </row>
    <row r="3" spans="1:127" ht="12.65" customHeight="1">
      <c r="A3" s="194"/>
      <c r="CR3" s="343"/>
      <c r="CS3" s="191"/>
      <c r="CT3" s="191"/>
      <c r="CU3" s="343"/>
      <c r="CV3" s="343"/>
      <c r="CW3" s="343"/>
      <c r="CX3" s="343"/>
      <c r="CY3" s="343"/>
      <c r="CZ3" s="343"/>
      <c r="DA3" s="343"/>
      <c r="DB3" s="343"/>
      <c r="DC3" s="191"/>
      <c r="DD3" s="343"/>
      <c r="DE3" s="343"/>
      <c r="DF3" s="343"/>
      <c r="DG3" s="343"/>
      <c r="DH3" s="343"/>
      <c r="DI3" s="191"/>
      <c r="DJ3" s="191"/>
      <c r="DK3" s="191"/>
      <c r="DL3" s="191"/>
      <c r="DM3" s="191"/>
      <c r="DN3" s="191"/>
      <c r="DO3" s="191"/>
      <c r="DP3" s="191"/>
      <c r="DQ3" s="191"/>
      <c r="DR3" s="354"/>
      <c r="DS3" s="343"/>
      <c r="DT3" s="358"/>
    </row>
    <row r="4" spans="1:127" ht="20">
      <c r="A4" s="194"/>
      <c r="C4" s="9" t="s">
        <v>86</v>
      </c>
      <c r="D4" s="10"/>
      <c r="E4" s="10"/>
      <c r="F4" s="10"/>
      <c r="G4" s="10"/>
      <c r="H4" s="10"/>
      <c r="I4" s="10"/>
      <c r="J4" s="51"/>
      <c r="K4" s="278"/>
      <c r="L4" s="278"/>
      <c r="CS4" s="191"/>
      <c r="CT4" s="191"/>
      <c r="CU4" s="191"/>
      <c r="CV4" s="343"/>
      <c r="CW4" s="343"/>
      <c r="CX4" s="343"/>
      <c r="CY4" s="343"/>
      <c r="CZ4" s="343"/>
      <c r="DA4" s="343"/>
      <c r="DB4" s="343"/>
      <c r="DC4" s="343"/>
      <c r="DD4" s="191"/>
      <c r="DE4" s="343"/>
      <c r="DF4" s="343"/>
      <c r="DG4" s="343"/>
      <c r="DH4" s="343"/>
      <c r="DI4" s="343"/>
      <c r="DJ4" s="191"/>
      <c r="DK4" s="191"/>
      <c r="DL4" s="191"/>
      <c r="DM4" s="191"/>
      <c r="DN4" s="191"/>
      <c r="DO4" s="191"/>
      <c r="DP4" s="191"/>
      <c r="DQ4" s="191"/>
      <c r="DR4" s="191"/>
      <c r="DS4" s="354"/>
      <c r="DT4" s="191"/>
      <c r="DU4" s="191"/>
    </row>
    <row r="5" spans="1:127" ht="19.5" customHeight="1">
      <c r="A5" s="194"/>
      <c r="C5" s="11" t="s">
        <v>127</v>
      </c>
      <c r="D5" s="12"/>
      <c r="E5" s="12"/>
      <c r="F5" s="12"/>
      <c r="G5" s="12"/>
      <c r="H5" s="12"/>
      <c r="I5" s="12"/>
      <c r="J5" s="279"/>
      <c r="K5" s="614"/>
      <c r="L5" s="614"/>
      <c r="M5" s="614"/>
      <c r="N5" s="612"/>
      <c r="CS5" s="191"/>
      <c r="CT5" s="191"/>
      <c r="CU5" s="346"/>
      <c r="CV5" s="343"/>
      <c r="CW5" s="343"/>
      <c r="CX5" s="343"/>
      <c r="CY5" s="343"/>
      <c r="CZ5" s="343"/>
      <c r="DA5" s="343"/>
      <c r="DB5" s="343"/>
      <c r="DC5" s="343"/>
      <c r="DD5" s="191"/>
      <c r="DE5" s="343"/>
      <c r="DF5" s="343"/>
      <c r="DG5" s="343"/>
      <c r="DH5" s="343"/>
      <c r="DI5" s="343"/>
      <c r="DJ5" s="191"/>
      <c r="DK5" s="191"/>
      <c r="DL5" s="191"/>
      <c r="DM5" s="191"/>
      <c r="DN5" s="191"/>
      <c r="DO5" s="191"/>
      <c r="DP5" s="191"/>
      <c r="DQ5" s="191"/>
      <c r="DR5" s="191"/>
      <c r="DS5" s="354"/>
      <c r="DT5" s="191"/>
      <c r="DU5" s="191"/>
    </row>
    <row r="6" spans="1:127" ht="19.5" customHeight="1">
      <c r="A6" s="194"/>
      <c r="C6" s="11" t="s">
        <v>128</v>
      </c>
      <c r="D6" s="12"/>
      <c r="E6" s="12"/>
      <c r="F6" s="12"/>
      <c r="G6" s="12"/>
      <c r="H6" s="12"/>
      <c r="I6" s="12"/>
      <c r="J6" s="279"/>
      <c r="K6" s="614"/>
      <c r="L6" s="614"/>
      <c r="M6" s="614"/>
      <c r="N6" s="612"/>
      <c r="CS6" s="191"/>
      <c r="CT6" s="346"/>
      <c r="CU6" s="346"/>
      <c r="CV6" s="343"/>
      <c r="CW6" s="343"/>
      <c r="CX6" s="343"/>
      <c r="CY6" s="343"/>
      <c r="CZ6" s="343"/>
      <c r="DA6" s="343"/>
      <c r="DB6" s="343"/>
      <c r="DC6" s="343"/>
      <c r="DD6" s="346"/>
      <c r="DE6" s="343"/>
      <c r="DF6" s="343"/>
      <c r="DG6" s="343"/>
      <c r="DH6" s="343"/>
      <c r="DI6" s="343"/>
      <c r="DJ6" s="346"/>
      <c r="DK6" s="191"/>
      <c r="DL6" s="191"/>
      <c r="DM6" s="191"/>
      <c r="DN6" s="191"/>
      <c r="DO6" s="191"/>
      <c r="DP6" s="346"/>
      <c r="DQ6" s="346"/>
      <c r="DR6" s="346"/>
      <c r="DS6" s="359"/>
      <c r="DT6" s="191"/>
      <c r="DU6" s="191"/>
    </row>
    <row r="7" spans="1:127" ht="12.65" customHeight="1">
      <c r="A7" s="194"/>
      <c r="C7" s="11"/>
      <c r="D7" s="12"/>
      <c r="E7" s="12"/>
      <c r="F7" s="12"/>
      <c r="G7" s="12"/>
      <c r="H7" s="12"/>
      <c r="I7" s="12"/>
      <c r="J7" s="279"/>
      <c r="K7" s="280"/>
      <c r="L7" s="281"/>
      <c r="M7" s="281"/>
      <c r="N7" s="281"/>
      <c r="CS7" s="191"/>
      <c r="CT7" s="346"/>
      <c r="CU7" s="346"/>
      <c r="CV7" s="343"/>
      <c r="CW7" s="343"/>
      <c r="CX7" s="343"/>
      <c r="CY7" s="343"/>
      <c r="CZ7" s="343"/>
      <c r="DA7" s="343"/>
      <c r="DB7" s="343"/>
      <c r="DC7" s="343"/>
      <c r="DD7" s="346"/>
      <c r="DE7" s="343"/>
      <c r="DF7" s="343"/>
      <c r="DG7" s="343"/>
      <c r="DH7" s="343"/>
      <c r="DI7" s="343"/>
      <c r="DJ7" s="346"/>
      <c r="DK7" s="191"/>
      <c r="DL7" s="191"/>
      <c r="DM7" s="191"/>
      <c r="DN7" s="191"/>
      <c r="DO7" s="191"/>
      <c r="DP7" s="346"/>
      <c r="DQ7" s="346"/>
      <c r="DR7" s="346"/>
      <c r="DS7" s="359"/>
      <c r="DT7" s="191"/>
      <c r="DU7" s="191"/>
    </row>
    <row r="8" spans="1:127" ht="20">
      <c r="A8" s="194"/>
      <c r="C8" s="14" t="s">
        <v>32</v>
      </c>
      <c r="D8" s="615" t="s">
        <v>88</v>
      </c>
      <c r="E8" s="615"/>
      <c r="F8" s="615"/>
      <c r="G8" s="15" t="s">
        <v>89</v>
      </c>
      <c r="H8" s="16" t="s">
        <v>90</v>
      </c>
      <c r="I8" s="16" t="s">
        <v>91</v>
      </c>
      <c r="J8" s="55" t="s">
        <v>92</v>
      </c>
      <c r="K8" s="278"/>
      <c r="L8" s="278"/>
      <c r="M8" s="278"/>
      <c r="CT8" s="347"/>
      <c r="CU8" s="347"/>
      <c r="CV8" s="347"/>
      <c r="CW8" s="343"/>
      <c r="CX8" s="343"/>
      <c r="CY8" s="343"/>
      <c r="CZ8" s="343"/>
      <c r="DA8" s="343"/>
      <c r="DB8" s="343"/>
      <c r="DC8" s="343"/>
      <c r="DD8" s="343"/>
      <c r="DE8" s="347"/>
      <c r="DF8" s="343"/>
      <c r="DG8" s="343"/>
      <c r="DH8" s="343"/>
      <c r="DI8" s="343"/>
      <c r="DJ8" s="343"/>
      <c r="DK8" s="347"/>
      <c r="DL8" s="346"/>
      <c r="DM8" s="346"/>
      <c r="DN8" s="346"/>
      <c r="DO8" s="346"/>
      <c r="DP8" s="346"/>
      <c r="DQ8" s="347"/>
      <c r="DR8" s="347"/>
      <c r="DS8" s="347"/>
      <c r="DT8" s="359"/>
      <c r="DU8" s="347"/>
      <c r="DV8" s="360"/>
    </row>
    <row r="9" spans="1:127" ht="20" outlineLevel="1">
      <c r="A9" s="195"/>
      <c r="C9" s="17">
        <v>1</v>
      </c>
      <c r="D9" s="613" t="s">
        <v>129</v>
      </c>
      <c r="E9" s="613"/>
      <c r="F9" s="613"/>
      <c r="G9" s="196" t="s">
        <v>130</v>
      </c>
      <c r="H9" s="19" t="s">
        <v>95</v>
      </c>
      <c r="I9" s="56" t="s">
        <v>95</v>
      </c>
      <c r="J9" s="282"/>
      <c r="K9" s="52"/>
      <c r="L9" s="283"/>
      <c r="M9" s="283"/>
      <c r="N9" s="283"/>
      <c r="CU9" s="346"/>
      <c r="CV9" s="347"/>
      <c r="CW9" s="346"/>
      <c r="CX9" s="343"/>
      <c r="CY9" s="343"/>
      <c r="CZ9" s="343"/>
      <c r="DA9" s="343"/>
      <c r="DB9" s="343"/>
      <c r="DC9" s="343"/>
      <c r="DD9" s="343"/>
      <c r="DE9" s="343"/>
      <c r="DF9" s="347"/>
      <c r="DG9" s="343"/>
      <c r="DH9" s="343"/>
      <c r="DI9" s="343"/>
      <c r="DJ9" s="343"/>
      <c r="DK9" s="343"/>
      <c r="DL9" s="347"/>
      <c r="DM9" s="347"/>
      <c r="DN9" s="347"/>
      <c r="DO9" s="347"/>
      <c r="DP9" s="347"/>
      <c r="DQ9" s="347"/>
      <c r="DR9" s="347"/>
      <c r="DS9" s="347"/>
      <c r="DT9" s="347"/>
      <c r="DU9" s="359"/>
      <c r="DV9" s="346"/>
      <c r="DW9" s="361"/>
    </row>
    <row r="10" spans="1:127" ht="63" customHeight="1" outlineLevel="1">
      <c r="A10" s="195"/>
      <c r="C10" s="17">
        <v>2</v>
      </c>
      <c r="D10" s="613" t="s">
        <v>131</v>
      </c>
      <c r="E10" s="613"/>
      <c r="F10" s="613"/>
      <c r="G10" s="197" t="s">
        <v>130</v>
      </c>
      <c r="H10" s="19" t="s">
        <v>95</v>
      </c>
      <c r="I10" s="56" t="s">
        <v>95</v>
      </c>
      <c r="J10" s="282"/>
      <c r="K10" s="52"/>
      <c r="L10" s="283"/>
      <c r="M10" s="283"/>
      <c r="N10" s="283"/>
      <c r="CU10" s="346"/>
      <c r="CV10" s="347"/>
      <c r="CW10" s="346"/>
      <c r="CX10" s="343"/>
      <c r="CY10" s="343"/>
      <c r="CZ10" s="343"/>
      <c r="DA10" s="343"/>
      <c r="DB10" s="343"/>
      <c r="DC10" s="343"/>
      <c r="DD10" s="343"/>
      <c r="DE10" s="343"/>
      <c r="DF10" s="347"/>
      <c r="DG10" s="343"/>
      <c r="DH10" s="343"/>
      <c r="DI10" s="343"/>
      <c r="DJ10" s="343"/>
      <c r="DK10" s="343"/>
      <c r="DL10" s="347"/>
      <c r="DM10" s="347"/>
      <c r="DN10" s="347"/>
      <c r="DO10" s="347"/>
      <c r="DP10" s="347"/>
      <c r="DQ10" s="347"/>
      <c r="DR10" s="347"/>
      <c r="DS10" s="347"/>
      <c r="DT10" s="347"/>
      <c r="DU10" s="359"/>
      <c r="DV10" s="346"/>
      <c r="DW10" s="361"/>
    </row>
    <row r="11" spans="1:127" ht="20" outlineLevel="1">
      <c r="A11" s="195"/>
      <c r="C11" s="17">
        <v>3</v>
      </c>
      <c r="D11" s="613" t="s">
        <v>132</v>
      </c>
      <c r="E11" s="613"/>
      <c r="F11" s="613"/>
      <c r="G11" s="196" t="s">
        <v>130</v>
      </c>
      <c r="H11" s="19" t="s">
        <v>95</v>
      </c>
      <c r="I11" s="56" t="s">
        <v>95</v>
      </c>
      <c r="J11" s="282"/>
      <c r="K11" s="52"/>
      <c r="L11" s="278"/>
      <c r="M11" s="278"/>
      <c r="N11" s="278"/>
      <c r="CU11" s="347"/>
      <c r="CV11" s="346"/>
      <c r="CW11" s="348"/>
      <c r="CX11" s="343"/>
      <c r="CY11" s="343"/>
      <c r="CZ11" s="343"/>
      <c r="DA11" s="343"/>
      <c r="DB11" s="343"/>
      <c r="DC11" s="343"/>
      <c r="DD11" s="343"/>
      <c r="DE11" s="343"/>
      <c r="DF11" s="346"/>
      <c r="DG11" s="343"/>
      <c r="DH11" s="343"/>
      <c r="DI11" s="343"/>
      <c r="DJ11" s="343"/>
      <c r="DK11" s="343"/>
      <c r="DL11" s="346"/>
      <c r="DM11" s="347"/>
      <c r="DN11" s="347"/>
      <c r="DO11" s="347"/>
      <c r="DP11" s="347"/>
      <c r="DQ11" s="347"/>
      <c r="DR11" s="346"/>
      <c r="DS11" s="346"/>
      <c r="DT11" s="346"/>
      <c r="DU11" s="359"/>
      <c r="DV11" s="347"/>
      <c r="DW11" s="347"/>
    </row>
    <row r="12" spans="1:127" ht="60.75" customHeight="1" outlineLevel="1">
      <c r="A12" s="195"/>
      <c r="C12" s="17">
        <v>4</v>
      </c>
      <c r="D12" s="616" t="s">
        <v>133</v>
      </c>
      <c r="E12" s="617"/>
      <c r="F12" s="618"/>
      <c r="G12" s="198" t="s">
        <v>134</v>
      </c>
      <c r="H12" s="19" t="s">
        <v>95</v>
      </c>
      <c r="I12" s="56" t="s">
        <v>95</v>
      </c>
      <c r="J12" s="282"/>
      <c r="K12" s="52"/>
      <c r="L12" s="278"/>
      <c r="M12" s="278"/>
      <c r="N12" s="278"/>
      <c r="CU12" s="347"/>
      <c r="CV12" s="348"/>
      <c r="CW12" s="348"/>
      <c r="CX12" s="343"/>
      <c r="CY12" s="343"/>
      <c r="CZ12" s="343"/>
      <c r="DA12" s="343"/>
      <c r="DB12" s="343"/>
      <c r="DC12" s="343"/>
      <c r="DD12" s="343"/>
      <c r="DE12" s="343"/>
      <c r="DF12" s="348"/>
      <c r="DG12" s="343"/>
      <c r="DH12" s="343"/>
      <c r="DI12" s="343"/>
      <c r="DJ12" s="343"/>
      <c r="DK12" s="343"/>
      <c r="DL12" s="348"/>
      <c r="DM12" s="346"/>
      <c r="DN12" s="346"/>
      <c r="DO12" s="346"/>
      <c r="DP12" s="346"/>
      <c r="DQ12" s="346"/>
      <c r="DR12" s="348"/>
      <c r="DS12" s="348"/>
      <c r="DT12" s="348"/>
      <c r="DU12" s="354"/>
      <c r="DV12" s="347"/>
      <c r="DW12" s="360"/>
    </row>
    <row r="13" spans="1:127" ht="36" customHeight="1" outlineLevel="1">
      <c r="A13" s="195"/>
      <c r="C13" s="17">
        <v>5</v>
      </c>
      <c r="D13" s="613" t="s">
        <v>135</v>
      </c>
      <c r="E13" s="613"/>
      <c r="F13" s="613"/>
      <c r="G13" s="198" t="s">
        <v>136</v>
      </c>
      <c r="H13" s="19" t="s">
        <v>137</v>
      </c>
      <c r="I13" s="56" t="s">
        <v>95</v>
      </c>
      <c r="J13" s="284"/>
      <c r="K13" s="52"/>
      <c r="L13" s="278"/>
      <c r="M13" s="278"/>
      <c r="N13" s="278"/>
      <c r="CU13" s="347"/>
      <c r="CV13" s="348"/>
      <c r="CW13" s="348"/>
      <c r="CX13" s="343"/>
      <c r="CY13" s="343"/>
      <c r="CZ13" s="343"/>
      <c r="DA13" s="343"/>
      <c r="DB13" s="343"/>
      <c r="DC13" s="343"/>
      <c r="DD13" s="343"/>
      <c r="DE13" s="343"/>
      <c r="DF13" s="348"/>
      <c r="DG13" s="343"/>
      <c r="DH13" s="343"/>
      <c r="DI13" s="343"/>
      <c r="DJ13" s="343"/>
      <c r="DK13" s="343"/>
      <c r="DL13" s="348"/>
      <c r="DM13" s="346"/>
      <c r="DN13" s="346"/>
      <c r="DO13" s="346"/>
      <c r="DP13" s="346"/>
      <c r="DQ13" s="346"/>
      <c r="DR13" s="348"/>
      <c r="DS13" s="348"/>
      <c r="DT13" s="348"/>
      <c r="DU13" s="354"/>
      <c r="DV13" s="347"/>
      <c r="DW13" s="360"/>
    </row>
    <row r="14" spans="1:127" ht="35.9" customHeight="1" outlineLevel="1">
      <c r="A14" s="195"/>
      <c r="C14" s="17">
        <v>6</v>
      </c>
      <c r="D14" s="613" t="s">
        <v>138</v>
      </c>
      <c r="E14" s="613"/>
      <c r="F14" s="613"/>
      <c r="G14" s="196" t="s">
        <v>130</v>
      </c>
      <c r="H14" s="19" t="s">
        <v>95</v>
      </c>
      <c r="I14" s="56" t="s">
        <v>95</v>
      </c>
      <c r="J14" s="285"/>
      <c r="K14" s="52"/>
      <c r="L14" s="278"/>
      <c r="M14" s="278"/>
      <c r="N14" s="278"/>
      <c r="CU14" s="347"/>
      <c r="CV14" s="348"/>
      <c r="CW14" s="348"/>
      <c r="CX14" s="343"/>
      <c r="CY14" s="343"/>
      <c r="CZ14" s="343"/>
      <c r="DA14" s="343"/>
      <c r="DB14" s="343"/>
      <c r="DC14" s="343"/>
      <c r="DD14" s="343"/>
      <c r="DE14" s="343"/>
      <c r="DF14" s="348"/>
      <c r="DG14" s="343"/>
      <c r="DH14" s="343"/>
      <c r="DI14" s="343"/>
      <c r="DJ14" s="343"/>
      <c r="DK14" s="343"/>
      <c r="DL14" s="348"/>
      <c r="DM14" s="346"/>
      <c r="DN14" s="346"/>
      <c r="DO14" s="346"/>
      <c r="DP14" s="346"/>
      <c r="DQ14" s="346"/>
      <c r="DR14" s="348"/>
      <c r="DS14" s="348"/>
      <c r="DT14" s="348"/>
      <c r="DU14" s="354"/>
      <c r="DV14" s="347"/>
      <c r="DW14" s="360"/>
    </row>
    <row r="15" spans="1:127" ht="12.65" customHeight="1" thickBot="1">
      <c r="A15" s="195"/>
      <c r="C15" s="23"/>
      <c r="D15" s="199"/>
      <c r="E15" s="199"/>
      <c r="F15" s="199"/>
      <c r="G15" s="24"/>
      <c r="H15" s="24"/>
      <c r="I15" s="24"/>
      <c r="J15" s="57"/>
      <c r="K15" s="278"/>
      <c r="L15" s="278"/>
      <c r="CS15" s="347"/>
      <c r="CT15" s="348"/>
      <c r="CU15" s="348"/>
      <c r="CV15" s="343"/>
      <c r="CW15" s="343"/>
      <c r="CX15" s="343"/>
      <c r="CY15" s="343"/>
      <c r="CZ15" s="343"/>
      <c r="DA15" s="343"/>
      <c r="DB15" s="343"/>
      <c r="DC15" s="343"/>
      <c r="DD15" s="348"/>
      <c r="DE15" s="343"/>
      <c r="DF15" s="343"/>
      <c r="DG15" s="343"/>
      <c r="DH15" s="343"/>
      <c r="DI15" s="343"/>
      <c r="DJ15" s="348"/>
      <c r="DK15" s="346"/>
      <c r="DL15" s="346"/>
      <c r="DM15" s="346"/>
      <c r="DN15" s="346"/>
      <c r="DO15" s="346"/>
      <c r="DP15" s="348"/>
      <c r="DQ15" s="348"/>
      <c r="DR15" s="348"/>
      <c r="DS15" s="354"/>
      <c r="DT15" s="347"/>
      <c r="DU15" s="360"/>
    </row>
    <row r="16" spans="1:127" ht="12.65" customHeight="1">
      <c r="A16" s="195"/>
      <c r="C16" s="200"/>
      <c r="D16" s="201"/>
      <c r="E16" s="52"/>
      <c r="F16" s="52"/>
      <c r="G16" s="52"/>
      <c r="H16" s="52"/>
      <c r="I16" s="52"/>
      <c r="J16" s="278"/>
      <c r="K16" s="278"/>
      <c r="L16" s="278"/>
      <c r="CS16" s="348"/>
      <c r="CT16" s="348"/>
      <c r="CU16" s="191"/>
      <c r="CV16" s="343"/>
      <c r="CW16" s="343"/>
      <c r="CX16" s="343"/>
      <c r="CY16" s="343"/>
      <c r="CZ16" s="343"/>
      <c r="DA16" s="343"/>
      <c r="DB16" s="343"/>
      <c r="DC16" s="343"/>
      <c r="DD16" s="348"/>
      <c r="DE16" s="343"/>
      <c r="DF16" s="343"/>
      <c r="DG16" s="343"/>
      <c r="DH16" s="343"/>
      <c r="DI16" s="343"/>
      <c r="DJ16" s="348"/>
      <c r="DK16" s="348"/>
      <c r="DL16" s="348"/>
      <c r="DM16" s="348"/>
      <c r="DN16" s="348"/>
      <c r="DO16" s="348"/>
      <c r="DP16" s="348"/>
      <c r="DQ16" s="348"/>
      <c r="DR16" s="348"/>
      <c r="DS16" s="355"/>
      <c r="DT16" s="348"/>
      <c r="DU16" s="362"/>
    </row>
    <row r="17" spans="1:125" ht="12.65" customHeight="1">
      <c r="A17" s="195"/>
      <c r="C17" s="201"/>
      <c r="D17" s="201"/>
      <c r="E17" s="201"/>
      <c r="F17" s="201"/>
      <c r="G17" s="201"/>
      <c r="H17" s="201"/>
      <c r="I17" s="52"/>
      <c r="J17" s="278"/>
      <c r="K17" s="278"/>
      <c r="L17" s="278"/>
      <c r="CS17" s="348"/>
      <c r="CT17" s="348"/>
      <c r="CU17" s="191"/>
      <c r="CV17" s="343"/>
      <c r="CW17" s="343"/>
      <c r="CX17" s="343"/>
      <c r="CY17" s="343"/>
      <c r="CZ17" s="343"/>
      <c r="DA17" s="343"/>
      <c r="DB17" s="343"/>
      <c r="DC17" s="343"/>
      <c r="DD17" s="348"/>
      <c r="DE17" s="343"/>
      <c r="DF17" s="343"/>
      <c r="DG17" s="343"/>
      <c r="DH17" s="343"/>
      <c r="DI17" s="343"/>
      <c r="DJ17" s="348"/>
      <c r="DK17" s="348"/>
      <c r="DL17" s="348"/>
      <c r="DM17" s="348"/>
      <c r="DN17" s="348"/>
      <c r="DO17" s="348"/>
      <c r="DP17" s="348"/>
      <c r="DQ17" s="348"/>
      <c r="DR17" s="348"/>
      <c r="DS17" s="355"/>
      <c r="DT17" s="348"/>
      <c r="DU17" s="362"/>
    </row>
    <row r="18" spans="1:125" s="187" customFormat="1" ht="19">
      <c r="A18" s="202"/>
      <c r="C18" s="203" t="s">
        <v>97</v>
      </c>
      <c r="D18" s="204"/>
      <c r="E18" s="204"/>
      <c r="F18" s="204"/>
      <c r="G18" s="204"/>
      <c r="H18" s="204"/>
      <c r="I18" s="204"/>
      <c r="J18" s="204"/>
      <c r="K18" s="66"/>
      <c r="L18" s="71"/>
      <c r="M18" s="71"/>
      <c r="Q18" s="52"/>
    </row>
    <row r="19" spans="1:125" s="187" customFormat="1" ht="18" customHeight="1">
      <c r="A19" s="202"/>
      <c r="C19" s="602" t="s">
        <v>98</v>
      </c>
      <c r="D19" s="603"/>
      <c r="E19" s="603"/>
      <c r="F19" s="603"/>
      <c r="G19" s="604"/>
      <c r="H19" s="204"/>
      <c r="I19" s="204"/>
      <c r="J19" s="204"/>
      <c r="K19" s="66"/>
      <c r="L19" s="71"/>
      <c r="M19" s="71"/>
      <c r="Q19" s="52"/>
    </row>
    <row r="20" spans="1:125" s="187" customFormat="1" ht="18" customHeight="1">
      <c r="A20" s="202"/>
      <c r="C20" s="605"/>
      <c r="D20" s="606"/>
      <c r="E20" s="606"/>
      <c r="F20" s="606"/>
      <c r="G20" s="607"/>
      <c r="H20" s="204"/>
      <c r="I20" s="204"/>
      <c r="J20" s="204"/>
      <c r="K20" s="66"/>
      <c r="L20" s="71"/>
      <c r="M20" s="71"/>
      <c r="Q20" s="52"/>
    </row>
    <row r="21" spans="1:125" s="187" customFormat="1" ht="18" customHeight="1">
      <c r="A21" s="202"/>
      <c r="C21" s="605"/>
      <c r="D21" s="606"/>
      <c r="E21" s="606"/>
      <c r="F21" s="606"/>
      <c r="G21" s="607"/>
      <c r="H21" s="204"/>
      <c r="I21" s="204"/>
      <c r="J21" s="204"/>
      <c r="K21" s="66"/>
      <c r="L21" s="71"/>
      <c r="M21" s="71"/>
      <c r="Q21" s="52"/>
    </row>
    <row r="22" spans="1:125" s="187" customFormat="1" ht="18" customHeight="1">
      <c r="A22" s="202"/>
      <c r="C22" s="605"/>
      <c r="D22" s="606"/>
      <c r="E22" s="606"/>
      <c r="F22" s="606"/>
      <c r="G22" s="607"/>
      <c r="H22" s="204"/>
      <c r="I22" s="204"/>
      <c r="J22" s="204"/>
      <c r="K22" s="66"/>
      <c r="L22" s="71"/>
      <c r="M22" s="71"/>
      <c r="Q22" s="52"/>
    </row>
    <row r="23" spans="1:125" s="187" customFormat="1" ht="18" customHeight="1">
      <c r="A23" s="202"/>
      <c r="C23" s="605"/>
      <c r="D23" s="606"/>
      <c r="E23" s="606"/>
      <c r="F23" s="606"/>
      <c r="G23" s="607"/>
      <c r="H23" s="204"/>
      <c r="I23" s="204"/>
      <c r="J23" s="204"/>
      <c r="K23" s="66"/>
      <c r="L23" s="71"/>
      <c r="M23" s="71"/>
      <c r="Q23" s="52"/>
    </row>
    <row r="24" spans="1:125" s="187" customFormat="1" ht="18" customHeight="1">
      <c r="A24" s="202"/>
      <c r="C24" s="608"/>
      <c r="D24" s="609"/>
      <c r="E24" s="609"/>
      <c r="F24" s="609"/>
      <c r="G24" s="610"/>
      <c r="H24" s="204"/>
      <c r="I24" s="204"/>
      <c r="J24" s="204"/>
      <c r="K24" s="66"/>
      <c r="L24" s="71"/>
      <c r="M24" s="71"/>
      <c r="Q24" s="52"/>
    </row>
    <row r="25" spans="1:125" s="188" customFormat="1" ht="14.5">
      <c r="A25" s="205"/>
      <c r="C25" s="206"/>
      <c r="D25" s="207"/>
      <c r="E25" s="208"/>
      <c r="F25" s="208"/>
      <c r="G25" s="208"/>
      <c r="H25" s="208"/>
      <c r="I25" s="52"/>
      <c r="J25" s="52"/>
      <c r="K25" s="286"/>
      <c r="L25" s="287"/>
      <c r="M25" s="287"/>
      <c r="N25" s="288"/>
      <c r="O25" s="288"/>
      <c r="P25" s="288"/>
      <c r="Q25" s="288"/>
      <c r="R25" s="325"/>
    </row>
    <row r="26" spans="1:125" s="188" customFormat="1" ht="58">
      <c r="A26" s="205"/>
      <c r="C26" s="209" t="str">
        <f>"波动范围 ("&amp;D11&amp;"):"</f>
        <v>波动范围 (将明细账与管理层报表进行核对，并对差异大于SAD的项目进行调查。):</v>
      </c>
      <c r="D26" s="210">
        <f>汇总!$F$21</f>
        <v>5250000</v>
      </c>
      <c r="E26" s="211"/>
      <c r="F26" s="211"/>
      <c r="G26" s="211"/>
      <c r="H26" s="211"/>
      <c r="I26" s="211"/>
      <c r="J26" s="211"/>
      <c r="K26" s="211"/>
      <c r="L26" s="288"/>
      <c r="M26" s="288"/>
      <c r="N26" s="288"/>
      <c r="O26" s="288"/>
      <c r="P26" s="288"/>
      <c r="Q26" s="288"/>
      <c r="R26" s="325"/>
    </row>
    <row r="27" spans="1:125" s="188" customFormat="1" ht="14.5">
      <c r="A27" s="205"/>
      <c r="C27" s="212" t="s">
        <v>139</v>
      </c>
      <c r="D27" s="213">
        <v>0.1</v>
      </c>
      <c r="E27" s="214"/>
      <c r="F27" s="214"/>
      <c r="G27" s="214"/>
      <c r="H27" s="214"/>
      <c r="I27" s="214"/>
      <c r="J27" s="214"/>
      <c r="K27" s="214"/>
      <c r="L27" s="288"/>
      <c r="M27" s="288"/>
      <c r="N27" s="288"/>
      <c r="O27" s="288"/>
      <c r="P27" s="288"/>
      <c r="Q27" s="288"/>
      <c r="R27" s="325"/>
    </row>
    <row r="28" spans="1:125" ht="12.65" customHeight="1">
      <c r="A28" s="195"/>
      <c r="C28" s="201"/>
      <c r="D28" s="201"/>
      <c r="E28" s="201"/>
      <c r="F28" s="201"/>
      <c r="G28" s="201"/>
      <c r="H28" s="52"/>
      <c r="I28" s="52"/>
      <c r="J28" s="278"/>
      <c r="K28" s="278"/>
      <c r="L28" s="278"/>
      <c r="CS28" s="348"/>
      <c r="CT28" s="348"/>
      <c r="CU28" s="191"/>
      <c r="CV28" s="343"/>
      <c r="CW28" s="343"/>
      <c r="CX28" s="343"/>
      <c r="CY28" s="343"/>
      <c r="CZ28" s="343"/>
      <c r="DA28" s="343"/>
      <c r="DB28" s="343"/>
      <c r="DC28" s="343"/>
      <c r="DD28" s="348"/>
      <c r="DE28" s="343"/>
      <c r="DF28" s="343"/>
      <c r="DG28" s="343"/>
      <c r="DH28" s="343"/>
      <c r="DI28" s="343"/>
      <c r="DJ28" s="348"/>
      <c r="DK28" s="348"/>
      <c r="DL28" s="348"/>
      <c r="DM28" s="348"/>
      <c r="DN28" s="348"/>
      <c r="DO28" s="348"/>
      <c r="DP28" s="348"/>
      <c r="DQ28" s="348"/>
      <c r="DR28" s="348"/>
      <c r="DS28" s="355"/>
      <c r="DT28" s="348"/>
      <c r="DU28" s="362"/>
    </row>
    <row r="29" spans="1:125" ht="12.75" customHeight="1">
      <c r="A29" s="195"/>
      <c r="C29" s="215"/>
      <c r="D29" s="216"/>
      <c r="E29" s="208"/>
      <c r="F29" s="208" t="s">
        <v>100</v>
      </c>
      <c r="G29" s="217"/>
      <c r="H29" s="215" t="s">
        <v>101</v>
      </c>
      <c r="I29" s="208" t="s">
        <v>102</v>
      </c>
      <c r="J29" s="215"/>
      <c r="K29" s="215"/>
      <c r="L29" s="215" t="s">
        <v>103</v>
      </c>
      <c r="M29" s="208" t="s">
        <v>104</v>
      </c>
      <c r="N29" s="215" t="s">
        <v>105</v>
      </c>
      <c r="O29" s="215" t="s">
        <v>106</v>
      </c>
      <c r="P29" s="215" t="s">
        <v>107</v>
      </c>
      <c r="CK29" s="191"/>
      <c r="CL29" s="191"/>
      <c r="CM29" s="191"/>
      <c r="CN29" s="343"/>
      <c r="CO29" s="343"/>
      <c r="CP29" s="343"/>
      <c r="CQ29" s="343"/>
      <c r="CR29" s="343"/>
      <c r="CS29" s="343"/>
      <c r="CT29" s="343"/>
      <c r="CU29" s="343"/>
      <c r="CV29" s="191"/>
      <c r="CW29" s="343"/>
      <c r="CX29" s="343"/>
      <c r="CY29" s="343"/>
      <c r="CZ29" s="343"/>
      <c r="DA29" s="343"/>
      <c r="DB29" s="191"/>
      <c r="DC29" s="191"/>
      <c r="DD29" s="191"/>
      <c r="DE29" s="191"/>
      <c r="DF29" s="191"/>
      <c r="DG29" s="191"/>
      <c r="DH29" s="191"/>
      <c r="DI29" s="191"/>
      <c r="DJ29" s="191"/>
      <c r="DK29" s="353"/>
      <c r="DL29" s="191"/>
      <c r="DM29" s="191"/>
    </row>
    <row r="30" spans="1:125" ht="15" thickBot="1">
      <c r="A30" s="195" t="s">
        <v>140</v>
      </c>
      <c r="C30" s="218" t="s">
        <v>72</v>
      </c>
      <c r="D30" s="219" t="s">
        <v>72</v>
      </c>
      <c r="E30" s="219" t="s">
        <v>72</v>
      </c>
      <c r="F30" s="220" t="s">
        <v>72</v>
      </c>
      <c r="G30" s="221"/>
      <c r="H30" s="221"/>
      <c r="I30" s="289"/>
      <c r="J30" s="290"/>
      <c r="K30" s="289"/>
      <c r="L30" s="221"/>
      <c r="M30" s="289"/>
      <c r="N30" s="291"/>
      <c r="O30" s="289"/>
      <c r="P30" s="292"/>
      <c r="Q30" s="326"/>
      <c r="R30" s="327"/>
      <c r="CJ30" s="191"/>
      <c r="CK30" s="191"/>
      <c r="CL30" s="191"/>
      <c r="CM30" s="343"/>
      <c r="CN30" s="343"/>
      <c r="CO30" s="343"/>
      <c r="CP30" s="343"/>
      <c r="CQ30" s="343"/>
      <c r="CR30" s="343"/>
      <c r="CS30" s="343"/>
      <c r="CT30" s="343"/>
      <c r="CU30" s="191"/>
      <c r="CV30" s="343"/>
      <c r="CW30" s="343"/>
      <c r="CX30" s="343"/>
      <c r="CY30" s="343"/>
      <c r="CZ30" s="343"/>
      <c r="DA30" s="191"/>
      <c r="DB30" s="191"/>
      <c r="DC30" s="191"/>
      <c r="DD30" s="191"/>
      <c r="DE30" s="191"/>
      <c r="DF30" s="191"/>
      <c r="DG30" s="191"/>
      <c r="DH30" s="191"/>
      <c r="DI30" s="191"/>
      <c r="DJ30" s="354"/>
      <c r="DK30" s="191"/>
      <c r="DL30" s="191"/>
    </row>
    <row r="31" spans="1:125" ht="0.25" customHeight="1">
      <c r="A31" s="195"/>
      <c r="C31" s="222"/>
      <c r="D31" s="223"/>
      <c r="E31" s="224"/>
      <c r="F31" s="225"/>
      <c r="G31" s="223"/>
      <c r="H31" s="226"/>
      <c r="I31" s="226">
        <f t="shared" ref="I31" si="0">F31+H31</f>
        <v>0</v>
      </c>
      <c r="J31" s="293">
        <f>IF($I$45&lt;&gt;0,I31/$I$45,"")</f>
        <v>0</v>
      </c>
      <c r="K31" s="223"/>
      <c r="L31" s="226"/>
      <c r="M31" s="294">
        <f t="shared" ref="M31" si="1">I31+L31</f>
        <v>0</v>
      </c>
      <c r="N31" s="294"/>
      <c r="O31" s="225">
        <f t="shared" ref="O31" si="2">M31-N31</f>
        <v>0</v>
      </c>
      <c r="P31" s="295">
        <f>IF(N31&lt;&gt;0,O31/N31,1)</f>
        <v>1</v>
      </c>
      <c r="Q31" s="223"/>
      <c r="R31" s="328"/>
      <c r="CJ31" s="191"/>
      <c r="CK31" s="191"/>
      <c r="CL31" s="191"/>
      <c r="CM31" s="343"/>
      <c r="CN31" s="343"/>
      <c r="CO31" s="343"/>
      <c r="CP31" s="343"/>
      <c r="CQ31" s="343"/>
      <c r="CR31" s="343"/>
      <c r="CS31" s="343"/>
      <c r="CT31" s="343"/>
      <c r="CU31" s="191"/>
      <c r="CV31" s="343"/>
      <c r="CW31" s="343"/>
      <c r="CX31" s="343"/>
      <c r="CY31" s="343"/>
      <c r="CZ31" s="343"/>
      <c r="DA31" s="191"/>
      <c r="DB31" s="191"/>
      <c r="DC31" s="191"/>
      <c r="DD31" s="191"/>
      <c r="DE31" s="191"/>
      <c r="DF31" s="191"/>
      <c r="DG31" s="191"/>
      <c r="DH31" s="191"/>
      <c r="DI31" s="191"/>
      <c r="DJ31" s="354"/>
      <c r="DK31" s="191"/>
      <c r="DL31" s="191"/>
    </row>
    <row r="32" spans="1:125" ht="12.65" customHeight="1">
      <c r="A32" s="195"/>
      <c r="B32" s="227" t="s">
        <v>94</v>
      </c>
      <c r="C32" s="228"/>
      <c r="D32" s="229"/>
      <c r="E32" s="230"/>
      <c r="F32" s="231"/>
      <c r="G32" s="232"/>
      <c r="H32" s="232"/>
      <c r="I32" s="232" t="s">
        <v>141</v>
      </c>
      <c r="J32" s="232"/>
      <c r="K32" s="232"/>
      <c r="L32" s="232"/>
      <c r="M32" s="296"/>
      <c r="N32" s="297">
        <f>DATE(YEAR(汇总!$D$5)-1,12,31)</f>
        <v>45291</v>
      </c>
      <c r="O32" s="298" t="s">
        <v>108</v>
      </c>
      <c r="P32" s="299"/>
      <c r="Q32" s="329"/>
      <c r="R32" s="330"/>
      <c r="CI32" s="191"/>
      <c r="CJ32" s="191"/>
      <c r="CK32" s="191"/>
      <c r="CL32" s="343"/>
      <c r="CM32" s="343"/>
      <c r="CN32" s="343"/>
      <c r="CO32" s="343"/>
      <c r="CP32" s="343"/>
      <c r="CQ32" s="343"/>
      <c r="CR32" s="343"/>
      <c r="CS32" s="343"/>
      <c r="CT32" s="191"/>
      <c r="CU32" s="343"/>
      <c r="CV32" s="343"/>
      <c r="CW32" s="343"/>
      <c r="CX32" s="343"/>
      <c r="CY32" s="343"/>
      <c r="CZ32" s="191"/>
      <c r="DA32" s="191"/>
      <c r="DB32" s="191"/>
      <c r="DC32" s="191"/>
      <c r="DD32" s="191"/>
      <c r="DE32" s="191"/>
      <c r="DF32" s="191"/>
      <c r="DG32" s="191"/>
      <c r="DH32" s="191"/>
      <c r="DI32" s="355"/>
      <c r="DJ32" s="191"/>
      <c r="DK32" s="191"/>
    </row>
    <row r="33" spans="1:116" ht="46.5" customHeight="1">
      <c r="A33" s="195"/>
      <c r="B33" s="233"/>
      <c r="C33" s="234" t="s">
        <v>142</v>
      </c>
      <c r="D33" s="235" t="s">
        <v>143</v>
      </c>
      <c r="E33" s="236" t="s">
        <v>109</v>
      </c>
      <c r="F33" s="237" t="s">
        <v>111</v>
      </c>
      <c r="G33" s="238" t="s">
        <v>144</v>
      </c>
      <c r="H33" s="238" t="s">
        <v>112</v>
      </c>
      <c r="I33" s="300" t="s">
        <v>113</v>
      </c>
      <c r="J33" s="300" t="s">
        <v>145</v>
      </c>
      <c r="K33" s="238" t="s">
        <v>146</v>
      </c>
      <c r="L33" s="301" t="s">
        <v>114</v>
      </c>
      <c r="M33" s="302" t="s">
        <v>115</v>
      </c>
      <c r="N33" s="303" t="s">
        <v>147</v>
      </c>
      <c r="O33" s="304" t="s">
        <v>117</v>
      </c>
      <c r="P33" s="305" t="s">
        <v>148</v>
      </c>
      <c r="Q33" s="331" t="s">
        <v>149</v>
      </c>
      <c r="R33" s="332" t="s">
        <v>119</v>
      </c>
      <c r="CI33" s="191"/>
      <c r="CJ33" s="191"/>
      <c r="CK33" s="191"/>
      <c r="CL33" s="343"/>
      <c r="CM33" s="343"/>
      <c r="CN33" s="343"/>
      <c r="CO33" s="343"/>
      <c r="CP33" s="343"/>
      <c r="CQ33" s="343"/>
      <c r="CR33" s="343"/>
      <c r="CS33" s="343"/>
      <c r="CT33" s="191"/>
      <c r="CU33" s="343"/>
      <c r="CV33" s="343"/>
      <c r="CW33" s="343"/>
      <c r="CX33" s="343"/>
      <c r="CY33" s="343"/>
      <c r="CZ33" s="191"/>
      <c r="DA33" s="191"/>
      <c r="DB33" s="191"/>
      <c r="DC33" s="191"/>
      <c r="DD33" s="191"/>
      <c r="DE33" s="191"/>
      <c r="DF33" s="191"/>
      <c r="DG33" s="191"/>
      <c r="DH33" s="191"/>
      <c r="DI33" s="355"/>
      <c r="DJ33" s="191"/>
      <c r="DK33" s="191"/>
    </row>
    <row r="34" spans="1:116" ht="12.65" customHeight="1">
      <c r="A34" s="195"/>
      <c r="B34" s="239"/>
      <c r="C34" s="244" t="s">
        <v>150</v>
      </c>
      <c r="D34" s="240" t="s">
        <v>151</v>
      </c>
      <c r="E34" s="560" t="s">
        <v>152</v>
      </c>
      <c r="F34" s="241">
        <v>-1848786.96</v>
      </c>
      <c r="G34" s="240"/>
      <c r="H34" s="242"/>
      <c r="I34" s="242">
        <f t="shared" ref="I34:I41" si="3">F34+H34</f>
        <v>-1848786.96</v>
      </c>
      <c r="J34" s="306">
        <f t="shared" ref="J34:J42" si="4">IF($I$45&lt;&gt;0,I34/$I$45,"")</f>
        <v>-9.4998327934393181E-2</v>
      </c>
      <c r="K34" s="240"/>
      <c r="L34" s="242"/>
      <c r="M34" s="307">
        <f>I34+L34</f>
        <v>-1848786.96</v>
      </c>
      <c r="N34" s="307">
        <v>-3235152.5</v>
      </c>
      <c r="O34" s="241">
        <f t="shared" ref="O34:O41" si="5">M34-N34</f>
        <v>1386365.54</v>
      </c>
      <c r="P34" s="308">
        <f>IF(N34&lt;&gt;0,O34/N34,1)</f>
        <v>-0.42853174309402725</v>
      </c>
      <c r="Q34" s="240" t="s">
        <v>153</v>
      </c>
      <c r="R34" s="333" t="s">
        <v>154</v>
      </c>
      <c r="CI34" s="191"/>
      <c r="CJ34" s="191"/>
      <c r="CK34" s="191"/>
      <c r="CL34" s="343"/>
      <c r="CM34" s="343"/>
      <c r="CN34" s="343"/>
      <c r="CO34" s="343"/>
      <c r="CP34" s="343"/>
      <c r="CQ34" s="343"/>
      <c r="CR34" s="343"/>
      <c r="CS34" s="343"/>
      <c r="CT34" s="191"/>
      <c r="CU34" s="343"/>
      <c r="CV34" s="343"/>
      <c r="CW34" s="343"/>
      <c r="CX34" s="343"/>
      <c r="CY34" s="343"/>
      <c r="CZ34" s="191"/>
      <c r="DA34" s="191"/>
      <c r="DB34" s="191"/>
      <c r="DC34" s="191"/>
      <c r="DD34" s="191"/>
      <c r="DE34" s="191"/>
      <c r="DF34" s="191"/>
      <c r="DG34" s="191"/>
      <c r="DH34" s="191"/>
      <c r="DI34" s="354"/>
      <c r="DJ34" s="191"/>
      <c r="DK34" s="191"/>
    </row>
    <row r="35" spans="1:116" ht="12.65" customHeight="1">
      <c r="A35" s="195"/>
      <c r="B35" s="239"/>
      <c r="C35" s="244" t="s">
        <v>150</v>
      </c>
      <c r="D35" s="240" t="s">
        <v>155</v>
      </c>
      <c r="E35" s="560" t="s">
        <v>156</v>
      </c>
      <c r="F35" s="241">
        <v>-415932.67</v>
      </c>
      <c r="G35" s="240"/>
      <c r="H35" s="242"/>
      <c r="I35" s="242">
        <f t="shared" si="3"/>
        <v>-415932.67</v>
      </c>
      <c r="J35" s="306">
        <f t="shared" si="4"/>
        <v>-2.137234253496019E-2</v>
      </c>
      <c r="K35" s="240"/>
      <c r="L35" s="242"/>
      <c r="M35" s="307">
        <f t="shared" ref="M35:M42" si="6">I35+L35</f>
        <v>-415932.67</v>
      </c>
      <c r="N35" s="307">
        <v>-1482021.05</v>
      </c>
      <c r="O35" s="241">
        <f t="shared" si="5"/>
        <v>1066088.3800000001</v>
      </c>
      <c r="P35" s="308">
        <f t="shared" ref="P35:P43" si="7">IF(N35&lt;&gt;0,O35/N35,1)</f>
        <v>-0.7193476637865569</v>
      </c>
      <c r="Q35" s="240" t="s">
        <v>153</v>
      </c>
      <c r="R35" s="333" t="s">
        <v>154</v>
      </c>
      <c r="CI35" s="191"/>
      <c r="CJ35" s="191"/>
      <c r="CK35" s="191"/>
      <c r="CL35" s="343"/>
      <c r="CM35" s="343"/>
      <c r="CN35" s="343"/>
      <c r="CO35" s="343"/>
      <c r="CP35" s="343"/>
      <c r="CQ35" s="343"/>
      <c r="CR35" s="343"/>
      <c r="CS35" s="343"/>
      <c r="CT35" s="191"/>
      <c r="CU35" s="343"/>
      <c r="CV35" s="343"/>
      <c r="CW35" s="343"/>
      <c r="CX35" s="343"/>
      <c r="CY35" s="343"/>
      <c r="CZ35" s="191"/>
      <c r="DA35" s="191"/>
      <c r="DB35" s="191"/>
      <c r="DC35" s="191"/>
      <c r="DD35" s="191"/>
      <c r="DE35" s="191"/>
      <c r="DF35" s="191"/>
      <c r="DG35" s="191"/>
      <c r="DH35" s="191"/>
      <c r="DI35" s="354"/>
      <c r="DJ35" s="191"/>
      <c r="DK35" s="191"/>
    </row>
    <row r="36" spans="1:116" ht="12.65" customHeight="1">
      <c r="A36" s="195"/>
      <c r="B36" s="239"/>
      <c r="C36" s="244" t="s">
        <v>150</v>
      </c>
      <c r="D36" s="240" t="s">
        <v>157</v>
      </c>
      <c r="E36" s="560" t="s">
        <v>158</v>
      </c>
      <c r="F36" s="243">
        <v>-40017319.149999999</v>
      </c>
      <c r="G36" s="223"/>
      <c r="H36" s="242"/>
      <c r="I36" s="242">
        <f t="shared" si="3"/>
        <v>-40017319.149999999</v>
      </c>
      <c r="J36" s="306">
        <f t="shared" si="4"/>
        <v>-2.0562555285801953</v>
      </c>
      <c r="K36" s="240"/>
      <c r="L36" s="242"/>
      <c r="M36" s="307">
        <f t="shared" si="6"/>
        <v>-40017319.149999999</v>
      </c>
      <c r="N36" s="307">
        <v>-35780625.210000001</v>
      </c>
      <c r="O36" s="241">
        <f t="shared" si="5"/>
        <v>-4236693.9399999976</v>
      </c>
      <c r="P36" s="308">
        <f t="shared" si="7"/>
        <v>0.11840748771533267</v>
      </c>
      <c r="Q36" s="240"/>
      <c r="R36" s="333" t="s">
        <v>154</v>
      </c>
      <c r="S36" s="334"/>
      <c r="CI36" s="191"/>
      <c r="CJ36" s="191"/>
      <c r="CK36" s="191"/>
      <c r="CL36" s="343"/>
      <c r="CM36" s="343"/>
      <c r="CN36" s="343"/>
      <c r="CO36" s="343"/>
      <c r="CP36" s="343"/>
      <c r="CQ36" s="343"/>
      <c r="CR36" s="343"/>
      <c r="CS36" s="343"/>
      <c r="CT36" s="191"/>
      <c r="CU36" s="343"/>
      <c r="CV36" s="343"/>
      <c r="CW36" s="343"/>
      <c r="CX36" s="343"/>
      <c r="CY36" s="343"/>
      <c r="CZ36" s="191"/>
      <c r="DA36" s="191"/>
      <c r="DB36" s="191"/>
      <c r="DC36" s="191"/>
      <c r="DD36" s="191"/>
      <c r="DE36" s="191"/>
      <c r="DF36" s="191"/>
      <c r="DG36" s="191"/>
      <c r="DH36" s="191"/>
      <c r="DI36" s="354"/>
      <c r="DJ36" s="191"/>
      <c r="DK36" s="191"/>
    </row>
    <row r="37" spans="1:116" ht="12.65" customHeight="1">
      <c r="A37" s="195"/>
      <c r="B37" s="239"/>
      <c r="C37" s="244" t="s">
        <v>150</v>
      </c>
      <c r="D37" s="240" t="s">
        <v>159</v>
      </c>
      <c r="E37" s="560" t="s">
        <v>160</v>
      </c>
      <c r="F37" s="243">
        <v>54699886.469999999</v>
      </c>
      <c r="G37" s="223"/>
      <c r="H37" s="242"/>
      <c r="I37" s="242">
        <f t="shared" si="3"/>
        <v>54699886.469999999</v>
      </c>
      <c r="J37" s="306">
        <f t="shared" si="4"/>
        <v>2.8107066229259519</v>
      </c>
      <c r="K37" s="240"/>
      <c r="L37" s="242"/>
      <c r="M37" s="307">
        <f t="shared" si="6"/>
        <v>54699886.469999999</v>
      </c>
      <c r="N37" s="307">
        <v>52778366.869999997</v>
      </c>
      <c r="O37" s="241">
        <f t="shared" si="5"/>
        <v>1921519.6000000015</v>
      </c>
      <c r="P37" s="308">
        <f t="shared" si="7"/>
        <v>3.6407333420015724E-2</v>
      </c>
      <c r="Q37" s="240" t="s">
        <v>161</v>
      </c>
      <c r="R37" s="333" t="s">
        <v>162</v>
      </c>
      <c r="S37" s="335"/>
      <c r="CI37" s="191"/>
      <c r="CJ37" s="191"/>
      <c r="CK37" s="191"/>
      <c r="CL37" s="343"/>
      <c r="CM37" s="343"/>
      <c r="CN37" s="343"/>
      <c r="CO37" s="343"/>
      <c r="CP37" s="343"/>
      <c r="CQ37" s="343"/>
      <c r="CR37" s="343"/>
      <c r="CS37" s="343"/>
      <c r="CT37" s="191"/>
      <c r="CU37" s="343"/>
      <c r="CV37" s="343"/>
      <c r="CW37" s="343"/>
      <c r="CX37" s="343"/>
      <c r="CY37" s="343"/>
      <c r="CZ37" s="191"/>
      <c r="DA37" s="191"/>
      <c r="DB37" s="191"/>
      <c r="DC37" s="191"/>
      <c r="DD37" s="191"/>
      <c r="DE37" s="191"/>
      <c r="DF37" s="191"/>
      <c r="DG37" s="191"/>
      <c r="DH37" s="191"/>
      <c r="DI37" s="354"/>
      <c r="DJ37" s="191"/>
      <c r="DK37" s="191"/>
    </row>
    <row r="38" spans="1:116" ht="12.65" customHeight="1">
      <c r="A38" s="195"/>
      <c r="B38" s="239"/>
      <c r="C38" s="244" t="s">
        <v>150</v>
      </c>
      <c r="D38" s="240" t="s">
        <v>163</v>
      </c>
      <c r="E38" s="560" t="s">
        <v>164</v>
      </c>
      <c r="F38" s="243">
        <v>2445128.5699999998</v>
      </c>
      <c r="G38" s="223"/>
      <c r="H38" s="242"/>
      <c r="I38" s="242">
        <f t="shared" si="3"/>
        <v>2445128.5699999998</v>
      </c>
      <c r="J38" s="306">
        <f t="shared" si="4"/>
        <v>0.12564082869483992</v>
      </c>
      <c r="K38" s="240"/>
      <c r="L38" s="242"/>
      <c r="M38" s="307">
        <f t="shared" si="6"/>
        <v>2445128.5699999998</v>
      </c>
      <c r="N38" s="307">
        <v>4745311.1100000003</v>
      </c>
      <c r="O38" s="241">
        <f t="shared" si="5"/>
        <v>-2300182.5400000005</v>
      </c>
      <c r="P38" s="308">
        <f t="shared" si="7"/>
        <v>-0.4847274470903975</v>
      </c>
      <c r="Q38" s="240" t="s">
        <v>161</v>
      </c>
      <c r="R38" s="333" t="s">
        <v>162</v>
      </c>
      <c r="CI38" s="191"/>
      <c r="CJ38" s="191"/>
      <c r="CK38" s="191"/>
      <c r="CL38" s="343"/>
      <c r="CM38" s="343"/>
      <c r="CN38" s="343"/>
      <c r="CO38" s="343"/>
      <c r="CP38" s="343"/>
      <c r="CQ38" s="343"/>
      <c r="CR38" s="343"/>
      <c r="CS38" s="343"/>
      <c r="CT38" s="191"/>
      <c r="CU38" s="343"/>
      <c r="CV38" s="343"/>
      <c r="CW38" s="343"/>
      <c r="CX38" s="343"/>
      <c r="CY38" s="343"/>
      <c r="CZ38" s="191"/>
      <c r="DA38" s="191"/>
      <c r="DB38" s="191"/>
      <c r="DC38" s="191"/>
      <c r="DD38" s="191"/>
      <c r="DE38" s="191"/>
      <c r="DF38" s="191"/>
      <c r="DG38" s="191"/>
      <c r="DH38" s="191"/>
      <c r="DI38" s="354"/>
      <c r="DJ38" s="191"/>
      <c r="DK38" s="191"/>
    </row>
    <row r="39" spans="1:116" ht="12.65" customHeight="1">
      <c r="A39" s="195"/>
      <c r="B39" s="239"/>
      <c r="C39" s="244" t="s">
        <v>150</v>
      </c>
      <c r="D39" s="240" t="s">
        <v>165</v>
      </c>
      <c r="E39" s="560" t="s">
        <v>166</v>
      </c>
      <c r="F39" s="243">
        <v>20704523.91</v>
      </c>
      <c r="G39" s="223"/>
      <c r="H39" s="242"/>
      <c r="I39" s="242">
        <f t="shared" si="3"/>
        <v>20704523.91</v>
      </c>
      <c r="J39" s="306">
        <f t="shared" si="4"/>
        <v>1.0638841546825193</v>
      </c>
      <c r="K39" s="240"/>
      <c r="L39" s="242"/>
      <c r="M39" s="307">
        <f t="shared" si="6"/>
        <v>20704523.91</v>
      </c>
      <c r="N39" s="307">
        <v>9520602.5299999993</v>
      </c>
      <c r="O39" s="241">
        <f t="shared" si="5"/>
        <v>11183921.380000001</v>
      </c>
      <c r="P39" s="308">
        <f t="shared" si="7"/>
        <v>1.1747073092022047</v>
      </c>
      <c r="Q39" s="240" t="s">
        <v>161</v>
      </c>
      <c r="R39" s="333" t="s">
        <v>167</v>
      </c>
      <c r="CI39" s="191"/>
      <c r="CJ39" s="191"/>
      <c r="CK39" s="191"/>
      <c r="CL39" s="343"/>
      <c r="CM39" s="343"/>
      <c r="CN39" s="343"/>
      <c r="CO39" s="343"/>
      <c r="CP39" s="343"/>
      <c r="CQ39" s="343"/>
      <c r="CR39" s="343"/>
      <c r="CS39" s="343"/>
      <c r="CT39" s="191"/>
      <c r="CU39" s="343"/>
      <c r="CV39" s="343"/>
      <c r="CW39" s="343"/>
      <c r="CX39" s="343"/>
      <c r="CY39" s="343"/>
      <c r="CZ39" s="191"/>
      <c r="DA39" s="191"/>
      <c r="DB39" s="191"/>
      <c r="DC39" s="191"/>
      <c r="DD39" s="191"/>
      <c r="DE39" s="191"/>
      <c r="DF39" s="191"/>
      <c r="DG39" s="191"/>
      <c r="DH39" s="191"/>
      <c r="DI39" s="354"/>
      <c r="DJ39" s="191"/>
      <c r="DK39" s="191"/>
    </row>
    <row r="40" spans="1:116" ht="12.65" customHeight="1">
      <c r="A40" s="195"/>
      <c r="B40" s="239"/>
      <c r="C40" s="244" t="s">
        <v>150</v>
      </c>
      <c r="D40" s="240" t="s">
        <v>168</v>
      </c>
      <c r="E40" s="560" t="s">
        <v>169</v>
      </c>
      <c r="F40" s="241">
        <v>267355.98</v>
      </c>
      <c r="G40" s="240"/>
      <c r="H40" s="242"/>
      <c r="I40" s="242">
        <f t="shared" si="3"/>
        <v>267355.98</v>
      </c>
      <c r="J40" s="306">
        <f t="shared" si="4"/>
        <v>1.3737857099154932E-2</v>
      </c>
      <c r="K40" s="561" t="s">
        <v>123</v>
      </c>
      <c r="L40" s="242">
        <f>Uexp_Lead!F34</f>
        <v>-19158.48</v>
      </c>
      <c r="M40" s="307">
        <f t="shared" si="6"/>
        <v>248197.49999999997</v>
      </c>
      <c r="N40" s="307">
        <v>0</v>
      </c>
      <c r="O40" s="241">
        <f t="shared" si="5"/>
        <v>248197.49999999997</v>
      </c>
      <c r="P40" s="308">
        <f t="shared" si="7"/>
        <v>1</v>
      </c>
      <c r="Q40" s="240" t="s">
        <v>170</v>
      </c>
      <c r="R40" s="333"/>
      <c r="CI40" s="191"/>
      <c r="CJ40" s="191"/>
      <c r="CK40" s="191"/>
      <c r="CL40" s="343"/>
      <c r="CM40" s="343"/>
      <c r="CN40" s="343"/>
      <c r="CO40" s="343"/>
      <c r="CP40" s="343"/>
      <c r="CQ40" s="343"/>
      <c r="CR40" s="343"/>
      <c r="CS40" s="343"/>
      <c r="CT40" s="191"/>
      <c r="CU40" s="343"/>
      <c r="CV40" s="343"/>
      <c r="CW40" s="343"/>
      <c r="CX40" s="343"/>
      <c r="CY40" s="343"/>
      <c r="CZ40" s="191"/>
      <c r="DA40" s="191"/>
      <c r="DB40" s="191"/>
      <c r="DC40" s="191"/>
      <c r="DD40" s="191"/>
      <c r="DE40" s="191"/>
      <c r="DF40" s="191"/>
      <c r="DG40" s="191"/>
      <c r="DH40" s="191"/>
      <c r="DI40" s="354"/>
      <c r="DJ40" s="191"/>
      <c r="DK40" s="191"/>
    </row>
    <row r="41" spans="1:116" ht="12.65" customHeight="1">
      <c r="A41" s="195"/>
      <c r="B41" s="239"/>
      <c r="C41" s="244" t="s">
        <v>150</v>
      </c>
      <c r="D41" s="240" t="s">
        <v>171</v>
      </c>
      <c r="E41" s="560" t="s">
        <v>172</v>
      </c>
      <c r="F41" s="241">
        <v>26911.79</v>
      </c>
      <c r="G41" s="240"/>
      <c r="H41" s="242"/>
      <c r="I41" s="242">
        <f t="shared" si="3"/>
        <v>26911.79</v>
      </c>
      <c r="J41" s="306">
        <f t="shared" si="4"/>
        <v>1.3828391843057587E-3</v>
      </c>
      <c r="K41" s="240"/>
      <c r="L41" s="242"/>
      <c r="M41" s="307">
        <f t="shared" si="6"/>
        <v>26911.79</v>
      </c>
      <c r="N41" s="307">
        <v>92655.179999994099</v>
      </c>
      <c r="O41" s="241">
        <f t="shared" si="5"/>
        <v>-65743.389999994106</v>
      </c>
      <c r="P41" s="308">
        <f t="shared" si="7"/>
        <v>-0.70954899661301496</v>
      </c>
      <c r="Q41" s="240"/>
      <c r="R41" s="333"/>
      <c r="CI41" s="191"/>
      <c r="CJ41" s="191"/>
      <c r="CK41" s="191"/>
      <c r="CL41" s="343"/>
      <c r="CM41" s="343"/>
      <c r="CN41" s="343"/>
      <c r="CO41" s="343"/>
      <c r="CP41" s="343"/>
      <c r="CQ41" s="343"/>
      <c r="CR41" s="343"/>
      <c r="CS41" s="343"/>
      <c r="CT41" s="191"/>
      <c r="CU41" s="343"/>
      <c r="CV41" s="343"/>
      <c r="CW41" s="343"/>
      <c r="CX41" s="343"/>
      <c r="CY41" s="343"/>
      <c r="CZ41" s="191"/>
      <c r="DA41" s="191"/>
      <c r="DB41" s="191"/>
      <c r="DC41" s="191"/>
      <c r="DD41" s="191"/>
      <c r="DE41" s="191"/>
      <c r="DF41" s="191"/>
      <c r="DG41" s="191"/>
      <c r="DH41" s="191"/>
      <c r="DI41" s="354"/>
      <c r="DJ41" s="191"/>
      <c r="DK41" s="191"/>
    </row>
    <row r="42" spans="1:116" ht="12.65" customHeight="1">
      <c r="A42" s="195"/>
      <c r="B42" s="245"/>
      <c r="C42" s="244" t="s">
        <v>150</v>
      </c>
      <c r="D42" s="240" t="s">
        <v>173</v>
      </c>
      <c r="E42" s="560" t="s">
        <v>174</v>
      </c>
      <c r="F42" s="241">
        <v>-16400510.039999999</v>
      </c>
      <c r="G42" s="240"/>
      <c r="H42" s="242"/>
      <c r="I42" s="242">
        <f t="shared" ref="I42:I43" si="8">F42+H42</f>
        <v>-16400510.039999999</v>
      </c>
      <c r="J42" s="306">
        <f t="shared" si="4"/>
        <v>-0.8427261035372231</v>
      </c>
      <c r="K42" s="240"/>
      <c r="L42" s="242"/>
      <c r="M42" s="307">
        <f t="shared" si="6"/>
        <v>-16400510.039999999</v>
      </c>
      <c r="N42" s="241">
        <v>-27828237.390000001</v>
      </c>
      <c r="O42" s="241">
        <f t="shared" ref="O42:O43" si="9">M42-N42</f>
        <v>11427727.350000001</v>
      </c>
      <c r="P42" s="308">
        <f t="shared" si="7"/>
        <v>-0.41065221594331097</v>
      </c>
      <c r="Q42" s="240"/>
      <c r="R42" s="333" t="s">
        <v>175</v>
      </c>
      <c r="CI42" s="191"/>
      <c r="CJ42" s="191"/>
      <c r="CK42" s="191"/>
      <c r="CL42" s="343"/>
      <c r="CM42" s="343"/>
      <c r="CN42" s="343"/>
      <c r="CO42" s="343"/>
      <c r="CP42" s="343"/>
      <c r="CQ42" s="343"/>
      <c r="CR42" s="343"/>
      <c r="CS42" s="343"/>
      <c r="CT42" s="191"/>
      <c r="CU42" s="343"/>
      <c r="CV42" s="343"/>
      <c r="CW42" s="343"/>
      <c r="CX42" s="343"/>
      <c r="CY42" s="343"/>
      <c r="CZ42" s="191"/>
      <c r="DA42" s="191"/>
      <c r="DB42" s="191"/>
      <c r="DC42" s="191"/>
      <c r="DD42" s="191"/>
      <c r="DE42" s="191"/>
      <c r="DF42" s="191"/>
      <c r="DG42" s="191"/>
      <c r="DH42" s="191"/>
      <c r="DI42" s="354"/>
      <c r="DJ42" s="191"/>
      <c r="DK42" s="191"/>
    </row>
    <row r="43" spans="1:116" ht="12.65" customHeight="1">
      <c r="A43" s="195" t="s">
        <v>176</v>
      </c>
      <c r="C43" s="246"/>
      <c r="D43" s="247"/>
      <c r="E43" s="248"/>
      <c r="F43" s="249"/>
      <c r="G43" s="247"/>
      <c r="H43" s="250"/>
      <c r="I43" s="309">
        <f t="shared" si="8"/>
        <v>0</v>
      </c>
      <c r="J43" s="310">
        <f t="shared" ref="J43" si="10">IF($I$45&lt;&gt;0,I43/$I$45,"")</f>
        <v>0</v>
      </c>
      <c r="K43" s="311"/>
      <c r="L43" s="312"/>
      <c r="M43" s="313">
        <f t="shared" ref="M43" si="11">I43+L43</f>
        <v>0</v>
      </c>
      <c r="N43" s="313"/>
      <c r="O43" s="241">
        <f t="shared" si="9"/>
        <v>0</v>
      </c>
      <c r="P43" s="308">
        <f t="shared" si="7"/>
        <v>1</v>
      </c>
      <c r="Q43" s="311"/>
      <c r="R43" s="336"/>
      <c r="CI43" s="191"/>
      <c r="CJ43" s="191"/>
      <c r="CK43" s="191"/>
      <c r="CL43" s="343"/>
      <c r="CM43" s="343"/>
      <c r="CN43" s="343"/>
      <c r="CO43" s="343"/>
      <c r="CP43" s="343"/>
      <c r="CQ43" s="343"/>
      <c r="CR43" s="343"/>
      <c r="CS43" s="343"/>
      <c r="CT43" s="191"/>
      <c r="CU43" s="343"/>
      <c r="CV43" s="343"/>
      <c r="CW43" s="343"/>
      <c r="CX43" s="343"/>
      <c r="CY43" s="343"/>
      <c r="CZ43" s="191"/>
      <c r="DA43" s="191"/>
      <c r="DB43" s="191"/>
      <c r="DC43" s="191"/>
      <c r="DD43" s="191"/>
      <c r="DE43" s="191"/>
      <c r="DF43" s="191"/>
      <c r="DG43" s="191"/>
      <c r="DH43" s="191"/>
      <c r="DI43" s="354"/>
      <c r="DJ43" s="191"/>
      <c r="DK43" s="191"/>
    </row>
    <row r="44" spans="1:116" s="189" customFormat="1" ht="12.65" customHeight="1">
      <c r="A44" s="251"/>
      <c r="B44" s="49"/>
      <c r="C44" s="252"/>
      <c r="D44" s="253"/>
      <c r="E44" s="254"/>
      <c r="F44" s="254"/>
      <c r="G44" s="254"/>
      <c r="H44" s="254"/>
      <c r="I44" s="314"/>
      <c r="J44" s="315"/>
      <c r="K44" s="315"/>
      <c r="L44" s="314"/>
      <c r="M44" s="314"/>
      <c r="N44" s="314"/>
      <c r="O44" s="316"/>
      <c r="P44" s="317"/>
      <c r="Q44" s="317"/>
      <c r="R44" s="337"/>
      <c r="CI44" s="191"/>
      <c r="CJ44" s="191"/>
      <c r="CK44" s="191"/>
      <c r="CL44" s="343"/>
      <c r="CM44" s="343"/>
      <c r="CN44" s="343"/>
      <c r="CO44" s="343"/>
      <c r="CP44" s="343"/>
      <c r="CQ44" s="343"/>
      <c r="CR44" s="343"/>
      <c r="CS44" s="343"/>
      <c r="CT44" s="191"/>
      <c r="CU44" s="343"/>
      <c r="CV44" s="343"/>
      <c r="CW44" s="343"/>
      <c r="CX44" s="343"/>
      <c r="CY44" s="343"/>
      <c r="CZ44" s="191"/>
      <c r="DA44" s="191"/>
      <c r="DB44" s="191"/>
      <c r="DC44" s="191"/>
      <c r="DD44" s="191"/>
      <c r="DE44" s="191"/>
      <c r="DF44" s="191"/>
      <c r="DG44" s="191"/>
      <c r="DH44" s="191"/>
      <c r="DI44" s="354"/>
      <c r="DJ44" s="191"/>
      <c r="DK44" s="191"/>
    </row>
    <row r="45" spans="1:116" s="189" customFormat="1" ht="12.65" customHeight="1">
      <c r="A45" s="251"/>
      <c r="B45" s="255"/>
      <c r="C45" s="255"/>
      <c r="D45" s="256"/>
      <c r="E45" s="257" t="s">
        <v>177</v>
      </c>
      <c r="F45" s="258">
        <f>SUM(F33:F44)</f>
        <v>19461257.899999999</v>
      </c>
      <c r="G45" s="178"/>
      <c r="H45" s="258">
        <f>SUM(H33:H44)</f>
        <v>0</v>
      </c>
      <c r="I45" s="258">
        <f>SUM(I33:I44)</f>
        <v>19461257.899999999</v>
      </c>
      <c r="J45" s="318">
        <f>SUM(J33:J44)</f>
        <v>1</v>
      </c>
      <c r="K45" s="178"/>
      <c r="L45" s="258">
        <f>SUM(L33:L44)</f>
        <v>-19158.48</v>
      </c>
      <c r="M45" s="258">
        <f>SUM(M33:M44)</f>
        <v>19442099.420000002</v>
      </c>
      <c r="N45" s="258">
        <f>SUM(N33:N44)</f>
        <v>-1189100.4600000083</v>
      </c>
      <c r="O45" s="258">
        <f>M45-N45</f>
        <v>20631199.88000001</v>
      </c>
      <c r="P45" s="318">
        <f>IF(N45&lt;&gt;0,O45/N45,1)</f>
        <v>-17.350258093416148</v>
      </c>
      <c r="Q45" s="338"/>
      <c r="R45" s="339"/>
      <c r="CI45" s="191"/>
      <c r="CJ45" s="191"/>
      <c r="CK45" s="191"/>
      <c r="CL45" s="343"/>
      <c r="CM45" s="343"/>
      <c r="CN45" s="343"/>
      <c r="CO45" s="343"/>
      <c r="CP45" s="343"/>
      <c r="CQ45" s="343"/>
      <c r="CR45" s="343"/>
      <c r="CS45" s="343"/>
      <c r="CT45" s="191"/>
      <c r="CU45" s="343"/>
      <c r="CV45" s="343"/>
      <c r="CW45" s="343"/>
      <c r="CX45" s="343"/>
      <c r="CY45" s="343"/>
      <c r="CZ45" s="191"/>
      <c r="DA45" s="191"/>
      <c r="DB45" s="191"/>
      <c r="DC45" s="191"/>
      <c r="DD45" s="191"/>
      <c r="DE45" s="191"/>
      <c r="DF45" s="191"/>
      <c r="DG45" s="191"/>
      <c r="DH45" s="191"/>
      <c r="DI45" s="354"/>
      <c r="DJ45" s="191"/>
      <c r="DK45" s="191"/>
    </row>
    <row r="46" spans="1:116" s="189" customFormat="1" ht="12.65" customHeight="1">
      <c r="A46" s="251"/>
      <c r="B46" s="255"/>
      <c r="C46" s="255"/>
      <c r="D46" s="256"/>
      <c r="E46" s="259"/>
      <c r="F46" s="149" t="s">
        <v>82</v>
      </c>
      <c r="G46" s="256"/>
      <c r="H46" s="149" t="s">
        <v>82</v>
      </c>
      <c r="I46" s="149" t="s">
        <v>82</v>
      </c>
      <c r="J46" s="149" t="s">
        <v>82</v>
      </c>
      <c r="K46" s="319"/>
      <c r="L46" s="149" t="s">
        <v>82</v>
      </c>
      <c r="M46" s="149" t="s">
        <v>82</v>
      </c>
      <c r="N46" s="149" t="s">
        <v>82</v>
      </c>
      <c r="O46" s="320"/>
      <c r="P46" s="321"/>
      <c r="Q46" s="321"/>
      <c r="R46" s="340"/>
      <c r="CJ46" s="191"/>
      <c r="CK46" s="191"/>
      <c r="CL46" s="191"/>
      <c r="CM46" s="343"/>
      <c r="CN46" s="343"/>
      <c r="CO46" s="343"/>
      <c r="CP46" s="343"/>
      <c r="CQ46" s="343"/>
      <c r="CR46" s="343"/>
      <c r="CS46" s="343"/>
      <c r="CT46" s="343"/>
      <c r="CU46" s="191"/>
      <c r="CV46" s="343"/>
      <c r="CW46" s="343"/>
      <c r="CX46" s="343"/>
      <c r="CY46" s="343"/>
      <c r="CZ46" s="343"/>
      <c r="DA46" s="191"/>
      <c r="DB46" s="191"/>
      <c r="DC46" s="191"/>
      <c r="DD46" s="191"/>
      <c r="DE46" s="191"/>
      <c r="DF46" s="191"/>
      <c r="DG46" s="191"/>
      <c r="DH46" s="191"/>
      <c r="DI46" s="191"/>
      <c r="DJ46" s="354"/>
      <c r="DK46" s="191"/>
      <c r="DL46" s="191"/>
    </row>
    <row r="47" spans="1:116" s="189" customFormat="1" ht="12.65" customHeight="1">
      <c r="A47" s="251"/>
      <c r="B47" s="255"/>
      <c r="C47" s="255"/>
      <c r="D47" s="256"/>
      <c r="F47" s="260">
        <v>19461257.899999999</v>
      </c>
      <c r="H47" s="261" t="s">
        <v>68</v>
      </c>
      <c r="I47" s="260">
        <v>19461257.899999999</v>
      </c>
      <c r="J47" s="322"/>
      <c r="K47" s="260"/>
      <c r="M47" s="260">
        <v>19442099.420000002</v>
      </c>
      <c r="N47" s="260">
        <v>-1189100.46</v>
      </c>
      <c r="O47" s="260"/>
      <c r="P47" s="323"/>
      <c r="Q47" s="323"/>
      <c r="R47" s="340"/>
      <c r="CJ47" s="191"/>
      <c r="CK47" s="191"/>
      <c r="CL47" s="191"/>
      <c r="CM47" s="343"/>
      <c r="CN47" s="343"/>
      <c r="CO47" s="343"/>
      <c r="CP47" s="343"/>
      <c r="CQ47" s="343"/>
      <c r="CR47" s="343"/>
      <c r="CS47" s="343"/>
      <c r="CT47" s="343"/>
      <c r="CU47" s="191"/>
      <c r="CV47" s="343"/>
      <c r="CW47" s="343"/>
      <c r="CX47" s="343"/>
      <c r="CY47" s="343"/>
      <c r="CZ47" s="343"/>
      <c r="DA47" s="191"/>
      <c r="DB47" s="191"/>
      <c r="DC47" s="191"/>
      <c r="DD47" s="191"/>
      <c r="DE47" s="191"/>
      <c r="DF47" s="191"/>
      <c r="DG47" s="191"/>
      <c r="DH47" s="191"/>
      <c r="DI47" s="191"/>
      <c r="DJ47" s="354"/>
      <c r="DK47" s="191"/>
      <c r="DL47" s="191"/>
    </row>
    <row r="48" spans="1:116" s="190" customFormat="1" ht="12.65" customHeight="1">
      <c r="A48" s="262"/>
      <c r="B48" s="255"/>
      <c r="C48" s="255"/>
      <c r="D48" s="263"/>
      <c r="E48" s="264"/>
      <c r="F48" s="256">
        <f>F45-F47</f>
        <v>0</v>
      </c>
      <c r="G48" s="256"/>
      <c r="H48" s="266" t="s">
        <v>178</v>
      </c>
      <c r="I48" s="265">
        <f>I45-I47</f>
        <v>0</v>
      </c>
      <c r="J48" s="324"/>
      <c r="K48" s="260"/>
      <c r="M48" s="265">
        <f>M45-M47</f>
        <v>0</v>
      </c>
      <c r="N48" s="265">
        <f>N45-N47</f>
        <v>-8.3819031715393066E-9</v>
      </c>
      <c r="O48" s="260"/>
      <c r="P48" s="559"/>
      <c r="Q48" s="255"/>
      <c r="R48" s="255"/>
      <c r="S48" s="341"/>
      <c r="T48" s="341"/>
      <c r="U48" s="341"/>
      <c r="V48" s="341"/>
      <c r="W48" s="341"/>
      <c r="X48" s="259"/>
      <c r="Y48" s="259"/>
      <c r="Z48" s="259"/>
      <c r="AA48" s="259"/>
      <c r="AB48" s="259"/>
      <c r="AC48" s="259"/>
      <c r="CJ48" s="191"/>
      <c r="CK48" s="191"/>
      <c r="CL48" s="191"/>
      <c r="CM48" s="343"/>
      <c r="CN48" s="343"/>
      <c r="CO48" s="343"/>
      <c r="CP48" s="343"/>
      <c r="CQ48" s="343"/>
      <c r="CR48" s="343"/>
      <c r="CS48" s="343"/>
      <c r="CT48" s="191"/>
      <c r="CU48" s="191"/>
      <c r="CV48" s="343"/>
      <c r="CW48" s="343"/>
      <c r="CX48" s="343"/>
      <c r="CY48" s="343"/>
      <c r="CZ48" s="343"/>
      <c r="DA48" s="191"/>
      <c r="DB48" s="191"/>
      <c r="DC48" s="191"/>
      <c r="DD48" s="191"/>
      <c r="DE48" s="191"/>
      <c r="DF48" s="191"/>
      <c r="DG48" s="191"/>
      <c r="DH48" s="191"/>
      <c r="DI48" s="191"/>
      <c r="DJ48" s="354"/>
      <c r="DK48" s="191"/>
      <c r="DL48" s="191"/>
    </row>
    <row r="49" spans="1:125" s="191" customFormat="1" ht="13.4" customHeight="1">
      <c r="A49" s="267"/>
      <c r="B49" s="215"/>
      <c r="G49" s="268"/>
      <c r="H49" s="269"/>
      <c r="I49" s="272"/>
      <c r="J49" s="268"/>
      <c r="O49" s="558"/>
      <c r="CT49" s="343"/>
      <c r="CU49" s="343"/>
      <c r="CV49" s="343"/>
      <c r="CW49" s="343"/>
      <c r="CX49" s="343"/>
      <c r="CY49" s="343"/>
      <c r="CZ49" s="343"/>
      <c r="DC49" s="343"/>
      <c r="DD49" s="343"/>
      <c r="DE49" s="343"/>
      <c r="DF49" s="343"/>
      <c r="DG49" s="343"/>
      <c r="DQ49" s="354"/>
    </row>
    <row r="50" spans="1:125" s="192" customFormat="1" ht="13.4" customHeight="1">
      <c r="A50" s="270"/>
      <c r="B50" s="271" t="s">
        <v>119</v>
      </c>
      <c r="C50" s="192" t="s">
        <v>179</v>
      </c>
      <c r="G50" s="272"/>
      <c r="H50" s="273"/>
      <c r="I50" s="272"/>
      <c r="J50" s="272"/>
      <c r="O50" s="558"/>
      <c r="CV50" s="349"/>
      <c r="CW50" s="349"/>
      <c r="CX50" s="349"/>
      <c r="CY50" s="349"/>
      <c r="CZ50" s="349"/>
      <c r="DA50" s="349"/>
      <c r="DB50" s="349"/>
      <c r="DE50" s="349"/>
      <c r="DF50" s="349"/>
      <c r="DG50" s="349"/>
      <c r="DH50" s="349"/>
      <c r="DI50" s="349"/>
      <c r="DS50" s="363"/>
    </row>
    <row r="51" spans="1:125" ht="12.65" customHeight="1" thickBot="1">
      <c r="A51" s="195"/>
      <c r="CS51" s="191"/>
      <c r="CT51" s="191"/>
      <c r="CU51" s="191"/>
      <c r="CV51" s="343"/>
      <c r="CW51" s="343"/>
      <c r="CX51" s="343"/>
      <c r="CY51" s="343"/>
      <c r="CZ51" s="343"/>
      <c r="DA51" s="343"/>
      <c r="DB51" s="343"/>
      <c r="DC51" s="191"/>
      <c r="DD51" s="191"/>
      <c r="DE51" s="343"/>
      <c r="DF51" s="343"/>
      <c r="DG51" s="343"/>
      <c r="DH51" s="343"/>
      <c r="DI51" s="343"/>
      <c r="DJ51" s="191"/>
      <c r="DK51" s="191"/>
      <c r="DL51" s="191"/>
      <c r="DM51" s="191"/>
      <c r="DN51" s="191"/>
      <c r="DO51" s="191"/>
      <c r="DP51" s="191"/>
      <c r="DQ51" s="191"/>
      <c r="DR51" s="191"/>
      <c r="DS51" s="191"/>
      <c r="DT51" s="191"/>
      <c r="DU51" s="191"/>
    </row>
    <row r="52" spans="1:125" ht="12.65" customHeight="1">
      <c r="A52" s="194"/>
      <c r="C52" s="576"/>
      <c r="D52" s="274" t="s">
        <v>180</v>
      </c>
      <c r="E52" s="274"/>
      <c r="F52" s="274"/>
      <c r="G52" s="275"/>
      <c r="H52" s="276"/>
      <c r="I52" s="274"/>
      <c r="J52" s="275"/>
      <c r="K52" s="274"/>
      <c r="L52" s="274"/>
      <c r="M52" s="274"/>
      <c r="N52" s="274"/>
      <c r="O52" s="577"/>
      <c r="P52" s="191"/>
      <c r="Q52" s="191"/>
      <c r="R52" s="191"/>
      <c r="CS52" s="191"/>
      <c r="CT52" s="191"/>
      <c r="CU52" s="191"/>
      <c r="CV52" s="343"/>
      <c r="CW52" s="343"/>
      <c r="CX52" s="343"/>
      <c r="CY52" s="343"/>
      <c r="CZ52" s="343"/>
      <c r="DA52" s="343"/>
      <c r="DB52" s="343"/>
      <c r="DC52" s="191"/>
      <c r="DD52" s="191"/>
      <c r="DE52" s="343"/>
      <c r="DF52" s="343"/>
      <c r="DG52" s="343"/>
      <c r="DH52" s="343"/>
      <c r="DI52" s="343"/>
      <c r="DJ52" s="191"/>
      <c r="DK52" s="191"/>
      <c r="DL52" s="191"/>
      <c r="DM52" s="191"/>
      <c r="DN52" s="191"/>
      <c r="DO52" s="191"/>
      <c r="DP52" s="191"/>
      <c r="DQ52" s="191"/>
      <c r="DR52" s="191"/>
      <c r="DS52" s="191"/>
      <c r="DT52" s="191"/>
      <c r="DU52" s="191"/>
    </row>
    <row r="53" spans="1:125" ht="12.65" customHeight="1">
      <c r="A53" s="194"/>
      <c r="C53" s="562"/>
      <c r="D53" s="191"/>
      <c r="E53" s="191"/>
      <c r="F53" s="191"/>
      <c r="G53" s="268"/>
      <c r="H53" s="563"/>
      <c r="I53" s="191"/>
      <c r="J53" s="268"/>
      <c r="K53" s="191"/>
      <c r="L53" s="191"/>
      <c r="M53" s="191"/>
      <c r="N53" s="191"/>
      <c r="O53" s="564"/>
      <c r="P53" s="191"/>
      <c r="Q53" s="191"/>
      <c r="R53" s="191"/>
      <c r="CS53" s="191"/>
      <c r="CT53" s="191"/>
      <c r="CU53" s="191"/>
      <c r="CV53" s="343"/>
      <c r="CW53" s="343"/>
      <c r="CX53" s="343"/>
      <c r="CY53" s="343"/>
      <c r="CZ53" s="343"/>
      <c r="DA53" s="343"/>
      <c r="DB53" s="343"/>
      <c r="DC53" s="191"/>
      <c r="DD53" s="191"/>
      <c r="DE53" s="343"/>
      <c r="DF53" s="343"/>
      <c r="DG53" s="343"/>
      <c r="DH53" s="343"/>
      <c r="DI53" s="343"/>
      <c r="DJ53" s="191"/>
      <c r="DK53" s="191"/>
      <c r="DL53" s="191"/>
      <c r="DM53" s="191"/>
      <c r="DN53" s="191"/>
      <c r="DO53" s="191"/>
      <c r="DP53" s="191"/>
      <c r="DQ53" s="191"/>
      <c r="DR53" s="191"/>
      <c r="DS53" s="191"/>
      <c r="DT53" s="191"/>
      <c r="DU53" s="191"/>
    </row>
    <row r="54" spans="1:125" ht="12.65" customHeight="1">
      <c r="A54" s="194"/>
      <c r="C54" s="277" t="s">
        <v>154</v>
      </c>
      <c r="D54" s="619" t="s">
        <v>181</v>
      </c>
      <c r="E54" s="619"/>
      <c r="F54" s="619"/>
      <c r="G54" s="619"/>
      <c r="H54" s="619"/>
      <c r="I54" s="619"/>
      <c r="J54" s="619"/>
      <c r="K54" s="619"/>
      <c r="L54" s="619"/>
      <c r="M54" s="619"/>
      <c r="N54" s="619"/>
      <c r="O54" s="342"/>
      <c r="P54" s="583"/>
      <c r="Q54" s="583"/>
      <c r="R54" s="583"/>
      <c r="CV54" s="343"/>
      <c r="CW54" s="343"/>
      <c r="CX54" s="343"/>
      <c r="CY54" s="343"/>
      <c r="CZ54" s="343"/>
      <c r="DA54" s="191"/>
      <c r="DB54" s="191"/>
      <c r="DC54" s="191"/>
      <c r="DD54" s="191"/>
      <c r="DE54" s="343"/>
      <c r="DF54" s="343"/>
      <c r="DG54" s="343"/>
      <c r="DH54" s="343"/>
      <c r="DI54" s="343"/>
    </row>
    <row r="55" spans="1:125" ht="12.65" customHeight="1">
      <c r="A55" s="194"/>
      <c r="C55" s="277"/>
      <c r="D55" s="619"/>
      <c r="E55" s="619"/>
      <c r="F55" s="619"/>
      <c r="G55" s="619"/>
      <c r="H55" s="619"/>
      <c r="I55" s="619"/>
      <c r="J55" s="619"/>
      <c r="K55" s="619"/>
      <c r="L55" s="619"/>
      <c r="M55" s="619"/>
      <c r="N55" s="619"/>
      <c r="O55" s="342"/>
      <c r="P55" s="583"/>
      <c r="Q55" s="583"/>
      <c r="R55" s="583"/>
      <c r="CV55" s="343"/>
      <c r="CW55" s="343"/>
      <c r="CX55" s="343"/>
      <c r="CY55" s="343"/>
      <c r="CZ55" s="343"/>
      <c r="DA55" s="191"/>
      <c r="DB55" s="191"/>
      <c r="DC55" s="191"/>
      <c r="DD55" s="191"/>
      <c r="DE55" s="343"/>
      <c r="DF55" s="343"/>
      <c r="DG55" s="343"/>
      <c r="DH55" s="343"/>
      <c r="DI55" s="343"/>
    </row>
    <row r="56" spans="1:125" ht="12.65" customHeight="1">
      <c r="A56" s="194"/>
      <c r="C56" s="277"/>
      <c r="D56" s="619"/>
      <c r="E56" s="619"/>
      <c r="F56" s="619"/>
      <c r="G56" s="619"/>
      <c r="H56" s="619"/>
      <c r="I56" s="619"/>
      <c r="J56" s="619"/>
      <c r="K56" s="619"/>
      <c r="L56" s="619"/>
      <c r="M56" s="619"/>
      <c r="N56" s="619"/>
      <c r="O56" s="342"/>
      <c r="P56" s="583"/>
      <c r="Q56" s="583"/>
      <c r="R56" s="583"/>
      <c r="CV56" s="343"/>
      <c r="CW56" s="343"/>
      <c r="CX56" s="343"/>
      <c r="CY56" s="343"/>
      <c r="CZ56" s="343"/>
      <c r="DA56" s="191"/>
      <c r="DB56" s="191"/>
      <c r="DC56" s="191"/>
      <c r="DD56" s="191"/>
      <c r="DE56" s="343"/>
      <c r="DF56" s="343"/>
      <c r="DG56" s="343"/>
      <c r="DH56" s="343"/>
      <c r="DI56" s="343"/>
    </row>
    <row r="57" spans="1:125" ht="12.65" customHeight="1">
      <c r="A57" s="194"/>
      <c r="C57" s="277"/>
      <c r="D57" s="619"/>
      <c r="E57" s="619"/>
      <c r="F57" s="619"/>
      <c r="G57" s="619"/>
      <c r="H57" s="619"/>
      <c r="I57" s="619"/>
      <c r="J57" s="619"/>
      <c r="K57" s="619"/>
      <c r="L57" s="619"/>
      <c r="M57" s="619"/>
      <c r="N57" s="619"/>
      <c r="O57" s="342"/>
      <c r="P57" s="583"/>
      <c r="Q57" s="583"/>
      <c r="R57" s="583"/>
      <c r="CV57" s="343"/>
      <c r="CW57" s="343"/>
      <c r="CX57" s="343"/>
      <c r="CY57" s="343"/>
      <c r="CZ57" s="343"/>
      <c r="DA57" s="191"/>
      <c r="DB57" s="191"/>
      <c r="DC57" s="191"/>
      <c r="DD57" s="191"/>
      <c r="DE57" s="343"/>
      <c r="DF57" s="343"/>
      <c r="DG57" s="343"/>
      <c r="DH57" s="343"/>
      <c r="DI57" s="343"/>
    </row>
    <row r="58" spans="1:125" ht="14.5">
      <c r="A58" s="194"/>
      <c r="C58" s="277" t="s">
        <v>162</v>
      </c>
      <c r="D58" s="620" t="s">
        <v>182</v>
      </c>
      <c r="E58" s="620"/>
      <c r="F58" s="620"/>
      <c r="G58" s="620"/>
      <c r="H58" s="620"/>
      <c r="I58" s="620"/>
      <c r="J58" s="620"/>
      <c r="K58" s="620"/>
      <c r="L58" s="620"/>
      <c r="M58" s="620"/>
      <c r="N58" s="620"/>
      <c r="O58" s="366"/>
      <c r="P58" s="364"/>
      <c r="Q58" s="364"/>
      <c r="R58" s="364"/>
      <c r="CV58" s="343"/>
      <c r="CW58" s="343"/>
      <c r="CX58" s="343"/>
      <c r="CY58" s="343"/>
      <c r="CZ58" s="343"/>
      <c r="DA58" s="191"/>
      <c r="DB58" s="191"/>
      <c r="DC58" s="191"/>
      <c r="DD58" s="191"/>
      <c r="DE58" s="343"/>
      <c r="DF58" s="343"/>
      <c r="DG58" s="343"/>
      <c r="DH58" s="343"/>
      <c r="DI58" s="343"/>
    </row>
    <row r="59" spans="1:125" ht="14.5">
      <c r="A59" s="194"/>
      <c r="C59" s="277"/>
      <c r="D59" s="620"/>
      <c r="E59" s="620"/>
      <c r="F59" s="620"/>
      <c r="G59" s="620"/>
      <c r="H59" s="620"/>
      <c r="I59" s="620"/>
      <c r="J59" s="620"/>
      <c r="K59" s="620"/>
      <c r="L59" s="620"/>
      <c r="M59" s="620"/>
      <c r="N59" s="620"/>
      <c r="O59" s="366"/>
      <c r="P59" s="364"/>
      <c r="Q59" s="364"/>
      <c r="R59" s="364"/>
      <c r="CV59" s="343"/>
      <c r="CW59" s="343"/>
      <c r="CX59" s="343"/>
      <c r="CY59" s="343"/>
      <c r="CZ59" s="343"/>
      <c r="DA59" s="191"/>
      <c r="DB59" s="191"/>
      <c r="DC59" s="191"/>
      <c r="DD59" s="191"/>
      <c r="DE59" s="343"/>
      <c r="DF59" s="343"/>
      <c r="DG59" s="343"/>
      <c r="DH59" s="343"/>
      <c r="DI59" s="343"/>
    </row>
    <row r="60" spans="1:125" ht="12.65" customHeight="1">
      <c r="A60" s="194"/>
      <c r="C60" s="277"/>
      <c r="D60" s="567"/>
      <c r="E60" s="364"/>
      <c r="F60" s="364"/>
      <c r="G60" s="364"/>
      <c r="H60" s="364"/>
      <c r="I60" s="364"/>
      <c r="J60" s="364"/>
      <c r="K60" s="364"/>
      <c r="L60" s="364"/>
      <c r="M60" s="364"/>
      <c r="N60" s="364"/>
      <c r="O60" s="366"/>
      <c r="P60" s="364"/>
      <c r="Q60" s="364"/>
      <c r="R60" s="364"/>
      <c r="CV60" s="343"/>
      <c r="CW60" s="343"/>
      <c r="CX60" s="343"/>
      <c r="CY60" s="343"/>
      <c r="CZ60" s="343"/>
      <c r="DA60" s="191"/>
      <c r="DB60" s="191"/>
      <c r="DC60" s="191"/>
      <c r="DD60" s="191"/>
      <c r="DE60" s="343"/>
      <c r="DF60" s="343"/>
      <c r="DG60" s="343"/>
      <c r="DH60" s="343"/>
      <c r="DI60" s="343"/>
    </row>
    <row r="61" spans="1:125" ht="12.65" customHeight="1">
      <c r="A61" s="194"/>
      <c r="C61" s="277" t="s">
        <v>167</v>
      </c>
      <c r="D61" s="611" t="s">
        <v>183</v>
      </c>
      <c r="E61" s="611"/>
      <c r="F61" s="611"/>
      <c r="G61" s="611"/>
      <c r="H61" s="611"/>
      <c r="I61" s="611"/>
      <c r="J61" s="611"/>
      <c r="K61" s="611"/>
      <c r="L61" s="611"/>
      <c r="M61" s="611"/>
      <c r="N61" s="611"/>
      <c r="O61" s="566"/>
      <c r="P61" s="568"/>
      <c r="Q61" s="568"/>
      <c r="R61" s="568"/>
      <c r="CV61" s="343"/>
      <c r="CW61" s="343"/>
      <c r="CX61" s="343"/>
      <c r="CY61" s="343"/>
      <c r="CZ61" s="343"/>
      <c r="DA61" s="191"/>
      <c r="DB61" s="191"/>
      <c r="DC61" s="191"/>
      <c r="DD61" s="191"/>
      <c r="DE61" s="343"/>
      <c r="DF61" s="343"/>
      <c r="DG61" s="343"/>
      <c r="DH61" s="343"/>
      <c r="DI61" s="343"/>
    </row>
    <row r="62" spans="1:125" ht="12.65" customHeight="1">
      <c r="A62" s="194"/>
      <c r="C62" s="277"/>
      <c r="D62" s="611"/>
      <c r="E62" s="611"/>
      <c r="F62" s="611"/>
      <c r="G62" s="611"/>
      <c r="H62" s="611"/>
      <c r="I62" s="611"/>
      <c r="J62" s="611"/>
      <c r="K62" s="611"/>
      <c r="L62" s="611"/>
      <c r="M62" s="611"/>
      <c r="N62" s="611"/>
      <c r="O62" s="566"/>
      <c r="P62" s="568"/>
      <c r="Q62" s="568"/>
      <c r="R62" s="568"/>
      <c r="CV62" s="343"/>
      <c r="CW62" s="343"/>
      <c r="CX62" s="343"/>
      <c r="CY62" s="343"/>
      <c r="CZ62" s="343"/>
      <c r="DA62" s="191"/>
      <c r="DB62" s="191"/>
      <c r="DC62" s="191"/>
      <c r="DD62" s="191"/>
      <c r="DE62" s="343"/>
      <c r="DF62" s="343"/>
      <c r="DG62" s="343"/>
      <c r="DH62" s="343"/>
      <c r="DI62" s="343"/>
    </row>
    <row r="63" spans="1:125" ht="18" customHeight="1">
      <c r="A63" s="194"/>
      <c r="C63" s="277"/>
      <c r="D63" s="611"/>
      <c r="E63" s="611"/>
      <c r="F63" s="611"/>
      <c r="G63" s="611"/>
      <c r="H63" s="611"/>
      <c r="I63" s="611"/>
      <c r="J63" s="611"/>
      <c r="K63" s="611"/>
      <c r="L63" s="611"/>
      <c r="M63" s="611"/>
      <c r="N63" s="611"/>
      <c r="O63" s="566"/>
      <c r="P63" s="568"/>
      <c r="Q63" s="568"/>
      <c r="R63" s="568"/>
      <c r="CV63" s="343"/>
      <c r="CW63" s="343"/>
      <c r="CX63" s="343"/>
      <c r="CY63" s="343"/>
      <c r="CZ63" s="343"/>
      <c r="DA63" s="191"/>
      <c r="DB63" s="191"/>
      <c r="DC63" s="191"/>
      <c r="DD63" s="191"/>
      <c r="DE63" s="343"/>
      <c r="DF63" s="343"/>
      <c r="DG63" s="343"/>
      <c r="DH63" s="343"/>
      <c r="DI63" s="343"/>
    </row>
    <row r="64" spans="1:125" ht="12.65" customHeight="1">
      <c r="A64" s="194"/>
      <c r="C64" s="277"/>
      <c r="D64" s="573"/>
      <c r="E64" s="364"/>
      <c r="F64" s="364"/>
      <c r="G64" s="364"/>
      <c r="H64" s="364"/>
      <c r="I64" s="364"/>
      <c r="J64" s="364"/>
      <c r="K64" s="364"/>
      <c r="L64" s="364"/>
      <c r="M64" s="364"/>
      <c r="N64" s="364"/>
      <c r="O64" s="366"/>
      <c r="P64" s="364"/>
      <c r="Q64" s="364"/>
      <c r="R64" s="364"/>
      <c r="CV64" s="343"/>
      <c r="CW64" s="343"/>
      <c r="CX64" s="343"/>
      <c r="CY64" s="343"/>
      <c r="CZ64" s="343"/>
      <c r="DA64" s="191"/>
      <c r="DB64" s="191"/>
      <c r="DC64" s="191"/>
      <c r="DD64" s="191"/>
      <c r="DE64" s="343"/>
      <c r="DF64" s="343"/>
      <c r="DG64" s="343"/>
      <c r="DH64" s="343"/>
      <c r="DI64" s="343"/>
    </row>
    <row r="65" spans="1:113" ht="12.65" customHeight="1">
      <c r="A65" s="194"/>
      <c r="C65" s="277" t="s">
        <v>184</v>
      </c>
      <c r="D65" s="611" t="s">
        <v>185</v>
      </c>
      <c r="E65" s="611"/>
      <c r="F65" s="611"/>
      <c r="G65" s="611"/>
      <c r="H65" s="611"/>
      <c r="I65" s="611"/>
      <c r="J65" s="611"/>
      <c r="K65" s="611"/>
      <c r="L65" s="611"/>
      <c r="M65" s="611"/>
      <c r="N65" s="611"/>
      <c r="O65" s="367"/>
      <c r="CV65" s="343"/>
      <c r="CW65" s="343"/>
      <c r="CX65" s="343"/>
      <c r="CY65" s="343"/>
      <c r="CZ65" s="343"/>
      <c r="DA65" s="191"/>
      <c r="DB65" s="191"/>
      <c r="DC65" s="191"/>
      <c r="DD65" s="191"/>
      <c r="DE65" s="343"/>
      <c r="DF65" s="343"/>
      <c r="DG65" s="343"/>
      <c r="DH65" s="343"/>
      <c r="DI65" s="343"/>
    </row>
    <row r="66" spans="1:113" ht="12.65" customHeight="1">
      <c r="A66" s="194"/>
      <c r="C66" s="365"/>
      <c r="D66" s="611"/>
      <c r="E66" s="611"/>
      <c r="F66" s="611"/>
      <c r="G66" s="611"/>
      <c r="H66" s="611"/>
      <c r="I66" s="611"/>
      <c r="J66" s="611"/>
      <c r="K66" s="611"/>
      <c r="L66" s="611"/>
      <c r="M66" s="611"/>
      <c r="N66" s="611"/>
      <c r="O66" s="367"/>
      <c r="CV66" s="343"/>
      <c r="CW66" s="343"/>
      <c r="CX66" s="343"/>
      <c r="CY66" s="343"/>
      <c r="CZ66" s="343"/>
      <c r="DA66" s="191"/>
      <c r="DB66" s="191"/>
      <c r="DC66" s="191"/>
      <c r="DD66" s="191"/>
      <c r="DE66" s="343"/>
      <c r="DF66" s="343"/>
      <c r="DG66" s="343"/>
      <c r="DH66" s="343"/>
      <c r="DI66" s="343"/>
    </row>
    <row r="67" spans="1:113" ht="22.15" customHeight="1">
      <c r="A67" s="194"/>
      <c r="C67" s="365"/>
      <c r="D67" s="611"/>
      <c r="E67" s="611"/>
      <c r="F67" s="611"/>
      <c r="G67" s="611"/>
      <c r="H67" s="611"/>
      <c r="I67" s="611"/>
      <c r="J67" s="611"/>
      <c r="K67" s="611"/>
      <c r="L67" s="611"/>
      <c r="M67" s="611"/>
      <c r="N67" s="611"/>
      <c r="O67" s="367"/>
      <c r="CV67" s="343"/>
      <c r="CW67" s="343"/>
      <c r="CX67" s="343"/>
      <c r="CY67" s="343"/>
      <c r="CZ67" s="343"/>
      <c r="DA67" s="191"/>
      <c r="DB67" s="191"/>
      <c r="DC67" s="191"/>
      <c r="DD67" s="191"/>
      <c r="DE67" s="343"/>
      <c r="DF67" s="343"/>
      <c r="DG67" s="343"/>
      <c r="DH67" s="343"/>
      <c r="DI67" s="343"/>
    </row>
    <row r="68" spans="1:113" ht="12.65" customHeight="1" thickBot="1">
      <c r="C68" s="368"/>
      <c r="D68" s="369"/>
      <c r="E68" s="369"/>
      <c r="F68" s="369"/>
      <c r="G68" s="369"/>
      <c r="H68" s="369"/>
      <c r="I68" s="369"/>
      <c r="J68" s="369"/>
      <c r="K68" s="369"/>
      <c r="L68" s="369"/>
      <c r="M68" s="369"/>
      <c r="N68" s="369"/>
      <c r="O68" s="371"/>
    </row>
  </sheetData>
  <mergeCells count="16">
    <mergeCell ref="D65:N67"/>
    <mergeCell ref="N5:N6"/>
    <mergeCell ref="C19:G24"/>
    <mergeCell ref="D13:F13"/>
    <mergeCell ref="D14:F14"/>
    <mergeCell ref="K5:K6"/>
    <mergeCell ref="L5:L6"/>
    <mergeCell ref="M5:M6"/>
    <mergeCell ref="D8:F8"/>
    <mergeCell ref="D9:F9"/>
    <mergeCell ref="D10:F10"/>
    <mergeCell ref="D11:F11"/>
    <mergeCell ref="D12:F12"/>
    <mergeCell ref="D54:N57"/>
    <mergeCell ref="D58:N59"/>
    <mergeCell ref="D61:N63"/>
  </mergeCells>
  <phoneticPr fontId="130" type="noConversion"/>
  <conditionalFormatting sqref="G9:I14 C19:G24 D27 C31:F31 N31 C34:F35 N34:N35 C36:E39 C40:F43 N41 N43 I47 M47:N47">
    <cfRule type="cellIs" dxfId="3" priority="1" operator="equal">
      <formula>0</formula>
    </cfRule>
  </conditionalFormatting>
  <dataValidations count="2">
    <dataValidation type="list" allowBlank="1" showInputMessage="1" sqref="H9:H14" xr:uid="{00000000-0002-0000-0200-000000000000}">
      <formula1>"是,否"</formula1>
    </dataValidation>
    <dataValidation type="list" allowBlank="1" showInputMessage="1" sqref="I9:I14" xr:uid="{00000000-0002-0000-0200-000001000000}">
      <formula1>"是,不适用"</formula1>
    </dataValidation>
  </dataValidations>
  <hyperlinks>
    <hyperlink ref="J2" location="汇总!A1" display="返回汇总页" xr:uid="{00000000-0004-0000-0200-000000000000}"/>
  </hyperlinks>
  <pageMargins left="0.74791660000000004" right="0.74791660000000004" top="0.98402780000000001" bottom="0.98402780000000001" header="0.51180550000000002" footer="0.51180550000000002"/>
  <pageSetup paperSize="9" orientation="portrait" errors="blank"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AN276"/>
  <sheetViews>
    <sheetView showGridLines="0" topLeftCell="A65" zoomScale="60" zoomScaleNormal="60" workbookViewId="0">
      <selection activeCell="L31" sqref="L31"/>
    </sheetView>
  </sheetViews>
  <sheetFormatPr defaultColWidth="17.69921875" defaultRowHeight="14.5" outlineLevelRow="1"/>
  <cols>
    <col min="1" max="1" width="9.765625E-2" style="70" customWidth="1"/>
    <col min="2" max="2" width="8.296875" style="71" customWidth="1"/>
    <col min="3" max="3" width="18.69921875" style="71" customWidth="1"/>
    <col min="4" max="4" width="22.3984375" style="71" customWidth="1"/>
    <col min="5" max="5" width="30.09765625" style="71" customWidth="1"/>
    <col min="6" max="6" width="34.8984375" style="71" customWidth="1"/>
    <col min="7" max="7" width="14.09765625" style="71" customWidth="1"/>
    <col min="8" max="8" width="18.69921875" style="71" customWidth="1"/>
    <col min="9" max="9" width="19.09765625" style="71" customWidth="1"/>
    <col min="10" max="10" width="24.8984375" style="71" customWidth="1"/>
    <col min="11" max="11" width="13.09765625" style="71" customWidth="1"/>
    <col min="12" max="12" width="19.3984375" style="71" customWidth="1"/>
    <col min="13" max="13" width="16.59765625" style="71" customWidth="1"/>
    <col min="14" max="14" width="13.3984375" style="71" customWidth="1"/>
    <col min="15" max="15" width="25" style="71" customWidth="1"/>
    <col min="16" max="16" width="22.59765625" style="71" customWidth="1"/>
    <col min="17" max="17" width="18.69921875" style="71" customWidth="1"/>
    <col min="18" max="18" width="19.3984375" style="71" customWidth="1"/>
    <col min="19" max="19" width="29" style="71" customWidth="1"/>
    <col min="20" max="20" width="18.59765625" style="71" customWidth="1"/>
    <col min="21" max="21" width="30.8984375" style="71" customWidth="1"/>
    <col min="22" max="22" width="18" style="71"/>
    <col min="23" max="23" width="18.59765625" style="71" customWidth="1"/>
    <col min="24" max="24" width="19.3984375" style="71" customWidth="1"/>
    <col min="25" max="25" width="18.59765625" style="71" customWidth="1"/>
    <col min="26" max="26" width="19.3984375" style="71" customWidth="1"/>
    <col min="27" max="27" width="18.59765625" style="71" customWidth="1"/>
    <col min="28" max="28" width="17.69921875" style="71"/>
    <col min="29" max="29" width="18.59765625" style="71" customWidth="1"/>
    <col min="30" max="30" width="19.3984375" style="71" customWidth="1"/>
    <col min="31" max="31" width="18.59765625" style="71" customWidth="1"/>
    <col min="32" max="32" width="19.3984375" style="71" customWidth="1"/>
    <col min="33" max="33" width="18.59765625" style="71" customWidth="1"/>
    <col min="34" max="34" width="18" style="71"/>
    <col min="35" max="35" width="18.59765625" style="71" customWidth="1"/>
    <col min="36" max="36" width="19.3984375" style="71" customWidth="1"/>
    <col min="37" max="37" width="18.59765625" style="71" customWidth="1"/>
    <col min="38" max="38" width="18" style="71"/>
    <col min="39" max="39" width="18.59765625" style="71" customWidth="1"/>
    <col min="40" max="16384" width="17.69921875" style="71"/>
  </cols>
  <sheetData>
    <row r="1" spans="1:15" ht="13.4" customHeight="1">
      <c r="A1" s="72" t="s">
        <v>186</v>
      </c>
    </row>
    <row r="2" spans="1:15" s="2" customFormat="1" ht="22.4" customHeight="1">
      <c r="A2" s="6"/>
      <c r="C2" s="7"/>
      <c r="J2" s="121" t="s">
        <v>85</v>
      </c>
      <c r="K2" s="71"/>
      <c r="L2" s="71"/>
    </row>
    <row r="3" spans="1:15" ht="13.4" customHeight="1">
      <c r="A3" s="72"/>
    </row>
    <row r="4" spans="1:15" ht="37.5" customHeight="1">
      <c r="A4" s="72"/>
      <c r="C4" s="73" t="s">
        <v>187</v>
      </c>
    </row>
    <row r="5" spans="1:15" ht="13.4" customHeight="1">
      <c r="A5" s="72"/>
    </row>
    <row r="6" spans="1:15" s="66" customFormat="1" ht="20">
      <c r="A6" s="74"/>
      <c r="C6" s="75" t="s">
        <v>86</v>
      </c>
      <c r="D6" s="76"/>
      <c r="E6" s="76"/>
      <c r="F6" s="76"/>
      <c r="G6" s="76"/>
      <c r="H6" s="76"/>
      <c r="I6" s="76"/>
      <c r="J6" s="122"/>
      <c r="K6" s="78"/>
      <c r="L6" s="78"/>
      <c r="M6" s="71"/>
      <c r="N6" s="71"/>
      <c r="O6" s="71"/>
    </row>
    <row r="7" spans="1:15" s="66" customFormat="1" ht="19">
      <c r="A7" s="74"/>
      <c r="C7" s="77" t="s">
        <v>188</v>
      </c>
      <c r="D7" s="78"/>
      <c r="E7" s="78"/>
      <c r="F7" s="78"/>
      <c r="G7" s="78"/>
      <c r="H7" s="78"/>
      <c r="I7" s="78"/>
      <c r="J7" s="123"/>
      <c r="M7" s="71"/>
      <c r="N7" s="71"/>
      <c r="O7" s="71"/>
    </row>
    <row r="8" spans="1:15" s="66" customFormat="1" ht="19">
      <c r="A8" s="74"/>
      <c r="C8" s="79"/>
      <c r="D8" s="80"/>
      <c r="E8" s="80"/>
      <c r="F8" s="80"/>
      <c r="G8" s="80"/>
      <c r="H8" s="80"/>
      <c r="I8" s="80"/>
      <c r="J8" s="123"/>
      <c r="M8" s="71"/>
      <c r="N8" s="71"/>
      <c r="O8" s="71"/>
    </row>
    <row r="9" spans="1:15" s="66" customFormat="1" ht="28.5" customHeight="1">
      <c r="A9" s="74"/>
      <c r="C9" s="81" t="s">
        <v>32</v>
      </c>
      <c r="D9" s="633" t="s">
        <v>189</v>
      </c>
      <c r="E9" s="634"/>
      <c r="F9" s="635"/>
      <c r="G9" s="82" t="s">
        <v>89</v>
      </c>
      <c r="H9" s="16" t="s">
        <v>90</v>
      </c>
      <c r="I9" s="16" t="s">
        <v>91</v>
      </c>
      <c r="J9" s="124" t="s">
        <v>92</v>
      </c>
    </row>
    <row r="10" spans="1:15" s="66" customFormat="1" ht="20" outlineLevel="1">
      <c r="A10" s="74"/>
      <c r="C10" s="83">
        <v>1</v>
      </c>
      <c r="D10" s="624" t="s">
        <v>190</v>
      </c>
      <c r="E10" s="625"/>
      <c r="F10" s="626"/>
      <c r="G10" s="84" t="s">
        <v>191</v>
      </c>
      <c r="H10" s="19" t="s">
        <v>137</v>
      </c>
      <c r="I10" s="56" t="s">
        <v>95</v>
      </c>
      <c r="J10" s="125"/>
    </row>
    <row r="11" spans="1:15" s="66" customFormat="1" ht="20" outlineLevel="1">
      <c r="A11" s="74"/>
      <c r="C11" s="83">
        <v>1.1000000000000001</v>
      </c>
      <c r="D11" s="628" t="s">
        <v>192</v>
      </c>
      <c r="E11" s="631"/>
      <c r="F11" s="632"/>
      <c r="G11" s="85"/>
      <c r="H11" s="19" t="s">
        <v>137</v>
      </c>
      <c r="I11" s="56" t="s">
        <v>95</v>
      </c>
      <c r="J11" s="125"/>
    </row>
    <row r="12" spans="1:15" s="66" customFormat="1" ht="43.5" customHeight="1" outlineLevel="1">
      <c r="A12" s="74"/>
      <c r="C12" s="83">
        <v>1.2</v>
      </c>
      <c r="D12" s="628" t="s">
        <v>193</v>
      </c>
      <c r="E12" s="631"/>
      <c r="F12" s="632"/>
      <c r="G12" s="84" t="s">
        <v>94</v>
      </c>
      <c r="H12" s="19" t="s">
        <v>137</v>
      </c>
      <c r="I12" s="56" t="s">
        <v>95</v>
      </c>
      <c r="J12" s="125"/>
      <c r="K12" s="80"/>
      <c r="L12" s="80"/>
    </row>
    <row r="13" spans="1:15" s="66" customFormat="1" ht="60.65" customHeight="1" outlineLevel="1">
      <c r="A13" s="74"/>
      <c r="C13" s="83">
        <v>1.3</v>
      </c>
      <c r="D13" s="628" t="s">
        <v>194</v>
      </c>
      <c r="E13" s="631"/>
      <c r="F13" s="632"/>
      <c r="G13" s="84" t="s">
        <v>94</v>
      </c>
      <c r="H13" s="19" t="s">
        <v>137</v>
      </c>
      <c r="I13" s="56" t="s">
        <v>95</v>
      </c>
      <c r="J13" s="125"/>
      <c r="K13" s="80"/>
      <c r="L13" s="80"/>
    </row>
    <row r="14" spans="1:15" s="66" customFormat="1" ht="20" outlineLevel="1">
      <c r="A14" s="74"/>
      <c r="C14" s="83">
        <v>2</v>
      </c>
      <c r="D14" s="624" t="s">
        <v>195</v>
      </c>
      <c r="E14" s="625"/>
      <c r="F14" s="626"/>
      <c r="G14" s="85"/>
      <c r="H14" s="86"/>
      <c r="I14" s="86"/>
      <c r="J14" s="125"/>
      <c r="K14" s="80"/>
      <c r="L14" s="80"/>
    </row>
    <row r="15" spans="1:15" s="66" customFormat="1" ht="40.4" customHeight="1" outlineLevel="1">
      <c r="A15" s="74"/>
      <c r="C15" s="83">
        <v>2.1</v>
      </c>
      <c r="D15" s="628" t="s">
        <v>196</v>
      </c>
      <c r="E15" s="629"/>
      <c r="F15" s="630"/>
      <c r="G15" s="84" t="s">
        <v>197</v>
      </c>
      <c r="H15" s="19" t="s">
        <v>137</v>
      </c>
      <c r="I15" s="56" t="s">
        <v>198</v>
      </c>
      <c r="J15" s="125" t="s">
        <v>199</v>
      </c>
      <c r="K15" s="80"/>
      <c r="L15" s="80"/>
    </row>
    <row r="16" spans="1:15" s="66" customFormat="1" ht="42" customHeight="1" outlineLevel="1">
      <c r="A16" s="74"/>
      <c r="C16" s="83">
        <v>2.2000000000000002</v>
      </c>
      <c r="D16" s="628" t="s">
        <v>200</v>
      </c>
      <c r="E16" s="631"/>
      <c r="F16" s="632"/>
      <c r="G16" s="84" t="s">
        <v>197</v>
      </c>
      <c r="H16" s="19" t="s">
        <v>137</v>
      </c>
      <c r="I16" s="56" t="s">
        <v>198</v>
      </c>
      <c r="J16" s="125" t="s">
        <v>199</v>
      </c>
      <c r="K16" s="80"/>
      <c r="L16" s="80"/>
    </row>
    <row r="17" spans="1:40" s="66" customFormat="1" ht="41.15" customHeight="1" outlineLevel="1">
      <c r="A17" s="74"/>
      <c r="C17" s="83">
        <v>2.2999999999999998</v>
      </c>
      <c r="D17" s="628" t="s">
        <v>201</v>
      </c>
      <c r="E17" s="631"/>
      <c r="F17" s="632"/>
      <c r="G17" s="84" t="s">
        <v>197</v>
      </c>
      <c r="H17" s="19" t="s">
        <v>137</v>
      </c>
      <c r="I17" s="56" t="s">
        <v>198</v>
      </c>
      <c r="J17" s="125" t="s">
        <v>199</v>
      </c>
      <c r="K17" s="80"/>
      <c r="L17" s="80"/>
    </row>
    <row r="18" spans="1:40" s="66" customFormat="1" ht="54.65" customHeight="1" outlineLevel="1">
      <c r="A18" s="74"/>
      <c r="C18" s="83">
        <v>2.4</v>
      </c>
      <c r="D18" s="628" t="s">
        <v>202</v>
      </c>
      <c r="E18" s="631"/>
      <c r="F18" s="632"/>
      <c r="G18" s="84" t="s">
        <v>197</v>
      </c>
      <c r="H18" s="19" t="s">
        <v>137</v>
      </c>
      <c r="I18" s="56" t="s">
        <v>198</v>
      </c>
      <c r="J18" s="125" t="s">
        <v>199</v>
      </c>
      <c r="K18" s="126"/>
      <c r="L18" s="126"/>
    </row>
    <row r="19" spans="1:40" s="66" customFormat="1" ht="38" outlineLevel="1">
      <c r="A19" s="74"/>
      <c r="C19" s="83">
        <v>3</v>
      </c>
      <c r="D19" s="624" t="s">
        <v>203</v>
      </c>
      <c r="E19" s="625"/>
      <c r="F19" s="626"/>
      <c r="G19" s="84" t="s">
        <v>204</v>
      </c>
      <c r="H19" s="19" t="s">
        <v>137</v>
      </c>
      <c r="I19" s="56" t="s">
        <v>198</v>
      </c>
      <c r="J19" s="125" t="s">
        <v>205</v>
      </c>
      <c r="K19" s="80"/>
      <c r="L19" s="80"/>
    </row>
    <row r="20" spans="1:40" s="67" customFormat="1" ht="13.4" customHeight="1">
      <c r="A20" s="87"/>
      <c r="C20" s="88"/>
      <c r="D20" s="89"/>
      <c r="E20" s="89"/>
      <c r="F20" s="89"/>
      <c r="G20" s="90"/>
      <c r="H20" s="90"/>
      <c r="I20" s="90"/>
      <c r="J20" s="127"/>
      <c r="K20" s="128"/>
      <c r="L20" s="128"/>
      <c r="M20" s="71"/>
      <c r="N20" s="71"/>
      <c r="O20" s="71"/>
    </row>
    <row r="21" spans="1:40">
      <c r="A21" s="72"/>
    </row>
    <row r="22" spans="1:40" s="66" customFormat="1">
      <c r="A22" s="74"/>
      <c r="G22" s="71"/>
    </row>
    <row r="23" spans="1:40" s="66" customFormat="1" ht="15" outlineLevel="1" thickBot="1">
      <c r="A23" s="74"/>
      <c r="B23" s="91" t="s">
        <v>94</v>
      </c>
      <c r="C23" s="92" t="s">
        <v>206</v>
      </c>
      <c r="M23" s="93" t="s">
        <v>207</v>
      </c>
      <c r="AA23" s="93" t="s">
        <v>208</v>
      </c>
    </row>
    <row r="24" spans="1:40" s="66" customFormat="1" ht="15" customHeight="1" outlineLevel="1" thickBot="1">
      <c r="A24" s="74"/>
      <c r="C24" s="627" t="s">
        <v>209</v>
      </c>
      <c r="D24" s="627"/>
      <c r="E24" s="627"/>
      <c r="F24" s="627"/>
      <c r="G24" s="584"/>
      <c r="H24" s="93" t="s">
        <v>100</v>
      </c>
      <c r="I24" s="129" t="s">
        <v>101</v>
      </c>
      <c r="J24" s="129" t="s">
        <v>210</v>
      </c>
      <c r="K24" s="129"/>
      <c r="L24" s="129"/>
      <c r="M24" s="129" t="s">
        <v>103</v>
      </c>
      <c r="N24" s="129" t="s">
        <v>211</v>
      </c>
      <c r="O24" s="129" t="s">
        <v>212</v>
      </c>
      <c r="P24" s="621" t="s">
        <v>213</v>
      </c>
      <c r="Q24" s="622"/>
      <c r="R24" s="622"/>
      <c r="S24" s="622"/>
      <c r="T24" s="622"/>
      <c r="U24" s="622"/>
      <c r="V24" s="622"/>
      <c r="W24" s="622"/>
      <c r="X24" s="622"/>
      <c r="Y24" s="622"/>
      <c r="Z24" s="622"/>
      <c r="AA24" s="622"/>
      <c r="AB24" s="622"/>
      <c r="AC24" s="622"/>
      <c r="AD24" s="622"/>
      <c r="AE24" s="622"/>
      <c r="AF24" s="622"/>
      <c r="AG24" s="622"/>
      <c r="AH24" s="622"/>
      <c r="AI24" s="622"/>
      <c r="AJ24" s="622"/>
      <c r="AK24" s="622"/>
      <c r="AL24" s="622"/>
      <c r="AM24" s="622"/>
      <c r="AN24" s="623"/>
    </row>
    <row r="25" spans="1:40" s="68" customFormat="1" ht="29" outlineLevel="1">
      <c r="A25" s="94"/>
      <c r="C25" s="95" t="s">
        <v>214</v>
      </c>
      <c r="D25" s="96" t="s">
        <v>215</v>
      </c>
      <c r="E25" s="96" t="s">
        <v>216</v>
      </c>
      <c r="F25" s="96" t="s">
        <v>217</v>
      </c>
      <c r="G25" s="97" t="s">
        <v>218</v>
      </c>
      <c r="H25" s="97" t="s">
        <v>219</v>
      </c>
      <c r="I25" s="130" t="s">
        <v>220</v>
      </c>
      <c r="J25" s="130" t="s">
        <v>221</v>
      </c>
      <c r="K25" s="130" t="s">
        <v>222</v>
      </c>
      <c r="L25" s="130" t="s">
        <v>223</v>
      </c>
      <c r="M25" s="130" t="s">
        <v>224</v>
      </c>
      <c r="N25" s="130" t="s">
        <v>225</v>
      </c>
      <c r="O25" s="131" t="s">
        <v>226</v>
      </c>
      <c r="P25" s="132">
        <v>1</v>
      </c>
      <c r="Q25" s="164" t="s">
        <v>227</v>
      </c>
      <c r="R25" s="164">
        <v>2</v>
      </c>
      <c r="S25" s="165" t="s">
        <v>228</v>
      </c>
      <c r="T25" s="164">
        <v>3</v>
      </c>
      <c r="U25" s="165" t="s">
        <v>229</v>
      </c>
      <c r="V25" s="164">
        <v>4</v>
      </c>
      <c r="W25" s="165" t="s">
        <v>230</v>
      </c>
      <c r="X25" s="164">
        <v>5</v>
      </c>
      <c r="Y25" s="165" t="s">
        <v>231</v>
      </c>
      <c r="Z25" s="164">
        <v>6</v>
      </c>
      <c r="AA25" s="165" t="s">
        <v>232</v>
      </c>
      <c r="AB25" s="164">
        <v>7</v>
      </c>
      <c r="AC25" s="165" t="s">
        <v>233</v>
      </c>
      <c r="AD25" s="164">
        <v>8</v>
      </c>
      <c r="AE25" s="165" t="s">
        <v>234</v>
      </c>
      <c r="AF25" s="164">
        <v>9</v>
      </c>
      <c r="AG25" s="165" t="s">
        <v>235</v>
      </c>
      <c r="AH25" s="164">
        <v>10</v>
      </c>
      <c r="AI25" s="164" t="s">
        <v>236</v>
      </c>
      <c r="AJ25" s="165">
        <v>11</v>
      </c>
      <c r="AK25" s="165" t="s">
        <v>237</v>
      </c>
      <c r="AL25" s="165">
        <v>12</v>
      </c>
      <c r="AM25" s="165" t="s">
        <v>238</v>
      </c>
      <c r="AN25" s="167"/>
    </row>
    <row r="26" spans="1:40" s="66" customFormat="1" outlineLevel="1">
      <c r="A26" s="74"/>
      <c r="C26" s="98" t="s">
        <v>150</v>
      </c>
      <c r="D26" s="99" t="s">
        <v>239</v>
      </c>
      <c r="E26" s="99" t="s">
        <v>240</v>
      </c>
      <c r="F26" s="99" t="s">
        <v>150</v>
      </c>
      <c r="G26" s="100" t="s">
        <v>241</v>
      </c>
      <c r="H26" s="100">
        <v>374297110.57999998</v>
      </c>
      <c r="I26" s="100">
        <v>169278924.75999999</v>
      </c>
      <c r="J26" s="133">
        <f>AVERAGE(I26,Q26,S26,U26,W26,Y26,AA26,AC26,AE26,AG26,AI26,AK26,H26)</f>
        <v>378587264.18461543</v>
      </c>
      <c r="K26" s="134">
        <v>2E-3</v>
      </c>
      <c r="L26" s="134">
        <v>1E-3</v>
      </c>
      <c r="M26" s="135">
        <f>AVERAGE(K26:L26)</f>
        <v>1.5E-3</v>
      </c>
      <c r="N26" s="136">
        <v>1</v>
      </c>
      <c r="O26" s="137">
        <f>J26*M26*N26</f>
        <v>567880.89627692313</v>
      </c>
      <c r="P26" s="138">
        <f t="shared" ref="P26:P48" si="0">SUMIFS($F$83:$F$272,$D$83:$D$272,E26,$E$83:$E$272,$P$25)</f>
        <v>75178166.600000098</v>
      </c>
      <c r="Q26" s="166">
        <f>I26+P26</f>
        <v>244457091.36000007</v>
      </c>
      <c r="R26" s="166">
        <f t="shared" ref="R26:R48" si="1">SUMIFS($F$83:$F$272,$D$83:$D$272,E26,$E$83:$E$272,$R$25)</f>
        <v>-142795403.63</v>
      </c>
      <c r="S26" s="166">
        <f>Q26+R26</f>
        <v>101661687.73000008</v>
      </c>
      <c r="T26" s="166">
        <f t="shared" ref="T26:T48" si="2">SUMIFS($F$83:$F$272,$D$83:$D$272,E26,$E$83:$E$272,$T$25)</f>
        <v>416099088.41000003</v>
      </c>
      <c r="U26" s="166">
        <f>S26+T26</f>
        <v>517760776.1400001</v>
      </c>
      <c r="V26" s="166">
        <f t="shared" ref="V26:V48" si="3">SUMIFS($F$83:$F$272,$D$83:$D$272,E26,$E$83:$E$272,$V$25)</f>
        <v>172840849.06999999</v>
      </c>
      <c r="W26" s="166">
        <f>U26+V26</f>
        <v>690601625.21000004</v>
      </c>
      <c r="X26" s="166">
        <f t="shared" ref="X26:X48" si="4">SUMIFS($F$83:$F$272,$D$83:$D$272,E26,$E$83:$E$272,$X$25)</f>
        <v>-289778980.5</v>
      </c>
      <c r="Y26" s="166">
        <f>W26+X26</f>
        <v>400822644.71000004</v>
      </c>
      <c r="Z26" s="166">
        <f t="shared" ref="Z26:Z48" si="5">SUMIFS($F$83:$F$272,$D$83:$D$272,E26,$E$83:$E$272,$Z$25)</f>
        <v>-110676089.62</v>
      </c>
      <c r="AA26" s="166">
        <f>Y26+Z26</f>
        <v>290146555.09000003</v>
      </c>
      <c r="AB26" s="166">
        <f t="shared" ref="AB26:AB48" si="6">SUMIFS($F$83:$F$272,$D$83:$D$272,E26,$E$83:$E$272,$AB$25)</f>
        <v>325039113.75</v>
      </c>
      <c r="AC26" s="166">
        <f>AA26+AB26</f>
        <v>615185668.84000003</v>
      </c>
      <c r="AD26" s="166">
        <f t="shared" ref="AD26:AD48" si="7">SUMIFS($F$83:$F$272,$D$83:$D$272,E26,$E$83:$E$272,$AD$25)</f>
        <v>-144553431.16</v>
      </c>
      <c r="AE26" s="166">
        <f>AC26+AD26</f>
        <v>470632237.68000007</v>
      </c>
      <c r="AF26" s="166">
        <f t="shared" ref="AF26:AF48" si="8">SUMIFS($F$83:$F$272,$D$83:$D$272,E26,$E$83:$E$272,$AF$25)</f>
        <v>-158392230.66</v>
      </c>
      <c r="AG26" s="166">
        <f>AE26+AF26</f>
        <v>312240007.0200001</v>
      </c>
      <c r="AH26" s="166">
        <f t="shared" ref="AH26:AH48" si="9">SUMIFS($F$83:$F$272,$D$83:$D$272,E26,$E$83:$E$272,$AH$25)</f>
        <v>130022401.89</v>
      </c>
      <c r="AI26" s="166">
        <f>AG26+AH26</f>
        <v>442262408.91000009</v>
      </c>
      <c r="AJ26" s="166">
        <f t="shared" ref="AJ26:AJ48" si="10">SUMIFS($F$83:$F$272,$D$83:$D$272,E26,$E$83:$E$272,$AJ$25)</f>
        <v>-149974712.53999999</v>
      </c>
      <c r="AK26" s="166">
        <f>AI26+AJ26</f>
        <v>292287696.37000012</v>
      </c>
      <c r="AL26" s="166">
        <f t="shared" ref="AL26:AL48" si="11">SUMIFS($F$83:$F$272,$D$83:$D$272,E26,$E$83:$E$272,$AL$25)</f>
        <v>82009414.209999993</v>
      </c>
      <c r="AM26" s="166">
        <f>AK26+AL26</f>
        <v>374297110.5800001</v>
      </c>
      <c r="AN26" s="168">
        <f>AM26-H26</f>
        <v>0</v>
      </c>
    </row>
    <row r="27" spans="1:40" s="66" customFormat="1" outlineLevel="1">
      <c r="A27" s="74"/>
      <c r="C27" s="98" t="s">
        <v>150</v>
      </c>
      <c r="D27" s="99" t="s">
        <v>239</v>
      </c>
      <c r="E27" s="99" t="s">
        <v>242</v>
      </c>
      <c r="F27" s="99" t="s">
        <v>150</v>
      </c>
      <c r="G27" s="100" t="s">
        <v>241</v>
      </c>
      <c r="H27" s="100">
        <v>133262385.37</v>
      </c>
      <c r="I27" s="100">
        <v>47433379.25</v>
      </c>
      <c r="J27" s="133">
        <f t="shared" ref="J27:J47" si="12">AVERAGE(I27,Q27,S27,U27,W27,Y27,AA27,AC27,AE27,AG27,AI27,AK27,H27)</f>
        <v>122765926.99538459</v>
      </c>
      <c r="K27" s="134">
        <v>1.35E-2</v>
      </c>
      <c r="L27" s="134">
        <v>1E-3</v>
      </c>
      <c r="M27" s="135">
        <f t="shared" ref="M27:M47" si="13">AVERAGE(K27:L27)</f>
        <v>7.2500000000000004E-3</v>
      </c>
      <c r="N27" s="136">
        <v>1</v>
      </c>
      <c r="O27" s="137">
        <f t="shared" ref="O27:O51" si="14">J27*M27*N27</f>
        <v>890052.97071653826</v>
      </c>
      <c r="P27" s="138">
        <f t="shared" si="0"/>
        <v>-40140577.210000001</v>
      </c>
      <c r="Q27" s="166">
        <f t="shared" ref="Q27:Q48" si="15">I27+P27</f>
        <v>7292802.0399999991</v>
      </c>
      <c r="R27" s="166">
        <f t="shared" si="1"/>
        <v>7610473.3499999996</v>
      </c>
      <c r="S27" s="166">
        <f t="shared" ref="S27:AM48" si="16">Q27+R27</f>
        <v>14903275.389999999</v>
      </c>
      <c r="T27" s="166">
        <f t="shared" si="2"/>
        <v>231952562.47999999</v>
      </c>
      <c r="U27" s="166">
        <f t="shared" si="16"/>
        <v>246855837.86999997</v>
      </c>
      <c r="V27" s="166">
        <f t="shared" si="3"/>
        <v>-165311914.91</v>
      </c>
      <c r="W27" s="166">
        <f t="shared" si="16"/>
        <v>81543922.959999979</v>
      </c>
      <c r="X27" s="166">
        <f t="shared" si="4"/>
        <v>2397697.73</v>
      </c>
      <c r="Y27" s="166">
        <f t="shared" si="16"/>
        <v>83941620.689999983</v>
      </c>
      <c r="Z27" s="166">
        <f t="shared" si="5"/>
        <v>-51579689.770000003</v>
      </c>
      <c r="AA27" s="166">
        <f t="shared" si="16"/>
        <v>32361930.919999979</v>
      </c>
      <c r="AB27" s="166">
        <f t="shared" si="6"/>
        <v>16710714.82</v>
      </c>
      <c r="AC27" s="166">
        <f t="shared" si="16"/>
        <v>49072645.73999998</v>
      </c>
      <c r="AD27" s="166">
        <f t="shared" si="7"/>
        <v>387884208.81</v>
      </c>
      <c r="AE27" s="166">
        <f t="shared" si="16"/>
        <v>436956854.54999995</v>
      </c>
      <c r="AF27" s="166">
        <f t="shared" si="8"/>
        <v>-153723713.37</v>
      </c>
      <c r="AG27" s="166">
        <f t="shared" si="16"/>
        <v>283233141.17999995</v>
      </c>
      <c r="AH27" s="166">
        <f t="shared" si="9"/>
        <v>-181907108.30000001</v>
      </c>
      <c r="AI27" s="166">
        <f t="shared" si="16"/>
        <v>101326032.87999994</v>
      </c>
      <c r="AJ27" s="166">
        <f t="shared" si="10"/>
        <v>-23552810.780000001</v>
      </c>
      <c r="AK27" s="166">
        <f t="shared" si="16"/>
        <v>77773222.099999934</v>
      </c>
      <c r="AL27" s="166">
        <f t="shared" si="11"/>
        <v>55489163.270000003</v>
      </c>
      <c r="AM27" s="166">
        <f t="shared" si="16"/>
        <v>133262385.36999995</v>
      </c>
      <c r="AN27" s="168">
        <f t="shared" ref="AN27:AN48" si="17">AM27-H27</f>
        <v>0</v>
      </c>
    </row>
    <row r="28" spans="1:40" s="66" customFormat="1" outlineLevel="1">
      <c r="A28" s="74"/>
      <c r="C28" s="98" t="s">
        <v>150</v>
      </c>
      <c r="D28" s="99" t="s">
        <v>239</v>
      </c>
      <c r="E28" s="99" t="s">
        <v>243</v>
      </c>
      <c r="F28" s="99" t="s">
        <v>150</v>
      </c>
      <c r="G28" s="100" t="s">
        <v>241</v>
      </c>
      <c r="H28" s="100">
        <v>28597270.84</v>
      </c>
      <c r="I28" s="100">
        <v>82988568.290000007</v>
      </c>
      <c r="J28" s="133">
        <f t="shared" si="12"/>
        <v>59818045.519230798</v>
      </c>
      <c r="K28" s="134">
        <v>2E-3</v>
      </c>
      <c r="L28" s="134">
        <v>1E-3</v>
      </c>
      <c r="M28" s="135">
        <f t="shared" si="13"/>
        <v>1.5E-3</v>
      </c>
      <c r="N28" s="136">
        <v>1</v>
      </c>
      <c r="O28" s="137">
        <f t="shared" si="14"/>
        <v>89727.0682788462</v>
      </c>
      <c r="P28" s="138">
        <f t="shared" si="0"/>
        <v>243810356.69999999</v>
      </c>
      <c r="Q28" s="166">
        <f t="shared" si="15"/>
        <v>326798924.99000001</v>
      </c>
      <c r="R28" s="166">
        <f t="shared" si="1"/>
        <v>-297025694.44999999</v>
      </c>
      <c r="S28" s="166">
        <f t="shared" si="16"/>
        <v>29773230.540000021</v>
      </c>
      <c r="T28" s="166">
        <f t="shared" si="2"/>
        <v>10199981.35</v>
      </c>
      <c r="U28" s="166">
        <f t="shared" si="16"/>
        <v>39973211.890000023</v>
      </c>
      <c r="V28" s="166">
        <f t="shared" si="3"/>
        <v>8201550.3200000003</v>
      </c>
      <c r="W28" s="166">
        <f t="shared" si="16"/>
        <v>48174762.210000023</v>
      </c>
      <c r="X28" s="166">
        <f t="shared" si="4"/>
        <v>15877210.279999999</v>
      </c>
      <c r="Y28" s="166">
        <f t="shared" si="16"/>
        <v>64051972.490000024</v>
      </c>
      <c r="Z28" s="166">
        <f t="shared" si="5"/>
        <v>-52906829.700000003</v>
      </c>
      <c r="AA28" s="166">
        <f t="shared" si="16"/>
        <v>11145142.790000021</v>
      </c>
      <c r="AB28" s="166">
        <f t="shared" si="6"/>
        <v>10566111.82</v>
      </c>
      <c r="AC28" s="166">
        <f t="shared" si="16"/>
        <v>21711254.610000022</v>
      </c>
      <c r="AD28" s="166">
        <f t="shared" si="7"/>
        <v>-3068464.09</v>
      </c>
      <c r="AE28" s="166">
        <f t="shared" si="16"/>
        <v>18642790.520000022</v>
      </c>
      <c r="AF28" s="166">
        <f t="shared" si="8"/>
        <v>10494852.720000001</v>
      </c>
      <c r="AG28" s="166">
        <f t="shared" si="16"/>
        <v>29137643.240000024</v>
      </c>
      <c r="AH28" s="166">
        <f t="shared" si="9"/>
        <v>30956868.850000001</v>
      </c>
      <c r="AI28" s="166">
        <f t="shared" si="16"/>
        <v>60094512.090000026</v>
      </c>
      <c r="AJ28" s="166">
        <f t="shared" si="10"/>
        <v>-43549204.840000004</v>
      </c>
      <c r="AK28" s="166">
        <f t="shared" si="16"/>
        <v>16545307.250000022</v>
      </c>
      <c r="AL28" s="166">
        <f t="shared" si="11"/>
        <v>12051963.59</v>
      </c>
      <c r="AM28" s="166">
        <f t="shared" si="16"/>
        <v>28597270.840000022</v>
      </c>
      <c r="AN28" s="168">
        <f t="shared" si="17"/>
        <v>0</v>
      </c>
    </row>
    <row r="29" spans="1:40" s="66" customFormat="1" outlineLevel="1">
      <c r="A29" s="74"/>
      <c r="C29" s="98" t="s">
        <v>150</v>
      </c>
      <c r="D29" s="99" t="s">
        <v>244</v>
      </c>
      <c r="E29" s="99" t="s">
        <v>245</v>
      </c>
      <c r="F29" s="99" t="s">
        <v>150</v>
      </c>
      <c r="G29" s="100" t="s">
        <v>241</v>
      </c>
      <c r="H29" s="100">
        <v>0</v>
      </c>
      <c r="I29" s="100">
        <v>0</v>
      </c>
      <c r="J29" s="133">
        <f t="shared" si="12"/>
        <v>0</v>
      </c>
      <c r="K29" s="134">
        <v>2E-3</v>
      </c>
      <c r="L29" s="134">
        <v>1E-3</v>
      </c>
      <c r="M29" s="135">
        <f t="shared" si="13"/>
        <v>1.5E-3</v>
      </c>
      <c r="N29" s="136">
        <v>1</v>
      </c>
      <c r="O29" s="137">
        <f t="shared" si="14"/>
        <v>0</v>
      </c>
      <c r="P29" s="138">
        <f t="shared" si="0"/>
        <v>0</v>
      </c>
      <c r="Q29" s="166">
        <f t="shared" si="15"/>
        <v>0</v>
      </c>
      <c r="R29" s="166">
        <f t="shared" si="1"/>
        <v>0</v>
      </c>
      <c r="S29" s="166">
        <f t="shared" si="16"/>
        <v>0</v>
      </c>
      <c r="T29" s="166">
        <f t="shared" si="2"/>
        <v>0</v>
      </c>
      <c r="U29" s="166">
        <f t="shared" si="16"/>
        <v>0</v>
      </c>
      <c r="V29" s="166">
        <f t="shared" si="3"/>
        <v>0</v>
      </c>
      <c r="W29" s="166">
        <f t="shared" si="16"/>
        <v>0</v>
      </c>
      <c r="X29" s="166">
        <f t="shared" si="4"/>
        <v>0</v>
      </c>
      <c r="Y29" s="166">
        <f t="shared" si="16"/>
        <v>0</v>
      </c>
      <c r="Z29" s="166">
        <f t="shared" si="5"/>
        <v>0</v>
      </c>
      <c r="AA29" s="166">
        <f t="shared" si="16"/>
        <v>0</v>
      </c>
      <c r="AB29" s="166">
        <f t="shared" si="6"/>
        <v>0</v>
      </c>
      <c r="AC29" s="166">
        <f t="shared" si="16"/>
        <v>0</v>
      </c>
      <c r="AD29" s="166">
        <f t="shared" si="7"/>
        <v>0</v>
      </c>
      <c r="AE29" s="166">
        <f t="shared" si="16"/>
        <v>0</v>
      </c>
      <c r="AF29" s="166">
        <f t="shared" si="8"/>
        <v>0</v>
      </c>
      <c r="AG29" s="166">
        <f t="shared" si="16"/>
        <v>0</v>
      </c>
      <c r="AH29" s="166">
        <f t="shared" si="9"/>
        <v>0</v>
      </c>
      <c r="AI29" s="166">
        <f t="shared" si="16"/>
        <v>0</v>
      </c>
      <c r="AJ29" s="166">
        <f t="shared" si="10"/>
        <v>0</v>
      </c>
      <c r="AK29" s="166">
        <f t="shared" si="16"/>
        <v>0</v>
      </c>
      <c r="AL29" s="166">
        <f t="shared" si="11"/>
        <v>0</v>
      </c>
      <c r="AM29" s="166">
        <f t="shared" si="16"/>
        <v>0</v>
      </c>
      <c r="AN29" s="168">
        <f t="shared" si="17"/>
        <v>0</v>
      </c>
    </row>
    <row r="30" spans="1:40" s="66" customFormat="1" outlineLevel="1">
      <c r="A30" s="74"/>
      <c r="C30" s="98" t="s">
        <v>150</v>
      </c>
      <c r="D30" s="99" t="s">
        <v>239</v>
      </c>
      <c r="E30" s="99" t="s">
        <v>246</v>
      </c>
      <c r="F30" s="99" t="s">
        <v>150</v>
      </c>
      <c r="G30" s="100" t="s">
        <v>241</v>
      </c>
      <c r="H30" s="100">
        <v>73948190.010000005</v>
      </c>
      <c r="I30" s="100">
        <v>31492099.300000001</v>
      </c>
      <c r="J30" s="133">
        <f t="shared" si="12"/>
        <v>81035588.18230769</v>
      </c>
      <c r="K30" s="134">
        <v>2E-3</v>
      </c>
      <c r="L30" s="134">
        <v>1E-3</v>
      </c>
      <c r="M30" s="135">
        <f t="shared" si="13"/>
        <v>1.5E-3</v>
      </c>
      <c r="N30" s="136">
        <v>1</v>
      </c>
      <c r="O30" s="137">
        <f t="shared" si="14"/>
        <v>121553.38227346154</v>
      </c>
      <c r="P30" s="138">
        <f t="shared" si="0"/>
        <v>22069407.390000001</v>
      </c>
      <c r="Q30" s="166">
        <f t="shared" si="15"/>
        <v>53561506.689999998</v>
      </c>
      <c r="R30" s="166">
        <f t="shared" si="1"/>
        <v>6646450.0199999996</v>
      </c>
      <c r="S30" s="166">
        <f t="shared" si="16"/>
        <v>60207956.709999993</v>
      </c>
      <c r="T30" s="166">
        <f t="shared" si="2"/>
        <v>4597295.17</v>
      </c>
      <c r="U30" s="166">
        <f t="shared" si="16"/>
        <v>64805251.879999995</v>
      </c>
      <c r="V30" s="166">
        <f t="shared" si="3"/>
        <v>15337871.77</v>
      </c>
      <c r="W30" s="166">
        <f t="shared" si="16"/>
        <v>80143123.649999991</v>
      </c>
      <c r="X30" s="166">
        <f t="shared" si="4"/>
        <v>28270531.739999998</v>
      </c>
      <c r="Y30" s="166">
        <f t="shared" si="16"/>
        <v>108413655.38999999</v>
      </c>
      <c r="Z30" s="166">
        <f t="shared" si="5"/>
        <v>-23665920.309999999</v>
      </c>
      <c r="AA30" s="166">
        <f t="shared" si="16"/>
        <v>84747735.079999983</v>
      </c>
      <c r="AB30" s="166">
        <f t="shared" si="6"/>
        <v>96840437.040000007</v>
      </c>
      <c r="AC30" s="166">
        <f t="shared" si="16"/>
        <v>181588172.12</v>
      </c>
      <c r="AD30" s="166">
        <f t="shared" si="7"/>
        <v>-71203692.769999996</v>
      </c>
      <c r="AE30" s="166">
        <f t="shared" si="16"/>
        <v>110384479.35000001</v>
      </c>
      <c r="AF30" s="166">
        <f t="shared" si="8"/>
        <v>-50742202.340000004</v>
      </c>
      <c r="AG30" s="166">
        <f t="shared" si="16"/>
        <v>59642277.010000005</v>
      </c>
      <c r="AH30" s="166">
        <f t="shared" si="9"/>
        <v>-26114504.390000001</v>
      </c>
      <c r="AI30" s="166">
        <f t="shared" si="16"/>
        <v>33527772.620000005</v>
      </c>
      <c r="AJ30" s="166">
        <f t="shared" si="10"/>
        <v>77472653.939999998</v>
      </c>
      <c r="AK30" s="166">
        <f t="shared" si="16"/>
        <v>111000426.56</v>
      </c>
      <c r="AL30" s="166">
        <f t="shared" si="11"/>
        <v>-37052236.549999997</v>
      </c>
      <c r="AM30" s="166">
        <f t="shared" si="16"/>
        <v>73948190.010000005</v>
      </c>
      <c r="AN30" s="168">
        <f t="shared" si="17"/>
        <v>0</v>
      </c>
    </row>
    <row r="31" spans="1:40" s="66" customFormat="1" outlineLevel="1">
      <c r="A31" s="74"/>
      <c r="C31" s="98" t="s">
        <v>150</v>
      </c>
      <c r="D31" s="99" t="s">
        <v>239</v>
      </c>
      <c r="E31" s="99" t="s">
        <v>247</v>
      </c>
      <c r="F31" s="99" t="s">
        <v>150</v>
      </c>
      <c r="G31" s="100" t="s">
        <v>241</v>
      </c>
      <c r="H31" s="100">
        <v>151769.91</v>
      </c>
      <c r="I31" s="100">
        <v>1030603.87</v>
      </c>
      <c r="J31" s="133">
        <f t="shared" si="12"/>
        <v>9517008.1669230722</v>
      </c>
      <c r="K31" s="134">
        <v>2E-3</v>
      </c>
      <c r="L31" s="134">
        <v>1E-3</v>
      </c>
      <c r="M31" s="135">
        <f t="shared" si="13"/>
        <v>1.5E-3</v>
      </c>
      <c r="N31" s="136">
        <v>1</v>
      </c>
      <c r="O31" s="137">
        <f t="shared" si="14"/>
        <v>14275.512250384609</v>
      </c>
      <c r="P31" s="138">
        <f t="shared" si="0"/>
        <v>-400</v>
      </c>
      <c r="Q31" s="166">
        <f t="shared" si="15"/>
        <v>1030203.87</v>
      </c>
      <c r="R31" s="166">
        <f t="shared" si="1"/>
        <v>0</v>
      </c>
      <c r="S31" s="166">
        <f t="shared" si="16"/>
        <v>1030203.87</v>
      </c>
      <c r="T31" s="166">
        <f t="shared" si="2"/>
        <v>315.86999999756898</v>
      </c>
      <c r="U31" s="166">
        <f t="shared" si="16"/>
        <v>1030519.7399999975</v>
      </c>
      <c r="V31" s="166">
        <f t="shared" si="3"/>
        <v>67360063.780000001</v>
      </c>
      <c r="W31" s="166">
        <f t="shared" si="16"/>
        <v>68390583.519999996</v>
      </c>
      <c r="X31" s="166">
        <f t="shared" si="4"/>
        <v>-68240077.780000001</v>
      </c>
      <c r="Y31" s="166">
        <f t="shared" si="16"/>
        <v>150505.73999999464</v>
      </c>
      <c r="Z31" s="166">
        <f t="shared" si="5"/>
        <v>501.70999999996297</v>
      </c>
      <c r="AA31" s="166">
        <f t="shared" si="16"/>
        <v>151007.4499999946</v>
      </c>
      <c r="AB31" s="166">
        <f t="shared" si="6"/>
        <v>-140</v>
      </c>
      <c r="AC31" s="166">
        <f t="shared" si="16"/>
        <v>150867.4499999946</v>
      </c>
      <c r="AD31" s="166">
        <f t="shared" si="7"/>
        <v>100</v>
      </c>
      <c r="AE31" s="166">
        <f t="shared" si="16"/>
        <v>150967.4499999946</v>
      </c>
      <c r="AF31" s="166">
        <f t="shared" si="8"/>
        <v>323.65000000119198</v>
      </c>
      <c r="AG31" s="166">
        <f t="shared" si="16"/>
        <v>151291.09999999579</v>
      </c>
      <c r="AH31" s="166">
        <f t="shared" si="9"/>
        <v>0</v>
      </c>
      <c r="AI31" s="166">
        <f t="shared" si="16"/>
        <v>151291.09999999579</v>
      </c>
      <c r="AJ31" s="166">
        <f t="shared" si="10"/>
        <v>50000000</v>
      </c>
      <c r="AK31" s="166">
        <f t="shared" si="16"/>
        <v>50151291.099999994</v>
      </c>
      <c r="AL31" s="166">
        <f t="shared" si="11"/>
        <v>-49999521.189999998</v>
      </c>
      <c r="AM31" s="166">
        <f t="shared" si="16"/>
        <v>151769.90999999642</v>
      </c>
      <c r="AN31" s="168">
        <f t="shared" si="17"/>
        <v>-3.5797711461782455E-9</v>
      </c>
    </row>
    <row r="32" spans="1:40" s="66" customFormat="1" outlineLevel="1">
      <c r="A32" s="74"/>
      <c r="C32" s="98" t="s">
        <v>150</v>
      </c>
      <c r="D32" s="99" t="s">
        <v>239</v>
      </c>
      <c r="E32" s="99" t="s">
        <v>248</v>
      </c>
      <c r="F32" s="99" t="s">
        <v>150</v>
      </c>
      <c r="G32" s="100" t="s">
        <v>241</v>
      </c>
      <c r="H32" s="100">
        <v>243422.76</v>
      </c>
      <c r="I32" s="100">
        <v>77938.2</v>
      </c>
      <c r="J32" s="133">
        <f t="shared" si="12"/>
        <v>130879.63999999981</v>
      </c>
      <c r="K32" s="134">
        <v>2E-3</v>
      </c>
      <c r="L32" s="134">
        <v>1E-3</v>
      </c>
      <c r="M32" s="135">
        <f t="shared" si="13"/>
        <v>1.5E-3</v>
      </c>
      <c r="N32" s="136">
        <v>1</v>
      </c>
      <c r="O32" s="137">
        <f t="shared" si="14"/>
        <v>196.31945999999971</v>
      </c>
      <c r="P32" s="138">
        <f t="shared" si="0"/>
        <v>-300</v>
      </c>
      <c r="Q32" s="166">
        <f t="shared" si="15"/>
        <v>77638.2</v>
      </c>
      <c r="R32" s="166">
        <f t="shared" si="1"/>
        <v>0</v>
      </c>
      <c r="S32" s="166">
        <f t="shared" si="16"/>
        <v>77638.2</v>
      </c>
      <c r="T32" s="166">
        <f t="shared" si="2"/>
        <v>52088.180000000197</v>
      </c>
      <c r="U32" s="166">
        <f t="shared" si="16"/>
        <v>129726.38000000019</v>
      </c>
      <c r="V32" s="166">
        <f t="shared" si="3"/>
        <v>-300</v>
      </c>
      <c r="W32" s="166">
        <f t="shared" si="16"/>
        <v>129426.38000000019</v>
      </c>
      <c r="X32" s="166">
        <f t="shared" si="4"/>
        <v>0</v>
      </c>
      <c r="Y32" s="166">
        <f t="shared" si="16"/>
        <v>129426.38000000019</v>
      </c>
      <c r="Z32" s="166">
        <f t="shared" si="5"/>
        <v>8569.4899999992595</v>
      </c>
      <c r="AA32" s="166">
        <f t="shared" si="16"/>
        <v>137995.86999999944</v>
      </c>
      <c r="AB32" s="166">
        <f t="shared" si="6"/>
        <v>-26</v>
      </c>
      <c r="AC32" s="166">
        <f t="shared" si="16"/>
        <v>137969.86999999944</v>
      </c>
      <c r="AD32" s="166">
        <f t="shared" si="7"/>
        <v>0</v>
      </c>
      <c r="AE32" s="166">
        <f t="shared" si="16"/>
        <v>137969.86999999944</v>
      </c>
      <c r="AF32" s="166">
        <f t="shared" si="8"/>
        <v>2891.2000000000698</v>
      </c>
      <c r="AG32" s="166">
        <f t="shared" si="16"/>
        <v>140861.06999999951</v>
      </c>
      <c r="AH32" s="166">
        <f t="shared" si="9"/>
        <v>-100</v>
      </c>
      <c r="AI32" s="166">
        <f t="shared" si="16"/>
        <v>140761.06999999951</v>
      </c>
      <c r="AJ32" s="166">
        <f t="shared" si="10"/>
        <v>-100</v>
      </c>
      <c r="AK32" s="166">
        <f t="shared" si="16"/>
        <v>140661.06999999951</v>
      </c>
      <c r="AL32" s="166">
        <f t="shared" si="11"/>
        <v>102761.69</v>
      </c>
      <c r="AM32" s="166">
        <f t="shared" si="16"/>
        <v>243422.75999999951</v>
      </c>
      <c r="AN32" s="168">
        <f t="shared" si="17"/>
        <v>-4.9476511776447296E-10</v>
      </c>
    </row>
    <row r="33" spans="1:40" s="66" customFormat="1" outlineLevel="1">
      <c r="A33" s="74"/>
      <c r="C33" s="98" t="s">
        <v>150</v>
      </c>
      <c r="D33" s="99" t="s">
        <v>239</v>
      </c>
      <c r="E33" s="99" t="s">
        <v>249</v>
      </c>
      <c r="F33" s="99" t="s">
        <v>150</v>
      </c>
      <c r="G33" s="100" t="s">
        <v>241</v>
      </c>
      <c r="H33" s="100">
        <v>0</v>
      </c>
      <c r="I33" s="100">
        <v>0</v>
      </c>
      <c r="J33" s="133">
        <f t="shared" si="12"/>
        <v>0</v>
      </c>
      <c r="K33" s="134">
        <v>8.0000000000000002E-3</v>
      </c>
      <c r="L33" s="134">
        <v>1E-3</v>
      </c>
      <c r="M33" s="135">
        <f t="shared" si="13"/>
        <v>4.4999999999999997E-3</v>
      </c>
      <c r="N33" s="136">
        <v>1</v>
      </c>
      <c r="O33" s="137">
        <f t="shared" si="14"/>
        <v>0</v>
      </c>
      <c r="P33" s="138">
        <f t="shared" si="0"/>
        <v>0</v>
      </c>
      <c r="Q33" s="166">
        <f t="shared" si="15"/>
        <v>0</v>
      </c>
      <c r="R33" s="166">
        <f t="shared" si="1"/>
        <v>0</v>
      </c>
      <c r="S33" s="166">
        <f t="shared" si="16"/>
        <v>0</v>
      </c>
      <c r="T33" s="166">
        <f t="shared" si="2"/>
        <v>0</v>
      </c>
      <c r="U33" s="166">
        <f t="shared" si="16"/>
        <v>0</v>
      </c>
      <c r="V33" s="166">
        <f t="shared" si="3"/>
        <v>0</v>
      </c>
      <c r="W33" s="166">
        <f t="shared" si="16"/>
        <v>0</v>
      </c>
      <c r="X33" s="166">
        <f t="shared" si="4"/>
        <v>0</v>
      </c>
      <c r="Y33" s="166">
        <f t="shared" si="16"/>
        <v>0</v>
      </c>
      <c r="Z33" s="166">
        <f t="shared" si="5"/>
        <v>0</v>
      </c>
      <c r="AA33" s="166">
        <f t="shared" si="16"/>
        <v>0</v>
      </c>
      <c r="AB33" s="166">
        <f t="shared" si="6"/>
        <v>0</v>
      </c>
      <c r="AC33" s="166">
        <f t="shared" si="16"/>
        <v>0</v>
      </c>
      <c r="AD33" s="166">
        <f t="shared" si="7"/>
        <v>0</v>
      </c>
      <c r="AE33" s="166">
        <f t="shared" si="16"/>
        <v>0</v>
      </c>
      <c r="AF33" s="166">
        <f t="shared" si="8"/>
        <v>0</v>
      </c>
      <c r="AG33" s="166">
        <f t="shared" si="16"/>
        <v>0</v>
      </c>
      <c r="AH33" s="166">
        <f t="shared" si="9"/>
        <v>0</v>
      </c>
      <c r="AI33" s="166">
        <f t="shared" si="16"/>
        <v>0</v>
      </c>
      <c r="AJ33" s="166">
        <f t="shared" si="10"/>
        <v>0</v>
      </c>
      <c r="AK33" s="166">
        <f t="shared" si="16"/>
        <v>0</v>
      </c>
      <c r="AL33" s="166">
        <f t="shared" si="11"/>
        <v>0</v>
      </c>
      <c r="AM33" s="166">
        <f t="shared" si="16"/>
        <v>0</v>
      </c>
      <c r="AN33" s="168">
        <f t="shared" si="17"/>
        <v>0</v>
      </c>
    </row>
    <row r="34" spans="1:40" s="66" customFormat="1" outlineLevel="1">
      <c r="A34" s="74"/>
      <c r="C34" s="98" t="s">
        <v>150</v>
      </c>
      <c r="D34" s="99" t="s">
        <v>239</v>
      </c>
      <c r="E34" s="99" t="s">
        <v>250</v>
      </c>
      <c r="F34" s="99" t="s">
        <v>150</v>
      </c>
      <c r="G34" s="100" t="s">
        <v>241</v>
      </c>
      <c r="H34" s="100">
        <v>6698375.6900000004</v>
      </c>
      <c r="I34" s="100">
        <v>7979603.9299999997</v>
      </c>
      <c r="J34" s="133">
        <f t="shared" si="12"/>
        <v>8025062.3053846145</v>
      </c>
      <c r="K34" s="134">
        <v>1.61E-2</v>
      </c>
      <c r="L34" s="134">
        <v>1E-3</v>
      </c>
      <c r="M34" s="135">
        <f t="shared" si="13"/>
        <v>8.5500000000000003E-3</v>
      </c>
      <c r="N34" s="136">
        <v>1</v>
      </c>
      <c r="O34" s="137">
        <f t="shared" si="14"/>
        <v>68614.282711038453</v>
      </c>
      <c r="P34" s="138">
        <f t="shared" si="0"/>
        <v>1934594.76</v>
      </c>
      <c r="Q34" s="166">
        <f t="shared" si="15"/>
        <v>9914198.6899999995</v>
      </c>
      <c r="R34" s="166">
        <f t="shared" si="1"/>
        <v>-5179431.72</v>
      </c>
      <c r="S34" s="166">
        <f t="shared" si="16"/>
        <v>4734766.97</v>
      </c>
      <c r="T34" s="166">
        <f t="shared" si="2"/>
        <v>-881444.77</v>
      </c>
      <c r="U34" s="166">
        <f t="shared" si="16"/>
        <v>3853322.1999999997</v>
      </c>
      <c r="V34" s="166">
        <f t="shared" si="3"/>
        <v>6590994.3799999999</v>
      </c>
      <c r="W34" s="166">
        <f t="shared" si="16"/>
        <v>10444316.58</v>
      </c>
      <c r="X34" s="166">
        <f t="shared" si="4"/>
        <v>523247.03</v>
      </c>
      <c r="Y34" s="166">
        <f t="shared" si="16"/>
        <v>10967563.609999999</v>
      </c>
      <c r="Z34" s="166">
        <f t="shared" si="5"/>
        <v>-2616712.52</v>
      </c>
      <c r="AA34" s="166">
        <f t="shared" si="16"/>
        <v>8350851.0899999999</v>
      </c>
      <c r="AB34" s="166">
        <f t="shared" si="6"/>
        <v>-1200062.49</v>
      </c>
      <c r="AC34" s="166">
        <f t="shared" si="16"/>
        <v>7150788.5999999996</v>
      </c>
      <c r="AD34" s="166">
        <f t="shared" si="7"/>
        <v>2924013.02</v>
      </c>
      <c r="AE34" s="166">
        <f t="shared" si="16"/>
        <v>10074801.619999999</v>
      </c>
      <c r="AF34" s="166">
        <f t="shared" si="8"/>
        <v>-1751536.56</v>
      </c>
      <c r="AG34" s="166">
        <f t="shared" si="16"/>
        <v>8323265.0599999987</v>
      </c>
      <c r="AH34" s="166">
        <f t="shared" si="9"/>
        <v>-160871.37</v>
      </c>
      <c r="AI34" s="166">
        <f t="shared" si="16"/>
        <v>8162393.6899999985</v>
      </c>
      <c r="AJ34" s="166">
        <f t="shared" si="10"/>
        <v>-490831.45</v>
      </c>
      <c r="AK34" s="166">
        <f t="shared" si="16"/>
        <v>7671562.2399999984</v>
      </c>
      <c r="AL34" s="166">
        <f t="shared" si="11"/>
        <v>-973186.55</v>
      </c>
      <c r="AM34" s="166">
        <f t="shared" si="16"/>
        <v>6698375.6899999985</v>
      </c>
      <c r="AN34" s="168">
        <f t="shared" si="17"/>
        <v>0</v>
      </c>
    </row>
    <row r="35" spans="1:40" s="66" customFormat="1" outlineLevel="1">
      <c r="A35" s="74"/>
      <c r="C35" s="98" t="s">
        <v>150</v>
      </c>
      <c r="D35" s="99" t="s">
        <v>239</v>
      </c>
      <c r="E35" s="99" t="s">
        <v>251</v>
      </c>
      <c r="F35" s="99" t="s">
        <v>150</v>
      </c>
      <c r="G35" s="100" t="s">
        <v>241</v>
      </c>
      <c r="H35" s="100">
        <v>12816316.08</v>
      </c>
      <c r="I35" s="100">
        <v>35959352.479999997</v>
      </c>
      <c r="J35" s="133">
        <f t="shared" si="12"/>
        <v>53822186.453846224</v>
      </c>
      <c r="K35" s="134">
        <v>1.55E-2</v>
      </c>
      <c r="L35" s="134">
        <v>1E-3</v>
      </c>
      <c r="M35" s="135">
        <f t="shared" si="13"/>
        <v>8.2500000000000004E-3</v>
      </c>
      <c r="N35" s="136">
        <v>1</v>
      </c>
      <c r="O35" s="137">
        <f t="shared" si="14"/>
        <v>444033.03824423137</v>
      </c>
      <c r="P35" s="138">
        <f t="shared" si="0"/>
        <v>-9941459.3899999205</v>
      </c>
      <c r="Q35" s="166">
        <f t="shared" si="15"/>
        <v>26017893.090000078</v>
      </c>
      <c r="R35" s="166">
        <f t="shared" si="1"/>
        <v>72301430.299999997</v>
      </c>
      <c r="S35" s="166">
        <f t="shared" si="16"/>
        <v>98319323.390000075</v>
      </c>
      <c r="T35" s="166">
        <f t="shared" si="2"/>
        <v>-52190871.060000002</v>
      </c>
      <c r="U35" s="166">
        <f t="shared" si="16"/>
        <v>46128452.330000073</v>
      </c>
      <c r="V35" s="166">
        <f t="shared" si="3"/>
        <v>78555635.680000007</v>
      </c>
      <c r="W35" s="166">
        <f t="shared" si="16"/>
        <v>124684088.01000008</v>
      </c>
      <c r="X35" s="166">
        <f t="shared" si="4"/>
        <v>-81013790.819999993</v>
      </c>
      <c r="Y35" s="166">
        <f t="shared" si="16"/>
        <v>43670297.190000087</v>
      </c>
      <c r="Z35" s="166">
        <f t="shared" si="5"/>
        <v>9954607.2799999993</v>
      </c>
      <c r="AA35" s="166">
        <f t="shared" si="16"/>
        <v>53624904.470000088</v>
      </c>
      <c r="AB35" s="166">
        <f t="shared" si="6"/>
        <v>-13599887.710000001</v>
      </c>
      <c r="AC35" s="166">
        <f t="shared" si="16"/>
        <v>40025016.760000087</v>
      </c>
      <c r="AD35" s="166">
        <f t="shared" si="7"/>
        <v>-1860686.67</v>
      </c>
      <c r="AE35" s="166">
        <f t="shared" si="16"/>
        <v>38164330.090000086</v>
      </c>
      <c r="AF35" s="166">
        <f t="shared" si="8"/>
        <v>104658762.51000001</v>
      </c>
      <c r="AG35" s="166">
        <f t="shared" si="16"/>
        <v>142823092.60000008</v>
      </c>
      <c r="AH35" s="166">
        <f t="shared" si="9"/>
        <v>-112280758.79000001</v>
      </c>
      <c r="AI35" s="166">
        <f t="shared" si="16"/>
        <v>30542333.810000077</v>
      </c>
      <c r="AJ35" s="166">
        <f t="shared" si="10"/>
        <v>-23629310.210000001</v>
      </c>
      <c r="AK35" s="166">
        <f t="shared" si="16"/>
        <v>6913023.600000076</v>
      </c>
      <c r="AL35" s="166">
        <f t="shared" si="11"/>
        <v>5903292.4800000004</v>
      </c>
      <c r="AM35" s="166">
        <f t="shared" si="16"/>
        <v>12816316.080000076</v>
      </c>
      <c r="AN35" s="168">
        <f t="shared" si="17"/>
        <v>7.6368451118469238E-8</v>
      </c>
    </row>
    <row r="36" spans="1:40" s="66" customFormat="1" outlineLevel="1">
      <c r="A36" s="74"/>
      <c r="C36" s="98" t="s">
        <v>150</v>
      </c>
      <c r="D36" s="99" t="s">
        <v>239</v>
      </c>
      <c r="E36" s="99" t="s">
        <v>252</v>
      </c>
      <c r="F36" s="99" t="s">
        <v>150</v>
      </c>
      <c r="G36" s="100" t="s">
        <v>241</v>
      </c>
      <c r="H36" s="100">
        <v>3423538.15</v>
      </c>
      <c r="I36" s="100">
        <v>5925742.29</v>
      </c>
      <c r="J36" s="133">
        <f t="shared" si="12"/>
        <v>6032220.2430769252</v>
      </c>
      <c r="K36" s="134">
        <v>2E-3</v>
      </c>
      <c r="L36" s="134">
        <v>1E-3</v>
      </c>
      <c r="M36" s="135">
        <f t="shared" si="13"/>
        <v>1.5E-3</v>
      </c>
      <c r="N36" s="136">
        <v>1</v>
      </c>
      <c r="O36" s="137">
        <f t="shared" si="14"/>
        <v>9048.3303646153872</v>
      </c>
      <c r="P36" s="138">
        <f t="shared" si="0"/>
        <v>2064942.95</v>
      </c>
      <c r="Q36" s="166">
        <f t="shared" si="15"/>
        <v>7990685.2400000002</v>
      </c>
      <c r="R36" s="166">
        <f t="shared" si="1"/>
        <v>-1042640.6</v>
      </c>
      <c r="S36" s="166">
        <f t="shared" si="16"/>
        <v>6948044.6400000006</v>
      </c>
      <c r="T36" s="166">
        <f t="shared" si="2"/>
        <v>-1074219</v>
      </c>
      <c r="U36" s="166">
        <f t="shared" si="16"/>
        <v>5873825.6400000006</v>
      </c>
      <c r="V36" s="166">
        <f t="shared" si="3"/>
        <v>-1552914.44</v>
      </c>
      <c r="W36" s="166">
        <f t="shared" si="16"/>
        <v>4320911.2000000011</v>
      </c>
      <c r="X36" s="166">
        <f t="shared" si="4"/>
        <v>1050075</v>
      </c>
      <c r="Y36" s="166">
        <f t="shared" si="16"/>
        <v>5370986.2000000011</v>
      </c>
      <c r="Z36" s="166">
        <f t="shared" si="5"/>
        <v>5329290.45</v>
      </c>
      <c r="AA36" s="166">
        <f t="shared" si="16"/>
        <v>10700276.650000002</v>
      </c>
      <c r="AB36" s="166">
        <f t="shared" si="6"/>
        <v>-4095169.97</v>
      </c>
      <c r="AC36" s="166">
        <f t="shared" si="16"/>
        <v>6605106.6800000016</v>
      </c>
      <c r="AD36" s="166">
        <f t="shared" si="7"/>
        <v>-1655693</v>
      </c>
      <c r="AE36" s="166">
        <f t="shared" si="16"/>
        <v>4949413.6800000016</v>
      </c>
      <c r="AF36" s="166">
        <f t="shared" si="8"/>
        <v>-1095311.33</v>
      </c>
      <c r="AG36" s="166">
        <f t="shared" si="16"/>
        <v>3854102.3500000015</v>
      </c>
      <c r="AH36" s="166">
        <f t="shared" si="9"/>
        <v>521856.14</v>
      </c>
      <c r="AI36" s="166">
        <f t="shared" si="16"/>
        <v>4375958.4900000012</v>
      </c>
      <c r="AJ36" s="166">
        <f t="shared" si="10"/>
        <v>3704313.46</v>
      </c>
      <c r="AK36" s="166">
        <f t="shared" si="16"/>
        <v>8080271.9500000011</v>
      </c>
      <c r="AL36" s="166">
        <f t="shared" si="11"/>
        <v>-4656733.8</v>
      </c>
      <c r="AM36" s="166">
        <f t="shared" si="16"/>
        <v>3423538.1500000013</v>
      </c>
      <c r="AN36" s="168">
        <f t="shared" si="17"/>
        <v>0</v>
      </c>
    </row>
    <row r="37" spans="1:40" s="66" customFormat="1" outlineLevel="1">
      <c r="A37" s="74"/>
      <c r="C37" s="98" t="s">
        <v>150</v>
      </c>
      <c r="D37" s="99" t="s">
        <v>239</v>
      </c>
      <c r="E37" s="99" t="s">
        <v>253</v>
      </c>
      <c r="F37" s="99" t="s">
        <v>150</v>
      </c>
      <c r="G37" s="100" t="s">
        <v>241</v>
      </c>
      <c r="H37" s="100">
        <v>23739333</v>
      </c>
      <c r="I37" s="100">
        <v>43469554.109999999</v>
      </c>
      <c r="J37" s="133">
        <f t="shared" si="12"/>
        <v>66347685.263846144</v>
      </c>
      <c r="K37" s="139">
        <v>2E-3</v>
      </c>
      <c r="L37" s="134">
        <v>1E-3</v>
      </c>
      <c r="M37" s="135">
        <f t="shared" si="13"/>
        <v>1.5E-3</v>
      </c>
      <c r="N37" s="136">
        <v>1</v>
      </c>
      <c r="O37" s="137">
        <f t="shared" si="14"/>
        <v>99521.527895769221</v>
      </c>
      <c r="P37" s="138">
        <f t="shared" si="0"/>
        <v>-17912568.98</v>
      </c>
      <c r="Q37" s="166">
        <f t="shared" si="15"/>
        <v>25556985.129999999</v>
      </c>
      <c r="R37" s="166">
        <f t="shared" si="1"/>
        <v>-1675308.94</v>
      </c>
      <c r="S37" s="166">
        <f t="shared" si="16"/>
        <v>23881676.189999998</v>
      </c>
      <c r="T37" s="166">
        <f t="shared" si="2"/>
        <v>699002.10999999801</v>
      </c>
      <c r="U37" s="166">
        <f t="shared" si="16"/>
        <v>24580678.299999997</v>
      </c>
      <c r="V37" s="166">
        <f t="shared" si="3"/>
        <v>18272124.68</v>
      </c>
      <c r="W37" s="166">
        <f t="shared" si="16"/>
        <v>42852802.979999997</v>
      </c>
      <c r="X37" s="166">
        <f t="shared" si="4"/>
        <v>20877437.239999998</v>
      </c>
      <c r="Y37" s="166">
        <f t="shared" si="16"/>
        <v>63730240.219999999</v>
      </c>
      <c r="Z37" s="166">
        <f t="shared" si="5"/>
        <v>-6100772.8399999999</v>
      </c>
      <c r="AA37" s="166">
        <f t="shared" si="16"/>
        <v>57629467.379999995</v>
      </c>
      <c r="AB37" s="166">
        <f t="shared" si="6"/>
        <v>-27442194.02</v>
      </c>
      <c r="AC37" s="166">
        <f t="shared" si="16"/>
        <v>30187273.359999996</v>
      </c>
      <c r="AD37" s="166">
        <f t="shared" si="7"/>
        <v>22219652.710000001</v>
      </c>
      <c r="AE37" s="166">
        <f t="shared" si="16"/>
        <v>52406926.069999993</v>
      </c>
      <c r="AF37" s="166">
        <f t="shared" si="8"/>
        <v>627871.49</v>
      </c>
      <c r="AG37" s="166">
        <f t="shared" si="16"/>
        <v>53034797.559999995</v>
      </c>
      <c r="AH37" s="166">
        <f t="shared" si="9"/>
        <v>200673472.22999999</v>
      </c>
      <c r="AI37" s="166">
        <f t="shared" si="16"/>
        <v>253708269.78999999</v>
      </c>
      <c r="AJ37" s="166">
        <f t="shared" si="10"/>
        <v>-85966365.450000003</v>
      </c>
      <c r="AK37" s="166">
        <f t="shared" si="16"/>
        <v>167741904.33999997</v>
      </c>
      <c r="AL37" s="166">
        <f t="shared" si="11"/>
        <v>-144002571.34</v>
      </c>
      <c r="AM37" s="166">
        <f t="shared" si="16"/>
        <v>23739332.99999997</v>
      </c>
      <c r="AN37" s="168">
        <f t="shared" si="17"/>
        <v>-2.9802322387695313E-8</v>
      </c>
    </row>
    <row r="38" spans="1:40" s="66" customFormat="1" outlineLevel="1">
      <c r="A38" s="74"/>
      <c r="C38" s="98" t="s">
        <v>150</v>
      </c>
      <c r="D38" s="99" t="s">
        <v>239</v>
      </c>
      <c r="E38" s="99" t="s">
        <v>254</v>
      </c>
      <c r="F38" s="99" t="s">
        <v>150</v>
      </c>
      <c r="G38" s="100" t="s">
        <v>241</v>
      </c>
      <c r="H38" s="100">
        <v>346840.21</v>
      </c>
      <c r="I38" s="100">
        <v>14261769.4</v>
      </c>
      <c r="J38" s="133">
        <f t="shared" si="12"/>
        <v>6705934.3307692297</v>
      </c>
      <c r="K38" s="134">
        <v>2E-3</v>
      </c>
      <c r="L38" s="134">
        <v>1E-3</v>
      </c>
      <c r="M38" s="135">
        <f t="shared" si="13"/>
        <v>1.5E-3</v>
      </c>
      <c r="N38" s="136">
        <v>1</v>
      </c>
      <c r="O38" s="137">
        <f t="shared" si="14"/>
        <v>10058.901496153845</v>
      </c>
      <c r="P38" s="138">
        <f t="shared" si="0"/>
        <v>-200</v>
      </c>
      <c r="Q38" s="166">
        <f t="shared" si="15"/>
        <v>14261569.4</v>
      </c>
      <c r="R38" s="166">
        <f t="shared" si="1"/>
        <v>0</v>
      </c>
      <c r="S38" s="166">
        <f t="shared" si="16"/>
        <v>14261569.4</v>
      </c>
      <c r="T38" s="166">
        <f t="shared" si="2"/>
        <v>61801.15</v>
      </c>
      <c r="U38" s="166">
        <f t="shared" si="16"/>
        <v>14323370.550000001</v>
      </c>
      <c r="V38" s="166">
        <f t="shared" si="3"/>
        <v>0</v>
      </c>
      <c r="W38" s="166">
        <f t="shared" si="16"/>
        <v>14323370.550000001</v>
      </c>
      <c r="X38" s="166">
        <f t="shared" si="4"/>
        <v>-3000320</v>
      </c>
      <c r="Y38" s="166">
        <f t="shared" si="16"/>
        <v>11323050.550000001</v>
      </c>
      <c r="Z38" s="166">
        <f t="shared" si="5"/>
        <v>-9977886.5800000001</v>
      </c>
      <c r="AA38" s="166">
        <f t="shared" si="16"/>
        <v>1345163.9700000007</v>
      </c>
      <c r="AB38" s="166">
        <f t="shared" si="6"/>
        <v>-50</v>
      </c>
      <c r="AC38" s="166">
        <f t="shared" si="16"/>
        <v>1345113.9700000007</v>
      </c>
      <c r="AD38" s="166">
        <f t="shared" si="7"/>
        <v>-1000000</v>
      </c>
      <c r="AE38" s="166">
        <f t="shared" si="16"/>
        <v>345113.97000000067</v>
      </c>
      <c r="AF38" s="166">
        <f t="shared" si="8"/>
        <v>1624.14</v>
      </c>
      <c r="AG38" s="166">
        <f t="shared" si="16"/>
        <v>346738.11000000068</v>
      </c>
      <c r="AH38" s="166">
        <f t="shared" si="9"/>
        <v>0</v>
      </c>
      <c r="AI38" s="166">
        <f t="shared" si="16"/>
        <v>346738.11000000068</v>
      </c>
      <c r="AJ38" s="166">
        <f t="shared" si="10"/>
        <v>0</v>
      </c>
      <c r="AK38" s="166">
        <f t="shared" si="16"/>
        <v>346738.11000000068</v>
      </c>
      <c r="AL38" s="166">
        <f t="shared" si="11"/>
        <v>102.1</v>
      </c>
      <c r="AM38" s="166">
        <f t="shared" si="16"/>
        <v>346840.21000000066</v>
      </c>
      <c r="AN38" s="168">
        <f t="shared" si="17"/>
        <v>6.4028427004814148E-10</v>
      </c>
    </row>
    <row r="39" spans="1:40" s="66" customFormat="1" outlineLevel="1">
      <c r="A39" s="74"/>
      <c r="C39" s="98" t="s">
        <v>150</v>
      </c>
      <c r="D39" s="99" t="s">
        <v>239</v>
      </c>
      <c r="E39" s="99" t="s">
        <v>255</v>
      </c>
      <c r="F39" s="99" t="s">
        <v>150</v>
      </c>
      <c r="G39" s="100" t="s">
        <v>241</v>
      </c>
      <c r="H39" s="100">
        <v>157214.37</v>
      </c>
      <c r="I39" s="100">
        <v>92561.919999999998</v>
      </c>
      <c r="J39" s="133">
        <f t="shared" si="12"/>
        <v>96750.567692307726</v>
      </c>
      <c r="K39" s="134">
        <v>2E-3</v>
      </c>
      <c r="L39" s="134">
        <v>1E-3</v>
      </c>
      <c r="M39" s="135">
        <f t="shared" si="13"/>
        <v>1.5E-3</v>
      </c>
      <c r="N39" s="136">
        <v>1</v>
      </c>
      <c r="O39" s="137">
        <f t="shared" si="14"/>
        <v>145.1258515384616</v>
      </c>
      <c r="P39" s="138">
        <f t="shared" si="0"/>
        <v>0</v>
      </c>
      <c r="Q39" s="166">
        <f t="shared" si="15"/>
        <v>92561.919999999998</v>
      </c>
      <c r="R39" s="166">
        <f t="shared" si="1"/>
        <v>0</v>
      </c>
      <c r="S39" s="166">
        <f t="shared" si="16"/>
        <v>92561.919999999998</v>
      </c>
      <c r="T39" s="166">
        <f t="shared" si="2"/>
        <v>82.21</v>
      </c>
      <c r="U39" s="166">
        <f t="shared" si="16"/>
        <v>92644.13</v>
      </c>
      <c r="V39" s="166">
        <f t="shared" si="3"/>
        <v>-1531.1</v>
      </c>
      <c r="W39" s="166">
        <f t="shared" si="16"/>
        <v>91113.03</v>
      </c>
      <c r="X39" s="166">
        <f t="shared" si="4"/>
        <v>0</v>
      </c>
      <c r="Y39" s="166">
        <f t="shared" si="16"/>
        <v>91113.03</v>
      </c>
      <c r="Z39" s="166">
        <f t="shared" si="5"/>
        <v>77.11</v>
      </c>
      <c r="AA39" s="166">
        <f t="shared" si="16"/>
        <v>91190.14</v>
      </c>
      <c r="AB39" s="166">
        <f t="shared" si="6"/>
        <v>0</v>
      </c>
      <c r="AC39" s="166">
        <f t="shared" si="16"/>
        <v>91190.14</v>
      </c>
      <c r="AD39" s="166">
        <f t="shared" si="7"/>
        <v>0</v>
      </c>
      <c r="AE39" s="166">
        <f t="shared" si="16"/>
        <v>91190.14</v>
      </c>
      <c r="AF39" s="166">
        <f t="shared" si="8"/>
        <v>42.53</v>
      </c>
      <c r="AG39" s="166">
        <f t="shared" si="16"/>
        <v>91232.67</v>
      </c>
      <c r="AH39" s="166">
        <f t="shared" si="9"/>
        <v>373.63</v>
      </c>
      <c r="AI39" s="166">
        <f t="shared" si="16"/>
        <v>91606.3</v>
      </c>
      <c r="AJ39" s="166">
        <f t="shared" si="10"/>
        <v>-28.63</v>
      </c>
      <c r="AK39" s="166">
        <f t="shared" si="16"/>
        <v>91577.67</v>
      </c>
      <c r="AL39" s="166">
        <f t="shared" si="11"/>
        <v>65636.7</v>
      </c>
      <c r="AM39" s="166">
        <f t="shared" si="16"/>
        <v>157214.37</v>
      </c>
      <c r="AN39" s="168">
        <f t="shared" si="17"/>
        <v>0</v>
      </c>
    </row>
    <row r="40" spans="1:40" s="66" customFormat="1" outlineLevel="1">
      <c r="A40" s="74"/>
      <c r="C40" s="98" t="s">
        <v>150</v>
      </c>
      <c r="D40" s="99" t="s">
        <v>239</v>
      </c>
      <c r="E40" s="99" t="s">
        <v>256</v>
      </c>
      <c r="F40" s="99" t="s">
        <v>150</v>
      </c>
      <c r="G40" s="100" t="s">
        <v>241</v>
      </c>
      <c r="H40" s="100">
        <v>284453.68</v>
      </c>
      <c r="I40" s="100">
        <v>53411222.079999998</v>
      </c>
      <c r="J40" s="133">
        <f t="shared" si="12"/>
        <v>9558701.575384615</v>
      </c>
      <c r="K40" s="134">
        <v>1.6E-2</v>
      </c>
      <c r="L40" s="134">
        <v>1E-3</v>
      </c>
      <c r="M40" s="135">
        <f t="shared" si="13"/>
        <v>8.5000000000000006E-3</v>
      </c>
      <c r="N40" s="136">
        <v>1</v>
      </c>
      <c r="O40" s="137">
        <f t="shared" si="14"/>
        <v>81248.963390769233</v>
      </c>
      <c r="P40" s="138">
        <f t="shared" si="0"/>
        <v>-37000600</v>
      </c>
      <c r="Q40" s="166">
        <f t="shared" si="15"/>
        <v>16410622.079999998</v>
      </c>
      <c r="R40" s="166">
        <f t="shared" si="1"/>
        <v>0</v>
      </c>
      <c r="S40" s="166">
        <f t="shared" si="16"/>
        <v>16410622.079999998</v>
      </c>
      <c r="T40" s="166">
        <f t="shared" si="2"/>
        <v>-13764463.300000001</v>
      </c>
      <c r="U40" s="166">
        <f t="shared" si="16"/>
        <v>2646158.7799999975</v>
      </c>
      <c r="V40" s="166">
        <f t="shared" si="3"/>
        <v>0</v>
      </c>
      <c r="W40" s="166">
        <f t="shared" si="16"/>
        <v>2646158.7799999975</v>
      </c>
      <c r="X40" s="166">
        <f t="shared" si="4"/>
        <v>0</v>
      </c>
      <c r="Y40" s="166">
        <f t="shared" si="16"/>
        <v>2646158.7799999975</v>
      </c>
      <c r="Z40" s="166">
        <f t="shared" si="5"/>
        <v>2314952.4</v>
      </c>
      <c r="AA40" s="166">
        <f t="shared" si="16"/>
        <v>4961111.1799999978</v>
      </c>
      <c r="AB40" s="166">
        <f t="shared" si="6"/>
        <v>0</v>
      </c>
      <c r="AC40" s="166">
        <f t="shared" si="16"/>
        <v>4961111.1799999978</v>
      </c>
      <c r="AD40" s="166">
        <f t="shared" si="7"/>
        <v>-104</v>
      </c>
      <c r="AE40" s="166">
        <f t="shared" si="16"/>
        <v>4961007.1799999978</v>
      </c>
      <c r="AF40" s="166">
        <f t="shared" si="8"/>
        <v>13824.379999999899</v>
      </c>
      <c r="AG40" s="166">
        <f t="shared" si="16"/>
        <v>4974831.5599999977</v>
      </c>
      <c r="AH40" s="166">
        <f t="shared" si="9"/>
        <v>0</v>
      </c>
      <c r="AI40" s="166">
        <f t="shared" si="16"/>
        <v>4974831.5599999977</v>
      </c>
      <c r="AJ40" s="166">
        <f t="shared" si="10"/>
        <v>0</v>
      </c>
      <c r="AK40" s="166">
        <f t="shared" si="16"/>
        <v>4974831.5599999977</v>
      </c>
      <c r="AL40" s="166">
        <f t="shared" si="11"/>
        <v>-4690377.88</v>
      </c>
      <c r="AM40" s="166">
        <f t="shared" si="16"/>
        <v>284453.67999999784</v>
      </c>
      <c r="AN40" s="168">
        <f t="shared" si="17"/>
        <v>-2.1536834537982941E-9</v>
      </c>
    </row>
    <row r="41" spans="1:40" s="66" customFormat="1" outlineLevel="1">
      <c r="A41" s="74"/>
      <c r="C41" s="98" t="s">
        <v>150</v>
      </c>
      <c r="D41" s="99" t="s">
        <v>239</v>
      </c>
      <c r="E41" s="99" t="s">
        <v>257</v>
      </c>
      <c r="F41" s="99" t="s">
        <v>150</v>
      </c>
      <c r="G41" s="100" t="s">
        <v>241</v>
      </c>
      <c r="H41" s="100">
        <v>178935.17</v>
      </c>
      <c r="I41" s="100">
        <v>148718.82</v>
      </c>
      <c r="J41" s="133">
        <f t="shared" si="12"/>
        <v>152679.51076920639</v>
      </c>
      <c r="K41" s="134">
        <v>2E-3</v>
      </c>
      <c r="L41" s="134">
        <v>2E-3</v>
      </c>
      <c r="M41" s="135">
        <f t="shared" si="13"/>
        <v>2E-3</v>
      </c>
      <c r="N41" s="136">
        <v>1</v>
      </c>
      <c r="O41" s="137">
        <f t="shared" si="14"/>
        <v>305.35902153841278</v>
      </c>
      <c r="P41" s="138">
        <f t="shared" si="0"/>
        <v>-200</v>
      </c>
      <c r="Q41" s="166">
        <f t="shared" si="15"/>
        <v>148518.82</v>
      </c>
      <c r="R41" s="166">
        <f t="shared" si="1"/>
        <v>0</v>
      </c>
      <c r="S41" s="166">
        <f t="shared" si="16"/>
        <v>148518.82</v>
      </c>
      <c r="T41" s="166">
        <f t="shared" si="2"/>
        <v>1349.10999996541</v>
      </c>
      <c r="U41" s="166">
        <f t="shared" si="16"/>
        <v>149867.92999996542</v>
      </c>
      <c r="V41" s="166">
        <f t="shared" si="3"/>
        <v>0</v>
      </c>
      <c r="W41" s="166">
        <f t="shared" si="16"/>
        <v>149867.92999996542</v>
      </c>
      <c r="X41" s="166">
        <f t="shared" si="4"/>
        <v>0</v>
      </c>
      <c r="Y41" s="166">
        <f t="shared" si="16"/>
        <v>149867.92999996542</v>
      </c>
      <c r="Z41" s="166">
        <f t="shared" si="5"/>
        <v>154.47000000022399</v>
      </c>
      <c r="AA41" s="166">
        <f t="shared" si="16"/>
        <v>150022.39999996565</v>
      </c>
      <c r="AB41" s="166">
        <f t="shared" si="6"/>
        <v>0</v>
      </c>
      <c r="AC41" s="166">
        <f t="shared" si="16"/>
        <v>150022.39999996565</v>
      </c>
      <c r="AD41" s="166">
        <f t="shared" si="7"/>
        <v>0</v>
      </c>
      <c r="AE41" s="166">
        <f t="shared" si="16"/>
        <v>150022.39999996565</v>
      </c>
      <c r="AF41" s="166">
        <f t="shared" si="8"/>
        <v>3467.9399999976199</v>
      </c>
      <c r="AG41" s="166">
        <f t="shared" si="16"/>
        <v>153490.33999996327</v>
      </c>
      <c r="AH41" s="166">
        <f t="shared" si="9"/>
        <v>0</v>
      </c>
      <c r="AI41" s="166">
        <f t="shared" si="16"/>
        <v>153490.33999996327</v>
      </c>
      <c r="AJ41" s="166">
        <f t="shared" si="10"/>
        <v>0</v>
      </c>
      <c r="AK41" s="166">
        <f t="shared" si="16"/>
        <v>153490.33999996327</v>
      </c>
      <c r="AL41" s="166">
        <f t="shared" si="11"/>
        <v>25444.829999999602</v>
      </c>
      <c r="AM41" s="166">
        <f t="shared" si="16"/>
        <v>178935.16999996288</v>
      </c>
      <c r="AN41" s="168">
        <f t="shared" si="17"/>
        <v>-3.7136487662792206E-8</v>
      </c>
    </row>
    <row r="42" spans="1:40" s="66" customFormat="1" outlineLevel="1">
      <c r="A42" s="74"/>
      <c r="C42" s="98" t="s">
        <v>150</v>
      </c>
      <c r="D42" s="99" t="s">
        <v>239</v>
      </c>
      <c r="E42" s="99" t="s">
        <v>258</v>
      </c>
      <c r="F42" s="99" t="s">
        <v>150</v>
      </c>
      <c r="G42" s="100" t="s">
        <v>241</v>
      </c>
      <c r="H42" s="100">
        <v>697719.42</v>
      </c>
      <c r="I42" s="100">
        <v>392997.65</v>
      </c>
      <c r="J42" s="133">
        <f t="shared" si="12"/>
        <v>705968.13000000035</v>
      </c>
      <c r="K42" s="134">
        <v>2E-3</v>
      </c>
      <c r="L42" s="134">
        <v>1E-3</v>
      </c>
      <c r="M42" s="135">
        <f t="shared" si="13"/>
        <v>1.5E-3</v>
      </c>
      <c r="N42" s="136">
        <v>1</v>
      </c>
      <c r="O42" s="137">
        <f t="shared" si="14"/>
        <v>1058.9521950000005</v>
      </c>
      <c r="P42" s="138">
        <f t="shared" si="0"/>
        <v>0</v>
      </c>
      <c r="Q42" s="166">
        <f t="shared" si="15"/>
        <v>392997.65</v>
      </c>
      <c r="R42" s="166">
        <f t="shared" si="1"/>
        <v>0</v>
      </c>
      <c r="S42" s="166">
        <f t="shared" si="16"/>
        <v>392997.65</v>
      </c>
      <c r="T42" s="166">
        <f t="shared" si="2"/>
        <v>421832.01</v>
      </c>
      <c r="U42" s="166">
        <f t="shared" si="16"/>
        <v>814829.66</v>
      </c>
      <c r="V42" s="166">
        <f t="shared" si="3"/>
        <v>0</v>
      </c>
      <c r="W42" s="166">
        <f t="shared" si="16"/>
        <v>814829.66</v>
      </c>
      <c r="X42" s="166">
        <f t="shared" si="4"/>
        <v>0</v>
      </c>
      <c r="Y42" s="166">
        <f t="shared" si="16"/>
        <v>814829.66</v>
      </c>
      <c r="Z42" s="166">
        <f t="shared" si="5"/>
        <v>-37013.539999999601</v>
      </c>
      <c r="AA42" s="166">
        <f t="shared" si="16"/>
        <v>777816.12000000046</v>
      </c>
      <c r="AB42" s="166">
        <f t="shared" si="6"/>
        <v>0</v>
      </c>
      <c r="AC42" s="166">
        <f t="shared" si="16"/>
        <v>777816.12000000046</v>
      </c>
      <c r="AD42" s="166">
        <f t="shared" si="7"/>
        <v>0</v>
      </c>
      <c r="AE42" s="166">
        <f t="shared" si="16"/>
        <v>777816.12000000046</v>
      </c>
      <c r="AF42" s="166">
        <f t="shared" si="8"/>
        <v>63162.540000000998</v>
      </c>
      <c r="AG42" s="166">
        <f t="shared" si="16"/>
        <v>840978.66000000143</v>
      </c>
      <c r="AH42" s="166">
        <f t="shared" si="9"/>
        <v>0</v>
      </c>
      <c r="AI42" s="166">
        <f t="shared" si="16"/>
        <v>840978.66000000143</v>
      </c>
      <c r="AJ42" s="166">
        <f t="shared" si="10"/>
        <v>0</v>
      </c>
      <c r="AK42" s="166">
        <f t="shared" si="16"/>
        <v>840978.66000000143</v>
      </c>
      <c r="AL42" s="166">
        <f t="shared" si="11"/>
        <v>-143259.24</v>
      </c>
      <c r="AM42" s="166">
        <f t="shared" si="16"/>
        <v>697719.42000000144</v>
      </c>
      <c r="AN42" s="168">
        <f t="shared" si="17"/>
        <v>1.3969838619232178E-9</v>
      </c>
    </row>
    <row r="43" spans="1:40" s="66" customFormat="1" outlineLevel="1">
      <c r="A43" s="74"/>
      <c r="C43" s="98" t="s">
        <v>150</v>
      </c>
      <c r="D43" s="99" t="s">
        <v>239</v>
      </c>
      <c r="E43" s="99" t="s">
        <v>259</v>
      </c>
      <c r="F43" s="99" t="s">
        <v>150</v>
      </c>
      <c r="G43" s="100" t="s">
        <v>241</v>
      </c>
      <c r="H43" s="100">
        <v>173391.21</v>
      </c>
      <c r="I43" s="100">
        <v>96368.59</v>
      </c>
      <c r="J43" s="133">
        <f t="shared" si="12"/>
        <v>21728433.223846111</v>
      </c>
      <c r="K43" s="134">
        <v>2E-3</v>
      </c>
      <c r="L43" s="134">
        <v>1E-3</v>
      </c>
      <c r="M43" s="135">
        <f t="shared" si="13"/>
        <v>1.5E-3</v>
      </c>
      <c r="N43" s="136">
        <v>1</v>
      </c>
      <c r="O43" s="137">
        <f t="shared" si="14"/>
        <v>32592.649835769167</v>
      </c>
      <c r="P43" s="138">
        <f t="shared" si="0"/>
        <v>0</v>
      </c>
      <c r="Q43" s="166">
        <f t="shared" si="15"/>
        <v>96368.59</v>
      </c>
      <c r="R43" s="166">
        <f t="shared" si="1"/>
        <v>0</v>
      </c>
      <c r="S43" s="166">
        <f t="shared" si="16"/>
        <v>96368.59</v>
      </c>
      <c r="T43" s="166">
        <f t="shared" si="2"/>
        <v>280600299.26999998</v>
      </c>
      <c r="U43" s="166">
        <f t="shared" si="16"/>
        <v>280696667.85999995</v>
      </c>
      <c r="V43" s="166">
        <f t="shared" si="3"/>
        <v>-280542361.11000001</v>
      </c>
      <c r="W43" s="166">
        <f t="shared" si="16"/>
        <v>154306.7499999404</v>
      </c>
      <c r="X43" s="166">
        <f t="shared" si="4"/>
        <v>0</v>
      </c>
      <c r="Y43" s="166">
        <f t="shared" si="16"/>
        <v>154306.7499999404</v>
      </c>
      <c r="Z43" s="166">
        <f t="shared" si="5"/>
        <v>6573.5699999928502</v>
      </c>
      <c r="AA43" s="166">
        <f t="shared" si="16"/>
        <v>160880.31999993324</v>
      </c>
      <c r="AB43" s="166">
        <f t="shared" si="6"/>
        <v>0</v>
      </c>
      <c r="AC43" s="166">
        <f t="shared" si="16"/>
        <v>160880.31999993324</v>
      </c>
      <c r="AD43" s="166">
        <f t="shared" si="7"/>
        <v>0</v>
      </c>
      <c r="AE43" s="166">
        <f t="shared" si="16"/>
        <v>160880.31999993324</v>
      </c>
      <c r="AF43" s="166">
        <f t="shared" si="8"/>
        <v>12190.5499999933</v>
      </c>
      <c r="AG43" s="166">
        <f t="shared" si="16"/>
        <v>173070.86999992654</v>
      </c>
      <c r="AH43" s="166">
        <f t="shared" si="9"/>
        <v>0</v>
      </c>
      <c r="AI43" s="166">
        <f t="shared" si="16"/>
        <v>173070.86999992654</v>
      </c>
      <c r="AJ43" s="166">
        <f t="shared" si="10"/>
        <v>0</v>
      </c>
      <c r="AK43" s="166">
        <f t="shared" si="16"/>
        <v>173070.86999992654</v>
      </c>
      <c r="AL43" s="166">
        <f t="shared" si="11"/>
        <v>320.34000000357599</v>
      </c>
      <c r="AM43" s="166">
        <f t="shared" si="16"/>
        <v>173391.20999993011</v>
      </c>
      <c r="AN43" s="168">
        <f t="shared" si="17"/>
        <v>-6.9878296926617622E-8</v>
      </c>
    </row>
    <row r="44" spans="1:40" s="66" customFormat="1" outlineLevel="1">
      <c r="A44" s="74"/>
      <c r="C44" s="98" t="s">
        <v>150</v>
      </c>
      <c r="D44" s="99" t="s">
        <v>239</v>
      </c>
      <c r="E44" s="99" t="s">
        <v>260</v>
      </c>
      <c r="F44" s="99" t="s">
        <v>150</v>
      </c>
      <c r="G44" s="100" t="s">
        <v>241</v>
      </c>
      <c r="H44" s="100">
        <v>197324.85</v>
      </c>
      <c r="I44" s="100">
        <v>5049331.6399999997</v>
      </c>
      <c r="J44" s="133">
        <f t="shared" si="12"/>
        <v>4681318.2746153837</v>
      </c>
      <c r="K44" s="134">
        <v>2E-3</v>
      </c>
      <c r="L44" s="134">
        <v>1E-3</v>
      </c>
      <c r="M44" s="135">
        <f t="shared" si="13"/>
        <v>1.5E-3</v>
      </c>
      <c r="N44" s="136">
        <v>1</v>
      </c>
      <c r="O44" s="137">
        <f t="shared" si="14"/>
        <v>7021.977411923076</v>
      </c>
      <c r="P44" s="138">
        <f t="shared" si="0"/>
        <v>-1</v>
      </c>
      <c r="Q44" s="166">
        <f t="shared" si="15"/>
        <v>5049330.6399999997</v>
      </c>
      <c r="R44" s="166">
        <f t="shared" si="1"/>
        <v>0</v>
      </c>
      <c r="S44" s="166">
        <f t="shared" si="16"/>
        <v>5049330.6399999997</v>
      </c>
      <c r="T44" s="166">
        <f t="shared" si="2"/>
        <v>4812.7999999998101</v>
      </c>
      <c r="U44" s="166">
        <f t="shared" si="16"/>
        <v>5054143.4399999995</v>
      </c>
      <c r="V44" s="166">
        <f t="shared" si="3"/>
        <v>0</v>
      </c>
      <c r="W44" s="166">
        <f t="shared" si="16"/>
        <v>5054143.4399999995</v>
      </c>
      <c r="X44" s="166">
        <f t="shared" si="4"/>
        <v>0</v>
      </c>
      <c r="Y44" s="166">
        <f t="shared" si="16"/>
        <v>5054143.4399999995</v>
      </c>
      <c r="Z44" s="166">
        <f t="shared" si="5"/>
        <v>2654.28</v>
      </c>
      <c r="AA44" s="166">
        <f t="shared" si="16"/>
        <v>5056797.72</v>
      </c>
      <c r="AB44" s="166">
        <f t="shared" si="6"/>
        <v>-20</v>
      </c>
      <c r="AC44" s="166">
        <f t="shared" si="16"/>
        <v>5056777.72</v>
      </c>
      <c r="AD44" s="166">
        <f t="shared" si="7"/>
        <v>0</v>
      </c>
      <c r="AE44" s="166">
        <f t="shared" si="16"/>
        <v>5056777.72</v>
      </c>
      <c r="AF44" s="166">
        <f t="shared" si="8"/>
        <v>2237.7200000003199</v>
      </c>
      <c r="AG44" s="166">
        <f t="shared" si="16"/>
        <v>5059015.4400000004</v>
      </c>
      <c r="AH44" s="166">
        <f t="shared" si="9"/>
        <v>-5</v>
      </c>
      <c r="AI44" s="166">
        <f t="shared" si="16"/>
        <v>5059010.4400000004</v>
      </c>
      <c r="AJ44" s="166">
        <f t="shared" si="10"/>
        <v>2000</v>
      </c>
      <c r="AK44" s="166">
        <f t="shared" si="16"/>
        <v>5061010.4400000004</v>
      </c>
      <c r="AL44" s="166">
        <f t="shared" si="11"/>
        <v>-4863685.59</v>
      </c>
      <c r="AM44" s="166">
        <f t="shared" si="16"/>
        <v>197324.85000000056</v>
      </c>
      <c r="AN44" s="168">
        <f t="shared" si="17"/>
        <v>5.5297277867794037E-10</v>
      </c>
    </row>
    <row r="45" spans="1:40" s="66" customFormat="1" outlineLevel="1">
      <c r="A45" s="74"/>
      <c r="C45" s="98" t="s">
        <v>150</v>
      </c>
      <c r="D45" s="99" t="s">
        <v>239</v>
      </c>
      <c r="E45" s="99" t="s">
        <v>261</v>
      </c>
      <c r="F45" s="99" t="s">
        <v>150</v>
      </c>
      <c r="G45" s="100" t="s">
        <v>241</v>
      </c>
      <c r="H45" s="100">
        <v>10630.72</v>
      </c>
      <c r="I45" s="100">
        <v>10831.82</v>
      </c>
      <c r="J45" s="133">
        <f t="shared" si="12"/>
        <v>10816.350769230772</v>
      </c>
      <c r="K45" s="134">
        <v>2E-3</v>
      </c>
      <c r="L45" s="134">
        <v>1E-3</v>
      </c>
      <c r="M45" s="135">
        <f t="shared" si="13"/>
        <v>1.5E-3</v>
      </c>
      <c r="N45" s="136">
        <v>1</v>
      </c>
      <c r="O45" s="137">
        <f t="shared" si="14"/>
        <v>16.22452615384616</v>
      </c>
      <c r="P45" s="138">
        <f t="shared" si="0"/>
        <v>0</v>
      </c>
      <c r="Q45" s="166">
        <f t="shared" si="15"/>
        <v>10831.82</v>
      </c>
      <c r="R45" s="166">
        <f t="shared" si="1"/>
        <v>0</v>
      </c>
      <c r="S45" s="166">
        <f t="shared" si="16"/>
        <v>10831.82</v>
      </c>
      <c r="T45" s="166">
        <f t="shared" si="2"/>
        <v>0</v>
      </c>
      <c r="U45" s="166">
        <f t="shared" si="16"/>
        <v>10831.82</v>
      </c>
      <c r="V45" s="166">
        <f t="shared" si="3"/>
        <v>0</v>
      </c>
      <c r="W45" s="166">
        <f t="shared" si="16"/>
        <v>10831.82</v>
      </c>
      <c r="X45" s="166">
        <f t="shared" si="4"/>
        <v>0</v>
      </c>
      <c r="Y45" s="166">
        <f t="shared" si="16"/>
        <v>10831.82</v>
      </c>
      <c r="Z45" s="166">
        <f t="shared" si="5"/>
        <v>0</v>
      </c>
      <c r="AA45" s="166">
        <f t="shared" si="16"/>
        <v>10831.82</v>
      </c>
      <c r="AB45" s="166">
        <f t="shared" si="6"/>
        <v>0</v>
      </c>
      <c r="AC45" s="166">
        <f t="shared" si="16"/>
        <v>10831.82</v>
      </c>
      <c r="AD45" s="166">
        <f t="shared" si="7"/>
        <v>0</v>
      </c>
      <c r="AE45" s="166">
        <f t="shared" si="16"/>
        <v>10831.82</v>
      </c>
      <c r="AF45" s="166">
        <f t="shared" si="8"/>
        <v>0</v>
      </c>
      <c r="AG45" s="166">
        <f t="shared" si="16"/>
        <v>10831.82</v>
      </c>
      <c r="AH45" s="166">
        <f t="shared" si="9"/>
        <v>0</v>
      </c>
      <c r="AI45" s="166">
        <f t="shared" si="16"/>
        <v>10831.82</v>
      </c>
      <c r="AJ45" s="166">
        <f t="shared" si="10"/>
        <v>0</v>
      </c>
      <c r="AK45" s="166">
        <f t="shared" si="16"/>
        <v>10831.82</v>
      </c>
      <c r="AL45" s="166">
        <f t="shared" si="11"/>
        <v>0</v>
      </c>
      <c r="AM45" s="166">
        <f t="shared" si="16"/>
        <v>10831.82</v>
      </c>
      <c r="AN45" s="168">
        <f t="shared" si="17"/>
        <v>201.10000000000036</v>
      </c>
    </row>
    <row r="46" spans="1:40" s="66" customFormat="1" outlineLevel="1">
      <c r="A46" s="74"/>
      <c r="C46" s="98" t="s">
        <v>150</v>
      </c>
      <c r="D46" s="99" t="s">
        <v>244</v>
      </c>
      <c r="E46" s="99" t="s">
        <v>262</v>
      </c>
      <c r="F46" s="99" t="s">
        <v>150</v>
      </c>
      <c r="G46" s="100" t="s">
        <v>241</v>
      </c>
      <c r="H46" s="100">
        <v>0</v>
      </c>
      <c r="I46" s="100">
        <v>0</v>
      </c>
      <c r="J46" s="133">
        <f t="shared" si="12"/>
        <v>0</v>
      </c>
      <c r="K46" s="134">
        <v>2E-3</v>
      </c>
      <c r="L46" s="134">
        <v>1E-3</v>
      </c>
      <c r="M46" s="135">
        <f t="shared" si="13"/>
        <v>1.5E-3</v>
      </c>
      <c r="N46" s="136">
        <v>1</v>
      </c>
      <c r="O46" s="137">
        <f t="shared" si="14"/>
        <v>0</v>
      </c>
      <c r="P46" s="138">
        <f t="shared" si="0"/>
        <v>0</v>
      </c>
      <c r="Q46" s="166">
        <f t="shared" si="15"/>
        <v>0</v>
      </c>
      <c r="R46" s="166">
        <f t="shared" si="1"/>
        <v>0</v>
      </c>
      <c r="S46" s="166">
        <f t="shared" si="16"/>
        <v>0</v>
      </c>
      <c r="T46" s="166">
        <f t="shared" si="2"/>
        <v>0</v>
      </c>
      <c r="U46" s="166">
        <f t="shared" si="16"/>
        <v>0</v>
      </c>
      <c r="V46" s="166">
        <f t="shared" si="3"/>
        <v>0</v>
      </c>
      <c r="W46" s="166">
        <f t="shared" si="16"/>
        <v>0</v>
      </c>
      <c r="X46" s="166">
        <f t="shared" si="4"/>
        <v>0</v>
      </c>
      <c r="Y46" s="166">
        <f t="shared" si="16"/>
        <v>0</v>
      </c>
      <c r="Z46" s="166">
        <f t="shared" si="5"/>
        <v>0</v>
      </c>
      <c r="AA46" s="166">
        <f t="shared" si="16"/>
        <v>0</v>
      </c>
      <c r="AB46" s="166">
        <f t="shared" si="6"/>
        <v>0</v>
      </c>
      <c r="AC46" s="166">
        <f t="shared" si="16"/>
        <v>0</v>
      </c>
      <c r="AD46" s="166">
        <f t="shared" si="7"/>
        <v>0</v>
      </c>
      <c r="AE46" s="166">
        <f t="shared" si="16"/>
        <v>0</v>
      </c>
      <c r="AF46" s="166">
        <f t="shared" si="8"/>
        <v>0</v>
      </c>
      <c r="AG46" s="166">
        <f t="shared" si="16"/>
        <v>0</v>
      </c>
      <c r="AH46" s="166">
        <f t="shared" si="9"/>
        <v>0</v>
      </c>
      <c r="AI46" s="166">
        <f t="shared" si="16"/>
        <v>0</v>
      </c>
      <c r="AJ46" s="166">
        <f t="shared" si="10"/>
        <v>0</v>
      </c>
      <c r="AK46" s="166">
        <f t="shared" si="16"/>
        <v>0</v>
      </c>
      <c r="AL46" s="166">
        <f t="shared" si="11"/>
        <v>0</v>
      </c>
      <c r="AM46" s="166">
        <f t="shared" si="16"/>
        <v>0</v>
      </c>
      <c r="AN46" s="168">
        <f t="shared" si="17"/>
        <v>0</v>
      </c>
    </row>
    <row r="47" spans="1:40" s="66" customFormat="1" outlineLevel="1">
      <c r="A47" s="74"/>
      <c r="C47" s="98" t="s">
        <v>150</v>
      </c>
      <c r="D47" s="99" t="s">
        <v>239</v>
      </c>
      <c r="E47" s="99" t="s">
        <v>263</v>
      </c>
      <c r="F47" s="99" t="s">
        <v>150</v>
      </c>
      <c r="G47" s="100" t="s">
        <v>241</v>
      </c>
      <c r="H47" s="100">
        <v>50925.53</v>
      </c>
      <c r="I47" s="100">
        <v>154171.67000000001</v>
      </c>
      <c r="J47" s="133">
        <f t="shared" si="12"/>
        <v>2427487.843846153</v>
      </c>
      <c r="K47" s="134">
        <v>2E-3</v>
      </c>
      <c r="L47" s="134">
        <v>1E-3</v>
      </c>
      <c r="M47" s="135">
        <f t="shared" si="13"/>
        <v>1.5E-3</v>
      </c>
      <c r="N47" s="136">
        <v>1</v>
      </c>
      <c r="O47" s="137">
        <f t="shared" si="14"/>
        <v>3641.2317657692297</v>
      </c>
      <c r="P47" s="138">
        <f t="shared" si="0"/>
        <v>-200</v>
      </c>
      <c r="Q47" s="166">
        <f t="shared" si="15"/>
        <v>153971.67000000001</v>
      </c>
      <c r="R47" s="166">
        <f t="shared" si="1"/>
        <v>30018055.559999999</v>
      </c>
      <c r="S47" s="166">
        <f t="shared" si="16"/>
        <v>30172027.23</v>
      </c>
      <c r="T47" s="166">
        <f t="shared" si="2"/>
        <v>-29992592.550000001</v>
      </c>
      <c r="U47" s="166">
        <f t="shared" si="16"/>
        <v>179434.6799999997</v>
      </c>
      <c r="V47" s="166">
        <f t="shared" si="3"/>
        <v>-602.75</v>
      </c>
      <c r="W47" s="166">
        <f t="shared" si="16"/>
        <v>178831.9299999997</v>
      </c>
      <c r="X47" s="166">
        <f t="shared" si="4"/>
        <v>6250</v>
      </c>
      <c r="Y47" s="166">
        <f t="shared" si="16"/>
        <v>185081.9299999997</v>
      </c>
      <c r="Z47" s="166">
        <f t="shared" si="5"/>
        <v>1083.7</v>
      </c>
      <c r="AA47" s="166">
        <f t="shared" si="16"/>
        <v>186165.62999999971</v>
      </c>
      <c r="AB47" s="166">
        <f t="shared" si="6"/>
        <v>0</v>
      </c>
      <c r="AC47" s="166">
        <f t="shared" si="16"/>
        <v>186165.62999999971</v>
      </c>
      <c r="AD47" s="166">
        <f t="shared" si="7"/>
        <v>-162765.20000000001</v>
      </c>
      <c r="AE47" s="166">
        <f t="shared" si="16"/>
        <v>23400.429999999702</v>
      </c>
      <c r="AF47" s="166">
        <f t="shared" si="8"/>
        <v>76.08</v>
      </c>
      <c r="AG47" s="166">
        <f t="shared" si="16"/>
        <v>23476.509999999704</v>
      </c>
      <c r="AH47" s="166">
        <f t="shared" si="9"/>
        <v>0</v>
      </c>
      <c r="AI47" s="166">
        <f t="shared" si="16"/>
        <v>23476.509999999704</v>
      </c>
      <c r="AJ47" s="166">
        <f t="shared" si="10"/>
        <v>16736.1099999994</v>
      </c>
      <c r="AK47" s="166">
        <f t="shared" si="16"/>
        <v>40212.619999999108</v>
      </c>
      <c r="AL47" s="166">
        <f t="shared" si="11"/>
        <v>10712.91</v>
      </c>
      <c r="AM47" s="166">
        <f t="shared" si="16"/>
        <v>50925.529999999111</v>
      </c>
      <c r="AN47" s="168">
        <f t="shared" si="17"/>
        <v>-8.8766682893037796E-10</v>
      </c>
    </row>
    <row r="48" spans="1:40" s="66" customFormat="1" outlineLevel="1">
      <c r="A48" s="74"/>
      <c r="C48" s="98" t="s">
        <v>150</v>
      </c>
      <c r="D48" s="99" t="s">
        <v>239</v>
      </c>
      <c r="E48" s="99" t="s">
        <v>264</v>
      </c>
      <c r="F48" s="99" t="s">
        <v>150</v>
      </c>
      <c r="G48" s="100" t="s">
        <v>241</v>
      </c>
      <c r="H48" s="100">
        <v>0</v>
      </c>
      <c r="I48" s="100">
        <v>0</v>
      </c>
      <c r="J48" s="133">
        <f t="shared" ref="J48" si="18">(H48+I48)/2</f>
        <v>0</v>
      </c>
      <c r="K48" s="133"/>
      <c r="L48" s="133"/>
      <c r="M48" s="140"/>
      <c r="N48" s="136"/>
      <c r="O48" s="137">
        <f t="shared" si="14"/>
        <v>0</v>
      </c>
      <c r="P48" s="138">
        <f t="shared" si="0"/>
        <v>0</v>
      </c>
      <c r="Q48" s="166">
        <f t="shared" si="15"/>
        <v>0</v>
      </c>
      <c r="R48" s="166">
        <f t="shared" si="1"/>
        <v>0</v>
      </c>
      <c r="S48" s="166">
        <f t="shared" si="16"/>
        <v>0</v>
      </c>
      <c r="T48" s="166">
        <f t="shared" si="2"/>
        <v>0</v>
      </c>
      <c r="U48" s="166">
        <f t="shared" si="16"/>
        <v>0</v>
      </c>
      <c r="V48" s="166">
        <f t="shared" si="3"/>
        <v>0</v>
      </c>
      <c r="W48" s="166">
        <f t="shared" si="16"/>
        <v>0</v>
      </c>
      <c r="X48" s="166">
        <f t="shared" si="4"/>
        <v>0</v>
      </c>
      <c r="Y48" s="166">
        <f t="shared" si="16"/>
        <v>0</v>
      </c>
      <c r="Z48" s="166">
        <f t="shared" si="5"/>
        <v>11104.44</v>
      </c>
      <c r="AA48" s="166">
        <f t="shared" si="16"/>
        <v>11104.44</v>
      </c>
      <c r="AB48" s="166">
        <f t="shared" si="6"/>
        <v>0</v>
      </c>
      <c r="AC48" s="166">
        <f t="shared" si="16"/>
        <v>11104.44</v>
      </c>
      <c r="AD48" s="166">
        <f t="shared" si="7"/>
        <v>-11104.439999997599</v>
      </c>
      <c r="AE48" s="166">
        <f t="shared" si="16"/>
        <v>2.4010660126805305E-9</v>
      </c>
      <c r="AF48" s="166">
        <f t="shared" si="8"/>
        <v>10415.36</v>
      </c>
      <c r="AG48" s="166">
        <f t="shared" si="16"/>
        <v>10415.360000002402</v>
      </c>
      <c r="AH48" s="166">
        <f t="shared" si="9"/>
        <v>0</v>
      </c>
      <c r="AI48" s="166">
        <f t="shared" si="16"/>
        <v>10415.360000002402</v>
      </c>
      <c r="AJ48" s="166">
        <f t="shared" si="10"/>
        <v>0</v>
      </c>
      <c r="AK48" s="166">
        <f t="shared" si="16"/>
        <v>10415.360000002402</v>
      </c>
      <c r="AL48" s="166">
        <f t="shared" si="11"/>
        <v>-10415.36</v>
      </c>
      <c r="AM48" s="166">
        <f t="shared" si="16"/>
        <v>2.4010660126805305E-9</v>
      </c>
      <c r="AN48" s="168">
        <f t="shared" si="17"/>
        <v>2.4010660126805305E-9</v>
      </c>
    </row>
    <row r="49" spans="1:40" s="66" customFormat="1" outlineLevel="1">
      <c r="A49" s="74"/>
      <c r="C49" s="98"/>
      <c r="D49" s="99"/>
      <c r="E49" s="99"/>
      <c r="F49" s="99"/>
      <c r="G49" s="100"/>
      <c r="H49" s="100"/>
      <c r="I49" s="100"/>
      <c r="J49" s="133">
        <f t="shared" ref="J49:J51" si="19">(H49+I49)/2</f>
        <v>0</v>
      </c>
      <c r="K49" s="133"/>
      <c r="L49" s="133"/>
      <c r="M49" s="140"/>
      <c r="N49" s="136"/>
      <c r="O49" s="137">
        <f t="shared" si="14"/>
        <v>0</v>
      </c>
      <c r="P49" s="138"/>
      <c r="Q49" s="166"/>
      <c r="R49" s="166"/>
      <c r="S49" s="166"/>
      <c r="T49" s="166"/>
      <c r="U49" s="166"/>
      <c r="V49" s="166"/>
      <c r="W49" s="166"/>
      <c r="X49" s="166"/>
      <c r="Y49" s="166"/>
      <c r="Z49" s="166"/>
      <c r="AA49" s="166"/>
      <c r="AB49" s="166"/>
      <c r="AC49" s="166"/>
      <c r="AD49" s="166"/>
      <c r="AE49" s="166"/>
      <c r="AF49" s="166"/>
      <c r="AG49" s="166"/>
      <c r="AH49" s="166"/>
      <c r="AI49" s="166"/>
      <c r="AJ49" s="166"/>
      <c r="AK49" s="166"/>
      <c r="AL49" s="166"/>
      <c r="AM49" s="166"/>
      <c r="AN49" s="169"/>
    </row>
    <row r="50" spans="1:40" s="66" customFormat="1" outlineLevel="1">
      <c r="A50" s="74"/>
      <c r="C50" s="98"/>
      <c r="D50" s="99"/>
      <c r="E50" s="99"/>
      <c r="F50" s="99"/>
      <c r="G50" s="100"/>
      <c r="H50" s="100"/>
      <c r="I50" s="100"/>
      <c r="J50" s="133">
        <f t="shared" si="19"/>
        <v>0</v>
      </c>
      <c r="K50" s="133"/>
      <c r="L50" s="133"/>
      <c r="M50" s="140"/>
      <c r="N50" s="136"/>
      <c r="O50" s="137">
        <f t="shared" si="14"/>
        <v>0</v>
      </c>
      <c r="P50" s="138"/>
      <c r="Q50" s="166"/>
      <c r="R50" s="166"/>
      <c r="S50" s="166"/>
      <c r="T50" s="166"/>
      <c r="U50" s="166"/>
      <c r="V50" s="166"/>
      <c r="W50" s="166"/>
      <c r="X50" s="166"/>
      <c r="Y50" s="166"/>
      <c r="Z50" s="166"/>
      <c r="AA50" s="166"/>
      <c r="AB50" s="166"/>
      <c r="AC50" s="166"/>
      <c r="AD50" s="166"/>
      <c r="AE50" s="166"/>
      <c r="AF50" s="166"/>
      <c r="AG50" s="166"/>
      <c r="AH50" s="166"/>
      <c r="AI50" s="166"/>
      <c r="AJ50" s="166"/>
      <c r="AK50" s="166"/>
      <c r="AL50" s="166"/>
      <c r="AM50" s="166"/>
      <c r="AN50" s="169"/>
    </row>
    <row r="51" spans="1:40" s="66" customFormat="1" outlineLevel="1">
      <c r="A51" s="74"/>
      <c r="C51" s="101"/>
      <c r="D51" s="102"/>
      <c r="E51" s="102"/>
      <c r="F51" s="102"/>
      <c r="G51" s="103"/>
      <c r="H51" s="103"/>
      <c r="I51" s="103"/>
      <c r="J51" s="141">
        <f t="shared" si="19"/>
        <v>0</v>
      </c>
      <c r="K51" s="141"/>
      <c r="L51" s="141"/>
      <c r="M51" s="142"/>
      <c r="N51" s="143"/>
      <c r="O51" s="144">
        <f t="shared" si="14"/>
        <v>0</v>
      </c>
      <c r="P51" s="145"/>
      <c r="Q51" s="89"/>
      <c r="R51" s="89"/>
      <c r="S51" s="89"/>
      <c r="T51" s="89"/>
      <c r="U51" s="89"/>
      <c r="V51" s="89"/>
      <c r="W51" s="89"/>
      <c r="X51" s="89"/>
      <c r="Y51" s="89"/>
      <c r="Z51" s="89"/>
      <c r="AA51" s="89"/>
      <c r="AB51" s="89"/>
      <c r="AC51" s="89"/>
      <c r="AD51" s="89"/>
      <c r="AE51" s="89"/>
      <c r="AF51" s="89"/>
      <c r="AG51" s="89"/>
      <c r="AH51" s="89"/>
      <c r="AI51" s="89"/>
      <c r="AJ51" s="89"/>
      <c r="AK51" s="89"/>
      <c r="AL51" s="89"/>
      <c r="AM51" s="89"/>
      <c r="AN51" s="170"/>
    </row>
    <row r="52" spans="1:40" s="66" customFormat="1" outlineLevel="1">
      <c r="A52" s="74"/>
      <c r="C52" s="71"/>
      <c r="D52" s="71"/>
      <c r="E52" s="71"/>
      <c r="F52" s="71"/>
      <c r="H52" s="104"/>
      <c r="I52" s="146"/>
      <c r="J52" s="104"/>
      <c r="K52" s="104"/>
      <c r="L52" s="104"/>
      <c r="M52" s="71"/>
      <c r="N52" s="71"/>
      <c r="O52" s="146"/>
    </row>
    <row r="53" spans="1:40" s="66" customFormat="1" outlineLevel="1">
      <c r="A53" s="74"/>
      <c r="F53" s="105" t="s">
        <v>177</v>
      </c>
      <c r="G53" s="106"/>
      <c r="H53" s="107">
        <f>SUM(H26:H51)</f>
        <v>659275147.54999995</v>
      </c>
      <c r="I53" s="147"/>
      <c r="J53" s="147"/>
      <c r="K53" s="147"/>
      <c r="L53" s="147"/>
      <c r="O53" s="107">
        <f>SUM(O26:O51)</f>
        <v>2440992.7139664227</v>
      </c>
    </row>
    <row r="54" spans="1:40" s="66" customFormat="1" outlineLevel="1">
      <c r="A54" s="74"/>
      <c r="F54" s="91"/>
      <c r="G54" s="109" t="s">
        <v>190</v>
      </c>
      <c r="H54" s="110">
        <v>659275147.54999995</v>
      </c>
      <c r="I54" s="91" t="s">
        <v>265</v>
      </c>
      <c r="J54" s="108"/>
      <c r="K54" s="108"/>
      <c r="L54" s="108"/>
      <c r="N54" s="148"/>
      <c r="O54" s="149" t="s">
        <v>82</v>
      </c>
    </row>
    <row r="55" spans="1:40" s="66" customFormat="1" outlineLevel="1">
      <c r="A55" s="74"/>
      <c r="G55" s="108" t="s">
        <v>178</v>
      </c>
      <c r="H55" s="111">
        <f>H53-H54</f>
        <v>0</v>
      </c>
      <c r="I55" s="111"/>
      <c r="N55" s="150" t="s">
        <v>266</v>
      </c>
      <c r="O55" s="111">
        <f>IFERROR(P65+O53-P70,0)</f>
        <v>176273.08396642283</v>
      </c>
      <c r="P55" s="151" t="s">
        <v>80</v>
      </c>
    </row>
    <row r="56" spans="1:40" s="66" customFormat="1">
      <c r="A56" s="74"/>
      <c r="F56" s="112"/>
      <c r="J56" s="152"/>
      <c r="K56" s="152"/>
      <c r="L56" s="152"/>
      <c r="M56" s="152"/>
      <c r="N56" s="71"/>
      <c r="O56" s="71"/>
      <c r="P56" s="71"/>
    </row>
    <row r="57" spans="1:40" s="66" customFormat="1">
      <c r="A57" s="74"/>
      <c r="F57" s="112"/>
      <c r="I57" s="152"/>
      <c r="J57" s="152"/>
      <c r="K57" s="152"/>
      <c r="L57" s="152"/>
    </row>
    <row r="58" spans="1:40" s="66" customFormat="1" outlineLevel="1">
      <c r="A58" s="74"/>
      <c r="B58" s="91" t="s">
        <v>197</v>
      </c>
      <c r="C58" s="92" t="s">
        <v>267</v>
      </c>
      <c r="H58" s="93" t="s">
        <v>100</v>
      </c>
      <c r="I58" s="93" t="s">
        <v>101</v>
      </c>
      <c r="J58" s="93"/>
      <c r="K58" s="93"/>
      <c r="L58" s="93"/>
      <c r="M58" s="93"/>
      <c r="N58" s="93" t="s">
        <v>268</v>
      </c>
      <c r="O58" s="93" t="s">
        <v>103</v>
      </c>
      <c r="P58" s="93" t="s">
        <v>269</v>
      </c>
    </row>
    <row r="59" spans="1:40" s="66" customFormat="1" outlineLevel="1">
      <c r="A59" s="74"/>
      <c r="C59" s="584" t="s">
        <v>270</v>
      </c>
      <c r="D59" s="584"/>
      <c r="E59" s="584"/>
      <c r="F59" s="584"/>
      <c r="G59" s="584"/>
      <c r="H59" s="584"/>
      <c r="M59" s="152"/>
      <c r="N59" s="153">
        <f>DATE(YEAR(汇总!D5)-1,12,31)+1</f>
        <v>45292</v>
      </c>
      <c r="P59" s="93"/>
    </row>
    <row r="60" spans="1:40" s="69" customFormat="1" outlineLevel="1">
      <c r="A60" s="113"/>
      <c r="C60" s="114" t="s">
        <v>214</v>
      </c>
      <c r="D60" s="115" t="s">
        <v>215</v>
      </c>
      <c r="E60" s="115" t="s">
        <v>216</v>
      </c>
      <c r="F60" s="115" t="s">
        <v>217</v>
      </c>
      <c r="G60" s="116" t="s">
        <v>218</v>
      </c>
      <c r="H60" s="116" t="s">
        <v>219</v>
      </c>
      <c r="I60" s="116" t="s">
        <v>271</v>
      </c>
      <c r="J60" s="116" t="s">
        <v>272</v>
      </c>
      <c r="K60" s="116"/>
      <c r="L60" s="116"/>
      <c r="M60" s="116" t="s">
        <v>273</v>
      </c>
      <c r="N60" s="116" t="s">
        <v>274</v>
      </c>
      <c r="O60" s="154" t="s">
        <v>225</v>
      </c>
      <c r="P60" s="155" t="s">
        <v>226</v>
      </c>
    </row>
    <row r="61" spans="1:40" s="66" customFormat="1" outlineLevel="1">
      <c r="A61" s="74"/>
      <c r="C61" s="117" t="s">
        <v>275</v>
      </c>
      <c r="D61" s="99"/>
      <c r="E61" s="99"/>
      <c r="F61" s="99"/>
      <c r="G61" s="100"/>
      <c r="H61" s="100"/>
      <c r="I61" s="156"/>
      <c r="J61" s="157"/>
      <c r="K61" s="157"/>
      <c r="L61" s="157"/>
      <c r="M61" s="157"/>
      <c r="N61" s="158" cm="1">
        <f t="array" ref="N61">IFERROR(_xlfn.IFS((J61&lt;$N$59)*(M61&lt;汇总!$D$5),DATEDIF($N$59,M61,"D"),(J61&lt;$N$59)*(M61&gt;=汇总!$D$5),DATEDIF($N$59,汇总!$D$5,"D"),(J61&gt;=$N$59)*(M61&lt;汇总!$D$5),DATEDIF(J61,M61,"D"),(J61&gt;=$N$59)*(M61&gt;=汇总!$D$5),DATEDIF(J61,汇总!$D$5,"D"))+1,"")</f>
        <v>-45291</v>
      </c>
      <c r="O61" s="136"/>
      <c r="P61" s="159">
        <f>IFERROR(H61*I61*N61/360,0)*O61</f>
        <v>0</v>
      </c>
    </row>
    <row r="62" spans="1:40" s="66" customFormat="1" outlineLevel="1">
      <c r="A62" s="74"/>
      <c r="C62" s="117"/>
      <c r="D62" s="99"/>
      <c r="E62" s="99"/>
      <c r="F62" s="99"/>
      <c r="G62" s="100"/>
      <c r="H62" s="100"/>
      <c r="I62" s="156"/>
      <c r="J62" s="157"/>
      <c r="K62" s="157"/>
      <c r="L62" s="157"/>
      <c r="M62" s="157"/>
      <c r="N62" s="158" cm="1">
        <f t="array" ref="N62">IFERROR(_xlfn.IFS((J62&lt;$N$59)*(M62&lt;汇总!$D$5),DATEDIF($N$59,M62,"D"),(J62&lt;$N$59)*(M62&gt;=汇总!$D$5),DATEDIF($N$59,汇总!$D$5,"D"),(J62&gt;=$N$59)*(M62&lt;汇总!$D$5),DATEDIF(J62,M62,"D"),(J62&gt;=$N$59)*(M62&gt;=汇总!$D$5),DATEDIF(J62,汇总!$D$5,"D"))+1,"")</f>
        <v>-45291</v>
      </c>
      <c r="O62" s="158"/>
      <c r="P62" s="159">
        <f>IFERROR(H62*I62*N62/360,0)*O62</f>
        <v>0</v>
      </c>
    </row>
    <row r="63" spans="1:40" s="66" customFormat="1" outlineLevel="1">
      <c r="A63" s="74"/>
      <c r="C63" s="118"/>
      <c r="D63" s="119"/>
      <c r="E63" s="119"/>
      <c r="F63" s="119"/>
      <c r="G63" s="120"/>
      <c r="H63" s="120"/>
      <c r="I63" s="160"/>
      <c r="J63" s="161"/>
      <c r="K63" s="161"/>
      <c r="L63" s="161"/>
      <c r="M63" s="161"/>
      <c r="N63" s="162" cm="1">
        <f t="array" ref="N63">IFERROR(_xlfn.IFS((J63&lt;$N$59)*(M63&lt;汇总!$D$5),DATEDIF($N$59,M63,"D"),(J63&lt;$N$59)*(M63&gt;=汇总!$D$5),DATEDIF($N$59,汇总!$D$5,"D"),(J63&gt;=$N$59)*(M63&lt;汇总!$D$5),DATEDIF(J63,M63,"D"),(J63&gt;=$N$59)*(M63&gt;=汇总!$D$5),DATEDIF(J63,汇总!$D$5,"D"))+1,"")</f>
        <v>-45291</v>
      </c>
      <c r="O63" s="162"/>
      <c r="P63" s="163">
        <f>IFERROR(H63*I63*N63/360,0)*O63</f>
        <v>0</v>
      </c>
    </row>
    <row r="64" spans="1:40" s="66" customFormat="1" outlineLevel="1">
      <c r="A64" s="74"/>
      <c r="C64" s="71"/>
      <c r="D64" s="71"/>
      <c r="E64" s="71"/>
      <c r="F64" s="71"/>
      <c r="G64" s="104"/>
      <c r="H64" s="104"/>
      <c r="I64" s="71"/>
      <c r="J64" s="71"/>
      <c r="K64" s="71"/>
      <c r="L64" s="71"/>
      <c r="M64" s="71"/>
      <c r="N64" s="71"/>
      <c r="P64" s="104"/>
    </row>
    <row r="65" spans="1:16" s="66" customFormat="1" outlineLevel="1">
      <c r="A65" s="74"/>
      <c r="D65" s="171"/>
      <c r="F65" s="172" t="s">
        <v>177</v>
      </c>
      <c r="G65" s="104"/>
      <c r="H65" s="173">
        <f>SUM(H61:H63)</f>
        <v>0</v>
      </c>
      <c r="P65" s="182">
        <f>SUM(P61:P63)</f>
        <v>0</v>
      </c>
    </row>
    <row r="66" spans="1:16" s="66" customFormat="1" outlineLevel="1">
      <c r="A66" s="74"/>
      <c r="F66" s="150" t="s">
        <v>276</v>
      </c>
      <c r="G66" s="174" t="s">
        <v>195</v>
      </c>
      <c r="H66" s="175"/>
      <c r="P66" s="149" t="s">
        <v>82</v>
      </c>
    </row>
    <row r="67" spans="1:16" s="66" customFormat="1" outlineLevel="1">
      <c r="A67" s="74"/>
      <c r="F67" s="71"/>
      <c r="G67" s="150" t="s">
        <v>178</v>
      </c>
      <c r="H67" s="111">
        <f>H65-H66</f>
        <v>0</v>
      </c>
      <c r="N67" s="108" t="s">
        <v>277</v>
      </c>
      <c r="O67" s="183" t="s">
        <v>278</v>
      </c>
      <c r="P67" s="110">
        <f>-(Uexp财务费用BKD!M34+Uexp财务费用BKD!M35)</f>
        <v>2264719.63</v>
      </c>
    </row>
    <row r="68" spans="1:16" s="66" customFormat="1" outlineLevel="1">
      <c r="A68" s="74"/>
      <c r="O68" s="183" t="s">
        <v>279</v>
      </c>
      <c r="P68" s="110">
        <v>0</v>
      </c>
    </row>
    <row r="69" spans="1:16" s="66" customFormat="1" outlineLevel="1">
      <c r="A69" s="74"/>
      <c r="J69" s="152"/>
      <c r="K69" s="152"/>
      <c r="L69" s="152"/>
      <c r="O69" s="183" t="s">
        <v>280</v>
      </c>
      <c r="P69" s="110">
        <v>0</v>
      </c>
    </row>
    <row r="70" spans="1:16" s="66" customFormat="1" outlineLevel="1">
      <c r="A70" s="74"/>
      <c r="J70" s="152"/>
      <c r="K70" s="152"/>
      <c r="L70" s="152"/>
      <c r="N70" s="152"/>
      <c r="O70" s="109" t="s">
        <v>177</v>
      </c>
      <c r="P70" s="182">
        <f>SUM(P67:P69)</f>
        <v>2264719.63</v>
      </c>
    </row>
    <row r="71" spans="1:16" s="66" customFormat="1" outlineLevel="1">
      <c r="A71" s="74"/>
      <c r="N71" s="152"/>
      <c r="O71" s="147"/>
      <c r="P71" s="149" t="s">
        <v>82</v>
      </c>
    </row>
    <row r="72" spans="1:16" s="66" customFormat="1">
      <c r="A72" s="74"/>
      <c r="N72" s="152"/>
    </row>
    <row r="73" spans="1:16">
      <c r="A73" s="72"/>
    </row>
    <row r="74" spans="1:16">
      <c r="A74" s="72"/>
    </row>
    <row r="75" spans="1:16">
      <c r="A75" s="72"/>
    </row>
    <row r="76" spans="1:16" ht="13" customHeight="1">
      <c r="A76" s="72"/>
      <c r="B76" s="150" t="s">
        <v>119</v>
      </c>
      <c r="C76" s="578" t="s">
        <v>281</v>
      </c>
      <c r="D76" s="176"/>
      <c r="E76" s="176"/>
      <c r="F76" s="176"/>
      <c r="G76" s="176"/>
      <c r="H76" s="579"/>
    </row>
    <row r="77" spans="1:16">
      <c r="A77" s="72"/>
      <c r="C77" s="177"/>
      <c r="D77" s="178"/>
      <c r="E77" s="178"/>
      <c r="F77" s="178"/>
      <c r="G77" s="178"/>
      <c r="H77" s="179"/>
    </row>
    <row r="78" spans="1:16">
      <c r="A78" s="72"/>
      <c r="C78" s="580" t="s">
        <v>154</v>
      </c>
      <c r="D78" s="178" t="s">
        <v>282</v>
      </c>
      <c r="E78" s="178"/>
      <c r="F78" s="178"/>
      <c r="G78" s="178"/>
      <c r="H78" s="179"/>
    </row>
    <row r="79" spans="1:16">
      <c r="C79" s="580" t="s">
        <v>162</v>
      </c>
      <c r="D79" s="178" t="s">
        <v>283</v>
      </c>
      <c r="E79" s="178"/>
      <c r="F79" s="178"/>
      <c r="G79" s="178"/>
      <c r="H79" s="179"/>
    </row>
    <row r="80" spans="1:16">
      <c r="C80" s="580" t="s">
        <v>167</v>
      </c>
      <c r="D80" s="71" t="s">
        <v>284</v>
      </c>
      <c r="E80" s="178"/>
      <c r="F80" s="178"/>
      <c r="G80" s="178"/>
      <c r="H80" s="179"/>
    </row>
    <row r="81" spans="3:8">
      <c r="C81" s="180"/>
      <c r="H81" s="181"/>
    </row>
    <row r="82" spans="3:8" outlineLevel="1">
      <c r="C82" s="180"/>
      <c r="D82" s="569" t="s">
        <v>216</v>
      </c>
      <c r="E82" s="570" t="s">
        <v>285</v>
      </c>
      <c r="F82" s="569" t="s">
        <v>286</v>
      </c>
      <c r="G82" s="70" t="s">
        <v>287</v>
      </c>
      <c r="H82" s="181"/>
    </row>
    <row r="83" spans="3:8" outlineLevel="1">
      <c r="C83" s="180"/>
      <c r="D83" s="569" t="s">
        <v>255</v>
      </c>
      <c r="E83" s="570">
        <v>1</v>
      </c>
      <c r="F83" s="569">
        <v>0</v>
      </c>
      <c r="H83" s="181"/>
    </row>
    <row r="84" spans="3:8" outlineLevel="1">
      <c r="C84" s="180"/>
      <c r="D84" s="569" t="s">
        <v>255</v>
      </c>
      <c r="E84" s="570">
        <v>2</v>
      </c>
      <c r="F84" s="569">
        <v>0</v>
      </c>
      <c r="H84" s="181"/>
    </row>
    <row r="85" spans="3:8" outlineLevel="1">
      <c r="C85" s="180"/>
      <c r="D85" s="569" t="s">
        <v>255</v>
      </c>
      <c r="E85" s="570">
        <v>3</v>
      </c>
      <c r="F85" s="569">
        <v>82.21</v>
      </c>
      <c r="H85" s="181"/>
    </row>
    <row r="86" spans="3:8" outlineLevel="1">
      <c r="C86" s="180"/>
      <c r="D86" s="569" t="s">
        <v>255</v>
      </c>
      <c r="E86" s="570">
        <v>4</v>
      </c>
      <c r="F86" s="569">
        <v>-1531.1</v>
      </c>
      <c r="H86" s="181"/>
    </row>
    <row r="87" spans="3:8" outlineLevel="1">
      <c r="C87" s="180"/>
      <c r="D87" s="569" t="s">
        <v>255</v>
      </c>
      <c r="E87" s="570">
        <v>5</v>
      </c>
      <c r="F87" s="569">
        <v>0</v>
      </c>
      <c r="H87" s="181"/>
    </row>
    <row r="88" spans="3:8" outlineLevel="1">
      <c r="C88" s="180"/>
      <c r="D88" s="569" t="s">
        <v>255</v>
      </c>
      <c r="E88" s="570">
        <v>6</v>
      </c>
      <c r="F88" s="569">
        <v>77.11</v>
      </c>
      <c r="H88" s="181"/>
    </row>
    <row r="89" spans="3:8" outlineLevel="1">
      <c r="C89" s="180"/>
      <c r="D89" s="569" t="s">
        <v>255</v>
      </c>
      <c r="E89" s="570">
        <v>7</v>
      </c>
      <c r="F89" s="569">
        <v>0</v>
      </c>
      <c r="H89" s="181"/>
    </row>
    <row r="90" spans="3:8" outlineLevel="1">
      <c r="C90" s="180"/>
      <c r="D90" s="569" t="s">
        <v>255</v>
      </c>
      <c r="E90" s="570">
        <v>8</v>
      </c>
      <c r="F90" s="569">
        <v>0</v>
      </c>
      <c r="H90" s="181"/>
    </row>
    <row r="91" spans="3:8" outlineLevel="1">
      <c r="C91" s="180"/>
      <c r="D91" s="569" t="s">
        <v>255</v>
      </c>
      <c r="E91" s="570">
        <v>9</v>
      </c>
      <c r="F91" s="569">
        <v>42.53</v>
      </c>
      <c r="H91" s="181"/>
    </row>
    <row r="92" spans="3:8" outlineLevel="1">
      <c r="C92" s="180"/>
      <c r="D92" s="569" t="s">
        <v>255</v>
      </c>
      <c r="E92" s="570">
        <v>10</v>
      </c>
      <c r="F92" s="569">
        <v>373.63</v>
      </c>
      <c r="H92" s="181"/>
    </row>
    <row r="93" spans="3:8" outlineLevel="1">
      <c r="C93" s="180"/>
      <c r="D93" s="569" t="s">
        <v>255</v>
      </c>
      <c r="E93" s="570">
        <v>11</v>
      </c>
      <c r="F93" s="569">
        <v>-28.63</v>
      </c>
      <c r="H93" s="181"/>
    </row>
    <row r="94" spans="3:8" outlineLevel="1">
      <c r="C94" s="180"/>
      <c r="D94" s="569" t="s">
        <v>255</v>
      </c>
      <c r="E94" s="570">
        <v>12</v>
      </c>
      <c r="F94" s="569">
        <v>65636.7</v>
      </c>
      <c r="H94" s="181"/>
    </row>
    <row r="95" spans="3:8" outlineLevel="1">
      <c r="C95" s="180"/>
      <c r="D95" s="569" t="s">
        <v>263</v>
      </c>
      <c r="E95" s="570">
        <v>1</v>
      </c>
      <c r="F95" s="569">
        <v>-200</v>
      </c>
      <c r="H95" s="181"/>
    </row>
    <row r="96" spans="3:8" outlineLevel="1">
      <c r="C96" s="180"/>
      <c r="D96" s="569" t="s">
        <v>263</v>
      </c>
      <c r="E96" s="570">
        <v>2</v>
      </c>
      <c r="F96" s="569">
        <v>30018055.559999999</v>
      </c>
      <c r="H96" s="181"/>
    </row>
    <row r="97" spans="3:8" outlineLevel="1">
      <c r="C97" s="180"/>
      <c r="D97" s="569" t="s">
        <v>263</v>
      </c>
      <c r="E97" s="570">
        <v>3</v>
      </c>
      <c r="F97" s="569">
        <v>-29992592.550000001</v>
      </c>
      <c r="H97" s="181"/>
    </row>
    <row r="98" spans="3:8" outlineLevel="1">
      <c r="C98" s="180"/>
      <c r="D98" s="569" t="s">
        <v>263</v>
      </c>
      <c r="E98" s="570">
        <v>4</v>
      </c>
      <c r="F98" s="569">
        <v>-602.75</v>
      </c>
      <c r="H98" s="181"/>
    </row>
    <row r="99" spans="3:8" outlineLevel="1">
      <c r="C99" s="180"/>
      <c r="D99" s="569" t="s">
        <v>263</v>
      </c>
      <c r="E99" s="570">
        <v>5</v>
      </c>
      <c r="F99" s="569">
        <v>6250</v>
      </c>
      <c r="H99" s="181"/>
    </row>
    <row r="100" spans="3:8" outlineLevel="1">
      <c r="C100" s="180"/>
      <c r="D100" s="569" t="s">
        <v>263</v>
      </c>
      <c r="E100" s="570">
        <v>6</v>
      </c>
      <c r="F100" s="569">
        <v>1083.7</v>
      </c>
      <c r="H100" s="181"/>
    </row>
    <row r="101" spans="3:8" outlineLevel="1">
      <c r="C101" s="180"/>
      <c r="D101" s="569" t="s">
        <v>263</v>
      </c>
      <c r="E101" s="570">
        <v>8</v>
      </c>
      <c r="F101" s="569">
        <v>-162765.20000000001</v>
      </c>
      <c r="H101" s="181"/>
    </row>
    <row r="102" spans="3:8" outlineLevel="1">
      <c r="C102" s="180"/>
      <c r="D102" s="569" t="s">
        <v>263</v>
      </c>
      <c r="E102" s="570">
        <v>9</v>
      </c>
      <c r="F102" s="569">
        <v>76.08</v>
      </c>
      <c r="H102" s="181"/>
    </row>
    <row r="103" spans="3:8" outlineLevel="1">
      <c r="C103" s="180"/>
      <c r="D103" s="569" t="s">
        <v>263</v>
      </c>
      <c r="E103" s="570">
        <v>11</v>
      </c>
      <c r="F103" s="569">
        <v>16736.1099999994</v>
      </c>
      <c r="H103" s="181"/>
    </row>
    <row r="104" spans="3:8" outlineLevel="1">
      <c r="C104" s="180"/>
      <c r="D104" s="571" t="s">
        <v>263</v>
      </c>
      <c r="E104" s="572">
        <v>12</v>
      </c>
      <c r="F104" s="571">
        <v>10712.91</v>
      </c>
      <c r="H104" s="181"/>
    </row>
    <row r="105" spans="3:8" outlineLevel="1">
      <c r="C105" s="180"/>
      <c r="D105" s="571" t="s">
        <v>264</v>
      </c>
      <c r="E105" s="572">
        <v>4</v>
      </c>
      <c r="F105" s="571">
        <v>0</v>
      </c>
      <c r="H105" s="181"/>
    </row>
    <row r="106" spans="3:8" outlineLevel="1">
      <c r="C106" s="180"/>
      <c r="D106" s="571" t="s">
        <v>264</v>
      </c>
      <c r="E106" s="572">
        <v>6</v>
      </c>
      <c r="F106" s="571">
        <v>11104.44</v>
      </c>
      <c r="H106" s="181"/>
    </row>
    <row r="107" spans="3:8" outlineLevel="1">
      <c r="C107" s="180"/>
      <c r="D107" s="571" t="s">
        <v>264</v>
      </c>
      <c r="E107" s="572">
        <v>8</v>
      </c>
      <c r="F107" s="571">
        <v>-11104.439999997599</v>
      </c>
      <c r="H107" s="181"/>
    </row>
    <row r="108" spans="3:8" outlineLevel="1">
      <c r="C108" s="180"/>
      <c r="D108" s="571" t="s">
        <v>264</v>
      </c>
      <c r="E108" s="572">
        <v>9</v>
      </c>
      <c r="F108" s="571">
        <v>10415.36</v>
      </c>
      <c r="H108" s="181"/>
    </row>
    <row r="109" spans="3:8" outlineLevel="1">
      <c r="C109" s="180"/>
      <c r="D109" s="571" t="s">
        <v>264</v>
      </c>
      <c r="E109" s="572">
        <v>12</v>
      </c>
      <c r="F109" s="571">
        <v>-10415.36</v>
      </c>
      <c r="H109" s="181"/>
    </row>
    <row r="110" spans="3:8" outlineLevel="1">
      <c r="C110" s="180"/>
      <c r="D110" s="571" t="s">
        <v>253</v>
      </c>
      <c r="E110" s="572">
        <v>1</v>
      </c>
      <c r="F110" s="571">
        <v>-17912568.98</v>
      </c>
      <c r="H110" s="181"/>
    </row>
    <row r="111" spans="3:8" outlineLevel="1">
      <c r="C111" s="180"/>
      <c r="D111" s="571" t="s">
        <v>253</v>
      </c>
      <c r="E111" s="572">
        <v>2</v>
      </c>
      <c r="F111" s="571">
        <v>-1675308.94</v>
      </c>
      <c r="H111" s="181"/>
    </row>
    <row r="112" spans="3:8" outlineLevel="1">
      <c r="C112" s="180"/>
      <c r="D112" s="571" t="s">
        <v>253</v>
      </c>
      <c r="E112" s="572">
        <v>3</v>
      </c>
      <c r="F112" s="571">
        <v>699002.10999999801</v>
      </c>
      <c r="H112" s="181"/>
    </row>
    <row r="113" spans="3:8" outlineLevel="1">
      <c r="C113" s="180"/>
      <c r="D113" s="571" t="s">
        <v>253</v>
      </c>
      <c r="E113" s="572">
        <v>4</v>
      </c>
      <c r="F113" s="571">
        <v>18272124.68</v>
      </c>
      <c r="H113" s="181"/>
    </row>
    <row r="114" spans="3:8" outlineLevel="1">
      <c r="C114" s="180"/>
      <c r="D114" s="571" t="s">
        <v>253</v>
      </c>
      <c r="E114" s="572">
        <v>5</v>
      </c>
      <c r="F114" s="571">
        <v>20877437.239999998</v>
      </c>
      <c r="H114" s="181"/>
    </row>
    <row r="115" spans="3:8" outlineLevel="1">
      <c r="C115" s="180"/>
      <c r="D115" s="571" t="s">
        <v>253</v>
      </c>
      <c r="E115" s="572">
        <v>6</v>
      </c>
      <c r="F115" s="571">
        <v>-6100772.8399999999</v>
      </c>
      <c r="H115" s="181"/>
    </row>
    <row r="116" spans="3:8" outlineLevel="1">
      <c r="C116" s="180"/>
      <c r="D116" s="571" t="s">
        <v>253</v>
      </c>
      <c r="E116" s="572">
        <v>7</v>
      </c>
      <c r="F116" s="571">
        <v>-27442194.02</v>
      </c>
      <c r="H116" s="181"/>
    </row>
    <row r="117" spans="3:8" outlineLevel="1">
      <c r="C117" s="180"/>
      <c r="D117" s="571" t="s">
        <v>253</v>
      </c>
      <c r="E117" s="572">
        <v>8</v>
      </c>
      <c r="F117" s="571">
        <v>22219652.710000001</v>
      </c>
      <c r="H117" s="181"/>
    </row>
    <row r="118" spans="3:8" outlineLevel="1">
      <c r="C118" s="180"/>
      <c r="D118" s="571" t="s">
        <v>253</v>
      </c>
      <c r="E118" s="572">
        <v>9</v>
      </c>
      <c r="F118" s="571">
        <v>627871.49</v>
      </c>
      <c r="H118" s="181"/>
    </row>
    <row r="119" spans="3:8" outlineLevel="1">
      <c r="C119" s="180"/>
      <c r="D119" s="571" t="s">
        <v>253</v>
      </c>
      <c r="E119" s="572">
        <v>10</v>
      </c>
      <c r="F119" s="571">
        <v>200673472.22999999</v>
      </c>
      <c r="H119" s="181"/>
    </row>
    <row r="120" spans="3:8" outlineLevel="1">
      <c r="C120" s="180"/>
      <c r="D120" s="571" t="s">
        <v>253</v>
      </c>
      <c r="E120" s="572">
        <v>11</v>
      </c>
      <c r="F120" s="571">
        <v>-85966365.450000003</v>
      </c>
      <c r="H120" s="181"/>
    </row>
    <row r="121" spans="3:8" outlineLevel="1">
      <c r="C121" s="180"/>
      <c r="D121" s="571" t="s">
        <v>253</v>
      </c>
      <c r="E121" s="572">
        <v>12</v>
      </c>
      <c r="F121" s="571">
        <v>-144002571.34</v>
      </c>
      <c r="H121" s="181"/>
    </row>
    <row r="122" spans="3:8" outlineLevel="1">
      <c r="C122" s="180"/>
      <c r="D122" s="571" t="s">
        <v>257</v>
      </c>
      <c r="E122" s="572">
        <v>1</v>
      </c>
      <c r="F122" s="571">
        <v>-200</v>
      </c>
      <c r="H122" s="181"/>
    </row>
    <row r="123" spans="3:8" outlineLevel="1">
      <c r="C123" s="180"/>
      <c r="D123" s="571" t="s">
        <v>257</v>
      </c>
      <c r="E123" s="572">
        <v>3</v>
      </c>
      <c r="F123" s="571">
        <v>1349.10999996541</v>
      </c>
      <c r="H123" s="181"/>
    </row>
    <row r="124" spans="3:8" outlineLevel="1">
      <c r="C124" s="180"/>
      <c r="D124" s="571" t="s">
        <v>257</v>
      </c>
      <c r="E124" s="572">
        <v>5</v>
      </c>
      <c r="F124" s="571">
        <v>0</v>
      </c>
      <c r="H124" s="181"/>
    </row>
    <row r="125" spans="3:8" outlineLevel="1">
      <c r="C125" s="180"/>
      <c r="D125" s="571" t="s">
        <v>257</v>
      </c>
      <c r="E125" s="572">
        <v>6</v>
      </c>
      <c r="F125" s="571">
        <v>154.47000000022399</v>
      </c>
      <c r="H125" s="181"/>
    </row>
    <row r="126" spans="3:8" outlineLevel="1">
      <c r="C126" s="180"/>
      <c r="D126" s="571" t="s">
        <v>257</v>
      </c>
      <c r="E126" s="572">
        <v>9</v>
      </c>
      <c r="F126" s="571">
        <v>3467.9399999976199</v>
      </c>
      <c r="H126" s="181"/>
    </row>
    <row r="127" spans="3:8" outlineLevel="1">
      <c r="C127" s="180"/>
      <c r="D127" s="571" t="s">
        <v>257</v>
      </c>
      <c r="E127" s="572">
        <v>12</v>
      </c>
      <c r="F127" s="571">
        <v>25444.829999999602</v>
      </c>
      <c r="H127" s="181"/>
    </row>
    <row r="128" spans="3:8" outlineLevel="1">
      <c r="C128" s="180"/>
      <c r="D128" s="571" t="s">
        <v>246</v>
      </c>
      <c r="E128" s="572">
        <v>1</v>
      </c>
      <c r="F128" s="571">
        <v>22069407.390000001</v>
      </c>
      <c r="H128" s="181"/>
    </row>
    <row r="129" spans="3:8" outlineLevel="1">
      <c r="C129" s="180"/>
      <c r="D129" s="571" t="s">
        <v>246</v>
      </c>
      <c r="E129" s="572">
        <v>2</v>
      </c>
      <c r="F129" s="571">
        <v>6646450.0199999996</v>
      </c>
      <c r="H129" s="181"/>
    </row>
    <row r="130" spans="3:8" outlineLevel="1">
      <c r="C130" s="180"/>
      <c r="D130" s="571" t="s">
        <v>246</v>
      </c>
      <c r="E130" s="572">
        <v>3</v>
      </c>
      <c r="F130" s="571">
        <v>4597295.17</v>
      </c>
      <c r="H130" s="181"/>
    </row>
    <row r="131" spans="3:8" outlineLevel="1">
      <c r="C131" s="180"/>
      <c r="D131" s="571" t="s">
        <v>246</v>
      </c>
      <c r="E131" s="572">
        <v>4</v>
      </c>
      <c r="F131" s="571">
        <v>15337871.77</v>
      </c>
      <c r="H131" s="181"/>
    </row>
    <row r="132" spans="3:8" outlineLevel="1">
      <c r="C132" s="180"/>
      <c r="D132" s="571" t="s">
        <v>246</v>
      </c>
      <c r="E132" s="572">
        <v>5</v>
      </c>
      <c r="F132" s="571">
        <v>28270531.739999998</v>
      </c>
      <c r="H132" s="181"/>
    </row>
    <row r="133" spans="3:8" outlineLevel="1">
      <c r="C133" s="180"/>
      <c r="D133" s="571" t="s">
        <v>246</v>
      </c>
      <c r="E133" s="572">
        <v>6</v>
      </c>
      <c r="F133" s="571">
        <v>-23665920.309999999</v>
      </c>
      <c r="H133" s="181"/>
    </row>
    <row r="134" spans="3:8" outlineLevel="1">
      <c r="C134" s="180"/>
      <c r="D134" s="571" t="s">
        <v>246</v>
      </c>
      <c r="E134" s="572">
        <v>7</v>
      </c>
      <c r="F134" s="571">
        <v>96840437.040000007</v>
      </c>
      <c r="H134" s="181"/>
    </row>
    <row r="135" spans="3:8" outlineLevel="1">
      <c r="C135" s="180"/>
      <c r="D135" s="571" t="s">
        <v>246</v>
      </c>
      <c r="E135" s="572">
        <v>8</v>
      </c>
      <c r="F135" s="571">
        <v>-71203692.769999996</v>
      </c>
      <c r="H135" s="181"/>
    </row>
    <row r="136" spans="3:8" outlineLevel="1">
      <c r="C136" s="180"/>
      <c r="D136" s="571" t="s">
        <v>246</v>
      </c>
      <c r="E136" s="572">
        <v>9</v>
      </c>
      <c r="F136" s="571">
        <v>-50742202.340000004</v>
      </c>
      <c r="H136" s="181"/>
    </row>
    <row r="137" spans="3:8" outlineLevel="1">
      <c r="C137" s="180"/>
      <c r="D137" s="571" t="s">
        <v>246</v>
      </c>
      <c r="E137" s="572">
        <v>10</v>
      </c>
      <c r="F137" s="571">
        <v>-26114504.390000001</v>
      </c>
      <c r="H137" s="181"/>
    </row>
    <row r="138" spans="3:8" outlineLevel="1">
      <c r="C138" s="180"/>
      <c r="D138" s="571" t="s">
        <v>246</v>
      </c>
      <c r="E138" s="572">
        <v>11</v>
      </c>
      <c r="F138" s="571">
        <v>77472653.939999998</v>
      </c>
      <c r="H138" s="181"/>
    </row>
    <row r="139" spans="3:8" outlineLevel="1">
      <c r="C139" s="180"/>
      <c r="D139" s="571" t="s">
        <v>246</v>
      </c>
      <c r="E139" s="572">
        <v>12</v>
      </c>
      <c r="F139" s="571">
        <v>-37052236.549999997</v>
      </c>
      <c r="H139" s="181"/>
    </row>
    <row r="140" spans="3:8" outlineLevel="1">
      <c r="C140" s="180"/>
      <c r="D140" s="571" t="s">
        <v>243</v>
      </c>
      <c r="E140" s="572">
        <v>1</v>
      </c>
      <c r="F140" s="571">
        <v>243810356.69999999</v>
      </c>
      <c r="H140" s="181"/>
    </row>
    <row r="141" spans="3:8" outlineLevel="1">
      <c r="C141" s="180"/>
      <c r="D141" s="571" t="s">
        <v>243</v>
      </c>
      <c r="E141" s="572">
        <v>2</v>
      </c>
      <c r="F141" s="571">
        <v>-297025694.44999999</v>
      </c>
      <c r="H141" s="181"/>
    </row>
    <row r="142" spans="3:8" outlineLevel="1">
      <c r="C142" s="180"/>
      <c r="D142" s="571" t="s">
        <v>243</v>
      </c>
      <c r="E142" s="572">
        <v>3</v>
      </c>
      <c r="F142" s="571">
        <v>10199981.35</v>
      </c>
      <c r="H142" s="181"/>
    </row>
    <row r="143" spans="3:8" outlineLevel="1">
      <c r="C143" s="180"/>
      <c r="D143" s="571" t="s">
        <v>243</v>
      </c>
      <c r="E143" s="572">
        <v>4</v>
      </c>
      <c r="F143" s="571">
        <v>8201550.3200000003</v>
      </c>
      <c r="H143" s="181"/>
    </row>
    <row r="144" spans="3:8" outlineLevel="1">
      <c r="C144" s="180"/>
      <c r="D144" s="571" t="s">
        <v>243</v>
      </c>
      <c r="E144" s="572">
        <v>5</v>
      </c>
      <c r="F144" s="571">
        <v>15877210.279999999</v>
      </c>
      <c r="H144" s="181"/>
    </row>
    <row r="145" spans="3:8" outlineLevel="1">
      <c r="C145" s="180"/>
      <c r="D145" s="571" t="s">
        <v>243</v>
      </c>
      <c r="E145" s="572">
        <v>6</v>
      </c>
      <c r="F145" s="571">
        <v>-52906829.700000003</v>
      </c>
      <c r="H145" s="181"/>
    </row>
    <row r="146" spans="3:8" outlineLevel="1">
      <c r="C146" s="180"/>
      <c r="D146" s="571" t="s">
        <v>243</v>
      </c>
      <c r="E146" s="572">
        <v>7</v>
      </c>
      <c r="F146" s="571">
        <v>10566111.82</v>
      </c>
      <c r="H146" s="181"/>
    </row>
    <row r="147" spans="3:8" outlineLevel="1">
      <c r="C147" s="180"/>
      <c r="D147" s="571" t="s">
        <v>243</v>
      </c>
      <c r="E147" s="572">
        <v>8</v>
      </c>
      <c r="F147" s="571">
        <v>-3068464.09</v>
      </c>
      <c r="H147" s="181"/>
    </row>
    <row r="148" spans="3:8" outlineLevel="1">
      <c r="C148" s="180"/>
      <c r="D148" s="571" t="s">
        <v>243</v>
      </c>
      <c r="E148" s="572">
        <v>9</v>
      </c>
      <c r="F148" s="571">
        <v>10494852.720000001</v>
      </c>
      <c r="H148" s="181"/>
    </row>
    <row r="149" spans="3:8" outlineLevel="1">
      <c r="C149" s="180"/>
      <c r="D149" s="571" t="s">
        <v>243</v>
      </c>
      <c r="E149" s="572">
        <v>10</v>
      </c>
      <c r="F149" s="571">
        <v>30956868.850000001</v>
      </c>
      <c r="H149" s="181"/>
    </row>
    <row r="150" spans="3:8" outlineLevel="1">
      <c r="C150" s="180"/>
      <c r="D150" s="571" t="s">
        <v>243</v>
      </c>
      <c r="E150" s="572">
        <v>11</v>
      </c>
      <c r="F150" s="571">
        <v>-43549204.840000004</v>
      </c>
      <c r="H150" s="181"/>
    </row>
    <row r="151" spans="3:8" outlineLevel="1">
      <c r="C151" s="180"/>
      <c r="D151" s="571" t="s">
        <v>243</v>
      </c>
      <c r="E151" s="572">
        <v>12</v>
      </c>
      <c r="F151" s="571">
        <v>12051963.59</v>
      </c>
      <c r="H151" s="181"/>
    </row>
    <row r="152" spans="3:8" outlineLevel="1">
      <c r="C152" s="180"/>
      <c r="D152" s="571" t="s">
        <v>250</v>
      </c>
      <c r="E152" s="572">
        <v>1</v>
      </c>
      <c r="F152" s="571">
        <v>1934594.76</v>
      </c>
      <c r="H152" s="181"/>
    </row>
    <row r="153" spans="3:8" outlineLevel="1">
      <c r="C153" s="180"/>
      <c r="D153" s="571" t="s">
        <v>250</v>
      </c>
      <c r="E153" s="572">
        <v>2</v>
      </c>
      <c r="F153" s="571">
        <v>-5179431.72</v>
      </c>
      <c r="H153" s="181"/>
    </row>
    <row r="154" spans="3:8" outlineLevel="1">
      <c r="C154" s="180"/>
      <c r="D154" s="571" t="s">
        <v>250</v>
      </c>
      <c r="E154" s="572">
        <v>3</v>
      </c>
      <c r="F154" s="571">
        <v>-881444.77</v>
      </c>
      <c r="H154" s="181"/>
    </row>
    <row r="155" spans="3:8" outlineLevel="1">
      <c r="C155" s="180"/>
      <c r="D155" s="571" t="s">
        <v>250</v>
      </c>
      <c r="E155" s="572">
        <v>4</v>
      </c>
      <c r="F155" s="571">
        <v>6590994.3799999999</v>
      </c>
      <c r="H155" s="181"/>
    </row>
    <row r="156" spans="3:8" outlineLevel="1">
      <c r="C156" s="180"/>
      <c r="D156" s="571" t="s">
        <v>250</v>
      </c>
      <c r="E156" s="572">
        <v>5</v>
      </c>
      <c r="F156" s="571">
        <v>523247.03</v>
      </c>
      <c r="H156" s="181"/>
    </row>
    <row r="157" spans="3:8" outlineLevel="1">
      <c r="C157" s="180"/>
      <c r="D157" s="571" t="s">
        <v>250</v>
      </c>
      <c r="E157" s="572">
        <v>6</v>
      </c>
      <c r="F157" s="571">
        <v>-2616712.52</v>
      </c>
      <c r="H157" s="181"/>
    </row>
    <row r="158" spans="3:8" outlineLevel="1">
      <c r="C158" s="180"/>
      <c r="D158" s="571" t="s">
        <v>250</v>
      </c>
      <c r="E158" s="572">
        <v>7</v>
      </c>
      <c r="F158" s="571">
        <v>-1200062.49</v>
      </c>
      <c r="H158" s="181"/>
    </row>
    <row r="159" spans="3:8" outlineLevel="1">
      <c r="C159" s="180"/>
      <c r="D159" s="571" t="s">
        <v>250</v>
      </c>
      <c r="E159" s="572">
        <v>8</v>
      </c>
      <c r="F159" s="571">
        <v>2924013.02</v>
      </c>
      <c r="H159" s="181"/>
    </row>
    <row r="160" spans="3:8" outlineLevel="1">
      <c r="C160" s="180"/>
      <c r="D160" s="571" t="s">
        <v>250</v>
      </c>
      <c r="E160" s="572">
        <v>9</v>
      </c>
      <c r="F160" s="571">
        <v>-1751536.56</v>
      </c>
      <c r="H160" s="181"/>
    </row>
    <row r="161" spans="3:8" outlineLevel="1">
      <c r="C161" s="180"/>
      <c r="D161" s="571" t="s">
        <v>250</v>
      </c>
      <c r="E161" s="572">
        <v>10</v>
      </c>
      <c r="F161" s="571">
        <v>-160871.37</v>
      </c>
      <c r="H161" s="181"/>
    </row>
    <row r="162" spans="3:8" outlineLevel="1">
      <c r="C162" s="180"/>
      <c r="D162" s="571" t="s">
        <v>250</v>
      </c>
      <c r="E162" s="572">
        <v>11</v>
      </c>
      <c r="F162" s="571">
        <v>-490831.45</v>
      </c>
      <c r="H162" s="181"/>
    </row>
    <row r="163" spans="3:8" outlineLevel="1">
      <c r="C163" s="180"/>
      <c r="D163" s="571" t="s">
        <v>250</v>
      </c>
      <c r="E163" s="572">
        <v>12</v>
      </c>
      <c r="F163" s="571">
        <v>-973186.55</v>
      </c>
      <c r="H163" s="181"/>
    </row>
    <row r="164" spans="3:8" outlineLevel="1">
      <c r="C164" s="180"/>
      <c r="D164" s="571" t="s">
        <v>258</v>
      </c>
      <c r="E164" s="572">
        <v>3</v>
      </c>
      <c r="F164" s="571">
        <v>421832.01</v>
      </c>
      <c r="H164" s="181"/>
    </row>
    <row r="165" spans="3:8" outlineLevel="1">
      <c r="C165" s="180"/>
      <c r="D165" s="571" t="s">
        <v>258</v>
      </c>
      <c r="E165" s="572">
        <v>6</v>
      </c>
      <c r="F165" s="571">
        <v>-37013.539999999601</v>
      </c>
      <c r="H165" s="181"/>
    </row>
    <row r="166" spans="3:8" outlineLevel="1">
      <c r="C166" s="180"/>
      <c r="D166" s="571" t="s">
        <v>258</v>
      </c>
      <c r="E166" s="572">
        <v>9</v>
      </c>
      <c r="F166" s="571">
        <v>63162.540000000998</v>
      </c>
      <c r="H166" s="181"/>
    </row>
    <row r="167" spans="3:8" outlineLevel="1">
      <c r="C167" s="180"/>
      <c r="D167" s="571" t="s">
        <v>258</v>
      </c>
      <c r="E167" s="572">
        <v>12</v>
      </c>
      <c r="F167" s="571">
        <v>-143259.24</v>
      </c>
      <c r="H167" s="181"/>
    </row>
    <row r="168" spans="3:8" outlineLevel="1">
      <c r="C168" s="180"/>
      <c r="D168" s="571" t="s">
        <v>259</v>
      </c>
      <c r="E168" s="572">
        <v>3</v>
      </c>
      <c r="F168" s="571">
        <v>280600299.26999998</v>
      </c>
      <c r="H168" s="181"/>
    </row>
    <row r="169" spans="3:8" outlineLevel="1">
      <c r="C169" s="180"/>
      <c r="D169" s="571" t="s">
        <v>259</v>
      </c>
      <c r="E169" s="572">
        <v>4</v>
      </c>
      <c r="F169" s="571">
        <v>-280542361.11000001</v>
      </c>
      <c r="H169" s="181"/>
    </row>
    <row r="170" spans="3:8" outlineLevel="1">
      <c r="C170" s="180"/>
      <c r="D170" s="571" t="s">
        <v>259</v>
      </c>
      <c r="E170" s="572">
        <v>6</v>
      </c>
      <c r="F170" s="571">
        <v>6573.5699999928502</v>
      </c>
      <c r="H170" s="181"/>
    </row>
    <row r="171" spans="3:8" outlineLevel="1">
      <c r="C171" s="180"/>
      <c r="D171" s="571" t="s">
        <v>259</v>
      </c>
      <c r="E171" s="572">
        <v>7</v>
      </c>
      <c r="F171" s="571">
        <v>0</v>
      </c>
      <c r="H171" s="181"/>
    </row>
    <row r="172" spans="3:8" outlineLevel="1">
      <c r="C172" s="180"/>
      <c r="D172" s="571" t="s">
        <v>259</v>
      </c>
      <c r="E172" s="572">
        <v>8</v>
      </c>
      <c r="F172" s="571">
        <v>0</v>
      </c>
      <c r="H172" s="181"/>
    </row>
    <row r="173" spans="3:8" outlineLevel="1">
      <c r="C173" s="180"/>
      <c r="D173" s="571" t="s">
        <v>259</v>
      </c>
      <c r="E173" s="572">
        <v>9</v>
      </c>
      <c r="F173" s="571">
        <v>12190.5499999933</v>
      </c>
      <c r="H173" s="181"/>
    </row>
    <row r="174" spans="3:8" outlineLevel="1">
      <c r="C174" s="180"/>
      <c r="D174" s="571" t="s">
        <v>259</v>
      </c>
      <c r="E174" s="572">
        <v>12</v>
      </c>
      <c r="F174" s="571">
        <v>320.34000000357599</v>
      </c>
      <c r="H174" s="181"/>
    </row>
    <row r="175" spans="3:8" outlineLevel="1">
      <c r="C175" s="180"/>
      <c r="D175" s="571" t="s">
        <v>240</v>
      </c>
      <c r="E175" s="572">
        <v>1</v>
      </c>
      <c r="F175" s="571">
        <v>75178166.600000098</v>
      </c>
      <c r="H175" s="181"/>
    </row>
    <row r="176" spans="3:8" outlineLevel="1">
      <c r="C176" s="180"/>
      <c r="D176" s="571" t="s">
        <v>240</v>
      </c>
      <c r="E176" s="572">
        <v>2</v>
      </c>
      <c r="F176" s="571">
        <v>-142795403.63</v>
      </c>
      <c r="H176" s="181"/>
    </row>
    <row r="177" spans="3:8" outlineLevel="1">
      <c r="C177" s="180"/>
      <c r="D177" s="571" t="s">
        <v>240</v>
      </c>
      <c r="E177" s="572">
        <v>3</v>
      </c>
      <c r="F177" s="571">
        <v>416099088.41000003</v>
      </c>
      <c r="H177" s="181"/>
    </row>
    <row r="178" spans="3:8" outlineLevel="1">
      <c r="C178" s="180"/>
      <c r="D178" s="571" t="s">
        <v>240</v>
      </c>
      <c r="E178" s="572">
        <v>4</v>
      </c>
      <c r="F178" s="571">
        <v>172840849.06999999</v>
      </c>
      <c r="H178" s="181"/>
    </row>
    <row r="179" spans="3:8" outlineLevel="1">
      <c r="C179" s="180"/>
      <c r="D179" s="571" t="s">
        <v>240</v>
      </c>
      <c r="E179" s="572">
        <v>5</v>
      </c>
      <c r="F179" s="571">
        <v>-289778980.5</v>
      </c>
      <c r="H179" s="181"/>
    </row>
    <row r="180" spans="3:8" outlineLevel="1">
      <c r="C180" s="180"/>
      <c r="D180" s="571" t="s">
        <v>240</v>
      </c>
      <c r="E180" s="572">
        <v>6</v>
      </c>
      <c r="F180" s="571">
        <v>-110676089.62</v>
      </c>
      <c r="H180" s="181"/>
    </row>
    <row r="181" spans="3:8" outlineLevel="1">
      <c r="C181" s="180"/>
      <c r="D181" s="571" t="s">
        <v>240</v>
      </c>
      <c r="E181" s="572">
        <v>7</v>
      </c>
      <c r="F181" s="571">
        <v>325039113.75</v>
      </c>
      <c r="H181" s="181"/>
    </row>
    <row r="182" spans="3:8" outlineLevel="1">
      <c r="C182" s="180"/>
      <c r="D182" s="571" t="s">
        <v>240</v>
      </c>
      <c r="E182" s="572">
        <v>8</v>
      </c>
      <c r="F182" s="571">
        <v>-144553431.16</v>
      </c>
      <c r="H182" s="181"/>
    </row>
    <row r="183" spans="3:8" outlineLevel="1">
      <c r="C183" s="180"/>
      <c r="D183" s="571" t="s">
        <v>240</v>
      </c>
      <c r="E183" s="572">
        <v>9</v>
      </c>
      <c r="F183" s="571">
        <v>-158392230.66</v>
      </c>
      <c r="H183" s="181"/>
    </row>
    <row r="184" spans="3:8" outlineLevel="1">
      <c r="C184" s="180"/>
      <c r="D184" s="571" t="s">
        <v>240</v>
      </c>
      <c r="E184" s="572">
        <v>10</v>
      </c>
      <c r="F184" s="571">
        <v>130022401.89</v>
      </c>
      <c r="H184" s="181"/>
    </row>
    <row r="185" spans="3:8" outlineLevel="1">
      <c r="C185" s="180"/>
      <c r="D185" s="571" t="s">
        <v>240</v>
      </c>
      <c r="E185" s="572">
        <v>11</v>
      </c>
      <c r="F185" s="571">
        <v>-149974712.53999999</v>
      </c>
      <c r="H185" s="181"/>
    </row>
    <row r="186" spans="3:8" outlineLevel="1">
      <c r="C186" s="180"/>
      <c r="D186" s="571" t="s">
        <v>240</v>
      </c>
      <c r="E186" s="572">
        <v>12</v>
      </c>
      <c r="F186" s="571">
        <v>82009414.209999993</v>
      </c>
      <c r="H186" s="181"/>
    </row>
    <row r="187" spans="3:8" outlineLevel="1">
      <c r="C187" s="180"/>
      <c r="D187" s="571" t="s">
        <v>260</v>
      </c>
      <c r="E187" s="572">
        <v>1</v>
      </c>
      <c r="F187" s="571">
        <v>-1</v>
      </c>
      <c r="H187" s="181"/>
    </row>
    <row r="188" spans="3:8" outlineLevel="1">
      <c r="C188" s="180"/>
      <c r="D188" s="571" t="s">
        <v>260</v>
      </c>
      <c r="E188" s="572">
        <v>3</v>
      </c>
      <c r="F188" s="571">
        <v>4812.7999999998101</v>
      </c>
      <c r="H188" s="181"/>
    </row>
    <row r="189" spans="3:8" outlineLevel="1">
      <c r="C189" s="180"/>
      <c r="D189" s="571" t="s">
        <v>260</v>
      </c>
      <c r="E189" s="572">
        <v>6</v>
      </c>
      <c r="F189" s="571">
        <v>2654.28</v>
      </c>
      <c r="H189" s="181"/>
    </row>
    <row r="190" spans="3:8" outlineLevel="1">
      <c r="C190" s="180"/>
      <c r="D190" s="571" t="s">
        <v>260</v>
      </c>
      <c r="E190" s="572">
        <v>7</v>
      </c>
      <c r="F190" s="571">
        <v>-20</v>
      </c>
      <c r="H190" s="181"/>
    </row>
    <row r="191" spans="3:8" outlineLevel="1">
      <c r="C191" s="180"/>
      <c r="D191" s="571" t="s">
        <v>260</v>
      </c>
      <c r="E191" s="572">
        <v>9</v>
      </c>
      <c r="F191" s="571">
        <v>2237.7200000003199</v>
      </c>
      <c r="H191" s="181"/>
    </row>
    <row r="192" spans="3:8" outlineLevel="1">
      <c r="C192" s="180"/>
      <c r="D192" s="571" t="s">
        <v>260</v>
      </c>
      <c r="E192" s="572">
        <v>10</v>
      </c>
      <c r="F192" s="571">
        <v>-5</v>
      </c>
      <c r="H192" s="181"/>
    </row>
    <row r="193" spans="3:8" outlineLevel="1">
      <c r="C193" s="180"/>
      <c r="D193" s="571" t="s">
        <v>260</v>
      </c>
      <c r="E193" s="572">
        <v>11</v>
      </c>
      <c r="F193" s="571">
        <v>2000</v>
      </c>
      <c r="H193" s="181"/>
    </row>
    <row r="194" spans="3:8" outlineLevel="1">
      <c r="C194" s="180"/>
      <c r="D194" s="571" t="s">
        <v>260</v>
      </c>
      <c r="E194" s="572">
        <v>12</v>
      </c>
      <c r="F194" s="571">
        <v>-4863685.59</v>
      </c>
      <c r="H194" s="181"/>
    </row>
    <row r="195" spans="3:8" outlineLevel="1">
      <c r="C195" s="180"/>
      <c r="D195" s="571" t="s">
        <v>242</v>
      </c>
      <c r="E195" s="572">
        <v>1</v>
      </c>
      <c r="F195" s="571">
        <v>-40140577.210000001</v>
      </c>
      <c r="H195" s="181"/>
    </row>
    <row r="196" spans="3:8" outlineLevel="1">
      <c r="C196" s="180"/>
      <c r="D196" s="571" t="s">
        <v>242</v>
      </c>
      <c r="E196" s="572">
        <v>2</v>
      </c>
      <c r="F196" s="571">
        <v>7610473.3499999996</v>
      </c>
      <c r="H196" s="181"/>
    </row>
    <row r="197" spans="3:8" outlineLevel="1">
      <c r="C197" s="180"/>
      <c r="D197" s="571" t="s">
        <v>242</v>
      </c>
      <c r="E197" s="572">
        <v>3</v>
      </c>
      <c r="F197" s="571">
        <v>231952562.47999999</v>
      </c>
      <c r="H197" s="181"/>
    </row>
    <row r="198" spans="3:8" outlineLevel="1">
      <c r="C198" s="180"/>
      <c r="D198" s="571" t="s">
        <v>242</v>
      </c>
      <c r="E198" s="572">
        <v>4</v>
      </c>
      <c r="F198" s="571">
        <v>-165311914.91</v>
      </c>
      <c r="H198" s="181"/>
    </row>
    <row r="199" spans="3:8" outlineLevel="1">
      <c r="C199" s="180"/>
      <c r="D199" s="571" t="s">
        <v>242</v>
      </c>
      <c r="E199" s="572">
        <v>5</v>
      </c>
      <c r="F199" s="571">
        <v>2397697.73</v>
      </c>
      <c r="H199" s="181"/>
    </row>
    <row r="200" spans="3:8" outlineLevel="1">
      <c r="C200" s="180"/>
      <c r="D200" s="571" t="s">
        <v>242</v>
      </c>
      <c r="E200" s="572">
        <v>6</v>
      </c>
      <c r="F200" s="571">
        <v>-51579689.770000003</v>
      </c>
      <c r="H200" s="181"/>
    </row>
    <row r="201" spans="3:8" outlineLevel="1">
      <c r="C201" s="180"/>
      <c r="D201" s="571" t="s">
        <v>242</v>
      </c>
      <c r="E201" s="572">
        <v>7</v>
      </c>
      <c r="F201" s="571">
        <v>16710714.82</v>
      </c>
      <c r="H201" s="181"/>
    </row>
    <row r="202" spans="3:8" outlineLevel="1">
      <c r="C202" s="180"/>
      <c r="D202" s="571" t="s">
        <v>242</v>
      </c>
      <c r="E202" s="572">
        <v>8</v>
      </c>
      <c r="F202" s="571">
        <v>387884208.81</v>
      </c>
      <c r="H202" s="181"/>
    </row>
    <row r="203" spans="3:8" outlineLevel="1">
      <c r="C203" s="180"/>
      <c r="D203" s="571" t="s">
        <v>242</v>
      </c>
      <c r="E203" s="572">
        <v>9</v>
      </c>
      <c r="F203" s="571">
        <v>-153723713.37</v>
      </c>
      <c r="H203" s="181"/>
    </row>
    <row r="204" spans="3:8" outlineLevel="1">
      <c r="C204" s="180"/>
      <c r="D204" s="571" t="s">
        <v>242</v>
      </c>
      <c r="E204" s="572">
        <v>10</v>
      </c>
      <c r="F204" s="571">
        <v>-181907108.30000001</v>
      </c>
      <c r="H204" s="181"/>
    </row>
    <row r="205" spans="3:8" outlineLevel="1">
      <c r="C205" s="180"/>
      <c r="D205" s="571" t="s">
        <v>242</v>
      </c>
      <c r="E205" s="572">
        <v>11</v>
      </c>
      <c r="F205" s="571">
        <v>-23552810.780000001</v>
      </c>
      <c r="H205" s="181"/>
    </row>
    <row r="206" spans="3:8" outlineLevel="1">
      <c r="C206" s="180"/>
      <c r="D206" s="571" t="s">
        <v>242</v>
      </c>
      <c r="E206" s="572">
        <v>12</v>
      </c>
      <c r="F206" s="571">
        <v>55489163.270000003</v>
      </c>
      <c r="H206" s="181"/>
    </row>
    <row r="207" spans="3:8" outlineLevel="1">
      <c r="C207" s="180"/>
      <c r="D207" s="571" t="s">
        <v>254</v>
      </c>
      <c r="E207" s="572">
        <v>1</v>
      </c>
      <c r="F207" s="571">
        <v>-200</v>
      </c>
      <c r="H207" s="181"/>
    </row>
    <row r="208" spans="3:8" outlineLevel="1">
      <c r="C208" s="180"/>
      <c r="D208" s="571" t="s">
        <v>254</v>
      </c>
      <c r="E208" s="572">
        <v>3</v>
      </c>
      <c r="F208" s="571">
        <v>61801.15</v>
      </c>
      <c r="H208" s="181"/>
    </row>
    <row r="209" spans="3:8" outlineLevel="1">
      <c r="C209" s="180"/>
      <c r="D209" s="571" t="s">
        <v>254</v>
      </c>
      <c r="E209" s="572">
        <v>5</v>
      </c>
      <c r="F209" s="571">
        <v>-3000320</v>
      </c>
      <c r="H209" s="181"/>
    </row>
    <row r="210" spans="3:8" outlineLevel="1">
      <c r="C210" s="180"/>
      <c r="D210" s="571" t="s">
        <v>254</v>
      </c>
      <c r="E210" s="572">
        <v>6</v>
      </c>
      <c r="F210" s="571">
        <v>-9977886.5800000001</v>
      </c>
      <c r="H210" s="181"/>
    </row>
    <row r="211" spans="3:8" outlineLevel="1">
      <c r="C211" s="180"/>
      <c r="D211" s="571" t="s">
        <v>254</v>
      </c>
      <c r="E211" s="572">
        <v>7</v>
      </c>
      <c r="F211" s="571">
        <v>-50</v>
      </c>
      <c r="H211" s="181"/>
    </row>
    <row r="212" spans="3:8" outlineLevel="1">
      <c r="C212" s="180"/>
      <c r="D212" s="571" t="s">
        <v>254</v>
      </c>
      <c r="E212" s="572">
        <v>8</v>
      </c>
      <c r="F212" s="571">
        <v>-1000000</v>
      </c>
      <c r="H212" s="181"/>
    </row>
    <row r="213" spans="3:8" outlineLevel="1">
      <c r="C213" s="180"/>
      <c r="D213" s="571" t="s">
        <v>254</v>
      </c>
      <c r="E213" s="572">
        <v>9</v>
      </c>
      <c r="F213" s="571">
        <v>1624.14</v>
      </c>
      <c r="H213" s="181"/>
    </row>
    <row r="214" spans="3:8" outlineLevel="1">
      <c r="C214" s="180"/>
      <c r="D214" s="571" t="s">
        <v>254</v>
      </c>
      <c r="E214" s="572">
        <v>10</v>
      </c>
      <c r="F214" s="571">
        <v>0</v>
      </c>
      <c r="H214" s="181"/>
    </row>
    <row r="215" spans="3:8" outlineLevel="1">
      <c r="C215" s="180"/>
      <c r="D215" s="571" t="s">
        <v>254</v>
      </c>
      <c r="E215" s="572">
        <v>12</v>
      </c>
      <c r="F215" s="571">
        <v>102.1</v>
      </c>
      <c r="H215" s="181"/>
    </row>
    <row r="216" spans="3:8" outlineLevel="1">
      <c r="C216" s="180"/>
      <c r="D216" s="571" t="s">
        <v>248</v>
      </c>
      <c r="E216" s="572">
        <v>1</v>
      </c>
      <c r="F216" s="571">
        <v>-300</v>
      </c>
      <c r="H216" s="181"/>
    </row>
    <row r="217" spans="3:8" outlineLevel="1">
      <c r="C217" s="180"/>
      <c r="D217" s="571" t="s">
        <v>248</v>
      </c>
      <c r="E217" s="572">
        <v>3</v>
      </c>
      <c r="F217" s="571">
        <v>52088.180000000197</v>
      </c>
      <c r="H217" s="181"/>
    </row>
    <row r="218" spans="3:8" outlineLevel="1">
      <c r="C218" s="180"/>
      <c r="D218" s="571" t="s">
        <v>248</v>
      </c>
      <c r="E218" s="572">
        <v>4</v>
      </c>
      <c r="F218" s="571">
        <v>-300</v>
      </c>
      <c r="H218" s="181"/>
    </row>
    <row r="219" spans="3:8" outlineLevel="1">
      <c r="C219" s="180"/>
      <c r="D219" s="571" t="s">
        <v>248</v>
      </c>
      <c r="E219" s="572">
        <v>6</v>
      </c>
      <c r="F219" s="571">
        <v>8569.4899999992595</v>
      </c>
      <c r="H219" s="181"/>
    </row>
    <row r="220" spans="3:8" outlineLevel="1">
      <c r="C220" s="180"/>
      <c r="D220" s="571" t="s">
        <v>248</v>
      </c>
      <c r="E220" s="572">
        <v>7</v>
      </c>
      <c r="F220" s="571">
        <v>-26</v>
      </c>
      <c r="H220" s="181"/>
    </row>
    <row r="221" spans="3:8" outlineLevel="1">
      <c r="C221" s="180"/>
      <c r="D221" s="571" t="s">
        <v>248</v>
      </c>
      <c r="E221" s="572">
        <v>9</v>
      </c>
      <c r="F221" s="571">
        <v>2891.2000000000698</v>
      </c>
      <c r="H221" s="181"/>
    </row>
    <row r="222" spans="3:8" outlineLevel="1">
      <c r="C222" s="180"/>
      <c r="D222" s="571" t="s">
        <v>248</v>
      </c>
      <c r="E222" s="572">
        <v>10</v>
      </c>
      <c r="F222" s="571">
        <v>-100</v>
      </c>
      <c r="H222" s="181"/>
    </row>
    <row r="223" spans="3:8" outlineLevel="1">
      <c r="C223" s="180"/>
      <c r="D223" s="571" t="s">
        <v>248</v>
      </c>
      <c r="E223" s="572">
        <v>11</v>
      </c>
      <c r="F223" s="571">
        <v>-100</v>
      </c>
      <c r="H223" s="181"/>
    </row>
    <row r="224" spans="3:8" outlineLevel="1">
      <c r="C224" s="180"/>
      <c r="D224" s="571" t="s">
        <v>248</v>
      </c>
      <c r="E224" s="572">
        <v>12</v>
      </c>
      <c r="F224" s="571">
        <v>102761.69</v>
      </c>
      <c r="H224" s="181"/>
    </row>
    <row r="225" spans="3:8" outlineLevel="1">
      <c r="C225" s="180"/>
      <c r="D225" s="571" t="s">
        <v>256</v>
      </c>
      <c r="E225" s="572">
        <v>1</v>
      </c>
      <c r="F225" s="571">
        <v>-37000600</v>
      </c>
      <c r="H225" s="181"/>
    </row>
    <row r="226" spans="3:8" outlineLevel="1">
      <c r="C226" s="180"/>
      <c r="D226" s="571" t="s">
        <v>256</v>
      </c>
      <c r="E226" s="572">
        <v>2</v>
      </c>
      <c r="F226" s="571">
        <v>0</v>
      </c>
      <c r="H226" s="181"/>
    </row>
    <row r="227" spans="3:8" outlineLevel="1">
      <c r="C227" s="180"/>
      <c r="D227" s="571" t="s">
        <v>256</v>
      </c>
      <c r="E227" s="572">
        <v>3</v>
      </c>
      <c r="F227" s="571">
        <v>-13764463.300000001</v>
      </c>
      <c r="H227" s="181"/>
    </row>
    <row r="228" spans="3:8" outlineLevel="1">
      <c r="C228" s="180"/>
      <c r="D228" s="571" t="s">
        <v>256</v>
      </c>
      <c r="E228" s="572">
        <v>6</v>
      </c>
      <c r="F228" s="571">
        <v>2314952.4</v>
      </c>
      <c r="H228" s="181"/>
    </row>
    <row r="229" spans="3:8" outlineLevel="1">
      <c r="C229" s="180"/>
      <c r="D229" s="571" t="s">
        <v>256</v>
      </c>
      <c r="E229" s="572">
        <v>8</v>
      </c>
      <c r="F229" s="571">
        <v>-104</v>
      </c>
      <c r="H229" s="181"/>
    </row>
    <row r="230" spans="3:8" outlineLevel="1">
      <c r="C230" s="180"/>
      <c r="D230" s="571" t="s">
        <v>256</v>
      </c>
      <c r="E230" s="572">
        <v>9</v>
      </c>
      <c r="F230" s="571">
        <v>13824.379999999899</v>
      </c>
      <c r="H230" s="181"/>
    </row>
    <row r="231" spans="3:8" outlineLevel="1">
      <c r="C231" s="180"/>
      <c r="D231" s="571" t="s">
        <v>256</v>
      </c>
      <c r="E231" s="572">
        <v>12</v>
      </c>
      <c r="F231" s="571">
        <v>-4690377.88</v>
      </c>
      <c r="H231" s="181"/>
    </row>
    <row r="232" spans="3:8" outlineLevel="1">
      <c r="C232" s="180"/>
      <c r="D232" s="571" t="s">
        <v>251</v>
      </c>
      <c r="E232" s="572">
        <v>1</v>
      </c>
      <c r="F232" s="571">
        <v>-9941459.3899999205</v>
      </c>
      <c r="H232" s="181"/>
    </row>
    <row r="233" spans="3:8" outlineLevel="1">
      <c r="C233" s="180"/>
      <c r="D233" s="571" t="s">
        <v>251</v>
      </c>
      <c r="E233" s="572">
        <v>2</v>
      </c>
      <c r="F233" s="571">
        <v>72301430.299999997</v>
      </c>
      <c r="H233" s="181"/>
    </row>
    <row r="234" spans="3:8" outlineLevel="1">
      <c r="C234" s="180"/>
      <c r="D234" s="571" t="s">
        <v>251</v>
      </c>
      <c r="E234" s="572">
        <v>3</v>
      </c>
      <c r="F234" s="571">
        <v>-52190871.060000002</v>
      </c>
      <c r="H234" s="181"/>
    </row>
    <row r="235" spans="3:8" outlineLevel="1">
      <c r="C235" s="180"/>
      <c r="D235" s="571" t="s">
        <v>251</v>
      </c>
      <c r="E235" s="572">
        <v>4</v>
      </c>
      <c r="F235" s="571">
        <v>78555635.680000007</v>
      </c>
      <c r="H235" s="181"/>
    </row>
    <row r="236" spans="3:8" outlineLevel="1">
      <c r="C236" s="180"/>
      <c r="D236" s="571" t="s">
        <v>251</v>
      </c>
      <c r="E236" s="572">
        <v>5</v>
      </c>
      <c r="F236" s="571">
        <v>-81013790.819999993</v>
      </c>
      <c r="H236" s="181"/>
    </row>
    <row r="237" spans="3:8" outlineLevel="1">
      <c r="C237" s="180"/>
      <c r="D237" s="571" t="s">
        <v>251</v>
      </c>
      <c r="E237" s="572">
        <v>6</v>
      </c>
      <c r="F237" s="571">
        <v>9954607.2799999993</v>
      </c>
      <c r="H237" s="181"/>
    </row>
    <row r="238" spans="3:8" outlineLevel="1">
      <c r="C238" s="180"/>
      <c r="D238" s="571" t="s">
        <v>251</v>
      </c>
      <c r="E238" s="572">
        <v>7</v>
      </c>
      <c r="F238" s="571">
        <v>-13599887.710000001</v>
      </c>
      <c r="H238" s="181"/>
    </row>
    <row r="239" spans="3:8" outlineLevel="1">
      <c r="C239" s="180"/>
      <c r="D239" s="571" t="s">
        <v>251</v>
      </c>
      <c r="E239" s="572">
        <v>8</v>
      </c>
      <c r="F239" s="571">
        <v>-1860686.67</v>
      </c>
      <c r="H239" s="181"/>
    </row>
    <row r="240" spans="3:8" outlineLevel="1">
      <c r="C240" s="180"/>
      <c r="D240" s="571" t="s">
        <v>251</v>
      </c>
      <c r="E240" s="572">
        <v>9</v>
      </c>
      <c r="F240" s="571">
        <v>104658762.51000001</v>
      </c>
      <c r="H240" s="181"/>
    </row>
    <row r="241" spans="3:8" outlineLevel="1">
      <c r="C241" s="180"/>
      <c r="D241" s="571" t="s">
        <v>251</v>
      </c>
      <c r="E241" s="572">
        <v>10</v>
      </c>
      <c r="F241" s="571">
        <v>-112280758.79000001</v>
      </c>
      <c r="H241" s="181"/>
    </row>
    <row r="242" spans="3:8" outlineLevel="1">
      <c r="C242" s="180"/>
      <c r="D242" s="571" t="s">
        <v>251</v>
      </c>
      <c r="E242" s="572">
        <v>11</v>
      </c>
      <c r="F242" s="571">
        <v>-23629310.210000001</v>
      </c>
      <c r="H242" s="181"/>
    </row>
    <row r="243" spans="3:8" outlineLevel="1">
      <c r="C243" s="180"/>
      <c r="D243" s="571" t="s">
        <v>251</v>
      </c>
      <c r="E243" s="572">
        <v>12</v>
      </c>
      <c r="F243" s="571">
        <v>5903292.4800000004</v>
      </c>
      <c r="H243" s="181"/>
    </row>
    <row r="244" spans="3:8" outlineLevel="1">
      <c r="C244" s="180"/>
      <c r="D244" s="571" t="s">
        <v>288</v>
      </c>
      <c r="E244" s="572">
        <v>1</v>
      </c>
      <c r="F244" s="571">
        <v>-50</v>
      </c>
      <c r="H244" s="181"/>
    </row>
    <row r="245" spans="3:8" outlineLevel="1">
      <c r="C245" s="180"/>
      <c r="D245" s="571" t="s">
        <v>288</v>
      </c>
      <c r="E245" s="572">
        <v>3</v>
      </c>
      <c r="F245" s="571">
        <v>5.46</v>
      </c>
      <c r="H245" s="181"/>
    </row>
    <row r="246" spans="3:8" outlineLevel="1">
      <c r="C246" s="180"/>
      <c r="D246" s="571" t="s">
        <v>288</v>
      </c>
      <c r="E246" s="572">
        <v>6</v>
      </c>
      <c r="F246" s="571">
        <v>5.51</v>
      </c>
      <c r="H246" s="181"/>
    </row>
    <row r="247" spans="3:8" outlineLevel="1">
      <c r="C247" s="180"/>
      <c r="D247" s="571" t="s">
        <v>288</v>
      </c>
      <c r="E247" s="572">
        <v>9</v>
      </c>
      <c r="F247" s="571">
        <v>4.71</v>
      </c>
      <c r="H247" s="181"/>
    </row>
    <row r="248" spans="3:8" outlineLevel="1">
      <c r="C248" s="180"/>
      <c r="D248" s="571" t="s">
        <v>288</v>
      </c>
      <c r="E248" s="572">
        <v>11</v>
      </c>
      <c r="F248" s="571">
        <v>-20</v>
      </c>
      <c r="H248" s="181"/>
    </row>
    <row r="249" spans="3:8" outlineLevel="1">
      <c r="C249" s="180"/>
      <c r="D249" s="571" t="s">
        <v>288</v>
      </c>
      <c r="E249" s="572">
        <v>12</v>
      </c>
      <c r="F249" s="571">
        <v>-146.78</v>
      </c>
      <c r="H249" s="181"/>
    </row>
    <row r="250" spans="3:8" outlineLevel="1">
      <c r="C250" s="180"/>
      <c r="D250" s="571" t="s">
        <v>252</v>
      </c>
      <c r="E250" s="572">
        <v>1</v>
      </c>
      <c r="F250" s="571">
        <v>2064942.95</v>
      </c>
      <c r="H250" s="181"/>
    </row>
    <row r="251" spans="3:8" outlineLevel="1">
      <c r="C251" s="180"/>
      <c r="D251" s="571" t="s">
        <v>252</v>
      </c>
      <c r="E251" s="572">
        <v>2</v>
      </c>
      <c r="F251" s="571">
        <v>-1042640.6</v>
      </c>
      <c r="H251" s="181"/>
    </row>
    <row r="252" spans="3:8" outlineLevel="1">
      <c r="C252" s="180"/>
      <c r="D252" s="571" t="s">
        <v>252</v>
      </c>
      <c r="E252" s="572">
        <v>3</v>
      </c>
      <c r="F252" s="571">
        <v>-1074219</v>
      </c>
      <c r="H252" s="181"/>
    </row>
    <row r="253" spans="3:8" outlineLevel="1">
      <c r="C253" s="180"/>
      <c r="D253" s="571" t="s">
        <v>252</v>
      </c>
      <c r="E253" s="572">
        <v>4</v>
      </c>
      <c r="F253" s="571">
        <v>-1552914.44</v>
      </c>
      <c r="H253" s="181"/>
    </row>
    <row r="254" spans="3:8" outlineLevel="1">
      <c r="C254" s="180"/>
      <c r="D254" s="571" t="s">
        <v>252</v>
      </c>
      <c r="E254" s="572">
        <v>5</v>
      </c>
      <c r="F254" s="571">
        <v>1050075</v>
      </c>
      <c r="H254" s="181"/>
    </row>
    <row r="255" spans="3:8" outlineLevel="1">
      <c r="C255" s="180"/>
      <c r="D255" s="571" t="s">
        <v>252</v>
      </c>
      <c r="E255" s="572">
        <v>6</v>
      </c>
      <c r="F255" s="571">
        <v>5329290.45</v>
      </c>
      <c r="H255" s="181"/>
    </row>
    <row r="256" spans="3:8" outlineLevel="1">
      <c r="C256" s="180"/>
      <c r="D256" s="571" t="s">
        <v>252</v>
      </c>
      <c r="E256" s="572">
        <v>7</v>
      </c>
      <c r="F256" s="571">
        <v>-4095169.97</v>
      </c>
      <c r="H256" s="181"/>
    </row>
    <row r="257" spans="3:8" outlineLevel="1">
      <c r="C257" s="180"/>
      <c r="D257" s="571" t="s">
        <v>252</v>
      </c>
      <c r="E257" s="572">
        <v>8</v>
      </c>
      <c r="F257" s="571">
        <v>-1655693</v>
      </c>
      <c r="H257" s="181"/>
    </row>
    <row r="258" spans="3:8" outlineLevel="1">
      <c r="C258" s="180"/>
      <c r="D258" s="571" t="s">
        <v>252</v>
      </c>
      <c r="E258" s="572">
        <v>9</v>
      </c>
      <c r="F258" s="571">
        <v>-1095311.33</v>
      </c>
      <c r="H258" s="181"/>
    </row>
    <row r="259" spans="3:8" outlineLevel="1">
      <c r="C259" s="180"/>
      <c r="D259" s="571" t="s">
        <v>252</v>
      </c>
      <c r="E259" s="572">
        <v>10</v>
      </c>
      <c r="F259" s="571">
        <v>521856.14</v>
      </c>
      <c r="H259" s="181"/>
    </row>
    <row r="260" spans="3:8" outlineLevel="1">
      <c r="C260" s="180"/>
      <c r="D260" s="571" t="s">
        <v>252</v>
      </c>
      <c r="E260" s="572">
        <v>11</v>
      </c>
      <c r="F260" s="571">
        <v>3704313.46</v>
      </c>
      <c r="H260" s="181"/>
    </row>
    <row r="261" spans="3:8" outlineLevel="1">
      <c r="C261" s="180"/>
      <c r="D261" s="571" t="s">
        <v>252</v>
      </c>
      <c r="E261" s="572">
        <v>12</v>
      </c>
      <c r="F261" s="571">
        <v>-4656733.8</v>
      </c>
      <c r="H261" s="181"/>
    </row>
    <row r="262" spans="3:8" outlineLevel="1">
      <c r="C262" s="180"/>
      <c r="D262" s="571" t="s">
        <v>247</v>
      </c>
      <c r="E262" s="572">
        <v>1</v>
      </c>
      <c r="F262" s="571">
        <v>-400</v>
      </c>
      <c r="H262" s="181"/>
    </row>
    <row r="263" spans="3:8" outlineLevel="1">
      <c r="C263" s="180"/>
      <c r="D263" s="571" t="s">
        <v>247</v>
      </c>
      <c r="E263" s="572">
        <v>3</v>
      </c>
      <c r="F263" s="571">
        <v>315.86999999756898</v>
      </c>
      <c r="H263" s="181"/>
    </row>
    <row r="264" spans="3:8" outlineLevel="1">
      <c r="C264" s="180"/>
      <c r="D264" s="571" t="s">
        <v>247</v>
      </c>
      <c r="E264" s="572">
        <v>4</v>
      </c>
      <c r="F264" s="571">
        <v>67360063.780000001</v>
      </c>
      <c r="H264" s="181"/>
    </row>
    <row r="265" spans="3:8" outlineLevel="1">
      <c r="C265" s="180"/>
      <c r="D265" s="571" t="s">
        <v>247</v>
      </c>
      <c r="E265" s="572">
        <v>5</v>
      </c>
      <c r="F265" s="571">
        <v>-68240077.780000001</v>
      </c>
      <c r="H265" s="181"/>
    </row>
    <row r="266" spans="3:8" outlineLevel="1">
      <c r="C266" s="180"/>
      <c r="D266" s="571" t="s">
        <v>247</v>
      </c>
      <c r="E266" s="572">
        <v>6</v>
      </c>
      <c r="F266" s="571">
        <v>501.70999999996297</v>
      </c>
      <c r="H266" s="181"/>
    </row>
    <row r="267" spans="3:8" outlineLevel="1">
      <c r="C267" s="180"/>
      <c r="D267" s="571" t="s">
        <v>247</v>
      </c>
      <c r="E267" s="572">
        <v>7</v>
      </c>
      <c r="F267" s="571">
        <v>-140</v>
      </c>
      <c r="H267" s="181"/>
    </row>
    <row r="268" spans="3:8" outlineLevel="1">
      <c r="C268" s="180"/>
      <c r="D268" s="571" t="s">
        <v>247</v>
      </c>
      <c r="E268" s="572">
        <v>8</v>
      </c>
      <c r="F268" s="571">
        <v>100</v>
      </c>
      <c r="H268" s="181"/>
    </row>
    <row r="269" spans="3:8" outlineLevel="1">
      <c r="C269" s="180"/>
      <c r="D269" s="571" t="s">
        <v>247</v>
      </c>
      <c r="E269" s="572">
        <v>9</v>
      </c>
      <c r="F269" s="571">
        <v>323.65000000119198</v>
      </c>
      <c r="H269" s="181"/>
    </row>
    <row r="270" spans="3:8" outlineLevel="1">
      <c r="C270" s="180"/>
      <c r="D270" s="571" t="s">
        <v>247</v>
      </c>
      <c r="E270" s="572">
        <v>10</v>
      </c>
      <c r="F270" s="571">
        <v>0</v>
      </c>
      <c r="H270" s="181"/>
    </row>
    <row r="271" spans="3:8" outlineLevel="1">
      <c r="C271" s="180"/>
      <c r="D271" s="571" t="s">
        <v>247</v>
      </c>
      <c r="E271" s="572">
        <v>11</v>
      </c>
      <c r="F271" s="571">
        <v>50000000</v>
      </c>
      <c r="H271" s="181"/>
    </row>
    <row r="272" spans="3:8" outlineLevel="1">
      <c r="C272" s="180"/>
      <c r="D272" s="571" t="s">
        <v>247</v>
      </c>
      <c r="E272" s="572">
        <v>12</v>
      </c>
      <c r="F272" s="571">
        <v>-49999521.189999998</v>
      </c>
      <c r="H272" s="181"/>
    </row>
    <row r="273" spans="3:8">
      <c r="C273" s="180"/>
      <c r="H273" s="181"/>
    </row>
    <row r="274" spans="3:8">
      <c r="C274" s="180"/>
      <c r="H274" s="181"/>
    </row>
    <row r="275" spans="3:8">
      <c r="C275" s="180"/>
      <c r="H275" s="181"/>
    </row>
    <row r="276" spans="3:8">
      <c r="C276" s="184"/>
      <c r="D276" s="185"/>
      <c r="E276" s="185"/>
      <c r="F276" s="185"/>
      <c r="G276" s="185"/>
      <c r="H276" s="186"/>
    </row>
  </sheetData>
  <sheetProtection autoFilter="0"/>
  <mergeCells count="13">
    <mergeCell ref="D9:F9"/>
    <mergeCell ref="D10:F10"/>
    <mergeCell ref="D11:F11"/>
    <mergeCell ref="D12:F12"/>
    <mergeCell ref="D13:F13"/>
    <mergeCell ref="P24:AN24"/>
    <mergeCell ref="D19:F19"/>
    <mergeCell ref="C24:F24"/>
    <mergeCell ref="D14:F14"/>
    <mergeCell ref="D15:F15"/>
    <mergeCell ref="D16:F16"/>
    <mergeCell ref="D17:F17"/>
    <mergeCell ref="D18:F18"/>
  </mergeCells>
  <phoneticPr fontId="130" type="noConversion"/>
  <conditionalFormatting sqref="G10 H10:I13 G12:G13 G15:I19 C26:I51 M26:N51 H54 C61:M63 O61:O63 H66 P67:P69">
    <cfRule type="containsBlanks" dxfId="2" priority="1">
      <formula>LEN(TRIM(C10))=0</formula>
    </cfRule>
  </conditionalFormatting>
  <dataValidations count="2">
    <dataValidation type="list" allowBlank="1" showInputMessage="1" sqref="H10:H13 H15:H19" xr:uid="{00000000-0002-0000-0300-000000000000}">
      <formula1>"是,否"</formula1>
    </dataValidation>
    <dataValidation type="list" allowBlank="1" showInputMessage="1" sqref="I10:I13 I15:I19" xr:uid="{00000000-0002-0000-0300-000001000000}">
      <formula1>"是,不适用"</formula1>
    </dataValidation>
  </dataValidations>
  <hyperlinks>
    <hyperlink ref="J2" location="汇总!A1" display="返回汇总页" xr:uid="{00000000-0004-0000-0300-000000000000}"/>
  </hyperlinks>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L40"/>
  <sheetViews>
    <sheetView showGridLines="0" topLeftCell="A12" zoomScale="70" zoomScaleNormal="70" workbookViewId="0">
      <selection activeCell="C20" sqref="C20:F23"/>
    </sheetView>
  </sheetViews>
  <sheetFormatPr defaultColWidth="10.3984375" defaultRowHeight="12.65" customHeight="1" outlineLevelRow="1"/>
  <cols>
    <col min="1" max="1" width="9.765625E-2" style="3" customWidth="1"/>
    <col min="2" max="2" width="9" style="4" customWidth="1"/>
    <col min="3" max="3" width="19.296875" style="4" customWidth="1"/>
    <col min="4" max="4" width="42" style="4" customWidth="1"/>
    <col min="5" max="7" width="19.296875" style="4" customWidth="1"/>
    <col min="8" max="8" width="27" style="4" customWidth="1"/>
    <col min="9" max="9" width="21.3984375" style="4" customWidth="1"/>
    <col min="10" max="10" width="37.3984375" style="4" customWidth="1"/>
    <col min="11" max="11" width="28.296875" style="4" customWidth="1"/>
    <col min="12" max="16384" width="10.3984375" style="4"/>
  </cols>
  <sheetData>
    <row r="1" spans="1:11" ht="13.4" customHeight="1">
      <c r="A1" s="5" t="s">
        <v>289</v>
      </c>
    </row>
    <row r="2" spans="1:11" s="2" customFormat="1" ht="16.399999999999999" customHeight="1">
      <c r="A2" s="6"/>
      <c r="C2" s="7"/>
      <c r="J2" s="50" t="s">
        <v>85</v>
      </c>
    </row>
    <row r="3" spans="1:11" ht="12.65" customHeight="1">
      <c r="A3" s="8"/>
    </row>
    <row r="4" spans="1:11" ht="12.65" customHeight="1">
      <c r="A4" s="8"/>
    </row>
    <row r="5" spans="1:11" ht="21" customHeight="1">
      <c r="A5" s="8"/>
      <c r="C5" s="9" t="s">
        <v>86</v>
      </c>
      <c r="D5" s="10"/>
      <c r="E5" s="10"/>
      <c r="F5" s="10"/>
      <c r="G5" s="10"/>
      <c r="H5" s="10"/>
      <c r="I5" s="10"/>
      <c r="J5" s="51"/>
      <c r="K5" s="52"/>
    </row>
    <row r="6" spans="1:11" ht="16.5" customHeight="1">
      <c r="A6" s="8"/>
      <c r="C6" s="11" t="s">
        <v>290</v>
      </c>
      <c r="D6" s="12"/>
      <c r="E6" s="12"/>
      <c r="F6" s="12"/>
      <c r="G6" s="12"/>
      <c r="H6" s="12"/>
      <c r="I6" s="12"/>
      <c r="J6" s="53"/>
      <c r="K6" s="52"/>
    </row>
    <row r="7" spans="1:11" ht="12.65" customHeight="1">
      <c r="A7" s="13"/>
      <c r="C7" s="11"/>
      <c r="D7" s="12"/>
      <c r="E7" s="12"/>
      <c r="F7" s="12"/>
      <c r="G7" s="12"/>
      <c r="H7" s="12"/>
      <c r="I7" s="12"/>
      <c r="J7" s="54"/>
    </row>
    <row r="8" spans="1:11" ht="20">
      <c r="A8" s="13"/>
      <c r="C8" s="14" t="s">
        <v>32</v>
      </c>
      <c r="D8" s="615" t="s">
        <v>88</v>
      </c>
      <c r="E8" s="615"/>
      <c r="F8" s="615"/>
      <c r="G8" s="15" t="s">
        <v>89</v>
      </c>
      <c r="H8" s="16" t="s">
        <v>90</v>
      </c>
      <c r="I8" s="16" t="s">
        <v>91</v>
      </c>
      <c r="J8" s="55" t="s">
        <v>92</v>
      </c>
    </row>
    <row r="9" spans="1:11" ht="42" customHeight="1" outlineLevel="1">
      <c r="A9" s="13"/>
      <c r="C9" s="17">
        <v>1</v>
      </c>
      <c r="D9" s="613" t="s">
        <v>291</v>
      </c>
      <c r="E9" s="613"/>
      <c r="F9" s="613"/>
      <c r="G9" s="18" t="s">
        <v>94</v>
      </c>
      <c r="H9" s="19" t="s">
        <v>137</v>
      </c>
      <c r="I9" s="56" t="s">
        <v>95</v>
      </c>
      <c r="J9" s="636" t="s">
        <v>292</v>
      </c>
    </row>
    <row r="10" spans="1:11" ht="93" customHeight="1" outlineLevel="1">
      <c r="A10" s="20"/>
      <c r="C10" s="17">
        <v>2</v>
      </c>
      <c r="D10" s="613" t="s">
        <v>293</v>
      </c>
      <c r="E10" s="613"/>
      <c r="F10" s="613"/>
      <c r="G10" s="21" t="s">
        <v>294</v>
      </c>
      <c r="H10" s="19" t="s">
        <v>137</v>
      </c>
      <c r="I10" s="56" t="s">
        <v>95</v>
      </c>
      <c r="J10" s="637"/>
    </row>
    <row r="11" spans="1:11" ht="101.15" customHeight="1" outlineLevel="1">
      <c r="A11" s="20"/>
      <c r="C11" s="17">
        <v>3</v>
      </c>
      <c r="D11" s="657" t="s">
        <v>295</v>
      </c>
      <c r="E11" s="657"/>
      <c r="F11" s="657"/>
      <c r="G11" s="22" t="s">
        <v>296</v>
      </c>
      <c r="H11" s="19" t="s">
        <v>137</v>
      </c>
      <c r="I11" s="56" t="s">
        <v>95</v>
      </c>
      <c r="J11" s="638"/>
    </row>
    <row r="12" spans="1:11" ht="19">
      <c r="A12" s="20"/>
      <c r="C12" s="23"/>
      <c r="D12" s="24"/>
      <c r="E12" s="24"/>
      <c r="F12" s="24"/>
      <c r="G12" s="24"/>
      <c r="H12" s="24"/>
      <c r="I12" s="24"/>
      <c r="J12" s="57"/>
    </row>
    <row r="13" spans="1:11" ht="12.65" customHeight="1">
      <c r="A13" s="20"/>
    </row>
    <row r="14" spans="1:11" ht="12.65" customHeight="1">
      <c r="A14" s="20"/>
    </row>
    <row r="15" spans="1:11" ht="12.65" customHeight="1">
      <c r="A15" s="20"/>
      <c r="B15" s="25" t="s">
        <v>94</v>
      </c>
      <c r="C15" s="26" t="s">
        <v>297</v>
      </c>
    </row>
    <row r="16" spans="1:11" ht="29">
      <c r="A16" s="20"/>
      <c r="C16" s="27" t="s">
        <v>298</v>
      </c>
      <c r="D16" s="28" t="s">
        <v>299</v>
      </c>
      <c r="E16" s="29" t="s">
        <v>300</v>
      </c>
      <c r="F16" s="30" t="s">
        <v>301</v>
      </c>
    </row>
    <row r="17" spans="1:116" ht="84.65" customHeight="1">
      <c r="A17" s="20"/>
      <c r="C17" s="31">
        <v>30</v>
      </c>
      <c r="D17" s="32" t="s">
        <v>302</v>
      </c>
      <c r="E17" s="33">
        <f>汇总!D5-C17</f>
        <v>45627</v>
      </c>
      <c r="F17" s="34">
        <v>45688</v>
      </c>
    </row>
    <row r="18" spans="1:116" ht="12.65" customHeight="1">
      <c r="A18" s="20"/>
    </row>
    <row r="19" spans="1:116" ht="12.65" customHeight="1">
      <c r="A19" s="35"/>
      <c r="B19" s="36" t="s">
        <v>197</v>
      </c>
      <c r="C19" s="37" t="s">
        <v>303</v>
      </c>
      <c r="D19" s="38"/>
      <c r="E19" s="38"/>
      <c r="F19" s="38"/>
      <c r="G19" s="38"/>
      <c r="H19" s="38"/>
      <c r="I19" s="38"/>
      <c r="J19" s="38"/>
      <c r="K19" s="38"/>
      <c r="L19" s="38"/>
      <c r="M19" s="38"/>
      <c r="N19" s="38"/>
      <c r="O19" s="38"/>
      <c r="P19" s="38"/>
      <c r="Q19" s="6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c r="CT19" s="65"/>
      <c r="CU19" s="65"/>
      <c r="CV19" s="65"/>
      <c r="CW19" s="65"/>
      <c r="CX19" s="65"/>
      <c r="CY19" s="65"/>
      <c r="CZ19" s="65"/>
      <c r="DA19" s="65"/>
      <c r="DB19" s="65"/>
      <c r="DC19" s="65"/>
      <c r="DD19" s="65"/>
      <c r="DE19" s="65"/>
      <c r="DF19" s="65"/>
      <c r="DG19" s="65"/>
      <c r="DH19" s="65"/>
      <c r="DI19" s="65"/>
      <c r="DJ19" s="65"/>
      <c r="DK19" s="65"/>
      <c r="DL19" s="65"/>
    </row>
    <row r="20" spans="1:116" ht="16.5">
      <c r="A20" s="35"/>
      <c r="B20" s="38"/>
      <c r="C20" s="648" t="s">
        <v>304</v>
      </c>
      <c r="D20" s="649"/>
      <c r="E20" s="649"/>
      <c r="F20" s="650"/>
      <c r="G20" s="38"/>
      <c r="H20" s="38"/>
      <c r="I20" s="38"/>
      <c r="J20" s="38"/>
      <c r="K20" s="38"/>
      <c r="L20" s="38"/>
      <c r="M20" s="38"/>
      <c r="N20" s="38"/>
      <c r="O20" s="38"/>
      <c r="P20" s="38"/>
      <c r="Q20" s="6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c r="CT20" s="65"/>
      <c r="CU20" s="65"/>
      <c r="CV20" s="65"/>
      <c r="CW20" s="65"/>
      <c r="CX20" s="65"/>
      <c r="CY20" s="65"/>
      <c r="CZ20" s="65"/>
      <c r="DA20" s="65"/>
      <c r="DB20" s="65"/>
      <c r="DC20" s="65"/>
      <c r="DD20" s="65"/>
      <c r="DE20" s="65"/>
      <c r="DF20" s="65"/>
      <c r="DG20" s="65"/>
      <c r="DH20" s="65"/>
      <c r="DI20" s="65"/>
      <c r="DJ20" s="65"/>
      <c r="DK20" s="65"/>
      <c r="DL20" s="65"/>
    </row>
    <row r="21" spans="1:116" ht="16.5">
      <c r="A21" s="35"/>
      <c r="B21" s="38"/>
      <c r="C21" s="651"/>
      <c r="D21" s="652"/>
      <c r="E21" s="652"/>
      <c r="F21" s="653"/>
      <c r="G21" s="38"/>
      <c r="H21" s="38"/>
      <c r="I21" s="38"/>
      <c r="J21" s="38"/>
      <c r="K21" s="38"/>
      <c r="L21" s="38"/>
      <c r="M21" s="38"/>
      <c r="N21" s="38"/>
      <c r="O21" s="38"/>
      <c r="P21" s="38"/>
      <c r="Q21" s="6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5"/>
      <c r="BD21" s="65"/>
      <c r="BE21" s="65"/>
      <c r="BF21" s="65"/>
      <c r="BG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c r="CT21" s="65"/>
      <c r="CU21" s="65"/>
      <c r="CV21" s="65"/>
      <c r="CW21" s="65"/>
      <c r="CX21" s="65"/>
      <c r="CY21" s="65"/>
      <c r="CZ21" s="65"/>
      <c r="DA21" s="65"/>
      <c r="DB21" s="65"/>
      <c r="DC21" s="65"/>
      <c r="DD21" s="65"/>
      <c r="DE21" s="65"/>
      <c r="DF21" s="65"/>
      <c r="DG21" s="65"/>
      <c r="DH21" s="65"/>
      <c r="DI21" s="65"/>
      <c r="DJ21" s="65"/>
      <c r="DK21" s="65"/>
      <c r="DL21" s="65"/>
    </row>
    <row r="22" spans="1:116" ht="16.5">
      <c r="A22" s="35"/>
      <c r="B22" s="38"/>
      <c r="C22" s="651"/>
      <c r="D22" s="652"/>
      <c r="E22" s="652"/>
      <c r="F22" s="653"/>
      <c r="G22" s="38"/>
      <c r="H22" s="38"/>
      <c r="I22" s="38"/>
      <c r="J22" s="38"/>
      <c r="K22" s="38"/>
      <c r="L22" s="38"/>
      <c r="M22" s="38"/>
      <c r="N22" s="38"/>
      <c r="O22" s="38"/>
      <c r="P22" s="38"/>
      <c r="Q22" s="6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c r="CT22" s="65"/>
      <c r="CU22" s="65"/>
      <c r="CV22" s="65"/>
      <c r="CW22" s="65"/>
      <c r="CX22" s="65"/>
      <c r="CY22" s="65"/>
      <c r="CZ22" s="65"/>
      <c r="DA22" s="65"/>
      <c r="DB22" s="65"/>
      <c r="DC22" s="65"/>
      <c r="DD22" s="65"/>
      <c r="DE22" s="65"/>
      <c r="DF22" s="65"/>
      <c r="DG22" s="65"/>
      <c r="DH22" s="65"/>
      <c r="DI22" s="65"/>
      <c r="DJ22" s="65"/>
      <c r="DK22" s="65"/>
      <c r="DL22" s="65"/>
    </row>
    <row r="23" spans="1:116" ht="16.5">
      <c r="A23" s="35"/>
      <c r="B23" s="38"/>
      <c r="C23" s="654"/>
      <c r="D23" s="655"/>
      <c r="E23" s="655"/>
      <c r="F23" s="656"/>
      <c r="G23" s="38"/>
      <c r="H23" s="38"/>
      <c r="I23" s="38"/>
      <c r="J23" s="38"/>
      <c r="K23" s="38"/>
      <c r="L23" s="38"/>
      <c r="M23" s="38"/>
      <c r="N23" s="38"/>
      <c r="O23" s="38"/>
      <c r="P23" s="38"/>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c r="CT23" s="65"/>
      <c r="CU23" s="65"/>
      <c r="CV23" s="65"/>
      <c r="CW23" s="65"/>
      <c r="CX23" s="65"/>
      <c r="CY23" s="65"/>
      <c r="CZ23" s="65"/>
      <c r="DA23" s="65"/>
      <c r="DB23" s="65"/>
      <c r="DC23" s="65"/>
      <c r="DD23" s="65"/>
      <c r="DE23" s="65"/>
      <c r="DF23" s="65"/>
      <c r="DG23" s="65"/>
      <c r="DH23" s="65"/>
      <c r="DI23" s="65"/>
      <c r="DJ23" s="65"/>
      <c r="DK23" s="65"/>
      <c r="DL23" s="65"/>
    </row>
    <row r="24" spans="1:116" ht="12.65" customHeight="1">
      <c r="A24" s="20"/>
    </row>
    <row r="25" spans="1:116" ht="12.65" customHeight="1">
      <c r="A25" s="5"/>
      <c r="B25" s="25" t="s">
        <v>305</v>
      </c>
      <c r="C25" s="26" t="s">
        <v>306</v>
      </c>
    </row>
    <row r="26" spans="1:116" ht="29">
      <c r="A26" s="20"/>
      <c r="C26" s="581" t="s">
        <v>307</v>
      </c>
      <c r="D26" s="39" t="s">
        <v>308</v>
      </c>
      <c r="E26" s="39" t="s">
        <v>309</v>
      </c>
      <c r="F26" s="39" t="s">
        <v>310</v>
      </c>
      <c r="G26" s="39" t="s">
        <v>311</v>
      </c>
      <c r="H26" s="39" t="s">
        <v>312</v>
      </c>
      <c r="I26" s="39" t="s">
        <v>313</v>
      </c>
      <c r="J26" s="582" t="s">
        <v>314</v>
      </c>
    </row>
    <row r="27" spans="1:116" ht="12.65" customHeight="1">
      <c r="A27" s="20"/>
      <c r="C27" s="40" t="s">
        <v>315</v>
      </c>
      <c r="D27" s="41"/>
      <c r="E27" s="41"/>
      <c r="F27" s="41"/>
      <c r="G27" s="41"/>
      <c r="H27" s="41"/>
      <c r="I27" s="41"/>
      <c r="J27" s="58"/>
    </row>
    <row r="28" spans="1:116" ht="12.65" customHeight="1">
      <c r="A28" s="20"/>
      <c r="C28" s="42" t="s">
        <v>316</v>
      </c>
      <c r="D28" s="43"/>
      <c r="E28" s="43"/>
      <c r="F28" s="43"/>
      <c r="G28" s="43"/>
      <c r="H28" s="43"/>
      <c r="I28" s="59"/>
      <c r="J28" s="60"/>
    </row>
    <row r="29" spans="1:116" ht="12.65" customHeight="1">
      <c r="A29" s="5"/>
      <c r="C29" s="42"/>
      <c r="D29" s="43"/>
      <c r="E29" s="43"/>
      <c r="F29" s="43"/>
      <c r="G29" s="43"/>
      <c r="H29" s="43"/>
      <c r="I29" s="59"/>
      <c r="J29" s="60"/>
    </row>
    <row r="30" spans="1:116" ht="12.65" customHeight="1">
      <c r="A30" s="20"/>
      <c r="C30" s="40" t="s">
        <v>317</v>
      </c>
      <c r="D30" s="44"/>
      <c r="E30" s="44"/>
      <c r="F30" s="44"/>
      <c r="G30" s="44"/>
      <c r="H30" s="44"/>
      <c r="I30" s="44"/>
      <c r="J30" s="61"/>
    </row>
    <row r="31" spans="1:116" ht="12.65" customHeight="1">
      <c r="A31" s="20"/>
      <c r="C31" s="42" t="s">
        <v>316</v>
      </c>
      <c r="D31" s="43"/>
      <c r="E31" s="43"/>
      <c r="F31" s="43"/>
      <c r="G31" s="43"/>
      <c r="H31" s="43"/>
      <c r="I31" s="59"/>
      <c r="J31" s="60"/>
    </row>
    <row r="32" spans="1:116" ht="12.65" customHeight="1">
      <c r="A32" s="20"/>
      <c r="C32" s="42"/>
      <c r="D32" s="43"/>
      <c r="E32" s="43"/>
      <c r="F32" s="43"/>
      <c r="G32" s="43"/>
      <c r="H32" s="43"/>
      <c r="I32" s="59"/>
      <c r="J32" s="60"/>
    </row>
    <row r="33" spans="1:10" ht="12.65" customHeight="1">
      <c r="A33" s="20"/>
      <c r="C33" s="45"/>
      <c r="D33" s="46"/>
      <c r="E33" s="46"/>
      <c r="F33" s="46"/>
      <c r="G33" s="46"/>
      <c r="H33" s="46"/>
      <c r="I33" s="62"/>
      <c r="J33" s="63"/>
    </row>
    <row r="34" spans="1:10" ht="12.65" customHeight="1">
      <c r="A34" s="5"/>
    </row>
    <row r="35" spans="1:10" ht="12.65" customHeight="1">
      <c r="A35" s="5"/>
    </row>
    <row r="36" spans="1:10" ht="12.65" customHeight="1">
      <c r="A36" s="5"/>
      <c r="B36" s="47"/>
    </row>
    <row r="37" spans="1:10" ht="12.65" customHeight="1">
      <c r="A37" s="5"/>
      <c r="B37" s="47" t="s">
        <v>119</v>
      </c>
      <c r="C37" s="639" t="s">
        <v>316</v>
      </c>
      <c r="D37" s="640"/>
      <c r="E37" s="640"/>
      <c r="F37" s="640"/>
      <c r="G37" s="641"/>
    </row>
    <row r="38" spans="1:10" ht="14.5">
      <c r="A38" s="5"/>
      <c r="C38" s="642"/>
      <c r="D38" s="643"/>
      <c r="E38" s="643"/>
      <c r="F38" s="643"/>
      <c r="G38" s="644"/>
      <c r="I38" s="64"/>
    </row>
    <row r="39" spans="1:10" ht="14.5">
      <c r="A39" s="5"/>
      <c r="C39" s="645"/>
      <c r="D39" s="646"/>
      <c r="E39" s="646"/>
      <c r="F39" s="646"/>
      <c r="G39" s="647"/>
    </row>
    <row r="40" spans="1:10" ht="12.65" customHeight="1">
      <c r="A40" s="5"/>
      <c r="C40" s="48"/>
      <c r="D40" s="49"/>
      <c r="E40" s="49"/>
      <c r="F40" s="49"/>
      <c r="G40" s="49"/>
    </row>
  </sheetData>
  <mergeCells count="7">
    <mergeCell ref="J9:J11"/>
    <mergeCell ref="C37:G39"/>
    <mergeCell ref="C20:F23"/>
    <mergeCell ref="D8:F8"/>
    <mergeCell ref="D9:F9"/>
    <mergeCell ref="D10:F10"/>
    <mergeCell ref="D11:F11"/>
  </mergeCells>
  <phoneticPr fontId="130" type="noConversion"/>
  <conditionalFormatting sqref="C32">
    <cfRule type="containsBlanks" dxfId="1" priority="1">
      <formula>LEN(TRIM(C32))=0</formula>
    </cfRule>
  </conditionalFormatting>
  <conditionalFormatting sqref="G9:I11 C17:D17 C20:F23 C28:J29 C31:J31 C37:G39">
    <cfRule type="containsBlanks" dxfId="0" priority="2">
      <formula>LEN(TRIM(C9))=0</formula>
    </cfRule>
  </conditionalFormatting>
  <dataValidations count="3">
    <dataValidation type="list" allowBlank="1" showInputMessage="1" sqref="H9:H11" xr:uid="{00000000-0002-0000-0400-000000000000}">
      <formula1>"是,否"</formula1>
    </dataValidation>
    <dataValidation type="list" allowBlank="1" showInputMessage="1" sqref="I9:I11" xr:uid="{00000000-0002-0000-0400-000001000000}">
      <formula1>"是,不适用"</formula1>
    </dataValidation>
    <dataValidation type="list" allowBlank="1" showInputMessage="1" showErrorMessage="1" sqref="I28:I29 I31:I33" xr:uid="{00000000-0002-0000-0400-000002000000}">
      <formula1>"Yes, No"</formula1>
    </dataValidation>
  </dataValidations>
  <hyperlinks>
    <hyperlink ref="J2" location="汇总!A1" display="返回汇总页" xr:uid="{00000000-0004-0000-0400-000000000000}"/>
  </hyperlinks>
  <pageMargins left="0.7" right="0.7" top="0.75" bottom="0.75" header="0.3" footer="0.3"/>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9"/>
  <dimension ref="A1:DA169"/>
  <sheetViews>
    <sheetView workbookViewId="0"/>
  </sheetViews>
  <sheetFormatPr defaultColWidth="9" defaultRowHeight="13"/>
  <cols>
    <col min="1" max="1" width="9.765625E-2" customWidth="1"/>
  </cols>
  <sheetData>
    <row r="1" spans="1:105">
      <c r="A1" t="s">
        <v>318</v>
      </c>
    </row>
    <row r="3" spans="1:105">
      <c r="A3" t="s">
        <v>319</v>
      </c>
    </row>
    <row r="4" spans="1:105">
      <c r="A4" t="b">
        <v>1</v>
      </c>
    </row>
    <row r="5" spans="1:105">
      <c r="A5" t="s">
        <v>320</v>
      </c>
    </row>
    <row r="6" spans="1:105">
      <c r="E6" t="s">
        <v>650</v>
      </c>
      <c r="Y6" t="s">
        <v>321</v>
      </c>
      <c r="Z6" t="s">
        <v>322</v>
      </c>
      <c r="AA6" t="s">
        <v>323</v>
      </c>
      <c r="AB6" t="s">
        <v>324</v>
      </c>
      <c r="AC6" t="s">
        <v>325</v>
      </c>
      <c r="AD6" t="s">
        <v>326</v>
      </c>
      <c r="AE6" t="s">
        <v>327</v>
      </c>
      <c r="AF6" t="s">
        <v>328</v>
      </c>
      <c r="AG6" t="s">
        <v>329</v>
      </c>
      <c r="AH6" t="s">
        <v>330</v>
      </c>
      <c r="AI6" t="s">
        <v>331</v>
      </c>
      <c r="AJ6" t="s">
        <v>332</v>
      </c>
      <c r="AK6" t="s">
        <v>333</v>
      </c>
      <c r="AL6" t="s">
        <v>334</v>
      </c>
      <c r="AM6" t="s">
        <v>335</v>
      </c>
      <c r="AN6" t="s">
        <v>336</v>
      </c>
      <c r="AO6" t="s">
        <v>337</v>
      </c>
      <c r="AP6" t="s">
        <v>338</v>
      </c>
      <c r="AQ6" t="s">
        <v>339</v>
      </c>
      <c r="AR6" t="s">
        <v>340</v>
      </c>
      <c r="AS6" t="s">
        <v>341</v>
      </c>
      <c r="AT6" t="s">
        <v>342</v>
      </c>
      <c r="AU6" t="s">
        <v>343</v>
      </c>
      <c r="AV6" t="s">
        <v>344</v>
      </c>
      <c r="AW6" t="s">
        <v>345</v>
      </c>
      <c r="AX6" t="s">
        <v>346</v>
      </c>
      <c r="AY6" t="s">
        <v>347</v>
      </c>
      <c r="AZ6" t="s">
        <v>348</v>
      </c>
      <c r="BA6" t="s">
        <v>349</v>
      </c>
      <c r="BB6" t="s">
        <v>350</v>
      </c>
      <c r="BC6" t="s">
        <v>351</v>
      </c>
      <c r="BD6" t="s">
        <v>352</v>
      </c>
      <c r="BE6" t="s">
        <v>353</v>
      </c>
      <c r="BF6" t="s">
        <v>354</v>
      </c>
      <c r="BG6" t="s">
        <v>355</v>
      </c>
      <c r="BH6" t="s">
        <v>356</v>
      </c>
      <c r="BI6" t="s">
        <v>357</v>
      </c>
      <c r="BJ6" t="s">
        <v>358</v>
      </c>
      <c r="BK6" t="s">
        <v>359</v>
      </c>
      <c r="BL6" t="s">
        <v>360</v>
      </c>
      <c r="BM6" t="s">
        <v>361</v>
      </c>
      <c r="BN6" t="s">
        <v>362</v>
      </c>
      <c r="BO6" t="s">
        <v>363</v>
      </c>
      <c r="BP6" t="s">
        <v>364</v>
      </c>
      <c r="BQ6" t="s">
        <v>365</v>
      </c>
      <c r="BR6" t="s">
        <v>366</v>
      </c>
      <c r="BS6" t="s">
        <v>367</v>
      </c>
      <c r="BT6" t="s">
        <v>368</v>
      </c>
      <c r="BU6" t="s">
        <v>369</v>
      </c>
      <c r="BV6" t="s">
        <v>370</v>
      </c>
      <c r="BW6" t="s">
        <v>371</v>
      </c>
      <c r="BX6" t="s">
        <v>372</v>
      </c>
      <c r="BY6" t="s">
        <v>373</v>
      </c>
      <c r="BZ6" t="s">
        <v>374</v>
      </c>
      <c r="CA6" t="s">
        <v>375</v>
      </c>
      <c r="CB6" t="s">
        <v>376</v>
      </c>
      <c r="CC6" t="s">
        <v>377</v>
      </c>
      <c r="CD6" t="s">
        <v>378</v>
      </c>
      <c r="CE6" t="s">
        <v>379</v>
      </c>
      <c r="CF6" t="s">
        <v>380</v>
      </c>
      <c r="CG6" t="s">
        <v>381</v>
      </c>
      <c r="CH6" t="s">
        <v>382</v>
      </c>
      <c r="CI6" t="s">
        <v>383</v>
      </c>
      <c r="CJ6" t="s">
        <v>384</v>
      </c>
      <c r="CK6" t="s">
        <v>385</v>
      </c>
      <c r="CL6" t="s">
        <v>386</v>
      </c>
      <c r="CM6" t="s">
        <v>387</v>
      </c>
      <c r="CN6" t="s">
        <v>388</v>
      </c>
      <c r="CO6" t="s">
        <v>389</v>
      </c>
      <c r="CP6" t="s">
        <v>390</v>
      </c>
      <c r="CQ6" t="s">
        <v>391</v>
      </c>
      <c r="CR6" t="s">
        <v>392</v>
      </c>
      <c r="CS6" t="s">
        <v>393</v>
      </c>
      <c r="CT6" t="s">
        <v>394</v>
      </c>
      <c r="CU6" t="s">
        <v>395</v>
      </c>
      <c r="CV6" t="s">
        <v>396</v>
      </c>
      <c r="CW6" t="s">
        <v>397</v>
      </c>
      <c r="CX6" t="s">
        <v>398</v>
      </c>
      <c r="CY6" t="s">
        <v>399</v>
      </c>
      <c r="CZ6" t="s">
        <v>400</v>
      </c>
      <c r="DA6" t="s">
        <v>401</v>
      </c>
    </row>
    <row r="7" spans="1:105">
      <c r="A7" t="s">
        <v>402</v>
      </c>
    </row>
    <row r="10" spans="1:105">
      <c r="F10" t="e">
        <f>#REF!</f>
        <v>#REF!</v>
      </c>
      <c r="G10" t="s">
        <v>403</v>
      </c>
    </row>
    <row r="11" spans="1:105">
      <c r="A11" s="1">
        <v>169</v>
      </c>
      <c r="F11" t="e">
        <f>#REF!</f>
        <v>#REF!</v>
      </c>
      <c r="G11" t="s">
        <v>404</v>
      </c>
    </row>
    <row r="12" spans="1:105">
      <c r="F12" t="e">
        <f>#REF!</f>
        <v>#REF!</v>
      </c>
      <c r="G12" t="s">
        <v>405</v>
      </c>
    </row>
    <row r="13" spans="1:105">
      <c r="F13" t="e">
        <f>#REF!</f>
        <v>#REF!</v>
      </c>
      <c r="G13" t="s">
        <v>406</v>
      </c>
    </row>
    <row r="14" spans="1:105">
      <c r="F14" t="e">
        <f>#REF!</f>
        <v>#REF!</v>
      </c>
      <c r="G14" t="s">
        <v>407</v>
      </c>
    </row>
    <row r="15" spans="1:105">
      <c r="A15" s="1">
        <v>82</v>
      </c>
      <c r="F15" t="e">
        <f>#REF!</f>
        <v>#REF!</v>
      </c>
      <c r="G15" t="s">
        <v>408</v>
      </c>
      <c r="R15" t="str">
        <f>汇总!A29</f>
        <v>P1</v>
      </c>
      <c r="S15" t="s">
        <v>409</v>
      </c>
    </row>
    <row r="16" spans="1:105">
      <c r="F16" t="e">
        <f>#REF!</f>
        <v>#REF!</v>
      </c>
      <c r="G16" t="s">
        <v>410</v>
      </c>
      <c r="R16" t="str">
        <f>汇总!A36</f>
        <v>/P1</v>
      </c>
      <c r="S16" t="s">
        <v>411</v>
      </c>
    </row>
    <row r="17" spans="6:19">
      <c r="F17" s="1" t="e">
        <f>#REF!</f>
        <v>#REF!</v>
      </c>
      <c r="G17" t="s">
        <v>412</v>
      </c>
      <c r="R17">
        <f>汇总!A38</f>
        <v>0</v>
      </c>
      <c r="S17" t="s">
        <v>413</v>
      </c>
    </row>
    <row r="18" spans="6:19">
      <c r="F18" s="1" t="e">
        <f>#REF!</f>
        <v>#REF!</v>
      </c>
      <c r="G18" t="s">
        <v>414</v>
      </c>
      <c r="R18" t="e">
        <f>汇总!#REF!</f>
        <v>#REF!</v>
      </c>
      <c r="S18" t="s">
        <v>415</v>
      </c>
    </row>
    <row r="19" spans="6:19">
      <c r="F19" s="1" t="e">
        <f>#REF!</f>
        <v>#REF!</v>
      </c>
      <c r="G19" t="s">
        <v>416</v>
      </c>
      <c r="R19" t="e">
        <f>#REF!</f>
        <v>#REF!</v>
      </c>
      <c r="S19" t="s">
        <v>417</v>
      </c>
    </row>
    <row r="20" spans="6:19">
      <c r="F20" t="e">
        <f>#REF!</f>
        <v>#REF!</v>
      </c>
      <c r="G20" t="s">
        <v>418</v>
      </c>
      <c r="R20" s="1" t="e">
        <f>#REF!</f>
        <v>#REF!</v>
      </c>
      <c r="S20" t="s">
        <v>419</v>
      </c>
    </row>
    <row r="21" spans="6:19">
      <c r="F21" t="e">
        <f>#REF!</f>
        <v>#REF!</v>
      </c>
      <c r="G21" t="s">
        <v>420</v>
      </c>
      <c r="R21" t="e">
        <f>#REF!</f>
        <v>#REF!</v>
      </c>
      <c r="S21" t="s">
        <v>421</v>
      </c>
    </row>
    <row r="22" spans="6:19">
      <c r="F22" t="e">
        <f>#REF!</f>
        <v>#REF!</v>
      </c>
      <c r="G22" t="s">
        <v>422</v>
      </c>
      <c r="R22" t="e">
        <f>#REF!</f>
        <v>#REF!</v>
      </c>
      <c r="S22" t="s">
        <v>423</v>
      </c>
    </row>
    <row r="23" spans="6:19">
      <c r="F23" t="e">
        <f>#REF!</f>
        <v>#REF!</v>
      </c>
      <c r="G23" t="s">
        <v>424</v>
      </c>
      <c r="R23" t="e">
        <f>#REF!</f>
        <v>#REF!</v>
      </c>
      <c r="S23" t="s">
        <v>425</v>
      </c>
    </row>
    <row r="24" spans="6:19">
      <c r="F24" t="e">
        <f>#REF!</f>
        <v>#REF!</v>
      </c>
      <c r="G24" t="s">
        <v>426</v>
      </c>
      <c r="R24" t="e">
        <f>#REF!</f>
        <v>#REF!</v>
      </c>
      <c r="S24" t="s">
        <v>427</v>
      </c>
    </row>
    <row r="25" spans="6:19">
      <c r="F25" t="e">
        <f>#REF!</f>
        <v>#REF!</v>
      </c>
      <c r="G25" t="s">
        <v>428</v>
      </c>
      <c r="R25" t="e">
        <f>#REF!</f>
        <v>#REF!</v>
      </c>
      <c r="S25" t="s">
        <v>429</v>
      </c>
    </row>
    <row r="26" spans="6:19">
      <c r="F26" t="e">
        <f>#REF!</f>
        <v>#REF!</v>
      </c>
      <c r="G26" t="s">
        <v>430</v>
      </c>
      <c r="R26" t="e">
        <f>#REF!</f>
        <v>#REF!</v>
      </c>
      <c r="S26" t="s">
        <v>431</v>
      </c>
    </row>
    <row r="27" spans="6:19">
      <c r="F27" s="1" t="e">
        <f>#REF!</f>
        <v>#REF!</v>
      </c>
      <c r="G27" t="s">
        <v>432</v>
      </c>
      <c r="R27" t="e">
        <f>#REF!</f>
        <v>#REF!</v>
      </c>
      <c r="S27" t="s">
        <v>433</v>
      </c>
    </row>
    <row r="28" spans="6:19">
      <c r="F28" s="1" t="e">
        <f>#REF!</f>
        <v>#REF!</v>
      </c>
      <c r="G28" t="s">
        <v>434</v>
      </c>
      <c r="R28" t="e">
        <f>#REF!</f>
        <v>#REF!</v>
      </c>
      <c r="S28" t="s">
        <v>435</v>
      </c>
    </row>
    <row r="29" spans="6:19">
      <c r="F29" s="1" t="e">
        <f>#REF!</f>
        <v>#REF!</v>
      </c>
      <c r="G29" t="s">
        <v>436</v>
      </c>
      <c r="R29" t="e">
        <f>#REF!</f>
        <v>#REF!</v>
      </c>
      <c r="S29" t="s">
        <v>437</v>
      </c>
    </row>
    <row r="30" spans="6:19">
      <c r="F30" t="e">
        <f>#REF!</f>
        <v>#REF!</v>
      </c>
      <c r="G30" t="s">
        <v>438</v>
      </c>
      <c r="R30" t="e">
        <f>#REF!</f>
        <v>#REF!</v>
      </c>
      <c r="S30" t="s">
        <v>439</v>
      </c>
    </row>
    <row r="31" spans="6:19">
      <c r="F31" t="e">
        <f>#REF!</f>
        <v>#REF!</v>
      </c>
      <c r="G31" t="s">
        <v>440</v>
      </c>
      <c r="R31" t="e">
        <f>#REF!</f>
        <v>#REF!</v>
      </c>
      <c r="S31" t="s">
        <v>441</v>
      </c>
    </row>
    <row r="32" spans="6:19">
      <c r="F32" t="e">
        <f>#REF!</f>
        <v>#REF!</v>
      </c>
      <c r="G32" t="s">
        <v>442</v>
      </c>
      <c r="R32" t="e">
        <f>#REF!</f>
        <v>#REF!</v>
      </c>
      <c r="S32" t="s">
        <v>443</v>
      </c>
    </row>
    <row r="33" spans="6:19">
      <c r="F33" t="e">
        <f>#REF!</f>
        <v>#REF!</v>
      </c>
      <c r="G33" t="s">
        <v>444</v>
      </c>
      <c r="R33" t="e">
        <f>#REF!</f>
        <v>#REF!</v>
      </c>
      <c r="S33" t="s">
        <v>445</v>
      </c>
    </row>
    <row r="34" spans="6:19">
      <c r="F34" t="e">
        <f>#REF!</f>
        <v>#REF!</v>
      </c>
      <c r="G34" t="s">
        <v>446</v>
      </c>
      <c r="R34" t="e">
        <f>#REF!</f>
        <v>#REF!</v>
      </c>
      <c r="S34" t="s">
        <v>447</v>
      </c>
    </row>
    <row r="35" spans="6:19">
      <c r="F35" t="e">
        <f>#REF!</f>
        <v>#REF!</v>
      </c>
      <c r="G35" t="s">
        <v>448</v>
      </c>
      <c r="R35" t="e">
        <f>#REF!</f>
        <v>#REF!</v>
      </c>
      <c r="S35" t="s">
        <v>449</v>
      </c>
    </row>
    <row r="36" spans="6:19">
      <c r="F36" t="e">
        <f>#REF!</f>
        <v>#REF!</v>
      </c>
      <c r="G36" t="s">
        <v>450</v>
      </c>
      <c r="R36" t="e">
        <f>#REF!</f>
        <v>#REF!</v>
      </c>
      <c r="S36" t="s">
        <v>451</v>
      </c>
    </row>
    <row r="37" spans="6:19">
      <c r="F37" s="1" t="e">
        <f>#REF!</f>
        <v>#REF!</v>
      </c>
      <c r="G37" t="s">
        <v>452</v>
      </c>
      <c r="R37" t="str">
        <f>Uexp财务费用BKD!A30</f>
        <v>T1</v>
      </c>
      <c r="S37" t="s">
        <v>453</v>
      </c>
    </row>
    <row r="38" spans="6:19">
      <c r="F38" s="1" t="e">
        <f>#REF!</f>
        <v>#REF!</v>
      </c>
      <c r="G38" t="s">
        <v>454</v>
      </c>
      <c r="R38" t="str">
        <f>Uexp财务费用BKD!A43</f>
        <v>/T1</v>
      </c>
      <c r="S38" t="s">
        <v>455</v>
      </c>
    </row>
    <row r="39" spans="6:19">
      <c r="F39" s="1" t="e">
        <f>#REF!</f>
        <v>#REF!</v>
      </c>
      <c r="G39" t="s">
        <v>456</v>
      </c>
      <c r="R39">
        <f>Uexp财务费用BKD!A50</f>
        <v>0</v>
      </c>
      <c r="S39" t="s">
        <v>457</v>
      </c>
    </row>
    <row r="40" spans="6:19">
      <c r="F40" t="e">
        <f>#REF!</f>
        <v>#REF!</v>
      </c>
      <c r="G40" t="s">
        <v>458</v>
      </c>
      <c r="R40" t="e">
        <f>Uexp财务费用BKD!#REF!</f>
        <v>#REF!</v>
      </c>
      <c r="S40" t="s">
        <v>459</v>
      </c>
    </row>
    <row r="41" spans="6:19">
      <c r="F41" t="e">
        <f>#REF!</f>
        <v>#REF!</v>
      </c>
      <c r="G41" t="s">
        <v>460</v>
      </c>
      <c r="R41" t="e">
        <f>#REF!</f>
        <v>#REF!</v>
      </c>
      <c r="S41" t="s">
        <v>461</v>
      </c>
    </row>
    <row r="42" spans="6:19">
      <c r="F42" t="e">
        <f>#REF!</f>
        <v>#REF!</v>
      </c>
      <c r="G42" t="s">
        <v>462</v>
      </c>
      <c r="R42" t="e">
        <f>#REF!</f>
        <v>#REF!</v>
      </c>
      <c r="S42" t="s">
        <v>463</v>
      </c>
    </row>
    <row r="43" spans="6:19">
      <c r="F43" t="e">
        <f>#REF!</f>
        <v>#REF!</v>
      </c>
      <c r="G43" t="s">
        <v>464</v>
      </c>
      <c r="R43" t="e">
        <f>#REF!</f>
        <v>#REF!</v>
      </c>
      <c r="S43" t="s">
        <v>465</v>
      </c>
    </row>
    <row r="44" spans="6:19">
      <c r="F44" t="e">
        <f>#REF!</f>
        <v>#REF!</v>
      </c>
      <c r="G44" t="s">
        <v>466</v>
      </c>
      <c r="R44" t="e">
        <f>#REF!</f>
        <v>#REF!</v>
      </c>
      <c r="S44" t="s">
        <v>467</v>
      </c>
    </row>
    <row r="45" spans="6:19">
      <c r="F45" t="e">
        <f>#REF!</f>
        <v>#REF!</v>
      </c>
      <c r="G45" t="s">
        <v>468</v>
      </c>
      <c r="R45" t="e">
        <f>#REF!</f>
        <v>#REF!</v>
      </c>
      <c r="S45" t="s">
        <v>469</v>
      </c>
    </row>
    <row r="46" spans="6:19">
      <c r="F46" t="e">
        <f>#REF!</f>
        <v>#REF!</v>
      </c>
      <c r="G46" t="s">
        <v>470</v>
      </c>
      <c r="R46" t="e">
        <f>#REF!</f>
        <v>#REF!</v>
      </c>
      <c r="S46" t="s">
        <v>471</v>
      </c>
    </row>
    <row r="47" spans="6:19">
      <c r="F47" s="1" t="e">
        <f>#REF!</f>
        <v>#REF!</v>
      </c>
      <c r="G47" t="s">
        <v>472</v>
      </c>
      <c r="R47" t="e">
        <f>#REF!</f>
        <v>#REF!</v>
      </c>
      <c r="S47" t="s">
        <v>473</v>
      </c>
    </row>
    <row r="48" spans="6:19">
      <c r="F48" s="1" t="e">
        <f>#REF!</f>
        <v>#REF!</v>
      </c>
      <c r="G48" t="s">
        <v>474</v>
      </c>
      <c r="R48" t="e">
        <f>#REF!</f>
        <v>#REF!</v>
      </c>
      <c r="S48" t="s">
        <v>475</v>
      </c>
    </row>
    <row r="49" spans="6:19">
      <c r="F49" s="1" t="e">
        <f>#REF!</f>
        <v>#REF!</v>
      </c>
      <c r="G49" t="s">
        <v>476</v>
      </c>
      <c r="R49" t="e">
        <f>#REF!</f>
        <v>#REF!</v>
      </c>
      <c r="S49" t="s">
        <v>477</v>
      </c>
    </row>
    <row r="50" spans="6:19">
      <c r="F50" t="str">
        <f>Uexp财务费用BKD!C33</f>
        <v xml:space="preserve">账套名称/账套编码 </v>
      </c>
      <c r="G50" t="s">
        <v>478</v>
      </c>
      <c r="R50" t="e">
        <f>#REF!</f>
        <v>#REF!</v>
      </c>
      <c r="S50" t="s">
        <v>479</v>
      </c>
    </row>
    <row r="51" spans="6:19">
      <c r="F51" t="str">
        <f>Uexp财务费用BKD!D33</f>
        <v>科目编码</v>
      </c>
      <c r="G51" t="s">
        <v>480</v>
      </c>
      <c r="R51" t="e">
        <f>#REF!</f>
        <v>#REF!</v>
      </c>
      <c r="S51" t="s">
        <v>481</v>
      </c>
    </row>
    <row r="52" spans="6:19">
      <c r="F52" t="str">
        <f>Uexp财务费用BKD!E33</f>
        <v>科目名称</v>
      </c>
      <c r="G52" t="s">
        <v>482</v>
      </c>
      <c r="R52" t="e">
        <f>#REF!</f>
        <v>#REF!</v>
      </c>
      <c r="S52" t="s">
        <v>483</v>
      </c>
    </row>
    <row r="53" spans="6:19">
      <c r="F53" t="str">
        <f>Uexp财务费用BKD!F33</f>
        <v>本期账面数</v>
      </c>
      <c r="G53" t="s">
        <v>484</v>
      </c>
      <c r="R53" t="e">
        <f>#REF!</f>
        <v>#REF!</v>
      </c>
      <c r="S53" t="s">
        <v>485</v>
      </c>
    </row>
    <row r="54" spans="6:19">
      <c r="F54" t="str">
        <f>Uexp财务费用BKD!G33</f>
        <v>本期账表调整编号</v>
      </c>
      <c r="G54" t="s">
        <v>486</v>
      </c>
      <c r="R54" t="e">
        <f>#REF!</f>
        <v>#REF!</v>
      </c>
      <c r="S54" t="s">
        <v>487</v>
      </c>
    </row>
    <row r="55" spans="6:19">
      <c r="F55" t="str">
        <f>Uexp财务费用BKD!H33</f>
        <v>本期账表调整数</v>
      </c>
      <c r="G55" t="s">
        <v>488</v>
      </c>
      <c r="R55" t="e">
        <f>#REF!</f>
        <v>#REF!</v>
      </c>
      <c r="S55" t="s">
        <v>489</v>
      </c>
    </row>
    <row r="56" spans="6:19">
      <c r="F56" t="str">
        <f>Uexp财务费用BKD!K33</f>
        <v>本期审计调整编号</v>
      </c>
      <c r="G56" t="s">
        <v>490</v>
      </c>
      <c r="R56" t="e">
        <f>#REF!</f>
        <v>#REF!</v>
      </c>
      <c r="S56" t="s">
        <v>491</v>
      </c>
    </row>
    <row r="57" spans="6:19">
      <c r="F57" s="1" t="str">
        <f>Uexp财务费用BKD!L33</f>
        <v>本期审计调整金数</v>
      </c>
      <c r="G57" t="s">
        <v>492</v>
      </c>
      <c r="R57" t="e">
        <f>#REF!</f>
        <v>#REF!</v>
      </c>
      <c r="S57" t="s">
        <v>493</v>
      </c>
    </row>
    <row r="58" spans="6:19">
      <c r="F58" s="1" t="str">
        <f>Uexp财务费用BKD!M33</f>
        <v>本期账面审定数</v>
      </c>
      <c r="G58" t="s">
        <v>494</v>
      </c>
      <c r="R58" t="e">
        <f>#REF!</f>
        <v>#REF!</v>
      </c>
      <c r="S58" t="s">
        <v>495</v>
      </c>
    </row>
    <row r="59" spans="6:19">
      <c r="F59" s="1" t="str">
        <f>Uexp财务费用BKD!N33</f>
        <v>上期末审定数
(PY)</v>
      </c>
      <c r="G59" t="s">
        <v>496</v>
      </c>
      <c r="R59" t="e">
        <f>#REF!</f>
        <v>#REF!</v>
      </c>
      <c r="S59" t="s">
        <v>497</v>
      </c>
    </row>
    <row r="60" spans="6:19">
      <c r="F60" t="e">
        <f>#REF!</f>
        <v>#REF!</v>
      </c>
      <c r="G60" t="s">
        <v>498</v>
      </c>
      <c r="R60" t="e">
        <f>#REF!</f>
        <v>#REF!</v>
      </c>
      <c r="S60" t="s">
        <v>499</v>
      </c>
    </row>
    <row r="61" spans="6:19">
      <c r="F61" t="e">
        <f>#REF!</f>
        <v>#REF!</v>
      </c>
      <c r="G61" t="s">
        <v>500</v>
      </c>
      <c r="R61" t="e">
        <f>#REF!</f>
        <v>#REF!</v>
      </c>
      <c r="S61" t="s">
        <v>501</v>
      </c>
    </row>
    <row r="62" spans="6:19">
      <c r="F62" t="e">
        <f>#REF!</f>
        <v>#REF!</v>
      </c>
      <c r="G62" t="s">
        <v>502</v>
      </c>
      <c r="R62" t="e">
        <f>#REF!</f>
        <v>#REF!</v>
      </c>
      <c r="S62" t="s">
        <v>503</v>
      </c>
    </row>
    <row r="63" spans="6:19">
      <c r="F63" t="e">
        <f>#REF!</f>
        <v>#REF!</v>
      </c>
      <c r="G63" t="s">
        <v>504</v>
      </c>
      <c r="R63" t="e">
        <f>#REF!</f>
        <v>#REF!</v>
      </c>
      <c r="S63" t="s">
        <v>505</v>
      </c>
    </row>
    <row r="64" spans="6:19">
      <c r="F64" t="e">
        <f>#REF!</f>
        <v>#REF!</v>
      </c>
      <c r="G64" t="s">
        <v>506</v>
      </c>
      <c r="R64" t="e">
        <f>#REF!</f>
        <v>#REF!</v>
      </c>
      <c r="S64" t="s">
        <v>507</v>
      </c>
    </row>
    <row r="65" spans="6:19">
      <c r="F65" t="e">
        <f>#REF!</f>
        <v>#REF!</v>
      </c>
      <c r="G65" t="s">
        <v>508</v>
      </c>
      <c r="R65" t="e">
        <f>#REF!</f>
        <v>#REF!</v>
      </c>
      <c r="S65" t="s">
        <v>509</v>
      </c>
    </row>
    <row r="66" spans="6:19">
      <c r="F66" t="e">
        <f>#REF!</f>
        <v>#REF!</v>
      </c>
      <c r="G66" t="s">
        <v>510</v>
      </c>
      <c r="R66" t="e">
        <f>#REF!</f>
        <v>#REF!</v>
      </c>
      <c r="S66" t="s">
        <v>511</v>
      </c>
    </row>
    <row r="67" spans="6:19">
      <c r="F67" s="1" t="e">
        <f>#REF!</f>
        <v>#REF!</v>
      </c>
      <c r="G67" t="s">
        <v>512</v>
      </c>
      <c r="R67" t="e">
        <f>#REF!</f>
        <v>#REF!</v>
      </c>
      <c r="S67" t="s">
        <v>513</v>
      </c>
    </row>
    <row r="68" spans="6:19">
      <c r="F68" s="1" t="e">
        <f>#REF!</f>
        <v>#REF!</v>
      </c>
      <c r="G68" t="s">
        <v>514</v>
      </c>
      <c r="R68" t="e">
        <f>#REF!</f>
        <v>#REF!</v>
      </c>
      <c r="S68" t="s">
        <v>515</v>
      </c>
    </row>
    <row r="69" spans="6:19">
      <c r="F69" s="1" t="e">
        <f>#REF!</f>
        <v>#REF!</v>
      </c>
      <c r="G69" t="s">
        <v>516</v>
      </c>
      <c r="R69" t="e">
        <f>#REF!</f>
        <v>#REF!</v>
      </c>
      <c r="S69" t="s">
        <v>517</v>
      </c>
    </row>
    <row r="70" spans="6:19">
      <c r="F70" t="e">
        <f>#REF!</f>
        <v>#REF!</v>
      </c>
      <c r="G70" t="s">
        <v>518</v>
      </c>
      <c r="R70" t="e">
        <f>#REF!</f>
        <v>#REF!</v>
      </c>
      <c r="S70" t="s">
        <v>519</v>
      </c>
    </row>
    <row r="71" spans="6:19">
      <c r="F71" t="e">
        <f>#REF!</f>
        <v>#REF!</v>
      </c>
      <c r="G71" t="s">
        <v>520</v>
      </c>
      <c r="R71" t="e">
        <f>#REF!</f>
        <v>#REF!</v>
      </c>
      <c r="S71" t="s">
        <v>521</v>
      </c>
    </row>
    <row r="72" spans="6:19">
      <c r="F72" t="e">
        <f>#REF!</f>
        <v>#REF!</v>
      </c>
      <c r="G72" t="s">
        <v>522</v>
      </c>
      <c r="R72" t="e">
        <f>#REF!</f>
        <v>#REF!</v>
      </c>
      <c r="S72" t="s">
        <v>523</v>
      </c>
    </row>
    <row r="73" spans="6:19">
      <c r="F73" t="e">
        <f>#REF!</f>
        <v>#REF!</v>
      </c>
      <c r="G73" t="s">
        <v>524</v>
      </c>
      <c r="R73" t="e">
        <f>#REF!</f>
        <v>#REF!</v>
      </c>
      <c r="S73" t="s">
        <v>525</v>
      </c>
    </row>
    <row r="74" spans="6:19">
      <c r="F74" t="e">
        <f>#REF!</f>
        <v>#REF!</v>
      </c>
      <c r="G74" t="s">
        <v>526</v>
      </c>
      <c r="R74" t="e">
        <f>#REF!</f>
        <v>#REF!</v>
      </c>
      <c r="S74" t="s">
        <v>527</v>
      </c>
    </row>
    <row r="75" spans="6:19">
      <c r="F75" t="e">
        <f>#REF!</f>
        <v>#REF!</v>
      </c>
      <c r="G75" t="s">
        <v>528</v>
      </c>
      <c r="R75" t="e">
        <f>#REF!</f>
        <v>#REF!</v>
      </c>
      <c r="S75" t="s">
        <v>529</v>
      </c>
    </row>
    <row r="76" spans="6:19">
      <c r="F76" t="e">
        <f>#REF!</f>
        <v>#REF!</v>
      </c>
      <c r="G76" t="s">
        <v>530</v>
      </c>
      <c r="R76" t="e">
        <f>#REF!</f>
        <v>#REF!</v>
      </c>
      <c r="S76" t="s">
        <v>531</v>
      </c>
    </row>
    <row r="77" spans="6:19">
      <c r="F77" s="1" t="e">
        <f>#REF!</f>
        <v>#REF!</v>
      </c>
      <c r="G77" t="s">
        <v>532</v>
      </c>
      <c r="R77" t="e">
        <f>#REF!</f>
        <v>#REF!</v>
      </c>
      <c r="S77" t="s">
        <v>533</v>
      </c>
    </row>
    <row r="78" spans="6:19">
      <c r="F78" s="1" t="e">
        <f>#REF!</f>
        <v>#REF!</v>
      </c>
      <c r="G78" t="s">
        <v>534</v>
      </c>
      <c r="R78" t="e">
        <f>#REF!</f>
        <v>#REF!</v>
      </c>
      <c r="S78" t="s">
        <v>535</v>
      </c>
    </row>
    <row r="79" spans="6:19">
      <c r="F79" s="1" t="e">
        <f>#REF!</f>
        <v>#REF!</v>
      </c>
      <c r="G79" t="s">
        <v>536</v>
      </c>
      <c r="R79" t="e">
        <f>#REF!</f>
        <v>#REF!</v>
      </c>
      <c r="S79" t="s">
        <v>537</v>
      </c>
    </row>
    <row r="80" spans="6:19">
      <c r="F80" t="e">
        <f>#REF!</f>
        <v>#REF!</v>
      </c>
      <c r="G80" t="s">
        <v>538</v>
      </c>
      <c r="R80" t="e">
        <f>#REF!</f>
        <v>#REF!</v>
      </c>
      <c r="S80" t="s">
        <v>539</v>
      </c>
    </row>
    <row r="81" spans="6:19">
      <c r="F81" t="e">
        <f>#REF!</f>
        <v>#REF!</v>
      </c>
      <c r="G81" t="s">
        <v>540</v>
      </c>
      <c r="R81" t="e">
        <f>#REF!</f>
        <v>#REF!</v>
      </c>
      <c r="S81" t="s">
        <v>541</v>
      </c>
    </row>
    <row r="82" spans="6:19">
      <c r="F82" t="e">
        <f>#REF!</f>
        <v>#REF!</v>
      </c>
      <c r="G82" t="s">
        <v>542</v>
      </c>
      <c r="R82" t="e">
        <f>#REF!</f>
        <v>#REF!</v>
      </c>
      <c r="S82" t="s">
        <v>543</v>
      </c>
    </row>
    <row r="83" spans="6:19">
      <c r="F83" t="e">
        <f>#REF!</f>
        <v>#REF!</v>
      </c>
      <c r="G83" t="s">
        <v>544</v>
      </c>
    </row>
    <row r="84" spans="6:19">
      <c r="F84" t="e">
        <f>#REF!</f>
        <v>#REF!</v>
      </c>
      <c r="G84" t="s">
        <v>545</v>
      </c>
    </row>
    <row r="85" spans="6:19">
      <c r="F85" t="e">
        <f>#REF!</f>
        <v>#REF!</v>
      </c>
      <c r="G85" t="s">
        <v>546</v>
      </c>
    </row>
    <row r="86" spans="6:19">
      <c r="F86" t="e">
        <f>#REF!</f>
        <v>#REF!</v>
      </c>
      <c r="G86" t="s">
        <v>547</v>
      </c>
    </row>
    <row r="87" spans="6:19">
      <c r="F87" s="1" t="e">
        <f>#REF!</f>
        <v>#REF!</v>
      </c>
      <c r="G87" t="s">
        <v>548</v>
      </c>
    </row>
    <row r="88" spans="6:19">
      <c r="F88" s="1" t="e">
        <f>#REF!</f>
        <v>#REF!</v>
      </c>
      <c r="G88" t="s">
        <v>549</v>
      </c>
    </row>
    <row r="89" spans="6:19">
      <c r="F89" s="1" t="e">
        <f>#REF!</f>
        <v>#REF!</v>
      </c>
      <c r="G89" t="s">
        <v>550</v>
      </c>
    </row>
    <row r="90" spans="6:19">
      <c r="F90" t="e">
        <f>#REF!</f>
        <v>#REF!</v>
      </c>
      <c r="G90" t="s">
        <v>551</v>
      </c>
    </row>
    <row r="91" spans="6:19">
      <c r="F91" t="e">
        <f>#REF!</f>
        <v>#REF!</v>
      </c>
      <c r="G91" t="s">
        <v>552</v>
      </c>
    </row>
    <row r="92" spans="6:19">
      <c r="F92" t="e">
        <f>#REF!</f>
        <v>#REF!</v>
      </c>
      <c r="G92" t="s">
        <v>553</v>
      </c>
    </row>
    <row r="93" spans="6:19">
      <c r="F93" t="e">
        <f>#REF!</f>
        <v>#REF!</v>
      </c>
      <c r="G93" t="s">
        <v>554</v>
      </c>
    </row>
    <row r="94" spans="6:19">
      <c r="F94" t="e">
        <f>#REF!</f>
        <v>#REF!</v>
      </c>
      <c r="G94" t="s">
        <v>555</v>
      </c>
    </row>
    <row r="95" spans="6:19">
      <c r="F95" t="e">
        <f>#REF!</f>
        <v>#REF!</v>
      </c>
      <c r="G95" t="s">
        <v>556</v>
      </c>
    </row>
    <row r="96" spans="6:19">
      <c r="F96" t="e">
        <f>#REF!</f>
        <v>#REF!</v>
      </c>
      <c r="G96" t="s">
        <v>557</v>
      </c>
    </row>
    <row r="97" spans="6:7">
      <c r="F97" s="1" t="e">
        <f>#REF!</f>
        <v>#REF!</v>
      </c>
      <c r="G97" t="s">
        <v>558</v>
      </c>
    </row>
    <row r="98" spans="6:7">
      <c r="F98" s="1" t="e">
        <f>#REF!</f>
        <v>#REF!</v>
      </c>
      <c r="G98" t="s">
        <v>559</v>
      </c>
    </row>
    <row r="99" spans="6:7">
      <c r="F99" s="1" t="e">
        <f>#REF!</f>
        <v>#REF!</v>
      </c>
      <c r="G99" t="s">
        <v>560</v>
      </c>
    </row>
    <row r="100" spans="6:7">
      <c r="F100" t="e">
        <f>#REF!</f>
        <v>#REF!</v>
      </c>
      <c r="G100" t="s">
        <v>561</v>
      </c>
    </row>
    <row r="101" spans="6:7">
      <c r="F101" t="e">
        <f>#REF!</f>
        <v>#REF!</v>
      </c>
      <c r="G101" t="s">
        <v>562</v>
      </c>
    </row>
    <row r="102" spans="6:7">
      <c r="F102" t="e">
        <f>#REF!</f>
        <v>#REF!</v>
      </c>
      <c r="G102" t="s">
        <v>563</v>
      </c>
    </row>
    <row r="103" spans="6:7">
      <c r="F103" t="e">
        <f>#REF!</f>
        <v>#REF!</v>
      </c>
      <c r="G103" t="s">
        <v>564</v>
      </c>
    </row>
    <row r="104" spans="6:7">
      <c r="F104" t="e">
        <f>#REF!</f>
        <v>#REF!</v>
      </c>
      <c r="G104" t="s">
        <v>565</v>
      </c>
    </row>
    <row r="105" spans="6:7">
      <c r="F105" t="e">
        <f>#REF!</f>
        <v>#REF!</v>
      </c>
      <c r="G105" t="s">
        <v>566</v>
      </c>
    </row>
    <row r="106" spans="6:7">
      <c r="F106" t="e">
        <f>#REF!</f>
        <v>#REF!</v>
      </c>
      <c r="G106" t="s">
        <v>567</v>
      </c>
    </row>
    <row r="107" spans="6:7">
      <c r="F107" s="1" t="e">
        <f>#REF!</f>
        <v>#REF!</v>
      </c>
      <c r="G107" t="s">
        <v>568</v>
      </c>
    </row>
    <row r="108" spans="6:7">
      <c r="F108" s="1" t="e">
        <f>#REF!</f>
        <v>#REF!</v>
      </c>
      <c r="G108" t="s">
        <v>569</v>
      </c>
    </row>
    <row r="109" spans="6:7">
      <c r="F109" s="1" t="e">
        <f>#REF!</f>
        <v>#REF!</v>
      </c>
      <c r="G109" t="s">
        <v>570</v>
      </c>
    </row>
    <row r="110" spans="6:7">
      <c r="F110" t="e">
        <f>#REF!</f>
        <v>#REF!</v>
      </c>
      <c r="G110" t="s">
        <v>571</v>
      </c>
    </row>
    <row r="111" spans="6:7">
      <c r="F111" t="e">
        <f>#REF!</f>
        <v>#REF!</v>
      </c>
      <c r="G111" t="s">
        <v>572</v>
      </c>
    </row>
    <row r="112" spans="6:7">
      <c r="F112" t="e">
        <f>#REF!</f>
        <v>#REF!</v>
      </c>
      <c r="G112" t="s">
        <v>573</v>
      </c>
    </row>
    <row r="113" spans="6:7">
      <c r="F113" t="e">
        <f>#REF!</f>
        <v>#REF!</v>
      </c>
      <c r="G113" t="s">
        <v>574</v>
      </c>
    </row>
    <row r="114" spans="6:7">
      <c r="F114" t="e">
        <f>#REF!</f>
        <v>#REF!</v>
      </c>
      <c r="G114" t="s">
        <v>575</v>
      </c>
    </row>
    <row r="115" spans="6:7">
      <c r="F115" t="e">
        <f>#REF!</f>
        <v>#REF!</v>
      </c>
      <c r="G115" t="s">
        <v>576</v>
      </c>
    </row>
    <row r="116" spans="6:7">
      <c r="F116" t="e">
        <f>#REF!</f>
        <v>#REF!</v>
      </c>
      <c r="G116" t="s">
        <v>577</v>
      </c>
    </row>
    <row r="117" spans="6:7">
      <c r="F117" s="1" t="e">
        <f>#REF!</f>
        <v>#REF!</v>
      </c>
      <c r="G117" t="s">
        <v>578</v>
      </c>
    </row>
    <row r="118" spans="6:7">
      <c r="F118" s="1" t="e">
        <f>#REF!</f>
        <v>#REF!</v>
      </c>
      <c r="G118" t="s">
        <v>579</v>
      </c>
    </row>
    <row r="119" spans="6:7">
      <c r="F119" s="1" t="e">
        <f>#REF!</f>
        <v>#REF!</v>
      </c>
      <c r="G119" t="s">
        <v>580</v>
      </c>
    </row>
    <row r="120" spans="6:7">
      <c r="F120" t="e">
        <f>#REF!</f>
        <v>#REF!</v>
      </c>
      <c r="G120" t="s">
        <v>581</v>
      </c>
    </row>
    <row r="121" spans="6:7">
      <c r="F121" t="e">
        <f>#REF!</f>
        <v>#REF!</v>
      </c>
      <c r="G121" t="s">
        <v>582</v>
      </c>
    </row>
    <row r="122" spans="6:7">
      <c r="F122" t="e">
        <f>#REF!</f>
        <v>#REF!</v>
      </c>
      <c r="G122" t="s">
        <v>583</v>
      </c>
    </row>
    <row r="123" spans="6:7">
      <c r="F123" t="e">
        <f>#REF!</f>
        <v>#REF!</v>
      </c>
      <c r="G123" t="s">
        <v>584</v>
      </c>
    </row>
    <row r="124" spans="6:7">
      <c r="F124" t="e">
        <f>#REF!</f>
        <v>#REF!</v>
      </c>
      <c r="G124" t="s">
        <v>585</v>
      </c>
    </row>
    <row r="125" spans="6:7">
      <c r="F125" t="e">
        <f>#REF!</f>
        <v>#REF!</v>
      </c>
      <c r="G125" t="s">
        <v>586</v>
      </c>
    </row>
    <row r="126" spans="6:7">
      <c r="F126" t="e">
        <f>#REF!</f>
        <v>#REF!</v>
      </c>
      <c r="G126" t="s">
        <v>587</v>
      </c>
    </row>
    <row r="127" spans="6:7">
      <c r="F127" s="1" t="e">
        <f>#REF!</f>
        <v>#REF!</v>
      </c>
      <c r="G127" t="s">
        <v>588</v>
      </c>
    </row>
    <row r="128" spans="6:7">
      <c r="F128" s="1" t="e">
        <f>#REF!</f>
        <v>#REF!</v>
      </c>
      <c r="G128" t="s">
        <v>589</v>
      </c>
    </row>
    <row r="129" spans="6:7">
      <c r="F129" s="1" t="e">
        <f>#REF!</f>
        <v>#REF!</v>
      </c>
      <c r="G129" t="s">
        <v>590</v>
      </c>
    </row>
    <row r="130" spans="6:7">
      <c r="F130" t="e">
        <f>#REF!</f>
        <v>#REF!</v>
      </c>
      <c r="G130" t="s">
        <v>591</v>
      </c>
    </row>
    <row r="131" spans="6:7">
      <c r="F131" t="e">
        <f>#REF!</f>
        <v>#REF!</v>
      </c>
      <c r="G131" t="s">
        <v>592</v>
      </c>
    </row>
    <row r="132" spans="6:7">
      <c r="F132" t="e">
        <f>#REF!</f>
        <v>#REF!</v>
      </c>
      <c r="G132" t="s">
        <v>593</v>
      </c>
    </row>
    <row r="133" spans="6:7">
      <c r="F133" t="e">
        <f>#REF!</f>
        <v>#REF!</v>
      </c>
      <c r="G133" t="s">
        <v>594</v>
      </c>
    </row>
    <row r="134" spans="6:7">
      <c r="F134" t="e">
        <f>#REF!</f>
        <v>#REF!</v>
      </c>
      <c r="G134" t="s">
        <v>595</v>
      </c>
    </row>
    <row r="135" spans="6:7">
      <c r="F135" t="e">
        <f>#REF!</f>
        <v>#REF!</v>
      </c>
      <c r="G135" t="s">
        <v>596</v>
      </c>
    </row>
    <row r="136" spans="6:7">
      <c r="F136" t="e">
        <f>#REF!</f>
        <v>#REF!</v>
      </c>
      <c r="G136" t="s">
        <v>597</v>
      </c>
    </row>
    <row r="137" spans="6:7">
      <c r="F137" s="1" t="e">
        <f>#REF!</f>
        <v>#REF!</v>
      </c>
      <c r="G137" t="s">
        <v>598</v>
      </c>
    </row>
    <row r="138" spans="6:7">
      <c r="F138" s="1" t="e">
        <f>#REF!</f>
        <v>#REF!</v>
      </c>
      <c r="G138" t="s">
        <v>599</v>
      </c>
    </row>
    <row r="139" spans="6:7">
      <c r="F139" s="1" t="e">
        <f>#REF!</f>
        <v>#REF!</v>
      </c>
      <c r="G139" t="s">
        <v>600</v>
      </c>
    </row>
    <row r="140" spans="6:7">
      <c r="F140" t="e">
        <f>#REF!</f>
        <v>#REF!</v>
      </c>
      <c r="G140" t="s">
        <v>601</v>
      </c>
    </row>
    <row r="141" spans="6:7">
      <c r="F141" t="e">
        <f>#REF!</f>
        <v>#REF!</v>
      </c>
      <c r="G141" t="s">
        <v>602</v>
      </c>
    </row>
    <row r="142" spans="6:7">
      <c r="F142" t="e">
        <f>#REF!</f>
        <v>#REF!</v>
      </c>
      <c r="G142" t="s">
        <v>603</v>
      </c>
    </row>
    <row r="143" spans="6:7">
      <c r="F143" t="e">
        <f>#REF!</f>
        <v>#REF!</v>
      </c>
      <c r="G143" t="s">
        <v>604</v>
      </c>
    </row>
    <row r="144" spans="6:7">
      <c r="F144" t="e">
        <f>#REF!</f>
        <v>#REF!</v>
      </c>
      <c r="G144" t="s">
        <v>605</v>
      </c>
    </row>
    <row r="145" spans="6:7">
      <c r="F145" t="e">
        <f>#REF!</f>
        <v>#REF!</v>
      </c>
      <c r="G145" t="s">
        <v>606</v>
      </c>
    </row>
    <row r="146" spans="6:7">
      <c r="F146" t="e">
        <f>#REF!</f>
        <v>#REF!</v>
      </c>
      <c r="G146" t="s">
        <v>607</v>
      </c>
    </row>
    <row r="147" spans="6:7">
      <c r="F147" s="1" t="e">
        <f>#REF!</f>
        <v>#REF!</v>
      </c>
      <c r="G147" t="s">
        <v>608</v>
      </c>
    </row>
    <row r="148" spans="6:7">
      <c r="F148" s="1" t="e">
        <f>#REF!</f>
        <v>#REF!</v>
      </c>
      <c r="G148" t="s">
        <v>609</v>
      </c>
    </row>
    <row r="149" spans="6:7">
      <c r="F149" s="1" t="e">
        <f>#REF!</f>
        <v>#REF!</v>
      </c>
      <c r="G149" t="s">
        <v>610</v>
      </c>
    </row>
    <row r="150" spans="6:7">
      <c r="F150" t="e">
        <f>#REF!</f>
        <v>#REF!</v>
      </c>
      <c r="G150" t="s">
        <v>611</v>
      </c>
    </row>
    <row r="151" spans="6:7">
      <c r="F151" t="e">
        <f>#REF!</f>
        <v>#REF!</v>
      </c>
      <c r="G151" t="s">
        <v>612</v>
      </c>
    </row>
    <row r="152" spans="6:7">
      <c r="F152" t="e">
        <f>#REF!</f>
        <v>#REF!</v>
      </c>
      <c r="G152" t="s">
        <v>613</v>
      </c>
    </row>
    <row r="153" spans="6:7">
      <c r="F153" t="e">
        <f>#REF!</f>
        <v>#REF!</v>
      </c>
      <c r="G153" t="s">
        <v>614</v>
      </c>
    </row>
    <row r="154" spans="6:7">
      <c r="F154" t="e">
        <f>#REF!</f>
        <v>#REF!</v>
      </c>
      <c r="G154" t="s">
        <v>615</v>
      </c>
    </row>
    <row r="155" spans="6:7">
      <c r="F155" t="e">
        <f>#REF!</f>
        <v>#REF!</v>
      </c>
      <c r="G155" t="s">
        <v>616</v>
      </c>
    </row>
    <row r="156" spans="6:7">
      <c r="F156" t="e">
        <f>#REF!</f>
        <v>#REF!</v>
      </c>
      <c r="G156" t="s">
        <v>617</v>
      </c>
    </row>
    <row r="157" spans="6:7">
      <c r="F157" s="1" t="e">
        <f>#REF!</f>
        <v>#REF!</v>
      </c>
      <c r="G157" t="s">
        <v>618</v>
      </c>
    </row>
    <row r="158" spans="6:7">
      <c r="F158" s="1" t="e">
        <f>#REF!</f>
        <v>#REF!</v>
      </c>
      <c r="G158" t="s">
        <v>619</v>
      </c>
    </row>
    <row r="159" spans="6:7">
      <c r="F159" s="1" t="e">
        <f>#REF!</f>
        <v>#REF!</v>
      </c>
      <c r="G159" t="s">
        <v>620</v>
      </c>
    </row>
    <row r="160" spans="6:7">
      <c r="F160" t="e">
        <f>#REF!</f>
        <v>#REF!</v>
      </c>
      <c r="G160" t="s">
        <v>621</v>
      </c>
    </row>
    <row r="161" spans="6:7">
      <c r="F161" t="e">
        <f>#REF!</f>
        <v>#REF!</v>
      </c>
      <c r="G161" t="s">
        <v>622</v>
      </c>
    </row>
    <row r="162" spans="6:7">
      <c r="F162" t="e">
        <f>#REF!</f>
        <v>#REF!</v>
      </c>
      <c r="G162" t="s">
        <v>623</v>
      </c>
    </row>
    <row r="163" spans="6:7">
      <c r="F163" t="e">
        <f>#REF!</f>
        <v>#REF!</v>
      </c>
      <c r="G163" t="s">
        <v>624</v>
      </c>
    </row>
    <row r="164" spans="6:7">
      <c r="F164" t="e">
        <f>#REF!</f>
        <v>#REF!</v>
      </c>
      <c r="G164" t="s">
        <v>625</v>
      </c>
    </row>
    <row r="165" spans="6:7">
      <c r="F165" t="e">
        <f>#REF!</f>
        <v>#REF!</v>
      </c>
      <c r="G165" t="s">
        <v>626</v>
      </c>
    </row>
    <row r="166" spans="6:7">
      <c r="F166" t="e">
        <f>#REF!</f>
        <v>#REF!</v>
      </c>
      <c r="G166" t="s">
        <v>627</v>
      </c>
    </row>
    <row r="167" spans="6:7">
      <c r="F167" t="e">
        <f>#REF!</f>
        <v>#REF!</v>
      </c>
      <c r="G167" t="s">
        <v>628</v>
      </c>
    </row>
    <row r="168" spans="6:7">
      <c r="F168" t="e">
        <f>#REF!</f>
        <v>#REF!</v>
      </c>
      <c r="G168" t="s">
        <v>629</v>
      </c>
    </row>
    <row r="169" spans="6:7">
      <c r="F169" t="e">
        <f>#REF!</f>
        <v>#REF!</v>
      </c>
      <c r="G169" t="s">
        <v>630</v>
      </c>
    </row>
  </sheetData>
  <phoneticPr fontId="130" type="noConversion"/>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6A667-E2A2-4CC6-9D4B-17A0DA30255C}">
  <dimension ref="A1:L8"/>
  <sheetViews>
    <sheetView workbookViewId="0"/>
  </sheetViews>
  <sheetFormatPr defaultRowHeight="13"/>
  <sheetData>
    <row r="1" spans="1:12">
      <c r="A1">
        <v>1750841652168</v>
      </c>
      <c r="B1" t="s">
        <v>631</v>
      </c>
      <c r="C1" t="s">
        <v>632</v>
      </c>
      <c r="D1">
        <v>7</v>
      </c>
      <c r="E1">
        <v>1757051283241</v>
      </c>
      <c r="F1" t="s">
        <v>633</v>
      </c>
      <c r="G1" t="s">
        <v>634</v>
      </c>
      <c r="H1">
        <v>0</v>
      </c>
      <c r="I1">
        <v>1767686600151</v>
      </c>
      <c r="J1" t="s">
        <v>635</v>
      </c>
      <c r="K1" t="s">
        <v>636</v>
      </c>
      <c r="L1">
        <v>0</v>
      </c>
    </row>
    <row r="2" spans="1:12">
      <c r="A2">
        <v>1750841652780</v>
      </c>
      <c r="B2" t="s">
        <v>637</v>
      </c>
      <c r="C2" t="s">
        <v>638</v>
      </c>
      <c r="D2" t="s">
        <v>639</v>
      </c>
    </row>
    <row r="3" spans="1:12">
      <c r="A3">
        <v>1750841652791</v>
      </c>
      <c r="B3" t="s">
        <v>637</v>
      </c>
      <c r="C3" t="s">
        <v>640</v>
      </c>
      <c r="D3" t="s">
        <v>641</v>
      </c>
    </row>
    <row r="4" spans="1:12">
      <c r="A4">
        <v>1750841652791</v>
      </c>
      <c r="B4" t="s">
        <v>637</v>
      </c>
      <c r="C4" t="s">
        <v>642</v>
      </c>
      <c r="D4" t="s">
        <v>643</v>
      </c>
    </row>
    <row r="5" spans="1:12">
      <c r="A5">
        <v>1750841652791</v>
      </c>
      <c r="B5" t="s">
        <v>637</v>
      </c>
      <c r="C5" t="s">
        <v>644</v>
      </c>
      <c r="D5" t="s">
        <v>645</v>
      </c>
    </row>
    <row r="6" spans="1:12">
      <c r="A6">
        <v>1750841652791</v>
      </c>
      <c r="B6" t="s">
        <v>637</v>
      </c>
      <c r="C6" t="s">
        <v>646</v>
      </c>
      <c r="D6" t="s">
        <v>647</v>
      </c>
    </row>
    <row r="7" spans="1:12">
      <c r="A7">
        <v>1750841652868</v>
      </c>
      <c r="B7" t="s">
        <v>637</v>
      </c>
      <c r="C7" t="s">
        <v>638</v>
      </c>
      <c r="D7" t="s">
        <v>648</v>
      </c>
    </row>
    <row r="8" spans="1:12">
      <c r="A8">
        <v>1750841652870</v>
      </c>
      <c r="B8" t="s">
        <v>637</v>
      </c>
      <c r="C8" t="s">
        <v>642</v>
      </c>
      <c r="D8" t="s">
        <v>649</v>
      </c>
    </row>
  </sheetData>
  <phoneticPr fontId="13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B1F24-B46E-4F4A-BACF-80430C0390F7}">
  <dimension ref="A1:L1"/>
  <sheetViews>
    <sheetView workbookViewId="0"/>
  </sheetViews>
  <sheetFormatPr defaultRowHeight="13"/>
  <sheetData>
    <row r="1" spans="1:12">
      <c r="A1">
        <v>1750841652381</v>
      </c>
      <c r="B1" t="s">
        <v>631</v>
      </c>
      <c r="C1" t="s">
        <v>632</v>
      </c>
      <c r="D1">
        <v>0</v>
      </c>
      <c r="E1">
        <v>1757051287922</v>
      </c>
      <c r="F1" t="s">
        <v>633</v>
      </c>
      <c r="G1" t="s">
        <v>634</v>
      </c>
      <c r="H1">
        <v>0</v>
      </c>
      <c r="I1">
        <v>1767686600166</v>
      </c>
      <c r="J1" t="s">
        <v>635</v>
      </c>
      <c r="K1" t="s">
        <v>636</v>
      </c>
      <c r="L1">
        <v>0</v>
      </c>
    </row>
  </sheetData>
  <phoneticPr fontId="13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F020B-F9D5-4D0E-BD6A-1B8B477613D9}">
  <dimension ref="A1:L1"/>
  <sheetViews>
    <sheetView workbookViewId="0"/>
  </sheetViews>
  <sheetFormatPr defaultRowHeight="13"/>
  <sheetData>
    <row r="1" spans="1:12">
      <c r="A1">
        <v>1750841652675</v>
      </c>
      <c r="B1" t="s">
        <v>631</v>
      </c>
      <c r="C1" t="s">
        <v>632</v>
      </c>
      <c r="D1">
        <v>0</v>
      </c>
      <c r="E1">
        <v>1757051287979</v>
      </c>
      <c r="F1" t="s">
        <v>633</v>
      </c>
      <c r="G1" t="s">
        <v>634</v>
      </c>
      <c r="H1">
        <v>0</v>
      </c>
      <c r="I1">
        <v>1767686600166</v>
      </c>
      <c r="J1" t="s">
        <v>635</v>
      </c>
      <c r="K1" t="s">
        <v>636</v>
      </c>
      <c r="L1">
        <v>0</v>
      </c>
    </row>
  </sheetData>
  <phoneticPr fontId="13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0B195-77E4-4F1D-990B-150206431722}">
  <dimension ref="A1:L1"/>
  <sheetViews>
    <sheetView workbookViewId="0"/>
  </sheetViews>
  <sheetFormatPr defaultRowHeight="13"/>
  <sheetData>
    <row r="1" spans="1:12">
      <c r="A1">
        <v>1750841652763</v>
      </c>
      <c r="B1" t="s">
        <v>631</v>
      </c>
      <c r="C1" t="s">
        <v>632</v>
      </c>
      <c r="D1">
        <v>0</v>
      </c>
      <c r="E1">
        <v>1757051288033</v>
      </c>
      <c r="F1" t="s">
        <v>633</v>
      </c>
      <c r="G1" t="s">
        <v>634</v>
      </c>
      <c r="H1">
        <v>0</v>
      </c>
      <c r="I1">
        <v>1767686600166</v>
      </c>
      <c r="J1" t="s">
        <v>635</v>
      </c>
      <c r="K1" t="s">
        <v>636</v>
      </c>
      <c r="L1">
        <v>0</v>
      </c>
    </row>
  </sheetData>
  <phoneticPr fontId="130"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datasnipper xmlns="http://datasnipper" xmlMigrated="true" guid="19f77065-f2f6-4a47-8d3e-3a1dace9fea2" revision="3"/>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文档" ma:contentTypeID="0x010100D40DFAF3432C29498E127C09540A1D00" ma:contentTypeVersion="3" ma:contentTypeDescription="新建文档。" ma:contentTypeScope="" ma:versionID="bc5fc51b8fa8edc88a0ae464996fd1e1">
  <xsd:schema xmlns:xsd="http://www.w3.org/2001/XMLSchema" xmlns:xs="http://www.w3.org/2001/XMLSchema" xmlns:p="http://schemas.microsoft.com/office/2006/metadata/properties" xmlns:ns2="380007f9-8230-40f5-b442-f88e44d18e3b" xmlns:ns3="5f3eee42-6a28-4280-9435-14b4bdc274d7" targetNamespace="http://schemas.microsoft.com/office/2006/metadata/properties" ma:root="true" ma:fieldsID="aca26ceb078c9e200852b2e53b0c48c3" ns2:_="" ns3:_="">
    <xsd:import namespace="380007f9-8230-40f5-b442-f88e44d18e3b"/>
    <xsd:import namespace="5f3eee42-6a28-4280-9435-14b4bdc274d7"/>
    <xsd:element name="properties">
      <xsd:complexType>
        <xsd:sequence>
          <xsd:element name="documentManagement">
            <xsd:complexType>
              <xsd:all>
                <xsd:element ref="ns2:SharedWithUsers" minOccurs="0"/>
                <xsd:element ref="ns2:SharedWithDetails" minOccurs="0"/>
                <xsd:element ref="ns3:Own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0007f9-8230-40f5-b442-f88e44d18e3b"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f3eee42-6a28-4280-9435-14b4bdc274d7" elementFormDefault="qualified">
    <xsd:import namespace="http://schemas.microsoft.com/office/2006/documentManagement/types"/>
    <xsd:import namespace="http://schemas.microsoft.com/office/infopath/2007/PartnerControls"/>
    <xsd:element name="Owner" ma:index="10" nillable="true" ma:displayName="Owner" ma:format="Dropdown" ma:list="UserInfo" ma:SharePointGroup="0"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SharedWithUsers xmlns="380007f9-8230-40f5-b442-f88e44d18e3b">
      <UserInfo>
        <DisplayName>Johnny ZZ Zhang</DisplayName>
        <AccountId>49</AccountId>
        <AccountType/>
      </UserInfo>
      <UserInfo>
        <DisplayName>Selene Li</DisplayName>
        <AccountId>117</AccountId>
        <AccountType/>
      </UserInfo>
    </SharedWithUsers>
    <Owner xmlns="5f3eee42-6a28-4280-9435-14b4bdc274d7">
      <UserInfo>
        <DisplayName/>
        <AccountId xsi:nil="true"/>
        <AccountType/>
      </UserInfo>
    </Owner>
  </documentManagement>
</p:properties>
</file>

<file path=customXml/item5.xml><?xml version="1.0" encoding="utf-8"?>
<datasnipper xmlns="http://datasnipperlegacy" workbookId="40cf15e0-f475-4d40-b690-3b6369fb9626" dataSnipperSheetDeleted="false" guid="834afb0b-f584-4f4e-a283-919f9eabb968" revision="2">
  <settings xmlns="" guid="a0a40119-a98b-4797-a818-05f0f91654ce">
    <setting type="boolean" value="True" name="embed-documents" guid="a0a40252-15f6-4c9f-b9af-5cc466e39348"/>
  </settings>
</datasnipper>
</file>

<file path=customXml/itemProps1.xml><?xml version="1.0" encoding="utf-8"?>
<ds:datastoreItem xmlns:ds="http://schemas.openxmlformats.org/officeDocument/2006/customXml" ds:itemID="{F1CFA7F2-0DD1-4BCB-9540-8723CC5E4E9A}">
  <ds:schemaRefs>
    <ds:schemaRef ds:uri="http://datasnipper"/>
  </ds:schemaRefs>
</ds:datastoreItem>
</file>

<file path=customXml/itemProps2.xml><?xml version="1.0" encoding="utf-8"?>
<ds:datastoreItem xmlns:ds="http://schemas.openxmlformats.org/officeDocument/2006/customXml" ds:itemID="{9581F21E-843E-4A52-9FF7-55312426CCC2}">
  <ds:schemaRefs>
    <ds:schemaRef ds:uri="http://schemas.microsoft.com/sharepoint/v3/contenttype/forms"/>
  </ds:schemaRefs>
</ds:datastoreItem>
</file>

<file path=customXml/itemProps3.xml><?xml version="1.0" encoding="utf-8"?>
<ds:datastoreItem xmlns:ds="http://schemas.openxmlformats.org/officeDocument/2006/customXml" ds:itemID="{935EF263-C116-474B-ACBF-678B8D1011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0007f9-8230-40f5-b442-f88e44d18e3b"/>
    <ds:schemaRef ds:uri="5f3eee42-6a28-4280-9435-14b4bdc274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2B85EFF-3607-43AA-AAD3-CCF4C26188C0}">
  <ds:schemaRefs>
    <ds:schemaRef ds:uri="http://schemas.microsoft.com/office/2006/metadata/properties"/>
    <ds:schemaRef ds:uri="http://schemas.microsoft.com/office/infopath/2007/PartnerControls"/>
    <ds:schemaRef ds:uri="380007f9-8230-40f5-b442-f88e44d18e3b"/>
    <ds:schemaRef ds:uri="5f3eee42-6a28-4280-9435-14b4bdc274d7"/>
  </ds:schemaRefs>
</ds:datastoreItem>
</file>

<file path=customXml/itemProps5.xml><?xml version="1.0" encoding="utf-8"?>
<ds:datastoreItem xmlns:ds="http://schemas.openxmlformats.org/officeDocument/2006/customXml" ds:itemID="{C45C7123-3AE2-4AAA-A3DD-66FFB8CA5A87}">
  <ds:schemaRefs>
    <ds:schemaRef ds:uri="http://datasnipperlegacy"/>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汇总</vt:lpstr>
      <vt:lpstr>Uexp_Lead</vt:lpstr>
      <vt:lpstr>Uexp财务费用BKD</vt:lpstr>
      <vt:lpstr>Uexp利息测试</vt:lpstr>
      <vt:lpstr>Uexp_Cutoff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标准审计底稿模板_U_Exp_202YMMDD_XYZ公司</dc:title>
  <dc:subject/>
  <dc:creator>Jadey Cai</dc:creator>
  <cp:keywords>Final Audit.V5.U_Exp.1219</cp:keywords>
  <dc:description>B2EE6476-01BB-4A47-B969-699B73282C31</dc:description>
  <cp:lastModifiedBy>Ruby YR Li</cp:lastModifiedBy>
  <cp:revision/>
  <dcterms:created xsi:type="dcterms:W3CDTF">2019-11-17T09:56:00Z</dcterms:created>
  <dcterms:modified xsi:type="dcterms:W3CDTF">2026-05-18T11:56:25Z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0x010100D40DFAF3432C29498E127C09540A1D00</vt:lpwstr>
  </property>
  <property fmtid="{D5CDD505-2E9C-101B-9397-08002B2CF9AE}" pid="3" name="ICV">
    <vt:lpwstr>432C420F72B74D2FBD3A13655E7BFF9E_13</vt:lpwstr>
  </property>
  <property fmtid="{D5CDD505-2E9C-101B-9397-08002B2CF9AE}" pid="4" name="KSOProductBuildVer">
    <vt:lpwstr>2052-12.1.0.21171</vt:lpwstr>
  </property>
</Properties>
</file>
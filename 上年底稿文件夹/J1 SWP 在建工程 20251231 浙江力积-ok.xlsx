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https://eychinamanaged.sharepoint.cn/sites/IPO19/Shared Documents/浙江力积IPO/251231年审/03.WP/CSDC-底稿/CSDC底稿/"/>
    </mc:Choice>
  </mc:AlternateContent>
  <xr:revisionPtr revIDLastSave="1787" documentId="8_{B5A5B928-1299-4C08-9B1F-66D166FB1B52}" xr6:coauthVersionLast="47" xr6:coauthVersionMax="47" xr10:uidLastSave="{CBA2BDB6-0526-4E1C-ACB7-2720625853AE}"/>
  <bookViews>
    <workbookView xWindow="-28920" yWindow="3405" windowWidth="29040" windowHeight="15720" tabRatio="927" activeTab="4" xr2:uid="{00000000-000D-0000-FFFF-FFFF00000000}"/>
  </bookViews>
  <sheets>
    <sheet name="汇总" sheetId="73" r:id="rId1"/>
    <sheet name="SkywindSettingSheet" sheetId="31" state="veryHidden" r:id="rId2"/>
    <sheet name="J.00  Lead Sheet" sheetId="74" r:id="rId3"/>
    <sheet name="J.01 Agree SL to GL" sheetId="75" r:id="rId4"/>
    <sheet name="J.02.1 CIP additions(TOD)" sheetId="69" r:id="rId5"/>
    <sheet name="CIP List" sheetId="77" r:id="rId6"/>
    <sheet name="J.02.1a 新增选样" sheetId="87" r:id="rId7"/>
    <sheet name="J.02.2 CIP transfer (TOD)" sheetId="70" r:id="rId8"/>
    <sheet name=" J.02.2a 转出选样" sheetId="88" r:id="rId9"/>
    <sheet name="J.03 CIP长期挂账" sheetId="66" state="hidden" r:id="rId10"/>
  </sheets>
  <externalReferences>
    <externalReference r:id="rId11"/>
    <externalReference r:id="rId12"/>
  </externalReference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IntlFixup" hidden="1">TRUE</definedName>
    <definedName name="_dod1" hidden="1">{#N/A,#N/A,TRUE,"CPRD";#N/A,#N/A,TRUE,"BCCPDR";#N/A,#N/A,TRUE,"EWRD";#N/A,#N/A,TRUE,"5100";#N/A,#N/A,TRUE,"5110"}</definedName>
    <definedName name="_dog1" hidden="1">{#N/A,#N/A,TRUE,"CPRD";#N/A,#N/A,TRUE,"BCCPDR";#N/A,#N/A,TRUE,"EWRD";#N/A,#N/A,TRUE,"5100";#N/A,#N/A,TRUE,"5110"}</definedName>
    <definedName name="_Fill" hidden="1">#REF!</definedName>
    <definedName name="_xlnm._FilterDatabase" localSheetId="3" hidden="1">'J.01 Agree SL to GL'!$C$12:$K$37</definedName>
    <definedName name="_xlnm._FilterDatabase" hidden="1">#REF!</definedName>
    <definedName name="_Key1" hidden="1">#REF!</definedName>
    <definedName name="_Key2" hidden="1">#REF!</definedName>
    <definedName name="_Order1" hidden="1">255</definedName>
    <definedName name="_Order2" hidden="1">255</definedName>
    <definedName name="_Sort" hidden="1">#REF!</definedName>
    <definedName name="adas" hidden="1">{"M1Print",#N/A,TRUE,"M1";"M2Print",#N/A,TRUE,"M2";"M1sPrint",#N/A,TRUE,"M1s";"M2aPrint",#N/A,TRUE,"M2a";"M4Print",#N/A,TRUE,"M4";"M5Print",#N/A,TRUE,"M5";"M6Print",#N/A,TRUE,"M6";"M6_1Print",#N/A,TRUE,"M6_1";"M6_2Print",#N/A,TRUE,"M6_2";"M7_1Print",#N/A,TRUE,"M7_1";"M7_2Print",#N/A,TRUE,"M7_2"}</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s" hidden="1">{#N/A,#N/A,TRUE,"CPRD";#N/A,#N/A,TRUE,"BCCPDR";#N/A,#N/A,TRUE,"EWRD";#N/A,#N/A,TRUE,"5100";#N/A,#N/A,TRUE,"5110"}</definedName>
    <definedName name="BG_Del" hidden="1">15</definedName>
    <definedName name="BG_Ins" hidden="1">4</definedName>
    <definedName name="BG_Mod" hidden="1">6</definedName>
    <definedName name="BNE_MESSAGES_HIDDEN" hidden="1">#REF!</definedName>
    <definedName name="cashflow20030930" hidden="1">{"M1Print",#N/A,TRUE,"M1";"M2Print",#N/A,TRUE,"M2";"M1sPrint",#N/A,TRUE,"M1s";"M2aPrint",#N/A,TRUE,"M2a";"M4Print",#N/A,TRUE,"M4";"M5Print",#N/A,TRUE,"M5";"M6Print",#N/A,TRUE,"M6";"M6_1Print",#N/A,TRUE,"M6_1";"M6_2Print",#N/A,TRUE,"M6_2";"M7_1Print",#N/A,TRUE,"M7_1";"M7_2Print",#N/A,TRUE,"M7_2"}</definedName>
    <definedName name="doddd" hidden="1">{#N/A,#N/A,TRUE,"CPRD";#N/A,#N/A,TRUE,"BCCPDR";#N/A,#N/A,TRUE,"EWRD";#N/A,#N/A,TRUE,"5100";#N/A,#N/A,TRUE,"5110"}</definedName>
    <definedName name="dog" hidden="1">{#N/A,#N/A,TRUE,"CPRD";#N/A,#N/A,TRUE,"BCCPDR";#N/A,#N/A,TRUE,"EWRD";#N/A,#N/A,TRUE,"5100";#N/A,#N/A,TRUE,"5110"}</definedName>
    <definedName name="ehdg" hidden="1">{#N/A,#N/A,FALSE,"Jan"}</definedName>
    <definedName name="EV__LASTREFTIME__" hidden="1">39274.4724884259</definedName>
    <definedName name="ExpenseUpload" hidden="1">{#N/A,#N/A,TRUE,"CPRD";#N/A,#N/A,TRUE,"BCCPDR";#N/A,#N/A,TRUE,"EWRD";#N/A,#N/A,TRUE,"5100";#N/A,#N/A,TRUE,"5110"}</definedName>
    <definedName name="HdctTrnd" hidden="1">{#N/A,#N/A,TRUE,"CPRD";#N/A,#N/A,TRUE,"BCCPDR";#N/A,#N/A,TRUE,"EWRD";#N/A,#N/A,TRUE,"5100";#N/A,#N/A,TRUE,"5110"}</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REPAIR" hidden="1">"c2087"</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Z_SCORE" hidden="1">"c1339"</definedName>
    <definedName name="K2_WBEVMODE" hidden="1">-1</definedName>
    <definedName name="LotusGraphChart1" hidden="1">#REF!</definedName>
    <definedName name="lotusgraphchart1b" hidden="1">#REF!</definedName>
    <definedName name="lotusgraphchart1x" hidden="1">#REF!</definedName>
    <definedName name="notused" hidden="1">{#N/A,#N/A,TRUE,"CPRD";#N/A,#N/A,TRUE,"BCCPDR";#N/A,#N/A,TRUE,"EWRD";#N/A,#N/A,TRUE,"5100";#N/A,#N/A,TRUE,"5110"}</definedName>
    <definedName name="qwertyuiopasdfghjkl" hidden="1">{"M2aPrint",#N/A,FALSE,"M2a"}</definedName>
    <definedName name="qwwertyuiop" hidden="1">{"M2Print",#N/A,FALSE,"M2"}</definedName>
    <definedName name="SAPBEXdnldView" hidden="1">"4D4WVRAZFXWLPKS3R52UJB0QG"</definedName>
    <definedName name="SAPBEXrevision" hidden="1">1</definedName>
    <definedName name="SAPBEXsysID" hidden="1">"PE4"</definedName>
    <definedName name="SAPBEXwbID" hidden="1">"3Q4R7W3VD66V3CXTGQHGIRCBE"</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TextRefCopyRangeCount" hidden="1">5</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ytd." hidden="1">{#N/A,#N/A,FALSE,"YTD"}</definedName>
    <definedName name="wrnn.all." hidden="1">{#N/A,#N/A,FALSE,"SUM";#N/A,#N/A,FALSE,"SK_TOT";#N/A,#N/A,FALSE,"YM";#N/A,#N/A,FALSE,"TSMC";#N/A,#N/A,FALSE,"ICW";#N/A,#N/A,FALSE,"Sheet1"}</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zxsfd" hidden="1">{"M1Print",#N/A,FALSE,"M1"}</definedName>
    <definedName name="Z_1711050D_B2D8_42FB_A40D_E4BD90297684_.wvu.Cols" hidden="1">#REF!,#REF!,#REF!,#REF!,#REF!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苛" hidden="1">{"M1sPrint",#N/A,FALSE,"M1s"}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3" i="74" l="1"/>
  <c r="E62" i="74"/>
  <c r="H52" i="70"/>
  <c r="H51" i="70"/>
  <c r="I50" i="70"/>
  <c r="J50" i="70" s="1"/>
  <c r="I49" i="70"/>
  <c r="J49" i="70" s="1"/>
  <c r="J43" i="70"/>
  <c r="I44" i="70"/>
  <c r="J44" i="70" s="1"/>
  <c r="I45" i="70"/>
  <c r="J45" i="70" s="1"/>
  <c r="I46" i="70"/>
  <c r="J46" i="70" s="1"/>
  <c r="I47" i="70"/>
  <c r="J47" i="70" s="1"/>
  <c r="I48" i="70"/>
  <c r="J48" i="70" s="1"/>
  <c r="I43" i="70"/>
  <c r="J51" i="70" l="1"/>
  <c r="I51" i="70"/>
  <c r="E33" i="75" l="1"/>
  <c r="C12" i="69"/>
  <c r="F72" i="70"/>
  <c r="F70" i="70"/>
  <c r="I16" i="75"/>
  <c r="F92" i="88" l="1"/>
  <c r="F92" i="87"/>
  <c r="C6" i="74"/>
  <c r="I51" i="74" l="1"/>
  <c r="G51" i="74"/>
  <c r="H14" i="77" l="1"/>
  <c r="G14" i="77"/>
  <c r="F14" i="77"/>
  <c r="D12" i="70" s="1"/>
  <c r="E14" i="77"/>
  <c r="E28" i="75"/>
  <c r="D16" i="74"/>
  <c r="B33" i="74"/>
  <c r="E42" i="74"/>
  <c r="F59" i="70"/>
  <c r="J43" i="74"/>
  <c r="E43" i="74"/>
  <c r="G17" i="75"/>
  <c r="F66" i="70"/>
  <c r="F62" i="70"/>
  <c r="C13" i="69"/>
  <c r="E17" i="75"/>
  <c r="E45" i="74" s="1"/>
  <c r="E22" i="75"/>
  <c r="E46" i="74" s="1"/>
  <c r="K13" i="75"/>
  <c r="J45" i="74" s="1"/>
  <c r="K14" i="75"/>
  <c r="K15" i="75"/>
  <c r="K16" i="75"/>
  <c r="K19" i="75"/>
  <c r="K20" i="75"/>
  <c r="K21" i="75"/>
  <c r="G22" i="75"/>
  <c r="I17" i="75"/>
  <c r="H45" i="74" s="1"/>
  <c r="I22" i="75"/>
  <c r="H46" i="74" s="1"/>
  <c r="F46" i="74"/>
  <c r="C14" i="69"/>
  <c r="F14" i="69" s="1"/>
  <c r="D19" i="74"/>
  <c r="D20" i="74"/>
  <c r="L34" i="70"/>
  <c r="D13" i="70"/>
  <c r="F73" i="70" s="1"/>
  <c r="L33" i="70"/>
  <c r="K33" i="69"/>
  <c r="K32" i="69"/>
  <c r="C17" i="69"/>
  <c r="R44" i="31"/>
  <c r="R43" i="31"/>
  <c r="R42" i="31"/>
  <c r="R41" i="31"/>
  <c r="F71" i="31"/>
  <c r="F70" i="31"/>
  <c r="F69" i="31"/>
  <c r="F68" i="31"/>
  <c r="F67" i="31"/>
  <c r="F66" i="31"/>
  <c r="F65" i="31"/>
  <c r="F64" i="31"/>
  <c r="F63" i="31"/>
  <c r="R40" i="31"/>
  <c r="R39" i="31"/>
  <c r="R38" i="31"/>
  <c r="R37" i="31"/>
  <c r="R36" i="31"/>
  <c r="R35" i="31"/>
  <c r="R34" i="31"/>
  <c r="R33" i="31"/>
  <c r="R32" i="31"/>
  <c r="R31" i="31"/>
  <c r="R30" i="31"/>
  <c r="R29" i="31"/>
  <c r="R28" i="31"/>
  <c r="R27" i="31"/>
  <c r="R26" i="31"/>
  <c r="R25" i="31"/>
  <c r="R24" i="31"/>
  <c r="R23" i="31"/>
  <c r="R22" i="31"/>
  <c r="R21" i="31"/>
  <c r="R20" i="31"/>
  <c r="R19" i="31"/>
  <c r="R18" i="31"/>
  <c r="R17" i="31"/>
  <c r="R16" i="31"/>
  <c r="R15" i="31"/>
  <c r="F43" i="31"/>
  <c r="F42" i="31"/>
  <c r="F41" i="31"/>
  <c r="F40" i="31"/>
  <c r="F39" i="31"/>
  <c r="F38" i="31"/>
  <c r="F37" i="31"/>
  <c r="F36" i="31"/>
  <c r="F35" i="31"/>
  <c r="F34" i="31"/>
  <c r="F33" i="31"/>
  <c r="F32" i="31"/>
  <c r="F31" i="31"/>
  <c r="F30" i="31"/>
  <c r="F29" i="31"/>
  <c r="F28" i="31"/>
  <c r="F27" i="31"/>
  <c r="F26" i="31"/>
  <c r="F25" i="31"/>
  <c r="F24" i="31"/>
  <c r="F23" i="31"/>
  <c r="F22" i="31"/>
  <c r="F21" i="31"/>
  <c r="F20" i="31"/>
  <c r="F19" i="31"/>
  <c r="F18" i="31"/>
  <c r="F17" i="31"/>
  <c r="F16" i="31"/>
  <c r="F15" i="31"/>
  <c r="F14" i="31"/>
  <c r="F13" i="31"/>
  <c r="F12" i="31"/>
  <c r="F11" i="31"/>
  <c r="F10" i="31"/>
  <c r="G24" i="75" l="1"/>
  <c r="K22" i="75"/>
  <c r="D18" i="74"/>
  <c r="E16" i="74" s="1"/>
  <c r="C33" i="74" s="1"/>
  <c r="D17" i="74"/>
  <c r="I24" i="75"/>
  <c r="E27" i="75"/>
  <c r="K17" i="75"/>
  <c r="K24" i="75" s="1"/>
  <c r="G46" i="74"/>
  <c r="I46" i="74" s="1"/>
  <c r="E24" i="75"/>
  <c r="E29" i="75" s="1"/>
  <c r="D17" i="70"/>
  <c r="E34" i="75"/>
  <c r="H48" i="74"/>
  <c r="F74" i="70"/>
  <c r="E48" i="74"/>
  <c r="F45" i="74"/>
  <c r="F48" i="74" s="1"/>
  <c r="D14" i="70"/>
  <c r="H14" i="70" s="1"/>
  <c r="L45" i="74"/>
  <c r="J46" i="74"/>
  <c r="L46" i="74" s="1"/>
  <c r="G45" i="74" l="1"/>
  <c r="K46" i="74"/>
  <c r="N46" i="74" s="1"/>
  <c r="J48" i="74"/>
  <c r="L48" i="74" l="1"/>
  <c r="J52" i="74"/>
  <c r="G48" i="74"/>
  <c r="G52" i="74" s="1"/>
  <c r="I45" i="74"/>
  <c r="K45" i="74" l="1"/>
  <c r="I48" i="74"/>
  <c r="I52" i="74" s="1"/>
  <c r="N45" i="74" l="1"/>
  <c r="K48" i="74"/>
  <c r="N48" i="74" s="1"/>
</calcChain>
</file>

<file path=xl/sharedStrings.xml><?xml version="1.0" encoding="utf-8"?>
<sst xmlns="http://schemas.openxmlformats.org/spreadsheetml/2006/main" count="920" uniqueCount="571">
  <si>
    <t>J.02.1 CIP additions(TOD)</t>
  </si>
  <si>
    <t>J.02.2 CIP transfer (TOD)</t>
  </si>
  <si>
    <t>V6 SWP</t>
  </si>
  <si>
    <t>该科目涉及OSP底稿可参考此链接</t>
  </si>
  <si>
    <r>
      <t xml:space="preserve">OSP K1 SWP </t>
    </r>
    <r>
      <rPr>
        <u/>
        <sz val="10"/>
        <color theme="10"/>
        <rFont val="微软雅黑"/>
        <family val="2"/>
        <charset val="134"/>
      </rPr>
      <t>固定资产及在建工程盘点</t>
    </r>
    <r>
      <rPr>
        <u/>
        <sz val="10"/>
        <color theme="10"/>
        <rFont val="Arial"/>
        <family val="2"/>
      </rPr>
      <t xml:space="preserve"> 202YMMDD XYZ</t>
    </r>
    <r>
      <rPr>
        <u/>
        <sz val="10"/>
        <color theme="10"/>
        <rFont val="微软雅黑"/>
        <family val="2"/>
        <charset val="134"/>
      </rPr>
      <t>公司</t>
    </r>
    <r>
      <rPr>
        <u/>
        <sz val="10"/>
        <color theme="10"/>
        <rFont val="Arial"/>
        <family val="2"/>
      </rPr>
      <t>.xlsx</t>
    </r>
  </si>
  <si>
    <t>J.00</t>
    <phoneticPr fontId="77" type="noConversion"/>
  </si>
  <si>
    <t>J.00  Lead Sheet（认定：E, C）</t>
  </si>
  <si>
    <t>程序页</t>
  </si>
  <si>
    <t>执行</t>
  </si>
  <si>
    <t>不执行的原因</t>
  </si>
  <si>
    <t>获取和编制在建工程两期变动的引导表，并与试算平衡表和上年底稿核对一致。对在建工程变动建立预期并说明理由，对不符合预期的变动以及异常变动进行调查和分析。</t>
  </si>
  <si>
    <t>J.00 Lead sheet</t>
  </si>
  <si>
    <t>是</t>
  </si>
  <si>
    <t>J.01</t>
    <phoneticPr fontId="77" type="noConversion"/>
  </si>
  <si>
    <t>J.01 Agree SL to GL（认定：BS：E、V、C  IS：M、C）</t>
  </si>
  <si>
    <t>我们获取了本年在建工程明细清单，该清单包含在建工程的变动，并将金额与试算表进行核对。</t>
  </si>
  <si>
    <t>J.01 Agree SL to GL</t>
    <phoneticPr fontId="77" type="noConversion"/>
  </si>
  <si>
    <t>J.02.1</t>
    <phoneticPr fontId="77" type="noConversion"/>
  </si>
  <si>
    <t>J.02.1 CIP additions(TOD)（认定：BS：E、V、C、R&amp;O、P&amp;D  IS：M、P&amp;D）</t>
  </si>
  <si>
    <t>获取在建工程新增清单，并将列表与在建工程后推核对一致。调差超过SAD名义金额的差异。</t>
  </si>
  <si>
    <t>对于本期新增的建工程项目，将大于测试阈值或存在重大错报风险的项目作为关键项（key item）,我们使用安永抽样工具选择代表性样本，将抽取的样本查看相关支持文件。</t>
  </si>
  <si>
    <t>J.02.2</t>
    <phoneticPr fontId="77" type="noConversion"/>
  </si>
  <si>
    <t>J.02.2 CIP transfer (TOD)（认定：BS：E、V、C、R&amp;O、P&amp;D  IS：M、P&amp;D）</t>
  </si>
  <si>
    <t>获取在建工程转出清单，并将列表与固定资产后推核对一致。调差超过SAD名义金额的差异。</t>
  </si>
  <si>
    <t>对于本期转出的建工程项目，将大于测试阈值或存在重大错报风险的项目作为关键项（key item）,我们使用安永抽样工具选择代表性样本，将抽取的样本查看相关支持文件。</t>
  </si>
  <si>
    <t>本年转出的在建工程金额与其他科目转入的在建工程金额进行核对，并对差异进行检查。</t>
  </si>
  <si>
    <t>J.03</t>
    <phoneticPr fontId="77" type="noConversion"/>
  </si>
  <si>
    <t>J.03 CIP长期挂账（认定：BS：E、V、C、R&amp;O、P&amp;D  IS：M、P&amp;D）</t>
  </si>
  <si>
    <t>对于余额重大长期挂账的在建工程，我们考虑其合理性。</t>
    <phoneticPr fontId="77" type="noConversion"/>
  </si>
  <si>
    <t>J.03 CIP长期挂账</t>
  </si>
  <si>
    <t>否</t>
  </si>
  <si>
    <t>期初无余额，期末余额为预付定制软件款项，已调整。</t>
  </si>
  <si>
    <t>我们将期末在建工程清单（如项目清单）作为总体，选取金额重大且长期挂账的在建工程作为样本。</t>
    <phoneticPr fontId="77" type="noConversion"/>
  </si>
  <si>
    <t>否</t>
    <phoneticPr fontId="77" type="noConversion"/>
  </si>
  <si>
    <t>J.04</t>
  </si>
  <si>
    <t>J.04 资产的减值（认定：BS: V  IS: M）</t>
  </si>
  <si>
    <t>1.使用在审计过程中所获得的信息来确定管理层是否已识别适当的减值迹象；可使用PSP Canvas form K.04: 识别减值迹象，也可使用 &lt;SWP减值迹象识别&gt; 对减值迹象进行评估，并根据指引要求获取相关支持性文件。
2.如有减值迹象的，评价管理层假设、未来现金流等减值评估的合理性，核实并测算减值金额。
3.检查是否存在转回在建工程减值准备的情况，确定减值准备在以后会计期间没有转回。</t>
    <phoneticPr fontId="77" type="noConversion"/>
  </si>
  <si>
    <t>期初无余额，期末余额为预付定制软件款项，已调整。</t>
    <phoneticPr fontId="77" type="noConversion"/>
  </si>
  <si>
    <t>4e8a7199-876e-4a55-b346-7babaa25151c</t>
  </si>
  <si>
    <t>ABC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cKlhuPwUF54PvycL3+9Px+fvw4/95fx13p/fvj/3b+8fL/vjy9fL19f54/vt+eVXsHApVDge8z8f/4oKb79YhX/5+xvDv/7x5d7929fux79/7v75f8h//E9/qsSf/xQ1qEGNHTWoQY3bd5ca9z9KDWpQgxrU2D5BDWpQgxrUoMb2y6lBDWpcP00Najz8galBDWpQgxrUoAY1qLGjBjWocfvuUuP+R6lBDWpQgxrbJ6hBDWpQgxrU2H45NahBjeunqUGNhz8wNahBDWpQgxrUoAY1dtSgBjVu311q3P8oNahBDWpQY/sENahBDWpQgxrbL6cGNahx/TQ1qPHwB6YGNahBDWpQgxrUoMaOGtSgxu27S437H6UGNahBDWpsn6AGNahBDWpQY/vl1KAGNa6fpgY1Hv7A1KAGNahBDWpQgxrU2FGDGtS4fXepcf+j1KAGNahBje0T1KAGNahBDWpsv5wa1KDG9dPUoMbDH5ga1KAGNahBDWpQgxo7alCDGrfvLjXuf5Qa1KAGNaixfYIa1KAGNahBje2XU4Ma1Lh+mhrUePgDU4Ma1KAGNahBDWpQY0cNalDj9t2lxv2PUoMa1KAGNbZPUIMa1KAGNaix/XJqUIMa109TgxoPf2BqUIMa1KAGNahBDWrsqEENaty+u9S4/1FqUIMa1KDG9glqUIMa1KAGNbZfTg1qUOP6aWpQ4+EPTA1qUIMa1KAGNahBjR01qEGN23eXGvc/Sg1qUIMa1Ng+QQ1qUIMa1KDG9supQQ1qXD9NDWo8/IGpQQ1qUIMa1KAGNaixowY1qHH77lLj/kepQQ1qUIMa2yeoQQ1qUIMa1Nh+OTWoQY3rp6lBjYc/MDWoQQ1qUIMa1KAGNXbUoAY1bt9datz/KDWoQQ1qUGP7BDWoQQ1qUIMa2y+nBjWocf00Najx8AemBjWoQQ1qUIMa1KDGjhrUoMbtu0uN+x+lBjWoQQ1qbJ+gBjWoQQ1qUGP75dSgBjWun6YGNR7+wNSgBjWoQQ1qUIMa1NhRgxrUuH13qXH/o9SgBjWoQY3tE9SgBjWoQQ1qbL+cGtSgxvXT1KDGwx+YGtSgBjWoQQ1qUIMaO2pQgxq37y417n+UGtSgBjWosX2CGtSgBjWoQY3tl1ODGtS4fpoa1Hj4A1ODGtSgBjWoQQ1qUGNHDWpQ4/bdpcb9j1KDGtSgBjW2T1CDGtSgBjWosf1yalCDGtdPU4MaD39galCDGtSgBjWoQQ1q7KhBDWrcvrvUuP9RalCDGtSgxvYJalCDGtSgBjW2X04NalDj+mlqUOPhD0wNalCDGtSgBjWoQY0dNahBjdt3lxr3P0oNalCDGtTYPkENalCDGtSgxvbLqUENalw/TQ1qPPyBqUENalCDGtSgBjWosaMGNahx++5S4/5HqUENalCDGtsnqEENalCDGtTYfjk1qEGN66epQY2HPzA1qEENalCDGtSgBjV21PhN1Tgenko2jofzz3DjeLj8nnAcDy8f3+eP9/3X6fWyP79/v+5/nE6X/fPb89fb+4/L+fKcvlr/H3AcD6dCjvhf6y/L8fSL5fjH35fjH//xX1//+adS5E+RgQz/yyfFy/nt5XK47C8/jqc/ZHg97398fB33Py7Ht5fnz7ePz/MTGX62DCcykKG5DM+vb+9/ePC5f7p8H/fny/lp//76/b5/Oj+fvr+e3s/nH99k8GZoKMPrqZbh9emnyPB6/j1leP04H8/Hj/P+8/Pra38+fV72P17O7/vDy/vrx9vTy9fl8vlLZHg9FjK85v93QIbfTYa3t1KG0yGPVf8HGU6H4+8pw/vLj8vz5e1j/3n6ftufv54O+7eX43H//H08PJ/eXy6fr7/mzfD2+j/L8PBfa54M/jXx92U4Het/TZyOP+VfE6fjb/qvibfT5/fh6XDef32/HPbnl4/D/v3583n/8Xn548nw+XL4OD7/ChlOx+JfEw//tebJ8ESGvy/DqU6ap9NPaZqn0+vvKcPx/eXp+XB83z+dzt/78+f3cf/68X7Zvzy/fX59Hr5enw6/5M1wOhVV8+G/1jwZzmSwQHaXQbW0M5Dh7j87GVTLf/5v7QxkIEOW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cahguP8WF58PvycL3+9Px+fvwY385f53357fvz/3b+8fL/vjy9fL1df74fnt++RUsXAoVjsf8z8e/osLbL1bhX/7+xvCvf3y5d//2tfvx75+7f/4f8h//058q8ec/RQ1qUGNHDWpQ4/bdpcb9j1KDGtSgBjW2T1CDGtSgBjWosf1yalCDGtdPU4MaD39galCDGtSgBjWoQQ1q7KhBDWrcvrvUuP9RalCDGtSgxvYJalCDGtSgBjW2X04NalDj+mlqUOPhD0wNalCDGtSgBjWoQY0dNahBjdt3lxr3P0oNalCDGtTYPkENalCDGtSgxvbLqUENalw/TQ1qPPyBqUENalCDGtSgBjWosaMGNahx++5S4/5HqUENalCDGtsnqEENalCDGtTYfjk1qEGN66epQY2HPzA1qEENalCDGtSgBjV21KAGNW7fXWrc/yg1qEENalBj+wQ1qEENalCDGtsvpwY1qHH9NDWo8fAHpgY1qEENalCDGtSgxo4a1KDG7btLjfsfpQY1qEENamyfoAY1qEENalBj++XUoAY1rp+mBjUe/sDUoAY1qEENalCDGtTYUYMa1Lh9d6lx/6PUoAY1qEGN7RPUoAY1qEENamy/nBrUoMb109SgxsMfmBrUoAY1qEENalCDGjtqUIMat+8uNe5/lBrUoAY1qLF9ghrUoAY1qEGN7ZdTgxrUuH6aGtR4+ANTgxrUoAY1qEENalBjRw1qUOP23aXG/Y9SgxrUoAY1tk9QgxrUoAY1qLH9cmpQgxrXT1ODGg9/YGpQgxrUoAY1qEENauyoQQ1q3L671Lj/UWpQgxrUoMb2CWpQgxrUoAY1tl9ODWpQ4/ppalDj4Q9MDWpQgxrUoAY1qEGNHTWoQY3bd5ca9z9KDWpQgxrU2D5BDWpQgxrUoMb2y6lBDWpcP00Najz8galBDWpQgxrUoAY1qLGjBjWocfvuUuP+R6lBDWpQgxrbJ6hBDWpQgxrU2H45NahBjeunqUGNhz8wNahBDWpQgxrUoAY1dtSgBjVu311q3P8oNahBDWpQY/sENahBDWpQgxrbL6cGNahx/TQ1qPHwB6YGNahBDWpQgxrUoMaOGtSgxu27S437H6UGNahBDWpsn6AGNahBDWpQY/vl1KAGNa6fpgY1Hv7A1KAGNahBDWpQgxrU2FGDGtS4fXepcf+j1KAGNahBje0T1KAGNahBDWpsv5wa1KDG9dPUoMbDH5ga1KAGNahBDWpQgxo7alCDGrfvLjXuf5Qa1KAGNaixfYIa1KAGNahBje2XU4Ma1Lh+mhrUePgDU4Ma1KAGNahBDWpQY0cNalDj9t2lxv2PUoMa1KAGNbZPUIMa1KAGNaix/XJqUIMa109TgxoPf2BqUIMa1KAGNahBDWrsqEENaty+u9S4/1FqUIMa1KDG9glqUIMa1KAGNbZfTg1qUOP6aWpQ4+EPTA1qUIMa1KAGNahBjR01qEGN23eXGvc/Sg1qUIMa1Ng+QQ1qUIMa1KDG9supQQ1qXD9NDWo8/IGpQQ1qUIMa1KAGNaixowY1qHH77lLj/kepQQ1qUIMa2yeoQQ1qUIMa1Nh+OTWoQY3rp6lBjYc/MDWoQQ1qUIMa1KAGNXbUoAY1bt9datz/KDWoQQ1qUGP7BDWoQQ1qUIMa2y+nBjWocf00Najx8AemBjWoQQ1qUIMa1KDGjhrUoMbtu0uN+x+lBjWoQQ1qbJ+gBjWoQQ1qUGP75dSgBjWun6YGNR7+wNSgBjWoQQ1qUIMa1NhRgxrUuH13qXH/o9SgBjWoQY3tE9SgBjWoQQ1qbL+cGtSgxvXT1KDGwx+YGtSgBjWoQQ1qUIMaO2pQgxq37y417n+UGtSgBjWosX2CGtSgBjWoQY3tl1ODGtS4fpoa1Hj4A1ODGtSgBjWoQQ1qUGNHDWpQ4/bdpcb9j1KDGtSgBjW2T1CDGtSgBjWosf1yalCDGtdPU4MaD39galCDGtSgBjWoQQ1q7KhBDWrcvrvUuP9RalCDGtSgxvYJalCDGtSgBjW2X04NalDj+mlqUOPhD0wNalCDGtSgBjWoQY0dNahBjdt3lxr3P0oNalCDGtTYPkENalCDGtSgxvbLqUENalw/TQ1qPPyBqUENalCDGtSgBjWosaMGNahx++5S4/5HqUENalCDGtsnqEENalCDGtTYfjk1qEGN66epQY2HPzA1qEENalCDGtSgBjV21KAGNW7fXWrc/yg1qEENalBj+wQ1qEENalCDGtsvpwY1qHH9NDWo8fAHpgY1qEENalCDGtSgxo4a1KDG7btLjfsfpQY1qEENamyfoAY1qEENalBj++XUoAY1rp+mBjUe/sDUoAY1qEENalCDGtTYUYMa1Lh9d6lx/6PUoAY1qEGN7RPUoAY1qEENamy/nBrUoMb109SgxsMfmBrUoAY1qEENalCDGjtqUIMat+8uNe5/lBrUoAY1qLF9ghrUoAY1qEGN7ZdTgxrUuH6aGtR4+ANTgxrUoAY1qEENalBjRw1qUOP23aXG/Y9SgxrUoAY1tk9QgxrUoAY1qLH9cmpQgxrXT1ODGg9/YGpQgxrUoAY1qEENauyoQQ1q3L671Lj/UWpQgxrUoMb2CWpQgxrUoAY1tl9ODWpQ4/ppalDj4Q9MDWpQgxrUoAY1qEGNHTWoQY3bd5ca9z9KDWpQgxrU2D5BDWpQgxrUoMb2y6lBDWpcP00Najz8galBDWpQgxrUoAY1qLGjBjWocfvuUuP+R6lBDWpQgxrbJ6hBDWpQgxrU2H45NahBjeunqUGNhz8wNahBDWpQgxrUoAY1dtSgBjVu311q3P8oNahBDWpQY/sENf66GsfDU8nG8XD+GW4cD5ffE47j4eXj+/zxvv86vV725/fv1/2P0+myf357/np7/3E5X57TV+v/A47j4VTIEf9r/WU5nn6xHP/4+3L84z/+6+s//1SK/CkykOF/+aR4Ob+9XA6X/eXH8fSHDK/n/Y+Pr+P+x+X49vL8+fbxeX4iw8+W4UQGMjSX4fn17f0PDz73T5fv4/58OT/t31+/3/dP5+fT99fT+/n845sM3gwNZXg91TK8Pv0UGV7Pv6cMrx/n4/n4cd5/fn597c+nz8v+x8v5fX94eX/9eHt6+bpcPn+JDK/HQobX/P8OyPC7yfD2VspwOuSx6v8gw+lw/D1leH/5cXm+vH3sP0/fb/vz19Nh//ZyPO6fv4+H59P7y+Xz9de8Gd5e/2cZHv5rzZPBvyb+vgynY/2vidPxp/xr4nT8Tf818Xb6/D48Hc77r++Xw/788nHYvz9/Pu8/Pi9/PBk+Xw4fx+dfIcPpWPxr4uG/1jwZnsjw92U41UnzdPopTfN0ev09ZTi+vzw9H47v+6fT+Xt//vw+7l8/3i/7l+e3z6/Pw9fr0+GXvBlOp6JqPvzXmifDmQwWyO4yqJZ2BjLc/Wcng2r5z/+tnYEMZMg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t>
    <phoneticPr fontId="77" type="noConversion"/>
  </si>
  <si>
    <t>AB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Xyv9mzYxMAYBgGgvtvnVoIXNvhFgipHqOj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t>
    <phoneticPr fontId="77" type="noConversion"/>
  </si>
  <si>
    <t>ABC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TysWcvOZJmy3VGp+ITCCDfj77abGgGlZWZPUkNaf7QBQj/3c03ZBR1L1Rmp1aToMeJgyjn4sn9qZ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J97GD7/S1z48u7vycLvHx/ff/n97o+3z59+fXr79P33z7fvP/78+vb+66+vv359+vP39y9f/woWPjcqvH+f/3z8z6jw/S9W4b/88xvDf/3Hl/v2337d/vjvP2///n/I//if/kMl/uOfogY1qHGjBjWo8fjuUuP5R6lBDWpQgxrXJ6hBDWpQgxrUuH45NahBjfunqUGNlz8wNahBDWpQgxrUoAY1btSgBjUe311qPP8oNahBDWpQ4/oENahBDWpQgxrXL6cGNahx/zQ1qPHyB6YGNahBDWpQgxrUoMaNGtSgxuO7S43nH6UGNahBDWpcn6AGNahBDWpQ4/rl1KAGNe6fpgY1Xv7A1KAGNahBDWpQgxrUuFGDGtR4fHep8fyj1KAGNahBjesT1KAGNahBDWpcv5wa1KDG/dPUoMbLH5ga1KAGNahBDWpQgxo3alCDGo/vLjWef5Qa1KAGNahxfYIa1KAGNahBjeuXU4Ma1Lh/mhrUePkDU4Ma1KAGNahBDWpQ40YNalDj8d2lxvOPUoMa1KAGNa5PUIMa1KAGNahx/XJqUIMa909Tgxovf2BqUIMa1KAGNahBDWrcqEENajy+u9R4/lFqUIMa1KDG9QlqUIMa1KAGNa5fTg1qUOP+aWpQ4+UPTA1qUIMa1KAGNahBjRs1qEGNx3eXGs8/Sg1qUIMa1Lg+QQ1qUIMa1KDG9cupQQ1q3D9NDWq8/IGpQQ1qUIMa1KAGNahxowY1qPH47lLj+UepQQ1qUIMa1yeoQQ1qUIMa1Lh+OTWoQY37p6lBjZc/MDWoQQ1qUIMa1KAGNW7UoAY1Ht9dajz/KDWoQQ1qUOP6BDWoQQ1qUIMa1y+nBjWocf80Najx8gemBjWoQQ1qUIMa1KDGjRrUoMbju0uN5x+lBjWoQQ1qXJ+gBjWoQQ1qUOP65dSgBjXun6YGNV7+wNSgBjWoQQ1qUIMa1LhRgxrUeHx3qfH8o9SgBjWoQY3rE9SgBjWoQQ1qXL+cGtSgxv3T1KDGyx+YGtSgBjWoQQ1qUIMaN2pQgxqP7y41nn+UGtSgBjWocX2CGtSgBjWoQY3rl1ODGtS4f5oa1Hj5A1ODGtSgBjWoQQ1qUONGDWpQ4/Hdpcbzj1KDGtSgBjWuT1CDGtSgBjWocf1yalCDGvdPU4MaL39galCDGtSgBjWoQQ1q3KhBDWo8vrvUeP5RalCDGtSgxvUJalCDGtSgBjWuX04NalDj/mlqUOPlD0wNalCDGtSgBjWoQY0bNahBjcd3lxrPP0oNalCDGtS4PkENalCDGtSgxvXLqUENatw/TQ1qvPyBqUENalCDGtSgBjWocaMGNajx+O5S4/lHqUENalCDGtcnqEENalCDGtS4fjk1qEGN+6epQY2XPzA1qEENalCDGtSgBjVu1KAGNR7fXWo8/yg1qEENalDj+gQ1qEENalCDGtcvpwY1qHH/NDWo8fIHpgY1qEENalCDGtSgxo0a1KDG47tLjecfpQY1qEENalyfoAY1qEENalDj+uXUoAY17p+mBjVe/sDUoAY1qEENalCDGtS4UYMa1Hh8d6nx/KPUoAY1qEGN6xPUoAY1qEENaly/nBrUoMb909SgxssfmBrUoAY1qEENalCDGjdqUIMaj+8uNZ5/lBrUoAY1qHF9ghrUoAY1qEGN65dTgxrUuH+aGtR4+QNTgxrUoAY1qEENalDjRg1qUOPx3aXG849SgxrUoAY1rk9QgxrUoAY1qHH9cmpQgxr3T1ODGi9/YGpQgxrUoAY1qEENatyoQQ1qPL671Hj+UWpQgxrUoMb1CWpQgxrUoAY1rl9ODWpQ4/5palDj5Q9MDWpQgxrUoAY1qEGNGzWoQY3Hd5cazz9KDWpQgxrUuD5BDWpQgxrUoMb1y6lBDWrcP00Narz8galBDWpQgxrUoAY1qHGjBjWo8fjuUuP5R6lBDWpQgxrXJ6hBDWpQgxrUuH45NahBjfunqUGNlz8wNahBDWpQgxrUoAY1btSgBjUe311qPP8oNahBDWpQ4/oENahBDWpQgxrXL6cGNahx/zQ1qPHyB6YGNahBDWpQgxrUoMaNGtSgxuO7S43nH6UGNahBDWpcn6AGNahBDWpQ4/rl1KAGNe6fpgY1Xv7A1KAGNahBDWpQgxrUuFGDGtR4fHep8fyj1KAGNahBjesT1KAGNahBDWpcv5wa1KDG/dPUoMbLH5ga1KAGNahBDWpQgxo3alCDGo/vLjWef5Qa1KAGNahxfYIa1KAGNahBjeuXU4Ma1Lh/mhrUePkDU4Ma1KAGNahBDWpQ40YNalDj8d2lxvOPUoMa1KAGNa5PUIMa1KAGNahx/XJqUIMa909Tgxovf2BqUIMa1KAGNahBDWrcqEENajy+u9R4/lFqUIMa1KDG9QlqUIMa1KAGNa5fTg1qUOP+aWpQ4+UPTA1qUIMa1KAGNahBjRs1qEGNx3eXGs8/Sg1qUIMa1Lg+QQ1qUIMa1KDG9cupQQ1q3D9NDWq8/IGpQQ1qUIMa1KAGNahxowY1qPH47lLj+UepQQ1qUIMa1yeoQQ1qUIMa1Lh+OTWoQY37p6lBjZc/MDWoQQ1qUIMa1KAGNW7UoAY1Ht9dajz/KDWoQQ1qUOP6BDWoQQ1qUIMa1y+nBjWocf80Najx8gemBjWoQQ1qUIMa1KDGjRrUoMbju0uN5x+lBjWoQQ1qXJ+gBjWoQQ1qUOP65dSgBjXun6YGNV7+wNSgBjWoQQ1qUIMa1LhRgxrUeHx3qfH8o9SgBjWoQY3rE9SgBjWoQQ1qXL+cGtSgxv3T1KDGyx+YGtSgBjWoQQ1qUIMaN2pQgxqP7y41nn+UGtSgBjWocX2CGtSgBjWoQY3rl1ODGtS4f5oa1Hj5A1ODGtSgBjWoQQ1qUONGDWpQ4/Hdpcbzj1KDGtSgBjWuT1CDGtSgBjWocf1yalCDGvdPU4MaL39galCDGtSgBjWoQQ1q3KhBDWo8vrvUeP5RalCDGtSgxvUJalCDGtSgBjWuX04NalDj/mlqUOPlD0wNalCDGtSgBjWoQY0bNahBjcd3lxrPP0oNalCDGtS4PkENalCDGtSgxvXLqUENatw/TQ1qvPyBqUENalCDGtSgBjWocaMGNajx+O5S4/lHqUENalCDGtcnqEENalCDGtS4fjk1qEGN+6epQY2XPzA1qEENalCDGtSgBjVu1KAGNR7fXWo8/yg1qEENalDj+gQ1qEENalCDGtcvpwY1qHH/NDWo8fIHpgY1qEENalCDGtSgxo0a1KDG47tLjecfpQY1qEENalyfoAY1qEENalDj+uXUoAY17p+mBjVe/sDUoAY1qEENalCDGtS4UYMa1Hh8d6nx/KPUoAY1qEGN6xPUoAY1qEENaly/nBrUoMb909SgxssfmBrUoAY1qEENalCDGjdqUIMaj+8uNZ5/lBrUoAY1qHF9ghrUoAY1qEGN65dTgxrUuH+aGtR4+QNTgxrUoAY1qEENalDjRg1qUOPx3aXG849SgxrUoAY1rk9QgxrUoAY1qHH9cmpQgxr3T1ODGi9/YGpQgxrUoAY1qEENatyoQQ1qPL671Hj+UWpQgxrUoMb1CWpQgxrUoAY1rl9ODWpQ4/5palDj5Q9MDWpQgxrUoAY1qEGNGzWoQY3Hd5cazz9KDWpQgxrUuD5BDWpQgxrUoMb1y6lBDWrcP00Narz8galBDWpQgxrUoAY1qHGjBjWo8fjuUuP5R6lBDWpQgxrXJ6hBDWpQgxrUuH45NahBjfunqUGNlz8wNahBDWpQgxrUoAY1btSgBjUe311qPP8oNahBDWpQ4/oENahBDWpQgxrXL6cGNahx/zQ1qPHyB6YGNahBDWpQgxrUoMaNGtSgxuO7S43nH6UGNahBDWpcn6AGNahBDWpQ4/rl1KAGNe6fpgY1Xv7A1KAGNahBDWpQgxrUuFGDGtR4fHep8fyj1KAGNahBjesT1KAGNahBDWpcv5wa1KDG/dPUoMbLH5ga1KAGNahBDWpQgxo3alCDGo/vLjWef5Qa1KAGNahxfYIa1KAGNahBjeuXU4Ma1Lh/mhrUePkDU4Ma1KAGNahBDWpQ40YNalDj8d2lxvOPUoMa1KAGNa5PUIMa1KAGNahx/XJqUIMa909Tgxovf2BqUIMa1KAGNahBDWrcqEENajy+u9R4/lFqUIMa1KDG9QlqUIMa1KAGNa5fTg1qUOP+aWpQ4+UPTA1qUIMa1KAGNahBjRs1qEGNx3eXGs8/Sg1qUIMa1Lg+QQ1qUIMa1KDG9cupQQ1q3D9NDWq8/IGpQQ1qUIMa1KAGNahxowY1qPH47lLj+UepQQ1qUIMa1yeoQQ1qUIMa1Lh+OTWoQY37p6lBjZc/MDWoQQ1qUIMa1KAGNW7UoAY1Ht9dajz/KDWoQQ1qUOP6BDWoQQ1qUIMa1y+nBjWocf80Najx8gemBjWoQQ1qUIMa1KDGjRrUoMbju0uN5x+lBjWoQQ1qXJ+gBjWoQQ1qUOP65dSgBjXun6YGNV7+wNSgBjWoQQ1qUIMa1LhRgxrUeHx3qfH8o9SgBjWoQY3rE9SgBjWoQQ1qXL+cGtSgxv3T1KDGyx+YGtSgBjWoQQ1qUIMaN2pQgxqP7y41nn+UGtSgBjWocX2CGtSgBjWoQY3rl1ODGtS4f5oa1Hj5A1ODGtSgBjWoQQ1qUONGDWpQ4/Hdpcbzj1KDGtSgBjWuT1CDGtSgBjWocf1yalCDGvdPU4MaL39galCDGtSgBjWoQQ1q3KhBDWo8vrvUeP5RalCDGtSgxvUJalCDGtSgBjWuX04NalDj/mlqUOPlD0wNalCDGtSgBjWoQY0bNahBjcd3lxrPP0oNalCDGtS4PkENalCDGtSgxvXLqUENatw/TQ1qvPyBqUENalCDGtSgBjWocaMGNajx+O5S4/lHqUENalCDGtcnqEENalCDGtS4fjk1qEGN+6epQY2XPzA1qEENalCDGtSgBjVu1KAGNR7fXWo8/yg1qEENalDj+gQ1qEENalCDGtcvpwY1qHH/NDWo8fIHpgY1qEENalCDGtSgxo0a1KDG47tLjecfpQY1qEENalyfoAY1qEENalDj+uXUoAY17p+mBjVe/sDUoAY1qEENalCDGtS4UYMa1Hh8d6nx/KPUoAY1qEGN6xPUoAY1qEENaly/nBrUoMb909SgxssfmBrUoAY1qEENalCDGjdqUIMaj+8uNZ5/lBrUoAY1qHF9ghrUoAY1qEGN65dTgxrUuH+aGtR4+QNTgxrUoAY1qEENalDjRg1qUOPx3aXG849SgxrUoAY1rk9QgxrUoAY1qHH9cmpQgxr3T1ODGi9/YGpQgxrUoAY1qEENatyoQQ1qPL671Hj+UWpQgxrUoMb1CWpQgxrUoAY1rl9ODWpQ4/5palDj5Q9MDWpQgxrUoAY1qEGNGzWoQY3Hd5cazz9KDWpQgxrUuD5BDWpQgxrUoMb1y6lBDWrcP00Narz8galBDWpQgxrUoAY1qHGjBjWo8fjuUuP5R6lBDWpQgxrXJ6hBDWpQgxrUuH45NahBjfunqUGNlz8wNahBDWpQgxrnqPH+3ceWjffvPv0r3Hj/7vPfE473777++fvTnz/efn349vnt04/f397++PDh89uX719+ff/xx+dPn7/EV+v/Bxzv331o5Kj/tf7Tcnz8i+X4t39ejn/7H//r1//8D6XIT5GBDP+XT4qvn75//fzu89vnP95/+IcM3z69/fHnr/dvf3x+//3rl5/f//z56SMZ/tUyfCADGYbL8OXb9x//8ODn28fPv9+/ffr86ePbj2+/f7x9/PTlw+9fH398+vTHbzJ4MwyU4duHXoZvH/8lMnz79PeU4dufn95/ev/np7efP3/9evv04efntz++fvrx9u7rj29/fv/49dfnzz//Ehm+vW9k+Jb/74AMfzcZvn9vZfjwLseq/wcZPrx7//eU4cfXPz5/+fz9z7efH35/f/v06+O7t+9f379/+/L7/bsvH358/fzz21/zZvj+7f8sw8t/rX0y+NfEPy/Dh/f9vyY+vP+X/Gviw/u/6b8mvn/4+fvdx3ef3n79/vru7dPXP9+9/fjy88vbnz8//+PJ8PPruz/ff/krZPjwvvnXxMt/rX0yfCTDPy/Dhz5pfvjwL2maHz58+3vK8P7H149f3r3/8fbxw6ffb59+/n7/9u3PH5/fvn75/vPXz3e/vn1895e8GT58aKrmy3+tfTJ8IoMFcroMqqWdgQxP/9nJoFr++//WzkAGMqQ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t>
    <phoneticPr fontId="77" type="noConversion"/>
  </si>
  <si>
    <t>ABC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Mv/zZ4dmwAAwzAQ3H/r1EKQ2ja3QEj1GB217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t>
    <phoneticPr fontId="77" type="noConversion"/>
  </si>
  <si>
    <t>ABC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MvHnt3kWJJs1xmdik8ggIzIyL++2mxoBpV/PUkNaf7QAwg39+MbOk/kK7DMrFaToF8Lx63LRcv9qZ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t>
    <phoneticPr fontId="77" type="noConversion"/>
  </si>
  <si>
    <t>ABC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fCph+HTn+LC5w9/TxZ+f//4+vn3hz9ePr3/en95//b758u37z++vLx++fXl16/3H7+/ff7yV7DwqVHh9TX/+fgfUeHbX6zCf/vXN4b//o8f9/E/fh1//M+fx7//H/I//qd/qsQ//xQ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jxN1Xj9cPHlo3XD+9/hhuvHz79PeF4/fDlx+/3H99ffr19/fTy/v3315c/3t4+vXz+9vnXt+9/fHr/9Dl+Wv8VcLx+eGvkqP+1/sNyfPyL5fi3f12Of/tf/+fX//6nUuRTZCDD/+eV4sv7ty+fPnx6+fTH69s/ZPj6/vLHj1+vL398ev325fPPbz9+vn8kw58twxsZyDC5DJ+/fvv+Dw9+vnz89Pv15f3T+8eX719/f3/5+P757fevj9/f3//4TQZ3hgll+PrWy/D1458iw9f3v6cMX3+8v76//nh/+fnz16+X97efn17++PL+/eXDl+9ff3z7+OXXp08//xIZvr42MnzN/3dAhr+bDN++tTK8fcix6j8hw9uH17+nDN+//PHp86dvP15+vv3+9vL+6+OHl29fXl9fPv9+/fD57fuXTz+//jV3hm9f/98yPP5rrSeDf0386zK8vfb/mnh7/VP+NfH2+jf918S3t5+/P3z88P7y6/eXDy/vX358ePn++efnlx8/P/3jyvDzy4cfr5//ChneXpt/TTz+a60nw0cy/OsyvPVJ8+3tT2mab29f/54yvH7/8vHzh9fvLx/f3n+/vP/8/fry9cf3Ty9fPn/7+evnh19fP374S+4Mb29N1Xz811pPhncyWCBnl0G1tDOQ4fafnQyq5b//b+0MZCBDyq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t>
    <phoneticPr fontId="77" type="noConversion"/>
  </si>
  <si>
    <t>ABC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5c9OzYBAIZhILj/1qmFwLUdboGQ6jG67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t>
    <phoneticPr fontId="77" type="noConversion"/>
  </si>
  <si>
    <t>ABC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rw2LNjEwBgGAaC+2+dWghc2+EWCKkeo1M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t>
    <phoneticPr fontId="77" type="noConversion"/>
  </si>
  <si>
    <t>ABC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I89OzYBAIZhILj/1qmFwLUdboGQ6jE6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t>
    <phoneticPr fontId="77" type="noConversion"/>
  </si>
  <si>
    <t>ABC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eOzZS2o1WpSl166oAwEZOB5E3S1wD/IRUbP7X3SC0ZGmJqwksSHXXh7FC0dbG3H+j33n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t>
  </si>
  <si>
    <t>ABC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t>
  </si>
  <si>
    <t>ABC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hn+cw/PP/J134l//0/88s/Md/+d/+8V/+4z/953/453/693/6h3/6t//4b//wb//lv/7rP/zjv/77v/77v//Tf/2Pf/uXf/1fkYV/Hqrwj//Y//v4P1OFf/tfXIX//f/9xvB//Pcv99f/+e9f//n/+m9f/88/5P/+X//DSvyPf0o1VEM1vlRDNVTj57urGr9/VDVUQzVUQzU+n1AN1VAN1VAN1fj8ctVQDdX4/rRqqMafP7BqqIZqqIZqqIZqqIZqfKmGaqjGz3dXNX7/qGqohmqohmp8PqEaqqEaqqEaqvH55aqhGqrx/WnVUI0/f2DVUA3VUA3VUA3VUA3V+FIN1VCNn++uavz+UdVQDdVQDdX4fEI1VEM1VEM1VOPzy1VDNVTj+9OqoRp//sCqoRqqoRqqoRqqoRqq8aUaqqEaP99d1fj9o6qhGqqhGqrx+YRqqIZqqIZqqMbnl6uGaqjG96dVQzX+/IFVQzVUQzVUQzVUQzVU40s1VEM1fr67qvH7R1VDNVRDNVTj8wnVUA3VUA3VUI3PL1cN1VCN70+rhmr8+QOrhmqohmqohmqohmqoxpdqqIZq/Hx3VeP3j6qGaqiGaqjG5xOqoRqqoRqqoRqfX64aqqEa359WDdX48wdWDdVQDdVQDdVQDdVQjS/VUA3V+PnuqsbvH1UN1VAN1VCNzydUQzVUQzVUQzU+v1w1VEM1vj+tGqrx5w+sGqqhGqqhGqqhGqqhGl+qoRqq8fPdVY3fP6oaqqEaqqEan0+ohmqohmqohmp8frlqqIZqfH9aNVTjzx9YNVRDNVRDNVRDNVRDNb5UQzVU4+e7qxq/f1Q1VEM1VEM1Pp9QDdVQDdVQDdX4/HLVUA3V+P60aqjGnz+waqiGaqiGaqiGaqiGanyphmqoxs93VzV+/6hqqIZqqIZqfD6hGqqhGqqhGqrx+eWqoRqq8f1p1VCNP39g1VAN1VAN1VAN1VAN1fhSDdVQjZ/vrmr8/lHVUA3VUA3V+HxCNVRDNVRDNVTj88tVQzVU4/vTqqEaf/7AqqEaqqEaqqEaqqEaqvGlGqqhGj/fXdX4/aOqoRqqoRqq8fmEaqiGaqiGaqjG55erhmqoxvenVUM1/vyBVUM1VEM1VEM1VEM1VONLNVRDNX6+u6rx+0dVQzVUQzVU4/MJ1VAN1VAN1VCNzy9XDdVQje9Pq4Zq/PkDq4ZqqIZqqIZqqIZqqMaXaqiGavx8d1Xj94+qhmqohmqoxucTqqEaqqEaqqEan1+uGqqhGt+fVg3V+PMHVg3VUA3VUA3VUA3VUI0v1VAN1fj57qrG7x9VDdVQDdVQjc8nVEM1VEM1VEM1Pr9cNVRDNb4/rRqq8ecPrBqqoRqqoRqqoRqqoRpfqqEaqvHz3VWN3z+qGqqhGqqhGp9PqIZqqIZqqIZqfH65aqiGanx/WjVU488fWDVUQzVUQzVUQzVUQzW+VEM1VOPnu6sav39UNVRDNVRDNT6fUA3VUA3VUA3V+Pxy1VAN1fj+tGqoxp8/sGqohmqohmqohmqohmp8qYZqqMbPd1c1fv+oaqiGaqiGanw+oRqqoRqqoRqq8fnlqqEaqvH9adVQjT9/YNVQDdVQDdVQDdVQDdX4Ug3VUI2f765q/P5R1VAN1VAN1fh8QjVUQzVUQzVU4/PLVUM1VOP706qhGn/+wKqhGqqhGqqhGqqhGqrxpRqqoRo/313V+P2jqqEaqqEaqvH5hGqohmqohmqoxueXq4ZqqMb3p1VDNf78gVVDNVRDNVRDNVRDNVTjSzVUQzV+vruq8ftHVUM1VEM1VOPzCdVQDdVQDdVQjc8vVw3VUI3vT6uGavz5A6uGaqiGaqiGaqiGaqjGl2qohmr8fHdV4/ePqoZqqIZqqMbnE6qhGqqhGqqhGp9frhqqoRrfn1YN1fjzB1YN1VAN1VAN1VAN1VCNL9VQDdX4+e6qxu8fVQ3VUA3VUI3PJ1RDNVRDNVRDNT6/XDVUQzW+P60aqvHnD6waqqEaqqEaqqEaqqEaX6qhGqrx891Vjd8/qhqqoRqqoRqfT6iGaqiGaqiGanx+uWqohmp8f1o1VOPPH1g1VEM1VEM1VEM1VEM1vlRDNVTj57urGr9/VDVUQzVUQzU+n1AN1VAN1VAN1fj8ctVQDdX4/rRqqMafP7BqqIZqqIZqqIZqqIZqfKmGaqjGz3dXNX7/qGqohmqohmp8PqEaqqEaqqEaqvH55aqhGqrx/WnVUI0/f2DVUA3VUA3VUA3VUA3V+FIN1VCNn++uavz+UdVQDdVQDdX4fEI1VEM1VEM1VOPzy1VDNVTj+9OqoRp//sCqoRqqoRqqoRqqoRqq8aUaqqEaP99d1fj9o6qhGqqhGqrx+YRqqIZqqIZqqMbnl6uGaqjG96dVQzX+/IFVQzVUQzVUQzVUQzVU40s1VEM1fr67qvH7R1VDNVRDNVTj8wnVUA3VUA3VUI3PL1cN1VCN70+rhmr8+QOrhmqohmqohmqohmqoxpdqqIZq/Hx3VeP3j6qGaqiGaqjG5xOqoRqqoRqqoRqfX64aqqEa359WDdX48wdWDdVQDdVQDdVQDdVQjS/VUA3V+PnuqsbvH1UN1VAN1VCNzydUQzVUQzVUQzU+v1w1VEM1vj+tGqrx5w+sGqqhGqqhGqqhGqqhGl+qoRqq8fPdVY3fP6oaqqEaqqEan0+ohmqohmqohmp8frlqqIZqfH9aNVTjzx9YNVRDNVRDNVRDNVRDNb5UQzVU4+e7qxq/f1Q1VEM1VEM1Pp9QDdVQDdVQDdX4/HLVUA3V+P60aqjGnz+waqiGaqiGaqiGaqiGanyphmqoxs93VzV+/6hqqIZqqIZqfD6hGqqhGqqhGqrx+eWqoRqq8f1p1VCNP39g1VAN1VAN1VAN1VAN1fhSDdVQjZ/vrmr8/lHVUA3VUA3V+HxCNVRDNVRDNVTj88tVQzVU4/vTqqEaf/7AqqEaqqEaqqEaqqEaqvGlGqqhGj/fXdX4/aOqoRqqoRqq8fmEaqiGaqiGaqjG55erhmqoxvenVUM1/vyBVUM1VEM1VEM1VEM1VONLNVRDNX6+u6rx+0dVQzVUQzVU4/MJ1VAN1VCN/5s9u8vZ5EYSM7oVbqCA+lVVbWL2IKmkW1/Y+4cHMBhkMGDa4264Sfa5VmTmi/yIo6x4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dTU+ffyyZePTx6//DDc+ffz27wnHp4/f//z7659/fPjr849vH77+8fePD79//vztw28/f/vr5x+/f/v67bdytP5/wPHp4+eNHPmv9V+W48u/WI7/+Mfl+I//9j/++u//RynqFBnI8H/5SfH968/v3z5++/Dt90+f/1OGH18//P7nX58+/P7t08/vv/36+eevr1/I8M+W4TMZyHC4DL/9+PnHf3rw68OXb39/+vD129cvH/748fcfH758/e3z3399+ePr19//JoNvhgNl+PF5L8OPL/8UGX58/feU4cefXz99/fTn1w+/fv3114evn399+/D7969/fPj4/Y8ff/788v2vb99+/Utk+PFpI8OP+r8DMvy7yfDz51aGzx/rsur/QYbPHz/9e8rwx/ffv/327eefH359/vvnh69/ffn44ef3T58+/Pb3p4+/ff7j+7dfP/413ww/f/zvZVj+WvfJ4F8T/7gMnz/t/zXx+dM/5V8Tnz/9m/5r4ufnX39//PLx64e//v7+8cPX739+/PDHb79++/Dnr2//+cnw6/vHPz/99q+Q4fOnzb8mlr/WfTJ8IcM/LsPnfdL8/Pmf0jQ/f/7x7ynDpz++f/nt46c/Pnz5/PXvD19//f3pw48///j24ftvP3/99evjXz++fPyXfDN8/rypmstf6z4ZvpLBBvJ0GVRLewYyTH92MqiW/+u/2jOQgQxV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t>
  </si>
  <si>
    <t>ABC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hv/Jnh2bAADDMBDcf+vUQuDaDrdASPUYHb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t>
  </si>
  <si>
    <t>ABC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V47NmxCQAwDAPB/bdOLQSu7XALhFSP0VH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t>
  </si>
  <si>
    <t>ABC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D727NgEABiGgeD+W6cWAtd2uAVCqsfoqG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t>
  </si>
  <si>
    <t>ABC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t>
  </si>
  <si>
    <t>ABC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fOzZsQkAMAwDwf23Ti0EqW1zC4RUj9FR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t>
  </si>
  <si>
    <t>ABC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V87NmxCQAwDAPB/bdOLQSu7XALhFSP0VH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t>
  </si>
  <si>
    <t>ABC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YXHnh2bAADDMBDcf+vUQuDaDrdASPUYHb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t>
  </si>
  <si>
    <t>ABC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t>
  </si>
  <si>
    <t>ABC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j727NgEABiGgeD+W6cWAteOuQWCqyfoqC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t>
  </si>
  <si>
    <t>ABC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vDYs2MTAGAYBoL7b51aCFzb4RYIqR6j214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t>
  </si>
  <si>
    <t>ABC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jz17S3k1zNEDOhVNoKCL1IG6zwgygz5U3SXzv0xD0CN9MrhpEmjbWZcbHllG6F94vyK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TDn9/D8Of/Jy785Z/+/2ThH//y3/74l3/80z//4c9/+vuf/vCnv/3j3/7wt3/517/+4Y9//ftf//73P/3rP/72l7/+V7Dw5zcq/PGPr/99/M+o8Lf/YhX++//9G8P/+Pflrv/59/rn//Vv9X/+kP/9X/+hEv9xFT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t>
  </si>
  <si>
    <t>ABC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v+b3brb2fPIEjJ8Ko+yb2THsWOzBwMIEIxaw0hstuzYRqPpnqB0N4izJ52eWlWpHprhT3AP104U5VuVstdX7/Xe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t>
  </si>
  <si>
    <t>ABC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mfV+MO/rBf61b/73a9//eGH//LT3/yf/83v/3k/0J+N/PRE/3ilX/2Tv/jFn3//288/UfFXn3/2efvqFz98/x9++PDrf/FXv/rVn/3w/W9+8xefv/zb7z/97E/2B8v+1rG/07B///0Pf/2LD//x8w//6J99/vLhd7/67U+/3J9xNSNrEX/7wfn09tvXnz598/7FxzcvX7745tXrdy8+fvnw9YuXn768ffnq0/s3377/8NX+y378y+9/++FX/81d/OHHP4lw/va/+st/ea1kvY9//eqXr16+/OU//eHzh7/+9P1//pv9p/vNv/nxt3zf8K9+syf/8fPbH343P/nxc/VnPwLy+/fx7fpY/fjL/9X6j69eLX6/+jt/D3/x+dff/6fPn86f/T/3DfL2T3+DvP3f8w3ys0v+//kGefP222+//vzh/Yvv3nz49OM3yPtPLz6+/PT1izfffXj56t2Hr3/8QHz8U98gX7395vWXb768e/3iy+eXn1988+bzyxfv3r56+eL1lzevPn/3+u27T+/f/ex/8LPvmK/evfz4+duPb75+8eX9x/cvvvnw6scP4stXb1+8/ubrD69effn83ZePH352/H/gW+jtn/gWevvuf+lL6Gc//b/wJfTnf48vod/j+5v/zjfRn5rZ3zx/PPUPp0/p8n9UlzdvPr/50YUfWfixTz+/+/ji/fuvX/7+0/3yw7tPr99/++7Nn9Tlu1ffff747asvL768ev3ti2++/fHL+t2nnyr3w/s3333z5pvv3n79J3T5+vXb95++fPj44tuvP73+Eaf337x4/+btuxcfPr99//rTu+9ef/jyhi5/rMvXf09dfvk1X9YtfFEv6kW90OUfj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T5r+zWAQkAAACAoP+v2xF4Qjz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t>
  </si>
  <si>
    <t>ABC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t>
  </si>
  <si>
    <t>ABC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QlduuABAAAAEDQ/9ftCDwh2g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t>
  </si>
  <si>
    <t>ABC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S+zWAQkAAACAoP+v2xF4QrS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t>
  </si>
  <si>
    <t>ABC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xWwckAAAAAIL+v25H4AmR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t>
  </si>
  <si>
    <t>ABC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YrdednZBzrMMnwryvFFv3e4hBBAgkKIQiWG03BsUxU6jdgLiGBjDkAEnABMOiYjDwJv4KVcZIoQY5BbXpNVab1X9a1V9//Xd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t>
  </si>
  <si>
    <t>ABC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cnWy2/+57ef5R/9i7/8+c8//PDvfv0P/Id//qv/vh/la8mvP8y/f3M/+nt/9Ie/+iv+GpU//fb6zfzRH/7w/b/64cPP/9Gf/uxnf/DD97/4xR99+90///6b62/2G/X+Wrz/pXb/8vsf/uwPP/zrb3/4u//g2+8+/OXP/uLXb3jBtiW/vYi//hX76ZcfPvnuy+9+8tF3H3/yq9+QX/7fT77++rOPPnz54y8///Dxhx9//PnXPzr/2J/+8fd/8eFn/9u7+M3413b87sfkR3/8j58r+e3H4J9+8ieffvzxn/zVf/yv//0//6e/+m///n/8l/9w/oK/+Ge/VPL9If/kF3//h28//Nk33//bP39Hv/wN+oNfcvOrz8QXn/z2D3/5q/HbP/zk069++6f/y7f4o29//v2/+fab3539rfu++eyr3130e983n3/8/+L75v4h//9833zz+afffvPjH3/90aefffPFL38ZPvvxRz/96rMPH3384ZtPvv7426+/+u7zv7lmP3z2xceffvbFFx998cVPf/rR55999slHHz799CcfffnFTz/98uNvv/vi228/+xu+b775+Ccff/WrH/jhs1//Mn747qMP33319UeffPrNx19/9e2nn//0ky//b79vPvvJ7//cfWo++b2dqe+b/4Oa/Vv2RfO3L2TBAhawgAUsYAELWMACFrCABSxg+TtgAQtYwAIWsIAFLGABC1jAAhaw3H81sIAFLGABC1jA8ps5WMACFrCABSxgAQtYwAIWsIBlPxwsYPmdzxhYwAIWsIAFLGABC1jOhwUsYAELWMDy16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t>
  </si>
  <si>
    <t>ABC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PxPdurYBgAAhGHY/1+zBcENnikMRTJ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t>
  </si>
  <si>
    <t>AB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B126tgGAACEYdj/X7MFwQ2eoQxUMl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t>
  </si>
  <si>
    <t>ABC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lmG/flY9TYw6Dt+KzL6le6an/yw1KioKIQZchp7pjoTMZGSSKF5AEBQJLsxGcSEIWbjISiXBu7Gjl2HPJPOpVJkEkQhCnl40zflW1Tmn6v09vA0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ll9OWH70j88e4rf+4Jsffvji4z/79Df7za998vd9hlfJp0/xf1/ZW7/2hc9/8iN+qslXXq2P5Fuf//ijP/r4xYe/9ZUPPvjcxx99/etfePXl3//o5frJfsTdj6n7qcz94Ucff/XzL/741ce/+huvvvzimx9849PjLdEq+WwRP/5sPX/n7bdfPn365MGLd59++c2z/eZT9vzVi6cP3n37zUfl0fOHTx8/fPet+WXf++JH33jxwc/cxY/iT9H4yeu+9cXfPiv57P6/++hLbz96+KUffud7r//h73/4r996/Vd/Mz/g13/vDY/3m/zO13/941cvvvryoz/92o3efHQ+98aZT56Jtx9/9sU3n4nPvvjo0We+vvVTb/GFVx9+9CevXv7U7JfgUXj69BPknr968O7TR88ePH784vGD5y/fWPvwxdvvv/v0nVdPnz998n/7KLzz8OGXXv/dd1//4Puv/+Uf/+O7f/mf//ZPr//2+6+//Revv/XP//6D77z+82+//t5f/0KejyfPf9rzMU/N//T5+P/3IvLk576IvPP0F/Iisr7JL8+LyJcfvf/+q/dePX7j5NtvsHzn5csHzx8+fPng3YcvHz979s6rV4+fP/n5LyKPnj16/9HDF2/ePJ6+eDPl8bM37r738MHz95+98/zJ0yfPHj75eS8ij95+9PzZwxcPH7z3/icvQk+evXjw3nsPHz54+f6zV++9+0brx+8/+l+/iLz7s19E9kuKF5Fd80vyPxywgKV2sIAFLGABC1g+/QOWXwELWMACFrCAZf9oYAELWMACFrCA5Uc5WMACFrCABSxgAQtYwAIWsIClbw4WsPzEMwYWsIAFLGABC1jAApZ5WMACFrCABSw/r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t>
  </si>
  <si>
    <t>ABC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z/xU4d2wAAgDAM+/9rtiC4wTO0A0gG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t>
  </si>
  <si>
    <t>ABC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iGnTq2AQAAYRj2/9dsQXCDZ0oHkAw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t>
  </si>
  <si>
    <t>ABC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9LRTN6mWH0QYh+eCm+gFiDhzqFFRUGhiwJGDlnQkpDtXbieK+9AFOHMUnDoQN6OSZdjp2L+yyjhXeCaXy6mPc069//OA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Px/wfLlP28f4ic//fTly2ePv33zzb7/8Rd/7zO8Wt48xf95siffeffpFx/xjSYfPl8/ySdPHx9++fjs5Q8+fPHinceHV6/eff7BTx7eX5/sS+7+Rd1XMvezh8ePnj771fPHb3zv+QfPPn3xyZvwlmi1vD3Ek/t4vv4qv3jv4ZNnL/7rN/2y/IaEf8/uyXs/PJvepvu3v372j9/9+fPP/vT3v/z+8z/8cd761Y9fw3ff4Eevvvv4/NlH7z/85uNbev2jeOe1IF+k/a1vvn3x9dP+9sVvv33tK2/87vOXD79+/v5X1v5HIv76137+Tw==</t>
  </si>
  <si>
    <t>J1_300减值评估</t>
  </si>
  <si>
    <t>59eaca50-718f-422d-a45a-89118d22dbc9</t>
  </si>
  <si>
    <t>e936ed11-c81d-482c-8ab4-957e150c82db</t>
  </si>
  <si>
    <t>366d5ac8-bd18-43d1-bb6b-abb4a6a6553e</t>
  </si>
  <si>
    <t>f0e08cb7-5167-4605-9e23-f9af7361a031</t>
  </si>
  <si>
    <t>f1f86ca5-5174-4f57-81ea-598dee696ae3</t>
  </si>
  <si>
    <t>71db53bc-1afd-44f1-aae4-1671ab5fc21e</t>
  </si>
  <si>
    <t>6d1550c4-c8e7-467b-bf4d-544bc8a2c4a6</t>
  </si>
  <si>
    <t>5252dddb-7e56-4ff3-a9f9-c6c8ef1fef4a</t>
  </si>
  <si>
    <t>66b12a66-98ed-4112-b57c-a1d95fe6cc8b</t>
  </si>
  <si>
    <t>d0202495-03a5-4306-b201-2cbdff36d2f5</t>
  </si>
  <si>
    <t>abaad0c1-b49a-4c51-8226-4f2f9f27147c</t>
  </si>
  <si>
    <t>a3edeb18-e66a-4354-b4e5-0c65d92eb592</t>
  </si>
  <si>
    <t>1d315964-5c53-479d-a193-76eb43e7ae9d</t>
  </si>
  <si>
    <t>48f00bba-a11a-495b-898a-b930315b70de</t>
  </si>
  <si>
    <t>5370271f-b61d-4bbe-ba53-377e44b72f21</t>
  </si>
  <si>
    <t>94bc4424-d0ae-486b-a01e-ef9d6244595b</t>
  </si>
  <si>
    <t>5d211620-9e36-45a4-a88f-8207ba713908</t>
  </si>
  <si>
    <t>45ab700b-ec33-4ee3-b555-b1c74617ca63</t>
  </si>
  <si>
    <t>bd0447e5-bda7-4c78-a64f-bc2ed18e1228</t>
  </si>
  <si>
    <t>94715de0-282b-45f2-b719-38da07d549ce</t>
  </si>
  <si>
    <t>d32b0581-5fa4-4e56-85d8-5b7910003cfa</t>
  </si>
  <si>
    <t>eed2d014-935b-4daa-8e88-28a1dc97040c</t>
  </si>
  <si>
    <t>7a9090e2-a392-4470-a862-501671798aba</t>
  </si>
  <si>
    <t>4f050dfa-90c0-4e19-aff9-6e3d36529867</t>
  </si>
  <si>
    <t>12c446c0-b489-4f13-ac74-cebddf4d7a3d</t>
  </si>
  <si>
    <t>742cb934-47e8-42d4-a636-eb9a1ffc8410</t>
  </si>
  <si>
    <t>a08f1a57-08e2-4f8e-a237-10dbaaf314b1</t>
  </si>
  <si>
    <t>d4d74f24-09d3-4276-8776-89b28c9c9f75</t>
  </si>
  <si>
    <t>b70a6a08-e651-4587-aa0b-3d194e31b93d</t>
  </si>
  <si>
    <t>471a4f10-3c07-405d-b95d-219d84eeb3ee</t>
  </si>
  <si>
    <t>643f4f83-fe0e-45e0-8610-3f51ec368d98</t>
  </si>
  <si>
    <t>cb689e15-3f34-41aa-9c66-ce17edc611b0</t>
  </si>
  <si>
    <t>80be7b52-f9b9-4a18-b016-342a11fecfba</t>
  </si>
  <si>
    <t>47111641-e7f5-41ca-9621-27d8665ecbb9</t>
  </si>
  <si>
    <t>a3502355-55bb-4331-a228-75b270ef5ee3</t>
  </si>
  <si>
    <t>edda201e-2432-4e5f-a896-f8e060dacf13</t>
  </si>
  <si>
    <t>d080993a-a317-47af-af9c-12d0c9e24b17</t>
  </si>
  <si>
    <t>67e01975-13d5-4f01-839a-daeb44b46235</t>
  </si>
  <si>
    <t>e13e99f8-9218-457e-87e5-042a04dcd2e4</t>
  </si>
  <si>
    <t>1c418a9e-8741-4461-9848-6bac14891aac</t>
  </si>
  <si>
    <t>9aca2394-c027-4788-881a-73a3fb0b3d13</t>
  </si>
  <si>
    <t>77721a1f-67d5-453b-a53e-c9e2239bef25</t>
  </si>
  <si>
    <t>fd5c13fb-e4f3-4c34-8fc7-5a2248deb5a2</t>
  </si>
  <si>
    <t>7187f1ab-9f6d-4091-b991-474abfbb89ba</t>
  </si>
  <si>
    <t>fe0b2984-0d2e-413a-9a6f-0182b37f41b0</t>
  </si>
  <si>
    <t>f3a94c78-bbbc-4284-895e-2c1e62ee8255</t>
  </si>
  <si>
    <t>c1ceb71f-f137-4700-8dfd-9ba95c454c62</t>
  </si>
  <si>
    <t>4e714ad7-bb95-45b4-b48f-ee2f5442ba76</t>
  </si>
  <si>
    <t>2369dfab-72d3-4594-9568-ae693d8c3af5</t>
  </si>
  <si>
    <t>368a42ff-d9aa-4880-ae81-3e9a372236f0</t>
  </si>
  <si>
    <t>a181c10a-757a-4748-a5b0-9c8396768063</t>
  </si>
  <si>
    <t>4599f504-34bb-46a4-8591-ed7bc43e0328</t>
  </si>
  <si>
    <t>121980a0-bcd5-468a-bb00-dc8eb51904c1</t>
  </si>
  <si>
    <t>80676ef9-5421-484f-aa13-26ad93942370</t>
  </si>
  <si>
    <t>cbc92c5e-ef37-4c21-9948-b0fd6bd824cd</t>
  </si>
  <si>
    <t>e3a5695f-c996-4ac1-ac7e-7df050ae648f</t>
  </si>
  <si>
    <t>b750478e-2ec5-4c6d-a37f-3bc023279031</t>
  </si>
  <si>
    <t>5f23f244-fbf2-49a6-8d2b-35f78f6b77de</t>
  </si>
  <si>
    <t>c07841c6-72f1-495b-b76c-f6f082410ac5</t>
  </si>
  <si>
    <t>0ddd2d21-2367-4c87-b137-02ae068c6d55</t>
  </si>
  <si>
    <t>cb324eef-8c9a-4248-bcbb-172bf513132e</t>
  </si>
  <si>
    <t>b693b1c9-e115-4f96-bca0-473c4a3d675e</t>
  </si>
  <si>
    <t>2aad359f-365d-4254-b965-4061f9b0e8c8</t>
  </si>
  <si>
    <t>d0c6df94-c7fa-4554-be47-72f96e6ff531</t>
  </si>
  <si>
    <t>22d850a5-a855-4b1d-8b7a-886a60a17175</t>
  </si>
  <si>
    <t>132c580e-e19a-4729-a704-9c04729b8a2e</t>
  </si>
  <si>
    <t>5925783f-3c03-4e62-ba4f-989a4fde16ca</t>
  </si>
  <si>
    <t>69799337-4315-43a0-8286-5cbe275f75d6</t>
  </si>
  <si>
    <t>13cb1f28-65a4-40e4-80f0-423bcd5f8024</t>
  </si>
  <si>
    <t>cb282afb-c4ec-495f-ad26-36b9bd01d643</t>
  </si>
  <si>
    <t>bb73ce5d-6dab-4917-b064-a88ad4ff2e0a</t>
  </si>
  <si>
    <t>254ea113-30e0-45a2-94d1-9775cd1f75aa</t>
  </si>
  <si>
    <t>44601d76-030c-4c15-bd7f-d78a66418f11</t>
  </si>
  <si>
    <r>
      <rPr>
        <b/>
        <sz val="14"/>
        <color theme="0"/>
        <rFont val="微软雅黑"/>
        <family val="2"/>
      </rPr>
      <t>标准工作底稿</t>
    </r>
    <r>
      <rPr>
        <b/>
        <sz val="14"/>
        <color theme="0"/>
        <rFont val="Arial"/>
        <family val="2"/>
      </rPr>
      <t xml:space="preserve">: J1 SWP </t>
    </r>
    <r>
      <rPr>
        <b/>
        <sz val="14"/>
        <color theme="0"/>
        <rFont val="微软雅黑"/>
        <family val="2"/>
      </rPr>
      <t>在建工程</t>
    </r>
  </si>
  <si>
    <r>
      <rPr>
        <b/>
        <sz val="12"/>
        <rFont val="微软雅黑"/>
        <family val="2"/>
      </rPr>
      <t>客户名称</t>
    </r>
  </si>
  <si>
    <t>浙江力积</t>
  </si>
  <si>
    <r>
      <rPr>
        <b/>
        <sz val="12"/>
        <rFont val="微软雅黑"/>
        <family val="2"/>
      </rPr>
      <t>此工作底稿需要与以下</t>
    </r>
    <r>
      <rPr>
        <b/>
        <sz val="12"/>
        <rFont val="Arial"/>
        <family val="2"/>
      </rPr>
      <t xml:space="preserve"> Canvas PSP guided workflow forms</t>
    </r>
    <r>
      <rPr>
        <b/>
        <sz val="12"/>
        <rFont val="微软雅黑"/>
        <family val="2"/>
      </rPr>
      <t xml:space="preserve">一起使用：
</t>
    </r>
    <r>
      <rPr>
        <b/>
        <sz val="12"/>
        <rFont val="Arial"/>
        <family val="2"/>
      </rPr>
      <t>•K.00  PPE lead sheet
•K.01  Agreement of subledgers with general ledger
•K.02  Additions and disposals
•K.04 Impairments of property, plant and equipment
•Account conclusion</t>
    </r>
    <phoneticPr fontId="77" type="noConversion"/>
  </si>
  <si>
    <r>
      <rPr>
        <b/>
        <sz val="12"/>
        <rFont val="微软雅黑"/>
        <family val="2"/>
      </rPr>
      <t>期末</t>
    </r>
  </si>
  <si>
    <r>
      <rPr>
        <b/>
        <sz val="12"/>
        <rFont val="微软雅黑"/>
        <family val="2"/>
      </rPr>
      <t>分析日期</t>
    </r>
  </si>
  <si>
    <r>
      <rPr>
        <b/>
        <sz val="12"/>
        <rFont val="微软雅黑"/>
        <family val="2"/>
      </rPr>
      <t>可容忍误差</t>
    </r>
    <r>
      <rPr>
        <b/>
        <sz val="12"/>
        <rFont val="Arial"/>
        <family val="2"/>
      </rPr>
      <t>(TE</t>
    </r>
    <r>
      <rPr>
        <b/>
        <sz val="12"/>
        <rFont val="微软雅黑"/>
        <family val="2"/>
      </rPr>
      <t>）</t>
    </r>
  </si>
  <si>
    <r>
      <rPr>
        <b/>
        <sz val="12"/>
        <rFont val="微软雅黑"/>
        <family val="2"/>
      </rPr>
      <t>名义金额（</t>
    </r>
    <r>
      <rPr>
        <b/>
        <sz val="12"/>
        <rFont val="Arial"/>
        <family val="2"/>
      </rPr>
      <t>SAD</t>
    </r>
    <r>
      <rPr>
        <b/>
        <sz val="12"/>
        <rFont val="微软雅黑"/>
        <family val="2"/>
      </rPr>
      <t>）</t>
    </r>
  </si>
  <si>
    <r>
      <rPr>
        <b/>
        <sz val="12"/>
        <rFont val="微软雅黑"/>
        <family val="2"/>
      </rPr>
      <t>适用会计准则</t>
    </r>
  </si>
  <si>
    <t>HKFRS</t>
  </si>
  <si>
    <r>
      <rPr>
        <b/>
        <sz val="12"/>
        <rFont val="微软雅黑"/>
        <family val="2"/>
      </rPr>
      <t>记账本位币</t>
    </r>
  </si>
  <si>
    <t>CNY</t>
  </si>
  <si>
    <r>
      <t>J.00</t>
    </r>
    <r>
      <rPr>
        <b/>
        <sz val="12"/>
        <color rgb="FF000000"/>
        <rFont val="微软雅黑"/>
        <family val="2"/>
      </rPr>
      <t>：</t>
    </r>
    <r>
      <rPr>
        <b/>
        <sz val="12"/>
        <color rgb="FF000000"/>
        <rFont val="Arial"/>
        <family val="2"/>
      </rPr>
      <t>Lead Sheet</t>
    </r>
  </si>
  <si>
    <r>
      <rPr>
        <u/>
        <sz val="10"/>
        <color rgb="FFFF0000"/>
        <rFont val="微软雅黑"/>
        <family val="2"/>
      </rPr>
      <t>返回汇总页</t>
    </r>
  </si>
  <si>
    <t>Threshold(s)</t>
  </si>
  <si>
    <r>
      <rPr>
        <b/>
        <sz val="10"/>
        <rFont val="微软雅黑"/>
        <family val="2"/>
      </rPr>
      <t>安永标记</t>
    </r>
  </si>
  <si>
    <r>
      <rPr>
        <b/>
        <sz val="10"/>
        <rFont val="微软雅黑"/>
        <family val="2"/>
      </rPr>
      <t>认定</t>
    </r>
    <phoneticPr fontId="77" type="noConversion"/>
  </si>
  <si>
    <t>CRA</t>
  </si>
  <si>
    <r>
      <rPr>
        <b/>
        <sz val="10"/>
        <rFont val="微软雅黑"/>
        <family val="2"/>
      </rPr>
      <t>各项认定</t>
    </r>
    <r>
      <rPr>
        <b/>
        <vertAlign val="superscript"/>
        <sz val="10"/>
        <color rgb="FFFF0000"/>
        <rFont val="Arial"/>
        <family val="2"/>
      </rPr>
      <t>1</t>
    </r>
    <phoneticPr fontId="77" type="noConversion"/>
  </si>
  <si>
    <r>
      <rPr>
        <b/>
        <sz val="10"/>
        <rFont val="微软雅黑"/>
        <family val="2"/>
      </rPr>
      <t>所有相关认定</t>
    </r>
    <r>
      <rPr>
        <b/>
        <sz val="10"/>
        <rFont val="Arial"/>
        <family val="2"/>
      </rPr>
      <t xml:space="preserve"> </t>
    </r>
    <r>
      <rPr>
        <b/>
        <vertAlign val="superscript"/>
        <sz val="10"/>
        <color rgb="FFFF0000"/>
        <rFont val="Arial"/>
        <family val="2"/>
      </rPr>
      <t>2</t>
    </r>
    <phoneticPr fontId="77" type="noConversion"/>
  </si>
  <si>
    <t>TB</t>
  </si>
  <si>
    <r>
      <rPr>
        <sz val="10"/>
        <color theme="1"/>
        <rFont val="微软雅黑"/>
        <family val="2"/>
      </rPr>
      <t>已与科目余额表核对无误</t>
    </r>
  </si>
  <si>
    <r>
      <rPr>
        <sz val="10"/>
        <color rgb="FF000000"/>
        <rFont val="微软雅黑"/>
        <family val="2"/>
      </rPr>
      <t>完整性</t>
    </r>
    <r>
      <rPr>
        <sz val="10"/>
        <color rgb="FF000000"/>
        <rFont val="Arial"/>
        <family val="2"/>
      </rPr>
      <t xml:space="preserve"> (C)</t>
    </r>
  </si>
  <si>
    <t>Minimal</t>
  </si>
  <si>
    <t>PY</t>
  </si>
  <si>
    <r>
      <rPr>
        <sz val="10"/>
        <color theme="1"/>
        <rFont val="微软雅黑"/>
        <family val="2"/>
      </rPr>
      <t>与上年最终审定数核对一致</t>
    </r>
  </si>
  <si>
    <r>
      <rPr>
        <sz val="10"/>
        <color rgb="FF000000"/>
        <rFont val="微软雅黑"/>
        <family val="2"/>
      </rPr>
      <t>存在性</t>
    </r>
    <r>
      <rPr>
        <sz val="10"/>
        <color rgb="FF000000"/>
        <rFont val="Arial"/>
        <family val="2"/>
      </rPr>
      <t>/</t>
    </r>
    <r>
      <rPr>
        <sz val="10"/>
        <color rgb="FF000000"/>
        <rFont val="微软雅黑"/>
        <family val="2"/>
      </rPr>
      <t>发生</t>
    </r>
    <r>
      <rPr>
        <sz val="10"/>
        <color rgb="FF000000"/>
        <rFont val="Arial"/>
        <family val="2"/>
      </rPr>
      <t xml:space="preserve"> (E/O)</t>
    </r>
  </si>
  <si>
    <t>A3</t>
  </si>
  <si>
    <r>
      <rPr>
        <sz val="10"/>
        <rFont val="微软雅黑"/>
        <family val="2"/>
      </rPr>
      <t>与未审数、审定数核对一致</t>
    </r>
  </si>
  <si>
    <r>
      <rPr>
        <sz val="10"/>
        <color rgb="FF000000"/>
        <rFont val="微软雅黑"/>
        <family val="2"/>
      </rPr>
      <t>计价</t>
    </r>
    <r>
      <rPr>
        <sz val="10"/>
        <color rgb="FF000000"/>
        <rFont val="Arial"/>
        <family val="2"/>
      </rPr>
      <t>/</t>
    </r>
    <r>
      <rPr>
        <sz val="10"/>
        <color rgb="FF000000"/>
        <rFont val="微软雅黑"/>
        <family val="2"/>
      </rPr>
      <t>计量（</t>
    </r>
    <r>
      <rPr>
        <sz val="10"/>
        <color rgb="FF000000"/>
        <rFont val="Arial"/>
        <family val="2"/>
      </rPr>
      <t>V/M</t>
    </r>
    <r>
      <rPr>
        <sz val="10"/>
        <color rgb="FF000000"/>
        <rFont val="微软雅黑"/>
        <family val="2"/>
      </rPr>
      <t>）</t>
    </r>
    <phoneticPr fontId="77" type="noConversion"/>
  </si>
  <si>
    <t>A5</t>
  </si>
  <si>
    <r>
      <rPr>
        <sz val="10"/>
        <rFont val="微软雅黑"/>
        <family val="2"/>
      </rPr>
      <t>与审计调整核对一致</t>
    </r>
  </si>
  <si>
    <r>
      <rPr>
        <sz val="10"/>
        <color rgb="FF000000"/>
        <rFont val="微软雅黑"/>
        <family val="2"/>
      </rPr>
      <t>权利和义务</t>
    </r>
    <r>
      <rPr>
        <sz val="10"/>
        <color rgb="FF000000"/>
        <rFont val="Arial"/>
        <family val="2"/>
      </rPr>
      <t xml:space="preserve"> (R&amp;O)</t>
    </r>
    <phoneticPr fontId="77" type="noConversion"/>
  </si>
  <si>
    <t>FS</t>
  </si>
  <si>
    <r>
      <rPr>
        <sz val="10"/>
        <color theme="1"/>
        <rFont val="微软雅黑"/>
        <family val="2"/>
      </rPr>
      <t>与</t>
    </r>
    <r>
      <rPr>
        <sz val="10"/>
        <color theme="1"/>
        <rFont val="Arial"/>
        <family val="2"/>
      </rPr>
      <t>FS.0x</t>
    </r>
    <r>
      <rPr>
        <sz val="10"/>
        <color theme="1"/>
        <rFont val="微软雅黑"/>
        <family val="2"/>
      </rPr>
      <t>与财务报表核对无误</t>
    </r>
  </si>
  <si>
    <r>
      <rPr>
        <sz val="10"/>
        <color rgb="FF000000"/>
        <rFont val="微软雅黑"/>
        <family val="2"/>
      </rPr>
      <t>列报和披露</t>
    </r>
    <r>
      <rPr>
        <sz val="10"/>
        <color rgb="FF000000"/>
        <rFont val="Arial"/>
        <family val="2"/>
      </rPr>
      <t xml:space="preserve"> (P&amp;D)</t>
    </r>
    <phoneticPr fontId="77" type="noConversion"/>
  </si>
  <si>
    <t>N/A</t>
  </si>
  <si>
    <t>w</t>
  </si>
  <si>
    <r>
      <rPr>
        <sz val="10"/>
        <color theme="1"/>
        <rFont val="微软雅黑"/>
        <family val="2"/>
      </rPr>
      <t>低于</t>
    </r>
    <r>
      <rPr>
        <sz val="10"/>
        <color theme="1"/>
        <rFont val="Arial"/>
        <family val="2"/>
      </rPr>
      <t>SAD</t>
    </r>
    <r>
      <rPr>
        <sz val="10"/>
        <color theme="1"/>
        <rFont val="微软雅黑"/>
        <family val="2"/>
      </rPr>
      <t>的金额</t>
    </r>
    <r>
      <rPr>
        <sz val="10"/>
        <color theme="1"/>
        <rFont val="Arial"/>
        <family val="2"/>
      </rPr>
      <t>——</t>
    </r>
    <r>
      <rPr>
        <sz val="10"/>
        <color theme="1"/>
        <rFont val="微软雅黑"/>
        <family val="2"/>
      </rPr>
      <t>放弃进一步调查</t>
    </r>
  </si>
  <si>
    <r>
      <t xml:space="preserve">1 </t>
    </r>
    <r>
      <rPr>
        <b/>
        <i/>
        <sz val="9"/>
        <color rgb="FFFF0000"/>
        <rFont val="微软雅黑"/>
        <family val="2"/>
      </rPr>
      <t>各项认定的测试阈值，是根据</t>
    </r>
    <r>
      <rPr>
        <b/>
        <i/>
        <sz val="9"/>
        <color rgb="FFFF0000"/>
        <rFont val="Arial"/>
        <family val="2"/>
      </rPr>
      <t xml:space="preserve">EY GAM SUBSTANTIVE DESIGN 2.2.1 </t>
    </r>
  </si>
  <si>
    <t>Rx</t>
  </si>
  <si>
    <r>
      <rPr>
        <sz val="10"/>
        <color theme="1"/>
        <rFont val="微软雅黑"/>
        <family val="2"/>
      </rPr>
      <t>重新计算，无异常</t>
    </r>
  </si>
  <si>
    <r>
      <rPr>
        <b/>
        <i/>
        <sz val="9"/>
        <color rgb="FFFF0000"/>
        <rFont val="微软雅黑"/>
        <family val="2"/>
      </rPr>
      <t>中的示例测试阈值（用占</t>
    </r>
    <r>
      <rPr>
        <b/>
        <i/>
        <sz val="9"/>
        <color rgb="FFFF0000"/>
        <rFont val="Arial"/>
        <family val="2"/>
      </rPr>
      <t>TE</t>
    </r>
    <r>
      <rPr>
        <b/>
        <i/>
        <sz val="9"/>
        <color rgb="FFFF0000"/>
        <rFont val="微软雅黑"/>
        <family val="2"/>
      </rPr>
      <t>的百分比表示）在相应风险等级（</t>
    </r>
    <r>
      <rPr>
        <b/>
        <i/>
        <sz val="9"/>
        <color rgb="FFFF0000"/>
        <rFont val="Arial"/>
        <family val="2"/>
      </rPr>
      <t>CRA</t>
    </r>
    <r>
      <rPr>
        <b/>
        <i/>
        <sz val="9"/>
        <color rgb="FFFF0000"/>
        <rFont val="微软雅黑"/>
        <family val="2"/>
      </rPr>
      <t>）区间的上限计算得出的。</t>
    </r>
  </si>
  <si>
    <t>m</t>
  </si>
  <si>
    <r>
      <rPr>
        <sz val="10"/>
        <color theme="1"/>
        <rFont val="微软雅黑"/>
        <family val="2"/>
      </rPr>
      <t>余额</t>
    </r>
    <r>
      <rPr>
        <sz val="10"/>
        <color theme="1"/>
        <rFont val="Arial"/>
        <family val="2"/>
      </rPr>
      <t>/</t>
    </r>
    <r>
      <rPr>
        <sz val="10"/>
        <color theme="1"/>
        <rFont val="微软雅黑"/>
        <family val="2"/>
      </rPr>
      <t>活动不符合测试范围</t>
    </r>
    <r>
      <rPr>
        <sz val="10"/>
        <color theme="1"/>
        <rFont val="Arial"/>
        <family val="2"/>
      </rPr>
      <t>–</t>
    </r>
    <r>
      <rPr>
        <sz val="10"/>
        <color theme="1"/>
        <rFont val="微软雅黑"/>
        <family val="2"/>
      </rPr>
      <t>无需进一步调查</t>
    </r>
  </si>
  <si>
    <r>
      <rPr>
        <b/>
        <i/>
        <sz val="9"/>
        <color rgb="FFFF0000"/>
        <rFont val="微软雅黑"/>
        <family val="2"/>
      </rPr>
      <t>除负债</t>
    </r>
    <r>
      <rPr>
        <b/>
        <i/>
        <sz val="9"/>
        <color rgb="FFFF0000"/>
        <rFont val="Arial"/>
        <family val="2"/>
      </rPr>
      <t>/</t>
    </r>
    <r>
      <rPr>
        <b/>
        <i/>
        <sz val="9"/>
        <color rgb="FFFF0000"/>
        <rFont val="微软雅黑"/>
        <family val="2"/>
      </rPr>
      <t>费用类别账户的完整性认定应当使用负债</t>
    </r>
    <r>
      <rPr>
        <b/>
        <i/>
        <sz val="9"/>
        <color rgb="FFFF0000"/>
        <rFont val="Arial"/>
        <family val="2"/>
      </rPr>
      <t>/</t>
    </r>
    <r>
      <rPr>
        <b/>
        <i/>
        <sz val="9"/>
        <color rgb="FFFF0000"/>
        <rFont val="微软雅黑"/>
        <family val="2"/>
      </rPr>
      <t>费用账户表之外，其他类别账户和认定均可使用资产</t>
    </r>
    <r>
      <rPr>
        <b/>
        <i/>
        <sz val="9"/>
        <color rgb="FFFF0000"/>
        <rFont val="Arial"/>
        <family val="2"/>
      </rPr>
      <t>/</t>
    </r>
    <r>
      <rPr>
        <b/>
        <i/>
        <sz val="9"/>
        <color rgb="FFFF0000"/>
        <rFont val="微软雅黑"/>
        <family val="2"/>
      </rPr>
      <t>收入账户表。</t>
    </r>
  </si>
  <si>
    <t>SL</t>
  </si>
  <si>
    <r>
      <rPr>
        <sz val="10"/>
        <color rgb="FF000000"/>
        <rFont val="微软雅黑"/>
        <family val="2"/>
      </rPr>
      <t>已与明细账核对无误</t>
    </r>
  </si>
  <si>
    <r>
      <t xml:space="preserve">2 </t>
    </r>
    <r>
      <rPr>
        <b/>
        <i/>
        <sz val="9"/>
        <color rgb="FFFF0000"/>
        <rFont val="微软雅黑"/>
        <family val="2"/>
      </rPr>
      <t>所有相关认定的测试阈值，是所有有效认定对应之测试阈值的最小值。我们在</t>
    </r>
    <r>
      <rPr>
        <b/>
        <i/>
        <sz val="9"/>
        <color rgb="FFFF0000"/>
        <rFont val="Arial"/>
        <family val="2"/>
      </rPr>
      <t xml:space="preserve"> Lead</t>
    </r>
    <r>
      <rPr>
        <b/>
        <i/>
        <sz val="9"/>
        <color rgb="FFFF0000"/>
        <rFont val="微软雅黑"/>
        <family val="2"/>
      </rPr>
      <t>中使用该测试阈值：（</t>
    </r>
    <r>
      <rPr>
        <b/>
        <i/>
        <sz val="9"/>
        <color rgb="FFFF0000"/>
        <rFont val="Arial"/>
        <family val="2"/>
      </rPr>
      <t>a</t>
    </r>
    <r>
      <rPr>
        <b/>
        <i/>
        <sz val="9"/>
        <color rgb="FFFF0000"/>
        <rFont val="微软雅黑"/>
        <family val="2"/>
      </rPr>
      <t>）作为选取总账账户进行测试的起点；（</t>
    </r>
    <r>
      <rPr>
        <b/>
        <i/>
        <sz val="9"/>
        <color rgb="FFFF0000"/>
        <rFont val="Arial"/>
        <family val="2"/>
      </rPr>
      <t>b</t>
    </r>
    <r>
      <rPr>
        <b/>
        <i/>
        <sz val="9"/>
        <color rgb="FFFF0000"/>
        <rFont val="微软雅黑"/>
        <family val="2"/>
      </rPr>
      <t>）作为（需要进一步调查的）金额波动范围的起点。</t>
    </r>
  </si>
  <si>
    <r>
      <rPr>
        <b/>
        <sz val="10"/>
        <rFont val="微软雅黑"/>
        <family val="2"/>
      </rPr>
      <t>在下文中描述我们对在建工程在此期间的相关账户余额和相关波动的预期，以及我们对这些预期的依据和理由。</t>
    </r>
  </si>
  <si>
    <r>
      <rPr>
        <b/>
        <sz val="10"/>
        <color theme="1"/>
        <rFont val="微软雅黑"/>
        <family val="2"/>
      </rPr>
      <t>账户变更</t>
    </r>
  </si>
  <si>
    <r>
      <rPr>
        <b/>
        <sz val="10"/>
        <color theme="1"/>
        <rFont val="微软雅黑"/>
        <family val="2"/>
      </rPr>
      <t>预期及额外考虑</t>
    </r>
  </si>
  <si>
    <r>
      <rPr>
        <i/>
        <sz val="10"/>
        <color theme="1"/>
        <rFont val="微软雅黑"/>
        <family val="2"/>
      </rPr>
      <t>新增</t>
    </r>
    <phoneticPr fontId="77" type="noConversion"/>
  </si>
  <si>
    <t>公司本年生产规模扩大，购入生产设备以及进行车间改造，预期本期有大额新增</t>
  </si>
  <si>
    <r>
      <rPr>
        <i/>
        <sz val="10"/>
        <color theme="1"/>
        <rFont val="微软雅黑"/>
        <family val="2"/>
      </rPr>
      <t>转出</t>
    </r>
    <phoneticPr fontId="77" type="noConversion"/>
  </si>
  <si>
    <t>本期新建设生产设备已达到预定可使用状态，预期有大额转出</t>
  </si>
  <si>
    <r>
      <rPr>
        <b/>
        <sz val="10"/>
        <rFont val="微软雅黑"/>
        <family val="2"/>
      </rPr>
      <t>波动范围</t>
    </r>
  </si>
  <si>
    <r>
      <rPr>
        <b/>
        <sz val="10"/>
        <color rgb="FF000000"/>
        <rFont val="微软雅黑"/>
        <family val="2"/>
        <charset val="134"/>
      </rPr>
      <t>波动幅度</t>
    </r>
    <r>
      <rPr>
        <b/>
        <sz val="10"/>
        <color rgb="FF000000"/>
        <rFont val="Arial"/>
        <family val="2"/>
      </rPr>
      <t xml:space="preserve"> (%):</t>
    </r>
  </si>
  <si>
    <r>
      <rPr>
        <b/>
        <sz val="10"/>
        <rFont val="微软雅黑"/>
        <family val="2"/>
      </rPr>
      <t>我们获取或编制了与前期对比的在建工程及相关账户的引导表。我们将本期余额与试算平衡表核对一致，并将上期余额与前期已审计工作底稿核对一致</t>
    </r>
    <r>
      <rPr>
        <b/>
        <sz val="10"/>
        <color rgb="FFFF0000"/>
        <rFont val="微软雅黑"/>
        <family val="2"/>
        <charset val="134"/>
      </rPr>
      <t>（如适用）</t>
    </r>
    <r>
      <rPr>
        <b/>
        <sz val="10"/>
        <rFont val="微软雅黑"/>
        <family val="2"/>
      </rPr>
      <t>。</t>
    </r>
    <phoneticPr fontId="77" type="noConversion"/>
  </si>
  <si>
    <r>
      <rPr>
        <b/>
        <sz val="10"/>
        <rFont val="微软雅黑"/>
        <family val="2"/>
      </rPr>
      <t>我们记录了我们对期间内在建工程活动变动的预期以及做出这些预期的基础和理由。</t>
    </r>
  </si>
  <si>
    <r>
      <rPr>
        <b/>
        <sz val="10"/>
        <rFont val="微软雅黑"/>
        <family val="2"/>
      </rPr>
      <t>我们将期末余额与上期余额进行比较。我们调查了超出测试阈值的波动以及代表异常或预期外变动或预期中变动未发生的波动，并确定其对我们计划实质性程序的影响</t>
    </r>
    <r>
      <rPr>
        <b/>
        <sz val="10"/>
        <color rgb="FFFF0000"/>
        <rFont val="微软雅黑"/>
        <family val="2"/>
      </rPr>
      <t>（如有</t>
    </r>
    <r>
      <rPr>
        <b/>
        <sz val="10"/>
        <color rgb="FFFF0000"/>
        <rFont val="等线"/>
        <family val="2"/>
        <charset val="134"/>
      </rPr>
      <t>）</t>
    </r>
    <r>
      <rPr>
        <b/>
        <sz val="10"/>
        <rFont val="微软雅黑"/>
        <family val="2"/>
      </rPr>
      <t>。</t>
    </r>
    <phoneticPr fontId="77" type="noConversion"/>
  </si>
  <si>
    <t>|------- TB -------|</t>
  </si>
  <si>
    <t>|------- PY -------|</t>
  </si>
  <si>
    <t>本期和上期期末余额</t>
  </si>
  <si>
    <t>基于波动幅度判断，是否进一步调查？</t>
  </si>
  <si>
    <t>基于定性考虑判断，是否进一步调查？</t>
  </si>
  <si>
    <t>总账科目编码</t>
  </si>
  <si>
    <t>科目名称</t>
  </si>
  <si>
    <t>索引号</t>
  </si>
  <si>
    <t>期末账面数</t>
  </si>
  <si>
    <t>账表调整数</t>
  </si>
  <si>
    <t>期末未审数</t>
  </si>
  <si>
    <t>审计调整数</t>
  </si>
  <si>
    <t>期末审定数</t>
  </si>
  <si>
    <t>上期末审定数</t>
  </si>
  <si>
    <t>变动金额</t>
  </si>
  <si>
    <t>变动%</t>
  </si>
  <si>
    <t>Notes</t>
  </si>
  <si>
    <r>
      <rPr>
        <sz val="10"/>
        <rFont val="微软雅黑"/>
        <family val="2"/>
      </rPr>
      <t>在建工程</t>
    </r>
    <r>
      <rPr>
        <sz val="10"/>
        <rFont val="Arial"/>
        <family val="2"/>
      </rPr>
      <t>-</t>
    </r>
    <r>
      <rPr>
        <sz val="10"/>
        <rFont val="微软雅黑"/>
        <family val="2"/>
      </rPr>
      <t>原值</t>
    </r>
  </si>
  <si>
    <t>J.01 Agree SL to GL</t>
  </si>
  <si>
    <r>
      <rPr>
        <sz val="10"/>
        <rFont val="微软雅黑"/>
        <family val="2"/>
      </rPr>
      <t>在建工程减值准备</t>
    </r>
  </si>
  <si>
    <r>
      <rPr>
        <b/>
        <sz val="10"/>
        <color theme="1"/>
        <rFont val="微软雅黑"/>
        <family val="2"/>
      </rPr>
      <t>净值</t>
    </r>
  </si>
  <si>
    <t>Rx</t>
    <phoneticPr fontId="77" type="noConversion"/>
  </si>
  <si>
    <t>check with A3</t>
  </si>
  <si>
    <t>Diff</t>
  </si>
  <si>
    <t>波动说明</t>
  </si>
  <si>
    <t>NA</t>
  </si>
  <si>
    <r>
      <rPr>
        <b/>
        <sz val="10"/>
        <color rgb="FF000000"/>
        <rFont val="微软雅黑"/>
        <family val="2"/>
      </rPr>
      <t>调整汇总表</t>
    </r>
    <r>
      <rPr>
        <b/>
        <i/>
        <sz val="10"/>
        <color rgb="FFFF0000"/>
        <rFont val="微软雅黑"/>
        <family val="2"/>
      </rPr>
      <t>（如不适用请删除）</t>
    </r>
  </si>
  <si>
    <r>
      <rPr>
        <sz val="10"/>
        <rFont val="微软雅黑"/>
        <family val="2"/>
      </rPr>
      <t>调整类型</t>
    </r>
  </si>
  <si>
    <t>已更正审计调整(AA/RA/OA)</t>
  </si>
  <si>
    <t>调整定制软件在建工程进预付</t>
  </si>
  <si>
    <t>在建工程</t>
  </si>
  <si>
    <t>RA#42</t>
  </si>
  <si>
    <t>预付帐款</t>
  </si>
  <si>
    <r>
      <rPr>
        <b/>
        <sz val="14"/>
        <color theme="0"/>
        <rFont val="微软雅黑"/>
        <family val="2"/>
        <charset val="134"/>
      </rPr>
      <t>标准工作底稿</t>
    </r>
    <r>
      <rPr>
        <b/>
        <sz val="14"/>
        <color theme="0"/>
        <rFont val="Arial"/>
        <family val="2"/>
      </rPr>
      <t xml:space="preserve">: J1 SWP </t>
    </r>
    <r>
      <rPr>
        <b/>
        <sz val="14"/>
        <color theme="0"/>
        <rFont val="微软雅黑"/>
        <family val="2"/>
        <charset val="134"/>
      </rPr>
      <t>在建工程</t>
    </r>
  </si>
  <si>
    <r>
      <rPr>
        <b/>
        <sz val="10"/>
        <rFont val="微软雅黑"/>
        <family val="2"/>
      </rPr>
      <t>我们获得了上期末至本期末</t>
    </r>
    <r>
      <rPr>
        <b/>
        <sz val="10"/>
        <color rgb="FFFF0000"/>
        <rFont val="微软雅黑"/>
        <family val="2"/>
        <charset val="134"/>
      </rPr>
      <t>（或中期，如适用）</t>
    </r>
    <r>
      <rPr>
        <b/>
        <sz val="10"/>
        <rFont val="微软雅黑"/>
        <family val="2"/>
      </rPr>
      <t>在建工程及相关新增、转出的后推明细表。</t>
    </r>
    <phoneticPr fontId="77" type="noConversion"/>
  </si>
  <si>
    <r>
      <rPr>
        <b/>
        <sz val="10"/>
        <rFont val="微软雅黑"/>
        <family val="2"/>
      </rPr>
      <t>我们将期初在建工程余额与上期经审计工作底稿</t>
    </r>
    <r>
      <rPr>
        <b/>
        <sz val="10"/>
        <color rgb="FFFF0000"/>
        <rFont val="微软雅黑"/>
        <family val="2"/>
        <charset val="134"/>
      </rPr>
      <t>（如适用）</t>
    </r>
    <r>
      <rPr>
        <b/>
        <sz val="10"/>
        <rFont val="微软雅黑"/>
        <family val="2"/>
      </rPr>
      <t>核对一致，将期末在建工程余额与在建工程明细账和试算表核对一致。我们调查了超过</t>
    </r>
    <r>
      <rPr>
        <b/>
        <sz val="10"/>
        <rFont val="Arial"/>
        <family val="2"/>
      </rPr>
      <t>SAD</t>
    </r>
    <r>
      <rPr>
        <b/>
        <sz val="10"/>
        <rFont val="微软雅黑"/>
        <family val="2"/>
      </rPr>
      <t>名义金额的差额。</t>
    </r>
    <phoneticPr fontId="77" type="noConversion"/>
  </si>
  <si>
    <r>
      <rPr>
        <b/>
        <sz val="10"/>
        <rFont val="微软雅黑"/>
        <family val="2"/>
      </rPr>
      <t>我们选择了超过测试阈值的后推活动</t>
    </r>
    <r>
      <rPr>
        <b/>
        <sz val="10"/>
        <color rgb="FFFF0000"/>
        <rFont val="微软雅黑"/>
        <family val="2"/>
        <charset val="134"/>
      </rPr>
      <t>（如，新增、转入固定资产、转出其他）</t>
    </r>
    <r>
      <rPr>
        <b/>
        <sz val="10"/>
        <rFont val="微软雅黑"/>
        <family val="2"/>
      </rPr>
      <t>，以执行</t>
    </r>
    <r>
      <rPr>
        <b/>
        <sz val="10"/>
        <rFont val="Arial"/>
        <family val="2"/>
      </rPr>
      <t>J.01</t>
    </r>
    <r>
      <rPr>
        <b/>
        <sz val="10"/>
        <rFont val="微软雅黑"/>
        <family val="2"/>
      </rPr>
      <t>和</t>
    </r>
    <r>
      <rPr>
        <b/>
        <sz val="10"/>
        <rFont val="Arial"/>
        <family val="2"/>
      </rPr>
      <t>J.02</t>
    </r>
    <r>
      <rPr>
        <b/>
        <sz val="10"/>
        <rFont val="微软雅黑"/>
        <family val="2"/>
      </rPr>
      <t>的实质性程序。对于未包含在本程序表范围内的程序，我们交叉索引至完成该程序的单独程序表。</t>
    </r>
    <phoneticPr fontId="77" type="noConversion"/>
  </si>
  <si>
    <r>
      <rPr>
        <b/>
        <sz val="10"/>
        <color rgb="FFFF0000"/>
        <rFont val="微软雅黑"/>
        <family val="2"/>
      </rPr>
      <t>表</t>
    </r>
    <r>
      <rPr>
        <b/>
        <sz val="10"/>
        <color rgb="FFFF0000"/>
        <rFont val="Arial"/>
        <family val="2"/>
      </rPr>
      <t>1</t>
    </r>
  </si>
  <si>
    <r>
      <rPr>
        <b/>
        <sz val="10"/>
        <rFont val="微软雅黑"/>
        <family val="2"/>
      </rPr>
      <t>在建工程</t>
    </r>
  </si>
  <si>
    <r>
      <rPr>
        <b/>
        <sz val="10"/>
        <rFont val="微软雅黑"/>
        <family val="2"/>
      </rPr>
      <t>明细项</t>
    </r>
  </si>
  <si>
    <r>
      <rPr>
        <b/>
        <sz val="10"/>
        <rFont val="微软雅黑"/>
        <family val="2"/>
      </rPr>
      <t>索引</t>
    </r>
  </si>
  <si>
    <r>
      <rPr>
        <b/>
        <sz val="10"/>
        <color rgb="FF000000"/>
        <rFont val="微软雅黑"/>
        <family val="2"/>
      </rPr>
      <t>账面数</t>
    </r>
  </si>
  <si>
    <r>
      <rPr>
        <b/>
        <sz val="10"/>
        <color rgb="FF000000"/>
        <rFont val="微软雅黑"/>
        <family val="2"/>
      </rPr>
      <t>账表调整</t>
    </r>
    <r>
      <rPr>
        <b/>
        <sz val="10"/>
        <color rgb="FF000000"/>
        <rFont val="等线"/>
        <family val="2"/>
        <charset val="134"/>
      </rPr>
      <t>数</t>
    </r>
    <phoneticPr fontId="77" type="noConversion"/>
  </si>
  <si>
    <r>
      <rPr>
        <b/>
        <sz val="10"/>
        <color rgb="FF000000"/>
        <rFont val="微软雅黑"/>
        <family val="2"/>
      </rPr>
      <t>审计调整</t>
    </r>
    <r>
      <rPr>
        <b/>
        <sz val="10"/>
        <color rgb="FF000000"/>
        <rFont val="等线"/>
        <family val="2"/>
        <charset val="134"/>
      </rPr>
      <t>数</t>
    </r>
    <phoneticPr fontId="77" type="noConversion"/>
  </si>
  <si>
    <r>
      <rPr>
        <b/>
        <sz val="10"/>
        <color theme="1"/>
        <rFont val="微软雅黑"/>
        <family val="2"/>
      </rPr>
      <t>审定数</t>
    </r>
  </si>
  <si>
    <r>
      <rPr>
        <sz val="10"/>
        <rFont val="微软雅黑"/>
        <family val="2"/>
      </rPr>
      <t>在建工程</t>
    </r>
    <r>
      <rPr>
        <sz val="10"/>
        <rFont val="Arial"/>
        <family val="2"/>
      </rPr>
      <t>-</t>
    </r>
    <r>
      <rPr>
        <sz val="10"/>
        <rFont val="微软雅黑"/>
        <family val="2"/>
      </rPr>
      <t>账面余额</t>
    </r>
  </si>
  <si>
    <r>
      <rPr>
        <sz val="10"/>
        <color theme="1"/>
        <rFont val="微软雅黑"/>
        <family val="2"/>
      </rPr>
      <t>期初余额</t>
    </r>
    <phoneticPr fontId="77" type="noConversion"/>
  </si>
  <si>
    <r>
      <rPr>
        <sz val="10"/>
        <color theme="1"/>
        <rFont val="微软雅黑"/>
        <family val="2"/>
      </rPr>
      <t>本期新增</t>
    </r>
  </si>
  <si>
    <t>J.02.1/</t>
  </si>
  <si>
    <r>
      <rPr>
        <sz val="10"/>
        <color theme="1"/>
        <rFont val="微软雅黑"/>
        <family val="2"/>
      </rPr>
      <t>本期转入固定资产</t>
    </r>
  </si>
  <si>
    <t>J.02.2/</t>
  </si>
  <si>
    <r>
      <rPr>
        <sz val="10"/>
        <color theme="1"/>
        <rFont val="微软雅黑"/>
        <family val="2"/>
      </rPr>
      <t>其他减少</t>
    </r>
  </si>
  <si>
    <r>
      <rPr>
        <sz val="10"/>
        <color theme="1"/>
        <rFont val="微软雅黑"/>
        <family val="2"/>
      </rPr>
      <t>期末余额</t>
    </r>
  </si>
  <si>
    <r>
      <rPr>
        <sz val="10"/>
        <rFont val="微软雅黑"/>
        <family val="2"/>
      </rPr>
      <t>在建工程</t>
    </r>
    <r>
      <rPr>
        <sz val="10"/>
        <rFont val="Arial"/>
        <family val="2"/>
      </rPr>
      <t>-</t>
    </r>
    <r>
      <rPr>
        <sz val="10"/>
        <rFont val="微软雅黑"/>
        <family val="2"/>
      </rPr>
      <t>减值准备</t>
    </r>
  </si>
  <si>
    <r>
      <rPr>
        <sz val="10"/>
        <color theme="1"/>
        <rFont val="微软雅黑"/>
        <family val="2"/>
      </rPr>
      <t>期初余额</t>
    </r>
  </si>
  <si>
    <r>
      <rPr>
        <b/>
        <sz val="10"/>
        <color rgb="FFFF0000"/>
        <rFont val="Arial"/>
        <family val="2"/>
      </rPr>
      <t xml:space="preserve">SWP </t>
    </r>
    <r>
      <rPr>
        <b/>
        <sz val="10"/>
        <color rgb="FFFF0000"/>
        <rFont val="微软雅黑"/>
        <family val="2"/>
        <charset val="134"/>
      </rPr>
      <t>减值</t>
    </r>
  </si>
  <si>
    <r>
      <rPr>
        <sz val="10"/>
        <color theme="1"/>
        <rFont val="微软雅黑"/>
        <family val="2"/>
      </rPr>
      <t>本期减少</t>
    </r>
  </si>
  <si>
    <r>
      <rPr>
        <sz val="10"/>
        <color theme="1"/>
        <rFont val="微软雅黑"/>
        <family val="2"/>
      </rPr>
      <t>期末价值</t>
    </r>
  </si>
  <si>
    <r>
      <t>TB-</t>
    </r>
    <r>
      <rPr>
        <b/>
        <sz val="10"/>
        <color rgb="FFFF0000"/>
        <rFont val="微软雅黑"/>
        <family val="2"/>
      </rPr>
      <t>期末账面余额</t>
    </r>
  </si>
  <si>
    <r>
      <rPr>
        <b/>
        <sz val="10"/>
        <color rgb="FFFF0000"/>
        <rFont val="微软雅黑"/>
        <family val="2"/>
      </rPr>
      <t>差异</t>
    </r>
  </si>
  <si>
    <r>
      <t>TB-</t>
    </r>
    <r>
      <rPr>
        <b/>
        <sz val="10"/>
        <color rgb="FFFF0000"/>
        <rFont val="微软雅黑"/>
        <family val="2"/>
      </rPr>
      <t>期末净值</t>
    </r>
  </si>
  <si>
    <r>
      <rPr>
        <b/>
        <sz val="10"/>
        <color rgb="FFFF0000"/>
        <rFont val="微软雅黑"/>
        <family val="2"/>
        <charset val="134"/>
      </rPr>
      <t>表</t>
    </r>
    <r>
      <rPr>
        <b/>
        <sz val="10"/>
        <color rgb="FFFF0000"/>
        <rFont val="Arial"/>
        <family val="2"/>
      </rPr>
      <t>2</t>
    </r>
    <r>
      <rPr>
        <b/>
        <sz val="10"/>
        <color rgb="FF000000"/>
        <rFont val="Arial"/>
        <family val="2"/>
      </rPr>
      <t xml:space="preserve"> </t>
    </r>
    <r>
      <rPr>
        <b/>
        <sz val="10"/>
        <color rgb="FF000000"/>
        <rFont val="微软雅黑"/>
        <family val="2"/>
        <charset val="134"/>
      </rPr>
      <t>获取期末的在建工程明细清单，我们将在建工程明细清单的金额与</t>
    </r>
    <r>
      <rPr>
        <b/>
        <sz val="10"/>
        <color rgb="FFFF0000"/>
        <rFont val="微软雅黑"/>
        <family val="2"/>
        <charset val="134"/>
      </rPr>
      <t>表</t>
    </r>
    <r>
      <rPr>
        <b/>
        <sz val="10"/>
        <color rgb="FFFF0000"/>
        <rFont val="Arial"/>
        <family val="2"/>
      </rPr>
      <t>1</t>
    </r>
    <r>
      <rPr>
        <b/>
        <sz val="10"/>
        <color rgb="FF000000"/>
        <rFont val="微软雅黑"/>
        <family val="2"/>
        <charset val="134"/>
      </rPr>
      <t>金额进行核对，调查大于</t>
    </r>
    <r>
      <rPr>
        <b/>
        <sz val="10"/>
        <color rgb="FF000000"/>
        <rFont val="Arial"/>
        <family val="2"/>
      </rPr>
      <t>SAD</t>
    </r>
    <r>
      <rPr>
        <b/>
        <sz val="10"/>
        <color rgb="FF000000"/>
        <rFont val="微软雅黑"/>
        <family val="2"/>
        <charset val="134"/>
      </rPr>
      <t>的差异。</t>
    </r>
  </si>
  <si>
    <r>
      <t xml:space="preserve">CIP List </t>
    </r>
    <r>
      <rPr>
        <b/>
        <sz val="10"/>
        <color rgb="FFFF0000"/>
        <rFont val="微软雅黑"/>
        <family val="2"/>
      </rPr>
      <t>余额</t>
    </r>
  </si>
  <si>
    <r>
      <rPr>
        <b/>
        <sz val="10"/>
        <color rgb="FFFF0000"/>
        <rFont val="微软雅黑"/>
        <family val="2"/>
      </rPr>
      <t>与表</t>
    </r>
    <r>
      <rPr>
        <b/>
        <sz val="10"/>
        <color rgb="FFFF0000"/>
        <rFont val="Arial"/>
        <family val="2"/>
      </rPr>
      <t>1</t>
    </r>
    <r>
      <rPr>
        <b/>
        <sz val="10"/>
        <color rgb="FFFF0000"/>
        <rFont val="微软雅黑"/>
        <family val="2"/>
      </rPr>
      <t>核对</t>
    </r>
  </si>
  <si>
    <r>
      <rPr>
        <b/>
        <sz val="10"/>
        <color rgb="FFFF0000"/>
        <rFont val="Arial"/>
        <family val="2"/>
      </rPr>
      <t>Notes</t>
    </r>
    <r>
      <rPr>
        <b/>
        <sz val="10"/>
        <color rgb="FFFF0000"/>
        <rFont val="等线"/>
        <family val="2"/>
        <charset val="134"/>
      </rPr>
      <t>：</t>
    </r>
    <r>
      <rPr>
        <b/>
        <sz val="10"/>
        <color theme="1"/>
        <rFont val="微软雅黑"/>
        <family val="2"/>
      </rPr>
      <t>请在此记录明细账和总账的差异，并详细记录对差异进行的核查程序</t>
    </r>
    <phoneticPr fontId="77" type="noConversion"/>
  </si>
  <si>
    <t>明细账和总账无差异</t>
  </si>
  <si>
    <r>
      <rPr>
        <b/>
        <sz val="14"/>
        <color theme="0"/>
        <rFont val="微软雅黑"/>
        <family val="2"/>
      </rPr>
      <t>标准工作底稿</t>
    </r>
    <r>
      <rPr>
        <b/>
        <sz val="14"/>
        <color theme="0"/>
        <rFont val="Arial"/>
        <family val="2"/>
      </rPr>
      <t xml:space="preserve">: J1 SWP </t>
    </r>
    <r>
      <rPr>
        <b/>
        <sz val="14"/>
        <color theme="0"/>
        <rFont val="微软雅黑"/>
        <family val="2"/>
      </rPr>
      <t>在建工程</t>
    </r>
    <phoneticPr fontId="77" type="noConversion"/>
  </si>
  <si>
    <t>J.02.1 CIP additions (TOD)</t>
    <phoneticPr fontId="77" type="noConversion"/>
  </si>
  <si>
    <t>记录我们的详细测试所涵盖的总体</t>
  </si>
  <si>
    <t>我们将在建工程本期新增作为我们抽样测试的总体</t>
    <phoneticPr fontId="77" type="noConversion"/>
  </si>
  <si>
    <r>
      <rPr>
        <sz val="10"/>
        <rFont val="微软雅黑"/>
        <family val="2"/>
      </rPr>
      <t>新增明细清单金额</t>
    </r>
  </si>
  <si>
    <r>
      <rPr>
        <b/>
        <sz val="10"/>
        <color rgb="FFFF0000"/>
        <rFont val="微软雅黑"/>
        <family val="2"/>
      </rPr>
      <t>新增清单</t>
    </r>
  </si>
  <si>
    <r>
      <rPr>
        <sz val="10"/>
        <rFont val="微软雅黑"/>
        <family val="2"/>
      </rPr>
      <t>新增总额</t>
    </r>
  </si>
  <si>
    <t xml:space="preserve">J1.01 </t>
  </si>
  <si>
    <r>
      <rPr>
        <sz val="10"/>
        <rFont val="微软雅黑"/>
        <family val="2"/>
      </rPr>
      <t>差异</t>
    </r>
  </si>
  <si>
    <r>
      <rPr>
        <sz val="10"/>
        <color theme="1"/>
        <rFont val="微软雅黑"/>
        <family val="2"/>
      </rPr>
      <t>差异是否需要进一步调查？</t>
    </r>
  </si>
  <si>
    <r>
      <rPr>
        <sz val="10"/>
        <rFont val="微软雅黑"/>
        <family val="2"/>
      </rPr>
      <t>减：已测试的关键性样本</t>
    </r>
  </si>
  <si>
    <r>
      <rPr>
        <sz val="10"/>
        <rFont val="微软雅黑"/>
        <family val="2"/>
      </rPr>
      <t>剩余代表性样本抽样总体</t>
    </r>
  </si>
  <si>
    <r>
      <rPr>
        <b/>
        <sz val="10"/>
        <color rgb="FF000000"/>
        <rFont val="微软雅黑"/>
        <family val="2"/>
        <charset val="134"/>
      </rPr>
      <t>下面描述选择关键项目的理由</t>
    </r>
    <r>
      <rPr>
        <b/>
        <i/>
        <sz val="10"/>
        <color rgb="FFFF0000"/>
        <rFont val="微软雅黑"/>
        <family val="2"/>
        <charset val="134"/>
      </rPr>
      <t>：</t>
    </r>
  </si>
  <si>
    <t>1）我们将本年新增样本金额超过在建工程存在认定，计价认定及权利和义务认定的Threshold（人民币2,346,000元）的样本，设定为关键项；
2）同时，我们将本年新增样本性质异常的单项资产，设定为关键项；
3）如果没有充分的关键项以支持我们得出结论，我们会将测试延伸至剩余总体中的代表性抽样，选择随机抽样确定代表性样本。	
基于对被审计单位和重大交易流程的了解，我们未识别出金额超过TT的关键性样本；考虑关键项后，我们利用抽样工具评估已获得审计证据的充分性和适当性，按照评估结果，识别出2项测试代表性样本。</t>
  </si>
  <si>
    <r>
      <t xml:space="preserve">EY </t>
    </r>
    <r>
      <rPr>
        <b/>
        <sz val="11"/>
        <rFont val="微软雅黑"/>
        <family val="2"/>
      </rPr>
      <t>测试属性解释</t>
    </r>
    <r>
      <rPr>
        <b/>
        <sz val="11"/>
        <rFont val="Arial"/>
        <family val="2"/>
      </rPr>
      <t>:</t>
    </r>
  </si>
  <si>
    <t>对于选择进行测试的每个项目，我们检查了相关的第三方证据（如发票和/或合同、进度账单、人工和间接费用），并确定：</t>
    <phoneticPr fontId="0" type="noConversion"/>
  </si>
  <si>
    <t>1) 选定的该项资产符合资本化条件，而不是计入费用。</t>
  </si>
  <si>
    <t>2）资产记录的金额和相关的财务报告框架一致。</t>
  </si>
  <si>
    <t>|------- Rx -------|</t>
  </si>
  <si>
    <t>EY Works</t>
    <phoneticPr fontId="77" type="noConversion"/>
  </si>
  <si>
    <r>
      <rPr>
        <b/>
        <sz val="10"/>
        <rFont val="微软雅黑"/>
        <family val="2"/>
      </rPr>
      <t>样本序号</t>
    </r>
    <phoneticPr fontId="86"/>
  </si>
  <si>
    <r>
      <rPr>
        <b/>
        <sz val="10"/>
        <rFont val="微软雅黑"/>
        <family val="2"/>
      </rPr>
      <t xml:space="preserve">样本类型
</t>
    </r>
    <r>
      <rPr>
        <b/>
        <sz val="10"/>
        <color rgb="FFFF0000"/>
        <rFont val="微软雅黑"/>
        <family val="2"/>
        <charset val="134"/>
      </rPr>
      <t>（使用下拉列表）</t>
    </r>
  </si>
  <si>
    <r>
      <rPr>
        <b/>
        <sz val="10"/>
        <rFont val="微软雅黑"/>
        <family val="2"/>
      </rPr>
      <t>资产日期
（最初记录在明细账中的时间）</t>
    </r>
  </si>
  <si>
    <r>
      <rPr>
        <b/>
        <sz val="10"/>
        <rFont val="微软雅黑"/>
        <family val="2"/>
      </rPr>
      <t>资产编号</t>
    </r>
    <phoneticPr fontId="86"/>
  </si>
  <si>
    <r>
      <rPr>
        <b/>
        <sz val="10"/>
        <rFont val="微软雅黑"/>
        <family val="2"/>
      </rPr>
      <t>资产名称</t>
    </r>
    <phoneticPr fontId="77" type="noConversion"/>
  </si>
  <si>
    <r>
      <rPr>
        <b/>
        <sz val="10"/>
        <rFont val="微软雅黑"/>
        <family val="2"/>
      </rPr>
      <t>新增资产金额</t>
    </r>
  </si>
  <si>
    <r>
      <rPr>
        <b/>
        <sz val="10"/>
        <rFont val="微软雅黑"/>
        <family val="2"/>
      </rPr>
      <t>资产类别</t>
    </r>
    <phoneticPr fontId="77" type="noConversion"/>
  </si>
  <si>
    <r>
      <rPr>
        <b/>
        <sz val="10"/>
        <rFont val="微软雅黑"/>
        <family val="2"/>
      </rPr>
      <t>支持性文件中的资产金额</t>
    </r>
    <phoneticPr fontId="77" type="noConversion"/>
  </si>
  <si>
    <r>
      <rPr>
        <b/>
        <sz val="10"/>
        <rFont val="微软雅黑"/>
        <family val="2"/>
      </rPr>
      <t>获得的证据</t>
    </r>
    <r>
      <rPr>
        <b/>
        <sz val="10"/>
        <rFont val="Arial"/>
        <family val="2"/>
      </rPr>
      <t>/</t>
    </r>
    <r>
      <rPr>
        <b/>
        <sz val="10"/>
        <rFont val="微软雅黑"/>
        <family val="2"/>
      </rPr>
      <t>支持的描述
（例如，发票和</t>
    </r>
    <r>
      <rPr>
        <b/>
        <sz val="10"/>
        <rFont val="Arial"/>
        <family val="2"/>
      </rPr>
      <t>/</t>
    </r>
    <r>
      <rPr>
        <b/>
        <sz val="10"/>
        <rFont val="微软雅黑"/>
        <family val="2"/>
      </rPr>
      <t>或合同、进度账单、人工和间接费用）</t>
    </r>
    <phoneticPr fontId="77" type="noConversion"/>
  </si>
  <si>
    <r>
      <rPr>
        <b/>
        <sz val="10"/>
        <rFont val="微软雅黑"/>
        <family val="2"/>
      </rPr>
      <t>支持性文件中的资产金额与明细账之间的差异</t>
    </r>
    <phoneticPr fontId="77" type="noConversion"/>
  </si>
  <si>
    <t>代表性样本</t>
  </si>
  <si>
    <t xml:space="preserve">NA </t>
  </si>
  <si>
    <t>杰锐思Lead Scan外观锡球检验机</t>
  </si>
  <si>
    <t>/</t>
    <phoneticPr fontId="77" type="noConversion"/>
  </si>
  <si>
    <t>Y</t>
  </si>
  <si>
    <t>DigiwinPLM软件5.0版本及配套软件</t>
  </si>
  <si>
    <r>
      <rPr>
        <b/>
        <sz val="10"/>
        <color rgb="FF000000"/>
        <rFont val="微软雅黑"/>
        <family val="2"/>
        <charset val="134"/>
      </rPr>
      <t>标记图例</t>
    </r>
    <r>
      <rPr>
        <b/>
        <sz val="10"/>
        <color rgb="FF000000"/>
        <rFont val="Arial"/>
        <family val="2"/>
      </rPr>
      <t>:</t>
    </r>
    <r>
      <rPr>
        <sz val="10"/>
        <color rgb="FF000000"/>
        <rFont val="微软雅黑"/>
        <family val="2"/>
        <charset val="134"/>
      </rPr>
      <t>记录已识别的异常情况以及如何解决这些异常情况的详细信息，包括执行的其他实质性程序。</t>
    </r>
  </si>
  <si>
    <t>获取在建工程转出列表，并将列表与在建工程后推核对一致。我们调查了超过SAD名义金额的差异（例如，在建工程转出列表与后推计划表之间没有被解释的差额）。</t>
  </si>
  <si>
    <r>
      <rPr>
        <u/>
        <sz val="10"/>
        <color rgb="FFFF0000"/>
        <rFont val="微软雅黑"/>
        <family val="2"/>
        <charset val="134"/>
      </rPr>
      <t>返回汇总页</t>
    </r>
  </si>
  <si>
    <t>项目名称</t>
  </si>
  <si>
    <t>期初金额</t>
  </si>
  <si>
    <t>本期新增</t>
  </si>
  <si>
    <t>本期结转金额</t>
  </si>
  <si>
    <t>其他变动</t>
  </si>
  <si>
    <t>期末余额</t>
  </si>
  <si>
    <t>结转科目</t>
  </si>
  <si>
    <t>洁净车间</t>
  </si>
  <si>
    <t>固定资产</t>
  </si>
  <si>
    <t>长期待摊</t>
  </si>
  <si>
    <t>泰克激光打标机</t>
  </si>
  <si>
    <t>帕捷双联体高温箱</t>
  </si>
  <si>
    <t>万福达IC装载/分选机</t>
  </si>
  <si>
    <t>EGS 2288服务器软件开发</t>
  </si>
  <si>
    <t>无形资产</t>
  </si>
  <si>
    <t>合计</t>
  </si>
  <si>
    <t>Skywind-TOD</t>
  </si>
  <si>
    <r>
      <rPr>
        <sz val="11"/>
        <color rgb="FFFFFFFF"/>
        <rFont val="微软雅黑"/>
        <family val="2"/>
        <charset val="134"/>
      </rPr>
      <t>抽样策略工作底稿</t>
    </r>
  </si>
  <si>
    <r>
      <rPr>
        <sz val="11"/>
        <color rgb="FFFFFFFF"/>
        <rFont val="微软雅黑"/>
        <family val="2"/>
        <charset val="134"/>
      </rPr>
      <t>客户名称</t>
    </r>
  </si>
  <si>
    <t>Zhejiang Zentel Memory Technology Co., Ltd.</t>
  </si>
  <si>
    <r>
      <rPr>
        <sz val="11"/>
        <color rgb="FFFFFFFF"/>
        <rFont val="微软雅黑"/>
        <family val="2"/>
        <charset val="134"/>
      </rPr>
      <t>截止日期</t>
    </r>
  </si>
  <si>
    <t>2025/12/31</t>
  </si>
  <si>
    <r>
      <rPr>
        <sz val="11"/>
        <color rgb="FFFFFFFF"/>
        <rFont val="微软雅黑"/>
        <family val="2"/>
        <charset val="134"/>
      </rPr>
      <t xml:space="preserve">Canvas </t>
    </r>
    <r>
      <rPr>
        <sz val="11"/>
        <color rgb="FFFFFFFF"/>
        <rFont val="Arial"/>
        <family val="2"/>
      </rPr>
      <t>ID</t>
    </r>
  </si>
  <si>
    <t>1800235289</t>
  </si>
  <si>
    <r>
      <rPr>
        <b/>
        <sz val="11"/>
        <color rgb="FFFFFFFF"/>
        <rFont val="微软雅黑"/>
        <family val="2"/>
        <charset val="134"/>
      </rPr>
      <t>抽样项目基础信息</t>
    </r>
  </si>
  <si>
    <r>
      <rPr>
        <b/>
        <sz val="11"/>
        <color rgb="FF1A1A24"/>
        <rFont val="微软雅黑"/>
        <family val="2"/>
        <charset val="134"/>
      </rPr>
      <t>版本号</t>
    </r>
  </si>
  <si>
    <t>V2.0.0</t>
  </si>
  <si>
    <r>
      <t xml:space="preserve">Skywind TOD </t>
    </r>
    <r>
      <rPr>
        <b/>
        <sz val="11"/>
        <rFont val="微软雅黑"/>
        <family val="2"/>
        <charset val="134"/>
      </rPr>
      <t>抽样记录</t>
    </r>
  </si>
  <si>
    <t>471E9C5BE15649528C10D46A60A48AA2</t>
  </si>
  <si>
    <r>
      <rPr>
        <b/>
        <sz val="11"/>
        <color rgb="FF1A1A24"/>
        <rFont val="微软雅黑"/>
        <family val="2"/>
        <charset val="134"/>
      </rPr>
      <t>测试类型</t>
    </r>
  </si>
  <si>
    <r>
      <rPr>
        <sz val="11"/>
        <color rgb="FF1A1A24"/>
        <rFont val="微软雅黑"/>
        <family val="2"/>
        <charset val="134"/>
      </rPr>
      <t>详细测试</t>
    </r>
  </si>
  <si>
    <r>
      <rPr>
        <b/>
        <sz val="11"/>
        <color rgb="FF1A1A24"/>
        <rFont val="微软雅黑"/>
        <family val="2"/>
        <charset val="134"/>
      </rPr>
      <t>重大账户类型</t>
    </r>
  </si>
  <si>
    <t>资产</t>
  </si>
  <si>
    <r>
      <rPr>
        <b/>
        <sz val="11"/>
        <color rgb="FF1A1A24"/>
        <rFont val="微软雅黑"/>
        <family val="2"/>
        <charset val="134"/>
      </rPr>
      <t>抽样科目</t>
    </r>
  </si>
  <si>
    <t>J.在建工程</t>
  </si>
  <si>
    <r>
      <rPr>
        <b/>
        <sz val="11"/>
        <color rgb="FF1A1A24"/>
        <rFont val="微软雅黑"/>
        <family val="2"/>
        <charset val="134"/>
      </rPr>
      <t>审计期间</t>
    </r>
  </si>
  <si>
    <t>期末</t>
  </si>
  <si>
    <t>是否已执行利润表中期抽样</t>
  </si>
  <si>
    <r>
      <rPr>
        <b/>
        <sz val="11"/>
        <color rgb="FF1A1A24"/>
        <rFont val="微软雅黑"/>
        <family val="2"/>
        <charset val="134"/>
      </rPr>
      <t>可容忍误差</t>
    </r>
    <r>
      <rPr>
        <b/>
        <sz val="11"/>
        <color rgb="FF1A1A24"/>
        <rFont val="Arial"/>
        <family val="2"/>
      </rPr>
      <t xml:space="preserve"> </t>
    </r>
    <r>
      <rPr>
        <b/>
        <sz val="11"/>
        <color rgb="FF1A1A24"/>
        <rFont val="微软雅黑"/>
        <family val="2"/>
        <charset val="134"/>
      </rPr>
      <t>（</t>
    </r>
    <r>
      <rPr>
        <b/>
        <sz val="11"/>
        <color rgb="FF1A1A24"/>
        <rFont val="Arial"/>
        <family val="2"/>
      </rPr>
      <t>TE</t>
    </r>
    <r>
      <rPr>
        <b/>
        <sz val="11"/>
        <color rgb="FF1A1A24"/>
        <rFont val="微软雅黑"/>
        <family val="2"/>
        <charset val="134"/>
      </rPr>
      <t>）</t>
    </r>
  </si>
  <si>
    <t>2,346,000.00</t>
  </si>
  <si>
    <r>
      <rPr>
        <b/>
        <sz val="11"/>
        <color rgb="FF1A1A24"/>
        <rFont val="微软雅黑"/>
        <family val="2"/>
        <charset val="134"/>
      </rPr>
      <t>测试涵盖的认定</t>
    </r>
  </si>
  <si>
    <t>存在/发生, 计量/计价, 权利与义务</t>
  </si>
  <si>
    <r>
      <rPr>
        <b/>
        <sz val="11"/>
        <color rgb="FF1A1A24"/>
        <rFont val="微软雅黑"/>
        <family val="2"/>
        <charset val="134"/>
      </rPr>
      <t>是否存在与上述认定相关的舞弊或特别风险？</t>
    </r>
  </si>
  <si>
    <r>
      <rPr>
        <b/>
        <sz val="11"/>
        <color rgb="FF1A1A24"/>
        <rFont val="微软雅黑"/>
        <family val="2"/>
        <charset val="134"/>
      </rPr>
      <t>综合风险评估</t>
    </r>
  </si>
  <si>
    <t>最低</t>
  </si>
  <si>
    <r>
      <rPr>
        <b/>
        <sz val="11"/>
        <color rgb="FF1A1A24"/>
        <rFont val="微软雅黑"/>
        <family val="2"/>
        <charset val="134"/>
      </rPr>
      <t>是否为</t>
    </r>
    <r>
      <rPr>
        <b/>
        <sz val="11"/>
        <color rgb="FF1A1A24"/>
        <rFont val="Arial"/>
        <family val="2"/>
      </rPr>
      <t>PCAOB</t>
    </r>
    <r>
      <rPr>
        <b/>
        <sz val="11"/>
        <color rgb="FF1A1A24"/>
        <rFont val="微软雅黑"/>
        <family val="2"/>
        <charset val="134"/>
      </rPr>
      <t>审计？</t>
    </r>
  </si>
  <si>
    <r>
      <rPr>
        <b/>
        <sz val="11"/>
        <color rgb="FF1A1A24"/>
        <rFont val="微软雅黑"/>
        <family val="2"/>
        <charset val="134"/>
      </rPr>
      <t>您是否正在上传数据以进行样本选择？</t>
    </r>
  </si>
  <si>
    <t>是否适用于非复杂方法？（结论）</t>
  </si>
  <si>
    <r>
      <rPr>
        <sz val="11"/>
        <color rgb="FF1A1A24"/>
        <rFont val="宋体"/>
        <family val="2"/>
        <charset val="134"/>
      </rPr>
      <t>是否适用于非复杂方法</t>
    </r>
    <r>
      <rPr>
        <sz val="11"/>
        <color rgb="FF1A1A24"/>
        <rFont val="微软雅黑"/>
        <family val="2"/>
        <charset val="134"/>
      </rPr>
      <t>？</t>
    </r>
  </si>
  <si>
    <r>
      <rPr>
        <b/>
        <sz val="11"/>
        <color rgb="FFFFFFFF"/>
        <rFont val="微软雅黑"/>
        <family val="2"/>
        <charset val="134"/>
      </rPr>
      <t>源数据汇总</t>
    </r>
  </si>
  <si>
    <r>
      <rPr>
        <b/>
        <sz val="11"/>
        <color rgb="FF1A1A24"/>
        <rFont val="微软雅黑"/>
        <family val="2"/>
        <charset val="134"/>
      </rPr>
      <t>导入的数据文件</t>
    </r>
  </si>
  <si>
    <r>
      <rPr>
        <b/>
        <sz val="11"/>
        <color rgb="FF000000"/>
        <rFont val="微软雅黑"/>
        <family val="2"/>
        <charset val="134"/>
      </rPr>
      <t>文件名</t>
    </r>
  </si>
  <si>
    <r>
      <rPr>
        <b/>
        <sz val="11"/>
        <color rgb="FF000000"/>
        <rFont val="微软雅黑"/>
        <family val="2"/>
        <charset val="134"/>
      </rPr>
      <t>文件类型</t>
    </r>
  </si>
  <si>
    <t>sheet</t>
  </si>
  <si>
    <r>
      <rPr>
        <b/>
        <sz val="11"/>
        <color rgb="FF000000"/>
        <rFont val="微软雅黑"/>
        <family val="2"/>
        <charset val="134"/>
      </rPr>
      <t>上传日期</t>
    </r>
  </si>
  <si>
    <t>J1 SWP 在建工程 20251231 浙江力积.xlsx</t>
  </si>
  <si>
    <t>xlsx</t>
  </si>
  <si>
    <t>2026/02/02</t>
  </si>
  <si>
    <r>
      <rPr>
        <b/>
        <sz val="11"/>
        <color rgb="FF1A1A24"/>
        <rFont val="微软雅黑"/>
        <family val="2"/>
        <charset val="134"/>
      </rPr>
      <t>匹配详细信息</t>
    </r>
  </si>
  <si>
    <r>
      <rPr>
        <sz val="11"/>
        <color theme="1"/>
        <rFont val="微软雅黑"/>
        <family val="2"/>
        <charset val="134"/>
      </rPr>
      <t>抽样单位列：</t>
    </r>
  </si>
  <si>
    <t/>
  </si>
  <si>
    <r>
      <rPr>
        <sz val="11"/>
        <color theme="1"/>
        <rFont val="微软雅黑"/>
        <family val="2"/>
        <charset val="134"/>
      </rPr>
      <t>抽样单位货币列：</t>
    </r>
  </si>
  <si>
    <r>
      <rPr>
        <sz val="11"/>
        <color theme="1"/>
        <rFont val="微软雅黑"/>
        <family val="2"/>
        <charset val="134"/>
      </rPr>
      <t>抽样单位详情：</t>
    </r>
  </si>
  <si>
    <r>
      <rPr>
        <b/>
        <sz val="11"/>
        <color rgb="FFFFFFFF"/>
        <rFont val="微软雅黑"/>
        <family val="2"/>
        <charset val="134"/>
      </rPr>
      <t>样本池汇总</t>
    </r>
  </si>
  <si>
    <r>
      <rPr>
        <b/>
        <sz val="11"/>
        <color theme="1"/>
        <rFont val="微软雅黑"/>
        <family val="2"/>
        <charset val="134"/>
      </rPr>
      <t>数据上传转换步骤</t>
    </r>
  </si>
  <si>
    <r>
      <rPr>
        <sz val="11"/>
        <color theme="1"/>
        <rFont val="微软雅黑"/>
        <family val="2"/>
        <charset val="134"/>
      </rPr>
      <t>已上传数据</t>
    </r>
  </si>
  <si>
    <t>7,738,286.36</t>
  </si>
  <si>
    <r>
      <rPr>
        <sz val="11"/>
        <color theme="1"/>
        <rFont val="微软雅黑"/>
        <family val="2"/>
        <charset val="134"/>
      </rPr>
      <t>必要的数据排除项</t>
    </r>
  </si>
  <si>
    <t>0.00</t>
  </si>
  <si>
    <r>
      <rPr>
        <sz val="11"/>
        <color theme="1"/>
        <rFont val="微软雅黑"/>
        <family val="2"/>
        <charset val="134"/>
      </rPr>
      <t>必要的数据排除项类型</t>
    </r>
  </si>
  <si>
    <r>
      <rPr>
        <sz val="11"/>
        <color theme="1"/>
        <rFont val="微软雅黑"/>
        <family val="2"/>
        <charset val="134"/>
      </rPr>
      <t>样本池总体金额</t>
    </r>
  </si>
  <si>
    <r>
      <rPr>
        <b/>
        <sz val="11"/>
        <color theme="1"/>
        <rFont val="微软雅黑"/>
        <family val="2"/>
        <charset val="134"/>
      </rPr>
      <t>排除项总量</t>
    </r>
  </si>
  <si>
    <t>0</t>
  </si>
  <si>
    <r>
      <rPr>
        <sz val="11"/>
        <color theme="1"/>
        <rFont val="微软雅黑"/>
        <family val="2"/>
        <charset val="134"/>
      </rPr>
      <t>已删除零余额（行数）</t>
    </r>
  </si>
  <si>
    <r>
      <rPr>
        <sz val="11"/>
        <color theme="1"/>
        <rFont val="微软雅黑"/>
        <family val="2"/>
        <charset val="134"/>
      </rPr>
      <t>已删除空余额（行数）</t>
    </r>
  </si>
  <si>
    <r>
      <rPr>
        <sz val="11"/>
        <color theme="1"/>
        <rFont val="微软雅黑"/>
        <family val="2"/>
        <charset val="134"/>
      </rPr>
      <t>已删除负余额（行数）</t>
    </r>
  </si>
  <si>
    <r>
      <rPr>
        <sz val="11"/>
        <color theme="1"/>
        <rFont val="微软雅黑"/>
        <family val="2"/>
        <charset val="134"/>
      </rPr>
      <t>已删除正余额（行数）</t>
    </r>
  </si>
  <si>
    <r>
      <rPr>
        <b/>
        <sz val="11"/>
        <color theme="1"/>
        <rFont val="微软雅黑"/>
        <family val="2"/>
        <charset val="134"/>
      </rPr>
      <t>关键项</t>
    </r>
  </si>
  <si>
    <r>
      <rPr>
        <sz val="11"/>
        <color theme="1"/>
        <rFont val="微软雅黑"/>
        <family val="2"/>
        <charset val="134"/>
      </rPr>
      <t>关键项数量</t>
    </r>
  </si>
  <si>
    <t>定量关键项金额（金额大于2,346,000.00 )</t>
  </si>
  <si>
    <r>
      <rPr>
        <b/>
        <sz val="11"/>
        <color theme="1"/>
        <rFont val="微软雅黑"/>
        <family val="2"/>
        <charset val="134"/>
      </rPr>
      <t>代表性总体价值</t>
    </r>
  </si>
  <si>
    <t>1,538,274.42</t>
  </si>
  <si>
    <r>
      <rPr>
        <b/>
        <sz val="11"/>
        <color rgb="FFFFFFFF"/>
        <rFont val="微软雅黑"/>
        <family val="2"/>
        <charset val="134"/>
      </rPr>
      <t>抽样策略汇总</t>
    </r>
  </si>
  <si>
    <t>1</t>
  </si>
  <si>
    <t>是否为双重目的测试</t>
  </si>
  <si>
    <t>2</t>
  </si>
  <si>
    <t>主要审计问题是否为多计</t>
  </si>
  <si>
    <t>3</t>
  </si>
  <si>
    <t>选择从对此重大账户和认定执行的其他审计程序包括实质分析性复核程序、通过重新执行和详细测试来测试整个总体中获得的保证水平，包括对相关资产负债表账户执行的相关主要实质性程序 (PSP):</t>
  </si>
  <si>
    <t>几乎没有</t>
  </si>
  <si>
    <t>4</t>
  </si>
  <si>
    <t>总体与会计记录进行核对</t>
  </si>
  <si>
    <t>总金额：</t>
  </si>
  <si>
    <t>剔除项金额：</t>
  </si>
  <si>
    <t>样本池总金额：</t>
  </si>
  <si>
    <t>会计记录的重大账户余额或活动：</t>
  </si>
  <si>
    <t>差额：</t>
  </si>
  <si>
    <t>5</t>
  </si>
  <si>
    <t>确认总体包含具有类似特征的项</t>
  </si>
  <si>
    <t>是，总体包含的项都具有类似特征</t>
  </si>
  <si>
    <t>6</t>
  </si>
  <si>
    <t>请说明是什么构成了错报</t>
  </si>
  <si>
    <t>所选项的已审计价值与账面价值不同，或者客户无法提供审计证据</t>
  </si>
  <si>
    <t>7</t>
  </si>
  <si>
    <t>您预期总体中会有错报吗</t>
  </si>
  <si>
    <t>原因</t>
  </si>
  <si>
    <t>客户会计核算制度较为完善，内部控制制度有效，预期无重大错报</t>
  </si>
  <si>
    <t>8</t>
  </si>
  <si>
    <t>请选择一种抽样方法</t>
  </si>
  <si>
    <t>随机抽样 (Random)</t>
  </si>
  <si>
    <t>9</t>
  </si>
  <si>
    <t>这是否是我们为此重大账户执行的唯一的实质性程序？</t>
  </si>
  <si>
    <t>10</t>
  </si>
  <si>
    <t>计算样本量为2，小于5。这表明我们从其他程序获得的证据使我们的审计风险接近5%。由于样本量小于5，请从以下选项中进行选择：</t>
  </si>
  <si>
    <t>继续测试此样本量，我们不接受整体检查风险略增</t>
  </si>
  <si>
    <t>随机抽样样本量计算</t>
  </si>
  <si>
    <r>
      <rPr>
        <b/>
        <sz val="11"/>
        <color rgb="FF1A1A24"/>
        <rFont val="微软雅黑"/>
        <family val="2"/>
        <charset val="134"/>
      </rPr>
      <t>使用的审计风险表</t>
    </r>
    <r>
      <rPr>
        <b/>
        <sz val="11"/>
        <color rgb="FF1A1A24"/>
        <rFont val="Arial"/>
        <family val="2"/>
      </rPr>
      <t xml:space="preserve"> </t>
    </r>
    <r>
      <rPr>
        <b/>
        <sz val="11"/>
        <color rgb="FF1A1A24"/>
        <rFont val="微软雅黑"/>
        <family val="2"/>
        <charset val="134"/>
      </rPr>
      <t>（</t>
    </r>
    <r>
      <rPr>
        <b/>
        <sz val="11"/>
        <color rgb="FF1A1A24"/>
        <rFont val="Arial"/>
        <family val="2"/>
      </rPr>
      <t>ART</t>
    </r>
    <r>
      <rPr>
        <b/>
        <sz val="11"/>
        <color rgb="FF1A1A24"/>
        <rFont val="微软雅黑"/>
        <family val="2"/>
        <charset val="134"/>
      </rPr>
      <t>）</t>
    </r>
  </si>
  <si>
    <t>审计风险表（复杂方法)</t>
  </si>
  <si>
    <r>
      <rPr>
        <b/>
        <sz val="11"/>
        <color rgb="FF1A1A24"/>
        <rFont val="微软雅黑"/>
        <family val="2"/>
        <charset val="134"/>
      </rPr>
      <t>基准样本量</t>
    </r>
  </si>
  <si>
    <t>3.30</t>
  </si>
  <si>
    <r>
      <rPr>
        <b/>
        <sz val="11"/>
        <color rgb="FF1A1A24"/>
        <rFont val="微软雅黑"/>
        <family val="2"/>
        <charset val="134"/>
      </rPr>
      <t>代表性样本量（</t>
    </r>
    <r>
      <rPr>
        <b/>
        <sz val="11"/>
        <color rgb="FF1A1A24"/>
        <rFont val="Arial"/>
        <family val="2"/>
      </rPr>
      <t>ART</t>
    </r>
    <r>
      <rPr>
        <b/>
        <sz val="11"/>
        <color rgb="FF1A1A24"/>
        <rFont val="微软雅黑"/>
        <family val="2"/>
        <charset val="134"/>
      </rPr>
      <t>）因子</t>
    </r>
  </si>
  <si>
    <t>0.49</t>
  </si>
  <si>
    <r>
      <rPr>
        <b/>
        <sz val="11"/>
        <color rgb="FF1A1A24"/>
        <rFont val="微软雅黑"/>
        <family val="2"/>
        <charset val="134"/>
      </rPr>
      <t>错误导致的样本调整因素</t>
    </r>
  </si>
  <si>
    <r>
      <rPr>
        <b/>
        <sz val="11"/>
        <color rgb="FF1A1A24"/>
        <rFont val="微软雅黑"/>
        <family val="2"/>
        <charset val="134"/>
      </rPr>
      <t>代表性样本量</t>
    </r>
  </si>
  <si>
    <r>
      <rPr>
        <b/>
        <sz val="11"/>
        <color rgb="FF1A1A24"/>
        <rFont val="微软雅黑"/>
        <family val="2"/>
        <charset val="134"/>
      </rPr>
      <t>代表性样本与关键项数量合计</t>
    </r>
  </si>
  <si>
    <r>
      <rPr>
        <b/>
        <sz val="11"/>
        <color rgb="FF1A1A24"/>
        <rFont val="微软雅黑"/>
        <family val="2"/>
        <charset val="134"/>
      </rPr>
      <t>生成下一连续系列的种子</t>
    </r>
  </si>
  <si>
    <t>1625</t>
  </si>
  <si>
    <r>
      <rPr>
        <b/>
        <sz val="11"/>
        <color rgb="FF1A1A24"/>
        <rFont val="微软雅黑"/>
        <family val="2"/>
        <charset val="134"/>
      </rPr>
      <t>系统已从此序列中选择了随机抽样</t>
    </r>
    <r>
      <rPr>
        <b/>
        <sz val="11"/>
        <color rgb="FF1A1A24"/>
        <rFont val="Arial"/>
        <family val="2"/>
      </rPr>
      <t xml:space="preserve"> ID</t>
    </r>
  </si>
  <si>
    <t>1-7</t>
  </si>
  <si>
    <r>
      <rPr>
        <b/>
        <sz val="11"/>
        <color rgb="FFFFFFFF"/>
        <rFont val="微软雅黑"/>
        <family val="2"/>
        <charset val="134"/>
      </rPr>
      <t>抽样结论汇总</t>
    </r>
  </si>
  <si>
    <r>
      <rPr>
        <b/>
        <sz val="11"/>
        <color theme="1"/>
        <rFont val="微软雅黑"/>
        <family val="2"/>
        <charset val="134"/>
      </rPr>
      <t>关键项数量</t>
    </r>
  </si>
  <si>
    <t>代表性样本量</t>
  </si>
  <si>
    <r>
      <rPr>
        <b/>
        <sz val="11"/>
        <color theme="1"/>
        <rFont val="微软雅黑"/>
        <family val="2"/>
        <charset val="134"/>
      </rPr>
      <t>代表性样本与关键项数量合计</t>
    </r>
  </si>
  <si>
    <r>
      <rPr>
        <b/>
        <sz val="11"/>
        <color theme="1"/>
        <rFont val="微软雅黑"/>
        <family val="2"/>
        <charset val="134"/>
      </rPr>
      <t>样本选择方法</t>
    </r>
  </si>
  <si>
    <r>
      <rPr>
        <b/>
        <sz val="11"/>
        <color rgb="FFFFFFFF"/>
        <rFont val="微软雅黑"/>
        <family val="2"/>
        <charset val="134"/>
      </rPr>
      <t>已选取样本</t>
    </r>
  </si>
  <si>
    <t>样本</t>
  </si>
  <si>
    <t>源样本#</t>
  </si>
  <si>
    <t>抽样ID</t>
  </si>
  <si>
    <t>样本类型</t>
  </si>
  <si>
    <t>1258532.61</t>
  </si>
  <si>
    <t>279741.81</t>
  </si>
  <si>
    <t>R1</t>
  </si>
  <si>
    <t>替换样本</t>
  </si>
  <si>
    <t>2248623.86</t>
  </si>
  <si>
    <t>R2</t>
  </si>
  <si>
    <t>1741906.74</t>
  </si>
  <si>
    <t>J.02.2 CIP transfer (TOD)</t>
    <phoneticPr fontId="77" type="noConversion"/>
  </si>
  <si>
    <t>我们将在建工程本期减少作为我们抽样测试的总体</t>
    <phoneticPr fontId="77" type="noConversion"/>
  </si>
  <si>
    <t>转出明细清单金额</t>
    <phoneticPr fontId="77" type="noConversion"/>
  </si>
  <si>
    <r>
      <rPr>
        <b/>
        <sz val="11"/>
        <color rgb="FFFF0000"/>
        <rFont val="微软雅黑"/>
        <family val="2"/>
      </rPr>
      <t>转出清单</t>
    </r>
  </si>
  <si>
    <r>
      <rPr>
        <sz val="10"/>
        <rFont val="微软雅黑"/>
        <family val="2"/>
      </rPr>
      <t>转出总额</t>
    </r>
  </si>
  <si>
    <t>下面描述选择关键项目的理由</t>
  </si>
  <si>
    <r>
      <t xml:space="preserve">EY </t>
    </r>
    <r>
      <rPr>
        <b/>
        <sz val="10"/>
        <rFont val="微软雅黑"/>
        <family val="2"/>
      </rPr>
      <t>测试属性解释</t>
    </r>
    <r>
      <rPr>
        <b/>
        <sz val="10"/>
        <rFont val="Arial"/>
        <family val="2"/>
      </rPr>
      <t>:</t>
    </r>
  </si>
  <si>
    <r>
      <rPr>
        <i/>
        <sz val="10"/>
        <rFont val="微软雅黑"/>
        <family val="2"/>
      </rPr>
      <t>对于选择进行测试的每个项目，我们检查了相关证据，并确定：</t>
    </r>
  </si>
  <si>
    <r>
      <t xml:space="preserve">1) </t>
    </r>
    <r>
      <rPr>
        <sz val="10"/>
        <color rgb="FF000000"/>
        <rFont val="微软雅黑"/>
        <family val="2"/>
      </rPr>
      <t>在建工程转入至相应资产时已达到可折旧的时点，在建工程减少的金额与转入至相应资产的金额一致</t>
    </r>
    <r>
      <rPr>
        <sz val="10"/>
        <color rgb="FF000000"/>
        <rFont val="Arial"/>
        <family val="2"/>
      </rPr>
      <t>(</t>
    </r>
    <r>
      <rPr>
        <sz val="10"/>
        <color rgb="FF000000"/>
        <rFont val="微软雅黑"/>
        <family val="2"/>
      </rPr>
      <t>已考虑所有资产减值相关调整</t>
    </r>
    <r>
      <rPr>
        <sz val="10"/>
        <color rgb="FF000000"/>
        <rFont val="Arial"/>
        <family val="2"/>
      </rPr>
      <t>,</t>
    </r>
    <r>
      <rPr>
        <sz val="10"/>
        <color rgb="FF000000"/>
        <rFont val="微软雅黑"/>
        <family val="2"/>
      </rPr>
      <t>如适用</t>
    </r>
    <r>
      <rPr>
        <sz val="10"/>
        <color rgb="FF000000"/>
        <rFont val="Arial"/>
        <family val="2"/>
      </rPr>
      <t>)</t>
    </r>
    <r>
      <rPr>
        <sz val="10"/>
        <color rgb="FF000000"/>
        <rFont val="微软雅黑"/>
        <family val="2"/>
      </rPr>
      <t>；</t>
    </r>
    <phoneticPr fontId="77" type="noConversion"/>
  </si>
  <si>
    <r>
      <t xml:space="preserve">2) </t>
    </r>
    <r>
      <rPr>
        <sz val="10"/>
        <color rgb="FF000000"/>
        <rFont val="微软雅黑"/>
        <family val="2"/>
      </rPr>
      <t>管理层对测试样本的使用寿命和折旧方法是恰当的（符合实体的会计政策，并与适用的财务报告框架一致）；</t>
    </r>
    <phoneticPr fontId="77" type="noConversion"/>
  </si>
  <si>
    <r>
      <t xml:space="preserve">3) </t>
    </r>
    <r>
      <rPr>
        <sz val="10"/>
        <rFont val="微软雅黑"/>
        <family val="2"/>
      </rPr>
      <t>在建工程转入至正确的资产类别。</t>
    </r>
  </si>
  <si>
    <r>
      <rPr>
        <b/>
        <sz val="10"/>
        <rFont val="微软雅黑"/>
        <family val="2"/>
      </rPr>
      <t>资产名称</t>
    </r>
    <phoneticPr fontId="86"/>
  </si>
  <si>
    <r>
      <rPr>
        <b/>
        <sz val="10"/>
        <rFont val="微软雅黑"/>
        <family val="2"/>
      </rPr>
      <t>在建工程转出金额</t>
    </r>
    <phoneticPr fontId="86"/>
  </si>
  <si>
    <r>
      <rPr>
        <b/>
        <sz val="10"/>
        <rFont val="微软雅黑"/>
        <family val="2"/>
      </rPr>
      <t xml:space="preserve">转入资产类别金额
</t>
    </r>
    <r>
      <rPr>
        <b/>
        <sz val="10"/>
        <color rgb="FFFF0000"/>
        <rFont val="微软雅黑"/>
        <family val="2"/>
        <charset val="134"/>
      </rPr>
      <t>（如适用）</t>
    </r>
  </si>
  <si>
    <r>
      <rPr>
        <b/>
        <sz val="10"/>
        <rFont val="微软雅黑"/>
        <family val="2"/>
      </rPr>
      <t>资产转出日期</t>
    </r>
    <phoneticPr fontId="77" type="noConversion"/>
  </si>
  <si>
    <r>
      <rPr>
        <b/>
        <sz val="10"/>
        <rFont val="微软雅黑"/>
        <family val="2"/>
      </rPr>
      <t>使用寿命（月）</t>
    </r>
    <phoneticPr fontId="77" type="noConversion"/>
  </si>
  <si>
    <r>
      <rPr>
        <b/>
        <sz val="10"/>
        <rFont val="微软雅黑"/>
        <family val="2"/>
      </rPr>
      <t>折旧方法</t>
    </r>
    <phoneticPr fontId="86"/>
  </si>
  <si>
    <r>
      <rPr>
        <b/>
        <sz val="10"/>
        <rFont val="微软雅黑"/>
        <family val="2"/>
      </rPr>
      <t>获得的证据</t>
    </r>
    <r>
      <rPr>
        <b/>
        <sz val="10"/>
        <rFont val="Arial"/>
        <family val="2"/>
      </rPr>
      <t>/</t>
    </r>
    <r>
      <rPr>
        <b/>
        <sz val="10"/>
        <rFont val="微软雅黑"/>
        <family val="2"/>
      </rPr>
      <t>支持的描述
（例如，验收单</t>
    </r>
    <r>
      <rPr>
        <b/>
        <sz val="10"/>
        <rFont val="Arial"/>
        <family val="2"/>
      </rPr>
      <t>/</t>
    </r>
    <r>
      <rPr>
        <b/>
        <sz val="10"/>
        <rFont val="微软雅黑"/>
        <family val="2"/>
      </rPr>
      <t>竣工决算报告</t>
    </r>
    <r>
      <rPr>
        <b/>
        <sz val="10"/>
        <rFont val="Arial"/>
        <family val="2"/>
      </rPr>
      <t>/</t>
    </r>
    <r>
      <rPr>
        <b/>
        <sz val="10"/>
        <rFont val="微软雅黑"/>
        <family val="2"/>
      </rPr>
      <t>转固证明等）</t>
    </r>
    <phoneticPr fontId="77" type="noConversion"/>
  </si>
  <si>
    <r>
      <rPr>
        <b/>
        <sz val="10"/>
        <rFont val="微软雅黑"/>
        <family val="2"/>
      </rPr>
      <t>转入资产与转出在建工程的差额</t>
    </r>
    <phoneticPr fontId="77" type="noConversion"/>
  </si>
  <si>
    <t>直线摊销</t>
  </si>
  <si>
    <t>NB1</t>
  </si>
  <si>
    <t>NB2</t>
  </si>
  <si>
    <r>
      <rPr>
        <b/>
        <sz val="10"/>
        <color rgb="FF000000"/>
        <rFont val="微软雅黑"/>
        <family val="2"/>
        <charset val="134"/>
      </rPr>
      <t>标记图例</t>
    </r>
    <r>
      <rPr>
        <b/>
        <sz val="10"/>
        <color rgb="FF000000"/>
        <rFont val="Arial"/>
        <family val="2"/>
      </rPr>
      <t>:</t>
    </r>
    <r>
      <rPr>
        <sz val="10"/>
        <color rgb="FF000000"/>
        <rFont val="微软雅黑"/>
        <family val="2"/>
        <charset val="134"/>
      </rPr>
      <t>记录已识别的异常情况以及如何解决这些异常情况的详细信息，包括执行的其他实质性程序</t>
    </r>
  </si>
  <si>
    <r>
      <rPr>
        <b/>
        <sz val="10"/>
        <color theme="1"/>
        <rFont val="微软雅黑"/>
        <family val="2"/>
      </rPr>
      <t>与资产负债表核对如下：</t>
    </r>
  </si>
  <si>
    <r>
      <rPr>
        <b/>
        <sz val="10"/>
        <rFont val="微软雅黑"/>
        <family val="2"/>
      </rPr>
      <t>账套名称</t>
    </r>
    <r>
      <rPr>
        <b/>
        <sz val="10"/>
        <rFont val="Arial"/>
        <family val="2"/>
      </rPr>
      <t>/</t>
    </r>
    <r>
      <rPr>
        <b/>
        <sz val="10"/>
        <rFont val="微软雅黑"/>
        <family val="2"/>
      </rPr>
      <t>账套编码</t>
    </r>
  </si>
  <si>
    <r>
      <rPr>
        <b/>
        <sz val="10"/>
        <rFont val="微软雅黑"/>
        <family val="2"/>
      </rPr>
      <t>科目编码</t>
    </r>
  </si>
  <si>
    <r>
      <rPr>
        <b/>
        <sz val="10"/>
        <rFont val="微软雅黑"/>
        <family val="2"/>
      </rPr>
      <t>交叉索引</t>
    </r>
    <phoneticPr fontId="77" type="noConversion"/>
  </si>
  <si>
    <r>
      <rPr>
        <b/>
        <sz val="10"/>
        <rFont val="微软雅黑"/>
        <family val="2"/>
      </rPr>
      <t>科目名称</t>
    </r>
  </si>
  <si>
    <r>
      <rPr>
        <b/>
        <sz val="10"/>
        <rFont val="微软雅黑"/>
        <family val="2"/>
      </rPr>
      <t>金额</t>
    </r>
  </si>
  <si>
    <r>
      <rPr>
        <sz val="10"/>
        <color theme="1"/>
        <rFont val="微软雅黑"/>
        <family val="2"/>
      </rPr>
      <t>合计</t>
    </r>
    <phoneticPr fontId="77" type="noConversion"/>
  </si>
  <si>
    <t xml:space="preserve"> </t>
  </si>
  <si>
    <t>K1 SWP 固定资产 20251231 浙江</t>
  </si>
  <si>
    <r>
      <rPr>
        <sz val="10"/>
        <color theme="1"/>
        <rFont val="微软雅黑"/>
        <family val="2"/>
      </rPr>
      <t>转入固定资产</t>
    </r>
    <phoneticPr fontId="77" type="noConversion"/>
  </si>
  <si>
    <r>
      <rPr>
        <sz val="10"/>
        <color theme="1"/>
        <rFont val="微软雅黑"/>
        <family val="2"/>
      </rPr>
      <t>固定资产</t>
    </r>
    <r>
      <rPr>
        <sz val="10"/>
        <color theme="1"/>
        <rFont val="Arial"/>
        <family val="2"/>
      </rPr>
      <t>-</t>
    </r>
    <r>
      <rPr>
        <sz val="10"/>
        <color theme="1"/>
        <rFont val="微软雅黑"/>
        <family val="2"/>
      </rPr>
      <t>在建工程转入</t>
    </r>
    <phoneticPr fontId="77" type="noConversion"/>
  </si>
  <si>
    <t>K.01</t>
  </si>
  <si>
    <r>
      <rPr>
        <sz val="10"/>
        <color theme="1"/>
        <rFont val="微软雅黑"/>
        <family val="2"/>
      </rPr>
      <t>差异</t>
    </r>
    <phoneticPr fontId="77" type="noConversion"/>
  </si>
  <si>
    <t>L1 SWP 无形资产 20251231 浙江</t>
  </si>
  <si>
    <r>
      <rPr>
        <sz val="10"/>
        <color theme="1"/>
        <rFont val="微软雅黑"/>
        <family val="2"/>
      </rPr>
      <t>转入无形资产</t>
    </r>
  </si>
  <si>
    <r>
      <rPr>
        <sz val="10"/>
        <color theme="1"/>
        <rFont val="微软雅黑"/>
        <family val="2"/>
      </rPr>
      <t>无形资产</t>
    </r>
    <r>
      <rPr>
        <sz val="10"/>
        <color theme="1"/>
        <rFont val="Arial"/>
        <family val="2"/>
      </rPr>
      <t>-</t>
    </r>
    <r>
      <rPr>
        <sz val="10"/>
        <color theme="1"/>
        <rFont val="微软雅黑"/>
        <family val="2"/>
      </rPr>
      <t>在建工程转入</t>
    </r>
    <phoneticPr fontId="77" type="noConversion"/>
  </si>
  <si>
    <t>L1.01</t>
  </si>
  <si>
    <t>L2 SWP 长期待摊费用 20251231 浙江力积</t>
  </si>
  <si>
    <r>
      <rPr>
        <sz val="10"/>
        <color theme="1"/>
        <rFont val="微软雅黑"/>
        <family val="2"/>
      </rPr>
      <t>转入长期待摊费用</t>
    </r>
  </si>
  <si>
    <r>
      <rPr>
        <sz val="10"/>
        <color theme="1"/>
        <rFont val="微软雅黑"/>
        <family val="2"/>
      </rPr>
      <t>长期待摊费用</t>
    </r>
    <r>
      <rPr>
        <sz val="10"/>
        <color theme="1"/>
        <rFont val="Arial"/>
        <family val="2"/>
      </rPr>
      <t>-</t>
    </r>
    <r>
      <rPr>
        <sz val="10"/>
        <color theme="1"/>
        <rFont val="微软雅黑"/>
        <family val="2"/>
      </rPr>
      <t>在建工程转入</t>
    </r>
    <phoneticPr fontId="77" type="noConversion"/>
  </si>
  <si>
    <t>L2.01</t>
    <phoneticPr fontId="77" type="noConversion"/>
  </si>
  <si>
    <r>
      <rPr>
        <sz val="10"/>
        <color theme="1"/>
        <rFont val="微软雅黑"/>
        <family val="2"/>
      </rPr>
      <t>【</t>
    </r>
    <r>
      <rPr>
        <sz val="10"/>
        <color theme="1"/>
        <rFont val="Arial"/>
        <family val="2"/>
      </rPr>
      <t>...</t>
    </r>
    <r>
      <rPr>
        <sz val="10"/>
        <color theme="1"/>
        <rFont val="微软雅黑"/>
        <family val="2"/>
      </rPr>
      <t>】</t>
    </r>
  </si>
  <si>
    <r>
      <rPr>
        <sz val="10"/>
        <color theme="1"/>
        <rFont val="微软雅黑"/>
        <family val="2"/>
      </rPr>
      <t>转入资产合计</t>
    </r>
  </si>
  <si>
    <r>
      <rPr>
        <sz val="10"/>
        <color theme="1"/>
        <rFont val="微软雅黑"/>
        <family val="2"/>
      </rPr>
      <t>在建工程转出合计</t>
    </r>
  </si>
  <si>
    <r>
      <rPr>
        <b/>
        <sz val="10"/>
        <color rgb="FF000000"/>
        <rFont val="微软雅黑"/>
        <family val="2"/>
      </rPr>
      <t>标记图例</t>
    </r>
    <r>
      <rPr>
        <b/>
        <sz val="10"/>
        <color rgb="FF000000"/>
        <rFont val="Arial"/>
        <family val="2"/>
      </rPr>
      <t>:</t>
    </r>
    <r>
      <rPr>
        <sz val="10"/>
        <color rgb="FF000000"/>
        <rFont val="微软雅黑"/>
        <family val="2"/>
      </rPr>
      <t>若有转固或者其他减少</t>
    </r>
    <r>
      <rPr>
        <sz val="10"/>
        <color rgb="FF000000"/>
        <rFont val="Arial"/>
        <family val="2"/>
      </rPr>
      <t>X-ref</t>
    </r>
    <r>
      <rPr>
        <sz val="10"/>
        <color rgb="FF000000"/>
        <rFont val="微软雅黑"/>
        <family val="2"/>
      </rPr>
      <t>异常的，我们与管理层进行讨论，并记录在</t>
    </r>
    <r>
      <rPr>
        <sz val="10"/>
        <color rgb="FF000000"/>
        <rFont val="Arial"/>
        <family val="2"/>
      </rPr>
      <t>Notes</t>
    </r>
    <r>
      <rPr>
        <sz val="10"/>
        <color rgb="FF000000"/>
        <rFont val="微软雅黑"/>
        <family val="2"/>
      </rPr>
      <t>中。</t>
    </r>
  </si>
  <si>
    <t>转固以及其他减少金额未发现异常</t>
  </si>
  <si>
    <t>48E6D9A4E1364E28AC886C001CDBA645</t>
  </si>
  <si>
    <t>完整性, 存在/发生, 计量/计价, 权利与义务, 列报和披露</t>
  </si>
  <si>
    <t>新增在建工程.xlsx</t>
  </si>
  <si>
    <t>7,458,544.55</t>
  </si>
  <si>
    <t>2,102,300.85</t>
  </si>
  <si>
    <t>3.18</t>
  </si>
  <si>
    <t>7848</t>
  </si>
  <si>
    <t>1-8</t>
  </si>
  <si>
    <t>变动方向</t>
  </si>
  <si>
    <t>1755498.38</t>
  </si>
  <si>
    <t>346802.47</t>
  </si>
  <si>
    <t>107180.49</t>
  </si>
  <si>
    <r>
      <t xml:space="preserve">J1.03 CIP </t>
    </r>
    <r>
      <rPr>
        <b/>
        <sz val="12"/>
        <rFont val="微软雅黑"/>
        <family val="2"/>
      </rPr>
      <t>长期挂账</t>
    </r>
  </si>
  <si>
    <r>
      <rPr>
        <b/>
        <u/>
        <sz val="10"/>
        <color rgb="FFFF0000"/>
        <rFont val="微软雅黑"/>
        <family val="2"/>
      </rPr>
      <t>返回汇总页</t>
    </r>
  </si>
  <si>
    <r>
      <rPr>
        <b/>
        <sz val="10"/>
        <color rgb="FF000000"/>
        <rFont val="微软雅黑"/>
        <family val="2"/>
      </rPr>
      <t>我们将期末在建工程清单（如项目清单）作为总体，选取金额重大且长期挂账的在建工程作为样本。以下描述选择待测试项目的理由：</t>
    </r>
  </si>
  <si>
    <r>
      <rPr>
        <b/>
        <sz val="10"/>
        <rFont val="微软雅黑"/>
        <family val="2"/>
      </rPr>
      <t>安永属性测试说明：</t>
    </r>
    <phoneticPr fontId="77" type="noConversion"/>
  </si>
  <si>
    <r>
      <rPr>
        <i/>
        <sz val="10"/>
        <rFont val="微软雅黑"/>
        <family val="2"/>
      </rPr>
      <t>对于选择进行测试的每个项目，我们检查了相关证据（如计划、预算和</t>
    </r>
    <r>
      <rPr>
        <i/>
        <sz val="10"/>
        <rFont val="Arial"/>
        <family val="2"/>
      </rPr>
      <t>/</t>
    </r>
    <r>
      <rPr>
        <i/>
        <sz val="10"/>
        <rFont val="微软雅黑"/>
        <family val="2"/>
      </rPr>
      <t>或其他证据），并确定：</t>
    </r>
    <phoneticPr fontId="77" type="noConversion"/>
  </si>
  <si>
    <r>
      <t>1</t>
    </r>
    <r>
      <rPr>
        <sz val="10"/>
        <rFont val="微软雅黑"/>
        <family val="2"/>
      </rPr>
      <t>）对于资产负债表日仍在在建工程中的项目，检查计划、预算和</t>
    </r>
    <r>
      <rPr>
        <sz val="10"/>
        <rFont val="Arial"/>
        <family val="2"/>
      </rPr>
      <t>/</t>
    </r>
    <r>
      <rPr>
        <sz val="10"/>
        <rFont val="微软雅黑"/>
        <family val="2"/>
      </rPr>
      <t>或其他证据，以验证施工仍在进行中。通过询问管理层并检查基础计划或其他相关支持证据，考虑在建工程账龄的合理性，确定资产尚未开始折旧且不存在与资产相关的减值迹象是适当的。</t>
    </r>
  </si>
  <si>
    <t>EY Works</t>
    <phoneticPr fontId="86"/>
  </si>
  <si>
    <r>
      <rPr>
        <b/>
        <sz val="10"/>
        <rFont val="微软雅黑"/>
        <family val="2"/>
      </rPr>
      <t>样本序号</t>
    </r>
    <phoneticPr fontId="77" type="noConversion"/>
  </si>
  <si>
    <r>
      <rPr>
        <b/>
        <sz val="10"/>
        <rFont val="微软雅黑"/>
        <family val="2"/>
      </rPr>
      <t>资产日期
（最初记录在明细账中时）</t>
    </r>
    <phoneticPr fontId="77" type="noConversion"/>
  </si>
  <si>
    <r>
      <rPr>
        <b/>
        <sz val="10"/>
        <rFont val="微软雅黑"/>
        <family val="2"/>
      </rPr>
      <t>资产编号</t>
    </r>
    <phoneticPr fontId="77" type="noConversion"/>
  </si>
  <si>
    <r>
      <rPr>
        <b/>
        <sz val="10"/>
        <rFont val="微软雅黑"/>
        <family val="2"/>
      </rPr>
      <t>资产期末余额</t>
    </r>
    <phoneticPr fontId="77" type="noConversion"/>
  </si>
  <si>
    <r>
      <rPr>
        <b/>
        <sz val="10"/>
        <rFont val="微软雅黑"/>
        <family val="2"/>
      </rPr>
      <t>获得的证据</t>
    </r>
    <r>
      <rPr>
        <b/>
        <sz val="10"/>
        <rFont val="Arial"/>
        <family val="2"/>
      </rPr>
      <t>/</t>
    </r>
    <r>
      <rPr>
        <b/>
        <sz val="10"/>
        <rFont val="微软雅黑"/>
        <family val="2"/>
      </rPr>
      <t>支持的描述（例如，计划、预算和</t>
    </r>
    <r>
      <rPr>
        <b/>
        <sz val="10"/>
        <rFont val="Arial"/>
        <family val="2"/>
      </rPr>
      <t>/</t>
    </r>
    <r>
      <rPr>
        <b/>
        <sz val="10"/>
        <rFont val="微软雅黑"/>
        <family val="2"/>
      </rPr>
      <t>或其他证据）</t>
    </r>
    <phoneticPr fontId="77" type="noConversion"/>
  </si>
  <si>
    <r>
      <rPr>
        <b/>
        <sz val="10"/>
        <rFont val="微软雅黑"/>
        <family val="2"/>
      </rPr>
      <t>账龄合理性说明或参考减值测试</t>
    </r>
    <phoneticPr fontId="77" type="noConversion"/>
  </si>
  <si>
    <r>
      <rPr>
        <b/>
        <sz val="10"/>
        <color rgb="FF000000"/>
        <rFont val="微软雅黑"/>
        <family val="2"/>
      </rPr>
      <t>标记图例</t>
    </r>
    <r>
      <rPr>
        <b/>
        <sz val="10"/>
        <color rgb="FF000000"/>
        <rFont val="Arial"/>
        <family val="2"/>
      </rPr>
      <t>:</t>
    </r>
    <r>
      <rPr>
        <sz val="10"/>
        <color rgb="FF000000"/>
        <rFont val="微软雅黑"/>
        <family val="2"/>
        <charset val="134"/>
      </rPr>
      <t>记录已识别的异常情况以及如何解决这些异常情况的详细信息，包括执行的其他实质性程序</t>
    </r>
    <r>
      <rPr>
        <b/>
        <i/>
        <sz val="10"/>
        <color rgb="FFFF0000"/>
        <rFont val="微软雅黑"/>
        <family val="2"/>
      </rPr>
      <t>（指南：包括足够的描述，以使之前与审计无关的经验丰富的审计师能够理解执行的程序）</t>
    </r>
  </si>
  <si>
    <r>
      <rPr>
        <sz val="10"/>
        <rFont val="微软雅黑"/>
        <family val="2"/>
        <charset val="134"/>
      </rPr>
      <t>固定资产编号</t>
    </r>
  </si>
  <si>
    <r>
      <rPr>
        <sz val="10"/>
        <rFont val="微软雅黑"/>
        <family val="2"/>
        <charset val="134"/>
      </rPr>
      <t>固定资产名称</t>
    </r>
  </si>
  <si>
    <r>
      <rPr>
        <sz val="10"/>
        <rFont val="微软雅黑"/>
        <family val="2"/>
        <charset val="134"/>
      </rPr>
      <t>入账开始日期</t>
    </r>
  </si>
  <si>
    <r>
      <t xml:space="preserve"> </t>
    </r>
    <r>
      <rPr>
        <sz val="10"/>
        <rFont val="微软雅黑"/>
        <family val="2"/>
        <charset val="134"/>
      </rPr>
      <t>使用寿命</t>
    </r>
    <r>
      <rPr>
        <sz val="10"/>
        <rFont val="Arail"/>
        <family val="2"/>
      </rPr>
      <t>(</t>
    </r>
    <r>
      <rPr>
        <sz val="10"/>
        <rFont val="微软雅黑"/>
        <family val="2"/>
        <charset val="134"/>
      </rPr>
      <t>月</t>
    </r>
    <r>
      <rPr>
        <sz val="10"/>
        <rFont val="Arail"/>
        <family val="2"/>
      </rPr>
      <t>)</t>
    </r>
  </si>
  <si>
    <r>
      <t xml:space="preserve"> </t>
    </r>
    <r>
      <rPr>
        <sz val="10"/>
        <rFont val="微软雅黑"/>
        <family val="2"/>
        <charset val="134"/>
      </rPr>
      <t>残值率</t>
    </r>
    <r>
      <rPr>
        <sz val="10"/>
        <rFont val="Arail"/>
        <family val="2"/>
      </rPr>
      <t xml:space="preserve"> </t>
    </r>
  </si>
  <si>
    <r>
      <rPr>
        <sz val="10"/>
        <rFont val="微软雅黑"/>
        <family val="2"/>
        <charset val="134"/>
      </rPr>
      <t>原值</t>
    </r>
  </si>
  <si>
    <t>0400214</t>
  </si>
  <si>
    <t>帕捷双联体高温项箱</t>
  </si>
  <si>
    <t>0400215</t>
  </si>
  <si>
    <t>IC装载/分选机 Sorter上卸板机(7件)</t>
  </si>
  <si>
    <t>0400216</t>
  </si>
  <si>
    <t>Lead Scan外观锡球检验机</t>
  </si>
  <si>
    <t>0400217</t>
  </si>
  <si>
    <t>镭射盖印机（全自动激光打标机）</t>
  </si>
  <si>
    <t>0400218</t>
  </si>
  <si>
    <t>杰锐思1*8拾取头快换模组</t>
  </si>
  <si>
    <t>0600003</t>
  </si>
  <si>
    <t>金华工厂二楼电子生产净化车间</t>
  </si>
  <si>
    <t>推断错报测算</t>
  </si>
  <si>
    <t>延迟1月折旧影响金额</t>
  </si>
  <si>
    <t>延迟2月折旧影响金额</t>
  </si>
  <si>
    <t>1）我们将本年转出样本金额超过在建工程存在认定，计价认定及权利和义务认定的Threshold（人民币2,346,000元）的样本，设定为关键项；2）同时，我们将本年转出样本性质异常的单项资产，设定为关键项；
3）如果没有充分的关键项以支持我们得出结论，我们会将测试延伸至剩余总体中的代表性抽样，选择随机抽样确定代表性样本。	
基于对被审计单位和重大交易流程的了解，我们未识别出金额超过TT的关键性样本；使用抽样工具执行抽样，抽取到2项代表性样本。</t>
  </si>
  <si>
    <t>EGS 2288软件开发（DDR5项目）</t>
  </si>
  <si>
    <t>金华工厂一层车间二次配工程尾</t>
  </si>
  <si>
    <t>结转资产类别</t>
  </si>
  <si>
    <t>长期待摊费用</t>
  </si>
  <si>
    <t>ABC7ZZfa9NQFMDfB/sOl+KDQlOSNElT32bXaaXO0hRExh5OzGkNvb233NxYyhCGL0PwVZ9ExQeffFAQBIfs0yxsT34Fk9p2Y2boIKWD5iWQ8+eec/idc+79dXi0s75GyF7yIaRwQ46HWLhNCvXHJac/HvnMKz3iot+CIYrSJnYhpNJ5iiiLJM2kUJwe1PCSUwy0oaJVq4pdsVAxwDQVt2xYSsUFF0A3NVN7MndxQrfDJdA6A5di4t8FGuBF9ZaPdHL43LFzL/5lIaUzwTYMJkVM03NQSp/1JmmfJRg0Ef4K0gjuCIS+x0fsoqrNRzUeMhnLK9pMWON0JrTmwjqTvvQxiIU7u3N3HPBn6KXqnHAwADHuJHVfWv2ZiSPHFKc1ni97o93a5hJTQ7QE7wkYbPmU1gQPgjZ2H3APZ2ESq+fFBXaCrqIx6QSwLUMxyqql2J4LimuYnmdZZUQVFtgJtUaLNP0gG/yanYJfM1cIf4MNw/+Hfz7J7NFGXw+i/cNswFbTwBorBPaqc71YtPdLqkpIwpNcsrylCK+6u/U0xnbOeHmMNbLRE4jEaRLJyd1mJrNsWCmcq6u0pK8d5zKJr+HT10fR2/fRqxcn3z5lArqspg10/hhbImi9pCWoCXheXDxnwc3Ow81b2Yx16vpW1Rz3MnHrE9xSAAu6KEh2uO1Kjvta4SZ/eAM5+fn5+ODH6f7L6MP3bB7fqpnGOr+xl7vIgURvvhx/fJeT/ifp9bXd3w==</t>
  </si>
  <si>
    <r>
      <rPr>
        <sz val="10"/>
        <color rgb="FF000000"/>
        <rFont val="微软雅黑"/>
        <family val="2"/>
        <charset val="134"/>
      </rPr>
      <t>记账凭证、申请用款审批单、发票（</t>
    </r>
    <r>
      <rPr>
        <sz val="10"/>
        <color rgb="FF000000"/>
        <rFont val="Arial"/>
        <family val="2"/>
      </rPr>
      <t>25332000000367285547</t>
    </r>
    <r>
      <rPr>
        <sz val="10"/>
        <color rgb="FF000000"/>
        <rFont val="微软雅黑"/>
        <family val="2"/>
        <charset val="134"/>
      </rPr>
      <t>）、设备安装合同（</t>
    </r>
    <r>
      <rPr>
        <sz val="10"/>
        <color rgb="FF000000"/>
        <rFont val="Arial"/>
        <family val="2"/>
      </rPr>
      <t>ZJJY-20250724-1522)</t>
    </r>
    <r>
      <rPr>
        <sz val="10"/>
        <color rgb="FF000000"/>
        <rFont val="微软雅黑"/>
        <family val="2"/>
        <charset val="134"/>
      </rPr>
      <t>、保单（</t>
    </r>
    <r>
      <rPr>
        <sz val="10"/>
        <color rgb="FF000000"/>
        <rFont val="Arial"/>
        <family val="2"/>
      </rPr>
      <t>66201060520250000007</t>
    </r>
    <r>
      <rPr>
        <sz val="10"/>
        <color rgb="FF000000"/>
        <rFont val="微软雅黑"/>
        <family val="2"/>
        <charset val="134"/>
      </rPr>
      <t>）、验收单（</t>
    </r>
    <r>
      <rPr>
        <sz val="10"/>
        <color rgb="FF000000"/>
        <rFont val="Arial"/>
        <family val="2"/>
      </rPr>
      <t>PO250521001</t>
    </r>
    <r>
      <rPr>
        <sz val="10"/>
        <color rgb="FF000000"/>
        <rFont val="微软雅黑"/>
        <family val="2"/>
        <charset val="134"/>
      </rPr>
      <t>）、发票（</t>
    </r>
    <r>
      <rPr>
        <sz val="10"/>
        <color rgb="FF000000"/>
        <rFont val="Arial"/>
        <family val="2"/>
      </rPr>
      <t>25322000000504322444</t>
    </r>
    <r>
      <rPr>
        <sz val="10"/>
        <color rgb="FF000000"/>
        <rFont val="微软雅黑"/>
        <family val="2"/>
        <charset val="134"/>
      </rPr>
      <t>）、固定资产事前审批单、合约申请单、银行回单、发票（</t>
    </r>
    <r>
      <rPr>
        <sz val="10"/>
        <color rgb="FF000000"/>
        <rFont val="Arial"/>
        <family val="2"/>
      </rPr>
      <t>25322000000549087210</t>
    </r>
    <r>
      <rPr>
        <sz val="10"/>
        <color rgb="FF000000"/>
        <rFont val="微软雅黑"/>
        <family val="2"/>
        <charset val="134"/>
      </rPr>
      <t>）、采购合同（</t>
    </r>
    <r>
      <rPr>
        <sz val="10"/>
        <color rgb="FF000000"/>
        <rFont val="Arial"/>
        <family val="2"/>
      </rPr>
      <t>3-2025B-582</t>
    </r>
    <r>
      <rPr>
        <sz val="10"/>
        <color rgb="FF000000"/>
        <rFont val="微软雅黑"/>
        <family val="2"/>
        <charset val="134"/>
      </rPr>
      <t>）</t>
    </r>
  </si>
  <si>
    <t>记账凭证、申请用款审批单、固定资产事前审批单、发票（25312000000227764782、25312000000227736233）、发票（25312000000299894947、25312000000239958262）、银行回单、采购合同</t>
  </si>
  <si>
    <t>我们检查了合同、发票、审批单、银行回单、资产验收单等支持性证据，符合资本化条件，且金额核对一致，无异常</t>
  </si>
  <si>
    <t>记账凭证、固定资产事前审批单、项目验收通知函、技术开发合同（06P2025024）</t>
  </si>
  <si>
    <t>记账凭证、发票（25322000000454824979）、固定资产事前审批单、设备验收报告</t>
  </si>
  <si>
    <t>NB1：账面由在建工程结转入固定资产的时间为2025年11月21日，验收单所载验收时点为2025年9月23日，该资产转固时点滞后两个月。
NB2：账面由在建工程结转入无形资产的时间为2025年7月15日，验收单所载验收时点为2025年6月18日，因此该资产结转滞后一个月。
经与客户沟通了解，滞后系财务人员从业务人员取的单据的时间滞后所致，且经通过推断错报测算该滞后对报表的影响小于SAD，无重大异常。</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</si>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</sst>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43" formatCode="_ * #,##0.00_ ;_ * \-#,##0.00_ ;_ * &quot;-&quot;??_ ;_ @_ "/>
    <numFmt numFmtId="164" formatCode="_(* #,##0.00_);_(* \(#,##0.00\);_(* &quot;-&quot;??_);_(@_)"/>
    <numFmt numFmtId="165" formatCode="_-&quot;$&quot;* #,##0.00_-;\-&quot;$&quot;* #,##0.00_-;_-&quot;$&quot;* &quot;-&quot;??_-;_-@_-"/>
    <numFmt numFmtId="166" formatCode="_-&quot;$&quot;* #,##0_-;\-&quot;$&quot;* #,##0_-;_-&quot;$&quot;* &quot;-&quot;_-;_-@_-"/>
    <numFmt numFmtId="167" formatCode="&quot;$&quot;#,##0;[Red]&quot;$&quot;&quot;$&quot;&quot;$&quot;&quot;$&quot;&quot;$&quot;&quot;$&quot;&quot;$&quot;\-#,##0"/>
    <numFmt numFmtId="168" formatCode="0.00000&quot;  &quot;"/>
    <numFmt numFmtId="169" formatCode="_(&quot;$&quot;* #,##0.00_);_(&quot;$&quot;* \(#,##0.00\);_(&quot;$&quot;* &quot;-&quot;??_);_(@_)"/>
    <numFmt numFmtId="170" formatCode="_-* #,##0.00\ _k_r_-;\-* #,##0.00\ _k_r_-;_-* &quot;-&quot;??\ _k_r_-;_-@_-"/>
    <numFmt numFmtId="171" formatCode="_(* #,##0_);_(* \(#,##0\);_(* &quot;-&quot;_);_(@_)"/>
    <numFmt numFmtId="172" formatCode="0.0%"/>
    <numFmt numFmtId="173" formatCode="#,##0;\(#,##0\)"/>
    <numFmt numFmtId="174" formatCode="#,##0;\-#,##0;&quot;-&quot;"/>
    <numFmt numFmtId="175" formatCode="\¥#,##0;\-\¥#,##0"/>
    <numFmt numFmtId="176" formatCode="_-* #,##0\ _k_r_-;\-* #,##0\ _k_r_-;_-* &quot;-&quot;\ _k_r_-;_-@_-"/>
    <numFmt numFmtId="177" formatCode="_-* #,##0_-;\-* #,##0_-;_-* &quot;-&quot;_-;_-@_-"/>
    <numFmt numFmtId="178" formatCode="&quot;\&quot;#,##0.00;[Red]&quot;\&quot;\-#,##0.00"/>
    <numFmt numFmtId="179" formatCode="&quot;$&quot;#,##0_);\(&quot;$&quot;#,##0\)"/>
    <numFmt numFmtId="180" formatCode="_-* #,##0.0000000000_-;\-* #,##0.0000000000_-;_-* &quot;-&quot;??_-;_-@_-"/>
    <numFmt numFmtId="181" formatCode="\$#,##0.00;\(\$#,##0.00\)"/>
    <numFmt numFmtId="182" formatCode="_ [$€-2]* #,##0.00_ ;_ [$€-2]* \-#,##0.00_ ;_ [$€-2]* &quot;-&quot;??_ "/>
    <numFmt numFmtId="183" formatCode="&quot;\&quot;#,##0.00;[Red]&quot;\&quot;&quot;\&quot;&quot;\&quot;&quot;\&quot;&quot;\&quot;&quot;\&quot;\-#,##0.00"/>
    <numFmt numFmtId="184" formatCode="#,##0.0_);\(#,##0.0\)"/>
    <numFmt numFmtId="185" formatCode="&quot;$&quot;#,##0.00_);\(&quot;$&quot;#,##0.00\)"/>
    <numFmt numFmtId="186" formatCode="\$#,##0;\(\$#,##0\)"/>
    <numFmt numFmtId="187" formatCode="&quot;\&quot;#,##0;[Red]&quot;\&quot;&quot;\&quot;\-#,##0"/>
    <numFmt numFmtId="188" formatCode="&quot;\&quot;#,##0;[Red]&quot;\&quot;\-#,##0"/>
    <numFmt numFmtId="189" formatCode="#,##0.00_);#,##0.00\)"/>
    <numFmt numFmtId="190" formatCode="_-* #,##0.00_-;\-* #,##0.00_-;_-* &quot;-&quot;??_-;_-@_-"/>
    <numFmt numFmtId="191"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192" formatCode="_(* #,##0_);_(* \(#,##0\);_(* &quot;-&quot;??_);_(@_)"/>
    <numFmt numFmtId="193" formatCode="#,##0.00_ ;[Red]\-#,##0.00\ "/>
  </numFmts>
  <fonts count="183">
    <font>
      <sz val="11"/>
      <color theme="1"/>
      <name val="Calibri"/>
      <charset val="134"/>
      <scheme val="minor"/>
    </font>
    <font>
      <sz val="11"/>
      <color theme="1"/>
      <name val="Calibri"/>
      <family val="2"/>
      <charset val="134"/>
      <scheme val="minor"/>
    </font>
    <font>
      <sz val="11"/>
      <color theme="1"/>
      <name val="Calibri"/>
      <family val="2"/>
      <charset val="134"/>
      <scheme val="minor"/>
    </font>
    <font>
      <sz val="11"/>
      <color theme="1"/>
      <name val="Calibri"/>
      <family val="2"/>
      <scheme val="minor"/>
    </font>
    <font>
      <sz val="11"/>
      <color theme="1"/>
      <name val="Calibri"/>
      <family val="2"/>
      <scheme val="minor"/>
    </font>
    <font>
      <sz val="10"/>
      <color theme="1"/>
      <name val="Arial"/>
      <family val="2"/>
    </font>
    <font>
      <b/>
      <sz val="10"/>
      <color rgb="FFFF0000"/>
      <name val="Arial"/>
      <family val="2"/>
    </font>
    <font>
      <b/>
      <sz val="10"/>
      <color theme="1"/>
      <name val="Arial"/>
      <family val="2"/>
    </font>
    <font>
      <sz val="10"/>
      <color rgb="FF000000"/>
      <name val="Arial"/>
      <family val="2"/>
    </font>
    <font>
      <sz val="10"/>
      <name val="Arial"/>
      <family val="2"/>
    </font>
    <font>
      <sz val="10"/>
      <color rgb="FFFF0000"/>
      <name val="Arial"/>
      <family val="2"/>
    </font>
    <font>
      <b/>
      <sz val="10"/>
      <name val="Arial"/>
      <family val="2"/>
    </font>
    <font>
      <u/>
      <sz val="10"/>
      <color theme="10"/>
      <name val="Arial"/>
      <family val="2"/>
    </font>
    <font>
      <sz val="10"/>
      <color indexed="8"/>
      <name val="Arial"/>
      <family val="2"/>
    </font>
    <font>
      <b/>
      <sz val="10"/>
      <name val="微软雅黑"/>
      <family val="2"/>
      <charset val="134"/>
    </font>
    <font>
      <b/>
      <sz val="10"/>
      <color indexed="8"/>
      <name val="Arial"/>
      <family val="2"/>
    </font>
    <font>
      <b/>
      <sz val="10"/>
      <color rgb="FF000000"/>
      <name val="Arial"/>
      <family val="2"/>
    </font>
    <font>
      <b/>
      <sz val="10"/>
      <color rgb="FF0000FF"/>
      <name val="Arial"/>
      <family val="2"/>
    </font>
    <font>
      <sz val="11"/>
      <color theme="0"/>
      <name val="Calibri"/>
      <family val="3"/>
      <charset val="134"/>
      <scheme val="minor"/>
    </font>
    <font>
      <sz val="11"/>
      <color indexed="17"/>
      <name val="宋体"/>
      <family val="3"/>
      <charset val="134"/>
    </font>
    <font>
      <sz val="10"/>
      <color indexed="8"/>
      <name val="MS Sans Serif"/>
      <family val="2"/>
    </font>
    <font>
      <sz val="12"/>
      <color indexed="8"/>
      <name val="宋体"/>
      <family val="3"/>
      <charset val="134"/>
    </font>
    <font>
      <sz val="12"/>
      <name val="宋体"/>
      <family val="3"/>
      <charset val="134"/>
    </font>
    <font>
      <sz val="12"/>
      <color indexed="9"/>
      <name val="宋体"/>
      <family val="3"/>
      <charset val="134"/>
    </font>
    <font>
      <sz val="9"/>
      <name val="Times New Roman"/>
      <family val="1"/>
    </font>
    <font>
      <sz val="11"/>
      <color indexed="20"/>
      <name val="宋体"/>
      <family val="3"/>
      <charset val="134"/>
    </font>
    <font>
      <sz val="11"/>
      <color indexed="9"/>
      <name val="宋体"/>
      <family val="3"/>
      <charset val="134"/>
    </font>
    <font>
      <sz val="11"/>
      <color indexed="26"/>
      <name val="宋体"/>
      <family val="3"/>
      <charset val="134"/>
    </font>
    <font>
      <sz val="10"/>
      <name val="宋体"/>
      <family val="3"/>
      <charset val="134"/>
    </font>
    <font>
      <sz val="13"/>
      <name val="Tms Rmn"/>
      <family val="1"/>
    </font>
    <font>
      <sz val="12"/>
      <name val="柧挬"/>
      <family val="2"/>
    </font>
    <font>
      <u/>
      <sz val="10"/>
      <color indexed="12"/>
      <name val="宋体"/>
      <family val="3"/>
      <charset val="134"/>
    </font>
    <font>
      <u/>
      <sz val="11"/>
      <color theme="10"/>
      <name val="宋体"/>
      <family val="3"/>
      <charset val="134"/>
    </font>
    <font>
      <sz val="12"/>
      <name val="Times New Roman"/>
      <family val="1"/>
    </font>
    <font>
      <sz val="11"/>
      <color indexed="38"/>
      <name val="宋体"/>
      <family val="3"/>
      <charset val="134"/>
    </font>
    <font>
      <sz val="11"/>
      <name val="ＭＳ Ｐゴシック"/>
      <family val="2"/>
    </font>
    <font>
      <sz val="10"/>
      <name val="Times New Roman"/>
      <family val="1"/>
    </font>
    <font>
      <sz val="11"/>
      <color theme="1"/>
      <name val="宋体"/>
      <family val="3"/>
      <charset val="134"/>
    </font>
    <font>
      <b/>
      <sz val="10"/>
      <name val="Helv"/>
      <family val="2"/>
    </font>
    <font>
      <b/>
      <sz val="11"/>
      <color theme="0"/>
      <name val="宋体"/>
      <family val="3"/>
      <charset val="134"/>
    </font>
    <font>
      <b/>
      <sz val="13"/>
      <name val="Tms Rmn"/>
      <family val="1"/>
    </font>
    <font>
      <sz val="11"/>
      <color indexed="21"/>
      <name val="宋体"/>
      <family val="3"/>
      <charset val="134"/>
    </font>
    <font>
      <sz val="11"/>
      <color indexed="8"/>
      <name val="宋体"/>
      <family val="3"/>
      <charset val="134"/>
    </font>
    <font>
      <u/>
      <sz val="12"/>
      <color indexed="12"/>
      <name val="宋体"/>
      <family val="3"/>
      <charset val="134"/>
    </font>
    <font>
      <b/>
      <sz val="18"/>
      <color indexed="35"/>
      <name val="宋体"/>
      <family val="3"/>
      <charset val="134"/>
    </font>
    <font>
      <sz val="8"/>
      <name val="EYInterstate Light"/>
    </font>
    <font>
      <sz val="8"/>
      <name val="Arial"/>
      <family val="2"/>
    </font>
    <font>
      <sz val="11"/>
      <color rgb="FF006100"/>
      <name val="宋体"/>
      <family val="3"/>
      <charset val="134"/>
    </font>
    <font>
      <b/>
      <sz val="12"/>
      <name val="Helv"/>
      <family val="2"/>
    </font>
    <font>
      <b/>
      <sz val="12"/>
      <name val="Arial"/>
      <family val="2"/>
    </font>
    <font>
      <b/>
      <sz val="11"/>
      <name val="Helv"/>
      <family val="2"/>
    </font>
    <font>
      <sz val="8"/>
      <name val="Century Schoolbook"/>
      <family val="1"/>
    </font>
    <font>
      <sz val="14"/>
      <name val="柧挬"/>
      <family val="2"/>
    </font>
    <font>
      <sz val="10"/>
      <name val="Arial Narrow"/>
      <family val="2"/>
    </font>
    <font>
      <sz val="11"/>
      <color indexed="8"/>
      <name val="Calibri"/>
      <family val="2"/>
    </font>
    <font>
      <sz val="10"/>
      <name val="宋体"/>
      <family val="3"/>
      <charset val="134"/>
    </font>
    <font>
      <sz val="8"/>
      <color indexed="16"/>
      <name val="Century Schoolbook"/>
      <family val="1"/>
    </font>
    <font>
      <sz val="10"/>
      <color indexed="39"/>
      <name val="Arial"/>
      <family val="2"/>
    </font>
    <font>
      <b/>
      <sz val="10"/>
      <color indexed="39"/>
      <name val="Arial"/>
      <family val="2"/>
    </font>
    <font>
      <b/>
      <sz val="12"/>
      <color indexed="8"/>
      <name val="Arial"/>
      <family val="2"/>
    </font>
    <font>
      <b/>
      <sz val="18"/>
      <color indexed="62"/>
      <name val="宋体"/>
      <family val="3"/>
      <charset val="134"/>
    </font>
    <font>
      <sz val="19"/>
      <color indexed="48"/>
      <name val="Arial"/>
      <family val="2"/>
    </font>
    <font>
      <sz val="10"/>
      <color indexed="10"/>
      <name val="Arial"/>
      <family val="2"/>
    </font>
    <font>
      <b/>
      <i/>
      <sz val="10"/>
      <name val="Times New Roman"/>
      <family val="1"/>
    </font>
    <font>
      <sz val="10"/>
      <name val="Geneva"/>
      <family val="2"/>
    </font>
    <font>
      <b/>
      <sz val="9"/>
      <name val="Times New Roman"/>
      <family val="1"/>
    </font>
    <font>
      <sz val="12"/>
      <name val="바탕체"/>
      <family val="3"/>
    </font>
    <font>
      <sz val="11"/>
      <name val="明朝"/>
      <family val="1"/>
      <charset val="255"/>
    </font>
    <font>
      <sz val="12"/>
      <color indexed="16"/>
      <name val="宋体"/>
      <family val="3"/>
      <charset val="134"/>
    </font>
    <font>
      <b/>
      <sz val="12"/>
      <color indexed="8"/>
      <name val="宋体"/>
      <family val="3"/>
      <charset val="134"/>
    </font>
    <font>
      <sz val="12"/>
      <color indexed="17"/>
      <name val="宋体"/>
      <family val="3"/>
      <charset val="134"/>
    </font>
    <font>
      <sz val="12"/>
      <name val="新細明體"/>
      <family val="1"/>
    </font>
    <font>
      <sz val="12"/>
      <name val="官帕眉"/>
      <family val="2"/>
    </font>
    <font>
      <sz val="10"/>
      <name val="奔覆眉"/>
      <family val="2"/>
    </font>
    <font>
      <u/>
      <sz val="10"/>
      <color rgb="FFFF0000"/>
      <name val="微软雅黑"/>
      <family val="2"/>
      <charset val="134"/>
    </font>
    <font>
      <sz val="10"/>
      <color rgb="FF000000"/>
      <name val="微软雅黑"/>
      <family val="2"/>
      <charset val="134"/>
    </font>
    <font>
      <sz val="11"/>
      <color theme="1"/>
      <name val="Calibri"/>
      <family val="3"/>
      <charset val="134"/>
      <scheme val="minor"/>
    </font>
    <font>
      <sz val="9"/>
      <name val="Calibri"/>
      <family val="3"/>
      <charset val="134"/>
      <scheme val="minor"/>
    </font>
    <font>
      <sz val="11"/>
      <color theme="1"/>
      <name val="Calibri"/>
      <family val="2"/>
      <charset val="134"/>
      <scheme val="minor"/>
    </font>
    <font>
      <u/>
      <sz val="11"/>
      <color theme="10"/>
      <name val="Calibri"/>
      <family val="2"/>
      <scheme val="minor"/>
    </font>
    <font>
      <sz val="10"/>
      <name val="宋体"/>
      <family val="3"/>
      <charset val="134"/>
    </font>
    <font>
      <b/>
      <sz val="14"/>
      <color rgb="FFFF0000"/>
      <name val="微软雅黑"/>
      <family val="2"/>
      <charset val="134"/>
    </font>
    <font>
      <sz val="14"/>
      <color theme="1"/>
      <name val="Arial"/>
      <family val="2"/>
    </font>
    <font>
      <sz val="14"/>
      <color theme="1"/>
      <name val="微软雅黑"/>
      <family val="2"/>
      <charset val="134"/>
    </font>
    <font>
      <b/>
      <sz val="14"/>
      <color theme="1"/>
      <name val="Arial"/>
      <family val="2"/>
    </font>
    <font>
      <sz val="9"/>
      <color theme="1"/>
      <name val="Arial"/>
      <family val="2"/>
      <charset val="134"/>
    </font>
    <font>
      <sz val="6"/>
      <name val="Calibri"/>
      <family val="3"/>
      <charset val="128"/>
      <scheme val="minor"/>
    </font>
    <font>
      <sz val="11"/>
      <color theme="1"/>
      <name val="Arial"/>
      <family val="2"/>
    </font>
    <font>
      <b/>
      <i/>
      <sz val="10"/>
      <color rgb="FFFF0000"/>
      <name val="Arial"/>
      <family val="2"/>
    </font>
    <font>
      <sz val="10"/>
      <color theme="0"/>
      <name val="Arial"/>
      <family val="2"/>
    </font>
    <font>
      <b/>
      <strike/>
      <sz val="10"/>
      <color rgb="FF0000FF"/>
      <name val="Arial"/>
      <family val="2"/>
    </font>
    <font>
      <b/>
      <sz val="14"/>
      <color theme="0"/>
      <name val="Arial"/>
      <family val="2"/>
    </font>
    <font>
      <b/>
      <sz val="14"/>
      <color rgb="FFFFC000"/>
      <name val="Arial"/>
      <family val="2"/>
    </font>
    <font>
      <b/>
      <sz val="12"/>
      <color rgb="FF000000"/>
      <name val="Arial"/>
      <family val="2"/>
    </font>
    <font>
      <b/>
      <sz val="18"/>
      <color indexed="8"/>
      <name val="Arial"/>
      <family val="2"/>
    </font>
    <font>
      <sz val="10"/>
      <color theme="1"/>
      <name val="Tahoma"/>
      <family val="2"/>
    </font>
    <font>
      <b/>
      <sz val="10"/>
      <color rgb="FFFF0000"/>
      <name val="微软雅黑"/>
      <family val="2"/>
    </font>
    <font>
      <sz val="10"/>
      <color rgb="FF242424"/>
      <name val="Arial"/>
      <family val="2"/>
    </font>
    <font>
      <sz val="10"/>
      <color theme="1"/>
      <name val="times new roman"/>
      <family val="2"/>
    </font>
    <font>
      <sz val="16"/>
      <color theme="1"/>
      <name val="Arial"/>
      <family val="2"/>
    </font>
    <font>
      <b/>
      <sz val="16"/>
      <color rgb="FFFFC000"/>
      <name val="Arial"/>
      <family val="2"/>
    </font>
    <font>
      <b/>
      <sz val="16"/>
      <color rgb="FFFFFFFF"/>
      <name val="Arial"/>
      <family val="2"/>
    </font>
    <font>
      <b/>
      <sz val="16"/>
      <color theme="1"/>
      <name val="Arial"/>
      <family val="2"/>
    </font>
    <font>
      <sz val="16"/>
      <name val="Arial"/>
      <family val="2"/>
    </font>
    <font>
      <i/>
      <sz val="10"/>
      <color rgb="FF000000"/>
      <name val="Arial"/>
      <family val="2"/>
    </font>
    <font>
      <sz val="12"/>
      <color theme="1"/>
      <name val="Arial"/>
      <family val="2"/>
    </font>
    <font>
      <sz val="11"/>
      <color theme="1"/>
      <name val="Calibri"/>
      <family val="2"/>
      <charset val="134"/>
      <scheme val="minor"/>
    </font>
    <font>
      <b/>
      <sz val="10"/>
      <color indexed="10"/>
      <name val="Arial"/>
      <family val="2"/>
    </font>
    <font>
      <i/>
      <sz val="10"/>
      <name val="Arial"/>
      <family val="2"/>
    </font>
    <font>
      <b/>
      <sz val="10"/>
      <color rgb="FFED0000"/>
      <name val="Arial"/>
      <family val="2"/>
    </font>
    <font>
      <i/>
      <sz val="10"/>
      <color theme="1"/>
      <name val="Arial"/>
      <family val="2"/>
    </font>
    <font>
      <b/>
      <u/>
      <sz val="10"/>
      <color rgb="FFFF0000"/>
      <name val="Arial"/>
      <family val="2"/>
    </font>
    <font>
      <u/>
      <sz val="10"/>
      <color rgb="FFFF0000"/>
      <name val="Arial"/>
      <family val="2"/>
    </font>
    <font>
      <b/>
      <sz val="12"/>
      <color theme="1"/>
      <name val="Arial"/>
      <family val="2"/>
    </font>
    <font>
      <sz val="11"/>
      <name val="Arial"/>
      <family val="2"/>
    </font>
    <font>
      <sz val="10"/>
      <color theme="1"/>
      <name val="微软雅黑"/>
      <family val="2"/>
    </font>
    <font>
      <b/>
      <sz val="11"/>
      <name val="微软雅黑"/>
      <family val="2"/>
    </font>
    <font>
      <i/>
      <sz val="10"/>
      <name val="微软雅黑"/>
      <family val="2"/>
    </font>
    <font>
      <sz val="10"/>
      <name val="微软雅黑"/>
      <family val="2"/>
    </font>
    <font>
      <b/>
      <i/>
      <sz val="9"/>
      <color rgb="FFFF0000"/>
      <name val="Arial"/>
      <family val="2"/>
    </font>
    <font>
      <b/>
      <vertAlign val="superscript"/>
      <sz val="10"/>
      <color rgb="FFFF0000"/>
      <name val="Arial"/>
      <family val="2"/>
    </font>
    <font>
      <b/>
      <sz val="11"/>
      <color rgb="FFFF0000"/>
      <name val="Arial"/>
      <family val="2"/>
    </font>
    <font>
      <b/>
      <sz val="11"/>
      <name val="Arial"/>
      <family val="2"/>
    </font>
    <font>
      <b/>
      <sz val="10"/>
      <name val="微软雅黑"/>
      <family val="2"/>
    </font>
    <font>
      <b/>
      <sz val="14"/>
      <color theme="0"/>
      <name val="微软雅黑"/>
      <family val="2"/>
      <charset val="134"/>
    </font>
    <font>
      <b/>
      <sz val="14"/>
      <color theme="0"/>
      <name val="微软雅黑"/>
      <family val="2"/>
    </font>
    <font>
      <b/>
      <sz val="12"/>
      <name val="微软雅黑"/>
      <family val="2"/>
    </font>
    <font>
      <b/>
      <sz val="12"/>
      <color rgb="FF000000"/>
      <name val="微软雅黑"/>
      <family val="2"/>
    </font>
    <font>
      <u/>
      <sz val="10"/>
      <color rgb="FFFF0000"/>
      <name val="微软雅黑"/>
      <family val="2"/>
    </font>
    <font>
      <sz val="10"/>
      <color rgb="FF000000"/>
      <name val="微软雅黑"/>
      <family val="2"/>
    </font>
    <font>
      <b/>
      <i/>
      <sz val="9"/>
      <color rgb="FFFF0000"/>
      <name val="微软雅黑"/>
      <family val="2"/>
    </font>
    <font>
      <b/>
      <sz val="10"/>
      <color rgb="FF000000"/>
      <name val="微软雅黑"/>
      <family val="2"/>
    </font>
    <font>
      <b/>
      <sz val="10"/>
      <color theme="1"/>
      <name val="微软雅黑"/>
      <family val="2"/>
    </font>
    <font>
      <b/>
      <i/>
      <sz val="10"/>
      <color rgb="FFFF0000"/>
      <name val="微软雅黑"/>
      <family val="2"/>
    </font>
    <font>
      <i/>
      <sz val="10"/>
      <color theme="1"/>
      <name val="微软雅黑"/>
      <family val="2"/>
    </font>
    <font>
      <b/>
      <sz val="11"/>
      <color rgb="FFFF0000"/>
      <name val="微软雅黑"/>
      <family val="2"/>
    </font>
    <font>
      <b/>
      <sz val="11"/>
      <color rgb="FF000000"/>
      <name val="Arial"/>
      <family val="2"/>
    </font>
    <font>
      <b/>
      <sz val="10"/>
      <color indexed="8"/>
      <name val="微软雅黑"/>
      <family val="2"/>
    </font>
    <font>
      <strike/>
      <sz val="10"/>
      <color rgb="FFFF0000"/>
      <name val="Arial"/>
      <family val="2"/>
    </font>
    <font>
      <b/>
      <u/>
      <sz val="10"/>
      <color rgb="FFFF0000"/>
      <name val="微软雅黑"/>
      <family val="2"/>
    </font>
    <font>
      <b/>
      <sz val="10"/>
      <color rgb="FF000000"/>
      <name val="微软雅黑"/>
      <family val="2"/>
      <charset val="134"/>
    </font>
    <font>
      <b/>
      <sz val="10"/>
      <color rgb="FFFF0000"/>
      <name val="等线"/>
      <family val="2"/>
      <charset val="134"/>
    </font>
    <font>
      <b/>
      <sz val="10"/>
      <color rgb="FFFF0000"/>
      <name val="微软雅黑"/>
      <family val="2"/>
      <charset val="134"/>
    </font>
    <font>
      <b/>
      <u/>
      <sz val="10"/>
      <color rgb="FF0563C1"/>
      <name val="Arial"/>
      <family val="2"/>
    </font>
    <font>
      <b/>
      <sz val="10"/>
      <color rgb="FF0000CC"/>
      <name val="Arial"/>
      <family val="2"/>
    </font>
    <font>
      <i/>
      <vertAlign val="superscript"/>
      <sz val="10"/>
      <color theme="4" tint="-0.249977111117893"/>
      <name val="Arial"/>
      <family val="2"/>
    </font>
    <font>
      <sz val="10"/>
      <color theme="1"/>
      <name val="Calibri"/>
      <family val="3"/>
      <charset val="134"/>
      <scheme val="minor"/>
    </font>
    <font>
      <b/>
      <sz val="10"/>
      <color rgb="FF000000"/>
      <name val="等线"/>
      <family val="2"/>
      <charset val="134"/>
    </font>
    <font>
      <b/>
      <sz val="14"/>
      <color rgb="FF000000"/>
      <name val="Arial"/>
      <family val="2"/>
    </font>
    <font>
      <b/>
      <u/>
      <sz val="10"/>
      <color theme="10"/>
      <name val="Arial"/>
      <family val="2"/>
    </font>
    <font>
      <u/>
      <sz val="11"/>
      <color theme="10"/>
      <name val="Calibri"/>
      <family val="3"/>
      <charset val="134"/>
      <scheme val="minor"/>
    </font>
    <font>
      <u/>
      <sz val="10"/>
      <color theme="10"/>
      <name val="微软雅黑"/>
      <family val="2"/>
      <charset val="134"/>
    </font>
    <font>
      <b/>
      <sz val="16"/>
      <color rgb="FFFF0000"/>
      <name val="Arial"/>
      <family val="2"/>
    </font>
    <font>
      <sz val="14"/>
      <color theme="1"/>
      <name val="Times New Roman"/>
      <family val="1"/>
    </font>
    <font>
      <b/>
      <sz val="11"/>
      <color rgb="FFFFFFFF"/>
      <name val="Arial"/>
      <family val="2"/>
    </font>
    <font>
      <sz val="11"/>
      <color rgb="FFFFFFFF"/>
      <name val="Arial"/>
      <family val="2"/>
    </font>
    <font>
      <sz val="11"/>
      <color rgb="FFFFFFFF"/>
      <name val="微软雅黑"/>
      <family val="2"/>
      <charset val="134"/>
    </font>
    <font>
      <sz val="11"/>
      <color rgb="FFFF0000"/>
      <name val="Arial"/>
      <family val="2"/>
    </font>
    <font>
      <sz val="11"/>
      <color rgb="FF000000"/>
      <name val="Arial"/>
      <family val="2"/>
    </font>
    <font>
      <b/>
      <sz val="11"/>
      <color rgb="FFFFFFFF"/>
      <name val="微软雅黑"/>
      <family val="2"/>
      <charset val="134"/>
    </font>
    <font>
      <b/>
      <sz val="11"/>
      <color rgb="FF1A1A24"/>
      <name val="Arial"/>
      <family val="2"/>
    </font>
    <font>
      <b/>
      <sz val="11"/>
      <color rgb="FF1A1A24"/>
      <name val="微软雅黑"/>
      <family val="2"/>
      <charset val="134"/>
    </font>
    <font>
      <sz val="11"/>
      <color rgb="FF1A1A24"/>
      <name val="Arial"/>
      <family val="2"/>
    </font>
    <font>
      <b/>
      <sz val="11"/>
      <name val="微软雅黑"/>
      <family val="2"/>
      <charset val="134"/>
    </font>
    <font>
      <sz val="11"/>
      <color rgb="FF1A1A24"/>
      <name val="微软雅黑"/>
      <family val="2"/>
      <charset val="134"/>
    </font>
    <font>
      <i/>
      <sz val="11"/>
      <color rgb="FFEBD621"/>
      <name val="Arial"/>
      <family val="2"/>
    </font>
    <font>
      <i/>
      <sz val="11"/>
      <color rgb="FFF76900"/>
      <name val="Arial"/>
      <family val="2"/>
    </font>
    <font>
      <sz val="11"/>
      <color rgb="FF1A1A24"/>
      <name val="宋体"/>
      <family val="2"/>
      <charset val="134"/>
    </font>
    <font>
      <b/>
      <sz val="11"/>
      <color rgb="FF000000"/>
      <name val="微软雅黑"/>
      <family val="2"/>
      <charset val="134"/>
    </font>
    <font>
      <sz val="11"/>
      <color theme="1"/>
      <name val="微软雅黑"/>
      <family val="2"/>
      <charset val="134"/>
    </font>
    <font>
      <b/>
      <sz val="11"/>
      <color theme="1"/>
      <name val="Arial"/>
      <family val="2"/>
    </font>
    <font>
      <b/>
      <sz val="11"/>
      <color theme="1"/>
      <name val="微软雅黑"/>
      <family val="2"/>
      <charset val="134"/>
    </font>
    <font>
      <b/>
      <i/>
      <sz val="11"/>
      <color rgb="FF1A1A24"/>
      <name val="Arial"/>
      <family val="2"/>
    </font>
    <font>
      <sz val="10"/>
      <color theme="1"/>
      <name val="微软雅黑"/>
      <family val="2"/>
      <charset val="134"/>
    </font>
    <font>
      <i/>
      <sz val="10"/>
      <color theme="1"/>
      <name val="微软雅黑"/>
      <family val="2"/>
      <charset val="134"/>
    </font>
    <font>
      <sz val="11"/>
      <color rgb="FF242424"/>
      <name val="Aptos Narrow"/>
      <family val="2"/>
    </font>
    <font>
      <sz val="10"/>
      <color rgb="FF000000"/>
      <name val="Calibri"/>
      <family val="2"/>
    </font>
    <font>
      <b/>
      <i/>
      <sz val="10"/>
      <color rgb="FFFF0000"/>
      <name val="微软雅黑"/>
      <family val="2"/>
      <charset val="134"/>
    </font>
    <font>
      <b/>
      <sz val="10"/>
      <color indexed="8"/>
      <name val="微软雅黑"/>
      <family val="2"/>
      <charset val="134"/>
    </font>
    <font>
      <sz val="10"/>
      <name val="Arail"/>
      <family val="2"/>
    </font>
    <font>
      <sz val="10"/>
      <name val="微软雅黑"/>
      <family val="2"/>
      <charset val="134"/>
    </font>
    <font>
      <sz val="10"/>
      <color rgb="FF000000"/>
      <name val="Arial"/>
      <family val="2"/>
      <charset val="134"/>
    </font>
    <font>
      <b/>
      <strike/>
      <sz val="8"/>
      <color rgb="FF0000FF"/>
      <name val="Arial"/>
      <family val="2"/>
    </font>
  </fonts>
  <fills count="59">
    <fill>
      <patternFill patternType="none"/>
    </fill>
    <fill>
      <patternFill patternType="gray125"/>
    </fill>
    <fill>
      <patternFill patternType="solid">
        <fgColor theme="0"/>
        <bgColor indexed="64"/>
      </patternFill>
    </fill>
    <fill>
      <patternFill patternType="solid">
        <fgColor theme="6"/>
        <bgColor indexed="64"/>
      </patternFill>
    </fill>
    <fill>
      <patternFill patternType="solid">
        <fgColor theme="4"/>
        <bgColor indexed="64"/>
      </patternFill>
    </fill>
    <fill>
      <patternFill patternType="solid">
        <fgColor indexed="42"/>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indexed="45"/>
        <bgColor indexed="64"/>
      </patternFill>
    </fill>
    <fill>
      <patternFill patternType="solid">
        <fgColor indexed="56"/>
        <bgColor indexed="64"/>
      </patternFill>
    </fill>
    <fill>
      <patternFill patternType="solid">
        <fgColor indexed="51"/>
        <bgColor indexed="64"/>
      </patternFill>
    </fill>
    <fill>
      <patternFill patternType="solid">
        <fgColor indexed="43"/>
        <bgColor indexed="64"/>
      </patternFill>
    </fill>
    <fill>
      <patternFill patternType="solid">
        <fgColor indexed="40"/>
        <bgColor indexed="64"/>
      </patternFill>
    </fill>
    <fill>
      <patternFill patternType="solid">
        <fgColor indexed="29"/>
        <bgColor indexed="64"/>
      </patternFill>
    </fill>
    <fill>
      <patternFill patternType="solid">
        <fgColor indexed="41"/>
        <bgColor indexed="64"/>
      </patternFill>
    </fill>
    <fill>
      <patternFill patternType="solid">
        <fgColor indexed="47"/>
        <bgColor indexed="64"/>
      </patternFill>
    </fill>
    <fill>
      <patternFill patternType="solid">
        <fgColor indexed="31"/>
        <bgColor indexed="64"/>
      </patternFill>
    </fill>
    <fill>
      <patternFill patternType="solid">
        <fgColor indexed="25"/>
        <bgColor indexed="64"/>
      </patternFill>
    </fill>
    <fill>
      <patternFill patternType="solid">
        <fgColor indexed="54"/>
        <bgColor indexed="64"/>
      </patternFill>
    </fill>
    <fill>
      <patternFill patternType="solid">
        <fgColor indexed="44"/>
        <bgColor indexed="64"/>
      </patternFill>
    </fill>
    <fill>
      <patternFill patternType="solid">
        <fgColor theme="5"/>
        <bgColor indexed="64"/>
      </patternFill>
    </fill>
    <fill>
      <patternFill patternType="solid">
        <fgColor indexed="53"/>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lightUp">
        <fgColor indexed="48"/>
        <bgColor indexed="41"/>
      </patternFill>
    </fill>
    <fill>
      <patternFill patternType="solid">
        <fgColor theme="9"/>
        <bgColor indexed="64"/>
      </patternFill>
    </fill>
    <fill>
      <patternFill patternType="solid">
        <fgColor indexed="24"/>
        <bgColor indexed="64"/>
      </patternFill>
    </fill>
    <fill>
      <patternFill patternType="solid">
        <fgColor indexed="18"/>
        <bgColor indexed="64"/>
      </patternFill>
    </fill>
    <fill>
      <patternFill patternType="solid">
        <fgColor indexed="13"/>
        <bgColor indexed="64"/>
      </patternFill>
    </fill>
    <fill>
      <patternFill patternType="solid">
        <fgColor indexed="10"/>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solid">
        <fgColor indexed="15"/>
        <bgColor indexed="64"/>
      </patternFill>
    </fill>
    <fill>
      <patternFill patternType="lightUp">
        <fgColor indexed="9"/>
        <bgColor indexed="22"/>
      </patternFill>
    </fill>
    <fill>
      <patternFill patternType="lightUp">
        <fgColor indexed="9"/>
        <bgColor indexed="55"/>
      </patternFill>
    </fill>
    <fill>
      <patternFill patternType="lightUp">
        <fgColor indexed="9"/>
        <bgColor indexed="29"/>
      </patternFill>
    </fill>
    <fill>
      <patternFill patternType="solid">
        <fgColor theme="0" tint="-0.34998626667073579"/>
        <bgColor indexed="64"/>
      </patternFill>
    </fill>
    <fill>
      <patternFill patternType="solid">
        <fgColor rgb="FF333399"/>
        <bgColor indexed="64"/>
      </patternFill>
    </fill>
    <fill>
      <patternFill patternType="solid">
        <fgColor theme="1"/>
        <bgColor indexed="64"/>
      </patternFill>
    </fill>
    <fill>
      <patternFill patternType="solid">
        <fgColor theme="0" tint="-4.9989318521683403E-2"/>
        <bgColor indexed="64"/>
      </patternFill>
    </fill>
    <fill>
      <patternFill patternType="solid">
        <fgColor rgb="FFF2F2F2"/>
        <bgColor rgb="FF000000"/>
      </patternFill>
    </fill>
    <fill>
      <patternFill patternType="solid">
        <fgColor rgb="FFDDEBF7"/>
        <bgColor rgb="FF000000"/>
      </patternFill>
    </fill>
    <fill>
      <patternFill patternType="solid">
        <fgColor rgb="FFFFFFFF"/>
        <bgColor rgb="FF000000"/>
      </patternFill>
    </fill>
    <fill>
      <patternFill patternType="solid">
        <fgColor rgb="FF000000"/>
        <bgColor rgb="FF000000"/>
      </patternFill>
    </fill>
    <fill>
      <patternFill patternType="solid">
        <fgColor indexed="65"/>
        <bgColor indexed="64"/>
      </patternFill>
    </fill>
    <fill>
      <patternFill patternType="solid">
        <fgColor rgb="FFA6A6A6"/>
        <bgColor rgb="FF000000"/>
      </patternFill>
    </fill>
    <fill>
      <patternFill patternType="solid">
        <fgColor theme="4" tint="0.79998168889431442"/>
        <bgColor rgb="FF000000"/>
      </patternFill>
    </fill>
    <fill>
      <patternFill patternType="solid">
        <fgColor theme="0" tint="-0.34998626667073579"/>
        <bgColor rgb="FF000000"/>
      </patternFill>
    </fill>
    <fill>
      <patternFill patternType="solid">
        <fgColor rgb="FF2E2E38"/>
        <bgColor indexed="64"/>
      </patternFill>
    </fill>
    <fill>
      <patternFill patternType="solid">
        <fgColor rgb="FF747480"/>
        <bgColor indexed="64"/>
      </patternFill>
    </fill>
    <fill>
      <patternFill patternType="solid">
        <fgColor rgb="FFF6F6FA"/>
        <bgColor indexed="64"/>
      </patternFill>
    </fill>
    <fill>
      <patternFill patternType="solid">
        <fgColor rgb="FFC4C4CD"/>
        <bgColor indexed="64"/>
      </patternFill>
    </fill>
    <fill>
      <patternFill patternType="solid">
        <fgColor rgb="FF808080"/>
        <bgColor indexed="64"/>
      </patternFill>
    </fill>
    <fill>
      <patternFill patternType="solid">
        <fgColor rgb="FFFFFF00"/>
        <bgColor indexed="64"/>
      </patternFill>
    </fill>
  </fills>
  <borders count="69">
    <border>
      <left/>
      <right/>
      <top/>
      <bottom/>
      <diagonal/>
    </border>
    <border>
      <left/>
      <right/>
      <top/>
      <bottom style="thin">
        <color auto="1"/>
      </bottom>
      <diagonal/>
    </border>
    <border>
      <left/>
      <right/>
      <top/>
      <bottom style="medium">
        <color auto="1"/>
      </bottom>
      <diagonal/>
    </border>
    <border>
      <left style="thin">
        <color auto="1"/>
      </left>
      <right/>
      <top/>
      <bottom/>
      <diagonal/>
    </border>
    <border>
      <left style="thin">
        <color auto="1"/>
      </left>
      <right/>
      <top/>
      <bottom style="thin">
        <color auto="1"/>
      </bottom>
      <diagonal/>
    </border>
    <border>
      <left/>
      <right/>
      <top style="medium">
        <color auto="1"/>
      </top>
      <bottom style="medium">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double">
        <color indexed="8"/>
      </left>
      <right style="double">
        <color indexed="8"/>
      </right>
      <top style="double">
        <color indexed="8"/>
      </top>
      <bottom style="double">
        <color indexed="8"/>
      </bottom>
      <diagonal/>
    </border>
    <border>
      <left style="hair">
        <color auto="1"/>
      </left>
      <right style="hair">
        <color auto="1"/>
      </right>
      <top style="hair">
        <color auto="1"/>
      </top>
      <bottom style="hair">
        <color auto="1"/>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right style="thin">
        <color auto="1"/>
      </right>
      <top/>
      <bottom/>
      <diagonal/>
    </border>
    <border>
      <left/>
      <right/>
      <top style="thin">
        <color indexed="64"/>
      </top>
      <bottom style="double">
        <color indexed="64"/>
      </bottom>
      <diagonal/>
    </border>
    <border>
      <left/>
      <right/>
      <top style="double">
        <color indexed="64"/>
      </top>
      <bottom/>
      <diagonal/>
    </border>
    <border>
      <left/>
      <right/>
      <top/>
      <bottom style="double">
        <color indexed="64"/>
      </bottom>
      <diagonal/>
    </border>
    <border>
      <left style="thin">
        <color auto="1"/>
      </left>
      <right style="thin">
        <color auto="1"/>
      </right>
      <top style="thin">
        <color auto="1"/>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auto="1"/>
      </right>
      <top style="thin">
        <color indexed="64"/>
      </top>
      <bottom style="thin">
        <color auto="1"/>
      </bottom>
      <diagonal/>
    </border>
    <border>
      <left/>
      <right style="thin">
        <color rgb="FF000000"/>
      </right>
      <top/>
      <bottom style="thin">
        <color auto="1"/>
      </bottom>
      <diagonal/>
    </border>
    <border>
      <left style="thin">
        <color rgb="FF000000"/>
      </left>
      <right/>
      <top style="thin">
        <color auto="1"/>
      </top>
      <bottom style="thin">
        <color rgb="FF000000"/>
      </bottom>
      <diagonal/>
    </border>
    <border>
      <left style="thin">
        <color rgb="FF000000"/>
      </left>
      <right style="thin">
        <color rgb="FF000000"/>
      </right>
      <top style="thin">
        <color rgb="FF000000"/>
      </top>
      <bottom/>
      <diagonal/>
    </border>
    <border>
      <left style="thin">
        <color rgb="FF000000"/>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medium">
        <color indexed="64"/>
      </right>
      <top style="thin">
        <color rgb="FF000000"/>
      </top>
      <bottom style="thin">
        <color indexed="64"/>
      </bottom>
      <diagonal/>
    </border>
    <border>
      <left style="medium">
        <color indexed="64"/>
      </left>
      <right style="medium">
        <color indexed="64"/>
      </right>
      <top style="thin">
        <color rgb="FF000000"/>
      </top>
      <bottom style="thin">
        <color indexed="64"/>
      </bottom>
      <diagonal/>
    </border>
    <border>
      <left style="medium">
        <color auto="1"/>
      </left>
      <right style="thin">
        <color rgb="FF000000"/>
      </right>
      <top style="thin">
        <color rgb="FF000000"/>
      </top>
      <bottom style="thin">
        <color indexed="64"/>
      </bottom>
      <diagonal/>
    </border>
    <border>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style="thin">
        <color rgb="FF000000"/>
      </right>
      <top style="thin">
        <color indexed="64"/>
      </top>
      <bottom style="thin">
        <color indexed="64"/>
      </bottom>
      <diagonal/>
    </border>
    <border>
      <left style="medium">
        <color indexed="64"/>
      </left>
      <right/>
      <top style="thin">
        <color auto="1"/>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medium">
        <color indexed="64"/>
      </right>
      <top style="thin">
        <color indexed="64"/>
      </top>
      <bottom/>
      <diagonal/>
    </border>
    <border>
      <left style="medium">
        <color auto="1"/>
      </left>
      <right style="thin">
        <color auto="1"/>
      </right>
      <top style="thin">
        <color auto="1"/>
      </top>
      <bottom/>
      <diagonal/>
    </border>
    <border>
      <left/>
      <right style="thin">
        <color rgb="FF2E2E38"/>
      </right>
      <top/>
      <bottom/>
      <diagonal/>
    </border>
    <border>
      <left/>
      <right style="thin">
        <color rgb="FF2E2E38"/>
      </right>
      <top/>
      <bottom style="thin">
        <color auto="1"/>
      </bottom>
      <diagonal/>
    </border>
    <border>
      <left/>
      <right style="thin">
        <color rgb="FFC4C4CD"/>
      </right>
      <top/>
      <bottom/>
      <diagonal/>
    </border>
    <border>
      <left/>
      <right/>
      <top/>
      <bottom style="thin">
        <color rgb="FFC4C4CD"/>
      </bottom>
      <diagonal/>
    </border>
    <border>
      <left/>
      <right style="thin">
        <color rgb="FFC4C4CD"/>
      </right>
      <top style="thin">
        <color rgb="FFC4C4CD"/>
      </top>
      <bottom style="thin">
        <color rgb="FFC4C4CD"/>
      </bottom>
      <diagonal/>
    </border>
    <border>
      <left style="thin">
        <color rgb="FFC4C4CD"/>
      </left>
      <right/>
      <top style="thin">
        <color rgb="FFC4C4CD"/>
      </top>
      <bottom style="thin">
        <color rgb="FFC4C4CD"/>
      </bottom>
      <diagonal/>
    </border>
    <border>
      <left/>
      <right/>
      <top style="thin">
        <color rgb="FFC4C4CD"/>
      </top>
      <bottom style="thin">
        <color rgb="FFC4C4CD"/>
      </bottom>
      <diagonal/>
    </border>
    <border>
      <left/>
      <right style="thin">
        <color rgb="FFC4C4CD"/>
      </right>
      <top/>
      <bottom style="thin">
        <color rgb="FFC4C4CD"/>
      </bottom>
      <diagonal/>
    </border>
    <border>
      <left style="thin">
        <color auto="1"/>
      </left>
      <right/>
      <top style="thin">
        <color rgb="FF000000"/>
      </top>
      <bottom style="thin">
        <color rgb="FF000000"/>
      </bottom>
      <diagonal/>
    </border>
    <border>
      <left style="thin">
        <color auto="1"/>
      </left>
      <right style="thin">
        <color rgb="FF000000"/>
      </right>
      <top style="thin">
        <color rgb="FF000000"/>
      </top>
      <bottom style="thin">
        <color rgb="FF000000"/>
      </bottom>
      <diagonal/>
    </border>
    <border>
      <left style="thin">
        <color indexed="64"/>
      </left>
      <right/>
      <top style="thin">
        <color rgb="FF000000"/>
      </top>
      <bottom/>
      <diagonal/>
    </border>
    <border>
      <left style="thin">
        <color indexed="64"/>
      </left>
      <right style="thin">
        <color rgb="FF000000"/>
      </right>
      <top style="thin">
        <color rgb="FF000000"/>
      </top>
      <bottom/>
      <diagonal/>
    </border>
    <border>
      <left style="thin">
        <color rgb="FF000000"/>
      </left>
      <right/>
      <top style="thin">
        <color indexed="64"/>
      </top>
      <bottom/>
      <diagonal/>
    </border>
    <border>
      <left style="thin">
        <color indexed="64"/>
      </left>
      <right style="thin">
        <color rgb="FF000000"/>
      </right>
      <top style="thin">
        <color indexed="64"/>
      </top>
      <bottom/>
      <diagonal/>
    </border>
    <border>
      <left style="thin">
        <color indexed="64"/>
      </left>
      <right/>
      <top style="thin">
        <color indexed="64"/>
      </top>
      <bottom style="thin">
        <color rgb="FF000000"/>
      </bottom>
      <diagonal/>
    </border>
    <border>
      <left style="thin">
        <color indexed="64"/>
      </left>
      <right style="thin">
        <color rgb="FF000000"/>
      </right>
      <top style="thin">
        <color indexed="64"/>
      </top>
      <bottom style="thin">
        <color rgb="FF000000"/>
      </bottom>
      <diagonal/>
    </border>
  </borders>
  <cellStyleXfs count="397">
    <xf numFmtId="0" fontId="0" fillId="0" borderId="0">
      <protection locked="0"/>
    </xf>
    <xf numFmtId="171" fontId="9" fillId="0" borderId="0" applyFont="0" applyFill="0" applyBorder="0" applyAlignment="0" applyProtection="0"/>
    <xf numFmtId="0" fontId="18" fillId="4" borderId="0" applyNumberFormat="0" applyBorder="0" applyAlignment="0" applyProtection="0">
      <alignment vertical="center"/>
    </xf>
    <xf numFmtId="0" fontId="19" fillId="5" borderId="0" applyNumberFormat="0" applyBorder="0" applyProtection="0"/>
    <xf numFmtId="0" fontId="13" fillId="6" borderId="10" applyNumberFormat="0" applyProtection="0">
      <alignment horizontal="left" vertical="center" indent="1"/>
    </xf>
    <xf numFmtId="0" fontId="20" fillId="0" borderId="0"/>
    <xf numFmtId="0" fontId="21" fillId="7" borderId="0" applyNumberFormat="0" applyBorder="0" applyAlignment="0" applyProtection="0"/>
    <xf numFmtId="164" fontId="76" fillId="0" borderId="0" applyFont="0" applyFill="0" applyBorder="0" applyAlignment="0" applyProtection="0"/>
    <xf numFmtId="171" fontId="22" fillId="0" borderId="0" applyFont="0" applyFill="0" applyBorder="0" applyAlignment="0" applyProtection="0"/>
    <xf numFmtId="0" fontId="23" fillId="8" borderId="0" applyNumberFormat="0" applyBorder="0" applyAlignment="0" applyProtection="0"/>
    <xf numFmtId="0" fontId="22" fillId="0" borderId="0"/>
    <xf numFmtId="0" fontId="9" fillId="0" borderId="0"/>
    <xf numFmtId="9" fontId="76" fillId="0" borderId="0" applyFont="0" applyFill="0" applyBorder="0" applyAlignment="0" applyProtection="0"/>
    <xf numFmtId="0" fontId="22" fillId="0" borderId="0">
      <alignment vertical="center"/>
    </xf>
    <xf numFmtId="0" fontId="24" fillId="0" borderId="0">
      <alignment horizontal="left"/>
    </xf>
    <xf numFmtId="164" fontId="9" fillId="0" borderId="0" applyFont="0" applyFill="0" applyBorder="0" applyAlignment="0" applyProtection="0"/>
    <xf numFmtId="0" fontId="25" fillId="9" borderId="0" applyNumberFormat="0" applyBorder="0" applyProtection="0"/>
    <xf numFmtId="180" fontId="22" fillId="0" borderId="0" applyFont="0" applyFill="0" applyBorder="0" applyAlignment="0" applyProtection="0"/>
    <xf numFmtId="171" fontId="9" fillId="0" borderId="0" applyFont="0" applyFill="0" applyBorder="0" applyAlignment="0" applyProtection="0"/>
    <xf numFmtId="0" fontId="19" fillId="10" borderId="0" applyNumberFormat="0" applyBorder="0" applyProtection="0"/>
    <xf numFmtId="0" fontId="27" fillId="11" borderId="0" applyNumberFormat="0" applyBorder="0" applyProtection="0"/>
    <xf numFmtId="0" fontId="76" fillId="0" borderId="0"/>
    <xf numFmtId="0" fontId="28" fillId="0" borderId="0"/>
    <xf numFmtId="0" fontId="18" fillId="3" borderId="0" applyNumberFormat="0" applyBorder="0" applyAlignment="0" applyProtection="0">
      <alignment vertical="center"/>
    </xf>
    <xf numFmtId="172" fontId="29" fillId="0" borderId="0" applyFont="0" applyFill="0" applyBorder="0" applyAlignment="0" applyProtection="0"/>
    <xf numFmtId="171" fontId="22" fillId="0" borderId="0" applyFont="0" applyFill="0" applyBorder="0" applyAlignment="0" applyProtection="0"/>
    <xf numFmtId="0" fontId="12" fillId="0" borderId="0" applyNumberFormat="0" applyFill="0" applyBorder="0" applyAlignment="0" applyProtection="0"/>
    <xf numFmtId="0" fontId="30" fillId="0" borderId="0"/>
    <xf numFmtId="0" fontId="13" fillId="13" borderId="10" applyNumberFormat="0" applyProtection="0">
      <alignment horizontal="left" vertical="center" indent="1"/>
    </xf>
    <xf numFmtId="0" fontId="15" fillId="12" borderId="10" applyNumberFormat="0" applyProtection="0">
      <alignment horizontal="left" vertical="center" indent="1"/>
    </xf>
    <xf numFmtId="0" fontId="31" fillId="0" borderId="0" applyNumberFormat="0" applyFill="0" applyBorder="0">
      <protection locked="0"/>
    </xf>
    <xf numFmtId="0" fontId="32" fillId="0" borderId="0" applyNumberFormat="0" applyFill="0" applyBorder="0" applyAlignment="0" applyProtection="0"/>
    <xf numFmtId="0" fontId="9" fillId="15" borderId="10" applyNumberFormat="0" applyProtection="0">
      <alignment horizontal="left" vertical="top" indent="1"/>
    </xf>
    <xf numFmtId="171" fontId="22" fillId="0" borderId="0" applyFont="0" applyFill="0" applyBorder="0" applyAlignment="0" applyProtection="0"/>
    <xf numFmtId="177" fontId="33" fillId="0" borderId="0" applyFont="0" applyFill="0" applyBorder="0" applyAlignment="0" applyProtection="0"/>
    <xf numFmtId="0" fontId="21" fillId="17" borderId="0" applyNumberFormat="0" applyBorder="0" applyAlignment="0" applyProtection="0"/>
    <xf numFmtId="0" fontId="34" fillId="10" borderId="0" applyNumberFormat="0" applyBorder="0" applyProtection="0"/>
    <xf numFmtId="10" fontId="29" fillId="0" borderId="0" applyFont="0" applyFill="0" applyBorder="0" applyAlignment="0" applyProtection="0"/>
    <xf numFmtId="175" fontId="22" fillId="0" borderId="0" applyFont="0" applyFill="0" applyBorder="0" applyAlignment="0" applyProtection="0"/>
    <xf numFmtId="0" fontId="23" fillId="18" borderId="0" applyNumberFormat="0" applyBorder="0" applyAlignment="0" applyProtection="0"/>
    <xf numFmtId="0" fontId="76" fillId="0" borderId="0"/>
    <xf numFmtId="171" fontId="76" fillId="0" borderId="0" applyFont="0" applyFill="0" applyBorder="0" applyAlignment="0" applyProtection="0"/>
    <xf numFmtId="0" fontId="23" fillId="19" borderId="0" applyNumberFormat="0" applyBorder="0" applyAlignment="0" applyProtection="0"/>
    <xf numFmtId="0" fontId="21" fillId="17" borderId="0" applyNumberFormat="0" applyBorder="0" applyAlignment="0" applyProtection="0"/>
    <xf numFmtId="0" fontId="23" fillId="20" borderId="0" applyNumberFormat="0" applyBorder="0" applyAlignment="0" applyProtection="0"/>
    <xf numFmtId="0" fontId="28" fillId="0" borderId="0"/>
    <xf numFmtId="0" fontId="28" fillId="0" borderId="0"/>
    <xf numFmtId="0" fontId="21" fillId="6" borderId="0" applyNumberFormat="0" applyBorder="0" applyAlignment="0" applyProtection="0"/>
    <xf numFmtId="0" fontId="35" fillId="0" borderId="0" applyFont="0" applyFill="0" applyBorder="0" applyAlignment="0" applyProtection="0"/>
    <xf numFmtId="173" fontId="36" fillId="0" borderId="0"/>
    <xf numFmtId="0" fontId="18" fillId="21" borderId="0" applyNumberFormat="0" applyBorder="0" applyAlignment="0" applyProtection="0">
      <alignment vertical="center"/>
    </xf>
    <xf numFmtId="0" fontId="19" fillId="5" borderId="0" applyNumberFormat="0" applyBorder="0" applyProtection="0"/>
    <xf numFmtId="0" fontId="19" fillId="5" borderId="0" applyNumberFormat="0" applyBorder="0" applyProtection="0"/>
    <xf numFmtId="0" fontId="23" fillId="8" borderId="0" applyNumberFormat="0" applyBorder="0" applyAlignment="0" applyProtection="0"/>
    <xf numFmtId="167" fontId="9" fillId="0" borderId="0"/>
    <xf numFmtId="0" fontId="21" fillId="6" borderId="0" applyNumberFormat="0" applyBorder="0" applyAlignment="0" applyProtection="0"/>
    <xf numFmtId="0" fontId="76" fillId="0" borderId="0"/>
    <xf numFmtId="0" fontId="21" fillId="5" borderId="0" applyNumberFormat="0" applyBorder="0" applyAlignment="0" applyProtection="0"/>
    <xf numFmtId="0" fontId="23" fillId="7" borderId="0" applyNumberFormat="0" applyBorder="0" applyAlignment="0" applyProtection="0"/>
    <xf numFmtId="0" fontId="19" fillId="5" borderId="0" applyNumberFormat="0" applyBorder="0" applyProtection="0"/>
    <xf numFmtId="0" fontId="23" fillId="19" borderId="0" applyNumberFormat="0" applyBorder="0" applyAlignment="0" applyProtection="0"/>
    <xf numFmtId="0" fontId="21" fillId="17" borderId="0" applyNumberFormat="0" applyBorder="0" applyAlignment="0" applyProtection="0"/>
    <xf numFmtId="0" fontId="27" fillId="11" borderId="0" applyNumberFormat="0" applyBorder="0" applyProtection="0"/>
    <xf numFmtId="0" fontId="13" fillId="22" borderId="10" applyNumberFormat="0" applyProtection="0">
      <alignment horizontal="right" vertical="center"/>
    </xf>
    <xf numFmtId="0" fontId="21" fillId="7" borderId="0" applyNumberFormat="0" applyBorder="0" applyAlignment="0" applyProtection="0"/>
    <xf numFmtId="0" fontId="76" fillId="0" borderId="0"/>
    <xf numFmtId="0" fontId="23" fillId="7" borderId="0" applyNumberFormat="0" applyBorder="0" applyAlignment="0" applyProtection="0"/>
    <xf numFmtId="0" fontId="18" fillId="23" borderId="0" applyNumberFormat="0" applyBorder="0" applyAlignment="0" applyProtection="0">
      <alignment vertical="center"/>
    </xf>
    <xf numFmtId="0" fontId="23" fillId="24" borderId="0" applyNumberFormat="0" applyBorder="0" applyAlignment="0" applyProtection="0"/>
    <xf numFmtId="0" fontId="21" fillId="25" borderId="0" applyNumberFormat="0" applyBorder="0" applyAlignment="0" applyProtection="0"/>
    <xf numFmtId="171" fontId="36" fillId="0" borderId="0" applyFont="0" applyFill="0" applyBorder="0" applyAlignment="0" applyProtection="0"/>
    <xf numFmtId="0" fontId="21" fillId="17" borderId="0" applyNumberFormat="0" applyBorder="0" applyAlignment="0" applyProtection="0"/>
    <xf numFmtId="0" fontId="23" fillId="20" borderId="0" applyNumberFormat="0" applyBorder="0" applyAlignment="0" applyProtection="0"/>
    <xf numFmtId="0" fontId="18" fillId="26" borderId="0" applyNumberFormat="0" applyBorder="0" applyAlignment="0" applyProtection="0">
      <alignment vertical="center"/>
    </xf>
    <xf numFmtId="0" fontId="23" fillId="27" borderId="0" applyNumberFormat="0" applyBorder="0" applyAlignment="0" applyProtection="0"/>
    <xf numFmtId="0" fontId="15" fillId="28" borderId="11" applyNumberFormat="0" applyProtection="0">
      <alignment horizontal="left" vertical="center" indent="1"/>
    </xf>
    <xf numFmtId="0" fontId="21" fillId="6" borderId="0" applyNumberFormat="0" applyBorder="0" applyAlignment="0" applyProtection="0"/>
    <xf numFmtId="0" fontId="28" fillId="0" borderId="0"/>
    <xf numFmtId="0" fontId="21" fillId="16" borderId="0" applyNumberFormat="0" applyBorder="0" applyAlignment="0" applyProtection="0"/>
    <xf numFmtId="0" fontId="13" fillId="15" borderId="10" applyNumberFormat="0" applyProtection="0">
      <alignment horizontal="right" vertical="center"/>
    </xf>
    <xf numFmtId="0" fontId="15" fillId="12" borderId="10" applyNumberFormat="0" applyProtection="0">
      <alignment vertical="center"/>
    </xf>
    <xf numFmtId="0" fontId="23" fillId="16" borderId="0" applyNumberFormat="0" applyBorder="0" applyAlignment="0" applyProtection="0"/>
    <xf numFmtId="0" fontId="18" fillId="29" borderId="0" applyNumberFormat="0" applyBorder="0" applyAlignment="0" applyProtection="0">
      <alignment vertical="center"/>
    </xf>
    <xf numFmtId="0" fontId="37" fillId="0" borderId="0"/>
    <xf numFmtId="174" fontId="13" fillId="0" borderId="0" applyFill="0" applyBorder="0" applyAlignment="0"/>
    <xf numFmtId="167" fontId="9" fillId="0" borderId="0"/>
    <xf numFmtId="0" fontId="38" fillId="0" borderId="0"/>
    <xf numFmtId="0" fontId="39" fillId="30" borderId="12" applyNumberFormat="0" applyAlignment="0" applyProtection="0"/>
    <xf numFmtId="164" fontId="22" fillId="0" borderId="0" applyFont="0" applyFill="0" applyBorder="0" applyAlignment="0" applyProtection="0"/>
    <xf numFmtId="0" fontId="76" fillId="0" borderId="0"/>
    <xf numFmtId="0" fontId="40" fillId="0" borderId="1" applyNumberFormat="0" applyFill="0" applyProtection="0">
      <alignment horizontal="center"/>
    </xf>
    <xf numFmtId="0" fontId="25" fillId="9" borderId="0" applyNumberFormat="0" applyBorder="0" applyProtection="0"/>
    <xf numFmtId="167" fontId="9" fillId="0" borderId="0"/>
    <xf numFmtId="167" fontId="9" fillId="0" borderId="0"/>
    <xf numFmtId="0" fontId="76" fillId="0" borderId="0"/>
    <xf numFmtId="164" fontId="76" fillId="0" borderId="0" applyFont="0" applyFill="0" applyBorder="0" applyAlignment="0" applyProtection="0"/>
    <xf numFmtId="167" fontId="9" fillId="0" borderId="0"/>
    <xf numFmtId="0" fontId="76" fillId="0" borderId="0"/>
    <xf numFmtId="167" fontId="9" fillId="0" borderId="0"/>
    <xf numFmtId="167" fontId="9" fillId="0" borderId="0"/>
    <xf numFmtId="183" fontId="9" fillId="0" borderId="0" applyFont="0" applyFill="0" applyBorder="0" applyAlignment="0" applyProtection="0"/>
    <xf numFmtId="167" fontId="9" fillId="0" borderId="0"/>
    <xf numFmtId="0" fontId="41" fillId="31" borderId="0" applyNumberFormat="0" applyBorder="0" applyProtection="0"/>
    <xf numFmtId="171" fontId="76" fillId="0" borderId="0" applyFont="0" applyFill="0" applyBorder="0" applyAlignment="0" applyProtection="0"/>
    <xf numFmtId="0" fontId="34" fillId="10" borderId="0" applyNumberFormat="0" applyBorder="0" applyProtection="0"/>
    <xf numFmtId="171" fontId="42" fillId="0" borderId="0" applyFont="0" applyFill="0" applyBorder="0" applyAlignment="0" applyProtection="0"/>
    <xf numFmtId="171" fontId="76" fillId="0" borderId="0" applyFont="0" applyFill="0" applyBorder="0" applyAlignment="0" applyProtection="0"/>
    <xf numFmtId="0" fontId="76" fillId="0" borderId="0"/>
    <xf numFmtId="171" fontId="76" fillId="0" borderId="0" applyFont="0" applyFill="0" applyBorder="0" applyAlignment="0" applyProtection="0"/>
    <xf numFmtId="0" fontId="34" fillId="10" borderId="0" applyNumberFormat="0" applyBorder="0" applyProtection="0"/>
    <xf numFmtId="171" fontId="76" fillId="0" borderId="0" applyFont="0" applyFill="0" applyBorder="0" applyAlignment="0" applyProtection="0"/>
    <xf numFmtId="171" fontId="42" fillId="0" borderId="0" applyFont="0" applyFill="0" applyBorder="0" applyAlignment="0" applyProtection="0"/>
    <xf numFmtId="171" fontId="76" fillId="0" borderId="0" applyFont="0" applyFill="0" applyBorder="0" applyAlignment="0" applyProtection="0"/>
    <xf numFmtId="0" fontId="19" fillId="5" borderId="0" applyNumberFormat="0" applyBorder="0" applyProtection="0"/>
    <xf numFmtId="0" fontId="43" fillId="0" borderId="0" applyNumberFormat="0" applyFill="0" applyBorder="0">
      <protection locked="0"/>
    </xf>
    <xf numFmtId="0" fontId="27" fillId="11" borderId="0" applyNumberFormat="0" applyBorder="0" applyProtection="0"/>
    <xf numFmtId="171" fontId="22" fillId="0" borderId="0" applyFont="0" applyFill="0" applyBorder="0" applyAlignment="0" applyProtection="0"/>
    <xf numFmtId="164" fontId="22" fillId="0" borderId="0" applyFont="0" applyFill="0" applyBorder="0" applyAlignment="0" applyProtection="0"/>
    <xf numFmtId="164" fontId="9" fillId="0" borderId="0" applyFont="0" applyFill="0" applyBorder="0" applyAlignment="0" applyProtection="0"/>
    <xf numFmtId="164" fontId="76" fillId="0" borderId="0" applyFont="0" applyFill="0" applyBorder="0" applyAlignment="0" applyProtection="0"/>
    <xf numFmtId="164" fontId="28" fillId="0" borderId="0" applyFont="0" applyFill="0" applyBorder="0" applyAlignment="0" applyProtection="0"/>
    <xf numFmtId="171" fontId="42" fillId="0" borderId="0" applyFont="0" applyFill="0" applyBorder="0" applyAlignment="0" applyProtection="0"/>
    <xf numFmtId="164" fontId="28" fillId="0" borderId="0" applyFont="0" applyFill="0" applyBorder="0" applyAlignment="0" applyProtection="0"/>
    <xf numFmtId="171" fontId="42" fillId="0" borderId="0" applyFont="0" applyFill="0" applyBorder="0" applyAlignment="0" applyProtection="0"/>
    <xf numFmtId="0" fontId="19" fillId="5" borderId="0" applyNumberFormat="0" applyBorder="0" applyProtection="0"/>
    <xf numFmtId="0" fontId="44" fillId="0" borderId="0" applyNumberFormat="0" applyFill="0" applyBorder="0" applyProtection="0"/>
    <xf numFmtId="164" fontId="76" fillId="0" borderId="0" applyFont="0" applyFill="0" applyBorder="0" applyAlignment="0" applyProtection="0"/>
    <xf numFmtId="164" fontId="76" fillId="0" borderId="0" applyFont="0" applyFill="0" applyBorder="0" applyAlignment="0" applyProtection="0"/>
    <xf numFmtId="0" fontId="34" fillId="10" borderId="0" applyNumberFormat="0" applyBorder="0" applyProtection="0"/>
    <xf numFmtId="164" fontId="76" fillId="0" borderId="0" applyFont="0" applyFill="0" applyBorder="0" applyAlignment="0" applyProtection="0"/>
    <xf numFmtId="164" fontId="76" fillId="0" borderId="0" applyFont="0" applyFill="0" applyBorder="0" applyAlignment="0" applyProtection="0"/>
    <xf numFmtId="164" fontId="22" fillId="0" borderId="0" applyFont="0" applyFill="0" applyBorder="0" applyAlignment="0" applyProtection="0"/>
    <xf numFmtId="0" fontId="27" fillId="11" borderId="0" applyNumberFormat="0" applyBorder="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37" fontId="29" fillId="0" borderId="0" applyFont="0" applyFill="0" applyBorder="0" applyAlignment="0" applyProtection="0"/>
    <xf numFmtId="0" fontId="25" fillId="9" borderId="0" applyNumberFormat="0" applyBorder="0" applyProtection="0"/>
    <xf numFmtId="184" fontId="29" fillId="0" borderId="0" applyFont="0" applyFill="0" applyBorder="0" applyAlignment="0" applyProtection="0"/>
    <xf numFmtId="0" fontId="36" fillId="0" borderId="0"/>
    <xf numFmtId="39" fontId="29" fillId="0" borderId="0" applyFont="0" applyFill="0" applyBorder="0" applyAlignment="0" applyProtection="0"/>
    <xf numFmtId="179" fontId="29" fillId="0" borderId="0" applyFont="0" applyFill="0" applyBorder="0" applyAlignment="0" applyProtection="0"/>
    <xf numFmtId="185" fontId="29" fillId="0" borderId="0" applyFont="0" applyFill="0" applyBorder="0" applyAlignment="0" applyProtection="0"/>
    <xf numFmtId="181" fontId="36" fillId="0" borderId="0"/>
    <xf numFmtId="0" fontId="45" fillId="0" borderId="0">
      <alignment vertical="center"/>
    </xf>
    <xf numFmtId="186" fontId="36" fillId="0" borderId="0"/>
    <xf numFmtId="0" fontId="46" fillId="32" borderId="9"/>
    <xf numFmtId="182" fontId="28" fillId="0" borderId="0" applyFont="0" applyFill="0" applyBorder="0" applyAlignment="0" applyProtection="0"/>
    <xf numFmtId="0" fontId="47" fillId="10" borderId="0" applyNumberFormat="0" applyBorder="0" applyAlignment="0" applyProtection="0"/>
    <xf numFmtId="0" fontId="46" fillId="7" borderId="0" applyNumberFormat="0" applyBorder="0" applyAlignment="0" applyProtection="0"/>
    <xf numFmtId="164" fontId="36" fillId="0" borderId="0" applyFont="0" applyFill="0" applyBorder="0" applyAlignment="0" applyProtection="0"/>
    <xf numFmtId="0" fontId="48" fillId="0" borderId="0">
      <alignment horizontal="left"/>
    </xf>
    <xf numFmtId="0" fontId="27" fillId="11" borderId="0" applyNumberFormat="0" applyBorder="0" applyProtection="0"/>
    <xf numFmtId="0" fontId="49" fillId="0" borderId="5" applyNumberFormat="0" applyProtection="0"/>
    <xf numFmtId="0" fontId="49" fillId="0" borderId="7">
      <alignment horizontal="left" vertical="center"/>
    </xf>
    <xf numFmtId="171" fontId="22" fillId="0" borderId="0" applyFont="0" applyFill="0" applyBorder="0" applyAlignment="0" applyProtection="0"/>
    <xf numFmtId="0" fontId="32" fillId="0" borderId="0" applyNumberFormat="0" applyFill="0" applyBorder="0" applyAlignment="0" applyProtection="0"/>
    <xf numFmtId="164" fontId="22" fillId="0" borderId="0" applyFont="0" applyFill="0" applyBorder="0" applyAlignment="0" applyProtection="0"/>
    <xf numFmtId="0" fontId="46" fillId="6" borderId="9" applyNumberFormat="0" applyBorder="0" applyAlignment="0" applyProtection="0"/>
    <xf numFmtId="0" fontId="50" fillId="0" borderId="2"/>
    <xf numFmtId="187" fontId="9" fillId="0" borderId="0" applyFont="0" applyFill="0" applyBorder="0" applyAlignment="0" applyProtection="0"/>
    <xf numFmtId="0" fontId="50" fillId="0" borderId="2"/>
    <xf numFmtId="172" fontId="22" fillId="0" borderId="0"/>
    <xf numFmtId="0" fontId="34" fillId="10" borderId="0" applyNumberFormat="0" applyBorder="0" applyProtection="0"/>
    <xf numFmtId="0" fontId="9" fillId="0" borderId="0"/>
    <xf numFmtId="0" fontId="76" fillId="0" borderId="0"/>
    <xf numFmtId="0" fontId="76" fillId="0" borderId="0"/>
    <xf numFmtId="0" fontId="76" fillId="0" borderId="0"/>
    <xf numFmtId="0" fontId="19" fillId="5" borderId="0" applyNumberFormat="0" applyBorder="0" applyProtection="0"/>
    <xf numFmtId="0" fontId="13" fillId="27" borderId="10" applyNumberFormat="0" applyProtection="0">
      <alignment horizontal="right" vertical="center"/>
    </xf>
    <xf numFmtId="0" fontId="76" fillId="0" borderId="0"/>
    <xf numFmtId="0" fontId="76" fillId="0" borderId="0"/>
    <xf numFmtId="0" fontId="76" fillId="0" borderId="0"/>
    <xf numFmtId="0" fontId="76" fillId="0" borderId="0"/>
    <xf numFmtId="0" fontId="76" fillId="0" borderId="0"/>
    <xf numFmtId="0" fontId="28" fillId="0" borderId="0"/>
    <xf numFmtId="0" fontId="9" fillId="0" borderId="0"/>
    <xf numFmtId="4" fontId="51" fillId="0" borderId="0">
      <alignment horizontal="right"/>
    </xf>
    <xf numFmtId="0" fontId="9" fillId="0" borderId="0"/>
    <xf numFmtId="0" fontId="45" fillId="0" borderId="0">
      <alignment vertical="center"/>
    </xf>
    <xf numFmtId="0" fontId="76" fillId="0" borderId="0"/>
    <xf numFmtId="0" fontId="76" fillId="0" borderId="0"/>
    <xf numFmtId="164" fontId="22" fillId="0" borderId="0" applyFont="0" applyFill="0" applyBorder="0" applyAlignment="0" applyProtection="0"/>
    <xf numFmtId="0" fontId="76" fillId="0" borderId="0"/>
    <xf numFmtId="0" fontId="76" fillId="0" borderId="0"/>
    <xf numFmtId="0" fontId="52" fillId="0" borderId="0" applyFont="0" applyFill="0" applyBorder="0" applyAlignment="0" applyProtection="0"/>
    <xf numFmtId="0" fontId="76" fillId="0" borderId="0"/>
    <xf numFmtId="0" fontId="37" fillId="0" borderId="0"/>
    <xf numFmtId="0" fontId="76" fillId="0" borderId="0"/>
    <xf numFmtId="0" fontId="76" fillId="0" borderId="0" applyAlignment="0"/>
    <xf numFmtId="0" fontId="53" fillId="0" borderId="0"/>
    <xf numFmtId="0" fontId="54" fillId="0" borderId="0"/>
    <xf numFmtId="0" fontId="19" fillId="10" borderId="0" applyNumberFormat="0" applyBorder="0" applyProtection="0"/>
    <xf numFmtId="0" fontId="27" fillId="11" borderId="0" applyNumberFormat="0" applyBorder="0" applyProtection="0"/>
    <xf numFmtId="0" fontId="28" fillId="0" borderId="0"/>
    <xf numFmtId="0" fontId="41" fillId="31" borderId="0" applyNumberFormat="0" applyBorder="0" applyProtection="0"/>
    <xf numFmtId="0" fontId="28" fillId="0" borderId="0"/>
    <xf numFmtId="0" fontId="28" fillId="0" borderId="0"/>
    <xf numFmtId="164" fontId="76" fillId="0" borderId="0" applyFont="0" applyFill="0" applyBorder="0" applyAlignment="0" applyProtection="0"/>
    <xf numFmtId="0" fontId="37" fillId="0" borderId="0"/>
    <xf numFmtId="0" fontId="28" fillId="0" borderId="0"/>
    <xf numFmtId="0" fontId="55" fillId="0" borderId="0"/>
    <xf numFmtId="0" fontId="28" fillId="0" borderId="0"/>
    <xf numFmtId="0" fontId="37" fillId="0" borderId="0"/>
    <xf numFmtId="10" fontId="9" fillId="0" borderId="0" applyFont="0" applyFill="0" applyBorder="0" applyAlignment="0" applyProtection="0"/>
    <xf numFmtId="0" fontId="33" fillId="0" borderId="0"/>
    <xf numFmtId="0" fontId="46" fillId="7" borderId="9"/>
    <xf numFmtId="9" fontId="22" fillId="0" borderId="0" applyFont="0" applyFill="0" applyBorder="0" applyAlignment="0" applyProtection="0"/>
    <xf numFmtId="4" fontId="24" fillId="0" borderId="0">
      <alignment horizontal="right"/>
    </xf>
    <xf numFmtId="169" fontId="9" fillId="0" borderId="0" applyFont="0" applyFill="0" applyBorder="0" applyAlignment="0" applyProtection="0"/>
    <xf numFmtId="4" fontId="56" fillId="0" borderId="0">
      <alignment horizontal="right"/>
    </xf>
    <xf numFmtId="171" fontId="36" fillId="0" borderId="0" applyFont="0" applyFill="0" applyBorder="0" applyAlignment="0" applyProtection="0"/>
    <xf numFmtId="0" fontId="57" fillId="15" borderId="10" applyNumberFormat="0" applyProtection="0">
      <alignment horizontal="right" vertical="center"/>
    </xf>
    <xf numFmtId="0" fontId="58" fillId="12" borderId="10" applyNumberFormat="0" applyProtection="0">
      <alignment vertical="center"/>
    </xf>
    <xf numFmtId="0" fontId="13" fillId="13" borderId="10" applyNumberFormat="0" applyProtection="0">
      <alignment horizontal="left" vertical="top" indent="1"/>
    </xf>
    <xf numFmtId="0" fontId="15" fillId="12" borderId="10" applyNumberFormat="0" applyProtection="0">
      <alignment horizontal="left" vertical="top" indent="1"/>
    </xf>
    <xf numFmtId="0" fontId="15" fillId="13" borderId="0" applyNumberFormat="0" applyProtection="0">
      <alignment horizontal="left" vertical="center" indent="1"/>
    </xf>
    <xf numFmtId="0" fontId="13" fillId="9" borderId="10" applyNumberFormat="0" applyProtection="0">
      <alignment horizontal="right" vertical="center"/>
    </xf>
    <xf numFmtId="0" fontId="13" fillId="14" borderId="10" applyNumberFormat="0" applyProtection="0">
      <alignment horizontal="right" vertical="center"/>
    </xf>
    <xf numFmtId="0" fontId="34" fillId="10" borderId="0" applyNumberFormat="0" applyBorder="0" applyProtection="0"/>
    <xf numFmtId="0" fontId="13" fillId="33" borderId="10" applyNumberFormat="0" applyProtection="0">
      <alignment horizontal="right" vertical="center"/>
    </xf>
    <xf numFmtId="0" fontId="13" fillId="11" borderId="10" applyNumberFormat="0" applyProtection="0">
      <alignment horizontal="right" vertical="center"/>
    </xf>
    <xf numFmtId="0" fontId="13" fillId="34" borderId="10" applyNumberFormat="0" applyProtection="0">
      <alignment horizontal="right" vertical="center"/>
    </xf>
    <xf numFmtId="9" fontId="22" fillId="0" borderId="0" applyFont="0" applyFill="0" applyBorder="0" applyAlignment="0" applyProtection="0"/>
    <xf numFmtId="0" fontId="13" fillId="35" borderId="10" applyNumberFormat="0" applyProtection="0">
      <alignment horizontal="right" vertical="center"/>
    </xf>
    <xf numFmtId="9" fontId="28" fillId="0" borderId="0" applyFont="0" applyFill="0" applyBorder="0" applyProtection="0"/>
    <xf numFmtId="0" fontId="13" fillId="36" borderId="10" applyNumberFormat="0" applyProtection="0">
      <alignment horizontal="right" vertical="center"/>
    </xf>
    <xf numFmtId="0" fontId="13" fillId="15" borderId="0" applyNumberFormat="0" applyProtection="0">
      <alignment horizontal="left" vertical="center" indent="1"/>
    </xf>
    <xf numFmtId="0" fontId="59" fillId="19" borderId="0" applyNumberFormat="0" applyProtection="0">
      <alignment horizontal="left" vertical="center" indent="1"/>
    </xf>
    <xf numFmtId="0" fontId="60" fillId="0" borderId="0" applyNumberFormat="0" applyFill="0" applyBorder="0" applyAlignment="0" applyProtection="0"/>
    <xf numFmtId="0" fontId="13" fillId="13" borderId="10" applyNumberFormat="0" applyProtection="0">
      <alignment horizontal="right" vertical="center"/>
    </xf>
    <xf numFmtId="0" fontId="28" fillId="0" borderId="0"/>
    <xf numFmtId="0" fontId="13" fillId="15" borderId="0" applyNumberFormat="0" applyProtection="0">
      <alignment horizontal="left" vertical="center" indent="1"/>
    </xf>
    <xf numFmtId="0" fontId="13" fillId="13" borderId="0" applyNumberFormat="0" applyProtection="0">
      <alignment horizontal="left" vertical="center" indent="1"/>
    </xf>
    <xf numFmtId="0" fontId="9" fillId="19" borderId="10" applyNumberFormat="0" applyProtection="0">
      <alignment horizontal="left" vertical="center" indent="1"/>
    </xf>
    <xf numFmtId="0" fontId="9" fillId="19" borderId="10" applyNumberFormat="0" applyProtection="0">
      <alignment horizontal="left" vertical="top" indent="1"/>
    </xf>
    <xf numFmtId="0" fontId="9" fillId="13" borderId="10" applyNumberFormat="0" applyProtection="0">
      <alignment horizontal="left" vertical="center" indent="1"/>
    </xf>
    <xf numFmtId="0" fontId="9" fillId="13" borderId="10" applyNumberFormat="0" applyProtection="0">
      <alignment horizontal="left" vertical="top" indent="1"/>
    </xf>
    <xf numFmtId="0" fontId="9" fillId="20" borderId="10" applyNumberFormat="0" applyProtection="0">
      <alignment horizontal="left" vertical="center" indent="1"/>
    </xf>
    <xf numFmtId="0" fontId="9" fillId="20" borderId="10" applyNumberFormat="0" applyProtection="0">
      <alignment horizontal="left" vertical="top" indent="1"/>
    </xf>
    <xf numFmtId="0" fontId="25" fillId="9" borderId="0" applyNumberFormat="0" applyBorder="0" applyProtection="0"/>
    <xf numFmtId="0" fontId="9" fillId="15" borderId="10" applyNumberFormat="0" applyProtection="0">
      <alignment horizontal="left" vertical="center" indent="1"/>
    </xf>
    <xf numFmtId="0" fontId="13" fillId="6" borderId="10" applyNumberFormat="0" applyProtection="0">
      <alignment vertical="center"/>
    </xf>
    <xf numFmtId="0" fontId="57" fillId="6" borderId="10" applyNumberFormat="0" applyProtection="0">
      <alignment vertical="center"/>
    </xf>
    <xf numFmtId="0" fontId="13" fillId="6" borderId="10" applyNumberFormat="0" applyProtection="0">
      <alignment horizontal="left" vertical="top" indent="1"/>
    </xf>
    <xf numFmtId="0" fontId="61" fillId="37" borderId="0" applyNumberFormat="0" applyProtection="0">
      <alignment horizontal="left" vertical="center" indent="1"/>
    </xf>
    <xf numFmtId="0" fontId="62" fillId="15" borderId="10" applyNumberFormat="0" applyProtection="0">
      <alignment horizontal="right" vertical="center"/>
    </xf>
    <xf numFmtId="0" fontId="63" fillId="0" borderId="0">
      <alignment horizontal="left"/>
    </xf>
    <xf numFmtId="4" fontId="64" fillId="0" borderId="0" applyFont="0" applyFill="0" applyBorder="0" applyAlignment="0" applyProtection="0"/>
    <xf numFmtId="164" fontId="46" fillId="0" borderId="13"/>
    <xf numFmtId="164" fontId="46" fillId="0" borderId="13"/>
    <xf numFmtId="0" fontId="26" fillId="32" borderId="0" applyNumberFormat="0" applyBorder="0" applyProtection="0"/>
    <xf numFmtId="0" fontId="50" fillId="0" borderId="0"/>
    <xf numFmtId="0" fontId="22" fillId="0" borderId="0"/>
    <xf numFmtId="0" fontId="65" fillId="0" borderId="0">
      <alignment horizontal="center"/>
    </xf>
    <xf numFmtId="176" fontId="9" fillId="0" borderId="0" applyFont="0" applyFill="0" applyBorder="0" applyAlignment="0" applyProtection="0"/>
    <xf numFmtId="0" fontId="66" fillId="0" borderId="0"/>
    <xf numFmtId="170" fontId="9" fillId="0" borderId="0" applyFont="0" applyFill="0" applyBorder="0" applyAlignment="0" applyProtection="0"/>
    <xf numFmtId="189" fontId="22" fillId="0" borderId="0" applyFont="0" applyFill="0" applyBorder="0" applyAlignment="0" applyProtection="0"/>
    <xf numFmtId="168" fontId="22" fillId="0" borderId="0" applyFont="0" applyFill="0" applyBorder="0" applyAlignment="0" applyProtection="0"/>
    <xf numFmtId="9" fontId="67" fillId="0" borderId="0" applyFont="0" applyFill="0" applyBorder="0" applyAlignment="0" applyProtection="0"/>
    <xf numFmtId="0" fontId="34" fillId="10" borderId="0" applyNumberFormat="0" applyBorder="0" applyProtection="0"/>
    <xf numFmtId="0" fontId="33" fillId="0" borderId="0"/>
    <xf numFmtId="190" fontId="33" fillId="0" borderId="0" applyFont="0" applyFill="0" applyBorder="0" applyAlignment="0" applyProtection="0"/>
    <xf numFmtId="9" fontId="33" fillId="0" borderId="0" applyFont="0" applyFill="0" applyBorder="0" applyAlignment="0" applyProtection="0"/>
    <xf numFmtId="9" fontId="76" fillId="0" borderId="0" applyFont="0" applyFill="0" applyBorder="0" applyAlignment="0" applyProtection="0"/>
    <xf numFmtId="0" fontId="52" fillId="0" borderId="0" applyFont="0" applyFill="0" applyBorder="0" applyAlignment="0" applyProtection="0"/>
    <xf numFmtId="0" fontId="25" fillId="9" borderId="0" applyNumberFormat="0" applyBorder="0" applyProtection="0"/>
    <xf numFmtId="0" fontId="25" fillId="9" borderId="0" applyNumberFormat="0" applyBorder="0" applyProtection="0"/>
    <xf numFmtId="0" fontId="68" fillId="9" borderId="0" applyNumberFormat="0" applyBorder="0" applyAlignment="0" applyProtection="0"/>
    <xf numFmtId="0" fontId="25" fillId="9" borderId="0" applyNumberFormat="0" applyBorder="0" applyProtection="0"/>
    <xf numFmtId="0" fontId="25" fillId="9" borderId="0" applyNumberFormat="0" applyBorder="0" applyProtection="0"/>
    <xf numFmtId="0" fontId="27" fillId="11" borderId="0" applyNumberFormat="0" applyBorder="0" applyProtection="0"/>
    <xf numFmtId="0" fontId="25" fillId="9" borderId="0" applyNumberFormat="0" applyBorder="0" applyProtection="0"/>
    <xf numFmtId="0" fontId="25" fillId="9" borderId="0" applyNumberFormat="0" applyBorder="0" applyProtection="0"/>
    <xf numFmtId="0" fontId="26" fillId="32" borderId="0" applyNumberFormat="0" applyBorder="0" applyProtection="0"/>
    <xf numFmtId="0" fontId="25" fillId="9" borderId="0" applyNumberFormat="0" applyBorder="0" applyProtection="0"/>
    <xf numFmtId="0" fontId="27" fillId="11" borderId="0" applyNumberFormat="0" applyBorder="0" applyProtection="0"/>
    <xf numFmtId="0" fontId="27" fillId="11" borderId="0" applyNumberFormat="0" applyBorder="0" applyProtection="0"/>
    <xf numFmtId="0" fontId="27" fillId="11" borderId="0" applyNumberFormat="0" applyBorder="0" applyProtection="0"/>
    <xf numFmtId="0" fontId="27" fillId="11" borderId="0" applyNumberFormat="0" applyBorder="0" applyProtection="0"/>
    <xf numFmtId="0" fontId="27" fillId="11" borderId="0" applyNumberFormat="0" applyBorder="0" applyProtection="0"/>
    <xf numFmtId="0" fontId="76" fillId="0" borderId="0"/>
    <xf numFmtId="0" fontId="69" fillId="38" borderId="0" applyNumberFormat="0" applyBorder="0" applyAlignment="0" applyProtection="0"/>
    <xf numFmtId="0" fontId="28" fillId="0" borderId="0"/>
    <xf numFmtId="0" fontId="19" fillId="10" borderId="0" applyNumberFormat="0" applyBorder="0" applyProtection="0"/>
    <xf numFmtId="0" fontId="22" fillId="0" borderId="0"/>
    <xf numFmtId="0" fontId="22" fillId="0" borderId="0"/>
    <xf numFmtId="0" fontId="28" fillId="0" borderId="0"/>
    <xf numFmtId="0" fontId="28" fillId="0" borderId="0"/>
    <xf numFmtId="0" fontId="28" fillId="0" borderId="0"/>
    <xf numFmtId="0" fontId="28" fillId="0" borderId="0"/>
    <xf numFmtId="0" fontId="22" fillId="0" borderId="0"/>
    <xf numFmtId="0" fontId="76" fillId="0" borderId="0"/>
    <xf numFmtId="0" fontId="28" fillId="0" borderId="0"/>
    <xf numFmtId="0" fontId="43" fillId="0" borderId="0" applyNumberFormat="0" applyFill="0" applyBorder="0">
      <protection locked="0"/>
    </xf>
    <xf numFmtId="38" fontId="52" fillId="0" borderId="0" applyFon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43" fillId="0" borderId="0" applyNumberFormat="0" applyFill="0" applyBorder="0">
      <protection locked="0"/>
    </xf>
    <xf numFmtId="0" fontId="31" fillId="0" borderId="0" applyNumberFormat="0" applyFill="0" applyBorder="0">
      <protection locked="0"/>
    </xf>
    <xf numFmtId="0" fontId="34" fillId="10" borderId="0" applyNumberFormat="0" applyBorder="0" applyProtection="0"/>
    <xf numFmtId="0" fontId="19" fillId="5" borderId="0" applyNumberFormat="0" applyBorder="0" applyProtection="0"/>
    <xf numFmtId="0" fontId="19" fillId="10" borderId="0" applyNumberFormat="0" applyBorder="0" applyProtection="0"/>
    <xf numFmtId="0" fontId="19" fillId="10" borderId="0" applyNumberFormat="0" applyBorder="0" applyProtection="0"/>
    <xf numFmtId="0" fontId="19" fillId="10" borderId="0" applyNumberFormat="0" applyBorder="0" applyProtection="0"/>
    <xf numFmtId="0" fontId="19" fillId="5" borderId="0" applyNumberFormat="0" applyBorder="0" applyProtection="0"/>
    <xf numFmtId="0" fontId="70" fillId="5" borderId="0" applyNumberFormat="0" applyBorder="0" applyAlignment="0" applyProtection="0"/>
    <xf numFmtId="166" fontId="33" fillId="0" borderId="0" applyFont="0" applyFill="0" applyBorder="0" applyAlignment="0" applyProtection="0"/>
    <xf numFmtId="0" fontId="19" fillId="5" borderId="0" applyNumberFormat="0" applyBorder="0" applyProtection="0"/>
    <xf numFmtId="0" fontId="19" fillId="5" borderId="0" applyNumberFormat="0" applyBorder="0" applyProtection="0"/>
    <xf numFmtId="0" fontId="34" fillId="10" borderId="0" applyNumberFormat="0" applyBorder="0" applyProtection="0"/>
    <xf numFmtId="0" fontId="34" fillId="10" borderId="0" applyNumberFormat="0" applyBorder="0" applyProtection="0"/>
    <xf numFmtId="0" fontId="34" fillId="10" borderId="0" applyNumberFormat="0" applyBorder="0" applyProtection="0"/>
    <xf numFmtId="0" fontId="19" fillId="10" borderId="0" applyNumberFormat="0" applyBorder="0" applyProtection="0"/>
    <xf numFmtId="165" fontId="33" fillId="0" borderId="0" applyFont="0" applyFill="0" applyBorder="0" applyAlignment="0" applyProtection="0"/>
    <xf numFmtId="0" fontId="34" fillId="10" borderId="0" applyNumberFormat="0" applyBorder="0" applyProtection="0"/>
    <xf numFmtId="0" fontId="41" fillId="31" borderId="0" applyNumberFormat="0" applyBorder="0" applyProtection="0"/>
    <xf numFmtId="0" fontId="69" fillId="39" borderId="0" applyNumberFormat="0" applyBorder="0" applyAlignment="0" applyProtection="0"/>
    <xf numFmtId="0" fontId="34" fillId="10" borderId="0" applyNumberFormat="0" applyBorder="0" applyProtection="0"/>
    <xf numFmtId="0" fontId="19" fillId="10" borderId="0" applyNumberFormat="0" applyBorder="0" applyProtection="0"/>
    <xf numFmtId="0" fontId="19" fillId="10" borderId="0" applyNumberFormat="0" applyBorder="0" applyProtection="0"/>
    <xf numFmtId="0" fontId="19" fillId="10" borderId="0" applyNumberFormat="0" applyBorder="0" applyProtection="0"/>
    <xf numFmtId="0" fontId="34" fillId="10" borderId="0" applyNumberFormat="0" applyBorder="0" applyProtection="0"/>
    <xf numFmtId="0" fontId="41" fillId="31" borderId="0" applyNumberFormat="0" applyBorder="0" applyProtection="0"/>
    <xf numFmtId="166" fontId="71" fillId="0" borderId="0" applyFont="0" applyFill="0" applyBorder="0" applyAlignment="0" applyProtection="0"/>
    <xf numFmtId="165" fontId="71" fillId="0" borderId="0" applyFont="0" applyFill="0" applyBorder="0" applyAlignment="0" applyProtection="0"/>
    <xf numFmtId="178" fontId="72" fillId="0" borderId="0" applyFont="0" applyFill="0" applyBorder="0" applyAlignment="0" applyProtection="0"/>
    <xf numFmtId="188" fontId="72" fillId="0" borderId="0" applyFont="0" applyFill="0" applyBorder="0" applyAlignment="0" applyProtection="0"/>
    <xf numFmtId="164" fontId="9" fillId="0" borderId="0" applyFont="0" applyFill="0" applyBorder="0" applyAlignment="0" applyProtection="0"/>
    <xf numFmtId="164" fontId="22" fillId="0" borderId="0" applyFont="0" applyFill="0" applyBorder="0" applyAlignment="0" applyProtection="0"/>
    <xf numFmtId="164" fontId="9"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76" fillId="0" borderId="0" applyFont="0" applyFill="0" applyBorder="0" applyAlignment="0" applyProtection="0"/>
    <xf numFmtId="164" fontId="76" fillId="0" borderId="0" applyFont="0" applyFill="0" applyBorder="0" applyAlignment="0" applyProtection="0"/>
    <xf numFmtId="164" fontId="76" fillId="0" borderId="0" applyFont="0" applyFill="0" applyBorder="0" applyAlignment="0" applyProtection="0"/>
    <xf numFmtId="164" fontId="76" fillId="0" borderId="0" applyFont="0" applyFill="0" applyBorder="0" applyAlignment="0" applyProtection="0"/>
    <xf numFmtId="164" fontId="76" fillId="0" borderId="0" applyFont="0" applyFill="0" applyBorder="0" applyAlignment="0" applyProtection="0"/>
    <xf numFmtId="0" fontId="73" fillId="0" borderId="0"/>
    <xf numFmtId="0" fontId="69" fillId="40" borderId="0" applyNumberFormat="0" applyBorder="0" applyAlignment="0" applyProtection="0"/>
    <xf numFmtId="191" fontId="64" fillId="0" borderId="0" applyFont="0" applyFill="0" applyBorder="0" applyAlignment="0" applyProtection="0"/>
    <xf numFmtId="0" fontId="71" fillId="0" borderId="0"/>
    <xf numFmtId="40" fontId="52" fillId="0" borderId="0" applyFont="0" applyFill="0" applyBorder="0" applyAlignment="0" applyProtection="0"/>
    <xf numFmtId="0" fontId="9" fillId="0" borderId="9" applyNumberFormat="0"/>
    <xf numFmtId="38" fontId="35" fillId="0" borderId="0" applyFont="0" applyFill="0" applyBorder="0" applyAlignment="0" applyProtection="0"/>
    <xf numFmtId="40" fontId="35" fillId="0" borderId="0" applyFont="0" applyFill="0" applyBorder="0" applyAlignment="0" applyProtection="0"/>
    <xf numFmtId="0" fontId="35" fillId="0" borderId="0" applyFont="0" applyFill="0" applyBorder="0" applyAlignment="0" applyProtection="0"/>
    <xf numFmtId="0" fontId="4" fillId="0" borderId="0"/>
    <xf numFmtId="0" fontId="78" fillId="0" borderId="0"/>
    <xf numFmtId="0" fontId="79" fillId="0" borderId="0" applyNumberFormat="0" applyFill="0" applyBorder="0" applyAlignment="0" applyProtection="0"/>
    <xf numFmtId="0" fontId="78" fillId="0" borderId="0">
      <alignment vertical="center"/>
    </xf>
    <xf numFmtId="0" fontId="80" fillId="0" borderId="0"/>
    <xf numFmtId="0" fontId="78" fillId="0" borderId="0">
      <alignment vertical="center"/>
    </xf>
    <xf numFmtId="0" fontId="28" fillId="0" borderId="0"/>
    <xf numFmtId="164" fontId="78" fillId="0" borderId="0" applyFont="0" applyFill="0" applyBorder="0" applyAlignment="0" applyProtection="0"/>
    <xf numFmtId="0" fontId="3" fillId="0" borderId="0"/>
    <xf numFmtId="0" fontId="76" fillId="0" borderId="0"/>
    <xf numFmtId="0" fontId="76" fillId="0" borderId="0"/>
    <xf numFmtId="0" fontId="78" fillId="0" borderId="0"/>
    <xf numFmtId="0" fontId="76" fillId="0" borderId="0"/>
    <xf numFmtId="0" fontId="85" fillId="0" borderId="0"/>
    <xf numFmtId="164" fontId="78" fillId="0" borderId="0" applyFont="0" applyFill="0" applyBorder="0" applyAlignment="0" applyProtection="0"/>
    <xf numFmtId="0" fontId="76" fillId="0" borderId="0">
      <alignment vertical="center"/>
    </xf>
    <xf numFmtId="0" fontId="76" fillId="0" borderId="0" applyAlignment="0"/>
    <xf numFmtId="0" fontId="76" fillId="0" borderId="0"/>
    <xf numFmtId="0" fontId="9" fillId="0" borderId="0"/>
    <xf numFmtId="0" fontId="76" fillId="0" borderId="0"/>
    <xf numFmtId="0" fontId="3" fillId="0" borderId="0">
      <protection locked="0"/>
    </xf>
    <xf numFmtId="0" fontId="79" fillId="0" borderId="0" applyNumberFormat="0" applyFill="0" applyBorder="0" applyAlignment="0" applyProtection="0"/>
    <xf numFmtId="164" fontId="3" fillId="0" borderId="0" applyFont="0" applyFill="0" applyBorder="0" applyAlignment="0" applyProtection="0"/>
    <xf numFmtId="164" fontId="9" fillId="0" borderId="0" applyFont="0" applyFill="0" applyBorder="0" applyAlignment="0" applyProtection="0"/>
    <xf numFmtId="0" fontId="9" fillId="0" borderId="0"/>
    <xf numFmtId="0" fontId="3" fillId="0" borderId="0"/>
    <xf numFmtId="0" fontId="95" fillId="0" borderId="0"/>
    <xf numFmtId="0" fontId="87" fillId="0" borderId="0"/>
    <xf numFmtId="164" fontId="95" fillId="0" borderId="0" applyFont="0" applyFill="0" applyBorder="0" applyAlignment="0" applyProtection="0"/>
    <xf numFmtId="0" fontId="36" fillId="0" borderId="0">
      <protection locked="0"/>
    </xf>
    <xf numFmtId="0" fontId="5" fillId="0" borderId="0"/>
    <xf numFmtId="164" fontId="3" fillId="0" borderId="0" applyFont="0" applyFill="0" applyBorder="0" applyAlignment="0" applyProtection="0"/>
    <xf numFmtId="0" fontId="45" fillId="0" borderId="0">
      <alignment vertical="center"/>
    </xf>
    <xf numFmtId="171" fontId="33" fillId="0" borderId="0" applyFont="0" applyFill="0" applyBorder="0" applyAlignment="0" applyProtection="0"/>
    <xf numFmtId="9" fontId="3" fillId="0" borderId="0" applyFont="0" applyFill="0" applyBorder="0" applyAlignment="0" applyProtection="0"/>
    <xf numFmtId="171" fontId="3" fillId="0" borderId="0" applyFont="0" applyFill="0" applyBorder="0" applyAlignment="0" applyProtection="0"/>
    <xf numFmtId="0" fontId="98" fillId="0" borderId="0"/>
    <xf numFmtId="169" fontId="5" fillId="0" borderId="0" applyFont="0" applyFill="0" applyBorder="0" applyAlignment="0" applyProtection="0"/>
    <xf numFmtId="0" fontId="78" fillId="0" borderId="0">
      <alignment vertical="center"/>
    </xf>
    <xf numFmtId="0" fontId="36" fillId="0" borderId="0">
      <protection locked="0"/>
    </xf>
    <xf numFmtId="0" fontId="3" fillId="0" borderId="0">
      <protection locked="0"/>
    </xf>
    <xf numFmtId="0" fontId="106" fillId="0" borderId="0"/>
    <xf numFmtId="0" fontId="76" fillId="0" borderId="0">
      <alignment vertical="center"/>
    </xf>
    <xf numFmtId="0" fontId="76" fillId="0" borderId="0"/>
    <xf numFmtId="0" fontId="2" fillId="0" borderId="0">
      <alignment vertical="center"/>
    </xf>
    <xf numFmtId="0" fontId="150" fillId="0" borderId="0" applyNumberFormat="0" applyFill="0" applyBorder="0" applyAlignment="0" applyProtection="0">
      <protection locked="0"/>
    </xf>
    <xf numFmtId="164" fontId="1" fillId="0" borderId="0" applyFont="0" applyFill="0" applyBorder="0" applyAlignment="0" applyProtection="0">
      <alignment vertical="center"/>
    </xf>
  </cellStyleXfs>
  <cellXfs count="649">
    <xf numFmtId="0" fontId="0" fillId="0" borderId="0" xfId="0">
      <protection locked="0"/>
    </xf>
    <xf numFmtId="0" fontId="6" fillId="0" borderId="0" xfId="0" applyFont="1" applyAlignment="1">
      <alignment vertical="center"/>
      <protection locked="0"/>
    </xf>
    <xf numFmtId="0" fontId="5" fillId="2" borderId="0" xfId="0" applyFont="1" applyFill="1" applyAlignment="1">
      <alignment vertical="center"/>
      <protection locked="0"/>
    </xf>
    <xf numFmtId="0" fontId="5" fillId="0" borderId="0" xfId="0" applyFont="1" applyAlignment="1">
      <alignment vertical="center"/>
      <protection locked="0"/>
    </xf>
    <xf numFmtId="0" fontId="5" fillId="0" borderId="0" xfId="289" applyFont="1" applyAlignment="1" applyProtection="1">
      <alignment vertical="center"/>
      <protection locked="0"/>
    </xf>
    <xf numFmtId="0" fontId="7" fillId="0" borderId="0" xfId="181" applyFont="1" applyAlignment="1" applyProtection="1">
      <alignment vertical="center"/>
      <protection locked="0"/>
    </xf>
    <xf numFmtId="0" fontId="5" fillId="0" borderId="0" xfId="289" applyFont="1" applyAlignment="1">
      <alignment vertical="center"/>
    </xf>
    <xf numFmtId="0" fontId="5" fillId="0" borderId="0" xfId="0" applyFont="1" applyAlignment="1">
      <alignment horizontal="left" vertical="center" wrapText="1"/>
      <protection locked="0"/>
    </xf>
    <xf numFmtId="0" fontId="5" fillId="0" borderId="0" xfId="0" applyFont="1" applyAlignment="1">
      <alignment horizontal="left" vertical="center"/>
      <protection locked="0"/>
    </xf>
    <xf numFmtId="9" fontId="5" fillId="0" borderId="0" xfId="0" applyNumberFormat="1" applyFont="1" applyAlignment="1">
      <alignment horizontal="left" vertical="center"/>
      <protection locked="0"/>
    </xf>
    <xf numFmtId="9" fontId="5" fillId="0" borderId="0" xfId="289" applyNumberFormat="1" applyFont="1" applyAlignment="1" applyProtection="1">
      <alignment vertical="center"/>
      <protection locked="0"/>
    </xf>
    <xf numFmtId="9" fontId="5" fillId="0" borderId="0" xfId="12" applyFont="1" applyAlignment="1" applyProtection="1">
      <alignment vertical="center"/>
      <protection locked="0"/>
    </xf>
    <xf numFmtId="0" fontId="9" fillId="0" borderId="0" xfId="289" applyFont="1" applyAlignment="1" applyProtection="1">
      <alignment vertical="center"/>
      <protection locked="0"/>
    </xf>
    <xf numFmtId="0" fontId="6" fillId="2" borderId="0" xfId="288" applyFont="1" applyFill="1" applyAlignment="1" applyProtection="1">
      <alignment vertical="center"/>
      <protection locked="0"/>
    </xf>
    <xf numFmtId="0" fontId="6" fillId="0" borderId="0" xfId="0" applyFont="1" applyAlignment="1">
      <alignment horizontal="center" vertical="center"/>
      <protection locked="0"/>
    </xf>
    <xf numFmtId="49" fontId="0" fillId="0" borderId="0" xfId="0" applyNumberFormat="1">
      <protection locked="0"/>
    </xf>
    <xf numFmtId="0" fontId="6" fillId="0" borderId="0" xfId="0" applyFont="1" applyAlignment="1">
      <alignment horizontal="left" vertical="center"/>
      <protection locked="0"/>
    </xf>
    <xf numFmtId="0" fontId="11" fillId="0" borderId="0" xfId="0" applyFont="1" applyAlignment="1">
      <alignment vertical="center"/>
      <protection locked="0"/>
    </xf>
    <xf numFmtId="0" fontId="11" fillId="0" borderId="0" xfId="0" applyFont="1" applyAlignment="1">
      <alignment horizontal="center" vertical="center"/>
      <protection locked="0"/>
    </xf>
    <xf numFmtId="164" fontId="5" fillId="0" borderId="0" xfId="0" applyNumberFormat="1" applyFont="1" applyAlignment="1">
      <alignment horizontal="center" vertical="center"/>
      <protection locked="0"/>
    </xf>
    <xf numFmtId="164" fontId="5" fillId="0" borderId="0" xfId="0" applyNumberFormat="1" applyFont="1" applyAlignment="1">
      <alignment vertical="center"/>
      <protection locked="0"/>
    </xf>
    <xf numFmtId="0" fontId="83" fillId="2" borderId="0" xfId="0" applyFont="1" applyFill="1" applyAlignment="1">
      <alignment vertical="center"/>
      <protection locked="0"/>
    </xf>
    <xf numFmtId="0" fontId="83" fillId="0" borderId="0" xfId="0" applyFont="1" applyAlignment="1">
      <alignment vertical="center"/>
      <protection locked="0"/>
    </xf>
    <xf numFmtId="0" fontId="81" fillId="2" borderId="0" xfId="0" applyFont="1" applyFill="1" applyAlignment="1">
      <alignment vertical="center"/>
      <protection locked="0"/>
    </xf>
    <xf numFmtId="0" fontId="5" fillId="0" borderId="0" xfId="370" applyFont="1" applyAlignment="1">
      <alignment vertical="center"/>
      <protection locked="0"/>
    </xf>
    <xf numFmtId="0" fontId="87" fillId="0" borderId="0" xfId="370" applyFont="1" applyAlignment="1">
      <alignment vertical="center"/>
      <protection locked="0"/>
    </xf>
    <xf numFmtId="0" fontId="87" fillId="42" borderId="0" xfId="370" applyFont="1" applyFill="1" applyAlignment="1">
      <alignment vertical="center"/>
      <protection locked="0"/>
    </xf>
    <xf numFmtId="0" fontId="94" fillId="0" borderId="0" xfId="370" applyFont="1" applyAlignment="1">
      <alignment vertical="center" wrapText="1"/>
      <protection locked="0"/>
    </xf>
    <xf numFmtId="0" fontId="5" fillId="42" borderId="0" xfId="370" applyFont="1" applyFill="1" applyAlignment="1">
      <alignment vertical="center"/>
      <protection locked="0"/>
    </xf>
    <xf numFmtId="0" fontId="6" fillId="0" borderId="0" xfId="370" applyFont="1" applyAlignment="1">
      <alignment horizontal="left" vertical="center"/>
      <protection locked="0"/>
    </xf>
    <xf numFmtId="0" fontId="11" fillId="0" borderId="0" xfId="370" applyFont="1" applyAlignment="1">
      <alignment vertical="center"/>
      <protection locked="0"/>
    </xf>
    <xf numFmtId="0" fontId="11" fillId="0" borderId="0" xfId="370" applyFont="1" applyAlignment="1">
      <alignment vertical="center" wrapText="1"/>
      <protection locked="0"/>
    </xf>
    <xf numFmtId="0" fontId="9" fillId="0" borderId="0" xfId="371" applyFont="1" applyFill="1" applyBorder="1" applyAlignment="1" applyProtection="1">
      <alignment horizontal="left" vertical="center"/>
      <protection locked="0"/>
    </xf>
    <xf numFmtId="171" fontId="6" fillId="0" borderId="0" xfId="370" applyNumberFormat="1" applyFont="1" applyAlignment="1">
      <alignment horizontal="left" vertical="center"/>
      <protection locked="0"/>
    </xf>
    <xf numFmtId="171" fontId="89" fillId="0" borderId="0" xfId="370" applyNumberFormat="1" applyFont="1" applyAlignment="1">
      <alignment horizontal="center" vertical="center"/>
      <protection locked="0"/>
    </xf>
    <xf numFmtId="0" fontId="9" fillId="0" borderId="0" xfId="370" applyFont="1" applyAlignment="1">
      <alignment vertical="center"/>
      <protection locked="0"/>
    </xf>
    <xf numFmtId="0" fontId="9" fillId="0" borderId="0" xfId="370" applyFont="1" applyAlignment="1">
      <alignment vertical="center" wrapText="1"/>
      <protection locked="0"/>
    </xf>
    <xf numFmtId="0" fontId="5" fillId="0" borderId="0" xfId="358" applyFont="1" applyAlignment="1" applyProtection="1">
      <alignment vertical="center"/>
      <protection locked="0"/>
    </xf>
    <xf numFmtId="0" fontId="5" fillId="42" borderId="0" xfId="358" applyFont="1" applyFill="1" applyAlignment="1" applyProtection="1">
      <alignment vertical="center"/>
      <protection locked="0"/>
    </xf>
    <xf numFmtId="0" fontId="87" fillId="0" borderId="0" xfId="358" applyFont="1" applyAlignment="1" applyProtection="1">
      <alignment vertical="center"/>
      <protection locked="0"/>
    </xf>
    <xf numFmtId="0" fontId="87" fillId="42" borderId="0" xfId="358" applyFont="1" applyFill="1" applyAlignment="1" applyProtection="1">
      <alignment vertical="center"/>
      <protection locked="0"/>
    </xf>
    <xf numFmtId="0" fontId="88" fillId="0" borderId="0" xfId="358" applyFont="1" applyAlignment="1" applyProtection="1">
      <alignment vertical="center" wrapText="1"/>
      <protection locked="0"/>
    </xf>
    <xf numFmtId="0" fontId="6" fillId="0" borderId="0" xfId="358" applyFont="1" applyAlignment="1" applyProtection="1">
      <alignment horizontal="left" vertical="center" wrapText="1"/>
      <protection locked="0"/>
    </xf>
    <xf numFmtId="0" fontId="5" fillId="2" borderId="0" xfId="358" applyFont="1" applyFill="1" applyAlignment="1" applyProtection="1">
      <alignment vertical="center"/>
      <protection locked="0"/>
    </xf>
    <xf numFmtId="0" fontId="10" fillId="0" borderId="0" xfId="358" applyFont="1" applyAlignment="1" applyProtection="1">
      <alignment vertical="center"/>
      <protection locked="0"/>
    </xf>
    <xf numFmtId="0" fontId="9" fillId="0" borderId="0" xfId="382" applyFont="1" applyAlignment="1" applyProtection="1">
      <alignment horizontal="center" vertical="center" wrapText="1"/>
      <protection locked="0"/>
    </xf>
    <xf numFmtId="0" fontId="5" fillId="0" borderId="0" xfId="358" applyFont="1" applyAlignment="1" applyProtection="1">
      <alignment horizontal="left" vertical="center"/>
      <protection locked="0"/>
    </xf>
    <xf numFmtId="0" fontId="5" fillId="42" borderId="0" xfId="358" applyFont="1" applyFill="1" applyAlignment="1" applyProtection="1">
      <alignment horizontal="left" vertical="center"/>
      <protection locked="0"/>
    </xf>
    <xf numFmtId="0" fontId="10" fillId="0" borderId="0" xfId="358" applyFont="1" applyAlignment="1" applyProtection="1">
      <alignment horizontal="left" vertical="center"/>
      <protection locked="0"/>
    </xf>
    <xf numFmtId="0" fontId="6" fillId="0" borderId="0" xfId="358" applyFont="1" applyAlignment="1" applyProtection="1">
      <alignment horizontal="center" vertical="center"/>
      <protection locked="0"/>
    </xf>
    <xf numFmtId="0" fontId="17" fillId="0" borderId="0" xfId="358" applyFont="1" applyAlignment="1" applyProtection="1">
      <alignment horizontal="center" vertical="center"/>
      <protection locked="0"/>
    </xf>
    <xf numFmtId="0" fontId="6" fillId="0" borderId="0" xfId="358" applyFont="1" applyAlignment="1" applyProtection="1">
      <alignment horizontal="left" vertical="center"/>
      <protection locked="0"/>
    </xf>
    <xf numFmtId="0" fontId="97" fillId="0" borderId="0" xfId="358" applyFont="1" applyAlignment="1" applyProtection="1">
      <alignment horizontal="center" vertical="center"/>
      <protection locked="0"/>
    </xf>
    <xf numFmtId="0" fontId="7" fillId="0" borderId="0" xfId="358" applyFont="1" applyAlignment="1" applyProtection="1">
      <alignment vertical="center"/>
      <protection locked="0"/>
    </xf>
    <xf numFmtId="0" fontId="9" fillId="0" borderId="0" xfId="383" applyNumberFormat="1" applyFont="1" applyFill="1" applyBorder="1" applyAlignment="1" applyProtection="1">
      <alignment horizontal="left" vertical="center"/>
      <protection locked="0"/>
    </xf>
    <xf numFmtId="0" fontId="9" fillId="0" borderId="0" xfId="384" quotePrefix="1" applyNumberFormat="1" applyFont="1" applyFill="1" applyBorder="1" applyAlignment="1" applyProtection="1">
      <alignment horizontal="left" vertical="center"/>
      <protection locked="0"/>
    </xf>
    <xf numFmtId="9" fontId="9" fillId="0" borderId="0" xfId="384" quotePrefix="1" applyFont="1" applyFill="1" applyBorder="1" applyAlignment="1" applyProtection="1">
      <alignment horizontal="left" vertical="center"/>
      <protection locked="0"/>
    </xf>
    <xf numFmtId="192" fontId="9" fillId="0" borderId="0" xfId="385" applyNumberFormat="1" applyFont="1" applyFill="1" applyBorder="1" applyAlignment="1" applyProtection="1">
      <alignment horizontal="left" vertical="center"/>
      <protection locked="0"/>
    </xf>
    <xf numFmtId="171" fontId="9" fillId="0" borderId="0" xfId="383" applyFont="1" applyFill="1" applyBorder="1" applyAlignment="1" applyProtection="1">
      <alignment vertical="center"/>
      <protection locked="0"/>
    </xf>
    <xf numFmtId="9" fontId="9" fillId="0" borderId="0" xfId="384" quotePrefix="1" applyFont="1" applyFill="1" applyBorder="1" applyAlignment="1" applyProtection="1">
      <alignment vertical="center"/>
      <protection locked="0"/>
    </xf>
    <xf numFmtId="171" fontId="9" fillId="0" borderId="0" xfId="383" applyFont="1" applyFill="1" applyBorder="1" applyAlignment="1" applyProtection="1">
      <alignment horizontal="left" vertical="center"/>
      <protection locked="0"/>
    </xf>
    <xf numFmtId="171" fontId="9" fillId="42" borderId="0" xfId="383" applyFont="1" applyFill="1" applyBorder="1" applyAlignment="1" applyProtection="1">
      <alignment vertical="center"/>
      <protection locked="0"/>
    </xf>
    <xf numFmtId="9" fontId="9" fillId="42" borderId="0" xfId="384" quotePrefix="1" applyFont="1" applyFill="1" applyBorder="1" applyAlignment="1" applyProtection="1">
      <alignment vertical="center"/>
      <protection locked="0"/>
    </xf>
    <xf numFmtId="0" fontId="11" fillId="0" borderId="0" xfId="380" applyFont="1" applyAlignment="1">
      <alignment horizontal="left" vertical="center"/>
    </xf>
    <xf numFmtId="0" fontId="6" fillId="0" borderId="0" xfId="358" applyFont="1" applyAlignment="1" applyProtection="1">
      <alignment vertical="center"/>
      <protection locked="0"/>
    </xf>
    <xf numFmtId="0" fontId="99" fillId="0" borderId="0" xfId="358" applyFont="1" applyAlignment="1" applyProtection="1">
      <alignment vertical="center"/>
      <protection locked="0"/>
    </xf>
    <xf numFmtId="0" fontId="99" fillId="2" borderId="0" xfId="0" applyFont="1" applyFill="1" applyAlignment="1">
      <alignment vertical="center"/>
      <protection locked="0"/>
    </xf>
    <xf numFmtId="0" fontId="102" fillId="0" borderId="0" xfId="181" applyFont="1" applyAlignment="1" applyProtection="1">
      <alignment vertical="center"/>
      <protection locked="0"/>
    </xf>
    <xf numFmtId="0" fontId="99" fillId="0" borderId="0" xfId="0" applyFont="1" applyAlignment="1">
      <alignment vertical="center"/>
      <protection locked="0"/>
    </xf>
    <xf numFmtId="0" fontId="99" fillId="0" borderId="0" xfId="289" applyFont="1" applyAlignment="1">
      <alignment vertical="center"/>
    </xf>
    <xf numFmtId="0" fontId="99" fillId="0" borderId="0" xfId="289" applyFont="1" applyAlignment="1" applyProtection="1">
      <alignment vertical="center"/>
      <protection locked="0"/>
    </xf>
    <xf numFmtId="0" fontId="99" fillId="0" borderId="0" xfId="0" applyFont="1" applyAlignment="1">
      <alignment horizontal="left" vertical="center" wrapText="1"/>
      <protection locked="0"/>
    </xf>
    <xf numFmtId="0" fontId="99" fillId="0" borderId="0" xfId="0" applyFont="1" applyAlignment="1">
      <alignment horizontal="left" vertical="center"/>
      <protection locked="0"/>
    </xf>
    <xf numFmtId="9" fontId="99" fillId="0" borderId="0" xfId="0" applyNumberFormat="1" applyFont="1" applyAlignment="1">
      <alignment horizontal="left" vertical="center"/>
      <protection locked="0"/>
    </xf>
    <xf numFmtId="9" fontId="99" fillId="0" borderId="0" xfId="289" applyNumberFormat="1" applyFont="1" applyAlignment="1" applyProtection="1">
      <alignment vertical="center"/>
      <protection locked="0"/>
    </xf>
    <xf numFmtId="9" fontId="99" fillId="0" borderId="0" xfId="12" applyFont="1" applyAlignment="1" applyProtection="1">
      <alignment vertical="center"/>
      <protection locked="0"/>
    </xf>
    <xf numFmtId="0" fontId="103" fillId="0" borderId="0" xfId="289" applyFont="1" applyAlignment="1" applyProtection="1">
      <alignment vertical="center"/>
      <protection locked="0"/>
    </xf>
    <xf numFmtId="0" fontId="101" fillId="0" borderId="0" xfId="0" applyFont="1" applyAlignment="1">
      <alignment vertical="center"/>
      <protection locked="0"/>
    </xf>
    <xf numFmtId="0" fontId="5" fillId="42" borderId="0" xfId="0" applyFont="1" applyFill="1" applyAlignment="1">
      <alignment vertical="center"/>
      <protection locked="0"/>
    </xf>
    <xf numFmtId="0" fontId="100" fillId="0" borderId="0" xfId="358" applyFont="1" applyAlignment="1" applyProtection="1">
      <alignment horizontal="centerContinuous" vertical="center"/>
      <protection locked="0"/>
    </xf>
    <xf numFmtId="0" fontId="11" fillId="0" borderId="3" xfId="0" applyFont="1" applyBorder="1" applyAlignment="1">
      <alignment vertical="center"/>
      <protection locked="0"/>
    </xf>
    <xf numFmtId="0" fontId="5" fillId="2" borderId="16" xfId="0" applyFont="1" applyFill="1" applyBorder="1" applyAlignment="1">
      <alignment vertical="center"/>
      <protection locked="0"/>
    </xf>
    <xf numFmtId="0" fontId="5" fillId="0" borderId="3" xfId="0" applyFont="1" applyBorder="1" applyAlignment="1">
      <alignment vertical="center"/>
      <protection locked="0"/>
    </xf>
    <xf numFmtId="0" fontId="6" fillId="0" borderId="16" xfId="0" applyFont="1" applyBorder="1" applyAlignment="1">
      <alignment horizontal="left" vertical="center"/>
      <protection locked="0"/>
    </xf>
    <xf numFmtId="0" fontId="9" fillId="0" borderId="16" xfId="0" applyFont="1" applyBorder="1" applyAlignment="1">
      <alignment horizontal="center" vertical="center"/>
      <protection locked="0"/>
    </xf>
    <xf numFmtId="0" fontId="5" fillId="0" borderId="4" xfId="0" applyFont="1" applyBorder="1" applyAlignment="1">
      <alignment vertical="center"/>
      <protection locked="0"/>
    </xf>
    <xf numFmtId="0" fontId="5" fillId="0" borderId="1" xfId="0" applyFont="1" applyBorder="1" applyAlignment="1">
      <alignment vertical="center"/>
      <protection locked="0"/>
    </xf>
    <xf numFmtId="164" fontId="5" fillId="0" borderId="1" xfId="0" applyNumberFormat="1" applyFont="1" applyBorder="1" applyAlignment="1">
      <alignment vertical="center"/>
      <protection locked="0"/>
    </xf>
    <xf numFmtId="0" fontId="5" fillId="0" borderId="6" xfId="0" applyFont="1" applyBorder="1" applyAlignment="1">
      <alignment vertical="center"/>
      <protection locked="0"/>
    </xf>
    <xf numFmtId="0" fontId="7" fillId="0" borderId="0" xfId="0" applyFont="1" applyAlignment="1">
      <alignment horizontal="centerContinuous" vertical="center"/>
      <protection locked="0"/>
    </xf>
    <xf numFmtId="0" fontId="9" fillId="0" borderId="0" xfId="0" applyFont="1" applyAlignment="1">
      <alignment vertical="center" wrapText="1"/>
      <protection locked="0"/>
    </xf>
    <xf numFmtId="192" fontId="7" fillId="0" borderId="0" xfId="358" applyNumberFormat="1" applyFont="1" applyAlignment="1" applyProtection="1">
      <alignment vertical="center"/>
      <protection locked="0"/>
    </xf>
    <xf numFmtId="172" fontId="7" fillId="0" borderId="0" xfId="377" applyNumberFormat="1" applyFont="1" applyAlignment="1" applyProtection="1">
      <alignment horizontal="right" vertical="center"/>
      <protection locked="0"/>
    </xf>
    <xf numFmtId="0" fontId="88" fillId="2" borderId="0" xfId="358" applyFont="1" applyFill="1" applyAlignment="1" applyProtection="1">
      <alignment vertical="center" wrapText="1"/>
      <protection locked="0"/>
    </xf>
    <xf numFmtId="0" fontId="5" fillId="42" borderId="0" xfId="358" applyFont="1" applyFill="1" applyAlignment="1" applyProtection="1">
      <alignment horizontal="center" vertical="center"/>
      <protection locked="0"/>
    </xf>
    <xf numFmtId="164" fontId="9" fillId="0" borderId="0" xfId="7" applyFont="1" applyBorder="1" applyAlignment="1" applyProtection="1">
      <alignment vertical="center" wrapText="1"/>
      <protection locked="0"/>
    </xf>
    <xf numFmtId="0" fontId="9" fillId="0" borderId="0" xfId="395" applyFont="1" applyFill="1" applyAlignment="1" applyProtection="1">
      <alignment horizontal="left" vertical="center"/>
      <protection locked="0"/>
    </xf>
    <xf numFmtId="0" fontId="11" fillId="0" borderId="0" xfId="0" applyFont="1" applyAlignment="1">
      <alignment vertical="center" wrapText="1"/>
      <protection locked="0"/>
    </xf>
    <xf numFmtId="171" fontId="6" fillId="0" borderId="0" xfId="0" applyNumberFormat="1" applyFont="1" applyAlignment="1">
      <alignment horizontal="center" vertical="center"/>
      <protection locked="0"/>
    </xf>
    <xf numFmtId="0" fontId="9" fillId="0" borderId="0" xfId="0" applyFont="1" applyAlignment="1">
      <alignment horizontal="center" vertical="center"/>
      <protection locked="0"/>
    </xf>
    <xf numFmtId="0" fontId="5" fillId="0" borderId="0" xfId="0" applyFont="1" applyAlignment="1">
      <alignment horizontal="center" vertical="center"/>
      <protection locked="0"/>
    </xf>
    <xf numFmtId="0" fontId="9" fillId="0" borderId="0" xfId="0" applyFont="1" applyAlignment="1">
      <alignment horizontal="center" vertical="center" wrapText="1"/>
      <protection locked="0"/>
    </xf>
    <xf numFmtId="0" fontId="9" fillId="0" borderId="0" xfId="0" applyFont="1" applyAlignment="1" applyProtection="1">
      <alignment horizontal="left" vertical="center"/>
    </xf>
    <xf numFmtId="0" fontId="6" fillId="0" borderId="0" xfId="289" applyFont="1" applyAlignment="1" applyProtection="1">
      <alignment horizontal="left" vertical="center"/>
      <protection locked="0"/>
    </xf>
    <xf numFmtId="0" fontId="9" fillId="0" borderId="0" xfId="289" applyFont="1" applyAlignment="1" applyProtection="1">
      <alignment horizontal="center" vertical="center"/>
      <protection locked="0"/>
    </xf>
    <xf numFmtId="171" fontId="9" fillId="49" borderId="0" xfId="0" applyNumberFormat="1" applyFont="1" applyFill="1" applyAlignment="1" applyProtection="1">
      <alignment vertical="center"/>
    </xf>
    <xf numFmtId="0" fontId="9" fillId="0" borderId="0" xfId="0" applyFont="1" applyAlignment="1" applyProtection="1">
      <alignment vertical="center"/>
    </xf>
    <xf numFmtId="0" fontId="107" fillId="0" borderId="0" xfId="0" applyFont="1" applyAlignment="1" applyProtection="1">
      <alignment vertical="center"/>
    </xf>
    <xf numFmtId="0" fontId="7" fillId="2" borderId="0" xfId="0" applyFont="1" applyFill="1" applyAlignment="1">
      <alignment vertical="center"/>
      <protection locked="0"/>
    </xf>
    <xf numFmtId="0" fontId="84" fillId="2" borderId="0" xfId="0" applyFont="1" applyFill="1" applyAlignment="1">
      <alignment vertical="center"/>
      <protection locked="0"/>
    </xf>
    <xf numFmtId="0" fontId="82" fillId="2" borderId="0" xfId="0" applyFont="1" applyFill="1" applyAlignment="1">
      <alignment vertical="center"/>
      <protection locked="0"/>
    </xf>
    <xf numFmtId="0" fontId="10" fillId="2" borderId="0" xfId="175" applyFont="1" applyFill="1" applyAlignment="1" applyProtection="1">
      <alignment horizontal="left" vertical="top" wrapText="1"/>
      <protection locked="0"/>
    </xf>
    <xf numFmtId="0" fontId="111" fillId="50" borderId="0" xfId="395" applyFont="1" applyFill="1" applyAlignment="1">
      <alignment vertical="center"/>
      <protection locked="0"/>
    </xf>
    <xf numFmtId="0" fontId="112" fillId="50" borderId="0" xfId="395" applyFont="1" applyFill="1" applyAlignment="1">
      <alignment vertical="center"/>
      <protection locked="0"/>
    </xf>
    <xf numFmtId="164" fontId="5" fillId="2" borderId="20" xfId="381" applyFont="1" applyFill="1" applyBorder="1" applyAlignment="1" applyProtection="1">
      <alignment vertical="center"/>
      <protection locked="0"/>
    </xf>
    <xf numFmtId="164" fontId="5" fillId="2" borderId="14" xfId="381" applyFont="1" applyFill="1" applyBorder="1" applyAlignment="1" applyProtection="1">
      <alignment vertical="center"/>
      <protection locked="0"/>
    </xf>
    <xf numFmtId="164" fontId="5" fillId="2" borderId="8" xfId="381" applyFont="1" applyFill="1" applyBorder="1" applyAlignment="1" applyProtection="1">
      <alignment vertical="center"/>
      <protection locked="0"/>
    </xf>
    <xf numFmtId="0" fontId="6" fillId="0" borderId="0" xfId="0" applyFont="1" applyAlignment="1" applyProtection="1">
      <alignment vertical="center"/>
    </xf>
    <xf numFmtId="164" fontId="7" fillId="0" borderId="17" xfId="358" applyNumberFormat="1" applyFont="1" applyBorder="1" applyAlignment="1" applyProtection="1">
      <alignment vertical="center"/>
      <protection locked="0"/>
    </xf>
    <xf numFmtId="164" fontId="109" fillId="0" borderId="0" xfId="358" applyNumberFormat="1" applyFont="1" applyAlignment="1" applyProtection="1">
      <alignment vertical="center"/>
      <protection locked="0"/>
    </xf>
    <xf numFmtId="164" fontId="7" fillId="0" borderId="0" xfId="358" applyNumberFormat="1" applyFont="1" applyAlignment="1" applyProtection="1">
      <alignment vertical="center"/>
      <protection locked="0"/>
    </xf>
    <xf numFmtId="164" fontId="5" fillId="0" borderId="0" xfId="358" applyNumberFormat="1" applyFont="1" applyAlignment="1" applyProtection="1">
      <alignment vertical="center"/>
      <protection locked="0"/>
    </xf>
    <xf numFmtId="0" fontId="105" fillId="0" borderId="0" xfId="358" applyFont="1" applyAlignment="1" applyProtection="1">
      <alignment vertical="center"/>
      <protection locked="0"/>
    </xf>
    <xf numFmtId="0" fontId="105" fillId="42" borderId="0" xfId="358" applyFont="1" applyFill="1" applyAlignment="1" applyProtection="1">
      <alignment vertical="center"/>
      <protection locked="0"/>
    </xf>
    <xf numFmtId="0" fontId="49" fillId="45" borderId="28" xfId="0" applyFont="1" applyFill="1" applyBorder="1" applyAlignment="1">
      <alignment horizontal="left" vertical="center"/>
      <protection locked="0"/>
    </xf>
    <xf numFmtId="0" fontId="49" fillId="45" borderId="29" xfId="0" applyFont="1" applyFill="1" applyBorder="1" applyAlignment="1">
      <alignment horizontal="left" vertical="center"/>
      <protection locked="0"/>
    </xf>
    <xf numFmtId="0" fontId="119" fillId="0" borderId="0" xfId="0" applyFont="1" applyAlignment="1" applyProtection="1">
      <alignment horizontal="left" vertical="center"/>
    </xf>
    <xf numFmtId="0" fontId="6" fillId="0" borderId="31" xfId="0" applyFont="1" applyBorder="1" applyAlignment="1" applyProtection="1">
      <alignment horizontal="center" vertical="center"/>
    </xf>
    <xf numFmtId="0" fontId="5" fillId="0" borderId="1" xfId="0" applyFont="1" applyBorder="1" applyAlignment="1" applyProtection="1">
      <alignment vertical="center"/>
    </xf>
    <xf numFmtId="0" fontId="5" fillId="0" borderId="32" xfId="0" applyFont="1" applyBorder="1" applyAlignment="1" applyProtection="1">
      <alignment vertical="center"/>
    </xf>
    <xf numFmtId="0" fontId="17" fillId="0" borderId="31" xfId="0" applyFont="1" applyBorder="1" applyAlignment="1" applyProtection="1">
      <alignment horizontal="center" vertical="center"/>
    </xf>
    <xf numFmtId="0" fontId="5" fillId="0" borderId="21" xfId="0" applyFont="1" applyBorder="1" applyAlignment="1" applyProtection="1">
      <alignment vertical="center"/>
    </xf>
    <xf numFmtId="0" fontId="5" fillId="0" borderId="23" xfId="0" applyFont="1" applyBorder="1" applyAlignment="1" applyProtection="1">
      <alignment vertical="center"/>
    </xf>
    <xf numFmtId="0" fontId="6" fillId="0" borderId="31" xfId="0" applyFont="1" applyBorder="1" applyAlignment="1">
      <alignment horizontal="center" vertical="center"/>
      <protection locked="0"/>
    </xf>
    <xf numFmtId="0" fontId="90" fillId="0" borderId="31" xfId="0" applyFont="1" applyBorder="1" applyAlignment="1" applyProtection="1">
      <alignment horizontal="center" vertical="center"/>
    </xf>
    <xf numFmtId="0" fontId="5" fillId="0" borderId="24" xfId="0" applyFont="1" applyBorder="1" applyAlignment="1">
      <alignment vertical="center"/>
      <protection locked="0"/>
    </xf>
    <xf numFmtId="0" fontId="5" fillId="0" borderId="25" xfId="0" applyFont="1" applyBorder="1" applyAlignment="1">
      <alignment vertical="center"/>
      <protection locked="0"/>
    </xf>
    <xf numFmtId="0" fontId="6" fillId="0" borderId="15" xfId="0" applyFont="1" applyBorder="1" applyAlignment="1" applyProtection="1">
      <alignment horizontal="center" vertical="center"/>
    </xf>
    <xf numFmtId="0" fontId="8" fillId="0" borderId="33" xfId="0" applyFont="1" applyBorder="1" applyAlignment="1" applyProtection="1">
      <alignment vertical="center"/>
    </xf>
    <xf numFmtId="0" fontId="11" fillId="0" borderId="0" xfId="0" applyFont="1" applyAlignment="1" applyProtection="1">
      <alignment vertical="center"/>
    </xf>
    <xf numFmtId="0" fontId="8" fillId="0" borderId="0" xfId="0" applyFont="1" applyAlignment="1">
      <alignment vertical="center" wrapText="1"/>
      <protection locked="0"/>
    </xf>
    <xf numFmtId="164" fontId="9" fillId="0" borderId="1" xfId="7" applyFont="1" applyBorder="1" applyAlignment="1" applyProtection="1">
      <alignment vertical="center" wrapText="1"/>
      <protection locked="0"/>
    </xf>
    <xf numFmtId="164" fontId="5" fillId="2" borderId="0" xfId="0" applyNumberFormat="1" applyFont="1" applyFill="1" applyAlignment="1">
      <alignment vertical="center"/>
      <protection locked="0"/>
    </xf>
    <xf numFmtId="164" fontId="5" fillId="2" borderId="1" xfId="7" applyFont="1" applyFill="1" applyBorder="1" applyAlignment="1" applyProtection="1">
      <alignment vertical="center"/>
      <protection locked="0"/>
    </xf>
    <xf numFmtId="164" fontId="5" fillId="2" borderId="0" xfId="7" applyFont="1" applyFill="1" applyBorder="1" applyAlignment="1" applyProtection="1">
      <alignment vertical="center"/>
      <protection locked="0"/>
    </xf>
    <xf numFmtId="164" fontId="5" fillId="2" borderId="0" xfId="7" applyFont="1" applyFill="1" applyAlignment="1" applyProtection="1">
      <alignment vertical="center"/>
      <protection locked="0"/>
    </xf>
    <xf numFmtId="164" fontId="9" fillId="0" borderId="0" xfId="7" applyFont="1" applyAlignment="1" applyProtection="1">
      <alignment horizontal="left" vertical="center" shrinkToFit="1"/>
      <protection locked="0"/>
    </xf>
    <xf numFmtId="0" fontId="6" fillId="0" borderId="0" xfId="289" applyFont="1" applyAlignment="1" applyProtection="1">
      <alignment horizontal="center" vertical="center"/>
      <protection locked="0"/>
    </xf>
    <xf numFmtId="0" fontId="11" fillId="0" borderId="0" xfId="289" applyFont="1" applyAlignment="1" applyProtection="1">
      <alignment horizontal="center" vertical="center"/>
      <protection locked="0"/>
    </xf>
    <xf numFmtId="0" fontId="11" fillId="0" borderId="0" xfId="289" applyFont="1" applyAlignment="1" applyProtection="1">
      <alignment horizontal="left" vertical="center"/>
      <protection locked="0"/>
    </xf>
    <xf numFmtId="0" fontId="81" fillId="0" borderId="0" xfId="0" applyFont="1" applyAlignment="1">
      <alignment vertical="center"/>
      <protection locked="0"/>
    </xf>
    <xf numFmtId="0" fontId="6" fillId="0" borderId="1" xfId="370" applyFont="1" applyBorder="1" applyAlignment="1">
      <alignment horizontal="left" vertical="center"/>
      <protection locked="0"/>
    </xf>
    <xf numFmtId="0" fontId="87" fillId="0" borderId="0" xfId="0" applyFont="1">
      <protection locked="0"/>
    </xf>
    <xf numFmtId="0" fontId="6" fillId="0" borderId="0" xfId="387" applyNumberFormat="1" applyFont="1" applyFill="1" applyBorder="1" applyAlignment="1" applyProtection="1">
      <alignment horizontal="center" vertical="center"/>
      <protection locked="0"/>
    </xf>
    <xf numFmtId="0" fontId="107" fillId="0" borderId="18" xfId="0" applyFont="1" applyBorder="1" applyAlignment="1">
      <alignment horizontal="center" vertical="center"/>
      <protection locked="0"/>
    </xf>
    <xf numFmtId="164" fontId="107" fillId="0" borderId="18" xfId="7" applyFont="1" applyBorder="1" applyAlignment="1" applyProtection="1">
      <alignment horizontal="center" vertical="center"/>
      <protection locked="0"/>
    </xf>
    <xf numFmtId="0" fontId="6" fillId="2" borderId="0" xfId="0" applyFont="1" applyFill="1" applyAlignment="1">
      <alignment vertical="center"/>
      <protection locked="0"/>
    </xf>
    <xf numFmtId="0" fontId="10" fillId="2" borderId="0" xfId="0" applyFont="1" applyFill="1" applyAlignment="1">
      <alignment vertical="center"/>
      <protection locked="0"/>
    </xf>
    <xf numFmtId="164" fontId="6" fillId="0" borderId="0" xfId="7" applyFont="1" applyFill="1" applyBorder="1" applyAlignment="1" applyProtection="1">
      <alignment horizontal="center" vertical="center" shrinkToFit="1"/>
      <protection locked="0"/>
    </xf>
    <xf numFmtId="9" fontId="6" fillId="0" borderId="0" xfId="12" applyFont="1" applyFill="1" applyBorder="1" applyAlignment="1" applyProtection="1">
      <alignment horizontal="right" vertical="center" shrinkToFit="1"/>
      <protection locked="0"/>
    </xf>
    <xf numFmtId="164" fontId="107" fillId="0" borderId="0" xfId="7" applyFont="1" applyFill="1" applyBorder="1" applyAlignment="1" applyProtection="1">
      <alignment horizontal="center" vertical="center" shrinkToFit="1"/>
      <protection locked="0"/>
    </xf>
    <xf numFmtId="0" fontId="5" fillId="2" borderId="4" xfId="0" applyFont="1" applyFill="1" applyBorder="1" applyAlignment="1">
      <alignment vertical="center"/>
      <protection locked="0"/>
    </xf>
    <xf numFmtId="0" fontId="6" fillId="2" borderId="1" xfId="0" applyFont="1" applyFill="1" applyBorder="1" applyAlignment="1">
      <alignment vertical="center"/>
      <protection locked="0"/>
    </xf>
    <xf numFmtId="0" fontId="5" fillId="2" borderId="1" xfId="0" applyFont="1" applyFill="1" applyBorder="1" applyAlignment="1">
      <alignment vertical="center"/>
      <protection locked="0"/>
    </xf>
    <xf numFmtId="0" fontId="5" fillId="2" borderId="1" xfId="0" applyFont="1" applyFill="1" applyBorder="1" applyAlignment="1">
      <alignment horizontal="center" vertical="center"/>
      <protection locked="0"/>
    </xf>
    <xf numFmtId="0" fontId="5" fillId="2" borderId="6" xfId="0" applyFont="1" applyFill="1" applyBorder="1" applyAlignment="1">
      <alignment vertical="center"/>
      <protection locked="0"/>
    </xf>
    <xf numFmtId="49" fontId="13" fillId="2" borderId="0" xfId="288" applyNumberFormat="1" applyFont="1" applyFill="1" applyAlignment="1" applyProtection="1">
      <alignment horizontal="left" vertical="center"/>
      <protection locked="0"/>
    </xf>
    <xf numFmtId="0" fontId="136" fillId="0" borderId="0" xfId="0" applyFont="1">
      <protection locked="0"/>
    </xf>
    <xf numFmtId="0" fontId="6" fillId="0" borderId="0" xfId="288" applyFont="1" applyAlignment="1" applyProtection="1">
      <alignment vertical="center"/>
      <protection locked="0"/>
    </xf>
    <xf numFmtId="0" fontId="15" fillId="0" borderId="0" xfId="191" applyFont="1" applyAlignment="1">
      <alignment vertical="center"/>
    </xf>
    <xf numFmtId="0" fontId="9" fillId="0" borderId="0" xfId="288" applyFont="1" applyAlignment="1" applyProtection="1">
      <alignment vertical="center"/>
      <protection locked="0"/>
    </xf>
    <xf numFmtId="0" fontId="13" fillId="0" borderId="0" xfId="191" applyFont="1" applyAlignment="1">
      <alignment vertical="center"/>
    </xf>
    <xf numFmtId="164" fontId="138" fillId="0" borderId="0" xfId="7" applyFont="1" applyFill="1" applyBorder="1" applyAlignment="1" applyProtection="1">
      <alignment horizontal="right" vertical="center" shrinkToFit="1"/>
    </xf>
    <xf numFmtId="164" fontId="9" fillId="0" borderId="0" xfId="7" applyFont="1" applyFill="1" applyBorder="1" applyAlignment="1" applyProtection="1">
      <alignment vertical="center"/>
      <protection locked="0"/>
    </xf>
    <xf numFmtId="0" fontId="6" fillId="0" borderId="0" xfId="191" applyFont="1" applyAlignment="1">
      <alignment vertical="center"/>
    </xf>
    <xf numFmtId="0" fontId="5" fillId="0" borderId="0" xfId="0" applyFont="1">
      <protection locked="0"/>
    </xf>
    <xf numFmtId="193" fontId="13" fillId="0" borderId="0" xfId="191" applyNumberFormat="1" applyFont="1" applyAlignment="1">
      <alignment vertical="center"/>
    </xf>
    <xf numFmtId="0" fontId="138" fillId="0" borderId="0" xfId="0" applyFont="1" applyAlignment="1">
      <alignment vertical="center"/>
      <protection locked="0"/>
    </xf>
    <xf numFmtId="164" fontId="5" fillId="0" borderId="0" xfId="7" applyFont="1" applyFill="1" applyBorder="1" applyAlignment="1" applyProtection="1">
      <alignment horizontal="right" vertical="center" shrinkToFit="1"/>
      <protection locked="0"/>
    </xf>
    <xf numFmtId="0" fontId="9" fillId="2" borderId="0" xfId="288" applyFont="1" applyFill="1" applyAlignment="1" applyProtection="1">
      <alignment vertical="center"/>
      <protection locked="0"/>
    </xf>
    <xf numFmtId="164" fontId="5" fillId="0" borderId="0" xfId="7" applyFont="1" applyFill="1" applyAlignment="1">
      <alignment horizontal="left" vertical="center" shrinkToFit="1"/>
    </xf>
    <xf numFmtId="49" fontId="13" fillId="0" borderId="0" xfId="288" applyNumberFormat="1" applyFont="1" applyAlignment="1" applyProtection="1">
      <alignment horizontal="center" vertical="center"/>
      <protection locked="0"/>
    </xf>
    <xf numFmtId="49" fontId="9" fillId="0" borderId="0" xfId="294" applyNumberFormat="1" applyFont="1" applyAlignment="1" applyProtection="1">
      <alignment horizontal="center" vertical="center" shrinkToFit="1"/>
      <protection locked="0"/>
    </xf>
    <xf numFmtId="164" fontId="5" fillId="0" borderId="0" xfId="288" applyNumberFormat="1" applyFont="1" applyAlignment="1">
      <alignment horizontal="right" vertical="center" shrinkToFit="1"/>
    </xf>
    <xf numFmtId="164" fontId="5" fillId="0" borderId="0" xfId="7" applyFont="1" applyFill="1" applyBorder="1" applyAlignment="1" applyProtection="1">
      <alignment horizontal="right" vertical="center" shrinkToFit="1"/>
    </xf>
    <xf numFmtId="164" fontId="6" fillId="0" borderId="0" xfId="7" applyFont="1" applyFill="1" applyBorder="1" applyAlignment="1" applyProtection="1">
      <alignment horizontal="right" vertical="center" shrinkToFit="1"/>
    </xf>
    <xf numFmtId="0" fontId="138" fillId="2" borderId="0" xfId="0" applyFont="1" applyFill="1" applyAlignment="1">
      <alignment vertical="center"/>
      <protection locked="0"/>
    </xf>
    <xf numFmtId="0" fontId="118" fillId="0" borderId="0" xfId="395" applyFont="1" applyFill="1" applyAlignment="1" applyProtection="1">
      <alignment horizontal="left" vertical="center"/>
      <protection locked="0"/>
    </xf>
    <xf numFmtId="0" fontId="114" fillId="2" borderId="0" xfId="0" applyFont="1" applyFill="1">
      <protection locked="0"/>
    </xf>
    <xf numFmtId="0" fontId="121" fillId="0" borderId="0" xfId="0" applyFont="1">
      <protection locked="0"/>
    </xf>
    <xf numFmtId="0" fontId="87" fillId="0" borderId="1" xfId="0" applyFont="1" applyBorder="1">
      <protection locked="0"/>
    </xf>
    <xf numFmtId="0" fontId="16" fillId="0" borderId="0" xfId="191" applyFont="1" applyAlignment="1">
      <alignment vertical="center"/>
    </xf>
    <xf numFmtId="49" fontId="5" fillId="0" borderId="0" xfId="7" applyNumberFormat="1" applyFont="1" applyAlignment="1" applyProtection="1">
      <alignment horizontal="left" vertical="center" wrapText="1" shrinkToFit="1"/>
    </xf>
    <xf numFmtId="164" fontId="5" fillId="2" borderId="0" xfId="7" applyFont="1" applyFill="1" applyBorder="1" applyAlignment="1">
      <alignment horizontal="right" vertical="center" shrinkToFit="1"/>
    </xf>
    <xf numFmtId="164" fontId="5" fillId="2" borderId="0" xfId="7" applyFont="1" applyFill="1" applyBorder="1" applyAlignment="1" applyProtection="1">
      <alignment horizontal="right" vertical="center" shrinkToFit="1"/>
      <protection locked="0"/>
    </xf>
    <xf numFmtId="164" fontId="5" fillId="0" borderId="0" xfId="7" applyFont="1" applyFill="1" applyAlignment="1" applyProtection="1">
      <alignment horizontal="right" vertical="center" shrinkToFit="1"/>
      <protection locked="0"/>
    </xf>
    <xf numFmtId="164" fontId="9" fillId="0" borderId="0" xfId="7" applyFont="1" applyFill="1" applyAlignment="1" applyProtection="1">
      <alignment vertical="center"/>
      <protection locked="0"/>
    </xf>
    <xf numFmtId="164" fontId="9" fillId="2" borderId="0" xfId="7" applyFont="1" applyFill="1" applyAlignment="1" applyProtection="1">
      <alignment vertical="center"/>
      <protection locked="0"/>
    </xf>
    <xf numFmtId="0" fontId="108" fillId="2" borderId="0" xfId="0" applyFont="1" applyFill="1" applyAlignment="1">
      <alignment vertical="center"/>
      <protection locked="0"/>
    </xf>
    <xf numFmtId="0" fontId="8" fillId="0" borderId="3" xfId="0" applyFont="1" applyBorder="1" applyAlignment="1">
      <alignment vertical="center"/>
      <protection locked="0"/>
    </xf>
    <xf numFmtId="0" fontId="8" fillId="0" borderId="0" xfId="0" applyFont="1" applyAlignment="1">
      <alignment vertical="center"/>
      <protection locked="0"/>
    </xf>
    <xf numFmtId="0" fontId="8" fillId="0" borderId="16" xfId="0" applyFont="1" applyBorder="1" applyAlignment="1">
      <alignment vertical="center"/>
      <protection locked="0"/>
    </xf>
    <xf numFmtId="0" fontId="8" fillId="2" borderId="0" xfId="0" applyFont="1" applyFill="1" applyAlignment="1">
      <alignment vertical="center"/>
      <protection locked="0"/>
    </xf>
    <xf numFmtId="0" fontId="9" fillId="0" borderId="4" xfId="0" applyFont="1" applyBorder="1" applyAlignment="1">
      <alignment vertical="center"/>
      <protection locked="0"/>
    </xf>
    <xf numFmtId="0" fontId="9" fillId="0" borderId="1" xfId="0" applyFont="1" applyBorder="1" applyAlignment="1">
      <alignment vertical="center"/>
      <protection locked="0"/>
    </xf>
    <xf numFmtId="0" fontId="9" fillId="0" borderId="6" xfId="0" applyFont="1" applyBorder="1" applyAlignment="1">
      <alignment vertical="center"/>
      <protection locked="0"/>
    </xf>
    <xf numFmtId="0" fontId="9" fillId="2" borderId="0" xfId="0" applyFont="1" applyFill="1" applyAlignment="1">
      <alignment vertical="center"/>
      <protection locked="0"/>
    </xf>
    <xf numFmtId="0" fontId="9" fillId="0" borderId="15" xfId="289" applyFont="1" applyBorder="1" applyAlignment="1" applyProtection="1">
      <alignment horizontal="left" vertical="center"/>
      <protection locked="0"/>
    </xf>
    <xf numFmtId="0" fontId="9" fillId="0" borderId="22" xfId="289" applyFont="1" applyBorder="1" applyAlignment="1" applyProtection="1">
      <alignment horizontal="left" vertical="center" wrapText="1"/>
      <protection locked="0"/>
    </xf>
    <xf numFmtId="0" fontId="9" fillId="0" borderId="22" xfId="288" applyFont="1" applyBorder="1" applyAlignment="1" applyProtection="1">
      <alignment horizontal="left" shrinkToFit="1"/>
      <protection locked="0"/>
    </xf>
    <xf numFmtId="0" fontId="5" fillId="0" borderId="3" xfId="7" applyNumberFormat="1" applyFont="1" applyFill="1" applyBorder="1" applyAlignment="1" applyProtection="1">
      <alignment horizontal="left" vertical="center" shrinkToFit="1"/>
    </xf>
    <xf numFmtId="0" fontId="5" fillId="0" borderId="0" xfId="7" applyNumberFormat="1" applyFont="1" applyFill="1" applyBorder="1" applyAlignment="1" applyProtection="1">
      <alignment horizontal="left" vertical="center" shrinkToFit="1"/>
    </xf>
    <xf numFmtId="164" fontId="5" fillId="0" borderId="0" xfId="7" applyFont="1" applyFill="1" applyBorder="1" applyAlignment="1" applyProtection="1">
      <alignment vertical="center" shrinkToFit="1"/>
    </xf>
    <xf numFmtId="0" fontId="5" fillId="2" borderId="0" xfId="0" applyFont="1" applyFill="1" applyAlignment="1">
      <alignment horizontal="left" vertical="center" wrapText="1"/>
      <protection locked="0"/>
    </xf>
    <xf numFmtId="0" fontId="6" fillId="2" borderId="0" xfId="0" applyFont="1" applyFill="1" applyAlignment="1">
      <alignment horizontal="left" vertical="center"/>
      <protection locked="0"/>
    </xf>
    <xf numFmtId="0" fontId="9" fillId="2" borderId="0" xfId="166" applyFont="1" applyFill="1" applyAlignment="1">
      <alignment horizontal="left" vertical="center"/>
    </xf>
    <xf numFmtId="0" fontId="9" fillId="0" borderId="0" xfId="0" applyFont="1" applyAlignment="1">
      <alignment vertical="center"/>
      <protection locked="0"/>
    </xf>
    <xf numFmtId="0" fontId="6" fillId="0" borderId="0" xfId="0" applyFont="1" applyAlignment="1">
      <alignment horizontal="right" vertical="center"/>
      <protection locked="0"/>
    </xf>
    <xf numFmtId="0" fontId="104" fillId="0" borderId="0" xfId="0" applyFont="1" applyAlignment="1">
      <alignment horizontal="left" vertical="center" wrapText="1"/>
      <protection locked="0"/>
    </xf>
    <xf numFmtId="0" fontId="16" fillId="0" borderId="0" xfId="0" applyFont="1" applyAlignment="1">
      <alignment horizontal="center" vertical="center"/>
      <protection locked="0"/>
    </xf>
    <xf numFmtId="0" fontId="5" fillId="0" borderId="0" xfId="0" applyFont="1" applyAlignment="1">
      <alignment horizontal="center" vertical="center" wrapText="1"/>
      <protection locked="0"/>
    </xf>
    <xf numFmtId="0" fontId="5" fillId="0" borderId="0" xfId="175" applyFont="1" applyAlignment="1" applyProtection="1">
      <alignment vertical="center"/>
      <protection locked="0"/>
    </xf>
    <xf numFmtId="0" fontId="137" fillId="0" borderId="0" xfId="191" applyFont="1" applyAlignment="1">
      <alignment vertical="center"/>
    </xf>
    <xf numFmtId="0" fontId="84" fillId="0" borderId="0" xfId="0" applyFont="1" applyAlignment="1">
      <alignment vertical="center"/>
      <protection locked="0"/>
    </xf>
    <xf numFmtId="0" fontId="5" fillId="2" borderId="0" xfId="0" applyFont="1" applyFill="1" applyAlignment="1">
      <alignment horizontal="center" vertical="center"/>
      <protection locked="0"/>
    </xf>
    <xf numFmtId="0" fontId="11" fillId="51" borderId="20" xfId="0" applyFont="1" applyFill="1" applyBorder="1" applyAlignment="1">
      <alignment horizontal="center" vertical="center" wrapText="1"/>
      <protection locked="0"/>
    </xf>
    <xf numFmtId="0" fontId="16" fillId="0" borderId="0" xfId="0" applyFont="1" applyAlignment="1">
      <alignment vertical="center"/>
      <protection locked="0"/>
    </xf>
    <xf numFmtId="0" fontId="17" fillId="0" borderId="0" xfId="0" applyFont="1" applyAlignment="1">
      <alignment horizontal="center" vertical="center"/>
      <protection locked="0"/>
    </xf>
    <xf numFmtId="0" fontId="11" fillId="50" borderId="34" xfId="0" applyFont="1" applyFill="1" applyBorder="1" applyAlignment="1">
      <alignment horizontal="center" vertical="center" wrapText="1"/>
      <protection locked="0"/>
    </xf>
    <xf numFmtId="14" fontId="11" fillId="50" borderId="37" xfId="0" applyNumberFormat="1" applyFont="1" applyFill="1" applyBorder="1" applyAlignment="1">
      <alignment horizontal="center" vertical="center"/>
      <protection locked="0"/>
    </xf>
    <xf numFmtId="0" fontId="6" fillId="50" borderId="34" xfId="0" applyFont="1" applyFill="1" applyBorder="1" applyAlignment="1">
      <alignment vertical="center"/>
      <protection locked="0"/>
    </xf>
    <xf numFmtId="0" fontId="14" fillId="50" borderId="39" xfId="0" applyFont="1" applyFill="1" applyBorder="1" applyAlignment="1">
      <alignment horizontal="center" vertical="center" wrapText="1"/>
      <protection locked="0"/>
    </xf>
    <xf numFmtId="0" fontId="16" fillId="50" borderId="37" xfId="0" applyFont="1" applyFill="1" applyBorder="1" applyAlignment="1">
      <alignment horizontal="center" vertical="center" wrapText="1"/>
      <protection locked="0"/>
    </xf>
    <xf numFmtId="0" fontId="11" fillId="50" borderId="37" xfId="0" applyFont="1" applyFill="1" applyBorder="1" applyAlignment="1">
      <alignment horizontal="center" vertical="center"/>
      <protection locked="0"/>
    </xf>
    <xf numFmtId="0" fontId="14" fillId="50" borderId="37" xfId="0" applyFont="1" applyFill="1" applyBorder="1" applyAlignment="1">
      <alignment horizontal="center" vertical="center"/>
      <protection locked="0"/>
    </xf>
    <xf numFmtId="0" fontId="6" fillId="50" borderId="39" xfId="0" applyFont="1" applyFill="1" applyBorder="1" applyAlignment="1">
      <alignment horizontal="center" vertical="center" wrapText="1"/>
      <protection locked="0"/>
    </xf>
    <xf numFmtId="0" fontId="142" fillId="0" borderId="0" xfId="0" applyFont="1" applyAlignment="1">
      <alignment horizontal="left" vertical="center"/>
      <protection locked="0"/>
    </xf>
    <xf numFmtId="49" fontId="5" fillId="0" borderId="0" xfId="7" applyNumberFormat="1" applyFont="1" applyFill="1" applyBorder="1" applyAlignment="1" applyProtection="1">
      <alignment horizontal="left" vertical="center" wrapText="1" shrinkToFit="1"/>
    </xf>
    <xf numFmtId="0" fontId="92" fillId="48" borderId="40" xfId="358" applyFont="1" applyFill="1" applyBorder="1" applyAlignment="1" applyProtection="1">
      <alignment horizontal="centerContinuous" vertical="center"/>
      <protection locked="0"/>
    </xf>
    <xf numFmtId="0" fontId="92" fillId="48" borderId="41" xfId="358" applyFont="1" applyFill="1" applyBorder="1" applyAlignment="1" applyProtection="1">
      <alignment horizontal="centerContinuous" vertical="center"/>
      <protection locked="0"/>
    </xf>
    <xf numFmtId="0" fontId="92" fillId="48" borderId="42" xfId="358" applyFont="1" applyFill="1" applyBorder="1" applyAlignment="1" applyProtection="1">
      <alignment horizontal="centerContinuous" vertical="center"/>
      <protection locked="0"/>
    </xf>
    <xf numFmtId="0" fontId="93" fillId="44" borderId="22" xfId="358" applyFont="1" applyFill="1" applyBorder="1" applyAlignment="1" applyProtection="1">
      <alignment vertical="center"/>
      <protection locked="0"/>
    </xf>
    <xf numFmtId="0" fontId="93" fillId="44" borderId="23" xfId="358" applyFont="1" applyFill="1" applyBorder="1" applyAlignment="1" applyProtection="1">
      <alignment vertical="center" wrapText="1"/>
      <protection locked="0"/>
    </xf>
    <xf numFmtId="0" fontId="93" fillId="44" borderId="43" xfId="358" applyFont="1" applyFill="1" applyBorder="1" applyAlignment="1" applyProtection="1">
      <alignment vertical="center" wrapText="1"/>
      <protection locked="0"/>
    </xf>
    <xf numFmtId="0" fontId="16" fillId="51" borderId="37" xfId="0" applyFont="1" applyFill="1" applyBorder="1" applyAlignment="1">
      <alignment horizontal="center" vertical="center"/>
      <protection locked="0"/>
    </xf>
    <xf numFmtId="0" fontId="11" fillId="51" borderId="37" xfId="0" applyFont="1" applyFill="1" applyBorder="1" applyAlignment="1">
      <alignment horizontal="center" vertical="center" wrapText="1"/>
      <protection locked="0"/>
    </xf>
    <xf numFmtId="0" fontId="8" fillId="47" borderId="37" xfId="0" applyFont="1" applyFill="1" applyBorder="1" applyAlignment="1">
      <alignment horizontal="center" vertical="center"/>
      <protection locked="0"/>
    </xf>
    <xf numFmtId="0" fontId="16" fillId="46" borderId="37" xfId="0" applyFont="1" applyFill="1" applyBorder="1" applyAlignment="1">
      <alignment horizontal="center" vertical="center"/>
      <protection locked="0"/>
    </xf>
    <xf numFmtId="0" fontId="11" fillId="46" borderId="37" xfId="0" applyFont="1" applyFill="1" applyBorder="1" applyAlignment="1">
      <alignment horizontal="center" vertical="center" wrapText="1"/>
      <protection locked="0"/>
    </xf>
    <xf numFmtId="0" fontId="5" fillId="0" borderId="37" xfId="0" applyFont="1" applyBorder="1" applyAlignment="1">
      <alignment horizontal="center" vertical="center"/>
      <protection locked="0"/>
    </xf>
    <xf numFmtId="0" fontId="8" fillId="0" borderId="37" xfId="0" applyFont="1" applyBorder="1" applyAlignment="1">
      <alignment horizontal="center" vertical="center"/>
      <protection locked="0"/>
    </xf>
    <xf numFmtId="0" fontId="82" fillId="43" borderId="36" xfId="358" applyFont="1" applyFill="1" applyBorder="1" applyAlignment="1" applyProtection="1">
      <alignment horizontal="centerContinuous" vertical="center"/>
      <protection locked="0"/>
    </xf>
    <xf numFmtId="0" fontId="5" fillId="0" borderId="36" xfId="0" applyFont="1" applyBorder="1" applyAlignment="1" applyProtection="1">
      <alignment vertical="center"/>
    </xf>
    <xf numFmtId="0" fontId="5" fillId="0" borderId="36" xfId="0" applyFont="1" applyBorder="1" applyAlignment="1">
      <alignment vertical="center"/>
      <protection locked="0"/>
    </xf>
    <xf numFmtId="0" fontId="7" fillId="41" borderId="37" xfId="0" applyFont="1" applyFill="1" applyBorder="1" applyAlignment="1">
      <alignment horizontal="center" vertical="center"/>
      <protection locked="0"/>
    </xf>
    <xf numFmtId="0" fontId="110" fillId="41" borderId="37" xfId="0" applyFont="1" applyFill="1" applyBorder="1" applyAlignment="1">
      <alignment horizontal="left" vertical="center"/>
      <protection locked="0"/>
    </xf>
    <xf numFmtId="0" fontId="11" fillId="41" borderId="37" xfId="358" applyFont="1" applyFill="1" applyBorder="1" applyAlignment="1">
      <alignment horizontal="centerContinuous" vertical="center"/>
    </xf>
    <xf numFmtId="0" fontId="11" fillId="41" borderId="37" xfId="380" applyFont="1" applyFill="1" applyBorder="1" applyAlignment="1">
      <alignment horizontal="left" vertical="center"/>
    </xf>
    <xf numFmtId="9" fontId="9" fillId="0" borderId="37" xfId="369" applyNumberFormat="1" applyFont="1" applyBorder="1" applyAlignment="1" applyProtection="1">
      <alignment vertical="center" wrapText="1"/>
      <protection locked="0"/>
    </xf>
    <xf numFmtId="0" fontId="7" fillId="44" borderId="36" xfId="0" applyFont="1" applyFill="1" applyBorder="1" applyAlignment="1">
      <alignment vertical="center"/>
      <protection locked="0"/>
    </xf>
    <xf numFmtId="0" fontId="5" fillId="44" borderId="36" xfId="0" applyFont="1" applyFill="1" applyBorder="1" applyAlignment="1">
      <alignment vertical="center"/>
      <protection locked="0"/>
    </xf>
    <xf numFmtId="0" fontId="82" fillId="44" borderId="36" xfId="0" applyFont="1" applyFill="1" applyBorder="1" applyAlignment="1">
      <alignment vertical="center"/>
      <protection locked="0"/>
    </xf>
    <xf numFmtId="0" fontId="99" fillId="44" borderId="36" xfId="0" applyFont="1" applyFill="1" applyBorder="1" applyAlignment="1">
      <alignment vertical="center"/>
      <protection locked="0"/>
    </xf>
    <xf numFmtId="0" fontId="11" fillId="41" borderId="37" xfId="373" applyNumberFormat="1" applyFont="1" applyFill="1" applyBorder="1" applyAlignment="1" applyProtection="1">
      <alignment horizontal="center" vertical="center" wrapText="1"/>
    </xf>
    <xf numFmtId="0" fontId="5" fillId="0" borderId="37" xfId="7" applyNumberFormat="1" applyFont="1" applyFill="1" applyBorder="1" applyAlignment="1" applyProtection="1">
      <alignment horizontal="left" vertical="center" shrinkToFit="1"/>
    </xf>
    <xf numFmtId="164" fontId="5" fillId="0" borderId="37" xfId="7" applyFont="1" applyFill="1" applyBorder="1" applyAlignment="1" applyProtection="1">
      <alignment horizontal="right" vertical="center" shrinkToFit="1"/>
    </xf>
    <xf numFmtId="0" fontId="5" fillId="0" borderId="37" xfId="7" applyNumberFormat="1" applyFont="1" applyFill="1" applyBorder="1" applyAlignment="1" applyProtection="1">
      <alignment horizontal="left" vertical="center" wrapText="1" shrinkToFit="1"/>
    </xf>
    <xf numFmtId="0" fontId="6" fillId="41" borderId="36" xfId="0" applyFont="1" applyFill="1" applyBorder="1" applyAlignment="1">
      <alignment vertical="center"/>
      <protection locked="0"/>
    </xf>
    <xf numFmtId="0" fontId="5" fillId="0" borderId="37" xfId="289" applyFont="1" applyBorder="1" applyAlignment="1" applyProtection="1">
      <alignment horizontal="left" vertical="center" wrapText="1"/>
      <protection locked="0"/>
    </xf>
    <xf numFmtId="0" fontId="93" fillId="44" borderId="36" xfId="370" applyFont="1" applyFill="1" applyBorder="1" applyAlignment="1">
      <alignment vertical="center" wrapText="1"/>
      <protection locked="0"/>
    </xf>
    <xf numFmtId="0" fontId="7" fillId="0" borderId="37" xfId="7" applyNumberFormat="1" applyFont="1" applyFill="1" applyBorder="1" applyAlignment="1" applyProtection="1">
      <alignment horizontal="center" vertical="center" shrinkToFit="1"/>
    </xf>
    <xf numFmtId="0" fontId="5" fillId="0" borderId="37" xfId="289" applyFont="1" applyBorder="1" applyAlignment="1" applyProtection="1">
      <alignment horizontal="left" vertical="center" shrinkToFit="1"/>
      <protection locked="0"/>
    </xf>
    <xf numFmtId="0" fontId="5" fillId="2" borderId="37" xfId="289" applyFont="1" applyFill="1" applyBorder="1" applyAlignment="1" applyProtection="1">
      <alignment horizontal="left" vertical="center" shrinkToFit="1"/>
      <protection locked="0"/>
    </xf>
    <xf numFmtId="164" fontId="9" fillId="0" borderId="0" xfId="7" applyFont="1" applyAlignment="1" applyProtection="1">
      <alignment vertical="center" wrapText="1"/>
      <protection locked="0"/>
    </xf>
    <xf numFmtId="164" fontId="9" fillId="0" borderId="0" xfId="7" applyFont="1" applyBorder="1" applyAlignment="1" applyProtection="1">
      <alignment horizontal="right" vertical="center" wrapText="1"/>
      <protection locked="0"/>
    </xf>
    <xf numFmtId="164" fontId="5" fillId="2" borderId="0" xfId="7" applyFont="1" applyFill="1" applyAlignment="1" applyProtection="1">
      <alignment horizontal="right" vertical="center"/>
      <protection locked="0"/>
    </xf>
    <xf numFmtId="164" fontId="9" fillId="0" borderId="0" xfId="7" applyFont="1" applyAlignment="1" applyProtection="1">
      <alignment horizontal="right" vertical="center" wrapText="1"/>
      <protection locked="0"/>
    </xf>
    <xf numFmtId="0" fontId="144" fillId="0" borderId="0" xfId="0" applyFont="1" applyAlignment="1">
      <alignment horizontal="center" vertical="center"/>
      <protection locked="0"/>
    </xf>
    <xf numFmtId="0" fontId="9" fillId="0" borderId="0" xfId="369" applyFont="1" applyAlignment="1" applyProtection="1">
      <alignment horizontal="left" vertical="center" wrapText="1"/>
      <protection locked="0"/>
    </xf>
    <xf numFmtId="0" fontId="145" fillId="0" borderId="0" xfId="358" applyFont="1" applyAlignment="1">
      <alignment horizontal="left" vertical="center" wrapText="1"/>
    </xf>
    <xf numFmtId="0" fontId="145" fillId="0" borderId="0" xfId="358" applyFont="1" applyAlignment="1">
      <alignment horizontal="left" vertical="top"/>
    </xf>
    <xf numFmtId="0" fontId="9" fillId="0" borderId="0" xfId="164" applyAlignment="1" applyProtection="1">
      <alignment vertical="center"/>
      <protection locked="0"/>
    </xf>
    <xf numFmtId="0" fontId="7" fillId="2" borderId="0" xfId="358" applyFont="1" applyFill="1" applyAlignment="1" applyProtection="1">
      <alignment vertical="center"/>
      <protection locked="0"/>
    </xf>
    <xf numFmtId="0" fontId="16" fillId="47" borderId="0" xfId="0" applyFont="1" applyFill="1" applyAlignment="1">
      <alignment vertical="center"/>
      <protection locked="0"/>
    </xf>
    <xf numFmtId="0" fontId="8" fillId="47" borderId="0" xfId="0" applyFont="1" applyFill="1" applyAlignment="1">
      <alignment vertical="center"/>
      <protection locked="0"/>
    </xf>
    <xf numFmtId="0" fontId="9" fillId="0" borderId="0" xfId="369" applyFont="1" applyAlignment="1" applyProtection="1">
      <alignment vertical="center" wrapText="1"/>
      <protection locked="0"/>
    </xf>
    <xf numFmtId="164" fontId="9" fillId="0" borderId="0" xfId="7" applyFont="1" applyFill="1" applyAlignment="1" applyProtection="1">
      <alignment vertical="center" wrapText="1"/>
      <protection locked="0"/>
    </xf>
    <xf numFmtId="0" fontId="6" fillId="0" borderId="0" xfId="7" applyNumberFormat="1" applyFont="1" applyAlignment="1" applyProtection="1">
      <alignment horizontal="left" vertical="center"/>
      <protection locked="0"/>
    </xf>
    <xf numFmtId="0" fontId="9" fillId="0" borderId="0" xfId="7" applyNumberFormat="1" applyFont="1" applyAlignment="1" applyProtection="1">
      <alignment horizontal="center" vertical="center"/>
      <protection locked="0"/>
    </xf>
    <xf numFmtId="164" fontId="11" fillId="0" borderId="0" xfId="7" applyFont="1" applyAlignment="1" applyProtection="1">
      <alignment vertical="center"/>
      <protection locked="0"/>
    </xf>
    <xf numFmtId="164" fontId="11" fillId="42" borderId="0" xfId="7" applyFont="1" applyFill="1" applyAlignment="1" applyProtection="1">
      <alignment vertical="center"/>
      <protection locked="0"/>
    </xf>
    <xf numFmtId="164" fontId="9" fillId="0" borderId="0" xfId="381" applyFont="1" applyFill="1" applyAlignment="1" applyProtection="1">
      <alignment vertical="center"/>
      <protection locked="0"/>
    </xf>
    <xf numFmtId="164" fontId="5" fillId="0" borderId="0" xfId="381" applyFont="1" applyFill="1" applyAlignment="1" applyProtection="1">
      <alignment vertical="center"/>
      <protection locked="0"/>
    </xf>
    <xf numFmtId="9" fontId="5" fillId="0" borderId="0" xfId="377" applyNumberFormat="1" applyFont="1" applyAlignment="1" applyProtection="1">
      <alignment vertical="center"/>
      <protection locked="0"/>
    </xf>
    <xf numFmtId="0" fontId="146" fillId="0" borderId="0" xfId="0" applyFont="1">
      <protection locked="0"/>
    </xf>
    <xf numFmtId="0" fontId="17" fillId="0" borderId="4" xfId="0" applyFont="1" applyBorder="1" applyAlignment="1">
      <alignment horizontal="center" vertical="center"/>
      <protection locked="0"/>
    </xf>
    <xf numFmtId="14" fontId="5" fillId="0" borderId="37" xfId="7" applyNumberFormat="1" applyFont="1" applyFill="1" applyBorder="1" applyAlignment="1" applyProtection="1">
      <alignment horizontal="left" vertical="center" shrinkToFit="1"/>
    </xf>
    <xf numFmtId="0" fontId="5" fillId="0" borderId="15" xfId="7" applyNumberFormat="1" applyFont="1" applyFill="1" applyBorder="1" applyAlignment="1" applyProtection="1">
      <alignment horizontal="left" vertical="center" shrinkToFit="1"/>
    </xf>
    <xf numFmtId="0" fontId="9" fillId="0" borderId="37" xfId="289" applyFont="1" applyBorder="1" applyAlignment="1" applyProtection="1">
      <alignment horizontal="left" vertical="center"/>
      <protection locked="0"/>
    </xf>
    <xf numFmtId="0" fontId="5" fillId="0" borderId="37" xfId="7" applyNumberFormat="1" applyFont="1" applyFill="1" applyBorder="1" applyAlignment="1">
      <alignment horizontal="left" vertical="center" shrinkToFit="1"/>
    </xf>
    <xf numFmtId="10" fontId="9" fillId="0" borderId="0" xfId="12" applyNumberFormat="1" applyFont="1" applyAlignment="1" applyProtection="1">
      <alignment horizontal="right" vertical="center"/>
      <protection locked="0"/>
    </xf>
    <xf numFmtId="14" fontId="11" fillId="41" borderId="22" xfId="386" applyNumberFormat="1" applyFont="1" applyFill="1" applyBorder="1" applyAlignment="1" applyProtection="1">
      <alignment horizontal="center" vertical="center"/>
      <protection locked="0"/>
    </xf>
    <xf numFmtId="14" fontId="11" fillId="41" borderId="23" xfId="386" applyNumberFormat="1" applyFont="1" applyFill="1" applyBorder="1" applyAlignment="1" applyProtection="1">
      <alignment horizontal="center" vertical="center"/>
      <protection locked="0"/>
    </xf>
    <xf numFmtId="39" fontId="11" fillId="41" borderId="23" xfId="386" applyNumberFormat="1" applyFont="1" applyFill="1" applyBorder="1" applyAlignment="1" applyProtection="1">
      <alignment horizontal="center" vertical="center"/>
      <protection locked="0"/>
    </xf>
    <xf numFmtId="39" fontId="16" fillId="41" borderId="23" xfId="386" applyNumberFormat="1" applyFont="1" applyFill="1" applyBorder="1" applyAlignment="1" applyProtection="1">
      <alignment horizontal="center" vertical="center"/>
      <protection locked="0"/>
    </xf>
    <xf numFmtId="39" fontId="7" fillId="41" borderId="23" xfId="386" applyNumberFormat="1" applyFont="1" applyFill="1" applyBorder="1" applyAlignment="1" applyProtection="1">
      <alignment horizontal="center" vertical="center"/>
      <protection locked="0"/>
    </xf>
    <xf numFmtId="39" fontId="7" fillId="41" borderId="43" xfId="386" applyNumberFormat="1" applyFont="1" applyFill="1" applyBorder="1" applyAlignment="1" applyProtection="1">
      <alignment horizontal="center" vertical="center"/>
      <protection locked="0"/>
    </xf>
    <xf numFmtId="0" fontId="123" fillId="41" borderId="37" xfId="373" applyNumberFormat="1" applyFont="1" applyFill="1" applyBorder="1" applyAlignment="1" applyProtection="1">
      <alignment horizontal="center" vertical="center" wrapText="1"/>
    </xf>
    <xf numFmtId="0" fontId="11" fillId="46" borderId="15" xfId="0" applyFont="1" applyFill="1" applyBorder="1" applyAlignment="1">
      <alignment horizontal="center" vertical="center" wrapText="1"/>
      <protection locked="0"/>
    </xf>
    <xf numFmtId="0" fontId="8" fillId="0" borderId="15" xfId="0" applyFont="1" applyBorder="1" applyAlignment="1">
      <alignment horizontal="center" vertical="center"/>
      <protection locked="0"/>
    </xf>
    <xf numFmtId="0" fontId="16" fillId="46" borderId="15" xfId="0" applyFont="1" applyFill="1" applyBorder="1" applyAlignment="1">
      <alignment horizontal="center" vertical="center"/>
      <protection locked="0"/>
    </xf>
    <xf numFmtId="0" fontId="7" fillId="0" borderId="0" xfId="0" applyFont="1" applyAlignment="1">
      <alignment horizontal="center" vertical="center"/>
      <protection locked="0"/>
    </xf>
    <xf numFmtId="0" fontId="5" fillId="2" borderId="37" xfId="0" applyFont="1" applyFill="1" applyBorder="1" applyAlignment="1">
      <alignment horizontal="left" vertical="center" wrapText="1"/>
      <protection locked="0"/>
    </xf>
    <xf numFmtId="0" fontId="5" fillId="0" borderId="20" xfId="0" applyFont="1" applyBorder="1" applyAlignment="1">
      <alignment horizontal="left" vertical="center"/>
      <protection locked="0"/>
    </xf>
    <xf numFmtId="0" fontId="5" fillId="0" borderId="37" xfId="0" applyFont="1" applyBorder="1" applyAlignment="1">
      <alignment horizontal="left" vertical="center"/>
      <protection locked="0"/>
    </xf>
    <xf numFmtId="0" fontId="11" fillId="41" borderId="37" xfId="0" applyFont="1" applyFill="1" applyBorder="1" applyAlignment="1" applyProtection="1">
      <alignment horizontal="center" vertical="center"/>
    </xf>
    <xf numFmtId="0" fontId="11" fillId="41" borderId="20" xfId="0" applyFont="1" applyFill="1" applyBorder="1" applyAlignment="1" applyProtection="1">
      <alignment horizontal="center" vertical="center"/>
    </xf>
    <xf numFmtId="0" fontId="8" fillId="0" borderId="37" xfId="0" applyFont="1" applyBorder="1" applyAlignment="1" applyProtection="1">
      <alignment horizontal="center" vertical="center"/>
    </xf>
    <xf numFmtId="0" fontId="148" fillId="0" borderId="0" xfId="0" applyFont="1" applyAlignment="1">
      <alignment horizontal="left" vertical="center"/>
      <protection locked="0"/>
    </xf>
    <xf numFmtId="0" fontId="12" fillId="0" borderId="0" xfId="395" applyFont="1">
      <protection locked="0"/>
    </xf>
    <xf numFmtId="0" fontId="113" fillId="44" borderId="3" xfId="289" applyFont="1" applyFill="1" applyBorder="1" applyAlignment="1" applyProtection="1">
      <alignment horizontal="right" vertical="center" shrinkToFit="1"/>
      <protection locked="0"/>
    </xf>
    <xf numFmtId="14" fontId="49" fillId="44" borderId="3" xfId="0" applyNumberFormat="1" applyFont="1" applyFill="1" applyBorder="1" applyAlignment="1" applyProtection="1">
      <alignment horizontal="right" vertical="center"/>
    </xf>
    <xf numFmtId="14" fontId="113" fillId="44" borderId="3" xfId="289" applyNumberFormat="1" applyFont="1" applyFill="1" applyBorder="1" applyAlignment="1" applyProtection="1">
      <alignment horizontal="right" vertical="center" shrinkToFit="1"/>
      <protection locked="0"/>
    </xf>
    <xf numFmtId="164" fontId="113" fillId="44" borderId="3" xfId="289" applyNumberFormat="1" applyFont="1" applyFill="1" applyBorder="1" applyAlignment="1" applyProtection="1">
      <alignment horizontal="right" vertical="center" shrinkToFit="1"/>
      <protection locked="0"/>
    </xf>
    <xf numFmtId="0" fontId="113" fillId="44" borderId="4" xfId="289" applyFont="1" applyFill="1" applyBorder="1" applyAlignment="1" applyProtection="1">
      <alignment horizontal="right" vertical="center" shrinkToFit="1"/>
      <protection locked="0"/>
    </xf>
    <xf numFmtId="0" fontId="93" fillId="44" borderId="24" xfId="358" applyFont="1" applyFill="1" applyBorder="1" applyAlignment="1" applyProtection="1">
      <alignment vertical="center" wrapText="1"/>
      <protection locked="0"/>
    </xf>
    <xf numFmtId="0" fontId="49" fillId="44" borderId="28" xfId="358" applyFont="1" applyFill="1" applyBorder="1" applyAlignment="1">
      <alignment vertical="center" wrapText="1"/>
    </xf>
    <xf numFmtId="0" fontId="49" fillId="44" borderId="29" xfId="358" applyFont="1" applyFill="1" applyBorder="1" applyAlignment="1">
      <alignment vertical="center" wrapText="1"/>
    </xf>
    <xf numFmtId="0" fontId="49" fillId="44" borderId="26" xfId="358" applyFont="1" applyFill="1" applyBorder="1" applyAlignment="1">
      <alignment vertical="center" wrapText="1"/>
    </xf>
    <xf numFmtId="164" fontId="5" fillId="0" borderId="0" xfId="0" applyNumberFormat="1" applyFont="1" applyAlignment="1">
      <alignment horizontal="right" vertical="center"/>
      <protection locked="0"/>
    </xf>
    <xf numFmtId="164" fontId="5" fillId="0" borderId="1" xfId="7" applyFont="1" applyFill="1" applyBorder="1" applyAlignment="1" applyProtection="1">
      <alignment horizontal="right" vertical="center" shrinkToFit="1"/>
    </xf>
    <xf numFmtId="164" fontId="9" fillId="0" borderId="0" xfId="0" applyNumberFormat="1" applyFont="1" applyAlignment="1">
      <alignment horizontal="right" vertical="center" wrapText="1"/>
      <protection locked="0"/>
    </xf>
    <xf numFmtId="164" fontId="5" fillId="0" borderId="0" xfId="7" applyFont="1" applyFill="1" applyBorder="1" applyAlignment="1" applyProtection="1">
      <alignment horizontal="right" vertical="center"/>
      <protection locked="0"/>
    </xf>
    <xf numFmtId="164" fontId="9" fillId="0" borderId="0" xfId="395" applyNumberFormat="1" applyFont="1" applyFill="1" applyAlignment="1" applyProtection="1">
      <alignment horizontal="right" vertical="center"/>
      <protection locked="0"/>
    </xf>
    <xf numFmtId="164" fontId="9" fillId="0" borderId="15" xfId="7" applyFont="1" applyBorder="1" applyAlignment="1" applyProtection="1">
      <alignment horizontal="right" vertical="center"/>
      <protection locked="0"/>
    </xf>
    <xf numFmtId="14" fontId="9" fillId="0" borderId="15" xfId="289" applyNumberFormat="1" applyFont="1" applyBorder="1" applyAlignment="1" applyProtection="1">
      <alignment horizontal="left" vertical="center"/>
      <protection locked="0"/>
    </xf>
    <xf numFmtId="164" fontId="5" fillId="0" borderId="19" xfId="0" applyNumberFormat="1" applyFont="1" applyBorder="1" applyAlignment="1">
      <alignment vertical="center"/>
      <protection locked="0"/>
    </xf>
    <xf numFmtId="0" fontId="5" fillId="0" borderId="44" xfId="391" applyFont="1" applyBorder="1" applyAlignment="1" applyProtection="1">
      <alignment horizontal="center" vertical="center"/>
      <protection locked="0"/>
    </xf>
    <xf numFmtId="0" fontId="91" fillId="43" borderId="44" xfId="358" applyFont="1" applyFill="1" applyBorder="1" applyAlignment="1" applyProtection="1">
      <alignment horizontal="centerContinuous" vertical="center"/>
      <protection locked="0"/>
    </xf>
    <xf numFmtId="0" fontId="11" fillId="41" borderId="44" xfId="0" applyFont="1" applyFill="1" applyBorder="1" applyAlignment="1" applyProtection="1">
      <alignment horizontal="centerContinuous" vertical="center"/>
    </xf>
    <xf numFmtId="0" fontId="11" fillId="41" borderId="45" xfId="0" applyFont="1" applyFill="1" applyBorder="1" applyAlignment="1" applyProtection="1">
      <alignment horizontal="centerContinuous" vertical="center"/>
    </xf>
    <xf numFmtId="0" fontId="5" fillId="0" borderId="44" xfId="0" applyFont="1" applyBorder="1" applyAlignment="1" applyProtection="1">
      <alignment vertical="center"/>
    </xf>
    <xf numFmtId="0" fontId="8" fillId="47" borderId="44" xfId="0" applyFont="1" applyFill="1" applyBorder="1" applyAlignment="1">
      <alignment horizontal="center" vertical="center"/>
      <protection locked="0"/>
    </xf>
    <xf numFmtId="164" fontId="8" fillId="2" borderId="45" xfId="381" applyFont="1" applyFill="1" applyBorder="1" applyAlignment="1" applyProtection="1">
      <alignment horizontal="right" vertical="center"/>
      <protection locked="0"/>
    </xf>
    <xf numFmtId="0" fontId="5" fillId="0" borderId="46" xfId="0" applyFont="1" applyBorder="1" applyAlignment="1" applyProtection="1">
      <alignment vertical="center"/>
    </xf>
    <xf numFmtId="0" fontId="9" fillId="0" borderId="44" xfId="367" applyFont="1" applyBorder="1" applyAlignment="1">
      <alignment vertical="center"/>
    </xf>
    <xf numFmtId="0" fontId="5" fillId="0" borderId="46" xfId="0" applyFont="1" applyBorder="1" applyAlignment="1">
      <alignment vertical="center"/>
      <protection locked="0"/>
    </xf>
    <xf numFmtId="0" fontId="8" fillId="47" borderId="44" xfId="0" applyFont="1" applyFill="1" applyBorder="1" applyAlignment="1">
      <alignment horizontal="center" vertical="center" wrapText="1"/>
      <protection locked="0"/>
    </xf>
    <xf numFmtId="0" fontId="14" fillId="0" borderId="0" xfId="0" applyFont="1" applyAlignment="1" applyProtection="1">
      <alignment vertical="center"/>
    </xf>
    <xf numFmtId="0" fontId="113" fillId="44" borderId="44" xfId="0" applyFont="1" applyFill="1" applyBorder="1" applyAlignment="1">
      <alignment vertical="center"/>
      <protection locked="0"/>
    </xf>
    <xf numFmtId="0" fontId="5" fillId="44" borderId="45" xfId="0" applyFont="1" applyFill="1" applyBorder="1" applyAlignment="1">
      <alignment vertical="center"/>
      <protection locked="0"/>
    </xf>
    <xf numFmtId="0" fontId="14" fillId="41" borderId="37" xfId="373" applyNumberFormat="1" applyFont="1" applyFill="1" applyBorder="1" applyAlignment="1" applyProtection="1">
      <alignment horizontal="center" vertical="center" wrapText="1"/>
    </xf>
    <xf numFmtId="0" fontId="99" fillId="44" borderId="45" xfId="0" applyFont="1" applyFill="1" applyBorder="1" applyAlignment="1">
      <alignment vertical="center"/>
      <protection locked="0"/>
    </xf>
    <xf numFmtId="0" fontId="11" fillId="41" borderId="44" xfId="0" applyFont="1" applyFill="1" applyBorder="1" applyAlignment="1">
      <alignment vertical="center"/>
      <protection locked="0"/>
    </xf>
    <xf numFmtId="0" fontId="6" fillId="41" borderId="45" xfId="0" applyFont="1" applyFill="1" applyBorder="1" applyAlignment="1">
      <alignment vertical="center"/>
      <protection locked="0"/>
    </xf>
    <xf numFmtId="0" fontId="14" fillId="41" borderId="37" xfId="373" applyNumberFormat="1" applyFont="1" applyFill="1" applyBorder="1" applyAlignment="1">
      <alignment horizontal="center" vertical="center" wrapText="1"/>
    </xf>
    <xf numFmtId="0" fontId="49" fillId="44" borderId="44" xfId="370" applyFont="1" applyFill="1" applyBorder="1" applyAlignment="1">
      <alignment vertical="center"/>
      <protection locked="0"/>
    </xf>
    <xf numFmtId="0" fontId="93" fillId="44" borderId="45" xfId="370" applyFont="1" applyFill="1" applyBorder="1" applyAlignment="1">
      <alignment vertical="center" wrapText="1"/>
      <protection locked="0"/>
    </xf>
    <xf numFmtId="10" fontId="11" fillId="0" borderId="17" xfId="12" applyNumberFormat="1" applyFont="1" applyBorder="1" applyAlignment="1" applyProtection="1">
      <alignment horizontal="right" vertical="center"/>
      <protection locked="0"/>
    </xf>
    <xf numFmtId="0" fontId="6" fillId="0" borderId="0" xfId="0" applyFont="1" applyAlignment="1" applyProtection="1">
      <alignment horizontal="left" vertical="center"/>
    </xf>
    <xf numFmtId="0" fontId="88" fillId="2" borderId="0" xfId="358" applyFont="1" applyFill="1" applyAlignment="1" applyProtection="1">
      <alignment horizontal="center" vertical="center" wrapText="1"/>
      <protection locked="0"/>
    </xf>
    <xf numFmtId="0" fontId="92" fillId="48" borderId="47" xfId="358" applyFont="1" applyFill="1" applyBorder="1" applyAlignment="1" applyProtection="1">
      <alignment horizontal="centerContinuous" vertical="center"/>
      <protection locked="0"/>
    </xf>
    <xf numFmtId="0" fontId="5" fillId="0" borderId="48" xfId="0" applyFont="1" applyBorder="1" applyAlignment="1" applyProtection="1">
      <alignment vertical="center"/>
    </xf>
    <xf numFmtId="0" fontId="9" fillId="0" borderId="48" xfId="7" applyNumberFormat="1" applyFont="1" applyBorder="1" applyAlignment="1" applyProtection="1">
      <alignment horizontal="center" vertical="center"/>
      <protection locked="0"/>
    </xf>
    <xf numFmtId="0" fontId="91" fillId="43" borderId="49" xfId="358" applyFont="1" applyFill="1" applyBorder="1" applyAlignment="1" applyProtection="1">
      <alignment horizontal="centerContinuous" vertical="center"/>
      <protection locked="0"/>
    </xf>
    <xf numFmtId="0" fontId="91" fillId="43" borderId="48" xfId="358" applyFont="1" applyFill="1" applyBorder="1" applyAlignment="1" applyProtection="1">
      <alignment horizontal="centerContinuous" vertical="center"/>
      <protection locked="0"/>
    </xf>
    <xf numFmtId="0" fontId="82" fillId="43" borderId="48" xfId="358" applyFont="1" applyFill="1" applyBorder="1" applyAlignment="1" applyProtection="1">
      <alignment horizontal="centerContinuous" vertical="center"/>
      <protection locked="0"/>
    </xf>
    <xf numFmtId="0" fontId="92" fillId="48" borderId="51" xfId="358" applyFont="1" applyFill="1" applyBorder="1" applyAlignment="1" applyProtection="1">
      <alignment horizontal="centerContinuous" vertical="center"/>
      <protection locked="0"/>
    </xf>
    <xf numFmtId="0" fontId="92" fillId="48" borderId="52" xfId="358" applyFont="1" applyFill="1" applyBorder="1" applyAlignment="1" applyProtection="1">
      <alignment horizontal="centerContinuous" vertical="center"/>
      <protection locked="0"/>
    </xf>
    <xf numFmtId="0" fontId="5" fillId="2" borderId="49" xfId="0" applyFont="1" applyFill="1" applyBorder="1" applyAlignment="1">
      <alignment vertical="center"/>
      <protection locked="0"/>
    </xf>
    <xf numFmtId="0" fontId="6" fillId="2" borderId="48" xfId="0" applyFont="1" applyFill="1" applyBorder="1" applyAlignment="1">
      <alignment vertical="center"/>
      <protection locked="0"/>
    </xf>
    <xf numFmtId="0" fontId="6" fillId="0" borderId="48" xfId="387" applyNumberFormat="1" applyFont="1" applyFill="1" applyBorder="1" applyAlignment="1" applyProtection="1">
      <alignment horizontal="center" vertical="center"/>
      <protection locked="0"/>
    </xf>
    <xf numFmtId="164" fontId="9" fillId="0" borderId="48" xfId="7" applyFont="1" applyBorder="1" applyAlignment="1" applyProtection="1">
      <alignment vertical="center" wrapText="1"/>
      <protection locked="0"/>
    </xf>
    <xf numFmtId="0" fontId="5" fillId="2" borderId="48" xfId="0" applyFont="1" applyFill="1" applyBorder="1" applyAlignment="1">
      <alignment vertical="center"/>
      <protection locked="0"/>
    </xf>
    <xf numFmtId="164" fontId="107" fillId="0" borderId="48" xfId="7" applyFont="1" applyFill="1" applyBorder="1" applyAlignment="1" applyProtection="1">
      <alignment horizontal="center" vertical="center" shrinkToFit="1"/>
      <protection locked="0"/>
    </xf>
    <xf numFmtId="0" fontId="5" fillId="2" borderId="50" xfId="0" applyFont="1" applyFill="1" applyBorder="1" applyAlignment="1">
      <alignment vertical="center"/>
      <protection locked="0"/>
    </xf>
    <xf numFmtId="0" fontId="100" fillId="48" borderId="51" xfId="358" applyFont="1" applyFill="1" applyBorder="1" applyAlignment="1" applyProtection="1">
      <alignment horizontal="centerContinuous" vertical="center"/>
      <protection locked="0"/>
    </xf>
    <xf numFmtId="0" fontId="100" fillId="48" borderId="47" xfId="358" applyFont="1" applyFill="1" applyBorder="1" applyAlignment="1" applyProtection="1">
      <alignment horizontal="centerContinuous" vertical="center"/>
      <protection locked="0"/>
    </xf>
    <xf numFmtId="0" fontId="100" fillId="48" borderId="52" xfId="358" applyFont="1" applyFill="1" applyBorder="1" applyAlignment="1" applyProtection="1">
      <alignment horizontal="centerContinuous" vertical="center"/>
      <protection locked="0"/>
    </xf>
    <xf numFmtId="0" fontId="9" fillId="0" borderId="48" xfId="395" applyFont="1" applyFill="1" applyBorder="1" applyAlignment="1" applyProtection="1">
      <alignment horizontal="left" vertical="center"/>
      <protection locked="0"/>
    </xf>
    <xf numFmtId="164" fontId="5" fillId="0" borderId="48" xfId="7" applyFont="1" applyFill="1" applyBorder="1" applyAlignment="1" applyProtection="1">
      <alignment horizontal="right" vertical="center"/>
      <protection locked="0"/>
    </xf>
    <xf numFmtId="0" fontId="108" fillId="0" borderId="49" xfId="0" applyFont="1" applyBorder="1" applyAlignment="1">
      <alignment vertical="center"/>
      <protection locked="0"/>
    </xf>
    <xf numFmtId="0" fontId="108" fillId="0" borderId="48" xfId="0" applyFont="1" applyBorder="1" applyAlignment="1">
      <alignment vertical="center"/>
      <protection locked="0"/>
    </xf>
    <xf numFmtId="0" fontId="108" fillId="0" borderId="50" xfId="0" applyFont="1" applyBorder="1" applyAlignment="1">
      <alignment vertical="center"/>
      <protection locked="0"/>
    </xf>
    <xf numFmtId="0" fontId="7" fillId="0" borderId="49" xfId="0" applyFont="1" applyBorder="1" applyAlignment="1">
      <alignment vertical="center"/>
      <protection locked="0"/>
    </xf>
    <xf numFmtId="0" fontId="7" fillId="0" borderId="48" xfId="0" applyFont="1" applyBorder="1" applyAlignment="1">
      <alignment vertical="center"/>
      <protection locked="0"/>
    </xf>
    <xf numFmtId="0" fontId="5" fillId="0" borderId="48" xfId="0" applyFont="1" applyBorder="1" applyAlignment="1">
      <alignment vertical="center"/>
      <protection locked="0"/>
    </xf>
    <xf numFmtId="0" fontId="5" fillId="0" borderId="50" xfId="0" applyFont="1" applyBorder="1" applyAlignment="1">
      <alignment vertical="center"/>
      <protection locked="0"/>
    </xf>
    <xf numFmtId="0" fontId="91" fillId="43" borderId="49" xfId="370" applyFont="1" applyFill="1" applyBorder="1" applyAlignment="1">
      <alignment horizontal="centerContinuous" vertical="center"/>
      <protection locked="0"/>
    </xf>
    <xf numFmtId="0" fontId="82" fillId="43" borderId="48" xfId="370" applyFont="1" applyFill="1" applyBorder="1" applyAlignment="1">
      <alignment horizontal="centerContinuous" vertical="center"/>
      <protection locked="0"/>
    </xf>
    <xf numFmtId="0" fontId="92" fillId="43" borderId="48" xfId="370" applyFont="1" applyFill="1" applyBorder="1" applyAlignment="1">
      <alignment horizontal="centerContinuous" vertical="center"/>
      <protection locked="0"/>
    </xf>
    <xf numFmtId="0" fontId="5" fillId="43" borderId="50" xfId="370" applyFont="1" applyFill="1" applyBorder="1" applyAlignment="1">
      <alignment horizontal="centerContinuous" vertical="center"/>
      <protection locked="0"/>
    </xf>
    <xf numFmtId="0" fontId="108" fillId="0" borderId="49" xfId="370" applyFont="1" applyBorder="1" applyAlignment="1">
      <alignment horizontal="left" vertical="center"/>
      <protection locked="0"/>
    </xf>
    <xf numFmtId="0" fontId="11" fillId="0" borderId="48" xfId="370" applyFont="1" applyBorder="1" applyAlignment="1">
      <alignment horizontal="left" vertical="center"/>
      <protection locked="0"/>
    </xf>
    <xf numFmtId="0" fontId="11" fillId="0" borderId="50" xfId="370" applyFont="1" applyBorder="1" applyAlignment="1">
      <alignment horizontal="left" vertical="center"/>
      <protection locked="0"/>
    </xf>
    <xf numFmtId="0" fontId="152" fillId="0" borderId="0" xfId="0" applyFont="1" applyAlignment="1">
      <alignment horizontal="left" vertical="center"/>
      <protection locked="0"/>
    </xf>
    <xf numFmtId="0" fontId="16" fillId="41" borderId="37" xfId="380" applyFont="1" applyFill="1" applyBorder="1" applyAlignment="1">
      <alignment horizontal="left" vertical="center"/>
    </xf>
    <xf numFmtId="0" fontId="6" fillId="52" borderId="37" xfId="370" applyFont="1" applyFill="1" applyBorder="1" applyAlignment="1">
      <alignment horizontal="centerContinuous" vertical="center" wrapText="1"/>
      <protection locked="0"/>
    </xf>
    <xf numFmtId="0" fontId="83" fillId="2" borderId="37" xfId="0" applyFont="1" applyFill="1" applyBorder="1" applyAlignment="1">
      <alignment vertical="center"/>
      <protection locked="0"/>
    </xf>
    <xf numFmtId="164" fontId="153" fillId="2" borderId="37" xfId="7" applyFont="1" applyFill="1" applyBorder="1" applyAlignment="1" applyProtection="1">
      <alignment vertical="center"/>
      <protection locked="0"/>
    </xf>
    <xf numFmtId="164" fontId="5" fillId="0" borderId="0" xfId="7" applyFont="1" applyBorder="1" applyAlignment="1" applyProtection="1">
      <alignment horizontal="left" vertical="center"/>
    </xf>
    <xf numFmtId="0" fontId="87" fillId="53" borderId="0" xfId="394" applyFont="1" applyFill="1" applyAlignment="1"/>
    <xf numFmtId="0" fontId="157" fillId="0" borderId="0" xfId="394" applyFont="1" applyAlignment="1"/>
    <xf numFmtId="0" fontId="87" fillId="0" borderId="0" xfId="394" applyFont="1" applyAlignment="1"/>
    <xf numFmtId="0" fontId="87" fillId="0" borderId="55" xfId="394" applyFont="1" applyBorder="1" applyAlignment="1"/>
    <xf numFmtId="0" fontId="165" fillId="0" borderId="0" xfId="394" applyFont="1" applyAlignment="1">
      <alignment horizontal="left" vertical="top" indent="1"/>
    </xf>
    <xf numFmtId="0" fontId="166" fillId="0" borderId="0" xfId="394" applyFont="1" applyAlignment="1">
      <alignment horizontal="left" vertical="top" indent="1"/>
    </xf>
    <xf numFmtId="0" fontId="87" fillId="0" borderId="0" xfId="394" applyFont="1">
      <alignment vertical="center"/>
    </xf>
    <xf numFmtId="0" fontId="87" fillId="0" borderId="0" xfId="394" applyFont="1" applyAlignment="1">
      <alignment horizontal="right"/>
    </xf>
    <xf numFmtId="0" fontId="172" fillId="0" borderId="0" xfId="394" applyFont="1" applyAlignment="1">
      <alignment horizontal="left" vertical="top" indent="1"/>
    </xf>
    <xf numFmtId="0" fontId="158" fillId="0" borderId="0" xfId="394" applyFont="1" applyAlignment="1"/>
    <xf numFmtId="0" fontId="87" fillId="0" borderId="0" xfId="394" applyFont="1" applyAlignment="1">
      <alignment wrapText="1"/>
    </xf>
    <xf numFmtId="0" fontId="87" fillId="0" borderId="56" xfId="394" applyFont="1" applyBorder="1" applyAlignment="1"/>
    <xf numFmtId="0" fontId="87" fillId="0" borderId="60" xfId="394" applyFont="1" applyBorder="1" applyAlignment="1"/>
    <xf numFmtId="0" fontId="162" fillId="0" borderId="0" xfId="394" applyFont="1" applyAlignment="1">
      <alignment horizontal="left" vertical="top" indent="1"/>
    </xf>
    <xf numFmtId="0" fontId="87" fillId="57" borderId="0" xfId="394" applyFont="1" applyFill="1" applyAlignment="1"/>
    <xf numFmtId="0" fontId="87" fillId="58" borderId="0" xfId="394" applyFont="1" applyFill="1" applyAlignment="1"/>
    <xf numFmtId="4" fontId="87" fillId="0" borderId="0" xfId="394" applyNumberFormat="1" applyFont="1" applyAlignment="1"/>
    <xf numFmtId="164" fontId="87" fillId="0" borderId="0" xfId="7" applyFont="1" applyAlignment="1"/>
    <xf numFmtId="0" fontId="131" fillId="0" borderId="0" xfId="191" applyFont="1" applyAlignment="1">
      <alignment vertical="center"/>
    </xf>
    <xf numFmtId="0" fontId="173" fillId="0" borderId="44" xfId="391" applyFont="1" applyBorder="1" applyAlignment="1" applyProtection="1">
      <alignment horizontal="center" vertical="center"/>
      <protection locked="0"/>
    </xf>
    <xf numFmtId="0" fontId="173" fillId="0" borderId="37" xfId="0" applyFont="1" applyBorder="1" applyAlignment="1">
      <alignment horizontal="left" vertical="center" wrapText="1"/>
      <protection locked="0"/>
    </xf>
    <xf numFmtId="164" fontId="5" fillId="0" borderId="0" xfId="7" applyFont="1" applyAlignment="1" applyProtection="1">
      <alignment vertical="center" shrinkToFit="1"/>
    </xf>
    <xf numFmtId="0" fontId="5" fillId="0" borderId="0" xfId="7" applyNumberFormat="1" applyFont="1" applyAlignment="1" applyProtection="1">
      <alignment horizontal="left" vertical="center" shrinkToFit="1"/>
    </xf>
    <xf numFmtId="0" fontId="5" fillId="0" borderId="3" xfId="7" applyNumberFormat="1" applyFont="1" applyBorder="1" applyAlignment="1" applyProtection="1">
      <alignment horizontal="left" vertical="center" shrinkToFit="1"/>
    </xf>
    <xf numFmtId="0" fontId="9" fillId="0" borderId="0" xfId="0" applyFont="1" applyAlignment="1">
      <alignment horizontal="left" vertical="center"/>
      <protection locked="0"/>
    </xf>
    <xf numFmtId="0" fontId="8" fillId="0" borderId="26" xfId="289" applyFont="1" applyBorder="1" applyAlignment="1" applyProtection="1">
      <alignment horizontal="left" vertical="center"/>
      <protection locked="0"/>
    </xf>
    <xf numFmtId="0" fontId="9" fillId="0" borderId="21" xfId="289" applyFont="1" applyBorder="1" applyAlignment="1" applyProtection="1">
      <alignment horizontal="left" vertical="center"/>
      <protection locked="0"/>
    </xf>
    <xf numFmtId="0" fontId="5" fillId="0" borderId="21" xfId="0" applyFont="1" applyBorder="1" applyAlignment="1" applyProtection="1">
      <alignment horizontal="left" vertical="center"/>
    </xf>
    <xf numFmtId="0" fontId="5" fillId="0" borderId="30" xfId="0" applyFont="1" applyBorder="1" applyAlignment="1" applyProtection="1">
      <alignment horizontal="left" vertical="center"/>
    </xf>
    <xf numFmtId="0" fontId="8" fillId="0" borderId="28" xfId="289" applyFont="1" applyBorder="1" applyAlignment="1" applyProtection="1">
      <alignment horizontal="left" vertical="center"/>
      <protection locked="0"/>
    </xf>
    <xf numFmtId="0" fontId="9" fillId="0" borderId="0" xfId="289" applyFont="1" applyAlignment="1" applyProtection="1">
      <alignment horizontal="left" vertical="center"/>
      <protection locked="0"/>
    </xf>
    <xf numFmtId="0" fontId="5" fillId="0" borderId="27" xfId="0" applyFont="1" applyBorder="1" applyAlignment="1" applyProtection="1">
      <alignment horizontal="left" vertical="center"/>
    </xf>
    <xf numFmtId="0" fontId="8" fillId="0" borderId="29" xfId="289" applyFont="1" applyBorder="1" applyAlignment="1" applyProtection="1">
      <alignment horizontal="left" vertical="center"/>
      <protection locked="0"/>
    </xf>
    <xf numFmtId="0" fontId="9" fillId="0" borderId="24" xfId="289" applyFont="1" applyBorder="1" applyAlignment="1" applyProtection="1">
      <alignment horizontal="left" vertical="center"/>
      <protection locked="0"/>
    </xf>
    <xf numFmtId="164" fontId="5" fillId="0" borderId="24" xfId="7" applyFont="1" applyBorder="1" applyAlignment="1" applyProtection="1">
      <alignment horizontal="left" vertical="center"/>
    </xf>
    <xf numFmtId="0" fontId="5" fillId="0" borderId="25" xfId="0" applyFont="1" applyBorder="1" applyAlignment="1" applyProtection="1">
      <alignment horizontal="left" vertical="center"/>
    </xf>
    <xf numFmtId="0" fontId="100" fillId="48" borderId="0" xfId="358" applyFont="1" applyFill="1" applyAlignment="1" applyProtection="1">
      <alignment horizontal="centerContinuous" vertical="center"/>
      <protection locked="0"/>
    </xf>
    <xf numFmtId="0" fontId="99" fillId="44" borderId="0" xfId="0" applyFont="1" applyFill="1" applyAlignment="1">
      <alignment vertical="center"/>
      <protection locked="0"/>
    </xf>
    <xf numFmtId="0" fontId="11" fillId="41" borderId="8" xfId="374" applyFont="1" applyFill="1" applyBorder="1" applyAlignment="1">
      <alignment horizontal="center" vertical="center"/>
    </xf>
    <xf numFmtId="0" fontId="11" fillId="41" borderId="8" xfId="373" applyNumberFormat="1" applyFont="1" applyFill="1" applyBorder="1" applyAlignment="1">
      <alignment horizontal="center" vertical="center"/>
    </xf>
    <xf numFmtId="0" fontId="5" fillId="0" borderId="37" xfId="7" applyNumberFormat="1" applyFont="1" applyFill="1" applyBorder="1" applyAlignment="1" applyProtection="1">
      <alignment horizontal="center" vertical="center" shrinkToFit="1"/>
    </xf>
    <xf numFmtId="0" fontId="178" fillId="0" borderId="0" xfId="191" applyFont="1" applyAlignment="1">
      <alignment vertical="center"/>
    </xf>
    <xf numFmtId="0" fontId="143" fillId="0" borderId="37" xfId="395" quotePrefix="1" applyFont="1" applyBorder="1" applyAlignment="1" applyProtection="1">
      <alignment horizontal="center" vertical="center"/>
      <protection locked="0"/>
    </xf>
    <xf numFmtId="0" fontId="5" fillId="0" borderId="37" xfId="0" applyFont="1" applyBorder="1" applyAlignment="1">
      <alignment horizontal="left" vertical="center" wrapText="1"/>
      <protection locked="0"/>
    </xf>
    <xf numFmtId="0" fontId="119" fillId="0" borderId="0" xfId="0" applyFont="1" applyAlignment="1" applyProtection="1">
      <alignment horizontal="left" vertical="center" wrapText="1"/>
    </xf>
    <xf numFmtId="0" fontId="9" fillId="0" borderId="0" xfId="369" applyFont="1" applyAlignment="1" applyProtection="1">
      <alignment horizontal="center" vertical="center" wrapText="1"/>
      <protection locked="0"/>
    </xf>
    <xf numFmtId="0" fontId="136" fillId="56" borderId="0" xfId="394" applyFont="1" applyFill="1" applyAlignment="1"/>
    <xf numFmtId="0" fontId="87" fillId="0" borderId="0" xfId="394" applyFont="1" applyAlignment="1">
      <alignment horizontal="left"/>
    </xf>
    <xf numFmtId="0" fontId="158" fillId="0" borderId="57" xfId="394" applyFont="1" applyBorder="1" applyAlignment="1"/>
    <xf numFmtId="0" fontId="170" fillId="0" borderId="0" xfId="394" applyFont="1" applyAlignment="1"/>
    <xf numFmtId="0" fontId="162" fillId="0" borderId="0" xfId="394" applyFont="1" applyAlignment="1">
      <alignment horizontal="left" vertical="top" wrapText="1"/>
    </xf>
    <xf numFmtId="0" fontId="87" fillId="0" borderId="0" xfId="394" applyFont="1" applyAlignment="1">
      <alignment horizontal="left" vertical="top" wrapText="1"/>
    </xf>
    <xf numFmtId="0" fontId="170" fillId="0" borderId="0" xfId="394" applyFont="1" applyAlignment="1">
      <alignment horizontal="left"/>
    </xf>
    <xf numFmtId="0" fontId="110" fillId="0" borderId="0" xfId="7" applyNumberFormat="1" applyFont="1" applyFill="1" applyBorder="1" applyAlignment="1" applyProtection="1">
      <alignment horizontal="left" vertical="center" wrapText="1" shrinkToFit="1"/>
    </xf>
    <xf numFmtId="0" fontId="110" fillId="0" borderId="37" xfId="7" applyNumberFormat="1" applyFont="1" applyFill="1" applyBorder="1" applyAlignment="1" applyProtection="1">
      <alignment horizontal="left" vertical="center" wrapText="1" shrinkToFit="1"/>
    </xf>
    <xf numFmtId="0" fontId="179" fillId="0" borderId="37" xfId="0" applyFont="1" applyBorder="1" applyAlignment="1">
      <alignment horizontal="center" vertical="center"/>
      <protection locked="0"/>
    </xf>
    <xf numFmtId="0" fontId="179" fillId="0" borderId="37" xfId="0" applyFont="1" applyBorder="1" applyAlignment="1">
      <alignment horizontal="center" vertical="center" wrapText="1"/>
      <protection locked="0"/>
    </xf>
    <xf numFmtId="0" fontId="9" fillId="0" borderId="37" xfId="0" applyFont="1" applyBorder="1" applyAlignment="1">
      <alignment horizontal="center" vertical="center"/>
      <protection locked="0"/>
    </xf>
    <xf numFmtId="49" fontId="9" fillId="0" borderId="37" xfId="0" applyNumberFormat="1" applyFont="1" applyBorder="1" applyAlignment="1">
      <alignment horizontal="left" vertical="center"/>
      <protection locked="0"/>
    </xf>
    <xf numFmtId="49" fontId="9" fillId="0" borderId="37" xfId="0" applyNumberFormat="1" applyFont="1" applyBorder="1" applyAlignment="1">
      <alignment horizontal="left" vertical="center" shrinkToFit="1"/>
      <protection locked="0"/>
    </xf>
    <xf numFmtId="14" fontId="9" fillId="0" borderId="37" xfId="0" applyNumberFormat="1" applyFont="1" applyBorder="1" applyAlignment="1">
      <alignment horizontal="left" vertical="center" shrinkToFit="1"/>
      <protection locked="0"/>
    </xf>
    <xf numFmtId="9" fontId="9" fillId="0" borderId="37" xfId="12" applyFont="1" applyBorder="1" applyAlignment="1" applyProtection="1">
      <alignment horizontal="left" vertical="center"/>
      <protection locked="0"/>
    </xf>
    <xf numFmtId="164" fontId="9" fillId="0" borderId="37" xfId="396" applyFont="1" applyBorder="1" applyAlignment="1" applyProtection="1">
      <alignment horizontal="left" vertical="center"/>
      <protection locked="0"/>
    </xf>
    <xf numFmtId="49" fontId="9" fillId="2" borderId="37" xfId="0" applyNumberFormat="1" applyFont="1" applyFill="1" applyBorder="1" applyAlignment="1">
      <alignment horizontal="left" vertical="center"/>
      <protection locked="0"/>
    </xf>
    <xf numFmtId="0" fontId="9" fillId="2" borderId="37" xfId="0" applyFont="1" applyFill="1" applyBorder="1" applyAlignment="1">
      <alignment horizontal="left" vertical="center" shrinkToFit="1"/>
      <protection locked="0"/>
    </xf>
    <xf numFmtId="14" fontId="9" fillId="2" borderId="37" xfId="0" applyNumberFormat="1" applyFont="1" applyFill="1" applyBorder="1" applyAlignment="1">
      <alignment horizontal="left" vertical="center" shrinkToFit="1"/>
      <protection locked="0"/>
    </xf>
    <xf numFmtId="9" fontId="9" fillId="2" borderId="37" xfId="12" applyFont="1" applyFill="1" applyBorder="1" applyAlignment="1" applyProtection="1">
      <alignment horizontal="left" vertical="center"/>
      <protection locked="0"/>
    </xf>
    <xf numFmtId="164" fontId="9" fillId="2" borderId="37" xfId="396" applyFont="1" applyFill="1" applyBorder="1" applyAlignment="1" applyProtection="1">
      <alignment horizontal="left" vertical="center"/>
      <protection locked="0"/>
    </xf>
    <xf numFmtId="164" fontId="5" fillId="2" borderId="37" xfId="0" applyNumberFormat="1" applyFont="1" applyFill="1" applyBorder="1" applyAlignment="1">
      <alignment vertical="center"/>
      <protection locked="0"/>
    </xf>
    <xf numFmtId="164" fontId="9" fillId="2" borderId="37" xfId="7" applyFont="1" applyFill="1" applyBorder="1" applyAlignment="1" applyProtection="1">
      <alignment horizontal="center" vertical="center" wrapText="1"/>
      <protection locked="0"/>
    </xf>
    <xf numFmtId="164" fontId="7" fillId="0" borderId="0" xfId="7" applyFont="1" applyAlignment="1" applyProtection="1">
      <alignment vertical="center"/>
      <protection locked="0"/>
    </xf>
    <xf numFmtId="164" fontId="5" fillId="0" borderId="0" xfId="7" applyFont="1" applyAlignment="1" applyProtection="1">
      <alignment vertical="center"/>
      <protection locked="0"/>
    </xf>
    <xf numFmtId="164" fontId="10" fillId="0" borderId="0" xfId="7" applyFont="1" applyAlignment="1" applyProtection="1">
      <alignment horizontal="center" vertical="center"/>
      <protection locked="0"/>
    </xf>
    <xf numFmtId="0" fontId="8" fillId="0" borderId="37" xfId="0" applyFont="1" applyBorder="1" applyAlignment="1">
      <alignment vertical="center"/>
      <protection locked="0"/>
    </xf>
    <xf numFmtId="43" fontId="5" fillId="2" borderId="0" xfId="0" applyNumberFormat="1" applyFont="1" applyFill="1" applyAlignment="1">
      <alignment vertical="center"/>
      <protection locked="0"/>
    </xf>
    <xf numFmtId="0" fontId="149" fillId="0" borderId="37" xfId="395" quotePrefix="1" applyFont="1" applyBorder="1" applyAlignment="1" applyProtection="1">
      <alignment horizontal="center" vertical="center"/>
      <protection locked="0"/>
    </xf>
    <xf numFmtId="0" fontId="149" fillId="0" borderId="20" xfId="395" quotePrefix="1" applyFont="1" applyBorder="1" applyAlignment="1">
      <alignment horizontal="center" vertical="center"/>
      <protection locked="0"/>
    </xf>
    <xf numFmtId="0" fontId="149" fillId="0" borderId="14" xfId="395" applyFont="1" applyBorder="1" applyAlignment="1">
      <alignment horizontal="center" vertical="center"/>
      <protection locked="0"/>
    </xf>
    <xf numFmtId="0" fontId="149" fillId="0" borderId="8" xfId="395" applyFont="1" applyBorder="1" applyAlignment="1">
      <alignment horizontal="center" vertical="center"/>
      <protection locked="0"/>
    </xf>
    <xf numFmtId="0" fontId="11" fillId="46" borderId="37" xfId="0" applyFont="1" applyFill="1" applyBorder="1" applyAlignment="1">
      <alignment horizontal="left" vertical="center"/>
      <protection locked="0"/>
    </xf>
    <xf numFmtId="0" fontId="143" fillId="0" borderId="37" xfId="395" quotePrefix="1" applyFont="1" applyBorder="1" applyAlignment="1" applyProtection="1">
      <alignment horizontal="center" vertical="center"/>
      <protection locked="0"/>
    </xf>
    <xf numFmtId="0" fontId="143" fillId="0" borderId="37" xfId="395" applyFont="1" applyBorder="1" applyAlignment="1" applyProtection="1">
      <alignment horizontal="center" vertical="center"/>
      <protection locked="0"/>
    </xf>
    <xf numFmtId="0" fontId="5" fillId="0" borderId="37" xfId="0" applyFont="1" applyBorder="1" applyAlignment="1">
      <alignment horizontal="left" vertical="center" wrapText="1"/>
      <protection locked="0"/>
    </xf>
    <xf numFmtId="0" fontId="8" fillId="0" borderId="37" xfId="0" applyFont="1" applyBorder="1" applyAlignment="1">
      <alignment horizontal="left" vertical="center" wrapText="1"/>
      <protection locked="0"/>
    </xf>
    <xf numFmtId="0" fontId="16" fillId="46" borderId="22" xfId="0" applyFont="1" applyFill="1" applyBorder="1" applyAlignment="1">
      <alignment horizontal="left" vertical="center"/>
      <protection locked="0"/>
    </xf>
    <xf numFmtId="0" fontId="16" fillId="46" borderId="23" xfId="0" applyFont="1" applyFill="1" applyBorder="1" applyAlignment="1">
      <alignment horizontal="left" vertical="center"/>
      <protection locked="0"/>
    </xf>
    <xf numFmtId="0" fontId="16" fillId="46" borderId="43" xfId="0" applyFont="1" applyFill="1" applyBorder="1" applyAlignment="1">
      <alignment horizontal="left" vertical="center"/>
      <protection locked="0"/>
    </xf>
    <xf numFmtId="0" fontId="9" fillId="0" borderId="37" xfId="0" applyFont="1" applyBorder="1" applyAlignment="1">
      <alignment horizontal="left" vertical="center" wrapText="1"/>
      <protection locked="0"/>
    </xf>
    <xf numFmtId="0" fontId="11" fillId="51" borderId="44" xfId="0" applyFont="1" applyFill="1" applyBorder="1" applyAlignment="1">
      <alignment horizontal="left" vertical="center"/>
      <protection locked="0"/>
    </xf>
    <xf numFmtId="0" fontId="11" fillId="51" borderId="36" xfId="0" applyFont="1" applyFill="1" applyBorder="1" applyAlignment="1">
      <alignment horizontal="left" vertical="center"/>
      <protection locked="0"/>
    </xf>
    <xf numFmtId="0" fontId="11" fillId="51" borderId="45" xfId="0" applyFont="1" applyFill="1" applyBorder="1" applyAlignment="1">
      <alignment horizontal="left" vertical="center"/>
      <protection locked="0"/>
    </xf>
    <xf numFmtId="0" fontId="11" fillId="51" borderId="37" xfId="0" applyFont="1" applyFill="1" applyBorder="1" applyAlignment="1">
      <alignment horizontal="left" vertical="center"/>
      <protection locked="0"/>
    </xf>
    <xf numFmtId="0" fontId="11" fillId="46" borderId="37" xfId="0" applyFont="1" applyFill="1" applyBorder="1" applyAlignment="1">
      <alignment horizontal="left" vertical="center" wrapText="1"/>
      <protection locked="0"/>
    </xf>
    <xf numFmtId="0" fontId="140" fillId="50" borderId="34" xfId="0" applyFont="1" applyFill="1" applyBorder="1" applyAlignment="1">
      <alignment horizontal="center" vertical="center" wrapText="1"/>
      <protection locked="0"/>
    </xf>
    <xf numFmtId="0" fontId="140" fillId="50" borderId="38" xfId="0" applyFont="1" applyFill="1" applyBorder="1" applyAlignment="1">
      <alignment horizontal="center" vertical="center" wrapText="1"/>
      <protection locked="0"/>
    </xf>
    <xf numFmtId="0" fontId="140" fillId="50" borderId="39" xfId="0" applyFont="1" applyFill="1" applyBorder="1" applyAlignment="1">
      <alignment horizontal="center" vertical="center" wrapText="1"/>
      <protection locked="0"/>
    </xf>
    <xf numFmtId="0" fontId="88" fillId="47" borderId="49" xfId="0" applyFont="1" applyFill="1" applyBorder="1" applyAlignment="1">
      <alignment horizontal="left" vertical="center" wrapText="1"/>
      <protection locked="0"/>
    </xf>
    <xf numFmtId="0" fontId="88" fillId="47" borderId="48" xfId="0" applyFont="1" applyFill="1" applyBorder="1" applyAlignment="1">
      <alignment horizontal="left" vertical="center" wrapText="1"/>
      <protection locked="0"/>
    </xf>
    <xf numFmtId="0" fontId="88" fillId="47" borderId="50" xfId="0" applyFont="1" applyFill="1" applyBorder="1" applyAlignment="1">
      <alignment horizontal="left" vertical="center" wrapText="1"/>
      <protection locked="0"/>
    </xf>
    <xf numFmtId="0" fontId="88" fillId="47" borderId="3" xfId="0" applyFont="1" applyFill="1" applyBorder="1" applyAlignment="1">
      <alignment horizontal="left" vertical="center" wrapText="1"/>
      <protection locked="0"/>
    </xf>
    <xf numFmtId="0" fontId="88" fillId="47" borderId="0" xfId="0" applyFont="1" applyFill="1" applyAlignment="1">
      <alignment horizontal="left" vertical="center" wrapText="1"/>
      <protection locked="0"/>
    </xf>
    <xf numFmtId="0" fontId="88" fillId="47" borderId="16" xfId="0" applyFont="1" applyFill="1" applyBorder="1" applyAlignment="1">
      <alignment horizontal="left" vertical="center" wrapText="1"/>
      <protection locked="0"/>
    </xf>
    <xf numFmtId="0" fontId="88" fillId="47" borderId="4" xfId="0" applyFont="1" applyFill="1" applyBorder="1" applyAlignment="1">
      <alignment horizontal="left" vertical="center" wrapText="1"/>
      <protection locked="0"/>
    </xf>
    <xf numFmtId="0" fontId="88" fillId="47" borderId="1" xfId="0" applyFont="1" applyFill="1" applyBorder="1" applyAlignment="1">
      <alignment horizontal="left" vertical="center" wrapText="1"/>
      <protection locked="0"/>
    </xf>
    <xf numFmtId="0" fontId="88" fillId="47" borderId="6" xfId="0" applyFont="1" applyFill="1" applyBorder="1" applyAlignment="1">
      <alignment horizontal="left" vertical="center" wrapText="1"/>
      <protection locked="0"/>
    </xf>
    <xf numFmtId="0" fontId="49" fillId="44" borderId="0" xfId="358" applyFont="1" applyFill="1" applyAlignment="1">
      <alignment horizontal="left" vertical="center" wrapText="1" indent="7"/>
    </xf>
    <xf numFmtId="0" fontId="49" fillId="44" borderId="27" xfId="358" applyFont="1" applyFill="1" applyBorder="1" applyAlignment="1">
      <alignment horizontal="left" vertical="center" wrapText="1" indent="7"/>
    </xf>
    <xf numFmtId="0" fontId="49" fillId="44" borderId="24" xfId="358" applyFont="1" applyFill="1" applyBorder="1" applyAlignment="1">
      <alignment horizontal="left" vertical="center" wrapText="1" indent="7"/>
    </xf>
    <xf numFmtId="0" fontId="49" fillId="44" borderId="25" xfId="358" applyFont="1" applyFill="1" applyBorder="1" applyAlignment="1">
      <alignment horizontal="left" vertical="center" wrapText="1" indent="7"/>
    </xf>
    <xf numFmtId="0" fontId="119" fillId="0" borderId="0" xfId="0" applyFont="1" applyAlignment="1" applyProtection="1">
      <alignment horizontal="left" vertical="center" wrapText="1"/>
    </xf>
    <xf numFmtId="0" fontId="7" fillId="41" borderId="44" xfId="0" applyFont="1" applyFill="1" applyBorder="1" applyAlignment="1">
      <alignment horizontal="center" vertical="center"/>
      <protection locked="0"/>
    </xf>
    <xf numFmtId="0" fontId="7" fillId="41" borderId="36" xfId="0" applyFont="1" applyFill="1" applyBorder="1" applyAlignment="1">
      <alignment horizontal="center" vertical="center"/>
      <protection locked="0"/>
    </xf>
    <xf numFmtId="0" fontId="7" fillId="41" borderId="45" xfId="0" applyFont="1" applyFill="1" applyBorder="1" applyAlignment="1">
      <alignment horizontal="center" vertical="center"/>
      <protection locked="0"/>
    </xf>
    <xf numFmtId="0" fontId="9" fillId="0" borderId="44" xfId="369" applyFont="1" applyBorder="1" applyAlignment="1" applyProtection="1">
      <alignment horizontal="left" vertical="center" wrapText="1"/>
      <protection locked="0"/>
    </xf>
    <xf numFmtId="0" fontId="9" fillId="0" borderId="36" xfId="369" applyFont="1" applyBorder="1" applyAlignment="1" applyProtection="1">
      <alignment horizontal="left" vertical="center" wrapText="1"/>
      <protection locked="0"/>
    </xf>
    <xf numFmtId="0" fontId="9" fillId="0" borderId="45" xfId="369" applyFont="1" applyBorder="1" applyAlignment="1" applyProtection="1">
      <alignment horizontal="left" vertical="center" wrapText="1"/>
      <protection locked="0"/>
    </xf>
    <xf numFmtId="0" fontId="11" fillId="52" borderId="44" xfId="0" applyFont="1" applyFill="1" applyBorder="1" applyAlignment="1" applyProtection="1">
      <alignment horizontal="center" vertical="center"/>
    </xf>
    <xf numFmtId="0" fontId="11" fillId="52" borderId="36" xfId="0" applyFont="1" applyFill="1" applyBorder="1" applyAlignment="1" applyProtection="1">
      <alignment horizontal="center" vertical="center"/>
    </xf>
    <xf numFmtId="0" fontId="11" fillId="52" borderId="45" xfId="0" applyFont="1" applyFill="1" applyBorder="1" applyAlignment="1" applyProtection="1">
      <alignment horizontal="center" vertical="center"/>
    </xf>
    <xf numFmtId="0" fontId="16" fillId="50" borderId="44" xfId="0" applyFont="1" applyFill="1" applyBorder="1" applyAlignment="1">
      <alignment horizontal="center" vertical="center"/>
      <protection locked="0"/>
    </xf>
    <xf numFmtId="0" fontId="16" fillId="50" borderId="36" xfId="0" applyFont="1" applyFill="1" applyBorder="1" applyAlignment="1">
      <alignment horizontal="center" vertical="center"/>
      <protection locked="0"/>
    </xf>
    <xf numFmtId="14" fontId="11" fillId="50" borderId="35" xfId="0" applyNumberFormat="1" applyFont="1" applyFill="1" applyBorder="1" applyAlignment="1">
      <alignment horizontal="center" vertical="center"/>
      <protection locked="0"/>
    </xf>
    <xf numFmtId="14" fontId="11" fillId="50" borderId="36" xfId="0" applyNumberFormat="1" applyFont="1" applyFill="1" applyBorder="1" applyAlignment="1">
      <alignment horizontal="center" vertical="center"/>
      <protection locked="0"/>
    </xf>
    <xf numFmtId="14" fontId="11" fillId="50" borderId="45" xfId="0" applyNumberFormat="1" applyFont="1" applyFill="1" applyBorder="1" applyAlignment="1">
      <alignment horizontal="center" vertical="center"/>
      <protection locked="0"/>
    </xf>
    <xf numFmtId="0" fontId="14" fillId="50" borderId="44" xfId="0" applyFont="1" applyFill="1" applyBorder="1" applyAlignment="1">
      <alignment horizontal="center" vertical="center"/>
      <protection locked="0"/>
    </xf>
    <xf numFmtId="0" fontId="14" fillId="50" borderId="46" xfId="0" applyFont="1" applyFill="1" applyBorder="1" applyAlignment="1">
      <alignment horizontal="center" vertical="center"/>
      <protection locked="0"/>
    </xf>
    <xf numFmtId="0" fontId="110" fillId="2" borderId="49" xfId="0" applyFont="1" applyFill="1" applyBorder="1" applyAlignment="1">
      <alignment horizontal="left" vertical="center" wrapText="1"/>
      <protection locked="0"/>
    </xf>
    <xf numFmtId="0" fontId="110" fillId="2" borderId="48" xfId="0" applyFont="1" applyFill="1" applyBorder="1" applyAlignment="1">
      <alignment horizontal="left" vertical="center" wrapText="1"/>
      <protection locked="0"/>
    </xf>
    <xf numFmtId="0" fontId="110" fillId="2" borderId="50" xfId="0" applyFont="1" applyFill="1" applyBorder="1" applyAlignment="1">
      <alignment horizontal="left" vertical="center" wrapText="1"/>
      <protection locked="0"/>
    </xf>
    <xf numFmtId="0" fontId="110" fillId="2" borderId="3" xfId="0" applyFont="1" applyFill="1" applyBorder="1" applyAlignment="1">
      <alignment horizontal="left" vertical="center" wrapText="1"/>
      <protection locked="0"/>
    </xf>
    <xf numFmtId="0" fontId="110" fillId="2" borderId="0" xfId="0" applyFont="1" applyFill="1" applyAlignment="1">
      <alignment horizontal="left" vertical="center" wrapText="1"/>
      <protection locked="0"/>
    </xf>
    <xf numFmtId="0" fontId="110" fillId="2" borderId="16" xfId="0" applyFont="1" applyFill="1" applyBorder="1" applyAlignment="1">
      <alignment horizontal="left" vertical="center" wrapText="1"/>
      <protection locked="0"/>
    </xf>
    <xf numFmtId="0" fontId="110" fillId="2" borderId="4" xfId="0" applyFont="1" applyFill="1" applyBorder="1" applyAlignment="1">
      <alignment horizontal="left" vertical="center" wrapText="1"/>
      <protection locked="0"/>
    </xf>
    <xf numFmtId="0" fontId="110" fillId="2" borderId="1" xfId="0" applyFont="1" applyFill="1" applyBorder="1" applyAlignment="1">
      <alignment horizontal="left" vertical="center" wrapText="1"/>
      <protection locked="0"/>
    </xf>
    <xf numFmtId="0" fontId="110" fillId="2" borderId="6" xfId="0" applyFont="1" applyFill="1" applyBorder="1" applyAlignment="1">
      <alignment horizontal="left" vertical="center" wrapText="1"/>
      <protection locked="0"/>
    </xf>
    <xf numFmtId="0" fontId="9" fillId="0" borderId="0" xfId="369" applyFont="1" applyAlignment="1" applyProtection="1">
      <alignment horizontal="center" vertical="center" wrapText="1"/>
      <protection locked="0"/>
    </xf>
    <xf numFmtId="0" fontId="11" fillId="0" borderId="0" xfId="0" applyFont="1" applyAlignment="1">
      <alignment horizontal="left" wrapText="1"/>
      <protection locked="0"/>
    </xf>
    <xf numFmtId="0" fontId="11" fillId="0" borderId="0" xfId="0" applyFont="1" applyAlignment="1" applyProtection="1">
      <alignment horizontal="left" vertical="center" wrapText="1"/>
    </xf>
    <xf numFmtId="0" fontId="176" fillId="0" borderId="0" xfId="0" applyFont="1">
      <protection locked="0"/>
    </xf>
    <xf numFmtId="0" fontId="5" fillId="2" borderId="0" xfId="175" applyFont="1" applyFill="1" applyAlignment="1" applyProtection="1">
      <alignment horizontal="left" vertical="center" wrapText="1"/>
      <protection locked="0"/>
    </xf>
    <xf numFmtId="0" fontId="173" fillId="0" borderId="49" xfId="7" applyNumberFormat="1" applyFont="1" applyFill="1" applyBorder="1" applyAlignment="1" applyProtection="1">
      <alignment horizontal="left" vertical="center" wrapText="1" shrinkToFit="1"/>
    </xf>
    <xf numFmtId="0" fontId="5" fillId="0" borderId="48" xfId="7" applyNumberFormat="1" applyFont="1" applyFill="1" applyBorder="1" applyAlignment="1" applyProtection="1">
      <alignment horizontal="left" vertical="center" wrapText="1" shrinkToFit="1"/>
    </xf>
    <xf numFmtId="0" fontId="5" fillId="0" borderId="50" xfId="7" applyNumberFormat="1" applyFont="1" applyFill="1" applyBorder="1" applyAlignment="1" applyProtection="1">
      <alignment horizontal="left" vertical="center" wrapText="1" shrinkToFit="1"/>
    </xf>
    <xf numFmtId="0" fontId="5" fillId="0" borderId="3" xfId="7" applyNumberFormat="1" applyFont="1" applyFill="1" applyBorder="1" applyAlignment="1" applyProtection="1">
      <alignment horizontal="left" vertical="center" wrapText="1" shrinkToFit="1"/>
    </xf>
    <xf numFmtId="0" fontId="5" fillId="0" borderId="0" xfId="7" applyNumberFormat="1" applyFont="1" applyFill="1" applyBorder="1" applyAlignment="1" applyProtection="1">
      <alignment horizontal="left" vertical="center" wrapText="1" shrinkToFit="1"/>
    </xf>
    <xf numFmtId="0" fontId="5" fillId="0" borderId="16" xfId="7" applyNumberFormat="1" applyFont="1" applyFill="1" applyBorder="1" applyAlignment="1" applyProtection="1">
      <alignment horizontal="left" vertical="center" wrapText="1" shrinkToFit="1"/>
    </xf>
    <xf numFmtId="0" fontId="5" fillId="0" borderId="4" xfId="7" applyNumberFormat="1" applyFont="1" applyFill="1" applyBorder="1" applyAlignment="1" applyProtection="1">
      <alignment horizontal="left" vertical="center" wrapText="1" shrinkToFit="1"/>
    </xf>
    <xf numFmtId="0" fontId="5" fillId="0" borderId="1" xfId="7" applyNumberFormat="1" applyFont="1" applyFill="1" applyBorder="1" applyAlignment="1" applyProtection="1">
      <alignment horizontal="left" vertical="center" wrapText="1" shrinkToFit="1"/>
    </xf>
    <xf numFmtId="0" fontId="5" fillId="0" borderId="6" xfId="7" applyNumberFormat="1" applyFont="1" applyFill="1" applyBorder="1" applyAlignment="1" applyProtection="1">
      <alignment horizontal="left" vertical="center" wrapText="1" shrinkToFit="1"/>
    </xf>
    <xf numFmtId="0" fontId="5" fillId="0" borderId="49" xfId="7" applyNumberFormat="1" applyFont="1" applyFill="1" applyBorder="1" applyAlignment="1" applyProtection="1">
      <alignment horizontal="left" vertical="center" wrapText="1" shrinkToFit="1"/>
    </xf>
    <xf numFmtId="0" fontId="6" fillId="52" borderId="44" xfId="0" applyFont="1" applyFill="1" applyBorder="1" applyAlignment="1">
      <alignment horizontal="center" vertical="center" wrapText="1"/>
      <protection locked="0"/>
    </xf>
    <xf numFmtId="0" fontId="6" fillId="52" borderId="45" xfId="0" applyFont="1" applyFill="1" applyBorder="1" applyAlignment="1">
      <alignment horizontal="center" vertical="center" wrapText="1"/>
      <protection locked="0"/>
    </xf>
    <xf numFmtId="0" fontId="122" fillId="41" borderId="44" xfId="0" applyFont="1" applyFill="1" applyBorder="1" applyAlignment="1">
      <alignment horizontal="left" vertical="center"/>
      <protection locked="0"/>
    </xf>
    <xf numFmtId="0" fontId="122" fillId="41" borderId="36" xfId="0" applyFont="1" applyFill="1" applyBorder="1" applyAlignment="1">
      <alignment horizontal="left" vertical="center"/>
      <protection locked="0"/>
    </xf>
    <xf numFmtId="0" fontId="122" fillId="41" borderId="45" xfId="0" applyFont="1" applyFill="1" applyBorder="1" applyAlignment="1">
      <alignment horizontal="left" vertical="center"/>
      <protection locked="0"/>
    </xf>
    <xf numFmtId="0" fontId="117" fillId="0" borderId="49" xfId="0" applyFont="1" applyBorder="1" applyAlignment="1">
      <alignment horizontal="left" vertical="center"/>
      <protection locked="0"/>
    </xf>
    <xf numFmtId="0" fontId="117" fillId="0" borderId="48" xfId="0" applyFont="1" applyBorder="1" applyAlignment="1">
      <alignment horizontal="left" vertical="center"/>
      <protection locked="0"/>
    </xf>
    <xf numFmtId="0" fontId="117" fillId="0" borderId="50" xfId="0" applyFont="1" applyBorder="1" applyAlignment="1">
      <alignment horizontal="left" vertical="center"/>
      <protection locked="0"/>
    </xf>
    <xf numFmtId="0" fontId="118" fillId="0" borderId="3" xfId="0" applyFont="1" applyBorder="1" applyAlignment="1">
      <alignment horizontal="left" vertical="center"/>
      <protection locked="0"/>
    </xf>
    <xf numFmtId="0" fontId="118" fillId="0" borderId="0" xfId="0" applyFont="1" applyAlignment="1">
      <alignment horizontal="left" vertical="center"/>
      <protection locked="0"/>
    </xf>
    <xf numFmtId="0" fontId="118" fillId="0" borderId="16" xfId="0" applyFont="1" applyBorder="1" applyAlignment="1">
      <alignment horizontal="left" vertical="center"/>
      <protection locked="0"/>
    </xf>
    <xf numFmtId="0" fontId="175" fillId="0" borderId="4" xfId="0" applyFont="1" applyBorder="1" applyAlignment="1">
      <alignment horizontal="left" vertical="center" wrapText="1"/>
      <protection locked="0"/>
    </xf>
    <xf numFmtId="0" fontId="9" fillId="0" borderId="1" xfId="0" applyFont="1" applyBorder="1" applyAlignment="1">
      <alignment horizontal="left" vertical="center"/>
      <protection locked="0"/>
    </xf>
    <xf numFmtId="0" fontId="9" fillId="0" borderId="6" xfId="0" applyFont="1" applyBorder="1" applyAlignment="1">
      <alignment horizontal="left" vertical="center"/>
      <protection locked="0"/>
    </xf>
    <xf numFmtId="0" fontId="154" fillId="53" borderId="0" xfId="394" applyFont="1" applyFill="1" applyAlignment="1">
      <alignment horizontal="left" vertical="center"/>
    </xf>
    <xf numFmtId="0" fontId="155" fillId="53" borderId="0" xfId="394" applyFont="1" applyFill="1" applyAlignment="1">
      <alignment horizontal="right" vertical="center" indent="2"/>
    </xf>
    <xf numFmtId="0" fontId="155" fillId="53" borderId="53" xfId="394" applyFont="1" applyFill="1" applyBorder="1" applyAlignment="1">
      <alignment horizontal="right" vertical="center" indent="2"/>
    </xf>
    <xf numFmtId="0" fontId="155" fillId="54" borderId="0" xfId="394" applyFont="1" applyFill="1" applyAlignment="1">
      <alignment horizontal="left" indent="1"/>
    </xf>
    <xf numFmtId="0" fontId="158" fillId="55" borderId="0" xfId="394" applyFont="1" applyFill="1" applyAlignment="1">
      <alignment horizontal="left" indent="1"/>
    </xf>
    <xf numFmtId="0" fontId="158" fillId="55" borderId="53" xfId="394" applyFont="1" applyFill="1" applyBorder="1" applyAlignment="1">
      <alignment horizontal="left" indent="1"/>
    </xf>
    <xf numFmtId="0" fontId="160" fillId="0" borderId="0" xfId="394" applyFont="1" applyAlignment="1">
      <alignment horizontal="left" vertical="top"/>
    </xf>
    <xf numFmtId="0" fontId="162" fillId="0" borderId="0" xfId="394" applyFont="1" applyAlignment="1">
      <alignment horizontal="left" vertical="top"/>
    </xf>
    <xf numFmtId="0" fontId="162" fillId="0" borderId="55" xfId="394" applyFont="1" applyBorder="1" applyAlignment="1">
      <alignment horizontal="left" vertical="top"/>
    </xf>
    <xf numFmtId="0" fontId="158" fillId="55" borderId="1" xfId="394" applyFont="1" applyFill="1" applyBorder="1" applyAlignment="1">
      <alignment horizontal="left" indent="1"/>
    </xf>
    <xf numFmtId="0" fontId="158" fillId="55" borderId="54" xfId="394" applyFont="1" applyFill="1" applyBorder="1" applyAlignment="1">
      <alignment horizontal="left" indent="1"/>
    </xf>
    <xf numFmtId="0" fontId="154" fillId="54" borderId="0" xfId="394" applyFont="1" applyFill="1" applyAlignment="1">
      <alignment horizontal="center" vertical="center"/>
    </xf>
    <xf numFmtId="0" fontId="122" fillId="0" borderId="0" xfId="394" applyFont="1" applyAlignment="1">
      <alignment horizontal="left" vertical="top"/>
    </xf>
    <xf numFmtId="0" fontId="161" fillId="0" borderId="0" xfId="394" applyFont="1" applyAlignment="1">
      <alignment horizontal="left" vertical="top"/>
    </xf>
    <xf numFmtId="0" fontId="160" fillId="0" borderId="0" xfId="394" applyFont="1" applyAlignment="1"/>
    <xf numFmtId="0" fontId="136" fillId="56" borderId="0" xfId="394" applyFont="1" applyFill="1" applyAlignment="1"/>
    <xf numFmtId="0" fontId="136" fillId="56" borderId="56" xfId="394" applyFont="1" applyFill="1" applyBorder="1" applyAlignment="1">
      <alignment horizontal="left"/>
    </xf>
    <xf numFmtId="0" fontId="87" fillId="0" borderId="0" xfId="394" applyFont="1" applyAlignment="1">
      <alignment horizontal="left"/>
    </xf>
    <xf numFmtId="0" fontId="158" fillId="0" borderId="58" xfId="394" applyFont="1" applyBorder="1" applyAlignment="1">
      <alignment horizontal="left"/>
    </xf>
    <xf numFmtId="0" fontId="158" fillId="0" borderId="59" xfId="394" applyFont="1" applyBorder="1" applyAlignment="1">
      <alignment horizontal="left"/>
    </xf>
    <xf numFmtId="0" fontId="158" fillId="0" borderId="57" xfId="394" applyFont="1" applyBorder="1" applyAlignment="1">
      <alignment horizontal="left"/>
    </xf>
    <xf numFmtId="0" fontId="158" fillId="0" borderId="57" xfId="394" applyFont="1" applyBorder="1" applyAlignment="1"/>
    <xf numFmtId="0" fontId="158" fillId="0" borderId="58" xfId="394" applyFont="1" applyBorder="1" applyAlignment="1">
      <alignment horizontal="center"/>
    </xf>
    <xf numFmtId="0" fontId="158" fillId="0" borderId="57" xfId="394" applyFont="1" applyBorder="1" applyAlignment="1">
      <alignment horizontal="center"/>
    </xf>
    <xf numFmtId="0" fontId="87" fillId="0" borderId="0" xfId="394" applyFont="1" applyAlignment="1"/>
    <xf numFmtId="0" fontId="170" fillId="0" borderId="0" xfId="394" applyFont="1" applyAlignment="1"/>
    <xf numFmtId="0" fontId="162" fillId="0" borderId="0" xfId="394" applyFont="1" applyAlignment="1">
      <alignment horizontal="left" vertical="top" wrapText="1"/>
    </xf>
    <xf numFmtId="0" fontId="87" fillId="0" borderId="0" xfId="394" applyFont="1" applyAlignment="1">
      <alignment horizontal="left" vertical="top" wrapText="1"/>
    </xf>
    <xf numFmtId="0" fontId="162" fillId="0" borderId="0" xfId="394" applyFont="1" applyAlignment="1">
      <alignment horizontal="right" vertical="top" wrapText="1"/>
    </xf>
    <xf numFmtId="0" fontId="159" fillId="54" borderId="0" xfId="394" applyFont="1" applyFill="1" applyAlignment="1">
      <alignment horizontal="center" vertical="center"/>
    </xf>
    <xf numFmtId="0" fontId="170" fillId="0" borderId="0" xfId="394" applyFont="1" applyAlignment="1">
      <alignment horizontal="left"/>
    </xf>
    <xf numFmtId="0" fontId="171" fillId="0" borderId="0" xfId="394" applyFont="1" applyAlignment="1">
      <alignment horizontal="left"/>
    </xf>
    <xf numFmtId="0" fontId="6" fillId="52" borderId="22" xfId="0" applyFont="1" applyFill="1" applyBorder="1" applyAlignment="1">
      <alignment horizontal="center" vertical="center" wrapText="1"/>
      <protection locked="0"/>
    </xf>
    <xf numFmtId="0" fontId="6" fillId="52" borderId="61" xfId="0" applyFont="1" applyFill="1" applyBorder="1" applyAlignment="1">
      <alignment horizontal="center" vertical="center" wrapText="1"/>
      <protection locked="0"/>
    </xf>
    <xf numFmtId="0" fontId="6" fillId="52" borderId="62" xfId="0" applyFont="1" applyFill="1" applyBorder="1" applyAlignment="1">
      <alignment horizontal="center" vertical="center" wrapText="1"/>
      <protection locked="0"/>
    </xf>
    <xf numFmtId="0" fontId="174" fillId="0" borderId="49" xfId="7" applyNumberFormat="1" applyFont="1" applyFill="1" applyBorder="1" applyAlignment="1" applyProtection="1">
      <alignment horizontal="left" vertical="center" wrapText="1" shrinkToFit="1"/>
    </xf>
    <xf numFmtId="0" fontId="110" fillId="0" borderId="26" xfId="7" applyNumberFormat="1" applyFont="1" applyFill="1" applyBorder="1" applyAlignment="1" applyProtection="1">
      <alignment horizontal="left" vertical="center" wrapText="1" shrinkToFit="1"/>
    </xf>
    <xf numFmtId="0" fontId="110" fillId="0" borderId="63" xfId="7" applyNumberFormat="1" applyFont="1" applyFill="1" applyBorder="1" applyAlignment="1" applyProtection="1">
      <alignment horizontal="left" vertical="center" wrapText="1" shrinkToFit="1"/>
    </xf>
    <xf numFmtId="0" fontId="110" fillId="0" borderId="64" xfId="7" applyNumberFormat="1" applyFont="1" applyFill="1" applyBorder="1" applyAlignment="1" applyProtection="1">
      <alignment horizontal="left" vertical="center" wrapText="1" shrinkToFit="1"/>
    </xf>
    <xf numFmtId="0" fontId="110" fillId="0" borderId="65" xfId="7" applyNumberFormat="1" applyFont="1" applyFill="1" applyBorder="1" applyAlignment="1" applyProtection="1">
      <alignment horizontal="left" vertical="center" wrapText="1" shrinkToFit="1"/>
    </xf>
    <xf numFmtId="0" fontId="110" fillId="0" borderId="49" xfId="7" applyNumberFormat="1" applyFont="1" applyFill="1" applyBorder="1" applyAlignment="1" applyProtection="1">
      <alignment horizontal="left" vertical="center" wrapText="1" shrinkToFit="1"/>
    </xf>
    <xf numFmtId="0" fontId="110" fillId="0" borderId="66" xfId="7" applyNumberFormat="1" applyFont="1" applyFill="1" applyBorder="1" applyAlignment="1" applyProtection="1">
      <alignment horizontal="left" vertical="center" wrapText="1" shrinkToFit="1"/>
    </xf>
    <xf numFmtId="0" fontId="110" fillId="0" borderId="33" xfId="7" applyNumberFormat="1" applyFont="1" applyFill="1" applyBorder="1" applyAlignment="1" applyProtection="1">
      <alignment horizontal="left" vertical="center" wrapText="1" shrinkToFit="1"/>
    </xf>
    <xf numFmtId="0" fontId="110" fillId="0" borderId="67" xfId="7" applyNumberFormat="1" applyFont="1" applyFill="1" applyBorder="1" applyAlignment="1" applyProtection="1">
      <alignment horizontal="left" vertical="center" wrapText="1" shrinkToFit="1"/>
    </xf>
    <xf numFmtId="0" fontId="110" fillId="0" borderId="68" xfId="7" applyNumberFormat="1" applyFont="1" applyFill="1" applyBorder="1" applyAlignment="1" applyProtection="1">
      <alignment horizontal="left" vertical="center" wrapText="1" shrinkToFit="1"/>
    </xf>
    <xf numFmtId="0" fontId="110" fillId="0" borderId="21" xfId="7" applyNumberFormat="1" applyFont="1" applyFill="1" applyBorder="1" applyAlignment="1" applyProtection="1">
      <alignment horizontal="left" vertical="center" wrapText="1" shrinkToFit="1"/>
    </xf>
    <xf numFmtId="0" fontId="110" fillId="0" borderId="30" xfId="7" applyNumberFormat="1" applyFont="1" applyFill="1" applyBorder="1" applyAlignment="1" applyProtection="1">
      <alignment horizontal="left" vertical="center" wrapText="1" shrinkToFit="1"/>
    </xf>
    <xf numFmtId="0" fontId="110" fillId="0" borderId="28" xfId="7" applyNumberFormat="1" applyFont="1" applyFill="1" applyBorder="1" applyAlignment="1" applyProtection="1">
      <alignment horizontal="left" vertical="center" wrapText="1" shrinkToFit="1"/>
    </xf>
    <xf numFmtId="0" fontId="110" fillId="0" borderId="0" xfId="7" applyNumberFormat="1" applyFont="1" applyFill="1" applyBorder="1" applyAlignment="1" applyProtection="1">
      <alignment horizontal="left" vertical="center" wrapText="1" shrinkToFit="1"/>
    </xf>
    <xf numFmtId="0" fontId="110" fillId="0" borderId="27" xfId="7" applyNumberFormat="1" applyFont="1" applyFill="1" applyBorder="1" applyAlignment="1" applyProtection="1">
      <alignment horizontal="left" vertical="center" wrapText="1" shrinkToFit="1"/>
    </xf>
    <xf numFmtId="0" fontId="110" fillId="0" borderId="29" xfId="7" applyNumberFormat="1" applyFont="1" applyFill="1" applyBorder="1" applyAlignment="1" applyProtection="1">
      <alignment horizontal="left" vertical="center" wrapText="1" shrinkToFit="1"/>
    </xf>
    <xf numFmtId="0" fontId="110" fillId="0" borderId="24" xfId="7" applyNumberFormat="1" applyFont="1" applyFill="1" applyBorder="1" applyAlignment="1" applyProtection="1">
      <alignment horizontal="left" vertical="center" wrapText="1" shrinkToFit="1"/>
    </xf>
    <xf numFmtId="0" fontId="110" fillId="0" borderId="25" xfId="7" applyNumberFormat="1" applyFont="1" applyFill="1" applyBorder="1" applyAlignment="1" applyProtection="1">
      <alignment horizontal="left" vertical="center" wrapText="1" shrinkToFit="1"/>
    </xf>
    <xf numFmtId="0" fontId="9" fillId="2" borderId="0" xfId="0" applyFont="1" applyFill="1" applyAlignment="1">
      <alignment horizontal="left" vertical="center"/>
      <protection locked="0"/>
    </xf>
    <xf numFmtId="0" fontId="8" fillId="2" borderId="0" xfId="175" applyFont="1" applyFill="1" applyAlignment="1" applyProtection="1">
      <alignment horizontal="left" vertical="center" wrapText="1"/>
      <protection locked="0"/>
    </xf>
    <xf numFmtId="0" fontId="0" fillId="0" borderId="0" xfId="0">
      <protection locked="0"/>
    </xf>
    <xf numFmtId="0" fontId="110" fillId="0" borderId="44" xfId="7" applyNumberFormat="1" applyFont="1" applyFill="1" applyBorder="1" applyAlignment="1" applyProtection="1">
      <alignment horizontal="center" vertical="center" wrapText="1" shrinkToFit="1"/>
    </xf>
    <xf numFmtId="0" fontId="110" fillId="0" borderId="45" xfId="7" applyNumberFormat="1" applyFont="1" applyFill="1" applyBorder="1" applyAlignment="1" applyProtection="1">
      <alignment horizontal="center" vertical="center" wrapText="1" shrinkToFit="1"/>
    </xf>
    <xf numFmtId="0" fontId="110" fillId="0" borderId="48" xfId="7" applyNumberFormat="1" applyFont="1" applyFill="1" applyBorder="1" applyAlignment="1" applyProtection="1">
      <alignment horizontal="left" vertical="center" wrapText="1" shrinkToFit="1"/>
    </xf>
    <xf numFmtId="0" fontId="110" fillId="0" borderId="50" xfId="7" applyNumberFormat="1" applyFont="1" applyFill="1" applyBorder="1" applyAlignment="1" applyProtection="1">
      <alignment horizontal="left" vertical="center" wrapText="1" shrinkToFit="1"/>
    </xf>
    <xf numFmtId="0" fontId="110" fillId="0" borderId="3" xfId="7" applyNumberFormat="1" applyFont="1" applyFill="1" applyBorder="1" applyAlignment="1" applyProtection="1">
      <alignment horizontal="left" vertical="center" wrapText="1" shrinkToFit="1"/>
    </xf>
    <xf numFmtId="0" fontId="110" fillId="0" borderId="16" xfId="7" applyNumberFormat="1" applyFont="1" applyFill="1" applyBorder="1" applyAlignment="1" applyProtection="1">
      <alignment horizontal="left" vertical="center" wrapText="1" shrinkToFit="1"/>
    </xf>
    <xf numFmtId="0" fontId="110" fillId="0" borderId="4" xfId="7" applyNumberFormat="1" applyFont="1" applyFill="1" applyBorder="1" applyAlignment="1" applyProtection="1">
      <alignment horizontal="left" vertical="center" wrapText="1" shrinkToFit="1"/>
    </xf>
    <xf numFmtId="0" fontId="110" fillId="0" borderId="1" xfId="7" applyNumberFormat="1" applyFont="1" applyFill="1" applyBorder="1" applyAlignment="1" applyProtection="1">
      <alignment horizontal="left" vertical="center" wrapText="1" shrinkToFit="1"/>
    </xf>
    <xf numFmtId="0" fontId="110" fillId="0" borderId="6" xfId="7" applyNumberFormat="1" applyFont="1" applyFill="1" applyBorder="1" applyAlignment="1" applyProtection="1">
      <alignment horizontal="left" vertical="center" wrapText="1" shrinkToFit="1"/>
    </xf>
    <xf numFmtId="49" fontId="110" fillId="0" borderId="49" xfId="7" applyNumberFormat="1" applyFont="1" applyFill="1" applyBorder="1" applyAlignment="1" applyProtection="1">
      <alignment horizontal="left" vertical="center" wrapText="1" shrinkToFit="1"/>
    </xf>
    <xf numFmtId="49" fontId="110" fillId="0" borderId="48" xfId="7" applyNumberFormat="1" applyFont="1" applyFill="1" applyBorder="1" applyAlignment="1" applyProtection="1">
      <alignment horizontal="left" vertical="center" wrapText="1" shrinkToFit="1"/>
    </xf>
    <xf numFmtId="49" fontId="110" fillId="0" borderId="50" xfId="7" applyNumberFormat="1" applyFont="1" applyFill="1" applyBorder="1" applyAlignment="1" applyProtection="1">
      <alignment horizontal="left" vertical="center" wrapText="1" shrinkToFit="1"/>
    </xf>
    <xf numFmtId="49" fontId="110" fillId="0" borderId="3" xfId="7" applyNumberFormat="1" applyFont="1" applyFill="1" applyBorder="1" applyAlignment="1" applyProtection="1">
      <alignment horizontal="left" vertical="center" wrapText="1" shrinkToFit="1"/>
    </xf>
    <xf numFmtId="49" fontId="110" fillId="0" borderId="0" xfId="7" applyNumberFormat="1" applyFont="1" applyFill="1" applyBorder="1" applyAlignment="1" applyProtection="1">
      <alignment horizontal="left" vertical="center" wrapText="1" shrinkToFit="1"/>
    </xf>
    <xf numFmtId="49" fontId="110" fillId="0" borderId="16" xfId="7" applyNumberFormat="1" applyFont="1" applyFill="1" applyBorder="1" applyAlignment="1" applyProtection="1">
      <alignment horizontal="left" vertical="center" wrapText="1" shrinkToFit="1"/>
    </xf>
    <xf numFmtId="49" fontId="110" fillId="0" borderId="4" xfId="7" applyNumberFormat="1" applyFont="1" applyFill="1" applyBorder="1" applyAlignment="1" applyProtection="1">
      <alignment horizontal="left" vertical="center" wrapText="1" shrinkToFit="1"/>
    </xf>
    <xf numFmtId="49" fontId="110" fillId="0" borderId="1" xfId="7" applyNumberFormat="1" applyFont="1" applyFill="1" applyBorder="1" applyAlignment="1" applyProtection="1">
      <alignment horizontal="left" vertical="center" wrapText="1" shrinkToFit="1"/>
    </xf>
    <xf numFmtId="49" fontId="110" fillId="0" borderId="6" xfId="7" applyNumberFormat="1" applyFont="1" applyFill="1" applyBorder="1" applyAlignment="1" applyProtection="1">
      <alignment horizontal="left" vertical="center" wrapText="1" shrinkToFit="1"/>
    </xf>
    <xf numFmtId="0" fontId="11" fillId="41" borderId="44" xfId="370" applyFont="1" applyFill="1" applyBorder="1" applyAlignment="1">
      <alignment horizontal="left" vertical="center"/>
      <protection locked="0"/>
    </xf>
    <xf numFmtId="0" fontId="11" fillId="41" borderId="36" xfId="370" applyFont="1" applyFill="1" applyBorder="1" applyAlignment="1">
      <alignment horizontal="left" vertical="center"/>
      <protection locked="0"/>
    </xf>
    <xf numFmtId="0" fontId="11" fillId="41" borderId="45" xfId="370" applyFont="1" applyFill="1" applyBorder="1" applyAlignment="1">
      <alignment horizontal="left" vertical="center"/>
      <protection locked="0"/>
    </xf>
    <xf numFmtId="0" fontId="9" fillId="0" borderId="4" xfId="370" applyFont="1" applyBorder="1" applyAlignment="1">
      <alignment horizontal="left" vertical="top" wrapText="1"/>
      <protection locked="0"/>
    </xf>
    <xf numFmtId="0" fontId="9" fillId="0" borderId="1" xfId="370" applyFont="1" applyBorder="1" applyAlignment="1">
      <alignment horizontal="left" vertical="top" wrapText="1"/>
      <protection locked="0"/>
    </xf>
    <xf numFmtId="0" fontId="9" fillId="0" borderId="6" xfId="370" applyFont="1" applyBorder="1" applyAlignment="1">
      <alignment horizontal="left" vertical="top" wrapText="1"/>
      <protection locked="0"/>
    </xf>
    <xf numFmtId="0" fontId="181" fillId="0" borderId="37" xfId="7" applyNumberFormat="1" applyFont="1" applyFill="1" applyBorder="1" applyAlignment="1" applyProtection="1">
      <alignment horizontal="left" vertical="center" wrapText="1" shrinkToFit="1"/>
    </xf>
    <xf numFmtId="0" fontId="75" fillId="0" borderId="49" xfId="7" applyNumberFormat="1" applyFont="1" applyFill="1" applyBorder="1" applyAlignment="1" applyProtection="1">
      <alignment horizontal="left" vertical="center" wrapText="1" shrinkToFit="1"/>
    </xf>
    <xf numFmtId="14" fontId="8" fillId="0" borderId="37" xfId="0" applyNumberFormat="1" applyFont="1" applyBorder="1" applyAlignment="1">
      <alignment horizontal="left" vertical="center"/>
      <protection locked="0"/>
    </xf>
    <xf numFmtId="0" fontId="182" fillId="2" borderId="0" xfId="0" applyNumberFormat="1" applyFont="1" applyFill="1" applyAlignment="1">
      <alignment horizontal="right"/>
      <protection locked="0"/>
    </xf>
  </cellXfs>
  <cellStyles count="397">
    <cellStyle name="_x000a_mouse.drv=lm" xfId="11" xr:uid="{00000000-0005-0000-0000-000014000000}"/>
    <cellStyle name="0%" xfId="17" xr:uid="{00000000-0005-0000-0000-000023000000}"/>
    <cellStyle name="0.0%" xfId="24" xr:uid="{00000000-0005-0000-0000-00003B000000}"/>
    <cellStyle name="0.00%" xfId="37" xr:uid="{00000000-0005-0000-0000-000053000000}"/>
    <cellStyle name="00" xfId="38" xr:uid="{00000000-0005-0000-0000-000054000000}"/>
    <cellStyle name="Accent1" xfId="42" xr:uid="{00000000-0005-0000-0000-000058000000}"/>
    <cellStyle name="Accent1 - 20%" xfId="35" xr:uid="{00000000-0005-0000-0000-000051000000}"/>
    <cellStyle name="Accent1 - 40%" xfId="43" xr:uid="{00000000-0005-0000-0000-000059000000}"/>
    <cellStyle name="Accent1 - 60%" xfId="44" xr:uid="{00000000-0005-0000-0000-00005A000000}"/>
    <cellStyle name="Accent1_RESULTS" xfId="2" xr:uid="{00000000-0005-0000-0000-000004000000}"/>
    <cellStyle name="Accent2" xfId="39" xr:uid="{00000000-0005-0000-0000-000055000000}"/>
    <cellStyle name="Accent2 - 20%" xfId="47" xr:uid="{00000000-0005-0000-0000-00005D000000}"/>
    <cellStyle name="Accent2 - 40%" xfId="6" xr:uid="{00000000-0005-0000-0000-00000B000000}"/>
    <cellStyle name="Accent2 - 60%" xfId="9" xr:uid="{00000000-0005-0000-0000-000011000000}"/>
    <cellStyle name="Accent2_RESULTS" xfId="50" xr:uid="{00000000-0005-0000-0000-000060000000}"/>
    <cellStyle name="Accent3" xfId="53" xr:uid="{00000000-0005-0000-0000-000063000000}"/>
    <cellStyle name="Accent3 - 20%" xfId="55" xr:uid="{00000000-0005-0000-0000-000065000000}"/>
    <cellStyle name="Accent3 - 40%" xfId="57" xr:uid="{00000000-0005-0000-0000-000067000000}"/>
    <cellStyle name="Accent3 - 60%" xfId="58" xr:uid="{00000000-0005-0000-0000-000068000000}"/>
    <cellStyle name="Accent3_RESULTS" xfId="23" xr:uid="{00000000-0005-0000-0000-000036000000}"/>
    <cellStyle name="Accent4" xfId="60" xr:uid="{00000000-0005-0000-0000-00006A000000}"/>
    <cellStyle name="Accent4 - 20%" xfId="61" xr:uid="{00000000-0005-0000-0000-00006B000000}"/>
    <cellStyle name="Accent4 - 40%" xfId="64" xr:uid="{00000000-0005-0000-0000-00006E000000}"/>
    <cellStyle name="Accent4 - 60%" xfId="66" xr:uid="{00000000-0005-0000-0000-000070000000}"/>
    <cellStyle name="Accent4_RESULTS" xfId="67" xr:uid="{00000000-0005-0000-0000-000071000000}"/>
    <cellStyle name="Accent5" xfId="68" xr:uid="{00000000-0005-0000-0000-000072000000}"/>
    <cellStyle name="Accent5 - 20%" xfId="69" xr:uid="{00000000-0005-0000-0000-000073000000}"/>
    <cellStyle name="Accent5 - 40%" xfId="71" xr:uid="{00000000-0005-0000-0000-000075000000}"/>
    <cellStyle name="Accent5 - 60%" xfId="72" xr:uid="{00000000-0005-0000-0000-000076000000}"/>
    <cellStyle name="Accent5_RESULTS" xfId="73" xr:uid="{00000000-0005-0000-0000-000077000000}"/>
    <cellStyle name="Accent6" xfId="74" xr:uid="{00000000-0005-0000-0000-000078000000}"/>
    <cellStyle name="Accent6 - 20%" xfId="76" xr:uid="{00000000-0005-0000-0000-00007A000000}"/>
    <cellStyle name="Accent6 - 40%" xfId="78" xr:uid="{00000000-0005-0000-0000-00007C000000}"/>
    <cellStyle name="Accent6 - 60%" xfId="81" xr:uid="{00000000-0005-0000-0000-00007F000000}"/>
    <cellStyle name="Accent6_RESULTS" xfId="82" xr:uid="{00000000-0005-0000-0000-000080000000}"/>
    <cellStyle name="Calc Currency (0)" xfId="84" xr:uid="{00000000-0005-0000-0000-000082000000}"/>
    <cellStyle name="category" xfId="86" xr:uid="{00000000-0005-0000-0000-000084000000}"/>
    <cellStyle name="Check Cell 2" xfId="87" xr:uid="{00000000-0005-0000-0000-000085000000}"/>
    <cellStyle name="Col Heads" xfId="90" xr:uid="{00000000-0005-0000-0000-000088000000}"/>
    <cellStyle name="Comma  - Style1" xfId="92" xr:uid="{00000000-0005-0000-0000-00008A000000}"/>
    <cellStyle name="Comma  - Style2" xfId="54" xr:uid="{00000000-0005-0000-0000-000064000000}"/>
    <cellStyle name="Comma  - Style3" xfId="85" xr:uid="{00000000-0005-0000-0000-000083000000}"/>
    <cellStyle name="Comma  - Style4" xfId="93" xr:uid="{00000000-0005-0000-0000-00008B000000}"/>
    <cellStyle name="Comma  - Style5" xfId="96" xr:uid="{00000000-0005-0000-0000-00008E000000}"/>
    <cellStyle name="Comma  - Style6" xfId="98" xr:uid="{00000000-0005-0000-0000-000090000000}"/>
    <cellStyle name="Comma  - Style7" xfId="99" xr:uid="{00000000-0005-0000-0000-000091000000}"/>
    <cellStyle name="Comma  - Style8" xfId="101" xr:uid="{00000000-0005-0000-0000-000093000000}"/>
    <cellStyle name="Comma [0] 2" xfId="103" xr:uid="{00000000-0005-0000-0000-000095000000}"/>
    <cellStyle name="Comma [0] 2 2" xfId="105" xr:uid="{00000000-0005-0000-0000-000097000000}"/>
    <cellStyle name="Comma [0] 2 2 2" xfId="106" xr:uid="{00000000-0005-0000-0000-000098000000}"/>
    <cellStyle name="Comma [0] 2 2 2 2" xfId="108" xr:uid="{00000000-0005-0000-0000-00009A000000}"/>
    <cellStyle name="Comma [0] 2 2 2 2 2" xfId="41" xr:uid="{00000000-0005-0000-0000-000057000000}"/>
    <cellStyle name="Comma [0] 2 2 2 3" xfId="110" xr:uid="{00000000-0005-0000-0000-00009C000000}"/>
    <cellStyle name="Comma [0] 2 2 3" xfId="111" xr:uid="{00000000-0005-0000-0000-00009D000000}"/>
    <cellStyle name="Comma [0] 2 3" xfId="112" xr:uid="{00000000-0005-0000-0000-00009E000000}"/>
    <cellStyle name="Comma [0] 2 4" xfId="385" xr:uid="{CD147414-7A7D-4309-AA72-C565B881156E}"/>
    <cellStyle name="Comma [0] 3" xfId="8" xr:uid="{00000000-0005-0000-0000-00000F000000}"/>
    <cellStyle name="Comma [0] 3 2" xfId="116" xr:uid="{00000000-0005-0000-0000-0000A2000000}"/>
    <cellStyle name="Comma 10 2" xfId="95" xr:uid="{00000000-0005-0000-0000-00008D000000}"/>
    <cellStyle name="Comma 10 2 2" xfId="119" xr:uid="{00000000-0005-0000-0000-0000A5000000}"/>
    <cellStyle name="Comma 2" xfId="15" xr:uid="{00000000-0005-0000-0000-00001B000000}"/>
    <cellStyle name="Comma 2 2" xfId="121" xr:uid="{00000000-0005-0000-0000-0000A7000000}"/>
    <cellStyle name="Comma 2 2 2" xfId="123" xr:uid="{00000000-0005-0000-0000-0000A9000000}"/>
    <cellStyle name="Comma 2 3" xfId="118" xr:uid="{00000000-0005-0000-0000-0000A4000000}"/>
    <cellStyle name="Comma 3" xfId="126" xr:uid="{00000000-0005-0000-0000-0000AC000000}"/>
    <cellStyle name="Comma 3 2" xfId="127" xr:uid="{00000000-0005-0000-0000-0000AD000000}"/>
    <cellStyle name="Comma 4" xfId="129" xr:uid="{00000000-0005-0000-0000-0000AF000000}"/>
    <cellStyle name="Comma 4 2" xfId="130" xr:uid="{00000000-0005-0000-0000-0000B0000000}"/>
    <cellStyle name="Comma 4 3" xfId="373" xr:uid="{6AA4C917-508F-4D15-8A1F-961C33766CA5}"/>
    <cellStyle name="Comma 4 4" xfId="357" xr:uid="{475D33FA-980B-4D3E-A96B-BB377C7C14AC}"/>
    <cellStyle name="Comma 47" xfId="396" xr:uid="{61668CE4-E609-49D3-80DB-16335576D242}"/>
    <cellStyle name="Comma 5" xfId="131" xr:uid="{00000000-0005-0000-0000-0000B1000000}"/>
    <cellStyle name="Comma 5 2" xfId="133" xr:uid="{00000000-0005-0000-0000-0000B3000000}"/>
    <cellStyle name="Comma 5 2 2" xfId="134" xr:uid="{00000000-0005-0000-0000-0000B4000000}"/>
    <cellStyle name="Comma 5 3" xfId="135" xr:uid="{00000000-0005-0000-0000-0000B5000000}"/>
    <cellStyle name="Comma 6" xfId="378" xr:uid="{3E9E3886-D4D1-4672-AEED-5C44AEDE9C22}"/>
    <cellStyle name="Comma 6 2 2 3" xfId="364" xr:uid="{1611D3B9-B199-4A57-8454-85C7B28E848F}"/>
    <cellStyle name="Comma 7" xfId="381" xr:uid="{E883D726-B311-4F66-9CC8-102935745A9D}"/>
    <cellStyle name="comma zerodec" xfId="49" xr:uid="{00000000-0005-0000-0000-00005F000000}"/>
    <cellStyle name="Comma,0" xfId="136" xr:uid="{00000000-0005-0000-0000-0000B6000000}"/>
    <cellStyle name="Comma,1" xfId="138" xr:uid="{00000000-0005-0000-0000-0000B8000000}"/>
    <cellStyle name="Comma,2" xfId="140" xr:uid="{00000000-0005-0000-0000-0000BA000000}"/>
    <cellStyle name="Comma_A 8 2a CAL - Interim 2 2" xfId="383" xr:uid="{46EEA1D4-DB6B-43DE-89F9-E3F37BD8242D}"/>
    <cellStyle name="Currency 5" xfId="387" xr:uid="{1CBE1C47-1E32-4335-802F-B249F7B3C806}"/>
    <cellStyle name="Currency,0" xfId="141" xr:uid="{00000000-0005-0000-0000-0000BB000000}"/>
    <cellStyle name="Currency,2" xfId="142" xr:uid="{00000000-0005-0000-0000-0000BC000000}"/>
    <cellStyle name="Currency1" xfId="143" xr:uid="{00000000-0005-0000-0000-0000BD000000}"/>
    <cellStyle name="Dollar (zero dec)" xfId="145" xr:uid="{00000000-0005-0000-0000-0000BF000000}"/>
    <cellStyle name="entry" xfId="14" xr:uid="{00000000-0005-0000-0000-000018000000}"/>
    <cellStyle name="entry box" xfId="146" xr:uid="{00000000-0005-0000-0000-0000C0000000}"/>
    <cellStyle name="Euro" xfId="147" xr:uid="{00000000-0005-0000-0000-0000C1000000}"/>
    <cellStyle name="Good 2" xfId="148" xr:uid="{00000000-0005-0000-0000-0000C2000000}"/>
    <cellStyle name="Grey" xfId="149" xr:uid="{00000000-0005-0000-0000-0000C3000000}"/>
    <cellStyle name="HEADER" xfId="151" xr:uid="{00000000-0005-0000-0000-0000C5000000}"/>
    <cellStyle name="Header1" xfId="153" xr:uid="{00000000-0005-0000-0000-0000C7000000}"/>
    <cellStyle name="Header2" xfId="154" xr:uid="{00000000-0005-0000-0000-0000C8000000}"/>
    <cellStyle name="Hyperlink" xfId="395" xr:uid="{00000000-000B-0000-0000-000008000000}"/>
    <cellStyle name="Hyperlink 2" xfId="26" xr:uid="{00000000-0005-0000-0000-00003E000000}"/>
    <cellStyle name="Hyperlink 2 2" xfId="156" xr:uid="{00000000-0005-0000-0000-0000CA000000}"/>
    <cellStyle name="Hyperlink 3" xfId="30" xr:uid="{00000000-0005-0000-0000-000043000000}"/>
    <cellStyle name="Hyperlink 4" xfId="31" xr:uid="{00000000-0005-0000-0000-000047000000}"/>
    <cellStyle name="Input [yellow]" xfId="158" xr:uid="{00000000-0005-0000-0000-0000CC000000}"/>
    <cellStyle name="Model" xfId="159" xr:uid="{00000000-0005-0000-0000-0000CD000000}"/>
    <cellStyle name="Model 2" xfId="161" xr:uid="{00000000-0005-0000-0000-0000CF000000}"/>
    <cellStyle name="Normal - Style1" xfId="162" xr:uid="{00000000-0005-0000-0000-0000D0000000}"/>
    <cellStyle name="Normal 10" xfId="390" xr:uid="{FC9AEF22-5178-4B92-8A23-362302653E80}"/>
    <cellStyle name="Normal 10 10" xfId="164" xr:uid="{00000000-0005-0000-0000-0000D2000000}"/>
    <cellStyle name="Normal 103" xfId="165" xr:uid="{00000000-0005-0000-0000-0000D3000000}"/>
    <cellStyle name="Normal 103 2" xfId="89" xr:uid="{00000000-0005-0000-0000-000087000000}"/>
    <cellStyle name="Normal 103 3" xfId="359" xr:uid="{B0646ADC-6CC7-4A20-A82F-0D1045396098}"/>
    <cellStyle name="Normal 12 2" xfId="65" xr:uid="{00000000-0005-0000-0000-00006F000000}"/>
    <cellStyle name="Normal 121 2" xfId="166" xr:uid="{00000000-0005-0000-0000-0000D4000000}"/>
    <cellStyle name="Normal 121 2 2" xfId="167" xr:uid="{00000000-0005-0000-0000-0000D5000000}"/>
    <cellStyle name="Normal 121 2 2 2" xfId="170" xr:uid="{00000000-0005-0000-0000-0000D8000000}"/>
    <cellStyle name="Normal 121 2 2 2 2" xfId="171" xr:uid="{00000000-0005-0000-0000-0000D9000000}"/>
    <cellStyle name="Normal 121 2 2 2 4" xfId="367" xr:uid="{148023CC-3679-4D2B-A141-94A46DC78140}"/>
    <cellStyle name="Normal 121 2 3" xfId="172" xr:uid="{00000000-0005-0000-0000-0000DA000000}"/>
    <cellStyle name="Normal 121 2 4" xfId="56" xr:uid="{00000000-0005-0000-0000-000066000000}"/>
    <cellStyle name="Normal 121 4" xfId="362" xr:uid="{958E68C0-3279-4FD7-88C3-4975FC3B152C}"/>
    <cellStyle name="Normal 13" xfId="173" xr:uid="{00000000-0005-0000-0000-0000DB000000}"/>
    <cellStyle name="Normal 15 2" xfId="358" xr:uid="{8EE77D3E-82C0-4938-BB20-B585F06B6082}"/>
    <cellStyle name="Normal 17" xfId="363" xr:uid="{33F509A9-8D8E-4324-A335-0D037D700016}"/>
    <cellStyle name="Normal 182 2" xfId="174" xr:uid="{00000000-0005-0000-0000-0000DC000000}"/>
    <cellStyle name="Normal 2" xfId="175" xr:uid="{00000000-0005-0000-0000-0000DD000000}"/>
    <cellStyle name="Normal 2 10" xfId="360" xr:uid="{CF57AA9A-0F72-47D3-9396-E1DC1A308D1F}"/>
    <cellStyle name="Normal 2 10 2" xfId="176" xr:uid="{00000000-0005-0000-0000-0000DE000000}"/>
    <cellStyle name="Normal 2 2" xfId="178" xr:uid="{00000000-0005-0000-0000-0000E0000000}"/>
    <cellStyle name="Normal 2 2 2" xfId="144" xr:uid="{00000000-0005-0000-0000-0000BE000000}"/>
    <cellStyle name="Normal 2 2 2 2" xfId="366" xr:uid="{BA0DA987-906D-4A78-A96D-EDEBD92625E0}"/>
    <cellStyle name="Normal 2 2 3" xfId="368" xr:uid="{B76C735C-AFFA-43D6-8F9C-872DB28D6E79}"/>
    <cellStyle name="Normal 2 2 3 2" xfId="179" xr:uid="{00000000-0005-0000-0000-0000E1000000}"/>
    <cellStyle name="Normal 2 2 3 3" xfId="380" xr:uid="{B8A70E04-F853-4FF1-BD4D-E6050F788D1A}"/>
    <cellStyle name="Normal 2 2 4" xfId="369" xr:uid="{F38FDDA2-86EA-4485-8928-4AACD0BCCB3C}"/>
    <cellStyle name="Normal 2 2 4 2" xfId="382" xr:uid="{9FA97E5C-66B8-490C-913B-12EF5C951F01}"/>
    <cellStyle name="Normal 2 3" xfId="180" xr:uid="{00000000-0005-0000-0000-0000E2000000}"/>
    <cellStyle name="Normal 2 3 2" xfId="181" xr:uid="{00000000-0005-0000-0000-0000E3000000}"/>
    <cellStyle name="Normal 2 3 2 2" xfId="21" xr:uid="{00000000-0005-0000-0000-000030000000}"/>
    <cellStyle name="Normal 2 3 2 2 2" xfId="94" xr:uid="{00000000-0005-0000-0000-00008C000000}"/>
    <cellStyle name="Normal 2 3 2 2 3" xfId="97" xr:uid="{00000000-0005-0000-0000-00008F000000}"/>
    <cellStyle name="Normal 2 3 3" xfId="183" xr:uid="{00000000-0005-0000-0000-0000E5000000}"/>
    <cellStyle name="Normal 2 3 3 2" xfId="184" xr:uid="{00000000-0005-0000-0000-0000E6000000}"/>
    <cellStyle name="Normal 2 3 4" xfId="186" xr:uid="{00000000-0005-0000-0000-0000E8000000}"/>
    <cellStyle name="Normal 2 3 6 2" xfId="393" xr:uid="{9439D43B-4145-4F61-848A-A3796010DA7B}"/>
    <cellStyle name="Normal 2 4" xfId="187" xr:uid="{00000000-0005-0000-0000-0000E9000000}"/>
    <cellStyle name="Normal 2 5" xfId="377" xr:uid="{D5970947-DD0E-4075-BE43-31BC6ED085DC}"/>
    <cellStyle name="Normal 3" xfId="188" xr:uid="{00000000-0005-0000-0000-0000EA000000}"/>
    <cellStyle name="Normal 3 2" xfId="189" xr:uid="{00000000-0005-0000-0000-0000EB000000}"/>
    <cellStyle name="Normal 3 2 2 2 2" xfId="191" xr:uid="{00000000-0005-0000-0000-0000ED000000}"/>
    <cellStyle name="Normal 4" xfId="194" xr:uid="{00000000-0005-0000-0000-0000F0000000}"/>
    <cellStyle name="Normal 4 2" xfId="196" xr:uid="{00000000-0005-0000-0000-0000F2000000}"/>
    <cellStyle name="Normal 4 3" xfId="197" xr:uid="{00000000-0005-0000-0000-0000F3000000}"/>
    <cellStyle name="Normal 5" xfId="199" xr:uid="{00000000-0005-0000-0000-0000F5000000}"/>
    <cellStyle name="Normal 5 2" xfId="46" xr:uid="{00000000-0005-0000-0000-00005C000000}"/>
    <cellStyle name="Normal 5 3" xfId="200" xr:uid="{00000000-0005-0000-0000-0000F6000000}"/>
    <cellStyle name="Normal 5 4" xfId="375" xr:uid="{66E0EFFD-6910-425D-9BD9-885E7245664B}"/>
    <cellStyle name="Normal 55" xfId="386" xr:uid="{C340798D-56A3-42B6-BC32-6F813A85FE1B}"/>
    <cellStyle name="Normal 6" xfId="83" xr:uid="{00000000-0005-0000-0000-000081000000}"/>
    <cellStyle name="Normal 7" xfId="201" xr:uid="{00000000-0005-0000-0000-0000F7000000}"/>
    <cellStyle name="Normal 8" xfId="202" xr:uid="{00000000-0005-0000-0000-0000F8000000}"/>
    <cellStyle name="Normal 8 2" xfId="376" xr:uid="{C8C72747-33C1-4DA2-9B3C-B4A1602A3155}"/>
    <cellStyle name="Normal 9" xfId="203" xr:uid="{00000000-0005-0000-0000-0000F9000000}"/>
    <cellStyle name="Normal 9 2 2" xfId="365" xr:uid="{FF358013-0C36-4147-9BD7-587206D3A57A}"/>
    <cellStyle name="Normal_SHEET" xfId="374" xr:uid="{D2F9F68D-0023-447F-BD7A-089223399E34}"/>
    <cellStyle name="Normalny_Arkusz1" xfId="5" xr:uid="{00000000-0005-0000-0000-000009000000}"/>
    <cellStyle name="Percent [2]" xfId="204" xr:uid="{00000000-0005-0000-0000-0000FA000000}"/>
    <cellStyle name="Percent 2" xfId="207" xr:uid="{00000000-0005-0000-0000-0000FD000000}"/>
    <cellStyle name="Percent 4 2" xfId="384" xr:uid="{95A24534-295F-444E-B8E6-51C7BFAE22FE}"/>
    <cellStyle name="Prefilled" xfId="206" xr:uid="{00000000-0005-0000-0000-0000FC000000}"/>
    <cellStyle name="price" xfId="208" xr:uid="{00000000-0005-0000-0000-0000FE000000}"/>
    <cellStyle name="revised" xfId="210" xr:uid="{00000000-0005-0000-0000-000000010000}"/>
    <cellStyle name="row_def_array" xfId="211" xr:uid="{00000000-0005-0000-0000-000001010000}"/>
    <cellStyle name="SAPBEXaggData" xfId="80" xr:uid="{00000000-0005-0000-0000-00007E000000}"/>
    <cellStyle name="SAPBEXaggDataEmph" xfId="213" xr:uid="{00000000-0005-0000-0000-000003010000}"/>
    <cellStyle name="SAPBEXaggItem" xfId="29" xr:uid="{00000000-0005-0000-0000-000042000000}"/>
    <cellStyle name="SAPBEXaggItemX" xfId="215" xr:uid="{00000000-0005-0000-0000-000005010000}"/>
    <cellStyle name="SAPBEXchaText" xfId="216" xr:uid="{00000000-0005-0000-0000-000006010000}"/>
    <cellStyle name="SAPBEXexcBad7" xfId="217" xr:uid="{00000000-0005-0000-0000-000007010000}"/>
    <cellStyle name="SAPBEXexcBad8" xfId="218" xr:uid="{00000000-0005-0000-0000-000008010000}"/>
    <cellStyle name="SAPBEXexcBad9" xfId="220" xr:uid="{00000000-0005-0000-0000-00000A010000}"/>
    <cellStyle name="SAPBEXexcCritical4" xfId="221" xr:uid="{00000000-0005-0000-0000-00000B010000}"/>
    <cellStyle name="SAPBEXexcCritical5" xfId="169" xr:uid="{00000000-0005-0000-0000-0000D7000000}"/>
    <cellStyle name="SAPBEXexcCritical6" xfId="63" xr:uid="{00000000-0005-0000-0000-00006D000000}"/>
    <cellStyle name="SAPBEXexcGood1" xfId="222" xr:uid="{00000000-0005-0000-0000-00000C010000}"/>
    <cellStyle name="SAPBEXexcGood2" xfId="224" xr:uid="{00000000-0005-0000-0000-00000E010000}"/>
    <cellStyle name="SAPBEXexcGood3" xfId="226" xr:uid="{00000000-0005-0000-0000-000010010000}"/>
    <cellStyle name="SAPBEXfilterDrill" xfId="75" xr:uid="{00000000-0005-0000-0000-000079000000}"/>
    <cellStyle name="SAPBEXfilterItem" xfId="227" xr:uid="{00000000-0005-0000-0000-000011010000}"/>
    <cellStyle name="SAPBEXfilterText" xfId="228" xr:uid="{00000000-0005-0000-0000-000012010000}"/>
    <cellStyle name="SAPBEXformats" xfId="230" xr:uid="{00000000-0005-0000-0000-000014010000}"/>
    <cellStyle name="SAPBEXheaderItem" xfId="232" xr:uid="{00000000-0005-0000-0000-000016010000}"/>
    <cellStyle name="SAPBEXheaderText" xfId="233" xr:uid="{00000000-0005-0000-0000-000017010000}"/>
    <cellStyle name="SAPBEXHLevel0" xfId="234" xr:uid="{00000000-0005-0000-0000-000018010000}"/>
    <cellStyle name="SAPBEXHLevel0X" xfId="235" xr:uid="{00000000-0005-0000-0000-000019010000}"/>
    <cellStyle name="SAPBEXHLevel1" xfId="236" xr:uid="{00000000-0005-0000-0000-00001A010000}"/>
    <cellStyle name="SAPBEXHLevel1X" xfId="237" xr:uid="{00000000-0005-0000-0000-00001B010000}"/>
    <cellStyle name="SAPBEXHLevel2" xfId="238" xr:uid="{00000000-0005-0000-0000-00001C010000}"/>
    <cellStyle name="SAPBEXHLevel2X" xfId="239" xr:uid="{00000000-0005-0000-0000-00001D010000}"/>
    <cellStyle name="SAPBEXHLevel3" xfId="241" xr:uid="{00000000-0005-0000-0000-00001F010000}"/>
    <cellStyle name="SAPBEXHLevel3X" xfId="32" xr:uid="{00000000-0005-0000-0000-00004A000000}"/>
    <cellStyle name="SAPBEXresData" xfId="242" xr:uid="{00000000-0005-0000-0000-000020010000}"/>
    <cellStyle name="SAPBEXresDataEmph" xfId="243" xr:uid="{00000000-0005-0000-0000-000021010000}"/>
    <cellStyle name="SAPBEXresItem" xfId="4" xr:uid="{00000000-0005-0000-0000-000006000000}"/>
    <cellStyle name="SAPBEXresItemX" xfId="244" xr:uid="{00000000-0005-0000-0000-000022010000}"/>
    <cellStyle name="SAPBEXstdData" xfId="79" xr:uid="{00000000-0005-0000-0000-00007D000000}"/>
    <cellStyle name="SAPBEXstdDataEmph" xfId="212" xr:uid="{00000000-0005-0000-0000-000002010000}"/>
    <cellStyle name="SAPBEXstdItem" xfId="28" xr:uid="{00000000-0005-0000-0000-000041000000}"/>
    <cellStyle name="SAPBEXstdItemX" xfId="214" xr:uid="{00000000-0005-0000-0000-000004010000}"/>
    <cellStyle name="SAPBEXtitle" xfId="245" xr:uid="{00000000-0005-0000-0000-000023010000}"/>
    <cellStyle name="SAPBEXundefined" xfId="246" xr:uid="{00000000-0005-0000-0000-000024010000}"/>
    <cellStyle name="section" xfId="247" xr:uid="{00000000-0005-0000-0000-000025010000}"/>
    <cellStyle name="SOR" xfId="249" xr:uid="{00000000-0005-0000-0000-000027010000}"/>
    <cellStyle name="SOR 2" xfId="250" xr:uid="{00000000-0005-0000-0000-000028010000}"/>
    <cellStyle name="subhead" xfId="252" xr:uid="{00000000-0005-0000-0000-00002A010000}"/>
    <cellStyle name="title" xfId="254" xr:uid="{00000000-0005-0000-0000-00002C010000}"/>
    <cellStyle name="Tusental (0)_pldt" xfId="255" xr:uid="{00000000-0005-0000-0000-00002D010000}"/>
    <cellStyle name="Tusental_pldt" xfId="257" xr:uid="{00000000-0005-0000-0000-00002F010000}"/>
    <cellStyle name="Valuta (0)_pldt" xfId="258" xr:uid="{00000000-0005-0000-0000-000030010000}"/>
    <cellStyle name="Valuta_pldt" xfId="259" xr:uid="{00000000-0005-0000-0000-000031010000}"/>
    <cellStyle name="パーセント_laroux" xfId="260" xr:uid="{00000000-0005-0000-0000-000032010000}"/>
    <cellStyle name="_PLDT" xfId="262" xr:uid="{00000000-0005-0000-0000-000034010000}"/>
    <cellStyle name="_laroux" xfId="190" xr:uid="{00000000-0005-0000-0000-0000EC000000}"/>
    <cellStyle name="だ[0]_PLDT" xfId="34" xr:uid="{00000000-0005-0000-0000-00004E000000}"/>
    <cellStyle name="だ_PLDT" xfId="263" xr:uid="{00000000-0005-0000-0000-000035010000}"/>
    <cellStyle name="だ[0]_Total (2)" xfId="1" xr:uid="{00000000-0005-0000-0000-000001000000}"/>
    <cellStyle name="だ_laroux" xfId="264" xr:uid="{00000000-0005-0000-0000-000036010000}"/>
    <cellStyle name="百分比" xfId="12" builtinId="5"/>
    <cellStyle name="百分比 2" xfId="223" xr:uid="{00000000-0005-0000-0000-00000D010000}"/>
    <cellStyle name="百分比 3" xfId="225" xr:uid="{00000000-0005-0000-0000-00000F010000}"/>
    <cellStyle name="百分比 4 2" xfId="265" xr:uid="{00000000-0005-0000-0000-000037010000}"/>
    <cellStyle name="捠壿 [0.00]_PRODUCT DETAIL Q1" xfId="185" xr:uid="{00000000-0005-0000-0000-0000E7000000}"/>
    <cellStyle name="捠壿_PRODUCT DETAIL Q1" xfId="266" xr:uid="{00000000-0005-0000-0000-000038010000}"/>
    <cellStyle name="标题 5" xfId="125" xr:uid="{00000000-0005-0000-0000-0000AB000000}"/>
    <cellStyle name="標準_１１月価格表" xfId="177" xr:uid="{00000000-0005-0000-0000-0000DF000000}"/>
    <cellStyle name="表标题" xfId="229" xr:uid="{00000000-0005-0000-0000-000013010000}"/>
    <cellStyle name="差_10存货" xfId="193" xr:uid="{00000000-0005-0000-0000-0000EF000000}"/>
    <cellStyle name="差_19-无形资产（空白模板）" xfId="267" xr:uid="{00000000-0005-0000-0000-000039010000}"/>
    <cellStyle name="差_2-交易性金融资产（空白模板）" xfId="268" xr:uid="{00000000-0005-0000-0000-00003A010000}"/>
    <cellStyle name="差_3-2 进一步审计程序-采购与付款循环" xfId="269" xr:uid="{00000000-0005-0000-0000-00003B010000}"/>
    <cellStyle name="差_3-3 进一步审计程序-存货与生产循环" xfId="270" xr:uid="{00000000-0005-0000-0000-00003C010000}"/>
    <cellStyle name="差_49-营业收入（空白模板）" xfId="271" xr:uid="{00000000-0005-0000-0000-00003D010000}"/>
    <cellStyle name="差_4-应收账款（空白模板）" xfId="91" xr:uid="{00000000-0005-0000-0000-000089000000}"/>
    <cellStyle name="差_50-营业成本（空白模板）" xfId="240" xr:uid="{00000000-0005-0000-0000-00001E010000}"/>
    <cellStyle name="差_51-营业税金及附加（空白模板）" xfId="273" xr:uid="{00000000-0005-0000-0000-00003F010000}"/>
    <cellStyle name="差_54-财务费用（空白模板）" xfId="274" xr:uid="{00000000-0005-0000-0000-000040010000}"/>
    <cellStyle name="差_55-资产减值损失（空白模板）" xfId="137" xr:uid="{00000000-0005-0000-0000-0000B7000000}"/>
    <cellStyle name="差_9管理费用" xfId="115" xr:uid="{00000000-0005-0000-0000-0000A1000000}"/>
    <cellStyle name="差_Book2" xfId="20" xr:uid="{00000000-0005-0000-0000-00002F000000}"/>
    <cellStyle name="差_dxn底稿目录" xfId="275" xr:uid="{00000000-0005-0000-0000-000041010000}"/>
    <cellStyle name="差_Sheet1" xfId="276" xr:uid="{00000000-0005-0000-0000-000042010000}"/>
    <cellStyle name="差_ZA0货币资金审定表 " xfId="62" xr:uid="{00000000-0005-0000-0000-00006C000000}"/>
    <cellStyle name="差_存货" xfId="132" xr:uid="{00000000-0005-0000-0000-0000B2000000}"/>
    <cellStyle name="差_大信底稿目录" xfId="251" xr:uid="{00000000-0005-0000-0000-000029010000}"/>
    <cellStyle name="差_底稿设置宏" xfId="277" xr:uid="{00000000-0005-0000-0000-000043010000}"/>
    <cellStyle name="差_货币资金" xfId="152" xr:uid="{00000000-0005-0000-0000-0000C6000000}"/>
    <cellStyle name="差_货币资金 天职" xfId="278" xr:uid="{00000000-0005-0000-0000-000044010000}"/>
    <cellStyle name="差_货币资金 岳华" xfId="16" xr:uid="{00000000-0005-0000-0000-00001F000000}"/>
    <cellStyle name="差_无形资产" xfId="279" xr:uid="{00000000-0005-0000-0000-000045010000}"/>
    <cellStyle name="差_应付职工薪酬" xfId="272" xr:uid="{00000000-0005-0000-0000-00003E010000}"/>
    <cellStyle name="差_应收账款" xfId="280" xr:uid="{00000000-0005-0000-0000-000046010000}"/>
    <cellStyle name="差_账项明细表" xfId="281" xr:uid="{00000000-0005-0000-0000-000047010000}"/>
    <cellStyle name="常规" xfId="0" builtinId="0" customBuiltin="1"/>
    <cellStyle name="常规 10" xfId="282" xr:uid="{00000000-0005-0000-0000-000048010000}"/>
    <cellStyle name="常规 10 2" xfId="361" xr:uid="{83884BBE-3612-4BD5-8CB8-799E0A7BB8A5}"/>
    <cellStyle name="常规 10 5" xfId="392" xr:uid="{2BD4B0C0-FF2A-495C-93D5-58971AD0A035}"/>
    <cellStyle name="常规 11" xfId="351" xr:uid="{3B6F8924-D073-4119-BD82-7C614E516C56}"/>
    <cellStyle name="常规 12" xfId="354" xr:uid="{52F36412-3320-4268-A78A-3D532D1B3FE7}"/>
    <cellStyle name="常规 12 2" xfId="356" xr:uid="{2DA5BF36-0BE2-4A10-99CE-EB278174CE44}"/>
    <cellStyle name="常规 13" xfId="370" xr:uid="{FDD80C54-78A9-432E-8DC4-79F6145D8544}"/>
    <cellStyle name="常规 13 2" xfId="389" xr:uid="{48528393-AAEE-4F85-A942-02D25485741D}"/>
    <cellStyle name="常规 14" xfId="379" xr:uid="{D5106155-1234-48F1-ADA2-D7C52D239E97}"/>
    <cellStyle name="常规 15" xfId="391" xr:uid="{C64732E0-CB1C-473E-BC1F-EC636AF2BC1F}"/>
    <cellStyle name="常规 16" xfId="394" xr:uid="{39054BA4-B487-40E8-A393-EF271D49DED7}"/>
    <cellStyle name="常规 2" xfId="253" xr:uid="{00000000-0005-0000-0000-00002B010000}"/>
    <cellStyle name="常规 2 2" xfId="284" xr:uid="{00000000-0005-0000-0000-00004A010000}"/>
    <cellStyle name="常规 2 2 2" xfId="353" xr:uid="{C00AB87A-1ACF-43C6-95F2-87C860637850}"/>
    <cellStyle name="常规 2 2 3 3" xfId="286" xr:uid="{00000000-0005-0000-0000-00004C010000}"/>
    <cellStyle name="常规 2 2 3 3 2" xfId="10" xr:uid="{00000000-0005-0000-0000-000013000000}"/>
    <cellStyle name="常规 2 2 5" xfId="355" xr:uid="{D53AA77B-1A84-4279-BBD2-93EF12CA2BA3}"/>
    <cellStyle name="常规 2 2 5 5" xfId="388" xr:uid="{84D95FF1-423D-4BD3-9319-A86B24780EAF}"/>
    <cellStyle name="常规 2_10存货" xfId="287" xr:uid="{00000000-0005-0000-0000-00004D010000}"/>
    <cellStyle name="常规 3" xfId="288" xr:uid="{00000000-0005-0000-0000-00004E010000}"/>
    <cellStyle name="常规 3 2" xfId="289" xr:uid="{00000000-0005-0000-0000-00004F010000}"/>
    <cellStyle name="常规 3 2 2" xfId="290" xr:uid="{00000000-0005-0000-0000-000050010000}"/>
    <cellStyle name="常规 3 2 3" xfId="45" xr:uid="{00000000-0005-0000-0000-00005B000000}"/>
    <cellStyle name="常规 3 3" xfId="77" xr:uid="{00000000-0005-0000-0000-00007B000000}"/>
    <cellStyle name="常规 3_10存货" xfId="22" xr:uid="{00000000-0005-0000-0000-000035000000}"/>
    <cellStyle name="常规 4" xfId="291" xr:uid="{00000000-0005-0000-0000-000051010000}"/>
    <cellStyle name="常规 5" xfId="292" xr:uid="{00000000-0005-0000-0000-000052010000}"/>
    <cellStyle name="常规 6" xfId="13" xr:uid="{00000000-0005-0000-0000-000017000000}"/>
    <cellStyle name="常规 7" xfId="231" xr:uid="{00000000-0005-0000-0000-000015010000}"/>
    <cellStyle name="常规 8" xfId="293" xr:uid="{00000000-0005-0000-0000-000053010000}"/>
    <cellStyle name="常规 9" xfId="107" xr:uid="{00000000-0005-0000-0000-000099000000}"/>
    <cellStyle name="常规 9 2" xfId="40" xr:uid="{00000000-0005-0000-0000-000056000000}"/>
    <cellStyle name="常规_ZA 货币资金" xfId="294" xr:uid="{00000000-0005-0000-0000-000054010000}"/>
    <cellStyle name="超级链接_综合类底稿表格" xfId="295" xr:uid="{00000000-0005-0000-0000-000056010000}"/>
    <cellStyle name="超連結 2" xfId="352" xr:uid="{045072F4-5DEB-4B69-96CD-BF32EFE32D38}"/>
    <cellStyle name="超链接 2" xfId="114" xr:uid="{00000000-0005-0000-0000-0000A0000000}"/>
    <cellStyle name="超链接 2 2" xfId="297" xr:uid="{00000000-0005-0000-0000-000058010000}"/>
    <cellStyle name="超链接 2 3" xfId="298" xr:uid="{00000000-0005-0000-0000-000059010000}"/>
    <cellStyle name="超链接 3" xfId="299" xr:uid="{00000000-0005-0000-0000-00005A010000}"/>
    <cellStyle name="超链接 4" xfId="300" xr:uid="{00000000-0005-0000-0000-00005B010000}"/>
    <cellStyle name="超链接 5" xfId="371" xr:uid="{4B3D8B4A-8EE3-4CC5-8011-F3E0E8F74A9D}"/>
    <cellStyle name="好_10存货" xfId="301" xr:uid="{00000000-0005-0000-0000-00005C010000}"/>
    <cellStyle name="好_19-无形资产（空白模板）" xfId="302" xr:uid="{00000000-0005-0000-0000-00005D010000}"/>
    <cellStyle name="好_1财务费用" xfId="303" xr:uid="{00000000-0005-0000-0000-00005E010000}"/>
    <cellStyle name="好_1营业收入" xfId="304" xr:uid="{00000000-0005-0000-0000-00005F010000}"/>
    <cellStyle name="好_1资产减值损失" xfId="305" xr:uid="{00000000-0005-0000-0000-000060010000}"/>
    <cellStyle name="好_2-交易性金融资产（空白模板）" xfId="306" xr:uid="{00000000-0005-0000-0000-000061010000}"/>
    <cellStyle name="好_3-2 进一步审计程序-采购与付款循环" xfId="307" xr:uid="{00000000-0005-0000-0000-000062010000}"/>
    <cellStyle name="好_3-3 进一步审计程序-存货与生产循环" xfId="124" xr:uid="{00000000-0005-0000-0000-0000AA000000}"/>
    <cellStyle name="好_49-营业收入（空白模板）" xfId="3" xr:uid="{00000000-0005-0000-0000-000005000000}"/>
    <cellStyle name="好_4-应收账款（空白模板）" xfId="168" xr:uid="{00000000-0005-0000-0000-0000D6000000}"/>
    <cellStyle name="好_50-营业成本（空白模板）" xfId="52" xr:uid="{00000000-0005-0000-0000-000062000000}"/>
    <cellStyle name="好_51-营业税金及附加（空白模板）" xfId="309" xr:uid="{00000000-0005-0000-0000-000064010000}"/>
    <cellStyle name="好_54-财务费用（空白模板）" xfId="310" xr:uid="{00000000-0005-0000-0000-000065010000}"/>
    <cellStyle name="好_55-资产减值损失（空白模板）" xfId="51" xr:uid="{00000000-0005-0000-0000-000061000000}"/>
    <cellStyle name="好_9管理费用" xfId="192" xr:uid="{00000000-0005-0000-0000-0000EE000000}"/>
    <cellStyle name="好_Book2" xfId="311" xr:uid="{00000000-0005-0000-0000-000066010000}"/>
    <cellStyle name="好_Sheet1" xfId="113" xr:uid="{00000000-0005-0000-0000-00009F000000}"/>
    <cellStyle name="好_ZA0货币资金审定表 " xfId="312" xr:uid="{00000000-0005-0000-0000-000067010000}"/>
    <cellStyle name="好_财务费用" xfId="314" xr:uid="{00000000-0005-0000-0000-000069010000}"/>
    <cellStyle name="好_存货" xfId="219" xr:uid="{00000000-0005-0000-0000-000009010000}"/>
    <cellStyle name="好_存货 - 复制" xfId="36" xr:uid="{00000000-0005-0000-0000-000052000000}"/>
    <cellStyle name="好_大信底稿目录" xfId="102" xr:uid="{00000000-0005-0000-0000-000094000000}"/>
    <cellStyle name="好_底稿设置宏" xfId="316" xr:uid="{00000000-0005-0000-0000-00006B010000}"/>
    <cellStyle name="好_底稿设置宏_大信底稿目录" xfId="317" xr:uid="{00000000-0005-0000-0000-00006C010000}"/>
    <cellStyle name="好_货币资金" xfId="128" xr:uid="{00000000-0005-0000-0000-0000AE000000}"/>
    <cellStyle name="好_货币资金 天职" xfId="319" xr:uid="{00000000-0005-0000-0000-00006E010000}"/>
    <cellStyle name="好_货币资金 岳华" xfId="59" xr:uid="{00000000-0005-0000-0000-000069000000}"/>
    <cellStyle name="好_实收资本(股本)" xfId="320" xr:uid="{00000000-0005-0000-0000-00006F010000}"/>
    <cellStyle name="好_无形资产" xfId="321" xr:uid="{00000000-0005-0000-0000-000070010000}"/>
    <cellStyle name="好_银行函证结果汇总表" xfId="261" xr:uid="{00000000-0005-0000-0000-000033010000}"/>
    <cellStyle name="好_应付职工薪酬" xfId="163" xr:uid="{00000000-0005-0000-0000-0000D1000000}"/>
    <cellStyle name="好_应收利息" xfId="322" xr:uid="{00000000-0005-0000-0000-000071010000}"/>
    <cellStyle name="好_应收账款" xfId="109" xr:uid="{00000000-0005-0000-0000-00009B000000}"/>
    <cellStyle name="好_营业收入" xfId="285" xr:uid="{00000000-0005-0000-0000-00004B010000}"/>
    <cellStyle name="好_账项明细表" xfId="323" xr:uid="{00000000-0005-0000-0000-000072010000}"/>
    <cellStyle name="好_资产负债标准底稿" xfId="104" xr:uid="{00000000-0005-0000-0000-000096000000}"/>
    <cellStyle name="好_资产负债标准底稿_大信底稿目录" xfId="195" xr:uid="{00000000-0005-0000-0000-0000F1000000}"/>
    <cellStyle name="好_资产负债类底稿模版" xfId="313" xr:uid="{00000000-0005-0000-0000-000068010000}"/>
    <cellStyle name="好_资产负债类底稿模版_大信底稿目录" xfId="324" xr:uid="{00000000-0005-0000-0000-000073010000}"/>
    <cellStyle name="好_资产减值损失" xfId="19" xr:uid="{00000000-0005-0000-0000-000026000000}"/>
    <cellStyle name="桁区切り [0.00]_１１月価格表" xfId="248" xr:uid="{00000000-0005-0000-0000-000026010000}"/>
    <cellStyle name="桁区切り_１１月価格表" xfId="18" xr:uid="{00000000-0005-0000-0000-000025000000}"/>
    <cellStyle name="貨幣 [0]_SGV" xfId="325" xr:uid="{00000000-0005-0000-0000-000074010000}"/>
    <cellStyle name="貨幣_SGV" xfId="326" xr:uid="{00000000-0005-0000-0000-000075010000}"/>
    <cellStyle name="霓付 [0]_1202" xfId="160" xr:uid="{00000000-0005-0000-0000-0000CE000000}"/>
    <cellStyle name="霓付_1202" xfId="100" xr:uid="{00000000-0005-0000-0000-000092000000}"/>
    <cellStyle name="烹拳 [0]_1202" xfId="327" xr:uid="{00000000-0005-0000-0000-000076010000}"/>
    <cellStyle name="烹拳_1202" xfId="328" xr:uid="{00000000-0005-0000-0000-000077010000}"/>
    <cellStyle name="砯刽 [0]_PLDT" xfId="308" xr:uid="{00000000-0005-0000-0000-000063010000}"/>
    <cellStyle name="砯刽_PLDT" xfId="315" xr:uid="{00000000-0005-0000-0000-00006A010000}"/>
    <cellStyle name="普通_ 白土" xfId="139" xr:uid="{00000000-0005-0000-0000-0000B9000000}"/>
    <cellStyle name="千分位[0]_ 白土" xfId="70" xr:uid="{00000000-0005-0000-0000-000074000000}"/>
    <cellStyle name="千分位_ 白土" xfId="150" xr:uid="{00000000-0005-0000-0000-0000C4000000}"/>
    <cellStyle name="千位[0]_1995" xfId="33" xr:uid="{00000000-0005-0000-0000-00004C000000}"/>
    <cellStyle name="千位_1995" xfId="88" xr:uid="{00000000-0005-0000-0000-000086000000}"/>
    <cellStyle name="千位分隔" xfId="7" builtinId="3"/>
    <cellStyle name="千位分隔 10" xfId="372" xr:uid="{073C511E-942C-4A7F-9D9C-31145FFBDB17}"/>
    <cellStyle name="千位分隔 2" xfId="329" xr:uid="{00000000-0005-0000-0000-000078010000}"/>
    <cellStyle name="千位分隔 2 2" xfId="330" xr:uid="{00000000-0005-0000-0000-000079010000}"/>
    <cellStyle name="千位分隔 2 2 2" xfId="157" xr:uid="{00000000-0005-0000-0000-0000CB000000}"/>
    <cellStyle name="千位分隔 2 3" xfId="331" xr:uid="{00000000-0005-0000-0000-00007A010000}"/>
    <cellStyle name="千位分隔 3" xfId="120" xr:uid="{00000000-0005-0000-0000-0000A6000000}"/>
    <cellStyle name="千位分隔 3 2" xfId="122" xr:uid="{00000000-0005-0000-0000-0000A8000000}"/>
    <cellStyle name="千位分隔 3 2 2" xfId="332" xr:uid="{00000000-0005-0000-0000-00007B010000}"/>
    <cellStyle name="千位分隔 3 3" xfId="333" xr:uid="{00000000-0005-0000-0000-00007C010000}"/>
    <cellStyle name="千位分隔 4" xfId="117" xr:uid="{00000000-0005-0000-0000-0000A3000000}"/>
    <cellStyle name="千位分隔 4 2" xfId="334" xr:uid="{00000000-0005-0000-0000-00007D010000}"/>
    <cellStyle name="千位分隔 5" xfId="335" xr:uid="{00000000-0005-0000-0000-00007E010000}"/>
    <cellStyle name="千位分隔 5 2" xfId="182" xr:uid="{00000000-0005-0000-0000-0000E4000000}"/>
    <cellStyle name="千位分隔 6" xfId="336" xr:uid="{00000000-0005-0000-0000-00007F010000}"/>
    <cellStyle name="千位分隔 7" xfId="337" xr:uid="{00000000-0005-0000-0000-000080010000}"/>
    <cellStyle name="千位分隔 7 3" xfId="338" xr:uid="{00000000-0005-0000-0000-000081010000}"/>
    <cellStyle name="千位分隔 7 3 2" xfId="198" xr:uid="{00000000-0005-0000-0000-0000F4000000}"/>
    <cellStyle name="千位分隔 8" xfId="339" xr:uid="{00000000-0005-0000-0000-000082010000}"/>
    <cellStyle name="千位分隔 9" xfId="340" xr:uid="{00000000-0005-0000-0000-000083010000}"/>
    <cellStyle name="千位分隔[0] 2" xfId="25" xr:uid="{00000000-0005-0000-0000-00003D000000}"/>
    <cellStyle name="千位分隔[0] 2 2" xfId="155" xr:uid="{00000000-0005-0000-0000-0000C9000000}"/>
    <cellStyle name="钎霖_(沥焊何巩)岿喊牢盔拌裙" xfId="341" xr:uid="{00000000-0005-0000-0000-000084010000}"/>
    <cellStyle name="强调 1" xfId="318" xr:uid="{00000000-0005-0000-0000-00006D010000}"/>
    <cellStyle name="强调 2" xfId="342" xr:uid="{00000000-0005-0000-0000-000085010000}"/>
    <cellStyle name="强调 3" xfId="283" xr:uid="{00000000-0005-0000-0000-000049010000}"/>
    <cellStyle name="通貨 [0.00]_１１月価格表" xfId="209" xr:uid="{00000000-0005-0000-0000-0000FF000000}"/>
    <cellStyle name="通貨_１１月価格表" xfId="343" xr:uid="{00000000-0005-0000-0000-000086010000}"/>
    <cellStyle name="样式 1" xfId="205" xr:uid="{00000000-0005-0000-0000-0000FB000000}"/>
    <cellStyle name="一般 2" xfId="350" xr:uid="{554C8AFB-5521-4682-80C8-936BF2BD7E61}"/>
    <cellStyle name="一般_SGV" xfId="344" xr:uid="{00000000-0005-0000-0000-000087010000}"/>
    <cellStyle name="昗弨_BOOKSHIP" xfId="27" xr:uid="{00000000-0005-0000-0000-000040000000}"/>
    <cellStyle name="寘嬫愗傝 [0.00]_PRODUCT DETAIL Q1" xfId="345" xr:uid="{00000000-0005-0000-0000-000088010000}"/>
    <cellStyle name="寘嬫愗傝_PRODUCT DETAIL Q1" xfId="296" xr:uid="{00000000-0005-0000-0000-000057010000}"/>
    <cellStyle name="资产" xfId="346" xr:uid="{00000000-0005-0000-0000-000089010000}"/>
    <cellStyle name="콤마 [0]_BOILER-CO1" xfId="347" xr:uid="{00000000-0005-0000-0000-00008A010000}"/>
    <cellStyle name="콤마_BOILER-CO1" xfId="348" xr:uid="{00000000-0005-0000-0000-00008B010000}"/>
    <cellStyle name="통화 [0]_BOILER-CO1" xfId="349" xr:uid="{00000000-0005-0000-0000-00008C010000}"/>
    <cellStyle name="통화_BOILER-CO1" xfId="48" xr:uid="{00000000-0005-0000-0000-00005E000000}"/>
    <cellStyle name="표준_0N-HANDLING " xfId="256" xr:uid="{00000000-0005-0000-0000-00002E010000}"/>
  </cellStyles>
  <dxfs count="56">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ont>
        <color rgb="FF9C0006"/>
      </font>
      <fill>
        <patternFill>
          <bgColor rgb="FFFFC7CE"/>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patternType="solid">
          <bgColor theme="0" tint="-0.34998626667073579"/>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s>
  <tableStyles count="0" defaultTableStyle="TableStyleMedium2" defaultPivotStyle="PivotStyleLight16"/>
  <colors>
    <mruColors>
      <color rgb="FF0563C1"/>
      <color rgb="FFD9E1F2"/>
      <color rgb="FF0000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Altas-PSP-%E9%93%BE%E6%8E%A5.aspx#:~:text=%E7%9B%B8%E5%85%B3PSP%20%E4%BB%A5%E5%8F%8AOSP%20%E5%8F%AF%E4%BB%8EAtlas%20%E4%B8%AD%E8%8E%B7%E5%BE%97%EF%BC%8CAtlas%20Link%3A%0A(CN)%20K%2DPPE%0A%E6%9B%B4%E5%A4%9A%E8%AF%A5%E7%A7%91%E7%9B%AE%E7%9B%B8%E5%85%B3%E5%AE%A1%E8%AE%A1%E4%BC%9A%E8%AE%A1%E7%9F%A5%E8%AF%86%E5%8F%AF%E5%8F%82%E8%80%83%E2%80%9C%E5%A4%A7%E4%B8%AD%E5%8D%8E%E5%8C%BA%E4%BC%9A%E8%AE%A1%E5%AE%A1%E8%AE%A1%E7%9F%A5%E8%AF%86%E5%BA%93%E2%80%9D%0AJ1_%E5%9C%A8%E5%BB%BA%E5%B7%A5%E7%A8%8B"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J1_%E5%9C%A8%E5%BB%BA%E5%B7%A5%E7%A8%8B_202YMMDD_XYZ%E5%85%AC%E5%8F%B8_Read-me-and-Delete-me.aspx#:~:text=J.02%2D%E6%B3%A8%E9%87%8A,population%20is%20needed." TargetMode="External"/><Relationship Id="rId6" Type="http://schemas.openxmlformats.org/officeDocument/2006/relationships/hyperlink" Target="https://eychinamanaged.sharepoint.cn/sites/GCknowledgecenter/SitePages/%E6%A0%87%E5%87%86%E5%BA%95%E7%A8%BF%E6%A8%A1%E6%9D%BF%E7%AD%94%E7%96%91%E9%93%BE%E6%8E%A5.aspx" TargetMode="External"/><Relationship Id="rId5"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J1_%E5%9C%A8%E5%BB%BA%E5%B7%A5%E7%A8%8B_202YMMDD_XYZ%E5%85%AC%E5%8F%B8_Read-me-and-Delete-me.aspx#:~:text=J.00_Lead%2D%E6%B3%A8%E9%87%8A,%E8%AE%B0%E5%BD%95%E7%9B%B8%E5%85%B3%E5%8E%9F%E5%9B%A0%E3%80%82" TargetMode="External"/><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4</xdr:col>
      <xdr:colOff>2000250</xdr:colOff>
      <xdr:row>9</xdr:row>
      <xdr:rowOff>209550</xdr:rowOff>
    </xdr:from>
    <xdr:to>
      <xdr:col>4</xdr:col>
      <xdr:colOff>2028825</xdr:colOff>
      <xdr:row>9</xdr:row>
      <xdr:rowOff>419100</xdr:rowOff>
    </xdr:to>
    <xdr:pic>
      <xdr:nvPicPr>
        <xdr:cNvPr id="11" name="图片 1">
          <a:hlinkClick xmlns:r="http://schemas.openxmlformats.org/officeDocument/2006/relationships" r:id="rId1" tooltip="US 项目代表性样本抽样规则"/>
          <a:extLst>
            <a:ext uri="{FF2B5EF4-FFF2-40B4-BE49-F238E27FC236}">
              <a16:creationId xmlns:a16="http://schemas.microsoft.com/office/drawing/2014/main" id="{2B5B5DC0-7172-4C7D-A73E-A6EB917363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43675" y="2552700"/>
          <a:ext cx="2190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1990725</xdr:colOff>
      <xdr:row>12</xdr:row>
      <xdr:rowOff>276225</xdr:rowOff>
    </xdr:from>
    <xdr:to>
      <xdr:col>4</xdr:col>
      <xdr:colOff>2009775</xdr:colOff>
      <xdr:row>12</xdr:row>
      <xdr:rowOff>504825</xdr:rowOff>
    </xdr:to>
    <xdr:pic>
      <xdr:nvPicPr>
        <xdr:cNvPr id="12" name="图片 4">
          <a:hlinkClick xmlns:r="http://schemas.openxmlformats.org/officeDocument/2006/relationships" r:id="rId1" tooltip="US 项目代表性样本抽样规则"/>
          <a:extLst>
            <a:ext uri="{FF2B5EF4-FFF2-40B4-BE49-F238E27FC236}">
              <a16:creationId xmlns:a16="http://schemas.microsoft.com/office/drawing/2014/main" id="{B61607A0-53B4-4428-9762-C5A505DC1C14}"/>
            </a:ext>
            <a:ext uri="{147F2762-F138-4A5C-976F-8EAC2B608ADB}">
              <a16:predDERef xmlns:a16="http://schemas.microsoft.com/office/drawing/2014/main" pred="{2B5B5DC0-7172-4C7D-A73E-A6EB917363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34150" y="3581400"/>
          <a:ext cx="2190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937986</xdr:colOff>
      <xdr:row>3</xdr:row>
      <xdr:rowOff>30389</xdr:rowOff>
    </xdr:from>
    <xdr:ext cx="159657" cy="154961"/>
    <xdr:pic>
      <xdr:nvPicPr>
        <xdr:cNvPr id="4" name="图片 1">
          <a:hlinkClick xmlns:r="http://schemas.openxmlformats.org/officeDocument/2006/relationships" r:id="rId3" tooltip="Altas PSP 链接"/>
          <a:extLst>
            <a:ext uri="{FF2B5EF4-FFF2-40B4-BE49-F238E27FC236}">
              <a16:creationId xmlns:a16="http://schemas.microsoft.com/office/drawing/2014/main" id="{D9CCB550-CBB6-4861-A7D8-AD8292E0EF0C}"/>
            </a:ext>
            <a:ext uri="{147F2762-F138-4A5C-976F-8EAC2B608ADB}">
              <a16:predDERef xmlns:a16="http://schemas.microsoft.com/office/drawing/2014/main" pred="{B61607A0-53B4-4428-9762-C5A505DC1C14}"/>
            </a:ext>
          </a:extLst>
        </xdr:cNvPr>
        <xdr:cNvPicPr>
          <a:picLocks noChangeAspect="1"/>
        </xdr:cNvPicPr>
      </xdr:nvPicPr>
      <xdr:blipFill>
        <a:blip xmlns:r="http://schemas.openxmlformats.org/officeDocument/2006/relationships" r:embed="rId4"/>
        <a:stretch>
          <a:fillRect/>
        </a:stretch>
      </xdr:blipFill>
      <xdr:spPr>
        <a:xfrm>
          <a:off x="1137557" y="511175"/>
          <a:ext cx="159657" cy="154961"/>
        </a:xfrm>
        <a:prstGeom prst="rect">
          <a:avLst/>
        </a:prstGeom>
      </xdr:spPr>
    </xdr:pic>
    <xdr:clientData/>
  </xdr:oneCellAnchor>
  <xdr:twoCellAnchor>
    <xdr:from>
      <xdr:col>6</xdr:col>
      <xdr:colOff>813153</xdr:colOff>
      <xdr:row>3</xdr:row>
      <xdr:rowOff>18144</xdr:rowOff>
    </xdr:from>
    <xdr:to>
      <xdr:col>6</xdr:col>
      <xdr:colOff>1064085</xdr:colOff>
      <xdr:row>3</xdr:row>
      <xdr:rowOff>181430</xdr:rowOff>
    </xdr:to>
    <xdr:pic>
      <xdr:nvPicPr>
        <xdr:cNvPr id="3" name="图片 2">
          <a:hlinkClick xmlns:r="http://schemas.openxmlformats.org/officeDocument/2006/relationships" r:id="rId5" tooltip="预审&amp;年审工作注意事项"/>
          <a:extLst>
            <a:ext uri="{FF2B5EF4-FFF2-40B4-BE49-F238E27FC236}">
              <a16:creationId xmlns:a16="http://schemas.microsoft.com/office/drawing/2014/main" id="{F688022E-EA75-4480-95DA-388E50BF7B28}"/>
            </a:ext>
            <a:ext uri="{147F2762-F138-4A5C-976F-8EAC2B608ADB}">
              <a16:predDERef xmlns:a16="http://schemas.microsoft.com/office/drawing/2014/main" pred="{D9CCB550-CBB6-4861-A7D8-AD8292E0EF0C}"/>
            </a:ext>
          </a:extLst>
        </xdr:cNvPr>
        <xdr:cNvPicPr>
          <a:picLocks noChangeAspect="1"/>
        </xdr:cNvPicPr>
      </xdr:nvPicPr>
      <xdr:blipFill>
        <a:blip xmlns:r="http://schemas.openxmlformats.org/officeDocument/2006/relationships" r:embed="rId4"/>
        <a:stretch>
          <a:fillRect/>
        </a:stretch>
      </xdr:blipFill>
      <xdr:spPr>
        <a:xfrm>
          <a:off x="9612439" y="498930"/>
          <a:ext cx="250932" cy="163286"/>
        </a:xfrm>
        <a:prstGeom prst="rect">
          <a:avLst/>
        </a:prstGeom>
      </xdr:spPr>
    </xdr:pic>
    <xdr:clientData/>
  </xdr:twoCellAnchor>
  <xdr:oneCellAnchor>
    <xdr:from>
      <xdr:col>3</xdr:col>
      <xdr:colOff>353786</xdr:colOff>
      <xdr:row>3</xdr:row>
      <xdr:rowOff>0</xdr:rowOff>
    </xdr:from>
    <xdr:ext cx="205343" cy="199303"/>
    <xdr:pic>
      <xdr:nvPicPr>
        <xdr:cNvPr id="14" name="图片 13">
          <a:hlinkClick xmlns:r="http://schemas.openxmlformats.org/officeDocument/2006/relationships" r:id="rId6" tooltip="如需帮助请点击"/>
          <a:extLst>
            <a:ext uri="{FF2B5EF4-FFF2-40B4-BE49-F238E27FC236}">
              <a16:creationId xmlns:a16="http://schemas.microsoft.com/office/drawing/2014/main" id="{CD25C2F0-1644-4306-BC0B-B4E0A005C16A}"/>
            </a:ext>
          </a:extLst>
        </xdr:cNvPr>
        <xdr:cNvPicPr>
          <a:picLocks noChangeAspect="1"/>
        </xdr:cNvPicPr>
      </xdr:nvPicPr>
      <xdr:blipFill>
        <a:blip xmlns:r="http://schemas.openxmlformats.org/officeDocument/2006/relationships" r:embed="rId4"/>
        <a:stretch>
          <a:fillRect/>
        </a:stretch>
      </xdr:blipFill>
      <xdr:spPr>
        <a:xfrm>
          <a:off x="3519715" y="480786"/>
          <a:ext cx="205343" cy="199303"/>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63500</xdr:colOff>
      <xdr:row>0</xdr:row>
      <xdr:rowOff>66221</xdr:rowOff>
    </xdr:from>
    <xdr:to>
      <xdr:col>1</xdr:col>
      <xdr:colOff>554551</xdr:colOff>
      <xdr:row>0</xdr:row>
      <xdr:rowOff>583927</xdr:rowOff>
    </xdr:to>
    <xdr:pic>
      <xdr:nvPicPr>
        <xdr:cNvPr id="2" name="Picture 1">
          <a:extLst>
            <a:ext uri="{FF2B5EF4-FFF2-40B4-BE49-F238E27FC236}">
              <a16:creationId xmlns:a16="http://schemas.microsoft.com/office/drawing/2014/main" id="{E17EB326-52BF-472C-8FAE-4EB26E157881}"/>
            </a:ext>
          </a:extLst>
        </xdr:cNvPr>
        <xdr:cNvPicPr>
          <a:picLocks noChangeAspect="1"/>
        </xdr:cNvPicPr>
      </xdr:nvPicPr>
      <xdr:blipFill>
        <a:blip xmlns:r="http://schemas.openxmlformats.org/officeDocument/2006/relationships" r:embed="rId1"/>
        <a:stretch>
          <a:fillRect/>
        </a:stretch>
      </xdr:blipFill>
      <xdr:spPr>
        <a:xfrm>
          <a:off x="260350" y="66221"/>
          <a:ext cx="491051" cy="517706"/>
        </a:xfrm>
        <a:prstGeom prst="rect">
          <a:avLst/>
        </a:prstGeom>
      </xdr:spPr>
    </xdr:pic>
    <xdr:clientData/>
  </xdr:twoCellAnchor>
  <xdr:twoCellAnchor editAs="oneCell">
    <xdr:from>
      <xdr:col>1</xdr:col>
      <xdr:colOff>635001</xdr:colOff>
      <xdr:row>51</xdr:row>
      <xdr:rowOff>104321</xdr:rowOff>
    </xdr:from>
    <xdr:to>
      <xdr:col>1</xdr:col>
      <xdr:colOff>852716</xdr:colOff>
      <xdr:row>52</xdr:row>
      <xdr:rowOff>157454</xdr:rowOff>
    </xdr:to>
    <xdr:pic>
      <xdr:nvPicPr>
        <xdr:cNvPr id="5" name="图片 2">
          <a:hlinkClick xmlns:r="http://schemas.openxmlformats.org/officeDocument/2006/relationships" r:id="rId2" tooltip="对于变动超过X%金额超过RMBXX元的变动进行变动原因分析"/>
          <a:extLst>
            <a:ext uri="{FF2B5EF4-FFF2-40B4-BE49-F238E27FC236}">
              <a16:creationId xmlns:a16="http://schemas.microsoft.com/office/drawing/2014/main" id="{BE51B17B-1AD1-FDFE-CA39-F50A8E8651A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25501" y="11461750"/>
          <a:ext cx="217715" cy="2436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31749</xdr:colOff>
      <xdr:row>0</xdr:row>
      <xdr:rowOff>42332</xdr:rowOff>
    </xdr:from>
    <xdr:to>
      <xdr:col>1</xdr:col>
      <xdr:colOff>522800</xdr:colOff>
      <xdr:row>0</xdr:row>
      <xdr:rowOff>561308</xdr:rowOff>
    </xdr:to>
    <xdr:pic>
      <xdr:nvPicPr>
        <xdr:cNvPr id="2" name="Picture 3">
          <a:extLst>
            <a:ext uri="{FF2B5EF4-FFF2-40B4-BE49-F238E27FC236}">
              <a16:creationId xmlns:a16="http://schemas.microsoft.com/office/drawing/2014/main" id="{A0385856-DFF9-4E2C-A5FF-9EE5256D7B59}"/>
            </a:ext>
          </a:extLst>
        </xdr:cNvPr>
        <xdr:cNvPicPr>
          <a:picLocks noChangeAspect="1"/>
        </xdr:cNvPicPr>
      </xdr:nvPicPr>
      <xdr:blipFill>
        <a:blip xmlns:r="http://schemas.openxmlformats.org/officeDocument/2006/relationships" r:embed="rId1"/>
        <a:stretch>
          <a:fillRect/>
        </a:stretch>
      </xdr:blipFill>
      <xdr:spPr>
        <a:xfrm>
          <a:off x="222249" y="42332"/>
          <a:ext cx="491051" cy="51897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31749</xdr:colOff>
      <xdr:row>0</xdr:row>
      <xdr:rowOff>42332</xdr:rowOff>
    </xdr:from>
    <xdr:to>
      <xdr:col>1</xdr:col>
      <xdr:colOff>522800</xdr:colOff>
      <xdr:row>0</xdr:row>
      <xdr:rowOff>561308</xdr:rowOff>
    </xdr:to>
    <xdr:pic>
      <xdr:nvPicPr>
        <xdr:cNvPr id="4" name="Picture 3">
          <a:extLst>
            <a:ext uri="{FF2B5EF4-FFF2-40B4-BE49-F238E27FC236}">
              <a16:creationId xmlns:a16="http://schemas.microsoft.com/office/drawing/2014/main" id="{5B09916F-AB58-4979-BD39-1BCC7E20D6E2}"/>
            </a:ext>
          </a:extLst>
        </xdr:cNvPr>
        <xdr:cNvPicPr>
          <a:picLocks noChangeAspect="1"/>
        </xdr:cNvPicPr>
      </xdr:nvPicPr>
      <xdr:blipFill>
        <a:blip xmlns:r="http://schemas.openxmlformats.org/officeDocument/2006/relationships" r:embed="rId1"/>
        <a:stretch>
          <a:fillRect/>
        </a:stretch>
      </xdr:blipFill>
      <xdr:spPr>
        <a:xfrm>
          <a:off x="402166" y="42332"/>
          <a:ext cx="491051" cy="51897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152400</xdr:colOff>
      <xdr:row>0</xdr:row>
      <xdr:rowOff>66675</xdr:rowOff>
    </xdr:from>
    <xdr:ext cx="323850" cy="333375"/>
    <xdr:pic>
      <xdr:nvPicPr>
        <xdr:cNvPr id="2" name="Picture 23">
          <a:extLst>
            <a:ext uri="{FF2B5EF4-FFF2-40B4-BE49-F238E27FC236}">
              <a16:creationId xmlns:a16="http://schemas.microsoft.com/office/drawing/2014/main" id="{C1F94610-F83A-414F-A3B6-4B593D91694C}"/>
            </a:ext>
          </a:extLst>
        </xdr:cNvPr>
        <xdr:cNvPicPr>
          <a:picLocks noChangeAspect="1"/>
        </xdr:cNvPicPr>
      </xdr:nvPicPr>
      <xdr:blipFill>
        <a:blip xmlns:r="http://schemas.openxmlformats.org/officeDocument/2006/relationships" r:embed="rId1"/>
        <a:stretch>
          <a:fillRect/>
        </a:stretch>
      </xdr:blipFill>
      <xdr:spPr>
        <a:xfrm>
          <a:off x="152400" y="66675"/>
          <a:ext cx="323850" cy="33337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1</xdr:col>
      <xdr:colOff>31750</xdr:colOff>
      <xdr:row>0</xdr:row>
      <xdr:rowOff>42333</xdr:rowOff>
    </xdr:from>
    <xdr:to>
      <xdr:col>1</xdr:col>
      <xdr:colOff>444500</xdr:colOff>
      <xdr:row>0</xdr:row>
      <xdr:rowOff>607787</xdr:rowOff>
    </xdr:to>
    <xdr:pic>
      <xdr:nvPicPr>
        <xdr:cNvPr id="4" name="Picture 3">
          <a:extLst>
            <a:ext uri="{FF2B5EF4-FFF2-40B4-BE49-F238E27FC236}">
              <a16:creationId xmlns:a16="http://schemas.microsoft.com/office/drawing/2014/main" id="{67FA183B-3756-4457-B777-893A60109C8B}"/>
            </a:ext>
          </a:extLst>
        </xdr:cNvPr>
        <xdr:cNvPicPr>
          <a:picLocks noChangeAspect="1"/>
        </xdr:cNvPicPr>
      </xdr:nvPicPr>
      <xdr:blipFill>
        <a:blip xmlns:r="http://schemas.openxmlformats.org/officeDocument/2006/relationships" r:embed="rId1"/>
        <a:stretch>
          <a:fillRect/>
        </a:stretch>
      </xdr:blipFill>
      <xdr:spPr>
        <a:xfrm>
          <a:off x="231321" y="42333"/>
          <a:ext cx="412750" cy="56545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0</xdr:col>
      <xdr:colOff>152400</xdr:colOff>
      <xdr:row>0</xdr:row>
      <xdr:rowOff>66675</xdr:rowOff>
    </xdr:from>
    <xdr:ext cx="323850" cy="333375"/>
    <xdr:pic>
      <xdr:nvPicPr>
        <xdr:cNvPr id="2" name="Picture 23">
          <a:extLst>
            <a:ext uri="{FF2B5EF4-FFF2-40B4-BE49-F238E27FC236}">
              <a16:creationId xmlns:a16="http://schemas.microsoft.com/office/drawing/2014/main" id="{87ACF746-64FA-46D1-8C7C-2BE1B8A143F8}"/>
            </a:ext>
          </a:extLst>
        </xdr:cNvPr>
        <xdr:cNvPicPr>
          <a:picLocks noChangeAspect="1"/>
        </xdr:cNvPicPr>
      </xdr:nvPicPr>
      <xdr:blipFill>
        <a:blip xmlns:r="http://schemas.openxmlformats.org/officeDocument/2006/relationships" r:embed="rId1"/>
        <a:stretch>
          <a:fillRect/>
        </a:stretch>
      </xdr:blipFill>
      <xdr:spPr>
        <a:xfrm>
          <a:off x="152400" y="66675"/>
          <a:ext cx="323850" cy="33337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1</xdr:col>
      <xdr:colOff>63500</xdr:colOff>
      <xdr:row>0</xdr:row>
      <xdr:rowOff>63500</xdr:rowOff>
    </xdr:from>
    <xdr:to>
      <xdr:col>1</xdr:col>
      <xdr:colOff>554551</xdr:colOff>
      <xdr:row>0</xdr:row>
      <xdr:rowOff>582476</xdr:rowOff>
    </xdr:to>
    <xdr:pic>
      <xdr:nvPicPr>
        <xdr:cNvPr id="2" name="Picture 2">
          <a:extLst>
            <a:ext uri="{FF2B5EF4-FFF2-40B4-BE49-F238E27FC236}">
              <a16:creationId xmlns:a16="http://schemas.microsoft.com/office/drawing/2014/main" id="{7F94F105-FC24-4B36-9F55-2535C12E08B3}"/>
            </a:ext>
          </a:extLst>
        </xdr:cNvPr>
        <xdr:cNvPicPr>
          <a:picLocks noChangeAspect="1"/>
        </xdr:cNvPicPr>
      </xdr:nvPicPr>
      <xdr:blipFill>
        <a:blip xmlns:r="http://schemas.openxmlformats.org/officeDocument/2006/relationships" r:embed="rId1"/>
        <a:stretch>
          <a:fillRect/>
        </a:stretch>
      </xdr:blipFill>
      <xdr:spPr>
        <a:xfrm>
          <a:off x="266700" y="63500"/>
          <a:ext cx="491051" cy="5189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eychinamanaged.sharepoint.cn/sites/IPO19/Shared%20Documents/&#27993;&#27743;&#21147;&#31215;IPO/251231&#24180;&#23457;/&#27993;&#27743;&#21147;&#31215;_SWP_&#38598;&#22242;&#23457;&#35745;&#33539;&#22260;Planning-20251031&amp;2024&amp;2023&amp;2022.xlsx" TargetMode="External"/><Relationship Id="rId1" Type="http://schemas.openxmlformats.org/officeDocument/2006/relationships/externalLinkPath" Target="/sites/IPO19/Shared%20Documents/&#27993;&#27743;&#21147;&#31215;IPO/251231&#24180;&#23457;/&#27993;&#27743;&#21147;&#31215;_SWP_&#38598;&#22242;&#23457;&#35745;&#33539;&#22260;Planning-20251031&amp;2024&amp;2023&amp;2022.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eychinamanaged.sharepoint.cn/sites/IPO19/Shared%20Documents/&#27993;&#27743;&#21147;&#31215;IPO/251231&#24180;&#23457;/01.A3A5/01.&#27993;&#27743;&#21147;&#31215;_A3_IPO&#19977;&#24180;.xlsx" TargetMode="External"/><Relationship Id="rId1" Type="http://schemas.openxmlformats.org/officeDocument/2006/relationships/externalLinkPath" Target="/sites/IPO19/Shared%20Documents/&#27993;&#27743;&#21147;&#31215;IPO/251231&#24180;&#23457;/01.A3A5/01.&#27993;&#27743;&#21147;&#31215;_A3_IPO&#19977;&#2418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汇总"/>
      <sheetName val="1.集团范围界定分析"/>
      <sheetName val="2.IRC分析"/>
      <sheetName val="2.1 IRC风险分析"/>
      <sheetName val="3.剩余余额的考虑事项"/>
      <sheetName val="4.余下账户余额策略"/>
      <sheetName val="4.余下账户余额策略——备选方案"/>
      <sheetName val="剔除非经常性损益"/>
      <sheetName val="25630单家TE"/>
      <sheetName val="Group PM,TE&amp;SAD"/>
      <sheetName val="审计范围20251231"/>
      <sheetName val="审计范围汇总2022-2024"/>
      <sheetName val="审计范围20241231"/>
      <sheetName val="审计范围20231231"/>
      <sheetName val="审计范围20221231"/>
      <sheetName val="各公司审计范围_for review"/>
      <sheetName val="重大交易流程"/>
      <sheetName val="审计范围-以此版为准"/>
      <sheetName val="识别重大账户"/>
      <sheetName val="集团财务数据_合并后20241231"/>
      <sheetName val="集团财务数据_合并后20231231"/>
      <sheetName val="集团财务数据_合并后20221231"/>
      <sheetName val="集团财务数据-合并前20241231"/>
      <sheetName val="集团财务数据_合并后20251231"/>
      <sheetName val="集团财务数据_合并后20241031"/>
      <sheetName val="合并抵消各家明细20241231"/>
      <sheetName val="合并调整20241231"/>
      <sheetName val="集团财务数据-合并前20231231"/>
      <sheetName val="合并抵消各家明细20231231"/>
      <sheetName val="合并调整20231231"/>
      <sheetName val="集团财务数据-合并前20221231"/>
      <sheetName val="合并抵消各家明细20221231"/>
      <sheetName val="合并调整20221231"/>
      <sheetName val="20231231审计范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57">
          <cell r="H257">
            <v>276000</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长投梳理-浙江买香港100%-旧"/>
      <sheetName val="长投梳理-浙江买香港100%-旧2"/>
      <sheetName val="长投梳理-浙江买香港100%-新"/>
      <sheetName val="The company EM"/>
      <sheetName val="Compare BS"/>
      <sheetName val="A300_IFRS"/>
      <sheetName val="合并公司A3"/>
      <sheetName val="合并调整A5"/>
      <sheetName val="浙江力积A3"/>
      <sheetName val="浙江力积A5-PRC"/>
      <sheetName val="浙江力积A5-IFRS"/>
      <sheetName val="调整数据源"/>
      <sheetName val="上海分A3"/>
      <sheetName val="上海分A5-PRC"/>
      <sheetName val="上海分A5-IFRS"/>
      <sheetName val="北京分A3"/>
      <sheetName val="北京分A5-PRC"/>
      <sheetName val="北京分A5-IFRS"/>
      <sheetName val="杭州分A3"/>
      <sheetName val="杭州分A5-PRC"/>
      <sheetName val="杭州分A5-IFRS"/>
      <sheetName val="深圳分A3"/>
      <sheetName val="深圳分A5-PRC"/>
      <sheetName val="深圳分A5-IFRS"/>
      <sheetName val="西安分A3"/>
      <sheetName val="西安分A5-PRC"/>
      <sheetName val="西安分A5-IFRS"/>
      <sheetName val="DS_INTERNAL_SETTINGS_STORAGE"/>
      <sheetName val="DS_INTERNAL_DOCGROUP_STORAGE"/>
      <sheetName val="DS_INTERNAL_DOCUMENT_STORAGE"/>
      <sheetName val="DS_INTERNAL_SNIP_STORAGE"/>
    </sheetNames>
    <sheetDataSet>
      <sheetData sheetId="0"/>
      <sheetData sheetId="1"/>
      <sheetData sheetId="2"/>
      <sheetData sheetId="3"/>
      <sheetData sheetId="4"/>
      <sheetData sheetId="5"/>
      <sheetData sheetId="6"/>
      <sheetData sheetId="7"/>
      <sheetData sheetId="8">
        <row r="65">
          <cell r="BT65">
            <v>279741.81</v>
          </cell>
          <cell r="BZ65">
            <v>0</v>
          </cell>
        </row>
      </sheetData>
      <sheetData sheetId="9">
        <row r="471">
          <cell r="L471">
            <v>-279741.81</v>
          </cell>
        </row>
        <row r="472">
          <cell r="L472">
            <v>279741.81</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x:/r/sites/GCknowledgecenter/Shared%20Documents/&#23457;&#35745;&#26631;&#20934;&#24213;&#31295;/&#26631;&#20934;&#23457;&#35745;&#24213;&#31295;&#27169;&#26495;&#31532;&#20116;&#29256;-&#20351;&#29992;&#29256;/OSP/OSP%20K1%20SWP%20&#22266;&#23450;&#36164;&#20135;&#21450;&#22312;&#24314;&#24037;&#31243;&#30424;&#28857;%20202YMMDD%20XYZ&#20844;&#21496;.xlsx?d=waeb81816f6c440799a00b2ddb91df7cf&amp;csf=1&amp;web=1&amp;e=hEzWQJ" TargetMode="External"/><Relationship Id="rId1" Type="http://schemas.openxmlformats.org/officeDocument/2006/relationships/hyperlink" Target="../../../../../../../../:x:/r/sites/GCknowledgecenter/Shared%20Documents/&#23457;&#35745;&#26631;&#20934;&#24213;&#31295;/&#26631;&#20934;&#23457;&#35745;&#24213;&#31295;&#27169;&#26495;&#31532;&#20116;&#29256;-&#20351;&#29992;&#29256;/SWP%20&#20943;&#20540;&#36857;&#35937;&#35782;&#21035;%20202YMMDD%20XYZ&#20844;&#21496;.xlsx?d=w9029592e751d48249204b3aebc2a57c9&amp;csf=1&amp;web=1&amp;e=tCZdC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99D73-9898-464A-A89E-096AE80E99E8}">
  <dimension ref="A1:N19"/>
  <sheetViews>
    <sheetView showGridLines="0" zoomScale="115" zoomScaleNormal="115" workbookViewId="0">
      <selection activeCell="M13" sqref="M13"/>
    </sheetView>
  </sheetViews>
  <sheetFormatPr defaultColWidth="8.7109375" defaultRowHeight="21.95" customHeight="1"/>
  <cols>
    <col min="1" max="1" width="2.5703125" style="100" customWidth="1"/>
    <col min="2" max="2" width="15.140625" style="100" customWidth="1"/>
    <col min="3" max="3" width="23.5703125" style="220" customWidth="1"/>
    <col min="4" max="4" width="18.140625" style="100" customWidth="1"/>
    <col min="5" max="5" width="29.5703125" style="100" customWidth="1"/>
    <col min="6" max="6" width="26.140625" style="100" customWidth="1"/>
    <col min="7" max="7" width="14.5703125" style="100" customWidth="1"/>
    <col min="8" max="8" width="16.85546875" style="100" bestFit="1" customWidth="1"/>
    <col min="9" max="16384" width="8.7109375" style="100"/>
  </cols>
  <sheetData>
    <row r="1" spans="1:14" ht="20.25">
      <c r="A1" s="395" t="s">
        <v>2</v>
      </c>
      <c r="B1" s="99"/>
      <c r="C1" s="101"/>
      <c r="D1" s="99"/>
      <c r="E1" s="99"/>
      <c r="F1" s="99"/>
    </row>
    <row r="2" spans="1:14" ht="18">
      <c r="B2" s="318" t="s">
        <v>3</v>
      </c>
      <c r="C2" s="101"/>
      <c r="D2" s="319" t="s">
        <v>4</v>
      </c>
      <c r="E2" s="99"/>
      <c r="F2" s="99"/>
    </row>
    <row r="3" spans="1:14" ht="9.9499999999999993" customHeight="1">
      <c r="B3" s="99"/>
      <c r="C3" s="101"/>
      <c r="D3" s="99"/>
      <c r="E3" s="99"/>
      <c r="F3" s="99"/>
    </row>
    <row r="4" spans="1:14" s="311" customFormat="1" ht="15" customHeight="1">
      <c r="B4" s="244" t="s">
        <v>5</v>
      </c>
      <c r="C4" s="489" t="s">
        <v>6</v>
      </c>
      <c r="D4" s="490"/>
      <c r="E4" s="491"/>
      <c r="F4" s="245" t="s">
        <v>7</v>
      </c>
      <c r="G4" s="245" t="s">
        <v>8</v>
      </c>
      <c r="H4" s="225" t="s">
        <v>9</v>
      </c>
    </row>
    <row r="5" spans="1:14" ht="39" customHeight="1">
      <c r="B5" s="246">
        <v>1</v>
      </c>
      <c r="C5" s="484" t="s">
        <v>10</v>
      </c>
      <c r="D5" s="484"/>
      <c r="E5" s="484"/>
      <c r="F5" s="443" t="s">
        <v>11</v>
      </c>
      <c r="G5" s="337" t="s">
        <v>12</v>
      </c>
      <c r="H5" s="312"/>
      <c r="I5" s="101"/>
      <c r="J5" s="101"/>
      <c r="K5" s="101"/>
      <c r="L5" s="101"/>
      <c r="M5" s="101"/>
      <c r="N5" s="101"/>
    </row>
    <row r="6" spans="1:14" s="311" customFormat="1" ht="15" customHeight="1">
      <c r="B6" s="244" t="s">
        <v>13</v>
      </c>
      <c r="C6" s="492" t="s">
        <v>14</v>
      </c>
      <c r="D6" s="492"/>
      <c r="E6" s="492"/>
      <c r="F6" s="245" t="s">
        <v>7</v>
      </c>
      <c r="G6" s="245" t="s">
        <v>8</v>
      </c>
      <c r="H6" s="245" t="s">
        <v>9</v>
      </c>
    </row>
    <row r="7" spans="1:14" ht="28.5" customHeight="1">
      <c r="B7" s="246">
        <v>1</v>
      </c>
      <c r="C7" s="488" t="s">
        <v>15</v>
      </c>
      <c r="D7" s="488"/>
      <c r="E7" s="488"/>
      <c r="F7" s="443" t="s">
        <v>16</v>
      </c>
      <c r="G7" s="337" t="s">
        <v>12</v>
      </c>
      <c r="H7" s="313"/>
    </row>
    <row r="8" spans="1:14" s="311" customFormat="1" ht="15" customHeight="1">
      <c r="B8" s="247" t="s">
        <v>17</v>
      </c>
      <c r="C8" s="493" t="s">
        <v>18</v>
      </c>
      <c r="D8" s="480"/>
      <c r="E8" s="480"/>
      <c r="F8" s="248" t="s">
        <v>7</v>
      </c>
      <c r="G8" s="245" t="s">
        <v>8</v>
      </c>
      <c r="H8" s="245" t="s">
        <v>9</v>
      </c>
    </row>
    <row r="9" spans="1:14" ht="24" customHeight="1">
      <c r="B9" s="246">
        <v>1</v>
      </c>
      <c r="C9" s="484" t="s">
        <v>19</v>
      </c>
      <c r="D9" s="484"/>
      <c r="E9" s="484"/>
      <c r="F9" s="476" t="s">
        <v>0</v>
      </c>
      <c r="G9" s="337" t="s">
        <v>12</v>
      </c>
      <c r="H9" s="314"/>
    </row>
    <row r="10" spans="1:14" ht="36" customHeight="1">
      <c r="B10" s="246">
        <v>2</v>
      </c>
      <c r="C10" s="483" t="s">
        <v>20</v>
      </c>
      <c r="D10" s="483"/>
      <c r="E10" s="483"/>
      <c r="F10" s="476"/>
      <c r="G10" s="337" t="s">
        <v>12</v>
      </c>
      <c r="H10" s="313"/>
    </row>
    <row r="11" spans="1:14" s="311" customFormat="1" ht="15" customHeight="1">
      <c r="B11" s="247" t="s">
        <v>21</v>
      </c>
      <c r="C11" s="480" t="s">
        <v>22</v>
      </c>
      <c r="D11" s="480"/>
      <c r="E11" s="480"/>
      <c r="F11" s="248" t="s">
        <v>7</v>
      </c>
      <c r="G11" s="245" t="s">
        <v>8</v>
      </c>
      <c r="H11" s="245" t="s">
        <v>9</v>
      </c>
    </row>
    <row r="12" spans="1:14" ht="24.75" customHeight="1">
      <c r="B12" s="250">
        <v>1</v>
      </c>
      <c r="C12" s="484" t="s">
        <v>23</v>
      </c>
      <c r="D12" s="484"/>
      <c r="E12" s="484"/>
      <c r="F12" s="477" t="s">
        <v>1</v>
      </c>
      <c r="G12" s="337" t="s">
        <v>12</v>
      </c>
      <c r="H12" s="314"/>
    </row>
    <row r="13" spans="1:14" ht="41.25" customHeight="1">
      <c r="B13" s="250">
        <v>2</v>
      </c>
      <c r="C13" s="483" t="s">
        <v>24</v>
      </c>
      <c r="D13" s="483"/>
      <c r="E13" s="483"/>
      <c r="F13" s="478"/>
      <c r="G13" s="337" t="s">
        <v>12</v>
      </c>
      <c r="H13" s="314"/>
    </row>
    <row r="14" spans="1:14" ht="26.25" customHeight="1">
      <c r="B14" s="250">
        <v>3</v>
      </c>
      <c r="C14" s="484" t="s">
        <v>25</v>
      </c>
      <c r="D14" s="484"/>
      <c r="E14" s="484"/>
      <c r="F14" s="479"/>
      <c r="G14" s="337" t="s">
        <v>12</v>
      </c>
      <c r="H14" s="314"/>
    </row>
    <row r="15" spans="1:14" s="311" customFormat="1" ht="15" customHeight="1">
      <c r="B15" s="247" t="s">
        <v>26</v>
      </c>
      <c r="C15" s="480" t="s">
        <v>27</v>
      </c>
      <c r="D15" s="480"/>
      <c r="E15" s="480"/>
      <c r="F15" s="248" t="s">
        <v>7</v>
      </c>
      <c r="G15" s="245" t="s">
        <v>8</v>
      </c>
      <c r="H15" s="245" t="s">
        <v>9</v>
      </c>
    </row>
    <row r="16" spans="1:14" ht="36.75" customHeight="1">
      <c r="B16" s="250">
        <v>1</v>
      </c>
      <c r="C16" s="483" t="s">
        <v>28</v>
      </c>
      <c r="D16" s="483"/>
      <c r="E16" s="483"/>
      <c r="F16" s="481" t="s">
        <v>29</v>
      </c>
      <c r="G16" s="337" t="s">
        <v>30</v>
      </c>
      <c r="H16" s="444" t="s">
        <v>31</v>
      </c>
    </row>
    <row r="17" spans="2:8" ht="35.25" customHeight="1">
      <c r="B17" s="250">
        <v>2</v>
      </c>
      <c r="C17" s="483" t="s">
        <v>32</v>
      </c>
      <c r="D17" s="483"/>
      <c r="E17" s="483"/>
      <c r="F17" s="482"/>
      <c r="G17" s="420" t="s">
        <v>33</v>
      </c>
      <c r="H17" s="444" t="s">
        <v>31</v>
      </c>
    </row>
    <row r="18" spans="2:8" ht="15" customHeight="1">
      <c r="B18" s="310" t="s">
        <v>34</v>
      </c>
      <c r="C18" s="485" t="s">
        <v>35</v>
      </c>
      <c r="D18" s="486"/>
      <c r="E18" s="487"/>
      <c r="F18" s="308" t="s">
        <v>7</v>
      </c>
      <c r="G18" s="308" t="s">
        <v>8</v>
      </c>
      <c r="H18" s="308" t="s">
        <v>9</v>
      </c>
    </row>
    <row r="19" spans="2:8" ht="111.75" customHeight="1">
      <c r="B19" s="309">
        <v>1</v>
      </c>
      <c r="C19" s="483" t="s">
        <v>36</v>
      </c>
      <c r="D19" s="483"/>
      <c r="E19" s="483"/>
      <c r="F19" s="443"/>
      <c r="G19" s="420" t="s">
        <v>33</v>
      </c>
      <c r="H19" s="421" t="s">
        <v>37</v>
      </c>
    </row>
  </sheetData>
  <mergeCells count="19">
    <mergeCell ref="C18:E18"/>
    <mergeCell ref="C19:E19"/>
    <mergeCell ref="C7:E7"/>
    <mergeCell ref="C4:E4"/>
    <mergeCell ref="C5:E5"/>
    <mergeCell ref="C6:E6"/>
    <mergeCell ref="C8:E8"/>
    <mergeCell ref="C9:E9"/>
    <mergeCell ref="C10:E10"/>
    <mergeCell ref="C12:E12"/>
    <mergeCell ref="F9:F10"/>
    <mergeCell ref="F12:F14"/>
    <mergeCell ref="C15:E15"/>
    <mergeCell ref="F16:F17"/>
    <mergeCell ref="C11:E11"/>
    <mergeCell ref="C16:E16"/>
    <mergeCell ref="C17:E17"/>
    <mergeCell ref="C13:E13"/>
    <mergeCell ref="C14:E14"/>
  </mergeCells>
  <phoneticPr fontId="77" type="noConversion"/>
  <conditionalFormatting sqref="G5 G7 G9:G10 G12:G14 G16:G17">
    <cfRule type="containsBlanks" dxfId="55" priority="20">
      <formula>LEN(TRIM(G5))=0</formula>
    </cfRule>
  </conditionalFormatting>
  <conditionalFormatting sqref="G19">
    <cfRule type="containsBlanks" dxfId="54" priority="2">
      <formula>LEN(TRIM(G19))=0</formula>
    </cfRule>
  </conditionalFormatting>
  <conditionalFormatting sqref="H5 H7 H9:H10 H12:H14 H16:H17">
    <cfRule type="expression" dxfId="53" priority="3">
      <formula>SUMPRODUCT((G5="否")*(LEN(H5)=0))</formula>
    </cfRule>
  </conditionalFormatting>
  <conditionalFormatting sqref="H19">
    <cfRule type="expression" dxfId="52" priority="1">
      <formula>SUMPRODUCT((G19="否")*(LEN(H19)=0))</formula>
    </cfRule>
  </conditionalFormatting>
  <conditionalFormatting sqref="I5:N5">
    <cfRule type="expression" dxfId="51" priority="145">
      <formula>SUMPRODUCT((#REF!="No")*(LEN(I5)=0))</formula>
    </cfRule>
  </conditionalFormatting>
  <dataValidations count="1">
    <dataValidation type="list" allowBlank="1" showInputMessage="1" sqref="G5 G12:G14 G9:G10 G7 G16:G17 G19" xr:uid="{405A6AAD-7204-4253-9B95-928749814C33}">
      <formula1>"是,否"</formula1>
    </dataValidation>
  </dataValidations>
  <hyperlinks>
    <hyperlink ref="F5" location="'J.00  Lead Sheet'!A1" display="J.00 Lead sheet" xr:uid="{79741228-E5C4-4F1E-994D-330192D8A604}"/>
    <hyperlink ref="F7" location="'J.01 Agree SL to GL'!A1" display="J.01 Agree SL to GL" xr:uid="{5E7AD388-069F-4A51-83D5-4E13F4E0032B}"/>
    <hyperlink ref="F9:F10" location="'J.02.1 CIP additions(TOD)'!A1" display="J.02.1 CIP additions(TOD)" xr:uid="{F568A21E-1F27-4729-9A50-2C773D9809AA}"/>
    <hyperlink ref="F16:F17" location="'J.03 CIP长期挂账'!A1" display="'J.03 CIP长期挂账" xr:uid="{C49A042D-0E59-43AC-AC02-C6049A4E4BF0}"/>
    <hyperlink ref="F12:F14" location="'J.02.2 CIP transfer (TOD)'!A1" display="J.02.2 CIP transfer (TOD)" xr:uid="{D1473596-5F49-49B0-8C4E-3748435A6466}"/>
    <hyperlink ref="C19:E19" r:id="rId1" display="https://eychinamanaged.sharepoint.cn/:x:/r/sites/GCknowledgecenter/Shared Documents/%E5%AE%A1%E8%AE%A1%E6%A0%87%E5%87%86%E5%BA%95%E7%A8%BF/%E6%A0%87%E5%87%86%E5%AE%A1%E8%AE%A1%E5%BA%95%E7%A8%BF%E6%A8%A1%E6%9D%BF%E7%AC%AC%E4%BA%94%E7%89%88-%E4%BD%BF%E7%94%A8%E7%89%88/SWP %E5%87%8F%E5%80%BC%E8%BF%B9%E8%B1%A1%E8%AF%86%E5%88%AB 202YMMDD XYZ%E5%85%AC%E5%8F%B8.xlsx?d=w9029592e751d48249204b3aebc2a57c9&amp;csf=1&amp;web=1&amp;e=tCZdCL" xr:uid="{46494034-70D3-4691-A53E-E2927B8D66E5}"/>
    <hyperlink ref="D2" r:id="rId2" display="https://eychinamanaged.sharepoint.cn/:x:/r/sites/GCknowledgecenter/Shared Documents/%E5%AE%A1%E8%AE%A1%E6%A0%87%E5%87%86%E5%BA%95%E7%A8%BF/%E6%A0%87%E5%87%86%E5%AE%A1%E8%AE%A1%E5%BA%95%E7%A8%BF%E6%A8%A1%E6%9D%BF%E7%AC%AC%E4%BA%94%E7%89%88-%E4%BD%BF%E7%94%A8%E7%89%88/OSP/OSP K1 SWP %E5%9B%BA%E5%AE%9A%E8%B5%84%E4%BA%A7%E5%8F%8A%E5%9C%A8%E5%BB%BA%E5%B7%A5%E7%A8%8B%E7%9B%98%E7%82%B9 202YMMDD XYZ%E5%85%AC%E5%8F%B8.xlsx?d=waeb81816f6c440799a00b2ddb91df7cf&amp;csf=1&amp;web=1&amp;e=hEzWQJ" xr:uid="{52417AA9-292E-43CA-BE82-B127EDB89AF0}"/>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I71"/>
  <sheetViews>
    <sheetView workbookViewId="0"/>
  </sheetViews>
  <sheetFormatPr defaultColWidth="9" defaultRowHeight="15"/>
  <cols>
    <col min="1" max="1" width="0.140625" customWidth="1"/>
  </cols>
  <sheetData>
    <row r="1" spans="1:61">
      <c r="A1" t="s">
        <v>38</v>
      </c>
    </row>
    <row r="6" spans="1:61">
      <c r="E6" t="s">
        <v>563</v>
      </c>
      <c r="Y6" t="s">
        <v>39</v>
      </c>
      <c r="Z6" t="s">
        <v>40</v>
      </c>
      <c r="AA6" t="s">
        <v>41</v>
      </c>
      <c r="AB6" t="s">
        <v>42</v>
      </c>
      <c r="AC6" t="s">
        <v>43</v>
      </c>
      <c r="AD6" t="s">
        <v>44</v>
      </c>
      <c r="AE6" t="s">
        <v>45</v>
      </c>
      <c r="AF6" t="s">
        <v>46</v>
      </c>
      <c r="AG6" t="s">
        <v>47</v>
      </c>
      <c r="AH6" t="s">
        <v>48</v>
      </c>
      <c r="AI6" t="s">
        <v>49</v>
      </c>
      <c r="AJ6" t="s">
        <v>50</v>
      </c>
      <c r="AK6" t="s">
        <v>51</v>
      </c>
      <c r="AL6" t="s">
        <v>52</v>
      </c>
      <c r="AM6" t="s">
        <v>53</v>
      </c>
      <c r="AN6" t="s">
        <v>54</v>
      </c>
      <c r="AO6" t="s">
        <v>55</v>
      </c>
      <c r="AP6" t="s">
        <v>56</v>
      </c>
      <c r="AQ6" t="s">
        <v>57</v>
      </c>
      <c r="AR6" t="s">
        <v>58</v>
      </c>
      <c r="AS6" t="s">
        <v>59</v>
      </c>
      <c r="AT6" t="s">
        <v>60</v>
      </c>
      <c r="AU6" t="s">
        <v>61</v>
      </c>
      <c r="AV6" t="s">
        <v>62</v>
      </c>
      <c r="AW6" t="s">
        <v>63</v>
      </c>
      <c r="AX6" t="s">
        <v>64</v>
      </c>
      <c r="AY6" t="s">
        <v>65</v>
      </c>
      <c r="AZ6" t="s">
        <v>66</v>
      </c>
      <c r="BA6" t="s">
        <v>67</v>
      </c>
      <c r="BB6" t="s">
        <v>68</v>
      </c>
      <c r="BC6" t="s">
        <v>69</v>
      </c>
      <c r="BD6" t="s">
        <v>70</v>
      </c>
      <c r="BE6" t="s">
        <v>71</v>
      </c>
      <c r="BF6" t="s">
        <v>72</v>
      </c>
      <c r="BG6" t="s">
        <v>73</v>
      </c>
      <c r="BH6" t="s">
        <v>74</v>
      </c>
      <c r="BI6" t="s">
        <v>75</v>
      </c>
    </row>
    <row r="9" spans="1:61">
      <c r="A9" t="s">
        <v>76</v>
      </c>
    </row>
    <row r="10" spans="1:61">
      <c r="F10" t="e">
        <f>#REF!</f>
        <v>#REF!</v>
      </c>
      <c r="G10" t="s">
        <v>77</v>
      </c>
    </row>
    <row r="11" spans="1:61">
      <c r="A11" s="15">
        <v>71</v>
      </c>
      <c r="F11" t="e">
        <f>#REF!</f>
        <v>#REF!</v>
      </c>
      <c r="G11" t="s">
        <v>78</v>
      </c>
    </row>
    <row r="12" spans="1:61">
      <c r="F12" t="e">
        <f>#REF!</f>
        <v>#REF!</v>
      </c>
      <c r="G12" t="s">
        <v>79</v>
      </c>
    </row>
    <row r="13" spans="1:61">
      <c r="F13" t="e">
        <f>#REF!</f>
        <v>#REF!</v>
      </c>
      <c r="G13" t="s">
        <v>80</v>
      </c>
    </row>
    <row r="14" spans="1:61">
      <c r="F14" t="e">
        <f>#REF!</f>
        <v>#REF!</v>
      </c>
      <c r="G14" t="s">
        <v>81</v>
      </c>
    </row>
    <row r="15" spans="1:61">
      <c r="A15" s="15">
        <v>44</v>
      </c>
      <c r="F15" t="e">
        <f>#REF!</f>
        <v>#REF!</v>
      </c>
      <c r="G15" t="s">
        <v>82</v>
      </c>
      <c r="R15" t="e">
        <f>#REF!</f>
        <v>#REF!</v>
      </c>
      <c r="S15" t="s">
        <v>83</v>
      </c>
    </row>
    <row r="16" spans="1:61">
      <c r="F16" s="15" t="e">
        <f>#REF!</f>
        <v>#REF!</v>
      </c>
      <c r="G16" t="s">
        <v>84</v>
      </c>
      <c r="R16" t="e">
        <f>#REF!</f>
        <v>#REF!</v>
      </c>
      <c r="S16" t="s">
        <v>85</v>
      </c>
    </row>
    <row r="17" spans="6:19">
      <c r="F17" t="e">
        <f>#REF!</f>
        <v>#REF!</v>
      </c>
      <c r="G17" t="s">
        <v>86</v>
      </c>
      <c r="R17" t="e">
        <f>#REF!</f>
        <v>#REF!</v>
      </c>
      <c r="S17" t="s">
        <v>87</v>
      </c>
    </row>
    <row r="18" spans="6:19">
      <c r="F18" t="e">
        <f>#REF!</f>
        <v>#REF!</v>
      </c>
      <c r="G18" t="s">
        <v>88</v>
      </c>
      <c r="R18" t="e">
        <f>#REF!</f>
        <v>#REF!</v>
      </c>
      <c r="S18" t="s">
        <v>89</v>
      </c>
    </row>
    <row r="19" spans="6:19">
      <c r="F19" t="e">
        <f>#REF!</f>
        <v>#REF!</v>
      </c>
      <c r="G19" t="s">
        <v>90</v>
      </c>
      <c r="R19" t="e">
        <f>#REF!</f>
        <v>#REF!</v>
      </c>
      <c r="S19" t="s">
        <v>91</v>
      </c>
    </row>
    <row r="20" spans="6:19">
      <c r="F20" t="e">
        <f>#REF!</f>
        <v>#REF!</v>
      </c>
      <c r="G20" t="s">
        <v>92</v>
      </c>
      <c r="R20" t="e">
        <f>#REF!</f>
        <v>#REF!</v>
      </c>
      <c r="S20" t="s">
        <v>93</v>
      </c>
    </row>
    <row r="21" spans="6:19">
      <c r="F21" t="e">
        <f>#REF!</f>
        <v>#REF!</v>
      </c>
      <c r="G21" t="s">
        <v>94</v>
      </c>
      <c r="R21" t="e">
        <f>#REF!</f>
        <v>#REF!</v>
      </c>
      <c r="S21" t="s">
        <v>95</v>
      </c>
    </row>
    <row r="22" spans="6:19">
      <c r="F22" t="e">
        <f>#REF!</f>
        <v>#REF!</v>
      </c>
      <c r="G22" t="s">
        <v>96</v>
      </c>
      <c r="R22" t="e">
        <f>#REF!</f>
        <v>#REF!</v>
      </c>
      <c r="S22" t="s">
        <v>97</v>
      </c>
    </row>
    <row r="23" spans="6:19">
      <c r="F23" t="e">
        <f>#REF!</f>
        <v>#REF!</v>
      </c>
      <c r="G23" t="s">
        <v>98</v>
      </c>
      <c r="R23" t="e">
        <f>#REF!</f>
        <v>#REF!</v>
      </c>
      <c r="S23" t="s">
        <v>99</v>
      </c>
    </row>
    <row r="24" spans="6:19">
      <c r="F24" t="e">
        <f>#REF!</f>
        <v>#REF!</v>
      </c>
      <c r="G24" t="s">
        <v>100</v>
      </c>
      <c r="R24" t="e">
        <f>#REF!</f>
        <v>#REF!</v>
      </c>
      <c r="S24" t="s">
        <v>101</v>
      </c>
    </row>
    <row r="25" spans="6:19">
      <c r="F25" t="e">
        <f>#REF!</f>
        <v>#REF!</v>
      </c>
      <c r="G25" t="s">
        <v>102</v>
      </c>
      <c r="R25" t="e">
        <f>#REF!</f>
        <v>#REF!</v>
      </c>
      <c r="S25" t="s">
        <v>103</v>
      </c>
    </row>
    <row r="26" spans="6:19">
      <c r="F26" t="e">
        <f>#REF!</f>
        <v>#REF!</v>
      </c>
      <c r="G26" t="s">
        <v>104</v>
      </c>
      <c r="R26" s="15" t="e">
        <f>#REF!</f>
        <v>#REF!</v>
      </c>
      <c r="S26" t="s">
        <v>105</v>
      </c>
    </row>
    <row r="27" spans="6:19">
      <c r="F27" t="e">
        <f>#REF!</f>
        <v>#REF!</v>
      </c>
      <c r="G27" t="s">
        <v>106</v>
      </c>
      <c r="R27" t="e">
        <f>#REF!</f>
        <v>#REF!</v>
      </c>
      <c r="S27" t="s">
        <v>107</v>
      </c>
    </row>
    <row r="28" spans="6:19">
      <c r="F28" t="e">
        <f>#REF!</f>
        <v>#REF!</v>
      </c>
      <c r="G28" t="s">
        <v>108</v>
      </c>
      <c r="R28" t="e">
        <f>#REF!</f>
        <v>#REF!</v>
      </c>
      <c r="S28" t="s">
        <v>109</v>
      </c>
    </row>
    <row r="29" spans="6:19">
      <c r="F29" t="e">
        <f>#REF!</f>
        <v>#REF!</v>
      </c>
      <c r="G29" t="s">
        <v>110</v>
      </c>
      <c r="R29" t="e">
        <f>#REF!</f>
        <v>#REF!</v>
      </c>
      <c r="S29" t="s">
        <v>111</v>
      </c>
    </row>
    <row r="30" spans="6:19">
      <c r="F30" t="e">
        <f>#REF!</f>
        <v>#REF!</v>
      </c>
      <c r="G30" t="s">
        <v>112</v>
      </c>
      <c r="R30" t="e">
        <f>#REF!</f>
        <v>#REF!</v>
      </c>
      <c r="S30" t="s">
        <v>113</v>
      </c>
    </row>
    <row r="31" spans="6:19">
      <c r="F31" t="e">
        <f>#REF!</f>
        <v>#REF!</v>
      </c>
      <c r="G31" t="s">
        <v>114</v>
      </c>
      <c r="R31" t="e">
        <f>#REF!</f>
        <v>#REF!</v>
      </c>
      <c r="S31" t="s">
        <v>115</v>
      </c>
    </row>
    <row r="32" spans="6:19">
      <c r="F32" t="e">
        <f>#REF!</f>
        <v>#REF!</v>
      </c>
      <c r="G32" t="s">
        <v>116</v>
      </c>
      <c r="R32" t="e">
        <f>#REF!</f>
        <v>#REF!</v>
      </c>
      <c r="S32" t="s">
        <v>117</v>
      </c>
    </row>
    <row r="33" spans="6:19">
      <c r="F33" t="e">
        <f>#REF!</f>
        <v>#REF!</v>
      </c>
      <c r="G33" t="s">
        <v>118</v>
      </c>
      <c r="R33" t="e">
        <f>#REF!</f>
        <v>#REF!</v>
      </c>
      <c r="S33" t="s">
        <v>119</v>
      </c>
    </row>
    <row r="34" spans="6:19">
      <c r="F34" t="e">
        <f>#REF!</f>
        <v>#REF!</v>
      </c>
      <c r="G34" t="s">
        <v>120</v>
      </c>
      <c r="R34" t="e">
        <f>#REF!</f>
        <v>#REF!</v>
      </c>
      <c r="S34" t="s">
        <v>121</v>
      </c>
    </row>
    <row r="35" spans="6:19">
      <c r="F35" t="e">
        <f>#REF!</f>
        <v>#REF!</v>
      </c>
      <c r="G35" t="s">
        <v>122</v>
      </c>
      <c r="R35" t="e">
        <f>#REF!</f>
        <v>#REF!</v>
      </c>
      <c r="S35" t="s">
        <v>123</v>
      </c>
    </row>
    <row r="36" spans="6:19">
      <c r="F36" t="e">
        <f>#REF!</f>
        <v>#REF!</v>
      </c>
      <c r="G36" t="s">
        <v>124</v>
      </c>
      <c r="R36" t="e">
        <f>#REF!</f>
        <v>#REF!</v>
      </c>
      <c r="S36" t="s">
        <v>125</v>
      </c>
    </row>
    <row r="37" spans="6:19">
      <c r="F37" t="e">
        <f>#REF!</f>
        <v>#REF!</v>
      </c>
      <c r="G37" t="s">
        <v>126</v>
      </c>
      <c r="R37" t="e">
        <f>#REF!</f>
        <v>#REF!</v>
      </c>
      <c r="S37" t="s">
        <v>127</v>
      </c>
    </row>
    <row r="38" spans="6:19">
      <c r="F38" t="e">
        <f>#REF!</f>
        <v>#REF!</v>
      </c>
      <c r="G38" t="s">
        <v>128</v>
      </c>
      <c r="R38" t="e">
        <f>#REF!</f>
        <v>#REF!</v>
      </c>
      <c r="S38" t="s">
        <v>129</v>
      </c>
    </row>
    <row r="39" spans="6:19">
      <c r="F39" t="e">
        <f>#REF!</f>
        <v>#REF!</v>
      </c>
      <c r="G39" t="s">
        <v>130</v>
      </c>
      <c r="R39" t="e">
        <f>#REF!</f>
        <v>#REF!</v>
      </c>
      <c r="S39" t="s">
        <v>131</v>
      </c>
    </row>
    <row r="40" spans="6:19">
      <c r="F40" t="e">
        <f>#REF!</f>
        <v>#REF!</v>
      </c>
      <c r="G40" t="s">
        <v>132</v>
      </c>
      <c r="R40" t="e">
        <f>#REF!</f>
        <v>#REF!</v>
      </c>
      <c r="S40" t="s">
        <v>133</v>
      </c>
    </row>
    <row r="41" spans="6:19">
      <c r="F41" t="e">
        <f>#REF!</f>
        <v>#REF!</v>
      </c>
      <c r="G41" t="s">
        <v>134</v>
      </c>
      <c r="R41" t="e">
        <f>#REF!</f>
        <v>#REF!</v>
      </c>
      <c r="S41" t="s">
        <v>135</v>
      </c>
    </row>
    <row r="42" spans="6:19">
      <c r="F42" t="e">
        <f>#REF!</f>
        <v>#REF!</v>
      </c>
      <c r="G42" t="s">
        <v>136</v>
      </c>
      <c r="R42" t="e">
        <f>#REF!</f>
        <v>#REF!</v>
      </c>
      <c r="S42" t="s">
        <v>137</v>
      </c>
    </row>
    <row r="43" spans="6:19">
      <c r="F43" t="e">
        <f>#REF!</f>
        <v>#REF!</v>
      </c>
      <c r="G43" t="s">
        <v>138</v>
      </c>
      <c r="R43" t="e">
        <f>#REF!</f>
        <v>#REF!</v>
      </c>
      <c r="S43" t="s">
        <v>139</v>
      </c>
    </row>
    <row r="44" spans="6:19">
      <c r="R44" t="e">
        <f>#REF!</f>
        <v>#REF!</v>
      </c>
      <c r="S44" t="s">
        <v>140</v>
      </c>
    </row>
    <row r="63" spans="6:7">
      <c r="F63" t="e">
        <f>#REF!</f>
        <v>#REF!</v>
      </c>
      <c r="G63" t="s">
        <v>141</v>
      </c>
    </row>
    <row r="64" spans="6:7">
      <c r="F64" t="e">
        <f>#REF!</f>
        <v>#REF!</v>
      </c>
      <c r="G64" t="s">
        <v>142</v>
      </c>
    </row>
    <row r="65" spans="6:7">
      <c r="F65" t="e">
        <f>#REF!</f>
        <v>#REF!</v>
      </c>
      <c r="G65" t="s">
        <v>143</v>
      </c>
    </row>
    <row r="66" spans="6:7">
      <c r="F66" t="e">
        <f>#REF!</f>
        <v>#REF!</v>
      </c>
      <c r="G66" t="s">
        <v>144</v>
      </c>
    </row>
    <row r="67" spans="6:7">
      <c r="F67" t="e">
        <f>#REF!</f>
        <v>#REF!</v>
      </c>
      <c r="G67" t="s">
        <v>145</v>
      </c>
    </row>
    <row r="68" spans="6:7">
      <c r="F68" t="e">
        <f>#REF!</f>
        <v>#REF!</v>
      </c>
      <c r="G68" t="s">
        <v>146</v>
      </c>
    </row>
    <row r="69" spans="6:7">
      <c r="F69" t="e">
        <f>#REF!</f>
        <v>#REF!</v>
      </c>
      <c r="G69" t="s">
        <v>147</v>
      </c>
    </row>
    <row r="70" spans="6:7">
      <c r="F70" t="e">
        <f>#REF!</f>
        <v>#REF!</v>
      </c>
      <c r="G70" t="s">
        <v>148</v>
      </c>
    </row>
    <row r="71" spans="6:7">
      <c r="F71" t="e">
        <f>#REF!</f>
        <v>#REF!</v>
      </c>
      <c r="G71" t="s">
        <v>149</v>
      </c>
    </row>
  </sheetData>
  <phoneticPr fontId="77"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2EB0E-8B93-478D-9F30-C3E05F04B6E0}">
  <sheetPr>
    <pageSetUpPr fitToPage="1"/>
  </sheetPr>
  <dimension ref="A1:R72"/>
  <sheetViews>
    <sheetView showGridLines="0" topLeftCell="A30" zoomScale="85" zoomScaleNormal="85" workbookViewId="0">
      <selection activeCell="H56" sqref="H56"/>
    </sheetView>
  </sheetViews>
  <sheetFormatPr defaultColWidth="9.140625" defaultRowHeight="15" customHeight="1"/>
  <cols>
    <col min="1" max="1" width="2.5703125" style="37" customWidth="1"/>
    <col min="2" max="2" width="19.7109375" style="37" customWidth="1"/>
    <col min="3" max="3" width="34.140625" style="37" customWidth="1"/>
    <col min="4" max="4" width="16" style="37" customWidth="1"/>
    <col min="5" max="5" width="24.140625" style="37" customWidth="1"/>
    <col min="6" max="6" width="12.140625" style="37" customWidth="1"/>
    <col min="7" max="7" width="15.140625" style="37" customWidth="1"/>
    <col min="8" max="8" width="17.140625" style="37" customWidth="1"/>
    <col min="9" max="9" width="13.7109375" style="37" customWidth="1"/>
    <col min="10" max="10" width="14.140625" style="37" customWidth="1"/>
    <col min="11" max="11" width="17.140625" style="37" customWidth="1"/>
    <col min="12" max="13" width="16.140625" style="37" customWidth="1"/>
    <col min="14" max="14" width="20" style="37" customWidth="1"/>
    <col min="15" max="15" width="21.140625" style="37" customWidth="1"/>
    <col min="16" max="16" width="2.5703125" style="37" customWidth="1"/>
    <col min="17" max="17" width="1.5703125" style="37" customWidth="1"/>
    <col min="18" max="18" width="9.140625" style="44" customWidth="1"/>
    <col min="19" max="16384" width="9.140625" style="37"/>
  </cols>
  <sheetData>
    <row r="1" spans="2:18" ht="50.1" customHeight="1">
      <c r="B1" s="338" t="s">
        <v>150</v>
      </c>
      <c r="C1" s="251"/>
      <c r="D1" s="361"/>
      <c r="E1" s="238"/>
      <c r="F1" s="239"/>
      <c r="G1" s="239"/>
      <c r="H1" s="239"/>
      <c r="I1" s="239"/>
      <c r="J1" s="239"/>
      <c r="K1" s="239"/>
      <c r="L1" s="239"/>
      <c r="M1" s="239"/>
      <c r="N1" s="239"/>
      <c r="O1" s="240"/>
      <c r="Q1" s="38"/>
      <c r="R1" s="37"/>
    </row>
    <row r="2" spans="2:18" s="122" customFormat="1" ht="18">
      <c r="B2" s="124" t="s">
        <v>151</v>
      </c>
      <c r="C2" s="320" t="s">
        <v>152</v>
      </c>
      <c r="D2" s="328"/>
      <c r="E2" s="506" t="s">
        <v>153</v>
      </c>
      <c r="F2" s="506"/>
      <c r="G2" s="506"/>
      <c r="H2" s="506"/>
      <c r="I2" s="506"/>
      <c r="J2" s="506"/>
      <c r="K2" s="506"/>
      <c r="L2" s="506"/>
      <c r="M2" s="506"/>
      <c r="N2" s="506"/>
      <c r="O2" s="507"/>
      <c r="Q2" s="123"/>
    </row>
    <row r="3" spans="2:18" s="122" customFormat="1" ht="18">
      <c r="B3" s="124" t="s">
        <v>154</v>
      </c>
      <c r="C3" s="321">
        <v>46022</v>
      </c>
      <c r="D3" s="326"/>
      <c r="E3" s="506"/>
      <c r="F3" s="506"/>
      <c r="G3" s="506"/>
      <c r="H3" s="506"/>
      <c r="I3" s="506"/>
      <c r="J3" s="506"/>
      <c r="K3" s="506"/>
      <c r="L3" s="506"/>
      <c r="M3" s="506"/>
      <c r="N3" s="506"/>
      <c r="O3" s="507"/>
      <c r="Q3" s="123"/>
    </row>
    <row r="4" spans="2:18" s="122" customFormat="1" ht="18">
      <c r="B4" s="124" t="s">
        <v>155</v>
      </c>
      <c r="C4" s="322">
        <v>46050</v>
      </c>
      <c r="D4" s="326"/>
      <c r="E4" s="506"/>
      <c r="F4" s="506"/>
      <c r="G4" s="506"/>
      <c r="H4" s="506"/>
      <c r="I4" s="506"/>
      <c r="J4" s="506"/>
      <c r="K4" s="506"/>
      <c r="L4" s="506"/>
      <c r="M4" s="506"/>
      <c r="N4" s="506"/>
      <c r="O4" s="507"/>
      <c r="Q4" s="123"/>
    </row>
    <row r="5" spans="2:18" s="122" customFormat="1" ht="18">
      <c r="B5" s="124" t="s">
        <v>156</v>
      </c>
      <c r="C5" s="323">
        <v>2346000</v>
      </c>
      <c r="D5" s="326"/>
      <c r="E5" s="506"/>
      <c r="F5" s="506"/>
      <c r="G5" s="506"/>
      <c r="H5" s="506"/>
      <c r="I5" s="506"/>
      <c r="J5" s="506"/>
      <c r="K5" s="506"/>
      <c r="L5" s="506"/>
      <c r="M5" s="506"/>
      <c r="N5" s="506"/>
      <c r="O5" s="507"/>
      <c r="Q5" s="123"/>
    </row>
    <row r="6" spans="2:18" s="122" customFormat="1" ht="18">
      <c r="B6" s="124" t="s">
        <v>157</v>
      </c>
      <c r="C6" s="323">
        <f>[1]审计范围20251231!$H$257</f>
        <v>276000</v>
      </c>
      <c r="D6" s="326"/>
      <c r="E6" s="506"/>
      <c r="F6" s="506"/>
      <c r="G6" s="506"/>
      <c r="H6" s="506"/>
      <c r="I6" s="506"/>
      <c r="J6" s="506"/>
      <c r="K6" s="506"/>
      <c r="L6" s="506"/>
      <c r="M6" s="506"/>
      <c r="N6" s="506"/>
      <c r="O6" s="507"/>
      <c r="Q6" s="123"/>
    </row>
    <row r="7" spans="2:18" s="122" customFormat="1" ht="18">
      <c r="B7" s="124" t="s">
        <v>158</v>
      </c>
      <c r="C7" s="320" t="s">
        <v>159</v>
      </c>
      <c r="D7" s="326"/>
      <c r="E7" s="506"/>
      <c r="F7" s="506"/>
      <c r="G7" s="506"/>
      <c r="H7" s="506"/>
      <c r="I7" s="506"/>
      <c r="J7" s="506"/>
      <c r="K7" s="506"/>
      <c r="L7" s="506"/>
      <c r="M7" s="506"/>
      <c r="N7" s="506"/>
      <c r="O7" s="507"/>
      <c r="Q7" s="123"/>
    </row>
    <row r="8" spans="2:18" s="122" customFormat="1" ht="18">
      <c r="B8" s="125" t="s">
        <v>160</v>
      </c>
      <c r="C8" s="324" t="s">
        <v>161</v>
      </c>
      <c r="D8" s="327"/>
      <c r="E8" s="508"/>
      <c r="F8" s="508"/>
      <c r="G8" s="508"/>
      <c r="H8" s="508"/>
      <c r="I8" s="508"/>
      <c r="J8" s="508"/>
      <c r="K8" s="508"/>
      <c r="L8" s="508"/>
      <c r="M8" s="508"/>
      <c r="N8" s="508"/>
      <c r="O8" s="509"/>
      <c r="Q8" s="123"/>
    </row>
    <row r="9" spans="2:18" s="39" customFormat="1" ht="30" customHeight="1">
      <c r="B9" s="241" t="s">
        <v>162</v>
      </c>
      <c r="C9" s="242"/>
      <c r="D9" s="325"/>
      <c r="E9" s="242"/>
      <c r="F9" s="242"/>
      <c r="G9" s="242"/>
      <c r="H9" s="242"/>
      <c r="I9" s="242"/>
      <c r="J9" s="242"/>
      <c r="K9" s="242"/>
      <c r="L9" s="242"/>
      <c r="M9" s="242"/>
      <c r="N9" s="242"/>
      <c r="O9" s="243"/>
      <c r="Q9" s="40"/>
    </row>
    <row r="10" spans="2:18" ht="15" customHeight="1">
      <c r="Q10" s="38"/>
      <c r="R10" s="37"/>
    </row>
    <row r="11" spans="2:18" ht="15" customHeight="1">
      <c r="B11" s="113" t="s">
        <v>163</v>
      </c>
      <c r="Q11" s="38"/>
      <c r="R11" s="37"/>
    </row>
    <row r="12" spans="2:18" ht="15" customHeight="1">
      <c r="Q12" s="38"/>
      <c r="R12" s="37"/>
    </row>
    <row r="13" spans="2:18" ht="15" customHeight="1">
      <c r="D13" s="44"/>
      <c r="Q13" s="38"/>
      <c r="R13" s="37"/>
    </row>
    <row r="14" spans="2:18" ht="15" customHeight="1">
      <c r="B14" s="3"/>
      <c r="C14" s="3"/>
      <c r="D14" s="339" t="s">
        <v>164</v>
      </c>
      <c r="E14" s="340"/>
      <c r="H14" s="517" t="s">
        <v>165</v>
      </c>
      <c r="I14" s="518"/>
      <c r="J14" s="518"/>
      <c r="K14" s="518"/>
      <c r="L14" s="519"/>
      <c r="Q14" s="38"/>
      <c r="R14" s="37"/>
    </row>
    <row r="15" spans="2:18" ht="15" customHeight="1">
      <c r="B15" s="315" t="s">
        <v>166</v>
      </c>
      <c r="C15" s="315" t="s">
        <v>167</v>
      </c>
      <c r="D15" s="315" t="s">
        <v>168</v>
      </c>
      <c r="E15" s="316" t="s">
        <v>169</v>
      </c>
      <c r="H15" s="127" t="s">
        <v>170</v>
      </c>
      <c r="I15" s="341" t="s">
        <v>171</v>
      </c>
      <c r="J15" s="128"/>
      <c r="K15" s="128"/>
      <c r="L15" s="129"/>
      <c r="Q15" s="38"/>
      <c r="R15" s="37"/>
    </row>
    <row r="16" spans="2:18" ht="15" customHeight="1">
      <c r="B16" s="342" t="s">
        <v>172</v>
      </c>
      <c r="C16" s="271" t="s">
        <v>173</v>
      </c>
      <c r="D16" s="343">
        <f>IF(C16="Minimal",$C$5*100%,IF(C16="Low",$C$5*75%,IF(C16="Moderate",$C$5*50%,IF(C16="High",$C$5*25%,IF(C16="N/A","-",)))))</f>
        <v>2346000</v>
      </c>
      <c r="E16" s="114">
        <f>MIN($D$16:$D$20)</f>
        <v>2346000</v>
      </c>
      <c r="H16" s="130" t="s">
        <v>174</v>
      </c>
      <c r="I16" s="341" t="s">
        <v>175</v>
      </c>
      <c r="J16" s="362"/>
      <c r="K16" s="252"/>
      <c r="L16" s="344"/>
      <c r="Q16" s="38"/>
      <c r="R16" s="37"/>
    </row>
    <row r="17" spans="2:18" ht="15" customHeight="1">
      <c r="B17" s="342" t="s">
        <v>176</v>
      </c>
      <c r="C17" s="271" t="s">
        <v>173</v>
      </c>
      <c r="D17" s="343">
        <f>IF(C17="Minimal",$C$5*100%,IF(C17="Low",$C$5*75%,IF(C17="Moderate",$C$5*50%,IF(C17="High",$C$5*25%,IF(C17="N/A","-",)))))</f>
        <v>2346000</v>
      </c>
      <c r="E17" s="115"/>
      <c r="H17" s="127" t="s">
        <v>177</v>
      </c>
      <c r="I17" s="345" t="s">
        <v>178</v>
      </c>
      <c r="J17" s="131"/>
      <c r="K17" s="252"/>
      <c r="L17" s="344"/>
      <c r="Q17" s="38"/>
      <c r="R17" s="37"/>
    </row>
    <row r="18" spans="2:18" ht="15" customHeight="1">
      <c r="B18" s="317" t="s">
        <v>179</v>
      </c>
      <c r="C18" s="271" t="s">
        <v>173</v>
      </c>
      <c r="D18" s="343">
        <f t="shared" ref="D18:D20" si="0">IF(C18="Minimal",$C$5*100%,IF(C18="Low",$C$5*75%,IF(C18="Moderate",$C$5*50%,IF(C18="High",$C$5*25%,IF(C18="N/A","-",)))))</f>
        <v>2346000</v>
      </c>
      <c r="E18" s="115"/>
      <c r="H18" s="127" t="s">
        <v>180</v>
      </c>
      <c r="I18" s="345" t="s">
        <v>181</v>
      </c>
      <c r="J18" s="132"/>
      <c r="K18" s="252"/>
      <c r="L18" s="344"/>
      <c r="Q18" s="38"/>
      <c r="R18" s="37"/>
    </row>
    <row r="19" spans="2:18" ht="15" customHeight="1">
      <c r="B19" s="342" t="s">
        <v>182</v>
      </c>
      <c r="C19" s="271" t="s">
        <v>173</v>
      </c>
      <c r="D19" s="343">
        <f t="shared" si="0"/>
        <v>2346000</v>
      </c>
      <c r="E19" s="115"/>
      <c r="H19" s="133" t="s">
        <v>183</v>
      </c>
      <c r="I19" s="341" t="s">
        <v>184</v>
      </c>
      <c r="J19" s="86"/>
      <c r="K19" s="253"/>
      <c r="L19" s="346"/>
      <c r="Q19" s="38"/>
      <c r="R19" s="37"/>
    </row>
    <row r="20" spans="2:18" ht="15" customHeight="1">
      <c r="B20" s="347" t="s">
        <v>185</v>
      </c>
      <c r="C20" s="272" t="s">
        <v>186</v>
      </c>
      <c r="D20" s="343" t="str">
        <f t="shared" si="0"/>
        <v>-</v>
      </c>
      <c r="E20" s="116"/>
      <c r="H20" s="134" t="s">
        <v>187</v>
      </c>
      <c r="I20" s="341" t="s">
        <v>188</v>
      </c>
      <c r="J20" s="252"/>
      <c r="K20" s="252"/>
      <c r="L20" s="344"/>
      <c r="Q20" s="38"/>
      <c r="R20" s="37"/>
    </row>
    <row r="21" spans="2:18" ht="16.5" customHeight="1">
      <c r="B21" s="510" t="s">
        <v>189</v>
      </c>
      <c r="C21" s="510"/>
      <c r="D21" s="510"/>
      <c r="E21" s="510"/>
      <c r="H21" s="127" t="s">
        <v>190</v>
      </c>
      <c r="I21" s="341" t="s">
        <v>191</v>
      </c>
      <c r="J21" s="252"/>
      <c r="K21" s="252"/>
      <c r="L21" s="344"/>
      <c r="Q21" s="38"/>
      <c r="R21" s="37"/>
    </row>
    <row r="22" spans="2:18" ht="16.5" customHeight="1">
      <c r="B22" s="126" t="s">
        <v>192</v>
      </c>
      <c r="C22" s="445"/>
      <c r="D22" s="445"/>
      <c r="E22" s="445"/>
      <c r="H22" s="134" t="s">
        <v>193</v>
      </c>
      <c r="I22" s="341" t="s">
        <v>194</v>
      </c>
      <c r="J22" s="252"/>
      <c r="K22" s="252"/>
      <c r="L22" s="344"/>
      <c r="Q22" s="38"/>
      <c r="R22" s="37"/>
    </row>
    <row r="23" spans="2:18" ht="16.5" customHeight="1">
      <c r="B23" s="126" t="s">
        <v>195</v>
      </c>
      <c r="C23" s="445"/>
      <c r="D23" s="445"/>
      <c r="E23" s="445"/>
      <c r="H23" s="137" t="s">
        <v>196</v>
      </c>
      <c r="I23" s="138" t="s">
        <v>197</v>
      </c>
      <c r="J23" s="135"/>
      <c r="K23" s="135"/>
      <c r="L23" s="136"/>
      <c r="Q23" s="38"/>
      <c r="R23" s="37"/>
    </row>
    <row r="24" spans="2:18" ht="44.25" customHeight="1">
      <c r="B24" s="510" t="s">
        <v>198</v>
      </c>
      <c r="C24" s="510"/>
      <c r="D24" s="510"/>
      <c r="E24" s="510"/>
      <c r="F24" s="279"/>
      <c r="G24" s="279"/>
      <c r="Q24" s="38"/>
      <c r="R24" s="37"/>
    </row>
    <row r="25" spans="2:18" ht="14.25">
      <c r="B25" s="280"/>
      <c r="C25" s="280"/>
      <c r="D25" s="280"/>
      <c r="E25" s="280"/>
      <c r="F25" s="279"/>
      <c r="G25" s="279"/>
      <c r="Q25" s="38"/>
      <c r="R25" s="37"/>
    </row>
    <row r="26" spans="2:18" ht="15" customHeight="1">
      <c r="B26" s="139" t="s">
        <v>199</v>
      </c>
      <c r="C26" s="218"/>
      <c r="D26" s="218"/>
      <c r="E26" s="218"/>
      <c r="F26" s="218"/>
      <c r="G26" s="218"/>
      <c r="H26" s="219"/>
      <c r="I26" s="220"/>
      <c r="J26" s="220"/>
      <c r="K26" s="218"/>
      <c r="L26" s="221"/>
      <c r="M26" s="3"/>
      <c r="N26" s="221"/>
      <c r="O26" s="221"/>
      <c r="P26" s="221"/>
      <c r="Q26" s="38"/>
      <c r="R26" s="37"/>
    </row>
    <row r="27" spans="2:18" ht="25.5" customHeight="1">
      <c r="B27" s="254" t="s">
        <v>200</v>
      </c>
      <c r="C27" s="511" t="s">
        <v>201</v>
      </c>
      <c r="D27" s="512"/>
      <c r="E27" s="512"/>
      <c r="F27" s="513"/>
      <c r="G27" s="41"/>
      <c r="H27" s="41"/>
      <c r="I27" s="41"/>
      <c r="J27" s="41"/>
      <c r="K27" s="41"/>
      <c r="L27" s="41"/>
      <c r="M27" s="41"/>
      <c r="N27" s="89"/>
      <c r="O27" s="89"/>
      <c r="P27" s="89"/>
      <c r="Q27" s="38"/>
      <c r="R27" s="37"/>
    </row>
    <row r="28" spans="2:18" ht="25.5" customHeight="1">
      <c r="B28" s="255" t="s">
        <v>202</v>
      </c>
      <c r="C28" s="514" t="s">
        <v>203</v>
      </c>
      <c r="D28" s="515"/>
      <c r="E28" s="515"/>
      <c r="F28" s="516"/>
      <c r="G28" s="41"/>
      <c r="H28" s="41"/>
      <c r="I28" s="41"/>
      <c r="J28" s="41"/>
      <c r="K28" s="41"/>
      <c r="L28" s="41"/>
      <c r="M28" s="41"/>
      <c r="N28" s="90"/>
      <c r="O28" s="90"/>
      <c r="P28" s="90"/>
      <c r="Q28" s="38"/>
      <c r="R28" s="37"/>
    </row>
    <row r="29" spans="2:18" ht="25.5" customHeight="1">
      <c r="B29" s="255" t="s">
        <v>204</v>
      </c>
      <c r="C29" s="514" t="s">
        <v>205</v>
      </c>
      <c r="D29" s="515"/>
      <c r="E29" s="515"/>
      <c r="F29" s="516"/>
      <c r="G29" s="41"/>
      <c r="H29" s="41"/>
      <c r="I29" s="41"/>
      <c r="J29" s="41"/>
      <c r="K29" s="41"/>
      <c r="L29" s="41"/>
      <c r="M29" s="41"/>
      <c r="N29" s="90"/>
      <c r="O29" s="90"/>
      <c r="P29" s="90"/>
      <c r="Q29" s="38"/>
      <c r="R29" s="37"/>
    </row>
    <row r="30" spans="2:18" ht="15" customHeight="1">
      <c r="C30" s="41"/>
      <c r="D30" s="41"/>
      <c r="E30" s="41"/>
      <c r="F30" s="41"/>
      <c r="G30" s="41"/>
      <c r="H30" s="41"/>
      <c r="I30" s="41"/>
      <c r="J30" s="41"/>
      <c r="K30" s="41"/>
      <c r="L30" s="42"/>
      <c r="M30" s="281"/>
      <c r="Q30" s="38"/>
      <c r="R30" s="37"/>
    </row>
    <row r="31" spans="2:18" ht="15" customHeight="1">
      <c r="D31" s="41"/>
      <c r="E31" s="41"/>
      <c r="F31" s="41"/>
      <c r="G31" s="41"/>
      <c r="H31" s="41"/>
      <c r="I31" s="41"/>
      <c r="J31" s="41"/>
      <c r="K31" s="41"/>
      <c r="L31" s="42"/>
      <c r="M31" s="281"/>
      <c r="P31" s="43"/>
      <c r="Q31" s="38"/>
    </row>
    <row r="32" spans="2:18" ht="15" customHeight="1">
      <c r="B32" s="256" t="s">
        <v>206</v>
      </c>
      <c r="C32" s="256"/>
      <c r="D32" s="175"/>
      <c r="E32" s="45"/>
      <c r="F32" s="45"/>
      <c r="G32" s="45"/>
      <c r="H32" s="45"/>
      <c r="I32" s="45"/>
      <c r="J32" s="45"/>
      <c r="K32" s="45"/>
      <c r="L32" s="45"/>
      <c r="M32" s="45"/>
      <c r="N32" s="45"/>
      <c r="O32" s="45"/>
      <c r="Q32" s="38"/>
    </row>
    <row r="33" spans="2:18" ht="15" customHeight="1">
      <c r="B33" s="257" t="str">
        <f>"波动幅度 ("&amp; C8&amp; "):"</f>
        <v>波动幅度 (CNY):</v>
      </c>
      <c r="C33" s="470">
        <f>$E$16</f>
        <v>2346000</v>
      </c>
      <c r="N33" s="52"/>
      <c r="Q33" s="38"/>
    </row>
    <row r="34" spans="2:18" s="46" customFormat="1" ht="15" customHeight="1">
      <c r="B34" s="396" t="s">
        <v>207</v>
      </c>
      <c r="C34" s="258">
        <v>0.1</v>
      </c>
      <c r="Q34" s="38"/>
      <c r="R34" s="48"/>
    </row>
    <row r="35" spans="2:18" s="46" customFormat="1" ht="15" customHeight="1">
      <c r="B35" s="63"/>
      <c r="C35" s="37"/>
      <c r="Q35" s="38"/>
      <c r="R35" s="48"/>
    </row>
    <row r="36" spans="2:18" s="46" customFormat="1" ht="18.600000000000001" customHeight="1">
      <c r="B36" s="348" t="s">
        <v>208</v>
      </c>
      <c r="C36" s="140"/>
      <c r="D36" s="140"/>
      <c r="E36" s="140"/>
      <c r="F36" s="140"/>
      <c r="G36" s="140"/>
      <c r="H36" s="140"/>
      <c r="I36" s="140"/>
      <c r="J36" s="140"/>
      <c r="K36" s="140"/>
      <c r="L36" s="140"/>
      <c r="M36" s="140"/>
      <c r="Q36" s="38"/>
      <c r="R36" s="48"/>
    </row>
    <row r="37" spans="2:18" s="46" customFormat="1" ht="18.600000000000001" customHeight="1">
      <c r="B37" s="139" t="s">
        <v>209</v>
      </c>
      <c r="C37" s="140"/>
      <c r="D37" s="140"/>
      <c r="E37" s="140"/>
      <c r="F37" s="140"/>
      <c r="G37" s="140"/>
      <c r="H37" s="140"/>
      <c r="I37" s="140"/>
      <c r="J37" s="140"/>
      <c r="K37" s="140"/>
      <c r="L37" s="140"/>
      <c r="M37" s="140"/>
      <c r="Q37" s="38"/>
      <c r="R37" s="48"/>
    </row>
    <row r="38" spans="2:18" s="46" customFormat="1" ht="18.600000000000001" customHeight="1">
      <c r="B38" s="139" t="s">
        <v>210</v>
      </c>
      <c r="C38" s="140"/>
      <c r="D38" s="140"/>
      <c r="E38" s="140"/>
      <c r="F38" s="140"/>
      <c r="G38" s="140"/>
      <c r="H38" s="140"/>
      <c r="I38" s="140"/>
      <c r="J38" s="140"/>
      <c r="K38" s="140"/>
      <c r="L38" s="140"/>
      <c r="M38" s="140"/>
      <c r="Q38" s="38"/>
      <c r="R38" s="48"/>
    </row>
    <row r="39" spans="2:18" s="46" customFormat="1" ht="15" customHeight="1">
      <c r="B39" s="63"/>
      <c r="C39" s="37"/>
      <c r="Q39" s="38"/>
      <c r="R39" s="48"/>
    </row>
    <row r="40" spans="2:18" s="53" customFormat="1" ht="15" customHeight="1">
      <c r="E40" s="49"/>
      <c r="F40" s="49"/>
      <c r="G40" s="49"/>
      <c r="H40" s="49"/>
      <c r="I40" s="49"/>
      <c r="O40" s="282"/>
      <c r="P40" s="64"/>
      <c r="Q40" s="38"/>
    </row>
    <row r="41" spans="2:18" ht="15" customHeight="1">
      <c r="B41" s="226"/>
      <c r="C41" s="226"/>
      <c r="D41" s="14"/>
      <c r="E41" s="14" t="s">
        <v>211</v>
      </c>
      <c r="F41" s="14"/>
      <c r="G41" s="14"/>
      <c r="H41" s="14"/>
      <c r="I41" s="200"/>
      <c r="J41" s="277" t="s">
        <v>212</v>
      </c>
      <c r="K41" s="226"/>
      <c r="L41" s="226"/>
      <c r="M41" s="226"/>
      <c r="N41" s="283"/>
      <c r="O41" s="283"/>
      <c r="Q41" s="38"/>
      <c r="R41" s="37"/>
    </row>
    <row r="42" spans="2:18" ht="15" customHeight="1">
      <c r="B42" s="200"/>
      <c r="C42" s="200"/>
      <c r="D42" s="200"/>
      <c r="E42" s="520" t="str">
        <f>"货币/单位: "&amp;C8</f>
        <v>货币/单位: CNY</v>
      </c>
      <c r="F42" s="521"/>
      <c r="G42" s="521"/>
      <c r="H42" s="521"/>
      <c r="I42" s="521"/>
      <c r="J42" s="521"/>
      <c r="K42" s="295"/>
      <c r="L42" s="227"/>
      <c r="M42" s="200"/>
      <c r="N42" s="200"/>
      <c r="O42" s="284"/>
      <c r="Q42" s="38"/>
      <c r="R42" s="37"/>
    </row>
    <row r="43" spans="2:18" ht="15" customHeight="1">
      <c r="B43" s="228"/>
      <c r="C43" s="228"/>
      <c r="D43" s="228"/>
      <c r="E43" s="522">
        <f>$C$3</f>
        <v>46022</v>
      </c>
      <c r="F43" s="523"/>
      <c r="G43" s="523"/>
      <c r="H43" s="523"/>
      <c r="I43" s="524"/>
      <c r="J43" s="229">
        <f>DATE(YEAR($C$3)-1,12,31)</f>
        <v>45657</v>
      </c>
      <c r="K43" s="525" t="s">
        <v>213</v>
      </c>
      <c r="L43" s="526"/>
      <c r="M43" s="230"/>
      <c r="N43" s="494" t="s">
        <v>214</v>
      </c>
      <c r="O43" s="494" t="s">
        <v>215</v>
      </c>
      <c r="Q43" s="38"/>
      <c r="R43" s="37"/>
    </row>
    <row r="44" spans="2:18" ht="15" customHeight="1">
      <c r="B44" s="231" t="s">
        <v>216</v>
      </c>
      <c r="C44" s="231" t="s">
        <v>217</v>
      </c>
      <c r="D44" s="231" t="s">
        <v>218</v>
      </c>
      <c r="E44" s="232" t="s">
        <v>219</v>
      </c>
      <c r="F44" s="233" t="s">
        <v>220</v>
      </c>
      <c r="G44" s="233" t="s">
        <v>221</v>
      </c>
      <c r="H44" s="233" t="s">
        <v>222</v>
      </c>
      <c r="I44" s="232" t="s">
        <v>223</v>
      </c>
      <c r="J44" s="232" t="s">
        <v>224</v>
      </c>
      <c r="K44" s="234" t="s">
        <v>225</v>
      </c>
      <c r="L44" s="233" t="s">
        <v>226</v>
      </c>
      <c r="M44" s="235" t="s">
        <v>227</v>
      </c>
      <c r="N44" s="495"/>
      <c r="O44" s="496"/>
      <c r="Q44" s="38"/>
      <c r="R44" s="37"/>
    </row>
    <row r="45" spans="2:18" s="289" customFormat="1" ht="15" customHeight="1">
      <c r="B45" s="278">
        <v>1604</v>
      </c>
      <c r="C45" s="278" t="s">
        <v>228</v>
      </c>
      <c r="D45" s="359" t="s">
        <v>229</v>
      </c>
      <c r="E45" s="95">
        <f>'J.01 Agree SL to GL'!E17</f>
        <v>279741.81</v>
      </c>
      <c r="F45" s="273">
        <f>'J.01 Agree SL to GL'!G17</f>
        <v>0</v>
      </c>
      <c r="G45" s="286">
        <f>E45+F45</f>
        <v>279741.81</v>
      </c>
      <c r="H45" s="95">
        <f>'J.01 Agree SL to GL'!I17</f>
        <v>-279741.81</v>
      </c>
      <c r="I45" s="286">
        <f>G45+H45</f>
        <v>0</v>
      </c>
      <c r="J45" s="95">
        <f>'J.01 Agree SL to GL'!K13</f>
        <v>0</v>
      </c>
      <c r="K45" s="196">
        <f>I45-J45</f>
        <v>0</v>
      </c>
      <c r="L45" s="300">
        <f>IF(J45&lt;&gt;0,K45/J45,1)</f>
        <v>1</v>
      </c>
      <c r="M45" s="287"/>
      <c r="N45" s="363" t="str">
        <f>IF(AND(ABS(K45)&gt;=$C$33,ABS(L45)&gt;=$C$34),"是","否")</f>
        <v>否</v>
      </c>
      <c r="O45" s="446" t="s">
        <v>30</v>
      </c>
      <c r="Q45" s="290"/>
    </row>
    <row r="46" spans="2:18" s="289" customFormat="1" ht="15" customHeight="1">
      <c r="B46" s="278"/>
      <c r="C46" s="278" t="s">
        <v>230</v>
      </c>
      <c r="D46" s="359" t="s">
        <v>229</v>
      </c>
      <c r="E46" s="95">
        <f>'J.01 Agree SL to GL'!E22</f>
        <v>0</v>
      </c>
      <c r="F46" s="95">
        <f>'J.01 Agree SL to GL'!G22</f>
        <v>0</v>
      </c>
      <c r="G46" s="286">
        <f>E46+F46</f>
        <v>0</v>
      </c>
      <c r="H46" s="95">
        <f>'J.01 Agree SL to GL'!I22</f>
        <v>0</v>
      </c>
      <c r="I46" s="286">
        <f>G46+H46</f>
        <v>0</v>
      </c>
      <c r="J46" s="95">
        <f>'J.01 Agree SL to GL'!K19</f>
        <v>0</v>
      </c>
      <c r="K46" s="196">
        <f>I46-J46</f>
        <v>0</v>
      </c>
      <c r="L46" s="300">
        <f>IF(J46&lt;&gt;0,K46/J46,1)</f>
        <v>1</v>
      </c>
      <c r="M46" s="287"/>
      <c r="N46" s="288" t="str">
        <f>IF(AND(ABS(K46)&gt;=$C$33,ABS(L46)&gt;=$C$34),"是","否")</f>
        <v>否</v>
      </c>
      <c r="O46" s="446" t="s">
        <v>30</v>
      </c>
      <c r="Q46" s="290"/>
    </row>
    <row r="47" spans="2:18" ht="15" customHeight="1">
      <c r="B47" s="285"/>
      <c r="E47" s="291"/>
      <c r="F47" s="291"/>
      <c r="G47" s="291"/>
      <c r="H47" s="291"/>
      <c r="I47" s="291"/>
      <c r="J47" s="291"/>
      <c r="K47" s="292"/>
      <c r="L47" s="293"/>
      <c r="M47" s="44"/>
      <c r="N47" s="52"/>
      <c r="O47" s="360"/>
      <c r="Q47" s="38"/>
      <c r="R47" s="37"/>
    </row>
    <row r="48" spans="2:18" ht="15" customHeight="1" thickBot="1">
      <c r="C48" s="53" t="s">
        <v>231</v>
      </c>
      <c r="E48" s="118">
        <f t="shared" ref="E48:K48" si="1">E45-E46</f>
        <v>279741.81</v>
      </c>
      <c r="F48" s="118">
        <f t="shared" si="1"/>
        <v>0</v>
      </c>
      <c r="G48" s="118">
        <f t="shared" si="1"/>
        <v>279741.81</v>
      </c>
      <c r="H48" s="118">
        <f t="shared" si="1"/>
        <v>-279741.81</v>
      </c>
      <c r="I48" s="118">
        <f t="shared" si="1"/>
        <v>0</v>
      </c>
      <c r="J48" s="118">
        <f t="shared" si="1"/>
        <v>0</v>
      </c>
      <c r="K48" s="118">
        <f t="shared" si="1"/>
        <v>0</v>
      </c>
      <c r="L48" s="358">
        <f>IF(J48&lt;&gt;0,K48/J48,1)</f>
        <v>1</v>
      </c>
      <c r="M48" s="51"/>
      <c r="N48" s="288" t="str">
        <f>IF(AND(ABS(K48)&gt;=$C$33,ABS(L48)&gt;=$C$34),"是","否")</f>
        <v>否</v>
      </c>
      <c r="O48" s="446" t="s">
        <v>30</v>
      </c>
      <c r="Q48" s="38"/>
      <c r="R48" s="37"/>
    </row>
    <row r="49" spans="1:18" ht="15" customHeight="1" thickTop="1">
      <c r="C49" s="53"/>
      <c r="E49" s="119" t="s">
        <v>232</v>
      </c>
      <c r="F49" s="119" t="s">
        <v>232</v>
      </c>
      <c r="G49" s="119" t="s">
        <v>232</v>
      </c>
      <c r="H49" s="119" t="s">
        <v>232</v>
      </c>
      <c r="I49" s="119" t="s">
        <v>232</v>
      </c>
      <c r="J49" s="119" t="s">
        <v>232</v>
      </c>
      <c r="K49" s="120"/>
      <c r="L49" s="92"/>
      <c r="M49" s="51"/>
      <c r="N49" s="52"/>
      <c r="O49" s="92"/>
      <c r="Q49" s="38"/>
      <c r="R49" s="37"/>
    </row>
    <row r="50" spans="1:18" ht="15" customHeight="1">
      <c r="C50" s="53"/>
      <c r="E50" s="119"/>
      <c r="F50" s="120"/>
      <c r="G50" s="120"/>
      <c r="H50" s="120"/>
      <c r="I50" s="120"/>
      <c r="J50" s="120"/>
      <c r="K50" s="120"/>
      <c r="L50" s="92"/>
      <c r="M50" s="51"/>
      <c r="N50" s="52"/>
      <c r="O50" s="92"/>
      <c r="Q50" s="38"/>
      <c r="R50" s="37"/>
    </row>
    <row r="51" spans="1:18" ht="15" customHeight="1">
      <c r="C51" s="117" t="s">
        <v>233</v>
      </c>
      <c r="E51" s="294"/>
      <c r="F51" s="120"/>
      <c r="G51" s="276">
        <f>[2]浙江力积A3!$BT$65</f>
        <v>279741.81</v>
      </c>
      <c r="H51" s="471"/>
      <c r="I51" s="276">
        <f>[2]浙江力积A3!$BZ$65</f>
        <v>0</v>
      </c>
      <c r="J51" s="276">
        <v>0</v>
      </c>
      <c r="K51" s="120"/>
      <c r="L51" s="92"/>
      <c r="M51" s="51"/>
      <c r="N51" s="52"/>
      <c r="O51" s="93"/>
      <c r="Q51" s="38"/>
      <c r="R51" s="37"/>
    </row>
    <row r="52" spans="1:18" ht="15" customHeight="1">
      <c r="C52" s="117" t="s">
        <v>234</v>
      </c>
      <c r="D52" s="49"/>
      <c r="E52" s="294"/>
      <c r="F52" s="121"/>
      <c r="G52" s="472">
        <f>G48-G51</f>
        <v>0</v>
      </c>
      <c r="H52" s="473"/>
      <c r="I52" s="472">
        <f>I48-I51</f>
        <v>0</v>
      </c>
      <c r="J52" s="472">
        <f>J48-J51</f>
        <v>0</v>
      </c>
      <c r="L52" s="120"/>
      <c r="M52" s="92"/>
      <c r="N52" s="51"/>
      <c r="O52" s="52"/>
      <c r="P52" s="93"/>
      <c r="Q52" s="38"/>
    </row>
    <row r="53" spans="1:18" ht="15" customHeight="1">
      <c r="B53" s="236" t="s">
        <v>235</v>
      </c>
      <c r="C53" s="226"/>
      <c r="D53" s="226"/>
      <c r="E53" s="226"/>
      <c r="F53" s="226"/>
      <c r="G53" s="91"/>
      <c r="H53" s="91"/>
      <c r="I53" s="91"/>
      <c r="J53" s="91"/>
      <c r="K53" s="92"/>
      <c r="L53" s="51"/>
      <c r="M53" s="52"/>
      <c r="N53" s="92"/>
      <c r="O53" s="93"/>
      <c r="P53" s="44"/>
      <c r="Q53" s="38"/>
      <c r="R53" s="37"/>
    </row>
    <row r="54" spans="1:18" s="46" customFormat="1" ht="15" customHeight="1">
      <c r="B54" s="497" t="s">
        <v>236</v>
      </c>
      <c r="C54" s="498"/>
      <c r="D54" s="498"/>
      <c r="E54" s="498"/>
      <c r="F54" s="499"/>
      <c r="J54" s="54"/>
      <c r="K54" s="54"/>
      <c r="L54" s="54"/>
      <c r="M54" s="55"/>
      <c r="N54" s="55"/>
      <c r="O54" s="55"/>
      <c r="Q54" s="47"/>
    </row>
    <row r="55" spans="1:18" ht="15" customHeight="1">
      <c r="B55" s="500"/>
      <c r="C55" s="501"/>
      <c r="D55" s="501"/>
      <c r="E55" s="501"/>
      <c r="F55" s="502"/>
      <c r="I55" s="64"/>
      <c r="K55" s="58"/>
      <c r="L55" s="59"/>
      <c r="M55" s="59"/>
      <c r="N55" s="59"/>
      <c r="O55" s="59"/>
      <c r="Q55" s="38"/>
      <c r="R55" s="37"/>
    </row>
    <row r="56" spans="1:18" ht="15" customHeight="1">
      <c r="B56" s="500"/>
      <c r="C56" s="501"/>
      <c r="D56" s="501"/>
      <c r="E56" s="501"/>
      <c r="F56" s="502"/>
      <c r="K56" s="58"/>
      <c r="L56" s="59"/>
      <c r="M56" s="59"/>
      <c r="N56" s="59"/>
      <c r="O56" s="59"/>
      <c r="Q56" s="38"/>
      <c r="R56" s="37"/>
    </row>
    <row r="57" spans="1:18" ht="15" customHeight="1">
      <c r="B57" s="503"/>
      <c r="C57" s="504"/>
      <c r="D57" s="504"/>
      <c r="E57" s="504"/>
      <c r="F57" s="505"/>
      <c r="K57" s="58"/>
      <c r="L57" s="59"/>
      <c r="M57" s="59"/>
      <c r="N57" s="59"/>
      <c r="O57" s="59"/>
      <c r="Q57" s="38"/>
      <c r="R57" s="37"/>
    </row>
    <row r="58" spans="1:18" ht="15" customHeight="1">
      <c r="B58" s="57"/>
      <c r="L58" s="58"/>
      <c r="M58" s="59"/>
      <c r="N58" s="59"/>
      <c r="O58" s="59"/>
      <c r="P58" s="59"/>
      <c r="Q58" s="38"/>
    </row>
    <row r="59" spans="1:18" s="106" customFormat="1" ht="16.5">
      <c r="A59" s="102"/>
      <c r="B59" s="149" t="s">
        <v>237</v>
      </c>
      <c r="C59" s="103"/>
      <c r="D59" s="103"/>
      <c r="E59" s="104"/>
      <c r="F59" s="425"/>
      <c r="G59" s="105"/>
      <c r="H59" s="105"/>
      <c r="I59" s="105"/>
      <c r="Q59" s="38"/>
    </row>
    <row r="60" spans="1:18" s="106" customFormat="1" ht="14.25" customHeight="1">
      <c r="A60" s="102"/>
      <c r="B60" s="146" t="s">
        <v>238</v>
      </c>
      <c r="C60" s="147"/>
      <c r="D60" s="147"/>
      <c r="E60" s="148"/>
      <c r="F60" s="148"/>
      <c r="G60" s="105"/>
      <c r="H60" s="105"/>
      <c r="I60" s="105"/>
      <c r="Q60" s="38"/>
    </row>
    <row r="61" spans="1:18" s="106" customFormat="1" ht="14.25" customHeight="1">
      <c r="A61" s="102"/>
      <c r="B61" s="426" t="s">
        <v>239</v>
      </c>
      <c r="C61" s="427" t="s">
        <v>240</v>
      </c>
      <c r="D61" s="427"/>
      <c r="E61" s="428"/>
      <c r="F61" s="429"/>
      <c r="G61" s="105"/>
      <c r="H61" s="105"/>
      <c r="I61" s="105"/>
      <c r="Q61" s="38"/>
    </row>
    <row r="62" spans="1:18" s="106" customFormat="1" ht="14.25" customHeight="1">
      <c r="A62" s="107"/>
      <c r="B62" s="430"/>
      <c r="C62" s="431" t="s">
        <v>241</v>
      </c>
      <c r="D62" s="431"/>
      <c r="E62" s="400">
        <f>'[2]浙江力积A5-PRC'!$L$471</f>
        <v>-279741.81</v>
      </c>
      <c r="F62" s="432" t="s">
        <v>242</v>
      </c>
      <c r="G62" s="105"/>
      <c r="H62" s="105"/>
      <c r="I62" s="105"/>
      <c r="Q62" s="38"/>
    </row>
    <row r="63" spans="1:18" s="106" customFormat="1" ht="14.25" customHeight="1">
      <c r="A63" s="107"/>
      <c r="B63" s="433"/>
      <c r="C63" s="434" t="s">
        <v>243</v>
      </c>
      <c r="D63" s="434"/>
      <c r="E63" s="435">
        <f>'[2]浙江力积A5-PRC'!$L$472</f>
        <v>279741.81</v>
      </c>
      <c r="F63" s="436" t="s">
        <v>242</v>
      </c>
      <c r="G63" s="105"/>
      <c r="H63" s="105"/>
      <c r="I63" s="105"/>
      <c r="Q63" s="38"/>
    </row>
    <row r="64" spans="1:18" s="46" customFormat="1" ht="15" customHeight="1">
      <c r="B64" s="105"/>
      <c r="C64" s="105"/>
      <c r="D64" s="105"/>
      <c r="E64" s="105"/>
      <c r="F64" s="105"/>
      <c r="M64" s="60"/>
      <c r="N64" s="56"/>
      <c r="O64" s="56"/>
      <c r="P64" s="56"/>
      <c r="Q64" s="47"/>
      <c r="R64" s="48"/>
    </row>
    <row r="65" spans="1:17" ht="7.5" customHeight="1">
      <c r="A65" s="94"/>
      <c r="B65" s="94"/>
      <c r="C65" s="94"/>
      <c r="D65" s="94"/>
      <c r="E65" s="94"/>
      <c r="F65" s="94"/>
      <c r="G65" s="94"/>
      <c r="H65" s="38"/>
      <c r="I65" s="38"/>
      <c r="J65" s="38"/>
      <c r="K65" s="38"/>
      <c r="L65" s="38"/>
      <c r="M65" s="61"/>
      <c r="N65" s="62"/>
      <c r="O65" s="62"/>
      <c r="P65" s="62"/>
      <c r="Q65" s="38"/>
    </row>
    <row r="66" spans="1:17" ht="15" customHeight="1">
      <c r="M66" s="58"/>
      <c r="N66" s="59"/>
      <c r="O66" s="59"/>
      <c r="P66" s="59"/>
    </row>
    <row r="67" spans="1:17" ht="15" customHeight="1">
      <c r="M67" s="58"/>
      <c r="N67" s="59"/>
      <c r="O67" s="59"/>
      <c r="P67" s="59"/>
    </row>
    <row r="68" spans="1:17" ht="15" customHeight="1">
      <c r="P68" s="59"/>
    </row>
    <row r="69" spans="1:17" ht="15" customHeight="1">
      <c r="P69" s="59"/>
    </row>
    <row r="70" spans="1:17" ht="15" customHeight="1">
      <c r="P70" s="59"/>
    </row>
    <row r="71" spans="1:17" ht="15" customHeight="1">
      <c r="P71" s="59"/>
    </row>
    <row r="72" spans="1:17" ht="15" customHeight="1">
      <c r="P72" s="59"/>
    </row>
  </sheetData>
  <sheetProtection formatCells="0" formatColumns="0" formatRows="0" insertColumns="0" insertRows="0" insertHyperlinks="0" deleteColumns="0" deleteRows="0" sort="0" autoFilter="0" pivotTables="0"/>
  <mergeCells count="13">
    <mergeCell ref="N43:N44"/>
    <mergeCell ref="O43:O44"/>
    <mergeCell ref="B54:F57"/>
    <mergeCell ref="E2:O8"/>
    <mergeCell ref="B24:E24"/>
    <mergeCell ref="C27:F27"/>
    <mergeCell ref="C28:F28"/>
    <mergeCell ref="C29:F29"/>
    <mergeCell ref="B21:E21"/>
    <mergeCell ref="H14:L14"/>
    <mergeCell ref="E42:J42"/>
    <mergeCell ref="E43:I43"/>
    <mergeCell ref="K43:L43"/>
  </mergeCells>
  <phoneticPr fontId="77" type="noConversion"/>
  <conditionalFormatting sqref="B45:C46">
    <cfRule type="containsBlanks" dxfId="50" priority="5">
      <formula>LEN(TRIM(B45))=0</formula>
    </cfRule>
  </conditionalFormatting>
  <conditionalFormatting sqref="B61:F63">
    <cfRule type="containsBlanks" dxfId="49" priority="2">
      <formula>LEN(TRIM(B61))=0</formula>
    </cfRule>
  </conditionalFormatting>
  <conditionalFormatting sqref="C2 C4:C8 E45:F46 H45:H46 J45:J46 O45:O46">
    <cfRule type="containsBlanks" dxfId="48" priority="27">
      <formula>LEN(TRIM(C2))=0</formula>
    </cfRule>
  </conditionalFormatting>
  <conditionalFormatting sqref="C3">
    <cfRule type="containsBlanks" dxfId="47" priority="3">
      <formula>LEN(TRIM(C3))=0</formula>
    </cfRule>
  </conditionalFormatting>
  <conditionalFormatting sqref="C16:C20">
    <cfRule type="containsBlanks" dxfId="46" priority="6">
      <formula>LEN(TRIM(C16))=0</formula>
    </cfRule>
  </conditionalFormatting>
  <conditionalFormatting sqref="C28:C29">
    <cfRule type="containsBlanks" dxfId="45" priority="23">
      <formula>LEN(TRIM(C28))=0</formula>
    </cfRule>
  </conditionalFormatting>
  <conditionalFormatting sqref="C34">
    <cfRule type="containsBlanks" dxfId="44" priority="24">
      <formula>LEN(TRIM(C34))=0</formula>
    </cfRule>
  </conditionalFormatting>
  <conditionalFormatting sqref="G51">
    <cfRule type="containsBlanks" dxfId="43" priority="4">
      <formula>LEN(TRIM(G51))=0</formula>
    </cfRule>
  </conditionalFormatting>
  <conditionalFormatting sqref="I51:J51">
    <cfRule type="containsBlanks" dxfId="42" priority="15">
      <formula>LEN(TRIM(I51))=0</formula>
    </cfRule>
  </conditionalFormatting>
  <conditionalFormatting sqref="N49:N51 O52 M53">
    <cfRule type="containsText" dxfId="41" priority="43" operator="containsText" text="Yes">
      <formula>NOT(ISERROR(SEARCH("Yes",M49)))</formula>
    </cfRule>
  </conditionalFormatting>
  <conditionalFormatting sqref="O48">
    <cfRule type="containsBlanks" dxfId="40" priority="9">
      <formula>LEN(TRIM(O48))=0</formula>
    </cfRule>
  </conditionalFormatting>
  <dataValidations count="3">
    <dataValidation type="list" allowBlank="1" showInputMessage="1" sqref="C16:C20" xr:uid="{BC63C004-9887-4C31-A71D-D5B659583647}">
      <formula1>"Minimal,Low,Moderate,High,N/A"</formula1>
    </dataValidation>
    <dataValidation type="list" allowBlank="1" showInputMessage="1" sqref="O45:O46 O48" xr:uid="{9EA096DE-D1E9-4D82-934E-5205383786FC}">
      <formula1>"是,否"</formula1>
    </dataValidation>
    <dataValidation type="list" allowBlank="1" showInputMessage="1" sqref="B61:B63" xr:uid="{F01D061B-A263-401C-8F56-295ED2EF960F}">
      <formula1>"管理层账表调整(CLA),已更正审计调整(AA/RA/OA),未更正审计调整(SAD)"</formula1>
    </dataValidation>
  </dataValidations>
  <hyperlinks>
    <hyperlink ref="B11" location="汇总!A1" display="返回汇总页" xr:uid="{E942F71B-7887-4697-A909-C20848EAAFE9}"/>
  </hyperlinks>
  <pageMargins left="0.70866141732283505" right="0.70866141732283505" top="0.74803149606299202" bottom="0.74803149606299202" header="0.31496062992126" footer="0.31496062992126"/>
  <pageSetup paperSize="9" scale="44" fitToHeight="0" orientation="landscape" horizontalDpi="300" r:id="rId1"/>
  <headerFooter>
    <oddFooter>&amp;LK SWP PPE
(24 June 2025)</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A217A-2B22-449B-98A4-D98FC040CB93}">
  <dimension ref="A1:CQ46"/>
  <sheetViews>
    <sheetView showGridLines="0" zoomScale="70" zoomScaleNormal="70" workbookViewId="0">
      <selection activeCell="R27" sqref="R27"/>
    </sheetView>
  </sheetViews>
  <sheetFormatPr defaultColWidth="8.7109375" defaultRowHeight="12.75" customHeight="1"/>
  <cols>
    <col min="1" max="1" width="2.5703125" style="2" customWidth="1"/>
    <col min="2" max="2" width="16.140625" style="2" customWidth="1"/>
    <col min="3" max="3" width="19.85546875" style="2" customWidth="1"/>
    <col min="4" max="4" width="11.140625" style="2" customWidth="1"/>
    <col min="5" max="5" width="20.140625" style="2" customWidth="1"/>
    <col min="6" max="6" width="4.140625" style="2" customWidth="1"/>
    <col min="7" max="7" width="18.140625" style="2" customWidth="1"/>
    <col min="8" max="8" width="4.7109375" style="2" customWidth="1"/>
    <col min="9" max="9" width="13.28515625" style="2" customWidth="1"/>
    <col min="10" max="10" width="3.140625" style="2" customWidth="1"/>
    <col min="11" max="11" width="15.140625" style="2" customWidth="1"/>
    <col min="12" max="12" width="2.5703125" style="2" customWidth="1"/>
    <col min="13" max="13" width="1.5703125" style="2" customWidth="1"/>
    <col min="14" max="14" width="8.7109375" style="3"/>
    <col min="15" max="16384" width="8.7109375" style="2"/>
  </cols>
  <sheetData>
    <row r="1" spans="2:95" s="37" customFormat="1" ht="50.1" customHeight="1">
      <c r="B1" s="364"/>
      <c r="C1" s="364" t="s">
        <v>244</v>
      </c>
      <c r="D1" s="365"/>
      <c r="E1" s="366"/>
      <c r="F1" s="367"/>
      <c r="G1" s="367"/>
      <c r="H1" s="367"/>
      <c r="I1" s="361"/>
      <c r="J1" s="361"/>
      <c r="K1" s="368"/>
      <c r="M1" s="38"/>
    </row>
    <row r="2" spans="2:95" ht="30" customHeight="1">
      <c r="B2" s="349" t="s">
        <v>229</v>
      </c>
      <c r="C2" s="259"/>
      <c r="D2" s="259"/>
      <c r="E2" s="260"/>
      <c r="F2" s="260"/>
      <c r="G2" s="260"/>
      <c r="H2" s="260"/>
      <c r="I2" s="260"/>
      <c r="J2" s="260"/>
      <c r="K2" s="350"/>
      <c r="M2" s="38"/>
      <c r="BO2" s="5"/>
      <c r="BP2" s="3"/>
      <c r="BQ2" s="3"/>
      <c r="BR2" s="6"/>
      <c r="BS2" s="4"/>
      <c r="BT2" s="4"/>
      <c r="BU2" s="4"/>
      <c r="BV2" s="4"/>
      <c r="BW2" s="4"/>
      <c r="BX2" s="4"/>
      <c r="BY2" s="4"/>
      <c r="BZ2" s="3"/>
      <c r="CA2" s="4"/>
      <c r="CB2" s="4"/>
      <c r="CC2" s="4"/>
      <c r="CD2" s="4"/>
      <c r="CE2" s="4"/>
      <c r="CF2" s="4"/>
      <c r="CG2" s="3"/>
      <c r="CH2" s="7"/>
      <c r="CI2" s="8"/>
      <c r="CJ2" s="9"/>
      <c r="CK2" s="9"/>
      <c r="CL2" s="3"/>
      <c r="CM2" s="4"/>
      <c r="CN2" s="10"/>
      <c r="CO2" s="11"/>
      <c r="CP2" s="4"/>
      <c r="CQ2" s="12"/>
    </row>
    <row r="3" spans="2:95" ht="12.75" customHeight="1">
      <c r="C3" s="108"/>
      <c r="D3" s="108"/>
      <c r="M3" s="38"/>
      <c r="BO3" s="5"/>
      <c r="BP3" s="3"/>
      <c r="BQ3" s="3"/>
      <c r="BR3" s="6"/>
      <c r="BS3" s="4"/>
      <c r="BT3" s="4"/>
      <c r="BU3" s="4"/>
      <c r="BV3" s="4"/>
      <c r="BW3" s="4"/>
      <c r="BX3" s="4"/>
      <c r="BY3" s="4"/>
      <c r="BZ3" s="3"/>
      <c r="CA3" s="4"/>
      <c r="CB3" s="4"/>
      <c r="CC3" s="4"/>
      <c r="CD3" s="4"/>
      <c r="CE3" s="4"/>
      <c r="CF3" s="4"/>
      <c r="CG3" s="3"/>
      <c r="CH3" s="7"/>
      <c r="CI3" s="8"/>
      <c r="CJ3" s="9"/>
      <c r="CK3" s="9"/>
      <c r="CL3" s="3"/>
      <c r="CM3" s="4"/>
      <c r="CN3" s="10"/>
      <c r="CO3" s="11"/>
      <c r="CP3" s="4"/>
      <c r="CQ3" s="12"/>
    </row>
    <row r="4" spans="2:95" ht="12.75" customHeight="1">
      <c r="B4" s="113" t="s">
        <v>163</v>
      </c>
      <c r="D4" s="108"/>
      <c r="M4" s="38"/>
      <c r="BO4" s="5"/>
      <c r="BP4" s="3"/>
      <c r="BQ4" s="3"/>
      <c r="BR4" s="6"/>
      <c r="BS4" s="4"/>
      <c r="BT4" s="4"/>
      <c r="BU4" s="4"/>
      <c r="BV4" s="4"/>
      <c r="BW4" s="4"/>
      <c r="BX4" s="4"/>
      <c r="BY4" s="4"/>
      <c r="BZ4" s="3"/>
      <c r="CA4" s="4"/>
      <c r="CB4" s="4"/>
      <c r="CC4" s="4"/>
      <c r="CD4" s="4"/>
      <c r="CE4" s="4"/>
      <c r="CF4" s="4"/>
      <c r="CG4" s="3"/>
      <c r="CH4" s="7"/>
      <c r="CI4" s="8"/>
      <c r="CJ4" s="9"/>
      <c r="CK4" s="9"/>
      <c r="CL4" s="3"/>
      <c r="CM4" s="4"/>
      <c r="CN4" s="10"/>
      <c r="CO4" s="11"/>
      <c r="CP4" s="4"/>
      <c r="CQ4" s="12"/>
    </row>
    <row r="5" spans="2:95" ht="12.75" customHeight="1">
      <c r="M5" s="38"/>
      <c r="BO5" s="5"/>
      <c r="BP5" s="3"/>
      <c r="BQ5" s="3"/>
      <c r="BR5" s="6"/>
      <c r="BS5" s="4"/>
      <c r="BT5" s="4"/>
      <c r="BU5" s="4"/>
      <c r="BV5" s="4"/>
      <c r="BW5" s="4"/>
      <c r="BX5" s="4"/>
      <c r="BY5" s="4"/>
      <c r="BZ5" s="3"/>
      <c r="CA5" s="4"/>
      <c r="CB5" s="4"/>
      <c r="CC5" s="4"/>
      <c r="CD5" s="4"/>
      <c r="CE5" s="4"/>
      <c r="CF5" s="4"/>
      <c r="CG5" s="3"/>
      <c r="CH5" s="7"/>
      <c r="CI5" s="8"/>
      <c r="CJ5" s="9"/>
      <c r="CK5" s="9"/>
      <c r="CL5" s="3"/>
      <c r="CM5" s="4"/>
      <c r="CN5" s="10"/>
      <c r="CO5" s="11"/>
      <c r="CP5" s="4"/>
      <c r="CQ5" s="12"/>
    </row>
    <row r="6" spans="2:95" ht="12.75" customHeight="1">
      <c r="B6" s="348" t="s">
        <v>245</v>
      </c>
      <c r="C6" s="108"/>
      <c r="D6" s="139"/>
      <c r="E6" s="139"/>
      <c r="F6" s="139"/>
      <c r="G6" s="139"/>
      <c r="H6" s="139"/>
      <c r="I6" s="139"/>
      <c r="J6" s="139"/>
      <c r="K6" s="139"/>
      <c r="M6" s="38"/>
      <c r="BO6" s="5"/>
      <c r="BP6" s="3"/>
      <c r="BQ6" s="3"/>
      <c r="BR6" s="6"/>
      <c r="BS6" s="4"/>
      <c r="BT6" s="4"/>
      <c r="BU6" s="4"/>
      <c r="BV6" s="4"/>
      <c r="BW6" s="4"/>
      <c r="BX6" s="4"/>
      <c r="BY6" s="4"/>
      <c r="BZ6" s="3"/>
      <c r="CA6" s="4"/>
      <c r="CB6" s="4"/>
      <c r="CC6" s="4"/>
      <c r="CD6" s="4"/>
      <c r="CE6" s="4"/>
      <c r="CF6" s="4"/>
      <c r="CG6" s="3"/>
      <c r="CH6" s="7"/>
      <c r="CI6" s="8"/>
      <c r="CJ6" s="9"/>
      <c r="CK6" s="9"/>
      <c r="CL6" s="3"/>
      <c r="CM6" s="4"/>
      <c r="CN6" s="10"/>
      <c r="CO6" s="11"/>
      <c r="CP6" s="4"/>
      <c r="CQ6" s="12"/>
    </row>
    <row r="7" spans="2:95" ht="15">
      <c r="B7" s="537" t="s">
        <v>246</v>
      </c>
      <c r="C7" s="537"/>
      <c r="D7" s="537"/>
      <c r="E7" s="537"/>
      <c r="F7" s="537"/>
      <c r="G7" s="537"/>
      <c r="H7" s="537"/>
      <c r="I7" s="537"/>
      <c r="J7" s="537"/>
      <c r="K7" s="537"/>
      <c r="M7" s="38"/>
      <c r="BO7" s="5"/>
      <c r="BP7" s="3"/>
      <c r="BQ7" s="3"/>
      <c r="BR7" s="6"/>
      <c r="BS7" s="4"/>
      <c r="BT7" s="4"/>
      <c r="BU7" s="4"/>
      <c r="BV7" s="4"/>
      <c r="BW7" s="4"/>
      <c r="BX7" s="4"/>
      <c r="BY7" s="4"/>
      <c r="BZ7" s="3"/>
      <c r="CA7" s="4"/>
      <c r="CB7" s="4"/>
      <c r="CC7" s="4"/>
      <c r="CD7" s="4"/>
      <c r="CE7" s="4"/>
      <c r="CF7" s="4"/>
      <c r="CG7" s="3"/>
      <c r="CH7" s="7"/>
      <c r="CI7" s="8"/>
      <c r="CJ7" s="9"/>
      <c r="CK7" s="9"/>
      <c r="CL7" s="3"/>
      <c r="CM7" s="4"/>
      <c r="CN7" s="10"/>
      <c r="CO7" s="11"/>
      <c r="CP7" s="4"/>
      <c r="CQ7" s="12"/>
    </row>
    <row r="8" spans="2:95" ht="15.75" customHeight="1">
      <c r="B8" s="538" t="s">
        <v>247</v>
      </c>
      <c r="C8" s="538"/>
      <c r="D8" s="538"/>
      <c r="E8" s="538"/>
      <c r="F8" s="538"/>
      <c r="G8" s="538"/>
      <c r="H8" s="538"/>
      <c r="I8" s="538"/>
      <c r="J8" s="538"/>
      <c r="K8" s="538"/>
      <c r="M8" s="38"/>
      <c r="BO8" s="5"/>
      <c r="BP8" s="3"/>
      <c r="BQ8" s="3"/>
      <c r="BR8" s="6"/>
      <c r="BS8" s="4"/>
      <c r="BT8" s="4"/>
      <c r="BU8" s="4"/>
      <c r="BV8" s="4"/>
      <c r="BW8" s="4"/>
      <c r="BX8" s="4"/>
      <c r="BY8" s="4"/>
      <c r="BZ8" s="3"/>
      <c r="CA8" s="4"/>
      <c r="CB8" s="4"/>
      <c r="CC8" s="4"/>
      <c r="CD8" s="4"/>
      <c r="CE8" s="4"/>
      <c r="CF8" s="4"/>
      <c r="CG8" s="3"/>
      <c r="CH8" s="7"/>
      <c r="CI8" s="8"/>
      <c r="CJ8" s="9"/>
      <c r="CK8" s="9"/>
      <c r="CL8" s="3"/>
      <c r="CM8" s="4"/>
      <c r="CN8" s="10"/>
      <c r="CO8" s="11"/>
      <c r="CP8" s="4"/>
      <c r="CQ8" s="12"/>
    </row>
    <row r="9" spans="2:95" ht="12.75" customHeight="1">
      <c r="B9" s="538"/>
      <c r="C9" s="538"/>
      <c r="D9" s="538"/>
      <c r="E9" s="538"/>
      <c r="F9" s="538"/>
      <c r="G9" s="538"/>
      <c r="H9" s="538"/>
      <c r="I9" s="538"/>
      <c r="J9" s="538"/>
      <c r="K9" s="538"/>
      <c r="M9" s="38"/>
      <c r="BO9" s="5"/>
      <c r="BP9" s="3"/>
      <c r="BQ9" s="3"/>
      <c r="BR9" s="6"/>
      <c r="BS9" s="4"/>
      <c r="BT9" s="4"/>
      <c r="BU9" s="4"/>
      <c r="BV9" s="4"/>
      <c r="BW9" s="4"/>
      <c r="BX9" s="4"/>
      <c r="BY9" s="4"/>
      <c r="BZ9" s="3"/>
      <c r="CA9" s="4"/>
      <c r="CB9" s="4"/>
      <c r="CC9" s="4"/>
      <c r="CD9" s="4"/>
      <c r="CE9" s="4"/>
      <c r="CF9" s="4"/>
      <c r="CG9" s="3"/>
      <c r="CH9" s="7"/>
      <c r="CI9" s="8"/>
      <c r="CJ9" s="9"/>
      <c r="CK9" s="9"/>
      <c r="CL9" s="3"/>
      <c r="CM9" s="4"/>
      <c r="CN9" s="10"/>
      <c r="CO9" s="11"/>
      <c r="CP9" s="4"/>
      <c r="CQ9" s="12"/>
    </row>
    <row r="10" spans="2:95">
      <c r="M10" s="38"/>
    </row>
    <row r="11" spans="2:95" ht="16.5">
      <c r="B11" s="64" t="s">
        <v>248</v>
      </c>
      <c r="E11" s="14" t="s">
        <v>211</v>
      </c>
      <c r="G11" s="50"/>
      <c r="I11" s="50"/>
      <c r="K11" s="50"/>
      <c r="M11" s="38"/>
    </row>
    <row r="12" spans="2:95" s="224" customFormat="1" ht="28.5" customHeight="1">
      <c r="B12" s="301" t="s">
        <v>249</v>
      </c>
      <c r="C12" s="302" t="s">
        <v>250</v>
      </c>
      <c r="D12" s="303" t="s">
        <v>251</v>
      </c>
      <c r="E12" s="304" t="s">
        <v>252</v>
      </c>
      <c r="F12" s="305"/>
      <c r="G12" s="304" t="s">
        <v>253</v>
      </c>
      <c r="H12" s="305"/>
      <c r="I12" s="304" t="s">
        <v>254</v>
      </c>
      <c r="J12" s="305"/>
      <c r="K12" s="306" t="s">
        <v>255</v>
      </c>
      <c r="M12" s="38"/>
      <c r="N12" s="100"/>
    </row>
    <row r="13" spans="2:95" ht="14.1" customHeight="1">
      <c r="B13" s="536" t="s">
        <v>256</v>
      </c>
      <c r="C13" s="224" t="s">
        <v>257</v>
      </c>
      <c r="E13" s="274">
        <v>0</v>
      </c>
      <c r="F13" s="275"/>
      <c r="G13" s="276">
        <v>0</v>
      </c>
      <c r="H13" s="275"/>
      <c r="I13" s="276">
        <v>0</v>
      </c>
      <c r="J13" s="142"/>
      <c r="K13" s="142">
        <f>E13+G13+I13</f>
        <v>0</v>
      </c>
      <c r="M13" s="38"/>
    </row>
    <row r="14" spans="2:95" ht="16.5">
      <c r="B14" s="536"/>
      <c r="C14" s="224" t="s">
        <v>258</v>
      </c>
      <c r="D14" s="153" t="s">
        <v>259</v>
      </c>
      <c r="E14" s="276">
        <v>7738286.3600000003</v>
      </c>
      <c r="F14" s="275"/>
      <c r="G14" s="276">
        <v>0</v>
      </c>
      <c r="H14" s="275"/>
      <c r="I14" s="276">
        <v>0</v>
      </c>
      <c r="J14" s="142"/>
      <c r="K14" s="142">
        <f>E14+G14+I14</f>
        <v>7738286.3600000003</v>
      </c>
      <c r="M14" s="38"/>
    </row>
    <row r="15" spans="2:95" ht="16.5">
      <c r="B15" s="536"/>
      <c r="C15" s="224" t="s">
        <v>260</v>
      </c>
      <c r="D15" s="153" t="s">
        <v>261</v>
      </c>
      <c r="E15" s="276">
        <v>7024586.1100000003</v>
      </c>
      <c r="F15" s="275"/>
      <c r="G15" s="276">
        <v>0</v>
      </c>
      <c r="H15" s="275"/>
      <c r="I15" s="276">
        <v>0</v>
      </c>
      <c r="J15" s="142"/>
      <c r="K15" s="142">
        <f>E15+G15+I15</f>
        <v>7024586.1100000003</v>
      </c>
      <c r="M15" s="38"/>
    </row>
    <row r="16" spans="2:95" ht="16.5">
      <c r="B16" s="536"/>
      <c r="C16" s="224" t="s">
        <v>262</v>
      </c>
      <c r="D16" s="153" t="s">
        <v>261</v>
      </c>
      <c r="E16" s="274">
        <v>433958.44</v>
      </c>
      <c r="F16" s="275"/>
      <c r="G16" s="276">
        <v>0</v>
      </c>
      <c r="H16" s="275"/>
      <c r="I16" s="276">
        <f>'J.00  Lead Sheet'!E63</f>
        <v>279741.81</v>
      </c>
      <c r="J16" s="142"/>
      <c r="K16" s="142">
        <f>E16+G16+I16</f>
        <v>713700.25</v>
      </c>
      <c r="M16" s="38"/>
    </row>
    <row r="17" spans="2:13" ht="16.5">
      <c r="B17" s="536"/>
      <c r="C17" s="224" t="s">
        <v>263</v>
      </c>
      <c r="D17" s="153"/>
      <c r="E17" s="143">
        <f>E13+E14-E15-E16</f>
        <v>279741.81</v>
      </c>
      <c r="F17" s="142"/>
      <c r="G17" s="143">
        <f>G13+G14-G15-G16</f>
        <v>0</v>
      </c>
      <c r="H17" s="142"/>
      <c r="I17" s="143">
        <f>I13+I14-I15-I16</f>
        <v>-279741.81</v>
      </c>
      <c r="J17" s="142"/>
      <c r="K17" s="143">
        <f>K13+K14-K15-K16</f>
        <v>0</v>
      </c>
      <c r="M17" s="38"/>
    </row>
    <row r="18" spans="2:13">
      <c r="C18" s="224"/>
      <c r="E18" s="144"/>
      <c r="F18" s="142"/>
      <c r="G18" s="144"/>
      <c r="H18" s="142"/>
      <c r="I18" s="144"/>
      <c r="J18" s="142"/>
      <c r="K18" s="142"/>
      <c r="M18" s="38"/>
    </row>
    <row r="19" spans="2:13" ht="14.45" customHeight="1">
      <c r="B19" s="536" t="s">
        <v>264</v>
      </c>
      <c r="C19" s="224" t="s">
        <v>265</v>
      </c>
      <c r="D19" s="153" t="s">
        <v>266</v>
      </c>
      <c r="E19" s="274">
        <v>0</v>
      </c>
      <c r="F19" s="275"/>
      <c r="G19" s="274">
        <v>0</v>
      </c>
      <c r="H19" s="275"/>
      <c r="I19" s="274">
        <v>0</v>
      </c>
      <c r="J19" s="142"/>
      <c r="K19" s="142">
        <f>E19+G19+I19</f>
        <v>0</v>
      </c>
      <c r="M19" s="38"/>
    </row>
    <row r="20" spans="2:13" ht="16.5">
      <c r="B20" s="536"/>
      <c r="C20" s="224" t="s">
        <v>258</v>
      </c>
      <c r="D20" s="153" t="s">
        <v>266</v>
      </c>
      <c r="E20" s="274">
        <v>0</v>
      </c>
      <c r="F20" s="275"/>
      <c r="G20" s="274">
        <v>0</v>
      </c>
      <c r="H20" s="275"/>
      <c r="I20" s="274">
        <v>0</v>
      </c>
      <c r="J20" s="142"/>
      <c r="K20" s="142">
        <f>E20+G20+I20</f>
        <v>0</v>
      </c>
      <c r="M20" s="38"/>
    </row>
    <row r="21" spans="2:13" ht="16.5">
      <c r="B21" s="536"/>
      <c r="C21" s="224" t="s">
        <v>267</v>
      </c>
      <c r="D21" s="153" t="s">
        <v>266</v>
      </c>
      <c r="E21" s="274">
        <v>0</v>
      </c>
      <c r="F21" s="275"/>
      <c r="G21" s="274">
        <v>0</v>
      </c>
      <c r="H21" s="275"/>
      <c r="I21" s="274">
        <v>0</v>
      </c>
      <c r="J21" s="142"/>
      <c r="K21" s="142">
        <f>E21+G21+I21</f>
        <v>0</v>
      </c>
      <c r="M21" s="38"/>
    </row>
    <row r="22" spans="2:13" ht="16.5">
      <c r="B22" s="536"/>
      <c r="C22" s="224" t="s">
        <v>263</v>
      </c>
      <c r="D22" s="153"/>
      <c r="E22" s="141">
        <f>E19+E20-E21</f>
        <v>0</v>
      </c>
      <c r="F22" s="142"/>
      <c r="G22" s="141">
        <f>G19+G20-G21</f>
        <v>0</v>
      </c>
      <c r="H22" s="145"/>
      <c r="I22" s="141">
        <f>I19+I20-I21</f>
        <v>0</v>
      </c>
      <c r="J22" s="145"/>
      <c r="K22" s="141">
        <f>K19+K20-K21</f>
        <v>0</v>
      </c>
      <c r="M22" s="38"/>
    </row>
    <row r="23" spans="2:13">
      <c r="B23" s="285"/>
      <c r="C23" s="224"/>
      <c r="D23" s="153"/>
      <c r="E23" s="142"/>
      <c r="F23" s="142"/>
      <c r="G23" s="142"/>
      <c r="H23" s="142"/>
      <c r="I23" s="142"/>
      <c r="J23" s="145"/>
      <c r="K23" s="142"/>
      <c r="M23" s="38"/>
    </row>
    <row r="24" spans="2:13" ht="16.5">
      <c r="B24" s="285"/>
      <c r="C24" s="224" t="s">
        <v>268</v>
      </c>
      <c r="D24" s="153"/>
      <c r="E24" s="95">
        <f>E17-E22</f>
        <v>279741.81</v>
      </c>
      <c r="F24" s="142"/>
      <c r="G24" s="95">
        <f>G17-G22</f>
        <v>0</v>
      </c>
      <c r="H24" s="145"/>
      <c r="I24" s="95">
        <f>I17-I22</f>
        <v>-279741.81</v>
      </c>
      <c r="J24" s="145"/>
      <c r="K24" s="95">
        <f>K17-K22</f>
        <v>0</v>
      </c>
      <c r="M24" s="38"/>
    </row>
    <row r="25" spans="2:13" ht="13.5" thickTop="1">
      <c r="E25" s="154" t="s">
        <v>190</v>
      </c>
      <c r="G25" s="155" t="s">
        <v>190</v>
      </c>
      <c r="H25" s="145"/>
      <c r="I25" s="155" t="s">
        <v>190</v>
      </c>
      <c r="J25" s="145"/>
      <c r="K25" s="155" t="s">
        <v>190</v>
      </c>
      <c r="M25" s="38"/>
    </row>
    <row r="26" spans="2:13" ht="16.5">
      <c r="C26" s="156" t="s">
        <v>269</v>
      </c>
      <c r="D26" s="157"/>
      <c r="E26" s="274">
        <v>279741.81000000052</v>
      </c>
      <c r="F26" s="157"/>
      <c r="G26" s="158"/>
      <c r="H26" s="157"/>
      <c r="I26" s="157"/>
      <c r="J26" s="157"/>
      <c r="K26" s="158"/>
      <c r="M26" s="38"/>
    </row>
    <row r="27" spans="2:13" ht="16.5">
      <c r="C27" s="156" t="s">
        <v>270</v>
      </c>
      <c r="D27" s="157"/>
      <c r="E27" s="274">
        <f>E17-E26</f>
        <v>-5.2386894822120667E-10</v>
      </c>
      <c r="F27" s="29" t="s">
        <v>190</v>
      </c>
      <c r="G27" s="29"/>
      <c r="H27" s="157"/>
      <c r="I27" s="157"/>
      <c r="J27" s="157"/>
      <c r="K27" s="159"/>
      <c r="M27" s="38"/>
    </row>
    <row r="28" spans="2:13" ht="16.5">
      <c r="C28" s="156" t="s">
        <v>271</v>
      </c>
      <c r="D28" s="157"/>
      <c r="E28" s="274">
        <f>E26</f>
        <v>279741.81000000052</v>
      </c>
      <c r="F28" s="29"/>
      <c r="G28" s="159"/>
      <c r="H28" s="157"/>
      <c r="I28" s="157"/>
      <c r="J28" s="157"/>
      <c r="K28" s="159"/>
      <c r="M28" s="38"/>
    </row>
    <row r="29" spans="2:13" ht="16.5">
      <c r="C29" s="156" t="s">
        <v>270</v>
      </c>
      <c r="E29" s="274">
        <f>E24-E28</f>
        <v>-5.2386894822120667E-10</v>
      </c>
      <c r="F29" s="29" t="s">
        <v>190</v>
      </c>
      <c r="G29" s="29"/>
      <c r="M29" s="38"/>
    </row>
    <row r="30" spans="2:13">
      <c r="C30" s="156"/>
      <c r="E30" s="156"/>
      <c r="F30" s="29"/>
      <c r="G30" s="29"/>
      <c r="M30" s="38"/>
    </row>
    <row r="31" spans="2:13">
      <c r="C31" s="156"/>
      <c r="E31" s="156"/>
      <c r="F31" s="29"/>
      <c r="G31" s="29"/>
      <c r="M31" s="38"/>
    </row>
    <row r="32" spans="2:13" ht="16.5">
      <c r="B32" s="17" t="s">
        <v>272</v>
      </c>
      <c r="E32" s="156"/>
      <c r="G32" s="160"/>
      <c r="M32" s="38"/>
    </row>
    <row r="33" spans="1:13" ht="16.5">
      <c r="A33" s="64"/>
      <c r="B33" s="369"/>
      <c r="C33" s="370" t="s">
        <v>273</v>
      </c>
      <c r="D33" s="371"/>
      <c r="E33" s="372">
        <f>'CIP List'!H14</f>
        <v>279741.81</v>
      </c>
      <c r="F33" s="373"/>
      <c r="G33" s="374"/>
      <c r="H33" s="373"/>
      <c r="I33" s="373"/>
      <c r="J33" s="373"/>
      <c r="K33" s="375"/>
      <c r="M33" s="38"/>
    </row>
    <row r="34" spans="1:13" ht="16.5">
      <c r="B34" s="161"/>
      <c r="C34" s="162" t="s">
        <v>274</v>
      </c>
      <c r="D34" s="163"/>
      <c r="E34" s="141">
        <f>E33-E17</f>
        <v>0</v>
      </c>
      <c r="F34" s="151" t="s">
        <v>190</v>
      </c>
      <c r="G34" s="86"/>
      <c r="H34" s="163"/>
      <c r="I34" s="164"/>
      <c r="J34" s="163"/>
      <c r="K34" s="165"/>
      <c r="M34" s="38"/>
    </row>
    <row r="35" spans="1:13">
      <c r="C35" s="156"/>
      <c r="E35" s="156"/>
      <c r="G35" s="160"/>
      <c r="M35" s="38"/>
    </row>
    <row r="36" spans="1:13">
      <c r="C36" s="156"/>
      <c r="E36" s="156"/>
      <c r="G36" s="160"/>
      <c r="M36" s="38"/>
    </row>
    <row r="37" spans="1:13">
      <c r="C37" s="13"/>
      <c r="D37" s="13"/>
      <c r="E37" s="166"/>
      <c r="M37" s="38"/>
    </row>
    <row r="38" spans="1:13" ht="12.75" customHeight="1">
      <c r="A38" s="64"/>
      <c r="B38" s="108" t="s">
        <v>275</v>
      </c>
      <c r="M38" s="38"/>
    </row>
    <row r="39" spans="1:13" ht="19.5" customHeight="1">
      <c r="B39" s="527" t="s">
        <v>276</v>
      </c>
      <c r="C39" s="528"/>
      <c r="D39" s="528"/>
      <c r="E39" s="528"/>
      <c r="F39" s="528"/>
      <c r="G39" s="528"/>
      <c r="H39" s="528"/>
      <c r="I39" s="528"/>
      <c r="J39" s="528"/>
      <c r="K39" s="529"/>
      <c r="M39" s="38"/>
    </row>
    <row r="40" spans="1:13" ht="12.75" customHeight="1">
      <c r="B40" s="530"/>
      <c r="C40" s="531"/>
      <c r="D40" s="531"/>
      <c r="E40" s="531"/>
      <c r="F40" s="531"/>
      <c r="G40" s="531"/>
      <c r="H40" s="531"/>
      <c r="I40" s="531"/>
      <c r="J40" s="531"/>
      <c r="K40" s="532"/>
      <c r="M40" s="38"/>
    </row>
    <row r="41" spans="1:13" ht="12.75" customHeight="1">
      <c r="B41" s="530"/>
      <c r="C41" s="531"/>
      <c r="D41" s="531"/>
      <c r="E41" s="531"/>
      <c r="F41" s="531"/>
      <c r="G41" s="531"/>
      <c r="H41" s="531"/>
      <c r="I41" s="531"/>
      <c r="J41" s="531"/>
      <c r="K41" s="532"/>
      <c r="M41" s="38"/>
    </row>
    <row r="42" spans="1:13" ht="12.6" customHeight="1">
      <c r="B42" s="533"/>
      <c r="C42" s="534"/>
      <c r="D42" s="534"/>
      <c r="E42" s="534"/>
      <c r="F42" s="534"/>
      <c r="G42" s="534"/>
      <c r="H42" s="534"/>
      <c r="I42" s="534"/>
      <c r="J42" s="534"/>
      <c r="K42" s="535"/>
      <c r="M42" s="38"/>
    </row>
    <row r="43" spans="1:13" ht="15" customHeight="1">
      <c r="M43" s="38"/>
    </row>
    <row r="44" spans="1:13" ht="7.5" customHeight="1">
      <c r="A44" s="38"/>
      <c r="B44" s="38"/>
      <c r="C44" s="38"/>
      <c r="D44" s="38"/>
      <c r="E44" s="38"/>
      <c r="F44" s="38"/>
      <c r="G44" s="38"/>
      <c r="H44" s="38"/>
      <c r="I44" s="38"/>
      <c r="J44" s="38"/>
      <c r="K44" s="38"/>
      <c r="L44" s="38"/>
      <c r="M44" s="38"/>
    </row>
    <row r="46" spans="1:13" ht="12.75" customHeight="1">
      <c r="C46" s="167"/>
    </row>
  </sheetData>
  <mergeCells count="5">
    <mergeCell ref="B39:K42"/>
    <mergeCell ref="B13:B17"/>
    <mergeCell ref="B19:B22"/>
    <mergeCell ref="B7:K7"/>
    <mergeCell ref="B8:K9"/>
  </mergeCells>
  <phoneticPr fontId="77" type="noConversion"/>
  <conditionalFormatting sqref="B13">
    <cfRule type="containsBlanks" dxfId="39" priority="20">
      <formula>LEN(TRIM(B13))=0</formula>
    </cfRule>
  </conditionalFormatting>
  <conditionalFormatting sqref="B19">
    <cfRule type="containsBlanks" dxfId="38" priority="19">
      <formula>LEN(TRIM(B19))=0</formula>
    </cfRule>
  </conditionalFormatting>
  <conditionalFormatting sqref="E13:E16">
    <cfRule type="containsBlanks" dxfId="37" priority="22">
      <formula>LEN(TRIM(E13))=0</formula>
    </cfRule>
  </conditionalFormatting>
  <conditionalFormatting sqref="E19:E22 E24 G24 I24 B39">
    <cfRule type="containsBlanks" dxfId="36" priority="21">
      <formula>LEN(TRIM(B19))=0</formula>
    </cfRule>
  </conditionalFormatting>
  <conditionalFormatting sqref="E26:E29">
    <cfRule type="containsBlanks" dxfId="35" priority="144">
      <formula>LEN(TRIM(E26))=0</formula>
    </cfRule>
  </conditionalFormatting>
  <conditionalFormatting sqref="E33:E34">
    <cfRule type="containsBlanks" dxfId="34" priority="3">
      <formula>LEN(TRIM(E33))=0</formula>
    </cfRule>
  </conditionalFormatting>
  <conditionalFormatting sqref="G13:G16">
    <cfRule type="containsBlanks" dxfId="33" priority="12">
      <formula>LEN(TRIM(G13))=0</formula>
    </cfRule>
  </conditionalFormatting>
  <conditionalFormatting sqref="G19:G22">
    <cfRule type="containsBlanks" dxfId="32" priority="2">
      <formula>LEN(TRIM(G19))=0</formula>
    </cfRule>
  </conditionalFormatting>
  <conditionalFormatting sqref="I13:I16">
    <cfRule type="containsBlanks" dxfId="31" priority="10">
      <formula>LEN(TRIM(I13))=0</formula>
    </cfRule>
  </conditionalFormatting>
  <conditionalFormatting sqref="I19:I22">
    <cfRule type="containsBlanks" dxfId="30" priority="1">
      <formula>LEN(TRIM(I19))=0</formula>
    </cfRule>
  </conditionalFormatting>
  <conditionalFormatting sqref="K22">
    <cfRule type="containsBlanks" dxfId="29" priority="18">
      <formula>LEN(TRIM(K22))=0</formula>
    </cfRule>
  </conditionalFormatting>
  <conditionalFormatting sqref="K24">
    <cfRule type="containsBlanks" dxfId="28" priority="17">
      <formula>LEN(TRIM(K24))=0</formula>
    </cfRule>
  </conditionalFormatting>
  <hyperlinks>
    <hyperlink ref="B4" location="汇总!A1" display="返回汇总页" xr:uid="{8CE707A7-3195-41BA-8D51-5EC105062807}"/>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95415-6AA3-41B4-A4CA-8274CCE28E75}">
  <dimension ref="A1:CV42"/>
  <sheetViews>
    <sheetView showGridLines="0" tabSelected="1" topLeftCell="A15" zoomScale="85" zoomScaleNormal="85" workbookViewId="0">
      <selection activeCell="J23" sqref="J23"/>
    </sheetView>
  </sheetViews>
  <sheetFormatPr defaultColWidth="8.7109375" defaultRowHeight="12.75" customHeight="1"/>
  <cols>
    <col min="1" max="1" width="2.5703125" style="1" customWidth="1"/>
    <col min="2" max="2" width="29.140625" style="2" customWidth="1"/>
    <col min="3" max="3" width="17.7109375" style="2" customWidth="1"/>
    <col min="4" max="4" width="20.140625" style="2" customWidth="1"/>
    <col min="5" max="5" width="24.7109375" style="2" customWidth="1"/>
    <col min="6" max="6" width="24.28515625" style="2" customWidth="1"/>
    <col min="7" max="7" width="15.7109375" style="2" customWidth="1"/>
    <col min="8" max="8" width="12.140625" style="2" customWidth="1"/>
    <col min="9" max="9" width="16.140625" style="2" customWidth="1"/>
    <col min="10" max="10" width="42.85546875" style="2" customWidth="1"/>
    <col min="11" max="11" width="25.140625" style="2" customWidth="1"/>
    <col min="12" max="12" width="12.140625" style="2" customWidth="1"/>
    <col min="13" max="13" width="13.140625" style="2" customWidth="1"/>
    <col min="14" max="14" width="2.7109375" style="177" customWidth="1"/>
    <col min="15" max="15" width="1.5703125" style="186" customWidth="1"/>
    <col min="16" max="16" width="10.7109375" style="3" customWidth="1"/>
    <col min="17" max="20" width="10.7109375" style="2" customWidth="1"/>
    <col min="21" max="21" width="12" style="2" customWidth="1"/>
    <col min="22" max="24" width="11.140625" style="2" customWidth="1"/>
    <col min="25" max="29" width="12" style="2" customWidth="1"/>
    <col min="30" max="39" width="12.7109375" style="2" customWidth="1"/>
    <col min="40" max="16384" width="8.7109375" style="2"/>
  </cols>
  <sheetData>
    <row r="1" spans="1:100" s="65" customFormat="1" ht="50.1" customHeight="1">
      <c r="B1" s="364" t="s">
        <v>277</v>
      </c>
      <c r="C1" s="364"/>
      <c r="D1" s="376"/>
      <c r="E1" s="376"/>
      <c r="F1" s="376"/>
      <c r="G1" s="376"/>
      <c r="H1" s="376"/>
      <c r="I1" s="376"/>
      <c r="J1" s="376"/>
      <c r="K1" s="377"/>
      <c r="L1" s="378"/>
      <c r="M1" s="377"/>
      <c r="N1" s="79"/>
      <c r="O1" s="78"/>
    </row>
    <row r="2" spans="1:100" s="66" customFormat="1" ht="30" customHeight="1">
      <c r="A2" s="77"/>
      <c r="B2" s="349" t="s">
        <v>278</v>
      </c>
      <c r="C2" s="261"/>
      <c r="D2" s="262"/>
      <c r="E2" s="262"/>
      <c r="F2" s="262"/>
      <c r="G2" s="262"/>
      <c r="H2" s="262"/>
      <c r="I2" s="262"/>
      <c r="J2" s="262"/>
      <c r="K2" s="262"/>
      <c r="L2" s="262"/>
      <c r="M2" s="262"/>
      <c r="N2" s="68"/>
      <c r="O2" s="78"/>
      <c r="P2" s="68"/>
      <c r="BT2" s="67"/>
      <c r="BU2" s="68"/>
      <c r="BV2" s="68"/>
      <c r="BW2" s="69"/>
      <c r="BX2" s="70"/>
      <c r="BY2" s="70"/>
      <c r="BZ2" s="70"/>
      <c r="CA2" s="70"/>
      <c r="CB2" s="70"/>
      <c r="CC2" s="70"/>
      <c r="CD2" s="70"/>
      <c r="CE2" s="68"/>
      <c r="CF2" s="70"/>
      <c r="CG2" s="70"/>
      <c r="CH2" s="70"/>
      <c r="CI2" s="70"/>
      <c r="CJ2" s="70"/>
      <c r="CK2" s="70"/>
      <c r="CL2" s="68"/>
      <c r="CM2" s="71"/>
      <c r="CN2" s="72"/>
      <c r="CO2" s="73"/>
      <c r="CP2" s="73"/>
      <c r="CQ2" s="68"/>
      <c r="CR2" s="70"/>
      <c r="CS2" s="74"/>
      <c r="CT2" s="75"/>
      <c r="CU2" s="70"/>
      <c r="CV2" s="76"/>
    </row>
    <row r="3" spans="1:100" s="66" customFormat="1" ht="15" customHeight="1">
      <c r="A3" s="77"/>
      <c r="B3" s="109"/>
      <c r="C3" s="110"/>
      <c r="N3" s="68"/>
      <c r="O3" s="78"/>
      <c r="P3" s="68"/>
      <c r="BT3" s="67"/>
      <c r="BU3" s="68"/>
      <c r="BV3" s="68"/>
      <c r="BW3" s="69"/>
      <c r="BX3" s="70"/>
      <c r="BY3" s="70"/>
      <c r="BZ3" s="70"/>
      <c r="CA3" s="70"/>
      <c r="CB3" s="70"/>
      <c r="CC3" s="70"/>
      <c r="CD3" s="70"/>
      <c r="CE3" s="68"/>
      <c r="CF3" s="70"/>
      <c r="CG3" s="70"/>
      <c r="CH3" s="70"/>
      <c r="CI3" s="70"/>
      <c r="CJ3" s="70"/>
      <c r="CK3" s="70"/>
      <c r="CL3" s="68"/>
      <c r="CM3" s="71"/>
      <c r="CN3" s="72"/>
      <c r="CO3" s="73"/>
      <c r="CP3" s="73"/>
      <c r="CQ3" s="68"/>
      <c r="CR3" s="70"/>
      <c r="CS3" s="74"/>
      <c r="CT3" s="75"/>
      <c r="CU3" s="70"/>
      <c r="CV3" s="76"/>
    </row>
    <row r="4" spans="1:100" s="66" customFormat="1" ht="15" customHeight="1">
      <c r="A4" s="77"/>
      <c r="B4" s="113" t="s">
        <v>163</v>
      </c>
      <c r="C4" s="110"/>
      <c r="N4" s="68"/>
      <c r="O4" s="78"/>
      <c r="P4" s="68"/>
      <c r="BT4" s="67"/>
      <c r="BU4" s="68"/>
      <c r="BV4" s="68"/>
      <c r="BW4" s="69"/>
      <c r="BX4" s="70"/>
      <c r="BY4" s="70"/>
      <c r="BZ4" s="70"/>
      <c r="CA4" s="70"/>
      <c r="CB4" s="70"/>
      <c r="CC4" s="70"/>
      <c r="CD4" s="70"/>
      <c r="CE4" s="68"/>
      <c r="CF4" s="70"/>
      <c r="CG4" s="70"/>
      <c r="CH4" s="70"/>
      <c r="CI4" s="70"/>
      <c r="CJ4" s="70"/>
      <c r="CK4" s="70"/>
      <c r="CL4" s="68"/>
      <c r="CM4" s="71"/>
      <c r="CN4" s="72"/>
      <c r="CO4" s="73"/>
      <c r="CP4" s="73"/>
      <c r="CQ4" s="68"/>
      <c r="CR4" s="70"/>
      <c r="CS4" s="74"/>
      <c r="CT4" s="75"/>
      <c r="CU4" s="70"/>
      <c r="CV4" s="76"/>
    </row>
    <row r="5" spans="1:100" s="170" customFormat="1" ht="15" customHeight="1">
      <c r="A5" s="168"/>
      <c r="B5" s="169"/>
      <c r="D5" s="152"/>
      <c r="E5" s="152"/>
      <c r="F5" s="152"/>
      <c r="G5" s="169"/>
      <c r="H5" s="169"/>
      <c r="I5" s="169"/>
      <c r="J5" s="171"/>
      <c r="K5" s="171"/>
      <c r="L5" s="171"/>
      <c r="N5" s="172"/>
      <c r="O5" s="78"/>
      <c r="P5" s="173"/>
      <c r="Q5" s="173"/>
      <c r="T5" s="168"/>
      <c r="U5" s="173"/>
    </row>
    <row r="6" spans="1:100" s="170" customFormat="1" ht="15" customHeight="1">
      <c r="A6" s="168"/>
      <c r="B6" s="169" t="s">
        <v>279</v>
      </c>
      <c r="D6" s="152"/>
      <c r="E6" s="152"/>
      <c r="F6" s="152"/>
      <c r="G6" s="169"/>
      <c r="H6" s="169"/>
      <c r="I6" s="169"/>
      <c r="J6" s="171"/>
      <c r="K6" s="171"/>
      <c r="L6" s="171"/>
      <c r="N6" s="172"/>
      <c r="O6" s="78"/>
      <c r="P6" s="173"/>
      <c r="Q6" s="173"/>
      <c r="T6" s="168"/>
      <c r="U6" s="173"/>
    </row>
    <row r="7" spans="1:100" s="171" customFormat="1">
      <c r="A7" s="174"/>
      <c r="B7" s="541" t="s">
        <v>280</v>
      </c>
      <c r="C7" s="542"/>
      <c r="D7" s="542"/>
      <c r="E7" s="542"/>
      <c r="F7" s="543"/>
      <c r="O7" s="78"/>
    </row>
    <row r="8" spans="1:100" s="171" customFormat="1">
      <c r="A8" s="174"/>
      <c r="B8" s="544"/>
      <c r="C8" s="545"/>
      <c r="D8" s="545"/>
      <c r="E8" s="545"/>
      <c r="F8" s="546"/>
      <c r="O8" s="78"/>
    </row>
    <row r="9" spans="1:100" s="171" customFormat="1">
      <c r="A9" s="174"/>
      <c r="B9" s="544"/>
      <c r="C9" s="545"/>
      <c r="D9" s="545"/>
      <c r="E9" s="545"/>
      <c r="F9" s="546"/>
      <c r="O9" s="78"/>
    </row>
    <row r="10" spans="1:100" s="171" customFormat="1">
      <c r="A10" s="174"/>
      <c r="B10" s="547"/>
      <c r="C10" s="548"/>
      <c r="D10" s="548"/>
      <c r="E10" s="548"/>
      <c r="F10" s="549"/>
      <c r="O10" s="78"/>
    </row>
    <row r="11" spans="1:100" s="152" customFormat="1" ht="14.25">
      <c r="J11" s="171"/>
      <c r="K11" s="171"/>
      <c r="L11" s="171"/>
      <c r="O11" s="78"/>
    </row>
    <row r="12" spans="1:100" s="175" customFormat="1" ht="16.5">
      <c r="B12" s="96" t="s">
        <v>281</v>
      </c>
      <c r="C12" s="184">
        <f>'CIP List'!E14</f>
        <v>7738286.3600000003</v>
      </c>
      <c r="D12" s="1" t="s">
        <v>282</v>
      </c>
      <c r="E12" s="3"/>
      <c r="F12" s="3"/>
      <c r="J12" s="171"/>
      <c r="K12" s="171"/>
      <c r="L12" s="171"/>
      <c r="O12" s="78"/>
    </row>
    <row r="13" spans="1:100" s="175" customFormat="1" ht="16.5">
      <c r="B13" s="96" t="s">
        <v>283</v>
      </c>
      <c r="C13" s="184">
        <f>'J.01 Agree SL to GL'!E14</f>
        <v>7738286.3600000003</v>
      </c>
      <c r="D13" s="16" t="s">
        <v>284</v>
      </c>
      <c r="E13" s="3"/>
      <c r="F13" s="3"/>
      <c r="J13" s="171"/>
      <c r="K13" s="171"/>
      <c r="L13" s="171"/>
      <c r="O13" s="78"/>
    </row>
    <row r="14" spans="1:100" s="175" customFormat="1" ht="16.5">
      <c r="B14" s="379" t="s">
        <v>285</v>
      </c>
      <c r="C14" s="380">
        <f>C12-C13</f>
        <v>0</v>
      </c>
      <c r="D14" s="16" t="s">
        <v>190</v>
      </c>
      <c r="E14" s="3" t="s">
        <v>286</v>
      </c>
      <c r="F14" s="249" t="str">
        <f>IF(ABS($C$14)&gt;'J.00  Lead Sheet'!$C$6, "Yes", "No")</f>
        <v>No</v>
      </c>
      <c r="O14" s="78"/>
    </row>
    <row r="15" spans="1:100" s="175" customFormat="1">
      <c r="B15" s="96"/>
      <c r="C15" s="329"/>
      <c r="D15" s="3"/>
      <c r="E15" s="3"/>
      <c r="F15" s="3"/>
      <c r="O15" s="78"/>
    </row>
    <row r="16" spans="1:100" s="175" customFormat="1" ht="16.5">
      <c r="B16" s="216" t="s">
        <v>287</v>
      </c>
      <c r="C16" s="330">
        <v>0</v>
      </c>
      <c r="D16" s="97"/>
      <c r="E16" s="3"/>
      <c r="F16" s="3"/>
      <c r="O16" s="78"/>
    </row>
    <row r="17" spans="1:21" s="175" customFormat="1" ht="16.5">
      <c r="B17" s="379" t="s">
        <v>288</v>
      </c>
      <c r="C17" s="331">
        <f>C12-C16</f>
        <v>7738286.3600000003</v>
      </c>
      <c r="D17" s="98"/>
      <c r="E17" s="3"/>
      <c r="F17" s="3"/>
      <c r="O17" s="78"/>
    </row>
    <row r="18" spans="1:21" s="152" customFormat="1" ht="14.25">
      <c r="O18" s="78"/>
    </row>
    <row r="19" spans="1:21" s="171" customFormat="1" ht="16.5">
      <c r="A19" s="174"/>
      <c r="B19" s="442" t="s">
        <v>289</v>
      </c>
      <c r="K19" s="176"/>
      <c r="O19" s="78"/>
    </row>
    <row r="20" spans="1:21" s="171" customFormat="1" ht="14.25">
      <c r="A20" s="174"/>
      <c r="B20" s="550" t="s">
        <v>290</v>
      </c>
      <c r="C20" s="542"/>
      <c r="D20" s="542"/>
      <c r="E20" s="542"/>
      <c r="F20" s="543"/>
      <c r="G20" s="152"/>
      <c r="H20" s="152"/>
      <c r="I20" s="152"/>
      <c r="J20" s="152"/>
      <c r="K20" s="152"/>
      <c r="O20" s="78"/>
    </row>
    <row r="21" spans="1:21" s="171" customFormat="1" ht="14.25">
      <c r="A21" s="174"/>
      <c r="B21" s="544"/>
      <c r="C21" s="545"/>
      <c r="D21" s="545"/>
      <c r="E21" s="545"/>
      <c r="F21" s="546"/>
      <c r="G21" s="152"/>
      <c r="H21" s="152"/>
      <c r="I21" s="152"/>
      <c r="J21" s="152"/>
      <c r="K21" s="152"/>
      <c r="O21" s="78"/>
    </row>
    <row r="22" spans="1:21" s="171" customFormat="1" ht="14.25">
      <c r="A22" s="174"/>
      <c r="B22" s="544"/>
      <c r="C22" s="545"/>
      <c r="D22" s="545"/>
      <c r="E22" s="545"/>
      <c r="F22" s="546"/>
      <c r="G22" s="152"/>
      <c r="H22" s="152"/>
      <c r="I22" s="152"/>
      <c r="J22" s="152"/>
      <c r="K22" s="152"/>
      <c r="O22" s="78"/>
    </row>
    <row r="23" spans="1:21" s="171" customFormat="1" ht="45" customHeight="1">
      <c r="A23" s="174"/>
      <c r="B23" s="547"/>
      <c r="C23" s="548"/>
      <c r="D23" s="548"/>
      <c r="E23" s="548"/>
      <c r="F23" s="549"/>
      <c r="G23" s="152"/>
      <c r="H23" s="152"/>
      <c r="I23" s="152"/>
      <c r="J23" s="152"/>
      <c r="K23" s="152"/>
      <c r="O23" s="78"/>
    </row>
    <row r="24" spans="1:21" ht="12.75" customHeight="1">
      <c r="G24" s="152"/>
      <c r="H24" s="152"/>
      <c r="I24" s="152"/>
      <c r="J24" s="152"/>
      <c r="K24" s="152"/>
      <c r="L24" s="3"/>
      <c r="M24" s="3"/>
      <c r="O24" s="78"/>
    </row>
    <row r="25" spans="1:21" s="179" customFormat="1" ht="15">
      <c r="A25" s="168"/>
      <c r="B25" s="553" t="s">
        <v>291</v>
      </c>
      <c r="C25" s="554"/>
      <c r="D25" s="554"/>
      <c r="E25" s="554"/>
      <c r="F25" s="555"/>
      <c r="G25" s="152"/>
      <c r="H25" s="152"/>
      <c r="I25" s="152"/>
      <c r="J25" s="152"/>
      <c r="K25" s="152"/>
      <c r="L25" s="178"/>
      <c r="M25" s="178"/>
      <c r="N25" s="173"/>
      <c r="O25" s="78"/>
      <c r="P25" s="170"/>
    </row>
    <row r="26" spans="1:21" s="170" customFormat="1" ht="16.5">
      <c r="A26" s="168"/>
      <c r="B26" s="556" t="s">
        <v>292</v>
      </c>
      <c r="C26" s="557"/>
      <c r="D26" s="557"/>
      <c r="E26" s="557"/>
      <c r="F26" s="558"/>
      <c r="G26" s="152"/>
      <c r="H26" s="152"/>
      <c r="I26" s="152"/>
      <c r="J26" s="152"/>
      <c r="K26" s="152"/>
      <c r="L26" s="180"/>
      <c r="M26" s="180"/>
      <c r="N26" s="180"/>
      <c r="O26" s="78"/>
    </row>
    <row r="27" spans="1:21" s="170" customFormat="1" ht="16.5">
      <c r="A27" s="168"/>
      <c r="B27" s="559" t="s">
        <v>293</v>
      </c>
      <c r="C27" s="560"/>
      <c r="D27" s="560"/>
      <c r="E27" s="560"/>
      <c r="F27" s="561"/>
      <c r="G27" s="152"/>
      <c r="H27" s="152"/>
      <c r="I27" s="152"/>
      <c r="J27" s="152"/>
      <c r="K27" s="152"/>
      <c r="L27" s="178"/>
      <c r="M27" s="178"/>
      <c r="N27" s="173"/>
      <c r="O27" s="78"/>
    </row>
    <row r="28" spans="1:21" s="170" customFormat="1" ht="16.5" customHeight="1">
      <c r="A28" s="168"/>
      <c r="B28" s="562" t="s">
        <v>294</v>
      </c>
      <c r="C28" s="563"/>
      <c r="D28" s="563"/>
      <c r="E28" s="563"/>
      <c r="F28" s="564"/>
      <c r="G28" s="152"/>
      <c r="H28" s="152"/>
      <c r="I28" s="152"/>
      <c r="J28" s="152"/>
      <c r="K28" s="152"/>
      <c r="L28" s="178"/>
      <c r="M28" s="178"/>
      <c r="N28" s="173"/>
      <c r="O28" s="78"/>
    </row>
    <row r="29" spans="1:21" s="170" customFormat="1">
      <c r="A29" s="168"/>
      <c r="C29" s="181"/>
      <c r="D29" s="182"/>
      <c r="E29" s="183"/>
      <c r="F29" s="184"/>
      <c r="G29" s="184"/>
      <c r="H29" s="184"/>
      <c r="I29" s="185"/>
      <c r="J29" s="185"/>
      <c r="K29" s="184"/>
      <c r="N29" s="172"/>
      <c r="O29" s="78"/>
      <c r="P29" s="173"/>
      <c r="Q29" s="173"/>
      <c r="T29" s="168"/>
      <c r="U29" s="173"/>
    </row>
    <row r="30" spans="1:21" s="3" customFormat="1" ht="15" customHeight="1">
      <c r="K30" s="14" t="s">
        <v>295</v>
      </c>
      <c r="L30" s="551" t="s">
        <v>296</v>
      </c>
      <c r="M30" s="552"/>
      <c r="O30" s="78"/>
    </row>
    <row r="31" spans="1:21" s="3" customFormat="1" ht="60" customHeight="1">
      <c r="B31" s="263" t="s">
        <v>297</v>
      </c>
      <c r="C31" s="351" t="s">
        <v>298</v>
      </c>
      <c r="D31" s="263" t="s">
        <v>299</v>
      </c>
      <c r="E31" s="263" t="s">
        <v>300</v>
      </c>
      <c r="F31" s="263" t="s">
        <v>301</v>
      </c>
      <c r="G31" s="263" t="s">
        <v>302</v>
      </c>
      <c r="H31" s="263" t="s">
        <v>303</v>
      </c>
      <c r="I31" s="263" t="s">
        <v>304</v>
      </c>
      <c r="J31" s="263" t="s">
        <v>305</v>
      </c>
      <c r="K31" s="263" t="s">
        <v>306</v>
      </c>
      <c r="L31" s="263">
        <v>1</v>
      </c>
      <c r="M31" s="263">
        <v>2</v>
      </c>
      <c r="O31" s="78"/>
    </row>
    <row r="32" spans="1:21" s="3" customFormat="1" ht="117" customHeight="1">
      <c r="B32" s="264">
        <v>1</v>
      </c>
      <c r="C32" s="264" t="s">
        <v>307</v>
      </c>
      <c r="D32" s="296">
        <v>45897</v>
      </c>
      <c r="E32" s="264" t="s">
        <v>308</v>
      </c>
      <c r="F32" s="264" t="s">
        <v>309</v>
      </c>
      <c r="G32" s="265">
        <v>1258532.6100000001</v>
      </c>
      <c r="H32" s="441" t="s">
        <v>310</v>
      </c>
      <c r="I32" s="265">
        <v>1258532.6100000001</v>
      </c>
      <c r="J32" s="645" t="s">
        <v>564</v>
      </c>
      <c r="K32" s="265">
        <f>I32-G32</f>
        <v>0</v>
      </c>
      <c r="L32" s="297" t="s">
        <v>311</v>
      </c>
      <c r="M32" s="297" t="s">
        <v>311</v>
      </c>
      <c r="O32" s="78"/>
    </row>
    <row r="33" spans="1:15" s="3" customFormat="1" ht="80.25" customHeight="1">
      <c r="B33" s="264">
        <v>2</v>
      </c>
      <c r="C33" s="264" t="s">
        <v>307</v>
      </c>
      <c r="D33" s="296">
        <v>45862</v>
      </c>
      <c r="E33" s="264" t="s">
        <v>308</v>
      </c>
      <c r="F33" s="264" t="s">
        <v>312</v>
      </c>
      <c r="G33" s="265">
        <v>279741.81</v>
      </c>
      <c r="H33" s="441" t="s">
        <v>310</v>
      </c>
      <c r="I33" s="265">
        <v>279741.81</v>
      </c>
      <c r="J33" s="266" t="s">
        <v>565</v>
      </c>
      <c r="K33" s="265">
        <f>I33-G33</f>
        <v>0</v>
      </c>
      <c r="L33" s="297" t="s">
        <v>311</v>
      </c>
      <c r="M33" s="297" t="s">
        <v>311</v>
      </c>
      <c r="O33" s="78"/>
    </row>
    <row r="34" spans="1:15" s="152" customFormat="1" ht="15" customHeight="1">
      <c r="O34" s="78"/>
    </row>
    <row r="35" spans="1:15" s="152" customFormat="1" ht="15" customHeight="1">
      <c r="B35" s="539" t="s">
        <v>313</v>
      </c>
      <c r="C35" s="540"/>
      <c r="D35" s="540"/>
      <c r="E35" s="540"/>
      <c r="F35" s="540"/>
      <c r="G35" s="540"/>
      <c r="H35" s="540"/>
      <c r="I35" s="540"/>
      <c r="J35" s="540"/>
      <c r="K35" s="540"/>
      <c r="O35" s="78"/>
    </row>
    <row r="36" spans="1:15" ht="12.75" customHeight="1">
      <c r="B36" s="646" t="s">
        <v>566</v>
      </c>
      <c r="C36" s="542"/>
      <c r="D36" s="542"/>
      <c r="E36" s="542"/>
      <c r="F36" s="543"/>
      <c r="O36" s="78"/>
    </row>
    <row r="37" spans="1:15" ht="12.75" customHeight="1">
      <c r="B37" s="544"/>
      <c r="C37" s="545"/>
      <c r="D37" s="545"/>
      <c r="E37" s="545"/>
      <c r="F37" s="546"/>
      <c r="O37" s="78"/>
    </row>
    <row r="38" spans="1:15" ht="12.75" customHeight="1">
      <c r="B38" s="544"/>
      <c r="C38" s="545"/>
      <c r="D38" s="545"/>
      <c r="E38" s="545"/>
      <c r="F38" s="546"/>
      <c r="O38" s="78"/>
    </row>
    <row r="39" spans="1:15" ht="12.75" customHeight="1">
      <c r="B39" s="547"/>
      <c r="C39" s="548"/>
      <c r="D39" s="548"/>
      <c r="E39" s="548"/>
      <c r="F39" s="549"/>
      <c r="O39" s="78"/>
    </row>
    <row r="40" spans="1:15" ht="15" customHeight="1">
      <c r="O40" s="78"/>
    </row>
    <row r="41" spans="1:15" ht="7.5" customHeight="1">
      <c r="A41" s="78"/>
      <c r="B41" s="78"/>
      <c r="C41" s="78"/>
      <c r="D41" s="78"/>
      <c r="E41" s="78"/>
      <c r="F41" s="78"/>
      <c r="G41" s="78"/>
      <c r="H41" s="78"/>
      <c r="I41" s="78"/>
      <c r="J41" s="78"/>
      <c r="K41" s="78"/>
      <c r="L41" s="78"/>
      <c r="M41" s="78"/>
      <c r="N41" s="78"/>
      <c r="O41" s="78"/>
    </row>
    <row r="42" spans="1:15" s="3" customFormat="1" ht="12.75" customHeight="1">
      <c r="A42" s="1"/>
      <c r="N42" s="177"/>
      <c r="O42" s="177"/>
    </row>
  </sheetData>
  <mergeCells count="9">
    <mergeCell ref="B35:K35"/>
    <mergeCell ref="B7:F10"/>
    <mergeCell ref="B20:F23"/>
    <mergeCell ref="B36:F39"/>
    <mergeCell ref="L30:M30"/>
    <mergeCell ref="B25:F25"/>
    <mergeCell ref="B26:F26"/>
    <mergeCell ref="B27:F27"/>
    <mergeCell ref="B28:F28"/>
  </mergeCells>
  <phoneticPr fontId="77" type="noConversion"/>
  <conditionalFormatting sqref="B7 B32:M33">
    <cfRule type="containsBlanks" dxfId="27" priority="14">
      <formula>LEN(TRIM(B7))=0</formula>
    </cfRule>
  </conditionalFormatting>
  <conditionalFormatting sqref="B20">
    <cfRule type="containsBlanks" dxfId="26" priority="3">
      <formula>LEN(TRIM(B20))=0</formula>
    </cfRule>
  </conditionalFormatting>
  <conditionalFormatting sqref="B36">
    <cfRule type="containsBlanks" dxfId="25" priority="2">
      <formula>LEN(TRIM(B36))=0</formula>
    </cfRule>
  </conditionalFormatting>
  <conditionalFormatting sqref="C12:C13">
    <cfRule type="containsBlanks" dxfId="24" priority="13">
      <formula>LEN(TRIM(C12))=0</formula>
    </cfRule>
  </conditionalFormatting>
  <conditionalFormatting sqref="C16">
    <cfRule type="containsBlanks" dxfId="23" priority="12">
      <formula>LEN(TRIM(C16))=0</formula>
    </cfRule>
  </conditionalFormatting>
  <dataValidations count="4">
    <dataValidation showInputMessage="1" showErrorMessage="1" sqref="J30" xr:uid="{B8B8F103-8BBD-4313-A56A-793BCA84B567}"/>
    <dataValidation type="list" allowBlank="1" showInputMessage="1" showErrorMessage="1" sqref="C34" xr:uid="{B7961B81-5576-4310-93BE-0BED7F0FA84D}">
      <formula1>"Key item,Representative sample"</formula1>
    </dataValidation>
    <dataValidation type="list" allowBlank="1" showInputMessage="1" sqref="C32:C33" xr:uid="{6BC3B405-86B3-4FE3-A670-890F4955E13F}">
      <formula1>"关键项,代表性样本"</formula1>
    </dataValidation>
    <dataValidation type="list" allowBlank="1" showInputMessage="1" sqref="L32:M33" xr:uid="{B14527E2-2534-461A-9BF7-88D8C4FFC867}">
      <formula1>"Y,N"</formula1>
    </dataValidation>
  </dataValidations>
  <hyperlinks>
    <hyperlink ref="B4" location="汇总!A1" display="返回汇总页" xr:uid="{AD451B14-B9D1-4B06-8494-1C9151BCE806}"/>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67306-7CA0-49B3-B426-E6BC1A045659}">
  <dimension ref="A1:O18"/>
  <sheetViews>
    <sheetView showGridLines="0" zoomScale="70" zoomScaleNormal="70" workbookViewId="0">
      <selection activeCell="F7" sqref="F7"/>
    </sheetView>
  </sheetViews>
  <sheetFormatPr defaultColWidth="8.7109375" defaultRowHeight="12.75" customHeight="1"/>
  <cols>
    <col min="1" max="1" width="2.5703125" style="23" customWidth="1"/>
    <col min="2" max="2" width="6" style="21" customWidth="1"/>
    <col min="3" max="3" width="46.42578125" style="21" customWidth="1"/>
    <col min="4" max="4" width="36.140625" style="21" customWidth="1"/>
    <col min="5" max="6" width="17.7109375" style="21" customWidth="1"/>
    <col min="7" max="7" width="18.140625" style="21" customWidth="1"/>
    <col min="8" max="8" width="14.85546875" style="21" bestFit="1" customWidth="1"/>
    <col min="9" max="9" width="14" style="21" bestFit="1" customWidth="1"/>
    <col min="10" max="10" width="15.140625" style="21" customWidth="1"/>
    <col min="11" max="11" width="30.140625" style="21" customWidth="1"/>
    <col min="12" max="12" width="2.5703125" style="21" customWidth="1"/>
    <col min="13" max="13" width="1.5703125" style="21" customWidth="1"/>
    <col min="14" max="15" width="12" style="21" customWidth="1"/>
    <col min="16" max="25" width="12.7109375" style="21" customWidth="1"/>
    <col min="26" max="16384" width="8.7109375" style="21"/>
  </cols>
  <sheetData>
    <row r="1" spans="1:15" ht="9.9499999999999993" customHeight="1">
      <c r="M1" s="78"/>
    </row>
    <row r="2" spans="1:15" ht="18.95" customHeight="1">
      <c r="B2" s="223" t="s">
        <v>314</v>
      </c>
      <c r="C2" s="22"/>
      <c r="D2" s="150"/>
      <c r="E2" s="150"/>
      <c r="F2" s="150"/>
      <c r="G2" s="150"/>
      <c r="H2" s="150"/>
      <c r="I2" s="150"/>
      <c r="J2" s="150"/>
      <c r="K2" s="150"/>
      <c r="M2" s="78"/>
      <c r="O2" s="113" t="s">
        <v>315</v>
      </c>
    </row>
    <row r="3" spans="1:15" ht="18.95" customHeight="1">
      <c r="A3" s="150"/>
      <c r="M3" s="78"/>
    </row>
    <row r="4" spans="1:15" ht="15" customHeight="1">
      <c r="M4" s="78"/>
    </row>
    <row r="5" spans="1:15" ht="18.95" customHeight="1">
      <c r="A5" s="150"/>
      <c r="C5" s="398" t="s">
        <v>316</v>
      </c>
      <c r="D5" s="398" t="s">
        <v>317</v>
      </c>
      <c r="E5" s="398" t="s">
        <v>318</v>
      </c>
      <c r="F5" s="398" t="s">
        <v>319</v>
      </c>
      <c r="G5" s="398" t="s">
        <v>320</v>
      </c>
      <c r="H5" s="398" t="s">
        <v>321</v>
      </c>
      <c r="I5" s="398" t="s">
        <v>322</v>
      </c>
      <c r="M5" s="78"/>
    </row>
    <row r="6" spans="1:15" ht="15" customHeight="1">
      <c r="C6" s="398" t="s">
        <v>323</v>
      </c>
      <c r="D6" s="398"/>
      <c r="E6" s="399">
        <v>2161467.89</v>
      </c>
      <c r="F6" s="399">
        <v>2161467.89</v>
      </c>
      <c r="G6" s="399"/>
      <c r="H6" s="399"/>
      <c r="I6" s="399" t="s">
        <v>324</v>
      </c>
      <c r="M6" s="78"/>
    </row>
    <row r="7" spans="1:15" ht="15" customHeight="1">
      <c r="C7" s="398" t="s">
        <v>323</v>
      </c>
      <c r="D7" s="398"/>
      <c r="E7" s="399">
        <v>87155.97</v>
      </c>
      <c r="F7" s="399">
        <v>87155.97</v>
      </c>
      <c r="G7" s="399"/>
      <c r="H7" s="399"/>
      <c r="I7" s="399" t="s">
        <v>325</v>
      </c>
      <c r="M7" s="78"/>
    </row>
    <row r="8" spans="1:15" ht="18.95" customHeight="1">
      <c r="A8" s="150"/>
      <c r="C8" s="398" t="s">
        <v>326</v>
      </c>
      <c r="D8" s="398"/>
      <c r="E8" s="399">
        <v>1755498.38</v>
      </c>
      <c r="F8" s="399">
        <v>1755498.38</v>
      </c>
      <c r="G8" s="399"/>
      <c r="H8" s="399"/>
      <c r="I8" s="399" t="s">
        <v>324</v>
      </c>
      <c r="M8" s="78"/>
    </row>
    <row r="9" spans="1:15" ht="15" customHeight="1">
      <c r="C9" s="398" t="s">
        <v>309</v>
      </c>
      <c r="D9" s="398"/>
      <c r="E9" s="399">
        <v>1258532.6100000001</v>
      </c>
      <c r="F9" s="399">
        <v>1258532.6100000001</v>
      </c>
      <c r="G9" s="399"/>
      <c r="H9" s="399"/>
      <c r="I9" s="399" t="s">
        <v>324</v>
      </c>
      <c r="M9" s="78"/>
    </row>
    <row r="10" spans="1:15" ht="18.95" customHeight="1">
      <c r="A10" s="150"/>
      <c r="C10" s="398" t="s">
        <v>327</v>
      </c>
      <c r="D10" s="398"/>
      <c r="E10" s="399">
        <v>107180.49</v>
      </c>
      <c r="F10" s="399">
        <v>107180.49</v>
      </c>
      <c r="G10" s="399"/>
      <c r="H10" s="399"/>
      <c r="I10" s="399" t="s">
        <v>324</v>
      </c>
      <c r="M10" s="78"/>
    </row>
    <row r="11" spans="1:15" ht="15" customHeight="1">
      <c r="C11" s="398" t="s">
        <v>328</v>
      </c>
      <c r="D11" s="398"/>
      <c r="E11" s="399">
        <v>1741906.74</v>
      </c>
      <c r="F11" s="399">
        <v>1741906.74</v>
      </c>
      <c r="G11" s="399"/>
      <c r="H11" s="399"/>
      <c r="I11" s="399" t="s">
        <v>324</v>
      </c>
      <c r="M11" s="78"/>
    </row>
    <row r="12" spans="1:15" ht="18.95" customHeight="1">
      <c r="A12" s="150"/>
      <c r="C12" s="398" t="s">
        <v>329</v>
      </c>
      <c r="D12" s="398"/>
      <c r="E12" s="399">
        <v>346802.47</v>
      </c>
      <c r="F12" s="399">
        <v>346802.47</v>
      </c>
      <c r="G12" s="399"/>
      <c r="H12" s="399"/>
      <c r="I12" s="399" t="s">
        <v>330</v>
      </c>
      <c r="M12" s="78"/>
    </row>
    <row r="13" spans="1:15" ht="15" customHeight="1">
      <c r="C13" s="398" t="s">
        <v>312</v>
      </c>
      <c r="D13" s="398"/>
      <c r="E13" s="399">
        <v>279741.81</v>
      </c>
      <c r="F13" s="399"/>
      <c r="G13" s="399"/>
      <c r="H13" s="399">
        <v>279741.81</v>
      </c>
      <c r="I13" s="399"/>
      <c r="M13" s="78"/>
    </row>
    <row r="14" spans="1:15" ht="18.95" customHeight="1">
      <c r="A14" s="150"/>
      <c r="C14" s="398" t="s">
        <v>331</v>
      </c>
      <c r="D14" s="398"/>
      <c r="E14" s="399">
        <f>SUM(E6:E13)</f>
        <v>7738286.3600000003</v>
      </c>
      <c r="F14" s="399">
        <f t="shared" ref="F14:H14" si="0">SUM(F6:F13)</f>
        <v>7458544.5500000007</v>
      </c>
      <c r="G14" s="399">
        <f t="shared" si="0"/>
        <v>0</v>
      </c>
      <c r="H14" s="399">
        <f t="shared" si="0"/>
        <v>279741.81</v>
      </c>
      <c r="I14" s="399"/>
      <c r="M14" s="78"/>
    </row>
    <row r="15" spans="1:15" ht="15" customHeight="1">
      <c r="M15" s="78"/>
    </row>
    <row r="16" spans="1:15" ht="18.95" customHeight="1">
      <c r="A16" s="150"/>
      <c r="M16" s="78"/>
    </row>
    <row r="17" spans="1:13" ht="15" customHeight="1">
      <c r="M17" s="78"/>
    </row>
    <row r="18" spans="1:13" ht="7.5" customHeight="1">
      <c r="A18" s="78"/>
      <c r="B18" s="78"/>
      <c r="C18" s="78"/>
      <c r="D18" s="78"/>
      <c r="E18" s="78"/>
      <c r="F18" s="78"/>
      <c r="G18" s="78"/>
      <c r="H18" s="78"/>
      <c r="I18" s="78"/>
      <c r="J18" s="78"/>
      <c r="K18" s="78"/>
      <c r="L18" s="78"/>
      <c r="M18" s="78"/>
    </row>
  </sheetData>
  <phoneticPr fontId="77" type="noConversion"/>
  <hyperlinks>
    <hyperlink ref="O2" location="汇总!A1" display="返回汇总页" xr:uid="{A6767009-B603-4900-8B7F-C8B000087007}"/>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F33EC-733E-457F-AF60-5A93BB333740}">
  <dimension ref="A1:O105"/>
  <sheetViews>
    <sheetView topLeftCell="A58" zoomScale="85" zoomScaleNormal="85" workbookViewId="0">
      <selection activeCell="F101" sqref="F101"/>
    </sheetView>
  </sheetViews>
  <sheetFormatPr defaultColWidth="8.5703125" defaultRowHeight="14.25"/>
  <cols>
    <col min="1" max="1" width="8.28515625" style="403" customWidth="1"/>
    <col min="2" max="11" width="14.28515625" style="403" customWidth="1"/>
    <col min="12" max="12" width="21.5703125" style="403" customWidth="1"/>
    <col min="13" max="16384" width="8.5703125" style="403"/>
  </cols>
  <sheetData>
    <row r="1" spans="1:12" ht="44.65" customHeight="1">
      <c r="A1" s="401"/>
      <c r="B1" s="565" t="s">
        <v>332</v>
      </c>
      <c r="C1" s="565"/>
      <c r="D1" s="565"/>
      <c r="E1" s="565"/>
      <c r="F1" s="565"/>
      <c r="G1" s="566" t="s">
        <v>333</v>
      </c>
      <c r="H1" s="566"/>
      <c r="I1" s="566"/>
      <c r="J1" s="566"/>
      <c r="K1" s="567"/>
      <c r="L1" s="402"/>
    </row>
    <row r="2" spans="1:12" ht="16.5">
      <c r="A2" s="568" t="s">
        <v>334</v>
      </c>
      <c r="B2" s="568"/>
      <c r="C2" s="568"/>
      <c r="D2" s="569" t="s">
        <v>335</v>
      </c>
      <c r="E2" s="569"/>
      <c r="F2" s="569"/>
      <c r="G2" s="569"/>
      <c r="H2" s="569"/>
      <c r="I2" s="569"/>
      <c r="J2" s="569"/>
      <c r="K2" s="570"/>
    </row>
    <row r="3" spans="1:12" ht="16.5">
      <c r="A3" s="568" t="s">
        <v>336</v>
      </c>
      <c r="B3" s="568"/>
      <c r="C3" s="568"/>
      <c r="D3" s="569" t="s">
        <v>337</v>
      </c>
      <c r="E3" s="569"/>
      <c r="F3" s="569"/>
      <c r="G3" s="569"/>
      <c r="H3" s="569"/>
      <c r="I3" s="569"/>
      <c r="J3" s="569"/>
      <c r="K3" s="570"/>
    </row>
    <row r="4" spans="1:12" ht="16.5">
      <c r="A4" s="568" t="s">
        <v>338</v>
      </c>
      <c r="B4" s="568"/>
      <c r="C4" s="568"/>
      <c r="D4" s="574" t="s">
        <v>339</v>
      </c>
      <c r="E4" s="574"/>
      <c r="F4" s="574"/>
      <c r="G4" s="574"/>
      <c r="H4" s="574"/>
      <c r="I4" s="574"/>
      <c r="J4" s="574"/>
      <c r="K4" s="575"/>
    </row>
    <row r="6" spans="1:12" ht="15">
      <c r="A6" s="576" t="s">
        <v>340</v>
      </c>
      <c r="B6" s="576"/>
      <c r="C6" s="576"/>
      <c r="D6" s="576"/>
      <c r="E6" s="576"/>
      <c r="F6" s="576"/>
      <c r="G6" s="576"/>
      <c r="H6" s="576"/>
      <c r="I6" s="576"/>
      <c r="J6" s="576"/>
      <c r="K6" s="576"/>
    </row>
    <row r="7" spans="1:12">
      <c r="K7" s="404"/>
    </row>
    <row r="8" spans="1:12" ht="15">
      <c r="A8" s="571" t="s">
        <v>341</v>
      </c>
      <c r="B8" s="571"/>
      <c r="C8" s="571"/>
      <c r="D8" s="571"/>
      <c r="E8" s="571"/>
      <c r="F8" s="572" t="s">
        <v>342</v>
      </c>
      <c r="G8" s="572"/>
      <c r="H8" s="572"/>
      <c r="I8" s="572"/>
      <c r="J8" s="572"/>
      <c r="K8" s="573"/>
    </row>
    <row r="9" spans="1:12" ht="15">
      <c r="A9" s="577" t="s">
        <v>343</v>
      </c>
      <c r="B9" s="577"/>
      <c r="C9" s="577"/>
      <c r="D9" s="577"/>
      <c r="E9" s="577"/>
      <c r="F9" s="572" t="s">
        <v>344</v>
      </c>
      <c r="G9" s="572"/>
      <c r="H9" s="572"/>
      <c r="I9" s="572"/>
      <c r="J9" s="572"/>
      <c r="K9" s="573"/>
    </row>
    <row r="10" spans="1:12" ht="16.5">
      <c r="A10" s="571" t="s">
        <v>345</v>
      </c>
      <c r="B10" s="571"/>
      <c r="C10" s="571"/>
      <c r="D10" s="571"/>
      <c r="E10" s="571"/>
      <c r="F10" s="572" t="s">
        <v>346</v>
      </c>
      <c r="G10" s="572"/>
      <c r="H10" s="572"/>
      <c r="I10" s="572"/>
      <c r="J10" s="572"/>
      <c r="K10" s="573"/>
    </row>
    <row r="11" spans="1:12" ht="15">
      <c r="A11" s="571" t="s">
        <v>347</v>
      </c>
      <c r="B11" s="571"/>
      <c r="C11" s="571"/>
      <c r="D11" s="571"/>
      <c r="E11" s="571"/>
      <c r="F11" s="572" t="s">
        <v>348</v>
      </c>
      <c r="G11" s="572"/>
      <c r="H11" s="572"/>
      <c r="I11" s="572"/>
      <c r="J11" s="572"/>
      <c r="K11" s="573"/>
    </row>
    <row r="12" spans="1:12" ht="15">
      <c r="A12" s="571" t="s">
        <v>349</v>
      </c>
      <c r="B12" s="571"/>
      <c r="C12" s="571"/>
      <c r="D12" s="571"/>
      <c r="E12" s="571"/>
      <c r="F12" s="572" t="s">
        <v>350</v>
      </c>
      <c r="G12" s="572"/>
      <c r="H12" s="572"/>
      <c r="I12" s="572"/>
      <c r="J12" s="572"/>
      <c r="K12" s="573"/>
    </row>
    <row r="13" spans="1:12" ht="15">
      <c r="A13" s="571" t="s">
        <v>351</v>
      </c>
      <c r="B13" s="571"/>
      <c r="C13" s="571"/>
      <c r="D13" s="571"/>
      <c r="E13" s="571"/>
      <c r="F13" s="572" t="s">
        <v>352</v>
      </c>
      <c r="G13" s="572"/>
      <c r="H13" s="572"/>
      <c r="I13" s="572"/>
      <c r="J13" s="572"/>
      <c r="K13" s="573"/>
    </row>
    <row r="14" spans="1:12" ht="15">
      <c r="A14" s="578" t="s">
        <v>353</v>
      </c>
      <c r="B14" s="571"/>
      <c r="C14" s="571"/>
      <c r="D14" s="571"/>
      <c r="E14" s="571"/>
      <c r="F14" s="572" t="s">
        <v>30</v>
      </c>
      <c r="G14" s="572"/>
      <c r="H14" s="572"/>
      <c r="I14" s="572"/>
      <c r="J14" s="572"/>
      <c r="K14" s="573"/>
    </row>
    <row r="15" spans="1:12" ht="15">
      <c r="A15" s="571" t="s">
        <v>354</v>
      </c>
      <c r="B15" s="571"/>
      <c r="C15" s="571"/>
      <c r="D15" s="571"/>
      <c r="E15" s="571"/>
      <c r="F15" s="572" t="s">
        <v>355</v>
      </c>
      <c r="G15" s="572"/>
      <c r="H15" s="572"/>
      <c r="I15" s="572"/>
      <c r="J15" s="572"/>
      <c r="K15" s="573"/>
      <c r="L15" s="405"/>
    </row>
    <row r="16" spans="1:12" ht="15">
      <c r="A16" s="571" t="s">
        <v>356</v>
      </c>
      <c r="B16" s="571"/>
      <c r="C16" s="571"/>
      <c r="D16" s="571"/>
      <c r="E16" s="571"/>
      <c r="F16" s="572" t="s">
        <v>357</v>
      </c>
      <c r="G16" s="572"/>
      <c r="H16" s="572"/>
      <c r="I16" s="572"/>
      <c r="J16" s="572"/>
      <c r="K16" s="573"/>
      <c r="L16" s="405"/>
    </row>
    <row r="17" spans="1:12" ht="15">
      <c r="A17" s="571" t="s">
        <v>358</v>
      </c>
      <c r="B17" s="571"/>
      <c r="C17" s="571"/>
      <c r="D17" s="571"/>
      <c r="E17" s="571"/>
      <c r="F17" s="572" t="s">
        <v>30</v>
      </c>
      <c r="G17" s="572"/>
      <c r="H17" s="572"/>
      <c r="I17" s="572"/>
      <c r="J17" s="572"/>
      <c r="K17" s="573"/>
    </row>
    <row r="18" spans="1:12" ht="15">
      <c r="A18" s="571" t="s">
        <v>359</v>
      </c>
      <c r="B18" s="571"/>
      <c r="C18" s="571"/>
      <c r="D18" s="571"/>
      <c r="E18" s="571"/>
      <c r="F18" s="572" t="s">
        <v>360</v>
      </c>
      <c r="G18" s="572"/>
      <c r="H18" s="572"/>
      <c r="I18" s="572"/>
      <c r="J18" s="572"/>
      <c r="K18" s="573"/>
    </row>
    <row r="19" spans="1:12" ht="15">
      <c r="A19" s="571" t="s">
        <v>361</v>
      </c>
      <c r="B19" s="571"/>
      <c r="C19" s="571"/>
      <c r="D19" s="571"/>
      <c r="E19" s="571"/>
      <c r="F19" s="572" t="s">
        <v>30</v>
      </c>
      <c r="G19" s="572"/>
      <c r="H19" s="572"/>
      <c r="I19" s="572"/>
      <c r="J19" s="572"/>
      <c r="K19" s="573"/>
      <c r="L19" s="406"/>
    </row>
    <row r="20" spans="1:12" ht="15">
      <c r="A20" s="571" t="s">
        <v>362</v>
      </c>
      <c r="B20" s="571"/>
      <c r="C20" s="571"/>
      <c r="D20" s="571"/>
      <c r="E20" s="571"/>
      <c r="F20" s="572" t="s">
        <v>12</v>
      </c>
      <c r="G20" s="572"/>
      <c r="H20" s="572"/>
      <c r="I20" s="572"/>
      <c r="J20" s="572"/>
      <c r="K20" s="573"/>
    </row>
    <row r="21" spans="1:12" ht="15">
      <c r="A21" s="578" t="s">
        <v>363</v>
      </c>
      <c r="B21" s="571"/>
      <c r="C21" s="571"/>
      <c r="D21" s="571"/>
      <c r="E21" s="571"/>
      <c r="F21" s="572" t="s">
        <v>30</v>
      </c>
      <c r="G21" s="572"/>
      <c r="H21" s="572"/>
      <c r="I21" s="572"/>
      <c r="J21" s="572"/>
      <c r="K21" s="573"/>
    </row>
    <row r="22" spans="1:12" ht="16.5">
      <c r="A22" s="572" t="s">
        <v>364</v>
      </c>
      <c r="B22" s="572"/>
      <c r="C22" s="572"/>
      <c r="D22" s="572"/>
      <c r="E22" s="572"/>
      <c r="F22" s="572" t="s">
        <v>30</v>
      </c>
      <c r="G22" s="572"/>
      <c r="H22" s="572"/>
      <c r="I22" s="572"/>
      <c r="J22" s="572"/>
      <c r="K22" s="573"/>
    </row>
    <row r="24" spans="1:12" ht="15">
      <c r="A24" s="576" t="s">
        <v>365</v>
      </c>
      <c r="B24" s="576"/>
      <c r="C24" s="576"/>
      <c r="D24" s="576"/>
      <c r="E24" s="576"/>
      <c r="F24" s="576"/>
      <c r="G24" s="576"/>
      <c r="H24" s="576"/>
      <c r="I24" s="576"/>
      <c r="J24" s="576"/>
      <c r="K24" s="576"/>
    </row>
    <row r="26" spans="1:12" ht="15">
      <c r="A26" s="579" t="s">
        <v>366</v>
      </c>
      <c r="B26" s="579"/>
      <c r="C26" s="579"/>
      <c r="D26" s="579"/>
      <c r="E26" s="579"/>
      <c r="F26" s="579"/>
      <c r="G26" s="579"/>
      <c r="H26" s="579"/>
      <c r="I26" s="579"/>
      <c r="J26" s="579"/>
      <c r="K26" s="579"/>
    </row>
    <row r="27" spans="1:12" ht="15">
      <c r="A27" s="580" t="s">
        <v>367</v>
      </c>
      <c r="B27" s="580"/>
      <c r="C27" s="580"/>
      <c r="D27" s="580"/>
      <c r="E27" s="581" t="s">
        <v>368</v>
      </c>
      <c r="F27" s="581"/>
      <c r="G27" s="447" t="s">
        <v>369</v>
      </c>
      <c r="H27" s="580" t="s">
        <v>370</v>
      </c>
      <c r="I27" s="580"/>
      <c r="J27" s="580"/>
      <c r="K27" s="580"/>
    </row>
    <row r="28" spans="1:12">
      <c r="A28" s="586" t="s">
        <v>371</v>
      </c>
      <c r="B28" s="586"/>
      <c r="C28" s="586"/>
      <c r="D28" s="586"/>
      <c r="E28" s="587" t="s">
        <v>372</v>
      </c>
      <c r="F28" s="588"/>
      <c r="G28" s="586"/>
      <c r="H28" s="586" t="s">
        <v>373</v>
      </c>
      <c r="I28" s="586"/>
      <c r="J28" s="586"/>
      <c r="K28" s="586"/>
    </row>
    <row r="29" spans="1:12">
      <c r="A29" s="586"/>
      <c r="B29" s="586"/>
      <c r="C29" s="586"/>
      <c r="D29" s="586"/>
      <c r="E29" s="587"/>
      <c r="F29" s="588"/>
      <c r="G29" s="449"/>
      <c r="H29" s="586"/>
      <c r="I29" s="586"/>
      <c r="J29" s="586"/>
      <c r="K29" s="586"/>
    </row>
    <row r="30" spans="1:12" ht="15">
      <c r="A30" s="579" t="s">
        <v>374</v>
      </c>
      <c r="B30" s="579"/>
      <c r="C30" s="579"/>
      <c r="D30" s="579"/>
      <c r="E30" s="579"/>
      <c r="F30" s="579"/>
      <c r="G30" s="579"/>
      <c r="H30" s="579"/>
      <c r="I30" s="579"/>
      <c r="J30" s="579"/>
      <c r="K30" s="579"/>
    </row>
    <row r="31" spans="1:12" ht="16.5">
      <c r="A31" s="582" t="s">
        <v>375</v>
      </c>
      <c r="B31" s="582"/>
      <c r="C31" s="582"/>
      <c r="D31" s="582"/>
      <c r="E31" s="582"/>
      <c r="F31" s="583" t="s">
        <v>376</v>
      </c>
      <c r="G31" s="584"/>
      <c r="H31" s="584"/>
      <c r="I31" s="584"/>
      <c r="J31" s="584"/>
      <c r="K31" s="585"/>
    </row>
    <row r="32" spans="1:12" ht="16.5">
      <c r="A32" s="582" t="s">
        <v>377</v>
      </c>
      <c r="B32" s="582"/>
      <c r="C32" s="582"/>
      <c r="D32" s="582"/>
      <c r="E32" s="582"/>
      <c r="F32" s="583" t="s">
        <v>318</v>
      </c>
      <c r="G32" s="584"/>
      <c r="H32" s="584"/>
      <c r="I32" s="584"/>
      <c r="J32" s="584"/>
      <c r="K32" s="585"/>
    </row>
    <row r="33" spans="1:15" ht="16.5">
      <c r="A33" s="582" t="s">
        <v>378</v>
      </c>
      <c r="B33" s="582"/>
      <c r="C33" s="582"/>
      <c r="D33" s="582"/>
      <c r="E33" s="582"/>
      <c r="F33" s="583" t="s">
        <v>376</v>
      </c>
      <c r="G33" s="584"/>
      <c r="H33" s="584"/>
      <c r="I33" s="584"/>
      <c r="J33" s="584"/>
      <c r="K33" s="585"/>
    </row>
    <row r="35" spans="1:15" ht="18" customHeight="1">
      <c r="A35" s="576" t="s">
        <v>379</v>
      </c>
      <c r="B35" s="576"/>
      <c r="C35" s="576"/>
      <c r="D35" s="576"/>
      <c r="E35" s="576"/>
      <c r="F35" s="576"/>
      <c r="G35" s="576"/>
      <c r="H35" s="576"/>
      <c r="I35" s="576"/>
      <c r="J35" s="576"/>
      <c r="K35" s="576"/>
    </row>
    <row r="36" spans="1:15">
      <c r="F36" s="407"/>
      <c r="G36" s="407"/>
      <c r="H36" s="407"/>
      <c r="I36" s="407"/>
      <c r="J36" s="407"/>
      <c r="K36" s="407"/>
    </row>
    <row r="37" spans="1:15" ht="15">
      <c r="A37" s="590" t="s">
        <v>380</v>
      </c>
      <c r="B37" s="590"/>
      <c r="C37" s="590"/>
      <c r="D37" s="590"/>
      <c r="E37" s="590"/>
      <c r="F37" s="403" t="s">
        <v>376</v>
      </c>
      <c r="H37" s="403" t="s">
        <v>376</v>
      </c>
      <c r="J37" s="403" t="s">
        <v>376</v>
      </c>
    </row>
    <row r="38" spans="1:15" ht="16.5">
      <c r="A38" s="589" t="s">
        <v>381</v>
      </c>
      <c r="B38" s="589"/>
      <c r="C38" s="589"/>
      <c r="D38" s="589"/>
      <c r="E38" s="589"/>
      <c r="F38" s="582" t="s">
        <v>382</v>
      </c>
      <c r="G38" s="582"/>
      <c r="H38" s="582"/>
      <c r="I38" s="582"/>
      <c r="J38" s="582"/>
      <c r="K38" s="582"/>
    </row>
    <row r="39" spans="1:15" ht="16.5">
      <c r="A39" s="589" t="s">
        <v>383</v>
      </c>
      <c r="B39" s="589"/>
      <c r="C39" s="589"/>
      <c r="D39" s="589"/>
      <c r="E39" s="589"/>
      <c r="F39" s="582" t="s">
        <v>384</v>
      </c>
      <c r="G39" s="582"/>
      <c r="H39" s="582"/>
      <c r="I39" s="582"/>
      <c r="J39" s="582"/>
      <c r="K39" s="582"/>
    </row>
    <row r="40" spans="1:15" ht="16.5">
      <c r="A40" s="589" t="s">
        <v>385</v>
      </c>
      <c r="B40" s="589"/>
      <c r="C40" s="589"/>
      <c r="D40" s="589"/>
      <c r="E40" s="589"/>
      <c r="F40" s="582" t="s">
        <v>376</v>
      </c>
      <c r="G40" s="582"/>
      <c r="H40" s="582"/>
      <c r="I40" s="582"/>
      <c r="J40" s="582"/>
      <c r="K40" s="582"/>
    </row>
    <row r="41" spans="1:15" ht="16.5">
      <c r="A41" s="589" t="s">
        <v>386</v>
      </c>
      <c r="B41" s="589"/>
      <c r="C41" s="589"/>
      <c r="D41" s="589"/>
      <c r="E41" s="589"/>
      <c r="F41" s="582" t="s">
        <v>382</v>
      </c>
      <c r="G41" s="582"/>
      <c r="H41" s="582"/>
      <c r="I41" s="582"/>
      <c r="J41" s="582"/>
      <c r="K41" s="582"/>
    </row>
    <row r="42" spans="1:15" ht="15">
      <c r="A42" s="590" t="s">
        <v>387</v>
      </c>
      <c r="B42" s="590"/>
      <c r="C42" s="590"/>
      <c r="D42" s="590"/>
      <c r="E42" s="590"/>
      <c r="F42" s="582" t="s">
        <v>388</v>
      </c>
      <c r="G42" s="582"/>
      <c r="H42" s="582"/>
      <c r="I42" s="582"/>
      <c r="J42" s="582"/>
      <c r="K42" s="582"/>
    </row>
    <row r="43" spans="1:15" ht="16.5">
      <c r="A43" s="589" t="s">
        <v>389</v>
      </c>
      <c r="B43" s="589"/>
      <c r="C43" s="589"/>
      <c r="D43" s="589"/>
      <c r="E43" s="589"/>
      <c r="F43" s="582" t="s">
        <v>388</v>
      </c>
      <c r="G43" s="582"/>
      <c r="H43" s="582"/>
      <c r="I43" s="582"/>
      <c r="J43" s="582"/>
      <c r="K43" s="582"/>
    </row>
    <row r="44" spans="1:15" ht="16.5">
      <c r="A44" s="589" t="s">
        <v>390</v>
      </c>
      <c r="B44" s="589"/>
      <c r="C44" s="589"/>
      <c r="D44" s="589"/>
      <c r="E44" s="589"/>
      <c r="F44" s="582" t="s">
        <v>388</v>
      </c>
      <c r="G44" s="582"/>
      <c r="H44" s="582"/>
      <c r="I44" s="582"/>
      <c r="J44" s="582"/>
      <c r="K44" s="582"/>
    </row>
    <row r="45" spans="1:15" ht="16.5">
      <c r="A45" s="589" t="s">
        <v>391</v>
      </c>
      <c r="B45" s="589"/>
      <c r="C45" s="589"/>
      <c r="D45" s="589"/>
      <c r="E45" s="589"/>
      <c r="F45" s="582" t="s">
        <v>388</v>
      </c>
      <c r="G45" s="582"/>
      <c r="H45" s="582"/>
      <c r="I45" s="582"/>
      <c r="J45" s="582"/>
      <c r="K45" s="582"/>
    </row>
    <row r="46" spans="1:15" ht="16.5">
      <c r="A46" s="589" t="s">
        <v>392</v>
      </c>
      <c r="B46" s="589"/>
      <c r="C46" s="589"/>
      <c r="D46" s="589"/>
      <c r="E46" s="589"/>
      <c r="F46" s="582" t="s">
        <v>388</v>
      </c>
      <c r="G46" s="582"/>
      <c r="H46" s="582"/>
      <c r="I46" s="582"/>
      <c r="J46" s="582"/>
      <c r="K46" s="582"/>
    </row>
    <row r="47" spans="1:15" ht="15">
      <c r="A47" s="590" t="s">
        <v>393</v>
      </c>
      <c r="B47" s="590"/>
      <c r="C47" s="590"/>
      <c r="D47" s="590"/>
      <c r="E47" s="590"/>
      <c r="F47" s="403" t="s">
        <v>376</v>
      </c>
      <c r="H47" s="407"/>
      <c r="I47" s="407"/>
      <c r="J47" s="407"/>
      <c r="K47" s="407"/>
      <c r="M47" s="407"/>
      <c r="N47" s="407"/>
      <c r="O47" s="407"/>
    </row>
    <row r="48" spans="1:15" ht="16.5">
      <c r="A48" s="589" t="s">
        <v>394</v>
      </c>
      <c r="B48" s="589"/>
      <c r="C48" s="589"/>
      <c r="D48" s="589"/>
      <c r="E48" s="589"/>
      <c r="F48" s="582" t="s">
        <v>388</v>
      </c>
      <c r="G48" s="582"/>
      <c r="H48" s="582"/>
      <c r="I48" s="582"/>
      <c r="J48" s="582"/>
      <c r="K48" s="582"/>
    </row>
    <row r="49" spans="1:11">
      <c r="A49" s="589" t="s">
        <v>395</v>
      </c>
      <c r="B49" s="589"/>
      <c r="C49" s="589"/>
      <c r="D49" s="589"/>
      <c r="E49" s="589"/>
      <c r="F49" s="582" t="s">
        <v>384</v>
      </c>
      <c r="G49" s="582"/>
      <c r="H49" s="582"/>
      <c r="I49" s="582"/>
      <c r="J49" s="582"/>
      <c r="K49" s="582"/>
    </row>
    <row r="50" spans="1:11">
      <c r="F50" s="448"/>
      <c r="G50" s="448"/>
      <c r="H50" s="448"/>
      <c r="I50" s="448"/>
      <c r="J50" s="448"/>
      <c r="K50" s="448"/>
    </row>
    <row r="51" spans="1:11" ht="15">
      <c r="A51" s="590" t="s">
        <v>396</v>
      </c>
      <c r="B51" s="590"/>
      <c r="C51" s="590"/>
      <c r="D51" s="590"/>
      <c r="E51" s="590"/>
      <c r="F51" s="582" t="s">
        <v>397</v>
      </c>
      <c r="G51" s="582"/>
      <c r="H51" s="582"/>
      <c r="I51" s="582"/>
      <c r="J51" s="582"/>
      <c r="K51" s="582"/>
    </row>
    <row r="52" spans="1:11" ht="15">
      <c r="A52" s="453"/>
      <c r="B52" s="453"/>
      <c r="C52" s="453"/>
      <c r="D52" s="453"/>
      <c r="E52" s="453"/>
      <c r="F52" s="408"/>
      <c r="G52" s="408"/>
      <c r="H52" s="408"/>
      <c r="I52" s="408"/>
      <c r="J52" s="408"/>
      <c r="K52" s="408"/>
    </row>
    <row r="53" spans="1:11" ht="15">
      <c r="A53" s="576" t="s">
        <v>398</v>
      </c>
      <c r="B53" s="576"/>
      <c r="C53" s="576"/>
      <c r="D53" s="576"/>
      <c r="E53" s="576"/>
      <c r="F53" s="576"/>
      <c r="G53" s="576"/>
      <c r="H53" s="576"/>
      <c r="I53" s="576"/>
      <c r="J53" s="576"/>
      <c r="K53" s="576"/>
    </row>
    <row r="54" spans="1:11" ht="20.100000000000001" customHeight="1">
      <c r="A54" s="409" t="s">
        <v>399</v>
      </c>
      <c r="B54" s="591" t="s">
        <v>400</v>
      </c>
      <c r="C54" s="591"/>
      <c r="D54" s="591"/>
      <c r="E54" s="591"/>
      <c r="F54" s="592" t="s">
        <v>30</v>
      </c>
      <c r="G54" s="592"/>
      <c r="H54" s="592"/>
      <c r="I54" s="591"/>
      <c r="J54" s="591"/>
      <c r="K54" s="591"/>
    </row>
    <row r="55" spans="1:11" ht="20.100000000000001" customHeight="1">
      <c r="A55" s="409" t="s">
        <v>401</v>
      </c>
      <c r="B55" s="591" t="s">
        <v>402</v>
      </c>
      <c r="C55" s="591"/>
      <c r="D55" s="591"/>
      <c r="E55" s="591"/>
      <c r="F55" s="592" t="s">
        <v>12</v>
      </c>
      <c r="G55" s="592"/>
      <c r="H55" s="592"/>
      <c r="I55" s="591"/>
      <c r="J55" s="591"/>
      <c r="K55" s="591"/>
    </row>
    <row r="56" spans="1:11" ht="59.25" customHeight="1">
      <c r="A56" s="409" t="s">
        <v>403</v>
      </c>
      <c r="B56" s="591" t="s">
        <v>404</v>
      </c>
      <c r="C56" s="591"/>
      <c r="D56" s="591"/>
      <c r="E56" s="591"/>
      <c r="F56" s="592" t="s">
        <v>405</v>
      </c>
      <c r="G56" s="592"/>
      <c r="H56" s="592"/>
      <c r="I56" s="591"/>
      <c r="J56" s="591"/>
      <c r="K56" s="591"/>
    </row>
    <row r="57" spans="1:11" ht="20.100000000000001" customHeight="1">
      <c r="A57" s="409" t="s">
        <v>406</v>
      </c>
      <c r="B57" s="591" t="s">
        <v>407</v>
      </c>
      <c r="C57" s="591"/>
      <c r="D57" s="591"/>
      <c r="E57" s="591"/>
      <c r="F57" s="592" t="s">
        <v>376</v>
      </c>
      <c r="G57" s="592"/>
      <c r="H57" s="592"/>
      <c r="I57" s="591"/>
      <c r="J57" s="591"/>
      <c r="K57" s="591"/>
    </row>
    <row r="58" spans="1:11" ht="20.100000000000001" customHeight="1">
      <c r="A58" s="409" t="s">
        <v>376</v>
      </c>
      <c r="B58" s="593" t="s">
        <v>408</v>
      </c>
      <c r="C58" s="591"/>
      <c r="D58" s="591"/>
      <c r="E58" s="591"/>
      <c r="F58" s="592" t="s">
        <v>382</v>
      </c>
      <c r="G58" s="592"/>
      <c r="H58" s="592"/>
      <c r="I58" s="591"/>
      <c r="J58" s="591"/>
      <c r="K58" s="591"/>
    </row>
    <row r="59" spans="1:11" ht="20.100000000000001" customHeight="1">
      <c r="A59" s="409" t="s">
        <v>376</v>
      </c>
      <c r="B59" s="593" t="s">
        <v>409</v>
      </c>
      <c r="C59" s="591"/>
      <c r="D59" s="591"/>
      <c r="E59" s="591"/>
      <c r="F59" s="592" t="s">
        <v>384</v>
      </c>
      <c r="G59" s="592"/>
      <c r="H59" s="592"/>
      <c r="I59" s="591"/>
      <c r="J59" s="591"/>
      <c r="K59" s="591"/>
    </row>
    <row r="60" spans="1:11" ht="20.100000000000001" customHeight="1">
      <c r="A60" s="409" t="s">
        <v>376</v>
      </c>
      <c r="B60" s="593" t="s">
        <v>410</v>
      </c>
      <c r="C60" s="591"/>
      <c r="D60" s="591"/>
      <c r="E60" s="591"/>
      <c r="F60" s="592" t="s">
        <v>382</v>
      </c>
      <c r="G60" s="592"/>
      <c r="H60" s="592"/>
      <c r="I60" s="591"/>
      <c r="J60" s="591"/>
      <c r="K60" s="591"/>
    </row>
    <row r="61" spans="1:11" ht="20.100000000000001" customHeight="1">
      <c r="A61" s="409" t="s">
        <v>376</v>
      </c>
      <c r="B61" s="593" t="s">
        <v>411</v>
      </c>
      <c r="C61" s="591"/>
      <c r="D61" s="591"/>
      <c r="E61" s="591"/>
      <c r="F61" s="592" t="s">
        <v>382</v>
      </c>
      <c r="G61" s="592"/>
      <c r="H61" s="592"/>
      <c r="I61" s="591"/>
      <c r="J61" s="591"/>
      <c r="K61" s="591"/>
    </row>
    <row r="62" spans="1:11" ht="20.100000000000001" customHeight="1">
      <c r="A62" s="409" t="s">
        <v>376</v>
      </c>
      <c r="B62" s="593" t="s">
        <v>412</v>
      </c>
      <c r="C62" s="591"/>
      <c r="D62" s="591"/>
      <c r="E62" s="591"/>
      <c r="F62" s="592" t="s">
        <v>384</v>
      </c>
      <c r="G62" s="592"/>
      <c r="H62" s="592"/>
      <c r="I62" s="591"/>
      <c r="J62" s="591"/>
      <c r="K62" s="591"/>
    </row>
    <row r="63" spans="1:11" ht="20.100000000000001" customHeight="1">
      <c r="A63" s="409" t="s">
        <v>413</v>
      </c>
      <c r="B63" s="591" t="s">
        <v>414</v>
      </c>
      <c r="C63" s="591"/>
      <c r="D63" s="591"/>
      <c r="E63" s="591"/>
      <c r="F63" s="592" t="s">
        <v>415</v>
      </c>
      <c r="G63" s="592"/>
      <c r="H63" s="592"/>
      <c r="I63" s="591"/>
      <c r="J63" s="591"/>
      <c r="K63" s="591"/>
    </row>
    <row r="64" spans="1:11" ht="20.100000000000001" customHeight="1">
      <c r="A64" s="409" t="s">
        <v>416</v>
      </c>
      <c r="B64" s="591" t="s">
        <v>417</v>
      </c>
      <c r="C64" s="591"/>
      <c r="D64" s="591"/>
      <c r="E64" s="591"/>
      <c r="F64" s="592" t="s">
        <v>418</v>
      </c>
      <c r="G64" s="592"/>
      <c r="H64" s="592"/>
      <c r="I64" s="591"/>
      <c r="J64" s="591"/>
      <c r="K64" s="591"/>
    </row>
    <row r="65" spans="1:12" ht="20.100000000000001" customHeight="1">
      <c r="A65" s="409" t="s">
        <v>419</v>
      </c>
      <c r="B65" s="591" t="s">
        <v>420</v>
      </c>
      <c r="C65" s="591"/>
      <c r="D65" s="591"/>
      <c r="E65" s="591"/>
      <c r="F65" s="592" t="s">
        <v>30</v>
      </c>
      <c r="G65" s="592"/>
      <c r="H65" s="592"/>
      <c r="I65" s="591"/>
      <c r="J65" s="591"/>
      <c r="K65" s="591"/>
    </row>
    <row r="66" spans="1:12" ht="20.100000000000001" customHeight="1">
      <c r="A66" s="409" t="s">
        <v>376</v>
      </c>
      <c r="B66" s="593" t="s">
        <v>421</v>
      </c>
      <c r="C66" s="591"/>
      <c r="D66" s="591"/>
      <c r="E66" s="591"/>
      <c r="F66" s="592" t="s">
        <v>422</v>
      </c>
      <c r="G66" s="592"/>
      <c r="H66" s="592"/>
      <c r="I66" s="591"/>
      <c r="J66" s="591"/>
      <c r="K66" s="591"/>
    </row>
    <row r="67" spans="1:12" ht="20.100000000000001" customHeight="1">
      <c r="A67" s="409" t="s">
        <v>423</v>
      </c>
      <c r="B67" s="591" t="s">
        <v>424</v>
      </c>
      <c r="C67" s="591"/>
      <c r="D67" s="591"/>
      <c r="E67" s="591"/>
      <c r="F67" s="592" t="s">
        <v>425</v>
      </c>
      <c r="G67" s="592"/>
      <c r="H67" s="592"/>
      <c r="I67" s="591"/>
      <c r="J67" s="591"/>
      <c r="K67" s="591"/>
    </row>
    <row r="68" spans="1:12" ht="20.100000000000001" customHeight="1">
      <c r="A68" s="409" t="s">
        <v>426</v>
      </c>
      <c r="B68" s="591" t="s">
        <v>427</v>
      </c>
      <c r="C68" s="591"/>
      <c r="D68" s="591"/>
      <c r="E68" s="591"/>
      <c r="F68" s="592" t="s">
        <v>30</v>
      </c>
      <c r="G68" s="592"/>
      <c r="H68" s="592"/>
      <c r="I68" s="591"/>
      <c r="J68" s="591"/>
      <c r="K68" s="591"/>
    </row>
    <row r="69" spans="1:12" ht="48" customHeight="1">
      <c r="A69" s="409" t="s">
        <v>428</v>
      </c>
      <c r="B69" s="591" t="s">
        <v>429</v>
      </c>
      <c r="C69" s="591"/>
      <c r="D69" s="591"/>
      <c r="E69" s="591"/>
      <c r="F69" s="592" t="s">
        <v>430</v>
      </c>
      <c r="G69" s="592"/>
      <c r="H69" s="592"/>
      <c r="I69" s="591"/>
      <c r="J69" s="591"/>
      <c r="K69" s="591"/>
    </row>
    <row r="70" spans="1:12" ht="18" customHeight="1">
      <c r="A70" s="409"/>
      <c r="B70" s="451"/>
      <c r="C70" s="451"/>
      <c r="D70" s="451"/>
      <c r="E70" s="451"/>
      <c r="F70" s="452"/>
      <c r="G70" s="452"/>
      <c r="H70" s="452"/>
      <c r="I70" s="451"/>
      <c r="J70" s="451"/>
      <c r="K70" s="451"/>
    </row>
    <row r="71" spans="1:12" ht="18" customHeight="1">
      <c r="A71" s="409"/>
      <c r="B71" s="451"/>
      <c r="C71" s="451"/>
      <c r="D71" s="451"/>
      <c r="E71" s="451"/>
      <c r="F71" s="452"/>
      <c r="G71" s="452"/>
      <c r="H71" s="452"/>
      <c r="I71" s="451"/>
      <c r="J71" s="451"/>
      <c r="K71" s="451"/>
    </row>
    <row r="72" spans="1:12" ht="18" customHeight="1">
      <c r="A72" s="409"/>
      <c r="B72" s="451"/>
      <c r="C72" s="451"/>
      <c r="D72" s="451"/>
      <c r="E72" s="451"/>
      <c r="F72" s="452"/>
      <c r="G72" s="452"/>
      <c r="H72" s="452"/>
      <c r="I72" s="451"/>
      <c r="J72" s="451"/>
      <c r="K72" s="451"/>
    </row>
    <row r="73" spans="1:12" ht="18" customHeight="1">
      <c r="A73" s="409"/>
      <c r="B73" s="451"/>
      <c r="C73" s="451"/>
      <c r="D73" s="451"/>
      <c r="E73" s="451"/>
      <c r="F73" s="452"/>
      <c r="G73" s="452"/>
      <c r="H73" s="452"/>
      <c r="I73" s="451"/>
      <c r="J73" s="451"/>
      <c r="K73" s="451"/>
    </row>
    <row r="77" spans="1:12" ht="15">
      <c r="A77" s="594" t="s">
        <v>431</v>
      </c>
      <c r="B77" s="576"/>
      <c r="C77" s="576"/>
      <c r="D77" s="576"/>
      <c r="E77" s="576"/>
      <c r="F77" s="576"/>
      <c r="G77" s="576"/>
      <c r="H77" s="576"/>
      <c r="I77" s="576"/>
      <c r="J77" s="576"/>
      <c r="K77" s="576"/>
    </row>
    <row r="78" spans="1:12">
      <c r="G78" s="407"/>
      <c r="H78" s="407"/>
      <c r="I78" s="407"/>
      <c r="J78" s="407"/>
      <c r="K78" s="404"/>
    </row>
    <row r="79" spans="1:12" ht="15">
      <c r="A79" s="571" t="s">
        <v>432</v>
      </c>
      <c r="B79" s="571"/>
      <c r="C79" s="571"/>
      <c r="D79" s="571"/>
      <c r="E79" s="571"/>
      <c r="F79" s="572" t="s">
        <v>433</v>
      </c>
      <c r="G79" s="572"/>
      <c r="H79" s="572"/>
      <c r="I79" s="572"/>
      <c r="J79" s="572"/>
      <c r="K79" s="573"/>
      <c r="L79" s="410"/>
    </row>
    <row r="80" spans="1:12" ht="15">
      <c r="A80" s="571" t="s">
        <v>434</v>
      </c>
      <c r="B80" s="571"/>
      <c r="C80" s="571"/>
      <c r="D80" s="571"/>
      <c r="E80" s="571"/>
      <c r="F80" s="572" t="s">
        <v>435</v>
      </c>
      <c r="G80" s="572"/>
      <c r="H80" s="572"/>
      <c r="I80" s="572"/>
      <c r="J80" s="572"/>
      <c r="K80" s="573"/>
      <c r="L80" s="410"/>
    </row>
    <row r="81" spans="1:12" ht="15">
      <c r="A81" s="571" t="s">
        <v>436</v>
      </c>
      <c r="B81" s="571"/>
      <c r="C81" s="571"/>
      <c r="D81" s="571"/>
      <c r="E81" s="571"/>
      <c r="F81" s="572" t="s">
        <v>437</v>
      </c>
      <c r="G81" s="572"/>
      <c r="H81" s="572"/>
      <c r="I81" s="572"/>
      <c r="J81" s="572"/>
      <c r="K81" s="573"/>
      <c r="L81" s="411"/>
    </row>
    <row r="82" spans="1:12" ht="15">
      <c r="A82" s="571" t="s">
        <v>438</v>
      </c>
      <c r="B82" s="571"/>
      <c r="C82" s="571"/>
      <c r="D82" s="571"/>
      <c r="E82" s="571"/>
      <c r="F82" s="572" t="s">
        <v>399</v>
      </c>
      <c r="G82" s="572"/>
      <c r="H82" s="572"/>
      <c r="I82" s="572"/>
      <c r="J82" s="572"/>
      <c r="K82" s="573"/>
      <c r="L82" s="410"/>
    </row>
    <row r="83" spans="1:12" ht="15">
      <c r="A83" s="571" t="s">
        <v>439</v>
      </c>
      <c r="B83" s="571"/>
      <c r="C83" s="571"/>
      <c r="D83" s="571"/>
      <c r="E83" s="571"/>
      <c r="F83" s="572">
        <v>2</v>
      </c>
      <c r="G83" s="572"/>
      <c r="H83" s="572"/>
      <c r="I83" s="572"/>
      <c r="J83" s="572"/>
      <c r="K83" s="573"/>
    </row>
    <row r="84" spans="1:12" ht="15">
      <c r="A84" s="571" t="s">
        <v>440</v>
      </c>
      <c r="B84" s="571"/>
      <c r="C84" s="571"/>
      <c r="D84" s="571"/>
      <c r="E84" s="571"/>
      <c r="F84" s="572" t="s">
        <v>401</v>
      </c>
      <c r="G84" s="572"/>
      <c r="H84" s="572"/>
      <c r="I84" s="572"/>
      <c r="J84" s="572"/>
      <c r="K84" s="573"/>
    </row>
    <row r="85" spans="1:12" ht="15">
      <c r="A85" s="571" t="s">
        <v>441</v>
      </c>
      <c r="B85" s="571"/>
      <c r="C85" s="571"/>
      <c r="D85" s="571"/>
      <c r="E85" s="571"/>
      <c r="F85" s="572" t="s">
        <v>442</v>
      </c>
      <c r="G85" s="572"/>
      <c r="H85" s="572"/>
      <c r="I85" s="572"/>
      <c r="J85" s="572"/>
      <c r="K85" s="573"/>
      <c r="L85" s="410"/>
    </row>
    <row r="86" spans="1:12" ht="15">
      <c r="A86" s="571" t="s">
        <v>443</v>
      </c>
      <c r="B86" s="571"/>
      <c r="C86" s="571"/>
      <c r="D86" s="571"/>
      <c r="E86" s="571"/>
      <c r="F86" s="572" t="s">
        <v>444</v>
      </c>
      <c r="G86" s="572"/>
      <c r="H86" s="572"/>
      <c r="I86" s="572"/>
      <c r="J86" s="572"/>
      <c r="K86" s="573"/>
    </row>
    <row r="87" spans="1:12">
      <c r="A87" s="412"/>
      <c r="B87" s="412"/>
      <c r="C87" s="412"/>
      <c r="D87" s="412"/>
      <c r="E87" s="412"/>
      <c r="F87" s="412"/>
      <c r="G87" s="412"/>
      <c r="H87" s="412"/>
      <c r="I87" s="412"/>
      <c r="J87" s="412"/>
      <c r="K87" s="413"/>
    </row>
    <row r="88" spans="1:12" ht="15">
      <c r="A88" s="576" t="s">
        <v>445</v>
      </c>
      <c r="B88" s="576"/>
      <c r="C88" s="576"/>
      <c r="D88" s="576"/>
      <c r="E88" s="576"/>
      <c r="F88" s="576"/>
      <c r="G88" s="576"/>
      <c r="H88" s="576"/>
      <c r="I88" s="576"/>
      <c r="J88" s="576"/>
      <c r="K88" s="576"/>
    </row>
    <row r="89" spans="1:12">
      <c r="K89" s="404"/>
    </row>
    <row r="90" spans="1:12" ht="15">
      <c r="A90" s="595" t="s">
        <v>446</v>
      </c>
      <c r="B90" s="595"/>
      <c r="C90" s="595"/>
      <c r="D90" s="595"/>
      <c r="E90" s="595"/>
      <c r="F90" s="572">
        <v>0</v>
      </c>
      <c r="G90" s="572"/>
      <c r="H90" s="572"/>
      <c r="I90" s="572"/>
      <c r="J90" s="572"/>
      <c r="K90" s="573"/>
    </row>
    <row r="91" spans="1:12" ht="15">
      <c r="A91" s="596" t="s">
        <v>447</v>
      </c>
      <c r="B91" s="595"/>
      <c r="C91" s="595"/>
      <c r="D91" s="595"/>
      <c r="E91" s="595"/>
      <c r="F91" s="572">
        <v>2</v>
      </c>
      <c r="G91" s="572"/>
      <c r="H91" s="572"/>
      <c r="I91" s="572"/>
      <c r="J91" s="572"/>
      <c r="K91" s="573"/>
    </row>
    <row r="92" spans="1:12" ht="15">
      <c r="A92" s="595" t="s">
        <v>448</v>
      </c>
      <c r="B92" s="595"/>
      <c r="C92" s="595"/>
      <c r="D92" s="595"/>
      <c r="E92" s="595"/>
      <c r="F92" s="572">
        <f>F90+F91</f>
        <v>2</v>
      </c>
      <c r="G92" s="572"/>
      <c r="H92" s="572"/>
      <c r="I92" s="572"/>
      <c r="J92" s="572"/>
      <c r="K92" s="573"/>
    </row>
    <row r="93" spans="1:12" ht="15">
      <c r="A93" s="595" t="s">
        <v>449</v>
      </c>
      <c r="B93" s="595"/>
      <c r="C93" s="595"/>
      <c r="D93" s="595"/>
      <c r="E93" s="595"/>
      <c r="F93" s="572" t="s">
        <v>425</v>
      </c>
      <c r="G93" s="572"/>
      <c r="H93" s="572"/>
      <c r="I93" s="572"/>
      <c r="J93" s="572"/>
      <c r="K93" s="573"/>
    </row>
    <row r="94" spans="1:12">
      <c r="A94" s="412"/>
      <c r="B94" s="412"/>
      <c r="C94" s="412"/>
      <c r="D94" s="412"/>
      <c r="E94" s="412"/>
      <c r="F94" s="412"/>
      <c r="G94" s="412"/>
      <c r="H94" s="412"/>
      <c r="I94" s="412"/>
      <c r="J94" s="412"/>
      <c r="K94" s="413"/>
    </row>
    <row r="95" spans="1:12">
      <c r="A95" s="409"/>
      <c r="B95" s="409"/>
      <c r="C95" s="409"/>
      <c r="D95" s="409"/>
      <c r="E95" s="409"/>
      <c r="F95" s="414"/>
      <c r="G95" s="414"/>
      <c r="H95" s="414"/>
      <c r="I95" s="414"/>
      <c r="J95" s="414"/>
    </row>
    <row r="96" spans="1:12" ht="15">
      <c r="A96" s="576" t="s">
        <v>450</v>
      </c>
      <c r="B96" s="576"/>
      <c r="C96" s="576"/>
      <c r="D96" s="576"/>
      <c r="E96" s="576"/>
      <c r="F96" s="576"/>
      <c r="G96" s="576"/>
      <c r="H96" s="576"/>
      <c r="I96" s="576"/>
      <c r="J96" s="576"/>
      <c r="K96" s="576"/>
    </row>
    <row r="98" spans="1:9" ht="15">
      <c r="A98" s="450" t="s">
        <v>451</v>
      </c>
    </row>
    <row r="99" spans="1:9">
      <c r="A99" s="415" t="s">
        <v>452</v>
      </c>
      <c r="B99" s="415" t="s">
        <v>453</v>
      </c>
      <c r="C99" s="415" t="s">
        <v>454</v>
      </c>
      <c r="D99" s="415" t="s">
        <v>316</v>
      </c>
      <c r="E99" s="415" t="s">
        <v>317</v>
      </c>
      <c r="F99" s="416" t="s">
        <v>318</v>
      </c>
      <c r="G99" s="415" t="s">
        <v>319</v>
      </c>
      <c r="H99" s="415" t="s">
        <v>320</v>
      </c>
      <c r="I99" s="415" t="s">
        <v>321</v>
      </c>
    </row>
    <row r="100" spans="1:9">
      <c r="A100" s="403" t="s">
        <v>399</v>
      </c>
      <c r="B100" s="403">
        <v>3</v>
      </c>
      <c r="C100" s="403" t="s">
        <v>307</v>
      </c>
      <c r="D100" s="403" t="s">
        <v>309</v>
      </c>
      <c r="F100" s="418">
        <v>1258532.6100000001</v>
      </c>
      <c r="G100" s="418" t="s">
        <v>455</v>
      </c>
      <c r="H100" s="418"/>
      <c r="I100" s="418"/>
    </row>
    <row r="101" spans="1:9">
      <c r="A101" s="403" t="s">
        <v>401</v>
      </c>
      <c r="B101" s="403">
        <v>7</v>
      </c>
      <c r="C101" s="403" t="s">
        <v>307</v>
      </c>
      <c r="D101" s="403" t="s">
        <v>312</v>
      </c>
      <c r="F101" s="418">
        <v>279741.81</v>
      </c>
      <c r="G101" s="418"/>
      <c r="H101" s="418"/>
      <c r="I101" s="418" t="s">
        <v>456</v>
      </c>
    </row>
    <row r="102" spans="1:9">
      <c r="F102" s="417"/>
    </row>
    <row r="103" spans="1:9">
      <c r="A103" s="403" t="s">
        <v>457</v>
      </c>
      <c r="B103" s="403">
        <v>1</v>
      </c>
      <c r="C103" s="403" t="s">
        <v>458</v>
      </c>
      <c r="D103" s="403" t="s">
        <v>323</v>
      </c>
      <c r="F103" s="417">
        <v>2248623.86</v>
      </c>
      <c r="G103" s="403" t="s">
        <v>459</v>
      </c>
    </row>
    <row r="104" spans="1:9">
      <c r="A104" s="403" t="s">
        <v>460</v>
      </c>
      <c r="B104" s="403">
        <v>5</v>
      </c>
      <c r="C104" s="403" t="s">
        <v>458</v>
      </c>
      <c r="D104" s="403" t="s">
        <v>328</v>
      </c>
      <c r="F104" s="417">
        <v>1741906.74</v>
      </c>
      <c r="G104" s="403" t="s">
        <v>461</v>
      </c>
    </row>
    <row r="105" spans="1:9">
      <c r="F105" s="417"/>
    </row>
  </sheetData>
  <sheetProtection password="B52E" sheet="1" formatCells="0" formatColumns="0" formatRows="0" sort="0" autoFilter="0"/>
  <mergeCells count="144">
    <mergeCell ref="A92:E92"/>
    <mergeCell ref="F92:K92"/>
    <mergeCell ref="A93:E93"/>
    <mergeCell ref="F93:K93"/>
    <mergeCell ref="A96:K96"/>
    <mergeCell ref="A86:E86"/>
    <mergeCell ref="F86:K86"/>
    <mergeCell ref="A88:K88"/>
    <mergeCell ref="A90:E90"/>
    <mergeCell ref="F90:K90"/>
    <mergeCell ref="A91:E91"/>
    <mergeCell ref="F91:K91"/>
    <mergeCell ref="A83:E83"/>
    <mergeCell ref="F83:K83"/>
    <mergeCell ref="A84:E84"/>
    <mergeCell ref="F84:K84"/>
    <mergeCell ref="A85:E85"/>
    <mergeCell ref="F85:K85"/>
    <mergeCell ref="A80:E80"/>
    <mergeCell ref="F80:K80"/>
    <mergeCell ref="A81:E81"/>
    <mergeCell ref="F81:K81"/>
    <mergeCell ref="A82:E82"/>
    <mergeCell ref="F82:K82"/>
    <mergeCell ref="B68:E68"/>
    <mergeCell ref="F68:K68"/>
    <mergeCell ref="B69:E69"/>
    <mergeCell ref="F69:K69"/>
    <mergeCell ref="A77:K77"/>
    <mergeCell ref="A79:E79"/>
    <mergeCell ref="F79:K79"/>
    <mergeCell ref="B65:E65"/>
    <mergeCell ref="F65:K65"/>
    <mergeCell ref="B66:E66"/>
    <mergeCell ref="F66:K66"/>
    <mergeCell ref="B67:E67"/>
    <mergeCell ref="F67:K67"/>
    <mergeCell ref="B62:E62"/>
    <mergeCell ref="F62:K62"/>
    <mergeCell ref="B63:E63"/>
    <mergeCell ref="F63:K63"/>
    <mergeCell ref="B64:E64"/>
    <mergeCell ref="F64:K64"/>
    <mergeCell ref="B59:E59"/>
    <mergeCell ref="F59:K59"/>
    <mergeCell ref="B60:E60"/>
    <mergeCell ref="F60:K60"/>
    <mergeCell ref="B61:E61"/>
    <mergeCell ref="F61:K61"/>
    <mergeCell ref="B56:E56"/>
    <mergeCell ref="F56:K56"/>
    <mergeCell ref="B57:E57"/>
    <mergeCell ref="F57:K57"/>
    <mergeCell ref="B58:E58"/>
    <mergeCell ref="F58:K58"/>
    <mergeCell ref="A51:E51"/>
    <mergeCell ref="F51:K51"/>
    <mergeCell ref="A53:K53"/>
    <mergeCell ref="B54:E54"/>
    <mergeCell ref="F54:K54"/>
    <mergeCell ref="B55:E55"/>
    <mergeCell ref="F55:K55"/>
    <mergeCell ref="A46:E46"/>
    <mergeCell ref="F46:K46"/>
    <mergeCell ref="A47:E47"/>
    <mergeCell ref="A48:E48"/>
    <mergeCell ref="F48:K48"/>
    <mergeCell ref="A49:E49"/>
    <mergeCell ref="F49:K49"/>
    <mergeCell ref="A43:E43"/>
    <mergeCell ref="F43:K43"/>
    <mergeCell ref="A44:E44"/>
    <mergeCell ref="F44:K44"/>
    <mergeCell ref="A45:E45"/>
    <mergeCell ref="F45:K45"/>
    <mergeCell ref="A40:E40"/>
    <mergeCell ref="F40:K40"/>
    <mergeCell ref="A41:E41"/>
    <mergeCell ref="F41:K41"/>
    <mergeCell ref="A42:E42"/>
    <mergeCell ref="F42:K42"/>
    <mergeCell ref="A35:K35"/>
    <mergeCell ref="A37:E37"/>
    <mergeCell ref="A38:E38"/>
    <mergeCell ref="F38:K38"/>
    <mergeCell ref="A39:E39"/>
    <mergeCell ref="F39:K39"/>
    <mergeCell ref="A30:K30"/>
    <mergeCell ref="A31:E31"/>
    <mergeCell ref="F31:K31"/>
    <mergeCell ref="A32:E32"/>
    <mergeCell ref="F32:K32"/>
    <mergeCell ref="A33:E33"/>
    <mergeCell ref="F33:K33"/>
    <mergeCell ref="A28:D28"/>
    <mergeCell ref="E28:G28"/>
    <mergeCell ref="H28:K28"/>
    <mergeCell ref="A29:D29"/>
    <mergeCell ref="E29:F29"/>
    <mergeCell ref="H29:K29"/>
    <mergeCell ref="A22:E22"/>
    <mergeCell ref="F22:K22"/>
    <mergeCell ref="A24:K24"/>
    <mergeCell ref="A26:K26"/>
    <mergeCell ref="A27:D27"/>
    <mergeCell ref="E27:F27"/>
    <mergeCell ref="H27:K27"/>
    <mergeCell ref="A19:E19"/>
    <mergeCell ref="F19:K19"/>
    <mergeCell ref="A20:E20"/>
    <mergeCell ref="F20:K20"/>
    <mergeCell ref="A21:E21"/>
    <mergeCell ref="F21:K21"/>
    <mergeCell ref="A16:E16"/>
    <mergeCell ref="F16:K16"/>
    <mergeCell ref="A17:E17"/>
    <mergeCell ref="F17:K17"/>
    <mergeCell ref="A18:E18"/>
    <mergeCell ref="F18:K18"/>
    <mergeCell ref="A13:E13"/>
    <mergeCell ref="F13:K13"/>
    <mergeCell ref="A14:E14"/>
    <mergeCell ref="F14:K14"/>
    <mergeCell ref="A15:E15"/>
    <mergeCell ref="F15:K15"/>
    <mergeCell ref="A12:E12"/>
    <mergeCell ref="F12:K12"/>
    <mergeCell ref="A4:C4"/>
    <mergeCell ref="D4:K4"/>
    <mergeCell ref="A6:K6"/>
    <mergeCell ref="A8:E8"/>
    <mergeCell ref="F8:K8"/>
    <mergeCell ref="A9:E9"/>
    <mergeCell ref="F9:K9"/>
    <mergeCell ref="B1:F1"/>
    <mergeCell ref="G1:K1"/>
    <mergeCell ref="A2:C2"/>
    <mergeCell ref="D2:K2"/>
    <mergeCell ref="A3:C3"/>
    <mergeCell ref="D3:K3"/>
    <mergeCell ref="A10:E10"/>
    <mergeCell ref="F10:K10"/>
    <mergeCell ref="A11:E11"/>
    <mergeCell ref="F11:K11"/>
  </mergeCells>
  <phoneticPr fontId="77" type="noConversion"/>
  <pageMargins left="0.7" right="0.7" top="0.75" bottom="0.75" header="0.3" footer="0.3"/>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E7706-57B4-46DE-8CA1-3926DD5B1F3F}">
  <dimension ref="A1:CV87"/>
  <sheetViews>
    <sheetView showGridLines="0" topLeftCell="A16" zoomScale="85" zoomScaleNormal="85" workbookViewId="0">
      <selection activeCell="B20" sqref="B20:F23"/>
    </sheetView>
  </sheetViews>
  <sheetFormatPr defaultColWidth="8.7109375" defaultRowHeight="12.75" customHeight="1"/>
  <cols>
    <col min="1" max="1" width="2.5703125" style="1" customWidth="1"/>
    <col min="2" max="2" width="21.140625" style="2" customWidth="1"/>
    <col min="3" max="3" width="15.140625" style="2" customWidth="1"/>
    <col min="4" max="4" width="23.85546875" style="2" customWidth="1"/>
    <col min="5" max="5" width="23.140625" style="2" customWidth="1"/>
    <col min="6" max="6" width="27" style="2" customWidth="1"/>
    <col min="7" max="7" width="22.140625" style="2" customWidth="1"/>
    <col min="8" max="8" width="20.140625" style="2" customWidth="1"/>
    <col min="9" max="9" width="24.42578125" style="2" customWidth="1"/>
    <col min="10" max="10" width="19.85546875" style="2" customWidth="1"/>
    <col min="11" max="11" width="34.85546875" style="2" customWidth="1"/>
    <col min="12" max="12" width="20.28515625" style="2" customWidth="1"/>
    <col min="13" max="13" width="12.140625" style="2" customWidth="1"/>
    <col min="14" max="14" width="11.5703125" style="2" customWidth="1"/>
    <col min="15" max="16" width="11.140625" style="2" customWidth="1"/>
    <col min="17" max="17" width="2.5703125" style="2" customWidth="1"/>
    <col min="18" max="18" width="1.5703125" style="2" customWidth="1"/>
    <col min="19" max="19" width="26.7109375" style="3" customWidth="1"/>
    <col min="20" max="20" width="12" style="2" customWidth="1"/>
    <col min="21" max="23" width="11.140625" style="2" customWidth="1"/>
    <col min="24" max="28" width="12" style="2" customWidth="1"/>
    <col min="29" max="38" width="12.7109375" style="2" customWidth="1"/>
    <col min="39" max="16384" width="8.7109375" style="2"/>
  </cols>
  <sheetData>
    <row r="1" spans="1:100" s="65" customFormat="1" ht="50.1" customHeight="1">
      <c r="B1" s="364" t="s">
        <v>244</v>
      </c>
      <c r="C1" s="364"/>
      <c r="D1" s="376"/>
      <c r="E1" s="376"/>
      <c r="F1" s="376"/>
      <c r="G1" s="376"/>
      <c r="H1" s="376"/>
      <c r="I1" s="376"/>
      <c r="J1" s="376"/>
      <c r="K1" s="377"/>
      <c r="L1" s="378"/>
      <c r="M1" s="377"/>
      <c r="N1" s="377"/>
      <c r="O1" s="377"/>
      <c r="P1" s="437"/>
      <c r="Q1" s="3"/>
      <c r="R1" s="78"/>
    </row>
    <row r="2" spans="1:100" s="66" customFormat="1" ht="30" customHeight="1">
      <c r="A2" s="77"/>
      <c r="B2" s="349" t="s">
        <v>462</v>
      </c>
      <c r="C2" s="261"/>
      <c r="D2" s="262"/>
      <c r="E2" s="262"/>
      <c r="F2" s="262"/>
      <c r="G2" s="262"/>
      <c r="H2" s="262"/>
      <c r="I2" s="262"/>
      <c r="J2" s="262"/>
      <c r="K2" s="262"/>
      <c r="L2" s="262"/>
      <c r="M2" s="262"/>
      <c r="N2" s="262"/>
      <c r="O2" s="352"/>
      <c r="P2" s="438"/>
      <c r="Q2" s="3"/>
      <c r="R2" s="78"/>
      <c r="S2" s="68"/>
      <c r="BT2" s="67"/>
      <c r="BU2" s="68"/>
      <c r="BV2" s="68"/>
      <c r="BW2" s="69"/>
      <c r="BX2" s="70"/>
      <c r="BY2" s="70"/>
      <c r="BZ2" s="70"/>
      <c r="CA2" s="70"/>
      <c r="CB2" s="70"/>
      <c r="CC2" s="70"/>
      <c r="CD2" s="70"/>
      <c r="CE2" s="68"/>
      <c r="CF2" s="70"/>
      <c r="CG2" s="70"/>
      <c r="CH2" s="70"/>
      <c r="CI2" s="70"/>
      <c r="CJ2" s="70"/>
      <c r="CK2" s="70"/>
      <c r="CL2" s="68"/>
      <c r="CM2" s="71"/>
      <c r="CN2" s="72"/>
      <c r="CO2" s="73"/>
      <c r="CP2" s="73"/>
      <c r="CQ2" s="68"/>
      <c r="CR2" s="70"/>
      <c r="CS2" s="74"/>
      <c r="CT2" s="75"/>
      <c r="CU2" s="70"/>
      <c r="CV2" s="76"/>
    </row>
    <row r="3" spans="1:100" s="170" customFormat="1" ht="15" customHeight="1">
      <c r="A3" s="168"/>
      <c r="B3" s="169"/>
      <c r="C3" s="169"/>
      <c r="D3" s="152"/>
      <c r="E3" s="152"/>
      <c r="F3" s="152"/>
      <c r="G3" s="169"/>
      <c r="H3" s="169"/>
      <c r="I3" s="169"/>
      <c r="J3" s="169"/>
      <c r="K3" s="169"/>
      <c r="L3" s="169"/>
      <c r="N3" s="172"/>
      <c r="O3" s="172"/>
      <c r="P3" s="172"/>
      <c r="Q3" s="3"/>
      <c r="R3" s="78"/>
      <c r="S3" s="173"/>
      <c r="T3" s="173"/>
      <c r="U3" s="173"/>
      <c r="V3" s="173"/>
      <c r="Y3" s="168"/>
      <c r="Z3" s="173"/>
    </row>
    <row r="4" spans="1:100" s="170" customFormat="1" ht="15" customHeight="1">
      <c r="A4" s="168"/>
      <c r="B4" s="113" t="s">
        <v>163</v>
      </c>
      <c r="C4" s="169"/>
      <c r="D4" s="152"/>
      <c r="E4" s="152"/>
      <c r="F4" s="152"/>
      <c r="G4" s="169"/>
      <c r="H4" s="169"/>
      <c r="I4" s="169"/>
      <c r="J4" s="169"/>
      <c r="K4" s="169"/>
      <c r="L4" s="169"/>
      <c r="N4" s="172"/>
      <c r="O4" s="172"/>
      <c r="P4" s="172"/>
      <c r="Q4" s="3"/>
      <c r="R4" s="78"/>
      <c r="S4" s="173"/>
      <c r="T4" s="173"/>
      <c r="U4" s="173"/>
      <c r="V4" s="173"/>
      <c r="Y4" s="168"/>
      <c r="Z4" s="173"/>
    </row>
    <row r="5" spans="1:100" s="170" customFormat="1" ht="15" customHeight="1">
      <c r="A5" s="168"/>
      <c r="B5" s="169"/>
      <c r="C5" s="169"/>
      <c r="D5" s="152"/>
      <c r="E5" s="152"/>
      <c r="F5" s="152"/>
      <c r="G5" s="169"/>
      <c r="H5" s="169"/>
      <c r="I5" s="169"/>
      <c r="J5" s="169"/>
      <c r="K5" s="169"/>
      <c r="L5" s="169"/>
      <c r="N5" s="172"/>
      <c r="O5" s="172"/>
      <c r="P5" s="172"/>
      <c r="Q5" s="3"/>
      <c r="R5" s="78"/>
      <c r="S5" s="173"/>
      <c r="T5" s="173"/>
      <c r="U5" s="173"/>
      <c r="V5" s="173"/>
      <c r="Y5" s="168"/>
      <c r="Z5" s="173"/>
    </row>
    <row r="6" spans="1:100" s="170" customFormat="1" ht="15" customHeight="1">
      <c r="A6" s="168"/>
      <c r="B6" s="222" t="s">
        <v>279</v>
      </c>
      <c r="C6" s="169"/>
      <c r="D6" s="152"/>
      <c r="E6" s="152"/>
      <c r="F6" s="152"/>
      <c r="G6" s="169"/>
      <c r="H6" s="169"/>
      <c r="I6" s="169"/>
      <c r="J6" s="169"/>
      <c r="K6" s="169"/>
      <c r="L6" s="169"/>
      <c r="N6" s="172"/>
      <c r="O6" s="172"/>
      <c r="P6" s="172"/>
      <c r="Q6" s="3"/>
      <c r="R6" s="78"/>
      <c r="S6" s="173"/>
      <c r="T6" s="173"/>
      <c r="U6" s="173"/>
      <c r="V6" s="173"/>
      <c r="Y6" s="168"/>
      <c r="Z6" s="173"/>
    </row>
    <row r="7" spans="1:100" s="152" customFormat="1" ht="14.25">
      <c r="B7" s="600" t="s">
        <v>463</v>
      </c>
      <c r="C7" s="600"/>
      <c r="D7" s="600"/>
      <c r="E7" s="600"/>
      <c r="F7" s="600"/>
      <c r="G7" s="237"/>
      <c r="H7" s="237"/>
      <c r="I7" s="237"/>
      <c r="J7" s="237"/>
      <c r="K7" s="237"/>
      <c r="L7" s="237"/>
      <c r="M7" s="188"/>
      <c r="N7" s="188"/>
      <c r="R7" s="78"/>
    </row>
    <row r="8" spans="1:100" s="152" customFormat="1" ht="14.25">
      <c r="B8" s="600"/>
      <c r="C8" s="600"/>
      <c r="D8" s="600"/>
      <c r="E8" s="600"/>
      <c r="F8" s="600"/>
      <c r="G8" s="237"/>
      <c r="H8" s="237"/>
      <c r="I8" s="237"/>
      <c r="J8" s="237"/>
      <c r="K8" s="237"/>
      <c r="L8" s="237"/>
      <c r="M8" s="188"/>
      <c r="N8" s="188"/>
      <c r="R8" s="78"/>
    </row>
    <row r="9" spans="1:100" s="152" customFormat="1" ht="14.25">
      <c r="B9" s="600"/>
      <c r="C9" s="600"/>
      <c r="D9" s="600"/>
      <c r="E9" s="600"/>
      <c r="F9" s="600"/>
      <c r="G9" s="237"/>
      <c r="H9" s="237"/>
      <c r="I9" s="237"/>
      <c r="J9" s="237"/>
      <c r="K9" s="237"/>
      <c r="L9" s="237"/>
      <c r="M9" s="188"/>
      <c r="N9" s="188"/>
      <c r="R9" s="78"/>
    </row>
    <row r="10" spans="1:100" s="152" customFormat="1" ht="14.25">
      <c r="B10" s="600"/>
      <c r="C10" s="600"/>
      <c r="D10" s="600"/>
      <c r="E10" s="600"/>
      <c r="F10" s="600"/>
      <c r="G10" s="237"/>
      <c r="H10" s="237"/>
      <c r="I10" s="237"/>
      <c r="J10" s="237"/>
      <c r="K10" s="237"/>
      <c r="L10" s="237"/>
      <c r="M10" s="188"/>
      <c r="N10" s="188"/>
      <c r="R10" s="78"/>
    </row>
    <row r="11" spans="1:100" s="152" customFormat="1" ht="14.25">
      <c r="R11" s="78"/>
    </row>
    <row r="12" spans="1:100" s="152" customFormat="1" ht="16.5">
      <c r="B12" s="187" t="s">
        <v>464</v>
      </c>
      <c r="D12" s="184">
        <f>'CIP List'!F14</f>
        <v>7458544.5500000007</v>
      </c>
      <c r="E12" s="189" t="s">
        <v>465</v>
      </c>
      <c r="F12" s="3"/>
      <c r="G12" s="3"/>
      <c r="R12" s="78"/>
    </row>
    <row r="13" spans="1:100" s="152" customFormat="1" ht="16.5">
      <c r="B13" s="96" t="s">
        <v>466</v>
      </c>
      <c r="C13" s="190"/>
      <c r="D13" s="330">
        <f>'J.01 Agree SL to GL'!E15+'J.01 Agree SL to GL'!E16</f>
        <v>7458544.5500000007</v>
      </c>
      <c r="E13" s="16" t="s">
        <v>284</v>
      </c>
      <c r="F13" s="3"/>
      <c r="G13" s="3"/>
      <c r="R13" s="78"/>
    </row>
    <row r="14" spans="1:100" s="152" customFormat="1" ht="16.5">
      <c r="B14" s="379" t="s">
        <v>285</v>
      </c>
      <c r="D14" s="332">
        <f>D12-D13</f>
        <v>0</v>
      </c>
      <c r="E14" s="16" t="s">
        <v>190</v>
      </c>
      <c r="G14" s="3" t="s">
        <v>286</v>
      </c>
      <c r="H14" s="249" t="str">
        <f>IF(ABS($D$14)&gt;'J.00  Lead Sheet'!$C$6, "Yes", "No")</f>
        <v>No</v>
      </c>
      <c r="R14" s="78"/>
    </row>
    <row r="15" spans="1:100" s="152" customFormat="1" ht="14.25">
      <c r="D15" s="333"/>
      <c r="E15" s="3"/>
      <c r="F15" s="3"/>
      <c r="G15" s="3"/>
      <c r="R15" s="78"/>
    </row>
    <row r="16" spans="1:100" s="152" customFormat="1" ht="16.5">
      <c r="B16" s="216" t="s">
        <v>287</v>
      </c>
      <c r="C16" s="190"/>
      <c r="D16" s="330">
        <v>0</v>
      </c>
      <c r="E16" s="97"/>
      <c r="F16" s="3"/>
      <c r="G16" s="3"/>
      <c r="R16" s="78"/>
    </row>
    <row r="17" spans="1:23" s="152" customFormat="1" ht="16.5">
      <c r="B17" s="379" t="s">
        <v>288</v>
      </c>
      <c r="D17" s="331">
        <f>D13-D16</f>
        <v>7458544.5500000007</v>
      </c>
      <c r="E17" s="98"/>
      <c r="F17" s="3"/>
      <c r="G17" s="3"/>
      <c r="R17" s="78"/>
    </row>
    <row r="18" spans="1:23" s="152" customFormat="1" ht="14.25">
      <c r="R18" s="78"/>
    </row>
    <row r="19" spans="1:23" s="171" customFormat="1" ht="16.5">
      <c r="A19" s="174"/>
      <c r="B19" s="419" t="s">
        <v>467</v>
      </c>
      <c r="C19" s="169"/>
      <c r="K19" s="176"/>
      <c r="R19" s="78"/>
    </row>
    <row r="20" spans="1:23" s="179" customFormat="1">
      <c r="A20" s="168"/>
      <c r="B20" s="601" t="s">
        <v>558</v>
      </c>
      <c r="C20" s="602"/>
      <c r="D20" s="602"/>
      <c r="E20" s="602"/>
      <c r="F20" s="603"/>
      <c r="G20" s="237"/>
      <c r="H20" s="237"/>
      <c r="I20" s="237"/>
      <c r="J20" s="237"/>
      <c r="K20" s="237"/>
      <c r="L20" s="237"/>
      <c r="M20" s="192"/>
      <c r="N20" s="193"/>
      <c r="O20" s="194"/>
      <c r="P20" s="194"/>
      <c r="Q20" s="195"/>
      <c r="R20" s="78"/>
      <c r="S20" s="196"/>
      <c r="V20" s="13"/>
      <c r="W20" s="197"/>
    </row>
    <row r="21" spans="1:23" s="179" customFormat="1">
      <c r="A21" s="168"/>
      <c r="B21" s="604"/>
      <c r="C21" s="605"/>
      <c r="D21" s="605"/>
      <c r="E21" s="605"/>
      <c r="F21" s="606"/>
      <c r="G21" s="237"/>
      <c r="H21" s="237"/>
      <c r="I21" s="237"/>
      <c r="J21" s="237"/>
      <c r="K21" s="237"/>
      <c r="L21" s="237"/>
      <c r="M21" s="192"/>
      <c r="N21" s="193"/>
      <c r="O21" s="194"/>
      <c r="P21" s="194"/>
      <c r="Q21" s="195"/>
      <c r="R21" s="78"/>
      <c r="S21" s="196"/>
      <c r="V21" s="13"/>
      <c r="W21" s="197"/>
    </row>
    <row r="22" spans="1:23" s="179" customFormat="1">
      <c r="A22" s="168"/>
      <c r="B22" s="604"/>
      <c r="C22" s="605"/>
      <c r="D22" s="605"/>
      <c r="E22" s="605"/>
      <c r="F22" s="606"/>
      <c r="G22" s="237"/>
      <c r="H22" s="237"/>
      <c r="I22" s="237"/>
      <c r="J22" s="237"/>
      <c r="K22" s="237"/>
      <c r="L22" s="237"/>
      <c r="M22" s="192"/>
      <c r="N22" s="193"/>
      <c r="O22" s="194"/>
      <c r="P22" s="194"/>
      <c r="Q22" s="195"/>
      <c r="R22" s="78"/>
      <c r="S22" s="196"/>
      <c r="V22" s="13"/>
      <c r="W22" s="197"/>
    </row>
    <row r="23" spans="1:23" s="179" customFormat="1" ht="60.75" customHeight="1">
      <c r="A23" s="168"/>
      <c r="B23" s="607"/>
      <c r="C23" s="608"/>
      <c r="D23" s="608"/>
      <c r="E23" s="608"/>
      <c r="F23" s="609"/>
      <c r="G23" s="237"/>
      <c r="H23" s="237"/>
      <c r="I23" s="237"/>
      <c r="J23" s="237"/>
      <c r="K23" s="237"/>
      <c r="L23" s="237"/>
      <c r="M23" s="192"/>
      <c r="N23" s="193"/>
      <c r="O23" s="194"/>
      <c r="P23" s="194"/>
      <c r="Q23" s="195"/>
      <c r="R23" s="78"/>
      <c r="S23" s="196"/>
      <c r="V23" s="13"/>
      <c r="W23" s="197"/>
    </row>
    <row r="24" spans="1:23" s="179" customFormat="1" ht="14.25">
      <c r="A24" s="168"/>
      <c r="B24" s="237"/>
      <c r="C24" s="237"/>
      <c r="D24" s="237"/>
      <c r="E24" s="237"/>
      <c r="F24" s="237"/>
      <c r="G24" s="152"/>
      <c r="H24" s="152"/>
      <c r="I24" s="152"/>
      <c r="J24" s="152"/>
      <c r="K24" s="192"/>
      <c r="L24" s="237"/>
      <c r="M24" s="192"/>
      <c r="N24" s="193"/>
      <c r="O24" s="194"/>
      <c r="P24" s="194"/>
      <c r="Q24" s="195"/>
      <c r="R24" s="78"/>
      <c r="S24" s="196"/>
      <c r="V24" s="13"/>
      <c r="W24" s="197"/>
    </row>
    <row r="25" spans="1:23" ht="16.5">
      <c r="B25" s="353" t="s">
        <v>468</v>
      </c>
      <c r="C25" s="267"/>
      <c r="D25" s="267"/>
      <c r="E25" s="267"/>
      <c r="F25" s="354"/>
      <c r="G25" s="152"/>
      <c r="H25" s="152"/>
      <c r="I25" s="152"/>
      <c r="J25" s="152"/>
      <c r="K25" s="192"/>
      <c r="L25" s="192"/>
      <c r="M25" s="192"/>
      <c r="N25" s="156"/>
      <c r="Q25" s="3"/>
      <c r="R25" s="78"/>
    </row>
    <row r="26" spans="1:23" s="3" customFormat="1" ht="16.5">
      <c r="A26" s="1"/>
      <c r="B26" s="381" t="s">
        <v>469</v>
      </c>
      <c r="C26" s="382"/>
      <c r="D26" s="382"/>
      <c r="E26" s="382"/>
      <c r="F26" s="383"/>
      <c r="G26" s="152"/>
      <c r="H26" s="152"/>
      <c r="I26" s="152"/>
      <c r="J26" s="152"/>
      <c r="K26" s="192"/>
      <c r="L26" s="192"/>
      <c r="M26" s="192"/>
      <c r="N26" s="198"/>
      <c r="R26" s="78"/>
    </row>
    <row r="27" spans="1:23" ht="16.5">
      <c r="B27" s="199" t="s">
        <v>470</v>
      </c>
      <c r="C27" s="200"/>
      <c r="D27" s="200"/>
      <c r="E27" s="200"/>
      <c r="F27" s="201"/>
      <c r="G27" s="152"/>
      <c r="H27" s="152"/>
      <c r="I27" s="152"/>
      <c r="J27" s="152"/>
      <c r="K27" s="192"/>
      <c r="L27" s="192"/>
      <c r="M27" s="192"/>
      <c r="N27" s="202"/>
      <c r="Q27" s="3"/>
      <c r="R27" s="78"/>
    </row>
    <row r="28" spans="1:23" ht="16.5">
      <c r="B28" s="199" t="s">
        <v>471</v>
      </c>
      <c r="C28" s="200"/>
      <c r="D28" s="200"/>
      <c r="E28" s="200"/>
      <c r="F28" s="201"/>
      <c r="G28" s="152"/>
      <c r="H28" s="152"/>
      <c r="I28" s="152"/>
      <c r="J28" s="152"/>
      <c r="K28" s="192"/>
      <c r="L28" s="192"/>
      <c r="M28" s="192"/>
      <c r="N28" s="202"/>
      <c r="Q28" s="3"/>
      <c r="R28" s="78"/>
    </row>
    <row r="29" spans="1:23" ht="17.25" customHeight="1">
      <c r="B29" s="203" t="s">
        <v>472</v>
      </c>
      <c r="C29" s="204"/>
      <c r="D29" s="204"/>
      <c r="E29" s="204"/>
      <c r="F29" s="205"/>
      <c r="G29" s="152"/>
      <c r="H29" s="152"/>
      <c r="I29" s="152"/>
      <c r="J29" s="152"/>
      <c r="K29" s="192"/>
      <c r="L29" s="192"/>
      <c r="M29" s="192"/>
      <c r="N29" s="206"/>
      <c r="Q29" s="3"/>
      <c r="R29" s="78"/>
    </row>
    <row r="30" spans="1:23">
      <c r="Q30" s="3"/>
      <c r="R30" s="78"/>
    </row>
    <row r="31" spans="1:23" s="3" customFormat="1" ht="15" customHeight="1">
      <c r="L31" s="14" t="s">
        <v>295</v>
      </c>
      <c r="M31" s="597" t="s">
        <v>296</v>
      </c>
      <c r="N31" s="598"/>
      <c r="O31" s="599"/>
      <c r="P31" s="2"/>
      <c r="R31" s="78"/>
      <c r="S31" s="152"/>
    </row>
    <row r="32" spans="1:23" s="100" customFormat="1" ht="60" customHeight="1">
      <c r="A32" s="3"/>
      <c r="B32" s="263" t="s">
        <v>297</v>
      </c>
      <c r="C32" s="307" t="s">
        <v>298</v>
      </c>
      <c r="D32" s="263" t="s">
        <v>300</v>
      </c>
      <c r="E32" s="263" t="s">
        <v>473</v>
      </c>
      <c r="F32" s="263" t="s">
        <v>474</v>
      </c>
      <c r="G32" s="355" t="s">
        <v>475</v>
      </c>
      <c r="H32" s="263" t="s">
        <v>476</v>
      </c>
      <c r="I32" s="263" t="s">
        <v>477</v>
      </c>
      <c r="J32" s="263" t="s">
        <v>478</v>
      </c>
      <c r="K32" s="263" t="s">
        <v>479</v>
      </c>
      <c r="L32" s="263" t="s">
        <v>480</v>
      </c>
      <c r="M32" s="439">
        <v>1</v>
      </c>
      <c r="N32" s="440">
        <v>2</v>
      </c>
      <c r="O32" s="440">
        <v>3</v>
      </c>
      <c r="P32" s="263" t="s">
        <v>227</v>
      </c>
      <c r="R32" s="78"/>
      <c r="S32" s="152"/>
    </row>
    <row r="33" spans="2:20" s="3" customFormat="1" ht="31.5" customHeight="1">
      <c r="B33" s="264">
        <v>1</v>
      </c>
      <c r="C33" s="264" t="s">
        <v>307</v>
      </c>
      <c r="D33" s="264" t="s">
        <v>236</v>
      </c>
      <c r="E33" s="207" t="s">
        <v>326</v>
      </c>
      <c r="F33" s="334">
        <v>1755498.38</v>
      </c>
      <c r="G33" s="334">
        <v>1755498.38</v>
      </c>
      <c r="H33" s="335">
        <v>45982</v>
      </c>
      <c r="I33" s="208">
        <v>120</v>
      </c>
      <c r="J33" s="298" t="s">
        <v>481</v>
      </c>
      <c r="K33" s="268" t="s">
        <v>568</v>
      </c>
      <c r="L33" s="265">
        <f>G33-F33</f>
        <v>0</v>
      </c>
      <c r="M33" s="299" t="s">
        <v>311</v>
      </c>
      <c r="N33" s="299" t="s">
        <v>311</v>
      </c>
      <c r="O33" s="299" t="s">
        <v>311</v>
      </c>
      <c r="P33" s="265" t="s">
        <v>482</v>
      </c>
      <c r="R33" s="78"/>
      <c r="S33" s="152"/>
    </row>
    <row r="34" spans="2:20" s="3" customFormat="1" ht="38.25">
      <c r="B34" s="264">
        <v>2</v>
      </c>
      <c r="C34" s="264" t="s">
        <v>307</v>
      </c>
      <c r="D34" s="264" t="s">
        <v>236</v>
      </c>
      <c r="E34" s="207" t="s">
        <v>329</v>
      </c>
      <c r="F34" s="334">
        <v>346802.47</v>
      </c>
      <c r="G34" s="334">
        <v>346802.47</v>
      </c>
      <c r="H34" s="335">
        <v>45853</v>
      </c>
      <c r="I34" s="209">
        <v>120</v>
      </c>
      <c r="J34" s="298" t="s">
        <v>481</v>
      </c>
      <c r="K34" s="268" t="s">
        <v>567</v>
      </c>
      <c r="L34" s="265">
        <f>G34-F34</f>
        <v>0</v>
      </c>
      <c r="M34" s="299" t="s">
        <v>311</v>
      </c>
      <c r="N34" s="299" t="s">
        <v>311</v>
      </c>
      <c r="O34" s="299" t="s">
        <v>311</v>
      </c>
      <c r="P34" s="265" t="s">
        <v>483</v>
      </c>
      <c r="R34" s="78"/>
      <c r="S34" s="152"/>
    </row>
    <row r="35" spans="2:20" ht="12.75" customHeight="1">
      <c r="Q35" s="3"/>
      <c r="R35" s="78"/>
    </row>
    <row r="36" spans="2:20" ht="18.75" customHeight="1">
      <c r="B36" s="539" t="s">
        <v>484</v>
      </c>
      <c r="C36" s="620"/>
      <c r="D36" s="620"/>
      <c r="E36" s="620"/>
      <c r="F36" s="620"/>
      <c r="G36" s="620"/>
      <c r="H36" s="620"/>
      <c r="I36" s="620"/>
      <c r="J36" s="620"/>
      <c r="K36" s="620"/>
      <c r="Q36" s="3"/>
      <c r="R36" s="78"/>
    </row>
    <row r="37" spans="2:20" ht="12.75" customHeight="1">
      <c r="B37" s="613" t="s">
        <v>569</v>
      </c>
      <c r="C37" s="613"/>
      <c r="D37" s="613"/>
      <c r="E37" s="613"/>
      <c r="F37" s="613"/>
      <c r="G37" s="613"/>
      <c r="Q37" s="3"/>
      <c r="R37" s="78"/>
    </row>
    <row r="38" spans="2:20" ht="12.75" customHeight="1">
      <c r="B38" s="613"/>
      <c r="C38" s="613"/>
      <c r="D38" s="613"/>
      <c r="E38" s="613"/>
      <c r="F38" s="613"/>
      <c r="G38" s="613"/>
      <c r="I38" s="142"/>
      <c r="Q38" s="3"/>
      <c r="R38" s="78"/>
    </row>
    <row r="39" spans="2:20" ht="12.75" customHeight="1">
      <c r="B39" s="613"/>
      <c r="C39" s="613"/>
      <c r="D39" s="613"/>
      <c r="E39" s="613"/>
      <c r="F39" s="613"/>
      <c r="G39" s="613"/>
      <c r="I39" s="142"/>
      <c r="Q39" s="3"/>
      <c r="R39" s="78"/>
    </row>
    <row r="40" spans="2:20">
      <c r="B40" s="613"/>
      <c r="C40" s="613"/>
      <c r="D40" s="613"/>
      <c r="E40" s="613"/>
      <c r="F40" s="613"/>
      <c r="G40" s="613"/>
      <c r="Q40" s="3"/>
      <c r="R40" s="78"/>
    </row>
    <row r="41" spans="2:20" ht="21" customHeight="1">
      <c r="B41" s="454" t="s">
        <v>555</v>
      </c>
      <c r="C41" s="454"/>
      <c r="D41" s="454"/>
      <c r="E41" s="454"/>
      <c r="F41" s="454"/>
      <c r="G41" s="454"/>
      <c r="Q41" s="3"/>
      <c r="R41" s="78"/>
    </row>
    <row r="42" spans="2:20" ht="21" customHeight="1">
      <c r="B42" s="456" t="s">
        <v>561</v>
      </c>
      <c r="C42" s="456" t="s">
        <v>537</v>
      </c>
      <c r="D42" s="456" t="s">
        <v>538</v>
      </c>
      <c r="E42" s="456" t="s">
        <v>539</v>
      </c>
      <c r="F42" s="456" t="s">
        <v>540</v>
      </c>
      <c r="G42" s="457" t="s">
        <v>541</v>
      </c>
      <c r="H42" s="458" t="s">
        <v>542</v>
      </c>
      <c r="I42" s="458" t="s">
        <v>556</v>
      </c>
      <c r="J42" s="458" t="s">
        <v>557</v>
      </c>
      <c r="R42" s="3"/>
      <c r="S42" s="78"/>
      <c r="T42" s="3"/>
    </row>
    <row r="43" spans="2:20" ht="21" customHeight="1">
      <c r="B43" s="456" t="s">
        <v>324</v>
      </c>
      <c r="C43" s="459" t="s">
        <v>543</v>
      </c>
      <c r="D43" s="460" t="s">
        <v>544</v>
      </c>
      <c r="E43" s="461">
        <v>45923</v>
      </c>
      <c r="F43" s="460">
        <v>120</v>
      </c>
      <c r="G43" s="462">
        <v>0.05</v>
      </c>
      <c r="H43" s="463">
        <v>107180.49</v>
      </c>
      <c r="I43" s="463">
        <f>H43*(1-G43)/F43</f>
        <v>848.51221250000003</v>
      </c>
      <c r="J43" s="463">
        <f>I43*2</f>
        <v>1697.0244250000001</v>
      </c>
      <c r="R43" s="3"/>
      <c r="S43" s="78"/>
      <c r="T43" s="3"/>
    </row>
    <row r="44" spans="2:20" ht="21" customHeight="1">
      <c r="B44" s="456" t="s">
        <v>324</v>
      </c>
      <c r="C44" s="464" t="s">
        <v>545</v>
      </c>
      <c r="D44" s="465" t="s">
        <v>546</v>
      </c>
      <c r="E44" s="466">
        <v>45950</v>
      </c>
      <c r="F44" s="465">
        <v>120</v>
      </c>
      <c r="G44" s="467">
        <v>0.05</v>
      </c>
      <c r="H44" s="468">
        <v>1741906.74</v>
      </c>
      <c r="I44" s="463">
        <f t="shared" ref="I44:I48" si="0">H44*(1-G44)/F44</f>
        <v>13790.095024999999</v>
      </c>
      <c r="J44" s="463">
        <f t="shared" ref="J44:J50" si="1">I44*2</f>
        <v>27580.190049999997</v>
      </c>
      <c r="R44" s="3"/>
      <c r="S44" s="78"/>
      <c r="T44" s="3"/>
    </row>
    <row r="45" spans="2:20" ht="21" customHeight="1">
      <c r="B45" s="456" t="s">
        <v>324</v>
      </c>
      <c r="C45" s="464" t="s">
        <v>547</v>
      </c>
      <c r="D45" s="465" t="s">
        <v>548</v>
      </c>
      <c r="E45" s="466">
        <v>45959</v>
      </c>
      <c r="F45" s="465">
        <v>120</v>
      </c>
      <c r="G45" s="467">
        <v>0.05</v>
      </c>
      <c r="H45" s="468">
        <v>1241895.44</v>
      </c>
      <c r="I45" s="463">
        <f t="shared" si="0"/>
        <v>9831.6722333333328</v>
      </c>
      <c r="J45" s="463">
        <f t="shared" si="1"/>
        <v>19663.344466666666</v>
      </c>
      <c r="R45" s="3"/>
      <c r="S45" s="78"/>
      <c r="T45" s="3"/>
    </row>
    <row r="46" spans="2:20" ht="21" customHeight="1">
      <c r="B46" s="456" t="s">
        <v>324</v>
      </c>
      <c r="C46" s="464" t="s">
        <v>549</v>
      </c>
      <c r="D46" s="465" t="s">
        <v>550</v>
      </c>
      <c r="E46" s="466">
        <v>45982</v>
      </c>
      <c r="F46" s="465">
        <v>120</v>
      </c>
      <c r="G46" s="467">
        <v>0.05</v>
      </c>
      <c r="H46" s="468">
        <v>1755498.38</v>
      </c>
      <c r="I46" s="463">
        <f t="shared" si="0"/>
        <v>13897.695508333332</v>
      </c>
      <c r="J46" s="463">
        <f t="shared" si="1"/>
        <v>27795.391016666665</v>
      </c>
      <c r="R46" s="3"/>
      <c r="S46" s="78"/>
      <c r="T46" s="3"/>
    </row>
    <row r="47" spans="2:20" ht="21" customHeight="1">
      <c r="B47" s="456" t="s">
        <v>324</v>
      </c>
      <c r="C47" s="464" t="s">
        <v>551</v>
      </c>
      <c r="D47" s="465" t="s">
        <v>552</v>
      </c>
      <c r="E47" s="466">
        <v>46006</v>
      </c>
      <c r="F47" s="465">
        <v>120</v>
      </c>
      <c r="G47" s="467">
        <v>0.05</v>
      </c>
      <c r="H47" s="468">
        <v>16637.169999999998</v>
      </c>
      <c r="I47" s="463">
        <f t="shared" si="0"/>
        <v>131.71092916666666</v>
      </c>
      <c r="J47" s="463">
        <f t="shared" si="1"/>
        <v>263.42185833333332</v>
      </c>
      <c r="R47" s="3"/>
      <c r="S47" s="78"/>
      <c r="T47" s="3"/>
    </row>
    <row r="48" spans="2:20" ht="21" customHeight="1">
      <c r="B48" s="456" t="s">
        <v>324</v>
      </c>
      <c r="C48" s="464" t="s">
        <v>553</v>
      </c>
      <c r="D48" s="465" t="s">
        <v>554</v>
      </c>
      <c r="E48" s="466">
        <v>45889</v>
      </c>
      <c r="F48" s="465">
        <v>240</v>
      </c>
      <c r="G48" s="467">
        <v>0.05</v>
      </c>
      <c r="H48" s="468">
        <v>2161467.89</v>
      </c>
      <c r="I48" s="463">
        <f t="shared" si="0"/>
        <v>8555.8103979166663</v>
      </c>
      <c r="J48" s="463">
        <f t="shared" si="1"/>
        <v>17111.620795833333</v>
      </c>
      <c r="R48" s="3"/>
      <c r="S48" s="78"/>
      <c r="T48" s="3"/>
    </row>
    <row r="49" spans="2:20" ht="21" customHeight="1">
      <c r="B49" s="456" t="s">
        <v>330</v>
      </c>
      <c r="C49" s="464">
        <v>800005</v>
      </c>
      <c r="D49" s="474" t="s">
        <v>559</v>
      </c>
      <c r="E49" s="647">
        <v>45853</v>
      </c>
      <c r="F49" s="465">
        <v>120</v>
      </c>
      <c r="G49" s="467">
        <v>0</v>
      </c>
      <c r="H49" s="468">
        <v>346802.47</v>
      </c>
      <c r="I49" s="463">
        <f t="shared" ref="I49:I50" si="2">H49*(1-G49)/F49</f>
        <v>2890.020583333333</v>
      </c>
      <c r="J49" s="463">
        <f t="shared" si="1"/>
        <v>5780.041166666666</v>
      </c>
      <c r="R49" s="3"/>
      <c r="S49" s="78"/>
      <c r="T49" s="3"/>
    </row>
    <row r="50" spans="2:20" ht="21" customHeight="1">
      <c r="B50" s="456" t="s">
        <v>562</v>
      </c>
      <c r="C50" s="464" t="s">
        <v>570</v>
      </c>
      <c r="D50" s="465" t="s">
        <v>560</v>
      </c>
      <c r="E50" s="466">
        <v>87155.97</v>
      </c>
      <c r="F50" s="465">
        <v>36</v>
      </c>
      <c r="G50" s="467">
        <v>0</v>
      </c>
      <c r="H50" s="468">
        <v>87155.97</v>
      </c>
      <c r="I50" s="463">
        <f t="shared" si="2"/>
        <v>2420.9991666666665</v>
      </c>
      <c r="J50" s="463">
        <f t="shared" si="1"/>
        <v>4841.998333333333</v>
      </c>
      <c r="R50" s="3"/>
      <c r="S50" s="78"/>
      <c r="T50" s="3"/>
    </row>
    <row r="51" spans="2:20" ht="21" customHeight="1">
      <c r="B51" s="621" t="s">
        <v>331</v>
      </c>
      <c r="C51" s="622"/>
      <c r="D51" s="455"/>
      <c r="E51" s="455"/>
      <c r="F51" s="455"/>
      <c r="G51" s="455"/>
      <c r="H51" s="469">
        <f>SUM(H43:H50)</f>
        <v>7458544.5499999989</v>
      </c>
      <c r="I51" s="469">
        <f>SUM(I43:I50)</f>
        <v>52366.516056249988</v>
      </c>
      <c r="J51" s="469">
        <f>SUM(J43:J50)</f>
        <v>104733.03211249998</v>
      </c>
      <c r="Q51" s="3"/>
      <c r="R51" s="78"/>
    </row>
    <row r="52" spans="2:20">
      <c r="H52" s="475">
        <f>H51-'CIP List'!F14</f>
        <v>0</v>
      </c>
      <c r="I52" s="648" t="s">
        <v>187</v>
      </c>
      <c r="J52" s="648" t="s">
        <v>187</v>
      </c>
    </row>
    <row r="53" spans="2:20">
      <c r="Q53" s="3"/>
      <c r="R53" s="78"/>
    </row>
    <row r="54" spans="2:20" ht="12.75" customHeight="1">
      <c r="B54" s="384" t="s">
        <v>485</v>
      </c>
      <c r="C54" s="385"/>
      <c r="D54" s="385"/>
      <c r="E54" s="386"/>
      <c r="F54" s="386"/>
      <c r="G54" s="387"/>
      <c r="Q54" s="3"/>
      <c r="R54" s="78"/>
    </row>
    <row r="55" spans="2:20" ht="12.75" customHeight="1">
      <c r="B55" s="80" t="s">
        <v>486</v>
      </c>
      <c r="C55" s="17" t="s">
        <v>487</v>
      </c>
      <c r="D55" s="17" t="s">
        <v>488</v>
      </c>
      <c r="E55" s="17" t="s">
        <v>489</v>
      </c>
      <c r="F55" s="18" t="s">
        <v>490</v>
      </c>
      <c r="G55" s="81"/>
      <c r="Q55" s="3"/>
      <c r="R55" s="78"/>
    </row>
    <row r="56" spans="2:20" ht="12.75" customHeight="1">
      <c r="B56" s="82"/>
      <c r="C56" s="3"/>
      <c r="D56" s="1"/>
      <c r="F56" s="19" t="s">
        <v>491</v>
      </c>
      <c r="G56" s="81"/>
      <c r="I56" s="3"/>
      <c r="J56" s="3"/>
      <c r="Q56" s="3"/>
      <c r="R56" s="78"/>
    </row>
    <row r="57" spans="2:20" ht="12.75" customHeight="1">
      <c r="B57" s="210" t="s">
        <v>152</v>
      </c>
      <c r="C57" s="211" t="s">
        <v>492</v>
      </c>
      <c r="D57" s="3" t="s">
        <v>493</v>
      </c>
      <c r="E57" s="3" t="s">
        <v>494</v>
      </c>
      <c r="F57" s="212">
        <v>7024586.1100000003</v>
      </c>
      <c r="G57" s="81"/>
      <c r="I57" s="3"/>
      <c r="J57" s="3"/>
      <c r="Q57" s="3"/>
      <c r="R57" s="78"/>
    </row>
    <row r="58" spans="2:20" ht="12.75" customHeight="1">
      <c r="B58" s="210" t="s">
        <v>152</v>
      </c>
      <c r="C58" s="211"/>
      <c r="D58" s="16"/>
      <c r="E58" s="3" t="s">
        <v>495</v>
      </c>
      <c r="F58" s="212">
        <v>7024586.1100000003</v>
      </c>
      <c r="G58" s="83" t="s">
        <v>496</v>
      </c>
      <c r="I58" s="3"/>
      <c r="J58" s="3"/>
      <c r="Q58" s="3"/>
      <c r="R58" s="78"/>
    </row>
    <row r="59" spans="2:20" ht="12.75" customHeight="1">
      <c r="B59" s="82"/>
      <c r="C59" s="3"/>
      <c r="D59" s="1"/>
      <c r="E59" s="3" t="s">
        <v>497</v>
      </c>
      <c r="F59" s="20">
        <f>F57-F58</f>
        <v>0</v>
      </c>
      <c r="G59" s="81"/>
      <c r="I59" s="3"/>
      <c r="J59" s="3"/>
      <c r="Q59" s="3"/>
      <c r="R59" s="78"/>
    </row>
    <row r="60" spans="2:20" ht="12.75" customHeight="1">
      <c r="B60" s="210" t="s">
        <v>152</v>
      </c>
      <c r="C60" s="211"/>
      <c r="D60" s="3" t="s">
        <v>498</v>
      </c>
      <c r="E60" s="3" t="s">
        <v>499</v>
      </c>
      <c r="F60" s="212">
        <v>346802.47</v>
      </c>
      <c r="G60" s="81"/>
      <c r="I60" s="3"/>
      <c r="J60" s="3"/>
      <c r="Q60" s="3"/>
      <c r="R60" s="78"/>
    </row>
    <row r="61" spans="2:20" ht="12.75" customHeight="1">
      <c r="B61" s="210" t="s">
        <v>152</v>
      </c>
      <c r="C61" s="211"/>
      <c r="D61" s="16"/>
      <c r="E61" s="3" t="s">
        <v>500</v>
      </c>
      <c r="F61" s="212">
        <v>346802.47</v>
      </c>
      <c r="G61" s="83" t="s">
        <v>501</v>
      </c>
      <c r="I61" s="3"/>
      <c r="J61" s="3"/>
      <c r="Q61" s="3"/>
      <c r="R61" s="78"/>
    </row>
    <row r="62" spans="2:20" ht="12.75" customHeight="1">
      <c r="B62" s="82"/>
      <c r="C62" s="3"/>
      <c r="E62" s="3" t="s">
        <v>497</v>
      </c>
      <c r="F62" s="20">
        <f>F60-F61</f>
        <v>0</v>
      </c>
      <c r="G62" s="81"/>
      <c r="I62" s="3"/>
      <c r="J62" s="3"/>
      <c r="Q62" s="3"/>
      <c r="R62" s="78"/>
    </row>
    <row r="63" spans="2:20" ht="12.75" customHeight="1">
      <c r="B63" s="82"/>
      <c r="C63" s="3"/>
      <c r="E63" s="3"/>
      <c r="F63" s="20"/>
      <c r="G63" s="81"/>
      <c r="I63" s="3"/>
      <c r="J63" s="3"/>
      <c r="Q63" s="3"/>
      <c r="R63" s="78"/>
    </row>
    <row r="64" spans="2:20" ht="12.75" customHeight="1">
      <c r="B64" s="210" t="s">
        <v>152</v>
      </c>
      <c r="C64" s="211"/>
      <c r="D64" s="2" t="s">
        <v>502</v>
      </c>
      <c r="E64" s="3" t="s">
        <v>503</v>
      </c>
      <c r="F64" s="212">
        <v>87155.97</v>
      </c>
      <c r="G64" s="81"/>
      <c r="I64" s="3"/>
      <c r="J64" s="3"/>
      <c r="Q64" s="3"/>
      <c r="R64" s="78"/>
    </row>
    <row r="65" spans="2:18" ht="12.75" customHeight="1">
      <c r="B65" s="210" t="s">
        <v>152</v>
      </c>
      <c r="C65" s="211"/>
      <c r="D65" s="16"/>
      <c r="E65" s="3" t="s">
        <v>504</v>
      </c>
      <c r="F65" s="212">
        <v>87155.97</v>
      </c>
      <c r="G65" s="83" t="s">
        <v>505</v>
      </c>
      <c r="I65" s="3"/>
      <c r="J65" s="3"/>
      <c r="Q65" s="3"/>
      <c r="R65" s="78"/>
    </row>
    <row r="66" spans="2:18" ht="12.75" customHeight="1">
      <c r="B66" s="82"/>
      <c r="C66" s="3"/>
      <c r="D66" s="3"/>
      <c r="E66" s="3" t="s">
        <v>497</v>
      </c>
      <c r="F66" s="20">
        <f>F64-F65</f>
        <v>0</v>
      </c>
      <c r="G66" s="81"/>
      <c r="I66" s="3"/>
      <c r="J66" s="3"/>
      <c r="Q66" s="3"/>
      <c r="R66" s="78"/>
    </row>
    <row r="67" spans="2:18" ht="12.75" customHeight="1">
      <c r="B67" s="82"/>
      <c r="C67" s="3"/>
      <c r="D67" s="3"/>
      <c r="E67" s="3"/>
      <c r="F67" s="20"/>
      <c r="G67" s="81"/>
      <c r="I67" s="3"/>
      <c r="J67" s="3"/>
      <c r="Q67" s="3"/>
      <c r="R67" s="78"/>
    </row>
    <row r="68" spans="2:18" ht="12.75" hidden="1" customHeight="1">
      <c r="B68" s="424"/>
      <c r="C68" s="423"/>
      <c r="D68" s="3"/>
      <c r="E68" s="3" t="s">
        <v>506</v>
      </c>
      <c r="F68" s="422">
        <v>0</v>
      </c>
      <c r="G68" s="81"/>
      <c r="I68" s="3"/>
      <c r="J68" s="3"/>
      <c r="Q68" s="3"/>
      <c r="R68" s="78"/>
    </row>
    <row r="69" spans="2:18" ht="12.75" hidden="1" customHeight="1">
      <c r="B69" s="424"/>
      <c r="C69" s="423"/>
      <c r="D69" s="3"/>
      <c r="E69" s="3" t="s">
        <v>506</v>
      </c>
      <c r="F69" s="422">
        <v>0</v>
      </c>
      <c r="G69" s="81"/>
      <c r="Q69" s="3"/>
      <c r="R69" s="78"/>
    </row>
    <row r="70" spans="2:18" ht="12.75" hidden="1" customHeight="1">
      <c r="B70" s="82"/>
      <c r="C70" s="3"/>
      <c r="D70" s="3"/>
      <c r="E70" s="3" t="s">
        <v>497</v>
      </c>
      <c r="F70" s="20">
        <f>F68-F69</f>
        <v>0</v>
      </c>
      <c r="G70" s="81"/>
      <c r="Q70" s="3"/>
      <c r="R70" s="78"/>
    </row>
    <row r="71" spans="2:18" ht="12.75" hidden="1" customHeight="1">
      <c r="B71" s="82"/>
      <c r="C71" s="3"/>
      <c r="D71" s="3"/>
      <c r="E71" s="3"/>
      <c r="F71" s="20"/>
      <c r="G71" s="81"/>
      <c r="Q71" s="3"/>
      <c r="R71" s="78"/>
    </row>
    <row r="72" spans="2:18" ht="12.75" customHeight="1">
      <c r="B72" s="82"/>
      <c r="C72" s="3"/>
      <c r="D72" s="3"/>
      <c r="E72" s="3" t="s">
        <v>507</v>
      </c>
      <c r="F72" s="20">
        <f>F58+F61+F65+F69</f>
        <v>7458544.5499999998</v>
      </c>
      <c r="G72" s="81"/>
      <c r="Q72" s="3"/>
      <c r="R72" s="78"/>
    </row>
    <row r="73" spans="2:18" ht="12.75" customHeight="1">
      <c r="B73" s="82"/>
      <c r="C73" s="3"/>
      <c r="D73" s="3"/>
      <c r="E73" s="3" t="s">
        <v>508</v>
      </c>
      <c r="F73" s="336">
        <f>D13</f>
        <v>7458544.5500000007</v>
      </c>
      <c r="G73" s="81"/>
      <c r="Q73" s="3"/>
      <c r="R73" s="78"/>
    </row>
    <row r="74" spans="2:18" ht="12.75" customHeight="1">
      <c r="B74" s="82"/>
      <c r="C74" s="3"/>
      <c r="D74" s="3"/>
      <c r="E74" s="3" t="s">
        <v>497</v>
      </c>
      <c r="F74" s="20">
        <f>F72-F73</f>
        <v>0</v>
      </c>
      <c r="G74" s="84"/>
      <c r="Q74" s="3"/>
      <c r="R74" s="78"/>
    </row>
    <row r="75" spans="2:18" ht="12.75" customHeight="1">
      <c r="B75" s="85"/>
      <c r="C75" s="86"/>
      <c r="D75" s="86"/>
      <c r="E75" s="87"/>
      <c r="F75" s="86"/>
      <c r="G75" s="88"/>
      <c r="Q75" s="3"/>
      <c r="R75" s="78"/>
    </row>
    <row r="76" spans="2:18" ht="12.75" customHeight="1">
      <c r="B76" s="3"/>
      <c r="C76" s="3"/>
      <c r="D76" s="3"/>
      <c r="E76" s="20"/>
      <c r="F76" s="3"/>
      <c r="G76" s="3"/>
      <c r="Q76" s="3"/>
      <c r="R76" s="78"/>
    </row>
    <row r="77" spans="2:18" ht="12.75" customHeight="1">
      <c r="B77" s="619" t="s">
        <v>509</v>
      </c>
      <c r="C77" s="540"/>
      <c r="D77" s="540"/>
      <c r="E77" s="540"/>
      <c r="F77" s="540"/>
      <c r="G77" s="540"/>
      <c r="H77" s="540"/>
      <c r="I77" s="540"/>
      <c r="J77" s="540"/>
      <c r="K77" s="540"/>
      <c r="Q77" s="3"/>
      <c r="R77" s="78"/>
    </row>
    <row r="78" spans="2:18" ht="12.75" customHeight="1">
      <c r="B78" s="601" t="s">
        <v>510</v>
      </c>
      <c r="C78" s="610"/>
      <c r="D78" s="610"/>
      <c r="E78" s="610"/>
      <c r="F78" s="611"/>
      <c r="G78" s="213"/>
      <c r="H78" s="213"/>
      <c r="I78" s="213"/>
      <c r="J78" s="213"/>
      <c r="K78" s="213"/>
      <c r="Q78" s="3"/>
      <c r="R78" s="78"/>
    </row>
    <row r="79" spans="2:18" ht="12.75" customHeight="1">
      <c r="B79" s="612"/>
      <c r="C79" s="613"/>
      <c r="D79" s="613"/>
      <c r="E79" s="613"/>
      <c r="F79" s="614"/>
      <c r="G79" s="213"/>
      <c r="H79" s="213"/>
      <c r="I79" s="213"/>
      <c r="J79" s="213"/>
      <c r="K79" s="213"/>
      <c r="Q79" s="3"/>
      <c r="R79" s="78"/>
    </row>
    <row r="80" spans="2:18" ht="12.75" customHeight="1">
      <c r="B80" s="612"/>
      <c r="C80" s="613"/>
      <c r="D80" s="613"/>
      <c r="E80" s="613"/>
      <c r="F80" s="614"/>
      <c r="G80" s="213"/>
      <c r="H80" s="213"/>
      <c r="I80" s="213"/>
      <c r="J80" s="213"/>
      <c r="K80" s="213"/>
      <c r="Q80" s="3"/>
      <c r="R80" s="78"/>
    </row>
    <row r="81" spans="1:19" ht="12.75" customHeight="1">
      <c r="B81" s="615"/>
      <c r="C81" s="616"/>
      <c r="D81" s="616"/>
      <c r="E81" s="616"/>
      <c r="F81" s="617"/>
      <c r="G81" s="213"/>
      <c r="H81" s="213"/>
      <c r="I81" s="213"/>
      <c r="J81" s="213"/>
      <c r="K81" s="213"/>
      <c r="Q81" s="3"/>
      <c r="R81" s="78"/>
    </row>
    <row r="82" spans="1:19" ht="15" customHeight="1">
      <c r="B82" s="213"/>
      <c r="C82" s="213"/>
      <c r="D82" s="213"/>
      <c r="E82" s="213"/>
      <c r="F82" s="213"/>
      <c r="G82" s="213"/>
      <c r="H82" s="213"/>
      <c r="I82" s="213"/>
      <c r="J82" s="213"/>
      <c r="K82" s="213"/>
      <c r="Q82" s="3"/>
      <c r="R82" s="78"/>
    </row>
    <row r="83" spans="1:19" ht="7.5" customHeight="1">
      <c r="A83" s="78"/>
      <c r="B83" s="78"/>
      <c r="C83" s="78"/>
      <c r="D83" s="78"/>
      <c r="E83" s="78"/>
      <c r="F83" s="78"/>
      <c r="G83" s="78"/>
      <c r="H83" s="78"/>
      <c r="I83" s="78"/>
      <c r="J83" s="78"/>
      <c r="K83" s="78"/>
      <c r="L83" s="78"/>
      <c r="M83" s="78"/>
      <c r="N83" s="78"/>
      <c r="O83" s="78"/>
      <c r="P83" s="78"/>
      <c r="Q83" s="78"/>
      <c r="R83" s="78"/>
    </row>
    <row r="86" spans="1:19" s="206" customFormat="1">
      <c r="A86" s="1"/>
      <c r="C86" s="214"/>
      <c r="D86" s="618"/>
      <c r="E86" s="618"/>
      <c r="F86" s="618"/>
      <c r="G86" s="618"/>
      <c r="H86" s="215"/>
      <c r="I86" s="215"/>
      <c r="J86" s="215"/>
      <c r="K86" s="215"/>
      <c r="S86" s="216"/>
    </row>
    <row r="87" spans="1:19" s="206" customFormat="1" ht="12.75" customHeight="1">
      <c r="A87" s="1"/>
      <c r="C87" s="214"/>
      <c r="D87" s="618"/>
      <c r="E87" s="618"/>
      <c r="F87" s="618"/>
      <c r="G87" s="618"/>
      <c r="H87" s="215"/>
      <c r="I87" s="215"/>
      <c r="J87" s="215"/>
      <c r="K87" s="215"/>
      <c r="S87" s="216"/>
    </row>
  </sheetData>
  <mergeCells count="10">
    <mergeCell ref="M31:O31"/>
    <mergeCell ref="B7:F10"/>
    <mergeCell ref="B20:F23"/>
    <mergeCell ref="B78:F81"/>
    <mergeCell ref="D87:G87"/>
    <mergeCell ref="D86:G86"/>
    <mergeCell ref="B77:K77"/>
    <mergeCell ref="B36:K36"/>
    <mergeCell ref="B37:G40"/>
    <mergeCell ref="B51:C51"/>
  </mergeCells>
  <phoneticPr fontId="77" type="noConversion"/>
  <conditionalFormatting sqref="B7">
    <cfRule type="containsBlanks" dxfId="19" priority="17">
      <formula>LEN(TRIM(B7))=0</formula>
    </cfRule>
  </conditionalFormatting>
  <conditionalFormatting sqref="B20">
    <cfRule type="containsBlanks" dxfId="18" priority="16">
      <formula>LEN(TRIM(B20))=0</formula>
    </cfRule>
  </conditionalFormatting>
  <conditionalFormatting sqref="B37">
    <cfRule type="containsBlanks" dxfId="17" priority="15">
      <formula>LEN(TRIM(B37))=0</formula>
    </cfRule>
  </conditionalFormatting>
  <conditionalFormatting sqref="B78">
    <cfRule type="containsBlanks" dxfId="16" priority="14">
      <formula>LEN(TRIM(B78))=0</formula>
    </cfRule>
  </conditionalFormatting>
  <conditionalFormatting sqref="B57:C58">
    <cfRule type="containsBlanks" dxfId="15" priority="40">
      <formula>LEN(TRIM(B57))=0</formula>
    </cfRule>
  </conditionalFormatting>
  <conditionalFormatting sqref="B60:C61">
    <cfRule type="containsBlanks" dxfId="14" priority="10">
      <formula>LEN(TRIM(B60))=0</formula>
    </cfRule>
  </conditionalFormatting>
  <conditionalFormatting sqref="B64:C65">
    <cfRule type="containsBlanks" dxfId="13" priority="9">
      <formula>LEN(TRIM(B64))=0</formula>
    </cfRule>
  </conditionalFormatting>
  <conditionalFormatting sqref="B68:C69">
    <cfRule type="containsBlanks" dxfId="12" priority="37">
      <formula>LEN(TRIM(B68))=0</formula>
    </cfRule>
  </conditionalFormatting>
  <conditionalFormatting sqref="B33:P33 B34:J34 L34:P34">
    <cfRule type="containsBlanks" dxfId="11" priority="8">
      <formula>LEN(TRIM(B33))=0</formula>
    </cfRule>
  </conditionalFormatting>
  <conditionalFormatting sqref="D12:D13">
    <cfRule type="containsBlanks" dxfId="10" priority="13">
      <formula>LEN(TRIM(D12))=0</formula>
    </cfRule>
  </conditionalFormatting>
  <conditionalFormatting sqref="D16">
    <cfRule type="containsBlanks" dxfId="9" priority="12">
      <formula>LEN(TRIM(D16))=0</formula>
    </cfRule>
  </conditionalFormatting>
  <conditionalFormatting sqref="F57:F58">
    <cfRule type="containsBlanks" dxfId="8" priority="35">
      <formula>LEN(TRIM(F57))=0</formula>
    </cfRule>
  </conditionalFormatting>
  <conditionalFormatting sqref="F60:F61">
    <cfRule type="containsBlanks" dxfId="7" priority="33">
      <formula>LEN(TRIM(F60))=0</formula>
    </cfRule>
  </conditionalFormatting>
  <conditionalFormatting sqref="F64:F65">
    <cfRule type="containsBlanks" dxfId="6" priority="31">
      <formula>LEN(TRIM(F64))=0</formula>
    </cfRule>
  </conditionalFormatting>
  <conditionalFormatting sqref="F68:F69">
    <cfRule type="containsBlanks" dxfId="5" priority="29">
      <formula>LEN(TRIM(F68))=0</formula>
    </cfRule>
  </conditionalFormatting>
  <conditionalFormatting sqref="C43:H48 C50:H50 H49 G46:G50 C46:C50">
    <cfRule type="containsBlanks" dxfId="4" priority="7">
      <formula>LEN(TRIM(C43))=0</formula>
    </cfRule>
  </conditionalFormatting>
  <conditionalFormatting sqref="I43:I50">
    <cfRule type="containsBlanks" dxfId="3" priority="6">
      <formula>LEN(TRIM(I43))=0</formula>
    </cfRule>
  </conditionalFormatting>
  <conditionalFormatting sqref="J43:J50">
    <cfRule type="containsBlanks" dxfId="2" priority="5">
      <formula>LEN(TRIM(J43))=0</formula>
    </cfRule>
  </conditionalFormatting>
  <conditionalFormatting sqref="F49">
    <cfRule type="containsBlanks" dxfId="1" priority="3">
      <formula>LEN(TRIM(F49))=0</formula>
    </cfRule>
  </conditionalFormatting>
  <conditionalFormatting sqref="K34">
    <cfRule type="containsBlanks" dxfId="0" priority="1">
      <formula>LEN(TRIM(K34))=0</formula>
    </cfRule>
  </conditionalFormatting>
  <dataValidations count="2">
    <dataValidation type="list" allowBlank="1" showInputMessage="1" sqref="M33:O34" xr:uid="{A45913B5-FEDF-464B-9B5D-DDD17F1B4273}">
      <formula1>"Y,N"</formula1>
    </dataValidation>
    <dataValidation type="list" allowBlank="1" showInputMessage="1" sqref="C33:C34" xr:uid="{AFF95C27-EF26-4896-9709-DDC5695E200B}">
      <formula1>"关键项,代表性样本"</formula1>
    </dataValidation>
  </dataValidations>
  <hyperlinks>
    <hyperlink ref="B4" location="汇总!A1" display="返回汇总页" xr:uid="{7D9FA92A-F6EC-4A4D-BED0-E1F472DC385E}"/>
  </hyperlink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96173-48E7-4342-8953-14E8ABFBE6EB}">
  <dimension ref="A1:O105"/>
  <sheetViews>
    <sheetView zoomScale="85" zoomScaleNormal="85" workbookViewId="0">
      <selection activeCell="P38" sqref="P38"/>
    </sheetView>
  </sheetViews>
  <sheetFormatPr defaultColWidth="8.5703125" defaultRowHeight="14.25"/>
  <cols>
    <col min="1" max="1" width="8.28515625" style="403" customWidth="1"/>
    <col min="2" max="11" width="14.28515625" style="403" customWidth="1"/>
    <col min="12" max="12" width="21.5703125" style="403" customWidth="1"/>
    <col min="13" max="16384" width="8.5703125" style="403"/>
  </cols>
  <sheetData>
    <row r="1" spans="1:12" ht="44.65" customHeight="1">
      <c r="A1" s="401"/>
      <c r="B1" s="565" t="s">
        <v>332</v>
      </c>
      <c r="C1" s="565"/>
      <c r="D1" s="565"/>
      <c r="E1" s="565"/>
      <c r="F1" s="565"/>
      <c r="G1" s="566" t="s">
        <v>333</v>
      </c>
      <c r="H1" s="566"/>
      <c r="I1" s="566"/>
      <c r="J1" s="566"/>
      <c r="K1" s="567"/>
      <c r="L1" s="402"/>
    </row>
    <row r="2" spans="1:12" ht="16.5">
      <c r="A2" s="568" t="s">
        <v>334</v>
      </c>
      <c r="B2" s="568"/>
      <c r="C2" s="568"/>
      <c r="D2" s="569" t="s">
        <v>335</v>
      </c>
      <c r="E2" s="569"/>
      <c r="F2" s="569"/>
      <c r="G2" s="569"/>
      <c r="H2" s="569"/>
      <c r="I2" s="569"/>
      <c r="J2" s="569"/>
      <c r="K2" s="570"/>
    </row>
    <row r="3" spans="1:12" ht="16.5">
      <c r="A3" s="568" t="s">
        <v>336</v>
      </c>
      <c r="B3" s="568"/>
      <c r="C3" s="568"/>
      <c r="D3" s="569" t="s">
        <v>337</v>
      </c>
      <c r="E3" s="569"/>
      <c r="F3" s="569"/>
      <c r="G3" s="569"/>
      <c r="H3" s="569"/>
      <c r="I3" s="569"/>
      <c r="J3" s="569"/>
      <c r="K3" s="570"/>
    </row>
    <row r="4" spans="1:12" ht="16.5">
      <c r="A4" s="568" t="s">
        <v>338</v>
      </c>
      <c r="B4" s="568"/>
      <c r="C4" s="568"/>
      <c r="D4" s="574" t="s">
        <v>339</v>
      </c>
      <c r="E4" s="574"/>
      <c r="F4" s="574"/>
      <c r="G4" s="574"/>
      <c r="H4" s="574"/>
      <c r="I4" s="574"/>
      <c r="J4" s="574"/>
      <c r="K4" s="575"/>
    </row>
    <row r="6" spans="1:12" ht="15">
      <c r="A6" s="576" t="s">
        <v>340</v>
      </c>
      <c r="B6" s="576"/>
      <c r="C6" s="576"/>
      <c r="D6" s="576"/>
      <c r="E6" s="576"/>
      <c r="F6" s="576"/>
      <c r="G6" s="576"/>
      <c r="H6" s="576"/>
      <c r="I6" s="576"/>
      <c r="J6" s="576"/>
      <c r="K6" s="576"/>
    </row>
    <row r="7" spans="1:12">
      <c r="K7" s="404"/>
    </row>
    <row r="8" spans="1:12" ht="15">
      <c r="A8" s="571" t="s">
        <v>341</v>
      </c>
      <c r="B8" s="571"/>
      <c r="C8" s="571"/>
      <c r="D8" s="571"/>
      <c r="E8" s="571"/>
      <c r="F8" s="572" t="s">
        <v>342</v>
      </c>
      <c r="G8" s="572"/>
      <c r="H8" s="572"/>
      <c r="I8" s="572"/>
      <c r="J8" s="572"/>
      <c r="K8" s="573"/>
    </row>
    <row r="9" spans="1:12" ht="15">
      <c r="A9" s="577" t="s">
        <v>343</v>
      </c>
      <c r="B9" s="577"/>
      <c r="C9" s="577"/>
      <c r="D9" s="577"/>
      <c r="E9" s="577"/>
      <c r="F9" s="572" t="s">
        <v>511</v>
      </c>
      <c r="G9" s="572"/>
      <c r="H9" s="572"/>
      <c r="I9" s="572"/>
      <c r="J9" s="572"/>
      <c r="K9" s="573"/>
    </row>
    <row r="10" spans="1:12" ht="16.5">
      <c r="A10" s="571" t="s">
        <v>345</v>
      </c>
      <c r="B10" s="571"/>
      <c r="C10" s="571"/>
      <c r="D10" s="571"/>
      <c r="E10" s="571"/>
      <c r="F10" s="572" t="s">
        <v>346</v>
      </c>
      <c r="G10" s="572"/>
      <c r="H10" s="572"/>
      <c r="I10" s="572"/>
      <c r="J10" s="572"/>
      <c r="K10" s="573"/>
    </row>
    <row r="11" spans="1:12" ht="15">
      <c r="A11" s="571" t="s">
        <v>347</v>
      </c>
      <c r="B11" s="571"/>
      <c r="C11" s="571"/>
      <c r="D11" s="571"/>
      <c r="E11" s="571"/>
      <c r="F11" s="572" t="s">
        <v>348</v>
      </c>
      <c r="G11" s="572"/>
      <c r="H11" s="572"/>
      <c r="I11" s="572"/>
      <c r="J11" s="572"/>
      <c r="K11" s="573"/>
    </row>
    <row r="12" spans="1:12" ht="15">
      <c r="A12" s="571" t="s">
        <v>349</v>
      </c>
      <c r="B12" s="571"/>
      <c r="C12" s="571"/>
      <c r="D12" s="571"/>
      <c r="E12" s="571"/>
      <c r="F12" s="572" t="s">
        <v>350</v>
      </c>
      <c r="G12" s="572"/>
      <c r="H12" s="572"/>
      <c r="I12" s="572"/>
      <c r="J12" s="572"/>
      <c r="K12" s="573"/>
    </row>
    <row r="13" spans="1:12" ht="15">
      <c r="A13" s="571" t="s">
        <v>351</v>
      </c>
      <c r="B13" s="571"/>
      <c r="C13" s="571"/>
      <c r="D13" s="571"/>
      <c r="E13" s="571"/>
      <c r="F13" s="572" t="s">
        <v>352</v>
      </c>
      <c r="G13" s="572"/>
      <c r="H13" s="572"/>
      <c r="I13" s="572"/>
      <c r="J13" s="572"/>
      <c r="K13" s="573"/>
    </row>
    <row r="14" spans="1:12" ht="15">
      <c r="A14" s="578" t="s">
        <v>353</v>
      </c>
      <c r="B14" s="571"/>
      <c r="C14" s="571"/>
      <c r="D14" s="571"/>
      <c r="E14" s="571"/>
      <c r="F14" s="572" t="s">
        <v>30</v>
      </c>
      <c r="G14" s="572"/>
      <c r="H14" s="572"/>
      <c r="I14" s="572"/>
      <c r="J14" s="572"/>
      <c r="K14" s="573"/>
    </row>
    <row r="15" spans="1:12" ht="15">
      <c r="A15" s="571" t="s">
        <v>354</v>
      </c>
      <c r="B15" s="571"/>
      <c r="C15" s="571"/>
      <c r="D15" s="571"/>
      <c r="E15" s="571"/>
      <c r="F15" s="572" t="s">
        <v>355</v>
      </c>
      <c r="G15" s="572"/>
      <c r="H15" s="572"/>
      <c r="I15" s="572"/>
      <c r="J15" s="572"/>
      <c r="K15" s="573"/>
      <c r="L15" s="405"/>
    </row>
    <row r="16" spans="1:12" ht="15">
      <c r="A16" s="571" t="s">
        <v>356</v>
      </c>
      <c r="B16" s="571"/>
      <c r="C16" s="571"/>
      <c r="D16" s="571"/>
      <c r="E16" s="571"/>
      <c r="F16" s="572" t="s">
        <v>512</v>
      </c>
      <c r="G16" s="572"/>
      <c r="H16" s="572"/>
      <c r="I16" s="572"/>
      <c r="J16" s="572"/>
      <c r="K16" s="573"/>
      <c r="L16" s="405"/>
    </row>
    <row r="17" spans="1:12" ht="15">
      <c r="A17" s="571" t="s">
        <v>358</v>
      </c>
      <c r="B17" s="571"/>
      <c r="C17" s="571"/>
      <c r="D17" s="571"/>
      <c r="E17" s="571"/>
      <c r="F17" s="572" t="s">
        <v>30</v>
      </c>
      <c r="G17" s="572"/>
      <c r="H17" s="572"/>
      <c r="I17" s="572"/>
      <c r="J17" s="572"/>
      <c r="K17" s="573"/>
    </row>
    <row r="18" spans="1:12" ht="15">
      <c r="A18" s="571" t="s">
        <v>359</v>
      </c>
      <c r="B18" s="571"/>
      <c r="C18" s="571"/>
      <c r="D18" s="571"/>
      <c r="E18" s="571"/>
      <c r="F18" s="572" t="s">
        <v>360</v>
      </c>
      <c r="G18" s="572"/>
      <c r="H18" s="572"/>
      <c r="I18" s="572"/>
      <c r="J18" s="572"/>
      <c r="K18" s="573"/>
    </row>
    <row r="19" spans="1:12" ht="15">
      <c r="A19" s="571" t="s">
        <v>361</v>
      </c>
      <c r="B19" s="571"/>
      <c r="C19" s="571"/>
      <c r="D19" s="571"/>
      <c r="E19" s="571"/>
      <c r="F19" s="572" t="s">
        <v>30</v>
      </c>
      <c r="G19" s="572"/>
      <c r="H19" s="572"/>
      <c r="I19" s="572"/>
      <c r="J19" s="572"/>
      <c r="K19" s="573"/>
      <c r="L19" s="406"/>
    </row>
    <row r="20" spans="1:12" ht="15">
      <c r="A20" s="571" t="s">
        <v>362</v>
      </c>
      <c r="B20" s="571"/>
      <c r="C20" s="571"/>
      <c r="D20" s="571"/>
      <c r="E20" s="571"/>
      <c r="F20" s="572" t="s">
        <v>12</v>
      </c>
      <c r="G20" s="572"/>
      <c r="H20" s="572"/>
      <c r="I20" s="572"/>
      <c r="J20" s="572"/>
      <c r="K20" s="573"/>
    </row>
    <row r="21" spans="1:12" ht="15">
      <c r="A21" s="578" t="s">
        <v>363</v>
      </c>
      <c r="B21" s="571"/>
      <c r="C21" s="571"/>
      <c r="D21" s="571"/>
      <c r="E21" s="571"/>
      <c r="F21" s="572" t="s">
        <v>30</v>
      </c>
      <c r="G21" s="572"/>
      <c r="H21" s="572"/>
      <c r="I21" s="572"/>
      <c r="J21" s="572"/>
      <c r="K21" s="573"/>
    </row>
    <row r="22" spans="1:12" ht="16.5">
      <c r="A22" s="572" t="s">
        <v>364</v>
      </c>
      <c r="B22" s="572"/>
      <c r="C22" s="572"/>
      <c r="D22" s="572"/>
      <c r="E22" s="572"/>
      <c r="F22" s="572" t="s">
        <v>30</v>
      </c>
      <c r="G22" s="572"/>
      <c r="H22" s="572"/>
      <c r="I22" s="572"/>
      <c r="J22" s="572"/>
      <c r="K22" s="573"/>
    </row>
    <row r="24" spans="1:12" ht="15">
      <c r="A24" s="576" t="s">
        <v>365</v>
      </c>
      <c r="B24" s="576"/>
      <c r="C24" s="576"/>
      <c r="D24" s="576"/>
      <c r="E24" s="576"/>
      <c r="F24" s="576"/>
      <c r="G24" s="576"/>
      <c r="H24" s="576"/>
      <c r="I24" s="576"/>
      <c r="J24" s="576"/>
      <c r="K24" s="576"/>
    </row>
    <row r="26" spans="1:12" ht="15">
      <c r="A26" s="579" t="s">
        <v>366</v>
      </c>
      <c r="B26" s="579"/>
      <c r="C26" s="579"/>
      <c r="D26" s="579"/>
      <c r="E26" s="579"/>
      <c r="F26" s="579"/>
      <c r="G26" s="579"/>
      <c r="H26" s="579"/>
      <c r="I26" s="579"/>
      <c r="J26" s="579"/>
      <c r="K26" s="579"/>
    </row>
    <row r="27" spans="1:12" ht="15">
      <c r="A27" s="580" t="s">
        <v>367</v>
      </c>
      <c r="B27" s="580"/>
      <c r="C27" s="580"/>
      <c r="D27" s="580"/>
      <c r="E27" s="581" t="s">
        <v>368</v>
      </c>
      <c r="F27" s="581"/>
      <c r="G27" s="447" t="s">
        <v>369</v>
      </c>
      <c r="H27" s="580" t="s">
        <v>370</v>
      </c>
      <c r="I27" s="580"/>
      <c r="J27" s="580"/>
      <c r="K27" s="580"/>
    </row>
    <row r="28" spans="1:12">
      <c r="A28" s="586" t="s">
        <v>513</v>
      </c>
      <c r="B28" s="586"/>
      <c r="C28" s="586"/>
      <c r="D28" s="586"/>
      <c r="E28" s="587" t="s">
        <v>372</v>
      </c>
      <c r="F28" s="588"/>
      <c r="G28" s="586"/>
      <c r="H28" s="586" t="s">
        <v>373</v>
      </c>
      <c r="I28" s="586"/>
      <c r="J28" s="586"/>
      <c r="K28" s="586"/>
    </row>
    <row r="29" spans="1:12">
      <c r="A29" s="586"/>
      <c r="B29" s="586"/>
      <c r="C29" s="586"/>
      <c r="D29" s="586"/>
      <c r="E29" s="587"/>
      <c r="F29" s="588"/>
      <c r="G29" s="449"/>
      <c r="H29" s="586"/>
      <c r="I29" s="586"/>
      <c r="J29" s="586"/>
      <c r="K29" s="586"/>
    </row>
    <row r="30" spans="1:12" ht="15">
      <c r="A30" s="579" t="s">
        <v>374</v>
      </c>
      <c r="B30" s="579"/>
      <c r="C30" s="579"/>
      <c r="D30" s="579"/>
      <c r="E30" s="579"/>
      <c r="F30" s="579"/>
      <c r="G30" s="579"/>
      <c r="H30" s="579"/>
      <c r="I30" s="579"/>
      <c r="J30" s="579"/>
      <c r="K30" s="579"/>
    </row>
    <row r="31" spans="1:12" ht="16.5">
      <c r="A31" s="582" t="s">
        <v>375</v>
      </c>
      <c r="B31" s="582"/>
      <c r="C31" s="582"/>
      <c r="D31" s="582"/>
      <c r="E31" s="582"/>
      <c r="F31" s="583" t="s">
        <v>376</v>
      </c>
      <c r="G31" s="584"/>
      <c r="H31" s="584"/>
      <c r="I31" s="584"/>
      <c r="J31" s="584"/>
      <c r="K31" s="585"/>
    </row>
    <row r="32" spans="1:12" ht="16.5">
      <c r="A32" s="582" t="s">
        <v>377</v>
      </c>
      <c r="B32" s="582"/>
      <c r="C32" s="582"/>
      <c r="D32" s="582"/>
      <c r="E32" s="582"/>
      <c r="F32" s="583" t="s">
        <v>319</v>
      </c>
      <c r="G32" s="584"/>
      <c r="H32" s="584"/>
      <c r="I32" s="584"/>
      <c r="J32" s="584"/>
      <c r="K32" s="585"/>
    </row>
    <row r="33" spans="1:15" ht="16.5">
      <c r="A33" s="582" t="s">
        <v>378</v>
      </c>
      <c r="B33" s="582"/>
      <c r="C33" s="582"/>
      <c r="D33" s="582"/>
      <c r="E33" s="582"/>
      <c r="F33" s="583" t="s">
        <v>376</v>
      </c>
      <c r="G33" s="584"/>
      <c r="H33" s="584"/>
      <c r="I33" s="584"/>
      <c r="J33" s="584"/>
      <c r="K33" s="585"/>
    </row>
    <row r="35" spans="1:15" ht="18" customHeight="1">
      <c r="A35" s="576" t="s">
        <v>379</v>
      </c>
      <c r="B35" s="576"/>
      <c r="C35" s="576"/>
      <c r="D35" s="576"/>
      <c r="E35" s="576"/>
      <c r="F35" s="576"/>
      <c r="G35" s="576"/>
      <c r="H35" s="576"/>
      <c r="I35" s="576"/>
      <c r="J35" s="576"/>
      <c r="K35" s="576"/>
    </row>
    <row r="36" spans="1:15">
      <c r="F36" s="407"/>
      <c r="G36" s="407"/>
      <c r="H36" s="407"/>
      <c r="I36" s="407"/>
      <c r="J36" s="407"/>
      <c r="K36" s="407"/>
    </row>
    <row r="37" spans="1:15" ht="15">
      <c r="A37" s="590" t="s">
        <v>380</v>
      </c>
      <c r="B37" s="590"/>
      <c r="C37" s="590"/>
      <c r="D37" s="590"/>
      <c r="E37" s="590"/>
      <c r="F37" s="403" t="s">
        <v>376</v>
      </c>
      <c r="H37" s="403" t="s">
        <v>376</v>
      </c>
      <c r="J37" s="403" t="s">
        <v>376</v>
      </c>
    </row>
    <row r="38" spans="1:15" ht="16.5">
      <c r="A38" s="589" t="s">
        <v>381</v>
      </c>
      <c r="B38" s="589"/>
      <c r="C38" s="589"/>
      <c r="D38" s="589"/>
      <c r="E38" s="589"/>
      <c r="F38" s="582" t="s">
        <v>514</v>
      </c>
      <c r="G38" s="582"/>
      <c r="H38" s="582"/>
      <c r="I38" s="582"/>
      <c r="J38" s="582"/>
      <c r="K38" s="582"/>
    </row>
    <row r="39" spans="1:15" ht="16.5">
      <c r="A39" s="589" t="s">
        <v>383</v>
      </c>
      <c r="B39" s="589"/>
      <c r="C39" s="589"/>
      <c r="D39" s="589"/>
      <c r="E39" s="589"/>
      <c r="F39" s="582" t="s">
        <v>384</v>
      </c>
      <c r="G39" s="582"/>
      <c r="H39" s="582"/>
      <c r="I39" s="582"/>
      <c r="J39" s="582"/>
      <c r="K39" s="582"/>
    </row>
    <row r="40" spans="1:15" ht="16.5">
      <c r="A40" s="589" t="s">
        <v>385</v>
      </c>
      <c r="B40" s="589"/>
      <c r="C40" s="589"/>
      <c r="D40" s="589"/>
      <c r="E40" s="589"/>
      <c r="F40" s="582" t="s">
        <v>376</v>
      </c>
      <c r="G40" s="582"/>
      <c r="H40" s="582"/>
      <c r="I40" s="582"/>
      <c r="J40" s="582"/>
      <c r="K40" s="582"/>
    </row>
    <row r="41" spans="1:15" ht="16.5">
      <c r="A41" s="589" t="s">
        <v>386</v>
      </c>
      <c r="B41" s="589"/>
      <c r="C41" s="589"/>
      <c r="D41" s="589"/>
      <c r="E41" s="589"/>
      <c r="F41" s="582" t="s">
        <v>514</v>
      </c>
      <c r="G41" s="582"/>
      <c r="H41" s="582"/>
      <c r="I41" s="582"/>
      <c r="J41" s="582"/>
      <c r="K41" s="582"/>
    </row>
    <row r="42" spans="1:15" ht="15">
      <c r="A42" s="590" t="s">
        <v>387</v>
      </c>
      <c r="B42" s="590"/>
      <c r="C42" s="590"/>
      <c r="D42" s="590"/>
      <c r="E42" s="590"/>
      <c r="F42" s="582" t="s">
        <v>388</v>
      </c>
      <c r="G42" s="582"/>
      <c r="H42" s="582"/>
      <c r="I42" s="582"/>
      <c r="J42" s="582"/>
      <c r="K42" s="582"/>
    </row>
    <row r="43" spans="1:15" ht="16.5">
      <c r="A43" s="589" t="s">
        <v>389</v>
      </c>
      <c r="B43" s="589"/>
      <c r="C43" s="589"/>
      <c r="D43" s="589"/>
      <c r="E43" s="589"/>
      <c r="F43" s="582" t="s">
        <v>388</v>
      </c>
      <c r="G43" s="582"/>
      <c r="H43" s="582"/>
      <c r="I43" s="582"/>
      <c r="J43" s="582"/>
      <c r="K43" s="582"/>
    </row>
    <row r="44" spans="1:15" ht="16.5">
      <c r="A44" s="589" t="s">
        <v>390</v>
      </c>
      <c r="B44" s="589"/>
      <c r="C44" s="589"/>
      <c r="D44" s="589"/>
      <c r="E44" s="589"/>
      <c r="F44" s="582" t="s">
        <v>388</v>
      </c>
      <c r="G44" s="582"/>
      <c r="H44" s="582"/>
      <c r="I44" s="582"/>
      <c r="J44" s="582"/>
      <c r="K44" s="582"/>
    </row>
    <row r="45" spans="1:15" ht="16.5">
      <c r="A45" s="589" t="s">
        <v>391</v>
      </c>
      <c r="B45" s="589"/>
      <c r="C45" s="589"/>
      <c r="D45" s="589"/>
      <c r="E45" s="589"/>
      <c r="F45" s="582" t="s">
        <v>388</v>
      </c>
      <c r="G45" s="582"/>
      <c r="H45" s="582"/>
      <c r="I45" s="582"/>
      <c r="J45" s="582"/>
      <c r="K45" s="582"/>
    </row>
    <row r="46" spans="1:15" ht="16.5">
      <c r="A46" s="589" t="s">
        <v>392</v>
      </c>
      <c r="B46" s="589"/>
      <c r="C46" s="589"/>
      <c r="D46" s="589"/>
      <c r="E46" s="589"/>
      <c r="F46" s="582" t="s">
        <v>388</v>
      </c>
      <c r="G46" s="582"/>
      <c r="H46" s="582"/>
      <c r="I46" s="582"/>
      <c r="J46" s="582"/>
      <c r="K46" s="582"/>
    </row>
    <row r="47" spans="1:15" ht="15">
      <c r="A47" s="590" t="s">
        <v>393</v>
      </c>
      <c r="B47" s="590"/>
      <c r="C47" s="590"/>
      <c r="D47" s="590"/>
      <c r="E47" s="590"/>
      <c r="F47" s="403" t="s">
        <v>376</v>
      </c>
      <c r="H47" s="407"/>
      <c r="I47" s="407"/>
      <c r="J47" s="407"/>
      <c r="K47" s="407"/>
      <c r="M47" s="407"/>
      <c r="N47" s="407"/>
      <c r="O47" s="407"/>
    </row>
    <row r="48" spans="1:15" ht="16.5">
      <c r="A48" s="589" t="s">
        <v>394</v>
      </c>
      <c r="B48" s="589"/>
      <c r="C48" s="589"/>
      <c r="D48" s="589"/>
      <c r="E48" s="589"/>
      <c r="F48" s="582" t="s">
        <v>388</v>
      </c>
      <c r="G48" s="582"/>
      <c r="H48" s="582"/>
      <c r="I48" s="582"/>
      <c r="J48" s="582"/>
      <c r="K48" s="582"/>
    </row>
    <row r="49" spans="1:11">
      <c r="A49" s="589" t="s">
        <v>395</v>
      </c>
      <c r="B49" s="589"/>
      <c r="C49" s="589"/>
      <c r="D49" s="589"/>
      <c r="E49" s="589"/>
      <c r="F49" s="582" t="s">
        <v>384</v>
      </c>
      <c r="G49" s="582"/>
      <c r="H49" s="582"/>
      <c r="I49" s="582"/>
      <c r="J49" s="582"/>
      <c r="K49" s="582"/>
    </row>
    <row r="50" spans="1:11">
      <c r="F50" s="448"/>
      <c r="G50" s="448"/>
      <c r="H50" s="448"/>
      <c r="I50" s="448"/>
      <c r="J50" s="448"/>
      <c r="K50" s="448"/>
    </row>
    <row r="51" spans="1:11" ht="15">
      <c r="A51" s="590" t="s">
        <v>396</v>
      </c>
      <c r="B51" s="590"/>
      <c r="C51" s="590"/>
      <c r="D51" s="590"/>
      <c r="E51" s="590"/>
      <c r="F51" s="582" t="s">
        <v>515</v>
      </c>
      <c r="G51" s="582"/>
      <c r="H51" s="582"/>
      <c r="I51" s="582"/>
      <c r="J51" s="582"/>
      <c r="K51" s="582"/>
    </row>
    <row r="52" spans="1:11" ht="15">
      <c r="A52" s="453"/>
      <c r="B52" s="453"/>
      <c r="C52" s="453"/>
      <c r="D52" s="453"/>
      <c r="E52" s="453"/>
      <c r="F52" s="408"/>
      <c r="G52" s="408"/>
      <c r="H52" s="408"/>
      <c r="I52" s="408"/>
      <c r="J52" s="408"/>
      <c r="K52" s="408"/>
    </row>
    <row r="53" spans="1:11" ht="15">
      <c r="A53" s="576" t="s">
        <v>398</v>
      </c>
      <c r="B53" s="576"/>
      <c r="C53" s="576"/>
      <c r="D53" s="576"/>
      <c r="E53" s="576"/>
      <c r="F53" s="576"/>
      <c r="G53" s="576"/>
      <c r="H53" s="576"/>
      <c r="I53" s="576"/>
      <c r="J53" s="576"/>
      <c r="K53" s="576"/>
    </row>
    <row r="54" spans="1:11" ht="20.100000000000001" customHeight="1">
      <c r="A54" s="409" t="s">
        <v>399</v>
      </c>
      <c r="B54" s="591" t="s">
        <v>400</v>
      </c>
      <c r="C54" s="591"/>
      <c r="D54" s="591"/>
      <c r="E54" s="591"/>
      <c r="F54" s="592" t="s">
        <v>30</v>
      </c>
      <c r="G54" s="592"/>
      <c r="H54" s="592"/>
      <c r="I54" s="591"/>
      <c r="J54" s="591"/>
      <c r="K54" s="591"/>
    </row>
    <row r="55" spans="1:11" ht="20.100000000000001" customHeight="1">
      <c r="A55" s="409" t="s">
        <v>401</v>
      </c>
      <c r="B55" s="591" t="s">
        <v>402</v>
      </c>
      <c r="C55" s="591"/>
      <c r="D55" s="591"/>
      <c r="E55" s="591"/>
      <c r="F55" s="592" t="s">
        <v>12</v>
      </c>
      <c r="G55" s="592"/>
      <c r="H55" s="592"/>
      <c r="I55" s="591"/>
      <c r="J55" s="591"/>
      <c r="K55" s="591"/>
    </row>
    <row r="56" spans="1:11" ht="20.100000000000001" customHeight="1">
      <c r="A56" s="409" t="s">
        <v>403</v>
      </c>
      <c r="B56" s="591" t="s">
        <v>404</v>
      </c>
      <c r="C56" s="591"/>
      <c r="D56" s="591"/>
      <c r="E56" s="591"/>
      <c r="F56" s="592" t="s">
        <v>405</v>
      </c>
      <c r="G56" s="592"/>
      <c r="H56" s="592"/>
      <c r="I56" s="591"/>
      <c r="J56" s="591"/>
      <c r="K56" s="591"/>
    </row>
    <row r="57" spans="1:11" ht="20.100000000000001" customHeight="1">
      <c r="A57" s="409" t="s">
        <v>406</v>
      </c>
      <c r="B57" s="591" t="s">
        <v>407</v>
      </c>
      <c r="C57" s="591"/>
      <c r="D57" s="591"/>
      <c r="E57" s="591"/>
      <c r="F57" s="592" t="s">
        <v>376</v>
      </c>
      <c r="G57" s="592"/>
      <c r="H57" s="592"/>
      <c r="I57" s="591"/>
      <c r="J57" s="591"/>
      <c r="K57" s="591"/>
    </row>
    <row r="58" spans="1:11" ht="20.100000000000001" customHeight="1">
      <c r="A58" s="409" t="s">
        <v>376</v>
      </c>
      <c r="B58" s="593" t="s">
        <v>408</v>
      </c>
      <c r="C58" s="591"/>
      <c r="D58" s="591"/>
      <c r="E58" s="591"/>
      <c r="F58" s="592" t="s">
        <v>514</v>
      </c>
      <c r="G58" s="592"/>
      <c r="H58" s="592"/>
      <c r="I58" s="591"/>
      <c r="J58" s="591"/>
      <c r="K58" s="591"/>
    </row>
    <row r="59" spans="1:11" ht="20.100000000000001" customHeight="1">
      <c r="A59" s="409" t="s">
        <v>376</v>
      </c>
      <c r="B59" s="593" t="s">
        <v>409</v>
      </c>
      <c r="C59" s="591"/>
      <c r="D59" s="591"/>
      <c r="E59" s="591"/>
      <c r="F59" s="592" t="s">
        <v>384</v>
      </c>
      <c r="G59" s="592"/>
      <c r="H59" s="592"/>
      <c r="I59" s="591"/>
      <c r="J59" s="591"/>
      <c r="K59" s="591"/>
    </row>
    <row r="60" spans="1:11" ht="20.100000000000001" customHeight="1">
      <c r="A60" s="409" t="s">
        <v>376</v>
      </c>
      <c r="B60" s="593" t="s">
        <v>410</v>
      </c>
      <c r="C60" s="591"/>
      <c r="D60" s="591"/>
      <c r="E60" s="591"/>
      <c r="F60" s="592" t="s">
        <v>514</v>
      </c>
      <c r="G60" s="592"/>
      <c r="H60" s="592"/>
      <c r="I60" s="591"/>
      <c r="J60" s="591"/>
      <c r="K60" s="591"/>
    </row>
    <row r="61" spans="1:11" ht="20.100000000000001" customHeight="1">
      <c r="A61" s="409" t="s">
        <v>376</v>
      </c>
      <c r="B61" s="593" t="s">
        <v>411</v>
      </c>
      <c r="C61" s="591"/>
      <c r="D61" s="591"/>
      <c r="E61" s="591"/>
      <c r="F61" s="592" t="s">
        <v>514</v>
      </c>
      <c r="G61" s="592"/>
      <c r="H61" s="592"/>
      <c r="I61" s="591"/>
      <c r="J61" s="591"/>
      <c r="K61" s="591"/>
    </row>
    <row r="62" spans="1:11" ht="20.100000000000001" customHeight="1">
      <c r="A62" s="409" t="s">
        <v>376</v>
      </c>
      <c r="B62" s="593" t="s">
        <v>412</v>
      </c>
      <c r="C62" s="591"/>
      <c r="D62" s="591"/>
      <c r="E62" s="591"/>
      <c r="F62" s="592" t="s">
        <v>384</v>
      </c>
      <c r="G62" s="592"/>
      <c r="H62" s="592"/>
      <c r="I62" s="591"/>
      <c r="J62" s="591"/>
      <c r="K62" s="591"/>
    </row>
    <row r="63" spans="1:11" ht="20.100000000000001" customHeight="1">
      <c r="A63" s="409" t="s">
        <v>413</v>
      </c>
      <c r="B63" s="591" t="s">
        <v>414</v>
      </c>
      <c r="C63" s="591"/>
      <c r="D63" s="591"/>
      <c r="E63" s="591"/>
      <c r="F63" s="592" t="s">
        <v>415</v>
      </c>
      <c r="G63" s="592"/>
      <c r="H63" s="592"/>
      <c r="I63" s="591"/>
      <c r="J63" s="591"/>
      <c r="K63" s="591"/>
    </row>
    <row r="64" spans="1:11" ht="20.100000000000001" customHeight="1">
      <c r="A64" s="409" t="s">
        <v>416</v>
      </c>
      <c r="B64" s="591" t="s">
        <v>417</v>
      </c>
      <c r="C64" s="591"/>
      <c r="D64" s="591"/>
      <c r="E64" s="591"/>
      <c r="F64" s="592" t="s">
        <v>418</v>
      </c>
      <c r="G64" s="592"/>
      <c r="H64" s="592"/>
      <c r="I64" s="591"/>
      <c r="J64" s="591"/>
      <c r="K64" s="591"/>
    </row>
    <row r="65" spans="1:12" ht="20.100000000000001" customHeight="1">
      <c r="A65" s="409" t="s">
        <v>419</v>
      </c>
      <c r="B65" s="591" t="s">
        <v>420</v>
      </c>
      <c r="C65" s="591"/>
      <c r="D65" s="591"/>
      <c r="E65" s="591"/>
      <c r="F65" s="592" t="s">
        <v>30</v>
      </c>
      <c r="G65" s="592"/>
      <c r="H65" s="592"/>
      <c r="I65" s="591"/>
      <c r="J65" s="591"/>
      <c r="K65" s="591"/>
    </row>
    <row r="66" spans="1:12" ht="20.100000000000001" customHeight="1">
      <c r="A66" s="409" t="s">
        <v>376</v>
      </c>
      <c r="B66" s="593" t="s">
        <v>421</v>
      </c>
      <c r="C66" s="591"/>
      <c r="D66" s="591"/>
      <c r="E66" s="591"/>
      <c r="F66" s="592" t="s">
        <v>422</v>
      </c>
      <c r="G66" s="592"/>
      <c r="H66" s="592"/>
      <c r="I66" s="591"/>
      <c r="J66" s="591"/>
      <c r="K66" s="591"/>
    </row>
    <row r="67" spans="1:12" ht="20.100000000000001" customHeight="1">
      <c r="A67" s="409" t="s">
        <v>423</v>
      </c>
      <c r="B67" s="591" t="s">
        <v>424</v>
      </c>
      <c r="C67" s="591"/>
      <c r="D67" s="591"/>
      <c r="E67" s="591"/>
      <c r="F67" s="592" t="s">
        <v>425</v>
      </c>
      <c r="G67" s="592"/>
      <c r="H67" s="592"/>
      <c r="I67" s="591"/>
      <c r="J67" s="591"/>
      <c r="K67" s="591"/>
    </row>
    <row r="68" spans="1:12" ht="20.100000000000001" customHeight="1">
      <c r="A68" s="409" t="s">
        <v>426</v>
      </c>
      <c r="B68" s="591" t="s">
        <v>427</v>
      </c>
      <c r="C68" s="591"/>
      <c r="D68" s="591"/>
      <c r="E68" s="591"/>
      <c r="F68" s="592" t="s">
        <v>30</v>
      </c>
      <c r="G68" s="592"/>
      <c r="H68" s="592"/>
      <c r="I68" s="591"/>
      <c r="J68" s="591"/>
      <c r="K68" s="591"/>
    </row>
    <row r="69" spans="1:12" ht="20.100000000000001" customHeight="1">
      <c r="A69" s="409" t="s">
        <v>428</v>
      </c>
      <c r="B69" s="591" t="s">
        <v>429</v>
      </c>
      <c r="C69" s="591"/>
      <c r="D69" s="591"/>
      <c r="E69" s="591"/>
      <c r="F69" s="592" t="s">
        <v>430</v>
      </c>
      <c r="G69" s="592"/>
      <c r="H69" s="592"/>
      <c r="I69" s="591"/>
      <c r="J69" s="591"/>
      <c r="K69" s="591"/>
    </row>
    <row r="70" spans="1:12" ht="18" customHeight="1">
      <c r="A70" s="409"/>
      <c r="B70" s="451"/>
      <c r="C70" s="451"/>
      <c r="D70" s="451"/>
      <c r="E70" s="451"/>
      <c r="F70" s="452"/>
      <c r="G70" s="452"/>
      <c r="H70" s="452"/>
      <c r="I70" s="451"/>
      <c r="J70" s="451"/>
      <c r="K70" s="451"/>
    </row>
    <row r="71" spans="1:12" ht="18" customHeight="1">
      <c r="A71" s="409"/>
      <c r="B71" s="451"/>
      <c r="C71" s="451"/>
      <c r="D71" s="451"/>
      <c r="E71" s="451"/>
      <c r="F71" s="452"/>
      <c r="G71" s="452"/>
      <c r="H71" s="452"/>
      <c r="I71" s="451"/>
      <c r="J71" s="451"/>
      <c r="K71" s="451"/>
    </row>
    <row r="72" spans="1:12" ht="18" customHeight="1">
      <c r="A72" s="409"/>
      <c r="B72" s="451"/>
      <c r="C72" s="451"/>
      <c r="D72" s="451"/>
      <c r="E72" s="451"/>
      <c r="F72" s="452"/>
      <c r="G72" s="452"/>
      <c r="H72" s="452"/>
      <c r="I72" s="451"/>
      <c r="J72" s="451"/>
      <c r="K72" s="451"/>
    </row>
    <row r="73" spans="1:12" ht="18" customHeight="1">
      <c r="A73" s="409"/>
      <c r="B73" s="451"/>
      <c r="C73" s="451"/>
      <c r="D73" s="451"/>
      <c r="E73" s="451"/>
      <c r="F73" s="452"/>
      <c r="G73" s="452"/>
      <c r="H73" s="452"/>
      <c r="I73" s="451"/>
      <c r="J73" s="451"/>
      <c r="K73" s="451"/>
    </row>
    <row r="77" spans="1:12" ht="15">
      <c r="A77" s="594" t="s">
        <v>431</v>
      </c>
      <c r="B77" s="576"/>
      <c r="C77" s="576"/>
      <c r="D77" s="576"/>
      <c r="E77" s="576"/>
      <c r="F77" s="576"/>
      <c r="G77" s="576"/>
      <c r="H77" s="576"/>
      <c r="I77" s="576"/>
      <c r="J77" s="576"/>
      <c r="K77" s="576"/>
    </row>
    <row r="78" spans="1:12">
      <c r="G78" s="407"/>
      <c r="H78" s="407"/>
      <c r="I78" s="407"/>
      <c r="J78" s="407"/>
      <c r="K78" s="404"/>
    </row>
    <row r="79" spans="1:12" ht="15">
      <c r="A79" s="571" t="s">
        <v>432</v>
      </c>
      <c r="B79" s="571"/>
      <c r="C79" s="571"/>
      <c r="D79" s="571"/>
      <c r="E79" s="571"/>
      <c r="F79" s="572" t="s">
        <v>433</v>
      </c>
      <c r="G79" s="572"/>
      <c r="H79" s="572"/>
      <c r="I79" s="572"/>
      <c r="J79" s="572"/>
      <c r="K79" s="573"/>
      <c r="L79" s="410"/>
    </row>
    <row r="80" spans="1:12" ht="15">
      <c r="A80" s="571" t="s">
        <v>434</v>
      </c>
      <c r="B80" s="571"/>
      <c r="C80" s="571"/>
      <c r="D80" s="571"/>
      <c r="E80" s="571"/>
      <c r="F80" s="572" t="s">
        <v>516</v>
      </c>
      <c r="G80" s="572"/>
      <c r="H80" s="572"/>
      <c r="I80" s="572"/>
      <c r="J80" s="572"/>
      <c r="K80" s="573"/>
      <c r="L80" s="410"/>
    </row>
    <row r="81" spans="1:12" ht="15">
      <c r="A81" s="571" t="s">
        <v>436</v>
      </c>
      <c r="B81" s="571"/>
      <c r="C81" s="571"/>
      <c r="D81" s="571"/>
      <c r="E81" s="571"/>
      <c r="F81" s="572" t="s">
        <v>437</v>
      </c>
      <c r="G81" s="572"/>
      <c r="H81" s="572"/>
      <c r="I81" s="572"/>
      <c r="J81" s="572"/>
      <c r="K81" s="573"/>
      <c r="L81" s="411"/>
    </row>
    <row r="82" spans="1:12" ht="15">
      <c r="A82" s="571" t="s">
        <v>438</v>
      </c>
      <c r="B82" s="571"/>
      <c r="C82" s="571"/>
      <c r="D82" s="571"/>
      <c r="E82" s="571"/>
      <c r="F82" s="572" t="s">
        <v>399</v>
      </c>
      <c r="G82" s="572"/>
      <c r="H82" s="572"/>
      <c r="I82" s="572"/>
      <c r="J82" s="572"/>
      <c r="K82" s="573"/>
      <c r="L82" s="410"/>
    </row>
    <row r="83" spans="1:12" ht="15">
      <c r="A83" s="571" t="s">
        <v>439</v>
      </c>
      <c r="B83" s="571"/>
      <c r="C83" s="571"/>
      <c r="D83" s="571"/>
      <c r="E83" s="571"/>
      <c r="F83" s="572">
        <v>2</v>
      </c>
      <c r="G83" s="572"/>
      <c r="H83" s="572"/>
      <c r="I83" s="572"/>
      <c r="J83" s="572"/>
      <c r="K83" s="573"/>
    </row>
    <row r="84" spans="1:12" ht="15">
      <c r="A84" s="571" t="s">
        <v>440</v>
      </c>
      <c r="B84" s="571"/>
      <c r="C84" s="571"/>
      <c r="D84" s="571"/>
      <c r="E84" s="571"/>
      <c r="F84" s="572" t="s">
        <v>401</v>
      </c>
      <c r="G84" s="572"/>
      <c r="H84" s="572"/>
      <c r="I84" s="572"/>
      <c r="J84" s="572"/>
      <c r="K84" s="573"/>
    </row>
    <row r="85" spans="1:12" ht="15">
      <c r="A85" s="571" t="s">
        <v>441</v>
      </c>
      <c r="B85" s="571"/>
      <c r="C85" s="571"/>
      <c r="D85" s="571"/>
      <c r="E85" s="571"/>
      <c r="F85" s="572" t="s">
        <v>517</v>
      </c>
      <c r="G85" s="572"/>
      <c r="H85" s="572"/>
      <c r="I85" s="572"/>
      <c r="J85" s="572"/>
      <c r="K85" s="573"/>
      <c r="L85" s="410"/>
    </row>
    <row r="86" spans="1:12" ht="15">
      <c r="A86" s="571" t="s">
        <v>443</v>
      </c>
      <c r="B86" s="571"/>
      <c r="C86" s="571"/>
      <c r="D86" s="571"/>
      <c r="E86" s="571"/>
      <c r="F86" s="572" t="s">
        <v>518</v>
      </c>
      <c r="G86" s="572"/>
      <c r="H86" s="572"/>
      <c r="I86" s="572"/>
      <c r="J86" s="572"/>
      <c r="K86" s="573"/>
    </row>
    <row r="87" spans="1:12">
      <c r="A87" s="412"/>
      <c r="B87" s="412"/>
      <c r="C87" s="412"/>
      <c r="D87" s="412"/>
      <c r="E87" s="412"/>
      <c r="F87" s="412"/>
      <c r="G87" s="412"/>
      <c r="H87" s="412"/>
      <c r="I87" s="412"/>
      <c r="J87" s="412"/>
      <c r="K87" s="413"/>
    </row>
    <row r="88" spans="1:12" ht="15">
      <c r="A88" s="576" t="s">
        <v>445</v>
      </c>
      <c r="B88" s="576"/>
      <c r="C88" s="576"/>
      <c r="D88" s="576"/>
      <c r="E88" s="576"/>
      <c r="F88" s="576"/>
      <c r="G88" s="576"/>
      <c r="H88" s="576"/>
      <c r="I88" s="576"/>
      <c r="J88" s="576"/>
      <c r="K88" s="576"/>
    </row>
    <row r="89" spans="1:12">
      <c r="K89" s="404"/>
    </row>
    <row r="90" spans="1:12" ht="15">
      <c r="A90" s="595" t="s">
        <v>446</v>
      </c>
      <c r="B90" s="595"/>
      <c r="C90" s="595"/>
      <c r="D90" s="595"/>
      <c r="E90" s="595"/>
      <c r="F90" s="572">
        <v>0</v>
      </c>
      <c r="G90" s="572"/>
      <c r="H90" s="572"/>
      <c r="I90" s="572"/>
      <c r="J90" s="572"/>
      <c r="K90" s="573"/>
    </row>
    <row r="91" spans="1:12" ht="15">
      <c r="A91" s="596" t="s">
        <v>447</v>
      </c>
      <c r="B91" s="595"/>
      <c r="C91" s="595"/>
      <c r="D91" s="595"/>
      <c r="E91" s="595"/>
      <c r="F91" s="572">
        <v>2</v>
      </c>
      <c r="G91" s="572"/>
      <c r="H91" s="572"/>
      <c r="I91" s="572"/>
      <c r="J91" s="572"/>
      <c r="K91" s="573"/>
    </row>
    <row r="92" spans="1:12" ht="15">
      <c r="A92" s="595" t="s">
        <v>448</v>
      </c>
      <c r="B92" s="595"/>
      <c r="C92" s="595"/>
      <c r="D92" s="595"/>
      <c r="E92" s="595"/>
      <c r="F92" s="572">
        <f>F90+F91</f>
        <v>2</v>
      </c>
      <c r="G92" s="572"/>
      <c r="H92" s="572"/>
      <c r="I92" s="572"/>
      <c r="J92" s="572"/>
      <c r="K92" s="573"/>
    </row>
    <row r="93" spans="1:12" ht="15">
      <c r="A93" s="595" t="s">
        <v>449</v>
      </c>
      <c r="B93" s="595"/>
      <c r="C93" s="595"/>
      <c r="D93" s="595"/>
      <c r="E93" s="595"/>
      <c r="F93" s="572" t="s">
        <v>425</v>
      </c>
      <c r="G93" s="572"/>
      <c r="H93" s="572"/>
      <c r="I93" s="572"/>
      <c r="J93" s="572"/>
      <c r="K93" s="573"/>
    </row>
    <row r="94" spans="1:12">
      <c r="A94" s="412"/>
      <c r="B94" s="412"/>
      <c r="C94" s="412"/>
      <c r="D94" s="412"/>
      <c r="E94" s="412"/>
      <c r="F94" s="412"/>
      <c r="G94" s="412"/>
      <c r="H94" s="412"/>
      <c r="I94" s="412"/>
      <c r="J94" s="412"/>
      <c r="K94" s="413"/>
    </row>
    <row r="95" spans="1:12">
      <c r="A95" s="409"/>
      <c r="B95" s="409"/>
      <c r="C95" s="409"/>
      <c r="D95" s="409"/>
      <c r="E95" s="409"/>
      <c r="F95" s="414"/>
      <c r="G95" s="414"/>
      <c r="H95" s="414"/>
      <c r="I95" s="414"/>
      <c r="J95" s="414"/>
    </row>
    <row r="96" spans="1:12" ht="15">
      <c r="A96" s="576" t="s">
        <v>450</v>
      </c>
      <c r="B96" s="576"/>
      <c r="C96" s="576"/>
      <c r="D96" s="576"/>
      <c r="E96" s="576"/>
      <c r="F96" s="576"/>
      <c r="G96" s="576"/>
      <c r="H96" s="576"/>
      <c r="I96" s="576"/>
      <c r="J96" s="576"/>
      <c r="K96" s="576"/>
    </row>
    <row r="98" spans="1:10" ht="15">
      <c r="A98" s="450" t="s">
        <v>451</v>
      </c>
    </row>
    <row r="99" spans="1:10">
      <c r="A99" s="415" t="s">
        <v>452</v>
      </c>
      <c r="B99" s="415" t="s">
        <v>453</v>
      </c>
      <c r="C99" s="415" t="s">
        <v>454</v>
      </c>
      <c r="D99" s="415" t="s">
        <v>316</v>
      </c>
      <c r="E99" s="415" t="s">
        <v>317</v>
      </c>
      <c r="F99" s="415" t="s">
        <v>318</v>
      </c>
      <c r="G99" s="416" t="s">
        <v>319</v>
      </c>
      <c r="H99" s="415" t="s">
        <v>519</v>
      </c>
      <c r="I99" s="415" t="s">
        <v>320</v>
      </c>
      <c r="J99" s="415" t="s">
        <v>321</v>
      </c>
    </row>
    <row r="100" spans="1:10">
      <c r="A100" s="403" t="s">
        <v>399</v>
      </c>
      <c r="B100" s="403">
        <v>3</v>
      </c>
      <c r="C100" s="403" t="s">
        <v>307</v>
      </c>
      <c r="D100" s="403" t="s">
        <v>326</v>
      </c>
      <c r="F100" s="403" t="s">
        <v>520</v>
      </c>
      <c r="G100" s="417">
        <v>1755498.38</v>
      </c>
      <c r="H100" s="403" t="s">
        <v>324</v>
      </c>
    </row>
    <row r="101" spans="1:10">
      <c r="A101" s="403" t="s">
        <v>401</v>
      </c>
      <c r="B101" s="403">
        <v>7</v>
      </c>
      <c r="C101" s="403" t="s">
        <v>307</v>
      </c>
      <c r="D101" s="403" t="s">
        <v>329</v>
      </c>
      <c r="F101" s="403" t="s">
        <v>521</v>
      </c>
      <c r="G101" s="417">
        <v>346802.47</v>
      </c>
      <c r="H101" s="403" t="s">
        <v>330</v>
      </c>
    </row>
    <row r="102" spans="1:10">
      <c r="G102" s="417"/>
    </row>
    <row r="103" spans="1:10">
      <c r="A103" s="403" t="s">
        <v>457</v>
      </c>
      <c r="B103" s="403">
        <v>4</v>
      </c>
      <c r="C103" s="403" t="s">
        <v>458</v>
      </c>
      <c r="D103" s="403" t="s">
        <v>309</v>
      </c>
      <c r="F103" s="403" t="s">
        <v>455</v>
      </c>
      <c r="G103" s="417">
        <v>1258532.6100000001</v>
      </c>
      <c r="H103" s="403" t="s">
        <v>324</v>
      </c>
    </row>
    <row r="104" spans="1:10">
      <c r="A104" s="403" t="s">
        <v>460</v>
      </c>
      <c r="B104" s="403">
        <v>5</v>
      </c>
      <c r="C104" s="403" t="s">
        <v>458</v>
      </c>
      <c r="D104" s="403" t="s">
        <v>327</v>
      </c>
      <c r="F104" s="403" t="s">
        <v>522</v>
      </c>
      <c r="G104" s="417">
        <v>107180.49</v>
      </c>
      <c r="H104" s="403" t="s">
        <v>324</v>
      </c>
    </row>
    <row r="105" spans="1:10">
      <c r="G105" s="417"/>
    </row>
  </sheetData>
  <sheetProtection password="B52E" sheet="1" formatCells="0" formatColumns="0" formatRows="0" sort="0" autoFilter="0"/>
  <mergeCells count="144">
    <mergeCell ref="A92:E92"/>
    <mergeCell ref="F92:K92"/>
    <mergeCell ref="A93:E93"/>
    <mergeCell ref="F93:K93"/>
    <mergeCell ref="A96:K96"/>
    <mergeCell ref="A86:E86"/>
    <mergeCell ref="F86:K86"/>
    <mergeCell ref="A88:K88"/>
    <mergeCell ref="A90:E90"/>
    <mergeCell ref="F90:K90"/>
    <mergeCell ref="A91:E91"/>
    <mergeCell ref="F91:K91"/>
    <mergeCell ref="A83:E83"/>
    <mergeCell ref="F83:K83"/>
    <mergeCell ref="A84:E84"/>
    <mergeCell ref="F84:K84"/>
    <mergeCell ref="A85:E85"/>
    <mergeCell ref="F85:K85"/>
    <mergeCell ref="A80:E80"/>
    <mergeCell ref="F80:K80"/>
    <mergeCell ref="A81:E81"/>
    <mergeCell ref="F81:K81"/>
    <mergeCell ref="A82:E82"/>
    <mergeCell ref="F82:K82"/>
    <mergeCell ref="B68:E68"/>
    <mergeCell ref="F68:K68"/>
    <mergeCell ref="B69:E69"/>
    <mergeCell ref="F69:K69"/>
    <mergeCell ref="A77:K77"/>
    <mergeCell ref="A79:E79"/>
    <mergeCell ref="F79:K79"/>
    <mergeCell ref="B65:E65"/>
    <mergeCell ref="F65:K65"/>
    <mergeCell ref="B66:E66"/>
    <mergeCell ref="F66:K66"/>
    <mergeCell ref="B67:E67"/>
    <mergeCell ref="F67:K67"/>
    <mergeCell ref="B62:E62"/>
    <mergeCell ref="F62:K62"/>
    <mergeCell ref="B63:E63"/>
    <mergeCell ref="F63:K63"/>
    <mergeCell ref="B64:E64"/>
    <mergeCell ref="F64:K64"/>
    <mergeCell ref="B59:E59"/>
    <mergeCell ref="F59:K59"/>
    <mergeCell ref="B60:E60"/>
    <mergeCell ref="F60:K60"/>
    <mergeCell ref="B61:E61"/>
    <mergeCell ref="F61:K61"/>
    <mergeCell ref="B56:E56"/>
    <mergeCell ref="F56:K56"/>
    <mergeCell ref="B57:E57"/>
    <mergeCell ref="F57:K57"/>
    <mergeCell ref="B58:E58"/>
    <mergeCell ref="F58:K58"/>
    <mergeCell ref="A51:E51"/>
    <mergeCell ref="F51:K51"/>
    <mergeCell ref="A53:K53"/>
    <mergeCell ref="B54:E54"/>
    <mergeCell ref="F54:K54"/>
    <mergeCell ref="B55:E55"/>
    <mergeCell ref="F55:K55"/>
    <mergeCell ref="A46:E46"/>
    <mergeCell ref="F46:K46"/>
    <mergeCell ref="A47:E47"/>
    <mergeCell ref="A48:E48"/>
    <mergeCell ref="F48:K48"/>
    <mergeCell ref="A49:E49"/>
    <mergeCell ref="F49:K49"/>
    <mergeCell ref="A43:E43"/>
    <mergeCell ref="F43:K43"/>
    <mergeCell ref="A44:E44"/>
    <mergeCell ref="F44:K44"/>
    <mergeCell ref="A45:E45"/>
    <mergeCell ref="F45:K45"/>
    <mergeCell ref="A40:E40"/>
    <mergeCell ref="F40:K40"/>
    <mergeCell ref="A41:E41"/>
    <mergeCell ref="F41:K41"/>
    <mergeCell ref="A42:E42"/>
    <mergeCell ref="F42:K42"/>
    <mergeCell ref="A35:K35"/>
    <mergeCell ref="A37:E37"/>
    <mergeCell ref="A38:E38"/>
    <mergeCell ref="F38:K38"/>
    <mergeCell ref="A39:E39"/>
    <mergeCell ref="F39:K39"/>
    <mergeCell ref="A30:K30"/>
    <mergeCell ref="A31:E31"/>
    <mergeCell ref="F31:K31"/>
    <mergeCell ref="A32:E32"/>
    <mergeCell ref="F32:K32"/>
    <mergeCell ref="A33:E33"/>
    <mergeCell ref="F33:K33"/>
    <mergeCell ref="A28:D28"/>
    <mergeCell ref="E28:G28"/>
    <mergeCell ref="H28:K28"/>
    <mergeCell ref="A29:D29"/>
    <mergeCell ref="E29:F29"/>
    <mergeCell ref="H29:K29"/>
    <mergeCell ref="A22:E22"/>
    <mergeCell ref="F22:K22"/>
    <mergeCell ref="A24:K24"/>
    <mergeCell ref="A26:K26"/>
    <mergeCell ref="A27:D27"/>
    <mergeCell ref="E27:F27"/>
    <mergeCell ref="H27:K27"/>
    <mergeCell ref="A19:E19"/>
    <mergeCell ref="F19:K19"/>
    <mergeCell ref="A20:E20"/>
    <mergeCell ref="F20:K20"/>
    <mergeCell ref="A21:E21"/>
    <mergeCell ref="F21:K21"/>
    <mergeCell ref="A16:E16"/>
    <mergeCell ref="F16:K16"/>
    <mergeCell ref="A17:E17"/>
    <mergeCell ref="F17:K17"/>
    <mergeCell ref="A18:E18"/>
    <mergeCell ref="F18:K18"/>
    <mergeCell ref="A13:E13"/>
    <mergeCell ref="F13:K13"/>
    <mergeCell ref="A14:E14"/>
    <mergeCell ref="F14:K14"/>
    <mergeCell ref="A15:E15"/>
    <mergeCell ref="F15:K15"/>
    <mergeCell ref="A12:E12"/>
    <mergeCell ref="F12:K12"/>
    <mergeCell ref="A4:C4"/>
    <mergeCell ref="D4:K4"/>
    <mergeCell ref="A6:K6"/>
    <mergeCell ref="A8:E8"/>
    <mergeCell ref="F8:K8"/>
    <mergeCell ref="A9:E9"/>
    <mergeCell ref="F9:K9"/>
    <mergeCell ref="B1:F1"/>
    <mergeCell ref="G1:K1"/>
    <mergeCell ref="A2:C2"/>
    <mergeCell ref="D2:K2"/>
    <mergeCell ref="A3:C3"/>
    <mergeCell ref="D3:K3"/>
    <mergeCell ref="A10:E10"/>
    <mergeCell ref="F10:K10"/>
    <mergeCell ref="A11:E11"/>
    <mergeCell ref="F11:K11"/>
  </mergeCells>
  <phoneticPr fontId="77" type="noConversion"/>
  <pageMargins left="0.7" right="0.7" top="0.75" bottom="0.75" header="0.3" footer="0.3"/>
  <pageSetup paperSize="9"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9E7B4-71BC-45B0-AE3A-C8A394C457C7}">
  <dimension ref="A1:K30"/>
  <sheetViews>
    <sheetView showGridLines="0" zoomScale="70" zoomScaleNormal="70" workbookViewId="0">
      <selection activeCell="I43" sqref="I43"/>
    </sheetView>
  </sheetViews>
  <sheetFormatPr defaultColWidth="8.85546875" defaultRowHeight="15" customHeight="1"/>
  <cols>
    <col min="1" max="1" width="2.5703125" style="24" customWidth="1"/>
    <col min="2" max="2" width="15.85546875" style="24" customWidth="1"/>
    <col min="3" max="3" width="24.85546875" style="24" customWidth="1"/>
    <col min="4" max="4" width="15.85546875" style="24" customWidth="1"/>
    <col min="5" max="5" width="20.85546875" style="24" customWidth="1"/>
    <col min="6" max="6" width="26.140625" style="24" customWidth="1"/>
    <col min="7" max="7" width="35.85546875" style="24" customWidth="1"/>
    <col min="8" max="8" width="20.140625" style="24" customWidth="1"/>
    <col min="9" max="9" width="35.85546875" style="24" customWidth="1"/>
    <col min="10" max="10" width="2.5703125" style="24" customWidth="1"/>
    <col min="11" max="11" width="1.5703125" style="24" customWidth="1"/>
    <col min="12" max="16384" width="8.85546875" style="24"/>
  </cols>
  <sheetData>
    <row r="1" spans="1:11" s="25" customFormat="1" ht="50.1" customHeight="1">
      <c r="A1" s="24"/>
      <c r="B1" s="388" t="s">
        <v>244</v>
      </c>
      <c r="C1" s="389"/>
      <c r="D1" s="390"/>
      <c r="E1" s="390"/>
      <c r="F1" s="390"/>
      <c r="G1" s="390"/>
      <c r="H1" s="390"/>
      <c r="I1" s="391"/>
      <c r="K1" s="26"/>
    </row>
    <row r="2" spans="1:11" s="25" customFormat="1" ht="30" customHeight="1">
      <c r="A2" s="24"/>
      <c r="B2" s="356" t="s">
        <v>523</v>
      </c>
      <c r="C2" s="269"/>
      <c r="D2" s="269"/>
      <c r="E2" s="269"/>
      <c r="F2" s="269"/>
      <c r="G2" s="269"/>
      <c r="H2" s="269"/>
      <c r="I2" s="357"/>
      <c r="K2" s="26"/>
    </row>
    <row r="3" spans="1:11" s="25" customFormat="1" ht="15" customHeight="1">
      <c r="A3" s="24"/>
      <c r="B3" s="27"/>
      <c r="C3" s="27"/>
      <c r="D3" s="27"/>
      <c r="E3" s="27"/>
      <c r="F3" s="27"/>
      <c r="G3" s="27"/>
      <c r="H3" s="27"/>
      <c r="I3" s="27"/>
      <c r="K3" s="26"/>
    </row>
    <row r="4" spans="1:11" s="25" customFormat="1" ht="15" customHeight="1">
      <c r="A4" s="24"/>
      <c r="B4" s="112" t="s">
        <v>524</v>
      </c>
      <c r="C4" s="27"/>
      <c r="D4" s="27"/>
      <c r="E4" s="27"/>
      <c r="F4" s="27"/>
      <c r="G4" s="27"/>
      <c r="H4" s="27"/>
      <c r="I4" s="27"/>
      <c r="K4" s="26"/>
    </row>
    <row r="5" spans="1:11" s="25" customFormat="1" ht="15" customHeight="1">
      <c r="A5" s="24"/>
      <c r="B5" s="27"/>
      <c r="C5" s="27"/>
      <c r="D5" s="27"/>
      <c r="E5" s="27"/>
      <c r="F5" s="27"/>
      <c r="G5" s="27"/>
      <c r="H5" s="27"/>
      <c r="I5" s="27"/>
      <c r="K5" s="26"/>
    </row>
    <row r="6" spans="1:11" ht="15" customHeight="1">
      <c r="B6" s="191" t="s">
        <v>525</v>
      </c>
      <c r="C6" s="30"/>
      <c r="D6" s="31"/>
      <c r="E6" s="31"/>
      <c r="F6" s="31"/>
      <c r="G6" s="31"/>
      <c r="H6" s="31"/>
      <c r="I6" s="31"/>
      <c r="K6" s="28"/>
    </row>
    <row r="7" spans="1:11" ht="15" customHeight="1">
      <c r="B7" s="630"/>
      <c r="C7" s="631"/>
      <c r="D7" s="631"/>
      <c r="E7" s="631"/>
      <c r="F7" s="632"/>
      <c r="G7" s="237"/>
      <c r="H7" s="237"/>
      <c r="I7" s="237"/>
      <c r="K7" s="28"/>
    </row>
    <row r="8" spans="1:11" ht="15" customHeight="1">
      <c r="B8" s="633"/>
      <c r="C8" s="634"/>
      <c r="D8" s="634"/>
      <c r="E8" s="634"/>
      <c r="F8" s="635"/>
      <c r="G8" s="237"/>
      <c r="H8" s="237"/>
      <c r="I8" s="237"/>
      <c r="K8" s="28"/>
    </row>
    <row r="9" spans="1:11" ht="15" customHeight="1">
      <c r="B9" s="633"/>
      <c r="C9" s="634"/>
      <c r="D9" s="634"/>
      <c r="E9" s="634"/>
      <c r="F9" s="635"/>
      <c r="G9" s="237"/>
      <c r="H9" s="237"/>
      <c r="I9" s="237"/>
      <c r="K9" s="28"/>
    </row>
    <row r="10" spans="1:11" ht="15" customHeight="1">
      <c r="B10" s="636"/>
      <c r="C10" s="637"/>
      <c r="D10" s="637"/>
      <c r="E10" s="637"/>
      <c r="F10" s="638"/>
      <c r="G10" s="192"/>
      <c r="H10" s="192"/>
      <c r="I10" s="192"/>
      <c r="K10" s="28"/>
    </row>
    <row r="11" spans="1:11" ht="15" customHeight="1">
      <c r="B11" s="32"/>
      <c r="C11" s="32"/>
      <c r="D11" s="33"/>
      <c r="F11" s="34"/>
      <c r="G11" s="192"/>
      <c r="H11" s="192"/>
      <c r="I11" s="192"/>
      <c r="K11" s="28"/>
    </row>
    <row r="12" spans="1:11" ht="15" customHeight="1">
      <c r="A12" s="217"/>
      <c r="B12" s="639" t="s">
        <v>526</v>
      </c>
      <c r="C12" s="640"/>
      <c r="D12" s="640"/>
      <c r="E12" s="640"/>
      <c r="F12" s="641"/>
      <c r="G12" s="192"/>
      <c r="H12" s="192"/>
      <c r="I12" s="192"/>
      <c r="K12" s="28"/>
    </row>
    <row r="13" spans="1:11" ht="15" customHeight="1">
      <c r="B13" s="392" t="s">
        <v>527</v>
      </c>
      <c r="C13" s="393"/>
      <c r="D13" s="393"/>
      <c r="E13" s="393"/>
      <c r="F13" s="394"/>
      <c r="G13" s="192"/>
      <c r="H13" s="192"/>
      <c r="I13" s="192"/>
      <c r="K13" s="28"/>
    </row>
    <row r="14" spans="1:11" ht="30.95" customHeight="1">
      <c r="B14" s="642" t="s">
        <v>528</v>
      </c>
      <c r="C14" s="643"/>
      <c r="D14" s="643"/>
      <c r="E14" s="643"/>
      <c r="F14" s="644"/>
      <c r="K14" s="28"/>
    </row>
    <row r="15" spans="1:11" ht="15" customHeight="1">
      <c r="B15" s="35"/>
      <c r="C15" s="36"/>
      <c r="D15" s="36"/>
      <c r="E15" s="36"/>
      <c r="F15" s="36"/>
      <c r="G15" s="36"/>
      <c r="H15" s="36"/>
      <c r="I15" s="36"/>
      <c r="K15" s="28"/>
    </row>
    <row r="16" spans="1:11" ht="30" customHeight="1">
      <c r="H16" s="397" t="s">
        <v>529</v>
      </c>
      <c r="I16" s="36"/>
      <c r="K16" s="28"/>
    </row>
    <row r="17" spans="1:11" ht="44.45" customHeight="1">
      <c r="B17" s="263" t="s">
        <v>530</v>
      </c>
      <c r="C17" s="263" t="s">
        <v>531</v>
      </c>
      <c r="D17" s="263" t="s">
        <v>532</v>
      </c>
      <c r="E17" s="263" t="s">
        <v>301</v>
      </c>
      <c r="F17" s="263" t="s">
        <v>533</v>
      </c>
      <c r="G17" s="263" t="s">
        <v>534</v>
      </c>
      <c r="H17" s="263">
        <v>1</v>
      </c>
      <c r="I17" s="263" t="s">
        <v>535</v>
      </c>
      <c r="K17" s="28"/>
    </row>
    <row r="18" spans="1:11" ht="15" customHeight="1">
      <c r="B18" s="270">
        <v>1</v>
      </c>
      <c r="C18" s="296"/>
      <c r="D18" s="264"/>
      <c r="E18" s="264"/>
      <c r="F18" s="265"/>
      <c r="G18" s="264"/>
      <c r="H18" s="264"/>
      <c r="I18" s="264"/>
      <c r="K18" s="28"/>
    </row>
    <row r="19" spans="1:11" ht="15" customHeight="1">
      <c r="B19" s="270">
        <v>2</v>
      </c>
      <c r="C19" s="296"/>
      <c r="D19" s="264"/>
      <c r="E19" s="264"/>
      <c r="F19" s="265"/>
      <c r="G19" s="264"/>
      <c r="H19" s="264"/>
      <c r="I19" s="264"/>
      <c r="K19" s="28"/>
    </row>
    <row r="20" spans="1:11" ht="15" customHeight="1">
      <c r="B20" s="270">
        <v>3</v>
      </c>
      <c r="C20" s="296"/>
      <c r="D20" s="264"/>
      <c r="E20" s="264"/>
      <c r="F20" s="265"/>
      <c r="G20" s="264"/>
      <c r="H20" s="264"/>
      <c r="I20" s="264"/>
      <c r="K20" s="28"/>
    </row>
    <row r="21" spans="1:11" ht="15" customHeight="1">
      <c r="B21" s="270">
        <v>4</v>
      </c>
      <c r="C21" s="296"/>
      <c r="D21" s="264"/>
      <c r="E21" s="264"/>
      <c r="F21" s="265"/>
      <c r="G21" s="264"/>
      <c r="H21" s="264"/>
      <c r="I21" s="264"/>
      <c r="K21" s="28"/>
    </row>
    <row r="22" spans="1:11" ht="15" customHeight="1">
      <c r="B22" s="270">
        <v>5</v>
      </c>
      <c r="C22" s="296"/>
      <c r="D22" s="264"/>
      <c r="E22" s="264"/>
      <c r="F22" s="265"/>
      <c r="G22" s="264"/>
      <c r="H22" s="264"/>
      <c r="I22" s="264"/>
      <c r="K22" s="28"/>
    </row>
    <row r="23" spans="1:11" ht="15" customHeight="1">
      <c r="B23" s="35"/>
      <c r="C23" s="36"/>
      <c r="D23" s="36"/>
      <c r="E23" s="36"/>
      <c r="F23" s="36"/>
      <c r="G23" s="36"/>
      <c r="H23" s="36"/>
      <c r="I23" s="36"/>
      <c r="K23" s="28"/>
    </row>
    <row r="24" spans="1:11" ht="15" customHeight="1">
      <c r="B24" s="619" t="s">
        <v>536</v>
      </c>
      <c r="C24" s="619"/>
      <c r="D24" s="619"/>
      <c r="E24" s="619"/>
      <c r="F24" s="619"/>
      <c r="G24" s="619"/>
      <c r="H24" s="619"/>
      <c r="I24" s="36"/>
      <c r="K24" s="28"/>
    </row>
    <row r="25" spans="1:11" ht="15" customHeight="1">
      <c r="B25" s="605"/>
      <c r="C25" s="623"/>
      <c r="D25" s="623"/>
      <c r="E25" s="623"/>
      <c r="F25" s="624"/>
      <c r="G25" s="111"/>
      <c r="H25" s="111"/>
      <c r="I25" s="36"/>
      <c r="K25" s="28"/>
    </row>
    <row r="26" spans="1:11" ht="15" customHeight="1">
      <c r="B26" s="625"/>
      <c r="C26" s="613"/>
      <c r="D26" s="613"/>
      <c r="E26" s="613"/>
      <c r="F26" s="626"/>
      <c r="G26" s="111"/>
      <c r="H26" s="111"/>
      <c r="I26" s="36"/>
      <c r="K26" s="28"/>
    </row>
    <row r="27" spans="1:11" ht="15" customHeight="1">
      <c r="B27" s="625"/>
      <c r="C27" s="613"/>
      <c r="D27" s="613"/>
      <c r="E27" s="613"/>
      <c r="F27" s="626"/>
      <c r="G27" s="111"/>
      <c r="H27" s="111"/>
      <c r="I27" s="36"/>
      <c r="K27" s="28"/>
    </row>
    <row r="28" spans="1:11" ht="15" customHeight="1">
      <c r="B28" s="627"/>
      <c r="C28" s="628"/>
      <c r="D28" s="628"/>
      <c r="E28" s="628"/>
      <c r="F28" s="629"/>
      <c r="G28" s="111"/>
      <c r="H28" s="111"/>
      <c r="I28" s="36"/>
      <c r="K28" s="28"/>
    </row>
    <row r="29" spans="1:11" ht="15" customHeight="1">
      <c r="I29" s="36"/>
      <c r="K29" s="28"/>
    </row>
    <row r="30" spans="1:11" ht="7.5" customHeight="1">
      <c r="A30" s="28"/>
      <c r="B30" s="28"/>
      <c r="C30" s="28"/>
      <c r="D30" s="28"/>
      <c r="E30" s="28"/>
      <c r="F30" s="28"/>
      <c r="G30" s="28"/>
      <c r="H30" s="28"/>
      <c r="I30" s="28"/>
      <c r="J30" s="28"/>
      <c r="K30" s="28"/>
    </row>
  </sheetData>
  <sheetProtection formatCells="0" formatColumns="0" formatRows="0" insertColumns="0" insertRows="0" insertHyperlinks="0" deleteColumns="0" deleteRows="0" sort="0" autoFilter="0" pivotTables="0"/>
  <mergeCells count="5">
    <mergeCell ref="B25:F28"/>
    <mergeCell ref="B24:H24"/>
    <mergeCell ref="B7:F10"/>
    <mergeCell ref="B12:F12"/>
    <mergeCell ref="B14:F14"/>
  </mergeCells>
  <phoneticPr fontId="77" type="noConversion"/>
  <conditionalFormatting sqref="B7">
    <cfRule type="containsBlanks" dxfId="22" priority="3">
      <formula>LEN(TRIM(B7))=0</formula>
    </cfRule>
  </conditionalFormatting>
  <conditionalFormatting sqref="B25">
    <cfRule type="containsBlanks" dxfId="21" priority="2">
      <formula>LEN(TRIM(B25))=0</formula>
    </cfRule>
  </conditionalFormatting>
  <conditionalFormatting sqref="B18:I22">
    <cfRule type="containsBlanks" dxfId="20" priority="1">
      <formula>LEN(TRIM(B18))=0</formula>
    </cfRule>
  </conditionalFormatting>
  <dataValidations count="2">
    <dataValidation showInputMessage="1" showErrorMessage="1" sqref="G16" xr:uid="{57575338-C2E4-4A9A-B82F-C5D95AA158D5}"/>
    <dataValidation type="list" allowBlank="1" showInputMessage="1" sqref="H18:H22" xr:uid="{3227CBC4-E99A-4F96-AFF3-A7E9AA79EDD5}">
      <formula1>"Y,N"</formula1>
    </dataValidation>
  </dataValidations>
  <hyperlinks>
    <hyperlink ref="B4" location="汇总!A1" display="返回汇总页" xr:uid="{96376493-5931-425F-AE65-54A3146025ED}"/>
  </hyperlinks>
  <pageMargins left="0.70866141732283505" right="0.70866141732283505" top="0.74803149606299202" bottom="0.74803149606299202" header="0.31496062992126" footer="0.31496062992126"/>
  <pageSetup paperSize="9" scale="57" fitToHeight="0" orientation="landscape" horizontalDpi="300" r:id="rId1"/>
  <headerFooter>
    <oddFooter>&amp;LK SWP PPE
(24 June 2025)</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EEA8793B4E4CF489D9818C66A88A6D7" ma:contentTypeVersion="0" ma:contentTypeDescription="Create a new document." ma:contentTypeScope="" ma:versionID="19207c919fd661b55f9818d052477b5d">
  <xsd:schema xmlns:xsd="http://www.w3.org/2001/XMLSchema" xmlns:xs="http://www.w3.org/2001/XMLSchema" xmlns:p="http://schemas.microsoft.com/office/2006/metadata/properties" targetNamespace="http://schemas.microsoft.com/office/2006/metadata/properties" ma:root="true" ma:fieldsID="4b795196365d0a2ba85bf44c386000f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F695645-33C7-4290-892B-73A122324A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87203FE2-9E8B-44CC-8E2B-2AC87B3EE899}">
  <ds:schemaRefs>
    <ds:schemaRef ds:uri="http://schemas.microsoft.com/sharepoint/v3/contenttype/forms"/>
  </ds:schemaRefs>
</ds:datastoreItem>
</file>

<file path=customXml/itemProps3.xml><?xml version="1.0" encoding="utf-8"?>
<ds:datastoreItem xmlns:ds="http://schemas.openxmlformats.org/officeDocument/2006/customXml" ds:itemID="{419CB46B-3A78-4DB7-8663-BE6A6CEE9F1C}">
  <ds:schemaRefs>
    <ds:schemaRef ds:uri="http://www.w3.org/XML/1998/namespace"/>
    <ds:schemaRef ds:uri="http://purl.org/dc/terms/"/>
    <ds:schemaRef ds:uri="http://schemas.microsoft.com/office/2006/metadata/properties"/>
    <ds:schemaRef ds:uri="http://schemas.openxmlformats.org/package/2006/metadata/core-properties"/>
    <ds:schemaRef ds:uri="http://schemas.microsoft.com/office/2006/documentManagement/types"/>
    <ds:schemaRef ds:uri="http://purl.org/dc/elements/1.1/"/>
    <ds:schemaRef ds:uri="http://schemas.microsoft.com/office/infopath/2007/PartnerControl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汇总</vt:lpstr>
      <vt:lpstr>J.00  Lead Sheet</vt:lpstr>
      <vt:lpstr>J.01 Agree SL to GL</vt:lpstr>
      <vt:lpstr>J.02.1 CIP additions(TOD)</vt:lpstr>
      <vt:lpstr>CIP List</vt:lpstr>
      <vt:lpstr>J.02.1a 新增选样</vt:lpstr>
      <vt:lpstr>J.02.2 CIP transfer (TOD)</vt:lpstr>
      <vt:lpstr> J.02.2a 转出选样</vt:lpstr>
      <vt:lpstr>J.03 CIP长期挂账</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Skywind_J1_在建工程_20191231_测试公司166.xlsx</dc:title>
  <dc:subject/>
  <dc:creator>Shi Qi SQ Zhang</dc:creator>
  <cp:keywords>Final Audit.V6.J1.0901</cp:keywords>
  <dc:description>5879B484-BA49-46AF-8B1E-562824F30CEE</dc:description>
  <cp:lastModifiedBy>Jason LJ Li</cp:lastModifiedBy>
  <cp:revision/>
  <dcterms:created xsi:type="dcterms:W3CDTF">2015-06-05T18:17:00Z</dcterms:created>
  <dcterms:modified xsi:type="dcterms:W3CDTF">2026-03-11T03:16:17Z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2052-11.1.0.12358</vt:lpwstr>
  </property>
  <property fmtid="{D5CDD505-2E9C-101B-9397-08002B2CF9AE}" pid="3" name="ContentTypeId">
    <vt:lpwstr>0x0101006EEA8793B4E4CF489D9818C66A88A6D7</vt:lpwstr>
  </property>
  <property fmtid="{D5CDD505-2E9C-101B-9397-08002B2CF9AE}" pid="4" name="ICV">
    <vt:lpwstr>2A5956F74EE444778E6BFEFB12E9FD98</vt:lpwstr>
  </property>
</Properties>
</file>
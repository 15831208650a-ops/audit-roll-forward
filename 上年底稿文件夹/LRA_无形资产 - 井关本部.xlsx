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q651hw\AppData\Local\CanvasDocHelper\Evidence\b98553aacd4c47318630505f66a45591\"/>
    </mc:Choice>
  </mc:AlternateContent>
  <xr:revisionPtr revIDLastSave="0" documentId="13_ncr:1_{E19F3718-A673-4E88-887E-B03A262A3784}" xr6:coauthVersionLast="47" xr6:coauthVersionMax="47" xr10:uidLastSave="{00000000-0000-0000-0000-000000000000}"/>
  <bookViews>
    <workbookView xWindow="-110" yWindow="-110" windowWidth="25820" windowHeight="13900" activeTab="2" xr2:uid="{00000000-000D-0000-FFFF-FFFF00000000}"/>
  </bookViews>
  <sheets>
    <sheet name="使用指引" sheetId="6" r:id="rId1"/>
    <sheet name="后推明细表" sheetId="7" r:id="rId2"/>
    <sheet name="LRA_无形资产&amp;摊销费用" sheetId="8" r:id="rId3"/>
  </sheets>
  <externalReferences>
    <externalReference r:id="rId4"/>
  </externalReferences>
  <definedNames>
    <definedName name="_____dod1" localSheetId="2" hidden="1">{#N/A,#N/A,TRUE,"CPRD";#N/A,#N/A,TRUE,"BCCPDR";#N/A,#N/A,TRUE,"EWRD";#N/A,#N/A,TRUE,"5100";#N/A,#N/A,TRUE,"5110"}</definedName>
    <definedName name="_____dod1" localSheetId="1" hidden="1">{#N/A,#N/A,TRUE,"CPRD";#N/A,#N/A,TRUE,"BCCPDR";#N/A,#N/A,TRUE,"EWRD";#N/A,#N/A,TRUE,"5100";#N/A,#N/A,TRUE,"5110"}</definedName>
    <definedName name="_____dod1" hidden="1">{#N/A,#N/A,TRUE,"CPRD";#N/A,#N/A,TRUE,"BCCPDR";#N/A,#N/A,TRUE,"EWRD";#N/A,#N/A,TRUE,"5100";#N/A,#N/A,TRUE,"5110"}</definedName>
    <definedName name="____dod1" localSheetId="2" hidden="1">{#N/A,#N/A,TRUE,"CPRD";#N/A,#N/A,TRUE,"BCCPDR";#N/A,#N/A,TRUE,"EWRD";#N/A,#N/A,TRUE,"5100";#N/A,#N/A,TRUE,"5110"}</definedName>
    <definedName name="____dod1" localSheetId="1" hidden="1">{#N/A,#N/A,TRUE,"CPRD";#N/A,#N/A,TRUE,"BCCPDR";#N/A,#N/A,TRUE,"EWRD";#N/A,#N/A,TRUE,"5100";#N/A,#N/A,TRUE,"5110"}</definedName>
    <definedName name="____dod1" hidden="1">{#N/A,#N/A,TRUE,"CPRD";#N/A,#N/A,TRUE,"BCCPDR";#N/A,#N/A,TRUE,"EWRD";#N/A,#N/A,TRUE,"5100";#N/A,#N/A,TRUE,"5110"}</definedName>
    <definedName name="___dod1" localSheetId="2" hidden="1">{#N/A,#N/A,TRUE,"CPRD";#N/A,#N/A,TRUE,"BCCPDR";#N/A,#N/A,TRUE,"EWRD";#N/A,#N/A,TRUE,"5100";#N/A,#N/A,TRUE,"5110"}</definedName>
    <definedName name="___dod1" localSheetId="1" hidden="1">{#N/A,#N/A,TRUE,"CPRD";#N/A,#N/A,TRUE,"BCCPDR";#N/A,#N/A,TRUE,"EWRD";#N/A,#N/A,TRUE,"5100";#N/A,#N/A,TRUE,"5110"}</definedName>
    <definedName name="___dod1" hidden="1">{#N/A,#N/A,TRUE,"CPRD";#N/A,#N/A,TRUE,"BCCPDR";#N/A,#N/A,TRUE,"EWRD";#N/A,#N/A,TRUE,"5100";#N/A,#N/A,TRUE,"5110"}</definedName>
    <definedName name="___dog1" localSheetId="2" hidden="1">{#N/A,#N/A,TRUE,"CPRD";#N/A,#N/A,TRUE,"BCCPDR";#N/A,#N/A,TRUE,"EWRD";#N/A,#N/A,TRUE,"5100";#N/A,#N/A,TRUE,"5110"}</definedName>
    <definedName name="___dog1" localSheetId="1" hidden="1">{#N/A,#N/A,TRUE,"CPRD";#N/A,#N/A,TRUE,"BCCPDR";#N/A,#N/A,TRUE,"EWRD";#N/A,#N/A,TRUE,"5100";#N/A,#N/A,TRUE,"5110"}</definedName>
    <definedName name="___dog1" hidden="1">{#N/A,#N/A,TRUE,"CPRD";#N/A,#N/A,TRUE,"BCCPDR";#N/A,#N/A,TRUE,"EWRD";#N/A,#N/A,TRUE,"5100";#N/A,#N/A,TRUE,"5110"}</definedName>
    <definedName name="__123Graph_A" localSheetId="2" hidden="1">#REF!</definedName>
    <definedName name="__123Graph_A" hidden="1">#REF!</definedName>
    <definedName name="__123Graph_ACURRENT" localSheetId="2" hidden="1">#REF!</definedName>
    <definedName name="__123Graph_ACURRENT" hidden="1">#REF!</definedName>
    <definedName name="__123Graph_AGraph1" localSheetId="2" hidden="1">#REF!</definedName>
    <definedName name="__123Graph_AGraph1" hidden="1">#REF!</definedName>
    <definedName name="__123Graph_ANETPROFIT2" localSheetId="2" hidden="1">#REF!</definedName>
    <definedName name="__123Graph_ANETPROFIT2" hidden="1">#REF!</definedName>
    <definedName name="__123Graph_APROJECT" localSheetId="2" hidden="1">#REF!</definedName>
    <definedName name="__123Graph_APROJECT" hidden="1">#REF!</definedName>
    <definedName name="__123Graph_B" localSheetId="2" hidden="1">#REF!</definedName>
    <definedName name="__123Graph_B" hidden="1">#REF!</definedName>
    <definedName name="__123Graph_BGraph1" localSheetId="2" hidden="1">#REF!</definedName>
    <definedName name="__123Graph_BGraph1" hidden="1">#REF!</definedName>
    <definedName name="__123Graph_C" localSheetId="2" hidden="1">#REF!</definedName>
    <definedName name="__123Graph_C" hidden="1">#REF!</definedName>
    <definedName name="__123Graph_CCURRENT" localSheetId="2" hidden="1">#REF!</definedName>
    <definedName name="__123Graph_CCURRENT" hidden="1">#REF!</definedName>
    <definedName name="__123Graph_CGraph1" localSheetId="2" hidden="1">#REF!</definedName>
    <definedName name="__123Graph_CGraph1" hidden="1">#REF!</definedName>
    <definedName name="__123Graph_D" localSheetId="2" hidden="1">#REF!</definedName>
    <definedName name="__123Graph_D" hidden="1">#REF!</definedName>
    <definedName name="__123Graph_DCURRENT" localSheetId="2" hidden="1">#REF!</definedName>
    <definedName name="__123Graph_DCURRENT" hidden="1">#REF!</definedName>
    <definedName name="__123Graph_DGraph1" localSheetId="2" hidden="1">#REF!</definedName>
    <definedName name="__123Graph_DGraph1" hidden="1">#REF!</definedName>
    <definedName name="__123Graph_E" localSheetId="2" hidden="1">#REF!</definedName>
    <definedName name="__123Graph_E" hidden="1">#REF!</definedName>
    <definedName name="__123Graph_ECURRENT" localSheetId="2" hidden="1">#REF!</definedName>
    <definedName name="__123Graph_ECURRENT" hidden="1">#REF!</definedName>
    <definedName name="__123Graph_EGraph1" localSheetId="2" hidden="1">#REF!</definedName>
    <definedName name="__123Graph_EGraph1" hidden="1">#REF!</definedName>
    <definedName name="__123Graph_F" localSheetId="2" hidden="1">#REF!</definedName>
    <definedName name="__123Graph_F" hidden="1">#REF!</definedName>
    <definedName name="__123Graph_FCURRENT" localSheetId="2" hidden="1">#REF!</definedName>
    <definedName name="__123Graph_FCURRENT" hidden="1">#REF!</definedName>
    <definedName name="__123Graph_LBL_ANETPROFIT2" localSheetId="2" hidden="1">#REF!</definedName>
    <definedName name="__123Graph_LBL_ANETPROFIT2" hidden="1">#REF!</definedName>
    <definedName name="__123Graph_LBL_APROJECT" localSheetId="2" hidden="1">#REF!</definedName>
    <definedName name="__123Graph_LBL_APROJECT" hidden="1">#REF!</definedName>
    <definedName name="__123Graph_X" localSheetId="2" hidden="1">#REF!</definedName>
    <definedName name="__123Graph_X" hidden="1">#REF!</definedName>
    <definedName name="__123Graph_XGraph1" localSheetId="2"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localSheetId="2" hidden="1">{#N/A,#N/A,TRUE,"CPRD";#N/A,#N/A,TRUE,"BCCPDR";#N/A,#N/A,TRUE,"EWRD";#N/A,#N/A,TRUE,"5100";#N/A,#N/A,TRUE,"5110"}</definedName>
    <definedName name="__dod1" localSheetId="1" hidden="1">{#N/A,#N/A,TRUE,"CPRD";#N/A,#N/A,TRUE,"BCCPDR";#N/A,#N/A,TRUE,"EWRD";#N/A,#N/A,TRUE,"5100";#N/A,#N/A,TRUE,"5110"}</definedName>
    <definedName name="__dod1" hidden="1">{#N/A,#N/A,TRUE,"CPRD";#N/A,#N/A,TRUE,"BCCPDR";#N/A,#N/A,TRUE,"EWRD";#N/A,#N/A,TRUE,"5100";#N/A,#N/A,TRUE,"5110"}</definedName>
    <definedName name="__dog1" localSheetId="2" hidden="1">{#N/A,#N/A,TRUE,"CPRD";#N/A,#N/A,TRUE,"BCCPDR";#N/A,#N/A,TRUE,"EWRD";#N/A,#N/A,TRUE,"5100";#N/A,#N/A,TRUE,"5110"}</definedName>
    <definedName name="__dog1" localSheetI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localSheetId="2" hidden="1">#REF!</definedName>
    <definedName name="_1" hidden="1">#REF!</definedName>
    <definedName name="_1__123Graph_ACHART_3" localSheetId="2"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localSheetId="2" hidden="1">{#N/A,#N/A,FALSE,"²Ä1­Ó¤ë"}</definedName>
    <definedName name="_15wrn.²Ä1­Ó¤ë1_Ü20¤H." hidden="1">{#N/A,#N/A,FALSE,"²Ä1­Ó¤ë"}</definedName>
    <definedName name="_16wrn.²Ä1­Ó¤ë1_Ü20¤H." localSheetId="2" hidden="1">{#N/A,#N/A,FALSE,"²Ä1­Ó¤ë"}</definedName>
    <definedName name="_16wrn.²Ä1­Ó¤ë1_Ü20¤H." hidden="1">{#N/A,#N/A,FALSE,"²Ä1­Ó¤ë"}</definedName>
    <definedName name="_18wrn.²Ä1­Ó¤ë1_Ü20¤H." hidden="1">{#N/A,#N/A,FALSE,"²Ä1­Ó¤ë"}</definedName>
    <definedName name="_2__123Graph_BCHART_2" localSheetId="2" hidden="1">#REF!</definedName>
    <definedName name="_2__123Graph_BCHART_2" hidden="1">#REF!</definedName>
    <definedName name="_23_0_S" localSheetId="2" hidden="1">#REF!</definedName>
    <definedName name="_23_0_S" hidden="1">#REF!</definedName>
    <definedName name="_24_0_Table2_" localSheetId="2" hidden="1">#REF!</definedName>
    <definedName name="_24_0_Table2_" hidden="1">#REF!</definedName>
    <definedName name="_25_0_Table2_" localSheetId="2" hidden="1">#REF!</definedName>
    <definedName name="_25_0_Table2_" hidden="1">#REF!</definedName>
    <definedName name="_3__123Graph_BCHART_3" localSheetId="2" hidden="1">#REF!</definedName>
    <definedName name="_3__123Graph_BCHART_3" hidden="1">#REF!</definedName>
    <definedName name="_4__123Graph_CCHART_3" localSheetId="2" hidden="1">#REF!</definedName>
    <definedName name="_4__123Graph_CCHART_3" hidden="1">#REF!</definedName>
    <definedName name="_4wrn.²Ä1­Ó¤ë1_Ü20¤H." hidden="1">{#N/A,#N/A,FALSE,"²Ä1­Ó¤ë"}</definedName>
    <definedName name="_5__123Graph_DCHART_2" localSheetId="2" hidden="1">#REF!</definedName>
    <definedName name="_5__123Graph_DCHART_2" hidden="1">#REF!</definedName>
    <definedName name="_57__123Graph_ACHART_1" hidden="1">#REF!</definedName>
    <definedName name="_6__123Graph_DCHART_3" localSheetId="2" hidden="1">#REF!</definedName>
    <definedName name="_6__123Graph_DCHART_3" hidden="1">#REF!</definedName>
    <definedName name="_6_0_Table2_" localSheetId="2" hidden="1">#REF!</definedName>
    <definedName name="_6_0_Table2_"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c" hidden="1">{"Fiesta Facer Page",#N/A,FALSE,"Q_C_S";"Fiesta Main Page",#N/A,FALSE,"V_L";"Fiesta 95BP Struct",#N/A,FALSE,"StructBP";"Fiesta Post 95BP Struct",#N/A,FALSE,"AdjStructBP"}</definedName>
    <definedName name="_Dist_Bin" localSheetId="2" hidden="1">#REF!</definedName>
    <definedName name="_Dist_Bin" hidden="1">#REF!</definedName>
    <definedName name="_dod1" localSheetId="2" hidden="1">{#N/A,#N/A,TRUE,"CPRD";#N/A,#N/A,TRUE,"BCCPDR";#N/A,#N/A,TRUE,"EWRD";#N/A,#N/A,TRUE,"5100";#N/A,#N/A,TRUE,"5110"}</definedName>
    <definedName name="_dod1" localSheetId="1" hidden="1">{#N/A,#N/A,TRUE,"CPRD";#N/A,#N/A,TRUE,"BCCPDR";#N/A,#N/A,TRUE,"EWRD";#N/A,#N/A,TRUE,"5100";#N/A,#N/A,TRUE,"5110"}</definedName>
    <definedName name="_dod1" hidden="1">{#N/A,#N/A,TRUE,"CPRD";#N/A,#N/A,TRUE,"BCCPDR";#N/A,#N/A,TRUE,"EWRD";#N/A,#N/A,TRUE,"5100";#N/A,#N/A,TRUE,"5110"}</definedName>
    <definedName name="_dog1" localSheetId="2" hidden="1">{#N/A,#N/A,TRUE,"CPRD";#N/A,#N/A,TRUE,"BCCPDR";#N/A,#N/A,TRUE,"EWRD";#N/A,#N/A,TRUE,"5100";#N/A,#N/A,TRUE,"5110"}</definedName>
    <definedName name="_dog1" localSheetId="1" hidden="1">{#N/A,#N/A,TRUE,"CPRD";#N/A,#N/A,TRUE,"BCCPDR";#N/A,#N/A,TRUE,"EWRD";#N/A,#N/A,TRUE,"5100";#N/A,#N/A,TRUE,"5110"}</definedName>
    <definedName name="_dog1" hidden="1">{#N/A,#N/A,TRUE,"CPRD";#N/A,#N/A,TRUE,"BCCPDR";#N/A,#N/A,TRUE,"EWRD";#N/A,#N/A,TRUE,"5100";#N/A,#N/A,TRUE,"5110"}</definedName>
    <definedName name="_Fill" localSheetId="2" hidden="1">#REF!</definedName>
    <definedName name="_Fill" localSheetId="1" hidden="1">#REF!</definedName>
    <definedName name="_Fill" hidden="1">#REF!</definedName>
    <definedName name="_xlnm._FilterDatabase" localSheetId="2" hidden="1">#REF!</definedName>
    <definedName name="_xlnm._FilterDatabase" localSheetId="1" hidden="1">#REF!</definedName>
    <definedName name="_xlnm._FilterDatabase"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localSheetId="2" hidden="1">#REF!</definedName>
    <definedName name="_Key1" localSheetId="1" hidden="1">#REF!</definedName>
    <definedName name="_Key1" hidden="1">#REF!</definedName>
    <definedName name="_Key2" localSheetId="2" hidden="1">#REF!</definedName>
    <definedName name="_Key2" hidden="1">#REF!</definedName>
    <definedName name="_Key3" localSheetId="2" hidden="1">#REF!</definedName>
    <definedName name="_Key3" hidden="1">#REF!</definedName>
    <definedName name="_O1" localSheetId="2" hidden="1">{#N/A,#N/A,FALSE,"970301";#N/A,#N/A,FALSE,"970302";#N/A,#N/A,FALSE,"970303";#N/A,#N/A,FALSE,"970304";#N/A,#N/A,FALSE,"COM1";#N/A,#N/A,FALSE,"COM2"}</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Regression_Int" hidden="1">1</definedName>
    <definedName name="_sd2" hidden="1">{"CSC_1",#N/A,FALSE,"CSC Outputs";"CSC_2",#N/A,FALSE,"CSC Outputs"}</definedName>
    <definedName name="_Sort" localSheetId="2" hidden="1">#REF!</definedName>
    <definedName name="_Sort" localSheetId="1" hidden="1">#REF!</definedName>
    <definedName name="_Sort" hidden="1">#REF!</definedName>
    <definedName name="_Table1_In1" localSheetId="2" hidden="1">#REF!</definedName>
    <definedName name="_Table1_In1" hidden="1">#REF!</definedName>
    <definedName name="_Table1_Out" localSheetId="2" hidden="1">#REF!</definedName>
    <definedName name="_Table1_Out" hidden="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v" localSheetId="2"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localSheetId="2" hidden="1">{#N/A,#N/A,FALSE,"OffAdvance";#N/A,#N/A,FALSE,"OffExpRprt";#N/A,#N/A,FALSE,"Travelling";#N/A,#N/A,FALSE,"Entertmnt";#N/A,#N/A,FALSE,"Promotion"}</definedName>
    <definedName name="aavbrdf" hidden="1">{#N/A,#N/A,FALSE,"OffAdvance";#N/A,#N/A,FALSE,"OffExpRprt";#N/A,#N/A,FALSE,"Travelling";#N/A,#N/A,FALSE,"Entertmnt";#N/A,#N/A,FALSE,"Promotion"}</definedName>
    <definedName name="aaz" localSheetId="2" hidden="1">{#N/A,#N/A,FALSE,"资产负债表";#N/A,#N/A,FALSE,"资产负债表"}</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localSheetId="2" hidden="1">{#N/A,#N/A,FALSE,"资产负债表";#N/A,#N/A,FALSE,"资产负债表"}</definedName>
    <definedName name="ada" hidden="1">{#N/A,#N/A,FALSE,"资产负债表";#N/A,#N/A,FALSE,"资产负债表"}</definedName>
    <definedName name="adaf" localSheetId="2" hidden="1">{#N/A,#N/A,FALSE,"资产负债表";#N/A,#N/A,FALSE,"资产负债表"}</definedName>
    <definedName name="adaf"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as" localSheetId="1"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2" hidden="1">{#N/A,#N/A,FALSE,"资产负债表";#N/A,#N/A,FALSE,"资产负债表"}</definedName>
    <definedName name="afhai" hidden="1">{#N/A,#N/A,FALSE,"资产负债表";#N/A,#N/A,FALSE,"资产负债表"}</definedName>
    <definedName name="afsdavad" localSheetId="2" hidden="1">#REF!</definedName>
    <definedName name="afsdavad" hidden="1">#REF!</definedName>
    <definedName name="AGEDDATABASE" localSheetId="2" hidden="1">{#N/A,#N/A,FALSE,"970301";#N/A,#N/A,FALSE,"970302";#N/A,#N/A,FALSE,"970303";#N/A,#N/A,FALSE,"970304";#N/A,#N/A,FALSE,"COM1";#N/A,#N/A,FALSE,"COM2"}</definedName>
    <definedName name="AGEDDATABASE" hidden="1">{#N/A,#N/A,FALSE,"970301";#N/A,#N/A,FALSE,"970302";#N/A,#N/A,FALSE,"970303";#N/A,#N/A,FALSE,"970304";#N/A,#N/A,FALSE,"COM1";#N/A,#N/A,FALSE,"COM2"}</definedName>
    <definedName name="aidhaif" localSheetId="2" hidden="1">{#N/A,#N/A,FALSE,"资产负债表";#N/A,#N/A,FALSE,"资产负债表"}</definedName>
    <definedName name="aidhaif" hidden="1">{#N/A,#N/A,FALSE,"资产负债表";#N/A,#N/A,FALSE,"资产负债表"}</definedName>
    <definedName name="AJHFkjDGHF" hidden="1">{"Annual_Income",#N/A,FALSE,"Report Page";"Balance_Cash_Flow",#N/A,FALSE,"Report Page";"Quarterly_Income",#N/A,FALSE,"Report Page"}</definedName>
    <definedName name="anakf" localSheetId="2" hidden="1">{#N/A,#N/A,FALSE,"资产负债表";#N/A,#N/A,FALSE,"资产负债表"}</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localSheetId="2" hidden="1">#REF!</definedName>
    <definedName name="AS2StaticLS" hidden="1">#REF!</definedName>
    <definedName name="AS2SyncStepLS" hidden="1">0</definedName>
    <definedName name="AS2TickmarkLS" localSheetId="2" hidden="1">#REF!</definedName>
    <definedName name="AS2TickmarkLS" localSheetId="1" hidden="1">#REF!</definedName>
    <definedName name="AS2TickmarkLS" hidden="1">#REF!</definedName>
    <definedName name="AS2VersionLS" hidden="1">300</definedName>
    <definedName name="asda" hidden="1">{"CSC_1",#N/A,FALSE,"CSC Outputs";"CSC_2",#N/A,FALSE,"CSC Outputs"}</definedName>
    <definedName name="asdas" hidden="1">{#N/A,#N/A,FALSE,"Marketing";#N/A,#N/A,FALSE,"Selling";#N/A,#N/A,FALSE,"Promotional";#N/A,#N/A,FALSE,"Advertising"}</definedName>
    <definedName name="asdf" hidden="1">{#N/A,#N/A,FALSE,"970301";#N/A,#N/A,FALSE,"970302";#N/A,#N/A,FALSE,"970303";#N/A,#N/A,FALSE,"970304";#N/A,#N/A,FALSE,"COM1";#N/A,#N/A,FALSE,"COM2"}</definedName>
    <definedName name="asdg" localSheetId="2" hidden="1">{#N/A,#N/A,FALSE,"资产负债表";#N/A,#N/A,FALSE,"资产负债表"}</definedName>
    <definedName name="asdg" hidden="1">{#N/A,#N/A,FALSE,"资产负债表";#N/A,#N/A,FALSE,"资产负债表"}</definedName>
    <definedName name="ass" localSheetId="2" hidden="1">{#N/A,#N/A,TRUE,"CPRD";#N/A,#N/A,TRUE,"BCCPDR";#N/A,#N/A,TRUE,"EWRD";#N/A,#N/A,TRUE,"5100";#N/A,#N/A,TRUE,"5110"}</definedName>
    <definedName name="ass" localSheetId="1" hidden="1">{#N/A,#N/A,TRUE,"CPRD";#N/A,#N/A,TRUE,"BCCPDR";#N/A,#N/A,TRUE,"EWRD";#N/A,#N/A,TRUE,"5100";#N/A,#N/A,TRUE,"5110"}</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localSheetId="2" hidden="1">#REF!</definedName>
    <definedName name="BEx1GOL4T20ZYMEME4AOC1I2ZBV3" hidden="1">#REF!</definedName>
    <definedName name="BEx1KILOFST3VEOXVEC1QN03BHGA" localSheetId="2" hidden="1">#REF!</definedName>
    <definedName name="BEx1KILOFST3VEOXVEC1QN03BHGA" hidden="1">#REF!</definedName>
    <definedName name="BEx1M9JC5LZZOUZZJBFE1EQ0CYCC" localSheetId="2" hidden="1">#REF!</definedName>
    <definedName name="BEx1M9JC5LZZOUZZJBFE1EQ0CYCC" hidden="1">#REF!</definedName>
    <definedName name="BEx1ND8X2WN7NFW5BVSOLFH61M84" localSheetId="2" hidden="1">#REF!</definedName>
    <definedName name="BEx1ND8X2WN7NFW5BVSOLFH61M84" hidden="1">#REF!</definedName>
    <definedName name="BEx1OKPEQNPV9QNO6JU5C68PT6Q0" localSheetId="2" hidden="1">#REF!</definedName>
    <definedName name="BEx1OKPEQNPV9QNO6JU5C68PT6Q0" hidden="1">#REF!</definedName>
    <definedName name="BEx1R6T7X0940TREN8TT0TNFQPT6" localSheetId="2" hidden="1">#REF!</definedName>
    <definedName name="BEx1R6T7X0940TREN8TT0TNFQPT6" hidden="1">#REF!</definedName>
    <definedName name="BEx1WGD8QW1OO3Z8CRJZ2SLV3XOL" localSheetId="2" hidden="1">#REF!</definedName>
    <definedName name="BEx1WGD8QW1OO3Z8CRJZ2SLV3XOL" hidden="1">#REF!</definedName>
    <definedName name="BEx3BP97JNLY9I27CV38UB0ZP05T" localSheetId="2" hidden="1">#REF!</definedName>
    <definedName name="BEx3BP97JNLY9I27CV38UB0ZP05T" hidden="1">#REF!</definedName>
    <definedName name="BEx3JNRLRJ2JV5NNQZ0E6BGLEJQ7" localSheetId="2" hidden="1">#REF!</definedName>
    <definedName name="BEx3JNRLRJ2JV5NNQZ0E6BGLEJQ7" hidden="1">#REF!</definedName>
    <definedName name="BEx3LZ8GB3FK41S4MT046E3ROW74" localSheetId="2" hidden="1">#REF!</definedName>
    <definedName name="BEx3LZ8GB3FK41S4MT046E3ROW74" hidden="1">#REF!</definedName>
    <definedName name="BEx3PZU9740IPCC6H8OPE1S9GMU2" localSheetId="2" hidden="1">#REF!</definedName>
    <definedName name="BEx3PZU9740IPCC6H8OPE1S9GMU2" hidden="1">#REF!</definedName>
    <definedName name="BEx3Q8TWXITHZ3X76SJUL1PUW1CB" localSheetId="2" hidden="1">#REF!</definedName>
    <definedName name="BEx3Q8TWXITHZ3X76SJUL1PUW1CB" hidden="1">#REF!</definedName>
    <definedName name="BEx57Z6CADZGQPCAGXX3NPX2K2N0" localSheetId="2" hidden="1">#REF!</definedName>
    <definedName name="BEx57Z6CADZGQPCAGXX3NPX2K2N0" hidden="1">#REF!</definedName>
    <definedName name="BEx596C1WUINFC3E55ER7W8C6FII" localSheetId="2" hidden="1">#REF!</definedName>
    <definedName name="BEx596C1WUINFC3E55ER7W8C6FII" hidden="1">#REF!</definedName>
    <definedName name="BEx5A1NHZ01UFJAWFDKZ7Q32YCAP" localSheetId="2" hidden="1">#REF!</definedName>
    <definedName name="BEx5A1NHZ01UFJAWFDKZ7Q32YCAP" hidden="1">#REF!</definedName>
    <definedName name="BEx5HJTYH3HP8KCYFVDEXJRHX490" localSheetId="2" hidden="1">#REF!</definedName>
    <definedName name="BEx5HJTYH3HP8KCYFVDEXJRHX490" hidden="1">#REF!</definedName>
    <definedName name="BEx5JYQT2HZM2KUEPEKSOE4HP3R7" localSheetId="2" hidden="1">#REF!</definedName>
    <definedName name="BEx5JYQT2HZM2KUEPEKSOE4HP3R7" hidden="1">#REF!</definedName>
    <definedName name="BEx7519PXO1HM898NUYPQWARV2EL" localSheetId="2" hidden="1">#REF!</definedName>
    <definedName name="BEx7519PXO1HM898NUYPQWARV2EL" hidden="1">#REF!</definedName>
    <definedName name="BEx7648DGEBZ217G2G0A366USBT0" localSheetId="2" hidden="1">#REF!</definedName>
    <definedName name="BEx7648DGEBZ217G2G0A366USBT0" hidden="1">#REF!</definedName>
    <definedName name="BEx76C0WIFQUGK3UB0BAODNMLXTH" localSheetId="2" hidden="1">#REF!</definedName>
    <definedName name="BEx76C0WIFQUGK3UB0BAODNMLXTH" hidden="1">#REF!</definedName>
    <definedName name="BEx7CQHSAPD3MPFTKGMMN3CVW50O" localSheetId="2" hidden="1">#REF!</definedName>
    <definedName name="BEx7CQHSAPD3MPFTKGMMN3CVW50O" hidden="1">#REF!</definedName>
    <definedName name="BEx7JM1L18WS45G4QD3JEP01Y5CK" localSheetId="2" hidden="1">#REF!</definedName>
    <definedName name="BEx7JM1L18WS45G4QD3JEP01Y5CK" hidden="1">#REF!</definedName>
    <definedName name="BEx908Z8ILGHESB1W8JR2DOW7ABL" localSheetId="2" hidden="1">#REF!</definedName>
    <definedName name="BEx908Z8ILGHESB1W8JR2DOW7ABL" hidden="1">#REF!</definedName>
    <definedName name="BEx91ZRKZJ7MB7VVGADGQZ08O9XY" localSheetId="2" hidden="1">#REF!</definedName>
    <definedName name="BEx91ZRKZJ7MB7VVGADGQZ08O9XY" hidden="1">#REF!</definedName>
    <definedName name="BEx97U059JN44X3DZ148YVABPMFN" localSheetId="2" hidden="1">#REF!</definedName>
    <definedName name="BEx97U059JN44X3DZ148YVABPMFN" hidden="1">#REF!</definedName>
    <definedName name="BEx98RVDTKKOY3DAU9A4JZYT5OIT" localSheetId="2" hidden="1">#REF!</definedName>
    <definedName name="BEx98RVDTKKOY3DAU9A4JZYT5OIT" hidden="1">#REF!</definedName>
    <definedName name="BEx9CIVW2DWJMNAWF3WDJ9E4QZ35" localSheetId="2" hidden="1">#REF!</definedName>
    <definedName name="BEx9CIVW2DWJMNAWF3WDJ9E4QZ35" hidden="1">#REF!</definedName>
    <definedName name="BEx9DA5OT3ZSCGNY1WF06B98S475" localSheetId="2" hidden="1">#REF!</definedName>
    <definedName name="BEx9DA5OT3ZSCGNY1WF06B98S475" hidden="1">#REF!</definedName>
    <definedName name="BExB02KNVWQTZBCVRIB1EWZ0V0JL" localSheetId="2" hidden="1">#REF!</definedName>
    <definedName name="BExB02KNVWQTZBCVRIB1EWZ0V0JL" hidden="1">#REF!</definedName>
    <definedName name="BExB1BZ6Z4M9JS3I1KXP6XAEMSLI" localSheetId="2" hidden="1">#REF!</definedName>
    <definedName name="BExB1BZ6Z4M9JS3I1KXP6XAEMSLI" hidden="1">#REF!</definedName>
    <definedName name="BExB44DJMD7F0150IRHXJP7GTP60" localSheetId="2" hidden="1">#REF!</definedName>
    <definedName name="BExB44DJMD7F0150IRHXJP7GTP60" hidden="1">#REF!</definedName>
    <definedName name="BExB4967ICE32DID1UIQR97OO173" localSheetId="2" hidden="1">#REF!</definedName>
    <definedName name="BExB4967ICE32DID1UIQR97OO173" hidden="1">#REF!</definedName>
    <definedName name="BExB516X8WTIOV96RB06FD74D9EC" localSheetId="2" hidden="1">#REF!</definedName>
    <definedName name="BExB516X8WTIOV96RB06FD74D9EC" hidden="1">#REF!</definedName>
    <definedName name="BExB7LHZH54ZK24EU7O6W9J85Y6O" localSheetId="2" hidden="1">#REF!</definedName>
    <definedName name="BExB7LHZH54ZK24EU7O6W9J85Y6O" hidden="1">#REF!</definedName>
    <definedName name="BExB9ASDJ6E5QNP9HKCXEV97PUCF" localSheetId="2" hidden="1">#REF!</definedName>
    <definedName name="BExB9ASDJ6E5QNP9HKCXEV97PUCF" hidden="1">#REF!</definedName>
    <definedName name="BExB9SBH89RBYVOK8JWJG85KQAPP" localSheetId="2" hidden="1">#REF!</definedName>
    <definedName name="BExB9SBH89RBYVOK8JWJG85KQAPP" hidden="1">#REF!</definedName>
    <definedName name="BExBCK4A0LSJO6DBOL7FPO4D24J9" localSheetId="2" hidden="1">#REF!</definedName>
    <definedName name="BExBCK4A0LSJO6DBOL7FPO4D24J9" hidden="1">#REF!</definedName>
    <definedName name="BExBCO0KHJSG0WZB6SGXFR6H5NO7" localSheetId="2" hidden="1">#REF!</definedName>
    <definedName name="BExBCO0KHJSG0WZB6SGXFR6H5NO7" hidden="1">#REF!</definedName>
    <definedName name="BExCYN28OZBXVKSPT7BDGSLQHHFU" localSheetId="2" hidden="1">#REF!</definedName>
    <definedName name="BExCYN28OZBXVKSPT7BDGSLQHHFU" hidden="1">#REF!</definedName>
    <definedName name="BExD0BLMMGY5XYERG6V0TT0M2YE3" localSheetId="2" hidden="1">#REF!</definedName>
    <definedName name="BExD0BLMMGY5XYERG6V0TT0M2YE3" hidden="1">#REF!</definedName>
    <definedName name="BExD0ISJYTLUGS04P5IRFS5B3CF9" localSheetId="2" hidden="1">#REF!</definedName>
    <definedName name="BExD0ISJYTLUGS04P5IRFS5B3CF9" hidden="1">#REF!</definedName>
    <definedName name="BExD2PRJY7TYFUEA7WHYQBCHPW9Y" localSheetId="2" hidden="1">#REF!</definedName>
    <definedName name="BExD2PRJY7TYFUEA7WHYQBCHPW9Y" hidden="1">#REF!</definedName>
    <definedName name="BExD7TS213CYLKZM2LRHP7H69CCP" localSheetId="2" hidden="1">#REF!</definedName>
    <definedName name="BExD7TS213CYLKZM2LRHP7H69CCP" hidden="1">#REF!</definedName>
    <definedName name="BExD880N3DSVXWG9MHOUKRWZRTBE" localSheetId="2" hidden="1">#REF!</definedName>
    <definedName name="BExD880N3DSVXWG9MHOUKRWZRTBE" hidden="1">#REF!</definedName>
    <definedName name="BExDA0G9BQ3JNIYZ9L65S6VBYWMS" localSheetId="2" hidden="1">#REF!</definedName>
    <definedName name="BExDA0G9BQ3JNIYZ9L65S6VBYWMS" hidden="1">#REF!</definedName>
    <definedName name="BExDCIIGE672LU969XCUQ9OYBHPZ" localSheetId="2" hidden="1">#REF!</definedName>
    <definedName name="BExDCIIGE672LU969XCUQ9OYBHPZ" hidden="1">#REF!</definedName>
    <definedName name="BExEQ4YH338D2FXOHEGCN5E8UTHJ" localSheetId="2" hidden="1">#REF!</definedName>
    <definedName name="BExEQ4YH338D2FXOHEGCN5E8UTHJ" hidden="1">#REF!</definedName>
    <definedName name="BExEUUQDME4CZNJTA7OEHOI7PQCX" localSheetId="2" hidden="1">#REF!</definedName>
    <definedName name="BExEUUQDME4CZNJTA7OEHOI7PQCX" hidden="1">#REF!</definedName>
    <definedName name="BExEVCEZK6FN15T0UYF1CB9RAMP9" localSheetId="2" hidden="1">#REF!</definedName>
    <definedName name="BExEVCEZK6FN15T0UYF1CB9RAMP9" hidden="1">#REF!</definedName>
    <definedName name="BExEWIOCCAXKVY98T9IT7E3WIQ0E" localSheetId="2" hidden="1">#REF!</definedName>
    <definedName name="BExEWIOCCAXKVY98T9IT7E3WIQ0E" hidden="1">#REF!</definedName>
    <definedName name="BExEWP9OM81HG8KFNOC23RI70VZL" localSheetId="2" hidden="1">#REF!</definedName>
    <definedName name="BExEWP9OM81HG8KFNOC23RI70VZL" hidden="1">#REF!</definedName>
    <definedName name="BExF05HRERO5UALKECDAVEEDJZN1" localSheetId="2" hidden="1">#REF!</definedName>
    <definedName name="BExF05HRERO5UALKECDAVEEDJZN1" hidden="1">#REF!</definedName>
    <definedName name="BExF0MQ337K2NFXXIQ0O47G45C1C" localSheetId="2" hidden="1">#REF!</definedName>
    <definedName name="BExF0MQ337K2NFXXIQ0O47G45C1C" hidden="1">#REF!</definedName>
    <definedName name="BExF2848DYNZRBOOANUXZJAUXF5I" localSheetId="2" hidden="1">#REF!</definedName>
    <definedName name="BExF2848DYNZRBOOANUXZJAUXF5I" hidden="1">#REF!</definedName>
    <definedName name="BExF4HSB7GJLPZR0NCKZFQO2UW5F" localSheetId="2" hidden="1">#REF!</definedName>
    <definedName name="BExF4HSB7GJLPZR0NCKZFQO2UW5F" hidden="1">#REF!</definedName>
    <definedName name="BExF67TQWVHFNN1WYRBW6MEB7CYM" localSheetId="2" hidden="1">#REF!</definedName>
    <definedName name="BExF67TQWVHFNN1WYRBW6MEB7CYM" hidden="1">#REF!</definedName>
    <definedName name="BExGO4WV0HKEQUYJ1RD84YAPM4AF" localSheetId="2" hidden="1">#REF!</definedName>
    <definedName name="BExGO4WV0HKEQUYJ1RD84YAPM4AF" hidden="1">#REF!</definedName>
    <definedName name="BExGPG47K2WA8AA2TNG33MAQL8J2" localSheetId="2" hidden="1">#REF!</definedName>
    <definedName name="BExGPG47K2WA8AA2TNG33MAQL8J2" hidden="1">#REF!</definedName>
    <definedName name="BExGPGPQ41JXS4S24X63XVAAMN5I" localSheetId="2" hidden="1">#REF!</definedName>
    <definedName name="BExGPGPQ41JXS4S24X63XVAAMN5I" hidden="1">#REF!</definedName>
    <definedName name="BExGR47FVJRRJYCDCPQHR5BS8TTE" localSheetId="2" hidden="1">#REF!</definedName>
    <definedName name="BExGR47FVJRRJYCDCPQHR5BS8TTE" hidden="1">#REF!</definedName>
    <definedName name="BExGRW2TNFAUIHXBISCNRT35ZN4U" localSheetId="2" hidden="1">#REF!</definedName>
    <definedName name="BExGRW2TNFAUIHXBISCNRT35ZN4U" hidden="1">#REF!</definedName>
    <definedName name="BExGS4GY840D03GX09MFUJZZQIQI" localSheetId="2" hidden="1">#REF!</definedName>
    <definedName name="BExGS4GY840D03GX09MFUJZZQIQI" hidden="1">#REF!</definedName>
    <definedName name="BExGWBYVZLX1Y7H09E1OJR2M7NEO" localSheetId="2" hidden="1">#REF!</definedName>
    <definedName name="BExGWBYVZLX1Y7H09E1OJR2M7NEO" hidden="1">#REF!</definedName>
    <definedName name="BExGYQA5XQAV3GALTISYXAOLC00N" localSheetId="2" hidden="1">#REF!</definedName>
    <definedName name="BExGYQA5XQAV3GALTISYXAOLC00N" hidden="1">#REF!</definedName>
    <definedName name="BExH2ZKTRC9AU7I8TGC5PSW9KUKA" localSheetId="2" hidden="1">#REF!</definedName>
    <definedName name="BExH2ZKTRC9AU7I8TGC5PSW9KUKA" hidden="1">#REF!</definedName>
    <definedName name="BExH3GIH7IKQ6L1766O2F80W53H7" localSheetId="2" hidden="1">#REF!</definedName>
    <definedName name="BExH3GIH7IKQ6L1766O2F80W53H7" hidden="1">#REF!</definedName>
    <definedName name="BExIIBGODUPZCN0CS6AIFCS9JJ3T" localSheetId="2" hidden="1">#REF!</definedName>
    <definedName name="BExIIBGODUPZCN0CS6AIFCS9JJ3T" hidden="1">#REF!</definedName>
    <definedName name="BExIK8E56SGZDTZP8N5UKCB51HLK" localSheetId="2" hidden="1">#REF!</definedName>
    <definedName name="BExIK8E56SGZDTZP8N5UKCB51HLK" hidden="1">#REF!</definedName>
    <definedName name="BExIKLA43JG5Q0E5DUX6GGA36M2D" localSheetId="2" hidden="1">#REF!</definedName>
    <definedName name="BExIKLA43JG5Q0E5DUX6GGA36M2D" hidden="1">#REF!</definedName>
    <definedName name="BExIOV0VPGAVNIH8CAGOZQTE8RQC" localSheetId="2" hidden="1">#REF!</definedName>
    <definedName name="BExIOV0VPGAVNIH8CAGOZQTE8RQC" hidden="1">#REF!</definedName>
    <definedName name="BExIRJTRW38YJPZF94ZRIMHT1EDT" localSheetId="2" hidden="1">#REF!</definedName>
    <definedName name="BExIRJTRW38YJPZF94ZRIMHT1EDT" hidden="1">#REF!</definedName>
    <definedName name="BExIS4NJWFRORMVD64VAH35KYTAV" localSheetId="2" hidden="1">#REF!</definedName>
    <definedName name="BExIS4NJWFRORMVD64VAH35KYTAV" hidden="1">#REF!</definedName>
    <definedName name="BExIVO6FK5E6OWNW080ZWFXGTAW9" localSheetId="2" hidden="1">#REF!</definedName>
    <definedName name="BExIVO6FK5E6OWNW080ZWFXGTAW9" hidden="1">#REF!</definedName>
    <definedName name="BExIX6KP2828HYO5B58WTT6B4GQF" localSheetId="2" hidden="1">#REF!</definedName>
    <definedName name="BExIX6KP2828HYO5B58WTT6B4GQF" hidden="1">#REF!</definedName>
    <definedName name="BExIYAL1JJ0YAOVQ8NTVMVWSIWEN" localSheetId="2" hidden="1">#REF!</definedName>
    <definedName name="BExIYAL1JJ0YAOVQ8NTVMVWSIWEN" hidden="1">#REF!</definedName>
    <definedName name="BExJ0JYBMCA6QMUA23EJ4K1XY7OB" localSheetId="2" hidden="1">#REF!</definedName>
    <definedName name="BExJ0JYBMCA6QMUA23EJ4K1XY7OB" hidden="1">#REF!</definedName>
    <definedName name="BExKH3W4N0O82E6T46JO6PSMZCKO" localSheetId="2" hidden="1">#REF!</definedName>
    <definedName name="BExKH3W4N0O82E6T46JO6PSMZCKO" hidden="1">#REF!</definedName>
    <definedName name="BExKIAWCRGDEI4GPDFEI8JPG2FQR" localSheetId="2" hidden="1">#REF!</definedName>
    <definedName name="BExKIAWCRGDEI4GPDFEI8JPG2FQR" hidden="1">#REF!</definedName>
    <definedName name="BExKICEADRLL4OGPHHM5X4LBZAUM" localSheetId="2" hidden="1">#REF!</definedName>
    <definedName name="BExKICEADRLL4OGPHHM5X4LBZAUM" hidden="1">#REF!</definedName>
    <definedName name="BExKJKWIM4MX8IMRSUA1CG62XKM3" localSheetId="2" hidden="1">#REF!</definedName>
    <definedName name="BExKJKWIM4MX8IMRSUA1CG62XKM3" hidden="1">#REF!</definedName>
    <definedName name="BExKLGHH49AYDWDK6NMDQDG9OZ1S" localSheetId="2" hidden="1">#REF!</definedName>
    <definedName name="BExKLGHH49AYDWDK6NMDQDG9OZ1S" hidden="1">#REF!</definedName>
    <definedName name="BExKQXOQJ1LJ20FX6Y7TCVGEFGRN" localSheetId="2" hidden="1">#REF!</definedName>
    <definedName name="BExKQXOQJ1LJ20FX6Y7TCVGEFGRN" hidden="1">#REF!</definedName>
    <definedName name="BExKUO3OAC6GXS5E8H77YTDG1TNE" localSheetId="2" hidden="1">#REF!</definedName>
    <definedName name="BExKUO3OAC6GXS5E8H77YTDG1TNE" hidden="1">#REF!</definedName>
    <definedName name="BExMC20EFJ3NPS70N2WK57JSBZJO" localSheetId="2" hidden="1">#REF!</definedName>
    <definedName name="BExMC20EFJ3NPS70N2WK57JSBZJO" hidden="1">#REF!</definedName>
    <definedName name="BExMEPM4H3CEM9FKDCNK4L7RPLIY" localSheetId="2" hidden="1">#REF!</definedName>
    <definedName name="BExMEPM4H3CEM9FKDCNK4L7RPLIY" hidden="1">#REF!</definedName>
    <definedName name="BExMF1LPXBCFR9B5DUQJX67CY770" localSheetId="2" hidden="1">#REF!</definedName>
    <definedName name="BExMF1LPXBCFR9B5DUQJX67CY770" hidden="1">#REF!</definedName>
    <definedName name="BExMF3UKNY832KUUVVC55Z657TVM" localSheetId="2" hidden="1">#REF!</definedName>
    <definedName name="BExMF3UKNY832KUUVVC55Z657TVM" hidden="1">#REF!</definedName>
    <definedName name="BExMFV4G2WKFSKQMEBNOCG1BU4DX" localSheetId="2" hidden="1">#REF!</definedName>
    <definedName name="BExMFV4G2WKFSKQMEBNOCG1BU4DX" hidden="1">#REF!</definedName>
    <definedName name="BExMIXEV4TKUJ6IGSJX7YYYJUEN9" localSheetId="2" hidden="1">#REF!</definedName>
    <definedName name="BExMIXEV4TKUJ6IGSJX7YYYJUEN9" hidden="1">#REF!</definedName>
    <definedName name="BExMJ3JYY9C504NQ9S2DTRUK5ZU1" localSheetId="2" hidden="1">#REF!</definedName>
    <definedName name="BExMJ3JYY9C504NQ9S2DTRUK5ZU1" hidden="1">#REF!</definedName>
    <definedName name="BExMN4WS0QNU17OJRWNQE9QL2X2P" localSheetId="2" hidden="1">#REF!</definedName>
    <definedName name="BExMN4WS0QNU17OJRWNQE9QL2X2P" hidden="1">#REF!</definedName>
    <definedName name="BExMNU8EBNMBBMACFUT6NKEYQ76T" localSheetId="2" hidden="1">#REF!</definedName>
    <definedName name="BExMNU8EBNMBBMACFUT6NKEYQ76T" hidden="1">#REF!</definedName>
    <definedName name="BExMPSD7OKVZ5UJSB60TQWZL41CN" localSheetId="2" hidden="1">#REF!</definedName>
    <definedName name="BExMPSD7OKVZ5UJSB60TQWZL41CN" hidden="1">#REF!</definedName>
    <definedName name="BExMPZ9CBIZQV9RFIO4AGNOVYOS5" localSheetId="2" hidden="1">#REF!</definedName>
    <definedName name="BExMPZ9CBIZQV9RFIO4AGNOVYOS5" hidden="1">#REF!</definedName>
    <definedName name="BExMR9ET51OCDPPEJ4L5LSKHG5H3" localSheetId="2" hidden="1">#REF!</definedName>
    <definedName name="BExMR9ET51OCDPPEJ4L5LSKHG5H3" hidden="1">#REF!</definedName>
    <definedName name="BExMR9K9DME0KRRXFRATYSZOWN31" localSheetId="2" hidden="1">#REF!</definedName>
    <definedName name="BExMR9K9DME0KRRXFRATYSZOWN31" hidden="1">#REF!</definedName>
    <definedName name="BExMRB7JMQHVST9CP35OM2B2NZEI" localSheetId="2" hidden="1">#REF!</definedName>
    <definedName name="BExMRB7JMQHVST9CP35OM2B2NZEI" hidden="1">#REF!</definedName>
    <definedName name="BExMRC3X7BCNL9AVT3X0QMFDY6XM" localSheetId="2" hidden="1">#REF!</definedName>
    <definedName name="BExMRC3X7BCNL9AVT3X0QMFDY6XM" hidden="1">#REF!</definedName>
    <definedName name="BExMST5NOZ5FZAECAYE0FFFPNUOE" localSheetId="2" hidden="1">#REF!</definedName>
    <definedName name="BExMST5NOZ5FZAECAYE0FFFPNUOE" hidden="1">#REF!</definedName>
    <definedName name="BExO7DROP6MRLCSAHEFXSNT3JT0M" localSheetId="2" hidden="1">#REF!</definedName>
    <definedName name="BExO7DROP6MRLCSAHEFXSNT3JT0M" hidden="1">#REF!</definedName>
    <definedName name="BExO7O3U9Z5HA5A38ESC0RZ6PG9F" localSheetId="2" hidden="1">#REF!</definedName>
    <definedName name="BExO7O3U9Z5HA5A38ESC0RZ6PG9F" hidden="1">#REF!</definedName>
    <definedName name="BExO8MKIDJ2O1CWUUGXV518PW32P" localSheetId="2" hidden="1">#REF!</definedName>
    <definedName name="BExO8MKIDJ2O1CWUUGXV518PW32P" hidden="1">#REF!</definedName>
    <definedName name="BExOF2ZM9CK6OKB6AO70LHCIYO3W" localSheetId="2" hidden="1">#REF!</definedName>
    <definedName name="BExOF2ZM9CK6OKB6AO70LHCIYO3W" hidden="1">#REF!</definedName>
    <definedName name="BExOKW6I5HFJ8DQUWGPW6L36BXGU" localSheetId="2" hidden="1">#REF!</definedName>
    <definedName name="BExOKW6I5HFJ8DQUWGPW6L36BXGU" hidden="1">#REF!</definedName>
    <definedName name="BExON9W4L9LS02VF014KYPE4N42Q" localSheetId="2" hidden="1">#REF!</definedName>
    <definedName name="BExON9W4L9LS02VF014KYPE4N42Q" hidden="1">#REF!</definedName>
    <definedName name="BExOO75TFXPUHHF2W77C7LA2O9O1" localSheetId="2" hidden="1">#REF!</definedName>
    <definedName name="BExOO75TFXPUHHF2W77C7LA2O9O1" hidden="1">#REF!</definedName>
    <definedName name="BExQ5BBSQUHHHCHRY13R2T90JK32" localSheetId="2" hidden="1">#REF!</definedName>
    <definedName name="BExQ5BBSQUHHHCHRY13R2T90JK32" hidden="1">#REF!</definedName>
    <definedName name="BExQ9Y40PM0L2GY7PYHH4ETRC1CH" localSheetId="2" hidden="1">#REF!</definedName>
    <definedName name="BExQ9Y40PM0L2GY7PYHH4ETRC1CH" hidden="1">#REF!</definedName>
    <definedName name="BExQARXHDVBMPHS610S0LV1RH4NO" localSheetId="2" hidden="1">#REF!</definedName>
    <definedName name="BExQARXHDVBMPHS610S0LV1RH4NO" hidden="1">#REF!</definedName>
    <definedName name="BExQCU3UFN2GMVO543ZQWCJQ3U0Y" localSheetId="2" hidden="1">#REF!</definedName>
    <definedName name="BExQCU3UFN2GMVO543ZQWCJQ3U0Y" hidden="1">#REF!</definedName>
    <definedName name="BExQEJP109073QT4YE59TOR6EAWC" localSheetId="2" hidden="1">#REF!</definedName>
    <definedName name="BExQEJP109073QT4YE59TOR6EAWC" hidden="1">#REF!</definedName>
    <definedName name="BExQGCFFHS1QVUU3RY7WO160WFUB" localSheetId="2" hidden="1">#REF!</definedName>
    <definedName name="BExQGCFFHS1QVUU3RY7WO160WFUB" hidden="1">#REF!</definedName>
    <definedName name="BExQGCQ7YNBBJ539M37GDTBYX0SX" localSheetId="2" hidden="1">#REF!</definedName>
    <definedName name="BExQGCQ7YNBBJ539M37GDTBYX0SX" hidden="1">#REF!</definedName>
    <definedName name="BExRYBRJM6L56M835KPD7AMAK0AQ" localSheetId="2" hidden="1">#REF!</definedName>
    <definedName name="BExRYBRJM6L56M835KPD7AMAK0AQ" hidden="1">#REF!</definedName>
    <definedName name="BExS10F45V2WEL1E8JU2KIZ9DRCZ" localSheetId="2" hidden="1">#REF!</definedName>
    <definedName name="BExS10F45V2WEL1E8JU2KIZ9DRCZ" hidden="1">#REF!</definedName>
    <definedName name="BExS6QBB5MCKPTQME64V5PFRX5A8" localSheetId="2" hidden="1">#REF!</definedName>
    <definedName name="BExS6QBB5MCKPTQME64V5PFRX5A8" hidden="1">#REF!</definedName>
    <definedName name="BExSBCHWUN0MGNHJ2ZKBNY6JFX81" localSheetId="2" hidden="1">#REF!</definedName>
    <definedName name="BExSBCHWUN0MGNHJ2ZKBNY6JFX81" hidden="1">#REF!</definedName>
    <definedName name="BExSBX0XVOA76ZT2A1PNKPO3322L" localSheetId="2" hidden="1">#REF!</definedName>
    <definedName name="BExSBX0XVOA76ZT2A1PNKPO3322L" hidden="1">#REF!</definedName>
    <definedName name="BExSDB2U91GEI58UMTEW23ZEZ8K9" localSheetId="2" hidden="1">#REF!</definedName>
    <definedName name="BExSDB2U91GEI58UMTEW23ZEZ8K9" hidden="1">#REF!</definedName>
    <definedName name="BExSEMKVYFVRR81WHTAAK9213JTC" localSheetId="2" hidden="1">#REF!</definedName>
    <definedName name="BExSEMKVYFVRR81WHTAAK9213JTC" hidden="1">#REF!</definedName>
    <definedName name="BExSF67JEWA4AJ7LR8TNDSQVKUVY" localSheetId="2" hidden="1">#REF!</definedName>
    <definedName name="BExSF67JEWA4AJ7LR8TNDSQVKUVY" hidden="1">#REF!</definedName>
    <definedName name="BExSGWJRKR5HEOF2QCRM833GKTUT" localSheetId="2" hidden="1">#REF!</definedName>
    <definedName name="BExSGWJRKR5HEOF2QCRM833GKTUT" hidden="1">#REF!</definedName>
    <definedName name="BExU036RHSWR2VHMUQDHZ2SG5SO2" localSheetId="2" hidden="1">#REF!</definedName>
    <definedName name="BExU036RHSWR2VHMUQDHZ2SG5SO2" hidden="1">#REF!</definedName>
    <definedName name="BExU14Y8RTX8D32JVR2TU5YLA485" localSheetId="2" hidden="1">#REF!</definedName>
    <definedName name="BExU14Y8RTX8D32JVR2TU5YLA485" hidden="1">#REF!</definedName>
    <definedName name="BExU1QZD8QZVGRAIT4025YON6Q44" localSheetId="2" hidden="1">#REF!</definedName>
    <definedName name="BExU1QZD8QZVGRAIT4025YON6Q44" hidden="1">#REF!</definedName>
    <definedName name="BExU24ROS5GK8C2P0R9CGZKS8Z9P" localSheetId="2" hidden="1">#REF!</definedName>
    <definedName name="BExU24ROS5GK8C2P0R9CGZKS8Z9P" hidden="1">#REF!</definedName>
    <definedName name="BExU2LUKCPO4F7P7LPHDOB4YVF31" localSheetId="2" hidden="1">#REF!</definedName>
    <definedName name="BExU2LUKCPO4F7P7LPHDOB4YVF31" hidden="1">#REF!</definedName>
    <definedName name="BExU5V15XN37ZT440JZAICIQI2OH" localSheetId="2" hidden="1">#REF!</definedName>
    <definedName name="BExU5V15XN37ZT440JZAICIQI2OH" hidden="1">#REF!</definedName>
    <definedName name="BExU7KX58ALKVE6B2FNC47A6N0GG" localSheetId="2" hidden="1">#REF!</definedName>
    <definedName name="BExU7KX58ALKVE6B2FNC47A6N0GG" hidden="1">#REF!</definedName>
    <definedName name="BExU891LVF2XXANDW7HA2D391K0N" localSheetId="2" hidden="1">#REF!</definedName>
    <definedName name="BExU891LVF2XXANDW7HA2D391K0N" hidden="1">#REF!</definedName>
    <definedName name="BExU9N8TMS3B0OH4L9YCVQ0Y4JZE" localSheetId="2" hidden="1">#REF!</definedName>
    <definedName name="BExU9N8TMS3B0OH4L9YCVQ0Y4JZE" hidden="1">#REF!</definedName>
    <definedName name="BExU9V1CJHH8AHDUQIU4YEDLBD8P" localSheetId="2" hidden="1">#REF!</definedName>
    <definedName name="BExU9V1CJHH8AHDUQIU4YEDLBD8P" hidden="1">#REF!</definedName>
    <definedName name="BExUE82XW551UZ6XC8C6EOZUKO1M" localSheetId="2" hidden="1">#REF!</definedName>
    <definedName name="BExUE82XW551UZ6XC8C6EOZUKO1M" hidden="1">#REF!</definedName>
    <definedName name="BExVRIU581T3KTW9Q0BI1LAQ2D3E" localSheetId="2" hidden="1">#REF!</definedName>
    <definedName name="BExVRIU581T3KTW9Q0BI1LAQ2D3E" hidden="1">#REF!</definedName>
    <definedName name="BExVYW2NLCPKWNA2SVOJQWHGVO67" localSheetId="2" hidden="1">#REF!</definedName>
    <definedName name="BExVYW2NLCPKWNA2SVOJQWHGVO67" hidden="1">#REF!</definedName>
    <definedName name="BExW253QJI7FK045WM389QVBR6FP" localSheetId="2" hidden="1">#REF!</definedName>
    <definedName name="BExW253QJI7FK045WM389QVBR6FP" hidden="1">#REF!</definedName>
    <definedName name="BExW2QJ45281ICG22KEIC2PMQQ5C" localSheetId="2" hidden="1">#REF!</definedName>
    <definedName name="BExW2QJ45281ICG22KEIC2PMQQ5C" hidden="1">#REF!</definedName>
    <definedName name="BExXM8V22NQXKV0IK4CSSC8RJVFT" localSheetId="2" hidden="1">#REF!</definedName>
    <definedName name="BExXM8V22NQXKV0IK4CSSC8RJVFT" hidden="1">#REF!</definedName>
    <definedName name="BExXMZDWJMFRC4MXUPONBAIHVGZM" localSheetId="2" hidden="1">#REF!</definedName>
    <definedName name="BExXMZDWJMFRC4MXUPONBAIHVGZM" hidden="1">#REF!</definedName>
    <definedName name="BExXPEG6GJ3MY9SDXK3RPH3EI7FW" localSheetId="2" hidden="1">#REF!</definedName>
    <definedName name="BExXPEG6GJ3MY9SDXK3RPH3EI7FW" hidden="1">#REF!</definedName>
    <definedName name="BExXPXBY53H7JQG6T5TYSERUS1I4" localSheetId="2" hidden="1">#REF!</definedName>
    <definedName name="BExXPXBY53H7JQG6T5TYSERUS1I4" hidden="1">#REF!</definedName>
    <definedName name="BExXQAYS3PB0YQIUU4GYQLTY7CDA" localSheetId="2" hidden="1">#REF!</definedName>
    <definedName name="BExXQAYS3PB0YQIUU4GYQLTY7CDA" hidden="1">#REF!</definedName>
    <definedName name="BExXSRTTUIP5881CME97EPGILL3V" localSheetId="2" hidden="1">#REF!</definedName>
    <definedName name="BExXSRTTUIP5881CME97EPGILL3V" hidden="1">#REF!</definedName>
    <definedName name="BExXV6QNIULYZ4QS8H135K6YBMGT" localSheetId="2" hidden="1">#REF!</definedName>
    <definedName name="BExXV6QNIULYZ4QS8H135K6YBMGT" hidden="1">#REF!</definedName>
    <definedName name="BExXWC3NJU845ZCF44JGJUHNB9LV" localSheetId="2" hidden="1">#REF!</definedName>
    <definedName name="BExXWC3NJU845ZCF44JGJUHNB9LV" hidden="1">#REF!</definedName>
    <definedName name="BExXZIAD0KGCSBSOU0B12K7W0WI6" localSheetId="2" hidden="1">#REF!</definedName>
    <definedName name="BExXZIAD0KGCSBSOU0B12K7W0WI6" hidden="1">#REF!</definedName>
    <definedName name="BExY1DPUN2UL4DIV0EJ0GCANR7ZB" localSheetId="2" hidden="1">#REF!</definedName>
    <definedName name="BExY1DPUN2UL4DIV0EJ0GCANR7ZB" hidden="1">#REF!</definedName>
    <definedName name="BExY2FXGYUUQX6EXYN3TC5JLFW13" localSheetId="2" hidden="1">#REF!</definedName>
    <definedName name="BExY2FXGYUUQX6EXYN3TC5JLFW13" hidden="1">#REF!</definedName>
    <definedName name="BExY3UFGF4WM0FL482UNCA00U108" localSheetId="2" hidden="1">#REF!</definedName>
    <definedName name="BExY3UFGF4WM0FL482UNCA00U108" hidden="1">#REF!</definedName>
    <definedName name="BExY57Q8YTA3RTIS2IOJ6AH09TDI" localSheetId="2" hidden="1">#REF!</definedName>
    <definedName name="BExY57Q8YTA3RTIS2IOJ6AH09TDI" hidden="1">#REF!</definedName>
    <definedName name="BExZL6ORJMEPVLH0FAMKAK7P2VBN" localSheetId="2" hidden="1">#REF!</definedName>
    <definedName name="BExZL6ORJMEPVLH0FAMKAK7P2VBN" hidden="1">#REF!</definedName>
    <definedName name="BExZRQ92MJIQ9HC5CNX10BPNDTB4" localSheetId="2" hidden="1">#REF!</definedName>
    <definedName name="BExZRQ92MJIQ9HC5CNX10BPNDTB4" hidden="1">#REF!</definedName>
    <definedName name="BExZSWIEGQMJM7HX0PFOAGLPTYBZ" localSheetId="2" hidden="1">#REF!</definedName>
    <definedName name="BExZSWIEGQMJM7HX0PFOAGLPTYBZ" hidden="1">#REF!</definedName>
    <definedName name="BExZTI8LHXZ58W9B5NTXZH23PBA3" localSheetId="2" hidden="1">#REF!</definedName>
    <definedName name="BExZTI8LHXZ58W9B5NTXZH23PBA3" hidden="1">#REF!</definedName>
    <definedName name="BExZXESSDGXDMAV5ML62TCSPVDQ7" localSheetId="2" hidden="1">#REF!</definedName>
    <definedName name="BExZXESSDGXDMAV5ML62TCSPVDQ7" hidden="1">#REF!</definedName>
    <definedName name="BG_Del" hidden="1">15</definedName>
    <definedName name="BG_Ins" hidden="1">4</definedName>
    <definedName name="BG_Mod" hidden="1">6</definedName>
    <definedName name="BLPB1" localSheetId="2" hidden="1">#REF!</definedName>
    <definedName name="BLPB1" hidden="1">#REF!</definedName>
    <definedName name="BLPH1" localSheetId="2" hidden="1">#REF!</definedName>
    <definedName name="BLPH1" hidden="1">#REF!</definedName>
    <definedName name="BLPH2" localSheetId="2" hidden="1">#REF!</definedName>
    <definedName name="BLPH2" hidden="1">#REF!</definedName>
    <definedName name="BLPH3" localSheetId="2" hidden="1">#REF!</definedName>
    <definedName name="BLPH3" hidden="1">#REF!</definedName>
    <definedName name="BLPH4" localSheetId="2" hidden="1">#REF!</definedName>
    <definedName name="BLPH4" hidden="1">#REF!</definedName>
    <definedName name="BLPH5" localSheetId="2" hidden="1">#REF!</definedName>
    <definedName name="BLPH5" hidden="1">#REF!</definedName>
    <definedName name="BLPH6" localSheetId="2" hidden="1">#REF!</definedName>
    <definedName name="BLPH6" hidden="1">#REF!</definedName>
    <definedName name="BLPH7" localSheetId="2" hidden="1">#REF!</definedName>
    <definedName name="BLPH7" hidden="1">#REF!</definedName>
    <definedName name="BNE_MESSAGES_HIDDEN" localSheetId="2" hidden="1">#REF!</definedName>
    <definedName name="BNE_MESSAGES_HIDDEN" hidden="1">#REF!</definedName>
    <definedName name="book" localSheetId="2" hidden="1">{#N/A,#N/A,FALSE,"OffAdvance";#N/A,#N/A,FALSE,"OffExpRprt";#N/A,#N/A,FALSE,"Entertmnt";#N/A,#N/A,FALSE,"Promotion";#N/A,#N/A,FALSE,"Travelling"}</definedName>
    <definedName name="book" hidden="1">{#N/A,#N/A,FALSE,"OffAdvance";#N/A,#N/A,FALSE,"OffExpRprt";#N/A,#N/A,FALSE,"Entertmnt";#N/A,#N/A,FALSE,"Promotion";#N/A,#N/A,FALSE,"Travelling"}</definedName>
    <definedName name="book.2" localSheetId="2" hidden="1">{#N/A,#N/A,FALSE,"OffAdvance";#N/A,#N/A,FALSE,"OffExpRprt";#N/A,#N/A,FALSE,"Travelling";#N/A,#N/A,FALSE,"Entertmnt";#N/A,#N/A,FALSE,"Promotion"}</definedName>
    <definedName name="book.2" hidden="1">{#N/A,#N/A,FALSE,"OffAdvance";#N/A,#N/A,FALSE,"OffExpRprt";#N/A,#N/A,FALSE,"Travelling";#N/A,#N/A,FALSE,"Entertmnt";#N/A,#N/A,FALSE,"Promotion"}</definedName>
    <definedName name="bs_1" hidden="1">{#N/A,#N/A,FALSE,"BBPREP"}</definedName>
    <definedName name="BYD" hidden="1">{#N/A,#N/A,FALSE,"Earn'gs &amp; Val'n";#N/A,#N/A,FALSE,"Interim"}</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ashflow20030930" localSheetId="1"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bx" hidden="1">{#N/A,#N/A,FALSE,"M1s Board";#N/A,#N/A,FALSE,"M3 Board";#N/A,#N/A,FALSE,"M6 Board";#N/A,#N/A,FALSE,"M7";#N/A,#N/A,FALSE,"M7B";#N/A,#N/A,FALSE,"M8";#N/A,#N/A,FALSE,"M8A Board";#N/A,#N/A,FALSE,"AF1 Board"}</definedName>
    <definedName name="cccvb" localSheetId="2" hidden="1">{#N/A,#N/A,FALSE,"资产负债表";#N/A,#N/A,FALSE,"资产负债表"}</definedName>
    <definedName name="cccvb" hidden="1">{#N/A,#N/A,FALSE,"资产负债表";#N/A,#N/A,FALSE,"资产负债表"}</definedName>
    <definedName name="CFVVHH" localSheetId="2" hidden="1">{#N/A,#N/A,FALSE,"资产负债表";#N/A,#N/A,FALSE,"资产负债表"}</definedName>
    <definedName name="CFVVHH" hidden="1">{#N/A,#N/A,FALSE,"资产负债表";#N/A,#N/A,FALSE,"资产负债表"}</definedName>
    <definedName name="cfyik" localSheetId="2" hidden="1">{#N/A,#N/A,FALSE,"资产负债表";#N/A,#N/A,FALSE,"资产负债表"}</definedName>
    <definedName name="cfyik" hidden="1">{#N/A,#N/A,FALSE,"资产负债表";#N/A,#N/A,FALSE,"资产负债表"}</definedName>
    <definedName name="cgul" localSheetId="2" hidden="1">{#N/A,#N/A,FALSE,"资产负债表";#N/A,#N/A,FALSE,"资产负债表"}</definedName>
    <definedName name="cgul" hidden="1">{#N/A,#N/A,FALSE,"资产负债表";#N/A,#N/A,FALSE,"资产负债表"}</definedName>
    <definedName name="cguocnbnl" localSheetId="2"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localSheetId="2" hidden="1">#REF!</definedName>
    <definedName name="Code" hidden="1">#REF!</definedName>
    <definedName name="Coll" localSheetId="2" hidden="1">{#N/A,#N/A,FALSE,"970301";#N/A,#N/A,FALSE,"970302";#N/A,#N/A,FALSE,"970303";#N/A,#N/A,FALSE,"970304";#N/A,#N/A,FALSE,"COM1";#N/A,#N/A,FALSE,"COM2"}</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localSheetId="2" hidden="1">Main.SAPF4Help()</definedName>
    <definedName name="CSCGZ" hidden="1">Main.SAPF4Help()</definedName>
    <definedName name="CurrencyCodes" localSheetId="2">#REF!</definedName>
    <definedName name="CurrencyCodes">#REF!</definedName>
    <definedName name="CurrentLanguage" localSheetId="2">#REF!</definedName>
    <definedName name="CurrentLanguage">#REF!</definedName>
    <definedName name="data1" localSheetId="2" hidden="1">#REF!</definedName>
    <definedName name="data1" hidden="1">#REF!</definedName>
    <definedName name="data2" localSheetId="2" hidden="1">#REF!</definedName>
    <definedName name="data2" hidden="1">#REF!</definedName>
    <definedName name="data3" localSheetId="2" hidden="1">#REF!</definedName>
    <definedName name="data3" hidden="1">#REF!</definedName>
    <definedName name="DBS" localSheetId="2" hidden="1">#REF!</definedName>
    <definedName name="DBS" hidden="1">#REF!</definedName>
    <definedName name="dcca" localSheetId="2" hidden="1">{#N/A,#N/A,FALSE,"资产负债表";#N/A,#N/A,FALSE,"资产负债表"}</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2" hidden="1">{#N/A,#N/A,FALSE,"OffAdvance";#N/A,#N/A,FALSE,"OffExpRprt";#N/A,#N/A,FALSE,"Travelling";#N/A,#N/A,FALSE,"Entertmnt";#N/A,#N/A,FALSE,"Promotion"}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2" hidden="1">{"M1Print",#N/A,TRUE,"M1";"M2Print",#N/A,TRUE,"M2";"M1sPrint",#N/A,TRUE,"M1s";"M2aPrint",#N/A,TRUE,"M2a";"M4Print",#N/A,TRUE,"M4";"M5Print",#N/A,TRUE,"M5";"M6Print",#N/A,TRUE,"M6";"M6_1Print",#N/A,TRUE,"M6_1";"M6_2Print",#N/A,TRUE,"M6_2";"M7_1Print",#N/A,TRUE,"M7_1";"M7_2Print",#N/A,TRUE,"M7_2"}</definedName>
    <definedName name="dfv"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h" hidden="1">{"M4Print",#N/A,FALSE,"M4"}</definedName>
    <definedName name="Discount" localSheetId="2" hidden="1">#REF!</definedName>
    <definedName name="Discount" hidden="1">#REF!</definedName>
    <definedName name="display_area_2" localSheetId="2" hidden="1">#REF!</definedName>
    <definedName name="display_area_2" hidden="1">#REF!</definedName>
    <definedName name="dlf" localSheetId="2" hidden="1">{"M4Print",#N/A,FALSE,"M4"}</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localSheetId="2" hidden="1">{#N/A,#N/A,TRUE,"CPRD";#N/A,#N/A,TRUE,"BCCPDR";#N/A,#N/A,TRUE,"EWRD";#N/A,#N/A,TRUE,"5100";#N/A,#N/A,TRUE,"5110"}</definedName>
    <definedName name="doddd" localSheetId="1" hidden="1">{#N/A,#N/A,TRUE,"CPRD";#N/A,#N/A,TRUE,"BCCPDR";#N/A,#N/A,TRUE,"EWRD";#N/A,#N/A,TRUE,"5100";#N/A,#N/A,TRUE,"5110"}</definedName>
    <definedName name="doddd" hidden="1">{#N/A,#N/A,TRUE,"CPRD";#N/A,#N/A,TRUE,"BCCPDR";#N/A,#N/A,TRUE,"EWRD";#N/A,#N/A,TRUE,"5100";#N/A,#N/A,TRUE,"5110"}</definedName>
    <definedName name="dog" localSheetId="2" hidden="1">{#N/A,#N/A,TRUE,"CPRD";#N/A,#N/A,TRUE,"BCCPDR";#N/A,#N/A,TRUE,"EWRD";#N/A,#N/A,TRUE,"5100";#N/A,#N/A,TRUE,"5110"}</definedName>
    <definedName name="dog" localSheetId="1" hidden="1">{#N/A,#N/A,TRUE,"CPRD";#N/A,#N/A,TRUE,"BCCPDR";#N/A,#N/A,TRUE,"EWRD";#N/A,#N/A,TRUE,"5100";#N/A,#N/A,TRUE,"5110"}</definedName>
    <definedName name="dog" hidden="1">{#N/A,#N/A,TRUE,"CPRD";#N/A,#N/A,TRUE,"BCCPDR";#N/A,#N/A,TRUE,"EWRD";#N/A,#N/A,TRUE,"5100";#N/A,#N/A,TRUE,"5110"}</definedName>
    <definedName name="DPL" localSheetId="2" hidden="1">#REF!</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localSheetId="2" hidden="1">#REF!</definedName>
    <definedName name="dsd是" hidden="1">#REF!</definedName>
    <definedName name="dvbm" localSheetId="2" hidden="1">{#N/A,#N/A,FALSE,"资产负债表";#N/A,#N/A,FALSE,"资产负债表"}</definedName>
    <definedName name="dvbm" hidden="1">{#N/A,#N/A,FALSE,"资产负债表";#N/A,#N/A,FALSE,"资产负债表"}</definedName>
    <definedName name="DWED" localSheetId="2" hidden="1">#REF!</definedName>
    <definedName name="DWED" hidden="1">#REF!</definedName>
    <definedName name="EDEW" localSheetId="2" hidden="1">#REF!</definedName>
    <definedName name="EDEW" hidden="1">#REF!</definedName>
    <definedName name="edispu" hidden="1">{#N/A,#N/A,FALSE,"Sheet1"}</definedName>
    <definedName name="ehdg" localSheetId="2" hidden="1">{#N/A,#N/A,FALSE,"Jan"}</definedName>
    <definedName name="ehdg" localSheetId="1" hidden="1">{#N/A,#N/A,FALSE,"Jan"}</definedName>
    <definedName name="ehdg" hidden="1">{#N/A,#N/A,FALSE,"Jan"}</definedName>
    <definedName name="eqwrwer" hidden="1">{"Annual_Income",#N/A,FALSE,"Report Page";"Balance_Cash_Flow",#N/A,FALSE,"Report Page";"Quarterly_Income",#N/A,FALSE,"Report Page"}</definedName>
    <definedName name="erf" localSheetId="2" hidden="1">{#N/A,#N/A,FALSE,"970301";#N/A,#N/A,FALSE,"970302";#N/A,#N/A,FALSE,"970303";#N/A,#N/A,FALSE,"970304";#N/A,#N/A,FALSE,"COM1";#N/A,#N/A,FALSE,"COM2"}</definedName>
    <definedName name="erf" hidden="1">{#N/A,#N/A,FALSE,"970301";#N/A,#N/A,FALSE,"970302";#N/A,#N/A,FALSE,"970303";#N/A,#N/A,FALSE,"970304";#N/A,#N/A,FALSE,"COM1";#N/A,#N/A,FALSE,"COM2"}</definedName>
    <definedName name="errrr" hidden="1">{"CSC_1",#N/A,FALSE,"CSC Outputs";"CSC_2",#N/A,FALSE,"CSC Outputs"}</definedName>
    <definedName name="eryj" localSheetId="2" hidden="1">{#N/A,#N/A,FALSE,"资产负债表";#N/A,#N/A,FALSE,"资产负债表"}</definedName>
    <definedName name="eryj" hidden="1">{#N/A,#N/A,FALSE,"资产负债表";#N/A,#N/A,FALSE,"资产负债表"}</definedName>
    <definedName name="EV__LASTREFTIME__" hidden="1">39274.4724884259</definedName>
    <definedName name="ExpenseUpload" localSheetId="2" hidden="1">{#N/A,#N/A,TRUE,"CPRD";#N/A,#N/A,TRUE,"BCCPDR";#N/A,#N/A,TRUE,"EWRD";#N/A,#N/A,TRUE,"5100";#N/A,#N/A,TRUE,"5110"}</definedName>
    <definedName name="ExpenseUpload" localSheetId="1" hidden="1">{#N/A,#N/A,TRUE,"CPRD";#N/A,#N/A,TRUE,"BCCPDR";#N/A,#N/A,TRUE,"EWRD";#N/A,#N/A,TRUE,"5100";#N/A,#N/A,TRUE,"5110"}</definedName>
    <definedName name="ExpenseUpload" hidden="1">{#N/A,#N/A,TRUE,"CPRD";#N/A,#N/A,TRUE,"BCCPDR";#N/A,#N/A,TRUE,"EWRD";#N/A,#N/A,TRUE,"5100";#N/A,#N/A,TRUE,"5110"}</definedName>
    <definedName name="EYCanvasAnswer" localSheetId="2">#REF!</definedName>
    <definedName name="EYCanvasAnswer">#REF!</definedName>
    <definedName name="f" localSheetId="2" hidden="1">#REF!</definedName>
    <definedName name="f" hidden="1">#REF!</definedName>
    <definedName name="faif" localSheetId="2" hidden="1">{#N/A,#N/A,FALSE,"资产负债表";#N/A,#N/A,FALSE,"资产负债表"}</definedName>
    <definedName name="faif" hidden="1">{#N/A,#N/A,FALSE,"资产负债表";#N/A,#N/A,FALSE,"资产负债表"}</definedName>
    <definedName name="FCode" localSheetId="2" hidden="1">#REF!</definedName>
    <definedName name="FCode" hidden="1">#REF!</definedName>
    <definedName name="fd" localSheetId="2" hidden="1">{"M1sPrint",#N/A,FALSE,"M1s"}</definedName>
    <definedName name="fd" hidden="1">{"M1sPrint",#N/A,FALSE,"M1s"}</definedName>
    <definedName name="FDEFRE" localSheetId="2" hidden="1">#REF!</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localSheetId="2" hidden="1">{#N/A,#N/A,TRUE,"CPRD";#N/A,#N/A,TRUE,"BCCPDR";#N/A,#N/A,TRUE,"EWRD";#N/A,#N/A,TRUE,"5100";#N/A,#N/A,TRUE,"5110"}</definedName>
    <definedName name="feedback" localSheetId="1" hidden="1">{#N/A,#N/A,TRUE,"CPRD";#N/A,#N/A,TRUE,"BCCPDR";#N/A,#N/A,TRUE,"EWRD";#N/A,#N/A,TRUE,"5100";#N/A,#N/A,TRUE,"5110"}</definedName>
    <definedName name="feedback"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localSheetId="2" hidden="1">{#N/A,#N/A,FALSE,"资产负债表";#N/A,#N/A,FALSE,"资产负债表"}</definedName>
    <definedName name="fvb" hidden="1">{#N/A,#N/A,FALSE,"资产负债表";#N/A,#N/A,FALSE,"资产负债表"}</definedName>
    <definedName name="G9IJGF" localSheetId="2"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localSheetId="2" hidden="1">{#N/A,#N/A,FALSE,"资产负债表";#N/A,#N/A,FALSE,"资产负债表"}</definedName>
    <definedName name="hadiah" hidden="1">{#N/A,#N/A,FALSE,"资产负债表";#N/A,#N/A,FALSE,"资产负债表"}</definedName>
    <definedName name="HdctTrnd" localSheetId="2" hidden="1">{#N/A,#N/A,TRUE,"CPRD";#N/A,#N/A,TRUE,"BCCPDR";#N/A,#N/A,TRUE,"EWRD";#N/A,#N/A,TRUE,"5100";#N/A,#N/A,TRUE,"5110"}</definedName>
    <definedName name="HdctTrnd" localSheetId="1" hidden="1">{#N/A,#N/A,TRUE,"CPRD";#N/A,#N/A,TRUE,"BCCPDR";#N/A,#N/A,TRUE,"EWRD";#N/A,#N/A,TRUE,"5100";#N/A,#N/A,TRUE,"5110"}</definedName>
    <definedName name="HdctTrnd" hidden="1">{#N/A,#N/A,TRUE,"CPRD";#N/A,#N/A,TRUE,"BCCPDR";#N/A,#N/A,TRUE,"EWRD";#N/A,#N/A,TRUE,"5100";#N/A,#N/A,TRUE,"5110"}</definedName>
    <definedName name="HiddenRows" localSheetId="2" hidden="1">#REF!</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localSheetId="2" hidden="1">{"'Sheet3'!$A$47:$M$47"}</definedName>
    <definedName name="HTL_Cotrol1" hidden="1">{"'Sheet3'!$A$47:$M$47"}</definedName>
    <definedName name="HTML_CodePage" hidden="1">1252</definedName>
    <definedName name="HTML_Control" localSheetId="2" hidden="1">{"'Vxxe_times_J750 (2)'!$A$3:$E$14"}</definedName>
    <definedName name="HTML_Control" localSheetId="1" hidden="1">{"'Vxxe_times_J750 (2)'!$A$3:$E$14"}</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localSheetId="2" hidden="1">{#N/A,#N/A,FALSE,"资产负债表";#N/A,#N/A,FALSE,"资产负债表"}</definedName>
    <definedName name="hueoa" hidden="1">{#N/A,#N/A,FALSE,"资产负债表";#N/A,#N/A,FALSE,"资产负债表"}</definedName>
    <definedName name="hylinkcount" localSheetId="2" hidden="1">20</definedName>
    <definedName name="hylinkcount" localSheetId="1" hidden="1">18</definedName>
    <definedName name="hylinkcount" hidden="1">20</definedName>
    <definedName name="ieji" localSheetId="2" hidden="1">{#N/A,#N/A,FALSE,"970301";#N/A,#N/A,FALSE,"970302";#N/A,#N/A,FALSE,"970303";#N/A,#N/A,FALSE,"970304";#N/A,#N/A,FALSE,"COM1";#N/A,#N/A,FALSE,"COM2"}</definedName>
    <definedName name="ieji" hidden="1">{#N/A,#N/A,FALSE,"970301";#N/A,#N/A,FALSE,"970302";#N/A,#N/A,FALSE,"970303";#N/A,#N/A,FALSE,"970304";#N/A,#N/A,FALSE,"COM1";#N/A,#N/A,FALSE,"COM2"}</definedName>
    <definedName name="iiiiii" hidden="1">{#N/A,#N/A,FALSE,"PERSONAL";#N/A,#N/A,FALSE,"explotación";#N/A,#N/A,FALSE,"generales"}</definedName>
    <definedName name="inCurrencyCode" localSheetId="2">#REF!</definedName>
    <definedName name="inCurrencyCode">#REF!</definedName>
    <definedName name="inFinalDol" localSheetId="2">#REF!</definedName>
    <definedName name="inFinalDol">#REF!</definedName>
    <definedName name="inflList" hidden="1">"00000000000000000000000000000000000000000000000000000000000000000000000000000000000000000000000000000000000000000000000000000000000000000000000000000000000000000000000000000000000000000000000000000000"</definedName>
    <definedName name="inOverallEval" localSheetId="2">#REF!</definedName>
    <definedName name="inOverallEval">#REF!</definedName>
    <definedName name="inPeriod" localSheetId="2">#REF!</definedName>
    <definedName name="inPeriod">#REF!</definedName>
    <definedName name="inPlannedLevel" localSheetId="2">#REF!</definedName>
    <definedName name="inPlannedLevel">#REF!</definedName>
    <definedName name="inTolerableError" localSheetId="2">#REF!</definedName>
    <definedName name="inTolerableError">#REF!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localSheetId="2" hidden="1">39036.4994560185</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localSheetId="2" hidden="1">{"M4Print",#N/A,FALSE,"M4"}</definedName>
    <definedName name="jdda" hidden="1">{"M4Print",#N/A,FALSE,"M4"}</definedName>
    <definedName name="jdfslsajdflasdkjpf" localSheetId="2" hidden="1">{#N/A,#N/A,FALSE,"OffAdvance";#N/A,#N/A,FALSE,"OffExpRprt";#N/A,#N/A,FALSE,"Entertmnt";#N/A,#N/A,FALSE,"Promotion";#N/A,#N/A,FALSE,"Travelling"}</definedName>
    <definedName name="jdfslsajdflasdkjpf" hidden="1">{#N/A,#N/A,FALSE,"OffAdvance";#N/A,#N/A,FALSE,"OffExpRprt";#N/A,#N/A,FALSE,"Entertmnt";#N/A,#N/A,FALSE,"Promotion";#N/A,#N/A,FALSE,"Travelling"}</definedName>
    <definedName name="jfgh" localSheetId="2" hidden="1">{"M1sPrint",#N/A,FALSE,"M1s"}</definedName>
    <definedName name="jfgh" hidden="1">{"M1sPrint",#N/A,FALSE,"M1s"}</definedName>
    <definedName name="jgfhfg" localSheetId="2" hidden="1">{"M1sPrint",#N/A,FALSE,"M1s"}</definedName>
    <definedName name="jgfhfg" hidden="1">{"M1sPrint",#N/A,FALSE,"M1s"}</definedName>
    <definedName name="jlj" localSheetId="2" hidden="1">{"M2aPrint",#N/A,FALSE,"M2a"}</definedName>
    <definedName name="jlj" hidden="1">{"M2aPrint",#N/A,FALSE,"M2a"}</definedName>
    <definedName name="jughn" localSheetId="2" hidden="1">{"M7_1Print",#N/A,TRUE,"M7_1";"M7_2Print",#N/A,TRUE,"M7_2"}</definedName>
    <definedName name="jughn" hidden="1">{"M7_1Print",#N/A,TRUE,"M7_1";"M7_2Print",#N/A,TRUE,"M7_2"}</definedName>
    <definedName name="jytj" localSheetId="2"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localSheetId="2" hidden="1">{#N/A,#N/A,FALSE,"OffAdvance";#N/A,#N/A,FALSE,"OffExpRprt";#N/A,#N/A,FALSE,"Entertmnt";#N/A,#N/A,FALSE,"Promotion";#N/A,#N/A,FALSE,"Travelling"}</definedName>
    <definedName name="kljik" hidden="1">{#N/A,#N/A,FALSE,"OffAdvance";#N/A,#N/A,FALSE,"OffExpRprt";#N/A,#N/A,FALSE,"Entertmnt";#N/A,#N/A,FALSE,"Promotion";#N/A,#N/A,FALSE,"Travelling"}</definedName>
    <definedName name="kmk" hidden="1">{#N/A,#N/A,FALSE,"Marketing";#N/A,#N/A,FALSE,"Selling";#N/A,#N/A,FALSE,"Promotional";#N/A,#N/A,FALSE,"Advertising"}</definedName>
    <definedName name="kuj" localSheetId="2" hidden="1">{"M6Print",#N/A,FALSE,"M6";"M6_1Print",#N/A,FALSE,"M6_1";"M6_2Print",#N/A,FALSE,"M6_2"}</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localSheetId="2" hidden="1">#REF!</definedName>
    <definedName name="LotusGraphChart1" hidden="1">#REF!</definedName>
    <definedName name="lotusgraphchart1b" localSheetId="2" hidden="1">#REF!</definedName>
    <definedName name="lotusgraphchart1b" hidden="1">#REF!</definedName>
    <definedName name="lotusgraphchart1x" localSheetId="2" hidden="1">#REF!</definedName>
    <definedName name="lotusgraphchart1x" hidden="1">#REF!</definedName>
    <definedName name="lu" localSheetId="2" hidden="1">{"M1sPrint",#N/A,FALSE,"M1s"}</definedName>
    <definedName name="lu" hidden="1">{"M1sPrint",#N/A,FALSE,"M1s"}</definedName>
    <definedName name="m" hidden="1">{#N/A,#N/A,FALSE,"Virgin Flightdeck"}</definedName>
    <definedName name="M_PlaceofPath" hidden="1">"F:\danders\COMPANY\HET\HET_VDF.XLS"</definedName>
    <definedName name="n" localSheetId="2" hidden="1">{"M2Print",#N/A,FALSE,"M2"}</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w" localSheetId="1" hidden="1">{#N/A,#N/A,FALSE,"Jan"}</definedName>
    <definedName name="new" hidden="1">{#N/A,#N/A,FALSE,"Jan"}</definedName>
    <definedName name="ngn" localSheetId="2" hidden="1">{"M1Print",#N/A,TRUE,"M1";"M2Print",#N/A,TRUE,"M2";"M1sPrint",#N/A,TRUE,"M1s";"M2aPrint",#N/A,TRUE,"M2a";"M4Print",#N/A,TRUE,"M4";"M5Print",#N/A,TRUE,"M5";"M6Print",#N/A,TRUE,"M6";"M6_1Print",#N/A,TRUE,"M6_1";"M6_2Print",#N/A,TRUE,"M6_2";"M7_1Print",#N/A,TRUE,"M7_1";"M7_2Print",#N/A,TRUE,"M7_2"}</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localSheetId="2" hidden="1">{#N/A,#N/A,TRUE,"CPRD";#N/A,#N/A,TRUE,"BCCPDR";#N/A,#N/A,TRUE,"EWRD";#N/A,#N/A,TRUE,"5100";#N/A,#N/A,TRUE,"5110"}</definedName>
    <definedName name="notused" localSheetId="1" hidden="1">{#N/A,#N/A,TRUE,"CPRD";#N/A,#N/A,TRUE,"BCCPDR";#N/A,#N/A,TRUE,"EWRD";#N/A,#N/A,TRUE,"5100";#N/A,#N/A,TRUE,"5110"}</definedName>
    <definedName name="notused" hidden="1">{#N/A,#N/A,TRUE,"CPRD";#N/A,#N/A,TRUE,"BCCPDR";#N/A,#N/A,TRUE,"EWRD";#N/A,#N/A,TRUE,"5100";#N/A,#N/A,TRUE,"5110"}</definedName>
    <definedName name="ooiuy" hidden="1">{#N/A,#N/A,FALSE,"ABB HOLDING LTD"}</definedName>
    <definedName name="ooo" hidden="1">{#N/A,#N/A,FALSE,"Sales  total 9712";#N/A,#N/A,FALSE,"Sales  total 9712";#N/A,#N/A,FALSE,"Sales  total 9712";#N/A,#N/A,FALSE,"Sales  total 9712"}</definedName>
    <definedName name="OrderTable" localSheetId="2" hidden="1">#REF!</definedName>
    <definedName name="OrderTable" hidden="1">#REF!</definedName>
    <definedName name="others" localSheetId="2"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localSheetId="2" hidden="1">#REF!</definedName>
    <definedName name="ProdForm" hidden="1">#REF!</definedName>
    <definedName name="Product" localSheetId="2" hidden="1">#REF!</definedName>
    <definedName name="Product" hidden="1">#REF!</definedName>
    <definedName name="qwertyuiopasdfghjkl" localSheetId="2" hidden="1">{"M2aPrint",#N/A,FALSE,"M2a"}</definedName>
    <definedName name="qwertyuiopasdfghjkl" localSheetId="1" hidden="1">{"M2aPrint",#N/A,FALSE,"M2a"}</definedName>
    <definedName name="qwertyuiopasdfghjkl" hidden="1">{"M2aPrint",#N/A,FALSE,"M2a"}</definedName>
    <definedName name="qwwertyuiop" localSheetId="2" hidden="1">{"M2Print",#N/A,FALSE,"M2"}</definedName>
    <definedName name="qwwertyuiop" localSheetId="1" hidden="1">{"M2Print",#N/A,FALSE,"M2"}</definedName>
    <definedName name="qwwertyuiop" hidden="1">{"M2Print",#N/A,FALSE,"M2"}</definedName>
    <definedName name="RCArea" localSheetId="2" hidden="1">#REF!</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localSheetId="2" hidden="1">{"toptrial",#N/A,TRUE,"toptrial";"adjustment",#N/A,TRUE,"toptrial";"voucher",#N/A,TRUE,"toptrial"}</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localSheetId="2" hidden="1">Main.SAPF4Help()</definedName>
    <definedName name="SAPFuncF4Help" hidden="1">Main.SAPF4Help()</definedName>
    <definedName name="ScopeCompany" localSheetId="2">#REF!</definedName>
    <definedName name="ScopeCompany">#REF!</definedName>
    <definedName name="sd_format">"yyyy/m/d"</definedName>
    <definedName name="sdfs" localSheetId="2" hidden="1">{"M1sPrint",#N/A,FALSE,"M1s"}</definedName>
    <definedName name="sdfs" hidden="1">{"M1sPrint",#N/A,FALSE,"M1s"}</definedName>
    <definedName name="sdt_format">"yyyy/m/d  hh:mm"</definedName>
    <definedName name="Sheet1_BNE_MESSAGES" localSheetId="2" hidden="1">#REF!</definedName>
    <definedName name="Sheet1_BNE_MESSAGES" localSheetId="1" hidden="1">#REF!</definedName>
    <definedName name="Sheet1_BNE_MESSAGES" hidden="1">#REF!</definedName>
    <definedName name="Sheet1_BNE_MESSAGES_HIDDEN" localSheetId="2" hidden="1">#REF!</definedName>
    <definedName name="Sheet1_BNE_MESSAGES_HIDDEN" hidden="1">#REF!</definedName>
    <definedName name="Sheet1_BNE_MESSAGES_LAMP" localSheetId="2" hidden="1">#REF!</definedName>
    <definedName name="Sheet1_BNE_MESSAGES_LAMP" hidden="1">#REF!</definedName>
    <definedName name="Sheet1_BNE_UPLOAD" localSheetId="2" hidden="1">#REF!</definedName>
    <definedName name="Sheet1_BNE_UPLOAD" hidden="1">#REF!</definedName>
    <definedName name="Sheet1_GL_INTERFACE_ACCOUNTING_DATE" localSheetId="2" hidden="1">#REF!</definedName>
    <definedName name="Sheet1_GL_INTERFACE_ACCOUNTING_DATE" hidden="1">#REF!</definedName>
    <definedName name="Sheet1_GL_INTERFACE_ACTUAL_FLAG" localSheetId="2" hidden="1">#REF!</definedName>
    <definedName name="Sheet1_GL_INTERFACE_ACTUAL_FLAG" hidden="1">#REF!</definedName>
    <definedName name="Sheet1_GL_INTERFACE_CURRENCY_CODE" localSheetId="2" hidden="1">#REF!</definedName>
    <definedName name="Sheet1_GL_INTERFACE_CURRENCY_CODE" hidden="1">#REF!</definedName>
    <definedName name="Sheet1_GL_INTERFACE_DATABASE" localSheetId="2" hidden="1">#REF!</definedName>
    <definedName name="Sheet1_GL_INTERFACE_DATABASE" hidden="1">#REF!</definedName>
    <definedName name="Sheet1_GL_INTERFACE_ENTERED_CR" localSheetId="2" hidden="1">#REF!</definedName>
    <definedName name="Sheet1_GL_INTERFACE_ENTERED_CR" hidden="1">#REF!</definedName>
    <definedName name="Sheet1_GL_INTERFACE_ENTERED_DR" localSheetId="2" hidden="1">#REF!</definedName>
    <definedName name="Sheet1_GL_INTERFACE_ENTERED_DR" hidden="1">#REF!</definedName>
    <definedName name="Sheet1_GL_INTERFACE_REFERENCE1" localSheetId="2" hidden="1">#REF!</definedName>
    <definedName name="Sheet1_GL_INTERFACE_REFERENCE1" hidden="1">#REF!</definedName>
    <definedName name="Sheet1_GL_INTERFACE_REFERENCE10" localSheetId="2" hidden="1">#REF!</definedName>
    <definedName name="Sheet1_GL_INTERFACE_REFERENCE10" hidden="1">#REF!</definedName>
    <definedName name="Sheet1_GL_INTERFACE_REFERENCE4" localSheetId="2" hidden="1">#REF!</definedName>
    <definedName name="Sheet1_GL_INTERFACE_REFERENCE4" hidden="1">#REF!</definedName>
    <definedName name="Sheet1_GL_INTERFACE_REFERENCE5" localSheetId="2" hidden="1">#REF!</definedName>
    <definedName name="Sheet1_GL_INTERFACE_REFERENCE5" hidden="1">#REF!</definedName>
    <definedName name="Sheet1_GL_INTERFACE_REFERENCE6" localSheetId="2" hidden="1">#REF!</definedName>
    <definedName name="Sheet1_GL_INTERFACE_REFERENCE6" hidden="1">#REF!</definedName>
    <definedName name="Sheet1_GL_INTERFACE_REFERENCE7" localSheetId="2" hidden="1">#REF!</definedName>
    <definedName name="Sheet1_GL_INTERFACE_REFERENCE7" hidden="1">#REF!</definedName>
    <definedName name="Sheet1_GL_INTERFACE_REFERENCE8" localSheetId="2" hidden="1">#REF!</definedName>
    <definedName name="Sheet1_GL_INTERFACE_REFERENCE8" hidden="1">#REF!</definedName>
    <definedName name="Sheet1_GL_INTERFACE_SEGMENT1" localSheetId="2" hidden="1">#REF!</definedName>
    <definedName name="Sheet1_GL_INTERFACE_SEGMENT1" hidden="1">#REF!</definedName>
    <definedName name="Sheet1_GL_INTERFACE_SEGMENT2" localSheetId="2" hidden="1">#REF!</definedName>
    <definedName name="Sheet1_GL_INTERFACE_SEGMENT2" hidden="1">#REF!</definedName>
    <definedName name="Sheet1_GL_INTERFACE_SEGMENT3" localSheetId="2" hidden="1">#REF!</definedName>
    <definedName name="Sheet1_GL_INTERFACE_SEGMENT3" hidden="1">#REF!</definedName>
    <definedName name="Sheet1_GL_INTERFACE_SEGMENT4" localSheetId="2" hidden="1">#REF!</definedName>
    <definedName name="Sheet1_GL_INTERFACE_SEGMENT4" hidden="1">#REF!</definedName>
    <definedName name="Sheet1_GL_INTERFACE_SEGMENT5" localSheetId="2" hidden="1">#REF!</definedName>
    <definedName name="Sheet1_GL_INTERFACE_SEGMENT5" hidden="1">#REF!</definedName>
    <definedName name="Sheet1_GL_INTERFACE_SEGMENT6" localSheetId="2" hidden="1">#REF!</definedName>
    <definedName name="Sheet1_GL_INTERFACE_SEGMENT6" hidden="1">#REF!</definedName>
    <definedName name="Sheet1_GL_INTERFACE_SET_OF_BOOKS_ID" localSheetId="2" hidden="1">#REF!</definedName>
    <definedName name="Sheet1_GL_INTERFACE_SET_OF_BOOKS_ID" hidden="1">#REF!</definedName>
    <definedName name="Sheet1_GL_INTERFACE_USER_JE_CATEGORY_NAME" localSheetId="2" hidden="1">#REF!</definedName>
    <definedName name="Sheet1_GL_INTERFACE_USER_JE_CATEGORY_NAME" hidden="1">#REF!</definedName>
    <definedName name="Sheet1_GL_INTERFACE_USER_JE_SOURCE_NAME" localSheetId="2"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localSheetId="2" hidden="1">#REF!</definedName>
    <definedName name="SpecialPrice" hidden="1">#REF!</definedName>
    <definedName name="sssz" localSheetId="2" hidden="1">{#N/A,#N/A,FALSE,"资产负债表";#N/A,#N/A,FALSE,"资产负债表"}</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localSheetId="2" hidden="1">#REF!</definedName>
    <definedName name="tbl_ProdInfo" hidden="1">#REF!</definedName>
    <definedName name="terh" localSheetId="2" hidden="1">{#N/A,#N/A,FALSE,"OffAdvance";#N/A,#N/A,FALSE,"OffExpRprt";#N/A,#N/A,FALSE,"Entertmnt";#N/A,#N/A,FALSE,"Promotion";#N/A,#N/A,FALSE,"Travelling"}</definedName>
    <definedName name="terh" hidden="1">{#N/A,#N/A,FALSE,"OffAdvance";#N/A,#N/A,FALSE,"OffExpRprt";#N/A,#N/A,FALSE,"Entertmnt";#N/A,#N/A,FALSE,"Promotion";#N/A,#N/A,FALSE,"Travelling"}</definedName>
    <definedName name="TextRefCopyRangeCount" localSheetId="2" hidden="1">4</definedName>
    <definedName name="TextRefCopyRangeCount" localSheetId="1" hidden="1">4</definedName>
    <definedName name="TextRefCopyRangeCount" hidden="1">5</definedName>
    <definedName name="tfhg" localSheetId="2" hidden="1">{"M1Print",#N/A,FALSE,"M1"}</definedName>
    <definedName name="tfhg" hidden="1">{"M1Print",#N/A,FALSE,"M1"}</definedName>
    <definedName name="the" localSheetId="2" hidden="1">{#N/A,#N/A,FALSE,"Marketing";#N/A,#N/A,FALSE,"Selling";#N/A,#N/A,FALSE,"Promotional";#N/A,#N/A,FALSE,"Advertising"}</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localSheetId="2" hidden="1">{#N/A,#N/A,FALSE,"970301";#N/A,#N/A,FALSE,"970302";#N/A,#N/A,FALSE,"970303";#N/A,#N/A,FALSE,"970304";#N/A,#N/A,FALSE,"COM1";#N/A,#N/A,FALSE,"COM2"}</definedName>
    <definedName name="ulead" hidden="1">{#N/A,#N/A,FALSE,"970301";#N/A,#N/A,FALSE,"970302";#N/A,#N/A,FALSE,"970303";#N/A,#N/A,FALSE,"970304";#N/A,#N/A,FALSE,"COM1";#N/A,#N/A,FALSE,"COM2"}</definedName>
    <definedName name="uuuuuuuu" localSheetId="2" hidden="1">Main.SAPF4Help()</definedName>
    <definedName name="uuuuuuuu" hidden="1">Main.SAPF4Help()</definedName>
    <definedName name="uygh" localSheetId="2" hidden="1">{"M6Print",#N/A,FALSE,"M6";"M6_1Print",#N/A,FALSE,"M6_1";"M6_2Print",#N/A,FALSE,"M6_2"}</definedName>
    <definedName name="uygh" hidden="1">{"M6Print",#N/A,FALSE,"M6";"M6_1Print",#N/A,FALSE,"M6_1";"M6_2Print",#N/A,FALSE,"M6_2"}</definedName>
    <definedName name="vhvkb" localSheetId="2" hidden="1">{#N/A,#N/A,FALSE,"资产负债表";#N/A,#N/A,FALSE,"资产负债表"}</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localSheetId="2" hidden="1">#REF!</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localSheetId="2" hidden="1">#REF!</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localSheetId="2"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2" hidden="1">{#N/A,#N/A,FALSE,"SUM";#N/A,#N/A,FALSE,"SK_TOT";#N/A,#N/A,FALSE,"YM";#N/A,#N/A,FALSE,"TSMC";#N/A,#N/A,FALSE,"ICW";#N/A,#N/A,FALSE,"Sheet1"}</definedName>
    <definedName name="wrn.ALL." localSheetId="1" hidden="1">{#N/A,#N/A,FALSE,"SUM";#N/A,#N/A,FALSE,"SK_TOT";#N/A,#N/A,FALSE,"YM";#N/A,#N/A,FALSE,"TSMC";#N/A,#N/A,FALSE,"ICW";#N/A,#N/A,FALSE,"Sheet1"}</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2" hidden="1">{#N/A,#N/A,FALSE,"M1s Board";#N/A,#N/A,FALSE,"M3 Board";#N/A,#N/A,FALSE,"M6 Board";#N/A,#N/A,FALSE,"M7";#N/A,#N/A,FALSE,"M7B";#N/A,#N/A,FALSE,"M8";#N/A,#N/A,FALSE,"M8A Board";#N/A,#N/A,FALSE,"AF1 Board"}</definedName>
    <definedName name="wrn.Board._.Reports." localSheetId="1"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localSheetId="2" hidden="1">{#N/A,#N/A,FALSE,"Deposits by day"}</definedName>
    <definedName name="wrn.Deposit._.By._.Day." localSheetId="1" hidden="1">{#N/A,#N/A,FALSE,"Deposits by day"}</definedName>
    <definedName name="wrn.Deposit._.By._.Day." hidden="1">{#N/A,#N/A,FALSE,"Deposits by day"}</definedName>
    <definedName name="wrn.Deptartment._.Expenses." localSheetId="2" hidden="1">{#N/A,#N/A,TRUE,"CPRD";#N/A,#N/A,TRUE,"BCCPDR";#N/A,#N/A,TRUE,"EWRD";#N/A,#N/A,TRUE,"5100";#N/A,#N/A,TRUE,"5110"}</definedName>
    <definedName name="wrn.Deptartment._.Expenses." localSheetId="1" hidden="1">{#N/A,#N/A,TRUE,"CPRD";#N/A,#N/A,TRUE,"BCCPDR";#N/A,#N/A,TRUE,"EWRD";#N/A,#N/A,TRUE,"5100";#N/A,#N/A,TRUE,"5110"}</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2" hidden="1">{#N/A,#N/A,FALSE,"YTCHAN";#N/A,#N/A,FALSE,"TOMMY";#N/A,#N/A,FALSE,"REP.OFFICE";#N/A,#N/A,FALSE,"E&amp;Y_CONSULTANT";#N/A,#N/A,FALSE,"BT &amp; CIT"}</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localSheetId="2" hidden="1">{#N/A,#N/A,FALSE,"OffAdvance";#N/A,#N/A,FALSE,"OffExpRprt";#N/A,#N/A,FALSE,"Entertmnt";#N/A,#N/A,FALSE,"Promotion";#N/A,#N/A,FALSE,"Travelling"}</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localSheetId="2" hidden="1">{#N/A,#N/A,FALSE,"资产负债表";#N/A,#N/A,FALSE,"资产负债表"}</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localSheetId="2" hidden="1">{"Input_Fin",#N/A,FALSE,"By Code";"Input_Opt",#N/A,FALSE,"By Code"}</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localSheetId="2" hidden="1">{#N/A,#N/A,FALSE,"Jan"}</definedName>
    <definedName name="wrn.jan." localSheetId="1" hidden="1">{#N/A,#N/A,FALSE,"Jan"}</definedName>
    <definedName name="wrn.jan." hidden="1">{#N/A,#N/A,FALSE,"Jan"}</definedName>
    <definedName name="wrn.LBO._.Summary." hidden="1">{"LBO Summary",#N/A,FALSE,"Summary"}</definedName>
    <definedName name="wrn.M1._.Operating._.Statement." localSheetId="2" hidden="1">{"M1Print",#N/A,FALSE,"M1"}</definedName>
    <definedName name="wrn.M1._.Operating._.Statement." localSheetId="1" hidden="1">{"M1Print",#N/A,FALSE,"M1"}</definedName>
    <definedName name="wrn.M1._.Operating._.Statement." hidden="1">{"M1Print",#N/A,FALSE,"M1"}</definedName>
    <definedName name="wrn.M1s._.Statistics." localSheetId="2" hidden="1">{"M1sPrint",#N/A,FALSE,"M1s"}</definedName>
    <definedName name="wrn.M1s._.Statistics." localSheetId="1" hidden="1">{"M1sPrint",#N/A,FALSE,"M1s"}</definedName>
    <definedName name="wrn.M1s._.Statistics." hidden="1">{"M1sPrint",#N/A,FALSE,"M1s"}</definedName>
    <definedName name="wrn.M2._.Balance._.Sheet." localSheetId="2" hidden="1">{"M2Print",#N/A,FALSE,"M2"}</definedName>
    <definedName name="wrn.M2._.Balance._.Sheet." localSheetId="1" hidden="1">{"M2Print",#N/A,FALSE,"M2"}</definedName>
    <definedName name="wrn.M2._.Balance._.Sheet." hidden="1">{"M2Print",#N/A,FALSE,"M2"}</definedName>
    <definedName name="wrn.M2a._.Cashflow." localSheetId="2" hidden="1">{"M2aPrint",#N/A,FALSE,"M2a"}</definedName>
    <definedName name="wrn.M2a._.Cashflow." localSheetId="1" hidden="1">{"M2aPrint",#N/A,FALSE,"M2a"}</definedName>
    <definedName name="wrn.M2a._.Cashflow." hidden="1">{"M2aPrint",#N/A,FALSE,"M2a"}</definedName>
    <definedName name="wrn.M4._.Inventories." localSheetId="2" hidden="1">{"M4Print",#N/A,FALSE,"M4"}</definedName>
    <definedName name="wrn.M4._.Inventories." localSheetId="1" hidden="1">{"M4Print",#N/A,FALSE,"M4"}</definedName>
    <definedName name="wrn.M4._.Inventories." hidden="1">{"M4Print",#N/A,FALSE,"M4"}</definedName>
    <definedName name="wrn.M5._.Flash._.and._.Forecast." localSheetId="2" hidden="1">{"M5Print",#N/A,FALSE,"M5"}</definedName>
    <definedName name="wrn.M5._.Flash._.and._.Forecast." localSheetId="1" hidden="1">{"M5Print",#N/A,FALSE,"M5"}</definedName>
    <definedName name="wrn.M5._.Flash._.and._.Forecast." hidden="1">{"M5Print",#N/A,FALSE,"M5"}</definedName>
    <definedName name="wrn.M6._.Management._.Summary." localSheetId="2" hidden="1">{"M6Print",#N/A,FALSE,"M6";"M6_1Print",#N/A,FALSE,"M6_1";"M6_2Print",#N/A,FALSE,"M6_2"}</definedName>
    <definedName name="wrn.M6._.Management._.Summary." localSheetId="1" hidden="1">{"M6Print",#N/A,FALSE,"M6";"M6_1Print",#N/A,FALSE,"M6_1";"M6_2Print",#N/A,FALSE,"M6_2"}</definedName>
    <definedName name="wrn.M6._.Management._.Summary." hidden="1">{"M6Print",#N/A,FALSE,"M6";"M6_1Print",#N/A,FALSE,"M6_1";"M6_2Print",#N/A,FALSE,"M6_2"}</definedName>
    <definedName name="wrn.M7._.Financial._.Controllers._.report." localSheetId="2" hidden="1">{"M7_1Print",#N/A,TRUE,"M7_1";"M7_2Print",#N/A,TRUE,"M7_2"}</definedName>
    <definedName name="wrn.M7._.Financial._.Controllers._.report." localSheetId="1" hidden="1">{"M7_1Print",#N/A,TRUE,"M7_1";"M7_2Print",#N/A,TRUE,"M7_2"}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localSheetId="2" hidden="1">{#N/A,#N/A,FALSE,"OffAdvance";#N/A,#N/A,FALSE,"OffExpRprt";#N/A,#N/A,FALSE,"Travelling";#N/A,#N/A,FALSE,"Entertmnt";#N/A,#N/A,FALSE,"Promotion"}</definedName>
    <definedName name="wrn.Office."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localSheetId="2" hidden="1">{#N/A,#N/A,FALSE,"Temp Staf_Summary";#N/A,#N/A,FALSE,"ATC Services";#N/A,#N/A,FALSE,"Brannon &amp; Tully";#N/A,#N/A,FALSE,"Debbie";#N/A,#N/A,FALSE,"Alternative";#N/A,#N/A,FALSE,"Mid-States";#N/A,#N/A,FALSE,"United Temp."}</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localSheetId="2" hidden="1">{#N/A,#N/A,FALSE,"Marketing";#N/A,#N/A,FALSE,"Selling";#N/A,#N/A,FALSE,"Promotional";#N/A,#N/A,FALSE,"Advertising"}</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localSheetId="2" hidden="1">{#N/A,#N/A,FALSE,"FREEMAN";#N/A,#N/A,FALSE,"STEPHEN";#N/A,#N/A,FALSE,"VICTOR"}</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est1." hidden="1">{#N/A,#N/A,FALSE,"Earn'gs &amp; Val'n";#N/A,#N/A,FALSE,"Interim"}</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2" hidden="1">{"toptrial",#N/A,TRUE,"toptrial";"adjustment",#N/A,TRUE,"toptrial";"voucher",#N/A,TRUE,"toptrial"}</definedName>
    <definedName name="wrn.tope" hidden="1">{"toptrial",#N/A,TRUE,"toptrial";"adjustment",#N/A,TRUE,"toptrial";"voucher",#N/A,TRUE,"toptrial"}</definedName>
    <definedName name="wrn.toptrial." localSheetId="2"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2" hidden="1">{#N/A,#N/A,FALSE,"970301";#N/A,#N/A,FALSE,"970302";#N/A,#N/A,FALSE,"970303";#N/A,#N/A,FALSE,"970304";#N/A,#N/A,FALSE,"COM1";#N/A,#N/A,FALSE,"COM2"}</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localSheetId="2" hidden="1">{#N/A,#N/A,FALSE,"YTD"}</definedName>
    <definedName name="wrn.ytd." localSheetId="1" hidden="1">{#N/A,#N/A,FALSE,"YTD"}</definedName>
    <definedName name="wrn.ytd." hidden="1">{#N/A,#N/A,FALSE,"YTD"}</definedName>
    <definedName name="wrn.채권채무조회서." hidden="1">{#N/A,#N/A,FALSE,"채권채무";#N/A,#N/A,FALSE,"control sheet"}</definedName>
    <definedName name="wrn100.gb" localSheetId="2" hidden="1">{#N/A,#N/A,FALSE,"资产负债表";#N/A,#N/A,FALSE,"资产负债表"}</definedName>
    <definedName name="wrn100.gb" hidden="1">{#N/A,#N/A,FALSE,"资产负债表";#N/A,#N/A,FALSE,"资产负债表"}</definedName>
    <definedName name="wrnn" hidden="1">{#N/A,#N/A,FALSE,"PERSONAL";#N/A,#N/A,FALSE,"explotación";#N/A,#N/A,FALSE,"generales"}</definedName>
    <definedName name="wrnn.all." localSheetId="2" hidden="1">{#N/A,#N/A,FALSE,"SUM";#N/A,#N/A,FALSE,"SK_TOT";#N/A,#N/A,FALSE,"YM";#N/A,#N/A,FALSE,"TSMC";#N/A,#N/A,FALSE,"ICW";#N/A,#N/A,FALSE,"Sheet1"}</definedName>
    <definedName name="wrnn.all." localSheetId="1" hidden="1">{#N/A,#N/A,FALSE,"SUM";#N/A,#N/A,FALSE,"SK_TOT";#N/A,#N/A,FALSE,"YM";#N/A,#N/A,FALSE,"TSMC";#N/A,#N/A,FALSE,"ICW";#N/A,#N/A,FALSE,"Sheet1"}</definedName>
    <definedName name="wrnn.all." hidden="1">{#N/A,#N/A,FALSE,"SUM";#N/A,#N/A,FALSE,"SK_TOT";#N/A,#N/A,FALSE,"YM";#N/A,#N/A,FALSE,"TSMC";#N/A,#N/A,FALSE,"ICW";#N/A,#N/A,FALSE,"Sheet1"}</definedName>
    <definedName name="wro.fy00_Q1Q2." hidden="1">{#N/A,#N/A,FALSE,"Sheet1"}</definedName>
    <definedName name="wtr" localSheetId="2" hidden="1">{#N/A,#N/A,FALSE,"资产负债表";#N/A,#N/A,FALSE,"资产负债表"}</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localSheetId="2" hidden="1">#REF!</definedName>
    <definedName name="xdsdgfdh" hidden="1">#REF!</definedName>
    <definedName name="XREF_COLUMN_1" localSheetId="2" hidden="1">#REF!</definedName>
    <definedName name="XREF_COLUMN_1" hidden="1">#REF!</definedName>
    <definedName name="XREF_COLUMN_10" localSheetId="2" hidden="1">#REF!</definedName>
    <definedName name="XREF_COLUMN_10" localSheetId="1" hidden="1">#REF!</definedName>
    <definedName name="XREF_COLUMN_10" hidden="1">#REF!</definedName>
    <definedName name="XREF_COLUMN_11" localSheetId="2" hidden="1">#REF!</definedName>
    <definedName name="XREF_COLUMN_11" localSheetId="1" hidden="1">#REF!</definedName>
    <definedName name="XREF_COLUMN_11" hidden="1">#REF!</definedName>
    <definedName name="XREF_COLUMN_12" localSheetId="2" hidden="1">#REF!</definedName>
    <definedName name="XREF_COLUMN_12" hidden="1">#REF!</definedName>
    <definedName name="XREF_COLUMN_19" localSheetId="2" hidden="1">#REF!</definedName>
    <definedName name="XREF_COLUMN_19" localSheetId="1" hidden="1">#REF!</definedName>
    <definedName name="XREF_COLUMN_19" hidden="1">#REF!</definedName>
    <definedName name="XREF_COLUMN_2" localSheetId="2" hidden="1">#REF!</definedName>
    <definedName name="XREF_COLUMN_2" localSheetId="1" hidden="1">#REF!</definedName>
    <definedName name="XREF_COLUMN_2" hidden="1">#REF!</definedName>
    <definedName name="XREF_COLUMN_20" localSheetId="2" hidden="1">#REF!</definedName>
    <definedName name="XREF_COLUMN_20" localSheetId="1" hidden="1">#REF!</definedName>
    <definedName name="XREF_COLUMN_20" hidden="1">#REF!</definedName>
    <definedName name="XREF_COLUMN_21" localSheetId="2" hidden="1">#REF!</definedName>
    <definedName name="XREF_COLUMN_21" hidden="1">#REF!</definedName>
    <definedName name="XREF_COLUMN_3" localSheetId="2" hidden="1">#REF!</definedName>
    <definedName name="XREF_COLUMN_3" localSheetId="1" hidden="1">#REF!</definedName>
    <definedName name="XREF_COLUMN_3" hidden="1">#REF!</definedName>
    <definedName name="XREF_COLUMN_4" localSheetId="2" hidden="1">#REF!</definedName>
    <definedName name="XREF_COLUMN_4" localSheetId="1" hidden="1">#REF!</definedName>
    <definedName name="XREF_COLUMN_4" hidden="1">#REF!</definedName>
    <definedName name="XREF_COLUMN_5" localSheetId="2" hidden="1">#REF!</definedName>
    <definedName name="XREF_COLUMN_5" localSheetId="1" hidden="1">#REF!</definedName>
    <definedName name="XREF_COLUMN_5" hidden="1">#REF!</definedName>
    <definedName name="XREF_COLUMN_6" localSheetId="2" hidden="1">#REF!</definedName>
    <definedName name="XREF_COLUMN_6" localSheetId="1" hidden="1">#REF!</definedName>
    <definedName name="XREF_COLUMN_6" hidden="1">#REF!</definedName>
    <definedName name="XREF_COLUMN_7" localSheetId="2" hidden="1">#REF!</definedName>
    <definedName name="XREF_COLUMN_7" hidden="1">#REF!</definedName>
    <definedName name="XRefActiveRow" localSheetId="2" hidden="1">#REF!</definedName>
    <definedName name="XRefActiveRow" localSheetId="1" hidden="1">#REF!</definedName>
    <definedName name="XRefActiveRow" hidden="1">#REF!</definedName>
    <definedName name="XRefColumnsCount" hidden="1">2</definedName>
    <definedName name="XRefCopy1" localSheetId="2" hidden="1">#REF!</definedName>
    <definedName name="XRefCopy1" localSheetId="1" hidden="1">#REF!</definedName>
    <definedName name="XRefCopy1" hidden="1">#REF!</definedName>
    <definedName name="XRefCopy10" localSheetId="2" hidden="1">#REF!</definedName>
    <definedName name="XRefCopy10" hidden="1">#REF!</definedName>
    <definedName name="XRefCopy10Row" localSheetId="2" hidden="1">#REF!</definedName>
    <definedName name="XRefCopy10Row" hidden="1">#REF!</definedName>
    <definedName name="XRefCopy11" localSheetId="2" hidden="1">#REF!</definedName>
    <definedName name="XRefCopy11" localSheetId="1" hidden="1">#REF!</definedName>
    <definedName name="XRefCopy11" hidden="1">#REF!</definedName>
    <definedName name="XRefCopy11Row" localSheetId="2" hidden="1">#REF!</definedName>
    <definedName name="XRefCopy11Row" localSheetId="1" hidden="1">#REF!</definedName>
    <definedName name="XRefCopy11Row" hidden="1">#REF!</definedName>
    <definedName name="XRefCopy12" localSheetId="2" hidden="1">#REF!</definedName>
    <definedName name="XRefCopy12" hidden="1">#REF!</definedName>
    <definedName name="XRefCopy13" localSheetId="2" hidden="1">#REF!</definedName>
    <definedName name="XRefCopy13" hidden="1">#REF!</definedName>
    <definedName name="XRefCopy13Row" localSheetId="2" hidden="1">#REF!</definedName>
    <definedName name="XRefCopy13Row" localSheetId="1" hidden="1">#REF!</definedName>
    <definedName name="XRefCopy13Row" hidden="1">#REF!</definedName>
    <definedName name="XRefCopy14" localSheetId="2" hidden="1">#REF!</definedName>
    <definedName name="XRefCopy14" localSheetId="1" hidden="1">#REF!</definedName>
    <definedName name="XRefCopy14" hidden="1">#REF!</definedName>
    <definedName name="XRefCopy15" localSheetId="2" hidden="1">#REF!</definedName>
    <definedName name="XRefCopy15" hidden="1">#REF!</definedName>
    <definedName name="XRefCopy16" localSheetId="2" hidden="1">#REF!</definedName>
    <definedName name="XRefCopy16" hidden="1">#REF!</definedName>
    <definedName name="XRefCopy16Row" localSheetId="2" hidden="1">#REF!</definedName>
    <definedName name="XRefCopy16Row" localSheetId="1" hidden="1">#REF!</definedName>
    <definedName name="XRefCopy16Row" hidden="1">#REF!</definedName>
    <definedName name="XRefCopy17" localSheetId="2" hidden="1">#REF!</definedName>
    <definedName name="XRefCopy17" hidden="1">#REF!</definedName>
    <definedName name="XRefCopy1Row" localSheetId="2" hidden="1">#REF!</definedName>
    <definedName name="XRefCopy1Row" localSheetId="1" hidden="1">#REF!</definedName>
    <definedName name="XRefCopy1Row" hidden="1">#REF!</definedName>
    <definedName name="XRefCopy2" localSheetId="2" hidden="1">#REF!</definedName>
    <definedName name="XRefCopy2" hidden="1">#REF!</definedName>
    <definedName name="XRefCopy2Row" localSheetId="2" hidden="1">#REF!</definedName>
    <definedName name="XRefCopy2Row" hidden="1">#REF!</definedName>
    <definedName name="XRefCopy3" localSheetId="2" hidden="1">#REF!</definedName>
    <definedName name="XRefCopy3" hidden="1">#REF!</definedName>
    <definedName name="XRefCopy3Row" localSheetId="2" hidden="1">#REF!</definedName>
    <definedName name="XRefCopy3Row" hidden="1">#REF!</definedName>
    <definedName name="XRefCopy4" localSheetId="2" hidden="1">#REF!</definedName>
    <definedName name="XRefCopy4" hidden="1">#REF!</definedName>
    <definedName name="XRefCopy46" localSheetId="2" hidden="1">#REF!</definedName>
    <definedName name="XRefCopy46" hidden="1">#REF!</definedName>
    <definedName name="XRefCopy47" localSheetId="2" hidden="1">#REF!</definedName>
    <definedName name="XRefCopy47" hidden="1">#REF!</definedName>
    <definedName name="XRefCopy47Row" localSheetId="2" hidden="1">#REF!</definedName>
    <definedName name="XRefCopy47Row" hidden="1">#REF!</definedName>
    <definedName name="XRefCopy48" localSheetId="2" hidden="1">#REF!</definedName>
    <definedName name="XRefCopy48" hidden="1">#REF!</definedName>
    <definedName name="XRefCopy48Row" localSheetId="2" hidden="1">#REF!</definedName>
    <definedName name="XRefCopy48Row" hidden="1">#REF!</definedName>
    <definedName name="XRefCopy49" localSheetId="2" hidden="1">#REF!</definedName>
    <definedName name="XRefCopy49" hidden="1">#REF!</definedName>
    <definedName name="XRefCopy49Row" localSheetId="2" hidden="1">#REF!</definedName>
    <definedName name="XRefCopy49Row" hidden="1">#REF!</definedName>
    <definedName name="XRefCopy4Row" localSheetId="2" hidden="1">#REF!</definedName>
    <definedName name="XRefCopy4Row" hidden="1">#REF!</definedName>
    <definedName name="XRefCopy5" localSheetId="2" hidden="1">#REF!</definedName>
    <definedName name="XRefCopy5" hidden="1">#REF!</definedName>
    <definedName name="XRefCopy50" localSheetId="2" hidden="1">#REF!</definedName>
    <definedName name="XRefCopy50" hidden="1">#REF!</definedName>
    <definedName name="XRefCopy50Row" localSheetId="2" hidden="1">#REF!</definedName>
    <definedName name="XRefCopy50Row" hidden="1">#REF!</definedName>
    <definedName name="XRefCopy51" localSheetId="2" hidden="1">#REF!</definedName>
    <definedName name="XRefCopy51" hidden="1">#REF!</definedName>
    <definedName name="XRefCopy52" localSheetId="2" hidden="1">#REF!</definedName>
    <definedName name="XRefCopy52" hidden="1">#REF!</definedName>
    <definedName name="XRefCopy52Row" localSheetId="2" hidden="1">#REF!</definedName>
    <definedName name="XRefCopy52Row" hidden="1">#REF!</definedName>
    <definedName name="XRefCopy53" localSheetId="2" hidden="1">#REF!</definedName>
    <definedName name="XRefCopy53" hidden="1">#REF!</definedName>
    <definedName name="XRefCopy53Row" localSheetId="2" hidden="1">#REF!</definedName>
    <definedName name="XRefCopy53Row" hidden="1">#REF!</definedName>
    <definedName name="XRefCopy54" localSheetId="2" hidden="1">#REF!</definedName>
    <definedName name="XRefCopy54" hidden="1">#REF!</definedName>
    <definedName name="XRefCopy54Row" localSheetId="2" hidden="1">#REF!</definedName>
    <definedName name="XRefCopy54Row" hidden="1">#REF!</definedName>
    <definedName name="XRefCopy55" localSheetId="2" hidden="1">#REF!</definedName>
    <definedName name="XRefCopy55" hidden="1">#REF!</definedName>
    <definedName name="XRefCopy55Row" localSheetId="2" hidden="1">#REF!</definedName>
    <definedName name="XRefCopy55Row" hidden="1">#REF!</definedName>
    <definedName name="XRefCopy56" localSheetId="2" hidden="1">#REF!</definedName>
    <definedName name="XRefCopy56" hidden="1">#REF!</definedName>
    <definedName name="XRefCopy56Row" localSheetId="2" hidden="1">#REF!</definedName>
    <definedName name="XRefCopy56Row" hidden="1">#REF!</definedName>
    <definedName name="XRefCopy57" localSheetId="2" hidden="1">#REF!</definedName>
    <definedName name="XRefCopy57" hidden="1">#REF!</definedName>
    <definedName name="XRefCopy57Row" localSheetId="2" hidden="1">#REF!</definedName>
    <definedName name="XRefCopy57Row" hidden="1">#REF!</definedName>
    <definedName name="XRefCopy5Row" localSheetId="2" hidden="1">#REF!</definedName>
    <definedName name="XRefCopy5Row" hidden="1">#REF!</definedName>
    <definedName name="XRefCopy6" localSheetId="2" hidden="1">#REF!</definedName>
    <definedName name="XRefCopy6" hidden="1">#REF!</definedName>
    <definedName name="XRefCopy6Row" localSheetId="2" hidden="1">#REF!</definedName>
    <definedName name="XRefCopy6Row" hidden="1">#REF!</definedName>
    <definedName name="XRefCopy7" localSheetId="2" hidden="1">#REF!</definedName>
    <definedName name="XRefCopy7" hidden="1">#REF!</definedName>
    <definedName name="XRefCopy7Row" localSheetId="2" hidden="1">#REF!</definedName>
    <definedName name="XRefCopy7Row" hidden="1">#REF!</definedName>
    <definedName name="XRefCopy8" localSheetId="2" hidden="1">#REF!</definedName>
    <definedName name="XRefCopy8" hidden="1">#REF!</definedName>
    <definedName name="XRefCopy8Row" localSheetId="2" hidden="1">#REF!</definedName>
    <definedName name="XRefCopy8Row" hidden="1">#REF!</definedName>
    <definedName name="XRefCopy9" localSheetId="2" hidden="1">#REF!</definedName>
    <definedName name="XRefCopy9" hidden="1">#REF!</definedName>
    <definedName name="XRefCopy9Row" localSheetId="2" hidden="1">#REF!</definedName>
    <definedName name="XRefCopy9Row" hidden="1">#REF!</definedName>
    <definedName name="XRefCopyRangeCount" hidden="1">3</definedName>
    <definedName name="XRefPaste1" localSheetId="2" hidden="1">#REF!</definedName>
    <definedName name="XRefPaste1" hidden="1">#REF!</definedName>
    <definedName name="XRefPaste10" localSheetId="2" hidden="1">#REF!</definedName>
    <definedName name="XRefPaste10" hidden="1">#REF!</definedName>
    <definedName name="XRefPaste11" localSheetId="2" hidden="1">#REF!</definedName>
    <definedName name="XRefPaste11" hidden="1">#REF!</definedName>
    <definedName name="XRefPaste15" localSheetId="2" hidden="1">#REF!</definedName>
    <definedName name="XRefPaste15" hidden="1">#REF!</definedName>
    <definedName name="XRefPaste1Row" localSheetId="2" hidden="1">#REF!</definedName>
    <definedName name="XRefPaste1Row" hidden="1">#REF!</definedName>
    <definedName name="XRefPaste2" localSheetId="2" hidden="1">#REF!</definedName>
    <definedName name="XRefPaste2" localSheetId="1" hidden="1">#REF!</definedName>
    <definedName name="XRefPaste2" hidden="1">#REF!</definedName>
    <definedName name="XRefPaste24" localSheetId="2" hidden="1">#REF!</definedName>
    <definedName name="XRefPaste24" localSheetId="1" hidden="1">#REF!</definedName>
    <definedName name="XRefPaste24" hidden="1">#REF!</definedName>
    <definedName name="XRefPaste24Row" localSheetId="2" hidden="1">#REF!</definedName>
    <definedName name="XRefPaste24Row" hidden="1">#REF!</definedName>
    <definedName name="XRefPaste25" localSheetId="2" hidden="1">#REF!</definedName>
    <definedName name="XRefPaste25" hidden="1">#REF!</definedName>
    <definedName name="XRefPaste25Row" localSheetId="2" hidden="1">#REF!</definedName>
    <definedName name="XRefPaste25Row" hidden="1">#REF!</definedName>
    <definedName name="XRefPaste26" localSheetId="2" hidden="1">#REF!</definedName>
    <definedName name="XRefPaste26" hidden="1">#REF!</definedName>
    <definedName name="XRefPaste26Row" localSheetId="2" hidden="1">#REF!</definedName>
    <definedName name="XRefPaste26Row" hidden="1">#REF!</definedName>
    <definedName name="XRefPaste27" localSheetId="2" hidden="1">#REF!</definedName>
    <definedName name="XRefPaste27" hidden="1">#REF!</definedName>
    <definedName name="XRefPaste27Row" localSheetId="2" hidden="1">#REF!</definedName>
    <definedName name="XRefPaste27Row" hidden="1">#REF!</definedName>
    <definedName name="XRefPaste28" localSheetId="2" hidden="1">#REF!</definedName>
    <definedName name="XRefPaste28" hidden="1">#REF!</definedName>
    <definedName name="XRefPaste28Row" localSheetId="2" hidden="1">#REF!</definedName>
    <definedName name="XRefPaste28Row" hidden="1">#REF!</definedName>
    <definedName name="XRefPaste29" localSheetId="2" hidden="1">#REF!</definedName>
    <definedName name="XRefPaste29" hidden="1">#REF!</definedName>
    <definedName name="XRefPaste29Row" localSheetId="2" hidden="1">#REF!</definedName>
    <definedName name="XRefPaste29Row" hidden="1">#REF!</definedName>
    <definedName name="XRefPaste2Row" localSheetId="2" hidden="1">#REF!</definedName>
    <definedName name="XRefPaste2Row" localSheetId="1" hidden="1">#REF!</definedName>
    <definedName name="XRefPaste2Row" hidden="1">#REF!</definedName>
    <definedName name="XRefPaste3" localSheetId="2" hidden="1">#REF!</definedName>
    <definedName name="XRefPaste3" localSheetId="1" hidden="1">#REF!</definedName>
    <definedName name="XRefPaste3" hidden="1">#REF!</definedName>
    <definedName name="XRefPaste3Row" localSheetId="2" hidden="1">#REF!</definedName>
    <definedName name="XRefPaste3Row" hidden="1">#REF!</definedName>
    <definedName name="XRefPaste4" localSheetId="2" hidden="1">#REF!</definedName>
    <definedName name="XRefPaste4" hidden="1">#REF!</definedName>
    <definedName name="XRefPaste4Row" localSheetId="2" hidden="1">#REF!</definedName>
    <definedName name="XRefPaste4Row" hidden="1">#REF!</definedName>
    <definedName name="XRefPaste5" localSheetId="2" hidden="1">#REF!</definedName>
    <definedName name="XRefPaste5" hidden="1">#REF!</definedName>
    <definedName name="XRefPaste6" localSheetId="2" hidden="1">#REF!</definedName>
    <definedName name="XRefPaste6" hidden="1">#REF!</definedName>
    <definedName name="XRefPaste6Row" localSheetId="2" hidden="1">#REF!</definedName>
    <definedName name="XRefPaste6Row" localSheetId="1" hidden="1">#REF!</definedName>
    <definedName name="XRefPaste6Row" hidden="1">#REF!</definedName>
    <definedName name="XRefPaste7" localSheetId="2" hidden="1">#REF!</definedName>
    <definedName name="XRefPaste7" localSheetId="1" hidden="1">#REF!</definedName>
    <definedName name="XRefPaste7" hidden="1">#REF!</definedName>
    <definedName name="XRefPaste8" localSheetId="2" hidden="1">#REF!</definedName>
    <definedName name="XRefPaste8" hidden="1">#REF!</definedName>
    <definedName name="XRefPaste9" localSheetId="2" hidden="1">#REF!</definedName>
    <definedName name="XRefPaste9" hidden="1">#REF!</definedName>
    <definedName name="XRefPasteRangeCount" hidden="1">1</definedName>
    <definedName name="xsd" localSheetId="2" hidden="1">#REF!</definedName>
    <definedName name="xsd" hidden="1">#REF!</definedName>
    <definedName name="xxx" hidden="1">{#N/A,#N/A,FALSE,"Virgin Flightdeck"}</definedName>
    <definedName name="XXXXXXXXXXXX" localSheetId="2" hidden="1">#REF!</definedName>
    <definedName name="XXXXXXXXXXXX" hidden="1">#REF!</definedName>
    <definedName name="xyz" localSheetId="2" hidden="1">#REF!</definedName>
    <definedName name="xyz" hidden="1">#REF!</definedName>
    <definedName name="xzxsfd" localSheetId="2" hidden="1">{"M1Print",#N/A,FALSE,"M1"}</definedName>
    <definedName name="xzxsfd" localSheetId="1" hidden="1">{"M1Print",#N/A,FALSE,"M1"}</definedName>
    <definedName name="xzxsfd" hidden="1">{"M1Print",#N/A,FALSE,"M1"}</definedName>
    <definedName name="y" localSheetId="2" hidden="1">{#N/A,#N/A,FALSE,"970301";#N/A,#N/A,FALSE,"970302";#N/A,#N/A,FALSE,"970303";#N/A,#N/A,FALSE,"970304";#N/A,#N/A,FALSE,"COM1";#N/A,#N/A,FALSE,"COM2"}</definedName>
    <definedName name="y" hidden="1">{#N/A,#N/A,FALSE,"970301";#N/A,#N/A,FALSE,"970302";#N/A,#N/A,FALSE,"970303";#N/A,#N/A,FALSE,"970304";#N/A,#N/A,FALSE,"COM1";#N/A,#N/A,FALSE,"COM2"}</definedName>
    <definedName name="yy" hidden="1">{#N/A,#N/A,FALSE,"ABB HOLDING LTD"}</definedName>
    <definedName name="Z_0C0235C9_3F84_11D5_81CA_0004ACE54E1F_.wvu.FilterData" localSheetId="2" hidden="1">#REF!</definedName>
    <definedName name="Z_0C0235C9_3F84_11D5_81CA_0004ACE54E1F_.wvu.FilterData" hidden="1">#REF!</definedName>
    <definedName name="Z_0C0235C9_3F84_11D5_81CA_0004ACE54E1F_.wvu.PrintArea" localSheetId="2" hidden="1">#REF!</definedName>
    <definedName name="Z_0C0235C9_3F84_11D5_81CA_0004ACE54E1F_.wvu.PrintArea" hidden="1">#REF!</definedName>
    <definedName name="Z_0C0235C9_3F84_11D5_81CA_0004ACE54E1F_.wvu.PrintTitles" localSheetId="2" hidden="1">#REF!</definedName>
    <definedName name="Z_0C0235C9_3F84_11D5_81CA_0004ACE54E1F_.wvu.PrintTitles" hidden="1">#REF!</definedName>
    <definedName name="Z_0C0235C9_3F84_11D5_81CA_0004ACE54E1F_.wvu.Rows" localSheetId="2" hidden="1">#REF!,#REF!,#REF!,#REF!,#REF!</definedName>
    <definedName name="Z_0C0235C9_3F84_11D5_81CA_0004ACE54E1F_.wvu.Rows" hidden="1">#REF!,#REF!,#REF!,#REF!,#REF!</definedName>
    <definedName name="Z_149AC9E3_10D6_11D2_BD3F_0060945C7103_.wvu.FilterData" localSheetId="2" hidden="1">#REF!</definedName>
    <definedName name="Z_149AC9E3_10D6_11D2_BD3F_0060945C7103_.wvu.FilterData" hidden="1">#REF!</definedName>
    <definedName name="Z_1711050D_B2D8_42FB_A40D_E4BD90297684_.wvu.Cols" localSheetId="2" hidden="1">#REF!,#REF!,#REF!,#REF!,#REF!</definedName>
    <definedName name="Z_1711050D_B2D8_42FB_A40D_E4BD90297684_.wvu.Cols" hidden="1">#REF!,#REF!,#REF!,#REF!,#REF!</definedName>
    <definedName name="Z_39BC5E81_0594_11D1_8C74_006097B34275_.wvu.FilterData" localSheetId="2" hidden="1">#REF!</definedName>
    <definedName name="Z_39BC5E81_0594_11D1_8C74_006097B34275_.wvu.FilterData" hidden="1">#REF!</definedName>
    <definedName name="Z_39BC5E82_0594_11D1_8C74_006097B34275_.wvu.FilterData" localSheetId="2" hidden="1">#REF!</definedName>
    <definedName name="Z_39BC5E82_0594_11D1_8C74_006097B34275_.wvu.FilterData" hidden="1">#REF!</definedName>
    <definedName name="Z_4B5573A2_25FD_11D1_8C74_006097B34275_.wvu.FilterData" localSheetId="2" hidden="1">#REF!</definedName>
    <definedName name="Z_4B5573A2_25FD_11D1_8C74_006097B34275_.wvu.FilterData" hidden="1">#REF!</definedName>
    <definedName name="Z_4B5573A3_25FD_11D1_8C74_006097B34275_.wvu.FilterData" localSheetId="2" hidden="1">#REF!</definedName>
    <definedName name="Z_4B5573A3_25FD_11D1_8C74_006097B34275_.wvu.FilterData" hidden="1">#REF!</definedName>
    <definedName name="Z_4C289101_0FD6_11D1_A510_006097B38048_.wvu.FilterData" localSheetId="2" hidden="1">#REF!</definedName>
    <definedName name="Z_4C289101_0FD6_11D1_A510_006097B38048_.wvu.FilterData" hidden="1">#REF!</definedName>
    <definedName name="Z_4C854AA2_3991_11D1_8C74_006097B34275_.wvu.FilterData" localSheetId="2" hidden="1">#REF!</definedName>
    <definedName name="Z_4C854AA2_3991_11D1_8C74_006097B34275_.wvu.FilterData" hidden="1">#REF!</definedName>
    <definedName name="Z_4E9FC601_CB8F_11D0_8C74_006097B34275_.wvu.FilterData" localSheetId="2" hidden="1">#REF!</definedName>
    <definedName name="Z_4E9FC601_CB8F_11D0_8C74_006097B34275_.wvu.FilterData" hidden="1">#REF!</definedName>
    <definedName name="Z_5B0018AC_ED7C_43A5_8355_57F537E03D3C_.wvu.Cols" localSheetId="2" hidden="1">#REF!</definedName>
    <definedName name="Z_5B0018AC_ED7C_43A5_8355_57F537E03D3C_.wvu.Cols" hidden="1">#REF!</definedName>
    <definedName name="Z_5B0018AC_ED7C_43A5_8355_57F537E03D3C_.wvu.PrintArea" localSheetId="2" hidden="1">#REF!</definedName>
    <definedName name="Z_5B0018AC_ED7C_43A5_8355_57F537E03D3C_.wvu.PrintArea" hidden="1">#REF!</definedName>
    <definedName name="Z_5B0018AC_ED7C_43A5_8355_57F537E03D3C_.wvu.PrintTitles" localSheetId="2" hidden="1">#REF!</definedName>
    <definedName name="Z_5B0018AC_ED7C_43A5_8355_57F537E03D3C_.wvu.PrintTitles" hidden="1">#REF!</definedName>
    <definedName name="Z_5B0018AC_ED7C_43A5_8355_57F537E03D3C_.wvu.Rows" localSheetId="2" hidden="1">#REF!</definedName>
    <definedName name="Z_5B0018AC_ED7C_43A5_8355_57F537E03D3C_.wvu.Rows" hidden="1">#REF!</definedName>
    <definedName name="Z_6E0ADC42_F22D_11D0_8C74_006097B34275_.wvu.FilterData" localSheetId="2" hidden="1">#REF!</definedName>
    <definedName name="Z_6E0ADC42_F22D_11D0_8C74_006097B34275_.wvu.FilterData" hidden="1">#REF!</definedName>
    <definedName name="Z_7E0A45E1_0993_11D1_8C74_006097B34275_.wvu.FilterData" localSheetId="2" hidden="1">#REF!</definedName>
    <definedName name="Z_7E0A45E1_0993_11D1_8C74_006097B34275_.wvu.FilterData" hidden="1">#REF!</definedName>
    <definedName name="Z_82212322_246D_11D1_8C74_006097B34275_.wvu.FilterData" localSheetId="2" hidden="1">#REF!</definedName>
    <definedName name="Z_82212322_246D_11D1_8C74_006097B34275_.wvu.FilterData" hidden="1">#REF!</definedName>
    <definedName name="Z_B8175DE2_E97C_11D0_8C74_006097B34275_.wvu.FilterData" localSheetId="2" hidden="1">#REF!</definedName>
    <definedName name="Z_B8175DE2_E97C_11D0_8C74_006097B34275_.wvu.FilterData" hidden="1">#REF!</definedName>
    <definedName name="Z_CB0E8320_907C_11D8_8F9A_003018607B51_.wvu.Cols" localSheetId="2" hidden="1">#REF!</definedName>
    <definedName name="Z_CB0E8320_907C_11D8_8F9A_003018607B51_.wvu.Cols" hidden="1">#REF!</definedName>
    <definedName name="Z_DCA8D884_2605_11D1_A510_006097B38048_.wvu.FilterData" localSheetId="2" hidden="1">#REF!</definedName>
    <definedName name="Z_DCA8D884_2605_11D1_A510_006097B38048_.wvu.FilterData" hidden="1">#REF!</definedName>
    <definedName name="Z_E2699901_D040_11D0_A510_006097B38048_.wvu.FilterData" localSheetId="2" hidden="1">#REF!</definedName>
    <definedName name="Z_E2699901_D040_11D0_A510_006097B38048_.wvu.FilterData" hidden="1">#REF!</definedName>
    <definedName name="Z_E3C7B981_6570_11D9_9364_000D600563D5_.wvu.PrintArea" localSheetId="2" hidden="1">#REF!</definedName>
    <definedName name="Z_E3C7B981_6570_11D9_9364_000D600563D5_.wvu.PrintArea" hidden="1">#REF!</definedName>
    <definedName name="Z_E3C7B981_6570_11D9_9364_000D600563D5_.wvu.PrintTitles" localSheetId="2" hidden="1">#REF!</definedName>
    <definedName name="Z_E3C7B981_6570_11D9_9364_000D600563D5_.wvu.PrintTitles" hidden="1">#REF!</definedName>
    <definedName name="Z_E738B51C_56AE_4F9F_8D8A_36AD6137B90D_.wvu.Cols" localSheetId="2" hidden="1">#REF!</definedName>
    <definedName name="Z_E738B51C_56AE_4F9F_8D8A_36AD6137B90D_.wvu.Cols" localSheetId="1" hidden="1">#REF!</definedName>
    <definedName name="Z_E738B51C_56AE_4F9F_8D8A_36AD6137B90D_.wvu.Cols" hidden="1">#REF!</definedName>
    <definedName name="Z_E738B51C_56AE_4F9F_8D8A_36AD6137B90D_.wvu.PrintArea" localSheetId="2" hidden="1">#REF!</definedName>
    <definedName name="Z_E738B51C_56AE_4F9F_8D8A_36AD6137B90D_.wvu.PrintArea" hidden="1">#REF!</definedName>
    <definedName name="Z_E738B51C_56AE_4F9F_8D8A_36AD6137B90D_.wvu.PrintTitles" localSheetId="2" hidden="1">#REF!,#REF!</definedName>
    <definedName name="Z_E738B51C_56AE_4F9F_8D8A_36AD6137B90D_.wvu.PrintTitles" localSheetId="1" hidden="1">#REF!,#REF!</definedName>
    <definedName name="Z_E738B51C_56AE_4F9F_8D8A_36AD6137B90D_.wvu.PrintTitles" hidden="1">#REF!,#REF!</definedName>
    <definedName name="Z_E738B51C_56AE_4F9F_8D8A_36AD6137B90D_.wvu.Rows" localSheetId="2" hidden="1">#REF!</definedName>
    <definedName name="Z_E738B51C_56AE_4F9F_8D8A_36AD6137B90D_.wvu.Rows" localSheetId="1" hidden="1">#REF!</definedName>
    <definedName name="Z_E738B51C_56AE_4F9F_8D8A_36AD6137B90D_.wvu.Rows" hidden="1">#REF!</definedName>
    <definedName name="zdry" localSheetId="2" hidden="1">{#N/A,#N/A,FALSE,"资产负债表";#N/A,#N/A,FALSE,"资产负债表"}</definedName>
    <definedName name="zdry" hidden="1">{#N/A,#N/A,FALSE,"资产负债表";#N/A,#N/A,FALSE,"资产负债表"}</definedName>
    <definedName name="zerey" localSheetId="2"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localSheetId="2" hidden="1">#REF!</definedName>
    <definedName name="ZZZZZZZZZZZZZ" hidden="1">#REF!</definedName>
    <definedName name="啊" localSheetId="2" hidden="1">{#N/A,#N/A,FALSE,"970301";#N/A,#N/A,FALSE,"970302";#N/A,#N/A,FALSE,"970303";#N/A,#N/A,FALSE,"970304";#N/A,#N/A,FALSE,"COM1";#N/A,#N/A,FALSE,"COM2"}</definedName>
    <definedName name="啊" hidden="1">{#N/A,#N/A,FALSE,"970301";#N/A,#N/A,FALSE,"970302";#N/A,#N/A,FALSE,"970303";#N/A,#N/A,FALSE,"970304";#N/A,#N/A,FALSE,"COM1";#N/A,#N/A,FALSE,"COM2"}</definedName>
    <definedName name="把" hidden="1">{#N/A,#N/A,FALSE,"Virgin Flightdeck"}</definedName>
    <definedName name="备用" localSheetId="2" hidden="1">{#N/A,#N/A,FALSE,"OffAdvance";#N/A,#N/A,FALSE,"OffExpRprt";#N/A,#N/A,FALSE,"Entertmnt";#N/A,#N/A,FALSE,"Promotion";#N/A,#N/A,FALSE,"Travelling"}</definedName>
    <definedName name="备用" hidden="1">{#N/A,#N/A,FALSE,"OffAdvance";#N/A,#N/A,FALSE,"OffExpRprt";#N/A,#N/A,FALSE,"Entertmnt";#N/A,#N/A,FALSE,"Promotion";#N/A,#N/A,FALSE,"Travelling"}</definedName>
    <definedName name="本循环科目" localSheetId="2" hidden="1">#REF!</definedName>
    <definedName name="本循环科目" hidden="1">#REF!</definedName>
    <definedName name="借款" localSheetId="2" hidden="1">{#N/A,#N/A,FALSE,"970301";#N/A,#N/A,FALSE,"970302";#N/A,#N/A,FALSE,"970303";#N/A,#N/A,FALSE,"970304";#N/A,#N/A,FALSE,"COM1";#N/A,#N/A,FALSE,"COM2"}</definedName>
    <definedName name="借款" hidden="1">{#N/A,#N/A,FALSE,"970301";#N/A,#N/A,FALSE,"970302";#N/A,#N/A,FALSE,"970303";#N/A,#N/A,FALSE,"970304";#N/A,#N/A,FALSE,"COM1";#N/A,#N/A,FALSE,"COM2"}</definedName>
    <definedName name="苛" localSheetId="2" hidden="1">{"M1sPrint",#N/A,FALSE,"M1s"}</definedName>
    <definedName name="苛" localSheetId="1" hidden="1">{"M1sPrint",#N/A,FALSE,"M1s"}</definedName>
    <definedName name="苛" hidden="1">{"M1sPrint",#N/A,FALSE,"M1s"}</definedName>
    <definedName name="试验" localSheetId="2" hidden="1">{#N/A,#N/A,FALSE,"OffAdvance";#N/A,#N/A,FALSE,"OffExpRprt";#N/A,#N/A,FALSE,"Travelling";#N/A,#N/A,FALSE,"Entertmnt";#N/A,#N/A,FALSE,"Promotion"}</definedName>
    <definedName name="试验"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已05"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 hidden="1">{#N/A,#N/A,FALSE,"970301";#N/A,#N/A,FALSE,"970302";#N/A,#N/A,FALSE,"970303";#N/A,#N/A,FALSE,"970304";#N/A,#N/A,FALSE,"COM1";#N/A,#N/A,FALSE,"COM2"}</definedName>
    <definedName name="应手款1月" localSheetId="2" hidden="1">{#N/A,#N/A,FALSE,"Marketing";#N/A,#N/A,FALSE,"Selling";#N/A,#N/A,FALSE,"Promotional";#N/A,#N/A,FALSE,"Advertising"}</definedName>
    <definedName name="应手款1月" hidden="1">{#N/A,#N/A,FALSE,"Marketing";#N/A,#N/A,FALSE,"Selling";#N/A,#N/A,FALSE,"Promotional";#N/A,#N/A,FALSE,"Advertising"}</definedName>
    <definedName name="최재호" localSheetId="2" hidden="1">#REF!</definedName>
    <definedName name="최재호"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8" l="1"/>
  <c r="F41" i="8"/>
  <c r="D41" i="8"/>
  <c r="G16" i="6"/>
  <c r="P17" i="7"/>
  <c r="P16" i="7"/>
  <c r="F42" i="8"/>
  <c r="E42" i="8"/>
  <c r="D42" i="8"/>
  <c r="G38" i="8"/>
  <c r="F32" i="8"/>
  <c r="F39" i="8" s="1"/>
  <c r="E32" i="8"/>
  <c r="E39" i="8" s="1"/>
  <c r="D32" i="8"/>
  <c r="D39" i="8" s="1"/>
  <c r="F31" i="8"/>
  <c r="E31" i="8"/>
  <c r="D31" i="8"/>
  <c r="G31" i="8" s="1"/>
  <c r="G32" i="8" s="1"/>
  <c r="G39" i="8" s="1"/>
  <c r="I30" i="8"/>
  <c r="G30" i="8"/>
  <c r="G6" i="8"/>
  <c r="G36" i="8" s="1"/>
  <c r="K16" i="7"/>
  <c r="J16" i="7"/>
  <c r="H16" i="7"/>
  <c r="G16" i="7"/>
  <c r="E16" i="7"/>
  <c r="D16" i="7"/>
  <c r="K15" i="7"/>
  <c r="J15" i="7"/>
  <c r="H15" i="7"/>
  <c r="H17" i="7" s="1"/>
  <c r="G15" i="7"/>
  <c r="E15" i="7"/>
  <c r="N15" i="7" s="1"/>
  <c r="D15" i="7"/>
  <c r="M15" i="7" s="1"/>
  <c r="N14" i="7"/>
  <c r="M14" i="7"/>
  <c r="L14" i="7"/>
  <c r="I14" i="7"/>
  <c r="F14" i="7"/>
  <c r="O14" i="7" s="1"/>
  <c r="O13" i="7"/>
  <c r="N13" i="7"/>
  <c r="M13" i="7"/>
  <c r="L13" i="7"/>
  <c r="I13" i="7"/>
  <c r="F13" i="7"/>
  <c r="F15" i="7" s="1"/>
  <c r="N12" i="7"/>
  <c r="M12" i="7"/>
  <c r="L12" i="7"/>
  <c r="L15" i="7" s="1"/>
  <c r="I12" i="7"/>
  <c r="I15" i="7" s="1"/>
  <c r="F12" i="7"/>
  <c r="O12" i="7" s="1"/>
  <c r="K11" i="7"/>
  <c r="N11" i="7" s="1"/>
  <c r="J11" i="7"/>
  <c r="H11" i="7"/>
  <c r="G11" i="7"/>
  <c r="E11" i="7"/>
  <c r="D11" i="7"/>
  <c r="M11" i="7" s="1"/>
  <c r="O10" i="7"/>
  <c r="N10" i="7"/>
  <c r="M10" i="7"/>
  <c r="L10" i="7"/>
  <c r="I10" i="7"/>
  <c r="F10" i="7"/>
  <c r="F11" i="7" s="1"/>
  <c r="N9" i="7"/>
  <c r="M9" i="7"/>
  <c r="L9" i="7"/>
  <c r="I9" i="7"/>
  <c r="F9" i="7"/>
  <c r="O9" i="7" s="1"/>
  <c r="N8" i="7"/>
  <c r="M8" i="7"/>
  <c r="L8" i="7"/>
  <c r="L11" i="7" s="1"/>
  <c r="I8" i="7"/>
  <c r="I11" i="7" s="1"/>
  <c r="F8" i="7"/>
  <c r="O8" i="7" s="1"/>
  <c r="K7" i="7"/>
  <c r="K17" i="7" s="1"/>
  <c r="J7" i="7"/>
  <c r="F33" i="8" s="1"/>
  <c r="F34" i="8" s="1"/>
  <c r="H7" i="7"/>
  <c r="G7" i="7"/>
  <c r="G17" i="7" s="1"/>
  <c r="E7" i="7"/>
  <c r="E17" i="7" s="1"/>
  <c r="D7" i="7"/>
  <c r="M7" i="7" s="1"/>
  <c r="M17" i="7" s="1"/>
  <c r="N6" i="7"/>
  <c r="M6" i="7"/>
  <c r="L6" i="7"/>
  <c r="I6" i="7"/>
  <c r="F6" i="7"/>
  <c r="O6" i="7" s="1"/>
  <c r="N5" i="7"/>
  <c r="M5" i="7"/>
  <c r="L5" i="7"/>
  <c r="I5" i="7"/>
  <c r="I7" i="7" s="1"/>
  <c r="I17" i="7" s="1"/>
  <c r="F5" i="7"/>
  <c r="O5" i="7" s="1"/>
  <c r="N4" i="7"/>
  <c r="N16" i="7" s="1"/>
  <c r="M4" i="7"/>
  <c r="M16" i="7" s="1"/>
  <c r="L4" i="7"/>
  <c r="L7" i="7" s="1"/>
  <c r="L17" i="7" s="1"/>
  <c r="I4" i="7"/>
  <c r="I16" i="7" s="1"/>
  <c r="F4" i="7"/>
  <c r="O4" i="7" s="1"/>
  <c r="O16" i="7" s="1"/>
  <c r="O15" i="7" l="1"/>
  <c r="E43" i="8"/>
  <c r="O11" i="7"/>
  <c r="F43" i="8"/>
  <c r="F7" i="7"/>
  <c r="N7" i="7"/>
  <c r="N17" i="7" s="1"/>
  <c r="F16" i="7"/>
  <c r="J17" i="7"/>
  <c r="L16" i="7"/>
  <c r="D17" i="7"/>
  <c r="D33" i="8"/>
  <c r="G42" i="8"/>
  <c r="E33" i="8"/>
  <c r="E34" i="8" s="1"/>
  <c r="Q16" i="7"/>
  <c r="F36" i="8" l="1"/>
  <c r="F45" i="8" s="1"/>
  <c r="D50" i="8"/>
  <c r="D51" i="8" s="1"/>
  <c r="E36" i="8"/>
  <c r="E45" i="8" s="1"/>
  <c r="D36" i="8"/>
  <c r="G33" i="8"/>
  <c r="D34" i="8"/>
  <c r="F17" i="7"/>
  <c r="O7" i="7"/>
  <c r="O17" i="7" s="1"/>
  <c r="Q17" i="7" s="1"/>
  <c r="G34" i="8" l="1"/>
  <c r="G41" i="8" l="1"/>
  <c r="D43" i="8"/>
  <c r="D45" i="8" l="1"/>
  <c r="G43" i="8"/>
  <c r="G45" i="8" s="1"/>
</calcChain>
</file>

<file path=xl/sharedStrings.xml><?xml version="1.0" encoding="utf-8"?>
<sst xmlns="http://schemas.openxmlformats.org/spreadsheetml/2006/main" count="153" uniqueCount="127">
  <si>
    <t>本SOP仅针对Non-PCAOB的项目参考使用。</t>
  </si>
  <si>
    <t>有限风险帐户认定场景示例</t>
  </si>
  <si>
    <t>1. 无形资产涉及减值但不存在重大错报风险，如国家法规变化导致技术无法再使用，全额进行减值</t>
  </si>
  <si>
    <t>2. 无摊销年限，摊销方法等会计估计变更</t>
  </si>
  <si>
    <t>3. 无使用寿命不确定的无形资产</t>
  </si>
  <si>
    <t>4. 内部研发资本化形成的无形资产金额不重大</t>
  </si>
  <si>
    <t>5. 本年新增/处置无形资产金额较小；或，虽然本年新增/处置无形资产的金额较大，但数量较少，易于通过实质性程序验证</t>
  </si>
  <si>
    <t>基于我们对实体及该账户的了解，我们认为该账户符合有限风险账户认定的全部标准，设计并执行如下程序：</t>
  </si>
  <si>
    <t>序号</t>
  </si>
  <si>
    <t>报表科目</t>
  </si>
  <si>
    <t>执行的程序</t>
  </si>
  <si>
    <t>程序描述</t>
  </si>
  <si>
    <t>执行团队</t>
  </si>
  <si>
    <t>底稿索引</t>
  </si>
  <si>
    <t>无形资产及摊销费用</t>
  </si>
  <si>
    <t>有限风险账户canvas workflow填写</t>
  </si>
  <si>
    <t>有限风险账户的判断及记录</t>
  </si>
  <si>
    <t>项目组</t>
  </si>
  <si>
    <t>有限风险账户判断及记录示例及实质性程序指引</t>
  </si>
  <si>
    <t>无形资产摊销费用</t>
  </si>
  <si>
    <t>实质性分析程序</t>
  </si>
  <si>
    <t>对本期无形资产摊销费用建立预期，并分析实际摊销费用是否符合预期</t>
  </si>
  <si>
    <t>WP COE</t>
  </si>
  <si>
    <t>所执行程序——摊销费用</t>
  </si>
  <si>
    <t>无形资产原值</t>
  </si>
  <si>
    <t>对无形资产新增和处置执行细节测试（如新增/处置发生额重大）</t>
  </si>
  <si>
    <t>对金额超过测试阈值的本年新增/处置资产进行抽凭，验证相关支撑性资料</t>
  </si>
  <si>
    <t>LRA -基础操作指引-【01】</t>
  </si>
  <si>
    <t>LRA -进阶实操提示-【01】</t>
  </si>
  <si>
    <t>LRA -易错点-【01】</t>
  </si>
  <si>
    <t>无形资产类别</t>
  </si>
  <si>
    <t>土地使用权</t>
  </si>
  <si>
    <t>计算机软件</t>
  </si>
  <si>
    <r>
      <rPr>
        <b/>
        <sz val="10"/>
        <rFont val="微软雅黑"/>
        <family val="2"/>
      </rPr>
      <t>专利权</t>
    </r>
  </si>
  <si>
    <r>
      <rPr>
        <b/>
        <sz val="10"/>
        <rFont val="微软雅黑"/>
        <family val="2"/>
      </rPr>
      <t>合计</t>
    </r>
  </si>
  <si>
    <r>
      <rPr>
        <sz val="10"/>
        <rFont val="微软雅黑"/>
        <family val="2"/>
      </rPr>
      <t>账面数</t>
    </r>
  </si>
  <si>
    <r>
      <rPr>
        <sz val="10"/>
        <rFont val="微软雅黑"/>
        <family val="2"/>
      </rPr>
      <t>账表调整</t>
    </r>
    <r>
      <rPr>
        <sz val="10"/>
        <rFont val="Arial"/>
        <family val="2"/>
      </rPr>
      <t>/</t>
    </r>
    <r>
      <rPr>
        <sz val="10"/>
        <rFont val="微软雅黑"/>
        <family val="2"/>
      </rPr>
      <t>审计调整</t>
    </r>
  </si>
  <si>
    <r>
      <rPr>
        <sz val="10"/>
        <rFont val="微软雅黑"/>
        <family val="2"/>
      </rPr>
      <t>审定数</t>
    </r>
  </si>
  <si>
    <t>A3</t>
  </si>
  <si>
    <t>check</t>
  </si>
  <si>
    <r>
      <rPr>
        <b/>
        <sz val="10"/>
        <rFont val="微软雅黑"/>
        <family val="2"/>
      </rPr>
      <t>年初余额</t>
    </r>
  </si>
  <si>
    <r>
      <rPr>
        <sz val="10"/>
        <rFont val="微软雅黑"/>
        <family val="2"/>
      </rPr>
      <t>购置</t>
    </r>
  </si>
  <si>
    <t>原值</t>
  </si>
  <si>
    <r>
      <rPr>
        <sz val="10"/>
        <rFont val="微软雅黑"/>
        <family val="2"/>
      </rPr>
      <t>处置或报废</t>
    </r>
  </si>
  <si>
    <r>
      <rPr>
        <b/>
        <sz val="10"/>
        <rFont val="微软雅黑"/>
        <family val="2"/>
      </rPr>
      <t>年末余额</t>
    </r>
  </si>
  <si>
    <r>
      <rPr>
        <sz val="10"/>
        <rFont val="微软雅黑"/>
        <family val="2"/>
      </rPr>
      <t>计提</t>
    </r>
  </si>
  <si>
    <t>累计摊销</t>
  </si>
  <si>
    <t>减值准备</t>
  </si>
  <si>
    <t/>
  </si>
  <si>
    <t>净值 (NBV)</t>
  </si>
  <si>
    <t>客户名称</t>
  </si>
  <si>
    <t>东风井关农业机械有限公司本部</t>
  </si>
  <si>
    <t>重要性水平(PM)</t>
  </si>
  <si>
    <r>
      <rPr>
        <b/>
        <sz val="10"/>
        <color rgb="FF000000"/>
        <rFont val="微软雅黑"/>
        <family val="2"/>
      </rPr>
      <t>填列基本信息：</t>
    </r>
    <r>
      <rPr>
        <sz val="10"/>
        <color rgb="FF000000"/>
        <rFont val="微软雅黑"/>
        <family val="2"/>
      </rPr>
      <t xml:space="preserve">
</t>
    </r>
    <r>
      <rPr>
        <b/>
        <sz val="10"/>
        <color rgb="FF000000"/>
        <rFont val="微软雅黑"/>
        <family val="2"/>
      </rPr>
      <t>1、年度：</t>
    </r>
    <r>
      <rPr>
        <sz val="10"/>
        <color rgb="FF000000"/>
        <rFont val="微软雅黑"/>
        <family val="2"/>
      </rPr>
      <t xml:space="preserve">填列资产负债表日，若为一般年度法定审计项目，填写202X-12-31；若为IPO审计服务等对某个特定会计期间进行审计，应填写期末时间。
</t>
    </r>
    <r>
      <rPr>
        <b/>
        <sz val="10"/>
        <color rgb="FF000000"/>
        <rFont val="微软雅黑"/>
        <family val="2"/>
      </rPr>
      <t>2、记账本位币：</t>
    </r>
    <r>
      <rPr>
        <sz val="10"/>
        <color rgb="FF000000"/>
        <rFont val="微软雅黑"/>
        <family val="2"/>
      </rPr>
      <t xml:space="preserve">填列记账本位币。企业通常应选择人民币作为记账本位币，业务收支以人民币以外的货币为主的企业，可以按规定选定其中一种货币作为记账本位币。
</t>
    </r>
    <r>
      <rPr>
        <b/>
        <sz val="10"/>
        <color rgb="FF000000"/>
        <rFont val="微软雅黑"/>
        <family val="2"/>
      </rPr>
      <t>3、重要性水平（PM）、可容忍误差（TE）、名义金额（SAD）:</t>
    </r>
    <r>
      <rPr>
        <sz val="10"/>
        <color rgb="FF000000"/>
        <rFont val="微软雅黑"/>
        <family val="2"/>
      </rPr>
      <t xml:space="preserve">以Canvas中相关底稿为准进行填列，具体位置请与项目FIC/EIC沟通确认。请确保底稿内实际使用的PM\TE\SAD与最终版一致。
</t>
    </r>
    <r>
      <rPr>
        <b/>
        <sz val="10"/>
        <color rgb="FF000000"/>
        <rFont val="微软雅黑"/>
        <family val="2"/>
      </rPr>
      <t>4、测试阈值（TT）：</t>
    </r>
    <r>
      <rPr>
        <sz val="10"/>
        <color rgb="FF000000"/>
        <rFont val="微软雅黑"/>
        <family val="2"/>
      </rPr>
      <t>当审计项目组判断需要执行关键项测试时，需要评估测试阈值。有限风险账户没有综合风险评估（CRA），测试阈值的确定依赖职业判断。（如参考CRA minimal的资产账户，按TE的100%确定为TT）</t>
    </r>
  </si>
  <si>
    <r>
      <rPr>
        <b/>
        <sz val="10"/>
        <color theme="1"/>
        <rFont val="微软雅黑"/>
        <family val="2"/>
      </rPr>
      <t>填列基本信息：
●TE和SAD：</t>
    </r>
    <r>
      <rPr>
        <sz val="10"/>
        <color theme="1"/>
        <rFont val="微软雅黑"/>
        <family val="2"/>
      </rPr>
      <t xml:space="preserve">
我们在制定审计策略时，要确定两个层面的重要性水平：
</t>
    </r>
    <r>
      <rPr>
        <b/>
        <sz val="10"/>
        <color theme="1"/>
        <rFont val="微软雅黑"/>
        <family val="2"/>
      </rPr>
      <t xml:space="preserve">·财务报表整体层面——计划重要性水平（PM）
·个别账户或余额层面——可容忍误差（TE）
</t>
    </r>
    <r>
      <rPr>
        <sz val="10"/>
        <color theme="1"/>
        <rFont val="微软雅黑"/>
        <family val="2"/>
      </rPr>
      <t>我们设定TE是为了将未更正和未发现错报的汇总数超过PM的可能性降到适当的低水平（即应对汇总风险）。当我们就未更正错报作出结论时，也应使用TE作为财务报表内未发现错报的估计值。
除了确定PM和TE外，我们还要确定一个金额，将已识别的低于该金额的错报视为明显微不足道。我们将其称为审计差异汇总（SAD）名义金额。当错报低于这个金额时，无论是单独还是与其它错报累计在一起，都不会对财务报表产生重大影响。换言之，从规模、性质或情况判断，低于SAD名义金额的金额均明显微不足道，并且在我们对错报进行整体评估时，也不会考虑这些金额的总和。</t>
    </r>
  </si>
  <si>
    <r>
      <rPr>
        <b/>
        <sz val="10"/>
        <color theme="1"/>
        <rFont val="微软雅黑"/>
        <family val="2"/>
      </rPr>
      <t>填列基本信息：</t>
    </r>
    <r>
      <rPr>
        <sz val="10"/>
        <color theme="1"/>
        <rFont val="微软雅黑"/>
        <family val="2"/>
      </rPr>
      <t xml:space="preserve">
1、TE/SAD使用错误或未更新，导致审计证据不恰当（多余或不足），审计结论不正确。
2、客户名称、期末、货币/单位等基础信息未更新。</t>
    </r>
  </si>
  <si>
    <t>年度</t>
  </si>
  <si>
    <t>可容忍误差(TE)</t>
  </si>
  <si>
    <t>记账本位币</t>
  </si>
  <si>
    <t>CNY</t>
  </si>
  <si>
    <t>测试阈值(TT)</t>
  </si>
  <si>
    <t>名义金额(SAD)</t>
  </si>
  <si>
    <t>目标</t>
  </si>
  <si>
    <t>验证财务报表的无形资产以及计入利润表中的摊销费用金额是否合理列示。</t>
  </si>
  <si>
    <t>LRA -基础操作指引-【02】</t>
  </si>
  <si>
    <t>LRA -进阶实操提示-【02】</t>
  </si>
  <si>
    <t>LRA -易错点-【02】</t>
  </si>
  <si>
    <r>
      <rPr>
        <b/>
        <sz val="10"/>
        <color rgb="FF000000"/>
        <rFont val="微软雅黑"/>
        <family val="2"/>
      </rPr>
      <t>摊销测试 - 建立预期并确定预期的精确度：
1、选择测试方法：</t>
    </r>
    <r>
      <rPr>
        <sz val="10"/>
        <color rgb="FF000000"/>
        <rFont val="微软雅黑"/>
        <family val="2"/>
      </rPr>
      <t>对于有限风险账户，足够的证据级别为“一些”，</t>
    </r>
    <r>
      <rPr>
        <b/>
        <sz val="10"/>
        <color rgb="FF000000"/>
        <rFont val="微软雅黑"/>
        <family val="2"/>
      </rPr>
      <t>应当对摊销费用执行实质性分析程序（SAP）</t>
    </r>
    <r>
      <rPr>
        <sz val="10"/>
        <color rgb="FF000000"/>
        <rFont val="微软雅黑"/>
        <family val="2"/>
      </rPr>
      <t xml:space="preserve">，我们根据既定的证据级别倒推建立预期及确定预期的精确度，预期的精确度只需要达到“中等”水平。
</t>
    </r>
    <r>
      <rPr>
        <b/>
        <sz val="10"/>
        <color rgb="FF000000"/>
        <rFont val="微软雅黑"/>
        <family val="2"/>
      </rPr>
      <t>2、建立预期的底稿记录：</t>
    </r>
    <r>
      <rPr>
        <sz val="10"/>
        <color rgb="FF000000"/>
        <rFont val="微软雅黑"/>
        <family val="2"/>
      </rPr>
      <t xml:space="preserve">我们以对被审计单位实体及其行业的了解（如对实体预算中计划的资本化支出、新增及处置安排、在用无形资产的状态等）、以对会计关系和重大交易类别的了解（如了解实体摊销政策，包括摊销方法、摊销年限和残值率等，从而预期本年摊销费用或比率）、以对审计经验、可用信息来源以及职业判断的运用（如在用无形资产距离提足摊销的时间，是否面临技术过时风险等）对当期应计提的无形资产摊销费用形成预期。
</t>
    </r>
    <r>
      <rPr>
        <b/>
        <sz val="10"/>
        <color rgb="FF000000"/>
        <rFont val="微软雅黑"/>
        <family val="2"/>
      </rPr>
      <t>3、预期精确度的底稿记录：</t>
    </r>
    <r>
      <rPr>
        <sz val="10"/>
        <color rgb="FF000000"/>
        <rFont val="微软雅黑"/>
        <family val="2"/>
      </rPr>
      <t xml:space="preserve">底稿记录需结合预测预期结果的精确度、数据可分解的程度、数据的可用性以及信息的可靠性四个考虑因素描述被审计单位能够满足中等精确度的理由。
预期应与测算时使用模型的逻辑一致，本案例中测算模型采用”本年摊销费用=本年资产原值余额*上年摊销率“的方式，对应的预期是本年及上年的摊销率一致。
</t>
    </r>
    <r>
      <rPr>
        <sz val="10"/>
        <color rgb="FFFF0000"/>
        <rFont val="微软雅黑"/>
        <family val="2"/>
      </rPr>
      <t xml:space="preserve">本SOP中展示的示例预期精确度已达到“中等”。
</t>
    </r>
  </si>
  <si>
    <r>
      <rPr>
        <b/>
        <sz val="10"/>
        <color rgb="FF000000"/>
        <rFont val="微软雅黑"/>
        <family val="2"/>
      </rPr>
      <t xml:space="preserve">摊销测试 - 建立预期并确定预期的精确度：
</t>
    </r>
    <r>
      <rPr>
        <sz val="10"/>
        <color rgb="FF000000"/>
        <rFont val="微软雅黑"/>
        <family val="2"/>
      </rPr>
      <t xml:space="preserve">当我们认为我们的预期精确度很高时，分析的结果很可能将提供可靠的审计证据。更高的精确度产生更高质量的审计证据。随着我们预期的精确度下降，最终证据的质量下降，其他实质性程序所需的证据范围增加。
</t>
    </r>
    <r>
      <rPr>
        <b/>
        <sz val="10"/>
        <color rgb="FF000000"/>
        <rFont val="微软雅黑"/>
        <family val="2"/>
      </rPr>
      <t xml:space="preserve">
影响我们的预期精确度的因素包括：
1）预测实质性分析程序预期结果的精确度 </t>
    </r>
    <r>
      <rPr>
        <sz val="10"/>
        <color rgb="FF000000"/>
        <rFont val="微软雅黑"/>
        <family val="2"/>
      </rPr>
      <t xml:space="preserve">—— 模型中我们通过不同类别资产上年的摊销率预测本年的摊销费用，是一种比较简单的预测模型，若我们希望提高预测的精确度，我们可以考虑更多要素去细化预测模型，如同一资产类别下可能有不同摊销年限、如要考虑本年新增、处置、提足摊销资产，本年计提摊销的月数对摊销费的影响等。
</t>
    </r>
    <r>
      <rPr>
        <b/>
        <sz val="10"/>
        <color rgb="FF000000"/>
        <rFont val="微软雅黑"/>
        <family val="2"/>
      </rPr>
      <t xml:space="preserve">2）信息可以分解的程度 </t>
    </r>
    <r>
      <rPr>
        <sz val="10"/>
        <color rgb="FF000000"/>
        <rFont val="微软雅黑"/>
        <family val="2"/>
      </rPr>
      <t>——</t>
    </r>
    <r>
      <rPr>
        <b/>
        <sz val="10"/>
        <color rgb="FF000000"/>
        <rFont val="微软雅黑"/>
        <family val="2"/>
      </rPr>
      <t xml:space="preserve"> </t>
    </r>
    <r>
      <rPr>
        <sz val="10"/>
        <color rgb="FF000000"/>
        <rFont val="微软雅黑"/>
        <family val="2"/>
      </rPr>
      <t>当我们可以达到一定程度的分解，以使我们可以识别和了解因素和金额、比率或趋势之间更为简单和稳定的关系，那么我们通常会有一个更精确的预期</t>
    </r>
    <r>
      <rPr>
        <b/>
        <sz val="10"/>
        <color rgb="FF000000"/>
        <rFont val="微软雅黑"/>
        <family val="2"/>
      </rPr>
      <t xml:space="preserve">。
3）财务与非财务信息的可用性 </t>
    </r>
    <r>
      <rPr>
        <sz val="10"/>
        <color rgb="FF000000"/>
        <rFont val="微软雅黑"/>
        <family val="2"/>
      </rPr>
      <t xml:space="preserve">—— 财务信息（如预算或预测）和非财务信息（如生产或销售的单位量）可以提高预期的精确度。
</t>
    </r>
    <r>
      <rPr>
        <b/>
        <sz val="10"/>
        <color rgb="FF000000"/>
        <rFont val="微软雅黑"/>
        <family val="2"/>
      </rPr>
      <t xml:space="preserve">4）我们作出预期的依据的可靠性 </t>
    </r>
    <r>
      <rPr>
        <sz val="10"/>
        <color rgb="FF000000"/>
        <rFont val="微软雅黑"/>
        <family val="2"/>
      </rPr>
      <t>—— 我们用于形成预期的信息的可靠性会影响预期的精确度。高精确度不能依靠有限的信息（例如，数月或数季度的未经测试的会计账户信息）或由实体生成的我们未建立信赖基础的信息，包括仅经过分析性复核程序的信息。</t>
    </r>
  </si>
  <si>
    <r>
      <rPr>
        <b/>
        <sz val="10"/>
        <color theme="1"/>
        <rFont val="微软雅黑"/>
        <family val="2"/>
      </rPr>
      <t xml:space="preserve">摊销测试 - 建立预期并确定预期的精确度：
</t>
    </r>
    <r>
      <rPr>
        <sz val="10"/>
        <color theme="1"/>
        <rFont val="微软雅黑"/>
        <family val="2"/>
      </rPr>
      <t>1、未建立预期；
2、未描述确定预期精确度的理由。</t>
    </r>
  </si>
  <si>
    <t>一、摊销测试</t>
  </si>
  <si>
    <t>1.</t>
  </si>
  <si>
    <t>建立预期并确定预期的精确度</t>
  </si>
  <si>
    <t>我们对管理层进行询问，了解到本年度和上年度没有发生重大的资产出售或处置，资产规模稳定，处于在用状态。基于我们对公司业务的了解，公司未面临资产技术过时的风险，距离提足摊销尚有一定年限。因此管理层的描述与我们对资产出售或处置的预期相符。
财务系统的无形资产模块根据公司的无形资产政策设定使用寿命，摊销费用每月按直线法计算和记录。根据公司的会计政策，每个资产类别都有单独的使用寿命。我们获取了公司最新的会计政策，有关无形资产和摊销的相关政策，本年未发生任何修改。</t>
  </si>
  <si>
    <t>鉴于上述分析，我们预期当期摊销费用占资产原值的比例与上年保持一致，计划以上年摊销率和本期末资产原值预期本年摊销费用发生额，与实际摊销费用进行比较。</t>
  </si>
  <si>
    <t>我们基于以下四个维度，对无形资产摊销预期的精确度进行评估：
1）预测精确度：我们通过计算上一年摊销费用占上一年资产类别原值的百分比。我们将该百分比乘以当期平均资产类别余额，得出我们的预期当年摊销费用。模型细分度中等。
2）数据可分解性：ERP系统提供健全的无形资产数据，支持按资产类别分组，匹配模型需求。
3）数据可用性：模型输入数据均来自可靠财务信息。
4）信息的可靠性：所有数据均经审计验证。
综上，我们认为所建立的预期总体精确度达到中等。</t>
  </si>
  <si>
    <t>2.</t>
  </si>
  <si>
    <t>确定偏差阈值</t>
  </si>
  <si>
    <t>LRA -基础操作指引-【03】</t>
  </si>
  <si>
    <t>LRA -进阶实操提示-【03】</t>
  </si>
  <si>
    <t>根据GAM的要求，对于有限风险账户，我们需要通过实质性程序取得“一些”程度的证据。
根据GAM对SAP要求，在预期精度为中等的情况下，如需取得“一些”程度的证据水平，需要采用的偏差阈值区间在2.5-4倍TE间。
但有限风险账户的偏差阈值只能限定在1倍TE，因此我们采用1倍TE作为摊销测试的偏差阈值，即人民币8707500元。
对于各资产类别，我们按其占无形资产原值的比例分配偏差阈值。</t>
  </si>
  <si>
    <r>
      <rPr>
        <b/>
        <sz val="10"/>
        <color rgb="FF000000"/>
        <rFont val="微软雅黑"/>
        <family val="2"/>
      </rPr>
      <t>摊销测试 - 确定偏差阈值：</t>
    </r>
    <r>
      <rPr>
        <sz val="10"/>
        <color rgb="FF000000"/>
        <rFont val="微软雅黑"/>
        <family val="2"/>
      </rPr>
      <t xml:space="preserve">
</t>
    </r>
    <r>
      <rPr>
        <b/>
        <sz val="10"/>
        <color rgb="FF000000"/>
        <rFont val="微软雅黑"/>
        <family val="2"/>
      </rPr>
      <t>1、偏差阈值：</t>
    </r>
    <r>
      <rPr>
        <sz val="10"/>
        <color rgb="FFFF0000"/>
        <rFont val="微软雅黑"/>
        <family val="2"/>
      </rPr>
      <t>有限风险账户执行SAP程序，偏差阈值应当设定为TE。</t>
    </r>
    <r>
      <rPr>
        <sz val="10"/>
        <color rgb="FF000000"/>
        <rFont val="微软雅黑"/>
        <family val="2"/>
      </rPr>
      <t xml:space="preserve">
</t>
    </r>
    <r>
      <rPr>
        <b/>
        <sz val="10"/>
        <color rgb="FF000000"/>
        <rFont val="微软雅黑"/>
        <family val="2"/>
      </rPr>
      <t>2、分配偏差阈值：</t>
    </r>
    <r>
      <rPr>
        <sz val="10"/>
        <color rgb="FF000000"/>
        <rFont val="微软雅黑"/>
        <family val="2"/>
      </rPr>
      <t xml:space="preserve">根据各自从类别原值的占比，对偏差阈值进行分解。各类别资产分解后的偏差阈值参见36行。
</t>
    </r>
  </si>
  <si>
    <r>
      <rPr>
        <b/>
        <sz val="10"/>
        <color rgb="FF000000"/>
        <rFont val="微软雅黑"/>
        <family val="2"/>
      </rPr>
      <t xml:space="preserve">摊销测试 - 确定偏差阈值：
1、关于偏差阈值
</t>
    </r>
    <r>
      <rPr>
        <sz val="10"/>
        <color rgb="FF000000"/>
        <rFont val="微软雅黑"/>
        <family val="2"/>
      </rPr>
      <t xml:space="preserve">●我们的⽬标是设计⼀个实质性分析程序，其产⽣的结果在偏差阈值内，以提供所需的证据⽔平。
●图中⼼的X代表我们的预期⾦额。
</t>
    </r>
    <r>
      <rPr>
        <b/>
        <sz val="10"/>
        <color rgb="FF000000"/>
        <rFont val="微软雅黑"/>
        <family val="2"/>
      </rPr>
      <t>●</t>
    </r>
    <r>
      <rPr>
        <sz val="10"/>
        <color rgb="FF000000"/>
        <rFont val="微软雅黑"/>
        <family val="2"/>
      </rPr>
      <t xml:space="preserve">左、右箭头代表记录⾦额和我们的预期之间的可接受的偏差范围。如果记录⾦额在此范围之内，则我们通过实质性分析程序获得了预期的证据。如果记录⾦额在此范围之外，这可能表明账⼾余额有潜在错报。我们会调查原因，如果我们⽆法对偏差原因作出结论，我们会实施替代程序以确定是否发⽣了错报。
</t>
    </r>
    <r>
      <rPr>
        <b/>
        <sz val="10"/>
        <color rgb="FF000000"/>
        <rFont val="微软雅黑"/>
        <family val="2"/>
      </rPr>
      <t xml:space="preserve">
</t>
    </r>
    <r>
      <rPr>
        <sz val="10"/>
        <color rgb="FF000000"/>
        <rFont val="微软雅黑"/>
        <family val="2"/>
      </rPr>
      <t xml:space="preserve">
</t>
    </r>
    <r>
      <rPr>
        <b/>
        <sz val="10"/>
        <color rgb="FF000000"/>
        <rFont val="微软雅黑"/>
        <family val="2"/>
      </rPr>
      <t xml:space="preserve">2、有限风险账户偏差阈值的设定
</t>
    </r>
    <r>
      <rPr>
        <sz val="10"/>
        <color rgb="FF000000"/>
        <rFont val="微软雅黑"/>
        <family val="2"/>
      </rPr>
      <t xml:space="preserve">我们通过在账户层面（而非认定层面）执行必要的实质性程序对有限风险账户的账户余额进行测试，以确认所记录余额的适当性并获得“一些”水平的审计证据。当我们的实质性程序提供账户没有超过可容忍错误的错报的有限保证时，我们获得“一些”水平的审计证据。（GAM 实质性设计：设计实质性程序 6.1 有限风险账户）
</t>
    </r>
    <r>
      <rPr>
        <b/>
        <sz val="10"/>
        <color rgb="FF000000"/>
        <rFont val="微软雅黑"/>
        <family val="2"/>
      </rPr>
      <t xml:space="preserve">3、对分解⽚段的分析
</t>
    </r>
    <r>
      <rPr>
        <sz val="10"/>
        <color rgb="FF000000"/>
        <rFont val="微软雅黑"/>
        <family val="2"/>
      </rPr>
      <t>我们通过分解数据来提⾼ 实质性分析程序 的有效性。分解的形式可以是：
●分离产品线或业务线
●将财务报表的⼀级科⽬分解为⼆级或更末级的汇总性⼦科⽬
●按⽉或季度分解数据
我们根据分解⽚段的数量将部分偏差阈值分配给各分解⽚段。在分配偏差阈值时，我们也会考虑该⽚段预期⼤⼩相对于账⼾总余额的⽐例。</t>
    </r>
    <r>
      <rPr>
        <sz val="10"/>
        <color rgb="FFFF0000"/>
        <rFont val="微软雅黑"/>
        <family val="2"/>
      </rPr>
      <t>分配给分解⽚段的偏差阈值总和将等于对账⼾余额整体设定的偏差阈值。</t>
    </r>
  </si>
  <si>
    <t>3.</t>
  </si>
  <si>
    <t>执行无形资产摊销的分析性复核程序</t>
  </si>
  <si>
    <t>我们计算了上一年摊销费用占上一年资产类别原值平均余额的百分比。我们将该百分比乘以当期平均资产类别余额，得出我们的预期当年摊销费用。</t>
  </si>
  <si>
    <t>专利权</t>
  </si>
  <si>
    <t>total</t>
  </si>
  <si>
    <t>2023年无形资产原值余额
(2023/12/31)a1</t>
  </si>
  <si>
    <t>2024年无形资产原值余额
(202412/31)a2</t>
  </si>
  <si>
    <t>&lt;后推明细表&gt;</t>
  </si>
  <si>
    <t>账户上年原值平均余额a=(a1+a2)/2</t>
  </si>
  <si>
    <t>本年无形资产原值账户余额
(2025/9/30)b</t>
  </si>
  <si>
    <r>
      <rPr>
        <sz val="10"/>
        <color theme="1"/>
        <rFont val="微软雅黑"/>
        <family val="2"/>
      </rPr>
      <t>账户平均原值余额</t>
    </r>
    <r>
      <rPr>
        <sz val="10"/>
        <color rgb="FFFF0000"/>
        <rFont val="微软雅黑"/>
        <family val="2"/>
      </rPr>
      <t>(a+b)/2</t>
    </r>
  </si>
  <si>
    <r>
      <rPr>
        <sz val="10"/>
        <color theme="1"/>
        <rFont val="微软雅黑"/>
        <family val="2"/>
      </rPr>
      <t>偏差阈值</t>
    </r>
    <r>
      <rPr>
        <sz val="10"/>
        <color rgb="FFFF0000"/>
        <rFont val="微软雅黑"/>
        <family val="2"/>
      </rPr>
      <t>c</t>
    </r>
  </si>
  <si>
    <t>上年摊销费用(2024)d</t>
  </si>
  <si>
    <t>摊销费用占成本的%e=d/a</t>
  </si>
  <si>
    <t>预期摊销费用(2025)f</t>
  </si>
  <si>
    <t>实际摊销费用(2025)g</t>
  </si>
  <si>
    <r>
      <rPr>
        <sz val="10"/>
        <color theme="1"/>
        <rFont val="微软雅黑"/>
        <family val="2"/>
      </rPr>
      <t>偏差金额</t>
    </r>
    <r>
      <rPr>
        <sz val="10"/>
        <color rgb="FFFF0000"/>
        <rFont val="微软雅黑"/>
        <family val="2"/>
      </rPr>
      <t>h=g-f</t>
    </r>
  </si>
  <si>
    <r>
      <rPr>
        <sz val="10"/>
        <color theme="1"/>
        <rFont val="微软雅黑"/>
        <family val="2"/>
      </rPr>
      <t>偏差是否超过阈值？</t>
    </r>
    <r>
      <rPr>
        <sz val="10"/>
        <color rgb="FFFF0000"/>
        <rFont val="微软雅黑"/>
        <family val="2"/>
      </rPr>
      <t>h vs. c</t>
    </r>
  </si>
  <si>
    <t>LRA -基础操作指引-【04】</t>
  </si>
  <si>
    <t>LRA -进阶实操提示-【04】</t>
  </si>
  <si>
    <t>LRA -易错点-【03】</t>
  </si>
  <si>
    <r>
      <rPr>
        <b/>
        <sz val="10"/>
        <color rgb="FF000000"/>
        <rFont val="微软雅黑"/>
        <family val="2"/>
      </rPr>
      <t xml:space="preserve">摊销测试 - 执行无形资产摊销的分析性复核程序：
</t>
    </r>
    <r>
      <rPr>
        <sz val="10"/>
        <color rgb="FF000000"/>
        <rFont val="微软雅黑"/>
        <family val="2"/>
      </rPr>
      <t xml:space="preserve">Step1：填写上年年初、上年年末各资产类别的原值余额，以计算年初无形资产原值的平均余额a;
Step2：填写本年末各资产类别的原值余额b，以计算无形资产平均原值余额(a+b)/2；
Step3：按各资产类别的平均原值余额占无形资产原值的比例分配偏差阈值c；
Step4：填写上年各资产类别的摊销费用d，以计算上年各资产类别摊销费用占上年原值余额的比例e；
Step5：按上年各资产类别摊销费用占上年各资产类别原值的百分比e，乘以当期各资产类别的平均原值余额，以得出我们预期的当年摊销费用f。
Step6：计算各资产类别的预期摊销费用f与实际摊销费用g的偏差金额h。
Step7：评价偏差金额并形成结论：
①若所有资产类别的偏差、合计的偏差均未超过偏差阈值，则已取得计划的证据水平（“一些”），无需执行进一步程序。
②若存在某个或多个资产类别的偏差超过阈值的情况，则需对不符合我们预期和超出我们偏差阈值的任何结果进行跟进。我们的跟进工作可能包括进一步调查数据、调查相关交易，以及询问管理层。我们评估并核实管理层给出的解释，考虑我们其它调查的结果，并对已通过这些程序获得适当支持的偏差部分进行量化。同时我们需要核实询问结果，包括通过其它必要的⽀持性证据进⾏核实，并相应记录。
基于调查结果，形成两种不同的跟进措施：
a.如果调查结果未发现错报，则已取得计划的证据水平（“一些”），无需执行进一步程序。
b.如果调查结果发现了错报，则需执行错报调查和评估工作。
</t>
    </r>
    <r>
      <rPr>
        <sz val="10"/>
        <color rgb="FFFF0000"/>
        <rFont val="微软雅黑"/>
        <family val="2"/>
      </rPr>
      <t>注意，以上填列的上年年末无形资产原值余额a2、本年无形资产原值账户余额b来源于&lt;后推明细表&gt;，最终与A3核对一致；实际摊销费用g来源于&lt;后推明细表&gt;，应当与对应利润表科目/在建工程/存货的摊销费用核对一致。</t>
    </r>
  </si>
  <si>
    <r>
      <rPr>
        <b/>
        <sz val="10"/>
        <color rgb="FF000000"/>
        <rFont val="微软雅黑"/>
        <family val="2"/>
      </rPr>
      <t xml:space="preserve">摊销测试 - 执行无形资产摊销的分析性复核程序：
1、预期模型
</t>
    </r>
    <r>
      <rPr>
        <sz val="10"/>
        <color rgb="FF000000"/>
        <rFont val="微软雅黑"/>
        <family val="2"/>
      </rPr>
      <t xml:space="preserve">本SOP中以各类资产上年摊销率为基础建立对本年摊销费用的预期，与实际摊销费用进行比较。项目组可参考实例执行，也可以自行设计其他达到中等精确度的预期模型进行测试（请确保“1、建立预期并确定预期的精确度中”的记录与实际执行的预期模型相匹配）。
</t>
    </r>
    <r>
      <rPr>
        <b/>
        <sz val="10"/>
        <color rgb="FF000000"/>
        <rFont val="微软雅黑"/>
        <family val="2"/>
      </rPr>
      <t xml:space="preserve">
2、常见的偏差超过偏差阈值的原因：
1）若预期摊销费用&gt;实际摊销费用导致的偏差超过阈值</t>
    </r>
    <r>
      <rPr>
        <sz val="10"/>
        <color rgb="FF000000"/>
        <rFont val="微软雅黑"/>
        <family val="2"/>
      </rPr>
      <t xml:space="preserve">，可能的原因是：本年的新增资产多集中于年中或年末发生。
如调查的原因如上，可对年中新增的资产单独计算摊销，评估对SAP差异的影响。
</t>
    </r>
    <r>
      <rPr>
        <b/>
        <sz val="10"/>
        <color rgb="FF000000"/>
        <rFont val="微软雅黑"/>
        <family val="2"/>
      </rPr>
      <t>2）若预期摊销费用&lt;实际摊销费用导致的偏差超过阈值</t>
    </r>
    <r>
      <rPr>
        <sz val="10"/>
        <color rgb="FF000000"/>
        <rFont val="微软雅黑"/>
        <family val="2"/>
      </rPr>
      <t xml:space="preserve">，可能的原因是：上年的新增资产多集中于年中或年末发生。
如调查的原因如上，可对上年年中新增的资产单独计算摊销，评估对SAP差异的影响。
</t>
    </r>
    <r>
      <rPr>
        <b/>
        <sz val="10"/>
        <color rgb="FF000000"/>
        <rFont val="微软雅黑"/>
        <family val="2"/>
      </rPr>
      <t xml:space="preserve">3）确实存在错报。
</t>
    </r>
    <r>
      <rPr>
        <sz val="10"/>
        <color rgb="FF000000"/>
        <rFont val="微软雅黑"/>
        <family val="2"/>
      </rPr>
      <t xml:space="preserve">如果调查后发现确实存在错报，我们需对所有超过SAD的错报进行记录和汇总，并考虑该错报是否表明被审计单位存在一个普遍性的问题?是否表明该内控的失效？是否意味着我们之前计划的审计程序可能不够充分，无法发现所有重大错报。基于上述考虑，项目组可能需要修改原定审计计划。
</t>
    </r>
  </si>
  <si>
    <r>
      <rPr>
        <b/>
        <sz val="10"/>
        <color rgb="FF000000"/>
        <rFont val="微软雅黑"/>
        <family val="2"/>
      </rPr>
      <t xml:space="preserve">摊销测试 - 执行无形资产摊销的分析性复核程序：
</t>
    </r>
    <r>
      <rPr>
        <sz val="10"/>
        <color rgb="FF000000"/>
        <rFont val="微软雅黑"/>
        <family val="2"/>
      </rPr>
      <t xml:space="preserve">1、存在偏差超过偏差阈值的情况但未继续调查原因；
2、原因调查有误或不充分，未检查相应的支持性文件；
3、上年年末无形资产原值余额、本年无形资产原值账户余额未与TB核对一致，实际摊销费用未与相应利润表科目摊销费用核对一致。
</t>
    </r>
  </si>
  <si>
    <t>NB1</t>
  </si>
  <si>
    <t>X-ref</t>
  </si>
  <si>
    <t>per 成本&amp;费用</t>
  </si>
  <si>
    <t>账面费用</t>
  </si>
  <si>
    <t>差异</t>
  </si>
  <si>
    <t>NB2</t>
  </si>
  <si>
    <t>我们对无形资产摊销执行了实质性分析程序，各类资产及无形资产总体摊销费用的预期与实际偏差均小于偏差阈值，通过该测试已取得计划的证据水平（“一些”）。</t>
  </si>
  <si>
    <t>二、原值测试</t>
  </si>
  <si>
    <t>所执行程序——无形资产</t>
  </si>
  <si>
    <t>(如不适用可删除)</t>
  </si>
  <si>
    <t>LRA -基础操作指引-【05】</t>
  </si>
  <si>
    <t>LRA -进阶实操提示-【05】</t>
  </si>
  <si>
    <t>LRA -易错点-【04】</t>
  </si>
  <si>
    <t>1.对无形资产新增/处置执行关键项测试</t>
  </si>
  <si>
    <r>
      <rPr>
        <b/>
        <sz val="10"/>
        <color rgb="FF000000"/>
        <rFont val="微软雅黑"/>
        <family val="2"/>
      </rPr>
      <t>原值测试 - 对无形资产新增/处置执行测试：
1、判断是否需要对无形资产原值新增和处置执行测试：</t>
    </r>
    <r>
      <rPr>
        <sz val="10"/>
        <color rgb="FF000000"/>
        <rFont val="微软雅黑"/>
        <family val="2"/>
      </rPr>
      <t>结合&lt;后推明细表&gt;列示情况，如本年新增或本年处置发生额大于TE，则应当对新增或处置执行测试；如无需执行测试，原值测试程序不适用。</t>
    </r>
    <r>
      <rPr>
        <b/>
        <sz val="10"/>
        <color rgb="FF000000"/>
        <rFont val="微软雅黑"/>
        <family val="2"/>
      </rPr>
      <t xml:space="preserve">
2、选择测试方法：审计项目组可以结合实际情况选择实质分析性复核程序或有限详细测试（关键项）</t>
    </r>
    <r>
      <rPr>
        <sz val="10"/>
        <color rgb="FF000000"/>
        <rFont val="微软雅黑"/>
        <family val="2"/>
      </rPr>
      <t>。</t>
    </r>
    <r>
      <rPr>
        <sz val="10"/>
        <color rgb="FFFF0000"/>
        <rFont val="微软雅黑"/>
        <family val="2"/>
      </rPr>
      <t xml:space="preserve">本SOP以关键项测试为例进行指引。
</t>
    </r>
    <r>
      <rPr>
        <b/>
        <sz val="10"/>
        <color rgb="FF000000"/>
        <rFont val="微软雅黑"/>
        <family val="2"/>
      </rPr>
      <t>3、确定关键项定量标准，并完成记录：</t>
    </r>
    <r>
      <rPr>
        <sz val="10"/>
        <color rgb="FF000000"/>
        <rFont val="微软雅黑"/>
        <family val="2"/>
      </rPr>
      <t xml:space="preserve">有限风险账户没有综合风险评估（CRA），测试阈值的确定依赖职业判断。（如参考CRA minimal的资产账户，按TE的100%确定为TT）
</t>
    </r>
    <r>
      <rPr>
        <b/>
        <sz val="10"/>
        <color rgb="FF000000"/>
        <rFont val="微软雅黑"/>
        <family val="2"/>
      </rPr>
      <t>4、确定关键项定性标准，并完成记录：</t>
    </r>
    <r>
      <rPr>
        <sz val="10"/>
        <color rgb="FF000000"/>
        <rFont val="微软雅黑"/>
        <family val="2"/>
      </rPr>
      <t xml:space="preserve">符合表明其单独而言或汇总而言更有可能包含重大错报的定性标准。例如，基于我们对实体业务的了解、我们对固有风险和控制风险的评估以及被测试总体的特征，这些交易或余额是可疑的、异常的、具有较高重大错报风险或过去发生过错报。
</t>
    </r>
    <r>
      <rPr>
        <b/>
        <sz val="10"/>
        <color rgb="FFFF0000"/>
        <rFont val="微软雅黑"/>
        <family val="2"/>
      </rPr>
      <t>（如果在识别定性关键项时识别到实体正常经营过程之外的交易/活动等导致有限风险账户识别条件不成立的，应重新评估作为有限风险账户的合理性。）</t>
    </r>
    <r>
      <rPr>
        <b/>
        <sz val="10"/>
        <color rgb="FF000000"/>
        <rFont val="微软雅黑"/>
        <family val="2"/>
      </rPr>
      <t xml:space="preserve">
5、对选定的关键项执行细节测试：</t>
    </r>
    <r>
      <rPr>
        <sz val="10"/>
        <color rgb="FF000000"/>
        <rFont val="微软雅黑"/>
        <family val="2"/>
      </rPr>
      <t>获取支持性文件，参考标准底稿新增/处置测试的测试属性进行检查。</t>
    </r>
  </si>
  <si>
    <r>
      <rPr>
        <b/>
        <sz val="10"/>
        <color rgb="FF000000"/>
        <rFont val="微软雅黑"/>
        <family val="2"/>
      </rPr>
      <t xml:space="preserve">原值测试 - 对无形资产新增/处置执行测试：
●选择测试方法：
</t>
    </r>
    <r>
      <rPr>
        <sz val="10"/>
        <color rgb="FF000000"/>
        <rFont val="微软雅黑"/>
        <family val="2"/>
      </rPr>
      <t xml:space="preserve">1、根据GAM要求，针对有限风险账户执行的实质性程序可能包括实质分析性复核程序（SAP）或有限详细测试（适当时），其中有限详细测试可能限于选取对账户余额单独具有（由规模或某种定量特征导致的）重要影响的关键项目。
2、程序选择考虑：
①可以有效建立预期，并能够恰当确定预期的精确度的情况下，可以采用SAP。
②无法建立预期，或预期精确度不够的情况下，采用关键项测试程序。比如：公司没有规范的资本性支出预算等信息，导致无法建立预期；或SAP模型过于粗糙，预期结果的精确度较差，偏差超过阈值，解释成本很高。
③直接选择执行关键项测试时，如果样本分布均匀导致无关键项的情况下，建议重新评估采用SAP。
</t>
    </r>
    <r>
      <rPr>
        <b/>
        <sz val="10"/>
        <color rgb="FF000000"/>
        <rFont val="微软雅黑"/>
        <family val="2"/>
      </rPr>
      <t xml:space="preserve">●关键项目的确定：
</t>
    </r>
    <r>
      <rPr>
        <sz val="10"/>
        <color rgb="FF000000"/>
        <rFont val="微软雅黑"/>
        <family val="2"/>
      </rPr>
      <t>1、关键项是指如下交易或余额：
①符合表明其单独而言或汇总而言更有可能包含重大错报的定性标准。例如，基于我们对实体业务的了解、我们对固有风险和控制风险的评估以及被测试总体的特征，这些交易或余额是可疑的、异常的、具有较高重大错报风险或过去发生过错报（有关更多指引和示例，请参阅实质性详细测试 2.2.1），或
②由于与总体中其他项目相比规模较大，因此单独而言具有重要性；
2、如果我们确定应基于定量阈值识别关键项，则将基于综合风险评估的测试阈值作为起点。（有限风险账户没有综合风险评估，测试阈值的确定依赖职业判断。）
3、如果识别出非常多的关键项，则通常表明定量阈值太低，并且与以至于和总体中的其他项目相比，这些项目可能不够不同，无法被认为是关键项。</t>
    </r>
  </si>
  <si>
    <r>
      <rPr>
        <b/>
        <sz val="10"/>
        <color theme="1"/>
        <rFont val="微软雅黑"/>
        <family val="2"/>
      </rPr>
      <t xml:space="preserve">原值测试 - 对无形资产新增/处置执行测试：
</t>
    </r>
    <r>
      <rPr>
        <sz val="10"/>
        <color theme="1"/>
        <rFont val="微软雅黑"/>
        <family val="2"/>
      </rPr>
      <t>1、未对大于TE的新增或处置交易执行测试；
2、程序选择不恰当；
3、关键项目测试的选择标准和理由或未恰当记录。</t>
    </r>
  </si>
  <si>
    <t>结论</t>
  </si>
  <si>
    <t>基于我们所执行的程序，我们已经为无形资产和摊销费用在账户层面获得了“一些”程度的证据水平。</t>
  </si>
  <si>
    <t>本年无形资产原值本期新增8685893.84元，小于TE，不再执行关键项测试。未发生原值处置，不计划执行测试。
在识别关键项时，我们考虑以下两个因素：
1、定量：我们计划将新增发生额超过人民币8707500（1倍TE）的资产设定为关键项。
2、定性：我们将本年新增样本性质异常的单项资产，设定为关键项。</t>
    <phoneticPr fontId="5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</si>
</sst>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76" formatCode="_-* #,##0.00\ _€_-;\-* #,##0.00\ _€_-;_-* &quot;-&quot;??\ _€_-;_-@_-"/>
    <numFmt numFmtId="177" formatCode="_(* #,##0.00_);_(* \(#,##0.00\);_(* &quot;-&quot;??_);_(@_)"/>
    <numFmt numFmtId="178" formatCode="_(&quot;$&quot;* #,##0.00_);_(&quot;$&quot;* \(#,##0.00\);_(&quot;$&quot;* &quot;-&quot;??_);_(@_)"/>
    <numFmt numFmtId="179" formatCode="* #,##0.00;[Red]\(#,##0.00\);&quot;-&quot;;\ @"/>
    <numFmt numFmtId="180" formatCode="_ * #,##0_ ;_ * \-#,##0_ ;_ * &quot;-&quot;??_ ;_ @_ "/>
    <numFmt numFmtId="181" formatCode="0.0%"/>
    <numFmt numFmtId="182" formatCode="_(* #,##0.00_);_(* \(#,##0.00\);_(* &quot;-&quot;??_)"/>
    <numFmt numFmtId="183" formatCode="yyyy\/mm\/dd"/>
  </numFmts>
  <fonts count="56">
    <font>
      <sz val="11"/>
      <color theme="1"/>
      <name val="等线"/>
      <charset val="134"/>
      <scheme val="minor"/>
    </font>
    <font>
      <sz val="10"/>
      <name val="微软雅黑"/>
      <family val="2"/>
    </font>
    <font>
      <b/>
      <u/>
      <sz val="10"/>
      <color theme="8" tint="-0.499984740745262"/>
      <name val="微软雅黑"/>
      <family val="2"/>
    </font>
    <font>
      <b/>
      <sz val="10"/>
      <color rgb="FFFF0000"/>
      <name val="微软雅黑"/>
      <family val="2"/>
    </font>
    <font>
      <b/>
      <sz val="10"/>
      <color rgb="FFFFFFFF"/>
      <name val="微软雅黑"/>
      <family val="2"/>
    </font>
    <font>
      <u/>
      <sz val="9"/>
      <color theme="10"/>
      <name val="微软雅黑"/>
      <family val="2"/>
    </font>
    <font>
      <sz val="10"/>
      <color theme="1"/>
      <name val="微软雅黑"/>
      <family val="2"/>
    </font>
    <font>
      <b/>
      <sz val="10"/>
      <color theme="7"/>
      <name val="微软雅黑"/>
      <family val="2"/>
    </font>
    <font>
      <b/>
      <sz val="10"/>
      <name val="微软雅黑"/>
      <family val="2"/>
    </font>
    <font>
      <b/>
      <u/>
      <sz val="10"/>
      <name val="微软雅黑"/>
      <family val="2"/>
    </font>
    <font>
      <sz val="10"/>
      <color rgb="FF000000"/>
      <name val="微软雅黑"/>
      <family val="2"/>
    </font>
    <font>
      <sz val="10"/>
      <color indexed="0"/>
      <name val="微软雅黑"/>
      <family val="2"/>
    </font>
    <font>
      <sz val="10"/>
      <color rgb="FFFF0000"/>
      <name val="微软雅黑"/>
      <family val="2"/>
    </font>
    <font>
      <b/>
      <sz val="10"/>
      <color theme="1"/>
      <name val="微软雅黑"/>
      <family val="2"/>
    </font>
    <font>
      <sz val="10"/>
      <color rgb="FFFF0000"/>
      <name val="Arial"/>
      <family val="2"/>
    </font>
    <font>
      <b/>
      <sz val="10"/>
      <color indexed="10"/>
      <name val="微软雅黑"/>
      <family val="2"/>
    </font>
    <font>
      <b/>
      <strike/>
      <sz val="10"/>
      <color rgb="FF0000FF"/>
      <name val="微软雅黑"/>
      <family val="2"/>
    </font>
    <font>
      <b/>
      <u/>
      <sz val="10"/>
      <color theme="10"/>
      <name val="微软雅黑"/>
      <family val="2"/>
    </font>
    <font>
      <b/>
      <sz val="10"/>
      <color rgb="FF000000"/>
      <name val="微软雅黑"/>
      <family val="2"/>
    </font>
    <font>
      <u/>
      <sz val="10"/>
      <color theme="10"/>
      <name val="微软雅黑"/>
      <family val="2"/>
    </font>
    <font>
      <sz val="10"/>
      <name val="Arial"/>
      <family val="2"/>
    </font>
    <font>
      <b/>
      <sz val="10"/>
      <name val="微软雅黑"/>
      <family val="2"/>
    </font>
    <font>
      <b/>
      <u/>
      <sz val="10"/>
      <name val="微软雅黑"/>
      <family val="2"/>
    </font>
    <font>
      <sz val="10"/>
      <name val="微软雅黑"/>
      <family val="2"/>
    </font>
    <font>
      <b/>
      <sz val="10"/>
      <color rgb="FFFF0000"/>
      <name val="微软雅黑"/>
      <family val="2"/>
    </font>
    <font>
      <b/>
      <sz val="10"/>
      <color indexed="10"/>
      <name val="微软雅黑"/>
      <family val="2"/>
    </font>
    <font>
      <sz val="10"/>
      <color theme="1"/>
      <name val="微软雅黑"/>
      <family val="2"/>
    </font>
    <font>
      <u/>
      <sz val="9"/>
      <color theme="10"/>
      <name val="Arial"/>
      <family val="2"/>
    </font>
    <font>
      <sz val="10"/>
      <color rgb="FF000000"/>
      <name val="微软雅黑"/>
      <family val="2"/>
    </font>
    <font>
      <i/>
      <sz val="10"/>
      <color rgb="FF323130"/>
      <name val="微软雅黑"/>
      <family val="2"/>
    </font>
    <font>
      <sz val="10"/>
      <color theme="4" tint="-0.249977111117893"/>
      <name val="微软雅黑"/>
      <family val="2"/>
    </font>
    <font>
      <b/>
      <sz val="10"/>
      <name val="Arial"/>
      <family val="2"/>
    </font>
    <font>
      <sz val="10"/>
      <color theme="1"/>
      <name val="Arial"/>
      <family val="2"/>
    </font>
    <font>
      <b/>
      <sz val="10"/>
      <color rgb="FFFF0000"/>
      <name val="Arial"/>
      <family val="2"/>
    </font>
    <font>
      <b/>
      <sz val="10"/>
      <name val="Arial"/>
      <family val="2"/>
    </font>
    <font>
      <b/>
      <sz val="10"/>
      <color theme="1"/>
      <name val="Arial"/>
      <family val="2"/>
    </font>
    <font>
      <sz val="10"/>
      <color theme="1"/>
      <name val="Arial"/>
      <family val="2"/>
    </font>
    <font>
      <sz val="11"/>
      <color theme="1"/>
      <name val="Arial"/>
      <family val="2"/>
    </font>
    <font>
      <sz val="10"/>
      <color rgb="FFFFFFFF"/>
      <name val="Arial"/>
      <family val="2"/>
    </font>
    <font>
      <b/>
      <sz val="10"/>
      <color theme="1"/>
      <name val="微软雅黑"/>
      <family val="2"/>
    </font>
    <font>
      <b/>
      <sz val="10"/>
      <color theme="1"/>
      <name val="Arial"/>
      <family val="2"/>
    </font>
    <font>
      <b/>
      <sz val="11"/>
      <color theme="1"/>
      <name val="Arial"/>
      <family val="2"/>
    </font>
    <font>
      <sz val="11"/>
      <color theme="1"/>
      <name val="等线"/>
      <family val="3"/>
      <charset val="134"/>
      <scheme val="minor"/>
    </font>
    <font>
      <u/>
      <sz val="11"/>
      <color theme="10"/>
      <name val="等线"/>
      <family val="3"/>
      <charset val="134"/>
      <scheme val="minor"/>
    </font>
    <font>
      <u/>
      <sz val="10"/>
      <color theme="10"/>
      <name val="Arial"/>
      <family val="2"/>
    </font>
    <font>
      <sz val="11"/>
      <color theme="1"/>
      <name val="等线"/>
      <family val="3"/>
      <charset val="134"/>
      <scheme val="minor"/>
    </font>
    <font>
      <sz val="8"/>
      <name val="EYInterstate Light"/>
    </font>
    <font>
      <sz val="8"/>
      <name val="EYInterstate Light"/>
    </font>
    <font>
      <sz val="10"/>
      <name val="Tahoma"/>
      <family val="2"/>
    </font>
    <font>
      <sz val="10"/>
      <name val="宋体"/>
      <family val="3"/>
      <charset val="134"/>
    </font>
    <font>
      <sz val="12"/>
      <color theme="1"/>
      <name val="等线"/>
      <family val="3"/>
      <charset val="134"/>
      <scheme val="minor"/>
    </font>
    <font>
      <sz val="11"/>
      <color theme="1"/>
      <name val="SimSun"/>
      <family val="3"/>
      <charset val="134"/>
    </font>
    <font>
      <u/>
      <sz val="11"/>
      <color theme="10"/>
      <name val="等线"/>
      <family val="3"/>
      <charset val="134"/>
      <scheme val="minor"/>
    </font>
    <font>
      <sz val="10"/>
      <name val="宋体"/>
      <family val="3"/>
      <charset val="134"/>
    </font>
    <font>
      <sz val="11"/>
      <color theme="1"/>
      <name val="等线"/>
      <family val="3"/>
      <charset val="134"/>
      <scheme val="minor"/>
    </font>
    <font>
      <sz val="9"/>
      <name val="等线"/>
      <family val="3"/>
      <charset val="134"/>
      <scheme val="minor"/>
    </font>
  </fonts>
  <fills count="13">
    <fill>
      <patternFill patternType="none"/>
    </fill>
    <fill>
      <patternFill patternType="gray125"/>
    </fill>
    <fill>
      <patternFill patternType="solid">
        <fgColor theme="0"/>
        <bgColor indexed="64"/>
      </patternFill>
    </fill>
    <fill>
      <patternFill patternType="solid">
        <fgColor theme="0" tint="-0.34995574816125979"/>
        <bgColor indexed="64"/>
      </patternFill>
    </fill>
    <fill>
      <patternFill patternType="solid">
        <fgColor theme="0" tint="-0.34998626667073579"/>
        <bgColor indexed="64"/>
      </patternFill>
    </fill>
    <fill>
      <patternFill patternType="solid">
        <fgColor theme="6" tint="0.79995117038483843"/>
        <bgColor indexed="64"/>
      </patternFill>
    </fill>
    <fill>
      <patternFill patternType="solid">
        <fgColor rgb="FF0000FF"/>
        <bgColor indexed="64"/>
      </patternFill>
    </fill>
    <fill>
      <patternFill patternType="solid">
        <fgColor theme="9" tint="0.79995117038483843"/>
        <bgColor indexed="64"/>
      </patternFill>
    </fill>
    <fill>
      <patternFill patternType="solid">
        <fgColor rgb="FFCCECFF"/>
        <bgColor indexed="64"/>
      </patternFill>
    </fill>
    <fill>
      <patternFill patternType="solid">
        <fgColor theme="5" tint="0.79995117038483843"/>
        <bgColor indexed="64"/>
      </patternFill>
    </fill>
    <fill>
      <patternFill patternType="solid">
        <fgColor rgb="FFFFFFFF"/>
        <bgColor indexed="64"/>
      </patternFill>
    </fill>
    <fill>
      <patternFill patternType="solid">
        <fgColor theme="0" tint="-0.3499252296517838"/>
        <bgColor indexed="64"/>
      </patternFill>
    </fill>
    <fill>
      <patternFill patternType="solid">
        <fgColor rgb="FF333399"/>
        <bgColor indexed="64"/>
      </patternFill>
    </fill>
  </fills>
  <borders count="4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medium">
        <color auto="1"/>
      </bottom>
      <diagonal/>
    </border>
    <border>
      <left style="thin">
        <color auto="1"/>
      </left>
      <right/>
      <top style="thin">
        <color auto="1"/>
      </top>
      <bottom style="medium">
        <color auto="1"/>
      </bottom>
      <diagonal/>
    </border>
  </borders>
  <cellStyleXfs count="46">
    <xf numFmtId="0" fontId="0" fillId="0" borderId="0">
      <alignment vertical="center"/>
      <protection locked="0"/>
    </xf>
    <xf numFmtId="43" fontId="54" fillId="0" borderId="0" applyFont="0" applyFill="0" applyBorder="0" applyAlignment="0" applyProtection="0">
      <alignment vertical="center"/>
    </xf>
    <xf numFmtId="0" fontId="43" fillId="0" borderId="0" applyNumberFormat="0" applyFill="0" applyBorder="0" applyAlignment="0" applyProtection="0">
      <alignment vertical="center"/>
    </xf>
    <xf numFmtId="43" fontId="20" fillId="0" borderId="0" applyFont="0" applyFill="0" applyBorder="0" applyAlignment="0" applyProtection="0"/>
    <xf numFmtId="43" fontId="54" fillId="0" borderId="0" applyFont="0" applyFill="0" applyBorder="0" applyAlignment="0" applyProtection="0"/>
    <xf numFmtId="176" fontId="54" fillId="0" borderId="0" applyFont="0" applyFill="0" applyBorder="0" applyAlignment="0" applyProtection="0"/>
    <xf numFmtId="177" fontId="54" fillId="0" borderId="0" applyFont="0" applyFill="0" applyBorder="0" applyAlignment="0" applyProtection="0"/>
    <xf numFmtId="177" fontId="54" fillId="0" borderId="0" applyFont="0" applyFill="0" applyBorder="0" applyAlignment="0" applyProtection="0"/>
    <xf numFmtId="0" fontId="44" fillId="0" borderId="0" applyNumberFormat="0" applyFill="0" applyBorder="0" applyAlignment="0" applyProtection="0">
      <alignment vertical="top"/>
      <protection locked="0"/>
    </xf>
    <xf numFmtId="0" fontId="43" fillId="0" borderId="0" applyNumberFormat="0" applyFill="0" applyBorder="0" applyAlignment="0" applyProtection="0"/>
    <xf numFmtId="0" fontId="45" fillId="0" borderId="0"/>
    <xf numFmtId="0" fontId="54" fillId="0" borderId="0"/>
    <xf numFmtId="0" fontId="54" fillId="0" borderId="0"/>
    <xf numFmtId="0" fontId="54" fillId="0" borderId="0"/>
    <xf numFmtId="0" fontId="54" fillId="0" borderId="0"/>
    <xf numFmtId="0" fontId="54" fillId="0" borderId="0"/>
    <xf numFmtId="0" fontId="37" fillId="0" borderId="0"/>
    <xf numFmtId="0" fontId="46" fillId="0" borderId="0">
      <alignment vertical="center"/>
    </xf>
    <xf numFmtId="0" fontId="32" fillId="0" borderId="0"/>
    <xf numFmtId="0" fontId="47" fillId="0" borderId="0">
      <alignment vertical="center"/>
    </xf>
    <xf numFmtId="0" fontId="32" fillId="0" borderId="0"/>
    <xf numFmtId="0" fontId="20" fillId="0" borderId="0"/>
    <xf numFmtId="0" fontId="48" fillId="0" borderId="0"/>
    <xf numFmtId="0" fontId="49" fillId="0" borderId="0"/>
    <xf numFmtId="0" fontId="37" fillId="0" borderId="0"/>
    <xf numFmtId="0" fontId="45" fillId="0" borderId="0"/>
    <xf numFmtId="0" fontId="50" fillId="0" borderId="0"/>
    <xf numFmtId="9" fontId="54" fillId="0" borderId="0" applyFont="0" applyFill="0" applyBorder="0" applyAlignment="0" applyProtection="0"/>
    <xf numFmtId="9" fontId="54" fillId="0" borderId="0" applyFont="0" applyFill="0" applyBorder="0" applyAlignment="0" applyProtection="0"/>
    <xf numFmtId="0" fontId="54" fillId="0" borderId="0"/>
    <xf numFmtId="0" fontId="54" fillId="0" borderId="0"/>
    <xf numFmtId="0" fontId="51" fillId="0" borderId="0"/>
    <xf numFmtId="0" fontId="49" fillId="0" borderId="0"/>
    <xf numFmtId="178" fontId="54" fillId="0" borderId="0" applyFont="0" applyFill="0" applyBorder="0" applyAlignment="0" applyProtection="0"/>
    <xf numFmtId="43" fontId="54" fillId="0" borderId="0" applyFont="0" applyFill="0" applyBorder="0" applyAlignment="0" applyProtection="0"/>
    <xf numFmtId="179" fontId="45" fillId="0" borderId="0" applyFont="0" applyFill="0" applyBorder="0" applyProtection="0"/>
    <xf numFmtId="0" fontId="42" fillId="0" borderId="0"/>
    <xf numFmtId="0" fontId="42" fillId="0" borderId="0">
      <alignment vertical="center"/>
      <protection locked="0"/>
    </xf>
    <xf numFmtId="0" fontId="52" fillId="0" borderId="0" applyNumberFormat="0" applyFill="0" applyBorder="0" applyAlignment="0" applyProtection="0">
      <alignment vertical="center"/>
    </xf>
    <xf numFmtId="0" fontId="53" fillId="0" borderId="0"/>
    <xf numFmtId="43" fontId="42" fillId="0" borderId="0" applyFont="0" applyFill="0" applyBorder="0" applyAlignment="0" applyProtection="0">
      <alignment vertical="center"/>
    </xf>
    <xf numFmtId="177" fontId="42" fillId="0" borderId="0" applyFont="0" applyFill="0" applyBorder="0" applyAlignment="0" applyProtection="0"/>
    <xf numFmtId="9" fontId="42" fillId="0" borderId="0" applyFont="0" applyFill="0" applyBorder="0" applyAlignment="0" applyProtection="0">
      <alignment vertical="center"/>
    </xf>
    <xf numFmtId="0" fontId="42" fillId="0" borderId="0"/>
    <xf numFmtId="0" fontId="42" fillId="0" borderId="0"/>
    <xf numFmtId="0" fontId="52" fillId="0" borderId="0" applyNumberFormat="0" applyFill="0" applyBorder="0" applyAlignment="0" applyProtection="0"/>
  </cellStyleXfs>
  <cellXfs count="265">
    <xf numFmtId="0" fontId="0" fillId="0" borderId="0" xfId="0">
      <alignment vertical="center"/>
      <protection locked="0"/>
    </xf>
    <xf numFmtId="0" fontId="1" fillId="2" borderId="0" xfId="36" applyFont="1" applyFill="1" applyAlignment="1">
      <alignment vertical="center"/>
    </xf>
    <xf numFmtId="0" fontId="2" fillId="0" borderId="0" xfId="37" applyFont="1" applyAlignment="1" applyProtection="1">
      <alignment vertical="top"/>
      <protection hidden="1"/>
    </xf>
    <xf numFmtId="10" fontId="1" fillId="0" borderId="0" xfId="36" applyNumberFormat="1" applyFont="1" applyAlignment="1">
      <alignment vertical="center"/>
    </xf>
    <xf numFmtId="0" fontId="3" fillId="0" borderId="0" xfId="36" applyFont="1" applyAlignment="1">
      <alignment vertical="center"/>
    </xf>
    <xf numFmtId="0" fontId="1" fillId="0" borderId="0" xfId="36" applyFont="1" applyAlignment="1">
      <alignment horizontal="right" vertical="center"/>
    </xf>
    <xf numFmtId="0" fontId="1" fillId="0" borderId="0" xfId="36" applyFont="1" applyAlignment="1">
      <alignment vertical="center"/>
    </xf>
    <xf numFmtId="14" fontId="1" fillId="0" borderId="0" xfId="36" applyNumberFormat="1" applyFont="1" applyAlignment="1">
      <alignment vertical="center"/>
    </xf>
    <xf numFmtId="0" fontId="4" fillId="2" borderId="0" xfId="36" applyFont="1" applyFill="1" applyAlignment="1">
      <alignment vertical="center"/>
    </xf>
    <xf numFmtId="0" fontId="5" fillId="2" borderId="0" xfId="38" applyFont="1" applyFill="1" applyAlignment="1">
      <alignment horizontal="right" vertical="center"/>
    </xf>
    <xf numFmtId="0" fontId="6" fillId="3" borderId="1" xfId="17" applyFont="1" applyFill="1" applyBorder="1" applyProtection="1">
      <alignment vertical="center"/>
      <protection locked="0"/>
    </xf>
    <xf numFmtId="0" fontId="6" fillId="3" borderId="2" xfId="17" applyFont="1" applyFill="1" applyBorder="1" applyProtection="1">
      <alignment vertical="center"/>
      <protection locked="0"/>
    </xf>
    <xf numFmtId="0" fontId="6" fillId="3" borderId="3" xfId="17" applyFont="1" applyFill="1" applyBorder="1" applyProtection="1">
      <alignment vertical="center"/>
      <protection locked="0"/>
    </xf>
    <xf numFmtId="0" fontId="7" fillId="2" borderId="0" xfId="37" applyFont="1" applyFill="1" applyAlignment="1" applyProtection="1">
      <alignment vertical="center" wrapText="1"/>
      <protection hidden="1"/>
    </xf>
    <xf numFmtId="0" fontId="1" fillId="2" borderId="0" xfId="36" applyFont="1" applyFill="1" applyAlignment="1">
      <alignment horizontal="right" vertical="center"/>
    </xf>
    <xf numFmtId="0" fontId="6" fillId="0" borderId="4" xfId="39" applyFont="1" applyBorder="1" applyAlignment="1">
      <alignment vertical="center"/>
    </xf>
    <xf numFmtId="49" fontId="6" fillId="0" borderId="0" xfId="40" applyNumberFormat="1" applyFont="1" applyBorder="1" applyAlignment="1" applyProtection="1">
      <alignment horizontal="center" vertical="center" shrinkToFit="1"/>
      <protection locked="0"/>
    </xf>
    <xf numFmtId="0" fontId="8" fillId="2" borderId="0" xfId="37" applyFont="1" applyFill="1" applyAlignment="1" applyProtection="1">
      <alignment vertical="center" wrapText="1"/>
      <protection hidden="1"/>
    </xf>
    <xf numFmtId="0" fontId="6" fillId="3" borderId="4" xfId="39" applyFont="1" applyFill="1" applyBorder="1" applyAlignment="1">
      <alignment vertical="center"/>
    </xf>
    <xf numFmtId="43" fontId="6" fillId="3" borderId="0" xfId="40" applyFont="1" applyFill="1" applyBorder="1" applyAlignment="1" applyProtection="1">
      <alignment horizontal="center" vertical="center"/>
      <protection locked="0"/>
    </xf>
    <xf numFmtId="180" fontId="6" fillId="3" borderId="5" xfId="40" applyNumberFormat="1" applyFont="1" applyFill="1" applyBorder="1" applyAlignment="1" applyProtection="1">
      <alignment vertical="center"/>
      <protection locked="0"/>
    </xf>
    <xf numFmtId="14" fontId="6" fillId="0" borderId="0" xfId="40" applyNumberFormat="1" applyFont="1" applyBorder="1" applyAlignment="1" applyProtection="1">
      <alignment horizontal="center" vertical="center" shrinkToFit="1"/>
      <protection locked="0"/>
    </xf>
    <xf numFmtId="43" fontId="3" fillId="2" borderId="0" xfId="37" applyNumberFormat="1" applyFont="1" applyFill="1" applyAlignment="1">
      <alignment vertical="center" wrapText="1"/>
      <protection locked="0"/>
    </xf>
    <xf numFmtId="0" fontId="6" fillId="3" borderId="4" xfId="17" applyFont="1" applyFill="1" applyBorder="1" applyProtection="1">
      <alignment vertical="center"/>
      <protection locked="0"/>
    </xf>
    <xf numFmtId="43" fontId="6" fillId="3" borderId="0" xfId="40" applyFont="1" applyFill="1" applyBorder="1" applyAlignment="1" applyProtection="1">
      <alignment vertical="center"/>
      <protection locked="0"/>
    </xf>
    <xf numFmtId="180" fontId="6" fillId="3" borderId="5" xfId="17" applyNumberFormat="1" applyFont="1" applyFill="1" applyBorder="1" applyProtection="1">
      <alignment vertical="center"/>
      <protection locked="0"/>
    </xf>
    <xf numFmtId="9" fontId="6" fillId="3" borderId="0" xfId="42" applyFont="1" applyFill="1" applyBorder="1" applyAlignment="1">
      <alignment horizontal="center" vertical="center"/>
    </xf>
    <xf numFmtId="180" fontId="6" fillId="3" borderId="5" xfId="42" applyNumberFormat="1" applyFont="1" applyFill="1" applyBorder="1" applyAlignment="1" applyProtection="1">
      <alignment horizontal="center" vertical="center"/>
      <protection locked="0"/>
    </xf>
    <xf numFmtId="0" fontId="6" fillId="3" borderId="6" xfId="17" applyFont="1" applyFill="1" applyBorder="1" applyProtection="1">
      <alignment vertical="center"/>
      <protection locked="0"/>
    </xf>
    <xf numFmtId="0" fontId="6" fillId="3" borderId="7" xfId="17" applyFont="1" applyFill="1" applyBorder="1" applyProtection="1">
      <alignment vertical="center"/>
      <protection locked="0"/>
    </xf>
    <xf numFmtId="0" fontId="6" fillId="3" borderId="8" xfId="17" applyFont="1" applyFill="1" applyBorder="1" applyProtection="1">
      <alignment vertical="center"/>
      <protection locked="0"/>
    </xf>
    <xf numFmtId="0" fontId="9" fillId="0" borderId="0" xfId="22" applyFont="1" applyAlignment="1">
      <alignment vertical="center"/>
    </xf>
    <xf numFmtId="0" fontId="10" fillId="0" borderId="0" xfId="22" applyFont="1" applyAlignment="1">
      <alignment vertical="center"/>
    </xf>
    <xf numFmtId="0" fontId="11" fillId="0" borderId="0" xfId="22" applyFont="1" applyAlignment="1">
      <alignment vertical="center"/>
    </xf>
    <xf numFmtId="0" fontId="8" fillId="0" borderId="0" xfId="36" applyFont="1" applyAlignment="1">
      <alignment vertical="center"/>
    </xf>
    <xf numFmtId="0" fontId="5" fillId="0" borderId="0" xfId="38" applyFont="1" applyAlignment="1">
      <alignment horizontal="right" vertical="center"/>
    </xf>
    <xf numFmtId="0" fontId="8" fillId="0" borderId="0" xfId="36" applyFont="1" applyAlignment="1">
      <alignment horizontal="right" vertical="center"/>
    </xf>
    <xf numFmtId="0" fontId="8" fillId="0" borderId="0" xfId="22" applyFont="1" applyAlignment="1">
      <alignment vertical="center"/>
    </xf>
    <xf numFmtId="0" fontId="1" fillId="0" borderId="4" xfId="22" applyFont="1" applyBorder="1" applyAlignment="1">
      <alignment vertical="center"/>
    </xf>
    <xf numFmtId="0" fontId="12" fillId="0" borderId="0" xfId="36" applyFont="1" applyAlignment="1">
      <alignment vertical="center"/>
    </xf>
    <xf numFmtId="0" fontId="9" fillId="0" borderId="4" xfId="22" applyFont="1" applyBorder="1" applyAlignment="1">
      <alignment vertical="center"/>
    </xf>
    <xf numFmtId="0" fontId="5" fillId="0" borderId="0" xfId="38" applyFont="1" applyAlignment="1">
      <alignment vertical="center"/>
    </xf>
    <xf numFmtId="0" fontId="3" fillId="0" borderId="0" xfId="36" applyFont="1" applyAlignment="1">
      <alignment horizontal="right" vertical="center"/>
    </xf>
    <xf numFmtId="0" fontId="6" fillId="2" borderId="0" xfId="37" applyFont="1" applyFill="1">
      <alignment vertical="center"/>
      <protection locked="0"/>
    </xf>
    <xf numFmtId="0" fontId="6" fillId="2" borderId="0" xfId="37" applyFont="1" applyFill="1" applyAlignment="1">
      <alignment vertical="center" wrapText="1"/>
      <protection locked="0"/>
    </xf>
    <xf numFmtId="0" fontId="6" fillId="4" borderId="11" xfId="37" applyFont="1" applyFill="1" applyBorder="1" applyAlignment="1">
      <alignment horizontal="justify" vertical="center" wrapText="1"/>
      <protection locked="0"/>
    </xf>
    <xf numFmtId="180" fontId="6" fillId="4" borderId="12" xfId="40" applyNumberFormat="1" applyFont="1" applyFill="1" applyBorder="1" applyAlignment="1">
      <alignment horizontal="right" vertical="center" wrapText="1"/>
    </xf>
    <xf numFmtId="0" fontId="13" fillId="4" borderId="13" xfId="37" applyFont="1" applyFill="1" applyBorder="1" applyAlignment="1">
      <alignment horizontal="right" vertical="center"/>
      <protection locked="0"/>
    </xf>
    <xf numFmtId="10" fontId="12" fillId="0" borderId="0" xfId="36" applyNumberFormat="1" applyFont="1" applyAlignment="1">
      <alignment horizontal="center" vertical="center"/>
    </xf>
    <xf numFmtId="0" fontId="6" fillId="2" borderId="14" xfId="37" applyFont="1" applyFill="1" applyBorder="1" applyAlignment="1">
      <alignment horizontal="justify" vertical="center" wrapText="1"/>
      <protection locked="0"/>
    </xf>
    <xf numFmtId="180" fontId="6" fillId="2" borderId="15" xfId="40" applyNumberFormat="1" applyFont="1" applyFill="1" applyBorder="1" applyAlignment="1">
      <alignment horizontal="center" vertical="center" wrapText="1"/>
    </xf>
    <xf numFmtId="180" fontId="6" fillId="2" borderId="16" xfId="40" applyNumberFormat="1" applyFont="1" applyFill="1" applyBorder="1" applyAlignment="1">
      <alignment horizontal="center" vertical="center"/>
    </xf>
    <xf numFmtId="43" fontId="1" fillId="0" borderId="0" xfId="36" applyNumberFormat="1" applyFont="1" applyAlignment="1">
      <alignment vertical="center"/>
    </xf>
    <xf numFmtId="180" fontId="6" fillId="2" borderId="15" xfId="40" applyNumberFormat="1" applyFont="1" applyFill="1" applyBorder="1" applyAlignment="1" applyProtection="1">
      <alignment horizontal="center" vertical="center"/>
      <protection locked="0"/>
    </xf>
    <xf numFmtId="180" fontId="14" fillId="0" borderId="0" xfId="36" applyNumberFormat="1" applyFont="1" applyAlignment="1">
      <alignment vertical="center"/>
    </xf>
    <xf numFmtId="180" fontId="6" fillId="2" borderId="15" xfId="40" applyNumberFormat="1" applyFont="1" applyFill="1" applyBorder="1" applyAlignment="1">
      <alignment horizontal="center" vertical="center"/>
    </xf>
    <xf numFmtId="0" fontId="6" fillId="2" borderId="14" xfId="37" applyFont="1" applyFill="1" applyBorder="1">
      <alignment vertical="center"/>
      <protection locked="0"/>
    </xf>
    <xf numFmtId="180" fontId="6" fillId="2" borderId="15" xfId="40" applyNumberFormat="1" applyFont="1" applyFill="1" applyBorder="1">
      <alignment vertical="center"/>
    </xf>
    <xf numFmtId="180" fontId="6" fillId="2" borderId="16" xfId="40" applyNumberFormat="1" applyFont="1" applyFill="1" applyBorder="1">
      <alignment vertical="center"/>
    </xf>
    <xf numFmtId="0" fontId="6" fillId="5" borderId="14" xfId="37" applyFont="1" applyFill="1" applyBorder="1">
      <alignment vertical="center"/>
      <protection locked="0"/>
    </xf>
    <xf numFmtId="0" fontId="6" fillId="5" borderId="15" xfId="37" applyFont="1" applyFill="1" applyBorder="1">
      <alignment vertical="center"/>
      <protection locked="0"/>
    </xf>
    <xf numFmtId="0" fontId="6" fillId="5" borderId="16" xfId="37" applyFont="1" applyFill="1" applyBorder="1">
      <alignment vertical="center"/>
      <protection locked="0"/>
    </xf>
    <xf numFmtId="0" fontId="6" fillId="0" borderId="14" xfId="37" applyFont="1" applyBorder="1">
      <alignment vertical="center"/>
      <protection locked="0"/>
    </xf>
    <xf numFmtId="180" fontId="6" fillId="0" borderId="15" xfId="40" applyNumberFormat="1" applyFont="1" applyFill="1" applyBorder="1">
      <alignment vertical="center"/>
    </xf>
    <xf numFmtId="180" fontId="6" fillId="0" borderId="16" xfId="40" applyNumberFormat="1" applyFont="1" applyFill="1" applyBorder="1">
      <alignment vertical="center"/>
    </xf>
    <xf numFmtId="0" fontId="6" fillId="2" borderId="14" xfId="37" applyFont="1" applyFill="1" applyBorder="1" applyAlignment="1">
      <alignment horizontal="left" vertical="center" wrapText="1"/>
      <protection locked="0"/>
    </xf>
    <xf numFmtId="180" fontId="6" fillId="2" borderId="15" xfId="40" applyNumberFormat="1" applyFont="1" applyFill="1" applyBorder="1" applyAlignment="1" applyProtection="1">
      <protection locked="0"/>
    </xf>
    <xf numFmtId="181" fontId="6" fillId="2" borderId="15" xfId="42" applyNumberFormat="1" applyFont="1" applyFill="1" applyBorder="1" applyAlignment="1">
      <alignment horizontal="right" vertical="center" wrapText="1"/>
    </xf>
    <xf numFmtId="181" fontId="6" fillId="2" borderId="16" xfId="42" applyNumberFormat="1" applyFont="1" applyFill="1" applyBorder="1" applyAlignment="1">
      <alignment horizontal="right" vertical="center" wrapText="1"/>
    </xf>
    <xf numFmtId="0" fontId="6" fillId="0" borderId="14" xfId="37" applyFont="1" applyBorder="1" applyAlignment="1">
      <alignment horizontal="left" vertical="center" wrapText="1"/>
      <protection locked="0"/>
    </xf>
    <xf numFmtId="180" fontId="6" fillId="0" borderId="15" xfId="40" applyNumberFormat="1" applyFont="1" applyFill="1" applyBorder="1" applyAlignment="1">
      <alignment horizontal="left" vertical="center" wrapText="1"/>
    </xf>
    <xf numFmtId="180" fontId="6" fillId="2" borderId="15" xfId="40" applyNumberFormat="1" applyFont="1" applyFill="1" applyBorder="1" applyAlignment="1"/>
    <xf numFmtId="180" fontId="6" fillId="0" borderId="16" xfId="40" applyNumberFormat="1" applyFont="1" applyFill="1" applyBorder="1" applyAlignment="1">
      <alignment horizontal="left" vertical="center" wrapText="1"/>
    </xf>
    <xf numFmtId="0" fontId="6" fillId="0" borderId="17" xfId="17" applyFont="1" applyBorder="1" applyAlignment="1" applyProtection="1">
      <alignment horizontal="left"/>
      <protection locked="0"/>
    </xf>
    <xf numFmtId="0" fontId="6" fillId="0" borderId="18" xfId="17" applyFont="1" applyBorder="1" applyAlignment="1" applyProtection="1">
      <alignment horizontal="right" vertical="center"/>
      <protection locked="0"/>
    </xf>
    <xf numFmtId="0" fontId="6" fillId="0" borderId="19" xfId="17" applyFont="1" applyBorder="1" applyAlignment="1" applyProtection="1">
      <alignment horizontal="right" vertical="center"/>
      <protection locked="0"/>
    </xf>
    <xf numFmtId="0" fontId="3" fillId="0" borderId="0" xfId="22" applyFont="1" applyAlignment="1">
      <alignment vertical="center"/>
    </xf>
    <xf numFmtId="180" fontId="1" fillId="0" borderId="0" xfId="36" applyNumberFormat="1" applyFont="1" applyAlignment="1">
      <alignment vertical="center"/>
    </xf>
    <xf numFmtId="180" fontId="3" fillId="0" borderId="0" xfId="36" applyNumberFormat="1" applyFont="1" applyAlignment="1">
      <alignment horizontal="right" vertical="center"/>
    </xf>
    <xf numFmtId="0" fontId="6" fillId="0" borderId="0" xfId="37" applyFont="1" applyAlignment="1">
      <alignment horizontal="right" vertical="center"/>
      <protection locked="0"/>
    </xf>
    <xf numFmtId="0" fontId="15" fillId="0" borderId="0" xfId="37" applyFont="1" applyAlignment="1">
      <alignment horizontal="center" vertical="center" wrapText="1"/>
      <protection locked="0"/>
    </xf>
    <xf numFmtId="0" fontId="6" fillId="0" borderId="0" xfId="37" applyFont="1">
      <alignment vertical="center"/>
      <protection locked="0"/>
    </xf>
    <xf numFmtId="0" fontId="3" fillId="0" borderId="0" xfId="37" applyFont="1" applyAlignment="1">
      <alignment horizontal="right" vertical="top"/>
      <protection locked="0"/>
    </xf>
    <xf numFmtId="0" fontId="1" fillId="0" borderId="0" xfId="37" applyFont="1" applyAlignment="1">
      <alignment horizontal="center" vertical="center" wrapText="1"/>
      <protection locked="0"/>
    </xf>
    <xf numFmtId="180" fontId="1" fillId="0" borderId="0" xfId="37" applyNumberFormat="1" applyFont="1" applyAlignment="1">
      <alignment horizontal="center" vertical="center" wrapText="1"/>
      <protection locked="0"/>
    </xf>
    <xf numFmtId="0" fontId="16" fillId="0" borderId="0" xfId="36" applyFont="1" applyAlignment="1">
      <alignment horizontal="left"/>
    </xf>
    <xf numFmtId="0" fontId="1" fillId="6" borderId="0" xfId="36" applyFont="1" applyFill="1" applyAlignment="1">
      <alignment vertical="center"/>
    </xf>
    <xf numFmtId="0" fontId="17" fillId="0" borderId="0" xfId="38" applyFont="1" applyAlignment="1" applyProtection="1">
      <alignment horizontal="left"/>
      <protection locked="0"/>
    </xf>
    <xf numFmtId="0" fontId="13" fillId="0" borderId="0" xfId="43" applyFont="1" applyProtection="1">
      <protection locked="0"/>
    </xf>
    <xf numFmtId="0" fontId="17" fillId="0" borderId="0" xfId="38" applyFont="1" applyAlignment="1" applyProtection="1">
      <protection locked="0"/>
    </xf>
    <xf numFmtId="17" fontId="6" fillId="2" borderId="0" xfId="10" applyNumberFormat="1" applyFont="1" applyFill="1"/>
    <xf numFmtId="0" fontId="6" fillId="2" borderId="0" xfId="10" applyFont="1" applyFill="1"/>
    <xf numFmtId="0" fontId="3" fillId="2" borderId="0" xfId="37" applyFont="1" applyFill="1" applyAlignment="1">
      <alignment vertical="center" wrapText="1"/>
      <protection locked="0"/>
    </xf>
    <xf numFmtId="0" fontId="6" fillId="0" borderId="0" xfId="43" applyFont="1" applyAlignment="1" applyProtection="1">
      <alignment vertical="center"/>
      <protection locked="0"/>
    </xf>
    <xf numFmtId="0" fontId="6" fillId="0" borderId="0" xfId="36" applyFont="1" applyAlignment="1">
      <alignment vertical="center" wrapText="1"/>
    </xf>
    <xf numFmtId="0" fontId="8" fillId="0" borderId="0" xfId="14" applyFont="1" applyAlignment="1" applyProtection="1">
      <alignment vertical="center"/>
      <protection locked="0"/>
    </xf>
    <xf numFmtId="0" fontId="6" fillId="0" borderId="0" xfId="36" applyFont="1" applyAlignment="1">
      <alignment vertical="center"/>
    </xf>
    <xf numFmtId="0" fontId="1" fillId="0" borderId="0" xfId="14" applyFont="1" applyAlignment="1" applyProtection="1">
      <alignment vertical="center"/>
      <protection locked="0"/>
    </xf>
    <xf numFmtId="0" fontId="6" fillId="0" borderId="0" xfId="10" applyFont="1"/>
    <xf numFmtId="0" fontId="1" fillId="0" borderId="5" xfId="36" applyFont="1" applyBorder="1" applyAlignment="1">
      <alignment vertical="center"/>
    </xf>
    <xf numFmtId="0" fontId="1" fillId="0" borderId="0" xfId="44" applyFont="1" applyAlignment="1">
      <alignment vertical="center"/>
    </xf>
    <xf numFmtId="0" fontId="19" fillId="0" borderId="0" xfId="45" applyFont="1" applyAlignment="1" applyProtection="1">
      <protection locked="0"/>
    </xf>
    <xf numFmtId="0" fontId="13" fillId="0" borderId="0" xfId="31" applyFont="1" applyProtection="1">
      <protection locked="0"/>
    </xf>
    <xf numFmtId="0" fontId="6" fillId="0" borderId="0" xfId="31" applyFont="1" applyProtection="1">
      <protection locked="0"/>
    </xf>
    <xf numFmtId="182" fontId="20" fillId="0" borderId="15" xfId="6" applyNumberFormat="1" applyFont="1" applyFill="1" applyBorder="1" applyAlignment="1">
      <alignment horizontal="right" shrinkToFit="1"/>
    </xf>
    <xf numFmtId="0" fontId="21" fillId="0" borderId="0" xfId="13" applyFont="1" applyAlignment="1">
      <alignment vertical="center"/>
    </xf>
    <xf numFmtId="0" fontId="21" fillId="0" borderId="0" xfId="13" applyFont="1" applyAlignment="1">
      <alignment horizontal="right" vertical="center"/>
    </xf>
    <xf numFmtId="0" fontId="22" fillId="0" borderId="0" xfId="22" applyFont="1" applyAlignment="1">
      <alignment vertical="center"/>
    </xf>
    <xf numFmtId="0" fontId="23" fillId="0" borderId="0" xfId="13" applyFont="1" applyAlignment="1">
      <alignment vertical="center"/>
    </xf>
    <xf numFmtId="14" fontId="23" fillId="0" borderId="0" xfId="13" applyNumberFormat="1" applyFont="1" applyAlignment="1">
      <alignment vertical="center"/>
    </xf>
    <xf numFmtId="0" fontId="24" fillId="0" borderId="0" xfId="13" applyFont="1" applyAlignment="1">
      <alignment vertical="center"/>
    </xf>
    <xf numFmtId="0" fontId="23" fillId="0" borderId="0" xfId="13" applyFont="1" applyAlignment="1">
      <alignment horizontal="right" vertical="center"/>
    </xf>
    <xf numFmtId="0" fontId="25" fillId="0" borderId="0" xfId="0" applyFont="1" applyAlignment="1">
      <alignment horizontal="center" vertical="center" wrapText="1"/>
      <protection locked="0"/>
    </xf>
    <xf numFmtId="0" fontId="26" fillId="0" borderId="0" xfId="0" applyFont="1">
      <alignment vertical="center"/>
      <protection locked="0"/>
    </xf>
    <xf numFmtId="0" fontId="27" fillId="0" borderId="0" xfId="2" applyFont="1" applyAlignment="1">
      <alignment vertical="center"/>
    </xf>
    <xf numFmtId="0" fontId="26" fillId="0" borderId="0" xfId="0" applyFont="1" applyAlignment="1">
      <alignment horizontal="right" vertical="center"/>
      <protection locked="0"/>
    </xf>
    <xf numFmtId="10" fontId="23" fillId="0" borderId="0" xfId="13" applyNumberFormat="1" applyFont="1" applyAlignment="1">
      <alignment vertical="center"/>
    </xf>
    <xf numFmtId="10" fontId="27" fillId="0" borderId="0" xfId="2" applyNumberFormat="1" applyFont="1" applyAlignment="1">
      <alignment vertical="center"/>
    </xf>
    <xf numFmtId="0" fontId="24" fillId="0" borderId="0" xfId="13" applyFont="1" applyAlignment="1">
      <alignment horizontal="right" vertical="center"/>
    </xf>
    <xf numFmtId="0" fontId="28" fillId="0" borderId="0" xfId="22" applyFont="1" applyAlignment="1">
      <alignment vertical="center"/>
    </xf>
    <xf numFmtId="0" fontId="29" fillId="0" borderId="0" xfId="37" applyFont="1">
      <alignment vertical="center"/>
      <protection locked="0"/>
    </xf>
    <xf numFmtId="0" fontId="1" fillId="0" borderId="0" xfId="36" applyFont="1" applyAlignment="1">
      <alignment vertical="top" wrapText="1"/>
    </xf>
    <xf numFmtId="0" fontId="29" fillId="10" borderId="0" xfId="37" applyFont="1" applyFill="1">
      <alignment vertical="center"/>
      <protection locked="0"/>
    </xf>
    <xf numFmtId="0" fontId="30" fillId="0" borderId="0" xfId="37" applyFont="1" applyAlignment="1" applyProtection="1">
      <alignment vertical="top" wrapText="1"/>
      <protection hidden="1"/>
    </xf>
    <xf numFmtId="0" fontId="1" fillId="2" borderId="0" xfId="37" applyFont="1" applyFill="1">
      <alignment vertical="center"/>
      <protection locked="0"/>
    </xf>
    <xf numFmtId="0" fontId="20" fillId="0" borderId="0" xfId="13" applyFont="1" applyAlignment="1">
      <alignment vertical="center"/>
    </xf>
    <xf numFmtId="0" fontId="31" fillId="0" borderId="0" xfId="13" applyFont="1" applyAlignment="1">
      <alignment vertical="center"/>
    </xf>
    <xf numFmtId="0" fontId="20" fillId="0" borderId="0" xfId="13" applyFont="1" applyAlignment="1">
      <alignment horizontal="center" vertical="center"/>
    </xf>
    <xf numFmtId="177" fontId="32" fillId="0" borderId="0" xfId="6" applyFont="1" applyFill="1" applyBorder="1" applyAlignment="1">
      <alignment vertical="center"/>
    </xf>
    <xf numFmtId="0" fontId="32" fillId="0" borderId="0" xfId="11" applyFont="1" applyAlignment="1">
      <alignment vertical="center"/>
    </xf>
    <xf numFmtId="0" fontId="33" fillId="0" borderId="0" xfId="11" applyFont="1" applyAlignment="1" applyProtection="1">
      <alignment vertical="center"/>
      <protection locked="0"/>
    </xf>
    <xf numFmtId="0" fontId="32" fillId="0" borderId="0" xfId="11" applyFont="1" applyAlignment="1" applyProtection="1">
      <alignment vertical="center"/>
      <protection locked="0"/>
    </xf>
    <xf numFmtId="177" fontId="32" fillId="0" borderId="0" xfId="6" applyFont="1" applyAlignment="1" applyProtection="1">
      <alignment vertical="center"/>
      <protection locked="0"/>
    </xf>
    <xf numFmtId="177" fontId="32" fillId="0" borderId="0" xfId="11" applyNumberFormat="1" applyFont="1" applyAlignment="1" applyProtection="1">
      <alignment vertical="center"/>
      <protection locked="0"/>
    </xf>
    <xf numFmtId="0" fontId="33" fillId="0" borderId="0" xfId="13" applyFont="1" applyAlignment="1">
      <alignment vertical="center"/>
    </xf>
    <xf numFmtId="0" fontId="31" fillId="0" borderId="0" xfId="13" applyFont="1" applyAlignment="1">
      <alignment horizontal="center" vertical="center"/>
    </xf>
    <xf numFmtId="0" fontId="33" fillId="0" borderId="0" xfId="13" applyFont="1" applyAlignment="1">
      <alignment horizontal="center" vertical="center"/>
    </xf>
    <xf numFmtId="180" fontId="33" fillId="0" borderId="0" xfId="13" applyNumberFormat="1" applyFont="1" applyAlignment="1">
      <alignment horizontal="center" vertical="center"/>
    </xf>
    <xf numFmtId="0" fontId="31" fillId="0" borderId="27" xfId="13" applyFont="1" applyBorder="1" applyAlignment="1">
      <alignment vertical="center"/>
    </xf>
    <xf numFmtId="0" fontId="31" fillId="0" borderId="28" xfId="13" applyFont="1" applyBorder="1" applyAlignment="1">
      <alignment horizontal="left" vertical="center"/>
    </xf>
    <xf numFmtId="0" fontId="31" fillId="0" borderId="29" xfId="13" applyFont="1" applyBorder="1" applyAlignment="1">
      <alignment horizontal="center" vertical="center"/>
    </xf>
    <xf numFmtId="180" fontId="31" fillId="0" borderId="30" xfId="13" applyNumberFormat="1" applyFont="1" applyBorder="1" applyAlignment="1">
      <alignment horizontal="center" vertical="center"/>
    </xf>
    <xf numFmtId="0" fontId="31" fillId="0" borderId="31" xfId="13" applyFont="1" applyBorder="1" applyAlignment="1">
      <alignment horizontal="center" vertical="center"/>
    </xf>
    <xf numFmtId="0" fontId="34" fillId="0" borderId="30" xfId="0" applyFont="1" applyBorder="1" applyAlignment="1" applyProtection="1">
      <alignment horizontal="center" vertical="center"/>
    </xf>
    <xf numFmtId="0" fontId="20" fillId="0" borderId="32" xfId="13" applyFont="1" applyBorder="1" applyAlignment="1">
      <alignment vertical="center"/>
    </xf>
    <xf numFmtId="0" fontId="20" fillId="0" borderId="33" xfId="13" applyFont="1" applyBorder="1" applyAlignment="1">
      <alignment horizontal="left"/>
    </xf>
    <xf numFmtId="0" fontId="20" fillId="0" borderId="15" xfId="13" applyFont="1" applyBorder="1" applyAlignment="1">
      <alignment horizontal="center" vertical="center" wrapText="1"/>
    </xf>
    <xf numFmtId="0" fontId="20" fillId="11" borderId="15" xfId="13" applyFont="1" applyFill="1" applyBorder="1" applyAlignment="1">
      <alignment horizontal="center" vertical="center"/>
    </xf>
    <xf numFmtId="0" fontId="20" fillId="0" borderId="34" xfId="13" applyFont="1" applyBorder="1" applyAlignment="1">
      <alignment vertical="center" wrapText="1"/>
    </xf>
    <xf numFmtId="183" fontId="31" fillId="0" borderId="15" xfId="13" applyNumberFormat="1" applyFont="1" applyBorder="1" applyAlignment="1">
      <alignment horizontal="left" vertical="center" wrapText="1"/>
    </xf>
    <xf numFmtId="43" fontId="35" fillId="0" borderId="31" xfId="1" applyFont="1" applyFill="1" applyBorder="1" applyAlignment="1">
      <alignment horizontal="right" vertical="center" shrinkToFit="1"/>
    </xf>
    <xf numFmtId="43" fontId="35" fillId="0" borderId="15" xfId="1" applyFont="1" applyFill="1" applyBorder="1" applyAlignment="1">
      <alignment horizontal="right" vertical="center" shrinkToFit="1"/>
    </xf>
    <xf numFmtId="0" fontId="31" fillId="0" borderId="35" xfId="13" applyFont="1" applyBorder="1" applyAlignment="1">
      <alignment vertical="center" wrapText="1"/>
    </xf>
    <xf numFmtId="0" fontId="20" fillId="0" borderId="15" xfId="13" applyFont="1" applyBorder="1" applyAlignment="1">
      <alignment horizontal="left" vertical="center"/>
    </xf>
    <xf numFmtId="49" fontId="31" fillId="0" borderId="35" xfId="13" applyNumberFormat="1" applyFont="1" applyBorder="1" applyAlignment="1">
      <alignment horizontal="center" vertical="center" wrapText="1"/>
    </xf>
    <xf numFmtId="0" fontId="31" fillId="0" borderId="36" xfId="13" applyFont="1" applyBorder="1" applyAlignment="1">
      <alignment vertical="center" wrapText="1"/>
    </xf>
    <xf numFmtId="0" fontId="31" fillId="0" borderId="15" xfId="13" applyFont="1" applyBorder="1" applyAlignment="1">
      <alignment horizontal="left" vertical="center" wrapText="1"/>
    </xf>
    <xf numFmtId="182" fontId="31" fillId="0" borderId="15" xfId="6" applyNumberFormat="1" applyFont="1" applyFill="1" applyBorder="1" applyAlignment="1">
      <alignment horizontal="right" shrinkToFit="1"/>
    </xf>
    <xf numFmtId="0" fontId="31" fillId="0" borderId="34" xfId="13" applyFont="1" applyBorder="1" applyAlignment="1">
      <alignment vertical="center" wrapText="1"/>
    </xf>
    <xf numFmtId="43" fontId="36" fillId="0" borderId="15" xfId="1" applyFont="1" applyFill="1" applyBorder="1" applyAlignment="1">
      <alignment horizontal="right" vertical="center" shrinkToFit="1"/>
    </xf>
    <xf numFmtId="49" fontId="31" fillId="0" borderId="36" xfId="13" applyNumberFormat="1" applyFont="1" applyBorder="1" applyAlignment="1">
      <alignment horizontal="center" vertical="center" wrapText="1"/>
    </xf>
    <xf numFmtId="49" fontId="31" fillId="0" borderId="34" xfId="13" applyNumberFormat="1" applyFont="1" applyBorder="1" applyAlignment="1">
      <alignment horizontal="center" vertical="center" wrapText="1"/>
    </xf>
    <xf numFmtId="182" fontId="20" fillId="0" borderId="34" xfId="6" applyNumberFormat="1" applyFont="1" applyFill="1" applyBorder="1" applyAlignment="1">
      <alignment horizontal="right" shrinkToFit="1"/>
    </xf>
    <xf numFmtId="0" fontId="31" fillId="0" borderId="31" xfId="13" applyFont="1" applyBorder="1" applyAlignment="1">
      <alignment horizontal="left" vertical="center" wrapText="1"/>
    </xf>
    <xf numFmtId="182" fontId="31" fillId="0" borderId="29" xfId="6" applyNumberFormat="1" applyFont="1" applyFill="1" applyBorder="1" applyAlignment="1" applyProtection="1">
      <alignment horizontal="right" shrinkToFit="1"/>
    </xf>
    <xf numFmtId="182" fontId="31" fillId="0" borderId="15" xfId="6" applyNumberFormat="1" applyFont="1" applyFill="1" applyBorder="1" applyAlignment="1" applyProtection="1">
      <alignment horizontal="right" shrinkToFit="1"/>
    </xf>
    <xf numFmtId="182" fontId="31" fillId="0" borderId="31" xfId="6" applyNumberFormat="1" applyFont="1" applyFill="1" applyBorder="1" applyAlignment="1" applyProtection="1">
      <alignment horizontal="right" shrinkToFit="1"/>
    </xf>
    <xf numFmtId="0" fontId="20" fillId="0" borderId="0" xfId="13" applyFont="1" applyAlignment="1">
      <alignment horizontal="center" vertical="center" wrapText="1"/>
    </xf>
    <xf numFmtId="0" fontId="20" fillId="0" borderId="0" xfId="13" applyFont="1" applyAlignment="1">
      <alignment horizontal="left" vertical="center" shrinkToFit="1"/>
    </xf>
    <xf numFmtId="10" fontId="20" fillId="0" borderId="0" xfId="27" applyNumberFormat="1" applyFont="1" applyFill="1" applyBorder="1" applyAlignment="1">
      <alignment vertical="center" shrinkToFit="1"/>
    </xf>
    <xf numFmtId="177" fontId="33" fillId="0" borderId="0" xfId="6" applyFont="1" applyFill="1" applyBorder="1" applyAlignment="1">
      <alignment vertical="center"/>
    </xf>
    <xf numFmtId="177" fontId="33" fillId="0" borderId="0" xfId="6" applyFont="1" applyFill="1" applyBorder="1" applyAlignment="1" applyProtection="1">
      <alignment horizontal="left" vertical="center"/>
      <protection locked="0"/>
    </xf>
    <xf numFmtId="177" fontId="32" fillId="0" borderId="0" xfId="7" applyFont="1" applyFill="1" applyBorder="1" applyAlignment="1" applyProtection="1">
      <alignment horizontal="right" vertical="center" shrinkToFit="1"/>
      <protection locked="0"/>
    </xf>
    <xf numFmtId="177" fontId="20" fillId="0" borderId="0" xfId="6" applyFont="1" applyFill="1" applyBorder="1" applyAlignment="1" applyProtection="1">
      <alignment horizontal="right" vertical="center" shrinkToFit="1"/>
      <protection locked="0"/>
    </xf>
    <xf numFmtId="0" fontId="33" fillId="0" borderId="0" xfId="11" applyFont="1" applyAlignment="1">
      <alignment vertical="center"/>
    </xf>
    <xf numFmtId="0" fontId="37" fillId="12" borderId="0" xfId="13" applyFont="1" applyFill="1" applyAlignment="1" applyProtection="1">
      <alignment vertical="center"/>
      <protection locked="0"/>
    </xf>
    <xf numFmtId="10" fontId="32" fillId="2" borderId="0" xfId="13" applyNumberFormat="1" applyFont="1" applyFill="1" applyAlignment="1">
      <alignment vertical="center"/>
    </xf>
    <xf numFmtId="0" fontId="32" fillId="2" borderId="0" xfId="13" applyFont="1" applyFill="1" applyAlignment="1">
      <alignment vertical="center"/>
    </xf>
    <xf numFmtId="49" fontId="38" fillId="2" borderId="0" xfId="13" applyNumberFormat="1" applyFont="1" applyFill="1" applyAlignment="1">
      <alignment vertical="center"/>
    </xf>
    <xf numFmtId="180" fontId="31" fillId="0" borderId="0" xfId="13" applyNumberFormat="1" applyFont="1" applyAlignment="1">
      <alignment horizontal="center" vertical="center"/>
    </xf>
    <xf numFmtId="0" fontId="31" fillId="0" borderId="30" xfId="13" applyFont="1" applyBorder="1" applyAlignment="1">
      <alignment horizontal="center" vertical="center"/>
    </xf>
    <xf numFmtId="0" fontId="33" fillId="0" borderId="0" xfId="13" applyFont="1" applyAlignment="1">
      <alignment horizontal="center" vertical="center" wrapText="1"/>
    </xf>
    <xf numFmtId="182" fontId="20" fillId="0" borderId="0" xfId="6" applyNumberFormat="1" applyFont="1" applyFill="1" applyBorder="1" applyAlignment="1">
      <alignment horizontal="right" shrinkToFit="1"/>
    </xf>
    <xf numFmtId="182" fontId="20" fillId="0" borderId="0" xfId="13" applyNumberFormat="1" applyFont="1" applyAlignment="1">
      <alignment horizontal="right"/>
    </xf>
    <xf numFmtId="182" fontId="20" fillId="0" borderId="0" xfId="6" applyNumberFormat="1" applyFont="1" applyFill="1" applyBorder="1" applyAlignment="1" applyProtection="1">
      <alignment horizontal="right" shrinkToFit="1"/>
    </xf>
    <xf numFmtId="177" fontId="20" fillId="0" borderId="0" xfId="6" applyFont="1" applyFill="1" applyBorder="1" applyAlignment="1">
      <alignment vertical="center"/>
    </xf>
    <xf numFmtId="0" fontId="32" fillId="12" borderId="0" xfId="13" applyFont="1" applyFill="1" applyAlignment="1" applyProtection="1">
      <alignment vertical="center"/>
      <protection locked="0"/>
    </xf>
    <xf numFmtId="0" fontId="40" fillId="0" borderId="0" xfId="11" applyFont="1" applyAlignment="1">
      <alignment vertical="center"/>
    </xf>
    <xf numFmtId="0" fontId="41" fillId="12" borderId="0" xfId="13" applyFont="1" applyFill="1" applyAlignment="1" applyProtection="1">
      <alignment vertical="center"/>
      <protection locked="0"/>
    </xf>
    <xf numFmtId="182" fontId="32" fillId="0" borderId="0" xfId="11" applyNumberFormat="1" applyFont="1" applyAlignment="1">
      <alignment horizontal="right"/>
    </xf>
    <xf numFmtId="0" fontId="24" fillId="0" borderId="0" xfId="0" applyFont="1">
      <alignment vertical="center"/>
      <protection locked="0"/>
    </xf>
    <xf numFmtId="0" fontId="39" fillId="0" borderId="5" xfId="0" applyFont="1" applyBorder="1">
      <alignment vertical="center"/>
      <protection locked="0"/>
    </xf>
    <xf numFmtId="0" fontId="26" fillId="0" borderId="1" xfId="0" applyFont="1" applyBorder="1" applyAlignment="1">
      <alignment horizontal="left" vertical="center" indent="1"/>
      <protection locked="0"/>
    </xf>
    <xf numFmtId="0" fontId="26" fillId="0" borderId="2" xfId="0" applyFont="1" applyBorder="1">
      <alignment vertical="center"/>
      <protection locked="0"/>
    </xf>
    <xf numFmtId="0" fontId="26" fillId="0" borderId="3" xfId="0" applyFont="1" applyBorder="1">
      <alignment vertical="center"/>
      <protection locked="0"/>
    </xf>
    <xf numFmtId="0" fontId="26" fillId="0" borderId="4" xfId="0" applyFont="1" applyBorder="1" applyAlignment="1">
      <alignment horizontal="left" vertical="center" indent="1"/>
      <protection locked="0"/>
    </xf>
    <xf numFmtId="0" fontId="26" fillId="0" borderId="5" xfId="0" applyFont="1" applyBorder="1">
      <alignment vertical="center"/>
      <protection locked="0"/>
    </xf>
    <xf numFmtId="0" fontId="26" fillId="0" borderId="6" xfId="0" applyFont="1" applyBorder="1" applyAlignment="1">
      <alignment horizontal="left" vertical="center" indent="1"/>
      <protection locked="0"/>
    </xf>
    <xf numFmtId="0" fontId="26" fillId="0" borderId="7" xfId="0" applyFont="1" applyBorder="1">
      <alignment vertical="center"/>
      <protection locked="0"/>
    </xf>
    <xf numFmtId="0" fontId="26" fillId="0" borderId="8" xfId="0" applyFont="1" applyBorder="1">
      <alignment vertical="center"/>
      <protection locked="0"/>
    </xf>
    <xf numFmtId="0" fontId="39" fillId="0" borderId="0" xfId="0" applyFont="1">
      <alignment vertical="center"/>
      <protection locked="0"/>
    </xf>
    <xf numFmtId="0" fontId="39" fillId="0" borderId="11" xfId="0" applyFont="1" applyBorder="1">
      <alignment vertical="center"/>
      <protection locked="0"/>
    </xf>
    <xf numFmtId="0" fontId="39" fillId="0" borderId="12" xfId="0" applyFont="1" applyBorder="1">
      <alignment vertical="center"/>
      <protection locked="0"/>
    </xf>
    <xf numFmtId="0" fontId="39" fillId="0" borderId="37" xfId="0" applyFont="1" applyBorder="1">
      <alignment vertical="center"/>
      <protection locked="0"/>
    </xf>
    <xf numFmtId="0" fontId="21" fillId="0" borderId="13" xfId="24" applyFont="1" applyBorder="1" applyAlignment="1">
      <alignment horizontal="center" vertical="center" wrapText="1"/>
    </xf>
    <xf numFmtId="0" fontId="26" fillId="0" borderId="38" xfId="0" applyFont="1" applyBorder="1">
      <alignment vertical="center"/>
      <protection locked="0"/>
    </xf>
    <xf numFmtId="0" fontId="26" fillId="0" borderId="36" xfId="0" applyFont="1" applyBorder="1">
      <alignment vertical="center"/>
      <protection locked="0"/>
    </xf>
    <xf numFmtId="0" fontId="26" fillId="0" borderId="15" xfId="0" applyFont="1" applyBorder="1" applyAlignment="1">
      <alignment vertical="center" wrapText="1"/>
      <protection locked="0"/>
    </xf>
    <xf numFmtId="0" fontId="26" fillId="0" borderId="15" xfId="0" applyFont="1" applyBorder="1">
      <alignment vertical="center"/>
      <protection locked="0"/>
    </xf>
    <xf numFmtId="0" fontId="26" fillId="0" borderId="16" xfId="0" applyFont="1" applyBorder="1" applyAlignment="1">
      <alignment vertical="center" wrapText="1"/>
      <protection locked="0"/>
    </xf>
    <xf numFmtId="0" fontId="26" fillId="0" borderId="14" xfId="0" applyFont="1" applyBorder="1">
      <alignment vertical="center"/>
      <protection locked="0"/>
    </xf>
    <xf numFmtId="0" fontId="26" fillId="0" borderId="29" xfId="0" applyFont="1" applyBorder="1" applyAlignment="1">
      <alignment vertical="center" wrapText="1"/>
      <protection locked="0"/>
    </xf>
    <xf numFmtId="0" fontId="26" fillId="0" borderId="17" xfId="0" applyFont="1" applyBorder="1">
      <alignment vertical="center"/>
      <protection locked="0"/>
    </xf>
    <xf numFmtId="0" fontId="26" fillId="0" borderId="39" xfId="0" applyFont="1" applyBorder="1">
      <alignment vertical="center"/>
      <protection locked="0"/>
    </xf>
    <xf numFmtId="0" fontId="26" fillId="0" borderId="18" xfId="0" applyFont="1" applyBorder="1" applyAlignment="1">
      <alignment vertical="center" wrapText="1"/>
      <protection locked="0"/>
    </xf>
    <xf numFmtId="0" fontId="26" fillId="0" borderId="40" xfId="0" applyFont="1" applyBorder="1" applyAlignment="1">
      <alignment vertical="center" wrapText="1"/>
      <protection locked="0"/>
    </xf>
    <xf numFmtId="0" fontId="26" fillId="0" borderId="19" xfId="0" applyFont="1" applyBorder="1" applyAlignment="1">
      <alignment vertical="center" wrapText="1"/>
      <protection locked="0"/>
    </xf>
    <xf numFmtId="0" fontId="8" fillId="0" borderId="0" xfId="36" quotePrefix="1" applyFont="1" applyAlignment="1">
      <alignment horizontal="right" vertical="center"/>
    </xf>
    <xf numFmtId="0" fontId="33" fillId="0" borderId="0" xfId="13" applyFont="1" applyAlignment="1">
      <alignment horizontal="center" vertical="center"/>
    </xf>
    <xf numFmtId="0" fontId="6" fillId="9" borderId="20" xfId="37" applyFont="1" applyFill="1" applyBorder="1" applyAlignment="1">
      <alignment horizontal="left" vertical="top" wrapText="1"/>
      <protection locked="0"/>
    </xf>
    <xf numFmtId="0" fontId="6" fillId="9" borderId="21" xfId="37" applyFont="1" applyFill="1" applyBorder="1" applyAlignment="1">
      <alignment horizontal="left" vertical="top" wrapText="1"/>
      <protection locked="0"/>
    </xf>
    <xf numFmtId="0" fontId="6" fillId="9" borderId="22" xfId="37" applyFont="1" applyFill="1" applyBorder="1" applyAlignment="1">
      <alignment horizontal="left" vertical="top" wrapText="1"/>
      <protection locked="0"/>
    </xf>
    <xf numFmtId="0" fontId="13" fillId="9" borderId="20" xfId="37" applyFont="1" applyFill="1" applyBorder="1" applyAlignment="1">
      <alignment horizontal="left" vertical="top" wrapText="1"/>
      <protection locked="0"/>
    </xf>
    <xf numFmtId="0" fontId="13" fillId="9" borderId="21" xfId="37" applyFont="1" applyFill="1" applyBorder="1" applyAlignment="1">
      <alignment horizontal="left" vertical="top" wrapText="1"/>
      <protection locked="0"/>
    </xf>
    <xf numFmtId="0" fontId="13" fillId="9" borderId="22" xfId="37" applyFont="1" applyFill="1" applyBorder="1" applyAlignment="1">
      <alignment horizontal="left" vertical="top" wrapText="1"/>
      <protection locked="0"/>
    </xf>
    <xf numFmtId="0" fontId="10" fillId="9" borderId="20" xfId="37" applyFont="1" applyFill="1" applyBorder="1" applyAlignment="1">
      <alignment horizontal="left" vertical="top" wrapText="1"/>
      <protection locked="0"/>
    </xf>
    <xf numFmtId="0" fontId="23" fillId="0" borderId="0" xfId="13" applyFont="1" applyAlignment="1">
      <alignment horizontal="left" vertical="top"/>
    </xf>
    <xf numFmtId="0" fontId="6" fillId="8" borderId="20" xfId="37" applyFont="1" applyFill="1" applyBorder="1" applyAlignment="1">
      <alignment horizontal="left" vertical="top" wrapText="1"/>
      <protection locked="0"/>
    </xf>
    <xf numFmtId="0" fontId="6" fillId="8" borderId="21" xfId="37" applyFont="1" applyFill="1" applyBorder="1" applyAlignment="1">
      <alignment horizontal="left" vertical="top" wrapText="1"/>
      <protection locked="0"/>
    </xf>
    <xf numFmtId="0" fontId="6" fillId="8" borderId="22" xfId="37" applyFont="1" applyFill="1" applyBorder="1" applyAlignment="1">
      <alignment horizontal="left" vertical="top" wrapText="1"/>
      <protection locked="0"/>
    </xf>
    <xf numFmtId="0" fontId="18" fillId="8" borderId="20" xfId="37" applyFont="1" applyFill="1" applyBorder="1" applyAlignment="1">
      <alignment horizontal="left" vertical="top" wrapText="1"/>
      <protection locked="0"/>
    </xf>
    <xf numFmtId="0" fontId="13" fillId="8" borderId="21" xfId="37" applyFont="1" applyFill="1" applyBorder="1" applyAlignment="1">
      <alignment horizontal="left" vertical="top" wrapText="1"/>
      <protection locked="0"/>
    </xf>
    <xf numFmtId="0" fontId="13" fillId="8" borderId="22" xfId="37" applyFont="1" applyFill="1" applyBorder="1" applyAlignment="1">
      <alignment horizontal="left" vertical="top" wrapText="1"/>
      <protection locked="0"/>
    </xf>
    <xf numFmtId="0" fontId="13" fillId="8" borderId="20" xfId="37" applyFont="1" applyFill="1" applyBorder="1" applyAlignment="1">
      <alignment horizontal="left" vertical="top" wrapText="1"/>
      <protection locked="0"/>
    </xf>
    <xf numFmtId="0" fontId="10" fillId="8" borderId="24" xfId="37" applyFont="1" applyFill="1" applyBorder="1" applyAlignment="1">
      <alignment horizontal="left" vertical="top" wrapText="1"/>
      <protection locked="0"/>
    </xf>
    <xf numFmtId="0" fontId="10" fillId="8" borderId="25" xfId="37" applyFont="1" applyFill="1" applyBorder="1" applyAlignment="1">
      <alignment horizontal="left" vertical="top" wrapText="1"/>
      <protection locked="0"/>
    </xf>
    <xf numFmtId="0" fontId="10" fillId="8" borderId="26" xfId="37" applyFont="1" applyFill="1" applyBorder="1" applyAlignment="1">
      <alignment horizontal="left" vertical="top" wrapText="1"/>
      <protection locked="0"/>
    </xf>
    <xf numFmtId="0" fontId="18" fillId="8" borderId="24" xfId="37" applyFont="1" applyFill="1" applyBorder="1" applyAlignment="1">
      <alignment horizontal="left" vertical="top" wrapText="1"/>
      <protection locked="0"/>
    </xf>
    <xf numFmtId="0" fontId="18" fillId="8" borderId="25" xfId="37" applyFont="1" applyFill="1" applyBorder="1" applyAlignment="1">
      <alignment horizontal="left" vertical="top" wrapText="1"/>
      <protection locked="0"/>
    </xf>
    <xf numFmtId="0" fontId="18" fillId="8" borderId="26" xfId="37" applyFont="1" applyFill="1" applyBorder="1" applyAlignment="1">
      <alignment horizontal="left" vertical="top" wrapText="1"/>
      <protection locked="0"/>
    </xf>
    <xf numFmtId="0" fontId="10" fillId="7" borderId="20" xfId="37" applyFont="1" applyFill="1" applyBorder="1" applyAlignment="1">
      <alignment horizontal="left" vertical="top" wrapText="1"/>
      <protection locked="0"/>
    </xf>
    <xf numFmtId="0" fontId="10" fillId="7" borderId="21" xfId="37" applyFont="1" applyFill="1" applyBorder="1" applyAlignment="1">
      <alignment horizontal="left" vertical="top" wrapText="1"/>
      <protection locked="0"/>
    </xf>
    <xf numFmtId="0" fontId="10" fillId="7" borderId="22" xfId="37" applyFont="1" applyFill="1" applyBorder="1" applyAlignment="1">
      <alignment horizontal="left" vertical="top" wrapText="1"/>
      <protection locked="0"/>
    </xf>
    <xf numFmtId="0" fontId="10" fillId="7" borderId="24" xfId="37" applyFont="1" applyFill="1" applyBorder="1" applyAlignment="1">
      <alignment horizontal="left" vertical="top" wrapText="1"/>
      <protection locked="0"/>
    </xf>
    <xf numFmtId="0" fontId="10" fillId="7" borderId="25" xfId="37" applyFont="1" applyFill="1" applyBorder="1" applyAlignment="1">
      <alignment horizontal="left" vertical="top" wrapText="1"/>
      <protection locked="0"/>
    </xf>
    <xf numFmtId="0" fontId="10" fillId="7" borderId="26" xfId="37" applyFont="1" applyFill="1" applyBorder="1" applyAlignment="1">
      <alignment horizontal="left" vertical="top" wrapText="1"/>
      <protection locked="0"/>
    </xf>
    <xf numFmtId="0" fontId="1" fillId="0" borderId="1" xfId="22" applyFont="1" applyBorder="1" applyAlignment="1">
      <alignment vertical="top" wrapText="1"/>
    </xf>
    <xf numFmtId="0" fontId="1" fillId="0" borderId="2" xfId="22" applyFont="1" applyBorder="1" applyAlignment="1">
      <alignment vertical="top" wrapText="1"/>
    </xf>
    <xf numFmtId="0" fontId="1" fillId="0" borderId="3" xfId="22" applyFont="1" applyBorder="1" applyAlignment="1">
      <alignment vertical="top" wrapText="1"/>
    </xf>
    <xf numFmtId="0" fontId="1" fillId="0" borderId="4" xfId="22" applyFont="1" applyBorder="1" applyAlignment="1">
      <alignment vertical="center"/>
    </xf>
    <xf numFmtId="0" fontId="1" fillId="0" borderId="0" xfId="22" applyFont="1" applyAlignment="1">
      <alignment vertical="center"/>
    </xf>
    <xf numFmtId="0" fontId="1" fillId="0" borderId="5" xfId="22" applyFont="1" applyBorder="1" applyAlignment="1">
      <alignment vertical="center"/>
    </xf>
    <xf numFmtId="0" fontId="1" fillId="0" borderId="6" xfId="22" applyFont="1" applyBorder="1" applyAlignment="1">
      <alignment vertical="center" wrapText="1"/>
    </xf>
    <xf numFmtId="0" fontId="1" fillId="0" borderId="7" xfId="22" applyFont="1" applyBorder="1" applyAlignment="1">
      <alignment vertical="center" wrapText="1"/>
    </xf>
    <xf numFmtId="0" fontId="1" fillId="0" borderId="8" xfId="22" applyFont="1" applyBorder="1" applyAlignment="1">
      <alignment vertical="center" wrapText="1"/>
    </xf>
    <xf numFmtId="0" fontId="1" fillId="2" borderId="9" xfId="22" applyFont="1" applyFill="1" applyBorder="1" applyAlignment="1">
      <alignment vertical="top" wrapText="1"/>
    </xf>
    <xf numFmtId="0" fontId="1" fillId="2" borderId="10" xfId="22" applyFont="1" applyFill="1" applyBorder="1" applyAlignment="1">
      <alignment vertical="top"/>
    </xf>
    <xf numFmtId="0" fontId="1" fillId="2" borderId="23" xfId="22" applyFont="1" applyFill="1" applyBorder="1" applyAlignment="1">
      <alignment vertical="top"/>
    </xf>
    <xf numFmtId="10" fontId="1" fillId="0" borderId="0" xfId="36" applyNumberFormat="1" applyFont="1" applyAlignment="1">
      <alignment vertical="center" wrapText="1"/>
    </xf>
    <xf numFmtId="0" fontId="1" fillId="0" borderId="0" xfId="13" applyFont="1" applyAlignment="1">
      <alignment horizontal="left" vertical="top" wrapText="1"/>
    </xf>
    <xf numFmtId="0" fontId="6" fillId="3" borderId="0" xfId="17" applyFont="1" applyFill="1" applyBorder="1" applyProtection="1">
      <alignment vertical="center"/>
      <protection locked="0"/>
    </xf>
    <xf numFmtId="0" fontId="6" fillId="0" borderId="0" xfId="39" applyFont="1" applyBorder="1" applyAlignment="1" applyProtection="1">
      <alignment vertical="center"/>
      <protection locked="0"/>
    </xf>
    <xf numFmtId="0" fontId="6" fillId="3" borderId="0" xfId="39" applyFont="1" applyFill="1" applyBorder="1" applyAlignment="1" applyProtection="1">
      <alignment vertical="center"/>
      <protection locked="0"/>
    </xf>
    <xf numFmtId="0" fontId="6" fillId="0" borderId="0" xfId="39" applyFont="1" applyBorder="1" applyAlignment="1" applyProtection="1">
      <alignment vertical="center" shrinkToFit="1"/>
      <protection locked="0"/>
    </xf>
    <xf numFmtId="43" fontId="6" fillId="0" borderId="5" xfId="1" applyFont="1" applyBorder="1" applyAlignment="1" applyProtection="1">
      <alignment horizontal="center" vertical="center" shrinkToFit="1"/>
      <protection locked="0"/>
    </xf>
  </cellXfs>
  <cellStyles count="46">
    <cellStyle name="Comma 16" xfId="3" xr:uid="{00000000-0005-0000-0000-000031000000}"/>
    <cellStyle name="Comma 2" xfId="4" xr:uid="{00000000-0005-0000-0000-000032000000}"/>
    <cellStyle name="Comma 2 2" xfId="5" xr:uid="{00000000-0005-0000-0000-000033000000}"/>
    <cellStyle name="Comma 3" xfId="6" xr:uid="{00000000-0005-0000-0000-000034000000}"/>
    <cellStyle name="Comma 4 4" xfId="7" xr:uid="{00000000-0005-0000-0000-000035000000}"/>
    <cellStyle name="Comma 42" xfId="41" xr:uid="{00000000-0005-0000-0000-000057000000}"/>
    <cellStyle name="Hyperlink 2" xfId="8" xr:uid="{00000000-0005-0000-0000-000036000000}"/>
    <cellStyle name="Hyperlink 7" xfId="9" xr:uid="{00000000-0005-0000-0000-000037000000}"/>
    <cellStyle name="Hyperlink 7 2" xfId="45" xr:uid="{00000000-0005-0000-0000-00005B000000}"/>
    <cellStyle name="Normal 10 3" xfId="10" xr:uid="{00000000-0005-0000-0000-000038000000}"/>
    <cellStyle name="Normal 103" xfId="11" xr:uid="{00000000-0005-0000-0000-000039000000}"/>
    <cellStyle name="Normal 121" xfId="12" xr:uid="{00000000-0005-0000-0000-00003A000000}"/>
    <cellStyle name="Normal 17" xfId="13" xr:uid="{00000000-0005-0000-0000-00003B000000}"/>
    <cellStyle name="Normal 17 2 2" xfId="14" xr:uid="{00000000-0005-0000-0000-00003C000000}"/>
    <cellStyle name="Normal 17 3" xfId="36" xr:uid="{00000000-0005-0000-0000-000052000000}"/>
    <cellStyle name="Normal 19" xfId="15" xr:uid="{00000000-0005-0000-0000-00003D000000}"/>
    <cellStyle name="Normal 19 2" xfId="43" xr:uid="{00000000-0005-0000-0000-000059000000}"/>
    <cellStyle name="Normal 2" xfId="16" xr:uid="{00000000-0005-0000-0000-00003E000000}"/>
    <cellStyle name="Normal 2 11" xfId="17" xr:uid="{00000000-0005-0000-0000-00003F000000}"/>
    <cellStyle name="Normal 2 2" xfId="18" xr:uid="{00000000-0005-0000-0000-000040000000}"/>
    <cellStyle name="Normal 2 2 2" xfId="19" xr:uid="{00000000-0005-0000-0000-000041000000}"/>
    <cellStyle name="Normal 2 2 3" xfId="20" xr:uid="{00000000-0005-0000-0000-000042000000}"/>
    <cellStyle name="Normal 2 2 4" xfId="21" xr:uid="{00000000-0005-0000-0000-000043000000}"/>
    <cellStyle name="Normal 2 24" xfId="22" xr:uid="{00000000-0005-0000-0000-000044000000}"/>
    <cellStyle name="Normal 2 3" xfId="23" xr:uid="{00000000-0005-0000-0000-000045000000}"/>
    <cellStyle name="Normal 2 3 10" xfId="39" xr:uid="{00000000-0005-0000-0000-000055000000}"/>
    <cellStyle name="Normal 3" xfId="24" xr:uid="{00000000-0005-0000-0000-000046000000}"/>
    <cellStyle name="Normal 3 2" xfId="25" xr:uid="{00000000-0005-0000-0000-000047000000}"/>
    <cellStyle name="Normal 4" xfId="26" xr:uid="{00000000-0005-0000-0000-000048000000}"/>
    <cellStyle name="Percent 2" xfId="27" xr:uid="{00000000-0005-0000-0000-000049000000}"/>
    <cellStyle name="百分比 2" xfId="28" xr:uid="{00000000-0005-0000-0000-00004A000000}"/>
    <cellStyle name="百分比 9" xfId="42" xr:uid="{00000000-0005-0000-0000-000058000000}"/>
    <cellStyle name="常规" xfId="0" builtinId="0"/>
    <cellStyle name="常规 10 2" xfId="29" xr:uid="{00000000-0005-0000-0000-00004B000000}"/>
    <cellStyle name="常规 10 2 2 2" xfId="44" xr:uid="{00000000-0005-0000-0000-00005A000000}"/>
    <cellStyle name="常规 2" xfId="30" xr:uid="{00000000-0005-0000-0000-00004C000000}"/>
    <cellStyle name="常规 2 9 2" xfId="31" xr:uid="{00000000-0005-0000-0000-00004D000000}"/>
    <cellStyle name="常规 3 2" xfId="32" xr:uid="{00000000-0005-0000-0000-00004E000000}"/>
    <cellStyle name="常规 3 6 2" xfId="37" xr:uid="{00000000-0005-0000-0000-000053000000}"/>
    <cellStyle name="超链接" xfId="2" builtinId="8"/>
    <cellStyle name="超链接 3 3" xfId="38" xr:uid="{00000000-0005-0000-0000-000054000000}"/>
    <cellStyle name="货币 2" xfId="33" xr:uid="{00000000-0005-0000-0000-00004F000000}"/>
    <cellStyle name="千位分隔" xfId="1" builtinId="3"/>
    <cellStyle name="千位分隔 15" xfId="40" xr:uid="{00000000-0005-0000-0000-000056000000}"/>
    <cellStyle name="千位分隔 2" xfId="34" xr:uid="{00000000-0005-0000-0000-000050000000}"/>
    <cellStyle name="千位分隔 3" xfId="35" xr:uid="{00000000-0005-0000-0000-000051000000}"/>
  </cellStyles>
  <dxfs count="13">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s>
  <tableStyles count="0" defaultTableStyle="TableStyleMedium2" defaultPivotStyle="PivotStyleLight16"/>
  <colors>
    <mruColors>
      <color rgb="FFCCECFF"/>
      <color rgb="FF99CC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47625</xdr:colOff>
      <xdr:row>88</xdr:row>
      <xdr:rowOff>0</xdr:rowOff>
    </xdr:from>
    <xdr:ext cx="190500" cy="163711"/>
    <xdr:pic>
      <xdr:nvPicPr>
        <xdr:cNvPr id="2" name="AlertMaxVarThr" hidden="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5851525" y="21543010"/>
          <a:ext cx="190500" cy="163195"/>
        </a:xfrm>
        <a:prstGeom prst="rect">
          <a:avLst/>
        </a:prstGeom>
      </xdr:spPr>
    </xdr:pic>
    <xdr:clientData/>
  </xdr:oneCellAnchor>
  <xdr:oneCellAnchor>
    <xdr:from>
      <xdr:col>5</xdr:col>
      <xdr:colOff>47625</xdr:colOff>
      <xdr:row>25</xdr:row>
      <xdr:rowOff>0</xdr:rowOff>
    </xdr:from>
    <xdr:ext cx="190500" cy="163711"/>
    <xdr:pic>
      <xdr:nvPicPr>
        <xdr:cNvPr id="3" name="AlertMaxVarThr" hidden="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stretch>
          <a:fillRect/>
        </a:stretch>
      </xdr:blipFill>
      <xdr:spPr>
        <a:xfrm>
          <a:off x="5851525" y="8158480"/>
          <a:ext cx="190500" cy="163195"/>
        </a:xfrm>
        <a:prstGeom prst="rect">
          <a:avLst/>
        </a:prstGeom>
      </xdr:spPr>
    </xdr:pic>
    <xdr:clientData/>
  </xdr:oneCellAnchor>
  <xdr:oneCellAnchor>
    <xdr:from>
      <xdr:col>5</xdr:col>
      <xdr:colOff>47625</xdr:colOff>
      <xdr:row>46</xdr:row>
      <xdr:rowOff>0</xdr:rowOff>
    </xdr:from>
    <xdr:ext cx="190500" cy="163711"/>
    <xdr:pic>
      <xdr:nvPicPr>
        <xdr:cNvPr id="4" name="AlertMaxVarThr" hidden="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5851525" y="12673330"/>
          <a:ext cx="190500" cy="163195"/>
        </a:xfrm>
        <a:prstGeom prst="rect">
          <a:avLst/>
        </a:prstGeom>
      </xdr:spPr>
    </xdr:pic>
    <xdr:clientData/>
  </xdr:oneCellAnchor>
  <xdr:oneCellAnchor>
    <xdr:from>
      <xdr:col>7</xdr:col>
      <xdr:colOff>47625</xdr:colOff>
      <xdr:row>25</xdr:row>
      <xdr:rowOff>0</xdr:rowOff>
    </xdr:from>
    <xdr:ext cx="190500" cy="163711"/>
    <xdr:pic>
      <xdr:nvPicPr>
        <xdr:cNvPr id="5" name="AlertMaxVarThr" hidden="1">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stretch>
          <a:fillRect/>
        </a:stretch>
      </xdr:blipFill>
      <xdr:spPr>
        <a:xfrm>
          <a:off x="8683625" y="8158480"/>
          <a:ext cx="190500" cy="163195"/>
        </a:xfrm>
        <a:prstGeom prst="rect">
          <a:avLst/>
        </a:prstGeom>
      </xdr:spPr>
    </xdr:pic>
    <xdr:clientData/>
  </xdr:oneCellAnchor>
  <xdr:oneCellAnchor>
    <xdr:from>
      <xdr:col>9</xdr:col>
      <xdr:colOff>47625</xdr:colOff>
      <xdr:row>25</xdr:row>
      <xdr:rowOff>0</xdr:rowOff>
    </xdr:from>
    <xdr:ext cx="190500" cy="163711"/>
    <xdr:pic>
      <xdr:nvPicPr>
        <xdr:cNvPr id="6" name="AlertMaxVarThr" hidden="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cstate="print"/>
        <a:stretch>
          <a:fillRect/>
        </a:stretch>
      </xdr:blipFill>
      <xdr:spPr>
        <a:xfrm>
          <a:off x="11242675" y="8158480"/>
          <a:ext cx="190500" cy="163195"/>
        </a:xfrm>
        <a:prstGeom prst="rect">
          <a:avLst/>
        </a:prstGeom>
      </xdr:spPr>
    </xdr:pic>
    <xdr:clientData/>
  </xdr:oneCellAnchor>
  <xdr:oneCellAnchor>
    <xdr:from>
      <xdr:col>4</xdr:col>
      <xdr:colOff>47625</xdr:colOff>
      <xdr:row>71</xdr:row>
      <xdr:rowOff>0</xdr:rowOff>
    </xdr:from>
    <xdr:ext cx="190500" cy="163711"/>
    <xdr:pic>
      <xdr:nvPicPr>
        <xdr:cNvPr id="7" name="AlertMaxVarThr" hidden="1">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cstate="print"/>
        <a:stretch>
          <a:fillRect/>
        </a:stretch>
      </xdr:blipFill>
      <xdr:spPr>
        <a:xfrm>
          <a:off x="4568825" y="18099405"/>
          <a:ext cx="190500" cy="163195"/>
        </a:xfrm>
        <a:prstGeom prst="rect">
          <a:avLst/>
        </a:prstGeom>
      </xdr:spPr>
    </xdr:pic>
    <xdr:clientData/>
  </xdr:oneCellAnchor>
  <xdr:oneCellAnchor>
    <xdr:from>
      <xdr:col>5</xdr:col>
      <xdr:colOff>47625</xdr:colOff>
      <xdr:row>53</xdr:row>
      <xdr:rowOff>0</xdr:rowOff>
    </xdr:from>
    <xdr:ext cx="190500" cy="163711"/>
    <xdr:pic>
      <xdr:nvPicPr>
        <xdr:cNvPr id="8" name="AlertMaxVarThr" hidden="1">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cstate="print"/>
        <a:stretch>
          <a:fillRect/>
        </a:stretch>
      </xdr:blipFill>
      <xdr:spPr>
        <a:xfrm>
          <a:off x="5851525" y="14569440"/>
          <a:ext cx="190500" cy="163195"/>
        </a:xfrm>
        <a:prstGeom prst="rect">
          <a:avLst/>
        </a:prstGeom>
      </xdr:spPr>
    </xdr:pic>
    <xdr:clientData/>
  </xdr:oneCellAnchor>
  <xdr:oneCellAnchor>
    <xdr:from>
      <xdr:col>5</xdr:col>
      <xdr:colOff>47625</xdr:colOff>
      <xdr:row>83</xdr:row>
      <xdr:rowOff>0</xdr:rowOff>
    </xdr:from>
    <xdr:ext cx="190500" cy="163711"/>
    <xdr:pic>
      <xdr:nvPicPr>
        <xdr:cNvPr id="9" name="AlertMaxVarThr" hidden="1">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stretch>
          <a:fillRect/>
        </a:stretch>
      </xdr:blipFill>
      <xdr:spPr>
        <a:xfrm>
          <a:off x="5851525" y="20673060"/>
          <a:ext cx="190500" cy="163195"/>
        </a:xfrm>
        <a:prstGeom prst="rect">
          <a:avLst/>
        </a:prstGeom>
      </xdr:spPr>
    </xdr:pic>
    <xdr:clientData/>
  </xdr:oneCellAnchor>
  <xdr:oneCellAnchor>
    <xdr:from>
      <xdr:col>5</xdr:col>
      <xdr:colOff>47625</xdr:colOff>
      <xdr:row>83</xdr:row>
      <xdr:rowOff>0</xdr:rowOff>
    </xdr:from>
    <xdr:ext cx="190500" cy="163711"/>
    <xdr:pic>
      <xdr:nvPicPr>
        <xdr:cNvPr id="10" name="AlertMaxVarThr" hidden="1">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1" cstate="print"/>
        <a:stretch>
          <a:fillRect/>
        </a:stretch>
      </xdr:blipFill>
      <xdr:spPr>
        <a:xfrm>
          <a:off x="5851525" y="20673060"/>
          <a:ext cx="190500" cy="163195"/>
        </a:xfrm>
        <a:prstGeom prst="rect">
          <a:avLst/>
        </a:prstGeom>
      </xdr:spPr>
    </xdr:pic>
    <xdr:clientData/>
  </xdr:oneCellAnchor>
  <xdr:oneCellAnchor>
    <xdr:from>
      <xdr:col>5</xdr:col>
      <xdr:colOff>47625</xdr:colOff>
      <xdr:row>83</xdr:row>
      <xdr:rowOff>0</xdr:rowOff>
    </xdr:from>
    <xdr:ext cx="190500" cy="163711"/>
    <xdr:pic>
      <xdr:nvPicPr>
        <xdr:cNvPr id="11" name="AlertMaxVarThr" hidden="1">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 cstate="print"/>
        <a:stretch>
          <a:fillRect/>
        </a:stretch>
      </xdr:blipFill>
      <xdr:spPr>
        <a:xfrm>
          <a:off x="5851525" y="20673060"/>
          <a:ext cx="190500" cy="163195"/>
        </a:xfrm>
        <a:prstGeom prst="rect">
          <a:avLst/>
        </a:prstGeom>
      </xdr:spPr>
    </xdr:pic>
    <xdr:clientData/>
  </xdr:oneCellAnchor>
  <xdr:oneCellAnchor>
    <xdr:from>
      <xdr:col>4</xdr:col>
      <xdr:colOff>47625</xdr:colOff>
      <xdr:row>71</xdr:row>
      <xdr:rowOff>0</xdr:rowOff>
    </xdr:from>
    <xdr:ext cx="190500" cy="163711"/>
    <xdr:pic>
      <xdr:nvPicPr>
        <xdr:cNvPr id="12" name="AlertMaxVarThr" hidden="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 cstate="print"/>
        <a:stretch>
          <a:fillRect/>
        </a:stretch>
      </xdr:blipFill>
      <xdr:spPr>
        <a:xfrm>
          <a:off x="4568825" y="18099405"/>
          <a:ext cx="190500" cy="163195"/>
        </a:xfrm>
        <a:prstGeom prst="rect">
          <a:avLst/>
        </a:prstGeom>
      </xdr:spPr>
    </xdr:pic>
    <xdr:clientData/>
  </xdr:oneCellAnchor>
  <xdr:oneCellAnchor>
    <xdr:from>
      <xdr:col>6</xdr:col>
      <xdr:colOff>47625</xdr:colOff>
      <xdr:row>83</xdr:row>
      <xdr:rowOff>0</xdr:rowOff>
    </xdr:from>
    <xdr:ext cx="190500" cy="163711"/>
    <xdr:pic>
      <xdr:nvPicPr>
        <xdr:cNvPr id="13" name="AlertMaxVarThr" hidden="1">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 cstate="print"/>
        <a:stretch>
          <a:fillRect/>
        </a:stretch>
      </xdr:blipFill>
      <xdr:spPr>
        <a:xfrm>
          <a:off x="7267575" y="20673060"/>
          <a:ext cx="190500" cy="163195"/>
        </a:xfrm>
        <a:prstGeom prst="rect">
          <a:avLst/>
        </a:prstGeom>
      </xdr:spPr>
    </xdr:pic>
    <xdr:clientData/>
  </xdr:oneCellAnchor>
  <xdr:oneCellAnchor>
    <xdr:from>
      <xdr:col>6</xdr:col>
      <xdr:colOff>47625</xdr:colOff>
      <xdr:row>83</xdr:row>
      <xdr:rowOff>0</xdr:rowOff>
    </xdr:from>
    <xdr:ext cx="190500" cy="163711"/>
    <xdr:pic>
      <xdr:nvPicPr>
        <xdr:cNvPr id="14" name="AlertMaxVarThr" hidden="1">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 cstate="print"/>
        <a:stretch>
          <a:fillRect/>
        </a:stretch>
      </xdr:blipFill>
      <xdr:spPr>
        <a:xfrm>
          <a:off x="7267575" y="20673060"/>
          <a:ext cx="190500" cy="163195"/>
        </a:xfrm>
        <a:prstGeom prst="rect">
          <a:avLst/>
        </a:prstGeom>
      </xdr:spPr>
    </xdr:pic>
    <xdr:clientData/>
  </xdr:oneCellAnchor>
  <xdr:oneCellAnchor>
    <xdr:from>
      <xdr:col>6</xdr:col>
      <xdr:colOff>47625</xdr:colOff>
      <xdr:row>83</xdr:row>
      <xdr:rowOff>0</xdr:rowOff>
    </xdr:from>
    <xdr:ext cx="190500" cy="163711"/>
    <xdr:pic>
      <xdr:nvPicPr>
        <xdr:cNvPr id="15" name="AlertMaxVarThr" hidden="1">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 cstate="print"/>
        <a:stretch>
          <a:fillRect/>
        </a:stretch>
      </xdr:blipFill>
      <xdr:spPr>
        <a:xfrm>
          <a:off x="7267575" y="20673060"/>
          <a:ext cx="190500" cy="16319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eychinamanaged.sharepoint.cn/sites/DFAM/Shared%20Documents/&#36164;&#31649;%202025/5.%20A3A5&amp;24&#24180;&#23457;&#35745;&#25253;&#21578;/25&#36164;&#31649;A3A5/&#20117;&#20851;&#26412;&#37096;_A3&amp;A5_&#36164;&#20135;&#36127;&#20538;&#21450;&#25439;&#30410;&#34920;_2025930.xlsx" TargetMode="External"/><Relationship Id="rId1" Type="http://schemas.openxmlformats.org/officeDocument/2006/relationships/externalLinkPath" Target="https://eychinamanaged.sharepoint.cn/sites/DFAM/Shared%20Documents/&#36164;&#31649;%202025/5.%20A3A5&amp;24&#24180;&#23457;&#35745;&#25253;&#21578;/25&#36164;&#31649;A3A5/&#20117;&#20851;&#26412;&#37096;_A3&amp;A5_&#36164;&#20135;&#36127;&#20538;&#21450;&#25439;&#30410;&#34920;_20259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kywind"/>
      <sheetName val="Lead"/>
      <sheetName val="cache"/>
      <sheetName val="A3_Consol"/>
      <sheetName val="Modify_A3_Control"/>
      <sheetName val="Roll_A3"/>
      <sheetName val="使用手册"/>
      <sheetName val="Control list"/>
      <sheetName val="审定表"/>
      <sheetName val="FOR AFS"/>
      <sheetName val="A3"/>
      <sheetName val="A5"/>
      <sheetName val="A5_Adj_sum"/>
      <sheetName val="CFS-主附表"/>
      <sheetName val="CFS-附表"/>
      <sheetName val="现金流量表余额表"/>
      <sheetName val="现金流量表明细"/>
      <sheetName val="本部所得税费用"/>
      <sheetName val="CF-WP"/>
      <sheetName val="CF-主表"/>
      <sheetName val="CF-附注"/>
      <sheetName val="CF-科目明细"/>
      <sheetName val="吸收合并"/>
      <sheetName val="BPC原报数_资产负债表"/>
      <sheetName val="BPC原报数_利润表"/>
      <sheetName val="销售公司12月补充JE结转至本部"/>
      <sheetName val="930BS"/>
      <sheetName val="930PL"/>
    </sheetNames>
    <sheetDataSet>
      <sheetData sheetId="0"/>
      <sheetData sheetId="1"/>
      <sheetData sheetId="2"/>
      <sheetData sheetId="3"/>
      <sheetData sheetId="4"/>
      <sheetData sheetId="5"/>
      <sheetData sheetId="6"/>
      <sheetData sheetId="7"/>
      <sheetData sheetId="8"/>
      <sheetData sheetId="9"/>
      <sheetData sheetId="10">
        <row r="55">
          <cell r="F55">
            <v>79378720.510000005</v>
          </cell>
          <cell r="J55">
            <v>72476428.819999993</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6"/>
  <sheetViews>
    <sheetView zoomScale="108" zoomScaleNormal="108" workbookViewId="0">
      <selection activeCell="F20" sqref="F20"/>
    </sheetView>
  </sheetViews>
  <sheetFormatPr defaultColWidth="8.58203125" defaultRowHeight="14.5"/>
  <cols>
    <col min="1" max="1" width="8.58203125" style="113"/>
    <col min="2" max="2" width="4.75" style="113" customWidth="1"/>
    <col min="3" max="3" width="19.33203125" style="113" customWidth="1"/>
    <col min="4" max="4" width="22.75" style="113" customWidth="1"/>
    <col min="5" max="5" width="34" style="113" customWidth="1"/>
    <col min="6" max="6" width="26.75" style="113" customWidth="1"/>
    <col min="7" max="7" width="27.33203125" style="113" customWidth="1"/>
    <col min="8" max="16384" width="8.58203125" style="113"/>
  </cols>
  <sheetData>
    <row r="1" spans="2:7">
      <c r="B1" s="190" t="s">
        <v>0</v>
      </c>
    </row>
    <row r="3" spans="2:7">
      <c r="B3" s="191" t="s">
        <v>1</v>
      </c>
    </row>
    <row r="5" spans="2:7">
      <c r="B5" s="192" t="s">
        <v>2</v>
      </c>
      <c r="C5" s="193"/>
      <c r="D5" s="193"/>
      <c r="E5" s="193"/>
      <c r="F5" s="194"/>
    </row>
    <row r="6" spans="2:7">
      <c r="B6" s="195" t="s">
        <v>3</v>
      </c>
      <c r="F6" s="196"/>
    </row>
    <row r="7" spans="2:7">
      <c r="B7" s="195" t="s">
        <v>4</v>
      </c>
      <c r="F7" s="196"/>
    </row>
    <row r="8" spans="2:7">
      <c r="B8" s="195" t="s">
        <v>5</v>
      </c>
      <c r="F8" s="196"/>
    </row>
    <row r="9" spans="2:7">
      <c r="B9" s="197" t="s">
        <v>6</v>
      </c>
      <c r="C9" s="198"/>
      <c r="D9" s="198"/>
      <c r="E9" s="198"/>
      <c r="F9" s="199"/>
    </row>
    <row r="11" spans="2:7">
      <c r="B11" s="200" t="s">
        <v>7</v>
      </c>
    </row>
    <row r="13" spans="2:7">
      <c r="B13" s="201" t="s">
        <v>8</v>
      </c>
      <c r="C13" s="202" t="s">
        <v>9</v>
      </c>
      <c r="D13" s="202" t="s">
        <v>10</v>
      </c>
      <c r="E13" s="203" t="s">
        <v>11</v>
      </c>
      <c r="F13" s="203" t="s">
        <v>12</v>
      </c>
      <c r="G13" s="204" t="s">
        <v>13</v>
      </c>
    </row>
    <row r="14" spans="2:7" ht="29">
      <c r="B14" s="205">
        <v>1</v>
      </c>
      <c r="C14" s="206" t="s">
        <v>14</v>
      </c>
      <c r="D14" s="207" t="s">
        <v>15</v>
      </c>
      <c r="E14" s="208" t="s">
        <v>16</v>
      </c>
      <c r="F14" s="208" t="s">
        <v>17</v>
      </c>
      <c r="G14" s="209" t="s">
        <v>18</v>
      </c>
    </row>
    <row r="15" spans="2:7" ht="29">
      <c r="B15" s="210">
        <v>2</v>
      </c>
      <c r="C15" s="206" t="s">
        <v>19</v>
      </c>
      <c r="D15" s="207" t="s">
        <v>20</v>
      </c>
      <c r="E15" s="211" t="s">
        <v>21</v>
      </c>
      <c r="F15" s="211" t="s">
        <v>22</v>
      </c>
      <c r="G15" s="209" t="s">
        <v>23</v>
      </c>
    </row>
    <row r="16" spans="2:7" ht="43.5">
      <c r="B16" s="212">
        <v>3</v>
      </c>
      <c r="C16" s="213" t="s">
        <v>24</v>
      </c>
      <c r="D16" s="214" t="s">
        <v>25</v>
      </c>
      <c r="E16" s="215" t="s">
        <v>26</v>
      </c>
      <c r="F16" s="215" t="s">
        <v>22</v>
      </c>
      <c r="G16" s="216" t="str">
        <f>'LRA_无形资产&amp;摊销费用'!C69</f>
        <v>所执行程序——无形资产</v>
      </c>
    </row>
  </sheetData>
  <phoneticPr fontId="55" type="noConversion"/>
  <pageMargins left="0.7" right="0.7" top="0.75" bottom="0.75" header="0.3" footer="0.3"/>
  <pageSetup paperSize="9" orientation="portrait" horizont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3"/>
  <sheetViews>
    <sheetView showGridLines="0" zoomScale="85" zoomScaleNormal="85" zoomScaleSheetLayoutView="80" workbookViewId="0">
      <selection activeCell="I19" sqref="I19"/>
    </sheetView>
  </sheetViews>
  <sheetFormatPr defaultColWidth="8.33203125" defaultRowHeight="12.75" customHeight="1"/>
  <cols>
    <col min="1" max="1" width="2.33203125" style="130" customWidth="1"/>
    <col min="2" max="2" width="16.08203125" style="131" customWidth="1"/>
    <col min="3" max="3" width="17.33203125" style="131" customWidth="1"/>
    <col min="4" max="5" width="13.83203125" style="131" customWidth="1"/>
    <col min="6" max="6" width="13.83203125" style="132" customWidth="1"/>
    <col min="7" max="10" width="13.83203125" style="131" customWidth="1"/>
    <col min="11" max="11" width="13.83203125" style="133" customWidth="1"/>
    <col min="12" max="15" width="13.83203125" style="131" customWidth="1"/>
    <col min="16" max="16" width="15.5" style="131" customWidth="1"/>
    <col min="17" max="17" width="13.5" style="131" customWidth="1"/>
    <col min="18" max="18" width="2.08203125" style="131" customWidth="1"/>
    <col min="19" max="19" width="1.5" style="131" customWidth="1"/>
    <col min="20" max="16384" width="8.33203125" style="131"/>
  </cols>
  <sheetData>
    <row r="1" spans="1:19" s="125" customFormat="1" ht="31.5" customHeight="1">
      <c r="A1" s="134"/>
      <c r="B1" s="114"/>
      <c r="C1" s="135"/>
      <c r="D1" s="136"/>
      <c r="E1" s="137"/>
      <c r="F1" s="137"/>
      <c r="G1" s="137"/>
      <c r="H1" s="137"/>
      <c r="I1" s="179"/>
      <c r="J1" s="135"/>
      <c r="L1" s="136"/>
      <c r="M1" s="218"/>
      <c r="N1" s="218"/>
      <c r="O1" s="218"/>
      <c r="P1" s="136"/>
      <c r="Q1" s="129"/>
      <c r="R1" s="129"/>
      <c r="S1" s="175"/>
    </row>
    <row r="2" spans="1:19" s="126" customFormat="1" ht="14.5">
      <c r="A2" s="134"/>
      <c r="B2" s="138"/>
      <c r="C2" s="139" t="s">
        <v>30</v>
      </c>
      <c r="D2" s="140"/>
      <c r="E2" s="141" t="s">
        <v>31</v>
      </c>
      <c r="F2" s="142"/>
      <c r="G2" s="140"/>
      <c r="H2" s="143" t="s">
        <v>32</v>
      </c>
      <c r="I2" s="142"/>
      <c r="J2" s="140"/>
      <c r="K2" s="143" t="s">
        <v>33</v>
      </c>
      <c r="L2" s="142"/>
      <c r="M2" s="140"/>
      <c r="N2" s="180" t="s">
        <v>34</v>
      </c>
      <c r="O2" s="142"/>
      <c r="P2" s="135"/>
      <c r="Q2" s="187"/>
      <c r="R2" s="187"/>
      <c r="S2" s="188"/>
    </row>
    <row r="3" spans="1:19" s="127" customFormat="1" ht="14.5">
      <c r="A3" s="136"/>
      <c r="B3" s="144"/>
      <c r="C3" s="145"/>
      <c r="D3" s="146" t="s">
        <v>35</v>
      </c>
      <c r="E3" s="147" t="s">
        <v>36</v>
      </c>
      <c r="F3" s="146" t="s">
        <v>37</v>
      </c>
      <c r="G3" s="146" t="s">
        <v>35</v>
      </c>
      <c r="H3" s="147" t="s">
        <v>36</v>
      </c>
      <c r="I3" s="146" t="s">
        <v>37</v>
      </c>
      <c r="J3" s="146" t="s">
        <v>35</v>
      </c>
      <c r="K3" s="147" t="s">
        <v>36</v>
      </c>
      <c r="L3" s="146" t="s">
        <v>37</v>
      </c>
      <c r="M3" s="146" t="s">
        <v>35</v>
      </c>
      <c r="N3" s="147" t="s">
        <v>36</v>
      </c>
      <c r="O3" s="146" t="s">
        <v>37</v>
      </c>
      <c r="P3" s="181" t="s">
        <v>38</v>
      </c>
      <c r="Q3" s="174" t="s">
        <v>39</v>
      </c>
      <c r="R3" s="174"/>
      <c r="S3" s="175"/>
    </row>
    <row r="4" spans="1:19" s="125" customFormat="1" ht="14.5">
      <c r="A4" s="134"/>
      <c r="B4" s="148"/>
      <c r="C4" s="149" t="s">
        <v>40</v>
      </c>
      <c r="D4" s="150">
        <v>89898867.700000003</v>
      </c>
      <c r="E4" s="151"/>
      <c r="F4" s="151">
        <f t="shared" ref="F4:F8" si="0">SUM(D4:E4)</f>
        <v>89898867.700000003</v>
      </c>
      <c r="G4" s="150">
        <v>5804877.5700000003</v>
      </c>
      <c r="H4" s="151"/>
      <c r="I4" s="151">
        <f t="shared" ref="I4:I9" si="1">SUM(G4:H4)</f>
        <v>5804877.5700000003</v>
      </c>
      <c r="J4" s="104">
        <v>41872990.359999999</v>
      </c>
      <c r="K4" s="104"/>
      <c r="L4" s="104">
        <f>SUM(J4:K4)</f>
        <v>41872990.359999999</v>
      </c>
      <c r="M4" s="104">
        <f>SUM(D4,G4,J4)</f>
        <v>137576735.63</v>
      </c>
      <c r="N4" s="104">
        <f>SUM(E4,H4,K4)</f>
        <v>0</v>
      </c>
      <c r="O4" s="104">
        <f>SUM(F4,I4,L4)</f>
        <v>137576735.63</v>
      </c>
      <c r="P4" s="182"/>
      <c r="Q4" s="189"/>
      <c r="R4" s="189"/>
      <c r="S4" s="175"/>
    </row>
    <row r="5" spans="1:19" s="125" customFormat="1" ht="14.5">
      <c r="A5" s="134"/>
      <c r="B5" s="152"/>
      <c r="C5" s="153" t="s">
        <v>41</v>
      </c>
      <c r="D5" s="104">
        <v>0</v>
      </c>
      <c r="E5" s="104"/>
      <c r="F5" s="104">
        <f t="shared" si="0"/>
        <v>0</v>
      </c>
      <c r="G5" s="104">
        <v>0</v>
      </c>
      <c r="H5" s="104"/>
      <c r="I5" s="104">
        <f t="shared" si="1"/>
        <v>0</v>
      </c>
      <c r="J5" s="104">
        <v>8685893.8399999999</v>
      </c>
      <c r="K5" s="104"/>
      <c r="L5" s="104">
        <f>SUM(J5:K5)</f>
        <v>8685893.8399999999</v>
      </c>
      <c r="M5" s="104">
        <f t="shared" ref="M5:M15" si="2">SUM(D5,G5,J5)</f>
        <v>8685893.8399999999</v>
      </c>
      <c r="N5" s="104">
        <f t="shared" ref="N5:N15" si="3">SUM(E5,H5,K5)</f>
        <v>0</v>
      </c>
      <c r="O5" s="104">
        <f t="shared" ref="O5:O15" si="4">SUM(F5,I5,L5)</f>
        <v>8685893.8399999999</v>
      </c>
      <c r="P5" s="183"/>
      <c r="Q5" s="129"/>
      <c r="R5" s="129"/>
      <c r="S5" s="175"/>
    </row>
    <row r="6" spans="1:19" s="125" customFormat="1" ht="16.149999999999999" customHeight="1">
      <c r="A6" s="134"/>
      <c r="B6" s="154" t="s">
        <v>42</v>
      </c>
      <c r="C6" s="153" t="s">
        <v>43</v>
      </c>
      <c r="D6" s="104">
        <v>0</v>
      </c>
      <c r="E6" s="104"/>
      <c r="F6" s="104">
        <f t="shared" si="0"/>
        <v>0</v>
      </c>
      <c r="G6" s="104">
        <v>0</v>
      </c>
      <c r="H6" s="104"/>
      <c r="I6" s="104">
        <f t="shared" si="1"/>
        <v>0</v>
      </c>
      <c r="J6" s="104">
        <v>0</v>
      </c>
      <c r="K6" s="104"/>
      <c r="L6" s="104">
        <f>SUM(J6:K6)</f>
        <v>0</v>
      </c>
      <c r="M6" s="104">
        <f t="shared" si="2"/>
        <v>0</v>
      </c>
      <c r="N6" s="104">
        <f t="shared" si="3"/>
        <v>0</v>
      </c>
      <c r="O6" s="104">
        <f t="shared" si="4"/>
        <v>0</v>
      </c>
      <c r="P6" s="183"/>
      <c r="Q6" s="129"/>
      <c r="R6" s="129"/>
      <c r="S6" s="175"/>
    </row>
    <row r="7" spans="1:19" s="125" customFormat="1" ht="14.5">
      <c r="A7" s="134"/>
      <c r="B7" s="155"/>
      <c r="C7" s="156" t="s">
        <v>44</v>
      </c>
      <c r="D7" s="157">
        <f>D4+D5+D6</f>
        <v>89898867.700000003</v>
      </c>
      <c r="E7" s="157">
        <f t="shared" ref="E7:L7" si="5">E4+E5+E6</f>
        <v>0</v>
      </c>
      <c r="F7" s="157">
        <f t="shared" si="5"/>
        <v>89898867.700000003</v>
      </c>
      <c r="G7" s="157">
        <f t="shared" si="5"/>
        <v>5804877.5700000003</v>
      </c>
      <c r="H7" s="157">
        <f t="shared" si="5"/>
        <v>0</v>
      </c>
      <c r="I7" s="157">
        <f t="shared" si="5"/>
        <v>5804877.5700000003</v>
      </c>
      <c r="J7" s="157">
        <f t="shared" si="5"/>
        <v>50558884.200000003</v>
      </c>
      <c r="K7" s="157">
        <f t="shared" si="5"/>
        <v>0</v>
      </c>
      <c r="L7" s="157">
        <f t="shared" si="5"/>
        <v>50558884.200000003</v>
      </c>
      <c r="M7" s="157">
        <f t="shared" si="2"/>
        <v>146262629.47000003</v>
      </c>
      <c r="N7" s="157">
        <f t="shared" si="3"/>
        <v>0</v>
      </c>
      <c r="O7" s="157">
        <f t="shared" si="4"/>
        <v>146262629.47000003</v>
      </c>
      <c r="P7" s="182"/>
      <c r="Q7" s="189"/>
      <c r="R7" s="189"/>
      <c r="S7" s="175"/>
    </row>
    <row r="8" spans="1:19" s="125" customFormat="1" ht="14.5">
      <c r="A8" s="134"/>
      <c r="B8" s="158"/>
      <c r="C8" s="156" t="s">
        <v>40</v>
      </c>
      <c r="D8" s="151">
        <v>17979773.989999998</v>
      </c>
      <c r="E8" s="151"/>
      <c r="F8" s="151">
        <f t="shared" si="0"/>
        <v>17979773.989999998</v>
      </c>
      <c r="G8" s="151">
        <v>5247542.46</v>
      </c>
      <c r="H8" s="151"/>
      <c r="I8" s="151">
        <f t="shared" si="1"/>
        <v>5247542.46</v>
      </c>
      <c r="J8" s="151">
        <v>41872990.359999999</v>
      </c>
      <c r="K8" s="104"/>
      <c r="L8" s="104">
        <f>SUM(J8:K8)</f>
        <v>41872990.359999999</v>
      </c>
      <c r="M8" s="104">
        <f t="shared" si="2"/>
        <v>65100306.810000002</v>
      </c>
      <c r="N8" s="104">
        <f t="shared" si="3"/>
        <v>0</v>
      </c>
      <c r="O8" s="104">
        <f t="shared" si="4"/>
        <v>65100306.810000002</v>
      </c>
      <c r="P8" s="182"/>
      <c r="Q8" s="189"/>
      <c r="R8" s="189"/>
      <c r="S8" s="175"/>
    </row>
    <row r="9" spans="1:19" s="125" customFormat="1" ht="14.5">
      <c r="A9" s="134"/>
      <c r="B9" s="152"/>
      <c r="C9" s="153" t="s">
        <v>45</v>
      </c>
      <c r="D9" s="159">
        <v>1348483.05</v>
      </c>
      <c r="E9" s="104"/>
      <c r="F9" s="104">
        <f>SUM(D9:E9)</f>
        <v>1348483.05</v>
      </c>
      <c r="G9" s="159">
        <v>144221.39000000001</v>
      </c>
      <c r="H9" s="159"/>
      <c r="I9" s="159">
        <f t="shared" si="1"/>
        <v>144221.39000000001</v>
      </c>
      <c r="J9" s="159">
        <v>290897.71000000002</v>
      </c>
      <c r="K9" s="104"/>
      <c r="L9" s="104">
        <f>SUM(J9:K9)</f>
        <v>290897.71000000002</v>
      </c>
      <c r="M9" s="104">
        <f t="shared" si="2"/>
        <v>1783602.15</v>
      </c>
      <c r="N9" s="104">
        <f t="shared" si="3"/>
        <v>0</v>
      </c>
      <c r="O9" s="104">
        <f t="shared" si="4"/>
        <v>1783602.15</v>
      </c>
      <c r="P9" s="183"/>
      <c r="Q9" s="129"/>
      <c r="R9" s="129"/>
      <c r="S9" s="175"/>
    </row>
    <row r="10" spans="1:19" s="125" customFormat="1" ht="14.5">
      <c r="A10" s="134"/>
      <c r="B10" s="154" t="s">
        <v>46</v>
      </c>
      <c r="C10" s="153" t="s">
        <v>43</v>
      </c>
      <c r="D10" s="104">
        <v>0</v>
      </c>
      <c r="E10" s="104"/>
      <c r="F10" s="104">
        <f>SUM(D10:E10)</f>
        <v>0</v>
      </c>
      <c r="G10" s="104">
        <v>0</v>
      </c>
      <c r="H10" s="104"/>
      <c r="I10" s="104">
        <f>SUM(G10:H10)</f>
        <v>0</v>
      </c>
      <c r="J10" s="104">
        <v>0</v>
      </c>
      <c r="K10" s="104"/>
      <c r="L10" s="104">
        <f>SUM(J10:K10)</f>
        <v>0</v>
      </c>
      <c r="M10" s="104">
        <f t="shared" si="2"/>
        <v>0</v>
      </c>
      <c r="N10" s="104">
        <f t="shared" si="3"/>
        <v>0</v>
      </c>
      <c r="O10" s="104">
        <f t="shared" si="4"/>
        <v>0</v>
      </c>
      <c r="P10" s="182"/>
      <c r="Q10" s="129"/>
      <c r="R10" s="129"/>
      <c r="S10" s="175"/>
    </row>
    <row r="11" spans="1:19" s="125" customFormat="1" ht="14.5">
      <c r="A11" s="134"/>
      <c r="B11" s="155"/>
      <c r="C11" s="156" t="s">
        <v>44</v>
      </c>
      <c r="D11" s="157">
        <f t="shared" ref="D11:L11" si="6">D8+D9+D10</f>
        <v>19328257.039999999</v>
      </c>
      <c r="E11" s="157">
        <f t="shared" si="6"/>
        <v>0</v>
      </c>
      <c r="F11" s="157">
        <f t="shared" si="6"/>
        <v>19328257.039999999</v>
      </c>
      <c r="G11" s="157">
        <f t="shared" si="6"/>
        <v>5391763.8499999996</v>
      </c>
      <c r="H11" s="157">
        <f t="shared" si="6"/>
        <v>0</v>
      </c>
      <c r="I11" s="157">
        <f t="shared" si="6"/>
        <v>5391763.8499999996</v>
      </c>
      <c r="J11" s="157">
        <f t="shared" si="6"/>
        <v>42163888.07</v>
      </c>
      <c r="K11" s="157">
        <f t="shared" si="6"/>
        <v>0</v>
      </c>
      <c r="L11" s="157">
        <f t="shared" si="6"/>
        <v>42163888.07</v>
      </c>
      <c r="M11" s="157">
        <f t="shared" si="2"/>
        <v>66883908.960000001</v>
      </c>
      <c r="N11" s="157">
        <f t="shared" si="3"/>
        <v>0</v>
      </c>
      <c r="O11" s="157">
        <f t="shared" si="4"/>
        <v>66883908.960000001</v>
      </c>
      <c r="P11" s="182"/>
      <c r="Q11" s="189"/>
      <c r="R11" s="189"/>
      <c r="S11" s="175"/>
    </row>
    <row r="12" spans="1:19" s="125" customFormat="1" ht="14.5">
      <c r="A12" s="134"/>
      <c r="B12" s="158"/>
      <c r="C12" s="156" t="s">
        <v>40</v>
      </c>
      <c r="D12" s="104">
        <v>0</v>
      </c>
      <c r="E12" s="104"/>
      <c r="F12" s="104">
        <f>SUM(D12:E12)</f>
        <v>0</v>
      </c>
      <c r="G12" s="104">
        <v>0</v>
      </c>
      <c r="H12" s="104"/>
      <c r="I12" s="104">
        <f>SUM(G12:H12)</f>
        <v>0</v>
      </c>
      <c r="J12" s="104">
        <v>0</v>
      </c>
      <c r="K12" s="104"/>
      <c r="L12" s="104">
        <f>SUM(J12:K12)</f>
        <v>0</v>
      </c>
      <c r="M12" s="104">
        <f t="shared" si="2"/>
        <v>0</v>
      </c>
      <c r="N12" s="104">
        <f t="shared" si="3"/>
        <v>0</v>
      </c>
      <c r="O12" s="104">
        <f t="shared" si="4"/>
        <v>0</v>
      </c>
      <c r="P12" s="182"/>
      <c r="Q12" s="129"/>
      <c r="R12" s="129"/>
      <c r="S12" s="175"/>
    </row>
    <row r="13" spans="1:19" s="125" customFormat="1" ht="14.5">
      <c r="A13" s="134"/>
      <c r="B13" s="152"/>
      <c r="C13" s="153" t="s">
        <v>45</v>
      </c>
      <c r="D13" s="104">
        <v>0</v>
      </c>
      <c r="E13" s="104"/>
      <c r="F13" s="104">
        <f>SUM(D13:E13)</f>
        <v>0</v>
      </c>
      <c r="G13" s="104">
        <v>0</v>
      </c>
      <c r="H13" s="104"/>
      <c r="I13" s="104">
        <f>SUM(G13:H13)</f>
        <v>0</v>
      </c>
      <c r="J13" s="104">
        <v>0</v>
      </c>
      <c r="K13" s="104"/>
      <c r="L13" s="104">
        <f>SUM(J13:K13)</f>
        <v>0</v>
      </c>
      <c r="M13" s="104">
        <f t="shared" si="2"/>
        <v>0</v>
      </c>
      <c r="N13" s="104">
        <f t="shared" si="3"/>
        <v>0</v>
      </c>
      <c r="O13" s="104">
        <f t="shared" si="4"/>
        <v>0</v>
      </c>
      <c r="P13" s="182"/>
      <c r="Q13" s="129"/>
      <c r="R13" s="129"/>
      <c r="S13" s="175"/>
    </row>
    <row r="14" spans="1:19" s="125" customFormat="1" ht="14.5">
      <c r="A14" s="134"/>
      <c r="B14" s="154" t="s">
        <v>47</v>
      </c>
      <c r="C14" s="153" t="s">
        <v>43</v>
      </c>
      <c r="D14" s="104">
        <v>0</v>
      </c>
      <c r="E14" s="104"/>
      <c r="F14" s="104">
        <f>SUM(D14:E14)</f>
        <v>0</v>
      </c>
      <c r="G14" s="104">
        <v>0</v>
      </c>
      <c r="H14" s="104"/>
      <c r="I14" s="104">
        <f>SUM(G14:H14)</f>
        <v>0</v>
      </c>
      <c r="J14" s="104">
        <v>0</v>
      </c>
      <c r="K14" s="104"/>
      <c r="L14" s="104">
        <f>SUM(J14:K14)</f>
        <v>0</v>
      </c>
      <c r="M14" s="104">
        <f t="shared" si="2"/>
        <v>0</v>
      </c>
      <c r="N14" s="104">
        <f t="shared" si="3"/>
        <v>0</v>
      </c>
      <c r="O14" s="104">
        <f t="shared" si="4"/>
        <v>0</v>
      </c>
      <c r="P14" s="182"/>
      <c r="Q14" s="129"/>
      <c r="R14" s="129"/>
      <c r="S14" s="175"/>
    </row>
    <row r="15" spans="1:19" s="125" customFormat="1" ht="14.5">
      <c r="A15" s="134"/>
      <c r="B15" s="160" t="s">
        <v>48</v>
      </c>
      <c r="C15" s="156" t="s">
        <v>44</v>
      </c>
      <c r="D15" s="157">
        <f t="shared" ref="D15:L15" si="7">D12+D13+D14</f>
        <v>0</v>
      </c>
      <c r="E15" s="157">
        <f t="shared" si="7"/>
        <v>0</v>
      </c>
      <c r="F15" s="157">
        <f t="shared" si="7"/>
        <v>0</v>
      </c>
      <c r="G15" s="157">
        <f t="shared" si="7"/>
        <v>0</v>
      </c>
      <c r="H15" s="157">
        <f t="shared" si="7"/>
        <v>0</v>
      </c>
      <c r="I15" s="157">
        <f t="shared" si="7"/>
        <v>0</v>
      </c>
      <c r="J15" s="157">
        <f t="shared" si="7"/>
        <v>0</v>
      </c>
      <c r="K15" s="157">
        <f t="shared" si="7"/>
        <v>0</v>
      </c>
      <c r="L15" s="157">
        <f t="shared" si="7"/>
        <v>0</v>
      </c>
      <c r="M15" s="157">
        <f t="shared" si="2"/>
        <v>0</v>
      </c>
      <c r="N15" s="157">
        <f t="shared" si="3"/>
        <v>0</v>
      </c>
      <c r="O15" s="157">
        <f t="shared" si="4"/>
        <v>0</v>
      </c>
      <c r="P15" s="182"/>
      <c r="Q15" s="129"/>
      <c r="R15" s="129"/>
      <c r="S15" s="175"/>
    </row>
    <row r="16" spans="1:19" s="125" customFormat="1" ht="14.5">
      <c r="A16" s="134"/>
      <c r="B16" s="161" t="s">
        <v>49</v>
      </c>
      <c r="C16" s="156" t="s">
        <v>40</v>
      </c>
      <c r="D16" s="104">
        <f t="shared" ref="D16:O16" si="8">D4-D8-D12</f>
        <v>71919093.710000008</v>
      </c>
      <c r="E16" s="162">
        <f t="shared" si="8"/>
        <v>0</v>
      </c>
      <c r="F16" s="104">
        <f t="shared" si="8"/>
        <v>71919093.710000008</v>
      </c>
      <c r="G16" s="104">
        <f t="shared" si="8"/>
        <v>557335.11000000034</v>
      </c>
      <c r="H16" s="104">
        <f t="shared" si="8"/>
        <v>0</v>
      </c>
      <c r="I16" s="104">
        <f t="shared" si="8"/>
        <v>557335.11000000034</v>
      </c>
      <c r="J16" s="104">
        <f t="shared" si="8"/>
        <v>0</v>
      </c>
      <c r="K16" s="104">
        <f t="shared" si="8"/>
        <v>0</v>
      </c>
      <c r="L16" s="104">
        <f t="shared" si="8"/>
        <v>0</v>
      </c>
      <c r="M16" s="104">
        <f t="shared" si="8"/>
        <v>72476428.819999993</v>
      </c>
      <c r="N16" s="104">
        <f t="shared" si="8"/>
        <v>0</v>
      </c>
      <c r="O16" s="104">
        <f t="shared" si="8"/>
        <v>72476428.819999993</v>
      </c>
      <c r="P16" s="182">
        <f>[1]A3!$J$55</f>
        <v>72476428.819999993</v>
      </c>
      <c r="Q16" s="189">
        <f t="shared" ref="Q16:Q17" si="9">O16-P16</f>
        <v>0</v>
      </c>
      <c r="R16" s="189"/>
      <c r="S16" s="175"/>
    </row>
    <row r="17" spans="1:19" s="125" customFormat="1" ht="14.5">
      <c r="A17" s="134"/>
      <c r="B17" s="155"/>
      <c r="C17" s="163" t="s">
        <v>44</v>
      </c>
      <c r="D17" s="164">
        <f t="shared" ref="D17:O17" si="10">D7-D11-D15</f>
        <v>70570610.659999996</v>
      </c>
      <c r="E17" s="165">
        <f t="shared" si="10"/>
        <v>0</v>
      </c>
      <c r="F17" s="166">
        <f t="shared" si="10"/>
        <v>70570610.659999996</v>
      </c>
      <c r="G17" s="165">
        <f t="shared" si="10"/>
        <v>413113.72000000067</v>
      </c>
      <c r="H17" s="165">
        <f t="shared" si="10"/>
        <v>0</v>
      </c>
      <c r="I17" s="165">
        <f t="shared" si="10"/>
        <v>413113.72000000067</v>
      </c>
      <c r="J17" s="165">
        <f t="shared" si="10"/>
        <v>8394996.1300000027</v>
      </c>
      <c r="K17" s="165">
        <f t="shared" si="10"/>
        <v>0</v>
      </c>
      <c r="L17" s="165">
        <f t="shared" si="10"/>
        <v>8394996.1300000027</v>
      </c>
      <c r="M17" s="165">
        <f t="shared" si="10"/>
        <v>79378720.51000002</v>
      </c>
      <c r="N17" s="165">
        <f t="shared" si="10"/>
        <v>0</v>
      </c>
      <c r="O17" s="165">
        <f t="shared" si="10"/>
        <v>79378720.51000002</v>
      </c>
      <c r="P17" s="184">
        <f>[1]A3!$F$55</f>
        <v>79378720.510000005</v>
      </c>
      <c r="Q17" s="189">
        <f t="shared" si="9"/>
        <v>0</v>
      </c>
      <c r="R17" s="189"/>
      <c r="S17" s="175"/>
    </row>
    <row r="18" spans="1:19" s="125" customFormat="1" ht="14.65" customHeight="1">
      <c r="A18" s="134"/>
      <c r="B18" s="167"/>
      <c r="C18" s="168"/>
      <c r="D18" s="169"/>
      <c r="E18" s="169"/>
      <c r="F18" s="169"/>
      <c r="G18" s="169"/>
      <c r="H18" s="169"/>
      <c r="I18" s="169"/>
      <c r="J18" s="169"/>
      <c r="K18" s="169"/>
      <c r="L18" s="169"/>
      <c r="M18" s="169"/>
      <c r="N18" s="169"/>
      <c r="O18" s="169"/>
      <c r="P18" s="169"/>
      <c r="Q18" s="129"/>
      <c r="R18" s="129"/>
      <c r="S18" s="175"/>
    </row>
    <row r="19" spans="1:19" s="125" customFormat="1" ht="14.65" customHeight="1">
      <c r="A19" s="134"/>
      <c r="B19" s="167"/>
      <c r="C19" s="168"/>
      <c r="D19" s="169"/>
      <c r="E19" s="169"/>
      <c r="F19" s="169"/>
      <c r="G19" s="169"/>
      <c r="H19" s="169"/>
      <c r="I19" s="169"/>
      <c r="J19" s="169"/>
      <c r="K19" s="169"/>
      <c r="L19" s="169"/>
      <c r="M19" s="169"/>
      <c r="N19" s="169"/>
      <c r="O19" s="169"/>
      <c r="P19" s="169"/>
      <c r="Q19" s="129"/>
      <c r="R19" s="129"/>
      <c r="S19" s="175"/>
    </row>
    <row r="20" spans="1:19" s="125" customFormat="1" ht="14.65" customHeight="1">
      <c r="A20" s="134"/>
      <c r="B20" s="167"/>
      <c r="C20" s="168"/>
      <c r="D20" s="169"/>
      <c r="E20" s="169"/>
      <c r="F20" s="169"/>
      <c r="G20" s="169"/>
      <c r="H20" s="169"/>
      <c r="I20" s="169"/>
      <c r="J20" s="169"/>
      <c r="K20" s="169"/>
      <c r="L20" s="169"/>
      <c r="M20" s="169"/>
      <c r="N20" s="169"/>
      <c r="O20" s="169"/>
      <c r="P20" s="169"/>
      <c r="Q20" s="129"/>
      <c r="R20" s="129"/>
      <c r="S20" s="175"/>
    </row>
    <row r="21" spans="1:19" s="125" customFormat="1" ht="14.65" customHeight="1">
      <c r="A21" s="134"/>
      <c r="B21" s="167"/>
      <c r="C21" s="168"/>
      <c r="D21" s="169"/>
      <c r="E21" s="169"/>
      <c r="F21" s="169"/>
      <c r="G21" s="169"/>
      <c r="H21" s="169"/>
      <c r="I21" s="169"/>
      <c r="J21" s="169"/>
      <c r="K21" s="169"/>
      <c r="L21" s="169"/>
      <c r="M21" s="169"/>
      <c r="N21" s="169"/>
      <c r="O21" s="169"/>
      <c r="P21" s="169"/>
      <c r="Q21" s="129"/>
      <c r="R21" s="129"/>
      <c r="S21" s="175"/>
    </row>
    <row r="22" spans="1:19" s="125" customFormat="1" ht="14.65" customHeight="1">
      <c r="A22" s="134"/>
      <c r="B22" s="167"/>
      <c r="C22" s="168"/>
      <c r="D22" s="169"/>
      <c r="E22" s="169"/>
      <c r="F22" s="169"/>
      <c r="G22" s="169"/>
      <c r="H22" s="169"/>
      <c r="I22" s="169"/>
      <c r="J22" s="169"/>
      <c r="K22" s="169"/>
      <c r="L22" s="169"/>
      <c r="M22" s="169"/>
      <c r="N22" s="169"/>
      <c r="O22" s="169"/>
      <c r="P22" s="169"/>
      <c r="Q22" s="129"/>
      <c r="R22" s="129"/>
      <c r="S22" s="175"/>
    </row>
    <row r="23" spans="1:19" s="125" customFormat="1" ht="14.65" customHeight="1">
      <c r="A23" s="134"/>
      <c r="B23" s="167"/>
      <c r="C23" s="168"/>
      <c r="D23" s="169"/>
      <c r="E23" s="169"/>
      <c r="F23" s="169"/>
      <c r="G23" s="169"/>
      <c r="H23" s="169"/>
      <c r="I23" s="169"/>
      <c r="J23" s="169"/>
      <c r="K23" s="169"/>
      <c r="L23" s="169"/>
      <c r="M23" s="169"/>
      <c r="N23" s="169"/>
      <c r="O23" s="169"/>
      <c r="P23" s="169"/>
      <c r="Q23" s="129"/>
      <c r="R23" s="129"/>
      <c r="S23" s="175"/>
    </row>
    <row r="24" spans="1:19" s="125" customFormat="1" ht="14.65" customHeight="1">
      <c r="A24" s="134"/>
      <c r="B24" s="167"/>
      <c r="C24" s="168"/>
      <c r="D24" s="169"/>
      <c r="E24" s="169"/>
      <c r="F24" s="169"/>
      <c r="G24" s="169"/>
      <c r="H24" s="169"/>
      <c r="I24" s="169"/>
      <c r="J24" s="169"/>
      <c r="K24" s="169"/>
      <c r="L24" s="169"/>
      <c r="M24" s="169"/>
      <c r="N24" s="169"/>
      <c r="O24" s="169"/>
      <c r="P24" s="169"/>
      <c r="Q24" s="129"/>
      <c r="R24" s="129"/>
      <c r="S24" s="175"/>
    </row>
    <row r="25" spans="1:19" s="128" customFormat="1" ht="14">
      <c r="A25" s="170"/>
      <c r="B25" s="171"/>
      <c r="C25" s="172"/>
      <c r="D25" s="173"/>
      <c r="E25" s="173"/>
      <c r="F25" s="173"/>
      <c r="G25" s="173"/>
      <c r="H25" s="173"/>
      <c r="I25" s="173"/>
      <c r="J25" s="173"/>
      <c r="K25" s="173"/>
      <c r="L25" s="173"/>
      <c r="M25" s="185"/>
      <c r="N25" s="185"/>
      <c r="O25" s="185"/>
      <c r="P25" s="185"/>
      <c r="Q25" s="129"/>
      <c r="R25" s="129"/>
      <c r="S25" s="175"/>
    </row>
    <row r="26" spans="1:19" s="129" customFormat="1" ht="15" customHeight="1">
      <c r="A26" s="174"/>
      <c r="B26" s="131"/>
      <c r="C26" s="131"/>
      <c r="D26" s="131"/>
      <c r="E26" s="132"/>
      <c r="F26" s="131"/>
      <c r="G26" s="131"/>
      <c r="H26" s="131"/>
      <c r="I26" s="131"/>
      <c r="J26" s="133"/>
      <c r="K26" s="131"/>
      <c r="L26" s="131"/>
      <c r="S26" s="175"/>
    </row>
    <row r="27" spans="1:19" ht="7.5" customHeight="1">
      <c r="A27" s="175"/>
      <c r="B27" s="175"/>
      <c r="C27" s="175"/>
      <c r="D27" s="175"/>
      <c r="E27" s="175"/>
      <c r="F27" s="175"/>
      <c r="G27" s="175"/>
      <c r="H27" s="175"/>
      <c r="I27" s="186"/>
      <c r="J27" s="175"/>
      <c r="K27" s="175"/>
      <c r="L27" s="175"/>
      <c r="M27" s="175"/>
      <c r="N27" s="175"/>
      <c r="O27" s="175"/>
      <c r="P27" s="175"/>
      <c r="Q27" s="175"/>
      <c r="R27" s="175"/>
      <c r="S27" s="175"/>
    </row>
    <row r="28" spans="1:19" ht="22.5" customHeight="1"/>
    <row r="29" spans="1:19" ht="12.75" customHeight="1">
      <c r="D29" s="176"/>
      <c r="E29" s="176"/>
      <c r="F29" s="176"/>
      <c r="G29" s="176"/>
      <c r="H29" s="176"/>
      <c r="I29" s="176"/>
      <c r="J29" s="176"/>
    </row>
    <row r="30" spans="1:19" ht="12.75" customHeight="1">
      <c r="D30" s="176"/>
      <c r="E30" s="176"/>
      <c r="F30" s="176"/>
      <c r="G30" s="176"/>
      <c r="H30" s="176"/>
      <c r="I30" s="176"/>
      <c r="J30" s="176"/>
    </row>
    <row r="31" spans="1:19" ht="12.75" customHeight="1">
      <c r="D31" s="176"/>
      <c r="E31" s="176"/>
      <c r="F31" s="176"/>
      <c r="G31" s="176"/>
      <c r="H31" s="176"/>
      <c r="I31" s="176"/>
      <c r="J31" s="176"/>
    </row>
    <row r="32" spans="1:19" ht="12.75" customHeight="1">
      <c r="B32" s="177"/>
      <c r="C32" s="177"/>
      <c r="D32" s="176"/>
      <c r="E32" s="176"/>
      <c r="F32" s="176"/>
      <c r="G32" s="176"/>
      <c r="H32" s="176"/>
      <c r="I32" s="176"/>
      <c r="J32" s="176"/>
      <c r="K32" s="177"/>
      <c r="L32" s="177"/>
    </row>
    <row r="33" spans="1:12" ht="12.75" customHeight="1">
      <c r="B33" s="177"/>
      <c r="C33" s="177"/>
      <c r="D33" s="176"/>
      <c r="E33" s="176"/>
      <c r="F33" s="176"/>
      <c r="G33" s="176"/>
      <c r="H33" s="176"/>
      <c r="I33" s="176"/>
      <c r="J33" s="176"/>
      <c r="K33" s="177"/>
      <c r="L33" s="177"/>
    </row>
    <row r="34" spans="1:12" ht="12.75" customHeight="1">
      <c r="B34" s="177"/>
      <c r="C34" s="177"/>
      <c r="D34" s="176"/>
      <c r="E34" s="176"/>
      <c r="F34" s="176"/>
      <c r="G34" s="176"/>
      <c r="H34" s="176"/>
      <c r="I34" s="176"/>
      <c r="J34" s="176"/>
      <c r="K34" s="177"/>
      <c r="L34" s="177"/>
    </row>
    <row r="35" spans="1:12" ht="12.75" customHeight="1">
      <c r="B35" s="177"/>
      <c r="C35" s="177"/>
      <c r="D35" s="176"/>
      <c r="E35" s="176"/>
      <c r="F35" s="176"/>
      <c r="G35" s="176"/>
      <c r="H35" s="176"/>
      <c r="I35" s="176"/>
      <c r="J35" s="176"/>
      <c r="K35" s="177"/>
      <c r="L35" s="177"/>
    </row>
    <row r="36" spans="1:12" ht="12.75" customHeight="1">
      <c r="B36" s="177"/>
      <c r="C36" s="177"/>
      <c r="D36" s="176"/>
      <c r="E36" s="176"/>
      <c r="F36" s="176"/>
      <c r="G36" s="176"/>
      <c r="H36" s="176"/>
      <c r="I36" s="176"/>
      <c r="J36" s="176"/>
      <c r="K36" s="177"/>
      <c r="L36" s="177"/>
    </row>
    <row r="37" spans="1:12" ht="12.75" customHeight="1">
      <c r="B37" s="177"/>
      <c r="C37" s="177"/>
      <c r="D37" s="176"/>
      <c r="E37" s="176"/>
      <c r="F37" s="176"/>
      <c r="G37" s="176"/>
      <c r="H37" s="176"/>
      <c r="I37" s="176"/>
      <c r="J37" s="176"/>
      <c r="K37" s="177"/>
      <c r="L37" s="177"/>
    </row>
    <row r="38" spans="1:12" ht="12.75" customHeight="1">
      <c r="B38" s="177"/>
      <c r="C38" s="177"/>
      <c r="D38" s="176"/>
      <c r="E38" s="176"/>
      <c r="F38" s="176"/>
      <c r="G38" s="176"/>
      <c r="H38" s="176"/>
      <c r="I38" s="176"/>
      <c r="J38" s="176"/>
      <c r="K38" s="177"/>
      <c r="L38" s="177"/>
    </row>
    <row r="39" spans="1:12" ht="12.75" customHeight="1">
      <c r="B39" s="177"/>
      <c r="C39" s="177"/>
      <c r="D39" s="176"/>
      <c r="E39" s="176"/>
      <c r="F39" s="176"/>
      <c r="G39" s="176"/>
      <c r="H39" s="176"/>
      <c r="I39" s="176"/>
      <c r="J39" s="176"/>
      <c r="K39" s="177"/>
      <c r="L39" s="177"/>
    </row>
    <row r="40" spans="1:12" ht="12.75" customHeight="1">
      <c r="B40" s="177"/>
      <c r="C40" s="177"/>
      <c r="D40" s="176"/>
      <c r="E40" s="176"/>
      <c r="F40" s="176"/>
      <c r="G40" s="176"/>
      <c r="H40" s="176"/>
      <c r="I40" s="176"/>
      <c r="J40" s="176"/>
      <c r="K40" s="177"/>
      <c r="L40" s="177"/>
    </row>
    <row r="41" spans="1:12" s="129" customFormat="1" ht="12.75" customHeight="1">
      <c r="A41" s="174"/>
      <c r="B41" s="178"/>
      <c r="C41" s="177"/>
      <c r="D41" s="176"/>
      <c r="E41" s="176"/>
      <c r="F41" s="176"/>
      <c r="G41" s="176"/>
      <c r="H41" s="176"/>
      <c r="I41" s="176"/>
      <c r="J41" s="176"/>
      <c r="K41" s="177"/>
      <c r="L41" s="177"/>
    </row>
    <row r="42" spans="1:12" ht="12.75" customHeight="1">
      <c r="D42" s="176"/>
      <c r="E42" s="176"/>
      <c r="F42" s="176"/>
      <c r="G42" s="176"/>
      <c r="H42" s="176"/>
      <c r="I42" s="176"/>
      <c r="J42" s="176"/>
    </row>
    <row r="43" spans="1:12" ht="12.75" customHeight="1">
      <c r="D43" s="176"/>
      <c r="E43" s="176"/>
      <c r="F43" s="176"/>
      <c r="G43" s="176"/>
      <c r="H43" s="176"/>
      <c r="I43" s="176"/>
      <c r="J43" s="176"/>
    </row>
    <row r="44" spans="1:12" ht="12.75" customHeight="1">
      <c r="D44" s="176"/>
      <c r="E44" s="176"/>
      <c r="F44" s="176"/>
      <c r="G44" s="176"/>
      <c r="H44" s="176"/>
      <c r="I44" s="176"/>
      <c r="J44" s="176"/>
    </row>
    <row r="51" spans="1:12" s="129" customFormat="1" ht="12.75" customHeight="1">
      <c r="A51" s="174"/>
      <c r="C51" s="131"/>
      <c r="D51" s="131"/>
      <c r="E51" s="131"/>
      <c r="F51" s="132"/>
      <c r="G51" s="131"/>
      <c r="H51" s="131"/>
      <c r="I51" s="131"/>
      <c r="J51" s="131"/>
      <c r="K51" s="133"/>
      <c r="L51" s="131"/>
    </row>
    <row r="52" spans="1:12" s="129" customFormat="1" ht="12.75" customHeight="1">
      <c r="A52" s="174"/>
      <c r="C52" s="131"/>
      <c r="D52" s="131"/>
      <c r="E52" s="131"/>
      <c r="F52" s="132"/>
      <c r="G52" s="131"/>
      <c r="H52" s="131"/>
      <c r="I52" s="131"/>
      <c r="J52" s="131"/>
      <c r="K52" s="133"/>
      <c r="L52" s="131"/>
    </row>
    <row r="53" spans="1:12" s="129" customFormat="1" ht="12.75" customHeight="1">
      <c r="A53" s="174"/>
      <c r="C53" s="131"/>
      <c r="D53" s="131"/>
      <c r="E53" s="131"/>
      <c r="F53" s="132"/>
      <c r="G53" s="131"/>
      <c r="H53" s="131"/>
      <c r="I53" s="131"/>
      <c r="J53" s="131"/>
      <c r="K53" s="133"/>
      <c r="L53" s="131"/>
    </row>
    <row r="54" spans="1:12" s="129" customFormat="1" ht="12.75" customHeight="1">
      <c r="A54" s="174"/>
      <c r="C54" s="131"/>
      <c r="D54" s="131"/>
      <c r="E54" s="131"/>
      <c r="F54" s="132"/>
      <c r="G54" s="131"/>
      <c r="H54" s="131"/>
      <c r="I54" s="131"/>
      <c r="J54" s="131"/>
      <c r="K54" s="133"/>
      <c r="L54" s="131"/>
    </row>
    <row r="55" spans="1:12" s="129" customFormat="1" ht="12.75" customHeight="1">
      <c r="A55" s="174"/>
      <c r="C55" s="131"/>
      <c r="D55" s="131"/>
      <c r="E55" s="131"/>
      <c r="F55" s="132"/>
      <c r="G55" s="131"/>
      <c r="H55" s="131"/>
      <c r="I55" s="131"/>
      <c r="J55" s="131"/>
      <c r="K55" s="133"/>
      <c r="L55" s="131"/>
    </row>
    <row r="56" spans="1:12" s="129" customFormat="1" ht="12.75" customHeight="1">
      <c r="A56" s="174"/>
      <c r="C56" s="131"/>
      <c r="D56" s="131"/>
      <c r="E56" s="131"/>
      <c r="F56" s="132"/>
      <c r="G56" s="131"/>
      <c r="H56" s="131"/>
      <c r="I56" s="131"/>
      <c r="J56" s="131"/>
      <c r="K56" s="133"/>
      <c r="L56" s="131"/>
    </row>
    <row r="57" spans="1:12" s="129" customFormat="1" ht="12.75" customHeight="1">
      <c r="A57" s="174"/>
      <c r="C57" s="131"/>
      <c r="D57" s="131"/>
      <c r="E57" s="131"/>
      <c r="F57" s="132"/>
      <c r="G57" s="131"/>
      <c r="H57" s="131"/>
      <c r="I57" s="131"/>
      <c r="J57" s="131"/>
      <c r="K57" s="133"/>
      <c r="L57" s="131"/>
    </row>
    <row r="58" spans="1:12" s="129" customFormat="1" ht="12.75" customHeight="1">
      <c r="A58" s="174"/>
      <c r="C58" s="131"/>
      <c r="D58" s="131"/>
      <c r="E58" s="131"/>
      <c r="F58" s="132"/>
      <c r="G58" s="131"/>
      <c r="H58" s="131"/>
      <c r="I58" s="131"/>
      <c r="J58" s="131"/>
      <c r="K58" s="133"/>
      <c r="L58" s="131"/>
    </row>
    <row r="59" spans="1:12" s="129" customFormat="1" ht="12.75" customHeight="1">
      <c r="A59" s="174"/>
      <c r="C59" s="131"/>
      <c r="D59" s="131"/>
      <c r="E59" s="131"/>
      <c r="F59" s="132"/>
      <c r="G59" s="131"/>
      <c r="H59" s="131"/>
      <c r="I59" s="131"/>
      <c r="J59" s="131"/>
      <c r="K59" s="133"/>
      <c r="L59" s="131"/>
    </row>
    <row r="60" spans="1:12" s="129" customFormat="1" ht="12.75" customHeight="1">
      <c r="A60" s="174"/>
      <c r="C60" s="131"/>
      <c r="D60" s="131"/>
      <c r="E60" s="131"/>
      <c r="F60" s="132"/>
      <c r="G60" s="131"/>
      <c r="H60" s="131"/>
      <c r="I60" s="131"/>
      <c r="J60" s="131"/>
      <c r="K60" s="133"/>
      <c r="L60" s="131"/>
    </row>
    <row r="61" spans="1:12" s="129" customFormat="1" ht="12.75" customHeight="1">
      <c r="A61" s="174"/>
      <c r="C61" s="131"/>
      <c r="D61" s="131"/>
      <c r="E61" s="131"/>
      <c r="F61" s="132"/>
      <c r="G61" s="131"/>
      <c r="H61" s="131"/>
      <c r="I61" s="131"/>
      <c r="J61" s="131"/>
      <c r="K61" s="133"/>
      <c r="L61" s="131"/>
    </row>
    <row r="62" spans="1:12" s="129" customFormat="1" ht="12.75" customHeight="1">
      <c r="A62" s="174"/>
      <c r="C62" s="131"/>
      <c r="D62" s="131"/>
      <c r="E62" s="131"/>
      <c r="F62" s="132"/>
      <c r="G62" s="131"/>
      <c r="H62" s="131"/>
      <c r="I62" s="131"/>
      <c r="J62" s="131"/>
      <c r="K62" s="133"/>
      <c r="L62" s="131"/>
    </row>
    <row r="63" spans="1:12" s="129" customFormat="1" ht="12.75" customHeight="1">
      <c r="A63" s="174"/>
      <c r="C63" s="131"/>
      <c r="D63" s="131"/>
      <c r="E63" s="131"/>
      <c r="F63" s="132"/>
      <c r="G63" s="131"/>
      <c r="H63" s="131"/>
      <c r="I63" s="131"/>
      <c r="J63" s="131"/>
      <c r="K63" s="133"/>
      <c r="L63" s="131"/>
    </row>
    <row r="64" spans="1:12" s="129" customFormat="1" ht="12.75" customHeight="1">
      <c r="A64" s="174"/>
      <c r="C64" s="131"/>
      <c r="D64" s="131"/>
      <c r="E64" s="131"/>
      <c r="F64" s="132"/>
      <c r="G64" s="131"/>
      <c r="H64" s="131"/>
      <c r="I64" s="131"/>
      <c r="J64" s="131"/>
      <c r="K64" s="133"/>
      <c r="L64" s="131"/>
    </row>
    <row r="65" spans="1:12" s="129" customFormat="1" ht="12.75" customHeight="1">
      <c r="A65" s="174"/>
      <c r="C65" s="131"/>
      <c r="D65" s="131"/>
      <c r="E65" s="131"/>
      <c r="F65" s="132"/>
      <c r="G65" s="131"/>
      <c r="H65" s="131"/>
      <c r="I65" s="131"/>
      <c r="J65" s="131"/>
      <c r="K65" s="133"/>
      <c r="L65" s="131"/>
    </row>
    <row r="66" spans="1:12" s="129" customFormat="1" ht="12.75" customHeight="1">
      <c r="A66" s="174"/>
      <c r="C66" s="131"/>
      <c r="D66" s="131"/>
      <c r="E66" s="131"/>
      <c r="F66" s="132"/>
      <c r="G66" s="131"/>
      <c r="H66" s="131"/>
      <c r="I66" s="131"/>
      <c r="J66" s="131"/>
      <c r="K66" s="133"/>
      <c r="L66" s="131"/>
    </row>
    <row r="67" spans="1:12" s="129" customFormat="1" ht="12.75" customHeight="1">
      <c r="A67" s="174"/>
      <c r="C67" s="131"/>
      <c r="D67" s="131"/>
      <c r="E67" s="131"/>
      <c r="F67" s="132"/>
      <c r="G67" s="131"/>
      <c r="H67" s="131"/>
      <c r="I67" s="131"/>
      <c r="J67" s="131"/>
      <c r="K67" s="133"/>
      <c r="L67" s="131"/>
    </row>
    <row r="68" spans="1:12" s="129" customFormat="1" ht="12.75" customHeight="1">
      <c r="A68" s="174"/>
      <c r="C68" s="131"/>
      <c r="D68" s="131"/>
      <c r="E68" s="131"/>
      <c r="F68" s="132"/>
      <c r="G68" s="131"/>
      <c r="H68" s="131"/>
      <c r="I68" s="131"/>
      <c r="J68" s="131"/>
      <c r="K68" s="133"/>
      <c r="L68" s="131"/>
    </row>
    <row r="69" spans="1:12" s="129" customFormat="1" ht="12.75" customHeight="1">
      <c r="A69" s="174"/>
      <c r="C69" s="131"/>
      <c r="D69" s="131"/>
      <c r="E69" s="131"/>
      <c r="F69" s="132"/>
      <c r="G69" s="131"/>
      <c r="H69" s="131"/>
      <c r="I69" s="131"/>
      <c r="J69" s="131"/>
      <c r="K69" s="133"/>
      <c r="L69" s="131"/>
    </row>
    <row r="70" spans="1:12" s="129" customFormat="1" ht="12.75" customHeight="1">
      <c r="A70" s="174"/>
      <c r="C70" s="131"/>
      <c r="D70" s="131"/>
      <c r="E70" s="131"/>
      <c r="F70" s="132"/>
      <c r="G70" s="131"/>
      <c r="H70" s="131"/>
      <c r="I70" s="131"/>
      <c r="J70" s="131"/>
      <c r="K70" s="133"/>
      <c r="L70" s="131"/>
    </row>
    <row r="71" spans="1:12" s="129" customFormat="1" ht="12.75" customHeight="1">
      <c r="A71" s="174"/>
      <c r="C71" s="131"/>
      <c r="D71" s="131"/>
      <c r="E71" s="131"/>
      <c r="F71" s="132"/>
      <c r="G71" s="131"/>
      <c r="H71" s="131"/>
      <c r="I71" s="131"/>
      <c r="J71" s="131"/>
      <c r="K71" s="133"/>
      <c r="L71" s="131"/>
    </row>
    <row r="72" spans="1:12" s="129" customFormat="1" ht="12.75" customHeight="1">
      <c r="A72" s="174"/>
      <c r="C72" s="131"/>
      <c r="D72" s="131"/>
      <c r="E72" s="131"/>
      <c r="F72" s="132"/>
      <c r="G72" s="131"/>
      <c r="H72" s="131"/>
      <c r="I72" s="131"/>
      <c r="J72" s="131"/>
      <c r="K72" s="133"/>
      <c r="L72" s="131"/>
    </row>
    <row r="73" spans="1:12" s="129" customFormat="1" ht="12.75" customHeight="1">
      <c r="A73" s="174"/>
      <c r="C73" s="131"/>
      <c r="D73" s="131"/>
      <c r="E73" s="131"/>
      <c r="F73" s="132"/>
      <c r="G73" s="131"/>
      <c r="H73" s="131"/>
      <c r="I73" s="131"/>
      <c r="J73" s="131"/>
      <c r="K73" s="133"/>
      <c r="L73" s="131"/>
    </row>
    <row r="74" spans="1:12" s="129" customFormat="1" ht="12.75" customHeight="1">
      <c r="A74" s="174"/>
      <c r="C74" s="131"/>
      <c r="D74" s="131"/>
      <c r="E74" s="131"/>
      <c r="F74" s="132"/>
      <c r="G74" s="131"/>
      <c r="H74" s="131"/>
      <c r="I74" s="131"/>
      <c r="J74" s="131"/>
      <c r="K74" s="133"/>
      <c r="L74" s="131"/>
    </row>
    <row r="75" spans="1:12" s="129" customFormat="1" ht="12.75" customHeight="1">
      <c r="A75" s="174"/>
      <c r="C75" s="131"/>
      <c r="D75" s="131"/>
      <c r="E75" s="131"/>
      <c r="F75" s="132"/>
      <c r="G75" s="131"/>
      <c r="H75" s="131"/>
      <c r="I75" s="131"/>
      <c r="J75" s="131"/>
      <c r="K75" s="133"/>
      <c r="L75" s="131"/>
    </row>
    <row r="76" spans="1:12" s="129" customFormat="1" ht="12.75" customHeight="1">
      <c r="A76" s="174"/>
      <c r="C76" s="131"/>
      <c r="D76" s="131"/>
      <c r="E76" s="131"/>
      <c r="F76" s="132"/>
      <c r="G76" s="131"/>
      <c r="H76" s="131"/>
      <c r="I76" s="131"/>
      <c r="J76" s="131"/>
      <c r="K76" s="133"/>
      <c r="L76" s="131"/>
    </row>
    <row r="77" spans="1:12" s="129" customFormat="1" ht="12.75" customHeight="1">
      <c r="A77" s="174"/>
      <c r="C77" s="131"/>
      <c r="D77" s="131"/>
      <c r="E77" s="131"/>
      <c r="F77" s="132"/>
      <c r="G77" s="131"/>
      <c r="H77" s="131"/>
      <c r="I77" s="131"/>
      <c r="J77" s="131"/>
      <c r="K77" s="133"/>
      <c r="L77" s="131"/>
    </row>
    <row r="78" spans="1:12" s="129" customFormat="1" ht="12.75" customHeight="1">
      <c r="A78" s="174"/>
      <c r="C78" s="131"/>
      <c r="D78" s="131"/>
      <c r="E78" s="131"/>
      <c r="F78" s="132"/>
      <c r="G78" s="131"/>
      <c r="H78" s="131"/>
      <c r="I78" s="131"/>
      <c r="J78" s="131"/>
      <c r="K78" s="133"/>
      <c r="L78" s="131"/>
    </row>
    <row r="79" spans="1:12" s="129" customFormat="1" ht="12.75" customHeight="1">
      <c r="A79" s="174"/>
      <c r="C79" s="131"/>
      <c r="D79" s="131"/>
      <c r="E79" s="131"/>
      <c r="F79" s="132"/>
      <c r="G79" s="131"/>
      <c r="H79" s="131"/>
      <c r="I79" s="131"/>
      <c r="J79" s="131"/>
      <c r="K79" s="133"/>
      <c r="L79" s="131"/>
    </row>
    <row r="80" spans="1:12" s="129" customFormat="1" ht="12.75" customHeight="1">
      <c r="A80" s="174"/>
      <c r="C80" s="131"/>
      <c r="D80" s="131"/>
      <c r="E80" s="131"/>
      <c r="F80" s="132"/>
      <c r="G80" s="131"/>
      <c r="H80" s="131"/>
      <c r="I80" s="131"/>
      <c r="J80" s="131"/>
      <c r="K80" s="133"/>
      <c r="L80" s="131"/>
    </row>
    <row r="81" spans="1:12" s="129" customFormat="1" ht="12.75" customHeight="1">
      <c r="A81" s="174"/>
      <c r="C81" s="131"/>
      <c r="D81" s="131"/>
      <c r="E81" s="131"/>
      <c r="F81" s="132"/>
      <c r="G81" s="131"/>
      <c r="H81" s="131"/>
      <c r="I81" s="131"/>
      <c r="J81" s="131"/>
      <c r="K81" s="133"/>
      <c r="L81" s="131"/>
    </row>
    <row r="82" spans="1:12" s="129" customFormat="1" ht="12.75" customHeight="1">
      <c r="A82" s="174"/>
      <c r="C82" s="131"/>
      <c r="D82" s="131"/>
      <c r="E82" s="131"/>
      <c r="F82" s="132"/>
      <c r="G82" s="131"/>
      <c r="H82" s="131"/>
      <c r="I82" s="131"/>
      <c r="J82" s="131"/>
      <c r="K82" s="133"/>
      <c r="L82" s="131"/>
    </row>
    <row r="83" spans="1:12" s="129" customFormat="1" ht="12.75" customHeight="1">
      <c r="A83" s="174"/>
      <c r="C83" s="131"/>
      <c r="D83" s="131"/>
      <c r="E83" s="131"/>
      <c r="F83" s="132"/>
      <c r="G83" s="131"/>
      <c r="H83" s="131"/>
      <c r="I83" s="131"/>
      <c r="J83" s="131"/>
      <c r="K83" s="133"/>
      <c r="L83" s="131"/>
    </row>
    <row r="84" spans="1:12" s="129" customFormat="1" ht="12.75" customHeight="1">
      <c r="A84" s="174"/>
      <c r="C84" s="131"/>
      <c r="D84" s="131"/>
      <c r="E84" s="131"/>
      <c r="F84" s="132"/>
      <c r="G84" s="131"/>
      <c r="H84" s="131"/>
      <c r="I84" s="131"/>
      <c r="J84" s="131"/>
      <c r="K84" s="133"/>
      <c r="L84" s="131"/>
    </row>
    <row r="85" spans="1:12" s="129" customFormat="1" ht="12.75" customHeight="1">
      <c r="A85" s="174"/>
      <c r="C85" s="131"/>
      <c r="D85" s="131"/>
      <c r="E85" s="131"/>
      <c r="F85" s="132"/>
      <c r="G85" s="131"/>
      <c r="H85" s="131"/>
      <c r="I85" s="131"/>
      <c r="J85" s="131"/>
      <c r="K85" s="133"/>
      <c r="L85" s="131"/>
    </row>
    <row r="86" spans="1:12" s="129" customFormat="1" ht="12.75" customHeight="1">
      <c r="A86" s="174"/>
      <c r="C86" s="131"/>
      <c r="D86" s="131"/>
      <c r="E86" s="131"/>
      <c r="F86" s="132"/>
      <c r="G86" s="131"/>
      <c r="H86" s="131"/>
      <c r="I86" s="131"/>
      <c r="J86" s="131"/>
      <c r="K86" s="133"/>
      <c r="L86" s="131"/>
    </row>
    <row r="87" spans="1:12" s="129" customFormat="1" ht="12.75" customHeight="1">
      <c r="A87" s="174"/>
      <c r="C87" s="131"/>
      <c r="D87" s="131"/>
      <c r="E87" s="131"/>
      <c r="F87" s="132"/>
      <c r="G87" s="131"/>
      <c r="H87" s="131"/>
      <c r="I87" s="131"/>
      <c r="J87" s="131"/>
      <c r="K87" s="133"/>
      <c r="L87" s="131"/>
    </row>
    <row r="88" spans="1:12" s="129" customFormat="1" ht="12.75" customHeight="1">
      <c r="A88" s="174"/>
      <c r="C88" s="131"/>
      <c r="D88" s="131"/>
      <c r="E88" s="131"/>
      <c r="F88" s="132"/>
      <c r="G88" s="131"/>
      <c r="H88" s="131"/>
      <c r="I88" s="131"/>
      <c r="J88" s="131"/>
      <c r="K88" s="133"/>
      <c r="L88" s="131"/>
    </row>
    <row r="89" spans="1:12" s="129" customFormat="1" ht="12.75" customHeight="1">
      <c r="A89" s="174"/>
      <c r="C89" s="131"/>
      <c r="D89" s="131"/>
      <c r="E89" s="131"/>
      <c r="F89" s="132"/>
      <c r="G89" s="131"/>
      <c r="H89" s="131"/>
      <c r="I89" s="131"/>
      <c r="J89" s="131"/>
      <c r="K89" s="133"/>
      <c r="L89" s="131"/>
    </row>
    <row r="90" spans="1:12" s="129" customFormat="1" ht="12.75" customHeight="1">
      <c r="A90" s="174"/>
      <c r="C90" s="131"/>
      <c r="D90" s="131"/>
      <c r="E90" s="131"/>
      <c r="F90" s="132"/>
      <c r="G90" s="131"/>
      <c r="H90" s="131"/>
      <c r="I90" s="131"/>
      <c r="J90" s="131"/>
      <c r="K90" s="133"/>
      <c r="L90" s="131"/>
    </row>
    <row r="91" spans="1:12" s="129" customFormat="1" ht="12.75" customHeight="1">
      <c r="A91" s="174"/>
      <c r="C91" s="131"/>
      <c r="D91" s="131"/>
      <c r="E91" s="131"/>
      <c r="F91" s="132"/>
      <c r="G91" s="131"/>
      <c r="H91" s="131"/>
      <c r="I91" s="131"/>
      <c r="J91" s="131"/>
      <c r="K91" s="133"/>
      <c r="L91" s="131"/>
    </row>
    <row r="92" spans="1:12" s="129" customFormat="1" ht="12.75" customHeight="1">
      <c r="A92" s="174"/>
      <c r="C92" s="131"/>
      <c r="D92" s="131"/>
      <c r="E92" s="131"/>
      <c r="F92" s="132"/>
      <c r="G92" s="131"/>
      <c r="H92" s="131"/>
      <c r="I92" s="131"/>
      <c r="J92" s="131"/>
      <c r="K92" s="133"/>
      <c r="L92" s="131"/>
    </row>
    <row r="93" spans="1:12" s="129" customFormat="1" ht="12.75" customHeight="1">
      <c r="A93" s="174"/>
      <c r="C93" s="131"/>
      <c r="D93" s="131"/>
      <c r="E93" s="131"/>
      <c r="F93" s="132"/>
      <c r="G93" s="131"/>
      <c r="H93" s="131"/>
      <c r="I93" s="131"/>
      <c r="J93" s="131"/>
      <c r="K93" s="133"/>
      <c r="L93" s="131"/>
    </row>
    <row r="94" spans="1:12" s="129" customFormat="1" ht="12.75" customHeight="1">
      <c r="A94" s="174"/>
      <c r="C94" s="131"/>
      <c r="D94" s="131"/>
      <c r="E94" s="131"/>
      <c r="F94" s="132"/>
      <c r="G94" s="131"/>
      <c r="H94" s="131"/>
      <c r="I94" s="131"/>
      <c r="J94" s="131"/>
      <c r="K94" s="133"/>
      <c r="L94" s="131"/>
    </row>
    <row r="95" spans="1:12" s="129" customFormat="1" ht="12.75" customHeight="1">
      <c r="A95" s="174"/>
      <c r="C95" s="131"/>
      <c r="D95" s="131"/>
      <c r="E95" s="131"/>
      <c r="F95" s="132"/>
      <c r="G95" s="131"/>
      <c r="H95" s="131"/>
      <c r="I95" s="131"/>
      <c r="J95" s="131"/>
      <c r="K95" s="133"/>
      <c r="L95" s="131"/>
    </row>
    <row r="96" spans="1:12" s="129" customFormat="1" ht="12.75" customHeight="1">
      <c r="A96" s="174"/>
      <c r="C96" s="131"/>
      <c r="D96" s="131"/>
      <c r="E96" s="131"/>
      <c r="F96" s="132"/>
      <c r="G96" s="131"/>
      <c r="H96" s="131"/>
      <c r="I96" s="131"/>
      <c r="J96" s="131"/>
      <c r="K96" s="133"/>
      <c r="L96" s="131"/>
    </row>
    <row r="97" spans="1:12" s="129" customFormat="1" ht="12.75" customHeight="1">
      <c r="A97" s="174"/>
      <c r="C97" s="131"/>
      <c r="D97" s="131"/>
      <c r="E97" s="131"/>
      <c r="F97" s="132"/>
      <c r="G97" s="131"/>
      <c r="H97" s="131"/>
      <c r="I97" s="131"/>
      <c r="J97" s="131"/>
      <c r="K97" s="133"/>
      <c r="L97" s="131"/>
    </row>
    <row r="98" spans="1:12" s="129" customFormat="1" ht="12.75" customHeight="1">
      <c r="A98" s="174"/>
      <c r="C98" s="131"/>
      <c r="D98" s="131"/>
      <c r="E98" s="131"/>
      <c r="F98" s="132"/>
      <c r="G98" s="131"/>
      <c r="H98" s="131"/>
      <c r="I98" s="131"/>
      <c r="J98" s="131"/>
      <c r="K98" s="133"/>
      <c r="L98" s="131"/>
    </row>
    <row r="99" spans="1:12" s="129" customFormat="1" ht="12.75" customHeight="1">
      <c r="A99" s="174"/>
      <c r="C99" s="131"/>
      <c r="D99" s="131"/>
      <c r="E99" s="131"/>
      <c r="F99" s="132"/>
      <c r="G99" s="131"/>
      <c r="H99" s="131"/>
      <c r="I99" s="131"/>
      <c r="J99" s="131"/>
      <c r="K99" s="133"/>
      <c r="L99" s="131"/>
    </row>
    <row r="100" spans="1:12" s="129" customFormat="1" ht="12.75" customHeight="1">
      <c r="A100" s="174"/>
      <c r="C100" s="131"/>
      <c r="D100" s="131"/>
      <c r="E100" s="131"/>
      <c r="F100" s="132"/>
      <c r="G100" s="131"/>
      <c r="H100" s="131"/>
      <c r="I100" s="131"/>
      <c r="J100" s="131"/>
      <c r="K100" s="133"/>
      <c r="L100" s="131"/>
    </row>
    <row r="101" spans="1:12" s="129" customFormat="1" ht="12.75" customHeight="1">
      <c r="A101" s="174"/>
      <c r="C101" s="131"/>
      <c r="D101" s="131"/>
      <c r="E101" s="131"/>
      <c r="F101" s="132"/>
      <c r="G101" s="131"/>
      <c r="H101" s="131"/>
      <c r="I101" s="131"/>
      <c r="J101" s="131"/>
      <c r="K101" s="133"/>
      <c r="L101" s="131"/>
    </row>
    <row r="102" spans="1:12" s="129" customFormat="1" ht="12.75" customHeight="1">
      <c r="A102" s="174"/>
      <c r="C102" s="131"/>
      <c r="D102" s="131"/>
      <c r="E102" s="131"/>
      <c r="F102" s="132"/>
      <c r="G102" s="131"/>
      <c r="H102" s="131"/>
      <c r="I102" s="131"/>
      <c r="J102" s="131"/>
      <c r="K102" s="133"/>
      <c r="L102" s="131"/>
    </row>
    <row r="103" spans="1:12" s="129" customFormat="1" ht="12.75" customHeight="1">
      <c r="A103" s="174"/>
      <c r="C103" s="131"/>
      <c r="D103" s="131"/>
      <c r="E103" s="131"/>
      <c r="F103" s="132"/>
      <c r="G103" s="131"/>
      <c r="H103" s="131"/>
      <c r="I103" s="131"/>
      <c r="J103" s="131"/>
      <c r="K103" s="133"/>
      <c r="L103" s="131"/>
    </row>
    <row r="104" spans="1:12" s="129" customFormat="1" ht="12.75" customHeight="1">
      <c r="A104" s="174"/>
      <c r="C104" s="131"/>
      <c r="D104" s="131"/>
      <c r="E104" s="131"/>
      <c r="F104" s="132"/>
      <c r="G104" s="131"/>
      <c r="H104" s="131"/>
      <c r="I104" s="131"/>
      <c r="J104" s="131"/>
      <c r="K104" s="133"/>
      <c r="L104" s="131"/>
    </row>
    <row r="105" spans="1:12" s="129" customFormat="1" ht="12.75" customHeight="1">
      <c r="A105" s="174"/>
      <c r="C105" s="131"/>
      <c r="D105" s="131"/>
      <c r="E105" s="131"/>
      <c r="F105" s="132"/>
      <c r="G105" s="131"/>
      <c r="H105" s="131"/>
      <c r="I105" s="131"/>
      <c r="J105" s="131"/>
      <c r="K105" s="133"/>
      <c r="L105" s="131"/>
    </row>
    <row r="106" spans="1:12" s="129" customFormat="1" ht="12.75" customHeight="1">
      <c r="A106" s="174"/>
      <c r="C106" s="131"/>
      <c r="D106" s="131"/>
      <c r="E106" s="131"/>
      <c r="F106" s="132"/>
      <c r="G106" s="131"/>
      <c r="H106" s="131"/>
      <c r="I106" s="131"/>
      <c r="J106" s="131"/>
      <c r="K106" s="133"/>
      <c r="L106" s="131"/>
    </row>
    <row r="107" spans="1:12" s="129" customFormat="1" ht="12.75" customHeight="1">
      <c r="A107" s="174"/>
      <c r="C107" s="131"/>
      <c r="D107" s="131"/>
      <c r="E107" s="131"/>
      <c r="F107" s="132"/>
      <c r="G107" s="131"/>
      <c r="H107" s="131"/>
      <c r="I107" s="131"/>
      <c r="J107" s="131"/>
      <c r="K107" s="133"/>
      <c r="L107" s="131"/>
    </row>
    <row r="108" spans="1:12" s="129" customFormat="1" ht="12.75" customHeight="1">
      <c r="A108" s="174"/>
      <c r="C108" s="131"/>
      <c r="D108" s="131"/>
      <c r="E108" s="131"/>
      <c r="F108" s="132"/>
      <c r="G108" s="131"/>
      <c r="H108" s="131"/>
      <c r="I108" s="131"/>
      <c r="J108" s="131"/>
      <c r="K108" s="133"/>
      <c r="L108" s="131"/>
    </row>
    <row r="109" spans="1:12" s="129" customFormat="1" ht="12.75" customHeight="1">
      <c r="A109" s="174"/>
      <c r="C109" s="131"/>
      <c r="D109" s="131"/>
      <c r="E109" s="131"/>
      <c r="F109" s="132"/>
      <c r="G109" s="131"/>
      <c r="H109" s="131"/>
      <c r="I109" s="131"/>
      <c r="J109" s="131"/>
      <c r="K109" s="133"/>
      <c r="L109" s="131"/>
    </row>
    <row r="110" spans="1:12" s="129" customFormat="1" ht="12.75" customHeight="1">
      <c r="A110" s="174"/>
      <c r="C110" s="131"/>
      <c r="D110" s="131"/>
      <c r="E110" s="131"/>
      <c r="F110" s="132"/>
      <c r="G110" s="131"/>
      <c r="H110" s="131"/>
      <c r="I110" s="131"/>
      <c r="J110" s="131"/>
      <c r="K110" s="133"/>
      <c r="L110" s="131"/>
    </row>
    <row r="111" spans="1:12" s="129" customFormat="1" ht="12.75" customHeight="1">
      <c r="A111" s="174"/>
      <c r="C111" s="131"/>
      <c r="D111" s="131"/>
      <c r="E111" s="131"/>
      <c r="F111" s="132"/>
      <c r="G111" s="131"/>
      <c r="H111" s="131"/>
      <c r="I111" s="131"/>
      <c r="J111" s="131"/>
      <c r="K111" s="133"/>
      <c r="L111" s="131"/>
    </row>
    <row r="112" spans="1:12" s="129" customFormat="1" ht="12.75" customHeight="1">
      <c r="A112" s="174"/>
      <c r="C112" s="131"/>
      <c r="D112" s="131"/>
      <c r="E112" s="131"/>
      <c r="F112" s="132"/>
      <c r="G112" s="131"/>
      <c r="H112" s="131"/>
      <c r="I112" s="131"/>
      <c r="J112" s="131"/>
      <c r="K112" s="133"/>
      <c r="L112" s="131"/>
    </row>
    <row r="113" spans="1:12" s="129" customFormat="1" ht="12.75" customHeight="1">
      <c r="A113" s="174"/>
      <c r="B113" s="131"/>
      <c r="C113" s="131"/>
      <c r="D113" s="131"/>
      <c r="E113" s="131"/>
      <c r="F113" s="132"/>
      <c r="G113" s="131"/>
      <c r="H113" s="131"/>
      <c r="I113" s="131"/>
      <c r="J113" s="131"/>
      <c r="K113" s="133"/>
      <c r="L113" s="131"/>
    </row>
    <row r="114" spans="1:12" s="129" customFormat="1" ht="12.75" customHeight="1">
      <c r="A114" s="174"/>
      <c r="B114" s="131"/>
      <c r="C114" s="131"/>
      <c r="D114" s="131"/>
      <c r="E114" s="131"/>
      <c r="F114" s="132"/>
      <c r="G114" s="131"/>
      <c r="H114" s="131"/>
      <c r="I114" s="131"/>
      <c r="J114" s="131"/>
      <c r="K114" s="133"/>
      <c r="L114" s="131"/>
    </row>
    <row r="115" spans="1:12" s="129" customFormat="1" ht="12.75" customHeight="1">
      <c r="A115" s="174"/>
      <c r="B115" s="131"/>
      <c r="C115" s="131"/>
      <c r="D115" s="131"/>
      <c r="E115" s="131"/>
      <c r="F115" s="132"/>
      <c r="G115" s="131"/>
      <c r="H115" s="131"/>
      <c r="I115" s="131"/>
      <c r="J115" s="131"/>
      <c r="K115" s="133"/>
      <c r="L115" s="131"/>
    </row>
    <row r="116" spans="1:12" s="129" customFormat="1" ht="12.75" customHeight="1">
      <c r="A116" s="174"/>
      <c r="B116" s="131"/>
      <c r="C116" s="131"/>
      <c r="D116" s="131"/>
      <c r="E116" s="131"/>
      <c r="F116" s="132"/>
      <c r="G116" s="131"/>
      <c r="H116" s="131"/>
      <c r="I116" s="131"/>
      <c r="J116" s="131"/>
      <c r="K116" s="133"/>
      <c r="L116" s="131"/>
    </row>
    <row r="117" spans="1:12" s="129" customFormat="1" ht="12.75" customHeight="1">
      <c r="A117" s="174"/>
      <c r="B117" s="131"/>
      <c r="C117" s="131"/>
      <c r="D117" s="131"/>
      <c r="E117" s="131"/>
      <c r="F117" s="132"/>
      <c r="G117" s="131"/>
      <c r="H117" s="131"/>
      <c r="I117" s="131"/>
      <c r="J117" s="131"/>
      <c r="K117" s="133"/>
      <c r="L117" s="131"/>
    </row>
    <row r="118" spans="1:12" s="129" customFormat="1" ht="12.75" customHeight="1">
      <c r="A118" s="174"/>
      <c r="B118" s="131"/>
      <c r="C118" s="131"/>
      <c r="D118" s="131"/>
      <c r="E118" s="131"/>
      <c r="F118" s="132"/>
      <c r="G118" s="131"/>
      <c r="H118" s="131"/>
      <c r="I118" s="131"/>
      <c r="J118" s="131"/>
      <c r="K118" s="133"/>
      <c r="L118" s="131"/>
    </row>
    <row r="119" spans="1:12" s="129" customFormat="1" ht="12.75" customHeight="1">
      <c r="A119" s="174"/>
      <c r="B119" s="131"/>
      <c r="C119" s="131"/>
      <c r="D119" s="131"/>
      <c r="E119" s="131"/>
      <c r="F119" s="132"/>
      <c r="G119" s="131"/>
      <c r="H119" s="131"/>
      <c r="I119" s="131"/>
      <c r="J119" s="131"/>
      <c r="K119" s="133"/>
      <c r="L119" s="131"/>
    </row>
    <row r="120" spans="1:12" s="129" customFormat="1" ht="12.75" customHeight="1">
      <c r="A120" s="174"/>
      <c r="B120" s="131"/>
      <c r="C120" s="131"/>
      <c r="D120" s="131"/>
      <c r="E120" s="131"/>
      <c r="F120" s="132"/>
      <c r="G120" s="131"/>
      <c r="H120" s="131"/>
      <c r="I120" s="131"/>
      <c r="J120" s="131"/>
      <c r="K120" s="133"/>
      <c r="L120" s="131"/>
    </row>
    <row r="121" spans="1:12" s="129" customFormat="1" ht="12.75" customHeight="1">
      <c r="A121" s="174"/>
      <c r="B121" s="131"/>
      <c r="C121" s="131"/>
      <c r="D121" s="131"/>
      <c r="E121" s="131"/>
      <c r="F121" s="132"/>
      <c r="G121" s="131"/>
      <c r="H121" s="131"/>
      <c r="I121" s="131"/>
      <c r="J121" s="131"/>
      <c r="K121" s="133"/>
      <c r="L121" s="131"/>
    </row>
    <row r="122" spans="1:12" s="129" customFormat="1" ht="12.75" customHeight="1">
      <c r="A122" s="174"/>
      <c r="B122" s="131"/>
      <c r="C122" s="131"/>
      <c r="D122" s="131"/>
      <c r="E122" s="131"/>
      <c r="F122" s="132"/>
      <c r="G122" s="131"/>
      <c r="H122" s="131"/>
      <c r="I122" s="131"/>
      <c r="J122" s="131"/>
      <c r="K122" s="133"/>
      <c r="L122" s="131"/>
    </row>
    <row r="123" spans="1:12" s="129" customFormat="1" ht="12.75" customHeight="1">
      <c r="A123" s="174"/>
      <c r="B123" s="131"/>
      <c r="C123" s="131"/>
      <c r="D123" s="131"/>
      <c r="E123" s="131"/>
      <c r="F123" s="132"/>
      <c r="G123" s="131"/>
      <c r="H123" s="131"/>
      <c r="I123" s="131"/>
      <c r="J123" s="131"/>
      <c r="K123" s="133"/>
      <c r="L123" s="131"/>
    </row>
  </sheetData>
  <mergeCells count="1">
    <mergeCell ref="M1:O1"/>
  </mergeCells>
  <phoneticPr fontId="55" type="noConversion"/>
  <conditionalFormatting sqref="D4:D6">
    <cfRule type="containsBlanks" dxfId="12" priority="8">
      <formula>LEN(TRIM(D4))=0</formula>
    </cfRule>
  </conditionalFormatting>
  <conditionalFormatting sqref="D8:D10">
    <cfRule type="containsBlanks" dxfId="11" priority="6">
      <formula>LEN(TRIM(D8))=0</formula>
    </cfRule>
  </conditionalFormatting>
  <conditionalFormatting sqref="E2">
    <cfRule type="containsBlanks" dxfId="10" priority="9">
      <formula>LEN(TRIM(E2))=0</formula>
    </cfRule>
  </conditionalFormatting>
  <conditionalFormatting sqref="G4:G6">
    <cfRule type="containsBlanks" dxfId="9" priority="4">
      <formula>LEN(TRIM(G4))=0</formula>
    </cfRule>
  </conditionalFormatting>
  <conditionalFormatting sqref="G8:G10">
    <cfRule type="containsBlanks" dxfId="8" priority="3">
      <formula>LEN(TRIM(G8))=0</formula>
    </cfRule>
  </conditionalFormatting>
  <conditionalFormatting sqref="H2">
    <cfRule type="containsBlanks" dxfId="7" priority="5">
      <formula>LEN(TRIM(H2))=0</formula>
    </cfRule>
  </conditionalFormatting>
  <conditionalFormatting sqref="J4:J6 D12:D14 G12:G14 J12:J14">
    <cfRule type="containsBlanks" dxfId="6" priority="10">
      <formula>LEN(TRIM(D4))=0</formula>
    </cfRule>
  </conditionalFormatting>
  <conditionalFormatting sqref="J8:J10">
    <cfRule type="containsBlanks" dxfId="5" priority="1">
      <formula>LEN(TRIM(J8))=0</formula>
    </cfRule>
  </conditionalFormatting>
  <conditionalFormatting sqref="K2">
    <cfRule type="containsBlanks" dxfId="4" priority="2">
      <formula>LEN(TRIM(K2))=0</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7"/>
  <sheetViews>
    <sheetView showGridLines="0" tabSelected="1" topLeftCell="A19" zoomScale="66" zoomScaleNormal="66" workbookViewId="0">
      <selection activeCell="I13" sqref="I13"/>
    </sheetView>
  </sheetViews>
  <sheetFormatPr defaultColWidth="8.75" defaultRowHeight="12.75" customHeight="1"/>
  <cols>
    <col min="1" max="1" width="8.08203125" style="4" customWidth="1"/>
    <col min="2" max="2" width="6.75" style="5" customWidth="1"/>
    <col min="3" max="3" width="24.75" style="6" customWidth="1"/>
    <col min="4" max="4" width="19.75" style="6" customWidth="1"/>
    <col min="5" max="5" width="16.83203125" style="6" customWidth="1"/>
    <col min="6" max="6" width="18.58203125" style="7" customWidth="1"/>
    <col min="7" max="7" width="18.58203125" style="6" customWidth="1"/>
    <col min="8" max="8" width="18.33203125" style="6" customWidth="1"/>
    <col min="9" max="9" width="15.25" style="3" customWidth="1"/>
    <col min="10" max="10" width="18.58203125" style="3" customWidth="1"/>
    <col min="11" max="11" width="2.08203125" style="6" customWidth="1"/>
    <col min="12" max="12" width="16.83203125" style="6" customWidth="1"/>
    <col min="13" max="13" width="90.58203125" style="6" hidden="1" customWidth="1"/>
    <col min="14" max="14" width="8.75" style="6" hidden="1" customWidth="1"/>
    <col min="15" max="15" width="101.33203125" style="6" hidden="1" customWidth="1"/>
    <col min="16" max="16" width="8.75" style="6"/>
    <col min="17" max="17" width="69.25" style="6" hidden="1" customWidth="1"/>
    <col min="18" max="16384" width="8.75" style="6"/>
  </cols>
  <sheetData>
    <row r="1" spans="1:17" s="1" customFormat="1" ht="17.5" customHeight="1">
      <c r="A1" s="8"/>
      <c r="B1" s="9"/>
      <c r="C1" s="10"/>
      <c r="D1" s="11"/>
      <c r="E1" s="11"/>
      <c r="F1" s="11"/>
      <c r="G1" s="12"/>
      <c r="H1" s="13"/>
      <c r="I1" s="13"/>
      <c r="J1" s="13"/>
      <c r="K1" s="86"/>
      <c r="L1" s="6"/>
    </row>
    <row r="2" spans="1:17" s="1" customFormat="1" ht="17.5" customHeight="1">
      <c r="A2" s="8"/>
      <c r="B2" s="14"/>
      <c r="C2" s="15" t="s">
        <v>50</v>
      </c>
      <c r="D2" s="16" t="s">
        <v>51</v>
      </c>
      <c r="E2" s="260"/>
      <c r="F2" s="261" t="s">
        <v>52</v>
      </c>
      <c r="G2" s="264">
        <v>12530000</v>
      </c>
      <c r="H2" s="17"/>
      <c r="I2" s="17"/>
      <c r="J2" s="17"/>
      <c r="K2" s="86"/>
      <c r="L2" s="6"/>
      <c r="M2" s="87" t="s">
        <v>27</v>
      </c>
      <c r="N2" s="88"/>
      <c r="O2" s="89" t="s">
        <v>28</v>
      </c>
      <c r="P2" s="88"/>
      <c r="Q2" s="89" t="s">
        <v>29</v>
      </c>
    </row>
    <row r="3" spans="1:17" s="1" customFormat="1" ht="17.5" customHeight="1">
      <c r="A3" s="8"/>
      <c r="B3" s="14"/>
      <c r="C3" s="18"/>
      <c r="D3" s="19"/>
      <c r="E3" s="260"/>
      <c r="F3" s="262"/>
      <c r="G3" s="20"/>
      <c r="H3" s="17"/>
      <c r="I3" s="17"/>
      <c r="J3" s="17"/>
      <c r="K3" s="86"/>
      <c r="L3" s="6"/>
      <c r="M3" s="240" t="s">
        <v>53</v>
      </c>
      <c r="N3" s="90"/>
      <c r="O3" s="227" t="s">
        <v>54</v>
      </c>
      <c r="P3" s="91"/>
      <c r="Q3" s="219" t="s">
        <v>55</v>
      </c>
    </row>
    <row r="4" spans="1:17" s="1" customFormat="1" ht="17.5" customHeight="1">
      <c r="A4" s="8"/>
      <c r="B4" s="14"/>
      <c r="C4" s="15" t="s">
        <v>56</v>
      </c>
      <c r="D4" s="21">
        <v>45930</v>
      </c>
      <c r="E4" s="260"/>
      <c r="F4" s="261" t="s">
        <v>57</v>
      </c>
      <c r="G4" s="264">
        <v>8707500</v>
      </c>
      <c r="H4" s="22"/>
      <c r="I4" s="92"/>
      <c r="J4" s="92"/>
      <c r="K4" s="86"/>
      <c r="L4" s="6"/>
      <c r="M4" s="241"/>
      <c r="N4" s="91"/>
      <c r="O4" s="228"/>
      <c r="P4" s="91"/>
      <c r="Q4" s="220"/>
    </row>
    <row r="5" spans="1:17" s="1" customFormat="1" ht="17.5" customHeight="1">
      <c r="A5" s="8"/>
      <c r="B5" s="14"/>
      <c r="C5" s="23"/>
      <c r="D5" s="24"/>
      <c r="E5" s="260"/>
      <c r="F5" s="260"/>
      <c r="G5" s="25"/>
      <c r="H5" s="17"/>
      <c r="I5" s="17"/>
      <c r="J5" s="17"/>
      <c r="K5" s="86"/>
      <c r="L5" s="6"/>
      <c r="M5" s="241"/>
      <c r="N5" s="91"/>
      <c r="O5" s="228"/>
      <c r="P5" s="91"/>
      <c r="Q5" s="220"/>
    </row>
    <row r="6" spans="1:17" s="1" customFormat="1" ht="17.5" customHeight="1">
      <c r="A6" s="8"/>
      <c r="B6" s="14"/>
      <c r="C6" s="15" t="s">
        <v>58</v>
      </c>
      <c r="D6" s="16" t="s">
        <v>59</v>
      </c>
      <c r="E6" s="260"/>
      <c r="F6" s="263" t="s">
        <v>60</v>
      </c>
      <c r="G6" s="264">
        <f>G4</f>
        <v>8707500</v>
      </c>
      <c r="H6" s="17"/>
      <c r="I6" s="17"/>
      <c r="J6" s="17"/>
      <c r="K6" s="86"/>
      <c r="L6" s="6"/>
      <c r="M6" s="241"/>
      <c r="N6" s="91"/>
      <c r="O6" s="228"/>
      <c r="P6" s="91"/>
      <c r="Q6" s="220"/>
    </row>
    <row r="7" spans="1:17" s="1" customFormat="1" ht="17.5" customHeight="1">
      <c r="A7" s="8"/>
      <c r="B7" s="14"/>
      <c r="C7" s="23"/>
      <c r="D7" s="24"/>
      <c r="E7" s="260"/>
      <c r="F7" s="26"/>
      <c r="G7" s="27"/>
      <c r="H7" s="17"/>
      <c r="I7" s="17"/>
      <c r="J7" s="17"/>
      <c r="K7" s="86"/>
      <c r="L7" s="6"/>
      <c r="M7" s="241"/>
      <c r="N7" s="91"/>
      <c r="O7" s="228"/>
      <c r="P7" s="91"/>
      <c r="Q7" s="220"/>
    </row>
    <row r="8" spans="1:17" ht="17.5" customHeight="1">
      <c r="A8" s="8"/>
      <c r="C8" s="23"/>
      <c r="D8" s="260"/>
      <c r="E8" s="260"/>
      <c r="F8" s="261" t="s">
        <v>61</v>
      </c>
      <c r="G8" s="264">
        <v>580500</v>
      </c>
      <c r="I8" s="6"/>
      <c r="J8" s="6"/>
      <c r="K8" s="86"/>
      <c r="M8" s="241"/>
      <c r="N8" s="93"/>
      <c r="O8" s="228"/>
      <c r="P8" s="93"/>
      <c r="Q8" s="220"/>
    </row>
    <row r="9" spans="1:17" ht="17.5" customHeight="1">
      <c r="A9" s="8"/>
      <c r="C9" s="28"/>
      <c r="D9" s="29"/>
      <c r="E9" s="29"/>
      <c r="F9" s="29"/>
      <c r="G9" s="30"/>
      <c r="I9" s="6"/>
      <c r="J9" s="6"/>
      <c r="K9" s="86"/>
      <c r="M9" s="241"/>
      <c r="N9" s="93"/>
      <c r="O9" s="228"/>
      <c r="P9" s="93"/>
      <c r="Q9" s="220"/>
    </row>
    <row r="10" spans="1:17" ht="14.5">
      <c r="F10" s="6"/>
      <c r="I10" s="6"/>
      <c r="J10" s="6"/>
      <c r="K10" s="86"/>
      <c r="M10" s="242"/>
      <c r="N10" s="93"/>
      <c r="O10" s="228"/>
      <c r="P10" s="93"/>
      <c r="Q10" s="221"/>
    </row>
    <row r="11" spans="1:17" ht="14.5">
      <c r="C11" s="31" t="s">
        <v>62</v>
      </c>
      <c r="D11" s="4"/>
      <c r="F11" s="6"/>
      <c r="I11" s="6"/>
      <c r="J11" s="6"/>
      <c r="K11" s="86"/>
      <c r="O11" s="229"/>
    </row>
    <row r="12" spans="1:17" ht="14.5">
      <c r="C12" s="32" t="s">
        <v>63</v>
      </c>
      <c r="D12" s="33"/>
      <c r="F12" s="6"/>
      <c r="I12" s="6"/>
      <c r="J12" s="94"/>
      <c r="K12" s="86"/>
      <c r="M12" s="87" t="s">
        <v>64</v>
      </c>
      <c r="N12" s="95"/>
      <c r="O12" s="87" t="s">
        <v>65</v>
      </c>
      <c r="P12" s="95"/>
      <c r="Q12" s="87" t="s">
        <v>66</v>
      </c>
    </row>
    <row r="13" spans="1:17" ht="14.5" customHeight="1">
      <c r="C13" s="32"/>
      <c r="D13" s="33"/>
      <c r="F13" s="6"/>
      <c r="I13" s="6"/>
      <c r="J13" s="96"/>
      <c r="K13" s="86"/>
      <c r="M13" s="240" t="s">
        <v>67</v>
      </c>
      <c r="N13" s="97"/>
      <c r="O13" s="230" t="s">
        <v>68</v>
      </c>
      <c r="P13" s="97"/>
      <c r="Q13" s="222" t="s">
        <v>69</v>
      </c>
    </row>
    <row r="14" spans="1:17" ht="14.5">
      <c r="A14" s="34" t="s">
        <v>70</v>
      </c>
      <c r="B14" s="35"/>
      <c r="C14" s="31" t="s">
        <v>23</v>
      </c>
      <c r="D14" s="33"/>
      <c r="F14" s="6"/>
      <c r="I14" s="6"/>
      <c r="J14" s="96"/>
      <c r="K14" s="86"/>
      <c r="M14" s="241"/>
      <c r="N14" s="88"/>
      <c r="O14" s="231"/>
      <c r="P14" s="88"/>
      <c r="Q14" s="223"/>
    </row>
    <row r="15" spans="1:17" ht="14.5">
      <c r="B15" s="217" t="s">
        <v>71</v>
      </c>
      <c r="C15" s="37" t="s">
        <v>72</v>
      </c>
      <c r="D15" s="33"/>
      <c r="F15" s="6"/>
      <c r="I15" s="6"/>
      <c r="J15" s="96"/>
      <c r="K15" s="86"/>
      <c r="M15" s="241"/>
      <c r="N15" s="90"/>
      <c r="O15" s="231"/>
      <c r="P15" s="91"/>
      <c r="Q15" s="223"/>
    </row>
    <row r="16" spans="1:17" ht="13" customHeight="1">
      <c r="B16" s="36"/>
      <c r="C16" s="37"/>
      <c r="D16" s="33"/>
      <c r="F16" s="6"/>
      <c r="I16" s="6"/>
      <c r="J16" s="96"/>
      <c r="K16" s="86"/>
      <c r="M16" s="241"/>
      <c r="N16" s="91"/>
      <c r="O16" s="231"/>
      <c r="P16" s="91"/>
      <c r="Q16" s="224"/>
    </row>
    <row r="17" spans="1:17" ht="113.5" customHeight="1">
      <c r="C17" s="246" t="s">
        <v>73</v>
      </c>
      <c r="D17" s="247"/>
      <c r="E17" s="247"/>
      <c r="F17" s="247"/>
      <c r="G17" s="247"/>
      <c r="H17" s="247"/>
      <c r="I17" s="248"/>
      <c r="J17" s="94"/>
      <c r="K17" s="86"/>
      <c r="M17" s="241"/>
      <c r="N17" s="98"/>
      <c r="O17" s="231"/>
      <c r="P17" s="91"/>
      <c r="Q17" s="1"/>
    </row>
    <row r="18" spans="1:17" ht="13" customHeight="1">
      <c r="C18" s="38"/>
      <c r="D18" s="33"/>
      <c r="F18" s="6"/>
      <c r="I18" s="99"/>
      <c r="J18" s="96"/>
      <c r="K18" s="86"/>
      <c r="M18" s="241"/>
      <c r="N18" s="91"/>
      <c r="O18" s="231"/>
      <c r="P18" s="91"/>
      <c r="Q18" s="1"/>
    </row>
    <row r="19" spans="1:17" ht="19" customHeight="1">
      <c r="A19" s="39"/>
      <c r="C19" s="249" t="s">
        <v>74</v>
      </c>
      <c r="D19" s="250"/>
      <c r="E19" s="250"/>
      <c r="F19" s="250"/>
      <c r="G19" s="250"/>
      <c r="H19" s="250"/>
      <c r="I19" s="251"/>
      <c r="J19" s="96"/>
      <c r="K19" s="86"/>
      <c r="M19" s="241"/>
      <c r="N19" s="91"/>
      <c r="O19" s="231"/>
      <c r="P19" s="91"/>
      <c r="Q19" s="1"/>
    </row>
    <row r="20" spans="1:17" ht="13" customHeight="1">
      <c r="C20" s="40"/>
      <c r="D20" s="33"/>
      <c r="F20" s="6"/>
      <c r="I20" s="99"/>
      <c r="J20" s="96"/>
      <c r="K20" s="86"/>
      <c r="M20" s="242"/>
      <c r="N20" s="93"/>
      <c r="O20" s="231"/>
      <c r="P20" s="93"/>
      <c r="Q20" s="1"/>
    </row>
    <row r="21" spans="1:17" ht="103" customHeight="1">
      <c r="C21" s="252" t="s">
        <v>75</v>
      </c>
      <c r="D21" s="253"/>
      <c r="E21" s="253"/>
      <c r="F21" s="253"/>
      <c r="G21" s="253"/>
      <c r="H21" s="253"/>
      <c r="I21" s="254"/>
      <c r="J21" s="96"/>
      <c r="K21" s="86"/>
      <c r="N21" s="93"/>
      <c r="O21" s="232"/>
      <c r="P21" s="93"/>
      <c r="Q21" s="1"/>
    </row>
    <row r="22" spans="1:17" ht="13" customHeight="1">
      <c r="C22" s="31"/>
      <c r="D22" s="33"/>
      <c r="F22" s="6"/>
      <c r="I22" s="6"/>
      <c r="J22" s="96"/>
      <c r="K22" s="86"/>
      <c r="N22" s="93"/>
      <c r="O22" s="1"/>
      <c r="P22" s="93"/>
      <c r="Q22" s="1"/>
    </row>
    <row r="23" spans="1:17" ht="14.5">
      <c r="A23" s="41"/>
      <c r="B23" s="217" t="s">
        <v>76</v>
      </c>
      <c r="C23" s="37" t="s">
        <v>77</v>
      </c>
      <c r="D23" s="33"/>
      <c r="F23" s="6"/>
      <c r="I23" s="6"/>
      <c r="J23" s="96"/>
      <c r="K23" s="86"/>
      <c r="M23" s="87" t="s">
        <v>78</v>
      </c>
      <c r="N23" s="95"/>
      <c r="O23" s="87" t="s">
        <v>79</v>
      </c>
      <c r="P23" s="93"/>
      <c r="Q23" s="1"/>
    </row>
    <row r="24" spans="1:17" ht="78.75" customHeight="1">
      <c r="B24" s="36"/>
      <c r="C24" s="255" t="s">
        <v>80</v>
      </c>
      <c r="D24" s="256"/>
      <c r="E24" s="256"/>
      <c r="F24" s="256"/>
      <c r="G24" s="256"/>
      <c r="H24" s="256"/>
      <c r="I24" s="257"/>
      <c r="J24" s="96"/>
      <c r="K24" s="86"/>
      <c r="M24" s="240" t="s">
        <v>81</v>
      </c>
      <c r="N24" s="100"/>
      <c r="O24" s="233" t="s">
        <v>82</v>
      </c>
      <c r="P24" s="93"/>
      <c r="Q24" s="1"/>
    </row>
    <row r="25" spans="1:17" ht="14.15" customHeight="1">
      <c r="B25" s="36"/>
      <c r="C25" s="37"/>
      <c r="D25" s="33"/>
      <c r="F25" s="6"/>
      <c r="I25" s="6"/>
      <c r="J25" s="96"/>
      <c r="K25" s="86"/>
      <c r="M25" s="241"/>
      <c r="N25" s="88"/>
      <c r="O25" s="231"/>
      <c r="P25" s="100"/>
      <c r="Q25" s="1"/>
    </row>
    <row r="26" spans="1:17" s="2" customFormat="1" ht="13" customHeight="1">
      <c r="K26" s="86"/>
      <c r="L26" s="6"/>
      <c r="M26" s="242"/>
      <c r="N26" s="90"/>
      <c r="O26" s="231"/>
      <c r="P26" s="100"/>
      <c r="Q26" s="1"/>
    </row>
    <row r="27" spans="1:17" ht="14.5">
      <c r="A27" s="41"/>
      <c r="B27" s="217" t="s">
        <v>83</v>
      </c>
      <c r="C27" s="37" t="s">
        <v>84</v>
      </c>
      <c r="F27" s="6"/>
      <c r="K27" s="86"/>
      <c r="M27" s="101"/>
      <c r="N27" s="91"/>
      <c r="O27" s="231"/>
      <c r="P27" s="100"/>
      <c r="Q27" s="1"/>
    </row>
    <row r="28" spans="1:17" ht="14.5">
      <c r="B28" s="42"/>
      <c r="C28" s="43" t="s">
        <v>85</v>
      </c>
      <c r="D28" s="44"/>
      <c r="E28" s="44"/>
      <c r="F28" s="44"/>
      <c r="G28" s="44"/>
      <c r="H28" s="44"/>
      <c r="I28" s="44"/>
      <c r="K28" s="86"/>
      <c r="M28" s="101"/>
      <c r="N28" s="100"/>
      <c r="O28" s="231"/>
    </row>
    <row r="29" spans="1:17" ht="13" customHeight="1">
      <c r="B29" s="42"/>
      <c r="C29" s="45"/>
      <c r="D29" s="46" t="s">
        <v>31</v>
      </c>
      <c r="E29" s="46" t="s">
        <v>32</v>
      </c>
      <c r="F29" s="46" t="s">
        <v>86</v>
      </c>
      <c r="G29" s="47" t="s">
        <v>87</v>
      </c>
      <c r="H29" s="48" t="s">
        <v>38</v>
      </c>
      <c r="I29" s="39" t="s">
        <v>39</v>
      </c>
      <c r="J29" s="6"/>
      <c r="K29" s="86"/>
      <c r="M29" s="101"/>
      <c r="N29" s="101"/>
      <c r="O29" s="231"/>
    </row>
    <row r="30" spans="1:17" ht="29">
      <c r="B30" s="42"/>
      <c r="C30" s="49" t="s">
        <v>88</v>
      </c>
      <c r="D30" s="50">
        <v>73717071.109999999</v>
      </c>
      <c r="E30" s="50">
        <v>410066.48</v>
      </c>
      <c r="F30" s="50">
        <v>0</v>
      </c>
      <c r="G30" s="51">
        <f t="shared" ref="G30:G34" si="0">SUM(D30:F30)</f>
        <v>74127137.590000004</v>
      </c>
      <c r="H30" s="52">
        <v>74127137.590000004</v>
      </c>
      <c r="I30" s="52">
        <f>G30-H30</f>
        <v>0</v>
      </c>
      <c r="J30" s="6"/>
      <c r="K30" s="86"/>
      <c r="M30" s="101"/>
      <c r="N30" s="101"/>
      <c r="O30" s="231"/>
    </row>
    <row r="31" spans="1:17" ht="29">
      <c r="B31" s="42"/>
      <c r="C31" s="49" t="s">
        <v>89</v>
      </c>
      <c r="D31" s="53">
        <f>后推明细表!D4</f>
        <v>89898867.700000003</v>
      </c>
      <c r="E31" s="53">
        <f>后推明细表!G4</f>
        <v>5804877.5700000003</v>
      </c>
      <c r="F31" s="53">
        <f>后推明细表!J4</f>
        <v>41872990.359999999</v>
      </c>
      <c r="G31" s="51">
        <f t="shared" si="0"/>
        <v>137576735.63</v>
      </c>
      <c r="H31" s="54" t="s">
        <v>90</v>
      </c>
      <c r="I31" s="6"/>
      <c r="J31" s="6"/>
      <c r="K31" s="86"/>
      <c r="M31" s="101"/>
      <c r="N31" s="101"/>
      <c r="O31" s="231"/>
      <c r="P31" s="100"/>
      <c r="Q31" s="1"/>
    </row>
    <row r="32" spans="1:17" ht="29">
      <c r="B32" s="42"/>
      <c r="C32" s="49" t="s">
        <v>91</v>
      </c>
      <c r="D32" s="55">
        <f t="shared" ref="D32:G32" si="1">AVERAGE(D30:D31)</f>
        <v>81807969.405000001</v>
      </c>
      <c r="E32" s="55">
        <f t="shared" si="1"/>
        <v>3107472.0250000004</v>
      </c>
      <c r="F32" s="55">
        <f t="shared" si="1"/>
        <v>20936495.18</v>
      </c>
      <c r="G32" s="51">
        <f t="shared" si="1"/>
        <v>105851936.61</v>
      </c>
      <c r="I32" s="6"/>
      <c r="J32" s="6"/>
      <c r="K32" s="86"/>
      <c r="M32" s="101"/>
      <c r="N32" s="101"/>
      <c r="O32" s="231"/>
      <c r="P32" s="100"/>
      <c r="Q32" s="1"/>
    </row>
    <row r="33" spans="1:17" ht="29">
      <c r="B33" s="42"/>
      <c r="C33" s="49" t="s">
        <v>92</v>
      </c>
      <c r="D33" s="53">
        <f>后推明细表!D7</f>
        <v>89898867.700000003</v>
      </c>
      <c r="E33" s="53">
        <f>后推明细表!G7</f>
        <v>5804877.5700000003</v>
      </c>
      <c r="F33" s="53">
        <f>后推明细表!J7</f>
        <v>50558884.200000003</v>
      </c>
      <c r="G33" s="51">
        <f t="shared" si="0"/>
        <v>146262629.47000003</v>
      </c>
      <c r="H33" s="54" t="s">
        <v>90</v>
      </c>
      <c r="I33" s="6"/>
      <c r="J33" s="6"/>
      <c r="K33" s="86"/>
      <c r="M33" s="101"/>
      <c r="N33" s="101"/>
      <c r="O33" s="231"/>
      <c r="P33" s="100"/>
      <c r="Q33" s="1"/>
    </row>
    <row r="34" spans="1:17" ht="14.5">
      <c r="B34" s="42"/>
      <c r="C34" s="56" t="s">
        <v>93</v>
      </c>
      <c r="D34" s="57">
        <f t="shared" ref="D34:F34" si="2">AVERAGE(D31,D33)</f>
        <v>89898867.700000003</v>
      </c>
      <c r="E34" s="57">
        <f t="shared" si="2"/>
        <v>5804877.5700000003</v>
      </c>
      <c r="F34" s="57">
        <f t="shared" si="2"/>
        <v>46215937.280000001</v>
      </c>
      <c r="G34" s="58">
        <f t="shared" si="0"/>
        <v>141919682.55000001</v>
      </c>
      <c r="H34" s="3"/>
      <c r="I34" s="6"/>
      <c r="J34" s="6"/>
      <c r="K34" s="86"/>
      <c r="M34" s="101"/>
      <c r="N34" s="101"/>
      <c r="O34" s="231"/>
      <c r="P34" s="100"/>
      <c r="Q34" s="1"/>
    </row>
    <row r="35" spans="1:17" ht="13" customHeight="1">
      <c r="B35" s="42"/>
      <c r="C35" s="59"/>
      <c r="D35" s="60"/>
      <c r="E35" s="60"/>
      <c r="F35" s="60"/>
      <c r="G35" s="61"/>
      <c r="H35" s="3"/>
      <c r="I35" s="6"/>
      <c r="J35" s="6"/>
      <c r="K35" s="86"/>
      <c r="M35" s="101"/>
      <c r="N35" s="101"/>
      <c r="O35" s="231"/>
      <c r="P35" s="100"/>
      <c r="Q35" s="1"/>
    </row>
    <row r="36" spans="1:17" ht="14.5">
      <c r="B36" s="42"/>
      <c r="C36" s="62" t="s">
        <v>94</v>
      </c>
      <c r="D36" s="63">
        <f t="shared" ref="D36:F36" si="3">$G$36/$G$42*D42</f>
        <v>6583259.7016520752</v>
      </c>
      <c r="E36" s="63">
        <f t="shared" si="3"/>
        <v>704085.13099460001</v>
      </c>
      <c r="F36" s="63">
        <f t="shared" si="3"/>
        <v>1420155.1673533251</v>
      </c>
      <c r="G36" s="64">
        <f>G6</f>
        <v>8707500</v>
      </c>
      <c r="H36" s="3"/>
      <c r="I36" s="6"/>
      <c r="J36" s="6"/>
      <c r="K36" s="86"/>
      <c r="M36" s="101"/>
      <c r="N36" s="101"/>
      <c r="O36" s="231"/>
      <c r="P36" s="100"/>
      <c r="Q36" s="1"/>
    </row>
    <row r="37" spans="1:17" ht="13" customHeight="1">
      <c r="B37" s="42"/>
      <c r="C37" s="59"/>
      <c r="D37" s="60"/>
      <c r="E37" s="60"/>
      <c r="F37" s="60"/>
      <c r="G37" s="61"/>
      <c r="H37" s="3"/>
      <c r="I37" s="6"/>
      <c r="J37" s="6"/>
      <c r="K37" s="86"/>
      <c r="M37" s="101"/>
      <c r="N37" s="101"/>
      <c r="O37" s="231"/>
      <c r="P37" s="100"/>
      <c r="Q37" s="1"/>
    </row>
    <row r="38" spans="1:17" ht="14.5">
      <c r="B38" s="42"/>
      <c r="C38" s="65" t="s">
        <v>95</v>
      </c>
      <c r="D38" s="66">
        <v>1797977.4</v>
      </c>
      <c r="E38" s="66">
        <v>374020.57</v>
      </c>
      <c r="F38" s="66">
        <v>0</v>
      </c>
      <c r="G38" s="58">
        <f t="shared" ref="G38:G43" si="4">SUM(D38:F38)</f>
        <v>2171997.9700000002</v>
      </c>
      <c r="H38" s="3"/>
      <c r="I38" s="6"/>
      <c r="J38" s="6"/>
      <c r="K38" s="86"/>
      <c r="M38" s="101"/>
      <c r="N38" s="101"/>
      <c r="O38" s="231"/>
      <c r="P38" s="100"/>
      <c r="Q38" s="1"/>
    </row>
    <row r="39" spans="1:17" s="3" customFormat="1" ht="14.5">
      <c r="A39" s="4"/>
      <c r="B39" s="42"/>
      <c r="C39" s="65" t="s">
        <v>96</v>
      </c>
      <c r="D39" s="67">
        <f t="shared" ref="D39:G39" si="5">D38/D32</f>
        <v>2.1978022594582453E-2</v>
      </c>
      <c r="E39" s="67">
        <f t="shared" si="5"/>
        <v>0.12036168531557415</v>
      </c>
      <c r="F39" s="67">
        <f t="shared" si="5"/>
        <v>0</v>
      </c>
      <c r="G39" s="68">
        <f t="shared" si="5"/>
        <v>2.0519208618756703E-2</v>
      </c>
      <c r="I39" s="6"/>
      <c r="J39" s="6"/>
      <c r="K39" s="86"/>
      <c r="L39" s="6"/>
      <c r="M39" s="101"/>
      <c r="O39" s="231"/>
      <c r="P39" s="100"/>
      <c r="Q39" s="1"/>
    </row>
    <row r="40" spans="1:17" s="3" customFormat="1" ht="13.5" customHeight="1">
      <c r="A40" s="4"/>
      <c r="B40" s="42"/>
      <c r="C40" s="59"/>
      <c r="D40" s="60"/>
      <c r="E40" s="60"/>
      <c r="F40" s="60"/>
      <c r="G40" s="61"/>
      <c r="I40" s="6"/>
      <c r="J40" s="6"/>
      <c r="K40" s="86"/>
      <c r="L40" s="6"/>
      <c r="O40" s="231"/>
      <c r="P40" s="100"/>
      <c r="Q40" s="1"/>
    </row>
    <row r="41" spans="1:17" s="3" customFormat="1" ht="14.5">
      <c r="A41" s="4"/>
      <c r="B41" s="42"/>
      <c r="C41" s="69" t="s">
        <v>97</v>
      </c>
      <c r="D41" s="70">
        <f>D39*D34/12*9</f>
        <v>1481849.5091534839</v>
      </c>
      <c r="E41" s="70">
        <f t="shared" ref="E41:F41" si="6">E39*E34/12*9</f>
        <v>524013.63553183107</v>
      </c>
      <c r="F41" s="70">
        <f t="shared" si="6"/>
        <v>0</v>
      </c>
      <c r="G41" s="64">
        <f t="shared" si="4"/>
        <v>2005863.144685315</v>
      </c>
      <c r="I41" s="6"/>
      <c r="J41" s="6"/>
      <c r="K41" s="86"/>
      <c r="L41" s="6"/>
      <c r="O41" s="231"/>
      <c r="P41" s="97"/>
      <c r="Q41" s="103"/>
    </row>
    <row r="42" spans="1:17" s="3" customFormat="1" ht="14.5">
      <c r="A42" s="4"/>
      <c r="B42" s="42"/>
      <c r="C42" s="65" t="s">
        <v>98</v>
      </c>
      <c r="D42" s="71">
        <f>后推明细表!D9</f>
        <v>1348483.05</v>
      </c>
      <c r="E42" s="71">
        <f>后推明细表!G9</f>
        <v>144221.39000000001</v>
      </c>
      <c r="F42" s="71">
        <f>后推明细表!J9</f>
        <v>290897.71000000002</v>
      </c>
      <c r="G42" s="58">
        <f t="shared" si="4"/>
        <v>1783602.15</v>
      </c>
      <c r="H42" s="54" t="s">
        <v>90</v>
      </c>
      <c r="I42" s="6"/>
      <c r="J42" s="6"/>
      <c r="K42" s="86"/>
      <c r="L42" s="6"/>
      <c r="O42" s="231"/>
      <c r="P42" s="97"/>
      <c r="Q42" s="103"/>
    </row>
    <row r="43" spans="1:17" s="3" customFormat="1" ht="14.5" customHeight="1">
      <c r="A43" s="4"/>
      <c r="B43" s="42"/>
      <c r="C43" s="62" t="s">
        <v>99</v>
      </c>
      <c r="D43" s="70">
        <f t="shared" ref="D43:F43" si="7">D42-D41</f>
        <v>-133366.45915348385</v>
      </c>
      <c r="E43" s="70">
        <f t="shared" si="7"/>
        <v>-379792.24553183105</v>
      </c>
      <c r="F43" s="70">
        <f t="shared" si="7"/>
        <v>290897.71000000002</v>
      </c>
      <c r="G43" s="72">
        <f t="shared" si="4"/>
        <v>-222260.99468531489</v>
      </c>
      <c r="I43" s="6"/>
      <c r="J43" s="6"/>
      <c r="K43" s="86"/>
      <c r="L43" s="6"/>
      <c r="O43" s="232"/>
      <c r="P43" s="100"/>
      <c r="Q43" s="103"/>
    </row>
    <row r="44" spans="1:17" s="3" customFormat="1" ht="14.5">
      <c r="A44" s="4"/>
      <c r="B44" s="42"/>
      <c r="C44" s="59"/>
      <c r="D44" s="60"/>
      <c r="E44" s="60"/>
      <c r="F44" s="60"/>
      <c r="G44" s="61"/>
      <c r="I44" s="6"/>
      <c r="J44" s="6"/>
      <c r="K44" s="86"/>
      <c r="L44" s="6"/>
      <c r="O44" s="6"/>
      <c r="P44" s="88"/>
      <c r="Q44" s="103"/>
    </row>
    <row r="45" spans="1:17" s="3" customFormat="1" ht="14.5">
      <c r="A45" s="4"/>
      <c r="B45" s="42"/>
      <c r="C45" s="73" t="s">
        <v>100</v>
      </c>
      <c r="D45" s="74" t="str">
        <f t="shared" ref="D45:G45" si="8">IF(ABS(D43)&gt;D36,"Yes","No")</f>
        <v>No</v>
      </c>
      <c r="E45" s="74" t="str">
        <f t="shared" si="8"/>
        <v>No</v>
      </c>
      <c r="F45" s="74" t="str">
        <f t="shared" si="8"/>
        <v>No</v>
      </c>
      <c r="G45" s="75" t="str">
        <f t="shared" si="8"/>
        <v>No</v>
      </c>
      <c r="I45" s="6"/>
      <c r="J45" s="6"/>
      <c r="K45" s="86"/>
      <c r="L45" s="6"/>
      <c r="M45" s="87" t="s">
        <v>101</v>
      </c>
      <c r="N45" s="102"/>
      <c r="O45" s="87" t="s">
        <v>102</v>
      </c>
      <c r="P45" s="102"/>
      <c r="Q45" s="87" t="s">
        <v>103</v>
      </c>
    </row>
    <row r="46" spans="1:17" s="3" customFormat="1" ht="13" customHeight="1">
      <c r="A46" s="4"/>
      <c r="B46" s="42"/>
      <c r="C46" s="76"/>
      <c r="D46" s="77"/>
      <c r="E46" s="77"/>
      <c r="F46" s="78"/>
      <c r="G46" s="6"/>
      <c r="H46" s="6"/>
      <c r="K46" s="86"/>
      <c r="L46" s="6"/>
      <c r="M46" s="240" t="s">
        <v>104</v>
      </c>
      <c r="N46" s="103"/>
      <c r="O46" s="234" t="s">
        <v>105</v>
      </c>
      <c r="P46" s="103"/>
      <c r="Q46" s="225" t="s">
        <v>106</v>
      </c>
    </row>
    <row r="47" spans="1:17" s="3" customFormat="1" ht="13" customHeight="1">
      <c r="A47" s="4"/>
      <c r="B47" s="79"/>
      <c r="C47" s="80"/>
      <c r="D47" s="80"/>
      <c r="E47" s="80"/>
      <c r="F47" s="80"/>
      <c r="G47" s="81"/>
      <c r="H47" s="6"/>
      <c r="K47" s="86"/>
      <c r="L47" s="6"/>
      <c r="M47" s="241"/>
      <c r="N47" s="103"/>
      <c r="O47" s="235"/>
      <c r="P47" s="103"/>
      <c r="Q47" s="220"/>
    </row>
    <row r="48" spans="1:17" s="3" customFormat="1" ht="14.15" customHeight="1">
      <c r="A48" s="4"/>
      <c r="B48" s="82" t="s">
        <v>107</v>
      </c>
      <c r="C48" s="6" t="s">
        <v>108</v>
      </c>
      <c r="D48" s="83"/>
      <c r="E48" s="80"/>
      <c r="F48" s="80"/>
      <c r="G48" s="81"/>
      <c r="H48" s="6"/>
      <c r="K48" s="86"/>
      <c r="L48" s="6"/>
      <c r="M48" s="241"/>
      <c r="N48" s="103"/>
      <c r="O48" s="235"/>
      <c r="P48" s="103"/>
      <c r="Q48" s="220"/>
    </row>
    <row r="49" spans="1:17" s="3" customFormat="1" ht="14.5" customHeight="1">
      <c r="A49" s="4"/>
      <c r="B49" s="79"/>
      <c r="C49" s="6" t="s">
        <v>109</v>
      </c>
      <c r="D49" s="84">
        <v>1783602.15</v>
      </c>
      <c r="E49" s="80"/>
      <c r="F49" s="80"/>
      <c r="G49" s="81"/>
      <c r="H49" s="6"/>
      <c r="K49" s="86"/>
      <c r="L49" s="6"/>
      <c r="M49" s="241"/>
      <c r="N49" s="103"/>
      <c r="O49" s="235"/>
      <c r="P49" s="103"/>
      <c r="Q49" s="220"/>
    </row>
    <row r="50" spans="1:17" s="3" customFormat="1" ht="14.5" customHeight="1">
      <c r="A50" s="4"/>
      <c r="B50" s="79"/>
      <c r="C50" s="6" t="s">
        <v>110</v>
      </c>
      <c r="D50" s="84">
        <f>G42</f>
        <v>1783602.15</v>
      </c>
      <c r="E50" s="80"/>
      <c r="F50" s="80"/>
      <c r="G50" s="81"/>
      <c r="H50" s="6"/>
      <c r="K50" s="86"/>
      <c r="L50" s="6"/>
      <c r="M50" s="241"/>
      <c r="N50" s="103"/>
      <c r="O50" s="235"/>
      <c r="P50" s="103"/>
      <c r="Q50" s="220"/>
    </row>
    <row r="51" spans="1:17" s="3" customFormat="1" ht="14.5" customHeight="1">
      <c r="A51" s="4"/>
      <c r="B51" s="79"/>
      <c r="C51" s="6" t="s">
        <v>111</v>
      </c>
      <c r="D51" s="84">
        <f>D49-D50</f>
        <v>0</v>
      </c>
      <c r="E51" s="85"/>
      <c r="F51" s="80"/>
      <c r="G51" s="81"/>
      <c r="H51" s="6"/>
      <c r="K51" s="86"/>
      <c r="L51" s="6"/>
      <c r="M51" s="241"/>
      <c r="N51" s="100"/>
      <c r="O51" s="235"/>
      <c r="P51" s="100"/>
      <c r="Q51" s="220"/>
    </row>
    <row r="52" spans="1:17" s="3" customFormat="1" ht="14.15" customHeight="1">
      <c r="A52" s="4"/>
      <c r="B52" s="79"/>
      <c r="D52" s="80"/>
      <c r="E52" s="80"/>
      <c r="F52" s="80"/>
      <c r="G52" s="81"/>
      <c r="H52" s="6"/>
      <c r="K52" s="86"/>
      <c r="L52" s="6"/>
      <c r="M52" s="241"/>
      <c r="N52" s="100"/>
      <c r="O52" s="235"/>
      <c r="P52" s="100"/>
      <c r="Q52" s="220"/>
    </row>
    <row r="53" spans="1:17" s="3" customFormat="1" ht="64.5" customHeight="1">
      <c r="A53" s="4"/>
      <c r="B53" s="82" t="s">
        <v>112</v>
      </c>
      <c r="C53" s="258" t="s">
        <v>113</v>
      </c>
      <c r="D53" s="258"/>
      <c r="E53" s="258"/>
      <c r="F53" s="258"/>
      <c r="G53" s="258"/>
      <c r="H53" s="6"/>
      <c r="K53" s="86"/>
      <c r="L53" s="6"/>
      <c r="M53" s="241"/>
      <c r="N53" s="100"/>
      <c r="O53" s="235"/>
      <c r="P53" s="100"/>
      <c r="Q53" s="220"/>
    </row>
    <row r="54" spans="1:17" s="3" customFormat="1" ht="14.15" customHeight="1">
      <c r="A54" s="4"/>
      <c r="B54" s="79"/>
      <c r="C54" s="6"/>
      <c r="D54" s="6"/>
      <c r="E54" s="6"/>
      <c r="F54" s="6"/>
      <c r="G54" s="81"/>
      <c r="H54" s="6"/>
      <c r="K54" s="86"/>
      <c r="L54" s="6"/>
      <c r="M54" s="241"/>
      <c r="N54" s="100"/>
      <c r="O54" s="235"/>
      <c r="P54" s="100"/>
      <c r="Q54" s="220"/>
    </row>
    <row r="55" spans="1:17" s="3" customFormat="1" ht="14.5" customHeight="1">
      <c r="K55" s="86"/>
      <c r="L55" s="6"/>
      <c r="M55" s="241"/>
      <c r="N55" s="100"/>
      <c r="O55" s="235"/>
      <c r="P55" s="100"/>
      <c r="Q55" s="220"/>
    </row>
    <row r="56" spans="1:17" s="3" customFormat="1" ht="14.5" customHeight="1">
      <c r="J56" s="6"/>
      <c r="K56" s="86"/>
      <c r="L56" s="6"/>
      <c r="M56" s="241"/>
      <c r="N56" s="100"/>
      <c r="O56" s="235"/>
      <c r="P56" s="100"/>
      <c r="Q56" s="220"/>
    </row>
    <row r="57" spans="1:17" ht="14.15" customHeight="1">
      <c r="J57" s="6"/>
      <c r="K57" s="86"/>
      <c r="M57" s="241"/>
      <c r="N57" s="100"/>
      <c r="O57" s="235"/>
      <c r="P57" s="100"/>
      <c r="Q57" s="221"/>
    </row>
    <row r="58" spans="1:17" ht="14.5" customHeight="1">
      <c r="A58" s="6"/>
      <c r="B58" s="6"/>
      <c r="F58" s="6"/>
      <c r="I58" s="6"/>
      <c r="J58" s="6"/>
      <c r="K58" s="86"/>
      <c r="M58" s="241"/>
      <c r="N58" s="100"/>
      <c r="O58" s="235"/>
      <c r="P58" s="100"/>
    </row>
    <row r="59" spans="1:17" ht="14.5" customHeight="1">
      <c r="A59" s="6"/>
      <c r="B59" s="6"/>
      <c r="F59" s="6"/>
      <c r="I59" s="6"/>
      <c r="J59" s="6"/>
      <c r="K59" s="86"/>
      <c r="M59" s="241"/>
      <c r="N59" s="100"/>
      <c r="O59" s="235"/>
      <c r="P59" s="100"/>
    </row>
    <row r="60" spans="1:17" ht="29.15" customHeight="1">
      <c r="A60" s="6"/>
      <c r="B60" s="6"/>
      <c r="F60" s="6"/>
      <c r="I60" s="6"/>
      <c r="J60" s="6"/>
      <c r="K60" s="86"/>
      <c r="M60" s="241"/>
      <c r="N60" s="100"/>
      <c r="O60" s="236"/>
      <c r="P60" s="100"/>
    </row>
    <row r="61" spans="1:17" ht="14.5">
      <c r="A61" s="6"/>
      <c r="B61" s="6"/>
      <c r="F61" s="6"/>
      <c r="I61" s="6"/>
      <c r="J61" s="6"/>
      <c r="K61" s="86"/>
      <c r="M61" s="241"/>
      <c r="N61" s="100"/>
      <c r="O61" s="100"/>
      <c r="P61" s="100"/>
    </row>
    <row r="62" spans="1:17" ht="14.5">
      <c r="A62" s="6"/>
      <c r="B62" s="6"/>
      <c r="F62" s="6"/>
      <c r="I62" s="6"/>
      <c r="J62" s="6"/>
      <c r="K62" s="86"/>
      <c r="M62" s="241"/>
      <c r="N62" s="100"/>
      <c r="O62" s="100"/>
      <c r="P62" s="100"/>
    </row>
    <row r="63" spans="1:17" ht="14.5">
      <c r="A63" s="6"/>
      <c r="B63" s="6"/>
      <c r="F63" s="6"/>
      <c r="I63" s="6"/>
      <c r="J63" s="6"/>
      <c r="K63" s="86"/>
      <c r="M63" s="241"/>
      <c r="N63" s="100"/>
      <c r="O63" s="100"/>
      <c r="P63" s="100"/>
    </row>
    <row r="64" spans="1:17" ht="14.5">
      <c r="A64" s="6"/>
      <c r="B64" s="6"/>
      <c r="F64" s="6"/>
      <c r="I64" s="6"/>
      <c r="J64" s="6"/>
      <c r="K64" s="86"/>
      <c r="M64" s="241"/>
      <c r="N64" s="100"/>
      <c r="O64" s="100"/>
      <c r="P64" s="100"/>
    </row>
    <row r="65" spans="1:17" ht="14.5">
      <c r="A65" s="6"/>
      <c r="B65" s="6"/>
      <c r="F65" s="6"/>
      <c r="I65" s="6"/>
      <c r="J65" s="6"/>
      <c r="K65" s="86"/>
      <c r="M65" s="241"/>
      <c r="N65" s="100"/>
      <c r="O65" s="100"/>
      <c r="P65" s="100"/>
    </row>
    <row r="66" spans="1:17" ht="19" customHeight="1">
      <c r="A66" s="6"/>
      <c r="B66" s="6"/>
      <c r="F66" s="6"/>
      <c r="I66" s="6"/>
      <c r="J66" s="6"/>
      <c r="K66" s="86"/>
      <c r="M66" s="242"/>
      <c r="N66" s="100"/>
      <c r="O66" s="100"/>
      <c r="P66" s="100"/>
    </row>
    <row r="67" spans="1:17" ht="13" customHeight="1">
      <c r="J67" s="6"/>
      <c r="K67" s="86"/>
    </row>
    <row r="68" spans="1:17" ht="14.5">
      <c r="A68" s="3"/>
      <c r="J68" s="6"/>
      <c r="K68" s="86"/>
      <c r="M68" s="100"/>
      <c r="N68" s="100"/>
      <c r="O68" s="100"/>
      <c r="P68" s="100"/>
      <c r="Q68" s="100"/>
    </row>
    <row r="69" spans="1:17" ht="14.5">
      <c r="A69" s="105" t="s">
        <v>114</v>
      </c>
      <c r="B69" s="106"/>
      <c r="C69" s="107" t="s">
        <v>115</v>
      </c>
      <c r="D69" s="108"/>
      <c r="E69" s="108"/>
      <c r="F69" s="109"/>
      <c r="G69" s="109"/>
      <c r="H69" s="108"/>
      <c r="J69" s="6"/>
      <c r="K69" s="86"/>
      <c r="M69" s="100"/>
      <c r="N69" s="100"/>
      <c r="O69" s="100"/>
      <c r="P69" s="100"/>
      <c r="Q69" s="100"/>
    </row>
    <row r="70" spans="1:17" ht="14.5" customHeight="1">
      <c r="A70" s="110" t="s">
        <v>116</v>
      </c>
      <c r="B70" s="111"/>
      <c r="C70" s="108"/>
      <c r="D70" s="112"/>
      <c r="E70" s="112"/>
      <c r="F70" s="112"/>
      <c r="G70" s="112"/>
      <c r="H70" s="113"/>
      <c r="J70" s="6"/>
      <c r="K70" s="86"/>
      <c r="M70" s="87" t="s">
        <v>117</v>
      </c>
      <c r="N70" s="102"/>
      <c r="O70" s="87" t="s">
        <v>118</v>
      </c>
      <c r="P70" s="102"/>
      <c r="Q70" s="87" t="s">
        <v>119</v>
      </c>
    </row>
    <row r="71" spans="1:17" ht="14.5" customHeight="1">
      <c r="A71" s="114"/>
      <c r="B71" s="115"/>
      <c r="C71" s="105" t="s">
        <v>120</v>
      </c>
      <c r="D71" s="116"/>
      <c r="E71" s="116"/>
      <c r="F71" s="116"/>
      <c r="G71" s="116"/>
      <c r="H71" s="116"/>
      <c r="I71" s="6"/>
      <c r="J71" s="6"/>
      <c r="K71" s="86"/>
      <c r="M71" s="243" t="s">
        <v>121</v>
      </c>
      <c r="N71" s="103"/>
      <c r="O71" s="237" t="s">
        <v>122</v>
      </c>
      <c r="P71" s="103"/>
      <c r="Q71" s="219" t="s">
        <v>123</v>
      </c>
    </row>
    <row r="72" spans="1:17" ht="14.5" customHeight="1">
      <c r="A72" s="110"/>
      <c r="B72" s="117"/>
      <c r="C72" s="108"/>
      <c r="D72" s="116"/>
      <c r="E72" s="116"/>
      <c r="F72" s="116"/>
      <c r="G72" s="116"/>
      <c r="H72" s="116"/>
      <c r="J72" s="6"/>
      <c r="K72" s="86"/>
      <c r="M72" s="244"/>
      <c r="N72" s="103"/>
      <c r="O72" s="238"/>
      <c r="P72" s="103"/>
      <c r="Q72" s="220"/>
    </row>
    <row r="73" spans="1:17" ht="14.5" customHeight="1">
      <c r="A73" s="110"/>
      <c r="B73" s="116"/>
      <c r="C73" s="259" t="s">
        <v>126</v>
      </c>
      <c r="D73" s="226"/>
      <c r="E73" s="226"/>
      <c r="F73" s="226"/>
      <c r="G73" s="226"/>
      <c r="H73" s="226"/>
      <c r="J73" s="6"/>
      <c r="K73" s="86"/>
      <c r="M73" s="244"/>
      <c r="N73" s="103"/>
      <c r="O73" s="238"/>
      <c r="P73" s="103"/>
      <c r="Q73" s="220"/>
    </row>
    <row r="74" spans="1:17" ht="15" customHeight="1">
      <c r="A74" s="110"/>
      <c r="B74" s="116"/>
      <c r="C74" s="226"/>
      <c r="D74" s="226"/>
      <c r="E74" s="226"/>
      <c r="F74" s="226"/>
      <c r="G74" s="226"/>
      <c r="H74" s="226"/>
      <c r="J74" s="6"/>
      <c r="K74" s="86"/>
      <c r="M74" s="244"/>
      <c r="N74" s="103"/>
      <c r="O74" s="238"/>
      <c r="P74" s="103"/>
      <c r="Q74" s="220"/>
    </row>
    <row r="75" spans="1:17" ht="15" customHeight="1">
      <c r="A75" s="110"/>
      <c r="B75" s="116"/>
      <c r="C75" s="226"/>
      <c r="D75" s="226"/>
      <c r="E75" s="226"/>
      <c r="F75" s="226"/>
      <c r="G75" s="226"/>
      <c r="H75" s="226"/>
      <c r="J75" s="6"/>
      <c r="K75" s="86"/>
      <c r="M75" s="244"/>
      <c r="N75" s="103"/>
      <c r="O75" s="238"/>
      <c r="P75" s="103"/>
      <c r="Q75" s="221"/>
    </row>
    <row r="76" spans="1:17" ht="15" customHeight="1">
      <c r="A76" s="110"/>
      <c r="B76" s="116"/>
      <c r="C76" s="226"/>
      <c r="D76" s="226"/>
      <c r="E76" s="226"/>
      <c r="F76" s="226"/>
      <c r="G76" s="226"/>
      <c r="H76" s="226"/>
      <c r="J76" s="6"/>
      <c r="K76" s="86"/>
      <c r="M76" s="244"/>
      <c r="N76" s="100"/>
      <c r="O76" s="238"/>
      <c r="P76" s="100"/>
    </row>
    <row r="77" spans="1:17" ht="44.15" customHeight="1">
      <c r="A77" s="110"/>
      <c r="B77" s="116"/>
      <c r="C77" s="108"/>
      <c r="D77" s="108"/>
      <c r="E77" s="108"/>
      <c r="F77" s="109"/>
      <c r="G77" s="109"/>
      <c r="H77" s="108"/>
      <c r="J77" s="6"/>
      <c r="K77" s="86"/>
      <c r="M77" s="244"/>
      <c r="N77" s="100"/>
      <c r="O77" s="238"/>
      <c r="P77" s="100"/>
    </row>
    <row r="78" spans="1:17" ht="14.5">
      <c r="A78" s="110"/>
      <c r="B78" s="115"/>
      <c r="C78" s="108"/>
      <c r="D78" s="108"/>
      <c r="E78" s="108"/>
      <c r="F78" s="109"/>
      <c r="G78" s="109"/>
      <c r="H78" s="108"/>
      <c r="I78" s="43"/>
      <c r="J78" s="6"/>
      <c r="K78" s="86"/>
      <c r="M78" s="244"/>
      <c r="N78" s="100"/>
      <c r="O78" s="238"/>
      <c r="P78" s="100"/>
    </row>
    <row r="79" spans="1:17" ht="14.5" customHeight="1">
      <c r="A79" s="110"/>
      <c r="B79" s="115"/>
      <c r="C79" s="108"/>
      <c r="D79" s="108"/>
      <c r="E79" s="108"/>
      <c r="F79" s="108"/>
      <c r="G79" s="108"/>
      <c r="H79" s="108"/>
      <c r="I79" s="124"/>
      <c r="J79" s="6"/>
      <c r="K79" s="86"/>
      <c r="M79" s="244"/>
      <c r="N79" s="100"/>
      <c r="O79" s="238"/>
      <c r="P79" s="100"/>
    </row>
    <row r="80" spans="1:17" ht="14.5" customHeight="1">
      <c r="A80" s="110"/>
      <c r="B80" s="115"/>
      <c r="C80" s="108"/>
      <c r="D80" s="108"/>
      <c r="E80" s="108"/>
      <c r="F80" s="108"/>
      <c r="G80" s="108"/>
      <c r="H80" s="108"/>
      <c r="J80" s="6"/>
      <c r="K80" s="86"/>
      <c r="M80" s="244"/>
      <c r="N80" s="100"/>
      <c r="O80" s="238"/>
      <c r="P80" s="100"/>
    </row>
    <row r="81" spans="1:17" ht="13" customHeight="1">
      <c r="A81" s="110"/>
      <c r="B81" s="115"/>
      <c r="C81" s="108"/>
      <c r="D81" s="108"/>
      <c r="E81" s="108"/>
      <c r="F81" s="108"/>
      <c r="G81" s="108"/>
      <c r="H81" s="108"/>
      <c r="K81" s="86"/>
      <c r="M81" s="244"/>
      <c r="N81" s="100"/>
      <c r="O81" s="238"/>
      <c r="P81" s="100"/>
    </row>
    <row r="82" spans="1:17" s="3" customFormat="1" ht="13" customHeight="1">
      <c r="A82" s="110"/>
      <c r="B82" s="115"/>
      <c r="C82" s="108"/>
      <c r="D82" s="108"/>
      <c r="E82" s="108"/>
      <c r="F82" s="108"/>
      <c r="G82" s="108"/>
      <c r="H82" s="108"/>
      <c r="K82" s="86"/>
      <c r="L82" s="6"/>
      <c r="M82" s="244"/>
      <c r="N82" s="100"/>
      <c r="O82" s="238"/>
      <c r="P82" s="100"/>
      <c r="Q82" s="6"/>
    </row>
    <row r="83" spans="1:17" ht="15" customHeight="1">
      <c r="A83" s="110"/>
      <c r="B83" s="115"/>
      <c r="C83" s="108"/>
      <c r="D83" s="108"/>
      <c r="E83" s="108"/>
      <c r="F83" s="108"/>
      <c r="G83" s="108"/>
      <c r="H83" s="108"/>
      <c r="I83" s="43"/>
      <c r="K83" s="86"/>
      <c r="M83" s="245"/>
      <c r="O83" s="238"/>
    </row>
    <row r="84" spans="1:17" ht="14.5" customHeight="1">
      <c r="A84" s="110"/>
      <c r="B84" s="118"/>
      <c r="C84" s="107" t="s">
        <v>124</v>
      </c>
      <c r="D84" s="108"/>
      <c r="E84" s="108"/>
      <c r="F84" s="108"/>
      <c r="G84" s="108"/>
      <c r="H84" s="108"/>
      <c r="I84" s="43"/>
      <c r="K84" s="86"/>
      <c r="O84" s="238"/>
    </row>
    <row r="85" spans="1:17" ht="13" customHeight="1">
      <c r="A85" s="110"/>
      <c r="B85" s="118"/>
      <c r="C85" s="119" t="s">
        <v>125</v>
      </c>
      <c r="D85" s="108"/>
      <c r="E85" s="108"/>
      <c r="F85" s="108"/>
      <c r="G85" s="108"/>
      <c r="H85" s="108"/>
      <c r="I85" s="43"/>
      <c r="K85" s="86"/>
      <c r="O85" s="238"/>
    </row>
    <row r="86" spans="1:17" ht="13" customHeight="1">
      <c r="B86" s="79"/>
      <c r="F86" s="6"/>
      <c r="I86" s="43"/>
      <c r="K86" s="86"/>
      <c r="O86" s="238"/>
    </row>
    <row r="87" spans="1:17" ht="13" customHeight="1">
      <c r="B87" s="79"/>
      <c r="F87" s="6"/>
      <c r="I87" s="43"/>
      <c r="K87" s="86"/>
      <c r="O87" s="238"/>
    </row>
    <row r="88" spans="1:17" ht="15" customHeight="1">
      <c r="B88" s="79"/>
      <c r="F88" s="6"/>
      <c r="I88" s="43"/>
      <c r="K88" s="86"/>
      <c r="O88" s="238"/>
    </row>
    <row r="89" spans="1:17" ht="14.5" customHeight="1">
      <c r="B89" s="42"/>
      <c r="C89" s="31"/>
      <c r="F89" s="6"/>
      <c r="K89" s="86"/>
      <c r="O89" s="238"/>
    </row>
    <row r="90" spans="1:17" ht="14.5" customHeight="1">
      <c r="B90" s="42"/>
      <c r="C90" s="32"/>
      <c r="F90" s="6"/>
      <c r="K90" s="86"/>
      <c r="O90" s="238"/>
    </row>
    <row r="91" spans="1:17" ht="13" customHeight="1">
      <c r="B91" s="120"/>
      <c r="C91" s="121"/>
      <c r="D91" s="121"/>
      <c r="E91" s="121"/>
      <c r="F91" s="121"/>
      <c r="K91" s="86"/>
      <c r="O91" s="238"/>
    </row>
    <row r="92" spans="1:17" ht="13" customHeight="1">
      <c r="B92" s="122"/>
      <c r="C92" s="121"/>
      <c r="D92" s="123"/>
      <c r="E92" s="123"/>
      <c r="F92" s="123"/>
      <c r="K92" s="86"/>
      <c r="O92" s="238"/>
    </row>
    <row r="93" spans="1:17" ht="12.65" customHeight="1">
      <c r="A93" s="86"/>
      <c r="B93" s="86"/>
      <c r="C93" s="86"/>
      <c r="D93" s="86"/>
      <c r="E93" s="86"/>
      <c r="F93" s="86"/>
      <c r="G93" s="86"/>
      <c r="H93" s="86"/>
      <c r="I93" s="86"/>
      <c r="J93" s="86"/>
      <c r="K93" s="86"/>
      <c r="O93" s="239"/>
    </row>
    <row r="94" spans="1:17" ht="13" customHeight="1">
      <c r="B94" s="6"/>
      <c r="C94" s="33"/>
      <c r="F94" s="6"/>
    </row>
    <row r="95" spans="1:17" ht="13" customHeight="1">
      <c r="B95" s="6"/>
      <c r="C95" s="33"/>
      <c r="F95" s="6"/>
    </row>
    <row r="96" spans="1:17" ht="13" customHeight="1">
      <c r="B96" s="6"/>
      <c r="C96" s="33"/>
      <c r="F96" s="6"/>
    </row>
    <row r="97" spans="1:10" ht="12.65" customHeight="1">
      <c r="A97" s="6"/>
      <c r="B97" s="6"/>
      <c r="C97" s="33"/>
      <c r="F97" s="6"/>
      <c r="I97" s="6"/>
      <c r="J97" s="6"/>
    </row>
    <row r="98" spans="1:10" ht="12.65" customHeight="1">
      <c r="A98" s="6"/>
      <c r="B98" s="6"/>
      <c r="F98" s="6"/>
      <c r="I98" s="6"/>
      <c r="J98" s="6"/>
    </row>
    <row r="99" spans="1:10" ht="13" customHeight="1">
      <c r="A99" s="6"/>
      <c r="B99" s="6"/>
      <c r="F99" s="6"/>
      <c r="I99" s="6"/>
      <c r="J99" s="6"/>
    </row>
    <row r="100" spans="1:10" ht="15" customHeight="1">
      <c r="A100" s="6"/>
      <c r="B100" s="6"/>
      <c r="F100" s="6"/>
      <c r="I100" s="6"/>
      <c r="J100" s="6"/>
    </row>
    <row r="101" spans="1:10" ht="12.75" customHeight="1">
      <c r="A101" s="6"/>
      <c r="B101" s="6"/>
      <c r="F101" s="6"/>
      <c r="I101" s="6"/>
    </row>
    <row r="102" spans="1:10" ht="12.75" customHeight="1">
      <c r="A102" s="6"/>
      <c r="B102" s="6"/>
      <c r="F102" s="6"/>
      <c r="I102" s="6"/>
    </row>
    <row r="103" spans="1:10" ht="12.75" customHeight="1">
      <c r="A103" s="6"/>
      <c r="B103" s="6"/>
      <c r="F103" s="6"/>
      <c r="I103" s="6"/>
    </row>
    <row r="104" spans="1:10" ht="12.75" customHeight="1">
      <c r="A104" s="6"/>
      <c r="B104" s="6"/>
      <c r="F104" s="6"/>
      <c r="I104" s="6"/>
    </row>
    <row r="105" spans="1:10" ht="12.75" customHeight="1">
      <c r="A105" s="6"/>
      <c r="B105" s="6"/>
      <c r="F105" s="6"/>
      <c r="I105" s="6"/>
    </row>
    <row r="106" spans="1:10" ht="12.75" customHeight="1">
      <c r="A106" s="6"/>
      <c r="B106" s="6"/>
      <c r="F106" s="6"/>
      <c r="I106" s="6"/>
    </row>
    <row r="107" spans="1:10" ht="12.75" customHeight="1">
      <c r="A107" s="6"/>
      <c r="B107" s="6"/>
      <c r="F107" s="6"/>
      <c r="I107" s="6"/>
    </row>
  </sheetData>
  <mergeCells count="20">
    <mergeCell ref="C19:I19"/>
    <mergeCell ref="C21:I21"/>
    <mergeCell ref="C24:I24"/>
    <mergeCell ref="C53:G53"/>
    <mergeCell ref="Q3:Q10"/>
    <mergeCell ref="Q13:Q16"/>
    <mergeCell ref="Q46:Q57"/>
    <mergeCell ref="Q71:Q75"/>
    <mergeCell ref="C73:H76"/>
    <mergeCell ref="O3:O11"/>
    <mergeCell ref="O13:O21"/>
    <mergeCell ref="O24:O43"/>
    <mergeCell ref="O46:O60"/>
    <mergeCell ref="O71:O93"/>
    <mergeCell ref="M3:M10"/>
    <mergeCell ref="M13:M20"/>
    <mergeCell ref="M24:M26"/>
    <mergeCell ref="M46:M66"/>
    <mergeCell ref="M71:M83"/>
    <mergeCell ref="C17:I17"/>
  </mergeCells>
  <phoneticPr fontId="55" type="noConversion"/>
  <hyperlinks>
    <hyperlink ref="M12" location="'LRA_无形资产&amp;摊销费用'!A15" display="LRA -基础操作指引-【02】" xr:uid="{00000000-0004-0000-0200-000000000000}"/>
    <hyperlink ref="O12" location="'LRA_无形资产&amp;摊销费用'!A15" display="LRA -进阶实操提示-【02】" xr:uid="{00000000-0004-0000-0200-000001000000}"/>
    <hyperlink ref="M23" location="'LRA_无形资产&amp;摊销费用'!$A$23" display="LRA -基础操作指引-【03】" xr:uid="{00000000-0004-0000-0200-000002000000}"/>
    <hyperlink ref="O23" location="'LRA_无形资产&amp;摊销费用'!$A$23" display="LRA -进阶实操提示-【03】" xr:uid="{00000000-0004-0000-0200-000003000000}"/>
    <hyperlink ref="Q12" location="'LRA_无形资产&amp;摊销费用'!A15" display="LRA -易错点-【02】" xr:uid="{00000000-0004-0000-0200-000004000000}"/>
    <hyperlink ref="M45" location="'LRA_无形资产&amp;摊销费用'!$A$27" display="LRA -基础操作指引-【04】" xr:uid="{00000000-0004-0000-0200-000005000000}"/>
    <hyperlink ref="O45" location="'LRA_无形资产&amp;摊销费用'!$A$27" display="LRA -进阶实操提示-【04】" xr:uid="{00000000-0004-0000-0200-000006000000}"/>
    <hyperlink ref="Q45" location="'LRA_无形资产&amp;摊销费用'!$A$27" display="LRA -易错点-【03】" xr:uid="{00000000-0004-0000-0200-000007000000}"/>
    <hyperlink ref="M2" location="'LRA_无形资产&amp;摊销费用'!$B$1" display="LRA -基础操作指引-【01】" xr:uid="{00000000-0004-0000-0200-000008000000}"/>
    <hyperlink ref="O2" location="'LRA_无形资产&amp;摊销费用'!$B$1" display="LRA -进阶实操提示-【01】" xr:uid="{00000000-0004-0000-0200-000009000000}"/>
    <hyperlink ref="Q2" location="'LRA_无形资产&amp;摊销费用'!$B$1" display="LRA -易错点-【01】" xr:uid="{00000000-0004-0000-0200-00000A000000}"/>
    <hyperlink ref="M70" location="'LRA_无形资产&amp;摊销费用'!$A$71" display="LRA -基础操作指引-【05】" xr:uid="{00000000-0004-0000-0200-00000B000000}"/>
    <hyperlink ref="O70" location="'LRA_无形资产&amp;摊销费用'!$A$71" display="LRA -进阶实操提示-【05】" xr:uid="{00000000-0004-0000-0200-00000C000000}"/>
    <hyperlink ref="Q70" location="'LRA_无形资产&amp;摊销费用'!$A$71" display="LRA -易错点-【04】" xr:uid="{00000000-0004-0000-0200-00000D000000}"/>
  </hyperlinks>
  <pageMargins left="0.7" right="0.7" top="0.75" bottom="0.75" header="0.3" footer="0.3"/>
  <pageSetup paperSize="9" orientation="portrait" horizontalDpi="300" verticalDpi="3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x529f__x80fd_ xmlns="40fc120a-2fff-4faa-a9fb-21f3ca9725a5" xsi:nil="true"/>
    <_x0031_ xmlns="40fc120a-2fff-4faa-a9fb-21f3ca9725a5">1</_x0031_>
    <SharedWithUsers xmlns="015fd494-fceb-444f-8f75-bf280af9bf39">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文档" ma:contentTypeID="0x01010095719B6FD07E654D8E9715B5271DEAE7" ma:contentTypeVersion="4" ma:contentTypeDescription="新建文档。" ma:contentTypeScope="" ma:versionID="da52cf1e6565c70c7120566835fd1563">
  <xsd:schema xmlns:xsd="http://www.w3.org/2001/XMLSchema" xmlns:xs="http://www.w3.org/2001/XMLSchema" xmlns:p="http://schemas.microsoft.com/office/2006/metadata/properties" xmlns:ns2="015fd494-fceb-444f-8f75-bf280af9bf39" xmlns:ns3="40fc120a-2fff-4faa-a9fb-21f3ca9725a5" targetNamespace="http://schemas.microsoft.com/office/2006/metadata/properties" ma:root="true" ma:fieldsID="d09d777143feec82fdf9a045428bfc4c" ns2:_="" ns3:_="">
    <xsd:import namespace="015fd494-fceb-444f-8f75-bf280af9bf39"/>
    <xsd:import namespace="40fc120a-2fff-4faa-a9fb-21f3ca9725a5"/>
    <xsd:element name="properties">
      <xsd:complexType>
        <xsd:sequence>
          <xsd:element name="documentManagement">
            <xsd:complexType>
              <xsd:all>
                <xsd:element ref="ns2:SharedWithUsers" minOccurs="0"/>
                <xsd:element ref="ns2:SharedWithDetails" minOccurs="0"/>
                <xsd:element ref="ns3:_x529f__x80fd_" minOccurs="0"/>
                <xsd:element ref="ns3:_x0031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5fd494-fceb-444f-8f75-bf280af9bf39"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0fc120a-2fff-4faa-a9fb-21f3ca9725a5" elementFormDefault="qualified">
    <xsd:import namespace="http://schemas.microsoft.com/office/2006/documentManagement/types"/>
    <xsd:import namespace="http://schemas.microsoft.com/office/infopath/2007/PartnerControls"/>
    <xsd:element name="_x529f__x80fd_" ma:index="10" nillable="true" ma:displayName="功能" ma:format="Dropdown" ma:internalName="_x529f__x80fd_">
      <xsd:simpleType>
        <xsd:restriction base="dms:Note">
          <xsd:maxLength value="255"/>
        </xsd:restriction>
      </xsd:simpleType>
    </xsd:element>
    <xsd:element name="_x0031_" ma:index="11" nillable="true" ma:displayName="排序" ma:default="1" ma:format="Dropdown" ma:internalName="_x0031_"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52F25D-8BDF-482B-BDA1-53E50E83CBEA}">
  <ds:schemaRefs/>
</ds:datastoreItem>
</file>

<file path=customXml/itemProps2.xml><?xml version="1.0" encoding="utf-8"?>
<ds:datastoreItem xmlns:ds="http://schemas.openxmlformats.org/officeDocument/2006/customXml" ds:itemID="{B00F08FD-6656-4BC1-944E-F4BA352321EC}">
  <ds:schemaRefs/>
</ds:datastoreItem>
</file>

<file path=customXml/itemProps3.xml><?xml version="1.0" encoding="utf-8"?>
<ds:datastoreItem xmlns:ds="http://schemas.openxmlformats.org/officeDocument/2006/customXml" ds:itemID="{51EFCC28-1C76-4E3F-A498-7021CABBCC2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使用指引</vt:lpstr>
      <vt:lpstr>后推明细表</vt:lpstr>
      <vt:lpstr>LRA_无形资产&amp;摊销费用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LRA_固定资产.xlsx</dc:title>
  <dc:creator>Elaine DD Xie</dc:creator>
  <dc:description>7876425F-1D7B-4D86-8C15-3CD901F123E9</dc:description>
  <cp:lastModifiedBy>April YL Wang</cp:lastModifiedBy>
  <dcterms:created xsi:type="dcterms:W3CDTF">2024-11-04T08:15:00Z</dcterms:created>
  <dcterms:modified xsi:type="dcterms:W3CDTF">2025-11-13T07:40:13Z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0x01010095719B6FD07E654D8E9715B5271DEAE7</vt:lpwstr>
  </property>
  <property fmtid="{D5CDD505-2E9C-101B-9397-08002B2CF9AE}" pid="3" name="Order">
    <vt:r8>3505600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ICV">
    <vt:lpwstr>7CC5966F2C534492B800DACCE5197CD8_12</vt:lpwstr>
  </property>
  <property fmtid="{D5CDD505-2E9C-101B-9397-08002B2CF9AE}" pid="11" name="KSOProductBuildVer">
    <vt:lpwstr>2052-12.1.0.23125</vt:lpwstr>
  </property>
</Properties>
</file>
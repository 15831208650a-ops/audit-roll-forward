
<file path=[Content_Types].xml><?xml version="1.0" encoding="utf-8"?>
<Types xmlns="http://schemas.openxmlformats.org/package/2006/content-types">
  <Default Extension="xml" ContentType="application/xml"/>
  <Default Extension="wmf" ContentType="image/x-wmf"/>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735"/>
  </bookViews>
  <sheets>
    <sheet name="后推明细表" sheetId="7" r:id="rId1"/>
    <sheet name="LRA_无形资产&amp;摊销费用" sheetId="8" r:id="rId2"/>
  </sheets>
  <externalReferences>
    <externalReference r:id="rId6"/>
    <externalReference r:id="rId7"/>
    <externalReference r:id="rId8"/>
  </externalReferences>
  <definedNames>
    <definedName name="_____dod1" localSheetId="1" hidden="1">{#N/A,#N/A,TRUE,"CPRD";#N/A,#N/A,TRUE,"BCCPDR";#N/A,#N/A,TRUE,"EWRD";#N/A,#N/A,TRUE,"5100";#N/A,#N/A,TRUE,"5110"}</definedName>
    <definedName name="_____dod1" localSheetId="0" hidden="1">{#N/A,#N/A,TRUE,"CPRD";#N/A,#N/A,TRUE,"BCCPDR";#N/A,#N/A,TRUE,"EWRD";#N/A,#N/A,TRUE,"5100";#N/A,#N/A,TRUE,"5110"}</definedName>
    <definedName name="_____dod1" hidden="1">{#N/A,#N/A,TRUE,"CPRD";#N/A,#N/A,TRUE,"BCCPDR";#N/A,#N/A,TRUE,"EWRD";#N/A,#N/A,TRUE,"5100";#N/A,#N/A,TRUE,"5110"}</definedName>
    <definedName name="____dod1" localSheetId="1" hidden="1">{#N/A,#N/A,TRUE,"CPRD";#N/A,#N/A,TRUE,"BCCPDR";#N/A,#N/A,TRUE,"EWRD";#N/A,#N/A,TRUE,"5100";#N/A,#N/A,TRUE,"5110"}</definedName>
    <definedName name="____dod1" localSheetId="0" hidden="1">{#N/A,#N/A,TRUE,"CPRD";#N/A,#N/A,TRUE,"BCCPDR";#N/A,#N/A,TRUE,"EWRD";#N/A,#N/A,TRUE,"5100";#N/A,#N/A,TRUE,"5110"}</definedName>
    <definedName name="____dod1" hidden="1">{#N/A,#N/A,TRUE,"CPRD";#N/A,#N/A,TRUE,"BCCPDR";#N/A,#N/A,TRUE,"EWRD";#N/A,#N/A,TRUE,"5100";#N/A,#N/A,TRUE,"5110"}</definedName>
    <definedName name="___dod1" localSheetId="1" hidden="1">{#N/A,#N/A,TRUE,"CPRD";#N/A,#N/A,TRUE,"BCCPDR";#N/A,#N/A,TRUE,"EWRD";#N/A,#N/A,TRUE,"5100";#N/A,#N/A,TRUE,"5110"}</definedName>
    <definedName name="___dod1" localSheetId="0" hidden="1">{#N/A,#N/A,TRUE,"CPRD";#N/A,#N/A,TRUE,"BCCPDR";#N/A,#N/A,TRUE,"EWRD";#N/A,#N/A,TRUE,"5100";#N/A,#N/A,TRUE,"5110"}</definedName>
    <definedName name="___dod1" hidden="1">{#N/A,#N/A,TRUE,"CPRD";#N/A,#N/A,TRUE,"BCCPDR";#N/A,#N/A,TRUE,"EWRD";#N/A,#N/A,TRUE,"5100";#N/A,#N/A,TRUE,"5110"}</definedName>
    <definedName name="___dog1" localSheetId="1" hidden="1">{#N/A,#N/A,TRUE,"CPRD";#N/A,#N/A,TRUE,"BCCPDR";#N/A,#N/A,TRUE,"EWRD";#N/A,#N/A,TRUE,"5100";#N/A,#N/A,TRUE,"5110"}</definedName>
    <definedName name="___dog1" localSheetId="0" hidden="1">{#N/A,#N/A,TRUE,"CPRD";#N/A,#N/A,TRUE,"BCCPDR";#N/A,#N/A,TRUE,"EWRD";#N/A,#N/A,TRUE,"5100";#N/A,#N/A,TRUE,"5110"}</definedName>
    <definedName name="___dog1" hidden="1">{#N/A,#N/A,TRUE,"CPRD";#N/A,#N/A,TRUE,"BCCPDR";#N/A,#N/A,TRUE,"EWRD";#N/A,#N/A,TRUE,"5100";#N/A,#N/A,TRUE,"5110"}</definedName>
    <definedName name="__123Graph_A" hidden="1">#REF!</definedName>
    <definedName name="__123Graph_ACURRENT" hidden="1">#REF!</definedName>
    <definedName name="__123Graph_AGraph1" hidden="1">#REF!</definedName>
    <definedName name="__123Graph_ANETPROFIT2" hidden="1">#REF!</definedName>
    <definedName name="__123Graph_APROJECT" hidden="1">#REF!</definedName>
    <definedName name="__123Graph_B" hidden="1">#REF!</definedName>
    <definedName name="__123Graph_BGraph1" hidden="1">#REF!</definedName>
    <definedName name="__123Graph_C" hidden="1">#REF!</definedName>
    <definedName name="__123Graph_CCURRENT" hidden="1">#REF!</definedName>
    <definedName name="__123Graph_CGraph1" hidden="1">#REF!</definedName>
    <definedName name="__123Graph_D" localSheetId="1" hidden="1">#REF!</definedName>
    <definedName name="__123Graph_D" hidden="1">#REF!</definedName>
    <definedName name="__123Graph_DCURRENT" hidden="1">#REF!</definedName>
    <definedName name="__123Graph_DGraph1" hidden="1">#REF!</definedName>
    <definedName name="__123Graph_E" hidden="1">#REF!</definedName>
    <definedName name="__123Graph_ECURRENT" hidden="1">#REF!</definedName>
    <definedName name="__123Graph_EGraph1" hidden="1">#REF!</definedName>
    <definedName name="__123Graph_F" hidden="1">#REF!</definedName>
    <definedName name="__123Graph_FCURRENT" hidden="1">#REF!</definedName>
    <definedName name="__123Graph_LBL_ANETPROFIT2" hidden="1">#REF!</definedName>
    <definedName name="__123Graph_LBL_APROJECT" hidden="1">#REF!</definedName>
    <definedName name="__123Graph_X" hidden="1">#REF!</definedName>
    <definedName name="__123Graph_XGraph1" hidden="1">#REF!</definedName>
    <definedName name="__A11" localSheetId="1" hidden="1">{#N/A,#N/A,FALSE,"Umsatz 99";#N/A,#N/A,FALSE,"ER 99 "}</definedName>
    <definedName name="__A11" hidden="1">{#N/A,#N/A,FALSE,"Umsatz 99";#N/A,#N/A,FALSE,"ER 99 "}</definedName>
    <definedName name="__c" localSheetId="1" hidden="1">{"Fiesta Facer Page",#N/A,FALSE,"Q_C_S";"Fiesta Main Page",#N/A,FALSE,"V_L";"Fiesta 95BP Struct",#N/A,FALSE,"StructBP";"Fiesta Post 95BP Struct",#N/A,FALSE,"AdjStructBP"}</definedName>
    <definedName name="__c" hidden="1">{"Fiesta Facer Page",#N/A,FALSE,"Q_C_S";"Fiesta Main Page",#N/A,FALSE,"V_L";"Fiesta 95BP Struct",#N/A,FALSE,"StructBP";"Fiesta Post 95BP Struct",#N/A,FALSE,"AdjStructBP"}</definedName>
    <definedName name="__dod1" localSheetId="1" hidden="1">{#N/A,#N/A,TRUE,"CPRD";#N/A,#N/A,TRUE,"BCCPDR";#N/A,#N/A,TRUE,"EWRD";#N/A,#N/A,TRUE,"5100";#N/A,#N/A,TRUE,"5110"}</definedName>
    <definedName name="__dod1" localSheetId="0" hidden="1">{#N/A,#N/A,TRUE,"CPRD";#N/A,#N/A,TRUE,"BCCPDR";#N/A,#N/A,TRUE,"EWRD";#N/A,#N/A,TRUE,"5100";#N/A,#N/A,TRUE,"5110"}</definedName>
    <definedName name="__dod1" hidden="1">{#N/A,#N/A,TRUE,"CPRD";#N/A,#N/A,TRUE,"BCCPDR";#N/A,#N/A,TRUE,"EWRD";#N/A,#N/A,TRUE,"5100";#N/A,#N/A,TRUE,"5110"}</definedName>
    <definedName name="__dog1" localSheetId="1" hidden="1">{#N/A,#N/A,TRUE,"CPRD";#N/A,#N/A,TRUE,"BCCPDR";#N/A,#N/A,TRUE,"EWRD";#N/A,#N/A,TRUE,"5100";#N/A,#N/A,TRUE,"5110"}</definedName>
    <definedName name="__dog1" localSheetId="0" hidden="1">{#N/A,#N/A,TRUE,"CPRD";#N/A,#N/A,TRUE,"BCCPDR";#N/A,#N/A,TRUE,"EWRD";#N/A,#N/A,TRUE,"5100";#N/A,#N/A,TRUE,"5110"}</definedName>
    <definedName name="__dog1" hidden="1">{#N/A,#N/A,TRUE,"CPRD";#N/A,#N/A,TRUE,"BCCPDR";#N/A,#N/A,TRUE,"EWRD";#N/A,#N/A,TRUE,"5100";#N/A,#N/A,TRUE,"5110"}</definedName>
    <definedName name="__FDS_HYPERLINK_TOGGLE_STATE__" hidden="1">"ON"</definedName>
    <definedName name="__H200" localSheetId="1" hidden="1">{#N/A,#N/A,FALSE,"ABB HOLDING LTD"}</definedName>
    <definedName name="__H200" hidden="1">{#N/A,#N/A,FALSE,"ABB HOLDING LTD"}</definedName>
    <definedName name="__IntlFixup" hidden="1">TRUE</definedName>
    <definedName name="_1" hidden="1">#REF!</definedName>
    <definedName name="_1__123Graph_ACHART_3" hidden="1">#REF!</definedName>
    <definedName name="_12c_" localSheetId="1" hidden="1">{"Fiesta Facer Page",#N/A,FALSE,"Q_C_S";"Fiesta Main Page",#N/A,FALSE,"V_L";"Fiesta 95BP Struct",#N/A,FALSE,"StructBP";"Fiesta Post 95BP Struct",#N/A,FALSE,"AdjStructBP"}</definedName>
    <definedName name="_12c_" hidden="1">{"Fiesta Facer Page",#N/A,FALSE,"Q_C_S";"Fiesta Main Page",#N/A,FALSE,"V_L";"Fiesta 95BP Struct",#N/A,FALSE,"StructBP";"Fiesta Post 95BP Struct",#N/A,FALSE,"AdjStructBP"}</definedName>
    <definedName name="_12H200_" localSheetId="1" hidden="1">{#N/A,#N/A,FALSE,"ABB HOLDING LTD"}</definedName>
    <definedName name="_12H200_" hidden="1">{#N/A,#N/A,FALSE,"ABB HOLDING LTD"}</definedName>
    <definedName name="_15wrn.²Ä1­Ó¤ë1_Ü20¤H." localSheetId="1" hidden="1">{#N/A,#N/A,FALSE,"²Ä1­Ó¤ë"}</definedName>
    <definedName name="_15wrn.²Ä1­Ó¤ë1_Ü20¤H." hidden="1">{#N/A,#N/A,FALSE,"²Ä1­Ó¤ë"}</definedName>
    <definedName name="_16wrn.²Ä1­Ó¤ë1_Ü20¤H." localSheetId="1" hidden="1">{#N/A,#N/A,FALSE,"²Ä1­Ó¤ë"}</definedName>
    <definedName name="_16wrn.²Ä1­Ó¤ë1_Ü20¤H." hidden="1">{#N/A,#N/A,FALSE,"²Ä1­Ó¤ë"}</definedName>
    <definedName name="_18wrn.²Ä1­Ó¤ë1_Ü20¤H." localSheetId="1" hidden="1">{#N/A,#N/A,FALSE,"²Ä1­Ó¤ë"}</definedName>
    <definedName name="_18wrn.²Ä1­Ó¤ë1_Ü20¤H." hidden="1">{#N/A,#N/A,FALSE,"²Ä1­Ó¤ë"}</definedName>
    <definedName name="_2__123Graph_BCHART_2" hidden="1">#REF!</definedName>
    <definedName name="_23_0_S" hidden="1">#REF!</definedName>
    <definedName name="_24_0_Table2_" hidden="1">#REF!</definedName>
    <definedName name="_25_0_Table2_" hidden="1">#REF!</definedName>
    <definedName name="_3__123Graph_BCHART_3" hidden="1">#REF!</definedName>
    <definedName name="_4__123Graph_CCHART_3" hidden="1">#REF!</definedName>
    <definedName name="_4wrn.²Ä1­Ó¤ë1_Ü20¤H." localSheetId="1" hidden="1">{#N/A,#N/A,FALSE,"²Ä1­Ó¤ë"}</definedName>
    <definedName name="_4wrn.²Ä1­Ó¤ë1_Ü20¤H." hidden="1">{#N/A,#N/A,FALSE,"²Ä1­Ó¤ë"}</definedName>
    <definedName name="_5__123Graph_DCHART_2" hidden="1">#REF!</definedName>
    <definedName name="_6__123Graph_DCHART_3" hidden="1">#REF!</definedName>
    <definedName name="_6_0_Table2_" hidden="1">#REF!</definedName>
    <definedName name="_6A11_" localSheetId="1" hidden="1">{#N/A,#N/A,FALSE,"Umsatz 99";#N/A,#N/A,FALSE,"ER 99 "}</definedName>
    <definedName name="_6A11_" hidden="1">{#N/A,#N/A,FALSE,"Umsatz 99";#N/A,#N/A,FALSE,"ER 99 "}</definedName>
    <definedName name="_a1" localSheetId="1" hidden="1">{#N/A,#N/A,FALSE,"Virgin Flightdeck"}</definedName>
    <definedName name="_a1" hidden="1">{#N/A,#N/A,FALSE,"Virgin Flightdeck"}</definedName>
    <definedName name="_A11" localSheetId="1" hidden="1">{#N/A,#N/A,FALSE,"Umsatz 99";#N/A,#N/A,FALSE,"ER 99 "}</definedName>
    <definedName name="_A11" hidden="1">{#N/A,#N/A,FALSE,"Umsatz 99";#N/A,#N/A,FALSE,"ER 99 "}</definedName>
    <definedName name="_a2" localSheetId="1" hidden="1">{#N/A,#N/A,FALSE,"Virgin Flightdeck"}</definedName>
    <definedName name="_a2" hidden="1">{#N/A,#N/A,FALSE,"Virgin Flightdeck"}</definedName>
    <definedName name="_a3" localSheetId="1" hidden="1">{#N/A,#N/A,FALSE,"Virgin Flightdeck"}</definedName>
    <definedName name="_a3" hidden="1">{#N/A,#N/A,FALSE,"Virgin Flightdeck"}</definedName>
    <definedName name="_b2" localSheetId="1" hidden="1">{#N/A,#N/A,FALSE,"Virgin Flightdeck"}</definedName>
    <definedName name="_b2" hidden="1">{#N/A,#N/A,FALSE,"Virgin Flightdeck"}</definedName>
    <definedName name="_b3" localSheetId="1" hidden="1">{#N/A,#N/A,FALSE,"Virgin Flightdeck"}</definedName>
    <definedName name="_b3" hidden="1">{#N/A,#N/A,FALSE,"Virgin Flightdeck"}</definedName>
    <definedName name="_c" localSheetId="1" hidden="1">{"Fiesta Facer Page",#N/A,FALSE,"Q_C_S";"Fiesta Main Page",#N/A,FALSE,"V_L";"Fiesta 95BP Struct",#N/A,FALSE,"StructBP";"Fiesta Post 95BP Struct",#N/A,FALSE,"AdjStructBP"}</definedName>
    <definedName name="_c" hidden="1">{"Fiesta Facer Page",#N/A,FALSE,"Q_C_S";"Fiesta Main Page",#N/A,FALSE,"V_L";"Fiesta 95BP Struct",#N/A,FALSE,"StructBP";"Fiesta Post 95BP Struct",#N/A,FALSE,"AdjStructBP"}</definedName>
    <definedName name="_Dist_Bin" hidden="1">#REF!</definedName>
    <definedName name="_dod1" localSheetId="1" hidden="1">{#N/A,#N/A,TRUE,"CPRD";#N/A,#N/A,TRUE,"BCCPDR";#N/A,#N/A,TRUE,"EWRD";#N/A,#N/A,TRUE,"5100";#N/A,#N/A,TRUE,"5110"}</definedName>
    <definedName name="_dod1" localSheetId="0" hidden="1">{#N/A,#N/A,TRUE,"CPRD";#N/A,#N/A,TRUE,"BCCPDR";#N/A,#N/A,TRUE,"EWRD";#N/A,#N/A,TRUE,"5100";#N/A,#N/A,TRUE,"5110"}</definedName>
    <definedName name="_dod1" hidden="1">{#N/A,#N/A,TRUE,"CPRD";#N/A,#N/A,TRUE,"BCCPDR";#N/A,#N/A,TRUE,"EWRD";#N/A,#N/A,TRUE,"5100";#N/A,#N/A,TRUE,"5110"}</definedName>
    <definedName name="_dog1" localSheetId="1" hidden="1">{#N/A,#N/A,TRUE,"CPRD";#N/A,#N/A,TRUE,"BCCPDR";#N/A,#N/A,TRUE,"EWRD";#N/A,#N/A,TRUE,"5100";#N/A,#N/A,TRUE,"5110"}</definedName>
    <definedName name="_dog1" localSheetId="0" hidden="1">{#N/A,#N/A,TRUE,"CPRD";#N/A,#N/A,TRUE,"BCCPDR";#N/A,#N/A,TRUE,"EWRD";#N/A,#N/A,TRUE,"5100";#N/A,#N/A,TRUE,"5110"}</definedName>
    <definedName name="_dog1" hidden="1">{#N/A,#N/A,TRUE,"CPRD";#N/A,#N/A,TRUE,"BCCPDR";#N/A,#N/A,TRUE,"EWRD";#N/A,#N/A,TRUE,"5100";#N/A,#N/A,TRUE,"5110"}</definedName>
    <definedName name="_Fill" localSheetId="1" hidden="1">#REF!</definedName>
    <definedName name="_Fill" localSheetId="0" hidden="1">#REF!</definedName>
    <definedName name="_Fill" hidden="1">#REF!</definedName>
    <definedName name="_xlnm._FilterDatabase" localSheetId="1" hidden="1">#REF!</definedName>
    <definedName name="_xlnm._FilterDatabase" localSheetId="0" hidden="1">#REF!</definedName>
    <definedName name="_xlnm._FilterDatabase" hidden="1">#REF!</definedName>
    <definedName name="_h2" localSheetId="1" hidden="1">{#N/A,#N/A,FALSE,"Virgin Flightdeck"}</definedName>
    <definedName name="_h2" hidden="1">{#N/A,#N/A,FALSE,"Virgin Flightdeck"}</definedName>
    <definedName name="_H200" localSheetId="1" hidden="1">{#N/A,#N/A,FALSE,"ABB HOLDING LTD"}</definedName>
    <definedName name="_H200" hidden="1">{#N/A,#N/A,FALSE,"ABB HOLDING LTD"}</definedName>
    <definedName name="_h3" localSheetId="1" hidden="1">{#N/A,#N/A,FALSE,"Virgin Flightdeck"}</definedName>
    <definedName name="_h3" hidden="1">{#N/A,#N/A,FALSE,"Virgin Flightdeck"}</definedName>
    <definedName name="_K7" localSheetId="1" hidden="1">{#N/A,#N/A,FALSE,"Sheet1"}</definedName>
    <definedName name="_K7" hidden="1">{#N/A,#N/A,FALSE,"Sheet1"}</definedName>
    <definedName name="_Key1" localSheetId="1" hidden="1">#REF!</definedName>
    <definedName name="_Key1" localSheetId="0" hidden="1">#REF!</definedName>
    <definedName name="_Key1" hidden="1">#REF!</definedName>
    <definedName name="_Key2" hidden="1">#REF!</definedName>
    <definedName name="_Key3" hidden="1">#REF!</definedName>
    <definedName name="_O1" localSheetId="1" hidden="1">{#N/A,#N/A,FALSE,"970301";#N/A,#N/A,FALSE,"970302";#N/A,#N/A,FALSE,"970303";#N/A,#N/A,FALSE,"970304";#N/A,#N/A,FALSE,"COM1";#N/A,#N/A,FALSE,"COM2"}</definedName>
    <definedName name="_O1" hidden="1">{#N/A,#N/A,FALSE,"970301";#N/A,#N/A,FALSE,"970302";#N/A,#N/A,FALSE,"970303";#N/A,#N/A,FALSE,"970304";#N/A,#N/A,FALSE,"COM1";#N/A,#N/A,FALSE,"COM2"}</definedName>
    <definedName name="_OP2" localSheetId="1" hidden="1">{#N/A,#N/A,FALSE,"PLEDGE";#N/A,#N/A,FALSE,"GLADE";#N/A,#N/A,FALSE,"GREEN BIRD";#N/A,#N/A,FALSE,"MR. MUSCLE";#N/A,#N/A,FALSE,"TOILET DUCK";#N/A,#N/A,FALSE,"Other Home Care";#N/A,#N/A,FALSE,"RED BIRD";#N/A,#N/A,FALSE,"SHANGHAI";#N/A,#N/A,FALSE,"RAID";#N/A,#N/A,FALSE,"OFF";#N/A,#N/A,FALSE,"SEAGULL";#N/A,#N/A,FALSE,"HALSA";#N/A,#N/A,FALSE,"SOFT SENSE";#N/A,#N/A,FALSE,"TOTAL"}</definedName>
    <definedName name="_OP2" hidden="1">{#N/A,#N/A,FALSE,"PLEDGE";#N/A,#N/A,FALSE,"GLADE";#N/A,#N/A,FALSE,"GREEN BIRD";#N/A,#N/A,FALSE,"MR. MUSCLE";#N/A,#N/A,FALSE,"TOILET DUCK";#N/A,#N/A,FALSE,"Other Home Care";#N/A,#N/A,FALSE,"RED BIRD";#N/A,#N/A,FALSE,"SHANGHAI";#N/A,#N/A,FALSE,"RAID";#N/A,#N/A,FALSE,"OFF";#N/A,#N/A,FALSE,"SEAGULL";#N/A,#N/A,FALSE,"HALSA";#N/A,#N/A,FALSE,"SOFT SENSE";#N/A,#N/A,FALSE,"TOTAL"}</definedName>
    <definedName name="_Order1" hidden="1">255</definedName>
    <definedName name="_Order2" hidden="1">255</definedName>
    <definedName name="_sd2" localSheetId="1" hidden="1">{"CSC_1",#N/A,FALSE,"CSC Outputs";"CSC_2",#N/A,FALSE,"CSC Outputs"}</definedName>
    <definedName name="_sd2" hidden="1">{"CSC_1",#N/A,FALSE,"CSC Outputs";"CSC_2",#N/A,FALSE,"CSC Outputs"}</definedName>
    <definedName name="_Sort" localSheetId="1" hidden="1">#REF!</definedName>
    <definedName name="_Sort" localSheetId="0" hidden="1">#REF!</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 hidden="1">#REF!</definedName>
    <definedName name="_wrn2" localSheetId="1" hidden="1">{#N/A,#N/A,FALSE,"Virgin Flightdeck"}</definedName>
    <definedName name="_wrn2" hidden="1">{#N/A,#N/A,FALSE,"Virgin Flightdeck"}</definedName>
    <definedName name="_wrn3" localSheetId="1" hidden="1">{#N/A,#N/A,FALSE,"Virgin Flightdeck"}</definedName>
    <definedName name="_wrn3" hidden="1">{#N/A,#N/A,FALSE,"Virgin Flightdeck"}</definedName>
    <definedName name="_wrn4" localSheetId="1" hidden="1">{#N/A,#N/A,FALSE,"Virgin Flightdeck"}</definedName>
    <definedName name="_wrn4" hidden="1">{#N/A,#N/A,FALSE,"Virgin Flightdeck"}</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vbrdf" localSheetId="1" hidden="1">{#N/A,#N/A,FALSE,"OffAdvance";#N/A,#N/A,FALSE,"OffExpRprt";#N/A,#N/A,FALSE,"Travelling";#N/A,#N/A,FALSE,"Entertmnt";#N/A,#N/A,FALSE,"Promotion"}</definedName>
    <definedName name="aavbrdf" hidden="1">{#N/A,#N/A,FALSE,"OffAdvance";#N/A,#N/A,FALSE,"OffExpRprt";#N/A,#N/A,FALSE,"Travelling";#N/A,#N/A,FALSE,"Entertmnt";#N/A,#N/A,FALSE,"Promotion"}</definedName>
    <definedName name="aaz" localSheetId="1" hidden="1">{#N/A,#N/A,FALSE,"资产负债表";#N/A,#N/A,FALSE,"资产负债表"}</definedName>
    <definedName name="aaz" hidden="1">{#N/A,#N/A,FALSE,"资产负债表";#N/A,#N/A,FALSE,"资产负债表"}</definedName>
    <definedName name="abcdeg" localSheetId="1" hidden="1">{#N/A,#N/A,FALSE,"PLEDGE";#N/A,#N/A,FALSE,"GLADE";#N/A,#N/A,FALSE,"GREEN BIRD";#N/A,#N/A,FALSE,"MR. MUSCLE";#N/A,#N/A,FALSE,"TOILET DUCK";#N/A,#N/A,FALSE,"Other Home Care";#N/A,#N/A,FALSE,"RED BIRD";#N/A,#N/A,FALSE,"SHANGHAI";#N/A,#N/A,FALSE,"RAID";#N/A,#N/A,FALSE,"OFF";#N/A,#N/A,FALSE,"SEAGULL";#N/A,#N/A,FALSE,"HALSA";#N/A,#N/A,FALSE,"SOFT SENSE";#N/A,#N/A,FALSE,"TOTAL"}</definedName>
    <definedName name="abcdeg" hidden="1">{#N/A,#N/A,FALSE,"PLEDGE";#N/A,#N/A,FALSE,"GLADE";#N/A,#N/A,FALSE,"GREEN BIRD";#N/A,#N/A,FALSE,"MR. MUSCLE";#N/A,#N/A,FALSE,"TOILET DUCK";#N/A,#N/A,FALSE,"Other Home Care";#N/A,#N/A,FALSE,"RED BIRD";#N/A,#N/A,FALSE,"SHANGHAI";#N/A,#N/A,FALSE,"RAID";#N/A,#N/A,FALSE,"OFF";#N/A,#N/A,FALSE,"SEAGULL";#N/A,#N/A,FALSE,"HALSA";#N/A,#N/A,FALSE,"SOFT SENSE";#N/A,#N/A,FALSE,"TOTAL"}</definedName>
    <definedName name="Access_Button" hidden="1">"BBB_Std_Analog_Raw_Data_List"</definedName>
    <definedName name="AccessDatabase" hidden="1">"F:\Track-Pur\Sachs-2000.mdb"</definedName>
    <definedName name="ada" localSheetId="1" hidden="1">{#N/A,#N/A,FALSE,"资产负债表";#N/A,#N/A,FALSE,"资产负债表"}</definedName>
    <definedName name="ada" hidden="1">{#N/A,#N/A,FALSE,"资产负债表";#N/A,#N/A,FALSE,"资产负债表"}</definedName>
    <definedName name="adaf" localSheetId="1" hidden="1">{#N/A,#N/A,FALSE,"资产负债表";#N/A,#N/A,FALSE,"资产负债表"}</definedName>
    <definedName name="adaf" hidden="1">{#N/A,#N/A,FALSE,"资产负债表";#N/A,#N/A,FALSE,"资产负债表"}</definedName>
    <definedName name="adas" localSheetId="1" hidden="1">{"M1Print",#N/A,TRUE,"M1";"M2Print",#N/A,TRUE,"M2";"M1sPrint",#N/A,TRUE,"M1s";"M2aPrint",#N/A,TRUE,"M2a";"M4Print",#N/A,TRUE,"M4";"M5Print",#N/A,TRUE,"M5";"M6Print",#N/A,TRUE,"M6";"M6_1Print",#N/A,TRUE,"M6_1";"M6_2Print",#N/A,TRUE,"M6_2";"M7_1Print",#N/A,TRUE,"M7_1";"M7_2Print",#N/A,TRUE,"M7_2"}</definedName>
    <definedName name="adas" localSheetId="0" hidden="1">{"M1Print",#N/A,TRUE,"M1";"M2Print",#N/A,TRUE,"M2";"M1sPrint",#N/A,TRUE,"M1s";"M2aPrint",#N/A,TRUE,"M2a";"M4Print",#N/A,TRUE,"M4";"M5Print",#N/A,TRUE,"M5";"M6Print",#N/A,TRUE,"M6";"M6_1Print",#N/A,TRUE,"M6_1";"M6_2Print",#N/A,TRUE,"M6_2";"M7_1Print",#N/A,TRUE,"M7_1";"M7_2Print",#N/A,TRUE,"M7_2"}</definedName>
    <definedName name="adas" hidden="1">{"M1Print",#N/A,TRUE,"M1";"M2Print",#N/A,TRUE,"M2";"M1sPrint",#N/A,TRUE,"M1s";"M2aPrint",#N/A,TRUE,"M2a";"M4Print",#N/A,TRUE,"M4";"M5Print",#N/A,TRUE,"M5";"M6Print",#N/A,TRUE,"M6";"M6_1Print",#N/A,TRUE,"M6_1";"M6_2Print",#N/A,TRUE,"M6_2";"M7_1Print",#N/A,TRUE,"M7_1";"M7_2Print",#N/A,TRUE,"M7_2"}</definedName>
    <definedName name="adf" localSheetId="1" hidden="1">{"toptrial",#N/A,TRUE,"toptrial";"adjustment",#N/A,TRUE,"toptrial";"voucher",#N/A,TRUE,"toptrial"}</definedName>
    <definedName name="adf" hidden="1">{"toptrial",#N/A,TRUE,"toptrial";"adjustment",#N/A,TRUE,"toptrial";"voucher",#N/A,TRUE,"toptrial"}</definedName>
    <definedName name="adfa" localSheetId="1" hidden="1">{"page 1",#N/A,FALSE,"A";"page 2",#N/A,FALSE,"A";"page 3",#N/A,FALSE,"A";"page 4",#N/A,FALSE,"A";"page 5",#N/A,FALSE,"A";"page 6",#N/A,FALSE,"A";"page 7",#N/A,FALSE,"A";"page 8",#N/A,FALSE,"A";"page 9",#N/A,FALSE,"A";"page 10",#N/A,FALSE,"A";"page 11",#N/A,FALSE,"A";"page 12",#N/A,FALSE,"A";"page 13",#N/A,FALSE,"A";"page 14",#N/A,FALSE,"A"}</definedName>
    <definedName name="adfa" hidden="1">{"page 1",#N/A,FALSE,"A";"page 2",#N/A,FALSE,"A";"page 3",#N/A,FALSE,"A";"page 4",#N/A,FALSE,"A";"page 5",#N/A,FALSE,"A";"page 6",#N/A,FALSE,"A";"page 7",#N/A,FALSE,"A";"page 8",#N/A,FALSE,"A";"page 9",#N/A,FALSE,"A";"page 10",#N/A,FALSE,"A";"page 11",#N/A,FALSE,"A";"page 12",#N/A,FALSE,"A";"page 13",#N/A,FALSE,"A";"page 14",#N/A,FALSE,"A"}</definedName>
    <definedName name="adfad" localSheetId="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dfad"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fhai" localSheetId="1" hidden="1">{#N/A,#N/A,FALSE,"资产负债表";#N/A,#N/A,FALSE,"资产负债表"}</definedName>
    <definedName name="afhai" hidden="1">{#N/A,#N/A,FALSE,"资产负债表";#N/A,#N/A,FALSE,"资产负债表"}</definedName>
    <definedName name="afsdavad" hidden="1">#REF!</definedName>
    <definedName name="AGEDDATABASE" localSheetId="1" hidden="1">{#N/A,#N/A,FALSE,"970301";#N/A,#N/A,FALSE,"970302";#N/A,#N/A,FALSE,"970303";#N/A,#N/A,FALSE,"970304";#N/A,#N/A,FALSE,"COM1";#N/A,#N/A,FALSE,"COM2"}</definedName>
    <definedName name="AGEDDATABASE" hidden="1">{#N/A,#N/A,FALSE,"970301";#N/A,#N/A,FALSE,"970302";#N/A,#N/A,FALSE,"970303";#N/A,#N/A,FALSE,"970304";#N/A,#N/A,FALSE,"COM1";#N/A,#N/A,FALSE,"COM2"}</definedName>
    <definedName name="aidhaif" localSheetId="1" hidden="1">{#N/A,#N/A,FALSE,"资产负债表";#N/A,#N/A,FALSE,"资产负债表"}</definedName>
    <definedName name="aidhaif" hidden="1">{#N/A,#N/A,FALSE,"资产负债表";#N/A,#N/A,FALSE,"资产负债表"}</definedName>
    <definedName name="AJHFkjDGHF" localSheetId="1" hidden="1">{"Annual_Income",#N/A,FALSE,"Report Page";"Balance_Cash_Flow",#N/A,FALSE,"Report Page";"Quarterly_Income",#N/A,FALSE,"Report Page"}</definedName>
    <definedName name="AJHFkjDGHF" hidden="1">{"Annual_Income",#N/A,FALSE,"Report Page";"Balance_Cash_Flow",#N/A,FALSE,"Report Page";"Quarterly_Income",#N/A,FALSE,"Report Page"}</definedName>
    <definedName name="anakf" localSheetId="1" hidden="1">{#N/A,#N/A,FALSE,"资产负债表";#N/A,#N/A,FALSE,"资产负债表"}</definedName>
    <definedName name="anakf" hidden="1">{#N/A,#N/A,FALSE,"资产负债表";#N/A,#N/A,FALSE,"资产负债表"}</definedName>
    <definedName name="ANALSIS._.9511" localSheetId="1" hidden="1">{#N/A,#N/A,FALSE,"ABB HOLDING LTD"}</definedName>
    <definedName name="ANALSIS._.9511" hidden="1">{#N/A,#N/A,FALSE,"ABB HOLDING LTD"}</definedName>
    <definedName name="anna" localSheetId="1" hidden="1">{#N/A,#N/A,FALSE,"ABB HOLDING LTD"}</definedName>
    <definedName name="anna" hidden="1">{#N/A,#N/A,FALSE,"ABB HOLDING LTD"}</definedName>
    <definedName name="anscount" hidden="1">1</definedName>
    <definedName name="app0" localSheetId="1" hidden="1">{"M1Print",#N/A,FALSE,"M1"}</definedName>
    <definedName name="app0" hidden="1">{"M1Print",#N/A,FALSE,"M1"}</definedName>
    <definedName name="are" localSheetId="1" hidden="1">{"toptrial",#N/A,TRUE,"toptrial";"adjustment",#N/A,TRUE,"toptrial";"voucher",#N/A,TRUE,"toptrial"}</definedName>
    <definedName name="are" hidden="1">{"toptrial",#N/A,TRUE,"toptrial";"adjustment",#N/A,TRUE,"toptrial";"voucher",#N/A,TRUE,"toptrial"}</definedName>
    <definedName name="AS2DocOpenMode" hidden="1">"AS2DocumentEdit"</definedName>
    <definedName name="AS2HasNoAutoHeaderFooter" hidden="1">" "</definedName>
    <definedName name="AS2NamedRange" hidden="1">7</definedName>
    <definedName name="AS2ReportLS" hidden="1">1</definedName>
    <definedName name="AS2StaticLS" hidden="1">#REF!</definedName>
    <definedName name="AS2SyncStepLS" hidden="1">0</definedName>
    <definedName name="AS2TickmarkLS" localSheetId="1" hidden="1">#REF!</definedName>
    <definedName name="AS2TickmarkLS" localSheetId="0" hidden="1">#REF!</definedName>
    <definedName name="AS2TickmarkLS" hidden="1">#REF!</definedName>
    <definedName name="AS2VersionLS" hidden="1">300</definedName>
    <definedName name="asda" localSheetId="1" hidden="1">{"CSC_1",#N/A,FALSE,"CSC Outputs";"CSC_2",#N/A,FALSE,"CSC Outputs"}</definedName>
    <definedName name="asda" hidden="1">{"CSC_1",#N/A,FALSE,"CSC Outputs";"CSC_2",#N/A,FALSE,"CSC Outputs"}</definedName>
    <definedName name="asdf" localSheetId="1" hidden="1">{#N/A,#N/A,FALSE,"970301";#N/A,#N/A,FALSE,"970302";#N/A,#N/A,FALSE,"970303";#N/A,#N/A,FALSE,"970304";#N/A,#N/A,FALSE,"COM1";#N/A,#N/A,FALSE,"COM2"}</definedName>
    <definedName name="asdf" hidden="1">{#N/A,#N/A,FALSE,"970301";#N/A,#N/A,FALSE,"970302";#N/A,#N/A,FALSE,"970303";#N/A,#N/A,FALSE,"970304";#N/A,#N/A,FALSE,"COM1";#N/A,#N/A,FALSE,"COM2"}</definedName>
    <definedName name="asdg" localSheetId="1" hidden="1">{#N/A,#N/A,FALSE,"资产负债表";#N/A,#N/A,FALSE,"资产负债表"}</definedName>
    <definedName name="asdg" hidden="1">{#N/A,#N/A,FALSE,"资产负债表";#N/A,#N/A,FALSE,"资产负债表"}</definedName>
    <definedName name="ass" localSheetId="1" hidden="1">{#N/A,#N/A,TRUE,"CPRD";#N/A,#N/A,TRUE,"BCCPDR";#N/A,#N/A,TRUE,"EWRD";#N/A,#N/A,TRUE,"5100";#N/A,#N/A,TRUE,"5110"}</definedName>
    <definedName name="ass" localSheetId="0" hidden="1">{#N/A,#N/A,TRUE,"CPRD";#N/A,#N/A,TRUE,"BCCPDR";#N/A,#N/A,TRUE,"EWRD";#N/A,#N/A,TRUE,"5100";#N/A,#N/A,TRUE,"5110"}</definedName>
    <definedName name="ass" hidden="1">{#N/A,#N/A,TRUE,"CPRD";#N/A,#N/A,TRUE,"BCCPDR";#N/A,#N/A,TRUE,"EWRD";#N/A,#N/A,TRUE,"5100";#N/A,#N/A,TRUE,"5110"}</definedName>
    <definedName name="AuraStyleDefaultsReset" hidden="1">#N/A</definedName>
    <definedName name="balanceofAS">[1]C_100Breakdown!$O$37:$O$47110</definedName>
    <definedName name="balanceofDep">[1]C_110函证控制表!$S$32:$S$64073</definedName>
    <definedName name="balanceofGua">[1]C_110函证控制表!$AW$32:$AW$64073</definedName>
    <definedName name="balanceofLC">[1]C_110函证控制表!$CB$32:$CB$64073</definedName>
    <definedName name="balanceofLoan">[1]C_110函证控制表!$AA$32:$AA$64073</definedName>
    <definedName name="Bear" localSheetId="1" hidden="1">{#N/A,#N/A,FALSE,"TS";#N/A,#N/A,FALSE,"Combo";#N/A,#N/A,FALSE,"FAIR";#N/A,#N/A,FALSE,"RBC";#N/A,#N/A,FALSE,"xxxx";#N/A,#N/A,FALSE,"A_D";#N/A,#N/A,FALSE,"WACC";#N/A,#N/A,FALSE,"DCF";#N/A,#N/A,FALSE,"LBO";#N/A,#N/A,FALSE,"AcqMults";#N/A,#N/A,FALSE,"CompMults"}</definedName>
    <definedName name="Bear" hidden="1">{#N/A,#N/A,FALSE,"TS";#N/A,#N/A,FALSE,"Combo";#N/A,#N/A,FALSE,"FAIR";#N/A,#N/A,FALSE,"RBC";#N/A,#N/A,FALSE,"xxxx";#N/A,#N/A,FALSE,"A_D";#N/A,#N/A,FALSE,"WACC";#N/A,#N/A,FALSE,"DCF";#N/A,#N/A,FALSE,"LBO";#N/A,#N/A,FALSE,"AcqMults";#N/A,#N/A,FALSE,"CompMults"}</definedName>
    <definedName name="BEx1GOL4T20ZYMEME4AOC1I2ZBV3" hidden="1">#REF!</definedName>
    <definedName name="BEx1KILOFST3VEOXVEC1QN03BHGA" hidden="1">#REF!</definedName>
    <definedName name="BEx1M9JC5LZZOUZZJBFE1EQ0CYCC" hidden="1">#REF!</definedName>
    <definedName name="BEx1ND8X2WN7NFW5BVSOLFH61M84" hidden="1">#REF!</definedName>
    <definedName name="BEx1OKPEQNPV9QNO6JU5C68PT6Q0" hidden="1">#REF!</definedName>
    <definedName name="BEx1R6T7X0940TREN8TT0TNFQPT6" hidden="1">#REF!</definedName>
    <definedName name="BEx1WGD8QW1OO3Z8CRJZ2SLV3XOL" hidden="1">#REF!</definedName>
    <definedName name="BEx3BP97JNLY9I27CV38UB0ZP05T" hidden="1">#REF!</definedName>
    <definedName name="BEx3JNRLRJ2JV5NNQZ0E6BGLEJQ7" hidden="1">#REF!</definedName>
    <definedName name="BEx3LZ8GB3FK41S4MT046E3ROW74" hidden="1">#REF!</definedName>
    <definedName name="BEx3PZU9740IPCC6H8OPE1S9GMU2" hidden="1">#REF!</definedName>
    <definedName name="BEx3Q8TWXITHZ3X76SJUL1PUW1CB" hidden="1">#REF!</definedName>
    <definedName name="BEx57Z6CADZGQPCAGXX3NPX2K2N0" hidden="1">#REF!</definedName>
    <definedName name="BEx596C1WUINFC3E55ER7W8C6FII" hidden="1">#REF!</definedName>
    <definedName name="BEx5A1NHZ01UFJAWFDKZ7Q32YCAP" hidden="1">#REF!</definedName>
    <definedName name="BEx5HJTYH3HP8KCYFVDEXJRHX490" hidden="1">#REF!</definedName>
    <definedName name="BEx5JYQT2HZM2KUEPEKSOE4HP3R7" hidden="1">#REF!</definedName>
    <definedName name="BEx7519PXO1HM898NUYPQWARV2EL" hidden="1">#REF!</definedName>
    <definedName name="BEx7648DGEBZ217G2G0A366USBT0" hidden="1">#REF!</definedName>
    <definedName name="BEx76C0WIFQUGK3UB0BAODNMLXTH" hidden="1">#REF!</definedName>
    <definedName name="BEx7CQHSAPD3MPFTKGMMN3CVW50O" hidden="1">#REF!</definedName>
    <definedName name="BEx7JM1L18WS45G4QD3JEP01Y5CK" hidden="1">#REF!</definedName>
    <definedName name="BEx908Z8ILGHESB1W8JR2DOW7ABL" hidden="1">#REF!</definedName>
    <definedName name="BEx91ZRKZJ7MB7VVGADGQZ08O9XY" hidden="1">#REF!</definedName>
    <definedName name="BEx97U059JN44X3DZ148YVABPMFN" hidden="1">#REF!</definedName>
    <definedName name="BEx98RVDTKKOY3DAU9A4JZYT5OIT" hidden="1">#REF!</definedName>
    <definedName name="BEx9CIVW2DWJMNAWF3WDJ9E4QZ35" hidden="1">#REF!</definedName>
    <definedName name="BEx9DA5OT3ZSCGNY1WF06B98S475" hidden="1">#REF!</definedName>
    <definedName name="BExB02KNVWQTZBCVRIB1EWZ0V0JL" hidden="1">#REF!</definedName>
    <definedName name="BExB1BZ6Z4M9JS3I1KXP6XAEMSLI" hidden="1">#REF!</definedName>
    <definedName name="BExB44DJMD7F0150IRHXJP7GTP60" hidden="1">#REF!</definedName>
    <definedName name="BExB4967ICE32DID1UIQR97OO173" hidden="1">#REF!</definedName>
    <definedName name="BExB516X8WTIOV96RB06FD74D9EC" hidden="1">#REF!</definedName>
    <definedName name="BExB7LHZH54ZK24EU7O6W9J85Y6O" hidden="1">#REF!</definedName>
    <definedName name="BExB9ASDJ6E5QNP9HKCXEV97PUCF" hidden="1">#REF!</definedName>
    <definedName name="BExB9SBH89RBYVOK8JWJG85KQAPP" hidden="1">#REF!</definedName>
    <definedName name="BExBCK4A0LSJO6DBOL7FPO4D24J9" hidden="1">#REF!</definedName>
    <definedName name="BExBCO0KHJSG0WZB6SGXFR6H5NO7" hidden="1">#REF!</definedName>
    <definedName name="BExCYN28OZBXVKSPT7BDGSLQHHFU" hidden="1">#REF!</definedName>
    <definedName name="BExD0BLMMGY5XYERG6V0TT0M2YE3" hidden="1">#REF!</definedName>
    <definedName name="BExD0ISJYTLUGS04P5IRFS5B3CF9" hidden="1">#REF!</definedName>
    <definedName name="BExD2PRJY7TYFUEA7WHYQBCHPW9Y" hidden="1">#REF!</definedName>
    <definedName name="BExD7TS213CYLKZM2LRHP7H69CCP" hidden="1">#REF!</definedName>
    <definedName name="BExD880N3DSVXWG9MHOUKRWZRTBE" hidden="1">#REF!</definedName>
    <definedName name="BExDA0G9BQ3JNIYZ9L65S6VBYWMS" hidden="1">#REF!</definedName>
    <definedName name="BExDCIIGE672LU969XCUQ9OYBHPZ" hidden="1">#REF!</definedName>
    <definedName name="BExEQ4YH338D2FXOHEGCN5E8UTHJ" hidden="1">#REF!</definedName>
    <definedName name="BExEUUQDME4CZNJTA7OEHOI7PQCX" hidden="1">#REF!</definedName>
    <definedName name="BExEVCEZK6FN15T0UYF1CB9RAMP9" hidden="1">#REF!</definedName>
    <definedName name="BExEWIOCCAXKVY98T9IT7E3WIQ0E" hidden="1">#REF!</definedName>
    <definedName name="BExEWP9OM81HG8KFNOC23RI70VZL" hidden="1">#REF!</definedName>
    <definedName name="BExF05HRERO5UALKECDAVEEDJZN1" hidden="1">#REF!</definedName>
    <definedName name="BExF0MQ337K2NFXXIQ0O47G45C1C" hidden="1">#REF!</definedName>
    <definedName name="BExF2848DYNZRBOOANUXZJAUXF5I" hidden="1">#REF!</definedName>
    <definedName name="BExF4HSB7GJLPZR0NCKZFQO2UW5F" hidden="1">#REF!</definedName>
    <definedName name="BExF67TQWVHFNN1WYRBW6MEB7CYM" hidden="1">#REF!</definedName>
    <definedName name="BExGO4WV0HKEQUYJ1RD84YAPM4AF" hidden="1">#REF!</definedName>
    <definedName name="BExGPG47K2WA8AA2TNG33MAQL8J2" hidden="1">#REF!</definedName>
    <definedName name="BExGPGPQ41JXS4S24X63XVAAMN5I" hidden="1">#REF!</definedName>
    <definedName name="BExGR47FVJRRJYCDCPQHR5BS8TTE" hidden="1">#REF!</definedName>
    <definedName name="BExGRW2TNFAUIHXBISCNRT35ZN4U" hidden="1">#REF!</definedName>
    <definedName name="BExGS4GY840D03GX09MFUJZZQIQI" hidden="1">#REF!</definedName>
    <definedName name="BExGWBYVZLX1Y7H09E1OJR2M7NEO" hidden="1">#REF!</definedName>
    <definedName name="BExGYQA5XQAV3GALTISYXAOLC00N" hidden="1">#REF!</definedName>
    <definedName name="BExH2ZKTRC9AU7I8TGC5PSW9KUKA" hidden="1">#REF!</definedName>
    <definedName name="BExH3GIH7IKQ6L1766O2F80W53H7" hidden="1">#REF!</definedName>
    <definedName name="BExIIBGODUPZCN0CS6AIFCS9JJ3T" hidden="1">#REF!</definedName>
    <definedName name="BExIK8E56SGZDTZP8N5UKCB51HLK" hidden="1">#REF!</definedName>
    <definedName name="BExIKLA43JG5Q0E5DUX6GGA36M2D" hidden="1">#REF!</definedName>
    <definedName name="BExIOV0VPGAVNIH8CAGOZQTE8RQC" hidden="1">#REF!</definedName>
    <definedName name="BExIRJTRW38YJPZF94ZRIMHT1EDT" hidden="1">#REF!</definedName>
    <definedName name="BExIS4NJWFRORMVD64VAH35KYTAV" hidden="1">#REF!</definedName>
    <definedName name="BExIVO6FK5E6OWNW080ZWFXGTAW9" hidden="1">#REF!</definedName>
    <definedName name="BExIX6KP2828HYO5B58WTT6B4GQF" hidden="1">#REF!</definedName>
    <definedName name="BExIYAL1JJ0YAOVQ8NTVMVWSIWEN" hidden="1">#REF!</definedName>
    <definedName name="BExJ0JYBMCA6QMUA23EJ4K1XY7OB" hidden="1">#REF!</definedName>
    <definedName name="BExKH3W4N0O82E6T46JO6PSMZCKO" hidden="1">#REF!</definedName>
    <definedName name="BExKIAWCRGDEI4GPDFEI8JPG2FQR" hidden="1">#REF!</definedName>
    <definedName name="BExKICEADRLL4OGPHHM5X4LBZAUM" hidden="1">#REF!</definedName>
    <definedName name="BExKJKWIM4MX8IMRSUA1CG62XKM3" hidden="1">#REF!</definedName>
    <definedName name="BExKLGHH49AYDWDK6NMDQDG9OZ1S" hidden="1">#REF!</definedName>
    <definedName name="BExKQXOQJ1LJ20FX6Y7TCVGEFGRN" hidden="1">#REF!</definedName>
    <definedName name="BExKUO3OAC6GXS5E8H77YTDG1TNE" hidden="1">#REF!</definedName>
    <definedName name="BExMC20EFJ3NPS70N2WK57JSBZJO" hidden="1">#REF!</definedName>
    <definedName name="BExMEPM4H3CEM9FKDCNK4L7RPLIY" hidden="1">#REF!</definedName>
    <definedName name="BExMF1LPXBCFR9B5DUQJX67CY770" hidden="1">#REF!</definedName>
    <definedName name="BExMF3UKNY832KUUVVC55Z657TVM" hidden="1">#REF!</definedName>
    <definedName name="BExMFV4G2WKFSKQMEBNOCG1BU4DX" hidden="1">#REF!</definedName>
    <definedName name="BExMIXEV4TKUJ6IGSJX7YYYJUEN9" hidden="1">#REF!</definedName>
    <definedName name="BExMJ3JYY9C504NQ9S2DTRUK5ZU1" hidden="1">#REF!</definedName>
    <definedName name="BExMN4WS0QNU17OJRWNQE9QL2X2P" hidden="1">#REF!</definedName>
    <definedName name="BExMNU8EBNMBBMACFUT6NKEYQ76T" hidden="1">#REF!</definedName>
    <definedName name="BExMPSD7OKVZ5UJSB60TQWZL41CN" hidden="1">#REF!</definedName>
    <definedName name="BExMPZ9CBIZQV9RFIO4AGNOVYOS5" hidden="1">#REF!</definedName>
    <definedName name="BExMR9ET51OCDPPEJ4L5LSKHG5H3" hidden="1">#REF!</definedName>
    <definedName name="BExMR9K9DME0KRRXFRATYSZOWN31" hidden="1">#REF!</definedName>
    <definedName name="BExMRB7JMQHVST9CP35OM2B2NZEI" hidden="1">#REF!</definedName>
    <definedName name="BExMRC3X7BCNL9AVT3X0QMFDY6XM" hidden="1">#REF!</definedName>
    <definedName name="BExMST5NOZ5FZAECAYE0FFFPNUOE" hidden="1">#REF!</definedName>
    <definedName name="BExO7DROP6MRLCSAHEFXSNT3JT0M" hidden="1">#REF!</definedName>
    <definedName name="BExO7O3U9Z5HA5A38ESC0RZ6PG9F" hidden="1">#REF!</definedName>
    <definedName name="BExO8MKIDJ2O1CWUUGXV518PW32P" hidden="1">#REF!</definedName>
    <definedName name="BExOF2ZM9CK6OKB6AO70LHCIYO3W" hidden="1">#REF!</definedName>
    <definedName name="BExOKW6I5HFJ8DQUWGPW6L36BXGU" hidden="1">#REF!</definedName>
    <definedName name="BExON9W4L9LS02VF014KYPE4N42Q" hidden="1">#REF!</definedName>
    <definedName name="BExOO75TFXPUHHF2W77C7LA2O9O1" hidden="1">#REF!</definedName>
    <definedName name="BExQ5BBSQUHHHCHRY13R2T90JK32" hidden="1">#REF!</definedName>
    <definedName name="BExQ9Y40PM0L2GY7PYHH4ETRC1CH" hidden="1">#REF!</definedName>
    <definedName name="BExQARXHDVBMPHS610S0LV1RH4NO" hidden="1">#REF!</definedName>
    <definedName name="BExQCU3UFN2GMVO543ZQWCJQ3U0Y" hidden="1">#REF!</definedName>
    <definedName name="BExQEJP109073QT4YE59TOR6EAWC" hidden="1">#REF!</definedName>
    <definedName name="BExQGCFFHS1QVUU3RY7WO160WFUB" hidden="1">#REF!</definedName>
    <definedName name="BExQGCQ7YNBBJ539M37GDTBYX0SX" hidden="1">#REF!</definedName>
    <definedName name="BExRYBRJM6L56M835KPD7AMAK0AQ" hidden="1">#REF!</definedName>
    <definedName name="BExS10F45V2WEL1E8JU2KIZ9DRCZ" hidden="1">#REF!</definedName>
    <definedName name="BExS6QBB5MCKPTQME64V5PFRX5A8" hidden="1">#REF!</definedName>
    <definedName name="BExSBCHWUN0MGNHJ2ZKBNY6JFX81" hidden="1">#REF!</definedName>
    <definedName name="BExSBX0XVOA76ZT2A1PNKPO3322L" hidden="1">#REF!</definedName>
    <definedName name="BExSDB2U91GEI58UMTEW23ZEZ8K9" hidden="1">#REF!</definedName>
    <definedName name="BExSEMKVYFVRR81WHTAAK9213JTC" hidden="1">#REF!</definedName>
    <definedName name="BExSF67JEWA4AJ7LR8TNDSQVKUVY" hidden="1">#REF!</definedName>
    <definedName name="BExSGWJRKR5HEOF2QCRM833GKTUT" hidden="1">#REF!</definedName>
    <definedName name="BExU036RHSWR2VHMUQDHZ2SG5SO2" hidden="1">#REF!</definedName>
    <definedName name="BExU14Y8RTX8D32JVR2TU5YLA485" hidden="1">#REF!</definedName>
    <definedName name="BExU1QZD8QZVGRAIT4025YON6Q44" hidden="1">#REF!</definedName>
    <definedName name="BExU24ROS5GK8C2P0R9CGZKS8Z9P" hidden="1">#REF!</definedName>
    <definedName name="BExU2LUKCPO4F7P7LPHDOB4YVF31" hidden="1">#REF!</definedName>
    <definedName name="BExU5V15XN37ZT440JZAICIQI2OH" hidden="1">#REF!</definedName>
    <definedName name="BExU7KX58ALKVE6B2FNC47A6N0GG" hidden="1">#REF!</definedName>
    <definedName name="BExU891LVF2XXANDW7HA2D391K0N" hidden="1">#REF!</definedName>
    <definedName name="BExU9N8TMS3B0OH4L9YCVQ0Y4JZE" hidden="1">#REF!</definedName>
    <definedName name="BExU9V1CJHH8AHDUQIU4YEDLBD8P" hidden="1">#REF!</definedName>
    <definedName name="BExUE82XW551UZ6XC8C6EOZUKO1M" hidden="1">#REF!</definedName>
    <definedName name="BExVRIU581T3KTW9Q0BI1LAQ2D3E" hidden="1">#REF!</definedName>
    <definedName name="BExVYW2NLCPKWNA2SVOJQWHGVO67" hidden="1">#REF!</definedName>
    <definedName name="BExW253QJI7FK045WM389QVBR6FP" hidden="1">#REF!</definedName>
    <definedName name="BExW2QJ45281ICG22KEIC2PMQQ5C" hidden="1">#REF!</definedName>
    <definedName name="BExXM8V22NQXKV0IK4CSSC8RJVFT" hidden="1">#REF!</definedName>
    <definedName name="BExXMZDWJMFRC4MXUPONBAIHVGZM" hidden="1">#REF!</definedName>
    <definedName name="BExXPEG6GJ3MY9SDXK3RPH3EI7FW" hidden="1">#REF!</definedName>
    <definedName name="BExXPXBY53H7JQG6T5TYSERUS1I4" hidden="1">#REF!</definedName>
    <definedName name="BExXQAYS3PB0YQIUU4GYQLTY7CDA" hidden="1">#REF!</definedName>
    <definedName name="BExXSRTTUIP5881CME97EPGILL3V" hidden="1">#REF!</definedName>
    <definedName name="BExXV6QNIULYZ4QS8H135K6YBMGT" hidden="1">#REF!</definedName>
    <definedName name="BExXWC3NJU845ZCF44JGJUHNB9LV" hidden="1">#REF!</definedName>
    <definedName name="BExXZIAD0KGCSBSOU0B12K7W0WI6" hidden="1">#REF!</definedName>
    <definedName name="BExY1DPUN2UL4DIV0EJ0GCANR7ZB" hidden="1">#REF!</definedName>
    <definedName name="BExY2FXGYUUQX6EXYN3TC5JLFW13" hidden="1">#REF!</definedName>
    <definedName name="BExY3UFGF4WM0FL482UNCA00U108" hidden="1">#REF!</definedName>
    <definedName name="BExY57Q8YTA3RTIS2IOJ6AH09TDI" hidden="1">#REF!</definedName>
    <definedName name="BExZL6ORJMEPVLH0FAMKAK7P2VBN" hidden="1">#REF!</definedName>
    <definedName name="BExZRQ92MJIQ9HC5CNX10BPNDTB4" hidden="1">#REF!</definedName>
    <definedName name="BExZSWIEGQMJM7HX0PFOAGLPTYBZ" hidden="1">#REF!</definedName>
    <definedName name="BExZTI8LHXZ58W9B5NTXZH23PBA3" hidden="1">#REF!</definedName>
    <definedName name="BExZXESSDGXDMAV5ML62TCSPVDQ7" hidden="1">#REF!</definedName>
    <definedName name="BG_Del" hidden="1">15</definedName>
    <definedName name="BG_Ins" hidden="1">4</definedName>
    <definedName name="BG_Mod" hidden="1">6</definedName>
    <definedName name="BLPB1" hidden="1">#REF!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BNE_MESSAGES_HIDDEN" localSheetId="1" hidden="1">#REF!</definedName>
    <definedName name="BNE_MESSAGES_HIDDEN" hidden="1">#REF!</definedName>
    <definedName name="book" localSheetId="1" hidden="1">{#N/A,#N/A,FALSE,"OffAdvance";#N/A,#N/A,FALSE,"OffExpRprt";#N/A,#N/A,FALSE,"Entertmnt";#N/A,#N/A,FALSE,"Promotion";#N/A,#N/A,FALSE,"Travelling"}</definedName>
    <definedName name="book" hidden="1">{#N/A,#N/A,FALSE,"OffAdvance";#N/A,#N/A,FALSE,"OffExpRprt";#N/A,#N/A,FALSE,"Entertmnt";#N/A,#N/A,FALSE,"Promotion";#N/A,#N/A,FALSE,"Travelling"}</definedName>
    <definedName name="book.2" localSheetId="1" hidden="1">{#N/A,#N/A,FALSE,"OffAdvance";#N/A,#N/A,FALSE,"OffExpRprt";#N/A,#N/A,FALSE,"Travelling";#N/A,#N/A,FALSE,"Entertmnt";#N/A,#N/A,FALSE,"Promotion"}</definedName>
    <definedName name="book.2" hidden="1">{#N/A,#N/A,FALSE,"OffAdvance";#N/A,#N/A,FALSE,"OffExpRprt";#N/A,#N/A,FALSE,"Travelling";#N/A,#N/A,FALSE,"Entertmnt";#N/A,#N/A,FALSE,"Promotion"}</definedName>
    <definedName name="bs_1" localSheetId="1" hidden="1">{#N/A,#N/A,FALSE,"BBPREP"}</definedName>
    <definedName name="bs_1" hidden="1">{#N/A,#N/A,FALSE,"BBPREP"}</definedName>
    <definedName name="cashflow20030930" localSheetId="1" hidden="1">{"M1Print",#N/A,TRUE,"M1";"M2Print",#N/A,TRUE,"M2";"M1sPrint",#N/A,TRUE,"M1s";"M2aPrint",#N/A,TRUE,"M2a";"M4Print",#N/A,TRUE,"M4";"M5Print",#N/A,TRUE,"M5";"M6Print",#N/A,TRUE,"M6";"M6_1Print",#N/A,TRUE,"M6_1";"M6_2Print",#N/A,TRUE,"M6_2";"M7_1Print",#N/A,TRUE,"M7_1";"M7_2Print",#N/A,TRUE,"M7_2"}</definedName>
    <definedName name="cashflow20030930" localSheetId="0" hidden="1">{"M1Print",#N/A,TRUE,"M1";"M2Print",#N/A,TRUE,"M2";"M1sPrint",#N/A,TRUE,"M1s";"M2aPrint",#N/A,TRUE,"M2a";"M4Print",#N/A,TRUE,"M4";"M5Print",#N/A,TRUE,"M5";"M6Print",#N/A,TRUE,"M6";"M6_1Print",#N/A,TRUE,"M6_1";"M6_2Print",#N/A,TRUE,"M6_2";"M7_1Print",#N/A,TRUE,"M7_1";"M7_2Print",#N/A,TRUE,"M7_2"}</definedName>
    <definedName name="cashflow20030930" hidden="1">{"M1Print",#N/A,TRUE,"M1";"M2Print",#N/A,TRUE,"M2";"M1sPrint",#N/A,TRUE,"M1s";"M2aPrint",#N/A,TRUE,"M2a";"M4Print",#N/A,TRUE,"M4";"M5Print",#N/A,TRUE,"M5";"M6Print",#N/A,TRUE,"M6";"M6_1Print",#N/A,TRUE,"M6_1";"M6_2Print",#N/A,TRUE,"M6_2";"M7_1Print",#N/A,TRUE,"M7_1";"M7_2Print",#N/A,TRUE,"M7_2"}</definedName>
    <definedName name="cbx" localSheetId="1" hidden="1">{#N/A,#N/A,FALSE,"M1s Board";#N/A,#N/A,FALSE,"M3 Board";#N/A,#N/A,FALSE,"M6 Board";#N/A,#N/A,FALSE,"M7";#N/A,#N/A,FALSE,"M7B";#N/A,#N/A,FALSE,"M8";#N/A,#N/A,FALSE,"M8A Board";#N/A,#N/A,FALSE,"AF1 Board"}</definedName>
    <definedName name="cbx" hidden="1">{#N/A,#N/A,FALSE,"M1s Board";#N/A,#N/A,FALSE,"M3 Board";#N/A,#N/A,FALSE,"M6 Board";#N/A,#N/A,FALSE,"M7";#N/A,#N/A,FALSE,"M7B";#N/A,#N/A,FALSE,"M8";#N/A,#N/A,FALSE,"M8A Board";#N/A,#N/A,FALSE,"AF1 Board"}</definedName>
    <definedName name="cccvb" localSheetId="1" hidden="1">{#N/A,#N/A,FALSE,"资产负债表";#N/A,#N/A,FALSE,"资产负债表"}</definedName>
    <definedName name="cccvb" hidden="1">{#N/A,#N/A,FALSE,"资产负债表";#N/A,#N/A,FALSE,"资产负债表"}</definedName>
    <definedName name="CFVVHH" localSheetId="1" hidden="1">{#N/A,#N/A,FALSE,"资产负债表";#N/A,#N/A,FALSE,"资产负债表"}</definedName>
    <definedName name="CFVVHH" hidden="1">{#N/A,#N/A,FALSE,"资产负债表";#N/A,#N/A,FALSE,"资产负债表"}</definedName>
    <definedName name="cfyik" localSheetId="1" hidden="1">{#N/A,#N/A,FALSE,"资产负债表";#N/A,#N/A,FALSE,"资产负债表"}</definedName>
    <definedName name="cfyik" hidden="1">{#N/A,#N/A,FALSE,"资产负债表";#N/A,#N/A,FALSE,"资产负债表"}</definedName>
    <definedName name="cgul" localSheetId="1" hidden="1">{#N/A,#N/A,FALSE,"资产负债表";#N/A,#N/A,FALSE,"资产负债表"}</definedName>
    <definedName name="cgul" hidden="1">{#N/A,#N/A,FALSE,"资产负债表";#N/A,#N/A,FALSE,"资产负债表"}</definedName>
    <definedName name="cguocnbnl" localSheetId="1" hidden="1">{#N/A,#N/A,FALSE,"资产负债表";#N/A,#N/A,FALSE,"资产负债表"}</definedName>
    <definedName name="cguocnbnl" hidden="1">{#N/A,#N/A,FALSE,"资产负债表";#N/A,#N/A,FALSE,"资产负债表"}</definedName>
    <definedName name="CIQWBGuid" hidden="1">"06.2023 - K- PPE Work Program Example.xlsx"</definedName>
    <definedName name="CIQWBInfo" hidden="1">"{ ""CIQVersion"":""9.51.3510.3078"" }"</definedName>
    <definedName name="Code" hidden="1">#REF!</definedName>
    <definedName name="Coll" localSheetId="1" hidden="1">{#N/A,#N/A,FALSE,"970301";#N/A,#N/A,FALSE,"970302";#N/A,#N/A,FALSE,"970303";#N/A,#N/A,FALSE,"970304";#N/A,#N/A,FALSE,"COM1";#N/A,#N/A,FALSE,"COM2"}</definedName>
    <definedName name="Coll" hidden="1">{#N/A,#N/A,FALSE,"970301";#N/A,#N/A,FALSE,"970302";#N/A,#N/A,FALSE,"970303";#N/A,#N/A,FALSE,"970304";#N/A,#N/A,FALSE,"COM1";#N/A,#N/A,FALSE,"COM2"}</definedName>
    <definedName name="commercialBill">[1]C_110函证控制表!$BW$32:$BW$64073</definedName>
    <definedName name="copia" localSheetId="1" hidden="1">{#N/A,#N/A,FALSE,"voz corporativa";#N/A,#N/A,FALSE,"Transmisión de datos";#N/A,#N/A,FALSE,"Videoconferencia";#N/A,#N/A,FALSE,"Correo electrónico";#N/A,#N/A,FALSE,"Correo de voz";#N/A,#N/A,FALSE,"Megafax";#N/A,#N/A,FALSE,"Edi";#N/A,#N/A,FALSE,"Internet";#N/A,#N/A,FALSE,"VSAT";#N/A,#N/A,FALSE,"ing ult. milla"}</definedName>
    <definedName name="copia" hidden="1">{#N/A,#N/A,FALSE,"voz corporativa";#N/A,#N/A,FALSE,"Transmisión de datos";#N/A,#N/A,FALSE,"Videoconferencia";#N/A,#N/A,FALSE,"Correo electrónico";#N/A,#N/A,FALSE,"Correo de voz";#N/A,#N/A,FALSE,"Megafax";#N/A,#N/A,FALSE,"Edi";#N/A,#N/A,FALSE,"Internet";#N/A,#N/A,FALSE,"VSAT";#N/A,#N/A,FALSE,"ing ult. milla"}</definedName>
    <definedName name="creditorLoan">[1]C_110函证控制表!$AL$32:$AL$64073</definedName>
    <definedName name="CSCGZ" localSheetId="1" hidden="1">Main.SAPF4Help()</definedName>
    <definedName name="CSCGZ" hidden="1">Main.SAPF4Help()</definedName>
    <definedName name="CurrencyCodes">#REF!</definedName>
    <definedName name="currencyT">[1]C_100Breakdown!$K$37:$K$47110</definedName>
    <definedName name="CurrentLanguage">#REF!</definedName>
    <definedName name="data1" hidden="1">#REF!</definedName>
    <definedName name="data2" hidden="1">#REF!</definedName>
    <definedName name="data3" hidden="1">#REF!</definedName>
    <definedName name="DBS" hidden="1">#REF!</definedName>
    <definedName name="dcca" localSheetId="1" hidden="1">{#N/A,#N/A,FALSE,"资产负债表";#N/A,#N/A,FALSE,"资产负债表"}</definedName>
    <definedName name="dcca" hidden="1">{#N/A,#N/A,FALSE,"资产负债表";#N/A,#N/A,FALSE,"资产负债表"}</definedName>
    <definedName name="DDDD" localSheetId="1" hidden="1">{#N/A,#N/A,FALSE,"Virgin Flightdeck"}</definedName>
    <definedName name="DDDD" hidden="1">{#N/A,#N/A,FALSE,"Virgin Flightdeck"}</definedName>
    <definedName name="DDDDDD" localSheetId="1" hidden="1">{#N/A,#N/A,FALSE,"Virgin Flightdeck"}</definedName>
    <definedName name="DDDDDD" hidden="1">{#N/A,#N/A,FALSE,"Virgin Flightdeck"}</definedName>
    <definedName name="debtorLoan">[1]C_110函证控制表!$AR$32:$AR$64073</definedName>
    <definedName name="dfdf"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dafsg" localSheetId="1" hidden="1">{#N/A,#N/A,FALSE,"OffAdvance";#N/A,#N/A,FALSE,"OffExpRprt";#N/A,#N/A,FALSE,"Travelling";#N/A,#N/A,FALSE,"Entertmnt";#N/A,#N/A,FALSE,"Promotion"}</definedName>
    <definedName name="dfgdafsg" hidden="1">{#N/A,#N/A,FALSE,"OffAdvance";#N/A,#N/A,FALSE,"OffExpRprt";#N/A,#N/A,FALSE,"Travelling";#N/A,#N/A,FALSE,"Entertmnt";#N/A,#N/A,FALSE,"Promotion"}</definedName>
    <definedName name="dfk"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v" localSheetId="1" hidden="1">{"M1Print",#N/A,TRUE,"M1";"M2Print",#N/A,TRUE,"M2";"M1sPrint",#N/A,TRUE,"M1s";"M2aPrint",#N/A,TRUE,"M2a";"M4Print",#N/A,TRUE,"M4";"M5Print",#N/A,TRUE,"M5";"M6Print",#N/A,TRUE,"M6";"M6_1Print",#N/A,TRUE,"M6_1";"M6_2Print",#N/A,TRUE,"M6_2";"M7_1Print",#N/A,TRUE,"M7_1";"M7_2Print",#N/A,TRUE,"M7_2"}</definedName>
    <definedName name="dfv" hidden="1">{"M1Print",#N/A,TRUE,"M1";"M2Print",#N/A,TRUE,"M2";"M1sPrint",#N/A,TRUE,"M1s";"M2aPrint",#N/A,TRUE,"M2a";"M4Print",#N/A,TRUE,"M4";"M5Print",#N/A,TRUE,"M5";"M6Print",#N/A,TRUE,"M6";"M6_1Print",#N/A,TRUE,"M6_1";"M6_2Print",#N/A,TRUE,"M6_2";"M7_1Print",#N/A,TRUE,"M7_1";"M7_2Print",#N/A,TRUE,"M7_2"}</definedName>
    <definedName name="dh" localSheetId="1" hidden="1">{"M4Print",#N/A,FALSE,"M4"}</definedName>
    <definedName name="dh" hidden="1">{"M4Print",#N/A,FALSE,"M4"}</definedName>
    <definedName name="Discount" hidden="1">#REF!</definedName>
    <definedName name="display_area_2" hidden="1">#REF!</definedName>
    <definedName name="dlf" localSheetId="1" hidden="1">{"M4Print",#N/A,FALSE,"M4"}</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localSheetId="1" hidden="1">{#N/A,#N/A,TRUE,"CPRD";#N/A,#N/A,TRUE,"BCCPDR";#N/A,#N/A,TRUE,"EWRD";#N/A,#N/A,TRUE,"5100";#N/A,#N/A,TRUE,"5110"}</definedName>
    <definedName name="doddd" localSheetId="0" hidden="1">{#N/A,#N/A,TRUE,"CPRD";#N/A,#N/A,TRUE,"BCCPDR";#N/A,#N/A,TRUE,"EWRD";#N/A,#N/A,TRUE,"5100";#N/A,#N/A,TRUE,"5110"}</definedName>
    <definedName name="doddd" hidden="1">{#N/A,#N/A,TRUE,"CPRD";#N/A,#N/A,TRUE,"BCCPDR";#N/A,#N/A,TRUE,"EWRD";#N/A,#N/A,TRUE,"5100";#N/A,#N/A,TRUE,"5110"}</definedName>
    <definedName name="dog" localSheetId="1" hidden="1">{#N/A,#N/A,TRUE,"CPRD";#N/A,#N/A,TRUE,"BCCPDR";#N/A,#N/A,TRUE,"EWRD";#N/A,#N/A,TRUE,"5100";#N/A,#N/A,TRUE,"5110"}</definedName>
    <definedName name="dog" localSheetId="0" hidden="1">{#N/A,#N/A,TRUE,"CPRD";#N/A,#N/A,TRUE,"BCCPDR";#N/A,#N/A,TRUE,"EWRD";#N/A,#N/A,TRUE,"5100";#N/A,#N/A,TRUE,"5110"}</definedName>
    <definedName name="dog" hidden="1">{#N/A,#N/A,TRUE,"CPRD";#N/A,#N/A,TRUE,"BCCPDR";#N/A,#N/A,TRUE,"EWRD";#N/A,#N/A,TRUE,"5100";#N/A,#N/A,TRUE,"5110"}</definedName>
    <definedName name="DPL" hidden="1">#REF!</definedName>
    <definedName name="ds" localSheetId="1" hidden="1">{"CSC_1",#N/A,FALSE,"CSC Outputs";"CSC_2",#N/A,FALSE,"CSC Outputs"}</definedName>
    <definedName name="ds" hidden="1">{"CSC_1",#N/A,FALSE,"CSC Outputs";"CSC_2",#N/A,FALSE,"CSC Outputs"}</definedName>
    <definedName name="dsasafsadf" localSheetId="1" hidden="1">{"page 1",#N/A,FALSE,"A";"page 2",#N/A,FALSE,"A";"page 3",#N/A,FALSE,"A";"page 4",#N/A,FALSE,"A";"page 5",#N/A,FALSE,"A";"page 6",#N/A,FALSE,"A";"page 7",#N/A,FALSE,"A";"page 8",#N/A,FALSE,"A";"page 9",#N/A,FALSE,"A";"page 10",#N/A,FALSE,"A";"page 11",#N/A,FALSE,"A";"page 12",#N/A,FALSE,"A";"page 13",#N/A,FALSE,"A";"page 14",#N/A,FALSE,"A"}</definedName>
    <definedName name="dsasafsadf" hidden="1">{"page 1",#N/A,FALSE,"A";"page 2",#N/A,FALSE,"A";"page 3",#N/A,FALSE,"A";"page 4",#N/A,FALSE,"A";"page 5",#N/A,FALSE,"A";"page 6",#N/A,FALSE,"A";"page 7",#N/A,FALSE,"A";"page 8",#N/A,FALSE,"A";"page 9",#N/A,FALSE,"A";"page 10",#N/A,FALSE,"A";"page 11",#N/A,FALSE,"A";"page 12",#N/A,FALSE,"A";"page 13",#N/A,FALSE,"A";"page 14",#N/A,FALSE,"A"}</definedName>
    <definedName name="DSCCD" localSheetId="1" hidden="1">{#N/A,#N/A,FALSE,"Verify at a Glance";#N/A,#N/A,FALSE,"CARMS VS. STAR";#N/A,#N/A,FALSE,"Intel-US";#N/A,#N/A,FALSE,"Intel-PR";#N/A,#N/A,FALSE,"Intel-MISC-6";#N/A,#N/A,FALSE,"Intel-DPA-7";#N/A,#N/A,FALSE,"Intel-IRE";#N/A,#N/A,FALSE,"Intel-HK";#N/A,#N/A,FALSE,"DAILY INPUT";#N/A,#N/A,FALSE,"P5 HK Cash List"}</definedName>
    <definedName name="DSCCD" hidden="1">{#N/A,#N/A,FALSE,"Verify at a Glance";#N/A,#N/A,FALSE,"CARMS VS. STAR";#N/A,#N/A,FALSE,"Intel-US";#N/A,#N/A,FALSE,"Intel-PR";#N/A,#N/A,FALSE,"Intel-MISC-6";#N/A,#N/A,FALSE,"Intel-DPA-7";#N/A,#N/A,FALSE,"Intel-IRE";#N/A,#N/A,FALSE,"Intel-HK";#N/A,#N/A,FALSE,"DAILY INPUT";#N/A,#N/A,FALSE,"P5 HK Cash List"}</definedName>
    <definedName name="dsd是" hidden="1">#REF!</definedName>
    <definedName name="dvbm" localSheetId="1" hidden="1">{#N/A,#N/A,FALSE,"资产负债表";#N/A,#N/A,FALSE,"资产负债表"}</definedName>
    <definedName name="dvbm" hidden="1">{#N/A,#N/A,FALSE,"资产负债表";#N/A,#N/A,FALSE,"资产负债表"}</definedName>
    <definedName name="DWED" hidden="1">#REF!</definedName>
    <definedName name="EDEW" hidden="1">#REF!</definedName>
    <definedName name="edispu" localSheetId="1" hidden="1">{#N/A,#N/A,FALSE,"Sheet1"}</definedName>
    <definedName name="edispu" hidden="1">{#N/A,#N/A,FALSE,"Sheet1"}</definedName>
    <definedName name="ehdg" localSheetId="1" hidden="1">{#N/A,#N/A,FALSE,"Jan"}</definedName>
    <definedName name="ehdg" localSheetId="0" hidden="1">{#N/A,#N/A,FALSE,"Jan"}</definedName>
    <definedName name="ehdg" hidden="1">{#N/A,#N/A,FALSE,"Jan"}</definedName>
    <definedName name="eqwrwer" localSheetId="1" hidden="1">{"Annual_Income",#N/A,FALSE,"Report Page";"Balance_Cash_Flow",#N/A,FALSE,"Report Page";"Quarterly_Income",#N/A,FALSE,"Report Page"}</definedName>
    <definedName name="eqwrwer" hidden="1">{"Annual_Income",#N/A,FALSE,"Report Page";"Balance_Cash_Flow",#N/A,FALSE,"Report Page";"Quarterly_Income",#N/A,FALSE,"Report Page"}</definedName>
    <definedName name="erf" localSheetId="1" hidden="1">{#N/A,#N/A,FALSE,"970301";#N/A,#N/A,FALSE,"970302";#N/A,#N/A,FALSE,"970303";#N/A,#N/A,FALSE,"970304";#N/A,#N/A,FALSE,"COM1";#N/A,#N/A,FALSE,"COM2"}</definedName>
    <definedName name="erf" hidden="1">{#N/A,#N/A,FALSE,"970301";#N/A,#N/A,FALSE,"970302";#N/A,#N/A,FALSE,"970303";#N/A,#N/A,FALSE,"970304";#N/A,#N/A,FALSE,"COM1";#N/A,#N/A,FALSE,"COM2"}</definedName>
    <definedName name="errrr" localSheetId="1" hidden="1">{"CSC_1",#N/A,FALSE,"CSC Outputs";"CSC_2",#N/A,FALSE,"CSC Outputs"}</definedName>
    <definedName name="errrr" hidden="1">{"CSC_1",#N/A,FALSE,"CSC Outputs";"CSC_2",#N/A,FALSE,"CSC Outputs"}</definedName>
    <definedName name="eryj" localSheetId="1" hidden="1">{#N/A,#N/A,FALSE,"资产负债表";#N/A,#N/A,FALSE,"资产负债表"}</definedName>
    <definedName name="eryj" hidden="1">{#N/A,#N/A,FALSE,"资产负债表";#N/A,#N/A,FALSE,"资产负债表"}</definedName>
    <definedName name="EV__LASTREFTIME__" hidden="1">39274.4724884259</definedName>
    <definedName name="ExpenseUpload" localSheetId="1" hidden="1">{#N/A,#N/A,TRUE,"CPRD";#N/A,#N/A,TRUE,"BCCPDR";#N/A,#N/A,TRUE,"EWRD";#N/A,#N/A,TRUE,"5100";#N/A,#N/A,TRUE,"5110"}</definedName>
    <definedName name="ExpenseUpload" localSheetId="0" hidden="1">{#N/A,#N/A,TRUE,"CPRD";#N/A,#N/A,TRUE,"BCCPDR";#N/A,#N/A,TRUE,"EWRD";#N/A,#N/A,TRUE,"5100";#N/A,#N/A,TRUE,"5110"}</definedName>
    <definedName name="ExpenseUpload" hidden="1">{#N/A,#N/A,TRUE,"CPRD";#N/A,#N/A,TRUE,"BCCPDR";#N/A,#N/A,TRUE,"EWRD";#N/A,#N/A,TRUE,"5100";#N/A,#N/A,TRUE,"5110"}</definedName>
    <definedName name="EYCanvasAnswer">#REF!</definedName>
    <definedName name="f" hidden="1">#REF!</definedName>
    <definedName name="faif" localSheetId="1" hidden="1">{#N/A,#N/A,FALSE,"资产负债表";#N/A,#N/A,FALSE,"资产负债表"}</definedName>
    <definedName name="faif" hidden="1">{#N/A,#N/A,FALSE,"资产负债表";#N/A,#N/A,FALSE,"资产负债表"}</definedName>
    <definedName name="FCode" hidden="1">#REF!</definedName>
    <definedName name="fd" localSheetId="1" hidden="1">{"M1sPrint",#N/A,FALSE,"M1s"}</definedName>
    <definedName name="fd" hidden="1">{"M1sPrint",#N/A,FALSE,"M1s"}</definedName>
    <definedName name="FDEFRE" hidden="1">#REF!</definedName>
    <definedName name="FDVV" localSheetId="1" hidden="1">{#N/A,#N/A,FALSE,"Verify at a Glance";#N/A,#N/A,FALSE,"CARMS VS. STAR";#N/A,#N/A,FALSE,"Intel-US";#N/A,#N/A,FALSE,"Intel-PR";#N/A,#N/A,FALSE,"Intel-MISC-6";#N/A,#N/A,FALSE,"Intel-DPA-7";#N/A,#N/A,FALSE,"Intel-IRE";#N/A,#N/A,FALSE,"Intel-HK";#N/A,#N/A,FALSE,"DAILY INPUT";#N/A,#N/A,FALSE,"P5 HK Cash List"}</definedName>
    <definedName name="FDVV" hidden="1">{#N/A,#N/A,FALSE,"Verify at a Glance";#N/A,#N/A,FALSE,"CARMS VS. STAR";#N/A,#N/A,FALSE,"Intel-US";#N/A,#N/A,FALSE,"Intel-PR";#N/A,#N/A,FALSE,"Intel-MISC-6";#N/A,#N/A,FALSE,"Intel-DPA-7";#N/A,#N/A,FALSE,"Intel-IRE";#N/A,#N/A,FALSE,"Intel-HK";#N/A,#N/A,FALSE,"DAILY INPUT";#N/A,#N/A,FALSE,"P5 HK Cash List"}</definedName>
    <definedName name="feedback" localSheetId="1" hidden="1">{#N/A,#N/A,TRUE,"CPRD";#N/A,#N/A,TRUE,"BCCPDR";#N/A,#N/A,TRUE,"EWRD";#N/A,#N/A,TRUE,"5100";#N/A,#N/A,TRUE,"5110"}</definedName>
    <definedName name="feedback" localSheetId="0" hidden="1">{#N/A,#N/A,TRUE,"CPRD";#N/A,#N/A,TRUE,"BCCPDR";#N/A,#N/A,TRUE,"EWRD";#N/A,#N/A,TRUE,"5100";#N/A,#N/A,TRUE,"5110"}</definedName>
    <definedName name="feedback" hidden="1">{#N/A,#N/A,TRUE,"CPRD";#N/A,#N/A,TRUE,"BCCPDR";#N/A,#N/A,TRUE,"EWRD";#N/A,#N/A,TRUE,"5100";#N/A,#N/A,TRUE,"5110"}</definedName>
    <definedName name="FEtradingContract">[1]C_110函证控制表!$CI$32:$CI$64073</definedName>
    <definedName name="fgdg" localSheetId="1" hidden="1">{"M1Print",#N/A,TRUE,"M1";"M2Print",#N/A,TRUE,"M2";"M1sPrint",#N/A,TRUE,"M1s";"M2aPrint",#N/A,TRUE,"M2a";"M4Print",#N/A,TRUE,"M4";"M5Print",#N/A,TRUE,"M5";"M6Print",#N/A,TRUE,"M6";"M6_1Print",#N/A,TRUE,"M6_1";"M6_2Print",#N/A,TRUE,"M6_2";"M7_1Print",#N/A,TRUE,"M7_1";"M7_2Print",#N/A,TRUE,"M7_2"}</definedName>
    <definedName name="fgdg" hidden="1">{"M1Print",#N/A,TRUE,"M1";"M2Print",#N/A,TRUE,"M2";"M1sPrint",#N/A,TRUE,"M1s";"M2aPrint",#N/A,TRUE,"M2a";"M4Print",#N/A,TRUE,"M4";"M5Print",#N/A,TRUE,"M5";"M6Print",#N/A,TRUE,"M6";"M6_1Print",#N/A,TRUE,"M6_1";"M6_2Print",#N/A,TRUE,"M6_2";"M7_1Print",#N/A,TRUE,"M7_1";"M7_2Print",#N/A,TRUE,"M7_2"}</definedName>
    <definedName name="fggh" localSheetId="1" hidden="1">{#N/A,#N/A,FALSE,"970301";#N/A,#N/A,FALSE,"970302";#N/A,#N/A,FALSE,"970303";#N/A,#N/A,FALSE,"970304";#N/A,#N/A,FALSE,"COM1";#N/A,#N/A,FALSE,"COM2"}</definedName>
    <definedName name="fggh" hidden="1">{#N/A,#N/A,FALSE,"970301";#N/A,#N/A,FALSE,"970302";#N/A,#N/A,FALSE,"970303";#N/A,#N/A,FALSE,"970304";#N/A,#N/A,FALSE,"COM1";#N/A,#N/A,FALSE,"COM2"}</definedName>
    <definedName name="fggh1" localSheetId="1" hidden="1">{#N/A,#N/A,FALSE,"970301";#N/A,#N/A,FALSE,"970302";#N/A,#N/A,FALSE,"970303";#N/A,#N/A,FALSE,"970304";#N/A,#N/A,FALSE,"COM1";#N/A,#N/A,FALSE,"COM2"}</definedName>
    <definedName name="fggh1" hidden="1">{#N/A,#N/A,FALSE,"970301";#N/A,#N/A,FALSE,"970302";#N/A,#N/A,FALSE,"970303";#N/A,#N/A,FALSE,"970304";#N/A,#N/A,FALSE,"COM1";#N/A,#N/A,FALSE,"COM2"}</definedName>
    <definedName name="fvb" localSheetId="1" hidden="1">{#N/A,#N/A,FALSE,"资产负债表";#N/A,#N/A,FALSE,"资产负债表"}</definedName>
    <definedName name="fvb" hidden="1">{#N/A,#N/A,FALSE,"资产负债表";#N/A,#N/A,FALSE,"资产负债表"}</definedName>
    <definedName name="G9IJGF" localSheetId="1" hidden="1">{#N/A,#N/A,FALSE,"资产负债表";#N/A,#N/A,FALSE,"资产负债表"}</definedName>
    <definedName name="G9IJGF" hidden="1">{#N/A,#N/A,FALSE,"资产负债表";#N/A,#N/A,FALSE,"资产负债表"}</definedName>
    <definedName name="gggg" localSheetId="1" hidden="1">{#N/A,#N/A,FALSE,"OffAdvance";#N/A,#N/A,FALSE,"OffExpRprt";#N/A,#N/A,FALSE,"Travelling";#N/A,#N/A,FALSE,"Entertmnt";#N/A,#N/A,FALSE,"Promotion"}</definedName>
    <definedName name="gggg" hidden="1">{#N/A,#N/A,FALSE,"OffAdvance";#N/A,#N/A,FALSE,"OffExpRprt";#N/A,#N/A,FALSE,"Travelling";#N/A,#N/A,FALSE,"Entertmnt";#N/A,#N/A,FALSE,"Promotion"}</definedName>
    <definedName name="gggg1" localSheetId="1" hidden="1">{#N/A,#N/A,FALSE,"OffAdvance";#N/A,#N/A,FALSE,"OffExpRprt";#N/A,#N/A,FALSE,"Travelling";#N/A,#N/A,FALSE,"Entertmnt";#N/A,#N/A,FALSE,"Promotion"}</definedName>
    <definedName name="gggg1" hidden="1">{#N/A,#N/A,FALSE,"OffAdvance";#N/A,#N/A,FALSE,"OffExpRprt";#N/A,#N/A,FALSE,"Travelling";#N/A,#N/A,FALSE,"Entertmnt";#N/A,#N/A,FALSE,"Promotion"}</definedName>
    <definedName name="guaranteebyBank">[1]C_110函证控制表!$BC$32:$BC$64073</definedName>
    <definedName name="hadiah" localSheetId="1" hidden="1">{#N/A,#N/A,FALSE,"资产负债表";#N/A,#N/A,FALSE,"资产负债表"}</definedName>
    <definedName name="hadiah" hidden="1">{#N/A,#N/A,FALSE,"资产负债表";#N/A,#N/A,FALSE,"资产负债表"}</definedName>
    <definedName name="HdctTrnd" localSheetId="1" hidden="1">{#N/A,#N/A,TRUE,"CPRD";#N/A,#N/A,TRUE,"BCCPDR";#N/A,#N/A,TRUE,"EWRD";#N/A,#N/A,TRUE,"5100";#N/A,#N/A,TRUE,"5110"}</definedName>
    <definedName name="HdctTrnd" localSheetId="0" hidden="1">{#N/A,#N/A,TRUE,"CPRD";#N/A,#N/A,TRUE,"BCCPDR";#N/A,#N/A,TRUE,"EWRD";#N/A,#N/A,TRUE,"5100";#N/A,#N/A,TRUE,"5110"}</definedName>
    <definedName name="HdctTrnd" hidden="1">{#N/A,#N/A,TRUE,"CPRD";#N/A,#N/A,TRUE,"BCCPDR";#N/A,#N/A,TRUE,"EWRD";#N/A,#N/A,TRUE,"5100";#N/A,#N/A,TRUE,"5110"}</definedName>
    <definedName name="HiddenRows" hidden="1">#REF!</definedName>
    <definedName name="hod" localSheetId="1" hidden="1">{#N/A,#N/A,FALSE,"TS";#N/A,#N/A,FALSE,"Combo";#N/A,#N/A,FALSE,"FAIR";#N/A,#N/A,FALSE,"RBC";#N/A,#N/A,FALSE,"xxxx";#N/A,#N/A,FALSE,"A_D";#N/A,#N/A,FALSE,"WACC";#N/A,#N/A,FALSE,"DCF";#N/A,#N/A,FALSE,"LBO";#N/A,#N/A,FALSE,"AcqMults";#N/A,#N/A,FALSE,"CompMults"}</definedName>
    <definedName name="hod" hidden="1">{#N/A,#N/A,FALSE,"TS";#N/A,#N/A,FALSE,"Combo";#N/A,#N/A,FALSE,"FAIR";#N/A,#N/A,FALSE,"RBC";#N/A,#N/A,FALSE,"xxxx";#N/A,#N/A,FALSE,"A_D";#N/A,#N/A,FALSE,"WACC";#N/A,#N/A,FALSE,"DCF";#N/A,#N/A,FALSE,"LBO";#N/A,#N/A,FALSE,"AcqMults";#N/A,#N/A,FALSE,"CompMults"}</definedName>
    <definedName name="houy" localSheetId="1" hidden="1">{#N/A,#N/A,FALSE,"AD_Purchase";#N/A,#N/A,FALSE,"Credit";#N/A,#N/A,FALSE,"PF Acquisition";#N/A,#N/A,FALSE,"PF Offering"}</definedName>
    <definedName name="houy" hidden="1">{#N/A,#N/A,FALSE,"AD_Purchase";#N/A,#N/A,FALSE,"Credit";#N/A,#N/A,FALSE,"PF Acquisition";#N/A,#N/A,FALSE,"PF Offering"}</definedName>
    <definedName name="HTL_Cotrol1" localSheetId="1" hidden="1">{"'Sheet3'!$A$47:$M$47"}</definedName>
    <definedName name="HTL_Cotrol1" hidden="1">{"'Sheet3'!$A$47:$M$47"}</definedName>
    <definedName name="HTML_CodePage" hidden="1">1252</definedName>
    <definedName name="HTML_Control" localSheetId="1" hidden="1">{"'Vxxe_times_J750 (2)'!$A$3:$E$14"}</definedName>
    <definedName name="HTML_Control" localSheetId="0" hidden="1">{"'Vxxe_times_J750 (2)'!$A$3:$E$14"}</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PathFileMac" hidden="1">"Macintosh HD:HomePageStuff:New_Home_Page:datafile:ctryprem.html"</definedName>
    <definedName name="HTML_Title" hidden="1">"virtexE_j750_wolf_comparison"</definedName>
    <definedName name="hueoa" localSheetId="1" hidden="1">{#N/A,#N/A,FALSE,"资产负债表";#N/A,#N/A,FALSE,"资产负债表"}</definedName>
    <definedName name="hueoa" hidden="1">{#N/A,#N/A,FALSE,"资产负债表";#N/A,#N/A,FALSE,"资产负债表"}</definedName>
    <definedName name="hylinkcount" hidden="1">18</definedName>
    <definedName name="ieji" localSheetId="1" hidden="1">{#N/A,#N/A,FALSE,"970301";#N/A,#N/A,FALSE,"970302";#N/A,#N/A,FALSE,"970303";#N/A,#N/A,FALSE,"970304";#N/A,#N/A,FALSE,"COM1";#N/A,#N/A,FALSE,"COM2"}</definedName>
    <definedName name="ieji" hidden="1">{#N/A,#N/A,FALSE,"970301";#N/A,#N/A,FALSE,"970302";#N/A,#N/A,FALSE,"970303";#N/A,#N/A,FALSE,"970304";#N/A,#N/A,FALSE,"COM1";#N/A,#N/A,FALSE,"COM2"}</definedName>
    <definedName name="iiiiii" localSheetId="1" hidden="1">{#N/A,#N/A,FALSE,"PERSONAL";#N/A,#N/A,FALSE,"explotación";#N/A,#N/A,FALSE,"generales"}</definedName>
    <definedName name="iiiiii" hidden="1">{#N/A,#N/A,FALSE,"PERSONAL";#N/A,#N/A,FALSE,"explotación";#N/A,#N/A,FALSE,"generales"}</definedName>
    <definedName name="inCurrencyCode">#REF!</definedName>
    <definedName name="inFinalDol">#REF!</definedName>
    <definedName name="inflList" hidden="1">"00000000000000000000000000000000000000000000000000000000000000000000000000000000000000000000000000000000000000000000000000000000000000000000000000000000000000000000000000000000000000000000000000000000"</definedName>
    <definedName name="inOverallEval">#REF!</definedName>
    <definedName name="inPeriod">#REF!</definedName>
    <definedName name="inPlannedLevel">#REF!</definedName>
    <definedName name="inTolerableError">#REF!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39036.4994560185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sCancelled">[1]C_100Breakdown!$V$37:$V$47110</definedName>
    <definedName name="jdda" localSheetId="1" hidden="1">{"M4Print",#N/A,FALSE,"M4"}</definedName>
    <definedName name="jdda" hidden="1">{"M4Print",#N/A,FALSE,"M4"}</definedName>
    <definedName name="jdfslsajdflasdkjpf" localSheetId="1" hidden="1">{#N/A,#N/A,FALSE,"OffAdvance";#N/A,#N/A,FALSE,"OffExpRprt";#N/A,#N/A,FALSE,"Entertmnt";#N/A,#N/A,FALSE,"Promotion";#N/A,#N/A,FALSE,"Travelling"}</definedName>
    <definedName name="jdfslsajdflasdkjpf" hidden="1">{#N/A,#N/A,FALSE,"OffAdvance";#N/A,#N/A,FALSE,"OffExpRprt";#N/A,#N/A,FALSE,"Entertmnt";#N/A,#N/A,FALSE,"Promotion";#N/A,#N/A,FALSE,"Travelling"}</definedName>
    <definedName name="jfgh" localSheetId="1" hidden="1">{"M1sPrint",#N/A,FALSE,"M1s"}</definedName>
    <definedName name="jfgh" hidden="1">{"M1sPrint",#N/A,FALSE,"M1s"}</definedName>
    <definedName name="jgfhfg" localSheetId="1" hidden="1">{"M1sPrint",#N/A,FALSE,"M1s"}</definedName>
    <definedName name="jgfhfg" hidden="1">{"M1sPrint",#N/A,FALSE,"M1s"}</definedName>
    <definedName name="jlj" localSheetId="1" hidden="1">{"M2aPrint",#N/A,FALSE,"M2a"}</definedName>
    <definedName name="jlj" hidden="1">{"M2aPrint",#N/A,FALSE,"M2a"}</definedName>
    <definedName name="jughn" localSheetId="1" hidden="1">{"M7_1Print",#N/A,TRUE,"M7_1";"M7_2Print",#N/A,TRUE,"M7_2"}</definedName>
    <definedName name="jughn" hidden="1">{"M7_1Print",#N/A,TRUE,"M7_1";"M7_2Print",#N/A,TRUE,"M7_2"}</definedName>
    <definedName name="jytj" localSheetId="1" hidden="1">{"M7_1Print",#N/A,TRUE,"M7_1";"M7_2Print",#N/A,TRUE,"M7_2"}</definedName>
    <definedName name="jytj" hidden="1">{"M7_1Print",#N/A,TRUE,"M7_1";"M7_2Print",#N/A,TRUE,"M7_2"}</definedName>
    <definedName name="K2_WBEVMODE" hidden="1">-1</definedName>
    <definedName name="klj" localSheetId="1" hidden="1">{#N/A,#N/A,FALSE,"OffAdvance";#N/A,#N/A,FALSE,"OffExpRprt";#N/A,#N/A,FALSE,"Travelling";#N/A,#N/A,FALSE,"Entertmnt";#N/A,#N/A,FALSE,"Promotion"}</definedName>
    <definedName name="klj" hidden="1">{#N/A,#N/A,FALSE,"OffAdvance";#N/A,#N/A,FALSE,"OffExpRprt";#N/A,#N/A,FALSE,"Travelling";#N/A,#N/A,FALSE,"Entertmnt";#N/A,#N/A,FALSE,"Promotion"}</definedName>
    <definedName name="kljik" localSheetId="1" hidden="1">{#N/A,#N/A,FALSE,"OffAdvance";#N/A,#N/A,FALSE,"OffExpRprt";#N/A,#N/A,FALSE,"Entertmnt";#N/A,#N/A,FALSE,"Promotion";#N/A,#N/A,FALSE,"Travelling"}</definedName>
    <definedName name="kljik" hidden="1">{#N/A,#N/A,FALSE,"OffAdvance";#N/A,#N/A,FALSE,"OffExpRprt";#N/A,#N/A,FALSE,"Entertmnt";#N/A,#N/A,FALSE,"Promotion";#N/A,#N/A,FALSE,"Travelling"}</definedName>
    <definedName name="kmk" localSheetId="1" hidden="1">{#N/A,#N/A,FALSE,"Marketing";#N/A,#N/A,FALSE,"Selling";#N/A,#N/A,FALSE,"Promotional";#N/A,#N/A,FALSE,"Advertising"}</definedName>
    <definedName name="kmk" hidden="1">{#N/A,#N/A,FALSE,"Marketing";#N/A,#N/A,FALSE,"Selling";#N/A,#N/A,FALSE,"Promotional";#N/A,#N/A,FALSE,"Advertising"}</definedName>
    <definedName name="kuj" localSheetId="1" hidden="1">{"M6Print",#N/A,FALSE,"M6";"M6_1Print",#N/A,FALSE,"M6_1";"M6_2Print",#N/A,FALSE,"M6_2"}</definedName>
    <definedName name="kuj" hidden="1">{"M6Print",#N/A,FALSE,"M6";"M6_1Print",#N/A,FALSE,"M6_1";"M6_2Print",#N/A,FALSE,"M6_2"}</definedName>
    <definedName name="lbo" localSheetId="1" hidden="1">{#N/A,#N/A,FALSE,"Summary";#N/A,#N/A,FALSE,"Projections";#N/A,#N/A,FALSE,"Mkt Mults";#N/A,#N/A,FALSE,"DCF";#N/A,#N/A,FALSE,"Accr Dil";#N/A,#N/A,FALSE,"PIC LBO";#N/A,#N/A,FALSE,"MULT10_4";#N/A,#N/A,FALSE,"CBI LBO"}</definedName>
    <definedName name="lbo" hidden="1">{#N/A,#N/A,FALSE,"Summary";#N/A,#N/A,FALSE,"Projections";#N/A,#N/A,FALSE,"Mkt Mults";#N/A,#N/A,FALSE,"DCF";#N/A,#N/A,FALSE,"Accr Dil";#N/A,#N/A,FALSE,"PIC LBO";#N/A,#N/A,FALSE,"MULT10_4";#N/A,#N/A,FALSE,"CBI LBO"}</definedName>
    <definedName name="ListOffset" hidden="1">1</definedName>
    <definedName name="lm" localSheetId="1" hidden="1">{#N/A,#N/A,FALSE,"970301";#N/A,#N/A,FALSE,"970302";#N/A,#N/A,FALSE,"970303";#N/A,#N/A,FALSE,"970304";#N/A,#N/A,FALSE,"COM1";#N/A,#N/A,FALSE,"COM2"}</definedName>
    <definedName name="lm" hidden="1">{#N/A,#N/A,FALSE,"970301";#N/A,#N/A,FALSE,"970302";#N/A,#N/A,FALSE,"970303";#N/A,#N/A,FALSE,"970304";#N/A,#N/A,FALSE,"COM1";#N/A,#N/A,FALSE,"COM2"}</definedName>
    <definedName name="lola" localSheetId="1" hidden="1">{#N/A,#N/A,FALSE,"PERSONAL";#N/A,#N/A,FALSE,"explotación";#N/A,#N/A,FALSE,"generales"}</definedName>
    <definedName name="lola" hidden="1">{#N/A,#N/A,FALSE,"PERSONAL";#N/A,#N/A,FALSE,"explotación";#N/A,#N/A,FALSE,"generales"}</definedName>
    <definedName name="lolal" localSheetId="1"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l"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localSheetId="1" hidden="1">{#N/A,#N/A,FALSE,"voz corporativa";#N/A,#N/A,FALSE,"Transmisión de datos";#N/A,#N/A,FALSE,"Videoconferencia";#N/A,#N/A,FALSE,"Correo electrónico";#N/A,#N/A,FALSE,"Correo de voz";#N/A,#N/A,FALSE,"Megafax";#N/A,#N/A,FALSE,"Edi";#N/A,#N/A,FALSE,"Internet";#N/A,#N/A,FALSE,"VSAT";#N/A,#N/A,FALSE,"ing ult. milla"}</definedName>
    <definedName name="lolas" hidden="1">{#N/A,#N/A,FALSE,"voz corporativa";#N/A,#N/A,FALSE,"Transmisión de datos";#N/A,#N/A,FALSE,"Videoconferencia";#N/A,#N/A,FALSE,"Correo electrónico";#N/A,#N/A,FALSE,"Correo de voz";#N/A,#N/A,FALSE,"Megafax";#N/A,#N/A,FALSE,"Edi";#N/A,#N/A,FALSE,"Internet";#N/A,#N/A,FALSE,"VSAT";#N/A,#N/A,FALSE,"ing ult. milla"}</definedName>
    <definedName name="lolass" localSheetId="1"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localSheetId="1"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tusGraphChart1" hidden="1">#REF!</definedName>
    <definedName name="lotusgraphchart1b" hidden="1">#REF!</definedName>
    <definedName name="lotusgraphchart1x" hidden="1">#REF!</definedName>
    <definedName name="lu" localSheetId="1" hidden="1">{"M1sPrint",#N/A,FALSE,"M1s"}</definedName>
    <definedName name="lu" hidden="1">{"M1sPrint",#N/A,FALSE,"M1s"}</definedName>
    <definedName name="m" localSheetId="1" hidden="1">{#N/A,#N/A,FALSE,"Virgin Flightdeck"}</definedName>
    <definedName name="m" hidden="1">{#N/A,#N/A,FALSE,"Virgin Flightdeck"}</definedName>
    <definedName name="n" localSheetId="1" hidden="1">{"M2Print",#N/A,FALSE,"M2"}</definedName>
    <definedName name="n" hidden="1">{"M2Print",#N/A,FALSE,"M2"}</definedName>
    <definedName name="nck"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 localSheetId="1" hidden="1">{#N/A,#N/A,FALSE,"Jan"}</definedName>
    <definedName name="new" hidden="1">{#N/A,#N/A,FALSE,"Jan"}</definedName>
    <definedName name="ngn" localSheetId="1" hidden="1">{"M1Print",#N/A,TRUE,"M1";"M2Print",#N/A,TRUE,"M2";"M1sPrint",#N/A,TRUE,"M1s";"M2aPrint",#N/A,TRUE,"M2a";"M4Print",#N/A,TRUE,"M4";"M5Print",#N/A,TRUE,"M5";"M6Print",#N/A,TRUE,"M6";"M6_1Print",#N/A,TRUE,"M6_1";"M6_2Print",#N/A,TRUE,"M6_2";"M7_1Print",#N/A,TRUE,"M7_1";"M7_2Print",#N/A,TRUE,"M7_2"}</definedName>
    <definedName name="ngn" hidden="1">{"M1Print",#N/A,TRUE,"M1";"M2Print",#N/A,TRUE,"M2";"M1sPrint",#N/A,TRUE,"M1s";"M2aPrint",#N/A,TRUE,"M2a";"M4Print",#N/A,TRUE,"M4";"M5Print",#N/A,TRUE,"M5";"M6Print",#N/A,TRUE,"M6";"M6_1Print",#N/A,TRUE,"M6_1";"M6_2Print",#N/A,TRUE,"M6_2";"M7_1Print",#N/A,TRUE,"M7_1";"M7_2Print",#N/A,TRUE,"M7_2"}</definedName>
    <definedName name="nmm" localSheetId="1" hidden="1">{#N/A,#N/A,FALSE,"Marketing";#N/A,#N/A,FALSE,"Selling";#N/A,#N/A,FALSE,"Promotional";#N/A,#N/A,FALSE,"Advertising"}</definedName>
    <definedName name="nmm" hidden="1">{#N/A,#N/A,FALSE,"Marketing";#N/A,#N/A,FALSE,"Selling";#N/A,#N/A,FALSE,"Promotional";#N/A,#N/A,FALSE,"Advertising"}</definedName>
    <definedName name="notused" localSheetId="1" hidden="1">{#N/A,#N/A,TRUE,"CPRD";#N/A,#N/A,TRUE,"BCCPDR";#N/A,#N/A,TRUE,"EWRD";#N/A,#N/A,TRUE,"5100";#N/A,#N/A,TRUE,"5110"}</definedName>
    <definedName name="notused" localSheetId="0" hidden="1">{#N/A,#N/A,TRUE,"CPRD";#N/A,#N/A,TRUE,"BCCPDR";#N/A,#N/A,TRUE,"EWRD";#N/A,#N/A,TRUE,"5100";#N/A,#N/A,TRUE,"5110"}</definedName>
    <definedName name="notused" hidden="1">{#N/A,#N/A,TRUE,"CPRD";#N/A,#N/A,TRUE,"BCCPDR";#N/A,#N/A,TRUE,"EWRD";#N/A,#N/A,TRUE,"5100";#N/A,#N/A,TRUE,"5110"}</definedName>
    <definedName name="numberofAccCancelled">[1]C_110函证控制表!$AG$32:$AG$64073</definedName>
    <definedName name="ooiuy" localSheetId="1" hidden="1">{#N/A,#N/A,FALSE,"ABB HOLDING LTD"}</definedName>
    <definedName name="ooiuy" hidden="1">{#N/A,#N/A,FALSE,"ABB HOLDING LTD"}</definedName>
    <definedName name="OrderTable" hidden="1">#REF!</definedName>
    <definedName name="otherpropertyDocs">[1]C_110函证控制表!$CO$32:$CO$64073</definedName>
    <definedName name="others" hidden="1">#REF!</definedName>
    <definedName name="Print_CSC_Report_2" localSheetId="1" hidden="1">{"CSC_1",#N/A,FALSE,"CSC Outputs";"CSC_2",#N/A,FALSE,"CSC Outputs"}</definedName>
    <definedName name="Print_CSC_Report_2" hidden="1">{"CSC_1",#N/A,FALSE,"CSC Outputs";"CSC_2",#N/A,FALSE,"CSC Outputs"}</definedName>
    <definedName name="print_CSC_Report_22" localSheetId="1" hidden="1">{"CSC_1",#N/A,FALSE,"CSC Outputs";"CSC_2",#N/A,FALSE,"CSC Outputs"}</definedName>
    <definedName name="print_CSC_Report_22" hidden="1">{"CSC_1",#N/A,FALSE,"CSC Outputs";"CSC_2",#N/A,FALSE,"CSC Outputs"}</definedName>
    <definedName name="Print_CSC_Report_3" localSheetId="1" hidden="1">{"CSC_1",#N/A,FALSE,"CSC Outputs";"CSC_2",#N/A,FALSE,"CSC Outputs"}</definedName>
    <definedName name="Print_CSC_Report_3" hidden="1">{"CSC_1",#N/A,FALSE,"CSC Outputs";"CSC_2",#N/A,FALSE,"CSC Outputs"}</definedName>
    <definedName name="ProdForm" hidden="1">#REF!</definedName>
    <definedName name="Product" hidden="1">#REF!</definedName>
    <definedName name="qwertyuiopasdfghjkl" localSheetId="1" hidden="1">{"M2aPrint",#N/A,FALSE,"M2a"}</definedName>
    <definedName name="qwertyuiopasdfghjkl" localSheetId="0" hidden="1">{"M2aPrint",#N/A,FALSE,"M2a"}</definedName>
    <definedName name="qwertyuiopasdfghjkl" hidden="1">{"M2aPrint",#N/A,FALSE,"M2a"}</definedName>
    <definedName name="qwwertyuiop" localSheetId="1" hidden="1">{"M2Print",#N/A,FALSE,"M2"}</definedName>
    <definedName name="qwwertyuiop" localSheetId="0" hidden="1">{"M2Print",#N/A,FALSE,"M2"}</definedName>
    <definedName name="qwwertyuiop" hidden="1">{"M2Print",#N/A,FALSE,"M2"}</definedName>
    <definedName name="RCArea" hidden="1">#REF!</definedName>
    <definedName name="ReportPage1" localSheetId="1" hidden="1">{"Annual_Income",#N/A,FALSE,"Report Page";"Balance_Cash_Flow",#N/A,FALSE,"Report Page";"Quarterly_Income",#N/A,FALSE,"Report Page"}</definedName>
    <definedName name="ReportPage1" hidden="1">{"Annual_Income",#N/A,FALSE,"Report Page";"Balance_Cash_Flow",#N/A,FALSE,"Report Page";"Quarterly_Income",#N/A,FALSE,"Report Page"}</definedName>
    <definedName name="rfsd" localSheetId="1" hidden="1">{#N/A,#N/A,FALSE,"ABB HOLDING LTD"}</definedName>
    <definedName name="rfsd" hidden="1">{#N/A,#N/A,FALSE,"ABB HOLDING LTD"}</definedName>
    <definedName name="RJE" localSheetId="1" hidden="1">{"toptrial",#N/A,TRUE,"toptrial";"adjustment",#N/A,TRUE,"toptrial";"voucher",#N/A,TRUE,"toptrial"}</definedName>
    <definedName name="RJE" hidden="1">{"toptrial",#N/A,TRUE,"toptrial";"adjustment",#N/A,TRUE,"toptrial";"voucher",#N/A,TRUE,"toptrial"}</definedName>
    <definedName name="rweqrerqw" localSheetId="1" hidden="1">{"CSC_1",#N/A,FALSE,"CSC Outputs";"CSC_2",#N/A,FALSE,"CSC Outputs"}</definedName>
    <definedName name="rweqrerqw" hidden="1">{"CSC_1",#N/A,FALSE,"CSC Outputs";"CSC_2",#N/A,FALSE,"CSC Outputs"}</definedName>
    <definedName name="SAPBEXdnldView" hidden="1">"4D4WVRAZFXWLPKS3R52UJB0QG"</definedName>
    <definedName name="SAPBEXrevision" hidden="1">1</definedName>
    <definedName name="SAPBEXsysID" hidden="1">"PE4"</definedName>
    <definedName name="SAPBEXwbID" hidden="1">"3Q4R7W3VD66V3CXTGQHGIRCBE"</definedName>
    <definedName name="SAPFuncF4Help" localSheetId="1" hidden="1">Main.SAPF4Help()</definedName>
    <definedName name="SAPFuncF4Help" hidden="1">Main.SAPF4Help()</definedName>
    <definedName name="ScopeCompany">#REF!</definedName>
    <definedName name="sd_format">"yyyy/m/d"</definedName>
    <definedName name="sdfs" localSheetId="1" hidden="1">{"M1sPrint",#N/A,FALSE,"M1s"}</definedName>
    <definedName name="sdfs" hidden="1">{"M1sPrint",#N/A,FALSE,"M1s"}</definedName>
    <definedName name="sdt_format">"yyyy/m/d  hh:mm"</definedName>
    <definedName name="Sheet1_BNE_MESSAGES" localSheetId="1" hidden="1">#REF!</definedName>
    <definedName name="Sheet1_BNE_MESSAGES" localSheetId="0" hidden="1">#REF!</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HOA" localSheetId="1" hidden="1">{#N/A,#N/A,FALSE,"Virgin Flightdeck"}</definedName>
    <definedName name="SHOA" hidden="1">{#N/A,#N/A,FALSE,"Virgin Flightdeck"}</definedName>
    <definedName name="Snow" localSheetId="1" hidden="1">{#N/A,#N/A,FALSE,"Virgin Flightdeck"}</definedName>
    <definedName name="Snow" hidden="1">{#N/A,#N/A,FALSE,"Virgin Flightdeck"}</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2</definedName>
    <definedName name="solver_rel2" hidden="1">2</definedName>
    <definedName name="solver_rhs1" hidden="1">0.09</definedName>
    <definedName name="solver_rhs2" hidden="1">-0.15</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definedName>
    <definedName name="SpecialPrice" hidden="1">#REF!</definedName>
    <definedName name="sssz" localSheetId="1" hidden="1">{#N/A,#N/A,FALSE,"资产负债表";#N/A,#N/A,FALSE,"资产负债表"}</definedName>
    <definedName name="sssz" hidden="1">{#N/A,#N/A,FALSE,"资产负债表";#N/A,#N/A,FALSE,"资产负债表"}</definedName>
    <definedName name="ste" localSheetId="1" hidden="1">{#N/A,#N/A,FALSE,"Virgin Flightdeck"}</definedName>
    <definedName name="ste" hidden="1">{#N/A,#N/A,FALSE,"Virgin Flightdeck"}</definedName>
    <definedName name="Summary2" localSheetId="1" hidden="1">{#N/A,#N/A,FALSE,"FACTSHEETS";#N/A,#N/A,FALSE,"pump";#N/A,#N/A,FALSE,"filter"}</definedName>
    <definedName name="Summary2" hidden="1">{#N/A,#N/A,FALSE,"FACTSHEETS";#N/A,#N/A,FALSE,"pump";#N/A,#N/A,FALSE,"filter"}</definedName>
    <definedName name="summary3" localSheetId="1" hidden="1">{#N/A,#N/A,FALSE,"Virgin Flightdeck"}</definedName>
    <definedName name="summary3" hidden="1">{#N/A,#N/A,FALSE,"Virgin Flightdeck"}</definedName>
    <definedName name="tbl_ProdInfo" hidden="1">#REF!</definedName>
    <definedName name="terh" localSheetId="1" hidden="1">{#N/A,#N/A,FALSE,"OffAdvance";#N/A,#N/A,FALSE,"OffExpRprt";#N/A,#N/A,FALSE,"Entertmnt";#N/A,#N/A,FALSE,"Promotion";#N/A,#N/A,FALSE,"Travelling"}</definedName>
    <definedName name="terh" hidden="1">{#N/A,#N/A,FALSE,"OffAdvance";#N/A,#N/A,FALSE,"OffExpRprt";#N/A,#N/A,FALSE,"Entertmnt";#N/A,#N/A,FALSE,"Promotion";#N/A,#N/A,FALSE,"Travelling"}</definedName>
    <definedName name="TextRefCopyRangeCount" localSheetId="1" hidden="1">4</definedName>
    <definedName name="TextRefCopyRangeCount" localSheetId="0" hidden="1">4</definedName>
    <definedName name="TextRefCopyRangeCount" hidden="1">5</definedName>
    <definedName name="tfhg" localSheetId="1" hidden="1">{"M1Print",#N/A,FALSE,"M1"}</definedName>
    <definedName name="tfhg" hidden="1">{"M1Print",#N/A,FALSE,"M1"}</definedName>
    <definedName name="the" localSheetId="1" hidden="1">{#N/A,#N/A,FALSE,"Marketing";#N/A,#N/A,FALSE,"Selling";#N/A,#N/A,FALSE,"Promotional";#N/A,#N/A,FALSE,"Advertising"}</definedName>
    <definedName name="the" hidden="1">{#N/A,#N/A,FALSE,"Marketing";#N/A,#N/A,FALSE,"Selling";#N/A,#N/A,FALSE,"Promotional";#N/A,#N/A,FALSE,"Advertising"}</definedName>
    <definedName name="treeList" hidden="1">"00000000000000000000000000000000000000000000000000000000000000000000000000000000000000000000000000000000000000000000000000000000000000000000000000000000000000000000000000000000000000000000000000000000"</definedName>
    <definedName name="tta" localSheetId="1" hidden="1">{#N/A,#N/A,FALSE,"Virgin Flightdeck"}</definedName>
    <definedName name="tta" hidden="1">{#N/A,#N/A,FALSE,"Virgin Flightdeck"}</definedName>
    <definedName name="TypeofCur">[1]C_110函证控制表!$O$32:$O$64073</definedName>
    <definedName name="ufliuf" localSheetId="1" hidden="1">{#N/A,#N/A,FALSE,"Virgin Flightdeck"}</definedName>
    <definedName name="ufliuf" hidden="1">{#N/A,#N/A,FALSE,"Virgin Flightdeck"}</definedName>
    <definedName name="ulead" localSheetId="1" hidden="1">{#N/A,#N/A,FALSE,"970301";#N/A,#N/A,FALSE,"970302";#N/A,#N/A,FALSE,"970303";#N/A,#N/A,FALSE,"970304";#N/A,#N/A,FALSE,"COM1";#N/A,#N/A,FALSE,"COM2"}</definedName>
    <definedName name="ulead" hidden="1">{#N/A,#N/A,FALSE,"970301";#N/A,#N/A,FALSE,"970302";#N/A,#N/A,FALSE,"970303";#N/A,#N/A,FALSE,"970304";#N/A,#N/A,FALSE,"COM1";#N/A,#N/A,FALSE,"COM2"}</definedName>
    <definedName name="unduecommercialBill">[1]C_110函证控制表!$BO$32:$BO$64073</definedName>
    <definedName name="unduefinancialM">[1]C_110函证控制表!$CS$32:$CS$64073</definedName>
    <definedName name="uppaidacceptanceBill">[1]C_110函证控制表!$BI$32:$BI$64073</definedName>
    <definedName name="uuuuuuuu" localSheetId="1" hidden="1">Main.SAPF4Help()</definedName>
    <definedName name="uuuuuuuu" hidden="1">Main.SAPF4Help()</definedName>
    <definedName name="uygh" localSheetId="1" hidden="1">{"M6Print",#N/A,FALSE,"M6";"M6_1Print",#N/A,FALSE,"M6_1";"M6_2Print",#N/A,FALSE,"M6_2"}</definedName>
    <definedName name="uygh" hidden="1">{"M6Print",#N/A,FALSE,"M6";"M6_1Print",#N/A,FALSE,"M6_1";"M6_2Print",#N/A,FALSE,"M6_2"}</definedName>
    <definedName name="vhvkb" localSheetId="1" hidden="1">{#N/A,#N/A,FALSE,"资产负债表";#N/A,#N/A,FALSE,"资产负债表"}</definedName>
    <definedName name="vhvkb" hidden="1">{#N/A,#N/A,FALSE,"资产负债表";#N/A,#N/A,FALSE,"资产负债表"}</definedName>
    <definedName name="wacc" localSheetId="1" hidden="1">{#N/A,#N/A,FALSE,"Virgin Flightdeck"}</definedName>
    <definedName name="wacc" hidden="1">{#N/A,#N/A,FALSE,"Virgin Flightdeck"}</definedName>
    <definedName name="WACC_new" localSheetId="1" hidden="1">{#N/A,#N/A,FALSE,"Virgin Flightdeck"}</definedName>
    <definedName name="WACC_new" hidden="1">{#N/A,#N/A,FALSE,"Virgin Flightdeck"}</definedName>
    <definedName name="wacc1" localSheetId="1" hidden="1">{#N/A,#N/A,FALSE,"voz corporativa";#N/A,#N/A,FALSE,"Transmisión de datos";#N/A,#N/A,FALSE,"Videoconferencia";#N/A,#N/A,FALSE,"Correo electrónico";#N/A,#N/A,FALSE,"Correo de voz";#N/A,#N/A,FALSE,"Megafax";#N/A,#N/A,FALSE,"Edi";#N/A,#N/A,FALSE,"Internet";#N/A,#N/A,FALSE,"VSAT";#N/A,#N/A,FALSE,"ing ult. milla"}</definedName>
    <definedName name="wacc1" hidden="1">{#N/A,#N/A,FALSE,"voz corporativa";#N/A,#N/A,FALSE,"Transmisión de datos";#N/A,#N/A,FALSE,"Videoconferencia";#N/A,#N/A,FALSE,"Correo electrónico";#N/A,#N/A,FALSE,"Correo de voz";#N/A,#N/A,FALSE,"Megafax";#N/A,#N/A,FALSE,"Edi";#N/A,#N/A,FALSE,"Internet";#N/A,#N/A,FALSE,"VSAT";#N/A,#N/A,FALSE,"ing ult. milla"}</definedName>
    <definedName name="WDEWED" hidden="1">#REF!</definedName>
    <definedName name="weqrerqwe" localSheetId="1" hidden="1">{"page 1",#N/A,FALSE,"A";"page 2",#N/A,FALSE,"A";"page 3",#N/A,FALSE,"A";"page 4",#N/A,FALSE,"A";"page 5",#N/A,FALSE,"A";"page 6",#N/A,FALSE,"A";"page 7",#N/A,FALSE,"A";"page 8",#N/A,FALSE,"A";"page 9",#N/A,FALSE,"A";"page 10",#N/A,FALSE,"A";"page 11",#N/A,FALSE,"A";"page 12",#N/A,FALSE,"A";"page 13",#N/A,FALSE,"A";"page 14",#N/A,FALSE,"A"}</definedName>
    <definedName name="weqrerqwe" hidden="1">{"page 1",#N/A,FALSE,"A";"page 2",#N/A,FALSE,"A";"page 3",#N/A,FALSE,"A";"page 4",#N/A,FALSE,"A";"page 5",#N/A,FALSE,"A";"page 6",#N/A,FALSE,"A";"page 7",#N/A,FALSE,"A";"page 8",#N/A,FALSE,"A";"page 9",#N/A,FALSE,"A";"page 10",#N/A,FALSE,"A";"page 11",#N/A,FALSE,"A";"page 12",#N/A,FALSE,"A";"page 13",#N/A,FALSE,"A";"page 14",#N/A,FALSE,"A"}</definedName>
    <definedName name="werwefasd" hidden="1">#REF!</definedName>
    <definedName name="whatisthis" localSheetId="1" hidden="1">{#N/A,#N/A,FALSE,"Summary";#N/A,#N/A,FALSE,"Projections";#N/A,#N/A,FALSE,"Mkt Mults";#N/A,#N/A,FALSE,"DCF";#N/A,#N/A,FALSE,"Accr Dil";#N/A,#N/A,FALSE,"PIC LBO";#N/A,#N/A,FALSE,"MULT10_4";#N/A,#N/A,FALSE,"CBI LBO"}</definedName>
    <definedName name="whatisthis" hidden="1">{#N/A,#N/A,FALSE,"Summary";#N/A,#N/A,FALSE,"Projections";#N/A,#N/A,FALSE,"Mkt Mults";#N/A,#N/A,FALSE,"DCF";#N/A,#N/A,FALSE,"Accr Dil";#N/A,#N/A,FALSE,"PIC LBO";#N/A,#N/A,FALSE,"MULT10_4";#N/A,#N/A,FALSE,"CBI LBO"}</definedName>
    <definedName name="whatisthissss" localSheetId="1" hidden="1">{#N/A,#N/A,FALSE,"IPO";#N/A,#N/A,FALSE,"DCF";#N/A,#N/A,FALSE,"LBO";#N/A,#N/A,FALSE,"MULT_VAL";#N/A,#N/A,FALSE,"Status Quo";#N/A,#N/A,FALSE,"Recap"}</definedName>
    <definedName name="whatisthissss" hidden="1">{#N/A,#N/A,FALSE,"IPO";#N/A,#N/A,FALSE,"DCF";#N/A,#N/A,FALSE,"LBO";#N/A,#N/A,FALSE,"MULT_VAL";#N/A,#N/A,FALSE,"Status Quo";#N/A,#N/A,FALSE,"Recap"}</definedName>
    <definedName name="whatisthisssss" localSheetId="1" hidden="1">{#N/A,#N/A,FALSE,"Summary";#N/A,#N/A,FALSE,"Projections";#N/A,#N/A,FALSE,"Mkt Mults";#N/A,#N/A,FALSE,"DCF";#N/A,#N/A,FALSE,"Accr Dil";#N/A,#N/A,FALSE,"PIC LBO";#N/A,#N/A,FALSE,"MULT10_4";#N/A,#N/A,FALSE,"CBI LBO"}</definedName>
    <definedName name="whatisthisssss" hidden="1">{#N/A,#N/A,FALSE,"Summary";#N/A,#N/A,FALSE,"Projections";#N/A,#N/A,FALSE,"Mkt Mults";#N/A,#N/A,FALSE,"DCF";#N/A,#N/A,FALSE,"Accr Dil";#N/A,#N/A,FALSE,"PIC LBO";#N/A,#N/A,FALSE,"MULT10_4";#N/A,#N/A,FALSE,"CBI LBO"}</definedName>
    <definedName name="wq" localSheetId="1" hidden="1">{#N/A,#N/A,FALSE,"OffAdvance";#N/A,#N/A,FALSE,"OffExpRprt";#N/A,#N/A,FALSE,"Entertmnt";#N/A,#N/A,FALSE,"Promotion";#N/A,#N/A,FALSE,"Travelling"}</definedName>
    <definedName name="wq" hidden="1">{#N/A,#N/A,FALSE,"OffAdvance";#N/A,#N/A,FALSE,"OffExpRprt";#N/A,#N/A,FALSE,"Entertmnt";#N/A,#N/A,FALSE,"Promotion";#N/A,#N/A,FALSE,"Travelling"}</definedName>
    <definedName name="wqererwerwq" localSheetId="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qererwerwq"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eqrqe"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eqrq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A." localSheetId="1" hidden="1">{"Overview",#N/A,TRUE,"Trading Levels";"Overview",#N/A,TRUE,"Overview";"Overview",#N/A,TRUE,"Classic Qwest";"Overview",#N/A,TRUE,"US WEST";"Overview",#N/A,TRUE,"Wireless";"Overview",#N/A,TRUE,"DEX";"Overview",#N/A,TRUE,"Cash Flow";"Overview",#N/A,TRUE,"Debt and Interest";"Overview",#N/A,TRUE,"Coverage";"Overview",#N/A,TRUE,"Wk Cap"}</definedName>
    <definedName name="wrn.A."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localSheetId="1" hidden="1">{#N/A,#N/A,FALSE,"A_D";#N/A,#N/A,FALSE,"WACC";#N/A,#N/A,FALSE,"DCF";#N/A,#N/A,FALSE,"A";#N/A,#N/A,FALSE,"LBO";#N/A,#N/A,FALSE,"C";#N/A,#N/A,FALSE,"impd";#N/A,#N/A,FALSE,"comps"}</definedName>
    <definedName name="wrn.A_VALUATION." hidden="1">{#N/A,#N/A,FALSE,"A_D";#N/A,#N/A,FALSE,"WACC";#N/A,#N/A,FALSE,"DCF";#N/A,#N/A,FALSE,"A";#N/A,#N/A,FALSE,"LBO";#N/A,#N/A,FALSE,"C";#N/A,#N/A,FALSE,"impd";#N/A,#N/A,FALSE,"comps"}</definedName>
    <definedName name="wrn.Accr_Dil." localSheetId="1" hidden="1">{#N/A,#N/A,FALSE,"Debt Accr";#N/A,#N/A,FALSE,"Stock Accr";#N/A,#N/A,FALSE,"Debt Stock Accr"}</definedName>
    <definedName name="wrn.Accr_Dil." hidden="1">{#N/A,#N/A,FALSE,"Debt Accr";#N/A,#N/A,FALSE,"Stock Accr";#N/A,#N/A,FALSE,"Debt Stock Accr"}</definedName>
    <definedName name="wrn.Aging._.and._.Trend._.Analysis." localSheetId="1" hidden="1">{#N/A,#N/A,FALSE,"Aging Summary";#N/A,#N/A,FALSE,"Ratio Analysis";#N/A,#N/A,FALSE,"Test 120 Day Accts";#N/A,#N/A,FALSE,"Tickmarks"}</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1" hidden="1">{#N/A,#N/A,FALSE,"SUM";#N/A,#N/A,FALSE,"SK_TOT";#N/A,#N/A,FALSE,"YM";#N/A,#N/A,FALSE,"TSMC";#N/A,#N/A,FALSE,"ICW";#N/A,#N/A,FALSE,"Sheet1"}</definedName>
    <definedName name="wrn.ALL." localSheetId="0" hidden="1">{#N/A,#N/A,FALSE,"SUM";#N/A,#N/A,FALSE,"SK_TOT";#N/A,#N/A,FALSE,"YM";#N/A,#N/A,FALSE,"TSMC";#N/A,#N/A,FALSE,"ICW";#N/A,#N/A,FALSE,"Sheet1"}</definedName>
    <definedName name="wrn.ALL." hidden="1">{#N/A,#N/A,FALSE,"SUM";#N/A,#N/A,FALSE,"SK_TOT";#N/A,#N/A,FALSE,"YM";#N/A,#N/A,FALSE,"TSMC";#N/A,#N/A,FALSE,"ICW";#N/A,#N/A,FALSE,"Sheet1"}</definedName>
    <definedName name="wrn.all._.gulp._.sheets." localSheetId="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localSheetId="1" hidden="1">{"M1Print",#N/A,TRUE,"M1";"M2Print",#N/A,TRUE,"M2";"M1sPrint",#N/A,TRUE,"M1s";"M2aPrint",#N/A,TRUE,"M2a";"M4Print",#N/A,TRUE,"M4";"M5Print",#N/A,TRUE,"M5";"M6Print",#N/A,TRUE,"M6";"M6_1Print",#N/A,TRUE,"M6_1";"M6_2Print",#N/A,TRUE,"M6_2";"M7_1Print",#N/A,TRUE,"M7_1";"M7_2Print",#N/A,TRUE,"M7_2"}</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localSheetId="1"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PAGES." localSheetId="1" hidden="1">{#N/A,#N/A,FALSE,"puboff";#N/A,#N/A,FALSE,"financials";#N/A,#N/A,FALSE,"valuation";#N/A,#N/A,FALSE,"split"}</definedName>
    <definedName name="wrn.ALL._.PAGES." hidden="1">{#N/A,#N/A,FALSE,"puboff";#N/A,#N/A,FALSE,"financials";#N/A,#N/A,FALSE,"valuation";#N/A,#N/A,FALSE,"split"}</definedName>
    <definedName name="wrn.ALL._.SHEETS." localSheetId="1" hidden="1">{#N/A,#N/A,FALSE,"Adj Proj";#N/A,#N/A,FALSE,"Sheet1";#N/A,#N/A,FALSE,"LBO";#N/A,#N/A,FALSE,"LBOMER";#N/A,#N/A,FALSE,"WACC";#N/A,#N/A,FALSE,"DCF";#N/A,#N/A,FALSE,"DCFMER";#N/A,#N/A,FALSE,"Pooling";#N/A,#N/A,FALSE,"income";#N/A,#N/A,FALSE,"Offer"}</definedName>
    <definedName name="wrn.ALL._.SHEETS." hidden="1">{#N/A,#N/A,FALSE,"Adj Proj";#N/A,#N/A,FALSE,"Sheet1";#N/A,#N/A,FALSE,"LBO";#N/A,#N/A,FALSE,"LBOMER";#N/A,#N/A,FALSE,"WACC";#N/A,#N/A,FALSE,"DCF";#N/A,#N/A,FALSE,"DCFMER";#N/A,#N/A,FALSE,"Pooling";#N/A,#N/A,FALSE,"income";#N/A,#N/A,FALSE,"Offer"}</definedName>
    <definedName name="wrn.All._.Worksheets." localSheetId="1"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Worksheets."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_.Scheduleds。1" localSheetId="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All_Models." localSheetId="1" hidden="1">{#N/A,#N/A,FALSE,"Summary";#N/A,#N/A,FALSE,"Projections";#N/A,#N/A,FALSE,"Mkt Mults";#N/A,#N/A,FALSE,"DCF";#N/A,#N/A,FALSE,"Accr Dil";#N/A,#N/A,FALSE,"PIC LBO";#N/A,#N/A,FALSE,"MULT10_4";#N/A,#N/A,FALSE,"CBI LBO"}</definedName>
    <definedName name="wrn.All_Models." hidden="1">{#N/A,#N/A,FALSE,"Summary";#N/A,#N/A,FALSE,"Projections";#N/A,#N/A,FALSE,"Mkt Mults";#N/A,#N/A,FALSE,"DCF";#N/A,#N/A,FALSE,"Accr Dil";#N/A,#N/A,FALSE,"PIC LBO";#N/A,#N/A,FALSE,"MULT10_4";#N/A,#N/A,FALSE,"CBI LBO"}</definedName>
    <definedName name="wrn.All_Sheets." localSheetId="1" hidden="1">{#N/A,#N/A,FALSE,"Projections";#N/A,#N/A,FALSE,"Contribution_Stock";#N/A,#N/A,FALSE,"PF_Combo_Stock";#N/A,#N/A,FALSE,"Projections";#N/A,#N/A,FALSE,"Contribution_Cash";#N/A,#N/A,FALSE,"PF_Combo_Cash";#N/A,#N/A,FALSE,"IPO_Cash"}</definedName>
    <definedName name="wrn.All_Sheets." hidden="1">{#N/A,#N/A,FALSE,"Projections";#N/A,#N/A,FALSE,"Contribution_Stock";#N/A,#N/A,FALSE,"PF_Combo_Stock";#N/A,#N/A,FALSE,"Projections";#N/A,#N/A,FALSE,"Contribution_Cash";#N/A,#N/A,FALSE,"PF_Combo_Cash";#N/A,#N/A,FALSE,"IPO_Cash"}</definedName>
    <definedName name="wrn.ALLbutPREMIUM."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localSheetId="1" hidden="1">{#N/A,#N/A,FALSE,"AD_Purchase";#N/A,#N/A,FALSE,"Credit";#N/A,#N/A,FALSE,"PF Acquisition";#N/A,#N/A,FALSE,"PF Offering"}</definedName>
    <definedName name="wrn.AllModels." hidden="1">{#N/A,#N/A,FALSE,"AD_Purchase";#N/A,#N/A,FALSE,"Credit";#N/A,#N/A,FALSE,"PF Acquisition";#N/A,#N/A,FALSE,"PF Offering"}</definedName>
    <definedName name="wrn.ANALYSIS._.9507." localSheetId="1" hidden="1">{#N/A,#N/A,FALSE,"ABB HOLDING LTD"}</definedName>
    <definedName name="wrn.ANALYSIS._.9507." hidden="1">{#N/A,#N/A,FALSE,"ABB HOLDING LTD"}</definedName>
    <definedName name="WRN.ANALYSIS._.9511." localSheetId="1" hidden="1">{#N/A,#N/A,FALSE,"ABB HOLDING LTD"}</definedName>
    <definedName name="WRN.ANALYSIS._.9511." hidden="1">{#N/A,#N/A,FALSE,"ABB HOLDING LTD"}</definedName>
    <definedName name="wrn.Anixter." localSheetId="1" hidden="1">{#N/A,#N/A,FALSE,"Gao Jia Cheng, Jeffery";#N/A,#N/A,FALSE,"Dennis Pak - Feb to Mar 97";#N/A,#N/A,FALSE,"Dennis Pak - Jan 97";#N/A,#N/A,FALSE,"Dennis Pak - Jun to Dec 96"}</definedName>
    <definedName name="wrn.Anixter." hidden="1">{#N/A,#N/A,FALSE,"Gao Jia Cheng, Jeffery";#N/A,#N/A,FALSE,"Dennis Pak - Feb to Mar 97";#N/A,#N/A,FALSE,"Dennis Pak - Jan 97";#N/A,#N/A,FALSE,"Dennis Pak - Jun to Dec 96"}</definedName>
    <definedName name="wrn.Asia."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sics." localSheetId="1" hidden="1">{#N/A,#N/A,FALSE,"TSUM";#N/A,#N/A,FALSE,"shares";#N/A,#N/A,FALSE,"earnout";#N/A,#N/A,FALSE,"Heaty";#N/A,#N/A,FALSE,"self-tend";#N/A,#N/A,FALSE,"self-sum"}</definedName>
    <definedName name="wrn.basics." hidden="1">{#N/A,#N/A,FALSE,"TSUM";#N/A,#N/A,FALSE,"shares";#N/A,#N/A,FALSE,"earnout";#N/A,#N/A,FALSE,"Heaty";#N/A,#N/A,FALSE,"self-tend";#N/A,#N/A,FALSE,"self-sum"}</definedName>
    <definedName name="wrn.Board._.Reports." localSheetId="1" hidden="1">{#N/A,#N/A,FALSE,"M1s Board";#N/A,#N/A,FALSE,"M3 Board";#N/A,#N/A,FALSE,"M6 Board";#N/A,#N/A,FALSE,"M7";#N/A,#N/A,FALSE,"M7B";#N/A,#N/A,FALSE,"M8";#N/A,#N/A,FALSE,"M8A Board";#N/A,#N/A,FALSE,"AF1 Board"}</definedName>
    <definedName name="wrn.Board._.Reports." localSheetId="0" hidden="1">{#N/A,#N/A,FALSE,"M1s Board";#N/A,#N/A,FALSE,"M3 Board";#N/A,#N/A,FALSE,"M6 Board";#N/A,#N/A,FALSE,"M7";#N/A,#N/A,FALSE,"M7B";#N/A,#N/A,FALSE,"M8";#N/A,#N/A,FALSE,"M8A Board";#N/A,#N/A,FALSE,"AF1 Board"}</definedName>
    <definedName name="wrn.Board._.Reports." hidden="1">{#N/A,#N/A,FALSE,"M1s Board";#N/A,#N/A,FALSE,"M3 Board";#N/A,#N/A,FALSE,"M6 Board";#N/A,#N/A,FALSE,"M7";#N/A,#N/A,FALSE,"M7B";#N/A,#N/A,FALSE,"M8";#N/A,#N/A,FALSE,"M8A Board";#N/A,#N/A,FALSE,"AF1 Board"}</definedName>
    <definedName name="wrn.budget." localSheetId="1" hidden="1">{#N/A,#N/A,FALSE,"SummByYr";#N/A,#N/A,FALSE,"DetailByYr";#N/A,#N/A,FALSE,"SummByQtr";#N/A,#N/A,FALSE,"SummByMon";#N/A,#N/A,FALSE,"DetailByQtr";#N/A,#N/A,FALSE,"DetailByMon";#N/A,#N/A,FALSE,"StationYTD";#N/A,#N/A,FALSE,"StationYr";#N/A,#N/A,FALSE,"StationMon";#N/A,#N/A,FALSE,"Actual97";#N/A,#N/A,FALSE,"Actual96";#N/A,#N/A,FALSE,"Actual95";#N/A,#N/A,FALSE,"Actual94"}</definedName>
    <definedName name="wrn.budget." hidden="1">{#N/A,#N/A,FALSE,"SummByYr";#N/A,#N/A,FALSE,"DetailByYr";#N/A,#N/A,FALSE,"SummByQtr";#N/A,#N/A,FALSE,"SummByMon";#N/A,#N/A,FALSE,"DetailByQtr";#N/A,#N/A,FALSE,"DetailByMon";#N/A,#N/A,FALSE,"StationYTD";#N/A,#N/A,FALSE,"StationYr";#N/A,#N/A,FALSE,"StationMon";#N/A,#N/A,FALSE,"Actual97";#N/A,#N/A,FALSE,"Actual96";#N/A,#N/A,FALSE,"Actual95";#N/A,#N/A,FALSE,"Actual94"}</definedName>
    <definedName name="wrn.bullshit1." localSheetId="1" hidden="1">{#N/A,#N/A,FALSE,"Sheet1";#N/A,#N/A,FALSE,"Summary";#N/A,#N/A,FALSE,"proj1";#N/A,#N/A,FALSE,"proj2"}</definedName>
    <definedName name="wrn.bullshit1." hidden="1">{#N/A,#N/A,FALSE,"Sheet1";#N/A,#N/A,FALSE,"Summary";#N/A,#N/A,FALSE,"proj1";#N/A,#N/A,FALSE,"proj2"}</definedName>
    <definedName name="wrn.contribution." localSheetId="1" hidden="1">{#N/A,#N/A,FALSE,"Contribution Analysis"}</definedName>
    <definedName name="wrn.contribution." hidden="1">{#N/A,#N/A,FALSE,"Contribution Analysis"}</definedName>
    <definedName name="wrn.Cover." localSheetId="1"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sc." localSheetId="1" hidden="1">{"orixcsc",#N/A,FALSE,"ORIX CSC";"orixcsc2",#N/A,FALSE,"ORIX CSC"}</definedName>
    <definedName name="wrn.csc." hidden="1">{"orixcsc",#N/A,FALSE,"ORIX CSC";"orixcsc2",#N/A,FALSE,"ORIX CSC"}</definedName>
    <definedName name="wrn.csc2." localSheetId="1" hidden="1">{#N/A,#N/A,FALSE,"ORIX CSC"}</definedName>
    <definedName name="wrn.csc2." hidden="1">{#N/A,#N/A,FALSE,"ORIX CSC"}</definedName>
    <definedName name="wrn.Current_External." localSheetId="1" hidden="1">{"Current_View",#N/A,TRUE,"P&amp;L - External";#N/A,#N/A,TRUE,"Backlog";#N/A,#N/A,TRUE,"Revenue";#N/A,#N/A,TRUE,"Std Margin";#N/A,#N/A,TRUE,"Waterfall - External"}</definedName>
    <definedName name="wrn.Current_External." hidden="1">{"Current_View",#N/A,TRUE,"P&amp;L - External";#N/A,#N/A,TRUE,"Backlog";#N/A,#N/A,TRUE,"Revenue";#N/A,#N/A,TRUE,"Std Margin";#N/A,#N/A,TRUE,"Waterfall - External"}</definedName>
    <definedName name="wrn.Current_Internal." localSheetId="1" hidden="1">{"Current_View",#N/A,TRUE,"P&amp;L";#N/A,#N/A,TRUE,"Backlog";#N/A,#N/A,TRUE,"Revenue";#N/A,#N/A,TRUE,"Std Margin";#N/A,#N/A,TRUE,"Waterfall"}</definedName>
    <definedName name="wrn.Current_Internal." hidden="1">{"Current_View",#N/A,TRUE,"P&amp;L";#N/A,#N/A,TRUE,"Backlog";#N/A,#N/A,TRUE,"Revenue";#N/A,#N/A,TRUE,"Std Margin";#N/A,#N/A,TRUE,"Waterfall"}</definedName>
    <definedName name="wrn.dcf." localSheetId="1"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eposit._.By._.Day." localSheetId="1" hidden="1">{#N/A,#N/A,FALSE,"Deposits by day"}</definedName>
    <definedName name="wrn.Deposit._.By._.Day." localSheetId="0" hidden="1">{#N/A,#N/A,FALSE,"Deposits by day"}</definedName>
    <definedName name="wrn.Deposit._.By._.Day." hidden="1">{#N/A,#N/A,FALSE,"Deposits by day"}</definedName>
    <definedName name="wrn.Deptartment._.Expenses." localSheetId="1" hidden="1">{#N/A,#N/A,TRUE,"CPRD";#N/A,#N/A,TRUE,"BCCPDR";#N/A,#N/A,TRUE,"EWRD";#N/A,#N/A,TRUE,"5100";#N/A,#N/A,TRUE,"5110"}</definedName>
    <definedName name="wrn.Deptartment._.Expenses." localSheetId="0" hidden="1">{#N/A,#N/A,TRUE,"CPRD";#N/A,#N/A,TRUE,"BCCPDR";#N/A,#N/A,TRUE,"EWRD";#N/A,#N/A,TRUE,"5100";#N/A,#N/A,TRUE,"5110"}</definedName>
    <definedName name="wrn.Deptartment._.Expenses." hidden="1">{#N/A,#N/A,TRUE,"CPRD";#N/A,#N/A,TRUE,"BCCPDR";#N/A,#N/A,TRUE,"EWRD";#N/A,#N/A,TRUE,"5100";#N/A,#N/A,TRUE,"5110"}</definedName>
    <definedName name="wrn.Detail._.income._.and._.expense." localSheetId="1" hidden="1">{#N/A,#N/A,TRUE,"Assumptions";#N/A,#N/A,TRUE,"Revenue &amp; Direct Expense";#N/A,#N/A,TRUE,"Indirect Expense"}</definedName>
    <definedName name="wrn.Detail._.income._.and._.expense." hidden="1">{#N/A,#N/A,TRUE,"Assumptions";#N/A,#N/A,TRUE,"Revenue &amp; Direct Expense";#N/A,#N/A,TRUE,"Indirect Expense"}</definedName>
    <definedName name="wrn.dir." localSheetId="1" hidden="1">{#N/A,#N/A,FALSE,"Dir. Marketing_Summary";#N/A,#N/A,FALSE,"Infolink";#N/A,#N/A,FALSE,"Direct";#N/A,#N/A,FALSE,"Med_Marketing";#N/A,#N/A,FALSE,"Dimac_1";#N/A,#N/A,FALSE,"Dimac_2";#N/A,#N/A,FALSE,"Vantage";#N/A,#N/A,FALSE,"Tomahawk";#N/A,#N/A,FALSE,"BofA";#N/A,#N/A,FALSE,"Epsilon";#N/A,#N/A,FALSE,"Epsilon"}</definedName>
    <definedName name="wrn.dir." hidden="1">{#N/A,#N/A,FALSE,"Dir. Marketing_Summary";#N/A,#N/A,FALSE,"Infolink";#N/A,#N/A,FALSE,"Direct";#N/A,#N/A,FALSE,"Med_Marketing";#N/A,#N/A,FALSE,"Dimac_1";#N/A,#N/A,FALSE,"Dimac_2";#N/A,#N/A,FALSE,"Vantage";#N/A,#N/A,FALSE,"Tomahawk";#N/A,#N/A,FALSE,"BofA";#N/A,#N/A,FALSE,"Epsilon";#N/A,#N/A,FALSE,"Epsilon"}</definedName>
    <definedName name="wrn.Earnings._.Model."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RNST." localSheetId="1" hidden="1">{#N/A,#N/A,FALSE,"YTCHAN";#N/A,#N/A,FALSE,"TOMMY";#N/A,#N/A,FALSE,"REP.OFFICE";#N/A,#N/A,FALSE,"E&amp;Y_CONSULTANT";#N/A,#N/A,FALSE,"BT &amp; CIT"}</definedName>
    <definedName name="wrn.ERNST." hidden="1">{#N/A,#N/A,FALSE,"YTCHAN";#N/A,#N/A,FALSE,"TOMMY";#N/A,#N/A,FALSE,"REP.OFFICE";#N/A,#N/A,FALSE,"E&amp;Y_CONSULTANT";#N/A,#N/A,FALSE,"BT &amp; CIT"}</definedName>
    <definedName name="wrn.Europe." localSheetId="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ternal." localSheetId="1" hidden="1">{"External_Annual_Income",#N/A,FALSE,"External";"External_Quarterly_Income",#N/A,FALSE,"External"}</definedName>
    <definedName name="wrn.External." hidden="1">{"External_Annual_Income",#N/A,FALSE,"External";"External_Quarterly_Income",#N/A,FALSE,"External"}</definedName>
    <definedName name="wrn.external.2" localSheetId="1" hidden="1">{"External_Annual_Income",#N/A,FALSE,"External";"External_Quarterly_Income",#N/A,FALSE,"External"}</definedName>
    <definedName name="wrn.external.2" hidden="1">{"External_Annual_Income",#N/A,FALSE,"External";"External_Quarterly_Income",#N/A,FALSE,"External"}</definedName>
    <definedName name="wrn.Filter." localSheetId="1" hidden="1">{#N/A,#N/A,FALSE,"Assump2";#N/A,#N/A,FALSE,"Income2";#N/A,#N/A,FALSE,"Balance2";#N/A,#N/A,FALSE,"DCF Filter";#N/A,#N/A,FALSE,"Trans Assump2";#N/A,#N/A,FALSE,"Combined Income2";#N/A,#N/A,FALSE,"Combined Balance2"}</definedName>
    <definedName name="wrn.Filter." hidden="1">{#N/A,#N/A,FALSE,"Assump2";#N/A,#N/A,FALSE,"Income2";#N/A,#N/A,FALSE,"Balance2";#N/A,#N/A,FALSE,"DCF Filter";#N/A,#N/A,FALSE,"Trans Assump2";#N/A,#N/A,FALSE,"Combined Income2";#N/A,#N/A,FALSE,"Combined Balance2"}</definedName>
    <definedName name="wrn.Financial._.Report." localSheetId="1"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s." localSheetId="1" hidden="1">{"Overview",#N/A,FALSE,"Overview";"Overview",#N/A,FALSE,"Classic Qwest"}</definedName>
    <definedName name="wrn.Financials." hidden="1">{"Overview",#N/A,FALSE,"Overview";"Overview",#N/A,FALSE,"Classic Qwest"}</definedName>
    <definedName name="wrn.first2." localSheetId="1" hidden="1">{#N/A,#N/A,FALSE,"sum-don";#N/A,#N/A,FALSE,"inc-don"}</definedName>
    <definedName name="wrn.first2." hidden="1">{#N/A,#N/A,FALSE,"sum-don";#N/A,#N/A,FALSE,"inc-don"}</definedName>
    <definedName name="wrn.first3." localSheetId="1" hidden="1">{#N/A,#N/A,FALSE,"Summary";#N/A,#N/A,FALSE,"proj1";#N/A,#N/A,FALSE,"proj2"}</definedName>
    <definedName name="wrn.first3." hidden="1">{#N/A,#N/A,FALSE,"Summary";#N/A,#N/A,FALSE,"proj1";#N/A,#N/A,FALSE,"proj2"}</definedName>
    <definedName name="wrn.first4." localSheetId="1" hidden="1">{#N/A,#N/A,FALSE,"Summary";#N/A,#N/A,FALSE,"proj1";#N/A,#N/A,FALSE,"proj2";#N/A,#N/A,FALSE,"DCF"}</definedName>
    <definedName name="wrn.first4." hidden="1">{#N/A,#N/A,FALSE,"Summary";#N/A,#N/A,FALSE,"proj1";#N/A,#N/A,FALSE,"proj2";#N/A,#N/A,FALSE,"DCF"}</definedName>
    <definedName name="wrn.form." localSheetId="1" hidden="1">{#N/A,#N/A,FALSE,"OffAdvance";#N/A,#N/A,FALSE,"OffExpRprt";#N/A,#N/A,FALSE,"Entertmnt";#N/A,#N/A,FALSE,"Promotion";#N/A,#N/A,FALSE,"Travelling"}</definedName>
    <definedName name="wrn.form." hidden="1">{#N/A,#N/A,FALSE,"OffAdvance";#N/A,#N/A,FALSE,"OffExpRprt";#N/A,#N/A,FALSE,"Entertmnt";#N/A,#N/A,FALSE,"Promotion";#N/A,#N/A,FALSE,"Travelling"}</definedName>
    <definedName name="wrn.fy00_Q1Q2." localSheetId="1" hidden="1">{#N/A,#N/A,FALSE,"Sheet1"}</definedName>
    <definedName name="wrn.fy00_Q1Q2." hidden="1">{#N/A,#N/A,FALSE,"Sheet1"}</definedName>
    <definedName name="wrn.gastos." localSheetId="1" hidden="1">{#N/A,#N/A,FALSE,"PERSONAL";#N/A,#N/A,FALSE,"explotación";#N/A,#N/A,FALSE,"generales"}</definedName>
    <definedName name="wrn.gastos." hidden="1">{#N/A,#N/A,FALSE,"PERSONAL";#N/A,#N/A,FALSE,"explotación";#N/A,#N/A,FALSE,"generales"}</definedName>
    <definedName name="wrn.gb." localSheetId="1" hidden="1">{#N/A,#N/A,FALSE,"资产负债表";#N/A,#N/A,FALSE,"资产负债表"}</definedName>
    <definedName name="wrn.gb." hidden="1">{#N/A,#N/A,FALSE,"资产负债表";#N/A,#N/A,FALSE,"资产负债表"}</definedName>
    <definedName name="wrn.HEAT." localSheetId="1" hidden="1">{#N/A,#N/A,FALSE,"Heat";#N/A,#N/A,FALSE,"DCF";#N/A,#N/A,FALSE,"LBO";#N/A,#N/A,FALSE,"A";#N/A,#N/A,FALSE,"C";#N/A,#N/A,FALSE,"impd";#N/A,#N/A,FALSE,"Accr-Dilu"}</definedName>
    <definedName name="wrn.HEAT." hidden="1">{#N/A,#N/A,FALSE,"Heat";#N/A,#N/A,FALSE,"DCF";#N/A,#N/A,FALSE,"LBO";#N/A,#N/A,FALSE,"A";#N/A,#N/A,FALSE,"C";#N/A,#N/A,FALSE,"impd";#N/A,#N/A,FALSE,"Accr-Dilu"}</definedName>
    <definedName name="wrn.Hydraulic." localSheetId="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1" hidden="1">{#N/A,#N/A,FALSE,"HuscoCombined-Summ";#N/A,#N/A,FALSE,"HuscoCombined-Income";#N/A,#N/A,FALSE,"HuscoCombined-Offering";#N/A,#N/A,FALSE,"Husco-Income";#N/A,#N/A,FALSE,"TargetEngineer";#N/A,#N/A,FALSE,"TargetAcqCalc";#N/A,#N/A,FALSE,"Husco-Acq"}</definedName>
    <definedName name="wrn.Hydraulic2." hidden="1">{#N/A,#N/A,FALSE,"HuscoCombined-Summ";#N/A,#N/A,FALSE,"HuscoCombined-Income";#N/A,#N/A,FALSE,"HuscoCombined-Offering";#N/A,#N/A,FALSE,"Husco-Income";#N/A,#N/A,FALSE,"TargetEngineer";#N/A,#N/A,FALSE,"TargetAcqCalc";#N/A,#N/A,FALSE,"Husco-Acq"}</definedName>
    <definedName name="wrn.Income._.Statement." localSheetId="1" hidden="1">{#N/A,#N/A,FALSE,"Report Print"}</definedName>
    <definedName name="wrn.Income._.Statement." hidden="1">{#N/A,#N/A,FALSE,"Report Print"}</definedName>
    <definedName name="wrn.ingreso." localSheetId="1" hidden="1">{#N/A,#N/A,FALSE,"voz corporativa";#N/A,#N/A,FALSE,"Transmisión de datos";#N/A,#N/A,FALSE,"Videoconferencia";#N/A,#N/A,FALSE,"Correo electrónico";#N/A,#N/A,FALSE,"Correo de voz";#N/A,#N/A,FALSE,"Megafax";#N/A,#N/A,FALSE,"Edi";#N/A,#N/A,FALSE,"Internet";#N/A,#N/A,FALSE,"VSAT";#N/A,#N/A,FALSE,"ing ult. milla"}</definedName>
    <definedName name="wrn.ingreso." hidden="1">{#N/A,#N/A,FALSE,"voz corporativa";#N/A,#N/A,FALSE,"Transmisión de datos";#N/A,#N/A,FALSE,"Videoconferencia";#N/A,#N/A,FALSE,"Correo electrónico";#N/A,#N/A,FALSE,"Correo de voz";#N/A,#N/A,FALSE,"Megafax";#N/A,#N/A,FALSE,"Edi";#N/A,#N/A,FALSE,"Internet";#N/A,#N/A,FALSE,"VSAT";#N/A,#N/A,FALSE,"ing ult. milla"}</definedName>
    <definedName name="wrn.ingresos." localSheetId="1" hidden="1">{#N/A,#N/A,FALSE,"voz corporativa";#N/A,#N/A,FALSE,"Transmisión de datos";#N/A,#N/A,FALSE,"Videoconferencia";#N/A,#N/A,FALSE,"Correo electrónico";#N/A,#N/A,FALSE,"Correo de voz";#N/A,#N/A,FALSE,"Megafax";#N/A,#N/A,FALSE,"Edi";#N/A,#N/A,FALSE,"Internet";#N/A,#N/A,FALSE,"VSAT";#N/A,#N/A,FALSE,"ing ult. milla"}</definedName>
    <definedName name="wrn.ingresos." hidden="1">{#N/A,#N/A,FALSE,"voz corporativa";#N/A,#N/A,FALSE,"Transmisión de datos";#N/A,#N/A,FALSE,"Videoconferencia";#N/A,#N/A,FALSE,"Correo electrónico";#N/A,#N/A,FALSE,"Correo de voz";#N/A,#N/A,FALSE,"Megafax";#N/A,#N/A,FALSE,"Edi";#N/A,#N/A,FALSE,"Internet";#N/A,#N/A,FALSE,"VSAT";#N/A,#N/A,FALSE,"ing ult. milla"}</definedName>
    <definedName name="wrn.Input._.Data." localSheetId="1" hidden="1">{"Input_Fin",#N/A,FALSE,"By Code";"Input_Opt",#N/A,FALSE,"By Code"}</definedName>
    <definedName name="wrn.Input._.Data." hidden="1">{"Input_Fin",#N/A,FALSE,"By Code";"Input_Opt",#N/A,FALSE,"By Code"}</definedName>
    <definedName name="wrn.Inputs._.and._.detail._.calculations." localSheetId="1" hidden="1">{#N/A,#N/A,TRUE,"Revenue &amp; Direct Expense";#N/A,#N/A,TRUE,"Indirect Expense";#N/A,#N/A,TRUE,"Assumptions";#N/A,#N/A,TRUE,"Headcount Inputs";#N/A,#N/A,TRUE,"Markets";#N/A,#N/A,TRUE,"Colocation";#N/A,#N/A,TRUE,"Demographics";#N/A,#N/A,TRUE,"ILEC Rates"}</definedName>
    <definedName name="wrn.Inputs._.and._.detail._.calculations." hidden="1">{#N/A,#N/A,TRUE,"Revenue &amp; Direct Expense";#N/A,#N/A,TRUE,"Indirect Expense";#N/A,#N/A,TRUE,"Assumptions";#N/A,#N/A,TRUE,"Headcount Inputs";#N/A,#N/A,TRUE,"Markets";#N/A,#N/A,TRUE,"Colocation";#N/A,#N/A,TRUE,"Demographics";#N/A,#N/A,TRUE,"ILEC Rates"}</definedName>
    <definedName name="wrn.inventory._.aging." localSheetId="1" hidden="1">{#N/A,#N/A,FALSE,"PLEDGE";#N/A,#N/A,FALSE,"GLADE";#N/A,#N/A,FALSE,"GREEN BIRD";#N/A,#N/A,FALSE,"MR. MUSCLE";#N/A,#N/A,FALSE,"TOILET DUCK";#N/A,#N/A,FALSE,"Other Home Care";#N/A,#N/A,FALSE,"RED BIRD";#N/A,#N/A,FALSE,"SHANGHAI";#N/A,#N/A,FALSE,"RAID";#N/A,#N/A,FALSE,"OFF";#N/A,#N/A,FALSE,"SEAGULL";#N/A,#N/A,FALSE,"HALSA";#N/A,#N/A,FALSE,"SOFT SENSE";#N/A,#N/A,FALSE,"TOTAL"}</definedName>
    <definedName name="wrn.inventory._.aging." hidden="1">{#N/A,#N/A,FALSE,"PLEDGE";#N/A,#N/A,FALSE,"GLADE";#N/A,#N/A,FALSE,"GREEN BIRD";#N/A,#N/A,FALSE,"MR. MUSCLE";#N/A,#N/A,FALSE,"TOILET DUCK";#N/A,#N/A,FALSE,"Other Home Care";#N/A,#N/A,FALSE,"RED BIRD";#N/A,#N/A,FALSE,"SHANGHAI";#N/A,#N/A,FALSE,"RAID";#N/A,#N/A,FALSE,"OFF";#N/A,#N/A,FALSE,"SEAGULL";#N/A,#N/A,FALSE,"HALSA";#N/A,#N/A,FALSE,"SOFT SENSE";#N/A,#N/A,FALSE,"TOTAL"}</definedName>
    <definedName name="wrn.IPIX." localSheetId="1" hidden="1">{#N/A,#N/A,FALSE,"Report Print"}</definedName>
    <definedName name="wrn.IPIX." hidden="1">{#N/A,#N/A,FALSE,"Report Print"}</definedName>
    <definedName name="wrn.IPO._.Valuation." localSheetId="1" hidden="1">{"assumptions",#N/A,FALSE,"Scenario 1";"valuation",#N/A,FALSE,"Scenario 1"}</definedName>
    <definedName name="wrn.IPO._.Valuation." hidden="1">{"assumptions",#N/A,FALSE,"Scenario 1";"valuation",#N/A,FALSE,"Scenario 1"}</definedName>
    <definedName name="wrn.ipovalue." localSheetId="1" hidden="1">{#N/A,#N/A,FALSE,"puboff";#N/A,#N/A,FALSE,"valuation";#N/A,#N/A,FALSE,"finanalsis";#N/A,#N/A,FALSE,"split";#N/A,#N/A,FALSE,"ownership"}</definedName>
    <definedName name="wrn.ipovalue." hidden="1">{#N/A,#N/A,FALSE,"puboff";#N/A,#N/A,FALSE,"valuation";#N/A,#N/A,FALSE,"finanalsis";#N/A,#N/A,FALSE,"split";#N/A,#N/A,FALSE,"ownership"}</definedName>
    <definedName name="wrn.ISCG._.model." localSheetId="1" hidden="1">{#N/A,#N/A,FALSE,"Second";#N/A,#N/A,FALSE,"ownership";#N/A,#N/A,FALSE,"Valuation";#N/A,#N/A,FALSE,"Eqiv";#N/A,#N/A,FALSE,"Mults";#N/A,#N/A,FALSE,"ISCG Graphics"}</definedName>
    <definedName name="wrn.ISCG._.model." hidden="1">{#N/A,#N/A,FALSE,"Second";#N/A,#N/A,FALSE,"ownership";#N/A,#N/A,FALSE,"Valuation";#N/A,#N/A,FALSE,"Eqiv";#N/A,#N/A,FALSE,"Mults";#N/A,#N/A,FALSE,"ISCG Graphics"}</definedName>
    <definedName name="wrn.jan." localSheetId="1" hidden="1">{#N/A,#N/A,FALSE,"Jan"}</definedName>
    <definedName name="wrn.jan." localSheetId="0" hidden="1">{#N/A,#N/A,FALSE,"Jan"}</definedName>
    <definedName name="wrn.jan." hidden="1">{#N/A,#N/A,FALSE,"Jan"}</definedName>
    <definedName name="wrn.LBO._.Summary." localSheetId="1" hidden="1">{"LBO Summary",#N/A,FALSE,"Summary"}</definedName>
    <definedName name="wrn.LBO._.Summary." hidden="1">{"LBO Summary",#N/A,FALSE,"Summary"}</definedName>
    <definedName name="wrn.M1._.Operating._.Statement." localSheetId="1" hidden="1">{"M1Print",#N/A,FALSE,"M1"}</definedName>
    <definedName name="wrn.M1._.Operating._.Statement." localSheetId="0" hidden="1">{"M1Print",#N/A,FALSE,"M1"}</definedName>
    <definedName name="wrn.M1._.Operating._.Statement." hidden="1">{"M1Print",#N/A,FALSE,"M1"}</definedName>
    <definedName name="wrn.M1s._.Statistics." localSheetId="1" hidden="1">{"M1sPrint",#N/A,FALSE,"M1s"}</definedName>
    <definedName name="wrn.M1s._.Statistics." localSheetId="0" hidden="1">{"M1sPrint",#N/A,FALSE,"M1s"}</definedName>
    <definedName name="wrn.M1s._.Statistics." hidden="1">{"M1sPrint",#N/A,FALSE,"M1s"}</definedName>
    <definedName name="wrn.M2._.Balance._.Sheet." localSheetId="1" hidden="1">{"M2Print",#N/A,FALSE,"M2"}</definedName>
    <definedName name="wrn.M2._.Balance._.Sheet." localSheetId="0" hidden="1">{"M2Print",#N/A,FALSE,"M2"}</definedName>
    <definedName name="wrn.M2._.Balance._.Sheet." hidden="1">{"M2Print",#N/A,FALSE,"M2"}</definedName>
    <definedName name="wrn.M2a._.Cashflow." localSheetId="1" hidden="1">{"M2aPrint",#N/A,FALSE,"M2a"}</definedName>
    <definedName name="wrn.M2a._.Cashflow." localSheetId="0" hidden="1">{"M2aPrint",#N/A,FALSE,"M2a"}</definedName>
    <definedName name="wrn.M2a._.Cashflow." hidden="1">{"M2aPrint",#N/A,FALSE,"M2a"}</definedName>
    <definedName name="wrn.M4._.Inventories." localSheetId="1" hidden="1">{"M4Print",#N/A,FALSE,"M4"}</definedName>
    <definedName name="wrn.M4._.Inventories." localSheetId="0" hidden="1">{"M4Print",#N/A,FALSE,"M4"}</definedName>
    <definedName name="wrn.M4._.Inventories." hidden="1">{"M4Print",#N/A,FALSE,"M4"}</definedName>
    <definedName name="wrn.M5._.Flash._.and._.Forecast." localSheetId="1" hidden="1">{"M5Print",#N/A,FALSE,"M5"}</definedName>
    <definedName name="wrn.M5._.Flash._.and._.Forecast." localSheetId="0" hidden="1">{"M5Print",#N/A,FALSE,"M5"}</definedName>
    <definedName name="wrn.M5._.Flash._.and._.Forecast." hidden="1">{"M5Print",#N/A,FALSE,"M5"}</definedName>
    <definedName name="wrn.M6._.Management._.Summary." localSheetId="1" hidden="1">{"M6Print",#N/A,FALSE,"M6";"M6_1Print",#N/A,FALSE,"M6_1";"M6_2Print",#N/A,FALSE,"M6_2"}</definedName>
    <definedName name="wrn.M6._.Management._.Summary." localSheetId="0" hidden="1">{"M6Print",#N/A,FALSE,"M6";"M6_1Print",#N/A,FALSE,"M6_1";"M6_2Print",#N/A,FALSE,"M6_2"}</definedName>
    <definedName name="wrn.M6._.Management._.Summary." hidden="1">{"M6Print",#N/A,FALSE,"M6";"M6_1Print",#N/A,FALSE,"M6_1";"M6_2Print",#N/A,FALSE,"M6_2"}</definedName>
    <definedName name="wrn.M7._.Financial._.Controllers._.report." localSheetId="1" hidden="1">{"M7_1Print",#N/A,TRUE,"M7_1";"M7_2Print",#N/A,TRUE,"M7_2"}</definedName>
    <definedName name="wrn.M7._.Financial._.Controllers._.report." localSheetId="0" hidden="1">{"M7_1Print",#N/A,TRUE,"M7_1";"M7_2Print",#N/A,TRUE,"M7_2"}</definedName>
    <definedName name="wrn.M7._.Financial._.Controllers._.report." hidden="1">{"M7_1Print",#N/A,TRUE,"M7_1";"M7_2Print",#N/A,TRUE,"M7_2"}</definedName>
    <definedName name="wrn.Maine." localSheetId="1" hidden="1">{"Assumptions",#N/A,TRUE,"Assumptions";"Income",#N/A,TRUE,"Income";"Balance",#N/A,TRUE,"Balance"}</definedName>
    <definedName name="wrn.Maine." hidden="1">{"Assumptions",#N/A,TRUE,"Assumptions";"Income",#N/A,TRUE,"Income";"Balance",#N/A,TRUE,"Balance"}</definedName>
    <definedName name="wrn.Maine2." localSheetId="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ster_Income." localSheetId="1" hidden="1">{"Annual_Income",#N/A,FALSE,"Master Model";"Quarterly_Income",#N/A,FALSE,"Master Model"}</definedName>
    <definedName name="wrn.Master_Income." hidden="1">{"Annual_Income",#N/A,FALSE,"Master Model";"Quarterly_Income",#N/A,FALSE,"Master Model"}</definedName>
    <definedName name="wrn.merge." localSheetId="1" hidden="1">{#N/A,#N/A,FALSE,"IPO";#N/A,#N/A,FALSE,"DCF";#N/A,#N/A,FALSE,"LBO";#N/A,#N/A,FALSE,"MULT_VAL";#N/A,#N/A,FALSE,"Status Quo";#N/A,#N/A,FALSE,"Recap"}</definedName>
    <definedName name="wrn.merge." hidden="1">{#N/A,#N/A,FALSE,"IPO";#N/A,#N/A,FALSE,"DCF";#N/A,#N/A,FALSE,"LBO";#N/A,#N/A,FALSE,"MULT_VAL";#N/A,#N/A,FALSE,"Status Quo";#N/A,#N/A,FALSE,"Recap"}</definedName>
    <definedName name="wrn.MONTH._.END._.SPREADS." localSheetId="1" hidden="1">{#N/A,#N/A,FALSE,"Verify at a Glance";#N/A,#N/A,FALSE,"CARMS VS. STAR";#N/A,#N/A,FALSE,"Intel-US";#N/A,#N/A,FALSE,"Intel-PR";#N/A,#N/A,FALSE,"Intel-MISC-6";#N/A,#N/A,FALSE,"Intel-DPA-7";#N/A,#N/A,FALSE,"Intel-IRE";#N/A,#N/A,FALSE,"Intel-HK";#N/A,#N/A,FALSE,"DAILY INPUT";#N/A,#N/A,FALSE,"P5 HK Cash List"}</definedName>
    <definedName name="wrn.MONTH._.END._.SPREADS." hidden="1">{#N/A,#N/A,FALSE,"Verify at a Glance";#N/A,#N/A,FALSE,"CARMS VS. STAR";#N/A,#N/A,FALSE,"Intel-US";#N/A,#N/A,FALSE,"Intel-PR";#N/A,#N/A,FALSE,"Intel-MISC-6";#N/A,#N/A,FALSE,"Intel-DPA-7";#N/A,#N/A,FALSE,"Intel-IRE";#N/A,#N/A,FALSE,"Intel-HK";#N/A,#N/A,FALSE,"DAILY INPUT";#N/A,#N/A,FALSE,"P5 HK Cash List"}</definedName>
    <definedName name="wrn.MONTHLY._.REVENUE._.REPORT." localSheetId="1" hidden="1">{#N/A,#N/A,FALSE,"REV RPT";#N/A,#N/A,FALSE,"AFF COMP";#N/A,#N/A,FALSE,"REP COMM";#N/A,#N/A,FALSE,"REVBYADV";#N/A,#N/A,FALSE,"DAYPART";#N/A,#N/A,FALSE,"FLASH"}</definedName>
    <definedName name="wrn.MONTHLY._.REVENUE._.REPORT." hidden="1">{#N/A,#N/A,FALSE,"REV RPT";#N/A,#N/A,FALSE,"AFF COMP";#N/A,#N/A,FALSE,"REP COMM";#N/A,#N/A,FALSE,"REVBYADV";#N/A,#N/A,FALSE,"DAYPART";#N/A,#N/A,FALSE,"FLASH"}</definedName>
    <definedName name="wrn.monthly._.review." localSheetId="1" hidden="1">{#N/A,#N/A,FALSE,"SUMMARY";#N/A,#N/A,FALSE,"MTD";#N/A,#N/A,FALSE,"YTD";#N/A,#N/A,FALSE,"Forecast"}</definedName>
    <definedName name="wrn.monthly._.review." hidden="1">{#N/A,#N/A,FALSE,"SUMMARY";#N/A,#N/A,FALSE,"MTD";#N/A,#N/A,FALSE,"YTD";#N/A,#N/A,FALSE,"Forecast"}</definedName>
    <definedName name="wrn.monthly._.to._.issue." localSheetId="1" hidden="1">{#N/A,#N/A,FALSE,"SUMMARY";#N/A,#N/A,FALSE,"MTD";#N/A,#N/A,FALSE,"YTD";#N/A,#N/A,FALSE,"Forecast";#N/A,#N/A,FALSE,"Debt Structure";#N/A,#N/A,FALSE,"RATINGS"}</definedName>
    <definedName name="wrn.monthly._.to._.issue." hidden="1">{#N/A,#N/A,FALSE,"SUMMARY";#N/A,#N/A,FALSE,"MTD";#N/A,#N/A,FALSE,"YTD";#N/A,#N/A,FALSE,"Forecast";#N/A,#N/A,FALSE,"Debt Structure";#N/A,#N/A,FALSE,"RATINGS"}</definedName>
    <definedName name="wrn.newest." localSheetId="1" hidden="1">{#N/A,#N/A,TRUE,"TS";#N/A,#N/A,TRUE,"Combo";#N/A,#N/A,TRUE,"FAIR";#N/A,#N/A,TRUE,"RBC";#N/A,#N/A,TRUE,"xxxx"}</definedName>
    <definedName name="wrn.newest." hidden="1">{#N/A,#N/A,TRUE,"TS";#N/A,#N/A,TRUE,"Combo";#N/A,#N/A,TRUE,"FAIR";#N/A,#N/A,TRUE,"RBC";#N/A,#N/A,TRUE,"xxxx"}</definedName>
    <definedName name="wrn.Office." localSheetId="1" hidden="1">{#N/A,#N/A,FALSE,"OffAdvance";#N/A,#N/A,FALSE,"OffExpRprt";#N/A,#N/A,FALSE,"Travelling";#N/A,#N/A,FALSE,"Entertmnt";#N/A,#N/A,FALSE,"Promotion"}</definedName>
    <definedName name="wrn.Office." hidden="1">{#N/A,#N/A,FALSE,"OffAdvance";#N/A,#N/A,FALSE,"OffExpRprt";#N/A,#N/A,FALSE,"Travelling";#N/A,#N/A,FALSE,"Entertmnt";#N/A,#N/A,FALSE,"Promotion"}</definedName>
    <definedName name="wrn.Operation._.Report." localSheetId="1"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utput."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acker._.1." localSheetId="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_External." localSheetId="1" hidden="1">{"PE_View",#N/A,TRUE,"P&amp;L - External";#N/A,#N/A,TRUE,"Backlog";#N/A,#N/A,TRUE,"Revenue";#N/A,#N/A,TRUE,"Std Margin";#N/A,#N/A,TRUE,"Waterfall - External"}</definedName>
    <definedName name="wrn.PE_External." hidden="1">{"PE_View",#N/A,TRUE,"P&amp;L - External";#N/A,#N/A,TRUE,"Backlog";#N/A,#N/A,TRUE,"Revenue";#N/A,#N/A,TRUE,"Std Margin";#N/A,#N/A,TRUE,"Waterfall - External"}</definedName>
    <definedName name="wrn.PE_Internal." localSheetId="1" hidden="1">{"PE_View",#N/A,TRUE,"P&amp;L";#N/A,#N/A,TRUE,"Backlog";#N/A,#N/A,TRUE,"Revenue";#N/A,#N/A,TRUE,"Std Margin";#N/A,#N/A,TRUE,"Waterfall"}</definedName>
    <definedName name="wrn.PE_Internal." hidden="1">{"PE_View",#N/A,TRUE,"P&amp;L";#N/A,#N/A,TRUE,"Backlog";#N/A,#N/A,TRUE,"Revenue";#N/A,#N/A,TRUE,"Std Margin";#N/A,#N/A,TRUE,"Waterfall"}</definedName>
    <definedName name="wrn.PE2_External." localSheetId="1" hidden="1">{"PE_View",#N/A,TRUE,"P&amp;L - External";#N/A,#N/A,TRUE,"Backlog";#N/A,#N/A,TRUE,"Revenue";#N/A,#N/A,TRUE,"Std Margin";#N/A,#N/A,TRUE,"Waterfall - External"}</definedName>
    <definedName name="wrn.PE2_External." hidden="1">{"PE_View",#N/A,TRUE,"P&amp;L - External";#N/A,#N/A,TRUE,"Backlog";#N/A,#N/A,TRUE,"Revenue";#N/A,#N/A,TRUE,"Std Margin";#N/A,#N/A,TRUE,"Waterfall - External"}</definedName>
    <definedName name="wrn.Print._.All._.Pages." localSheetId="1" hidden="1">{"LBO Summary",#N/A,FALSE,"Summary";"Income Statement",#N/A,FALSE,"Model";"Cash Flow",#N/A,FALSE,"Model";"Balance Sheet",#N/A,FALSE,"Model";"Working Capital",#N/A,FALSE,"Model";"Pro Forma Balance Sheets",#N/A,FALSE,"PFBS";"Debt Balances",#N/A,FALSE,"Model";"Fee Schedules",#N/A,FALSE,"Model"}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standalone." localSheetId="1" hidden="1">{"standalone1",#N/A,FALSE,"DCFBase";"standalone2",#N/A,FALSE,"DCFBase"}</definedName>
    <definedName name="wrn.print._.standalone." hidden="1">{"standalone1",#N/A,FALSE,"DCFBase";"standalone2",#N/A,FALSE,"DCFBase"}</definedName>
    <definedName name="wrn.Print_CSC." localSheetId="1" hidden="1">{"CSC_1",#N/A,FALSE,"CSC Outputs";"CSC_2",#N/A,FALSE,"CSC Outputs"}</definedName>
    <definedName name="wrn.Print_CSC." hidden="1">{"CSC_1",#N/A,FALSE,"CSC Outputs";"CSC_2",#N/A,FALSE,"CSC Outputs"}</definedName>
    <definedName name="wrn.print_csc.2" localSheetId="1" hidden="1">{"CSC_1",#N/A,FALSE,"CSC Outputs";"CSC_2",#N/A,FALSE,"CSC Outputs"}</definedName>
    <definedName name="wrn.print_csc.2" hidden="1">{"CSC_1",#N/A,FALSE,"CSC Outputs";"CSC_2",#N/A,FALSE,"CSC Outputs"}</definedName>
    <definedName name="wrn.Print_CSC2" localSheetId="1" hidden="1">{"CSC_1",#N/A,FALSE,"CSC Outputs";"CSC_2",#N/A,FALSE,"CSC Outputs"}</definedName>
    <definedName name="wrn.Print_CSC2" hidden="1">{"CSC_1",#N/A,FALSE,"CSC Outputs";"CSC_2",#N/A,FALSE,"CSC Outputs"}</definedName>
    <definedName name="wrn.printall." localSheetId="1" hidden="1">{"projections1",#N/A,FALSE,"projections";"dcf2",#N/A,FALSE,"dcf";"dcf no profit sharing",#N/A,FALSE,"dcf no profit sharing";"avp1",#N/A,FALSE,"avp"}</definedName>
    <definedName name="wrn.printall." hidden="1">{"projections1",#N/A,FALSE,"projections";"dcf2",#N/A,FALSE,"dcf";"dcf no profit sharing",#N/A,FALSE,"dcf no profit sharing";"avp1",#N/A,FALSE,"avp"}</definedName>
    <definedName name="wrn.Pump." localSheetId="1" hidden="1">{#N/A,#N/A,FALSE,"Assump";#N/A,#N/A,FALSE,"Income";#N/A,#N/A,FALSE,"Balance";#N/A,#N/A,FALSE,"DCF Pump";#N/A,#N/A,FALSE,"Trans Assump";#N/A,#N/A,FALSE,"Combined Income";#N/A,#N/A,FALSE,"Combined Balance"}</definedName>
    <definedName name="wrn.Pump." hidden="1">{#N/A,#N/A,FALSE,"Assump";#N/A,#N/A,FALSE,"Income";#N/A,#N/A,FALSE,"Balance";#N/A,#N/A,FALSE,"DCF Pump";#N/A,#N/A,FALSE,"Trans Assump";#N/A,#N/A,FALSE,"Combined Income";#N/A,#N/A,FALSE,"Combined Balance"}</definedName>
    <definedName name="wrn.qtr._.review." localSheetId="1" hidden="1">{#N/A,#N/A,FALSE,"SUMMARY";#N/A,#N/A,FALSE,"MTD";#N/A,#N/A,FALSE,"QTD";#N/A,#N/A,FALSE,"YTD"}</definedName>
    <definedName name="wrn.qtr._.review." hidden="1">{#N/A,#N/A,FALSE,"SUMMARY";#N/A,#N/A,FALSE,"MTD";#N/A,#N/A,FALSE,"QTD";#N/A,#N/A,FALSE,"YTD"}</definedName>
    <definedName name="wrn.qtr._.to._.issue." localSheetId="1" hidden="1">{#N/A,#N/A,FALSE,"SUMMARY";#N/A,#N/A,FALSE,"MTD";#N/A,#N/A,FALSE,"QTD";#N/A,#N/A,FALSE,"YTD";#N/A,#N/A,FALSE,"Combined";#N/A,#N/A,FALSE,"Forecast";#N/A,#N/A,FALSE,"Debt Structure";#N/A,#N/A,FALSE,"RATINGS";#N/A,#N/A,FALSE,"HEADCOUNT"}</definedName>
    <definedName name="wrn.qtr._.to._.issue." hidden="1">{#N/A,#N/A,FALSE,"SUMMARY";#N/A,#N/A,FALSE,"MTD";#N/A,#N/A,FALSE,"QTD";#N/A,#N/A,FALSE,"YTD";#N/A,#N/A,FALSE,"Combined";#N/A,#N/A,FALSE,"Forecast";#N/A,#N/A,FALSE,"Debt Structure";#N/A,#N/A,FALSE,"RATINGS";#N/A,#N/A,FALSE,"HEADCOUNT"}</definedName>
    <definedName name="wrn.Radio." localSheetId="1" hidden="1">{#N/A,#N/A,FALSE,"Virgin Flightdeck"}</definedName>
    <definedName name="wrn.Radio." hidden="1">{#N/A,#N/A,FALSE,"Virgin Flightdeck"}</definedName>
    <definedName name="wrn.RELEVANTSHEETS." localSheetId="1" hidden="1">{#N/A,#N/A,FALSE,"AD_Purch";#N/A,#N/A,FALSE,"Projections";#N/A,#N/A,FALSE,"DCF";#N/A,#N/A,FALSE,"Mkt Val"}</definedName>
    <definedName name="wrn.RELEVANTSHEETS." hidden="1">{#N/A,#N/A,FALSE,"AD_Purch";#N/A,#N/A,FALSE,"Projections";#N/A,#N/A,FALSE,"DCF";#N/A,#N/A,FALSE,"Mkt Val"}</definedName>
    <definedName name="wrn.rep_page." localSheetId="1" hidden="1">{"Annual_Income",#N/A,FALSE,"Report Page";"Balance_Cash_Flow",#N/A,FALSE,"Report Page";"Quarterly_Income",#N/A,FALSE,"Report Page"}</definedName>
    <definedName name="wrn.rep_page." hidden="1">{"Annual_Income",#N/A,FALSE,"Report Page";"Balance_Cash_Flow",#N/A,FALSE,"Report Page";"Quarterly_Income",#N/A,FALSE,"Report Page"}</definedName>
    <definedName name="wrn.report." localSheetId="1" hidden="1">{#N/A,#N/A,FALSE,"Temp Staf_Summary";#N/A,#N/A,FALSE,"ATC Services";#N/A,#N/A,FALSE,"Brannon &amp; Tully";#N/A,#N/A,FALSE,"Debbie";#N/A,#N/A,FALSE,"Alternative";#N/A,#N/A,FALSE,"Mid-States";#N/A,#N/A,FALSE,"United Temp."}</definedName>
    <definedName name="wrn.report." hidden="1">{#N/A,#N/A,FALSE,"Temp Staf_Summary";#N/A,#N/A,FALSE,"ATC Services";#N/A,#N/A,FALSE,"Brannon &amp; Tully";#N/A,#N/A,FALSE,"Debbie";#N/A,#N/A,FALSE,"Alternative";#N/A,#N/A,FALSE,"Mid-States";#N/A,#N/A,FALSE,"United Temp."}</definedName>
    <definedName name="wrn.Report_Page." localSheetId="1" hidden="1">{"Annual_Income",#N/A,FALSE,"Report Page";"Balance_Cash_Flow",#N/A,FALSE,"Report Page";"Quarterly_Income",#N/A,FALSE,"Report Page"}</definedName>
    <definedName name="wrn.Report_Page." hidden="1">{"Annual_Income",#N/A,FALSE,"Report Page";"Balance_Cash_Flow",#N/A,FALSE,"Report Page";"Quarterly_Income",#N/A,FALSE,"Report Page"}</definedName>
    <definedName name="wrn.Sales." localSheetId="1" hidden="1">{#N/A,#N/A,FALSE,"Marketing";#N/A,#N/A,FALSE,"Selling";#N/A,#N/A,FALSE,"Promotional";#N/A,#N/A,FALSE,"Advertising"}</definedName>
    <definedName name="wrn.Sales." hidden="1">{#N/A,#N/A,FALSE,"Marketing";#N/A,#N/A,FALSE,"Selling";#N/A,#N/A,FALSE,"Promotional";#N/A,#N/A,FALSE,"Advertising"}</definedName>
    <definedName name="wrn.Schedule._.A." localSheetId="1" hidden="1">{#N/A,#N/A,FALSE,"ALLOFFSUM-A1"}</definedName>
    <definedName name="wrn.Schedule._.A." hidden="1">{#N/A,#N/A,FALSE,"ALLOFFSUM-A1"}</definedName>
    <definedName name="wrn.SKSCS1." localSheetId="1" hidden="1">{#N/A,#N/A,FALSE,"Antony Financials";#N/A,#N/A,FALSE,"Cowboy Financials";#N/A,#N/A,FALSE,"Combined";#N/A,#N/A,FALSE,"Valuematrix";#N/A,#N/A,FALSE,"DCFAntony";#N/A,#N/A,FALSE,"DCFCowboy";#N/A,#N/A,FALSE,"DCFCombined"}</definedName>
    <definedName name="wrn.SKSCS1." hidden="1">{#N/A,#N/A,FALSE,"Antony Financials";#N/A,#N/A,FALSE,"Cowboy Financials";#N/A,#N/A,FALSE,"Combined";#N/A,#N/A,FALSE,"Valuematrix";#N/A,#N/A,FALSE,"DCFAntony";#N/A,#N/A,FALSE,"DCFCowboy";#N/A,#N/A,FALSE,"DCFCombined"}</definedName>
    <definedName name="wrn.smithtj." localSheetId="1" hidden="1">{#N/A,#N/A,FALSE,"LIN CALVIN";#N/A,#N/A,FALSE,"KOO JOYCE";#N/A,#N/A,FALSE,"MAK PAUL";#N/A,#N/A,FALSE,"LAM BING";#N/A,#N/A,FALSE,"WU JOHN";#N/A,#N/A,FALSE,"DR SEET LIP CHAI";#N/A,#N/A,FALSE,"ZUDNECK ZENON";#N/A,#N/A,FALSE,"MENG JANE";#N/A,#N/A,FALSE,"T C CHENG";#N/A,#N/A,FALSE,"MARCHALL MA"}</definedName>
    <definedName name="wrn.smithtj." hidden="1">{#N/A,#N/A,FALSE,"LIN CALVIN";#N/A,#N/A,FALSE,"KOO JOYCE";#N/A,#N/A,FALSE,"MAK PAUL";#N/A,#N/A,FALSE,"LAM BING";#N/A,#N/A,FALSE,"WU JOHN";#N/A,#N/A,FALSE,"DR SEET LIP CHAI";#N/A,#N/A,FALSE,"ZUDNECK ZENON";#N/A,#N/A,FALSE,"MENG JANE";#N/A,#N/A,FALSE,"T C CHENG";#N/A,#N/A,FALSE,"MARCHALL MA"}</definedName>
    <definedName name="wrn.Standard." localSheetId="1" hidden="1">{"Financials",#N/A,FALSE,"Financials";"AVP",#N/A,FALSE,"AVP";"DCF",#N/A,FALSE,"DCF";"CSC",#N/A,FALSE,"CSC";"Deal_Comp",#N/A,FALSE,"DealComp"}</definedName>
    <definedName name="wrn.Standard." hidden="1">{"Financials",#N/A,FALSE,"Financials";"AVP",#N/A,FALSE,"AVP";"DCF",#N/A,FALSE,"DCF";"CSC",#N/A,FALSE,"CSC";"Deal_Comp",#N/A,FALSE,"DealComp"}</definedName>
    <definedName name="wrn.Summary._.Report._.by._.Month." localSheetId="1" hidden="1">{#N/A,#N/A,TRUE,"Cover Page";#N/A,#N/A,TRUE,"Summary Stats Month";#N/A,#N/A,TRUE,"Balance Sheet Month";#N/A,#N/A,TRUE,"Cash Flow Month";#N/A,#N/A,TRUE,"Income Statement Month";#N/A,#N/A,TRUE,"CAPEX Month";#N/A,#N/A,TRUE,"Headcount Summary Month";#N/A,#N/A,TRUE,"Assumptions"}</definedName>
    <definedName name="wrn.Summary._.Report._.by._.Month." hidden="1">{#N/A,#N/A,TRUE,"Cover Page";#N/A,#N/A,TRUE,"Summary Stats Month";#N/A,#N/A,TRUE,"Balance Sheet Month";#N/A,#N/A,TRUE,"Cash Flow Month";#N/A,#N/A,TRUE,"Income Statement Month";#N/A,#N/A,TRUE,"CAPEX Month";#N/A,#N/A,TRUE,"Headcount Summary Month";#N/A,#N/A,TRUE,"Assumptions"}</definedName>
    <definedName name="wrn.Summary._.Report._.by._.Year." localSheetId="1" hidden="1">{#N/A,#N/A,TRUE,"Cover Page";#N/A,#N/A,TRUE,"Summary Stats Annual";#N/A,#N/A,TRUE,"Balance Sheet Annual";#N/A,#N/A,TRUE,"Cash Flow Annual";#N/A,#N/A,TRUE,"Income Statement Annual";#N/A,#N/A,TRUE,"CAPEX Annual";#N/A,#N/A,TRUE,"Assumptions"}</definedName>
    <definedName name="wrn.Summary._.Report._.by._.Year." hidden="1">{#N/A,#N/A,TRUE,"Cover Page";#N/A,#N/A,TRUE,"Summary Stats Annual";#N/A,#N/A,TRUE,"Balance Sheet Annual";#N/A,#N/A,TRUE,"Cash Flow Annual";#N/A,#N/A,TRUE,"Income Statement Annual";#N/A,#N/A,TRUE,"CAPEX Annual";#N/A,#N/A,TRUE,"Assumptions"}</definedName>
    <definedName name="wrn.SummaryPgs." localSheetId="1" hidden="1">{#N/A,#N/A,FALSE,"CreditStat";#N/A,#N/A,FALSE,"SPbrkup";#N/A,#N/A,FALSE,"MerSPsyn";#N/A,#N/A,FALSE,"MerSPwKCsyn";#N/A,#N/A,FALSE,"MerSPwKCsyn (2)";#N/A,#N/A,FALSE,"CreditStat (2)"}</definedName>
    <definedName name="wrn.SummaryPgs." hidden="1">{#N/A,#N/A,FALSE,"CreditStat";#N/A,#N/A,FALSE,"SPbrkup";#N/A,#N/A,FALSE,"MerSPsyn";#N/A,#N/A,FALSE,"MerSPwKCsyn";#N/A,#N/A,FALSE,"MerSPwKCsyn (2)";#N/A,#N/A,FALSE,"CreditStat (2)"}</definedName>
    <definedName name="wrn.sunmicro." localSheetId="1" hidden="1">{#N/A,#N/A,FALSE,"FREEMAN";#N/A,#N/A,FALSE,"STEPHEN";#N/A,#N/A,FALSE,"VICTOR"}</definedName>
    <definedName name="wrn.sunmicro." hidden="1">{#N/A,#N/A,FALSE,"FREEMAN";#N/A,#N/A,FALSE,"STEPHEN";#N/A,#N/A,FALSE,"VICTOR"}</definedName>
    <definedName name="wrn.tel2." localSheetId="1" hidden="1">{#N/A,#N/A,FALSE,"FS_Summary";#N/A,#N/A,FALSE,"Tel_Summary";#N/A,#N/A,FALSE,"Tomahawk";#N/A,#N/A,FALSE,"Medical Marketing";#N/A,#N/A,FALSE,"DIMAC";#N/A,#N/A,FALSE,"Epsilon";#N/A,#N/A,FALSE,"Direct";#N/A,#N/A,FALSE,"DIMAC(2)"}</definedName>
    <definedName name="wrn.tel2." hidden="1">{#N/A,#N/A,FALSE,"FS_Summary";#N/A,#N/A,FALSE,"Tel_Summary";#N/A,#N/A,FALSE,"Tomahawk";#N/A,#N/A,FALSE,"Medical Marketing";#N/A,#N/A,FALSE,"DIMAC";#N/A,#N/A,FALSE,"Epsilon";#N/A,#N/A,FALSE,"Direct";#N/A,#N/A,FALSE,"DIMAC(2)"}</definedName>
    <definedName name="wrn.telem." localSheetId="1" hidden="1">{#N/A,#N/A,FALSE,"FS_Summary";#N/A,#N/A,FALSE,"Tomahawk";#N/A,#N/A,FALSE,"Medical Marketing";#N/A,#N/A,FALSE,"Epsilon";#N/A,#N/A,FALSE,"DIMAC";#N/A,#N/A,FALSE,"Direct";#N/A,#N/A,FALSE,"DIMAC(2)"}</definedName>
    <definedName name="wrn.telem." hidden="1">{#N/A,#N/A,FALSE,"FS_Summary";#N/A,#N/A,FALSE,"Tomahawk";#N/A,#N/A,FALSE,"Medical Marketing";#N/A,#N/A,FALSE,"Epsilon";#N/A,#N/A,FALSE,"DIMAC";#N/A,#N/A,FALSE,"Direct";#N/A,#N/A,FALSE,"DIMAC(2)"}</definedName>
    <definedName name="wrn.test." localSheetId="1" hidden="1">{"test2",#N/A,TRUE,"Prices"}</definedName>
    <definedName name="wrn.test." hidden="1">{"test2",#N/A,TRUE,"Prices"}</definedName>
    <definedName name="wrn.TODO." localSheetId="1"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DO."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localSheetId="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e" localSheetId="1" hidden="1">{"toptrial",#N/A,TRUE,"toptrial";"adjustment",#N/A,TRUE,"toptrial";"voucher",#N/A,TRUE,"toptrial"}</definedName>
    <definedName name="wrn.tope" hidden="1">{"toptrial",#N/A,TRUE,"toptrial";"adjustment",#N/A,TRUE,"toptrial";"voucher",#N/A,TRUE,"toptrial"}</definedName>
    <definedName name="wrn.toptrial." localSheetId="1" hidden="1">{"toptrial",#N/A,TRUE,"toptrial";"adjustment",#N/A,TRUE,"toptrial";"voucher",#N/A,TRUE,"toptrial"}</definedName>
    <definedName name="wrn.toptrial." hidden="1">{"toptrial",#N/A,TRUE,"toptrial";"adjustment",#N/A,TRUE,"toptrial";"voucher",#N/A,TRUE,"toptrial"}</definedName>
    <definedName name="wrn.Total." localSheetId="1" hidden="1">{#N/A,#N/A,FALSE,"Trans-Sum";#N/A,#N/A,FALSE,"Accr-Dilu2";#N/A,#N/A,FALSE,"Contribution";#N/A,#N/A,FALSE,"Combined";#N/A,#N/A,FALSE,"ASTF";#N/A,#N/A,FALSE,"BRA";#N/A,#N/A,FALSE,"Bra_C";#N/A,#N/A,FALSE,"AcqMults";#N/A,#N/A,FALSE,"CompMults";#N/A,#N/A,FALSE,"DCF";#N/A,#N/A,FALSE,"WACC";#N/A,#N/A,FALSE,"LBO";#N/A,#N/A,FALSE,"Summary";#N/A,#N/A,FALSE,"StructSum"}</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ransPrcd_123." localSheetId="1" hidden="1">{#N/A,#N/A,TRUE,"TransPrcd 1";#N/A,#N/A,TRUE,"TransPrcd 2";#N/A,#N/A,TRUE,"TransPrcd 3"}</definedName>
    <definedName name="wrn.TransPrcd_123." hidden="1">{#N/A,#N/A,TRUE,"TransPrcd 1";#N/A,#N/A,TRUE,"TransPrcd 2";#N/A,#N/A,TRUE,"TransPrcd 3"}</definedName>
    <definedName name="wrn.Tweety." localSheetId="1" hidden="1">{#N/A,#N/A,FALSE,"A&amp;E";#N/A,#N/A,FALSE,"HighTop";#N/A,#N/A,FALSE,"JG";#N/A,#N/A,FALSE,"RI";#N/A,#N/A,FALSE,"woHT";#N/A,#N/A,FALSE,"woHT&amp;JG"}</definedName>
    <definedName name="wrn.Tweety." hidden="1">{#N/A,#N/A,FALSE,"A&amp;E";#N/A,#N/A,FALSE,"HighTop";#N/A,#N/A,FALSE,"JG";#N/A,#N/A,FALSE,"RI";#N/A,#N/A,FALSE,"woHT";#N/A,#N/A,FALSE,"woHT&amp;JG"}</definedName>
    <definedName name="wrn.Upper._.Case." localSheetId="1"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Upper._.Case."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ALUATION." localSheetId="1" hidden="1">{#N/A,#N/A,FALSE,"Pooling";#N/A,#N/A,FALSE,"income";#N/A,#N/A,FALSE,"valuation"}</definedName>
    <definedName name="wrn.VALUATION." hidden="1">{#N/A,#N/A,FALSE,"Pooling";#N/A,#N/A,FALSE,"income";#N/A,#N/A,FALSE,"valuation"}</definedName>
    <definedName name="wrn.Valuation._.Package._.1." localSheetId="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oucher9703." localSheetId="1" hidden="1">{#N/A,#N/A,FALSE,"970301";#N/A,#N/A,FALSE,"970302";#N/A,#N/A,FALSE,"970303";#N/A,#N/A,FALSE,"970304";#N/A,#N/A,FALSE,"COM1";#N/A,#N/A,FALSE,"COM2"}</definedName>
    <definedName name="wrn.voucher9703." hidden="1">{#N/A,#N/A,FALSE,"970301";#N/A,#N/A,FALSE,"970302";#N/A,#N/A,FALSE,"970303";#N/A,#N/A,FALSE,"970304";#N/A,#N/A,FALSE,"COM1";#N/A,#N/A,FALSE,"COM2"}</definedName>
    <definedName name="wrn.whole._.document." localSheetId="1" hidden="1">{"page 1",#N/A,FALSE,"A";"page 2",#N/A,FALSE,"A";"page 3",#N/A,FALSE,"A";"page 4",#N/A,FALSE,"A";"page 5",#N/A,FALSE,"A";"page 6",#N/A,FALSE,"A";"page 7",#N/A,FALSE,"A";"page 8",#N/A,FALSE,"A";"page 9",#N/A,FALSE,"A";"page 10",#N/A,FALSE,"A";"page 11",#N/A,FALSE,"A";"page 12",#N/A,FALSE,"A";"page 13",#N/A,FALSE,"A";"page 14",#N/A,FALSE,"A"}</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localSheetId="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localSheetId="1" hidden="1">{#N/A,#N/A,FALSE,"FACTSHEETS";#N/A,#N/A,FALSE,"pump";#N/A,#N/A,FALSE,"filter"}</definedName>
    <definedName name="wrn.wicor." hidden="1">{#N/A,#N/A,FALSE,"FACTSHEETS";#N/A,#N/A,FALSE,"pump";#N/A,#N/A,FALSE,"filter"}</definedName>
    <definedName name="wrn.ytd." localSheetId="1" hidden="1">{#N/A,#N/A,FALSE,"YTD"}</definedName>
    <definedName name="wrn.ytd." localSheetId="0" hidden="1">{#N/A,#N/A,FALSE,"YTD"}</definedName>
    <definedName name="wrn.ytd." hidden="1">{#N/A,#N/A,FALSE,"YTD"}</definedName>
    <definedName name="wrn.채권채무조회서." localSheetId="1" hidden="1">{#N/A,#N/A,FALSE,"채권채무";#N/A,#N/A,FALSE,"control sheet"}</definedName>
    <definedName name="wrn.채권채무조회서." hidden="1">{#N/A,#N/A,FALSE,"채권채무";#N/A,#N/A,FALSE,"control sheet"}</definedName>
    <definedName name="wrn100.gb" localSheetId="1" hidden="1">{#N/A,#N/A,FALSE,"资产负债表";#N/A,#N/A,FALSE,"资产负债表"}</definedName>
    <definedName name="wrn100.gb" hidden="1">{#N/A,#N/A,FALSE,"资产负债表";#N/A,#N/A,FALSE,"资产负债表"}</definedName>
    <definedName name="wrnn" localSheetId="1" hidden="1">{#N/A,#N/A,FALSE,"PERSONAL";#N/A,#N/A,FALSE,"explotación";#N/A,#N/A,FALSE,"generales"}</definedName>
    <definedName name="wrnn" hidden="1">{#N/A,#N/A,FALSE,"PERSONAL";#N/A,#N/A,FALSE,"explotación";#N/A,#N/A,FALSE,"generales"}</definedName>
    <definedName name="wrnn.all." localSheetId="1" hidden="1">{#N/A,#N/A,FALSE,"SUM";#N/A,#N/A,FALSE,"SK_TOT";#N/A,#N/A,FALSE,"YM";#N/A,#N/A,FALSE,"TSMC";#N/A,#N/A,FALSE,"ICW";#N/A,#N/A,FALSE,"Sheet1"}</definedName>
    <definedName name="wrnn.all." localSheetId="0" hidden="1">{#N/A,#N/A,FALSE,"SUM";#N/A,#N/A,FALSE,"SK_TOT";#N/A,#N/A,FALSE,"YM";#N/A,#N/A,FALSE,"TSMC";#N/A,#N/A,FALSE,"ICW";#N/A,#N/A,FALSE,"Sheet1"}</definedName>
    <definedName name="wrnn.all." hidden="1">{#N/A,#N/A,FALSE,"SUM";#N/A,#N/A,FALSE,"SK_TOT";#N/A,#N/A,FALSE,"YM";#N/A,#N/A,FALSE,"TSMC";#N/A,#N/A,FALSE,"ICW";#N/A,#N/A,FALSE,"Sheet1"}</definedName>
    <definedName name="wro.fy00_Q1Q2." localSheetId="1" hidden="1">{#N/A,#N/A,FALSE,"Sheet1"}</definedName>
    <definedName name="wro.fy00_Q1Q2." hidden="1">{#N/A,#N/A,FALSE,"Sheet1"}</definedName>
    <definedName name="wtr" localSheetId="1" hidden="1">{#N/A,#N/A,FALSE,"资产负债表";#N/A,#N/A,FALSE,"资产负债表"}</definedName>
    <definedName name="wtr" hidden="1">{#N/A,#N/A,FALSE,"资产负债表";#N/A,#N/A,FALSE,"资产负债表"}</definedName>
    <definedName name="wvu.Curr_View." localSheetId="1"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Curr_View."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P01_View." localSheetId="1"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wvu.P01_View."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xdsdgfdh" hidden="1">#REF!</definedName>
    <definedName name="XREF_COLUMN_1" localSheetId="1" hidden="1">#REF!</definedName>
    <definedName name="XREF_COLUMN_1" hidden="1">#REF!</definedName>
    <definedName name="XREF_COLUMN_10" localSheetId="1" hidden="1">#REF!</definedName>
    <definedName name="XREF_COLUMN_10" localSheetId="0" hidden="1">#REF!</definedName>
    <definedName name="XREF_COLUMN_10" hidden="1">#REF!</definedName>
    <definedName name="XREF_COLUMN_11" localSheetId="1" hidden="1">#REF!</definedName>
    <definedName name="XREF_COLUMN_11" localSheetId="0" hidden="1">#REF!</definedName>
    <definedName name="XREF_COLUMN_11" hidden="1">#REF!</definedName>
    <definedName name="XREF_COLUMN_12" localSheetId="1" hidden="1">#REF!</definedName>
    <definedName name="XREF_COLUMN_12" hidden="1">#REF!</definedName>
    <definedName name="XREF_COLUMN_19" localSheetId="1" hidden="1">#REF!</definedName>
    <definedName name="XREF_COLUMN_19" localSheetId="0" hidden="1">#REF!</definedName>
    <definedName name="XREF_COLUMN_19" hidden="1">#REF!</definedName>
    <definedName name="XREF_COLUMN_2" localSheetId="1" hidden="1">#REF!</definedName>
    <definedName name="XREF_COLUMN_2" localSheetId="0" hidden="1">#REF!</definedName>
    <definedName name="XREF_COLUMN_2" hidden="1">#REF!</definedName>
    <definedName name="XREF_COLUMN_20" localSheetId="1" hidden="1">#REF!</definedName>
    <definedName name="XREF_COLUMN_20" localSheetId="0" hidden="1">#REF!</definedName>
    <definedName name="XREF_COLUMN_20" hidden="1">#REF!</definedName>
    <definedName name="XREF_COLUMN_21" hidden="1">#REF!</definedName>
    <definedName name="XREF_COLUMN_3" localSheetId="1" hidden="1">#REF!</definedName>
    <definedName name="XREF_COLUMN_3" localSheetId="0" hidden="1">#REF!</definedName>
    <definedName name="XREF_COLUMN_3" hidden="1">#REF!</definedName>
    <definedName name="XREF_COLUMN_4" localSheetId="1" hidden="1">#REF!</definedName>
    <definedName name="XREF_COLUMN_4" localSheetId="0" hidden="1">#REF!</definedName>
    <definedName name="XREF_COLUMN_4" hidden="1">#REF!</definedName>
    <definedName name="XREF_COLUMN_5" localSheetId="1" hidden="1">#REF!</definedName>
    <definedName name="XREF_COLUMN_5" localSheetId="0" hidden="1">#REF!</definedName>
    <definedName name="XREF_COLUMN_5" hidden="1">#REF!</definedName>
    <definedName name="XREF_COLUMN_6" localSheetId="1" hidden="1">#REF!</definedName>
    <definedName name="XREF_COLUMN_6" localSheetId="0" hidden="1">#REF!</definedName>
    <definedName name="XREF_COLUMN_6" hidden="1">#REF!</definedName>
    <definedName name="XREF_COLUMN_7" localSheetId="1" hidden="1">#REF!</definedName>
    <definedName name="XREF_COLUMN_7" hidden="1">#REF!</definedName>
    <definedName name="XRefActiveRow" localSheetId="1" hidden="1">#REF!</definedName>
    <definedName name="XRefActiveRow" localSheetId="0" hidden="1">#REF!</definedName>
    <definedName name="XRefActiveRow" hidden="1">#REF!</definedName>
    <definedName name="XRefColumnsCount" hidden="1">2</definedName>
    <definedName name="XRefCopy1" localSheetId="0" hidden="1">#REF!</definedName>
    <definedName name="XRefCopy1" hidden="1">#REF!</definedName>
    <definedName name="XRefCopy10" hidden="1">#REF!</definedName>
    <definedName name="XRefCopy10Row" hidden="1">#REF!</definedName>
    <definedName name="XRefCopy11" localSheetId="1" hidden="1">#REF!</definedName>
    <definedName name="XRefCopy11" localSheetId="0" hidden="1">#REF!</definedName>
    <definedName name="XRefCopy11" hidden="1">#REF!</definedName>
    <definedName name="XRefCopy11Row" localSheetId="1" hidden="1">#REF!</definedName>
    <definedName name="XRefCopy11Row" localSheetId="0" hidden="1">#REF!</definedName>
    <definedName name="XRefCopy11Row" hidden="1">#REF!</definedName>
    <definedName name="XRefCopy12" hidden="1">#REF!</definedName>
    <definedName name="XRefCopy13" hidden="1">#REF!</definedName>
    <definedName name="XRefCopy13Row" localSheetId="1" hidden="1">#REF!</definedName>
    <definedName name="XRefCopy13Row" localSheetId="0" hidden="1">#REF!</definedName>
    <definedName name="XRefCopy13Row" hidden="1">#REF!</definedName>
    <definedName name="XRefCopy14" localSheetId="1" hidden="1">#REF!</definedName>
    <definedName name="XRefCopy14" localSheetId="0" hidden="1">#REF!</definedName>
    <definedName name="XRefCopy14" hidden="1">#REF!</definedName>
    <definedName name="XRefCopy15" hidden="1">#REF!</definedName>
    <definedName name="XRefCopy16" hidden="1">#REF!</definedName>
    <definedName name="XRefCopy16Row" localSheetId="1" hidden="1">#REF!</definedName>
    <definedName name="XRefCopy16Row" localSheetId="0" hidden="1">#REF!</definedName>
    <definedName name="XRefCopy16Row" hidden="1">#REF!</definedName>
    <definedName name="XRefCopy17" hidden="1">#REF!</definedName>
    <definedName name="XRefCopy1Row" localSheetId="1" hidden="1">#REF!</definedName>
    <definedName name="XRefCopy1Row" localSheetId="0"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localSheetId="1" hidden="1">#REF!</definedName>
    <definedName name="XRefPaste1" hidden="1">#REF!</definedName>
    <definedName name="XRefPaste10" localSheetId="1" hidden="1">#REF!</definedName>
    <definedName name="XRefPaste10" hidden="1">#REF!</definedName>
    <definedName name="XRefPaste11" localSheetId="1" hidden="1">#REF!</definedName>
    <definedName name="XRefPaste11" hidden="1">#REF!</definedName>
    <definedName name="XRefPaste15" hidden="1">#REF!</definedName>
    <definedName name="XRefPaste1Row" hidden="1">#REF!</definedName>
    <definedName name="XRefPaste2" localSheetId="1" hidden="1">#REF!</definedName>
    <definedName name="XRefPaste2" localSheetId="0" hidden="1">#REF!</definedName>
    <definedName name="XRefPaste2" hidden="1">#REF!</definedName>
    <definedName name="XRefPaste24" localSheetId="1" hidden="1">#REF!</definedName>
    <definedName name="XRefPaste24" localSheetId="0"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localSheetId="1" hidden="1">#REF!</definedName>
    <definedName name="XRefPaste2Row" localSheetId="0" hidden="1">#REF!</definedName>
    <definedName name="XRefPaste2Row" hidden="1">#REF!</definedName>
    <definedName name="XRefPaste3" localSheetId="1" hidden="1">#REF!</definedName>
    <definedName name="XRefPaste3" localSheetId="0"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localSheetId="1" hidden="1">#REF!</definedName>
    <definedName name="XRefPaste6Row" localSheetId="0" hidden="1">#REF!</definedName>
    <definedName name="XRefPaste6Row" hidden="1">#REF!</definedName>
    <definedName name="XRefPaste7" localSheetId="1" hidden="1">#REF!</definedName>
    <definedName name="XRefPaste7" localSheetId="0"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 localSheetId="1" hidden="1">{#N/A,#N/A,FALSE,"Virgin Flightdeck"}</definedName>
    <definedName name="xxx" hidden="1">{#N/A,#N/A,FALSE,"Virgin Flightdeck"}</definedName>
    <definedName name="XXXXXXXXXXXX" hidden="1">#REF!</definedName>
    <definedName name="xyz" hidden="1">#REF!</definedName>
    <definedName name="xzxsfd" localSheetId="1" hidden="1">{"M1Print",#N/A,FALSE,"M1"}</definedName>
    <definedName name="xzxsfd" localSheetId="0" hidden="1">{"M1Print",#N/A,FALSE,"M1"}</definedName>
    <definedName name="xzxsfd" hidden="1">{"M1Print",#N/A,FALSE,"M1"}</definedName>
    <definedName name="y" localSheetId="1" hidden="1">{#N/A,#N/A,FALSE,"970301";#N/A,#N/A,FALSE,"970302";#N/A,#N/A,FALSE,"970303";#N/A,#N/A,FALSE,"970304";#N/A,#N/A,FALSE,"COM1";#N/A,#N/A,FALSE,"COM2"}</definedName>
    <definedName name="y" hidden="1">{#N/A,#N/A,FALSE,"970301";#N/A,#N/A,FALSE,"970302";#N/A,#N/A,FALSE,"970303";#N/A,#N/A,FALSE,"970304";#N/A,#N/A,FALSE,"COM1";#N/A,#N/A,FALSE,"COM2"}</definedName>
    <definedName name="yy" localSheetId="1" hidden="1">{#N/A,#N/A,FALSE,"ABB HOLDING LTD"}</definedName>
    <definedName name="yy" hidden="1">{#N/A,#N/A,FALSE,"ABB HOLDING LTD"}</definedName>
    <definedName name="Z_0C0235C9_3F84_11D5_81CA_0004ACE54E1F_.wvu.FilterData" hidden="1">#REF!</definedName>
    <definedName name="Z_0C0235C9_3F84_11D5_81CA_0004ACE54E1F_.wvu.PrintArea" hidden="1">#REF!</definedName>
    <definedName name="Z_0C0235C9_3F84_11D5_81CA_0004ACE54E1F_.wvu.PrintTitles" hidden="1">#REF!</definedName>
    <definedName name="Z_0C0235C9_3F84_11D5_81CA_0004ACE54E1F_.wvu.Rows" hidden="1">#REF!,#REF!,#REF!,#REF!,#REF!</definedName>
    <definedName name="Z_149AC9E3_10D6_11D2_BD3F_0060945C7103_.wvu.FilterData" hidden="1">#REF!</definedName>
    <definedName name="Z_1711050D_B2D8_42FB_A40D_E4BD90297684_.wvu.Cols" hidden="1">#REF!,#REF!,#REF!,#REF!,#REF!</definedName>
    <definedName name="Z_39BC5E81_0594_11D1_8C74_006097B34275_.wvu.FilterData" hidden="1">#REF!</definedName>
    <definedName name="Z_39BC5E82_0594_11D1_8C74_006097B34275_.wvu.FilterData" hidden="1">#REF!</definedName>
    <definedName name="Z_4B5573A2_25FD_11D1_8C74_006097B34275_.wvu.FilterData" hidden="1">#REF!</definedName>
    <definedName name="Z_4B5573A3_25FD_11D1_8C74_006097B34275_.wvu.FilterData" hidden="1">#REF!</definedName>
    <definedName name="Z_4C289101_0FD6_11D1_A510_006097B38048_.wvu.FilterData" hidden="1">#REF!</definedName>
    <definedName name="Z_4C854AA2_3991_11D1_8C74_006097B34275_.wvu.FilterData" hidden="1">#REF!</definedName>
    <definedName name="Z_4E9FC601_CB8F_11D0_8C74_006097B34275_.wvu.FilterData" hidden="1">#REF!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6E0ADC42_F22D_11D0_8C74_006097B34275_.wvu.FilterData" hidden="1">#REF!</definedName>
    <definedName name="Z_7E0A45E1_0993_11D1_8C74_006097B34275_.wvu.FilterData" hidden="1">#REF!</definedName>
    <definedName name="Z_82212322_246D_11D1_8C74_006097B34275_.wvu.FilterData" hidden="1">#REF!</definedName>
    <definedName name="Z_B8175DE2_E97C_11D0_8C74_006097B34275_.wvu.FilterData" hidden="1">#REF!</definedName>
    <definedName name="Z_CB0E8320_907C_11D8_8F9A_003018607B51_.wvu.Cols" hidden="1">#REF!</definedName>
    <definedName name="Z_DCA8D884_2605_11D1_A510_006097B38048_.wvu.FilterData" hidden="1">#REF!</definedName>
    <definedName name="Z_E2699901_D040_11D0_A510_006097B38048_.wvu.FilterData" hidden="1">#REF!</definedName>
    <definedName name="Z_E3C7B981_6570_11D9_9364_000D600563D5_.wvu.PrintArea" hidden="1">#REF!</definedName>
    <definedName name="Z_E3C7B981_6570_11D9_9364_000D600563D5_.wvu.PrintTitles" hidden="1">#REF!</definedName>
    <definedName name="Z_E738B51C_56AE_4F9F_8D8A_36AD6137B90D_.wvu.Cols" localSheetId="1" hidden="1">#REF!</definedName>
    <definedName name="Z_E738B51C_56AE_4F9F_8D8A_36AD6137B90D_.wvu.Cols" localSheetId="0" hidden="1">#REF!</definedName>
    <definedName name="Z_E738B51C_56AE_4F9F_8D8A_36AD6137B90D_.wvu.Cols" hidden="1">#REF!</definedName>
    <definedName name="Z_E738B51C_56AE_4F9F_8D8A_36AD6137B90D_.wvu.PrintArea" hidden="1">#REF!</definedName>
    <definedName name="Z_E738B51C_56AE_4F9F_8D8A_36AD6137B90D_.wvu.PrintTitles" localSheetId="1" hidden="1">#REF!,#REF!</definedName>
    <definedName name="Z_E738B51C_56AE_4F9F_8D8A_36AD6137B90D_.wvu.PrintTitles" localSheetId="0" hidden="1">#REF!,#REF!</definedName>
    <definedName name="Z_E738B51C_56AE_4F9F_8D8A_36AD6137B90D_.wvu.PrintTitles" hidden="1">#REF!,#REF!</definedName>
    <definedName name="Z_E738B51C_56AE_4F9F_8D8A_36AD6137B90D_.wvu.Rows" localSheetId="1" hidden="1">#REF!</definedName>
    <definedName name="Z_E738B51C_56AE_4F9F_8D8A_36AD6137B90D_.wvu.Rows" localSheetId="0" hidden="1">#REF!</definedName>
    <definedName name="Z_E738B51C_56AE_4F9F_8D8A_36AD6137B90D_.wvu.Rows" hidden="1">#REF!</definedName>
    <definedName name="zdry" localSheetId="1" hidden="1">{#N/A,#N/A,FALSE,"资产负债表";#N/A,#N/A,FALSE,"资产负债表"}</definedName>
    <definedName name="zdry" hidden="1">{#N/A,#N/A,FALSE,"资产负债表";#N/A,#N/A,FALSE,"资产负债表"}</definedName>
    <definedName name="zerey" localSheetId="1" hidden="1">{#N/A,#N/A,FALSE,"资产负债表";#N/A,#N/A,FALSE,"资产负债表"}</definedName>
    <definedName name="zerey" hidden="1">{#N/A,#N/A,FALSE,"资产负债表";#N/A,#N/A,FALSE,"资产负债表"}</definedName>
    <definedName name="zxc" localSheetId="1" hidden="1">{#N/A,#N/A,FALSE,"OffAdvance";#N/A,#N/A,FALSE,"OffExpRprt";#N/A,#N/A,FALSE,"Travelling";#N/A,#N/A,FALSE,"Entertmnt";#N/A,#N/A,FALSE,"Promotion"}</definedName>
    <definedName name="zxc" hidden="1">{#N/A,#N/A,FALSE,"OffAdvance";#N/A,#N/A,FALSE,"OffExpRprt";#N/A,#N/A,FALSE,"Travelling";#N/A,#N/A,FALSE,"Entertmnt";#N/A,#N/A,FALSE,"Promotion"}</definedName>
    <definedName name="ZZZZZZZZZZZZZ" hidden="1">#REF!</definedName>
    <definedName name="啊" localSheetId="1" hidden="1">{#N/A,#N/A,FALSE,"970301";#N/A,#N/A,FALSE,"970302";#N/A,#N/A,FALSE,"970303";#N/A,#N/A,FALSE,"970304";#N/A,#N/A,FALSE,"COM1";#N/A,#N/A,FALSE,"COM2"}</definedName>
    <definedName name="啊" hidden="1">{#N/A,#N/A,FALSE,"970301";#N/A,#N/A,FALSE,"970302";#N/A,#N/A,FALSE,"970303";#N/A,#N/A,FALSE,"970304";#N/A,#N/A,FALSE,"COM1";#N/A,#N/A,FALSE,"COM2"}</definedName>
    <definedName name="把" localSheetId="1" hidden="1">{#N/A,#N/A,FALSE,"Virgin Flightdeck"}</definedName>
    <definedName name="把" hidden="1">{#N/A,#N/A,FALSE,"Virgin Flightdeck"}</definedName>
    <definedName name="备用" localSheetId="1" hidden="1">{#N/A,#N/A,FALSE,"OffAdvance";#N/A,#N/A,FALSE,"OffExpRprt";#N/A,#N/A,FALSE,"Entertmnt";#N/A,#N/A,FALSE,"Promotion";#N/A,#N/A,FALSE,"Travelling"}</definedName>
    <definedName name="备用" hidden="1">{#N/A,#N/A,FALSE,"OffAdvance";#N/A,#N/A,FALSE,"OffExpRprt";#N/A,#N/A,FALSE,"Entertmnt";#N/A,#N/A,FALSE,"Promotion";#N/A,#N/A,FALSE,"Travelling"}</definedName>
    <definedName name="本循环科目" hidden="1">#REF!</definedName>
    <definedName name="借款" localSheetId="1" hidden="1">{#N/A,#N/A,FALSE,"970301";#N/A,#N/A,FALSE,"970302";#N/A,#N/A,FALSE,"970303";#N/A,#N/A,FALSE,"970304";#N/A,#N/A,FALSE,"COM1";#N/A,#N/A,FALSE,"COM2"}</definedName>
    <definedName name="借款" hidden="1">{#N/A,#N/A,FALSE,"970301";#N/A,#N/A,FALSE,"970302";#N/A,#N/A,FALSE,"970303";#N/A,#N/A,FALSE,"970304";#N/A,#N/A,FALSE,"COM1";#N/A,#N/A,FALSE,"COM2"}</definedName>
    <definedName name="苛" localSheetId="1" hidden="1">{"M1sPrint",#N/A,FALSE,"M1s"}</definedName>
    <definedName name="苛" localSheetId="0" hidden="1">{"M1sPrint",#N/A,FALSE,"M1s"}</definedName>
    <definedName name="苛" hidden="1">{"M1sPrint",#N/A,FALSE,"M1s"}</definedName>
    <definedName name="试验" localSheetId="1" hidden="1">{#N/A,#N/A,FALSE,"OffAdvance";#N/A,#N/A,FALSE,"OffExpRprt";#N/A,#N/A,FALSE,"Travelling";#N/A,#N/A,FALSE,"Entertmnt";#N/A,#N/A,FALSE,"Promotion"}</definedName>
    <definedName name="试验" hidden="1">{#N/A,#N/A,FALSE,"OffAdvance";#N/A,#N/A,FALSE,"OffExpRprt";#N/A,#N/A,FALSE,"Travelling";#N/A,#N/A,FALSE,"Entertmnt";#N/A,#N/A,FALSE,"Promotion"}</definedName>
    <definedName name="已05" localSheetId="1" hidden="1">{"M1Print",#N/A,TRUE,"M1";"M2Print",#N/A,TRUE,"M2";"M1sPrint",#N/A,TRUE,"M1s";"M2aPrint",#N/A,TRUE,"M2a";"M4Print",#N/A,TRUE,"M4";"M5Print",#N/A,TRUE,"M5";"M6Print",#N/A,TRUE,"M6";"M6_1Print",#N/A,TRUE,"M6_1";"M6_2Print",#N/A,TRUE,"M6_2";"M7_1Print",#N/A,TRUE,"M7_1";"M7_2Print",#N/A,TRUE,"M7_2"}</definedName>
    <definedName name="已05" hidden="1">{"M1Print",#N/A,TRUE,"M1";"M2Print",#N/A,TRUE,"M2";"M1sPrint",#N/A,TRUE,"M1s";"M2aPrint",#N/A,TRUE,"M2a";"M4Print",#N/A,TRUE,"M4";"M5Print",#N/A,TRUE,"M5";"M6Print",#N/A,TRUE,"M6";"M6_1Print",#N/A,TRUE,"M6_1";"M6_2Print",#N/A,TRUE,"M6_2";"M7_1Print",#N/A,TRUE,"M7_1";"M7_2Print",#N/A,TRUE,"M7_2"}</definedName>
    <definedName name="应手款" localSheetId="1" hidden="1">{#N/A,#N/A,FALSE,"970301";#N/A,#N/A,FALSE,"970302";#N/A,#N/A,FALSE,"970303";#N/A,#N/A,FALSE,"970304";#N/A,#N/A,FALSE,"COM1";#N/A,#N/A,FALSE,"COM2"}</definedName>
    <definedName name="应手款" hidden="1">{#N/A,#N/A,FALSE,"970301";#N/A,#N/A,FALSE,"970302";#N/A,#N/A,FALSE,"970303";#N/A,#N/A,FALSE,"970304";#N/A,#N/A,FALSE,"COM1";#N/A,#N/A,FALSE,"COM2"}</definedName>
    <definedName name="应手款1月" localSheetId="1" hidden="1">{#N/A,#N/A,FALSE,"Marketing";#N/A,#N/A,FALSE,"Selling";#N/A,#N/A,FALSE,"Promotional";#N/A,#N/A,FALSE,"Advertising"}</definedName>
    <definedName name="应手款1月" hidden="1">{#N/A,#N/A,FALSE,"Marketing";#N/A,#N/A,FALSE,"Selling";#N/A,#N/A,FALSE,"Promotional";#N/A,#N/A,FALSE,"Advertising"}</definedName>
    <definedName name="최재호"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<sst xmlns="http://schemas.openxmlformats.org/spreadsheetml/2006/main" count="123" uniqueCount="90">
  <si>
    <t>固定资产类别</t>
  </si>
  <si>
    <t>非专利技术</t>
  </si>
  <si>
    <t>其他</t>
  </si>
  <si>
    <t>软件</t>
  </si>
  <si>
    <t>土地使用权</t>
  </si>
  <si>
    <t>专利权</t>
  </si>
  <si>
    <r>
      <rPr>
        <b/>
        <sz val="10"/>
        <rFont val="微软雅黑"/>
        <charset val="134"/>
      </rPr>
      <t>合计</t>
    </r>
  </si>
  <si>
    <r>
      <rPr>
        <sz val="10"/>
        <rFont val="微软雅黑"/>
        <charset val="134"/>
      </rPr>
      <t>账面数</t>
    </r>
  </si>
  <si>
    <r>
      <rPr>
        <sz val="10"/>
        <rFont val="微软雅黑"/>
        <charset val="134"/>
      </rPr>
      <t>账表调整</t>
    </r>
    <r>
      <rPr>
        <sz val="10"/>
        <rFont val="Arial"/>
        <charset val="134"/>
      </rPr>
      <t>/</t>
    </r>
    <r>
      <rPr>
        <sz val="10"/>
        <rFont val="微软雅黑"/>
        <charset val="134"/>
      </rPr>
      <t>审计调整</t>
    </r>
  </si>
  <si>
    <r>
      <rPr>
        <sz val="10"/>
        <rFont val="微软雅黑"/>
        <charset val="134"/>
      </rPr>
      <t>审定数</t>
    </r>
  </si>
  <si>
    <t>A3</t>
  </si>
  <si>
    <t>check</t>
  </si>
  <si>
    <r>
      <rPr>
        <b/>
        <sz val="10"/>
        <rFont val="微软雅黑"/>
        <charset val="134"/>
      </rPr>
      <t>年初余额</t>
    </r>
  </si>
  <si>
    <r>
      <rPr>
        <sz val="10"/>
        <rFont val="微软雅黑"/>
        <charset val="134"/>
      </rPr>
      <t>购置</t>
    </r>
  </si>
  <si>
    <r>
      <rPr>
        <sz val="10"/>
        <rFont val="微软雅黑"/>
        <charset val="134"/>
      </rPr>
      <t>在建工程转入</t>
    </r>
  </si>
  <si>
    <r>
      <rPr>
        <b/>
        <sz val="10"/>
        <rFont val="微软雅黑"/>
        <charset val="134"/>
      </rPr>
      <t>原值</t>
    </r>
  </si>
  <si>
    <r>
      <rPr>
        <sz val="10"/>
        <rFont val="微软雅黑"/>
        <charset val="134"/>
      </rPr>
      <t>处置或报废</t>
    </r>
  </si>
  <si>
    <t>合并范围变动</t>
  </si>
  <si>
    <t>其他增加或减少</t>
  </si>
  <si>
    <r>
      <rPr>
        <b/>
        <sz val="10"/>
        <rFont val="微软雅黑"/>
        <charset val="134"/>
      </rPr>
      <t>年末余额</t>
    </r>
  </si>
  <si>
    <r>
      <rPr>
        <sz val="10"/>
        <rFont val="微软雅黑"/>
        <charset val="134"/>
      </rPr>
      <t>计提</t>
    </r>
  </si>
  <si>
    <r>
      <rPr>
        <b/>
        <sz val="10"/>
        <rFont val="微软雅黑"/>
        <charset val="134"/>
      </rPr>
      <t>累计折旧</t>
    </r>
  </si>
  <si>
    <r>
      <rPr>
        <b/>
        <sz val="10"/>
        <rFont val="微软雅黑"/>
        <charset val="134"/>
      </rPr>
      <t>减值准备</t>
    </r>
  </si>
  <si>
    <r>
      <rPr>
        <b/>
        <sz val="10"/>
        <rFont val="微软雅黑"/>
        <charset val="134"/>
      </rPr>
      <t>净值</t>
    </r>
    <r>
      <rPr>
        <b/>
        <sz val="10"/>
        <rFont val="Arial"/>
        <charset val="134"/>
      </rPr>
      <t xml:space="preserve"> (NBV)</t>
    </r>
  </si>
  <si>
    <t>Notes</t>
  </si>
  <si>
    <t>其他类无形资产，主要包括通用资产研发支出3,607,399千元，调整车型技术改造项目2,945千元，M44RR造型及结构设计项目7,196千元。</t>
  </si>
  <si>
    <r>
      <rPr>
        <sz val="10"/>
        <color theme="1"/>
        <rFont val="微软雅黑"/>
        <charset val="134"/>
      </rPr>
      <t>客户名称</t>
    </r>
  </si>
  <si>
    <t>神龙汽车有限公司</t>
  </si>
  <si>
    <r>
      <rPr>
        <sz val="10"/>
        <color theme="1"/>
        <rFont val="微软雅黑"/>
        <charset val="134"/>
      </rPr>
      <t>重要性水平</t>
    </r>
    <r>
      <rPr>
        <sz val="10"/>
        <color theme="1"/>
        <rFont val="Arial"/>
        <charset val="134"/>
      </rPr>
      <t>(PM)</t>
    </r>
  </si>
  <si>
    <r>
      <rPr>
        <sz val="10"/>
        <color theme="1"/>
        <rFont val="微软雅黑"/>
        <charset val="134"/>
      </rPr>
      <t>年度</t>
    </r>
  </si>
  <si>
    <r>
      <rPr>
        <sz val="10"/>
        <color theme="1"/>
        <rFont val="微软雅黑"/>
        <charset val="134"/>
      </rPr>
      <t>可容忍误差</t>
    </r>
    <r>
      <rPr>
        <sz val="10"/>
        <color theme="1"/>
        <rFont val="Arial"/>
        <charset val="134"/>
      </rPr>
      <t>(TE)</t>
    </r>
  </si>
  <si>
    <r>
      <rPr>
        <sz val="10"/>
        <color theme="1"/>
        <rFont val="微软雅黑"/>
        <charset val="134"/>
      </rPr>
      <t>记账本位币</t>
    </r>
  </si>
  <si>
    <t>CNY</t>
  </si>
  <si>
    <r>
      <rPr>
        <sz val="10"/>
        <color theme="1"/>
        <rFont val="微软雅黑"/>
        <charset val="134"/>
      </rPr>
      <t>测试阈值</t>
    </r>
    <r>
      <rPr>
        <sz val="10"/>
        <color theme="1"/>
        <rFont val="Arial"/>
        <charset val="134"/>
      </rPr>
      <t>(TT)</t>
    </r>
  </si>
  <si>
    <r>
      <rPr>
        <sz val="10"/>
        <color theme="1"/>
        <rFont val="微软雅黑"/>
        <charset val="134"/>
      </rPr>
      <t>名义金额</t>
    </r>
    <r>
      <rPr>
        <sz val="10"/>
        <color theme="1"/>
        <rFont val="Arial"/>
        <charset val="134"/>
      </rPr>
      <t>(SAD)</t>
    </r>
  </si>
  <si>
    <r>
      <rPr>
        <b/>
        <u/>
        <sz val="10"/>
        <rFont val="微软雅黑"/>
        <charset val="134"/>
      </rPr>
      <t>目标</t>
    </r>
  </si>
  <si>
    <r>
      <rPr>
        <sz val="10"/>
        <color rgb="FF000000"/>
        <rFont val="微软雅黑"/>
        <charset val="134"/>
      </rPr>
      <t>验证财务报表的固定资产以及计入利润表中的折旧费用金额是否合理列示。</t>
    </r>
  </si>
  <si>
    <t>一、摊销测试</t>
  </si>
  <si>
    <t>所执行程序——摊销费用</t>
  </si>
  <si>
    <t>1.</t>
  </si>
  <si>
    <t>建立预期并确定预期的精确度</t>
  </si>
  <si>
    <t>我们对管理层进行询问，了解到本年度和上年度没有发生重大的资产出售或处置，资产规模稳定，处于在用状态。基于我们对公司业务的了解，公司未面临资产技术过时的风险，距离提足摊销尚有一定年限。因此管理层的描述与我们对资产出售或处置的预期相符。
财务系统的无形资产模块根据公司的无形资产政策设定使用寿命，摊销费用每月按直线法计算和记录。根据公司的会计政策，每个资产类别都有单独的使用寿命。我们获取了公司最新的会计政策，有关无形资产和摊销的相关政策，本年未发生任何修改。</t>
  </si>
  <si>
    <t>鉴于上述分析，我们预期当期摊销费用占资产原值的比例与上年保持一致，计划以上年摊销率和本期末资产原值预期本年摊销费用发生额，与实际摊销费用进行比较。</t>
  </si>
  <si>
    <t>我们基于以下四个维度，对无形资产摊销预期的精确度进行评估：
1）预测精确度：我们通过计算上一年摊销费用占上一年资产类别原值的百分比。我们将该百分比乘以当期平均资产类别余额，得出我们的预期当年摊销费用。模型细分度中等。
2）数据可分解性：ERP系统提供健全的无形资产数据，支持按资产类别分组，匹配模型需求。
3）数据可用性：模型输入数据均来自可靠财务信息。
4）信息的可靠性：所有数据均经审计验证。
综上，我们认为所建立的预期总体精确度达到中等。</t>
  </si>
  <si>
    <t>2.</t>
  </si>
  <si>
    <r>
      <rPr>
        <b/>
        <sz val="10"/>
        <rFont val="微软雅黑"/>
        <charset val="134"/>
      </rPr>
      <t>确定偏差阈值</t>
    </r>
  </si>
  <si>
    <t>根据GAM的要求，对于有限风险账户，我们需要通过实质性程序取得“一些”程度的证据。
根据GAM对SAP要求，在预期精度为中等的情况下，如需取得“一些”程度的证据水平，需要采用的偏差阈值区间在2.5-4倍TE间。
但有限风险账户的偏差阈值只能限定在1倍TE，因此我们采用1倍TE作为折旧测试的偏差阈值，即人民币337,000,000元。
对于各资产类别，我们按其占固定资产原值的比例分配偏差阈值。</t>
  </si>
  <si>
    <t>3.</t>
  </si>
  <si>
    <t>执行固定资产折旧的分析性复核程序</t>
  </si>
  <si>
    <r>
      <rPr>
        <sz val="10"/>
        <color theme="1"/>
        <rFont val="微软雅黑"/>
        <charset val="134"/>
      </rPr>
      <t>我们计算了上一年折旧费用占上一年资产类别原值的百分比。我们将该百分比乘以当期平均资产类别余额，得出我们的预期当年折旧费用。</t>
    </r>
  </si>
  <si>
    <t>total</t>
  </si>
  <si>
    <r>
      <rPr>
        <sz val="10"/>
        <color theme="1"/>
        <rFont val="微软雅黑"/>
        <charset val="134"/>
      </rPr>
      <t xml:space="preserve">2023年固定资产原值余额
</t>
    </r>
    <r>
      <rPr>
        <sz val="10"/>
        <color theme="1"/>
        <rFont val="Arial"/>
        <charset val="134"/>
      </rPr>
      <t>(2023/12/31)a1</t>
    </r>
  </si>
  <si>
    <r>
      <rPr>
        <sz val="10"/>
        <color theme="1"/>
        <rFont val="微软雅黑"/>
        <charset val="134"/>
      </rPr>
      <t xml:space="preserve">2024年固定资产原值余额
</t>
    </r>
    <r>
      <rPr>
        <sz val="10"/>
        <color theme="1"/>
        <rFont val="Arial"/>
        <charset val="134"/>
      </rPr>
      <t>(2024/12/31)a2</t>
    </r>
  </si>
  <si>
    <t>&lt;后推明细表&gt;</t>
  </si>
  <si>
    <t>账户上年原值平均余额a=(a1+a2)/2</t>
  </si>
  <si>
    <r>
      <rPr>
        <sz val="10"/>
        <color theme="1"/>
        <rFont val="微软雅黑"/>
        <charset val="134"/>
      </rPr>
      <t xml:space="preserve">本年固定资产原值账户余额
</t>
    </r>
    <r>
      <rPr>
        <sz val="10"/>
        <color theme="1"/>
        <rFont val="Arial"/>
        <charset val="134"/>
      </rPr>
      <t>(2025/12/31)</t>
    </r>
    <r>
      <rPr>
        <sz val="10"/>
        <color rgb="FFFF0000"/>
        <rFont val="Arial"/>
        <charset val="134"/>
      </rPr>
      <t>b</t>
    </r>
  </si>
  <si>
    <r>
      <rPr>
        <sz val="10"/>
        <color theme="1"/>
        <rFont val="微软雅黑"/>
        <charset val="134"/>
      </rPr>
      <t>账户平均原值余额</t>
    </r>
    <r>
      <rPr>
        <sz val="10"/>
        <color rgb="FFFF0000"/>
        <rFont val="Arial"/>
        <charset val="134"/>
      </rPr>
      <t>(a+b)/2</t>
    </r>
  </si>
  <si>
    <r>
      <rPr>
        <sz val="10"/>
        <color theme="1"/>
        <rFont val="微软雅黑"/>
        <charset val="134"/>
      </rPr>
      <t>偏差阈值</t>
    </r>
    <r>
      <rPr>
        <sz val="10"/>
        <color rgb="FFFF0000"/>
        <rFont val="Arial"/>
        <charset val="134"/>
      </rPr>
      <t>c</t>
    </r>
  </si>
  <si>
    <r>
      <rPr>
        <sz val="10"/>
        <color theme="1"/>
        <rFont val="微软雅黑"/>
        <charset val="134"/>
      </rPr>
      <t>上年折旧费用</t>
    </r>
    <r>
      <rPr>
        <sz val="10"/>
        <color theme="1"/>
        <rFont val="Arial"/>
        <charset val="134"/>
      </rPr>
      <t>(2024)</t>
    </r>
    <r>
      <rPr>
        <sz val="10"/>
        <color rgb="FFFF0000"/>
        <rFont val="Arial"/>
        <charset val="134"/>
      </rPr>
      <t>d</t>
    </r>
  </si>
  <si>
    <r>
      <rPr>
        <sz val="10"/>
        <color theme="1"/>
        <rFont val="微软雅黑"/>
        <charset val="134"/>
      </rPr>
      <t>折旧费用占成本的</t>
    </r>
    <r>
      <rPr>
        <sz val="10"/>
        <color theme="1"/>
        <rFont val="Arial"/>
        <charset val="134"/>
      </rPr>
      <t>%</t>
    </r>
    <r>
      <rPr>
        <sz val="10"/>
        <color rgb="FFFF0000"/>
        <rFont val="Arial"/>
        <charset val="134"/>
      </rPr>
      <t>e=d/a</t>
    </r>
  </si>
  <si>
    <r>
      <rPr>
        <sz val="10"/>
        <color theme="1"/>
        <rFont val="微软雅黑"/>
        <charset val="134"/>
      </rPr>
      <t>预期折旧费用</t>
    </r>
    <r>
      <rPr>
        <sz val="10"/>
        <color theme="1"/>
        <rFont val="Arial"/>
        <charset val="134"/>
      </rPr>
      <t>(2025)</t>
    </r>
    <r>
      <rPr>
        <sz val="10"/>
        <color rgb="FFFF0000"/>
        <rFont val="Arial"/>
        <charset val="134"/>
      </rPr>
      <t>f</t>
    </r>
  </si>
  <si>
    <r>
      <rPr>
        <sz val="10"/>
        <color theme="1"/>
        <rFont val="微软雅黑"/>
        <charset val="134"/>
      </rPr>
      <t>实际折旧费用</t>
    </r>
    <r>
      <rPr>
        <sz val="10"/>
        <color theme="1"/>
        <rFont val="Arial"/>
        <charset val="134"/>
      </rPr>
      <t>(2025)</t>
    </r>
    <r>
      <rPr>
        <sz val="10"/>
        <color rgb="FFFF0000"/>
        <rFont val="Arial"/>
        <charset val="134"/>
      </rPr>
      <t>g</t>
    </r>
  </si>
  <si>
    <r>
      <rPr>
        <sz val="10"/>
        <color theme="1"/>
        <rFont val="微软雅黑"/>
        <charset val="134"/>
      </rPr>
      <t>偏差金额</t>
    </r>
    <r>
      <rPr>
        <sz val="10"/>
        <color rgb="FFFF0000"/>
        <rFont val="Arial"/>
        <charset val="134"/>
      </rPr>
      <t>h=g-f</t>
    </r>
  </si>
  <si>
    <r>
      <rPr>
        <sz val="10"/>
        <color theme="1"/>
        <rFont val="微软雅黑"/>
        <charset val="134"/>
      </rPr>
      <t>偏差是否超过阈值？</t>
    </r>
    <r>
      <rPr>
        <sz val="10"/>
        <color rgb="FFFF0000"/>
        <rFont val="Arial"/>
        <charset val="134"/>
      </rPr>
      <t>h vs. c</t>
    </r>
  </si>
  <si>
    <t>NB1</t>
  </si>
  <si>
    <t>X-ref</t>
  </si>
  <si>
    <t>制造费用</t>
  </si>
  <si>
    <t>管理费用</t>
  </si>
  <si>
    <t>销售费用</t>
  </si>
  <si>
    <t>研发费用</t>
  </si>
  <si>
    <r>
      <rPr>
        <sz val="10"/>
        <rFont val="微软雅黑"/>
        <charset val="134"/>
      </rPr>
      <t>账面费用</t>
    </r>
  </si>
  <si>
    <r>
      <rPr>
        <sz val="10"/>
        <rFont val="微软雅黑"/>
        <charset val="134"/>
      </rPr>
      <t>差异</t>
    </r>
  </si>
  <si>
    <t>m</t>
  </si>
  <si>
    <t>NB2</t>
  </si>
  <si>
    <t>我们对固定资产折旧执行了实质性分析程序，各类资产及固定资产总体折旧费用的预期与实际偏差均小于偏差阈值。
综上，通过该测试已取得计划的证据水平（“一些”）。</t>
  </si>
  <si>
    <t>二、原值测试</t>
  </si>
  <si>
    <r>
      <rPr>
        <b/>
        <u/>
        <sz val="10"/>
        <rFont val="微软雅黑"/>
        <charset val="134"/>
      </rPr>
      <t>所执行程序</t>
    </r>
    <r>
      <rPr>
        <b/>
        <u/>
        <sz val="10"/>
        <rFont val="Arial"/>
        <charset val="134"/>
      </rPr>
      <t>——</t>
    </r>
    <r>
      <rPr>
        <b/>
        <u/>
        <sz val="10"/>
        <rFont val="微软雅黑"/>
        <charset val="134"/>
      </rPr>
      <t>固定资产</t>
    </r>
  </si>
  <si>
    <t>(如不适用可删除)</t>
  </si>
  <si>
    <t>1.对固定资产新增/处置执行关键项测试</t>
  </si>
  <si>
    <t xml:space="preserve">本期无形资产新增与处置金额均远低于TT，不再进一步执行测试。
</t>
  </si>
  <si>
    <t>无形资产名称</t>
  </si>
  <si>
    <t>凭证号</t>
  </si>
  <si>
    <t>账面原值金额</t>
  </si>
  <si>
    <t>检查的原始证据</t>
  </si>
  <si>
    <t>入账金额正确</t>
  </si>
  <si>
    <t>入账类别正确</t>
  </si>
  <si>
    <t>入账时间正确</t>
  </si>
  <si>
    <t>N/A</t>
  </si>
  <si>
    <r>
      <rPr>
        <b/>
        <u/>
        <sz val="10"/>
        <rFont val="微软雅黑"/>
        <charset val="134"/>
      </rPr>
      <t>结论</t>
    </r>
  </si>
  <si>
    <t>基于我们所执行的程序，我们已经为固定资产和折旧费用在账户层面获得了“一些”程度的证据水平。</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</si>
</sst>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4" formatCode="_ &quot;￥&quot;* #,##0.00_ ;_ &quot;￥&quot;* \-#,##0.00_ ;_ &quot;￥&quot;* &quot;-&quot;??_ ;_ @_ "/>
    <numFmt numFmtId="176" formatCode="_(* #,##0.00_);_(* \(#,##0.00\);_(* &quot;-&quot;??_);_(@_)"/>
    <numFmt numFmtId="177" formatCode="_-* #,##0.00\ _€_-;\-* #,##0.00\ _€_-;_-* &quot;-&quot;??\ _€_-;_-@_-"/>
    <numFmt numFmtId="178" formatCode="_(* #,##0_);_(* \(#,##0\);_(* &quot;-&quot;_);_(@_)"/>
    <numFmt numFmtId="179" formatCode="_(&quot;$&quot;* #,##0.00_);_(&quot;$&quot;* \(#,##0.00\);_(&quot;$&quot;* &quot;-&quot;??_);_(@_)"/>
    <numFmt numFmtId="180" formatCode="* #,##0.00;[Red]\(#,##0.00\);&quot;-&quot;;\ @"/>
    <numFmt numFmtId="181" formatCode="_ * #,##0_ ;_ * \-#,##0_ ;_ * &quot;-&quot;??_ ;_ @_ "/>
    <numFmt numFmtId="182" formatCode="yyyy\/mm\/dd"/>
    <numFmt numFmtId="183" formatCode="_(* #,##0.00_);_(* \(#,##0.00\);_(* &quot;-&quot;??_)"/>
  </numFmts>
  <fonts count="63">
    <font>
      <sz val="11"/>
      <color theme="1"/>
      <name val="等线"/>
      <charset val="134"/>
      <scheme val="minor"/>
    </font>
    <font>
      <sz val="10"/>
      <name val="Arial"/>
      <charset val="134"/>
    </font>
    <font>
      <b/>
      <u/>
      <sz val="10"/>
      <color theme="8" tint="-0.499984740745262"/>
      <name val="Arial"/>
      <charset val="134"/>
    </font>
    <font>
      <b/>
      <sz val="10"/>
      <color rgb="FFFF0000"/>
      <name val="Arial"/>
      <charset val="134"/>
    </font>
    <font>
      <b/>
      <sz val="10"/>
      <color rgb="FFFFFFFF"/>
      <name val="Arial"/>
      <charset val="134"/>
    </font>
    <font>
      <u/>
      <sz val="9"/>
      <color theme="10"/>
      <name val="Arial"/>
      <charset val="134"/>
    </font>
    <font>
      <sz val="10"/>
      <color theme="1"/>
      <name val="Arial"/>
      <charset val="134"/>
    </font>
    <font>
      <b/>
      <sz val="10"/>
      <color theme="7"/>
      <name val="Arial"/>
      <charset val="134"/>
    </font>
    <font>
      <sz val="10"/>
      <name val="微软雅黑"/>
      <charset val="134"/>
    </font>
    <font>
      <sz val="9"/>
      <name val="Arial"/>
      <charset val="134"/>
    </font>
    <font>
      <sz val="9"/>
      <color theme="1"/>
      <name val="Arial"/>
      <charset val="134"/>
    </font>
    <font>
      <b/>
      <sz val="10"/>
      <name val="Arial"/>
      <charset val="134"/>
    </font>
    <font>
      <u/>
      <sz val="10"/>
      <color rgb="FFFF0000"/>
      <name val="Arial"/>
      <charset val="134"/>
    </font>
    <font>
      <b/>
      <u/>
      <sz val="10"/>
      <name val="Arial"/>
      <charset val="134"/>
    </font>
    <font>
      <sz val="10"/>
      <color rgb="FF000000"/>
      <name val="Arial"/>
      <charset val="134"/>
    </font>
    <font>
      <sz val="10"/>
      <color indexed="0"/>
      <name val="Arial"/>
      <charset val="134"/>
    </font>
    <font>
      <b/>
      <sz val="10"/>
      <name val="微软雅黑"/>
      <charset val="134"/>
    </font>
    <font>
      <u/>
      <sz val="9"/>
      <color theme="10"/>
      <name val="微软雅黑"/>
      <charset val="134"/>
    </font>
    <font>
      <b/>
      <u/>
      <sz val="10"/>
      <name val="微软雅黑"/>
      <charset val="134"/>
    </font>
    <font>
      <b/>
      <sz val="10"/>
      <color rgb="FFFF0000"/>
      <name val="微软雅黑"/>
      <charset val="134"/>
    </font>
    <font>
      <sz val="10"/>
      <color indexed="0"/>
      <name val="微软雅黑"/>
      <charset val="134"/>
    </font>
    <font>
      <sz val="10"/>
      <color rgb="FFFF0000"/>
      <name val="Arial"/>
      <charset val="134"/>
    </font>
    <font>
      <sz val="10"/>
      <color theme="1"/>
      <name val="微软雅黑"/>
      <charset val="134"/>
    </font>
    <font>
      <b/>
      <sz val="10"/>
      <color theme="1"/>
      <name val="Arial"/>
      <charset val="134"/>
    </font>
    <font>
      <sz val="10"/>
      <color rgb="FFFF0000"/>
      <name val="微软雅黑"/>
      <charset val="134"/>
    </font>
    <font>
      <b/>
      <sz val="10"/>
      <color indexed="10"/>
      <name val="Arial"/>
      <charset val="134"/>
    </font>
    <font>
      <b/>
      <strike/>
      <sz val="10"/>
      <color rgb="FF0000FF"/>
      <name val="Arial"/>
      <charset val="134"/>
    </font>
    <font>
      <sz val="10"/>
      <color rgb="FF000000"/>
      <name val="微软雅黑"/>
      <charset val="134"/>
    </font>
    <font>
      <i/>
      <sz val="10"/>
      <color rgb="FF323130"/>
      <name val="Arial"/>
      <charset val="134"/>
    </font>
    <font>
      <sz val="10"/>
      <color theme="4" tint="-0.249977111117893"/>
      <name val="Arial"/>
      <charset val="134"/>
    </font>
    <font>
      <sz val="11"/>
      <color theme="1"/>
      <name val="Arial"/>
      <charset val="134"/>
    </font>
    <font>
      <b/>
      <sz val="10"/>
      <color theme="1"/>
      <name val="微软雅黑"/>
      <charset val="134"/>
    </font>
    <font>
      <b/>
      <sz val="11"/>
      <color theme="1"/>
      <name val="Arial"/>
      <charset val="134"/>
    </font>
    <font>
      <sz val="10"/>
      <color rgb="FF2C3E50"/>
      <name val="Arial"/>
      <charset val="134"/>
    </font>
    <font>
      <u/>
      <sz val="11"/>
      <color theme="10"/>
      <name val="等线"/>
      <charset val="134"/>
      <scheme val="minor"/>
    </font>
    <font>
      <sz val="10"/>
      <color rgb="FFFFFFFF"/>
      <name val="Arial"/>
      <charset val="134"/>
    </font>
    <font>
      <sz val="11"/>
      <color theme="1"/>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u/>
      <sz val="10"/>
      <color theme="10"/>
      <name val="Arial"/>
      <charset val="134"/>
    </font>
    <font>
      <sz val="11"/>
      <color theme="1"/>
      <name val="等线"/>
      <charset val="134"/>
      <scheme val="minor"/>
    </font>
    <font>
      <sz val="8"/>
      <name val="EYInterstate Light"/>
      <charset val="134"/>
    </font>
    <font>
      <sz val="8"/>
      <name val="EYInterstate Light"/>
      <charset val="134"/>
    </font>
    <font>
      <sz val="10"/>
      <name val="Tahoma"/>
      <charset val="134"/>
    </font>
    <font>
      <sz val="10"/>
      <name val="宋体"/>
      <charset val="134"/>
    </font>
    <font>
      <sz val="12"/>
      <color theme="1"/>
      <name val="等线"/>
      <charset val="134"/>
      <scheme val="minor"/>
    </font>
    <font>
      <sz val="11"/>
      <color theme="1"/>
      <name val="SimSun"/>
      <charset val="134"/>
    </font>
  </fonts>
  <fills count="43">
    <fill>
      <patternFill patternType="none"/>
    </fill>
    <fill>
      <patternFill patternType="gray125"/>
    </fill>
    <fill>
      <patternFill patternType="solid">
        <fgColor theme="0"/>
        <bgColor indexed="64"/>
      </patternFill>
    </fill>
    <fill>
      <patternFill patternType="solid">
        <fgColor theme="0" tint="-0.34995574816126"/>
        <bgColor indexed="64"/>
      </patternFill>
    </fill>
    <fill>
      <patternFill patternType="solid">
        <fgColor rgb="FF0000FF"/>
        <bgColor indexed="64"/>
      </patternFill>
    </fill>
    <fill>
      <patternFill patternType="solid">
        <fgColor theme="0" tint="-0.0499893185216834"/>
        <bgColor indexed="64"/>
      </patternFill>
    </fill>
    <fill>
      <patternFill patternType="solid">
        <fgColor theme="0" tint="-0.349986266670736"/>
        <bgColor indexed="64"/>
      </patternFill>
    </fill>
    <fill>
      <patternFill patternType="solid">
        <fgColor theme="6" tint="0.799981688894314"/>
        <bgColor indexed="64"/>
      </patternFill>
    </fill>
    <fill>
      <patternFill patternType="solid">
        <fgColor rgb="FFFFFFFF"/>
        <bgColor indexed="64"/>
      </patternFill>
    </fill>
    <fill>
      <patternFill patternType="solid">
        <fgColor rgb="FF333399"/>
        <bgColor indexed="64"/>
      </patternFill>
    </fill>
    <fill>
      <patternFill patternType="solid">
        <fgColor theme="0" tint="-0.349925229651784"/>
        <bgColor indexed="64"/>
      </patternFill>
    </fill>
    <fill>
      <patternFill patternType="solid">
        <fgColor rgb="FFFFFFFF"/>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2">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right style="medium">
        <color auto="1"/>
      </right>
      <top/>
      <bottom/>
      <diagonal/>
    </border>
    <border>
      <left style="thin">
        <color auto="1"/>
      </left>
      <right style="thin">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05">
    <xf numFmtId="0" fontId="0" fillId="0" borderId="0">
      <alignment vertical="center"/>
      <protection locked="0"/>
    </xf>
    <xf numFmtId="176" fontId="0" fillId="0" borderId="0" applyFont="0" applyFill="0" applyBorder="0" applyAlignment="0" applyProtection="0">
      <alignment vertical="center"/>
    </xf>
    <xf numFmtId="44" fontId="36" fillId="0" borderId="0" applyFont="0" applyFill="0" applyBorder="0" applyAlignment="0" applyProtection="0">
      <alignment vertical="center"/>
    </xf>
    <xf numFmtId="9" fontId="36" fillId="0" borderId="0" applyFont="0" applyFill="0" applyBorder="0" applyAlignment="0" applyProtection="0">
      <alignment vertical="center"/>
    </xf>
    <xf numFmtId="41" fontId="36" fillId="0" borderId="0" applyFont="0" applyFill="0" applyBorder="0" applyAlignment="0" applyProtection="0">
      <alignment vertical="center"/>
    </xf>
    <xf numFmtId="42" fontId="36" fillId="0" borderId="0" applyFont="0" applyFill="0" applyBorder="0" applyAlignment="0" applyProtection="0">
      <alignment vertical="center"/>
    </xf>
    <xf numFmtId="0" fontId="34"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6" fillId="12" borderId="34" applyNumberFormat="0" applyFont="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35" applyNumberFormat="0" applyFill="0" applyAlignment="0" applyProtection="0">
      <alignment vertical="center"/>
    </xf>
    <xf numFmtId="0" fontId="42" fillId="0" borderId="35" applyNumberFormat="0" applyFill="0" applyAlignment="0" applyProtection="0">
      <alignment vertical="center"/>
    </xf>
    <xf numFmtId="0" fontId="43" fillId="0" borderId="36" applyNumberFormat="0" applyFill="0" applyAlignment="0" applyProtection="0">
      <alignment vertical="center"/>
    </xf>
    <xf numFmtId="0" fontId="43" fillId="0" borderId="0" applyNumberFormat="0" applyFill="0" applyBorder="0" applyAlignment="0" applyProtection="0">
      <alignment vertical="center"/>
    </xf>
    <xf numFmtId="0" fontId="44" fillId="13" borderId="37" applyNumberFormat="0" applyAlignment="0" applyProtection="0">
      <alignment vertical="center"/>
    </xf>
    <xf numFmtId="0" fontId="45" fillId="14" borderId="38" applyNumberFormat="0" applyAlignment="0" applyProtection="0">
      <alignment vertical="center"/>
    </xf>
    <xf numFmtId="0" fontId="46" fillId="14" borderId="37" applyNumberFormat="0" applyAlignment="0" applyProtection="0">
      <alignment vertical="center"/>
    </xf>
    <xf numFmtId="0" fontId="47" fillId="15" borderId="39" applyNumberFormat="0" applyAlignment="0" applyProtection="0">
      <alignment vertical="center"/>
    </xf>
    <xf numFmtId="0" fontId="48" fillId="0" borderId="40" applyNumberFormat="0" applyFill="0" applyAlignment="0" applyProtection="0">
      <alignment vertical="center"/>
    </xf>
    <xf numFmtId="0" fontId="49" fillId="0" borderId="41" applyNumberFormat="0" applyFill="0" applyAlignment="0" applyProtection="0">
      <alignment vertical="center"/>
    </xf>
    <xf numFmtId="0" fontId="50" fillId="16" borderId="0" applyNumberFormat="0" applyBorder="0" applyAlignment="0" applyProtection="0">
      <alignment vertical="center"/>
    </xf>
    <xf numFmtId="0" fontId="51" fillId="17" borderId="0" applyNumberFormat="0" applyBorder="0" applyAlignment="0" applyProtection="0">
      <alignment vertical="center"/>
    </xf>
    <xf numFmtId="0" fontId="52" fillId="18" borderId="0" applyNumberFormat="0" applyBorder="0" applyAlignment="0" applyProtection="0">
      <alignment vertical="center"/>
    </xf>
    <xf numFmtId="0" fontId="53" fillId="19" borderId="0" applyNumberFormat="0" applyBorder="0" applyAlignment="0" applyProtection="0">
      <alignment vertical="center"/>
    </xf>
    <xf numFmtId="0" fontId="54" fillId="20" borderId="0" applyNumberFormat="0" applyBorder="0" applyAlignment="0" applyProtection="0">
      <alignment vertical="center"/>
    </xf>
    <xf numFmtId="0" fontId="54" fillId="21" borderId="0" applyNumberFormat="0" applyBorder="0" applyAlignment="0" applyProtection="0">
      <alignment vertical="center"/>
    </xf>
    <xf numFmtId="0" fontId="53" fillId="22" borderId="0" applyNumberFormat="0" applyBorder="0" applyAlignment="0" applyProtection="0">
      <alignment vertical="center"/>
    </xf>
    <xf numFmtId="0" fontId="53" fillId="23" borderId="0" applyNumberFormat="0" applyBorder="0" applyAlignment="0" applyProtection="0">
      <alignment vertical="center"/>
    </xf>
    <xf numFmtId="0" fontId="54" fillId="24" borderId="0" applyNumberFormat="0" applyBorder="0" applyAlignment="0" applyProtection="0">
      <alignment vertical="center"/>
    </xf>
    <xf numFmtId="0" fontId="54" fillId="25" borderId="0" applyNumberFormat="0" applyBorder="0" applyAlignment="0" applyProtection="0">
      <alignment vertical="center"/>
    </xf>
    <xf numFmtId="0" fontId="53" fillId="26" borderId="0" applyNumberFormat="0" applyBorder="0" applyAlignment="0" applyProtection="0">
      <alignment vertical="center"/>
    </xf>
    <xf numFmtId="0" fontId="53" fillId="27" borderId="0" applyNumberFormat="0" applyBorder="0" applyAlignment="0" applyProtection="0">
      <alignment vertical="center"/>
    </xf>
    <xf numFmtId="0" fontId="54" fillId="28" borderId="0" applyNumberFormat="0" applyBorder="0" applyAlignment="0" applyProtection="0">
      <alignment vertical="center"/>
    </xf>
    <xf numFmtId="0" fontId="54" fillId="29" borderId="0" applyNumberFormat="0" applyBorder="0" applyAlignment="0" applyProtection="0">
      <alignment vertical="center"/>
    </xf>
    <xf numFmtId="0" fontId="53" fillId="30" borderId="0" applyNumberFormat="0" applyBorder="0" applyAlignment="0" applyProtection="0">
      <alignment vertical="center"/>
    </xf>
    <xf numFmtId="0" fontId="53" fillId="31" borderId="0" applyNumberFormat="0" applyBorder="0" applyAlignment="0" applyProtection="0">
      <alignment vertical="center"/>
    </xf>
    <xf numFmtId="0" fontId="54" fillId="32" borderId="0" applyNumberFormat="0" applyBorder="0" applyAlignment="0" applyProtection="0">
      <alignment vertical="center"/>
    </xf>
    <xf numFmtId="0" fontId="54" fillId="33" borderId="0" applyNumberFormat="0" applyBorder="0" applyAlignment="0" applyProtection="0">
      <alignment vertical="center"/>
    </xf>
    <xf numFmtId="0" fontId="53" fillId="34" borderId="0" applyNumberFormat="0" applyBorder="0" applyAlignment="0" applyProtection="0">
      <alignment vertical="center"/>
    </xf>
    <xf numFmtId="0" fontId="53" fillId="35" borderId="0" applyNumberFormat="0" applyBorder="0" applyAlignment="0" applyProtection="0">
      <alignment vertical="center"/>
    </xf>
    <xf numFmtId="0" fontId="54" fillId="36" borderId="0" applyNumberFormat="0" applyBorder="0" applyAlignment="0" applyProtection="0">
      <alignment vertical="center"/>
    </xf>
    <xf numFmtId="0" fontId="54" fillId="37" borderId="0" applyNumberFormat="0" applyBorder="0" applyAlignment="0" applyProtection="0">
      <alignment vertical="center"/>
    </xf>
    <xf numFmtId="0" fontId="53" fillId="38" borderId="0" applyNumberFormat="0" applyBorder="0" applyAlignment="0" applyProtection="0">
      <alignment vertical="center"/>
    </xf>
    <xf numFmtId="0" fontId="53" fillId="39" borderId="0" applyNumberFormat="0" applyBorder="0" applyAlignment="0" applyProtection="0">
      <alignment vertical="center"/>
    </xf>
    <xf numFmtId="0" fontId="54" fillId="40" borderId="0" applyNumberFormat="0" applyBorder="0" applyAlignment="0" applyProtection="0">
      <alignment vertical="center"/>
    </xf>
    <xf numFmtId="0" fontId="54" fillId="41" borderId="0" applyNumberFormat="0" applyBorder="0" applyAlignment="0" applyProtection="0">
      <alignment vertical="center"/>
    </xf>
    <xf numFmtId="0" fontId="53" fillId="42" borderId="0" applyNumberFormat="0" applyBorder="0" applyAlignment="0" applyProtection="0">
      <alignment vertical="center"/>
    </xf>
    <xf numFmtId="176" fontId="0" fillId="0" borderId="0" applyFont="0" applyFill="0" applyBorder="0" applyAlignment="0" applyProtection="0"/>
    <xf numFmtId="176" fontId="1" fillId="0" borderId="0" applyFont="0" applyFill="0" applyBorder="0" applyAlignment="0" applyProtection="0"/>
    <xf numFmtId="176" fontId="0" fillId="0" borderId="0" applyFont="0" applyFill="0" applyBorder="0" applyAlignment="0" applyProtection="0"/>
    <xf numFmtId="177" fontId="0"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xf numFmtId="178" fontId="1"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xf numFmtId="0" fontId="55" fillId="0" borderId="0" applyNumberFormat="0" applyFill="0" applyBorder="0" applyAlignment="0" applyProtection="0">
      <alignment vertical="top"/>
      <protection locked="0"/>
    </xf>
    <xf numFmtId="0" fontId="34" fillId="0" borderId="0" applyNumberFormat="0" applyFill="0" applyBorder="0" applyAlignment="0" applyProtection="0"/>
    <xf numFmtId="0" fontId="34" fillId="0" borderId="0" applyNumberFormat="0" applyFill="0" applyBorder="0" applyAlignment="0" applyProtection="0"/>
    <xf numFmtId="0" fontId="1" fillId="0" borderId="0"/>
    <xf numFmtId="0" fontId="56"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0" fillId="0" borderId="0"/>
    <xf numFmtId="0" fontId="57" fillId="0" borderId="0">
      <alignment vertical="center"/>
    </xf>
    <xf numFmtId="0" fontId="30" fillId="0" borderId="0"/>
    <xf numFmtId="0" fontId="6" fillId="0" borderId="0"/>
    <xf numFmtId="0" fontId="58" fillId="0" borderId="0">
      <alignment vertical="center"/>
    </xf>
    <xf numFmtId="0" fontId="58" fillId="0" borderId="0">
      <alignment vertical="center"/>
    </xf>
    <xf numFmtId="0" fontId="6" fillId="0" borderId="0"/>
    <xf numFmtId="0" fontId="6" fillId="0" borderId="0"/>
    <xf numFmtId="0" fontId="1" fillId="0" borderId="0"/>
    <xf numFmtId="0" fontId="59" fillId="0" borderId="0"/>
    <xf numFmtId="0" fontId="60" fillId="0" borderId="0"/>
    <xf numFmtId="0" fontId="60" fillId="0" borderId="0"/>
    <xf numFmtId="0" fontId="0" fillId="0" borderId="0"/>
    <xf numFmtId="0" fontId="30" fillId="0" borderId="0"/>
    <xf numFmtId="0" fontId="56" fillId="0" borderId="0"/>
    <xf numFmtId="0" fontId="61" fillId="0" borderId="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alignment vertical="center"/>
    </xf>
    <xf numFmtId="0" fontId="0" fillId="0" borderId="0"/>
    <xf numFmtId="0" fontId="0" fillId="0" borderId="0"/>
    <xf numFmtId="0" fontId="0" fillId="0" borderId="0"/>
    <xf numFmtId="0" fontId="62" fillId="0" borderId="0"/>
    <xf numFmtId="0" fontId="0" fillId="0" borderId="0">
      <alignment vertical="center"/>
      <protection locked="0"/>
    </xf>
    <xf numFmtId="0" fontId="60" fillId="0" borderId="0"/>
    <xf numFmtId="0" fontId="34" fillId="0" borderId="0" applyNumberFormat="0" applyFill="0" applyBorder="0" applyAlignment="0" applyProtection="0">
      <alignment vertical="center"/>
    </xf>
    <xf numFmtId="179" fontId="0"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xf numFmtId="176" fontId="56" fillId="0" borderId="0" applyFont="0" applyFill="0" applyBorder="0" applyAlignment="0" applyProtection="0"/>
    <xf numFmtId="176" fontId="0" fillId="0" borderId="0" applyFont="0" applyFill="0" applyBorder="0" applyAlignment="0" applyProtection="0">
      <alignment vertical="center"/>
    </xf>
    <xf numFmtId="176" fontId="0" fillId="0" borderId="0" applyFont="0" applyFill="0" applyBorder="0" applyAlignment="0" applyProtection="0"/>
    <xf numFmtId="180" fontId="56" fillId="0" borderId="0" applyFont="0" applyFill="0" applyBorder="0" applyProtection="0"/>
    <xf numFmtId="176" fontId="0" fillId="0" borderId="0" applyFont="0" applyFill="0" applyBorder="0" applyAlignment="0" applyProtection="0"/>
  </cellStyleXfs>
  <cellXfs count="224">
    <xf numFmtId="0" fontId="0" fillId="0" borderId="0" xfId="0">
      <alignment vertical="center"/>
      <protection locked="0"/>
    </xf>
    <xf numFmtId="0" fontId="1" fillId="2" borderId="0" xfId="68" applyFont="1" applyFill="1" applyAlignment="1">
      <alignment vertical="center"/>
    </xf>
    <xf numFmtId="0" fontId="2" fillId="0" borderId="0" xfId="94" applyFont="1" applyAlignment="1" applyProtection="1">
      <alignment vertical="top"/>
      <protection hidden="1"/>
    </xf>
    <xf numFmtId="10" fontId="1" fillId="0" borderId="0" xfId="68" applyNumberFormat="1" applyFont="1" applyAlignment="1">
      <alignment vertical="center"/>
    </xf>
    <xf numFmtId="0" fontId="3" fillId="0" borderId="0" xfId="68" applyFont="1" applyAlignment="1">
      <alignment vertical="center"/>
    </xf>
    <xf numFmtId="0" fontId="1" fillId="0" borderId="0" xfId="68" applyFont="1" applyAlignment="1">
      <alignment horizontal="right" vertical="center"/>
    </xf>
    <xf numFmtId="0" fontId="1" fillId="0" borderId="0" xfId="68" applyFont="1" applyAlignment="1">
      <alignment vertical="center"/>
    </xf>
    <xf numFmtId="14" fontId="1" fillId="0" borderId="0" xfId="68" applyNumberFormat="1" applyFont="1" applyAlignment="1">
      <alignment vertical="center"/>
    </xf>
    <xf numFmtId="0" fontId="4" fillId="2" borderId="0" xfId="68" applyFont="1" applyFill="1" applyAlignment="1">
      <alignment vertical="center"/>
    </xf>
    <xf numFmtId="0" fontId="5" fillId="2" borderId="0" xfId="96" applyFont="1" applyFill="1" applyAlignment="1">
      <alignment horizontal="right" vertical="center"/>
    </xf>
    <xf numFmtId="0" fontId="6" fillId="3" borderId="1" xfId="73" applyFont="1" applyFill="1" applyBorder="1" applyAlignment="1" applyProtection="1">
      <alignment vertical="center"/>
      <protection locked="0"/>
    </xf>
    <xf numFmtId="0" fontId="6" fillId="3" borderId="2" xfId="73" applyFont="1" applyFill="1" applyBorder="1" applyAlignment="1" applyProtection="1">
      <alignment vertical="center"/>
      <protection locked="0"/>
    </xf>
    <xf numFmtId="0" fontId="6" fillId="3" borderId="3" xfId="73" applyFont="1" applyFill="1" applyBorder="1" applyAlignment="1" applyProtection="1">
      <alignment vertical="center"/>
      <protection locked="0"/>
    </xf>
    <xf numFmtId="0" fontId="7" fillId="2" borderId="0" xfId="94" applyFont="1" applyFill="1" applyAlignment="1" applyProtection="1">
      <alignment vertical="center" wrapText="1"/>
      <protection hidden="1"/>
    </xf>
    <xf numFmtId="0" fontId="8" fillId="4" borderId="0" xfId="68" applyFont="1" applyFill="1" applyAlignment="1">
      <alignment vertical="center"/>
    </xf>
    <xf numFmtId="0" fontId="1" fillId="2" borderId="0" xfId="68" applyFont="1" applyFill="1" applyAlignment="1">
      <alignment horizontal="right" vertical="center"/>
    </xf>
    <xf numFmtId="0" fontId="6" fillId="0" borderId="4" xfId="82" applyFont="1" applyBorder="1" applyAlignment="1">
      <alignment vertical="center"/>
    </xf>
    <xf numFmtId="0" fontId="9" fillId="0" borderId="5" xfId="0" applyFont="1" applyBorder="1" applyAlignment="1">
      <alignment horizontal="right"/>
      <protection locked="0"/>
    </xf>
    <xf numFmtId="0" fontId="6" fillId="3" borderId="0" xfId="73" applyFont="1" applyFill="1" applyAlignment="1" applyProtection="1">
      <alignment vertical="center"/>
      <protection locked="0"/>
    </xf>
    <xf numFmtId="0" fontId="6" fillId="0" borderId="0" xfId="82" applyFont="1" applyAlignment="1" applyProtection="1">
      <alignment vertical="center"/>
      <protection locked="0"/>
    </xf>
    <xf numFmtId="176" fontId="10" fillId="0" borderId="6" xfId="101" applyFont="1" applyBorder="1" applyAlignment="1" applyProtection="1">
      <alignment horizontal="right" vertical="center" shrinkToFit="1"/>
      <protection locked="0"/>
    </xf>
    <xf numFmtId="0" fontId="11" fillId="2" borderId="0" xfId="94" applyFont="1" applyFill="1" applyAlignment="1" applyProtection="1">
      <alignment vertical="center" wrapText="1"/>
      <protection hidden="1"/>
    </xf>
    <xf numFmtId="0" fontId="6" fillId="3" borderId="4" xfId="82" applyFont="1" applyFill="1" applyBorder="1" applyAlignment="1">
      <alignment vertical="center"/>
    </xf>
    <xf numFmtId="176" fontId="6" fillId="3" borderId="0" xfId="101" applyFont="1" applyFill="1" applyBorder="1" applyAlignment="1" applyProtection="1">
      <alignment horizontal="center" vertical="center"/>
      <protection locked="0"/>
    </xf>
    <xf numFmtId="0" fontId="6" fillId="3" borderId="0" xfId="82" applyFont="1" applyFill="1" applyAlignment="1" applyProtection="1">
      <alignment vertical="center"/>
      <protection locked="0"/>
    </xf>
    <xf numFmtId="176" fontId="6" fillId="3" borderId="6" xfId="101" applyFont="1" applyFill="1" applyBorder="1" applyAlignment="1" applyProtection="1">
      <alignment vertical="center"/>
      <protection locked="0"/>
    </xf>
    <xf numFmtId="14" fontId="1" fillId="5" borderId="7" xfId="78" applyNumberFormat="1" applyFont="1" applyFill="1" applyBorder="1" applyAlignment="1" applyProtection="1">
      <alignment horizontal="right" vertical="center"/>
      <protection locked="0"/>
    </xf>
    <xf numFmtId="176" fontId="3" fillId="2" borderId="0" xfId="94" applyNumberFormat="1" applyFont="1" applyFill="1" applyAlignment="1">
      <alignment vertical="center" wrapText="1"/>
      <protection locked="0"/>
    </xf>
    <xf numFmtId="0" fontId="3" fillId="2" borderId="0" xfId="94" applyFont="1" applyFill="1" applyAlignment="1">
      <alignment vertical="center" wrapText="1"/>
      <protection locked="0"/>
    </xf>
    <xf numFmtId="0" fontId="6" fillId="3" borderId="4" xfId="73" applyFont="1" applyFill="1" applyBorder="1" applyAlignment="1" applyProtection="1">
      <alignment vertical="center"/>
      <protection locked="0"/>
    </xf>
    <xf numFmtId="176" fontId="6" fillId="3" borderId="0" xfId="101" applyFont="1" applyFill="1" applyBorder="1" applyAlignment="1" applyProtection="1">
      <alignment vertical="center"/>
      <protection locked="0"/>
    </xf>
    <xf numFmtId="181" fontId="6" fillId="3" borderId="6" xfId="73" applyNumberFormat="1" applyFont="1" applyFill="1" applyBorder="1" applyAlignment="1" applyProtection="1">
      <alignment vertical="center"/>
      <protection locked="0"/>
    </xf>
    <xf numFmtId="49" fontId="10" fillId="0" borderId="0" xfId="101" applyNumberFormat="1" applyFont="1" applyBorder="1" applyAlignment="1" applyProtection="1">
      <alignment horizontal="right" vertical="center" shrinkToFit="1"/>
      <protection locked="0"/>
    </xf>
    <xf numFmtId="0" fontId="6" fillId="0" borderId="0" xfId="82" applyFont="1" applyAlignment="1" applyProtection="1">
      <alignment vertical="center" shrinkToFit="1"/>
      <protection locked="0"/>
    </xf>
    <xf numFmtId="9" fontId="6" fillId="3" borderId="0" xfId="89" applyFont="1" applyFill="1" applyBorder="1" applyAlignment="1">
      <alignment horizontal="center" vertical="center"/>
    </xf>
    <xf numFmtId="181" fontId="6" fillId="3" borderId="6" xfId="89" applyNumberFormat="1" applyFont="1" applyFill="1" applyBorder="1" applyAlignment="1" applyProtection="1">
      <alignment horizontal="center" vertical="center"/>
      <protection locked="0"/>
    </xf>
    <xf numFmtId="0" fontId="6" fillId="3" borderId="8" xfId="73" applyFont="1" applyFill="1" applyBorder="1" applyAlignment="1" applyProtection="1">
      <alignment vertical="center"/>
      <protection locked="0"/>
    </xf>
    <xf numFmtId="0" fontId="6" fillId="3" borderId="9" xfId="73" applyFont="1" applyFill="1" applyBorder="1" applyAlignment="1" applyProtection="1">
      <alignment vertical="center"/>
      <protection locked="0"/>
    </xf>
    <xf numFmtId="0" fontId="6" fillId="3" borderId="10" xfId="73" applyFont="1" applyFill="1" applyBorder="1" applyAlignment="1" applyProtection="1">
      <alignment vertical="center"/>
      <protection locked="0"/>
    </xf>
    <xf numFmtId="0" fontId="12" fillId="0" borderId="0" xfId="61" applyFont="1" applyFill="1" applyAlignment="1">
      <alignment vertical="center"/>
    </xf>
    <xf numFmtId="0" fontId="13" fillId="0" borderId="0" xfId="80" applyFont="1" applyAlignment="1">
      <alignment vertical="center"/>
    </xf>
    <xf numFmtId="0" fontId="6" fillId="0" borderId="0" xfId="68" applyFont="1" applyAlignment="1">
      <alignment vertical="center"/>
    </xf>
    <xf numFmtId="0" fontId="14" fillId="0" borderId="0" xfId="80" applyFont="1" applyAlignment="1">
      <alignment vertical="center"/>
    </xf>
    <xf numFmtId="0" fontId="15" fillId="0" borderId="0" xfId="80" applyFont="1" applyAlignment="1">
      <alignment vertical="center"/>
    </xf>
    <xf numFmtId="0" fontId="5" fillId="0" borderId="0" xfId="96" applyFont="1" applyAlignment="1">
      <alignment vertical="center"/>
    </xf>
    <xf numFmtId="0" fontId="16" fillId="0" borderId="0" xfId="67" applyFont="1" applyAlignment="1">
      <alignment vertical="center"/>
    </xf>
    <xf numFmtId="0" fontId="17" fillId="0" borderId="0" xfId="6" applyFont="1" applyAlignment="1">
      <alignment horizontal="right" vertical="center"/>
    </xf>
    <xf numFmtId="0" fontId="18" fillId="0" borderId="0" xfId="80" applyFont="1" applyAlignment="1">
      <alignment vertical="center"/>
    </xf>
    <xf numFmtId="0" fontId="19" fillId="0" borderId="0" xfId="67" applyFont="1" applyAlignment="1">
      <alignment vertical="center"/>
    </xf>
    <xf numFmtId="0" fontId="16" fillId="0" borderId="0" xfId="67" applyFont="1" applyAlignment="1">
      <alignment horizontal="right" vertical="center"/>
    </xf>
    <xf numFmtId="0" fontId="16" fillId="0" borderId="0" xfId="80" applyFont="1" applyAlignment="1">
      <alignment vertical="center"/>
    </xf>
    <xf numFmtId="0" fontId="11" fillId="0" borderId="0" xfId="68" applyFont="1" applyAlignment="1">
      <alignment horizontal="right" vertical="center"/>
    </xf>
    <xf numFmtId="0" fontId="8" fillId="0" borderId="1" xfId="80" applyFont="1" applyBorder="1" applyAlignment="1">
      <alignment vertical="top" wrapText="1"/>
    </xf>
    <xf numFmtId="0" fontId="8" fillId="0" borderId="2" xfId="80" applyFont="1" applyBorder="1" applyAlignment="1">
      <alignment vertical="top" wrapText="1"/>
    </xf>
    <xf numFmtId="0" fontId="8" fillId="0" borderId="3" xfId="80" applyFont="1" applyBorder="1" applyAlignment="1">
      <alignment vertical="top" wrapText="1"/>
    </xf>
    <xf numFmtId="0" fontId="8" fillId="0" borderId="0" xfId="80" applyFont="1" applyAlignment="1">
      <alignment vertical="top" wrapText="1"/>
    </xf>
    <xf numFmtId="0" fontId="8" fillId="0" borderId="4" xfId="80" applyFont="1" applyBorder="1" applyAlignment="1">
      <alignment vertical="center"/>
    </xf>
    <xf numFmtId="0" fontId="20" fillId="0" borderId="0" xfId="80" applyFont="1" applyAlignment="1">
      <alignment vertical="center"/>
    </xf>
    <xf numFmtId="0" fontId="8" fillId="0" borderId="0" xfId="67" applyFont="1" applyAlignment="1">
      <alignment vertical="center"/>
    </xf>
    <xf numFmtId="0" fontId="8" fillId="0" borderId="6" xfId="67" applyFont="1" applyBorder="1" applyAlignment="1">
      <alignment vertical="center"/>
    </xf>
    <xf numFmtId="0" fontId="21" fillId="0" borderId="0" xfId="68" applyFont="1" applyAlignment="1">
      <alignment vertical="center"/>
    </xf>
    <xf numFmtId="0" fontId="8" fillId="0" borderId="0" xfId="80" applyFont="1" applyAlignment="1">
      <alignment vertical="center"/>
    </xf>
    <xf numFmtId="0" fontId="8" fillId="0" borderId="6" xfId="80" applyFont="1" applyBorder="1" applyAlignment="1">
      <alignment vertical="center"/>
    </xf>
    <xf numFmtId="0" fontId="18" fillId="0" borderId="4" xfId="80" applyFont="1" applyBorder="1" applyAlignment="1">
      <alignment vertical="center"/>
    </xf>
    <xf numFmtId="0" fontId="8" fillId="0" borderId="8" xfId="80" applyFont="1" applyBorder="1" applyAlignment="1">
      <alignment vertical="center" wrapText="1"/>
    </xf>
    <xf numFmtId="0" fontId="8" fillId="0" borderId="9" xfId="80" applyFont="1" applyBorder="1" applyAlignment="1">
      <alignment vertical="center" wrapText="1"/>
    </xf>
    <xf numFmtId="0" fontId="8" fillId="0" borderId="10" xfId="80" applyFont="1" applyBorder="1" applyAlignment="1">
      <alignment vertical="center" wrapText="1"/>
    </xf>
    <xf numFmtId="0" fontId="1" fillId="0" borderId="0" xfId="80" applyFont="1" applyAlignment="1">
      <alignment vertical="center" wrapText="1"/>
    </xf>
    <xf numFmtId="0" fontId="11" fillId="0" borderId="0" xfId="80" applyFont="1" applyAlignment="1">
      <alignment vertical="center"/>
    </xf>
    <xf numFmtId="0" fontId="8" fillId="0" borderId="11" xfId="80" applyFont="1" applyBorder="1" applyAlignment="1">
      <alignment vertical="top" wrapText="1"/>
    </xf>
    <xf numFmtId="0" fontId="8" fillId="0" borderId="12" xfId="80" applyFont="1" applyBorder="1" applyAlignment="1">
      <alignment vertical="top"/>
    </xf>
    <xf numFmtId="0" fontId="8" fillId="0" borderId="13" xfId="80" applyFont="1" applyBorder="1" applyAlignment="1">
      <alignment vertical="top"/>
    </xf>
    <xf numFmtId="181" fontId="1" fillId="0" borderId="0" xfId="68" applyNumberFormat="1" applyFont="1" applyAlignment="1">
      <alignment vertical="center"/>
    </xf>
    <xf numFmtId="0" fontId="3" fillId="0" borderId="0" xfId="68" applyFont="1" applyAlignment="1">
      <alignment horizontal="right" vertical="center"/>
    </xf>
    <xf numFmtId="0" fontId="6" fillId="2" borderId="0" xfId="94" applyFont="1" applyFill="1">
      <alignment vertical="center"/>
      <protection locked="0"/>
    </xf>
    <xf numFmtId="0" fontId="6" fillId="2" borderId="0" xfId="94" applyFont="1" applyFill="1" applyAlignment="1">
      <alignment vertical="center" wrapText="1"/>
      <protection locked="0"/>
    </xf>
    <xf numFmtId="181" fontId="6" fillId="2" borderId="0" xfId="94" applyNumberFormat="1" applyFont="1" applyFill="1" applyAlignment="1">
      <alignment vertical="center" wrapText="1"/>
      <protection locked="0"/>
    </xf>
    <xf numFmtId="0" fontId="6" fillId="6" borderId="14" xfId="94" applyFont="1" applyFill="1" applyBorder="1" applyAlignment="1">
      <alignment horizontal="justify" vertical="center" wrapText="1"/>
      <protection locked="0"/>
    </xf>
    <xf numFmtId="181" fontId="22" fillId="6" borderId="15" xfId="101" applyNumberFormat="1" applyFont="1" applyFill="1" applyBorder="1" applyAlignment="1">
      <alignment horizontal="right" vertical="center" wrapText="1"/>
    </xf>
    <xf numFmtId="181" fontId="6" fillId="6" borderId="15" xfId="101" applyNumberFormat="1" applyFont="1" applyFill="1" applyBorder="1" applyAlignment="1">
      <alignment horizontal="right" vertical="center" wrapText="1"/>
    </xf>
    <xf numFmtId="0" fontId="23" fillId="6" borderId="16" xfId="94" applyFont="1" applyFill="1" applyBorder="1" applyAlignment="1">
      <alignment horizontal="right" vertical="center"/>
      <protection locked="0"/>
    </xf>
    <xf numFmtId="10" fontId="24" fillId="0" borderId="0" xfId="68" applyNumberFormat="1" applyFont="1" applyAlignment="1">
      <alignment horizontal="center" vertical="center"/>
    </xf>
    <xf numFmtId="0" fontId="24" fillId="0" borderId="0" xfId="68" applyFont="1" applyAlignment="1">
      <alignment vertical="center"/>
    </xf>
    <xf numFmtId="176" fontId="6" fillId="2" borderId="17" xfId="1" applyFont="1" applyFill="1" applyBorder="1" applyAlignment="1" applyProtection="1">
      <alignment horizontal="justify" vertical="center" wrapText="1"/>
      <protection locked="0"/>
    </xf>
    <xf numFmtId="176" fontId="6" fillId="2" borderId="5" xfId="1" applyFont="1" applyFill="1" applyBorder="1" applyAlignment="1" applyProtection="1">
      <alignment horizontal="right" vertical="center"/>
      <protection locked="0"/>
    </xf>
    <xf numFmtId="176" fontId="1" fillId="0" borderId="5" xfId="1" applyFont="1" applyFill="1" applyBorder="1" applyAlignment="1">
      <alignment horizontal="right" vertical="center" shrinkToFit="1"/>
    </xf>
    <xf numFmtId="176" fontId="1" fillId="0" borderId="5" xfId="1" applyFont="1" applyFill="1" applyBorder="1" applyAlignment="1" applyProtection="1">
      <alignment horizontal="right" vertical="center" shrinkToFit="1"/>
      <protection locked="0"/>
    </xf>
    <xf numFmtId="176" fontId="6" fillId="2" borderId="18" xfId="1" applyFont="1" applyFill="1" applyBorder="1">
      <alignment vertical="center"/>
    </xf>
    <xf numFmtId="176" fontId="8" fillId="0" borderId="0" xfId="68" applyNumberFormat="1" applyFont="1" applyAlignment="1">
      <alignment vertical="center"/>
    </xf>
    <xf numFmtId="176" fontId="6" fillId="2" borderId="5" xfId="1" applyFont="1" applyFill="1" applyBorder="1" applyAlignment="1" applyProtection="1">
      <alignment horizontal="right"/>
      <protection locked="0"/>
    </xf>
    <xf numFmtId="181" fontId="21" fillId="0" borderId="0" xfId="68" applyNumberFormat="1" applyFont="1" applyAlignment="1">
      <alignment vertical="center"/>
    </xf>
    <xf numFmtId="176" fontId="22" fillId="2" borderId="17" xfId="1" applyFont="1" applyFill="1" applyBorder="1" applyAlignment="1" applyProtection="1">
      <alignment horizontal="justify" vertical="center" wrapText="1"/>
      <protection locked="0"/>
    </xf>
    <xf numFmtId="0" fontId="8" fillId="0" borderId="0" xfId="68" applyFont="1" applyAlignment="1">
      <alignment vertical="center"/>
    </xf>
    <xf numFmtId="176" fontId="6" fillId="2" borderId="17" xfId="1" applyFont="1" applyFill="1" applyBorder="1" applyProtection="1">
      <alignment vertical="center"/>
      <protection locked="0"/>
    </xf>
    <xf numFmtId="176" fontId="6" fillId="2" borderId="5" xfId="1" applyFont="1" applyFill="1" applyBorder="1">
      <alignment vertical="center"/>
    </xf>
    <xf numFmtId="176" fontId="6" fillId="7" borderId="19" xfId="1" applyFont="1" applyFill="1" applyBorder="1" applyAlignment="1" applyProtection="1">
      <alignment horizontal="center" vertical="center"/>
      <protection locked="0"/>
    </xf>
    <xf numFmtId="176" fontId="6" fillId="7" borderId="20" xfId="1" applyFont="1" applyFill="1" applyBorder="1" applyAlignment="1" applyProtection="1">
      <alignment horizontal="center" vertical="center"/>
      <protection locked="0"/>
    </xf>
    <xf numFmtId="176" fontId="6" fillId="7" borderId="21" xfId="1" applyFont="1" applyFill="1" applyBorder="1" applyAlignment="1" applyProtection="1">
      <alignment horizontal="center" vertical="center"/>
      <protection locked="0"/>
    </xf>
    <xf numFmtId="176" fontId="6" fillId="0" borderId="17" xfId="1" applyFont="1" applyBorder="1" applyProtection="1">
      <alignment vertical="center"/>
      <protection locked="0"/>
    </xf>
    <xf numFmtId="176" fontId="6" fillId="0" borderId="5" xfId="1" applyFont="1" applyFill="1" applyBorder="1">
      <alignment vertical="center"/>
    </xf>
    <xf numFmtId="176" fontId="6" fillId="0" borderId="18" xfId="1" applyFont="1" applyFill="1" applyBorder="1">
      <alignment vertical="center"/>
    </xf>
    <xf numFmtId="176" fontId="6" fillId="2" borderId="17" xfId="1" applyFont="1" applyFill="1" applyBorder="1" applyAlignment="1" applyProtection="1">
      <alignment horizontal="left" vertical="center" wrapText="1"/>
      <protection locked="0"/>
    </xf>
    <xf numFmtId="176" fontId="6" fillId="2" borderId="5" xfId="1" applyFont="1" applyFill="1" applyBorder="1" applyAlignment="1">
      <alignment horizontal="right" vertical="center" wrapText="1"/>
    </xf>
    <xf numFmtId="176" fontId="6" fillId="2" borderId="5" xfId="1" applyFont="1" applyFill="1" applyBorder="1" applyAlignment="1">
      <alignment horizontal="left" vertical="center" wrapText="1"/>
    </xf>
    <xf numFmtId="176" fontId="6" fillId="2" borderId="5" xfId="1" applyFont="1" applyFill="1" applyBorder="1" applyAlignment="1"/>
    <xf numFmtId="176" fontId="6" fillId="2" borderId="5" xfId="1" applyFont="1" applyFill="1" applyBorder="1" applyAlignment="1" applyProtection="1">
      <protection locked="0"/>
    </xf>
    <xf numFmtId="176" fontId="6" fillId="0" borderId="5" xfId="1" applyFont="1" applyFill="1" applyBorder="1" applyAlignment="1">
      <alignment horizontal="left" vertical="center" wrapText="1"/>
    </xf>
    <xf numFmtId="176" fontId="6" fillId="0" borderId="18" xfId="1" applyFont="1" applyFill="1" applyBorder="1" applyAlignment="1">
      <alignment horizontal="left" vertical="center" wrapText="1"/>
    </xf>
    <xf numFmtId="176" fontId="6" fillId="0" borderId="22" xfId="1" applyFont="1" applyBorder="1" applyAlignment="1" applyProtection="1">
      <alignment horizontal="left"/>
      <protection locked="0"/>
    </xf>
    <xf numFmtId="176" fontId="6" fillId="0" borderId="23" xfId="1" applyFont="1" applyBorder="1" applyAlignment="1" applyProtection="1">
      <alignment horizontal="right" vertical="center"/>
      <protection locked="0"/>
    </xf>
    <xf numFmtId="176" fontId="6" fillId="0" borderId="24" xfId="1" applyFont="1" applyBorder="1" applyAlignment="1" applyProtection="1">
      <alignment horizontal="right" vertical="center"/>
      <protection locked="0"/>
    </xf>
    <xf numFmtId="0" fontId="3" fillId="0" borderId="0" xfId="80" applyFont="1" applyAlignment="1">
      <alignment vertical="center"/>
    </xf>
    <xf numFmtId="10" fontId="3" fillId="0" borderId="0" xfId="68" applyNumberFormat="1" applyFont="1" applyAlignment="1">
      <alignment vertical="center"/>
    </xf>
    <xf numFmtId="0" fontId="1" fillId="0" borderId="0" xfId="76" applyFont="1" applyAlignment="1" applyProtection="1">
      <protection locked="0"/>
    </xf>
    <xf numFmtId="176" fontId="1" fillId="0" borderId="0" xfId="68" applyNumberFormat="1" applyFont="1" applyAlignment="1">
      <alignment vertical="center"/>
    </xf>
    <xf numFmtId="176" fontId="21" fillId="0" borderId="0" xfId="68" applyNumberFormat="1" applyFont="1" applyAlignment="1">
      <alignment vertical="center"/>
    </xf>
    <xf numFmtId="0" fontId="19" fillId="0" borderId="0" xfId="94" applyFont="1" applyAlignment="1">
      <alignment horizontal="right" vertical="top"/>
      <protection locked="0"/>
    </xf>
    <xf numFmtId="0" fontId="1" fillId="0" borderId="0" xfId="94" applyFont="1" applyAlignment="1">
      <alignment horizontal="center" vertical="center" wrapText="1"/>
      <protection locked="0"/>
    </xf>
    <xf numFmtId="0" fontId="25" fillId="0" borderId="0" xfId="94" applyFont="1" applyAlignment="1">
      <alignment horizontal="center" vertical="center" wrapText="1"/>
      <protection locked="0"/>
    </xf>
    <xf numFmtId="0" fontId="6" fillId="0" borderId="0" xfId="94" applyFont="1">
      <alignment vertical="center"/>
      <protection locked="0"/>
    </xf>
    <xf numFmtId="0" fontId="6" fillId="0" borderId="0" xfId="94" applyFont="1" applyAlignment="1">
      <alignment horizontal="right" vertical="center"/>
      <protection locked="0"/>
    </xf>
    <xf numFmtId="176" fontId="1" fillId="0" borderId="0" xfId="101" applyFont="1" applyAlignment="1" applyProtection="1">
      <alignment horizontal="center" vertical="center" wrapText="1"/>
      <protection locked="0"/>
    </xf>
    <xf numFmtId="181" fontId="25" fillId="0" borderId="0" xfId="94" applyNumberFormat="1" applyFont="1" applyAlignment="1">
      <alignment horizontal="center" vertical="center" wrapText="1"/>
      <protection locked="0"/>
    </xf>
    <xf numFmtId="0" fontId="26" fillId="0" borderId="0" xfId="68" applyFont="1" applyAlignment="1">
      <alignment horizontal="left"/>
    </xf>
    <xf numFmtId="181" fontId="1" fillId="0" borderId="0" xfId="94" applyNumberFormat="1" applyFont="1" applyAlignment="1">
      <alignment horizontal="center" vertical="center" wrapText="1"/>
      <protection locked="0"/>
    </xf>
    <xf numFmtId="10" fontId="8" fillId="0" borderId="0" xfId="68" applyNumberFormat="1" applyFont="1" applyAlignment="1">
      <alignment vertical="center" wrapText="1"/>
    </xf>
    <xf numFmtId="176" fontId="25" fillId="0" borderId="0" xfId="94" applyNumberFormat="1" applyFont="1" applyAlignment="1">
      <alignment horizontal="center" vertical="center" wrapText="1"/>
      <protection locked="0"/>
    </xf>
    <xf numFmtId="176" fontId="6" fillId="0" borderId="0" xfId="94" applyNumberFormat="1" applyFont="1">
      <alignment vertical="center"/>
      <protection locked="0"/>
    </xf>
    <xf numFmtId="0" fontId="16" fillId="0" borderId="0" xfId="68" applyFont="1" applyAlignment="1">
      <alignment vertical="center"/>
    </xf>
    <xf numFmtId="0" fontId="19" fillId="0" borderId="0" xfId="68" applyFont="1" applyAlignment="1">
      <alignment vertical="center"/>
    </xf>
    <xf numFmtId="10" fontId="8" fillId="0" borderId="0" xfId="68" applyNumberFormat="1" applyFont="1" applyAlignment="1">
      <alignment vertical="center"/>
    </xf>
    <xf numFmtId="0" fontId="5" fillId="0" borderId="0" xfId="96" applyFont="1" applyAlignment="1" applyProtection="1">
      <alignment horizontal="right" vertical="center"/>
      <protection locked="0"/>
    </xf>
    <xf numFmtId="14" fontId="8" fillId="0" borderId="0" xfId="68" applyNumberFormat="1" applyFont="1" applyAlignment="1">
      <alignment vertical="center"/>
    </xf>
    <xf numFmtId="0" fontId="8" fillId="0" borderId="0" xfId="68" applyFont="1" applyAlignment="1">
      <alignment horizontal="left" vertical="top" wrapText="1"/>
    </xf>
    <xf numFmtId="0" fontId="8" fillId="0" borderId="0" xfId="68" applyFont="1" applyAlignment="1">
      <alignment horizontal="left" vertical="top"/>
    </xf>
    <xf numFmtId="0" fontId="22" fillId="2" borderId="14" xfId="0" applyFont="1" applyFill="1" applyBorder="1">
      <alignment vertical="center"/>
      <protection locked="0"/>
    </xf>
    <xf numFmtId="0" fontId="22" fillId="2" borderId="15" xfId="0" applyFont="1" applyFill="1" applyBorder="1">
      <alignment vertical="center"/>
      <protection locked="0"/>
    </xf>
    <xf numFmtId="0" fontId="22" fillId="2" borderId="16" xfId="0" applyFont="1" applyFill="1" applyBorder="1">
      <alignment vertical="center"/>
      <protection locked="0"/>
    </xf>
    <xf numFmtId="0" fontId="8" fillId="2" borderId="22" xfId="0" applyFont="1" applyFill="1" applyBorder="1">
      <alignment vertical="center"/>
      <protection locked="0"/>
    </xf>
    <xf numFmtId="0" fontId="8" fillId="2" borderId="23" xfId="0" applyFont="1" applyFill="1" applyBorder="1">
      <alignment vertical="center"/>
      <protection locked="0"/>
    </xf>
    <xf numFmtId="181" fontId="8" fillId="2" borderId="23" xfId="0" applyNumberFormat="1" applyFont="1" applyFill="1" applyBorder="1">
      <alignment vertical="center"/>
      <protection locked="0"/>
    </xf>
    <xf numFmtId="0" fontId="8" fillId="2" borderId="23" xfId="0" applyFont="1" applyFill="1" applyBorder="1" applyAlignment="1">
      <alignment vertical="center" wrapText="1"/>
      <protection locked="0"/>
    </xf>
    <xf numFmtId="0" fontId="8" fillId="2" borderId="24" xfId="0" applyFont="1" applyFill="1" applyBorder="1">
      <alignment vertical="center"/>
      <protection locked="0"/>
    </xf>
    <xf numFmtId="0" fontId="19" fillId="0" borderId="0" xfId="94" applyFont="1" applyAlignment="1">
      <alignment horizontal="left" vertical="top"/>
      <protection locked="0"/>
    </xf>
    <xf numFmtId="0" fontId="1" fillId="0" borderId="0" xfId="68" applyFont="1" applyAlignment="1">
      <alignment vertical="top" wrapText="1"/>
    </xf>
    <xf numFmtId="0" fontId="27" fillId="0" borderId="0" xfId="80" applyFont="1" applyAlignment="1">
      <alignment vertical="center"/>
    </xf>
    <xf numFmtId="0" fontId="28" fillId="8" borderId="0" xfId="94" applyFont="1" applyFill="1">
      <alignment vertical="center"/>
      <protection locked="0"/>
    </xf>
    <xf numFmtId="0" fontId="29" fillId="0" borderId="0" xfId="94" applyFont="1" applyAlignment="1" applyProtection="1">
      <alignment vertical="top" wrapText="1"/>
      <protection hidden="1"/>
    </xf>
    <xf numFmtId="0" fontId="1" fillId="0" borderId="0" xfId="67" applyFont="1" applyAlignment="1">
      <alignment vertical="center"/>
    </xf>
    <xf numFmtId="0" fontId="11" fillId="0" borderId="0" xfId="67" applyFont="1" applyAlignment="1">
      <alignment vertical="center"/>
    </xf>
    <xf numFmtId="0" fontId="1" fillId="0" borderId="0" xfId="67" applyFont="1" applyAlignment="1">
      <alignment horizontal="center" vertical="center"/>
    </xf>
    <xf numFmtId="0" fontId="6" fillId="0" borderId="0" xfId="64" applyFont="1" applyAlignment="1">
      <alignment vertical="center"/>
    </xf>
    <xf numFmtId="0" fontId="3" fillId="0" borderId="0" xfId="64" applyFont="1" applyAlignment="1" applyProtection="1">
      <alignment vertical="center"/>
      <protection locked="0"/>
    </xf>
    <xf numFmtId="0" fontId="6" fillId="0" borderId="0" xfId="64" applyFont="1" applyAlignment="1" applyProtection="1">
      <alignment vertical="center"/>
      <protection locked="0"/>
    </xf>
    <xf numFmtId="176" fontId="6" fillId="0" borderId="0" xfId="53" applyFont="1" applyAlignment="1" applyProtection="1">
      <alignment vertical="center"/>
      <protection locked="0"/>
    </xf>
    <xf numFmtId="176" fontId="6" fillId="0" borderId="0" xfId="64" applyNumberFormat="1" applyFont="1" applyAlignment="1" applyProtection="1">
      <alignment vertical="center"/>
      <protection locked="0"/>
    </xf>
    <xf numFmtId="0" fontId="3" fillId="0" borderId="0" xfId="67" applyFont="1" applyAlignment="1">
      <alignment vertical="center"/>
    </xf>
    <xf numFmtId="0" fontId="5" fillId="0" borderId="0" xfId="6" applyFont="1" applyAlignment="1">
      <alignment vertical="center"/>
    </xf>
    <xf numFmtId="0" fontId="11" fillId="0" borderId="0" xfId="67" applyFont="1" applyAlignment="1">
      <alignment horizontal="center" vertical="center"/>
    </xf>
    <xf numFmtId="0" fontId="3" fillId="0" borderId="0" xfId="67" applyFont="1" applyAlignment="1">
      <alignment horizontal="center" vertical="center"/>
    </xf>
    <xf numFmtId="181" fontId="3" fillId="0" borderId="0" xfId="67" applyNumberFormat="1" applyFont="1" applyAlignment="1">
      <alignment horizontal="center" vertical="center"/>
    </xf>
    <xf numFmtId="181" fontId="11" fillId="0" borderId="0" xfId="67" applyNumberFormat="1" applyFont="1" applyAlignment="1">
      <alignment horizontal="center" vertical="center"/>
    </xf>
    <xf numFmtId="0" fontId="30" fillId="9" borderId="0" xfId="67" applyFont="1" applyFill="1" applyAlignment="1" applyProtection="1">
      <alignment vertical="center"/>
      <protection locked="0"/>
    </xf>
    <xf numFmtId="0" fontId="31" fillId="0" borderId="0" xfId="93" applyFont="1" applyProtection="1">
      <protection locked="0"/>
    </xf>
    <xf numFmtId="0" fontId="11" fillId="0" borderId="25" xfId="67" applyFont="1" applyBorder="1" applyAlignment="1">
      <alignment vertical="center"/>
    </xf>
    <xf numFmtId="0" fontId="11" fillId="0" borderId="26" xfId="67" applyFont="1" applyBorder="1" applyAlignment="1">
      <alignment horizontal="left" vertical="center"/>
    </xf>
    <xf numFmtId="0" fontId="11" fillId="0" borderId="27" xfId="67" applyFont="1" applyBorder="1" applyAlignment="1">
      <alignment horizontal="center" vertical="center"/>
    </xf>
    <xf numFmtId="181" fontId="11" fillId="0" borderId="20" xfId="67" applyNumberFormat="1" applyFont="1" applyBorder="1" applyAlignment="1">
      <alignment horizontal="center" vertical="center"/>
    </xf>
    <xf numFmtId="0" fontId="11" fillId="0" borderId="28" xfId="67" applyFont="1" applyBorder="1" applyAlignment="1">
      <alignment horizontal="center" vertical="center"/>
    </xf>
    <xf numFmtId="181" fontId="11" fillId="0" borderId="5" xfId="67" applyNumberFormat="1" applyFont="1" applyBorder="1" applyAlignment="1">
      <alignment horizontal="center" vertical="center"/>
    </xf>
    <xf numFmtId="0" fontId="11" fillId="0" borderId="20" xfId="67" applyFont="1" applyBorder="1" applyAlignment="1">
      <alignment horizontal="center" vertical="center"/>
    </xf>
    <xf numFmtId="0" fontId="23" fillId="0" borderId="0" xfId="64" applyFont="1" applyAlignment="1">
      <alignment vertical="center"/>
    </xf>
    <xf numFmtId="0" fontId="32" fillId="9" borderId="0" xfId="67" applyFont="1" applyFill="1" applyAlignment="1" applyProtection="1">
      <alignment vertical="center"/>
      <protection locked="0"/>
    </xf>
    <xf numFmtId="0" fontId="22" fillId="0" borderId="0" xfId="93" applyFont="1" applyProtection="1">
      <protection locked="0"/>
    </xf>
    <xf numFmtId="0" fontId="1" fillId="0" borderId="29" xfId="67" applyFont="1" applyBorder="1" applyAlignment="1">
      <alignment vertical="center"/>
    </xf>
    <xf numFmtId="0" fontId="1" fillId="0" borderId="30" xfId="67" applyFont="1" applyBorder="1" applyAlignment="1">
      <alignment horizontal="left"/>
    </xf>
    <xf numFmtId="0" fontId="1" fillId="0" borderId="5" xfId="67" applyFont="1" applyBorder="1" applyAlignment="1">
      <alignment horizontal="center" vertical="center" wrapText="1"/>
    </xf>
    <xf numFmtId="0" fontId="1" fillId="10" borderId="5" xfId="67" applyFont="1" applyFill="1" applyBorder="1" applyAlignment="1">
      <alignment horizontal="center" vertical="center"/>
    </xf>
    <xf numFmtId="0" fontId="3" fillId="0" borderId="0" xfId="67" applyFont="1" applyAlignment="1">
      <alignment horizontal="center" vertical="center" wrapText="1"/>
    </xf>
    <xf numFmtId="0" fontId="3" fillId="0" borderId="0" xfId="64" applyFont="1" applyAlignment="1">
      <alignment vertical="center"/>
    </xf>
    <xf numFmtId="0" fontId="1" fillId="0" borderId="31" xfId="67" applyFont="1" applyBorder="1" applyAlignment="1">
      <alignment vertical="center" wrapText="1"/>
    </xf>
    <xf numFmtId="182" fontId="11" fillId="0" borderId="5" xfId="67" applyNumberFormat="1" applyFont="1" applyBorder="1" applyAlignment="1">
      <alignment horizontal="left" vertical="center" wrapText="1"/>
    </xf>
    <xf numFmtId="176" fontId="1" fillId="0" borderId="5" xfId="53" applyFont="1" applyFill="1" applyBorder="1" applyAlignment="1">
      <alignment horizontal="right" vertical="center" shrinkToFit="1"/>
    </xf>
    <xf numFmtId="183" fontId="1" fillId="0" borderId="5" xfId="53" applyNumberFormat="1" applyFont="1" applyFill="1" applyBorder="1" applyAlignment="1">
      <alignment horizontal="right" shrinkToFit="1"/>
    </xf>
    <xf numFmtId="4" fontId="33" fillId="11" borderId="32" xfId="0" applyNumberFormat="1" applyFont="1" applyFill="1" applyBorder="1" applyAlignment="1" applyProtection="1">
      <alignment horizontal="right" vertical="center"/>
    </xf>
    <xf numFmtId="183" fontId="1" fillId="0" borderId="0" xfId="53" applyNumberFormat="1" applyFont="1" applyFill="1" applyBorder="1" applyAlignment="1">
      <alignment horizontal="right" shrinkToFit="1"/>
    </xf>
    <xf numFmtId="183" fontId="6" fillId="0" borderId="0" xfId="64" applyNumberFormat="1" applyFont="1" applyAlignment="1">
      <alignment horizontal="right"/>
    </xf>
    <xf numFmtId="0" fontId="11" fillId="0" borderId="7" xfId="67" applyFont="1" applyBorder="1" applyAlignment="1">
      <alignment vertical="center" wrapText="1"/>
    </xf>
    <xf numFmtId="0" fontId="1" fillId="0" borderId="5" xfId="67" applyFont="1" applyBorder="1" applyAlignment="1">
      <alignment horizontal="left" vertical="center"/>
    </xf>
    <xf numFmtId="183" fontId="1" fillId="0" borderId="0" xfId="67" applyNumberFormat="1" applyFont="1" applyAlignment="1">
      <alignment horizontal="right"/>
    </xf>
    <xf numFmtId="0" fontId="11" fillId="0" borderId="7" xfId="67" applyFont="1" applyBorder="1" applyAlignment="1">
      <alignment horizontal="center" vertical="center" wrapText="1"/>
    </xf>
    <xf numFmtId="0" fontId="8" fillId="0" borderId="0" xfId="90" applyFont="1" applyAlignment="1">
      <alignment vertical="center"/>
    </xf>
    <xf numFmtId="0" fontId="11" fillId="0" borderId="33" xfId="67" applyFont="1" applyBorder="1" applyAlignment="1">
      <alignment vertical="center" wrapText="1"/>
    </xf>
    <xf numFmtId="0" fontId="11" fillId="0" borderId="5" xfId="67" applyFont="1" applyBorder="1" applyAlignment="1">
      <alignment horizontal="left" vertical="center" wrapText="1"/>
    </xf>
    <xf numFmtId="183" fontId="11" fillId="0" borderId="5" xfId="53" applyNumberFormat="1" applyFont="1" applyFill="1" applyBorder="1" applyAlignment="1">
      <alignment horizontal="right" shrinkToFit="1"/>
    </xf>
    <xf numFmtId="0" fontId="11" fillId="0" borderId="31" xfId="67" applyFont="1" applyBorder="1" applyAlignment="1">
      <alignment vertical="center" wrapText="1"/>
    </xf>
    <xf numFmtId="0" fontId="34" fillId="0" borderId="0" xfId="6" applyAlignment="1">
      <alignment vertical="center"/>
    </xf>
    <xf numFmtId="4" fontId="33" fillId="8" borderId="32" xfId="0" applyNumberFormat="1" applyFont="1" applyFill="1" applyBorder="1" applyAlignment="1" applyProtection="1">
      <alignment horizontal="right" vertical="center"/>
    </xf>
    <xf numFmtId="0" fontId="11" fillId="0" borderId="31" xfId="67" applyFont="1" applyBorder="1" applyAlignment="1">
      <alignment horizontal="center" vertical="center" wrapText="1"/>
    </xf>
    <xf numFmtId="183" fontId="1" fillId="0" borderId="31" xfId="53" applyNumberFormat="1" applyFont="1" applyFill="1" applyBorder="1" applyAlignment="1">
      <alignment horizontal="right" shrinkToFit="1"/>
    </xf>
    <xf numFmtId="0" fontId="11" fillId="0" borderId="28" xfId="67" applyFont="1" applyBorder="1" applyAlignment="1">
      <alignment horizontal="left" vertical="center" wrapText="1"/>
    </xf>
    <xf numFmtId="183" fontId="11" fillId="0" borderId="27" xfId="53" applyNumberFormat="1" applyFont="1" applyFill="1" applyBorder="1" applyAlignment="1" applyProtection="1">
      <alignment horizontal="right" shrinkToFit="1"/>
    </xf>
    <xf numFmtId="183" fontId="11" fillId="0" borderId="5" xfId="53" applyNumberFormat="1" applyFont="1" applyFill="1" applyBorder="1" applyAlignment="1" applyProtection="1">
      <alignment horizontal="right" shrinkToFit="1"/>
    </xf>
    <xf numFmtId="183" fontId="11" fillId="0" borderId="28" xfId="53" applyNumberFormat="1" applyFont="1" applyFill="1" applyBorder="1" applyAlignment="1" applyProtection="1">
      <alignment horizontal="right" shrinkToFit="1"/>
    </xf>
    <xf numFmtId="183" fontId="1" fillId="0" borderId="0" xfId="53" applyNumberFormat="1" applyFont="1" applyFill="1" applyBorder="1" applyAlignment="1" applyProtection="1">
      <alignment horizontal="right" shrinkToFit="1"/>
    </xf>
    <xf numFmtId="0" fontId="1" fillId="0" borderId="0" xfId="67" applyFont="1" applyAlignment="1">
      <alignment horizontal="center" vertical="center" wrapText="1"/>
    </xf>
    <xf numFmtId="0" fontId="1" fillId="0" borderId="0" xfId="67" applyFont="1" applyAlignment="1">
      <alignment horizontal="left" vertical="center" shrinkToFit="1"/>
    </xf>
    <xf numFmtId="10" fontId="1" fillId="0" borderId="0" xfId="87" applyNumberFormat="1" applyFont="1" applyFill="1" applyBorder="1" applyAlignment="1">
      <alignment vertical="center" shrinkToFit="1"/>
    </xf>
    <xf numFmtId="0" fontId="3" fillId="0" borderId="0" xfId="67" applyFont="1" applyAlignment="1">
      <alignment horizontal="left" vertical="center" wrapText="1"/>
    </xf>
    <xf numFmtId="0" fontId="1" fillId="0" borderId="1" xfId="67" applyFont="1" applyBorder="1" applyAlignment="1">
      <alignment horizontal="left" vertical="top" wrapText="1"/>
    </xf>
    <xf numFmtId="0" fontId="1" fillId="0" borderId="2" xfId="67" applyFont="1" applyBorder="1" applyAlignment="1">
      <alignment horizontal="left" vertical="top" wrapText="1"/>
    </xf>
    <xf numFmtId="0" fontId="1" fillId="0" borderId="3" xfId="67" applyFont="1" applyBorder="1" applyAlignment="1">
      <alignment horizontal="left" vertical="top" wrapText="1"/>
    </xf>
    <xf numFmtId="0" fontId="1" fillId="0" borderId="4" xfId="67" applyFont="1" applyBorder="1" applyAlignment="1">
      <alignment horizontal="left" vertical="top" wrapText="1"/>
    </xf>
    <xf numFmtId="0" fontId="1" fillId="0" borderId="0" xfId="67" applyFont="1" applyAlignment="1">
      <alignment horizontal="left" vertical="top" wrapText="1"/>
    </xf>
    <xf numFmtId="0" fontId="1" fillId="0" borderId="6" xfId="67" applyFont="1" applyBorder="1" applyAlignment="1">
      <alignment horizontal="left" vertical="top" wrapText="1"/>
    </xf>
    <xf numFmtId="0" fontId="1" fillId="0" borderId="8" xfId="67" applyFont="1" applyBorder="1" applyAlignment="1">
      <alignment horizontal="left" vertical="top" wrapText="1"/>
    </xf>
    <xf numFmtId="0" fontId="1" fillId="0" borderId="9" xfId="67" applyFont="1" applyBorder="1" applyAlignment="1">
      <alignment horizontal="left" vertical="top" wrapText="1"/>
    </xf>
    <xf numFmtId="0" fontId="1" fillId="0" borderId="10" xfId="67" applyFont="1" applyBorder="1" applyAlignment="1">
      <alignment horizontal="left" vertical="top" wrapText="1"/>
    </xf>
    <xf numFmtId="0" fontId="6" fillId="9" borderId="0" xfId="67" applyFont="1" applyFill="1" applyAlignment="1" applyProtection="1">
      <alignment vertical="center"/>
      <protection locked="0"/>
    </xf>
    <xf numFmtId="0" fontId="6" fillId="0" borderId="0" xfId="64" applyFont="1" applyAlignment="1" applyProtection="1">
      <alignment horizontal="left" vertical="center"/>
      <protection locked="0"/>
    </xf>
    <xf numFmtId="0" fontId="6" fillId="2" borderId="0" xfId="67" applyFont="1" applyFill="1" applyAlignment="1">
      <alignment vertical="center"/>
    </xf>
    <xf numFmtId="0" fontId="6" fillId="2" borderId="0" xfId="67" applyFont="1" applyFill="1" applyAlignment="1">
      <alignment horizontal="left" vertical="center"/>
    </xf>
    <xf numFmtId="10" fontId="6" fillId="2" borderId="0" xfId="67" applyNumberFormat="1" applyFont="1" applyFill="1" applyAlignment="1">
      <alignment vertical="center"/>
    </xf>
    <xf numFmtId="49" fontId="35" fillId="2" borderId="0" xfId="67" applyNumberFormat="1" applyFont="1" applyFill="1" applyAlignment="1">
      <alignment vertical="center"/>
    </xf>
    <xf numFmtId="0" fontId="16" fillId="0" borderId="0" xfId="67" applyFont="1" applyAlignment="1" quotePrefix="1">
      <alignment horizontal="right" vertical="center"/>
    </xf>
    <xf numFmtId="0" fontId="11" fillId="0" borderId="0" xfId="68" applyFont="1" applyAlignment="1" quotePrefix="1">
      <alignment horizontal="right" vertical="center"/>
    </xf>
  </cellXfs>
  <cellStyles count="10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omma 10" xfId="49"/>
    <cellStyle name="Comma 16" xfId="50"/>
    <cellStyle name="Comma 2" xfId="51"/>
    <cellStyle name="Comma 2 2" xfId="52"/>
    <cellStyle name="Comma 3" xfId="53"/>
    <cellStyle name="Comma 3 3 4" xfId="54"/>
    <cellStyle name="Comma 3 3 6" xfId="55"/>
    <cellStyle name="Comma 4 4" xfId="56"/>
    <cellStyle name="Comma 4 4 4" xfId="57"/>
    <cellStyle name="Comma 6" xfId="58"/>
    <cellStyle name="Hyperlink 2" xfId="59"/>
    <cellStyle name="Hyperlink 7" xfId="60"/>
    <cellStyle name="Hyperlink 7 2" xfId="61"/>
    <cellStyle name="Normal 10 2 2 2" xfId="62"/>
    <cellStyle name="Normal 10 3" xfId="63"/>
    <cellStyle name="Normal 103" xfId="64"/>
    <cellStyle name="Normal 103 2" xfId="65"/>
    <cellStyle name="Normal 121" xfId="66"/>
    <cellStyle name="Normal 17" xfId="67"/>
    <cellStyle name="Normal 17 2 2" xfId="68"/>
    <cellStyle name="Normal 19" xfId="69"/>
    <cellStyle name="Normal 19 2" xfId="70"/>
    <cellStyle name="Normal 2" xfId="71"/>
    <cellStyle name="Normal 2 11" xfId="72"/>
    <cellStyle name="Normal 2 11 2" xfId="73"/>
    <cellStyle name="Normal 2 2" xfId="74"/>
    <cellStyle name="Normal 2 2 2" xfId="75"/>
    <cellStyle name="Normal 2 2 2 2 4" xfId="76"/>
    <cellStyle name="Normal 2 2 3" xfId="77"/>
    <cellStyle name="Normal 2 2 3 3" xfId="78"/>
    <cellStyle name="Normal 2 2 4" xfId="79"/>
    <cellStyle name="Normal 2 24" xfId="80"/>
    <cellStyle name="Normal 2 3" xfId="81"/>
    <cellStyle name="Normal 2 3 10" xfId="82"/>
    <cellStyle name="Normal 2 3 2" xfId="83"/>
    <cellStyle name="Normal 3" xfId="84"/>
    <cellStyle name="Normal 3 2" xfId="85"/>
    <cellStyle name="Normal 4" xfId="86"/>
    <cellStyle name="Percent 2" xfId="87"/>
    <cellStyle name="百分比 2" xfId="88"/>
    <cellStyle name="百分比 9" xfId="89"/>
    <cellStyle name="常规 10 2" xfId="90"/>
    <cellStyle name="常规 11" xfId="91"/>
    <cellStyle name="常规 2" xfId="92"/>
    <cellStyle name="常规 2 9 2" xfId="93"/>
    <cellStyle name="常规 3" xfId="94"/>
    <cellStyle name="常规 3 2" xfId="95"/>
    <cellStyle name="超链接 3 3" xfId="96"/>
    <cellStyle name="货币 2" xfId="97"/>
    <cellStyle name="千位分隔 10 2" xfId="98"/>
    <cellStyle name="千位分隔 10 3" xfId="99"/>
    <cellStyle name="千位分隔 13" xfId="100"/>
    <cellStyle name="千位分隔 16" xfId="101"/>
    <cellStyle name="千位分隔 2" xfId="102"/>
    <cellStyle name="千位分隔 3" xfId="103"/>
    <cellStyle name="千位分隔 6" xfId="104"/>
  </cellStyles>
  <dxfs count="1">
    <dxf>
      <fill>
        <patternFill patternType="solid">
          <bgColor rgb="FFFFFFCC"/>
        </patternFill>
      </fill>
    </dxf>
  </dxfs>
  <tableStyles count="1" defaultTableStyle="TableStyleMedium2" defaultPivotStyle="PivotStyleLight16">
    <tableStyle name="Invisible" pivot="0" table="0" count="0" xr9:uid="{742C9D95-2771-47C8-AE99-D0E0253A8465}"/>
  </tableStyles>
  <colors>
    <mruColors>
      <color rgb="00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3.xml"/><Relationship Id="rId7" Type="http://schemas.openxmlformats.org/officeDocument/2006/relationships/externalLink" Target="externalLinks/externalLink2.xml"/><Relationship Id="rId6" Type="http://schemas.openxmlformats.org/officeDocument/2006/relationships/externalLink" Target="externalLinks/externalLink1.xml"/><Relationship Id="rId5" Type="http://schemas.openxmlformats.org/officeDocument/2006/relationships/customXml" Target="../customXml/item3.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5</xdr:col>
      <xdr:colOff>47625</xdr:colOff>
      <xdr:row>73</xdr:row>
      <xdr:rowOff>0</xdr:rowOff>
    </xdr:from>
    <xdr:ext cx="190500" cy="163711"/>
    <xdr:pic>
      <xdr:nvPicPr>
        <xdr:cNvPr id="2" name="AlertMaxVarThr" hidden="1"/>
        <xdr:cNvPicPr>
          <a:picLocks noChangeAspect="1"/>
        </xdr:cNvPicPr>
      </xdr:nvPicPr>
      <xdr:blipFill>
        <a:blip r:embed="rId1" cstate="print"/>
        <a:stretch>
          <a:fillRect/>
        </a:stretch>
      </xdr:blipFill>
      <xdr:spPr>
        <a:xfrm>
          <a:off x="5358765" y="17195800"/>
          <a:ext cx="190500" cy="163195"/>
        </a:xfrm>
        <a:prstGeom prst="rect">
          <a:avLst/>
        </a:prstGeom>
      </xdr:spPr>
    </xdr:pic>
    <xdr:clientData/>
  </xdr:oneCellAnchor>
  <xdr:oneCellAnchor>
    <xdr:from>
      <xdr:col>5</xdr:col>
      <xdr:colOff>47625</xdr:colOff>
      <xdr:row>25</xdr:row>
      <xdr:rowOff>0</xdr:rowOff>
    </xdr:from>
    <xdr:ext cx="190500" cy="163711"/>
    <xdr:pic>
      <xdr:nvPicPr>
        <xdr:cNvPr id="3" name="AlertMaxVarThr" hidden="1"/>
        <xdr:cNvPicPr>
          <a:picLocks noChangeAspect="1"/>
        </xdr:cNvPicPr>
      </xdr:nvPicPr>
      <xdr:blipFill>
        <a:blip r:embed="rId1" cstate="print"/>
        <a:stretch>
          <a:fillRect/>
        </a:stretch>
      </xdr:blipFill>
      <xdr:spPr>
        <a:xfrm>
          <a:off x="5358765" y="7578725"/>
          <a:ext cx="190500" cy="163195"/>
        </a:xfrm>
        <a:prstGeom prst="rect">
          <a:avLst/>
        </a:prstGeom>
      </xdr:spPr>
    </xdr:pic>
    <xdr:clientData/>
  </xdr:oneCellAnchor>
  <xdr:oneCellAnchor>
    <xdr:from>
      <xdr:col>5</xdr:col>
      <xdr:colOff>47625</xdr:colOff>
      <xdr:row>25</xdr:row>
      <xdr:rowOff>0</xdr:rowOff>
    </xdr:from>
    <xdr:ext cx="190500" cy="163711"/>
    <xdr:pic>
      <xdr:nvPicPr>
        <xdr:cNvPr id="4" name="AlertMaxVarThr" hidden="1"/>
        <xdr:cNvPicPr>
          <a:picLocks noChangeAspect="1"/>
        </xdr:cNvPicPr>
      </xdr:nvPicPr>
      <xdr:blipFill>
        <a:blip r:embed="rId1" cstate="print"/>
        <a:stretch>
          <a:fillRect/>
        </a:stretch>
      </xdr:blipFill>
      <xdr:spPr>
        <a:xfrm>
          <a:off x="5358765" y="7578725"/>
          <a:ext cx="190500" cy="163195"/>
        </a:xfrm>
        <a:prstGeom prst="rect">
          <a:avLst/>
        </a:prstGeom>
      </xdr:spPr>
    </xdr:pic>
    <xdr:clientData/>
  </xdr:oneCellAnchor>
  <xdr:oneCellAnchor>
    <xdr:from>
      <xdr:col>5</xdr:col>
      <xdr:colOff>47625</xdr:colOff>
      <xdr:row>25</xdr:row>
      <xdr:rowOff>0</xdr:rowOff>
    </xdr:from>
    <xdr:ext cx="190500" cy="163711"/>
    <xdr:pic>
      <xdr:nvPicPr>
        <xdr:cNvPr id="5" name="AlertMaxVarThr" hidden="1"/>
        <xdr:cNvPicPr>
          <a:picLocks noChangeAspect="1"/>
        </xdr:cNvPicPr>
      </xdr:nvPicPr>
      <xdr:blipFill>
        <a:blip r:embed="rId1" cstate="print"/>
        <a:stretch>
          <a:fillRect/>
        </a:stretch>
      </xdr:blipFill>
      <xdr:spPr>
        <a:xfrm>
          <a:off x="5358765" y="7578725"/>
          <a:ext cx="190500" cy="163195"/>
        </a:xfrm>
        <a:prstGeom prst="rect">
          <a:avLst/>
        </a:prstGeom>
      </xdr:spPr>
    </xdr:pic>
    <xdr:clientData/>
  </xdr:oneCellAnchor>
  <xdr:oneCellAnchor>
    <xdr:from>
      <xdr:col>5</xdr:col>
      <xdr:colOff>47625</xdr:colOff>
      <xdr:row>25</xdr:row>
      <xdr:rowOff>0</xdr:rowOff>
    </xdr:from>
    <xdr:ext cx="190500" cy="163711"/>
    <xdr:pic>
      <xdr:nvPicPr>
        <xdr:cNvPr id="6" name="AlertMaxVarThr" hidden="1"/>
        <xdr:cNvPicPr>
          <a:picLocks noChangeAspect="1"/>
        </xdr:cNvPicPr>
      </xdr:nvPicPr>
      <xdr:blipFill>
        <a:blip r:embed="rId1" cstate="print"/>
        <a:stretch>
          <a:fillRect/>
        </a:stretch>
      </xdr:blipFill>
      <xdr:spPr>
        <a:xfrm>
          <a:off x="5358765" y="7578725"/>
          <a:ext cx="190500" cy="163195"/>
        </a:xfrm>
        <a:prstGeom prst="rect">
          <a:avLst/>
        </a:prstGeom>
      </xdr:spPr>
    </xdr:pic>
    <xdr:clientData/>
  </xdr:oneCellAnchor>
  <xdr:oneCellAnchor>
    <xdr:from>
      <xdr:col>5</xdr:col>
      <xdr:colOff>47625</xdr:colOff>
      <xdr:row>25</xdr:row>
      <xdr:rowOff>0</xdr:rowOff>
    </xdr:from>
    <xdr:ext cx="190500" cy="163711"/>
    <xdr:pic>
      <xdr:nvPicPr>
        <xdr:cNvPr id="7" name="AlertMaxVarThr" hidden="1"/>
        <xdr:cNvPicPr>
          <a:picLocks noChangeAspect="1"/>
        </xdr:cNvPicPr>
      </xdr:nvPicPr>
      <xdr:blipFill>
        <a:blip r:embed="rId1" cstate="print"/>
        <a:stretch>
          <a:fillRect/>
        </a:stretch>
      </xdr:blipFill>
      <xdr:spPr>
        <a:xfrm>
          <a:off x="5358765" y="7578725"/>
          <a:ext cx="190500" cy="163195"/>
        </a:xfrm>
        <a:prstGeom prst="rect">
          <a:avLst/>
        </a:prstGeom>
      </xdr:spPr>
    </xdr:pic>
    <xdr:clientData/>
  </xdr:oneCellAnchor>
  <xdr:oneCellAnchor>
    <xdr:from>
      <xdr:col>5</xdr:col>
      <xdr:colOff>47625</xdr:colOff>
      <xdr:row>25</xdr:row>
      <xdr:rowOff>0</xdr:rowOff>
    </xdr:from>
    <xdr:ext cx="190500" cy="163711"/>
    <xdr:pic>
      <xdr:nvPicPr>
        <xdr:cNvPr id="8" name="AlertMaxVarThr" hidden="1"/>
        <xdr:cNvPicPr>
          <a:picLocks noChangeAspect="1"/>
        </xdr:cNvPicPr>
      </xdr:nvPicPr>
      <xdr:blipFill>
        <a:blip r:embed="rId1" cstate="print"/>
        <a:stretch>
          <a:fillRect/>
        </a:stretch>
      </xdr:blipFill>
      <xdr:spPr>
        <a:xfrm>
          <a:off x="5358765" y="7578725"/>
          <a:ext cx="190500" cy="163195"/>
        </a:xfrm>
        <a:prstGeom prst="rect">
          <a:avLst/>
        </a:prstGeom>
      </xdr:spPr>
    </xdr:pic>
    <xdr:clientData/>
  </xdr:oneCellAnchor>
  <xdr:oneCellAnchor>
    <xdr:from>
      <xdr:col>5</xdr:col>
      <xdr:colOff>47625</xdr:colOff>
      <xdr:row>25</xdr:row>
      <xdr:rowOff>0</xdr:rowOff>
    </xdr:from>
    <xdr:ext cx="190500" cy="163711"/>
    <xdr:pic>
      <xdr:nvPicPr>
        <xdr:cNvPr id="9" name="AlertMaxVarThr" hidden="1"/>
        <xdr:cNvPicPr>
          <a:picLocks noChangeAspect="1"/>
        </xdr:cNvPicPr>
      </xdr:nvPicPr>
      <xdr:blipFill>
        <a:blip r:embed="rId1" cstate="print"/>
        <a:stretch>
          <a:fillRect/>
        </a:stretch>
      </xdr:blipFill>
      <xdr:spPr>
        <a:xfrm>
          <a:off x="5358765" y="7578725"/>
          <a:ext cx="190500" cy="163195"/>
        </a:xfrm>
        <a:prstGeom prst="rect">
          <a:avLst/>
        </a:prstGeom>
      </xdr:spPr>
    </xdr:pic>
    <xdr:clientData/>
  </xdr:oneCellAnchor>
  <xdr:oneCellAnchor>
    <xdr:from>
      <xdr:col>5</xdr:col>
      <xdr:colOff>47625</xdr:colOff>
      <xdr:row>25</xdr:row>
      <xdr:rowOff>0</xdr:rowOff>
    </xdr:from>
    <xdr:ext cx="190500" cy="163711"/>
    <xdr:pic>
      <xdr:nvPicPr>
        <xdr:cNvPr id="10" name="AlertMaxVarThr" hidden="1"/>
        <xdr:cNvPicPr>
          <a:picLocks noChangeAspect="1"/>
        </xdr:cNvPicPr>
      </xdr:nvPicPr>
      <xdr:blipFill>
        <a:blip r:embed="rId1" cstate="print"/>
        <a:stretch>
          <a:fillRect/>
        </a:stretch>
      </xdr:blipFill>
      <xdr:spPr>
        <a:xfrm>
          <a:off x="5358765" y="7578725"/>
          <a:ext cx="190500" cy="163195"/>
        </a:xfrm>
        <a:prstGeom prst="rect">
          <a:avLst/>
        </a:prstGeom>
      </xdr:spPr>
    </xdr:pic>
    <xdr:clientData/>
  </xdr:oneCellAnchor>
  <xdr:oneCellAnchor>
    <xdr:from>
      <xdr:col>5</xdr:col>
      <xdr:colOff>47625</xdr:colOff>
      <xdr:row>25</xdr:row>
      <xdr:rowOff>0</xdr:rowOff>
    </xdr:from>
    <xdr:ext cx="190500" cy="163711"/>
    <xdr:pic>
      <xdr:nvPicPr>
        <xdr:cNvPr id="11" name="AlertMaxVarThr" hidden="1"/>
        <xdr:cNvPicPr>
          <a:picLocks noChangeAspect="1"/>
        </xdr:cNvPicPr>
      </xdr:nvPicPr>
      <xdr:blipFill>
        <a:blip r:embed="rId1" cstate="print"/>
        <a:stretch>
          <a:fillRect/>
        </a:stretch>
      </xdr:blipFill>
      <xdr:spPr>
        <a:xfrm>
          <a:off x="5358765" y="7578725"/>
          <a:ext cx="190500" cy="163195"/>
        </a:xfrm>
        <a:prstGeom prst="rect">
          <a:avLst/>
        </a:prstGeom>
      </xdr:spPr>
    </xdr:pic>
    <xdr:clientData/>
  </xdr:oneCellAnchor>
  <xdr:oneCellAnchor>
    <xdr:from>
      <xdr:col>5</xdr:col>
      <xdr:colOff>47625</xdr:colOff>
      <xdr:row>25</xdr:row>
      <xdr:rowOff>0</xdr:rowOff>
    </xdr:from>
    <xdr:ext cx="190500" cy="163711"/>
    <xdr:pic>
      <xdr:nvPicPr>
        <xdr:cNvPr id="12" name="AlertMaxVarThr" hidden="1"/>
        <xdr:cNvPicPr>
          <a:picLocks noChangeAspect="1"/>
        </xdr:cNvPicPr>
      </xdr:nvPicPr>
      <xdr:blipFill>
        <a:blip r:embed="rId1" cstate="print"/>
        <a:stretch>
          <a:fillRect/>
        </a:stretch>
      </xdr:blipFill>
      <xdr:spPr>
        <a:xfrm>
          <a:off x="5358765" y="7578725"/>
          <a:ext cx="190500" cy="163195"/>
        </a:xfrm>
        <a:prstGeom prst="rect">
          <a:avLst/>
        </a:prstGeom>
      </xdr:spPr>
    </xdr:pic>
    <xdr:clientData/>
  </xdr:oneCellAnchor>
  <xdr:oneCellAnchor>
    <xdr:from>
      <xdr:col>5</xdr:col>
      <xdr:colOff>47625</xdr:colOff>
      <xdr:row>25</xdr:row>
      <xdr:rowOff>0</xdr:rowOff>
    </xdr:from>
    <xdr:ext cx="190500" cy="163711"/>
    <xdr:pic>
      <xdr:nvPicPr>
        <xdr:cNvPr id="13" name="AlertMaxVarThr" hidden="1"/>
        <xdr:cNvPicPr>
          <a:picLocks noChangeAspect="1"/>
        </xdr:cNvPicPr>
      </xdr:nvPicPr>
      <xdr:blipFill>
        <a:blip r:embed="rId1" cstate="print"/>
        <a:stretch>
          <a:fillRect/>
        </a:stretch>
      </xdr:blipFill>
      <xdr:spPr>
        <a:xfrm>
          <a:off x="5358765" y="7578725"/>
          <a:ext cx="190500" cy="163195"/>
        </a:xfrm>
        <a:prstGeom prst="rect">
          <a:avLst/>
        </a:prstGeom>
      </xdr:spPr>
    </xdr:pic>
    <xdr:clientData/>
  </xdr:oneCellAnchor>
  <xdr:oneCellAnchor>
    <xdr:from>
      <xdr:col>5</xdr:col>
      <xdr:colOff>47625</xdr:colOff>
      <xdr:row>25</xdr:row>
      <xdr:rowOff>0</xdr:rowOff>
    </xdr:from>
    <xdr:ext cx="190500" cy="163711"/>
    <xdr:pic>
      <xdr:nvPicPr>
        <xdr:cNvPr id="14" name="AlertMaxVarThr" hidden="1"/>
        <xdr:cNvPicPr>
          <a:picLocks noChangeAspect="1"/>
        </xdr:cNvPicPr>
      </xdr:nvPicPr>
      <xdr:blipFill>
        <a:blip r:embed="rId1" cstate="print"/>
        <a:stretch>
          <a:fillRect/>
        </a:stretch>
      </xdr:blipFill>
      <xdr:spPr>
        <a:xfrm>
          <a:off x="5358765" y="7578725"/>
          <a:ext cx="190500" cy="163195"/>
        </a:xfrm>
        <a:prstGeom prst="rect">
          <a:avLst/>
        </a:prstGeom>
      </xdr:spPr>
    </xdr:pic>
    <xdr:clientData/>
  </xdr:oneCellAnchor>
  <xdr:oneCellAnchor>
    <xdr:from>
      <xdr:col>5</xdr:col>
      <xdr:colOff>47625</xdr:colOff>
      <xdr:row>25</xdr:row>
      <xdr:rowOff>0</xdr:rowOff>
    </xdr:from>
    <xdr:ext cx="190500" cy="163711"/>
    <xdr:pic>
      <xdr:nvPicPr>
        <xdr:cNvPr id="15" name="AlertMaxVarThr" hidden="1"/>
        <xdr:cNvPicPr>
          <a:picLocks noChangeAspect="1"/>
        </xdr:cNvPicPr>
      </xdr:nvPicPr>
      <xdr:blipFill>
        <a:blip r:embed="rId1" cstate="print"/>
        <a:stretch>
          <a:fillRect/>
        </a:stretch>
      </xdr:blipFill>
      <xdr:spPr>
        <a:xfrm>
          <a:off x="5358765" y="7578725"/>
          <a:ext cx="190500" cy="163195"/>
        </a:xfrm>
        <a:prstGeom prst="rect">
          <a:avLst/>
        </a:prstGeom>
      </xdr:spPr>
    </xdr:pic>
    <xdr:clientData/>
  </xdr:oneCellAnchor>
  <xdr:oneCellAnchor>
    <xdr:from>
      <xdr:col>5</xdr:col>
      <xdr:colOff>47625</xdr:colOff>
      <xdr:row>25</xdr:row>
      <xdr:rowOff>0</xdr:rowOff>
    </xdr:from>
    <xdr:ext cx="190500" cy="163711"/>
    <xdr:pic>
      <xdr:nvPicPr>
        <xdr:cNvPr id="16" name="AlertMaxVarThr" hidden="1"/>
        <xdr:cNvPicPr>
          <a:picLocks noChangeAspect="1"/>
        </xdr:cNvPicPr>
      </xdr:nvPicPr>
      <xdr:blipFill>
        <a:blip r:embed="rId1" cstate="print"/>
        <a:stretch>
          <a:fillRect/>
        </a:stretch>
      </xdr:blipFill>
      <xdr:spPr>
        <a:xfrm>
          <a:off x="5358765" y="7578725"/>
          <a:ext cx="190500" cy="163195"/>
        </a:xfrm>
        <a:prstGeom prst="rect">
          <a:avLst/>
        </a:prstGeom>
      </xdr:spPr>
    </xdr:pic>
    <xdr:clientData/>
  </xdr:oneCellAnchor>
  <xdr:oneCellAnchor>
    <xdr:from>
      <xdr:col>5</xdr:col>
      <xdr:colOff>47625</xdr:colOff>
      <xdr:row>25</xdr:row>
      <xdr:rowOff>0</xdr:rowOff>
    </xdr:from>
    <xdr:ext cx="190500" cy="163711"/>
    <xdr:pic>
      <xdr:nvPicPr>
        <xdr:cNvPr id="17" name="AlertMaxVarThr" hidden="1"/>
        <xdr:cNvPicPr>
          <a:picLocks noChangeAspect="1"/>
        </xdr:cNvPicPr>
      </xdr:nvPicPr>
      <xdr:blipFill>
        <a:blip r:embed="rId1" cstate="print"/>
        <a:stretch>
          <a:fillRect/>
        </a:stretch>
      </xdr:blipFill>
      <xdr:spPr>
        <a:xfrm>
          <a:off x="5358765" y="7578725"/>
          <a:ext cx="190500" cy="163195"/>
        </a:xfrm>
        <a:prstGeom prst="rect">
          <a:avLst/>
        </a:prstGeom>
      </xdr:spPr>
    </xdr:pic>
    <xdr:clientData/>
  </xdr:oneCellAnchor>
  <xdr:oneCellAnchor>
    <xdr:from>
      <xdr:col>5</xdr:col>
      <xdr:colOff>47625</xdr:colOff>
      <xdr:row>25</xdr:row>
      <xdr:rowOff>0</xdr:rowOff>
    </xdr:from>
    <xdr:ext cx="190500" cy="163711"/>
    <xdr:pic>
      <xdr:nvPicPr>
        <xdr:cNvPr id="18" name="AlertMaxVarThr" hidden="1"/>
        <xdr:cNvPicPr>
          <a:picLocks noChangeAspect="1"/>
        </xdr:cNvPicPr>
      </xdr:nvPicPr>
      <xdr:blipFill>
        <a:blip r:embed="rId1" cstate="print"/>
        <a:stretch>
          <a:fillRect/>
        </a:stretch>
      </xdr:blipFill>
      <xdr:spPr>
        <a:xfrm>
          <a:off x="5358765" y="7578725"/>
          <a:ext cx="190500" cy="163195"/>
        </a:xfrm>
        <a:prstGeom prst="rect">
          <a:avLst/>
        </a:prstGeom>
      </xdr:spPr>
    </xdr:pic>
    <xdr:clientData/>
  </xdr:oneCellAnchor>
  <xdr:oneCellAnchor>
    <xdr:from>
      <xdr:col>5</xdr:col>
      <xdr:colOff>47625</xdr:colOff>
      <xdr:row>25</xdr:row>
      <xdr:rowOff>0</xdr:rowOff>
    </xdr:from>
    <xdr:ext cx="190500" cy="163711"/>
    <xdr:pic>
      <xdr:nvPicPr>
        <xdr:cNvPr id="19" name="AlertMaxVarThr" hidden="1"/>
        <xdr:cNvPicPr>
          <a:picLocks noChangeAspect="1"/>
        </xdr:cNvPicPr>
      </xdr:nvPicPr>
      <xdr:blipFill>
        <a:blip r:embed="rId1" cstate="print"/>
        <a:stretch>
          <a:fillRect/>
        </a:stretch>
      </xdr:blipFill>
      <xdr:spPr>
        <a:xfrm>
          <a:off x="5358765" y="7578725"/>
          <a:ext cx="190500" cy="163195"/>
        </a:xfrm>
        <a:prstGeom prst="rect">
          <a:avLst/>
        </a:prstGeom>
      </xdr:spPr>
    </xdr:pic>
    <xdr:clientData/>
  </xdr:oneCellAnchor>
  <xdr:oneCellAnchor>
    <xdr:from>
      <xdr:col>5</xdr:col>
      <xdr:colOff>47625</xdr:colOff>
      <xdr:row>25</xdr:row>
      <xdr:rowOff>0</xdr:rowOff>
    </xdr:from>
    <xdr:ext cx="190500" cy="163711"/>
    <xdr:pic>
      <xdr:nvPicPr>
        <xdr:cNvPr id="20" name="AlertMaxVarThr" hidden="1"/>
        <xdr:cNvPicPr>
          <a:picLocks noChangeAspect="1"/>
        </xdr:cNvPicPr>
      </xdr:nvPicPr>
      <xdr:blipFill>
        <a:blip r:embed="rId1" cstate="print"/>
        <a:stretch>
          <a:fillRect/>
        </a:stretch>
      </xdr:blipFill>
      <xdr:spPr>
        <a:xfrm>
          <a:off x="5358765" y="7578725"/>
          <a:ext cx="190500" cy="163195"/>
        </a:xfrm>
        <a:prstGeom prst="rect">
          <a:avLst/>
        </a:prstGeom>
      </xdr:spPr>
    </xdr:pic>
    <xdr:clientData/>
  </xdr:oneCellAnchor>
  <xdr:oneCellAnchor>
    <xdr:from>
      <xdr:col>5</xdr:col>
      <xdr:colOff>47625</xdr:colOff>
      <xdr:row>25</xdr:row>
      <xdr:rowOff>0</xdr:rowOff>
    </xdr:from>
    <xdr:ext cx="190500" cy="163711"/>
    <xdr:pic>
      <xdr:nvPicPr>
        <xdr:cNvPr id="21" name="AlertMaxVarThr" hidden="1"/>
        <xdr:cNvPicPr>
          <a:picLocks noChangeAspect="1"/>
        </xdr:cNvPicPr>
      </xdr:nvPicPr>
      <xdr:blipFill>
        <a:blip r:embed="rId1" cstate="print"/>
        <a:stretch>
          <a:fillRect/>
        </a:stretch>
      </xdr:blipFill>
      <xdr:spPr>
        <a:xfrm>
          <a:off x="5358765" y="7578725"/>
          <a:ext cx="190500" cy="163195"/>
        </a:xfrm>
        <a:prstGeom prst="rect">
          <a:avLst/>
        </a:prstGeom>
      </xdr:spPr>
    </xdr:pic>
    <xdr:clientData/>
  </xdr:oneCellAnchor>
  <xdr:oneCellAnchor>
    <xdr:from>
      <xdr:col>5</xdr:col>
      <xdr:colOff>47625</xdr:colOff>
      <xdr:row>47</xdr:row>
      <xdr:rowOff>0</xdr:rowOff>
    </xdr:from>
    <xdr:ext cx="190500" cy="163711"/>
    <xdr:pic>
      <xdr:nvPicPr>
        <xdr:cNvPr id="22" name="AlertMaxVarThr" hidden="1"/>
        <xdr:cNvPicPr>
          <a:picLocks noChangeAspect="1"/>
        </xdr:cNvPicPr>
      </xdr:nvPicPr>
      <xdr:blipFill>
        <a:blip r:embed="rId1" cstate="print"/>
        <a:stretch>
          <a:fillRect/>
        </a:stretch>
      </xdr:blipFill>
      <xdr:spPr>
        <a:xfrm>
          <a:off x="5358765" y="11974195"/>
          <a:ext cx="190500" cy="163195"/>
        </a:xfrm>
        <a:prstGeom prst="rect">
          <a:avLst/>
        </a:prstGeom>
      </xdr:spPr>
    </xdr:pic>
    <xdr:clientData/>
  </xdr:oneCellAnchor>
  <xdr:oneCellAnchor>
    <xdr:from>
      <xdr:col>8</xdr:col>
      <xdr:colOff>47625</xdr:colOff>
      <xdr:row>25</xdr:row>
      <xdr:rowOff>0</xdr:rowOff>
    </xdr:from>
    <xdr:ext cx="190500" cy="163711"/>
    <xdr:pic>
      <xdr:nvPicPr>
        <xdr:cNvPr id="23" name="AlertMaxVarThr" hidden="1"/>
        <xdr:cNvPicPr>
          <a:picLocks noChangeAspect="1"/>
        </xdr:cNvPicPr>
      </xdr:nvPicPr>
      <xdr:blipFill>
        <a:blip r:embed="rId1" cstate="print"/>
        <a:stretch>
          <a:fillRect/>
        </a:stretch>
      </xdr:blipFill>
      <xdr:spPr>
        <a:xfrm>
          <a:off x="9466580" y="7578725"/>
          <a:ext cx="190500" cy="163195"/>
        </a:xfrm>
        <a:prstGeom prst="rect">
          <a:avLst/>
        </a:prstGeom>
      </xdr:spPr>
    </xdr:pic>
    <xdr:clientData/>
  </xdr:oneCellAnchor>
  <xdr:oneCellAnchor>
    <xdr:from>
      <xdr:col>8</xdr:col>
      <xdr:colOff>47625</xdr:colOff>
      <xdr:row>25</xdr:row>
      <xdr:rowOff>0</xdr:rowOff>
    </xdr:from>
    <xdr:ext cx="190500" cy="163711"/>
    <xdr:pic>
      <xdr:nvPicPr>
        <xdr:cNvPr id="24" name="AlertMaxVarThr" hidden="1"/>
        <xdr:cNvPicPr>
          <a:picLocks noChangeAspect="1"/>
        </xdr:cNvPicPr>
      </xdr:nvPicPr>
      <xdr:blipFill>
        <a:blip r:embed="rId1" cstate="print"/>
        <a:stretch>
          <a:fillRect/>
        </a:stretch>
      </xdr:blipFill>
      <xdr:spPr>
        <a:xfrm>
          <a:off x="9466580" y="7578725"/>
          <a:ext cx="190500" cy="163195"/>
        </a:xfrm>
        <a:prstGeom prst="rect">
          <a:avLst/>
        </a:prstGeom>
      </xdr:spPr>
    </xdr:pic>
    <xdr:clientData/>
  </xdr:oneCellAnchor>
  <xdr:oneCellAnchor>
    <xdr:from>
      <xdr:col>8</xdr:col>
      <xdr:colOff>47625</xdr:colOff>
      <xdr:row>25</xdr:row>
      <xdr:rowOff>0</xdr:rowOff>
    </xdr:from>
    <xdr:ext cx="190500" cy="163711"/>
    <xdr:pic>
      <xdr:nvPicPr>
        <xdr:cNvPr id="25" name="AlertMaxVarThr" hidden="1"/>
        <xdr:cNvPicPr>
          <a:picLocks noChangeAspect="1"/>
        </xdr:cNvPicPr>
      </xdr:nvPicPr>
      <xdr:blipFill>
        <a:blip r:embed="rId1" cstate="print"/>
        <a:stretch>
          <a:fillRect/>
        </a:stretch>
      </xdr:blipFill>
      <xdr:spPr>
        <a:xfrm>
          <a:off x="9466580" y="7578725"/>
          <a:ext cx="190500" cy="163195"/>
        </a:xfrm>
        <a:prstGeom prst="rect">
          <a:avLst/>
        </a:prstGeom>
      </xdr:spPr>
    </xdr:pic>
    <xdr:clientData/>
  </xdr:oneCellAnchor>
  <xdr:oneCellAnchor>
    <xdr:from>
      <xdr:col>8</xdr:col>
      <xdr:colOff>47625</xdr:colOff>
      <xdr:row>25</xdr:row>
      <xdr:rowOff>0</xdr:rowOff>
    </xdr:from>
    <xdr:ext cx="190500" cy="163711"/>
    <xdr:pic>
      <xdr:nvPicPr>
        <xdr:cNvPr id="26" name="AlertMaxVarThr" hidden="1"/>
        <xdr:cNvPicPr>
          <a:picLocks noChangeAspect="1"/>
        </xdr:cNvPicPr>
      </xdr:nvPicPr>
      <xdr:blipFill>
        <a:blip r:embed="rId1" cstate="print"/>
        <a:stretch>
          <a:fillRect/>
        </a:stretch>
      </xdr:blipFill>
      <xdr:spPr>
        <a:xfrm>
          <a:off x="9466580" y="7578725"/>
          <a:ext cx="190500" cy="163195"/>
        </a:xfrm>
        <a:prstGeom prst="rect">
          <a:avLst/>
        </a:prstGeom>
      </xdr:spPr>
    </xdr:pic>
    <xdr:clientData/>
  </xdr:oneCellAnchor>
  <xdr:oneCellAnchor>
    <xdr:from>
      <xdr:col>8</xdr:col>
      <xdr:colOff>47625</xdr:colOff>
      <xdr:row>25</xdr:row>
      <xdr:rowOff>0</xdr:rowOff>
    </xdr:from>
    <xdr:ext cx="190500" cy="163711"/>
    <xdr:pic>
      <xdr:nvPicPr>
        <xdr:cNvPr id="27" name="AlertMaxVarThr" hidden="1"/>
        <xdr:cNvPicPr>
          <a:picLocks noChangeAspect="1"/>
        </xdr:cNvPicPr>
      </xdr:nvPicPr>
      <xdr:blipFill>
        <a:blip r:embed="rId1" cstate="print"/>
        <a:stretch>
          <a:fillRect/>
        </a:stretch>
      </xdr:blipFill>
      <xdr:spPr>
        <a:xfrm>
          <a:off x="9466580" y="7578725"/>
          <a:ext cx="190500" cy="163195"/>
        </a:xfrm>
        <a:prstGeom prst="rect">
          <a:avLst/>
        </a:prstGeom>
      </xdr:spPr>
    </xdr:pic>
    <xdr:clientData/>
  </xdr:oneCellAnchor>
  <xdr:oneCellAnchor>
    <xdr:from>
      <xdr:col>8</xdr:col>
      <xdr:colOff>47625</xdr:colOff>
      <xdr:row>25</xdr:row>
      <xdr:rowOff>0</xdr:rowOff>
    </xdr:from>
    <xdr:ext cx="190500" cy="163711"/>
    <xdr:pic>
      <xdr:nvPicPr>
        <xdr:cNvPr id="28" name="AlertMaxVarThr" hidden="1"/>
        <xdr:cNvPicPr>
          <a:picLocks noChangeAspect="1"/>
        </xdr:cNvPicPr>
      </xdr:nvPicPr>
      <xdr:blipFill>
        <a:blip r:embed="rId1" cstate="print"/>
        <a:stretch>
          <a:fillRect/>
        </a:stretch>
      </xdr:blipFill>
      <xdr:spPr>
        <a:xfrm>
          <a:off x="9466580" y="7578725"/>
          <a:ext cx="190500" cy="163195"/>
        </a:xfrm>
        <a:prstGeom prst="rect">
          <a:avLst/>
        </a:prstGeom>
      </xdr:spPr>
    </xdr:pic>
    <xdr:clientData/>
  </xdr:oneCellAnchor>
  <xdr:oneCellAnchor>
    <xdr:from>
      <xdr:col>8</xdr:col>
      <xdr:colOff>47625</xdr:colOff>
      <xdr:row>25</xdr:row>
      <xdr:rowOff>0</xdr:rowOff>
    </xdr:from>
    <xdr:ext cx="190500" cy="163711"/>
    <xdr:pic>
      <xdr:nvPicPr>
        <xdr:cNvPr id="29" name="AlertMaxVarThr" hidden="1"/>
        <xdr:cNvPicPr>
          <a:picLocks noChangeAspect="1"/>
        </xdr:cNvPicPr>
      </xdr:nvPicPr>
      <xdr:blipFill>
        <a:blip r:embed="rId1" cstate="print"/>
        <a:stretch>
          <a:fillRect/>
        </a:stretch>
      </xdr:blipFill>
      <xdr:spPr>
        <a:xfrm>
          <a:off x="9466580" y="7578725"/>
          <a:ext cx="190500" cy="163195"/>
        </a:xfrm>
        <a:prstGeom prst="rect">
          <a:avLst/>
        </a:prstGeom>
      </xdr:spPr>
    </xdr:pic>
    <xdr:clientData/>
  </xdr:oneCellAnchor>
  <xdr:oneCellAnchor>
    <xdr:from>
      <xdr:col>8</xdr:col>
      <xdr:colOff>47625</xdr:colOff>
      <xdr:row>25</xdr:row>
      <xdr:rowOff>0</xdr:rowOff>
    </xdr:from>
    <xdr:ext cx="190500" cy="163711"/>
    <xdr:pic>
      <xdr:nvPicPr>
        <xdr:cNvPr id="30" name="AlertMaxVarThr" hidden="1"/>
        <xdr:cNvPicPr>
          <a:picLocks noChangeAspect="1"/>
        </xdr:cNvPicPr>
      </xdr:nvPicPr>
      <xdr:blipFill>
        <a:blip r:embed="rId1" cstate="print"/>
        <a:stretch>
          <a:fillRect/>
        </a:stretch>
      </xdr:blipFill>
      <xdr:spPr>
        <a:xfrm>
          <a:off x="9466580" y="7578725"/>
          <a:ext cx="190500" cy="163195"/>
        </a:xfrm>
        <a:prstGeom prst="rect">
          <a:avLst/>
        </a:prstGeom>
      </xdr:spPr>
    </xdr:pic>
    <xdr:clientData/>
  </xdr:oneCellAnchor>
  <xdr:oneCellAnchor>
    <xdr:from>
      <xdr:col>8</xdr:col>
      <xdr:colOff>47625</xdr:colOff>
      <xdr:row>25</xdr:row>
      <xdr:rowOff>0</xdr:rowOff>
    </xdr:from>
    <xdr:ext cx="190500" cy="163711"/>
    <xdr:pic>
      <xdr:nvPicPr>
        <xdr:cNvPr id="31" name="AlertMaxVarThr" hidden="1"/>
        <xdr:cNvPicPr>
          <a:picLocks noChangeAspect="1"/>
        </xdr:cNvPicPr>
      </xdr:nvPicPr>
      <xdr:blipFill>
        <a:blip r:embed="rId1" cstate="print"/>
        <a:stretch>
          <a:fillRect/>
        </a:stretch>
      </xdr:blipFill>
      <xdr:spPr>
        <a:xfrm>
          <a:off x="9466580" y="7578725"/>
          <a:ext cx="190500" cy="163195"/>
        </a:xfrm>
        <a:prstGeom prst="rect">
          <a:avLst/>
        </a:prstGeom>
      </xdr:spPr>
    </xdr:pic>
    <xdr:clientData/>
  </xdr:oneCellAnchor>
  <xdr:oneCellAnchor>
    <xdr:from>
      <xdr:col>8</xdr:col>
      <xdr:colOff>47625</xdr:colOff>
      <xdr:row>25</xdr:row>
      <xdr:rowOff>0</xdr:rowOff>
    </xdr:from>
    <xdr:ext cx="190500" cy="163711"/>
    <xdr:pic>
      <xdr:nvPicPr>
        <xdr:cNvPr id="32" name="AlertMaxVarThr" hidden="1"/>
        <xdr:cNvPicPr>
          <a:picLocks noChangeAspect="1"/>
        </xdr:cNvPicPr>
      </xdr:nvPicPr>
      <xdr:blipFill>
        <a:blip r:embed="rId1" cstate="print"/>
        <a:stretch>
          <a:fillRect/>
        </a:stretch>
      </xdr:blipFill>
      <xdr:spPr>
        <a:xfrm>
          <a:off x="9466580" y="7578725"/>
          <a:ext cx="190500" cy="163195"/>
        </a:xfrm>
        <a:prstGeom prst="rect">
          <a:avLst/>
        </a:prstGeom>
      </xdr:spPr>
    </xdr:pic>
    <xdr:clientData/>
  </xdr:oneCellAnchor>
  <xdr:oneCellAnchor>
    <xdr:from>
      <xdr:col>8</xdr:col>
      <xdr:colOff>47625</xdr:colOff>
      <xdr:row>25</xdr:row>
      <xdr:rowOff>0</xdr:rowOff>
    </xdr:from>
    <xdr:ext cx="190500" cy="163711"/>
    <xdr:pic>
      <xdr:nvPicPr>
        <xdr:cNvPr id="33" name="AlertMaxVarThr" hidden="1"/>
        <xdr:cNvPicPr>
          <a:picLocks noChangeAspect="1"/>
        </xdr:cNvPicPr>
      </xdr:nvPicPr>
      <xdr:blipFill>
        <a:blip r:embed="rId1" cstate="print"/>
        <a:stretch>
          <a:fillRect/>
        </a:stretch>
      </xdr:blipFill>
      <xdr:spPr>
        <a:xfrm>
          <a:off x="9466580" y="7578725"/>
          <a:ext cx="190500" cy="163195"/>
        </a:xfrm>
        <a:prstGeom prst="rect">
          <a:avLst/>
        </a:prstGeom>
      </xdr:spPr>
    </xdr:pic>
    <xdr:clientData/>
  </xdr:oneCellAnchor>
  <xdr:oneCellAnchor>
    <xdr:from>
      <xdr:col>8</xdr:col>
      <xdr:colOff>47625</xdr:colOff>
      <xdr:row>25</xdr:row>
      <xdr:rowOff>0</xdr:rowOff>
    </xdr:from>
    <xdr:ext cx="190500" cy="163711"/>
    <xdr:pic>
      <xdr:nvPicPr>
        <xdr:cNvPr id="34" name="AlertMaxVarThr" hidden="1"/>
        <xdr:cNvPicPr>
          <a:picLocks noChangeAspect="1"/>
        </xdr:cNvPicPr>
      </xdr:nvPicPr>
      <xdr:blipFill>
        <a:blip r:embed="rId1" cstate="print"/>
        <a:stretch>
          <a:fillRect/>
        </a:stretch>
      </xdr:blipFill>
      <xdr:spPr>
        <a:xfrm>
          <a:off x="9466580" y="7578725"/>
          <a:ext cx="190500" cy="163195"/>
        </a:xfrm>
        <a:prstGeom prst="rect">
          <a:avLst/>
        </a:prstGeom>
      </xdr:spPr>
    </xdr:pic>
    <xdr:clientData/>
  </xdr:oneCellAnchor>
  <xdr:oneCellAnchor>
    <xdr:from>
      <xdr:col>8</xdr:col>
      <xdr:colOff>47625</xdr:colOff>
      <xdr:row>25</xdr:row>
      <xdr:rowOff>0</xdr:rowOff>
    </xdr:from>
    <xdr:ext cx="190500" cy="163711"/>
    <xdr:pic>
      <xdr:nvPicPr>
        <xdr:cNvPr id="35" name="AlertMaxVarThr" hidden="1"/>
        <xdr:cNvPicPr>
          <a:picLocks noChangeAspect="1"/>
        </xdr:cNvPicPr>
      </xdr:nvPicPr>
      <xdr:blipFill>
        <a:blip r:embed="rId1" cstate="print"/>
        <a:stretch>
          <a:fillRect/>
        </a:stretch>
      </xdr:blipFill>
      <xdr:spPr>
        <a:xfrm>
          <a:off x="9466580" y="7578725"/>
          <a:ext cx="190500" cy="163195"/>
        </a:xfrm>
        <a:prstGeom prst="rect">
          <a:avLst/>
        </a:prstGeom>
      </xdr:spPr>
    </xdr:pic>
    <xdr:clientData/>
  </xdr:oneCellAnchor>
  <xdr:oneCellAnchor>
    <xdr:from>
      <xdr:col>8</xdr:col>
      <xdr:colOff>47625</xdr:colOff>
      <xdr:row>25</xdr:row>
      <xdr:rowOff>0</xdr:rowOff>
    </xdr:from>
    <xdr:ext cx="190500" cy="163711"/>
    <xdr:pic>
      <xdr:nvPicPr>
        <xdr:cNvPr id="36" name="AlertMaxVarThr" hidden="1"/>
        <xdr:cNvPicPr>
          <a:picLocks noChangeAspect="1"/>
        </xdr:cNvPicPr>
      </xdr:nvPicPr>
      <xdr:blipFill>
        <a:blip r:embed="rId1" cstate="print"/>
        <a:stretch>
          <a:fillRect/>
        </a:stretch>
      </xdr:blipFill>
      <xdr:spPr>
        <a:xfrm>
          <a:off x="9466580" y="7578725"/>
          <a:ext cx="190500" cy="163195"/>
        </a:xfrm>
        <a:prstGeom prst="rect">
          <a:avLst/>
        </a:prstGeom>
      </xdr:spPr>
    </xdr:pic>
    <xdr:clientData/>
  </xdr:oneCellAnchor>
  <xdr:oneCellAnchor>
    <xdr:from>
      <xdr:col>8</xdr:col>
      <xdr:colOff>47625</xdr:colOff>
      <xdr:row>25</xdr:row>
      <xdr:rowOff>0</xdr:rowOff>
    </xdr:from>
    <xdr:ext cx="190500" cy="163711"/>
    <xdr:pic>
      <xdr:nvPicPr>
        <xdr:cNvPr id="37" name="AlertMaxVarThr" hidden="1"/>
        <xdr:cNvPicPr>
          <a:picLocks noChangeAspect="1"/>
        </xdr:cNvPicPr>
      </xdr:nvPicPr>
      <xdr:blipFill>
        <a:blip r:embed="rId1" cstate="print"/>
        <a:stretch>
          <a:fillRect/>
        </a:stretch>
      </xdr:blipFill>
      <xdr:spPr>
        <a:xfrm>
          <a:off x="9466580" y="7578725"/>
          <a:ext cx="190500" cy="163195"/>
        </a:xfrm>
        <a:prstGeom prst="rect">
          <a:avLst/>
        </a:prstGeom>
      </xdr:spPr>
    </xdr:pic>
    <xdr:clientData/>
  </xdr:oneCellAnchor>
  <xdr:oneCellAnchor>
    <xdr:from>
      <xdr:col>8</xdr:col>
      <xdr:colOff>47625</xdr:colOff>
      <xdr:row>25</xdr:row>
      <xdr:rowOff>0</xdr:rowOff>
    </xdr:from>
    <xdr:ext cx="190500" cy="163711"/>
    <xdr:pic>
      <xdr:nvPicPr>
        <xdr:cNvPr id="38" name="AlertMaxVarThr" hidden="1"/>
        <xdr:cNvPicPr>
          <a:picLocks noChangeAspect="1"/>
        </xdr:cNvPicPr>
      </xdr:nvPicPr>
      <xdr:blipFill>
        <a:blip r:embed="rId1" cstate="print"/>
        <a:stretch>
          <a:fillRect/>
        </a:stretch>
      </xdr:blipFill>
      <xdr:spPr>
        <a:xfrm>
          <a:off x="9466580" y="7578725"/>
          <a:ext cx="190500" cy="163195"/>
        </a:xfrm>
        <a:prstGeom prst="rect">
          <a:avLst/>
        </a:prstGeom>
      </xdr:spPr>
    </xdr:pic>
    <xdr:clientData/>
  </xdr:oneCellAnchor>
  <xdr:oneCellAnchor>
    <xdr:from>
      <xdr:col>8</xdr:col>
      <xdr:colOff>47625</xdr:colOff>
      <xdr:row>25</xdr:row>
      <xdr:rowOff>0</xdr:rowOff>
    </xdr:from>
    <xdr:ext cx="190500" cy="163711"/>
    <xdr:pic>
      <xdr:nvPicPr>
        <xdr:cNvPr id="39" name="AlertMaxVarThr" hidden="1"/>
        <xdr:cNvPicPr>
          <a:picLocks noChangeAspect="1"/>
        </xdr:cNvPicPr>
      </xdr:nvPicPr>
      <xdr:blipFill>
        <a:blip r:embed="rId1" cstate="print"/>
        <a:stretch>
          <a:fillRect/>
        </a:stretch>
      </xdr:blipFill>
      <xdr:spPr>
        <a:xfrm>
          <a:off x="9466580" y="7578725"/>
          <a:ext cx="190500" cy="163195"/>
        </a:xfrm>
        <a:prstGeom prst="rect">
          <a:avLst/>
        </a:prstGeom>
      </xdr:spPr>
    </xdr:pic>
    <xdr:clientData/>
  </xdr:oneCellAnchor>
  <xdr:oneCellAnchor>
    <xdr:from>
      <xdr:col>8</xdr:col>
      <xdr:colOff>47625</xdr:colOff>
      <xdr:row>25</xdr:row>
      <xdr:rowOff>0</xdr:rowOff>
    </xdr:from>
    <xdr:ext cx="190500" cy="163711"/>
    <xdr:pic>
      <xdr:nvPicPr>
        <xdr:cNvPr id="40" name="AlertMaxVarThr" hidden="1"/>
        <xdr:cNvPicPr>
          <a:picLocks noChangeAspect="1"/>
        </xdr:cNvPicPr>
      </xdr:nvPicPr>
      <xdr:blipFill>
        <a:blip r:embed="rId1" cstate="print"/>
        <a:stretch>
          <a:fillRect/>
        </a:stretch>
      </xdr:blipFill>
      <xdr:spPr>
        <a:xfrm>
          <a:off x="9466580" y="7578725"/>
          <a:ext cx="190500" cy="163195"/>
        </a:xfrm>
        <a:prstGeom prst="rect">
          <a:avLst/>
        </a:prstGeom>
      </xdr:spPr>
    </xdr:pic>
    <xdr:clientData/>
  </xdr:oneCellAnchor>
  <xdr:oneCellAnchor>
    <xdr:from>
      <xdr:col>10</xdr:col>
      <xdr:colOff>47625</xdr:colOff>
      <xdr:row>25</xdr:row>
      <xdr:rowOff>0</xdr:rowOff>
    </xdr:from>
    <xdr:ext cx="190500" cy="163711"/>
    <xdr:pic>
      <xdr:nvPicPr>
        <xdr:cNvPr id="41" name="AlertMaxVarThr" hidden="1"/>
        <xdr:cNvPicPr>
          <a:picLocks noChangeAspect="1"/>
        </xdr:cNvPicPr>
      </xdr:nvPicPr>
      <xdr:blipFill>
        <a:blip r:embed="rId1" cstate="print"/>
        <a:stretch>
          <a:fillRect/>
        </a:stretch>
      </xdr:blipFill>
      <xdr:spPr>
        <a:xfrm>
          <a:off x="11984990" y="7578725"/>
          <a:ext cx="190500" cy="163195"/>
        </a:xfrm>
        <a:prstGeom prst="rect">
          <a:avLst/>
        </a:prstGeom>
      </xdr:spPr>
    </xdr:pic>
    <xdr:clientData/>
  </xdr:oneCellAnchor>
  <xdr:oneCellAnchor>
    <xdr:from>
      <xdr:col>10</xdr:col>
      <xdr:colOff>47625</xdr:colOff>
      <xdr:row>25</xdr:row>
      <xdr:rowOff>0</xdr:rowOff>
    </xdr:from>
    <xdr:ext cx="190500" cy="163711"/>
    <xdr:pic>
      <xdr:nvPicPr>
        <xdr:cNvPr id="42" name="AlertMaxVarThr" hidden="1"/>
        <xdr:cNvPicPr>
          <a:picLocks noChangeAspect="1"/>
        </xdr:cNvPicPr>
      </xdr:nvPicPr>
      <xdr:blipFill>
        <a:blip r:embed="rId1" cstate="print"/>
        <a:stretch>
          <a:fillRect/>
        </a:stretch>
      </xdr:blipFill>
      <xdr:spPr>
        <a:xfrm>
          <a:off x="11984990" y="7578725"/>
          <a:ext cx="190500" cy="163195"/>
        </a:xfrm>
        <a:prstGeom prst="rect">
          <a:avLst/>
        </a:prstGeom>
      </xdr:spPr>
    </xdr:pic>
    <xdr:clientData/>
  </xdr:oneCellAnchor>
  <xdr:oneCellAnchor>
    <xdr:from>
      <xdr:col>10</xdr:col>
      <xdr:colOff>47625</xdr:colOff>
      <xdr:row>25</xdr:row>
      <xdr:rowOff>0</xdr:rowOff>
    </xdr:from>
    <xdr:ext cx="190500" cy="163711"/>
    <xdr:pic>
      <xdr:nvPicPr>
        <xdr:cNvPr id="43" name="AlertMaxVarThr" hidden="1"/>
        <xdr:cNvPicPr>
          <a:picLocks noChangeAspect="1"/>
        </xdr:cNvPicPr>
      </xdr:nvPicPr>
      <xdr:blipFill>
        <a:blip r:embed="rId1" cstate="print"/>
        <a:stretch>
          <a:fillRect/>
        </a:stretch>
      </xdr:blipFill>
      <xdr:spPr>
        <a:xfrm>
          <a:off x="11984990" y="7578725"/>
          <a:ext cx="190500" cy="163195"/>
        </a:xfrm>
        <a:prstGeom prst="rect">
          <a:avLst/>
        </a:prstGeom>
      </xdr:spPr>
    </xdr:pic>
    <xdr:clientData/>
  </xdr:oneCellAnchor>
  <xdr:oneCellAnchor>
    <xdr:from>
      <xdr:col>10</xdr:col>
      <xdr:colOff>47625</xdr:colOff>
      <xdr:row>25</xdr:row>
      <xdr:rowOff>0</xdr:rowOff>
    </xdr:from>
    <xdr:ext cx="190500" cy="163711"/>
    <xdr:pic>
      <xdr:nvPicPr>
        <xdr:cNvPr id="44" name="AlertMaxVarThr" hidden="1"/>
        <xdr:cNvPicPr>
          <a:picLocks noChangeAspect="1"/>
        </xdr:cNvPicPr>
      </xdr:nvPicPr>
      <xdr:blipFill>
        <a:blip r:embed="rId1" cstate="print"/>
        <a:stretch>
          <a:fillRect/>
        </a:stretch>
      </xdr:blipFill>
      <xdr:spPr>
        <a:xfrm>
          <a:off x="11984990" y="7578725"/>
          <a:ext cx="190500" cy="163195"/>
        </a:xfrm>
        <a:prstGeom prst="rect">
          <a:avLst/>
        </a:prstGeom>
      </xdr:spPr>
    </xdr:pic>
    <xdr:clientData/>
  </xdr:oneCellAnchor>
  <xdr:oneCellAnchor>
    <xdr:from>
      <xdr:col>10</xdr:col>
      <xdr:colOff>47625</xdr:colOff>
      <xdr:row>25</xdr:row>
      <xdr:rowOff>0</xdr:rowOff>
    </xdr:from>
    <xdr:ext cx="190500" cy="163711"/>
    <xdr:pic>
      <xdr:nvPicPr>
        <xdr:cNvPr id="45" name="AlertMaxVarThr" hidden="1"/>
        <xdr:cNvPicPr>
          <a:picLocks noChangeAspect="1"/>
        </xdr:cNvPicPr>
      </xdr:nvPicPr>
      <xdr:blipFill>
        <a:blip r:embed="rId1" cstate="print"/>
        <a:stretch>
          <a:fillRect/>
        </a:stretch>
      </xdr:blipFill>
      <xdr:spPr>
        <a:xfrm>
          <a:off x="11984990" y="7578725"/>
          <a:ext cx="190500" cy="163195"/>
        </a:xfrm>
        <a:prstGeom prst="rect">
          <a:avLst/>
        </a:prstGeom>
      </xdr:spPr>
    </xdr:pic>
    <xdr:clientData/>
  </xdr:oneCellAnchor>
  <xdr:oneCellAnchor>
    <xdr:from>
      <xdr:col>10</xdr:col>
      <xdr:colOff>47625</xdr:colOff>
      <xdr:row>25</xdr:row>
      <xdr:rowOff>0</xdr:rowOff>
    </xdr:from>
    <xdr:ext cx="190500" cy="163711"/>
    <xdr:pic>
      <xdr:nvPicPr>
        <xdr:cNvPr id="46" name="AlertMaxVarThr" hidden="1"/>
        <xdr:cNvPicPr>
          <a:picLocks noChangeAspect="1"/>
        </xdr:cNvPicPr>
      </xdr:nvPicPr>
      <xdr:blipFill>
        <a:blip r:embed="rId1" cstate="print"/>
        <a:stretch>
          <a:fillRect/>
        </a:stretch>
      </xdr:blipFill>
      <xdr:spPr>
        <a:xfrm>
          <a:off x="11984990" y="7578725"/>
          <a:ext cx="190500" cy="163195"/>
        </a:xfrm>
        <a:prstGeom prst="rect">
          <a:avLst/>
        </a:prstGeom>
      </xdr:spPr>
    </xdr:pic>
    <xdr:clientData/>
  </xdr:oneCellAnchor>
  <xdr:oneCellAnchor>
    <xdr:from>
      <xdr:col>10</xdr:col>
      <xdr:colOff>47625</xdr:colOff>
      <xdr:row>25</xdr:row>
      <xdr:rowOff>0</xdr:rowOff>
    </xdr:from>
    <xdr:ext cx="190500" cy="163711"/>
    <xdr:pic>
      <xdr:nvPicPr>
        <xdr:cNvPr id="47" name="AlertMaxVarThr" hidden="1"/>
        <xdr:cNvPicPr>
          <a:picLocks noChangeAspect="1"/>
        </xdr:cNvPicPr>
      </xdr:nvPicPr>
      <xdr:blipFill>
        <a:blip r:embed="rId1" cstate="print"/>
        <a:stretch>
          <a:fillRect/>
        </a:stretch>
      </xdr:blipFill>
      <xdr:spPr>
        <a:xfrm>
          <a:off x="11984990" y="7578725"/>
          <a:ext cx="190500" cy="163195"/>
        </a:xfrm>
        <a:prstGeom prst="rect">
          <a:avLst/>
        </a:prstGeom>
      </xdr:spPr>
    </xdr:pic>
    <xdr:clientData/>
  </xdr:oneCellAnchor>
  <xdr:oneCellAnchor>
    <xdr:from>
      <xdr:col>10</xdr:col>
      <xdr:colOff>47625</xdr:colOff>
      <xdr:row>25</xdr:row>
      <xdr:rowOff>0</xdr:rowOff>
    </xdr:from>
    <xdr:ext cx="190500" cy="163711"/>
    <xdr:pic>
      <xdr:nvPicPr>
        <xdr:cNvPr id="48" name="AlertMaxVarThr" hidden="1"/>
        <xdr:cNvPicPr>
          <a:picLocks noChangeAspect="1"/>
        </xdr:cNvPicPr>
      </xdr:nvPicPr>
      <xdr:blipFill>
        <a:blip r:embed="rId1" cstate="print"/>
        <a:stretch>
          <a:fillRect/>
        </a:stretch>
      </xdr:blipFill>
      <xdr:spPr>
        <a:xfrm>
          <a:off x="11984990" y="7578725"/>
          <a:ext cx="190500" cy="163195"/>
        </a:xfrm>
        <a:prstGeom prst="rect">
          <a:avLst/>
        </a:prstGeom>
      </xdr:spPr>
    </xdr:pic>
    <xdr:clientData/>
  </xdr:oneCellAnchor>
  <xdr:oneCellAnchor>
    <xdr:from>
      <xdr:col>10</xdr:col>
      <xdr:colOff>47625</xdr:colOff>
      <xdr:row>25</xdr:row>
      <xdr:rowOff>0</xdr:rowOff>
    </xdr:from>
    <xdr:ext cx="190500" cy="163711"/>
    <xdr:pic>
      <xdr:nvPicPr>
        <xdr:cNvPr id="49" name="AlertMaxVarThr" hidden="1"/>
        <xdr:cNvPicPr>
          <a:picLocks noChangeAspect="1"/>
        </xdr:cNvPicPr>
      </xdr:nvPicPr>
      <xdr:blipFill>
        <a:blip r:embed="rId1" cstate="print"/>
        <a:stretch>
          <a:fillRect/>
        </a:stretch>
      </xdr:blipFill>
      <xdr:spPr>
        <a:xfrm>
          <a:off x="11984990" y="7578725"/>
          <a:ext cx="190500" cy="163195"/>
        </a:xfrm>
        <a:prstGeom prst="rect">
          <a:avLst/>
        </a:prstGeom>
      </xdr:spPr>
    </xdr:pic>
    <xdr:clientData/>
  </xdr:oneCellAnchor>
  <xdr:oneCellAnchor>
    <xdr:from>
      <xdr:col>10</xdr:col>
      <xdr:colOff>47625</xdr:colOff>
      <xdr:row>25</xdr:row>
      <xdr:rowOff>0</xdr:rowOff>
    </xdr:from>
    <xdr:ext cx="190500" cy="163711"/>
    <xdr:pic>
      <xdr:nvPicPr>
        <xdr:cNvPr id="50" name="AlertMaxVarThr" hidden="1"/>
        <xdr:cNvPicPr>
          <a:picLocks noChangeAspect="1"/>
        </xdr:cNvPicPr>
      </xdr:nvPicPr>
      <xdr:blipFill>
        <a:blip r:embed="rId1" cstate="print"/>
        <a:stretch>
          <a:fillRect/>
        </a:stretch>
      </xdr:blipFill>
      <xdr:spPr>
        <a:xfrm>
          <a:off x="11984990" y="7578725"/>
          <a:ext cx="190500" cy="163195"/>
        </a:xfrm>
        <a:prstGeom prst="rect">
          <a:avLst/>
        </a:prstGeom>
      </xdr:spPr>
    </xdr:pic>
    <xdr:clientData/>
  </xdr:oneCellAnchor>
  <xdr:oneCellAnchor>
    <xdr:from>
      <xdr:col>10</xdr:col>
      <xdr:colOff>47625</xdr:colOff>
      <xdr:row>25</xdr:row>
      <xdr:rowOff>0</xdr:rowOff>
    </xdr:from>
    <xdr:ext cx="190500" cy="163711"/>
    <xdr:pic>
      <xdr:nvPicPr>
        <xdr:cNvPr id="51" name="AlertMaxVarThr" hidden="1"/>
        <xdr:cNvPicPr>
          <a:picLocks noChangeAspect="1"/>
        </xdr:cNvPicPr>
      </xdr:nvPicPr>
      <xdr:blipFill>
        <a:blip r:embed="rId1" cstate="print"/>
        <a:stretch>
          <a:fillRect/>
        </a:stretch>
      </xdr:blipFill>
      <xdr:spPr>
        <a:xfrm>
          <a:off x="11984990" y="7578725"/>
          <a:ext cx="190500" cy="163195"/>
        </a:xfrm>
        <a:prstGeom prst="rect">
          <a:avLst/>
        </a:prstGeom>
      </xdr:spPr>
    </xdr:pic>
    <xdr:clientData/>
  </xdr:oneCellAnchor>
  <xdr:oneCellAnchor>
    <xdr:from>
      <xdr:col>10</xdr:col>
      <xdr:colOff>47625</xdr:colOff>
      <xdr:row>25</xdr:row>
      <xdr:rowOff>0</xdr:rowOff>
    </xdr:from>
    <xdr:ext cx="190500" cy="163711"/>
    <xdr:pic>
      <xdr:nvPicPr>
        <xdr:cNvPr id="52" name="AlertMaxVarThr" hidden="1"/>
        <xdr:cNvPicPr>
          <a:picLocks noChangeAspect="1"/>
        </xdr:cNvPicPr>
      </xdr:nvPicPr>
      <xdr:blipFill>
        <a:blip r:embed="rId1" cstate="print"/>
        <a:stretch>
          <a:fillRect/>
        </a:stretch>
      </xdr:blipFill>
      <xdr:spPr>
        <a:xfrm>
          <a:off x="11984990" y="7578725"/>
          <a:ext cx="190500" cy="163195"/>
        </a:xfrm>
        <a:prstGeom prst="rect">
          <a:avLst/>
        </a:prstGeom>
      </xdr:spPr>
    </xdr:pic>
    <xdr:clientData/>
  </xdr:oneCellAnchor>
  <xdr:oneCellAnchor>
    <xdr:from>
      <xdr:col>10</xdr:col>
      <xdr:colOff>47625</xdr:colOff>
      <xdr:row>25</xdr:row>
      <xdr:rowOff>0</xdr:rowOff>
    </xdr:from>
    <xdr:ext cx="190500" cy="163711"/>
    <xdr:pic>
      <xdr:nvPicPr>
        <xdr:cNvPr id="53" name="AlertMaxVarThr" hidden="1"/>
        <xdr:cNvPicPr>
          <a:picLocks noChangeAspect="1"/>
        </xdr:cNvPicPr>
      </xdr:nvPicPr>
      <xdr:blipFill>
        <a:blip r:embed="rId1" cstate="print"/>
        <a:stretch>
          <a:fillRect/>
        </a:stretch>
      </xdr:blipFill>
      <xdr:spPr>
        <a:xfrm>
          <a:off x="11984990" y="7578725"/>
          <a:ext cx="190500" cy="163195"/>
        </a:xfrm>
        <a:prstGeom prst="rect">
          <a:avLst/>
        </a:prstGeom>
      </xdr:spPr>
    </xdr:pic>
    <xdr:clientData/>
  </xdr:oneCellAnchor>
  <xdr:oneCellAnchor>
    <xdr:from>
      <xdr:col>10</xdr:col>
      <xdr:colOff>47625</xdr:colOff>
      <xdr:row>25</xdr:row>
      <xdr:rowOff>0</xdr:rowOff>
    </xdr:from>
    <xdr:ext cx="190500" cy="163711"/>
    <xdr:pic>
      <xdr:nvPicPr>
        <xdr:cNvPr id="54" name="AlertMaxVarThr" hidden="1"/>
        <xdr:cNvPicPr>
          <a:picLocks noChangeAspect="1"/>
        </xdr:cNvPicPr>
      </xdr:nvPicPr>
      <xdr:blipFill>
        <a:blip r:embed="rId1" cstate="print"/>
        <a:stretch>
          <a:fillRect/>
        </a:stretch>
      </xdr:blipFill>
      <xdr:spPr>
        <a:xfrm>
          <a:off x="11984990" y="7578725"/>
          <a:ext cx="190500" cy="163195"/>
        </a:xfrm>
        <a:prstGeom prst="rect">
          <a:avLst/>
        </a:prstGeom>
      </xdr:spPr>
    </xdr:pic>
    <xdr:clientData/>
  </xdr:oneCellAnchor>
  <xdr:oneCellAnchor>
    <xdr:from>
      <xdr:col>10</xdr:col>
      <xdr:colOff>47625</xdr:colOff>
      <xdr:row>25</xdr:row>
      <xdr:rowOff>0</xdr:rowOff>
    </xdr:from>
    <xdr:ext cx="190500" cy="163711"/>
    <xdr:pic>
      <xdr:nvPicPr>
        <xdr:cNvPr id="55" name="AlertMaxVarThr" hidden="1"/>
        <xdr:cNvPicPr>
          <a:picLocks noChangeAspect="1"/>
        </xdr:cNvPicPr>
      </xdr:nvPicPr>
      <xdr:blipFill>
        <a:blip r:embed="rId1" cstate="print"/>
        <a:stretch>
          <a:fillRect/>
        </a:stretch>
      </xdr:blipFill>
      <xdr:spPr>
        <a:xfrm>
          <a:off x="11984990" y="7578725"/>
          <a:ext cx="190500" cy="163195"/>
        </a:xfrm>
        <a:prstGeom prst="rect">
          <a:avLst/>
        </a:prstGeom>
      </xdr:spPr>
    </xdr:pic>
    <xdr:clientData/>
  </xdr:oneCellAnchor>
  <xdr:oneCellAnchor>
    <xdr:from>
      <xdr:col>10</xdr:col>
      <xdr:colOff>47625</xdr:colOff>
      <xdr:row>25</xdr:row>
      <xdr:rowOff>0</xdr:rowOff>
    </xdr:from>
    <xdr:ext cx="190500" cy="163711"/>
    <xdr:pic>
      <xdr:nvPicPr>
        <xdr:cNvPr id="56" name="AlertMaxVarThr" hidden="1"/>
        <xdr:cNvPicPr>
          <a:picLocks noChangeAspect="1"/>
        </xdr:cNvPicPr>
      </xdr:nvPicPr>
      <xdr:blipFill>
        <a:blip r:embed="rId1" cstate="print"/>
        <a:stretch>
          <a:fillRect/>
        </a:stretch>
      </xdr:blipFill>
      <xdr:spPr>
        <a:xfrm>
          <a:off x="11984990" y="7578725"/>
          <a:ext cx="190500" cy="163195"/>
        </a:xfrm>
        <a:prstGeom prst="rect">
          <a:avLst/>
        </a:prstGeom>
      </xdr:spPr>
    </xdr:pic>
    <xdr:clientData/>
  </xdr:oneCellAnchor>
  <xdr:oneCellAnchor>
    <xdr:from>
      <xdr:col>10</xdr:col>
      <xdr:colOff>47625</xdr:colOff>
      <xdr:row>25</xdr:row>
      <xdr:rowOff>0</xdr:rowOff>
    </xdr:from>
    <xdr:ext cx="190500" cy="163711"/>
    <xdr:pic>
      <xdr:nvPicPr>
        <xdr:cNvPr id="57" name="AlertMaxVarThr" hidden="1"/>
        <xdr:cNvPicPr>
          <a:picLocks noChangeAspect="1"/>
        </xdr:cNvPicPr>
      </xdr:nvPicPr>
      <xdr:blipFill>
        <a:blip r:embed="rId1" cstate="print"/>
        <a:stretch>
          <a:fillRect/>
        </a:stretch>
      </xdr:blipFill>
      <xdr:spPr>
        <a:xfrm>
          <a:off x="11984990" y="7578725"/>
          <a:ext cx="190500" cy="163195"/>
        </a:xfrm>
        <a:prstGeom prst="rect">
          <a:avLst/>
        </a:prstGeom>
      </xdr:spPr>
    </xdr:pic>
    <xdr:clientData/>
  </xdr:oneCellAnchor>
  <xdr:oneCellAnchor>
    <xdr:from>
      <xdr:col>10</xdr:col>
      <xdr:colOff>47625</xdr:colOff>
      <xdr:row>25</xdr:row>
      <xdr:rowOff>0</xdr:rowOff>
    </xdr:from>
    <xdr:ext cx="190500" cy="163711"/>
    <xdr:pic>
      <xdr:nvPicPr>
        <xdr:cNvPr id="58" name="AlertMaxVarThr" hidden="1"/>
        <xdr:cNvPicPr>
          <a:picLocks noChangeAspect="1"/>
        </xdr:cNvPicPr>
      </xdr:nvPicPr>
      <xdr:blipFill>
        <a:blip r:embed="rId1" cstate="print"/>
        <a:stretch>
          <a:fillRect/>
        </a:stretch>
      </xdr:blipFill>
      <xdr:spPr>
        <a:xfrm>
          <a:off x="11984990" y="7578725"/>
          <a:ext cx="190500" cy="163195"/>
        </a:xfrm>
        <a:prstGeom prst="rect">
          <a:avLst/>
        </a:prstGeom>
      </xdr:spPr>
    </xdr:pic>
    <xdr:clientData/>
  </xdr:oneCellAnchor>
  <xdr:oneCellAnchor>
    <xdr:from>
      <xdr:col>5</xdr:col>
      <xdr:colOff>47625</xdr:colOff>
      <xdr:row>25</xdr:row>
      <xdr:rowOff>0</xdr:rowOff>
    </xdr:from>
    <xdr:ext cx="190500" cy="163711"/>
    <xdr:pic>
      <xdr:nvPicPr>
        <xdr:cNvPr id="59" name="AlertMaxVarThr" hidden="1"/>
        <xdr:cNvPicPr>
          <a:picLocks noChangeAspect="1"/>
        </xdr:cNvPicPr>
      </xdr:nvPicPr>
      <xdr:blipFill>
        <a:blip r:embed="rId1" cstate="print"/>
        <a:stretch>
          <a:fillRect/>
        </a:stretch>
      </xdr:blipFill>
      <xdr:spPr>
        <a:xfrm>
          <a:off x="5358765" y="7578725"/>
          <a:ext cx="190500" cy="163195"/>
        </a:xfrm>
        <a:prstGeom prst="rect">
          <a:avLst/>
        </a:prstGeom>
      </xdr:spPr>
    </xdr:pic>
    <xdr:clientData/>
  </xdr:oneCellAnchor>
  <xdr:oneCellAnchor>
    <xdr:from>
      <xdr:col>5</xdr:col>
      <xdr:colOff>47625</xdr:colOff>
      <xdr:row>25</xdr:row>
      <xdr:rowOff>0</xdr:rowOff>
    </xdr:from>
    <xdr:ext cx="190500" cy="163711"/>
    <xdr:pic>
      <xdr:nvPicPr>
        <xdr:cNvPr id="60" name="AlertMaxVarThr" hidden="1"/>
        <xdr:cNvPicPr>
          <a:picLocks noChangeAspect="1"/>
        </xdr:cNvPicPr>
      </xdr:nvPicPr>
      <xdr:blipFill>
        <a:blip r:embed="rId1" cstate="print"/>
        <a:stretch>
          <a:fillRect/>
        </a:stretch>
      </xdr:blipFill>
      <xdr:spPr>
        <a:xfrm>
          <a:off x="5358765" y="7578725"/>
          <a:ext cx="190500" cy="163195"/>
        </a:xfrm>
        <a:prstGeom prst="rect">
          <a:avLst/>
        </a:prstGeom>
      </xdr:spPr>
    </xdr:pic>
    <xdr:clientData/>
  </xdr:oneCellAnchor>
  <xdr:oneCellAnchor>
    <xdr:from>
      <xdr:col>5</xdr:col>
      <xdr:colOff>47625</xdr:colOff>
      <xdr:row>25</xdr:row>
      <xdr:rowOff>0</xdr:rowOff>
    </xdr:from>
    <xdr:ext cx="190500" cy="163711"/>
    <xdr:pic>
      <xdr:nvPicPr>
        <xdr:cNvPr id="61" name="AlertMaxVarThr" hidden="1"/>
        <xdr:cNvPicPr>
          <a:picLocks noChangeAspect="1"/>
        </xdr:cNvPicPr>
      </xdr:nvPicPr>
      <xdr:blipFill>
        <a:blip r:embed="rId1" cstate="print"/>
        <a:stretch>
          <a:fillRect/>
        </a:stretch>
      </xdr:blipFill>
      <xdr:spPr>
        <a:xfrm>
          <a:off x="5358765" y="7578725"/>
          <a:ext cx="190500" cy="163195"/>
        </a:xfrm>
        <a:prstGeom prst="rect">
          <a:avLst/>
        </a:prstGeom>
      </xdr:spPr>
    </xdr:pic>
    <xdr:clientData/>
  </xdr:oneCellAnchor>
  <xdr:oneCellAnchor>
    <xdr:from>
      <xdr:col>5</xdr:col>
      <xdr:colOff>47625</xdr:colOff>
      <xdr:row>25</xdr:row>
      <xdr:rowOff>0</xdr:rowOff>
    </xdr:from>
    <xdr:ext cx="190500" cy="163711"/>
    <xdr:pic>
      <xdr:nvPicPr>
        <xdr:cNvPr id="62" name="AlertMaxVarThr" hidden="1"/>
        <xdr:cNvPicPr>
          <a:picLocks noChangeAspect="1"/>
        </xdr:cNvPicPr>
      </xdr:nvPicPr>
      <xdr:blipFill>
        <a:blip r:embed="rId1" cstate="print"/>
        <a:stretch>
          <a:fillRect/>
        </a:stretch>
      </xdr:blipFill>
      <xdr:spPr>
        <a:xfrm>
          <a:off x="5358765" y="7578725"/>
          <a:ext cx="190500" cy="163195"/>
        </a:xfrm>
        <a:prstGeom prst="rect">
          <a:avLst/>
        </a:prstGeom>
      </xdr:spPr>
    </xdr:pic>
    <xdr:clientData/>
  </xdr:oneCellAnchor>
  <xdr:oneCellAnchor>
    <xdr:from>
      <xdr:col>5</xdr:col>
      <xdr:colOff>47625</xdr:colOff>
      <xdr:row>25</xdr:row>
      <xdr:rowOff>0</xdr:rowOff>
    </xdr:from>
    <xdr:ext cx="190500" cy="163711"/>
    <xdr:pic>
      <xdr:nvPicPr>
        <xdr:cNvPr id="63" name="AlertMaxVarThr" hidden="1"/>
        <xdr:cNvPicPr>
          <a:picLocks noChangeAspect="1"/>
        </xdr:cNvPicPr>
      </xdr:nvPicPr>
      <xdr:blipFill>
        <a:blip r:embed="rId1" cstate="print"/>
        <a:stretch>
          <a:fillRect/>
        </a:stretch>
      </xdr:blipFill>
      <xdr:spPr>
        <a:xfrm>
          <a:off x="5358765" y="7578725"/>
          <a:ext cx="190500" cy="163195"/>
        </a:xfrm>
        <a:prstGeom prst="rect">
          <a:avLst/>
        </a:prstGeom>
      </xdr:spPr>
    </xdr:pic>
    <xdr:clientData/>
  </xdr:oneCellAnchor>
  <xdr:oneCellAnchor>
    <xdr:from>
      <xdr:col>8</xdr:col>
      <xdr:colOff>47625</xdr:colOff>
      <xdr:row>25</xdr:row>
      <xdr:rowOff>0</xdr:rowOff>
    </xdr:from>
    <xdr:ext cx="190500" cy="163711"/>
    <xdr:pic>
      <xdr:nvPicPr>
        <xdr:cNvPr id="64" name="AlertMaxVarThr" hidden="1"/>
        <xdr:cNvPicPr>
          <a:picLocks noChangeAspect="1"/>
        </xdr:cNvPicPr>
      </xdr:nvPicPr>
      <xdr:blipFill>
        <a:blip r:embed="rId1" cstate="print"/>
        <a:stretch>
          <a:fillRect/>
        </a:stretch>
      </xdr:blipFill>
      <xdr:spPr>
        <a:xfrm>
          <a:off x="9466580" y="7578725"/>
          <a:ext cx="190500" cy="163195"/>
        </a:xfrm>
        <a:prstGeom prst="rect">
          <a:avLst/>
        </a:prstGeom>
      </xdr:spPr>
    </xdr:pic>
    <xdr:clientData/>
  </xdr:oneCellAnchor>
  <xdr:oneCellAnchor>
    <xdr:from>
      <xdr:col>8</xdr:col>
      <xdr:colOff>47625</xdr:colOff>
      <xdr:row>25</xdr:row>
      <xdr:rowOff>0</xdr:rowOff>
    </xdr:from>
    <xdr:ext cx="190500" cy="163711"/>
    <xdr:pic>
      <xdr:nvPicPr>
        <xdr:cNvPr id="65" name="AlertMaxVarThr" hidden="1"/>
        <xdr:cNvPicPr>
          <a:picLocks noChangeAspect="1"/>
        </xdr:cNvPicPr>
      </xdr:nvPicPr>
      <xdr:blipFill>
        <a:blip r:embed="rId1" cstate="print"/>
        <a:stretch>
          <a:fillRect/>
        </a:stretch>
      </xdr:blipFill>
      <xdr:spPr>
        <a:xfrm>
          <a:off x="9466580" y="7578725"/>
          <a:ext cx="190500" cy="163195"/>
        </a:xfrm>
        <a:prstGeom prst="rect">
          <a:avLst/>
        </a:prstGeom>
      </xdr:spPr>
    </xdr:pic>
    <xdr:clientData/>
  </xdr:oneCellAnchor>
  <xdr:oneCellAnchor>
    <xdr:from>
      <xdr:col>8</xdr:col>
      <xdr:colOff>47625</xdr:colOff>
      <xdr:row>25</xdr:row>
      <xdr:rowOff>0</xdr:rowOff>
    </xdr:from>
    <xdr:ext cx="190500" cy="163711"/>
    <xdr:pic>
      <xdr:nvPicPr>
        <xdr:cNvPr id="66" name="AlertMaxVarThr" hidden="1"/>
        <xdr:cNvPicPr>
          <a:picLocks noChangeAspect="1"/>
        </xdr:cNvPicPr>
      </xdr:nvPicPr>
      <xdr:blipFill>
        <a:blip r:embed="rId1" cstate="print"/>
        <a:stretch>
          <a:fillRect/>
        </a:stretch>
      </xdr:blipFill>
      <xdr:spPr>
        <a:xfrm>
          <a:off x="9466580" y="7578725"/>
          <a:ext cx="190500" cy="163195"/>
        </a:xfrm>
        <a:prstGeom prst="rect">
          <a:avLst/>
        </a:prstGeom>
      </xdr:spPr>
    </xdr:pic>
    <xdr:clientData/>
  </xdr:oneCellAnchor>
  <xdr:oneCellAnchor>
    <xdr:from>
      <xdr:col>8</xdr:col>
      <xdr:colOff>47625</xdr:colOff>
      <xdr:row>25</xdr:row>
      <xdr:rowOff>0</xdr:rowOff>
    </xdr:from>
    <xdr:ext cx="190500" cy="163711"/>
    <xdr:pic>
      <xdr:nvPicPr>
        <xdr:cNvPr id="67" name="AlertMaxVarThr" hidden="1"/>
        <xdr:cNvPicPr>
          <a:picLocks noChangeAspect="1"/>
        </xdr:cNvPicPr>
      </xdr:nvPicPr>
      <xdr:blipFill>
        <a:blip r:embed="rId1" cstate="print"/>
        <a:stretch>
          <a:fillRect/>
        </a:stretch>
      </xdr:blipFill>
      <xdr:spPr>
        <a:xfrm>
          <a:off x="9466580" y="7578725"/>
          <a:ext cx="190500" cy="163195"/>
        </a:xfrm>
        <a:prstGeom prst="rect">
          <a:avLst/>
        </a:prstGeom>
      </xdr:spPr>
    </xdr:pic>
    <xdr:clientData/>
  </xdr:oneCellAnchor>
  <xdr:oneCellAnchor>
    <xdr:from>
      <xdr:col>8</xdr:col>
      <xdr:colOff>47625</xdr:colOff>
      <xdr:row>25</xdr:row>
      <xdr:rowOff>0</xdr:rowOff>
    </xdr:from>
    <xdr:ext cx="190500" cy="163711"/>
    <xdr:pic>
      <xdr:nvPicPr>
        <xdr:cNvPr id="68" name="AlertMaxVarThr" hidden="1"/>
        <xdr:cNvPicPr>
          <a:picLocks noChangeAspect="1"/>
        </xdr:cNvPicPr>
      </xdr:nvPicPr>
      <xdr:blipFill>
        <a:blip r:embed="rId1" cstate="print"/>
        <a:stretch>
          <a:fillRect/>
        </a:stretch>
      </xdr:blipFill>
      <xdr:spPr>
        <a:xfrm>
          <a:off x="9466580" y="7578725"/>
          <a:ext cx="190500" cy="163195"/>
        </a:xfrm>
        <a:prstGeom prst="rect">
          <a:avLst/>
        </a:prstGeom>
      </xdr:spPr>
    </xdr:pic>
    <xdr:clientData/>
  </xdr:oneCellAnchor>
  <xdr:oneCellAnchor>
    <xdr:from>
      <xdr:col>10</xdr:col>
      <xdr:colOff>47625</xdr:colOff>
      <xdr:row>25</xdr:row>
      <xdr:rowOff>0</xdr:rowOff>
    </xdr:from>
    <xdr:ext cx="190500" cy="163711"/>
    <xdr:pic>
      <xdr:nvPicPr>
        <xdr:cNvPr id="69" name="AlertMaxVarThr" hidden="1"/>
        <xdr:cNvPicPr>
          <a:picLocks noChangeAspect="1"/>
        </xdr:cNvPicPr>
      </xdr:nvPicPr>
      <xdr:blipFill>
        <a:blip r:embed="rId1" cstate="print"/>
        <a:stretch>
          <a:fillRect/>
        </a:stretch>
      </xdr:blipFill>
      <xdr:spPr>
        <a:xfrm>
          <a:off x="11984990" y="7578725"/>
          <a:ext cx="190500" cy="163195"/>
        </a:xfrm>
        <a:prstGeom prst="rect">
          <a:avLst/>
        </a:prstGeom>
      </xdr:spPr>
    </xdr:pic>
    <xdr:clientData/>
  </xdr:oneCellAnchor>
  <xdr:oneCellAnchor>
    <xdr:from>
      <xdr:col>10</xdr:col>
      <xdr:colOff>47625</xdr:colOff>
      <xdr:row>25</xdr:row>
      <xdr:rowOff>0</xdr:rowOff>
    </xdr:from>
    <xdr:ext cx="190500" cy="163711"/>
    <xdr:pic>
      <xdr:nvPicPr>
        <xdr:cNvPr id="70" name="AlertMaxVarThr" hidden="1"/>
        <xdr:cNvPicPr>
          <a:picLocks noChangeAspect="1"/>
        </xdr:cNvPicPr>
      </xdr:nvPicPr>
      <xdr:blipFill>
        <a:blip r:embed="rId1" cstate="print"/>
        <a:stretch>
          <a:fillRect/>
        </a:stretch>
      </xdr:blipFill>
      <xdr:spPr>
        <a:xfrm>
          <a:off x="11984990" y="7578725"/>
          <a:ext cx="190500" cy="163195"/>
        </a:xfrm>
        <a:prstGeom prst="rect">
          <a:avLst/>
        </a:prstGeom>
      </xdr:spPr>
    </xdr:pic>
    <xdr:clientData/>
  </xdr:oneCellAnchor>
  <xdr:oneCellAnchor>
    <xdr:from>
      <xdr:col>10</xdr:col>
      <xdr:colOff>47625</xdr:colOff>
      <xdr:row>25</xdr:row>
      <xdr:rowOff>0</xdr:rowOff>
    </xdr:from>
    <xdr:ext cx="190500" cy="163711"/>
    <xdr:pic>
      <xdr:nvPicPr>
        <xdr:cNvPr id="71" name="AlertMaxVarThr" hidden="1"/>
        <xdr:cNvPicPr>
          <a:picLocks noChangeAspect="1"/>
        </xdr:cNvPicPr>
      </xdr:nvPicPr>
      <xdr:blipFill>
        <a:blip r:embed="rId1" cstate="print"/>
        <a:stretch>
          <a:fillRect/>
        </a:stretch>
      </xdr:blipFill>
      <xdr:spPr>
        <a:xfrm>
          <a:off x="11984990" y="7578725"/>
          <a:ext cx="190500" cy="163195"/>
        </a:xfrm>
        <a:prstGeom prst="rect">
          <a:avLst/>
        </a:prstGeom>
      </xdr:spPr>
    </xdr:pic>
    <xdr:clientData/>
  </xdr:oneCellAnchor>
  <xdr:oneCellAnchor>
    <xdr:from>
      <xdr:col>10</xdr:col>
      <xdr:colOff>47625</xdr:colOff>
      <xdr:row>25</xdr:row>
      <xdr:rowOff>0</xdr:rowOff>
    </xdr:from>
    <xdr:ext cx="190500" cy="163711"/>
    <xdr:pic>
      <xdr:nvPicPr>
        <xdr:cNvPr id="72" name="AlertMaxVarThr" hidden="1"/>
        <xdr:cNvPicPr>
          <a:picLocks noChangeAspect="1"/>
        </xdr:cNvPicPr>
      </xdr:nvPicPr>
      <xdr:blipFill>
        <a:blip r:embed="rId1" cstate="print"/>
        <a:stretch>
          <a:fillRect/>
        </a:stretch>
      </xdr:blipFill>
      <xdr:spPr>
        <a:xfrm>
          <a:off x="11984990" y="7578725"/>
          <a:ext cx="190500" cy="163195"/>
        </a:xfrm>
        <a:prstGeom prst="rect">
          <a:avLst/>
        </a:prstGeom>
      </xdr:spPr>
    </xdr:pic>
    <xdr:clientData/>
  </xdr:oneCellAnchor>
  <xdr:oneCellAnchor>
    <xdr:from>
      <xdr:col>10</xdr:col>
      <xdr:colOff>47625</xdr:colOff>
      <xdr:row>25</xdr:row>
      <xdr:rowOff>0</xdr:rowOff>
    </xdr:from>
    <xdr:ext cx="190500" cy="163711"/>
    <xdr:pic>
      <xdr:nvPicPr>
        <xdr:cNvPr id="73" name="AlertMaxVarThr" hidden="1"/>
        <xdr:cNvPicPr>
          <a:picLocks noChangeAspect="1"/>
        </xdr:cNvPicPr>
      </xdr:nvPicPr>
      <xdr:blipFill>
        <a:blip r:embed="rId1" cstate="print"/>
        <a:stretch>
          <a:fillRect/>
        </a:stretch>
      </xdr:blipFill>
      <xdr:spPr>
        <a:xfrm>
          <a:off x="11984990" y="7578725"/>
          <a:ext cx="190500" cy="163195"/>
        </a:xfrm>
        <a:prstGeom prst="rect">
          <a:avLst/>
        </a:prstGeom>
      </xdr:spPr>
    </xdr:pic>
    <xdr:clientData/>
  </xdr:oneCellAnchor>
  <xdr:oneCellAnchor>
    <xdr:from>
      <xdr:col>5</xdr:col>
      <xdr:colOff>47625</xdr:colOff>
      <xdr:row>73</xdr:row>
      <xdr:rowOff>0</xdr:rowOff>
    </xdr:from>
    <xdr:ext cx="190500" cy="163711"/>
    <xdr:pic>
      <xdr:nvPicPr>
        <xdr:cNvPr id="74" name="AlertMaxVarThr" hidden="1"/>
        <xdr:cNvPicPr>
          <a:picLocks noChangeAspect="1"/>
        </xdr:cNvPicPr>
      </xdr:nvPicPr>
      <xdr:blipFill>
        <a:blip r:embed="rId1" cstate="print"/>
        <a:stretch>
          <a:fillRect/>
        </a:stretch>
      </xdr:blipFill>
      <xdr:spPr>
        <a:xfrm>
          <a:off x="5358765" y="17195800"/>
          <a:ext cx="190500" cy="163195"/>
        </a:xfrm>
        <a:prstGeom prst="rect">
          <a:avLst/>
        </a:prstGeom>
      </xdr:spPr>
    </xdr:pic>
    <xdr:clientData/>
  </xdr:oneCellAnchor>
  <xdr:oneCellAnchor>
    <xdr:from>
      <xdr:col>5</xdr:col>
      <xdr:colOff>47625</xdr:colOff>
      <xdr:row>73</xdr:row>
      <xdr:rowOff>0</xdr:rowOff>
    </xdr:from>
    <xdr:ext cx="190500" cy="163711"/>
    <xdr:pic>
      <xdr:nvPicPr>
        <xdr:cNvPr id="75" name="AlertMaxVarThr" hidden="1"/>
        <xdr:cNvPicPr>
          <a:picLocks noChangeAspect="1"/>
        </xdr:cNvPicPr>
      </xdr:nvPicPr>
      <xdr:blipFill>
        <a:blip r:embed="rId1" cstate="print"/>
        <a:stretch>
          <a:fillRect/>
        </a:stretch>
      </xdr:blipFill>
      <xdr:spPr>
        <a:xfrm>
          <a:off x="5358765" y="17195800"/>
          <a:ext cx="190500" cy="163195"/>
        </a:xfrm>
        <a:prstGeom prst="rect">
          <a:avLst/>
        </a:prstGeom>
      </xdr:spPr>
    </xdr:pic>
    <xdr:clientData/>
  </xdr:oneCellAnchor>
  <xdr:oneCellAnchor>
    <xdr:from>
      <xdr:col>5</xdr:col>
      <xdr:colOff>47625</xdr:colOff>
      <xdr:row>66</xdr:row>
      <xdr:rowOff>0</xdr:rowOff>
    </xdr:from>
    <xdr:ext cx="190500" cy="163711"/>
    <xdr:pic>
      <xdr:nvPicPr>
        <xdr:cNvPr id="76" name="AlertMaxVarThr" hidden="1"/>
        <xdr:cNvPicPr>
          <a:picLocks noChangeAspect="1"/>
        </xdr:cNvPicPr>
      </xdr:nvPicPr>
      <xdr:blipFill>
        <a:blip r:embed="rId1" cstate="print"/>
        <a:stretch>
          <a:fillRect/>
        </a:stretch>
      </xdr:blipFill>
      <xdr:spPr>
        <a:xfrm>
          <a:off x="5358765" y="15609570"/>
          <a:ext cx="190500" cy="163195"/>
        </a:xfrm>
        <a:prstGeom prst="rect">
          <a:avLst/>
        </a:prstGeom>
      </xdr:spPr>
    </xdr:pic>
    <xdr:clientData/>
  </xdr:oneCellAnchor>
  <xdr:oneCellAnchor>
    <xdr:from>
      <xdr:col>7</xdr:col>
      <xdr:colOff>47625</xdr:colOff>
      <xdr:row>25</xdr:row>
      <xdr:rowOff>0</xdr:rowOff>
    </xdr:from>
    <xdr:ext cx="190500" cy="163711"/>
    <xdr:pic>
      <xdr:nvPicPr>
        <xdr:cNvPr id="79" name="AlertMaxVarThr" hidden="1"/>
        <xdr:cNvPicPr>
          <a:picLocks noChangeAspect="1"/>
        </xdr:cNvPicPr>
      </xdr:nvPicPr>
      <xdr:blipFill>
        <a:blip r:embed="rId1" cstate="print"/>
        <a:stretch>
          <a:fillRect/>
        </a:stretch>
      </xdr:blipFill>
      <xdr:spPr>
        <a:xfrm>
          <a:off x="8207375" y="7578725"/>
          <a:ext cx="190500" cy="163195"/>
        </a:xfrm>
        <a:prstGeom prst="rect">
          <a:avLst/>
        </a:prstGeom>
      </xdr:spPr>
    </xdr:pic>
    <xdr:clientData/>
  </xdr:oneCellAnchor>
  <xdr:oneCellAnchor>
    <xdr:from>
      <xdr:col>7</xdr:col>
      <xdr:colOff>47625</xdr:colOff>
      <xdr:row>25</xdr:row>
      <xdr:rowOff>0</xdr:rowOff>
    </xdr:from>
    <xdr:ext cx="190500" cy="163711"/>
    <xdr:pic>
      <xdr:nvPicPr>
        <xdr:cNvPr id="80" name="AlertMaxVarThr" hidden="1"/>
        <xdr:cNvPicPr>
          <a:picLocks noChangeAspect="1"/>
        </xdr:cNvPicPr>
      </xdr:nvPicPr>
      <xdr:blipFill>
        <a:blip r:embed="rId1" cstate="print"/>
        <a:stretch>
          <a:fillRect/>
        </a:stretch>
      </xdr:blipFill>
      <xdr:spPr>
        <a:xfrm>
          <a:off x="8207375" y="7578725"/>
          <a:ext cx="190500" cy="163195"/>
        </a:xfrm>
        <a:prstGeom prst="rect">
          <a:avLst/>
        </a:prstGeom>
      </xdr:spPr>
    </xdr:pic>
    <xdr:clientData/>
  </xdr:oneCellAnchor>
  <xdr:oneCellAnchor>
    <xdr:from>
      <xdr:col>7</xdr:col>
      <xdr:colOff>47625</xdr:colOff>
      <xdr:row>25</xdr:row>
      <xdr:rowOff>0</xdr:rowOff>
    </xdr:from>
    <xdr:ext cx="190500" cy="163711"/>
    <xdr:pic>
      <xdr:nvPicPr>
        <xdr:cNvPr id="81" name="AlertMaxVarThr" hidden="1"/>
        <xdr:cNvPicPr>
          <a:picLocks noChangeAspect="1"/>
        </xdr:cNvPicPr>
      </xdr:nvPicPr>
      <xdr:blipFill>
        <a:blip r:embed="rId1" cstate="print"/>
        <a:stretch>
          <a:fillRect/>
        </a:stretch>
      </xdr:blipFill>
      <xdr:spPr>
        <a:xfrm>
          <a:off x="8207375" y="7578725"/>
          <a:ext cx="190500" cy="163195"/>
        </a:xfrm>
        <a:prstGeom prst="rect">
          <a:avLst/>
        </a:prstGeom>
      </xdr:spPr>
    </xdr:pic>
    <xdr:clientData/>
  </xdr:oneCellAnchor>
  <xdr:oneCellAnchor>
    <xdr:from>
      <xdr:col>7</xdr:col>
      <xdr:colOff>47625</xdr:colOff>
      <xdr:row>25</xdr:row>
      <xdr:rowOff>0</xdr:rowOff>
    </xdr:from>
    <xdr:ext cx="190500" cy="163711"/>
    <xdr:pic>
      <xdr:nvPicPr>
        <xdr:cNvPr id="82" name="AlertMaxVarThr" hidden="1"/>
        <xdr:cNvPicPr>
          <a:picLocks noChangeAspect="1"/>
        </xdr:cNvPicPr>
      </xdr:nvPicPr>
      <xdr:blipFill>
        <a:blip r:embed="rId1" cstate="print"/>
        <a:stretch>
          <a:fillRect/>
        </a:stretch>
      </xdr:blipFill>
      <xdr:spPr>
        <a:xfrm>
          <a:off x="8207375" y="7578725"/>
          <a:ext cx="190500" cy="163195"/>
        </a:xfrm>
        <a:prstGeom prst="rect">
          <a:avLst/>
        </a:prstGeom>
      </xdr:spPr>
    </xdr:pic>
    <xdr:clientData/>
  </xdr:oneCellAnchor>
  <xdr:oneCellAnchor>
    <xdr:from>
      <xdr:col>7</xdr:col>
      <xdr:colOff>47625</xdr:colOff>
      <xdr:row>25</xdr:row>
      <xdr:rowOff>0</xdr:rowOff>
    </xdr:from>
    <xdr:ext cx="190500" cy="163711"/>
    <xdr:pic>
      <xdr:nvPicPr>
        <xdr:cNvPr id="83" name="AlertMaxVarThr" hidden="1"/>
        <xdr:cNvPicPr>
          <a:picLocks noChangeAspect="1"/>
        </xdr:cNvPicPr>
      </xdr:nvPicPr>
      <xdr:blipFill>
        <a:blip r:embed="rId1" cstate="print"/>
        <a:stretch>
          <a:fillRect/>
        </a:stretch>
      </xdr:blipFill>
      <xdr:spPr>
        <a:xfrm>
          <a:off x="8207375" y="7578725"/>
          <a:ext cx="190500" cy="163195"/>
        </a:xfrm>
        <a:prstGeom prst="rect">
          <a:avLst/>
        </a:prstGeom>
      </xdr:spPr>
    </xdr:pic>
    <xdr:clientData/>
  </xdr:oneCellAnchor>
  <xdr:oneCellAnchor>
    <xdr:from>
      <xdr:col>7</xdr:col>
      <xdr:colOff>47625</xdr:colOff>
      <xdr:row>25</xdr:row>
      <xdr:rowOff>0</xdr:rowOff>
    </xdr:from>
    <xdr:ext cx="190500" cy="163711"/>
    <xdr:pic>
      <xdr:nvPicPr>
        <xdr:cNvPr id="84" name="AlertMaxVarThr" hidden="1"/>
        <xdr:cNvPicPr>
          <a:picLocks noChangeAspect="1"/>
        </xdr:cNvPicPr>
      </xdr:nvPicPr>
      <xdr:blipFill>
        <a:blip r:embed="rId1" cstate="print"/>
        <a:stretch>
          <a:fillRect/>
        </a:stretch>
      </xdr:blipFill>
      <xdr:spPr>
        <a:xfrm>
          <a:off x="8207375" y="7578725"/>
          <a:ext cx="190500" cy="163195"/>
        </a:xfrm>
        <a:prstGeom prst="rect">
          <a:avLst/>
        </a:prstGeom>
      </xdr:spPr>
    </xdr:pic>
    <xdr:clientData/>
  </xdr:oneCellAnchor>
  <xdr:oneCellAnchor>
    <xdr:from>
      <xdr:col>7</xdr:col>
      <xdr:colOff>47625</xdr:colOff>
      <xdr:row>25</xdr:row>
      <xdr:rowOff>0</xdr:rowOff>
    </xdr:from>
    <xdr:ext cx="190500" cy="163711"/>
    <xdr:pic>
      <xdr:nvPicPr>
        <xdr:cNvPr id="85" name="AlertMaxVarThr" hidden="1"/>
        <xdr:cNvPicPr>
          <a:picLocks noChangeAspect="1"/>
        </xdr:cNvPicPr>
      </xdr:nvPicPr>
      <xdr:blipFill>
        <a:blip r:embed="rId1" cstate="print"/>
        <a:stretch>
          <a:fillRect/>
        </a:stretch>
      </xdr:blipFill>
      <xdr:spPr>
        <a:xfrm>
          <a:off x="8207375" y="7578725"/>
          <a:ext cx="190500" cy="163195"/>
        </a:xfrm>
        <a:prstGeom prst="rect">
          <a:avLst/>
        </a:prstGeom>
      </xdr:spPr>
    </xdr:pic>
    <xdr:clientData/>
  </xdr:oneCellAnchor>
  <xdr:oneCellAnchor>
    <xdr:from>
      <xdr:col>7</xdr:col>
      <xdr:colOff>47625</xdr:colOff>
      <xdr:row>25</xdr:row>
      <xdr:rowOff>0</xdr:rowOff>
    </xdr:from>
    <xdr:ext cx="190500" cy="163711"/>
    <xdr:pic>
      <xdr:nvPicPr>
        <xdr:cNvPr id="86" name="AlertMaxVarThr" hidden="1"/>
        <xdr:cNvPicPr>
          <a:picLocks noChangeAspect="1"/>
        </xdr:cNvPicPr>
      </xdr:nvPicPr>
      <xdr:blipFill>
        <a:blip r:embed="rId1" cstate="print"/>
        <a:stretch>
          <a:fillRect/>
        </a:stretch>
      </xdr:blipFill>
      <xdr:spPr>
        <a:xfrm>
          <a:off x="8207375" y="7578725"/>
          <a:ext cx="190500" cy="163195"/>
        </a:xfrm>
        <a:prstGeom prst="rect">
          <a:avLst/>
        </a:prstGeom>
      </xdr:spPr>
    </xdr:pic>
    <xdr:clientData/>
  </xdr:oneCellAnchor>
  <xdr:oneCellAnchor>
    <xdr:from>
      <xdr:col>7</xdr:col>
      <xdr:colOff>47625</xdr:colOff>
      <xdr:row>25</xdr:row>
      <xdr:rowOff>0</xdr:rowOff>
    </xdr:from>
    <xdr:ext cx="190500" cy="163711"/>
    <xdr:pic>
      <xdr:nvPicPr>
        <xdr:cNvPr id="87" name="AlertMaxVarThr" hidden="1"/>
        <xdr:cNvPicPr>
          <a:picLocks noChangeAspect="1"/>
        </xdr:cNvPicPr>
      </xdr:nvPicPr>
      <xdr:blipFill>
        <a:blip r:embed="rId1" cstate="print"/>
        <a:stretch>
          <a:fillRect/>
        </a:stretch>
      </xdr:blipFill>
      <xdr:spPr>
        <a:xfrm>
          <a:off x="8207375" y="7578725"/>
          <a:ext cx="190500" cy="163195"/>
        </a:xfrm>
        <a:prstGeom prst="rect">
          <a:avLst/>
        </a:prstGeom>
      </xdr:spPr>
    </xdr:pic>
    <xdr:clientData/>
  </xdr:oneCellAnchor>
  <xdr:oneCellAnchor>
    <xdr:from>
      <xdr:col>7</xdr:col>
      <xdr:colOff>47625</xdr:colOff>
      <xdr:row>25</xdr:row>
      <xdr:rowOff>0</xdr:rowOff>
    </xdr:from>
    <xdr:ext cx="190500" cy="163711"/>
    <xdr:pic>
      <xdr:nvPicPr>
        <xdr:cNvPr id="88" name="AlertMaxVarThr" hidden="1"/>
        <xdr:cNvPicPr>
          <a:picLocks noChangeAspect="1"/>
        </xdr:cNvPicPr>
      </xdr:nvPicPr>
      <xdr:blipFill>
        <a:blip r:embed="rId1" cstate="print"/>
        <a:stretch>
          <a:fillRect/>
        </a:stretch>
      </xdr:blipFill>
      <xdr:spPr>
        <a:xfrm>
          <a:off x="8207375" y="7578725"/>
          <a:ext cx="190500" cy="163195"/>
        </a:xfrm>
        <a:prstGeom prst="rect">
          <a:avLst/>
        </a:prstGeom>
      </xdr:spPr>
    </xdr:pic>
    <xdr:clientData/>
  </xdr:oneCellAnchor>
  <xdr:oneCellAnchor>
    <xdr:from>
      <xdr:col>7</xdr:col>
      <xdr:colOff>47625</xdr:colOff>
      <xdr:row>25</xdr:row>
      <xdr:rowOff>0</xdr:rowOff>
    </xdr:from>
    <xdr:ext cx="190500" cy="163711"/>
    <xdr:pic>
      <xdr:nvPicPr>
        <xdr:cNvPr id="89" name="AlertMaxVarThr" hidden="1"/>
        <xdr:cNvPicPr>
          <a:picLocks noChangeAspect="1"/>
        </xdr:cNvPicPr>
      </xdr:nvPicPr>
      <xdr:blipFill>
        <a:blip r:embed="rId1" cstate="print"/>
        <a:stretch>
          <a:fillRect/>
        </a:stretch>
      </xdr:blipFill>
      <xdr:spPr>
        <a:xfrm>
          <a:off x="8207375" y="7578725"/>
          <a:ext cx="190500" cy="163195"/>
        </a:xfrm>
        <a:prstGeom prst="rect">
          <a:avLst/>
        </a:prstGeom>
      </xdr:spPr>
    </xdr:pic>
    <xdr:clientData/>
  </xdr:oneCellAnchor>
  <xdr:oneCellAnchor>
    <xdr:from>
      <xdr:col>7</xdr:col>
      <xdr:colOff>47625</xdr:colOff>
      <xdr:row>25</xdr:row>
      <xdr:rowOff>0</xdr:rowOff>
    </xdr:from>
    <xdr:ext cx="190500" cy="163711"/>
    <xdr:pic>
      <xdr:nvPicPr>
        <xdr:cNvPr id="90" name="AlertMaxVarThr" hidden="1"/>
        <xdr:cNvPicPr>
          <a:picLocks noChangeAspect="1"/>
        </xdr:cNvPicPr>
      </xdr:nvPicPr>
      <xdr:blipFill>
        <a:blip r:embed="rId1" cstate="print"/>
        <a:stretch>
          <a:fillRect/>
        </a:stretch>
      </xdr:blipFill>
      <xdr:spPr>
        <a:xfrm>
          <a:off x="8207375" y="7578725"/>
          <a:ext cx="190500" cy="163195"/>
        </a:xfrm>
        <a:prstGeom prst="rect">
          <a:avLst/>
        </a:prstGeom>
      </xdr:spPr>
    </xdr:pic>
    <xdr:clientData/>
  </xdr:oneCellAnchor>
  <xdr:oneCellAnchor>
    <xdr:from>
      <xdr:col>7</xdr:col>
      <xdr:colOff>47625</xdr:colOff>
      <xdr:row>25</xdr:row>
      <xdr:rowOff>0</xdr:rowOff>
    </xdr:from>
    <xdr:ext cx="190500" cy="163711"/>
    <xdr:pic>
      <xdr:nvPicPr>
        <xdr:cNvPr id="91" name="AlertMaxVarThr" hidden="1"/>
        <xdr:cNvPicPr>
          <a:picLocks noChangeAspect="1"/>
        </xdr:cNvPicPr>
      </xdr:nvPicPr>
      <xdr:blipFill>
        <a:blip r:embed="rId1" cstate="print"/>
        <a:stretch>
          <a:fillRect/>
        </a:stretch>
      </xdr:blipFill>
      <xdr:spPr>
        <a:xfrm>
          <a:off x="8207375" y="7578725"/>
          <a:ext cx="190500" cy="163195"/>
        </a:xfrm>
        <a:prstGeom prst="rect">
          <a:avLst/>
        </a:prstGeom>
      </xdr:spPr>
    </xdr:pic>
    <xdr:clientData/>
  </xdr:oneCellAnchor>
  <xdr:oneCellAnchor>
    <xdr:from>
      <xdr:col>7</xdr:col>
      <xdr:colOff>47625</xdr:colOff>
      <xdr:row>25</xdr:row>
      <xdr:rowOff>0</xdr:rowOff>
    </xdr:from>
    <xdr:ext cx="190500" cy="163711"/>
    <xdr:pic>
      <xdr:nvPicPr>
        <xdr:cNvPr id="92" name="AlertMaxVarThr" hidden="1"/>
        <xdr:cNvPicPr>
          <a:picLocks noChangeAspect="1"/>
        </xdr:cNvPicPr>
      </xdr:nvPicPr>
      <xdr:blipFill>
        <a:blip r:embed="rId1" cstate="print"/>
        <a:stretch>
          <a:fillRect/>
        </a:stretch>
      </xdr:blipFill>
      <xdr:spPr>
        <a:xfrm>
          <a:off x="8207375" y="7578725"/>
          <a:ext cx="190500" cy="163195"/>
        </a:xfrm>
        <a:prstGeom prst="rect">
          <a:avLst/>
        </a:prstGeom>
      </xdr:spPr>
    </xdr:pic>
    <xdr:clientData/>
  </xdr:oneCellAnchor>
  <xdr:oneCellAnchor>
    <xdr:from>
      <xdr:col>7</xdr:col>
      <xdr:colOff>47625</xdr:colOff>
      <xdr:row>25</xdr:row>
      <xdr:rowOff>0</xdr:rowOff>
    </xdr:from>
    <xdr:ext cx="190500" cy="163711"/>
    <xdr:pic>
      <xdr:nvPicPr>
        <xdr:cNvPr id="93" name="AlertMaxVarThr" hidden="1"/>
        <xdr:cNvPicPr>
          <a:picLocks noChangeAspect="1"/>
        </xdr:cNvPicPr>
      </xdr:nvPicPr>
      <xdr:blipFill>
        <a:blip r:embed="rId1" cstate="print"/>
        <a:stretch>
          <a:fillRect/>
        </a:stretch>
      </xdr:blipFill>
      <xdr:spPr>
        <a:xfrm>
          <a:off x="8207375" y="7578725"/>
          <a:ext cx="190500" cy="163195"/>
        </a:xfrm>
        <a:prstGeom prst="rect">
          <a:avLst/>
        </a:prstGeom>
      </xdr:spPr>
    </xdr:pic>
    <xdr:clientData/>
  </xdr:oneCellAnchor>
  <xdr:oneCellAnchor>
    <xdr:from>
      <xdr:col>7</xdr:col>
      <xdr:colOff>47625</xdr:colOff>
      <xdr:row>25</xdr:row>
      <xdr:rowOff>0</xdr:rowOff>
    </xdr:from>
    <xdr:ext cx="190500" cy="163711"/>
    <xdr:pic>
      <xdr:nvPicPr>
        <xdr:cNvPr id="94" name="AlertMaxVarThr" hidden="1"/>
        <xdr:cNvPicPr>
          <a:picLocks noChangeAspect="1"/>
        </xdr:cNvPicPr>
      </xdr:nvPicPr>
      <xdr:blipFill>
        <a:blip r:embed="rId1" cstate="print"/>
        <a:stretch>
          <a:fillRect/>
        </a:stretch>
      </xdr:blipFill>
      <xdr:spPr>
        <a:xfrm>
          <a:off x="8207375" y="7578725"/>
          <a:ext cx="190500" cy="163195"/>
        </a:xfrm>
        <a:prstGeom prst="rect">
          <a:avLst/>
        </a:prstGeom>
      </xdr:spPr>
    </xdr:pic>
    <xdr:clientData/>
  </xdr:oneCellAnchor>
  <xdr:oneCellAnchor>
    <xdr:from>
      <xdr:col>7</xdr:col>
      <xdr:colOff>47625</xdr:colOff>
      <xdr:row>25</xdr:row>
      <xdr:rowOff>0</xdr:rowOff>
    </xdr:from>
    <xdr:ext cx="190500" cy="163711"/>
    <xdr:pic>
      <xdr:nvPicPr>
        <xdr:cNvPr id="95" name="AlertMaxVarThr" hidden="1"/>
        <xdr:cNvPicPr>
          <a:picLocks noChangeAspect="1"/>
        </xdr:cNvPicPr>
      </xdr:nvPicPr>
      <xdr:blipFill>
        <a:blip r:embed="rId1" cstate="print"/>
        <a:stretch>
          <a:fillRect/>
        </a:stretch>
      </xdr:blipFill>
      <xdr:spPr>
        <a:xfrm>
          <a:off x="8207375" y="7578725"/>
          <a:ext cx="190500" cy="163195"/>
        </a:xfrm>
        <a:prstGeom prst="rect">
          <a:avLst/>
        </a:prstGeom>
      </xdr:spPr>
    </xdr:pic>
    <xdr:clientData/>
  </xdr:oneCellAnchor>
  <xdr:oneCellAnchor>
    <xdr:from>
      <xdr:col>7</xdr:col>
      <xdr:colOff>47625</xdr:colOff>
      <xdr:row>25</xdr:row>
      <xdr:rowOff>0</xdr:rowOff>
    </xdr:from>
    <xdr:ext cx="190500" cy="163711"/>
    <xdr:pic>
      <xdr:nvPicPr>
        <xdr:cNvPr id="96" name="AlertMaxVarThr" hidden="1"/>
        <xdr:cNvPicPr>
          <a:picLocks noChangeAspect="1"/>
        </xdr:cNvPicPr>
      </xdr:nvPicPr>
      <xdr:blipFill>
        <a:blip r:embed="rId1" cstate="print"/>
        <a:stretch>
          <a:fillRect/>
        </a:stretch>
      </xdr:blipFill>
      <xdr:spPr>
        <a:xfrm>
          <a:off x="8207375" y="7578725"/>
          <a:ext cx="190500" cy="163195"/>
        </a:xfrm>
        <a:prstGeom prst="rect">
          <a:avLst/>
        </a:prstGeom>
      </xdr:spPr>
    </xdr:pic>
    <xdr:clientData/>
  </xdr:oneCellAnchor>
  <xdr:oneCellAnchor>
    <xdr:from>
      <xdr:col>7</xdr:col>
      <xdr:colOff>47625</xdr:colOff>
      <xdr:row>25</xdr:row>
      <xdr:rowOff>0</xdr:rowOff>
    </xdr:from>
    <xdr:ext cx="190500" cy="163711"/>
    <xdr:pic>
      <xdr:nvPicPr>
        <xdr:cNvPr id="97" name="AlertMaxVarThr" hidden="1"/>
        <xdr:cNvPicPr>
          <a:picLocks noChangeAspect="1"/>
        </xdr:cNvPicPr>
      </xdr:nvPicPr>
      <xdr:blipFill>
        <a:blip r:embed="rId1" cstate="print"/>
        <a:stretch>
          <a:fillRect/>
        </a:stretch>
      </xdr:blipFill>
      <xdr:spPr>
        <a:xfrm>
          <a:off x="8207375" y="7578725"/>
          <a:ext cx="190500" cy="163195"/>
        </a:xfrm>
        <a:prstGeom prst="rect">
          <a:avLst/>
        </a:prstGeom>
      </xdr:spPr>
    </xdr:pic>
    <xdr:clientData/>
  </xdr:oneCellAnchor>
  <xdr:oneCellAnchor>
    <xdr:from>
      <xdr:col>7</xdr:col>
      <xdr:colOff>47625</xdr:colOff>
      <xdr:row>25</xdr:row>
      <xdr:rowOff>0</xdr:rowOff>
    </xdr:from>
    <xdr:ext cx="190500" cy="163711"/>
    <xdr:pic>
      <xdr:nvPicPr>
        <xdr:cNvPr id="98" name="AlertMaxVarThr" hidden="1"/>
        <xdr:cNvPicPr>
          <a:picLocks noChangeAspect="1"/>
        </xdr:cNvPicPr>
      </xdr:nvPicPr>
      <xdr:blipFill>
        <a:blip r:embed="rId1" cstate="print"/>
        <a:stretch>
          <a:fillRect/>
        </a:stretch>
      </xdr:blipFill>
      <xdr:spPr>
        <a:xfrm>
          <a:off x="8207375" y="7578725"/>
          <a:ext cx="190500" cy="163195"/>
        </a:xfrm>
        <a:prstGeom prst="rect">
          <a:avLst/>
        </a:prstGeom>
      </xdr:spPr>
    </xdr:pic>
    <xdr:clientData/>
  </xdr:oneCellAnchor>
  <xdr:oneCellAnchor>
    <xdr:from>
      <xdr:col>7</xdr:col>
      <xdr:colOff>47625</xdr:colOff>
      <xdr:row>25</xdr:row>
      <xdr:rowOff>0</xdr:rowOff>
    </xdr:from>
    <xdr:ext cx="190500" cy="163711"/>
    <xdr:pic>
      <xdr:nvPicPr>
        <xdr:cNvPr id="99" name="AlertMaxVarThr" hidden="1"/>
        <xdr:cNvPicPr>
          <a:picLocks noChangeAspect="1"/>
        </xdr:cNvPicPr>
      </xdr:nvPicPr>
      <xdr:blipFill>
        <a:blip r:embed="rId1" cstate="print"/>
        <a:stretch>
          <a:fillRect/>
        </a:stretch>
      </xdr:blipFill>
      <xdr:spPr>
        <a:xfrm>
          <a:off x="8207375" y="7578725"/>
          <a:ext cx="190500" cy="163195"/>
        </a:xfrm>
        <a:prstGeom prst="rect">
          <a:avLst/>
        </a:prstGeom>
      </xdr:spPr>
    </xdr:pic>
    <xdr:clientData/>
  </xdr:oneCellAnchor>
  <xdr:oneCellAnchor>
    <xdr:from>
      <xdr:col>7</xdr:col>
      <xdr:colOff>47625</xdr:colOff>
      <xdr:row>25</xdr:row>
      <xdr:rowOff>0</xdr:rowOff>
    </xdr:from>
    <xdr:ext cx="190500" cy="163711"/>
    <xdr:pic>
      <xdr:nvPicPr>
        <xdr:cNvPr id="100" name="AlertMaxVarThr" hidden="1"/>
        <xdr:cNvPicPr>
          <a:picLocks noChangeAspect="1"/>
        </xdr:cNvPicPr>
      </xdr:nvPicPr>
      <xdr:blipFill>
        <a:blip r:embed="rId1" cstate="print"/>
        <a:stretch>
          <a:fillRect/>
        </a:stretch>
      </xdr:blipFill>
      <xdr:spPr>
        <a:xfrm>
          <a:off x="8207375" y="7578725"/>
          <a:ext cx="190500" cy="163195"/>
        </a:xfrm>
        <a:prstGeom prst="rect">
          <a:avLst/>
        </a:prstGeom>
      </xdr:spPr>
    </xdr:pic>
    <xdr:clientData/>
  </xdr:oneCellAnchor>
  <xdr:oneCellAnchor>
    <xdr:from>
      <xdr:col>7</xdr:col>
      <xdr:colOff>47625</xdr:colOff>
      <xdr:row>25</xdr:row>
      <xdr:rowOff>0</xdr:rowOff>
    </xdr:from>
    <xdr:ext cx="190500" cy="163711"/>
    <xdr:pic>
      <xdr:nvPicPr>
        <xdr:cNvPr id="101" name="AlertMaxVarThr" hidden="1"/>
        <xdr:cNvPicPr>
          <a:picLocks noChangeAspect="1"/>
        </xdr:cNvPicPr>
      </xdr:nvPicPr>
      <xdr:blipFill>
        <a:blip r:embed="rId1" cstate="print"/>
        <a:stretch>
          <a:fillRect/>
        </a:stretch>
      </xdr:blipFill>
      <xdr:spPr>
        <a:xfrm>
          <a:off x="8207375" y="7578725"/>
          <a:ext cx="190500" cy="16319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eychinamanaged.sharepoint.cn/Users/XV199MW/Desktop/2023&#24180;&#24213;&#31295;&#27169;&#26495;&#20462;&#25913;/&#24180;&#23457;&#24213;&#31295;&#27169;&#26495;-0731/&#24050;review/&#26631;&#20934;&#23457;&#35745;&#24213;&#31295;&#27169;&#26495;_C_&#36135;&#24065;&#36164;&#37329;_202YMMDD_XYZ&#20844;&#21496;_v1.5.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eychinamanaged.sharepoint.cn/sites/DPCADPCS/Shared%20Documents/2025&#24180;&#24180;&#23457;/4&#12289;A3/A3A5_&#21333;&#20307;&#27169;&#26495;_20251231%20-%20DPC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RZ159JC\AppData\Local\Temp\CanvasEvidence\2b508b4133c547f88fed05738baa0300\Read%20Only%20-%203010_DPCA_L1_&#26080;&#24418;&#36164;&#20135;_20241231~tmp3010063529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kywindSettingSheet"/>
      <sheetName val="Sheet1"/>
      <sheetName val="修改记录表"/>
      <sheetName val="汇总"/>
      <sheetName val="C_有限风险账户"/>
      <sheetName val="C_Lead"/>
      <sheetName val="C_100Breakdown"/>
      <sheetName val="C_110函证控制表"/>
      <sheetName val="C_120函控表交叉核对表"/>
      <sheetName val="C_200银行余额调节表"/>
      <sheetName val="C_400利息测试"/>
      <sheetName val="OSP"/>
      <sheetName val="IPE"/>
      <sheetName val="报告披露"/>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kywind"/>
      <sheetName val="Lead"/>
      <sheetName val="cache"/>
      <sheetName val="A3_Consol"/>
      <sheetName val="Modify_A3_Control"/>
      <sheetName val="Roll_A3"/>
      <sheetName val="使用手册"/>
      <sheetName val="control List"/>
      <sheetName val="per man对比"/>
      <sheetName val="调整check"/>
      <sheetName val="两期对比"/>
      <sheetName val="AFS_单体"/>
      <sheetName val="所有者权益变动表"/>
      <sheetName val="BS_历史"/>
      <sheetName val="PL_历史"/>
      <sheetName val="A3_单体报表审定数"/>
      <sheetName val="A5_审计调整明细"/>
      <sheetName val="AA#2"/>
      <sheetName val="AA#7"/>
      <sheetName val="AA#9"/>
      <sheetName val="AA#6"/>
      <sheetName val="BPC原报数_资产负债表"/>
      <sheetName val="BPC原报数_利润表"/>
      <sheetName val="抵消核对"/>
      <sheetName val="A5_合并客户调整（无法拆分）"/>
      <sheetName val="A4_TBVSFS"/>
      <sheetName val="A5_Adj_sum"/>
      <sheetName val="所有者权益变动情况表"/>
      <sheetName val="DS_INTERNAL_SETTINGS_STORAGE"/>
      <sheetName val="DS_INTERNAL_DOCGROUP_STORAGE"/>
      <sheetName val="DS_INTERNAL_DOCUMENT_STORAGE"/>
      <sheetName val="DS_INTERNAL_SNIP_STORA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55">
          <cell r="F55">
            <v>1910241714.24</v>
          </cell>
        </row>
        <row r="55">
          <cell r="DN55">
            <v>2361148525.27</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汇总"/>
      <sheetName val="L1.00 Lead"/>
      <sheetName val="L1.01.1 BKD"/>
      <sheetName val="L1.01.1a IA list"/>
      <sheetName val="L1.02.1 新增测试"/>
      <sheetName val="L1.02.1a 选样输出"/>
      <sheetName val="L1.02.1b 新增清单"/>
      <sheetName val="L1.03 摊销测试"/>
      <sheetName val="IPE"/>
      <sheetName val="SkywindSettingSheet"/>
    </sheetNames>
    <sheetDataSet>
      <sheetData sheetId="0" refreshError="1"/>
      <sheetData sheetId="1">
        <row r="27">
          <cell r="K27">
            <v>13869608043.49</v>
          </cell>
        </row>
      </sheetData>
      <sheetData sheetId="2">
        <row r="18">
          <cell r="F18">
            <v>289470095.55</v>
          </cell>
        </row>
        <row r="18">
          <cell r="I18">
            <v>5802786450.12</v>
          </cell>
        </row>
        <row r="18">
          <cell r="L18">
            <v>3081651866</v>
          </cell>
        </row>
        <row r="18">
          <cell r="O18">
            <v>638774938.81</v>
          </cell>
        </row>
        <row r="18">
          <cell r="R18">
            <v>4056924693.01</v>
          </cell>
        </row>
        <row r="30">
          <cell r="F30">
            <v>5800508</v>
          </cell>
        </row>
        <row r="30">
          <cell r="I30">
            <v>136800560.76</v>
          </cell>
        </row>
        <row r="30">
          <cell r="L30">
            <v>31960493.59</v>
          </cell>
        </row>
        <row r="30">
          <cell r="O30">
            <v>41172043.5</v>
          </cell>
        </row>
        <row r="30">
          <cell r="R30">
            <v>279286298.82</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28"/>
  <sheetViews>
    <sheetView showGridLines="0" tabSelected="1" zoomScale="80" zoomScaleNormal="80" zoomScaleSheetLayoutView="80" topLeftCell="A7" workbookViewId="0">
      <pane xSplit="3" topLeftCell="G1" activePane="topRight" state="frozen"/>
      <selection/>
      <selection pane="topRight" activeCell="P13" sqref="P13"/>
    </sheetView>
  </sheetViews>
  <sheetFormatPr defaultColWidth="8.36111111111111" defaultRowHeight="12.75" customHeight="1"/>
  <cols>
    <col min="1" max="1" width="2.36111111111111" style="152" customWidth="1"/>
    <col min="2" max="2" width="16.0925925925926" style="153" customWidth="1"/>
    <col min="3" max="3" width="17.3611111111111" style="153" customWidth="1"/>
    <col min="4" max="4" width="17.1759259259259" style="153" customWidth="1"/>
    <col min="5" max="5" width="13.9074074074074" style="153" customWidth="1"/>
    <col min="6" max="6" width="17.9074074074074" style="154" customWidth="1"/>
    <col min="7" max="7" width="19.9074074074074" style="153" customWidth="1"/>
    <col min="8" max="8" width="13.9074074074074" style="153" customWidth="1"/>
    <col min="9" max="9" width="18.8148148148148" style="153" customWidth="1"/>
    <col min="10" max="10" width="16.8148148148148" style="153" customWidth="1"/>
    <col min="11" max="11" width="16.4537037037037" style="155" customWidth="1"/>
    <col min="12" max="15" width="13.9074074074074" style="153" customWidth="1"/>
    <col min="16" max="16" width="19" style="153" customWidth="1"/>
    <col min="17" max="17" width="13.9074074074074" style="153" customWidth="1"/>
    <col min="18" max="18" width="19" style="153" customWidth="1"/>
    <col min="19" max="20" width="13.9074074074074" style="153" hidden="1" customWidth="1"/>
    <col min="21" max="21" width="17.1759259259259" style="153" hidden="1" customWidth="1"/>
    <col min="22" max="22" width="18.5462962962963" style="153" customWidth="1"/>
    <col min="23" max="23" width="13.9074074074074" style="153" customWidth="1"/>
    <col min="24" max="24" width="19" style="153" customWidth="1"/>
    <col min="25" max="25" width="21.6296296296296" style="153" customWidth="1"/>
    <col min="26" max="26" width="18" style="153" customWidth="1"/>
    <col min="27" max="27" width="2.09259259259259" style="153" customWidth="1"/>
    <col min="28" max="28" width="1.4537037037037" style="153" customWidth="1"/>
    <col min="29" max="16384" width="8.36111111111111" style="153"/>
  </cols>
  <sheetData>
    <row r="1" s="148" customFormat="1" ht="15.6" spans="1:32">
      <c r="A1" s="156"/>
      <c r="B1" s="157"/>
      <c r="C1" s="158"/>
      <c r="D1" s="159"/>
      <c r="E1" s="160"/>
      <c r="F1" s="160"/>
      <c r="G1" s="160"/>
      <c r="H1" s="160"/>
      <c r="I1" s="161"/>
      <c r="J1" s="158"/>
      <c r="L1" s="159"/>
      <c r="M1" s="159"/>
      <c r="N1" s="158"/>
      <c r="O1" s="158"/>
      <c r="P1" s="158"/>
      <c r="Q1" s="158"/>
      <c r="R1" s="158"/>
      <c r="S1" s="158"/>
      <c r="T1" s="158"/>
      <c r="U1" s="158"/>
      <c r="V1" s="159"/>
      <c r="W1" s="159"/>
      <c r="X1" s="159"/>
      <c r="Y1" s="159"/>
      <c r="Z1" s="151"/>
      <c r="AA1" s="151"/>
      <c r="AB1" s="162"/>
      <c r="AE1" s="163"/>
      <c r="AF1" s="163"/>
    </row>
    <row r="2" s="149" customFormat="1" ht="15.6" spans="1:32">
      <c r="A2" s="156"/>
      <c r="B2" s="164"/>
      <c r="C2" s="165" t="s">
        <v>0</v>
      </c>
      <c r="D2" s="166"/>
      <c r="E2" s="167" t="s">
        <v>1</v>
      </c>
      <c r="F2" s="168"/>
      <c r="G2" s="166"/>
      <c r="H2" s="169" t="s">
        <v>2</v>
      </c>
      <c r="I2" s="168"/>
      <c r="J2" s="166"/>
      <c r="K2" s="167" t="s">
        <v>3</v>
      </c>
      <c r="L2" s="168"/>
      <c r="M2" s="166"/>
      <c r="N2" s="167" t="s">
        <v>4</v>
      </c>
      <c r="O2" s="168"/>
      <c r="P2" s="166"/>
      <c r="Q2" s="167" t="s">
        <v>5</v>
      </c>
      <c r="R2" s="168"/>
      <c r="S2" s="166"/>
      <c r="T2" s="167" t="s">
        <v>2</v>
      </c>
      <c r="U2" s="168"/>
      <c r="V2" s="166"/>
      <c r="W2" s="170" t="s">
        <v>6</v>
      </c>
      <c r="X2" s="168"/>
      <c r="Y2" s="158"/>
      <c r="Z2" s="171"/>
      <c r="AA2" s="171"/>
      <c r="AB2" s="172"/>
      <c r="AE2" s="173"/>
      <c r="AF2" s="173"/>
    </row>
    <row r="3" s="150" customFormat="1" ht="15" spans="1:32">
      <c r="A3" s="159"/>
      <c r="B3" s="174"/>
      <c r="C3" s="175"/>
      <c r="D3" s="176" t="s">
        <v>7</v>
      </c>
      <c r="E3" s="177" t="s">
        <v>8</v>
      </c>
      <c r="F3" s="176" t="s">
        <v>9</v>
      </c>
      <c r="G3" s="176" t="s">
        <v>7</v>
      </c>
      <c r="H3" s="177" t="s">
        <v>8</v>
      </c>
      <c r="I3" s="176" t="s">
        <v>9</v>
      </c>
      <c r="J3" s="176" t="s">
        <v>7</v>
      </c>
      <c r="K3" s="177" t="s">
        <v>8</v>
      </c>
      <c r="L3" s="176" t="s">
        <v>9</v>
      </c>
      <c r="M3" s="176" t="s">
        <v>7</v>
      </c>
      <c r="N3" s="177"/>
      <c r="O3" s="176" t="s">
        <v>9</v>
      </c>
      <c r="P3" s="176" t="s">
        <v>7</v>
      </c>
      <c r="Q3" s="177"/>
      <c r="R3" s="176" t="s">
        <v>9</v>
      </c>
      <c r="S3" s="176" t="s">
        <v>7</v>
      </c>
      <c r="T3" s="177"/>
      <c r="U3" s="176" t="s">
        <v>9</v>
      </c>
      <c r="V3" s="176" t="s">
        <v>7</v>
      </c>
      <c r="W3" s="177" t="s">
        <v>8</v>
      </c>
      <c r="X3" s="176" t="s">
        <v>9</v>
      </c>
      <c r="Y3" s="178" t="s">
        <v>10</v>
      </c>
      <c r="Z3" s="179" t="s">
        <v>11</v>
      </c>
      <c r="AA3" s="179"/>
      <c r="AB3" s="162"/>
      <c r="AE3" s="173"/>
      <c r="AF3" s="173"/>
    </row>
    <row r="4" s="148" customFormat="1" ht="17" customHeight="1" spans="1:32">
      <c r="A4" s="156"/>
      <c r="B4" s="180"/>
      <c r="C4" s="181" t="s">
        <v>12</v>
      </c>
      <c r="D4" s="182">
        <v>3088347266.75</v>
      </c>
      <c r="E4" s="183"/>
      <c r="F4" s="183">
        <v>3088347266.75</v>
      </c>
      <c r="G4" s="184">
        <v>4117475706.6</v>
      </c>
      <c r="H4" s="183"/>
      <c r="I4" s="183">
        <v>4117475706.6</v>
      </c>
      <c r="J4" s="184">
        <v>665135163.040001</v>
      </c>
      <c r="K4" s="183"/>
      <c r="L4" s="183">
        <v>665135163.040001</v>
      </c>
      <c r="M4" s="184">
        <v>289470095.55</v>
      </c>
      <c r="N4" s="183">
        <v>211</v>
      </c>
      <c r="O4" s="183">
        <v>289470095.55</v>
      </c>
      <c r="P4" s="184">
        <v>5848665539.04</v>
      </c>
      <c r="Q4" s="183"/>
      <c r="R4" s="183">
        <v>5848665539.04</v>
      </c>
      <c r="S4" s="184"/>
      <c r="T4" s="183"/>
      <c r="U4" s="183"/>
      <c r="V4" s="183">
        <f>SUM(D4,G4,M4,J4,S4,P4)</f>
        <v>14009093770.98</v>
      </c>
      <c r="W4" s="183">
        <f>SUM(E4,H4,K4,N4,T4)</f>
        <v>211</v>
      </c>
      <c r="X4" s="183">
        <f t="shared" ref="X4:X9" si="0">SUM(F4,I4,L4,O4,U4,R4)</f>
        <v>14009093770.98</v>
      </c>
      <c r="Y4" s="185"/>
      <c r="Z4" s="186"/>
      <c r="AA4" s="186"/>
      <c r="AB4" s="162"/>
      <c r="AE4" s="173"/>
      <c r="AF4" s="173"/>
    </row>
    <row r="5" s="148" customFormat="1" ht="17" customHeight="1" spans="1:32">
      <c r="A5" s="156"/>
      <c r="B5" s="187"/>
      <c r="C5" s="188" t="s">
        <v>13</v>
      </c>
      <c r="D5" s="183">
        <v>57749.96</v>
      </c>
      <c r="E5" s="183"/>
      <c r="F5" s="183">
        <f t="shared" ref="F5:F9" si="1">SUM(D5:E5)</f>
        <v>57749.96</v>
      </c>
      <c r="G5" s="182">
        <v>1200445.19</v>
      </c>
      <c r="H5" s="183"/>
      <c r="I5" s="183">
        <f t="shared" ref="I5:I9" si="2">SUM(G5:H5)</f>
        <v>1200445.19</v>
      </c>
      <c r="J5" s="184">
        <v>0</v>
      </c>
      <c r="K5" s="183"/>
      <c r="L5" s="183">
        <f t="shared" ref="L5:L9" si="3">SUM(J5:K5)</f>
        <v>0</v>
      </c>
      <c r="M5" s="183">
        <v>0</v>
      </c>
      <c r="N5" s="183"/>
      <c r="O5" s="183">
        <f>SUM(M5:N5)</f>
        <v>0</v>
      </c>
      <c r="P5" s="182">
        <v>184433.97</v>
      </c>
      <c r="Q5" s="183"/>
      <c r="R5" s="183">
        <f t="shared" ref="R5:R9" si="4">SUM(P5:Q5)</f>
        <v>184433.97</v>
      </c>
      <c r="S5" s="182"/>
      <c r="T5" s="183"/>
      <c r="U5" s="183"/>
      <c r="V5" s="183">
        <f>SUM(D5,G5,M5,J5,S5,P5)</f>
        <v>1442629.12</v>
      </c>
      <c r="W5" s="183">
        <f>SUM(E5,H5,K5,N5,T5)</f>
        <v>0</v>
      </c>
      <c r="X5" s="183">
        <f t="shared" si="0"/>
        <v>1442629.12</v>
      </c>
      <c r="Y5" s="189"/>
      <c r="Z5" s="151"/>
      <c r="AA5" s="151"/>
      <c r="AB5" s="162"/>
      <c r="AE5" s="173"/>
      <c r="AF5" s="173"/>
    </row>
    <row r="6" s="148" customFormat="1" ht="17" customHeight="1" spans="1:32">
      <c r="A6" s="156"/>
      <c r="B6" s="187"/>
      <c r="C6" s="188" t="s">
        <v>14</v>
      </c>
      <c r="D6" s="183">
        <v>6357331.2</v>
      </c>
      <c r="E6" s="183"/>
      <c r="F6" s="183">
        <f t="shared" si="1"/>
        <v>6357331.2</v>
      </c>
      <c r="G6" s="182">
        <v>8381434.08</v>
      </c>
      <c r="H6" s="183"/>
      <c r="I6" s="183">
        <f t="shared" si="2"/>
        <v>8381434.08</v>
      </c>
      <c r="J6" s="183">
        <v>11075452.53</v>
      </c>
      <c r="K6" s="183"/>
      <c r="L6" s="183">
        <f t="shared" si="3"/>
        <v>11075452.53</v>
      </c>
      <c r="M6" s="182">
        <v>0</v>
      </c>
      <c r="N6" s="183"/>
      <c r="O6" s="183">
        <f t="shared" ref="O6:O9" si="5">SUM(M6:N6)</f>
        <v>0</v>
      </c>
      <c r="P6" s="182">
        <v>5572619.21</v>
      </c>
      <c r="Q6" s="183"/>
      <c r="R6" s="183">
        <f t="shared" si="4"/>
        <v>5572619.21</v>
      </c>
      <c r="S6" s="182"/>
      <c r="T6" s="183"/>
      <c r="U6" s="183"/>
      <c r="V6" s="183">
        <f>SUM(D6,G6,J6,M6,S6,P6)</f>
        <v>31386837.02</v>
      </c>
      <c r="W6" s="183">
        <f>SUM(E6,H6,K6,N6,T6)</f>
        <v>0</v>
      </c>
      <c r="X6" s="183">
        <f t="shared" si="0"/>
        <v>31386837.02</v>
      </c>
      <c r="Y6" s="189"/>
      <c r="Z6" s="151"/>
      <c r="AA6" s="151"/>
      <c r="AB6" s="162"/>
      <c r="AE6" s="173"/>
      <c r="AF6" s="173"/>
    </row>
    <row r="7" s="148" customFormat="1" ht="17" customHeight="1" spans="1:32">
      <c r="A7" s="156"/>
      <c r="B7" s="190" t="s">
        <v>15</v>
      </c>
      <c r="C7" s="188" t="s">
        <v>16</v>
      </c>
      <c r="D7" s="183">
        <v>0</v>
      </c>
      <c r="E7" s="183"/>
      <c r="F7" s="183">
        <f t="shared" si="1"/>
        <v>0</v>
      </c>
      <c r="G7" s="182">
        <v>0</v>
      </c>
      <c r="H7" s="183"/>
      <c r="I7" s="183">
        <f t="shared" si="2"/>
        <v>0</v>
      </c>
      <c r="J7" s="183">
        <v>0</v>
      </c>
      <c r="K7" s="183"/>
      <c r="L7" s="183">
        <f t="shared" si="3"/>
        <v>0</v>
      </c>
      <c r="M7" s="182">
        <v>0</v>
      </c>
      <c r="N7" s="183"/>
      <c r="O7" s="183">
        <f t="shared" si="5"/>
        <v>0</v>
      </c>
      <c r="P7" s="183">
        <v>0</v>
      </c>
      <c r="Q7" s="183"/>
      <c r="R7" s="183">
        <f t="shared" si="4"/>
        <v>0</v>
      </c>
      <c r="S7" s="183"/>
      <c r="T7" s="183"/>
      <c r="U7" s="183"/>
      <c r="V7" s="183">
        <f>SUM(D7,G7,J7,M7,S7,P7)</f>
        <v>0</v>
      </c>
      <c r="W7" s="183">
        <f>SUM(E7,H7,K7,N7,T7)</f>
        <v>0</v>
      </c>
      <c r="X7" s="183">
        <f t="shared" si="0"/>
        <v>0</v>
      </c>
      <c r="Y7" s="189"/>
      <c r="Z7" s="151"/>
      <c r="AA7" s="151"/>
      <c r="AB7" s="162"/>
      <c r="AE7" s="191"/>
      <c r="AF7" s="191"/>
    </row>
    <row r="8" s="148" customFormat="1" ht="17" customHeight="1" spans="1:32">
      <c r="A8" s="156"/>
      <c r="B8" s="190"/>
      <c r="C8" s="188" t="s">
        <v>17</v>
      </c>
      <c r="D8" s="183">
        <v>0</v>
      </c>
      <c r="E8" s="183"/>
      <c r="F8" s="183">
        <f t="shared" si="1"/>
        <v>0</v>
      </c>
      <c r="G8" s="182">
        <v>0</v>
      </c>
      <c r="H8" s="183"/>
      <c r="I8" s="183">
        <f t="shared" si="2"/>
        <v>0</v>
      </c>
      <c r="J8" s="183">
        <v>0</v>
      </c>
      <c r="K8" s="183"/>
      <c r="L8" s="183">
        <f t="shared" si="3"/>
        <v>0</v>
      </c>
      <c r="M8" s="183">
        <v>0</v>
      </c>
      <c r="N8" s="183"/>
      <c r="O8" s="183">
        <f t="shared" si="5"/>
        <v>0</v>
      </c>
      <c r="P8" s="183">
        <v>0</v>
      </c>
      <c r="Q8" s="183"/>
      <c r="R8" s="183">
        <f t="shared" si="4"/>
        <v>0</v>
      </c>
      <c r="S8" s="183"/>
      <c r="T8" s="183"/>
      <c r="U8" s="183"/>
      <c r="V8" s="183">
        <f>SUM(后推明细表!D8,后推明细表!G8,后推明细表!J8,后推明细表!M8,后推明细表!S8,P8)</f>
        <v>0</v>
      </c>
      <c r="W8" s="183"/>
      <c r="X8" s="183">
        <f t="shared" si="0"/>
        <v>0</v>
      </c>
      <c r="Y8" s="185"/>
      <c r="Z8" s="151"/>
      <c r="AA8" s="151"/>
      <c r="AB8" s="162"/>
      <c r="AE8" s="191"/>
      <c r="AF8" s="191"/>
    </row>
    <row r="9" s="148" customFormat="1" ht="17" customHeight="1" spans="1:32">
      <c r="A9" s="156"/>
      <c r="B9" s="190"/>
      <c r="C9" s="188" t="s">
        <v>18</v>
      </c>
      <c r="D9" s="183">
        <v>0</v>
      </c>
      <c r="E9" s="183"/>
      <c r="F9" s="183">
        <f t="shared" si="1"/>
        <v>0</v>
      </c>
      <c r="G9" s="182">
        <v>0</v>
      </c>
      <c r="H9" s="183"/>
      <c r="I9" s="183">
        <f t="shared" si="2"/>
        <v>0</v>
      </c>
      <c r="J9" s="183">
        <v>0</v>
      </c>
      <c r="K9" s="183"/>
      <c r="L9" s="183">
        <f t="shared" si="3"/>
        <v>0</v>
      </c>
      <c r="M9" s="183">
        <v>0</v>
      </c>
      <c r="N9" s="183"/>
      <c r="O9" s="183">
        <f t="shared" si="5"/>
        <v>0</v>
      </c>
      <c r="P9" s="183">
        <v>0</v>
      </c>
      <c r="Q9" s="183"/>
      <c r="R9" s="183">
        <f t="shared" si="4"/>
        <v>0</v>
      </c>
      <c r="S9" s="183"/>
      <c r="T9" s="183"/>
      <c r="U9" s="183"/>
      <c r="V9" s="183">
        <f>SUM(后推明细表!D9,后推明细表!G9,后推明细表!J9,后推明细表!M9,后推明细表!S9,P9)</f>
        <v>0</v>
      </c>
      <c r="W9" s="183"/>
      <c r="X9" s="183">
        <f t="shared" si="0"/>
        <v>0</v>
      </c>
      <c r="Y9" s="185"/>
      <c r="Z9" s="151"/>
      <c r="AA9" s="151"/>
      <c r="AB9" s="162"/>
      <c r="AE9" s="191"/>
      <c r="AF9" s="191"/>
    </row>
    <row r="10" s="148" customFormat="1" ht="17" customHeight="1" spans="1:32">
      <c r="A10" s="156"/>
      <c r="B10" s="192"/>
      <c r="C10" s="193" t="s">
        <v>19</v>
      </c>
      <c r="D10" s="194">
        <f>SUM(D4:D9)</f>
        <v>3094762347.91</v>
      </c>
      <c r="E10" s="194">
        <f t="shared" ref="E10:W10" si="6">E4+E5+E6+E7</f>
        <v>0</v>
      </c>
      <c r="F10" s="194">
        <f>SUM(F4:F9)</f>
        <v>3094762347.91</v>
      </c>
      <c r="G10" s="182">
        <f>SUM(G4:G9)</f>
        <v>4127057585.87</v>
      </c>
      <c r="H10" s="194">
        <f t="shared" si="6"/>
        <v>0</v>
      </c>
      <c r="I10" s="194">
        <f>I4+I5+I6+I7+I8+I9</f>
        <v>4127057585.87</v>
      </c>
      <c r="J10" s="194">
        <f>SUM(J4:J9)</f>
        <v>676210615.570001</v>
      </c>
      <c r="K10" s="194">
        <f t="shared" si="6"/>
        <v>0</v>
      </c>
      <c r="L10" s="194">
        <f>SUM(L4:L9)</f>
        <v>676210615.570001</v>
      </c>
      <c r="M10" s="194">
        <f>SUM(M4:M9)</f>
        <v>289470095.55</v>
      </c>
      <c r="N10" s="194">
        <f t="shared" si="6"/>
        <v>211</v>
      </c>
      <c r="O10" s="194">
        <f>SUM(后推明细表!O4:O9)</f>
        <v>289470095.55</v>
      </c>
      <c r="P10" s="194">
        <f>SUM(P4:P9)</f>
        <v>5854422592.22</v>
      </c>
      <c r="Q10" s="194">
        <f t="shared" ref="Q10" si="7">Q4+Q5+Q6+Q7</f>
        <v>0</v>
      </c>
      <c r="R10" s="194">
        <f>SUM(R4:R9)</f>
        <v>5854422592.22</v>
      </c>
      <c r="S10" s="194">
        <f>SUM(S4:S9)</f>
        <v>0</v>
      </c>
      <c r="T10" s="194">
        <f t="shared" si="6"/>
        <v>0</v>
      </c>
      <c r="U10" s="194">
        <f>SUM(U4:U9)</f>
        <v>0</v>
      </c>
      <c r="V10" s="194">
        <f>SUM(V4:V9)</f>
        <v>14041923237.12</v>
      </c>
      <c r="W10" s="194">
        <f t="shared" si="6"/>
        <v>211</v>
      </c>
      <c r="X10" s="194">
        <f>X4+X5+X6+X7+X8+X9</f>
        <v>14041923237.12</v>
      </c>
      <c r="Y10" s="185"/>
      <c r="Z10" s="186"/>
      <c r="AA10" s="186"/>
      <c r="AB10" s="162"/>
      <c r="AE10" s="191"/>
      <c r="AF10" s="191"/>
    </row>
    <row r="11" s="148" customFormat="1" ht="17" customHeight="1" spans="1:32">
      <c r="A11" s="156"/>
      <c r="B11" s="195"/>
      <c r="C11" s="193" t="s">
        <v>12</v>
      </c>
      <c r="D11" s="182">
        <v>2527944082.9</v>
      </c>
      <c r="E11" s="183">
        <v>0</v>
      </c>
      <c r="F11" s="183">
        <v>2527944082.9</v>
      </c>
      <c r="G11" s="184">
        <v>2498479084.88001</v>
      </c>
      <c r="H11" s="183">
        <v>0</v>
      </c>
      <c r="I11" s="183">
        <v>2498479084.88001</v>
      </c>
      <c r="J11" s="184">
        <v>516069272.55</v>
      </c>
      <c r="K11" s="183">
        <v>0</v>
      </c>
      <c r="L11" s="183">
        <v>516069272.55</v>
      </c>
      <c r="M11" s="182">
        <v>54641281.55</v>
      </c>
      <c r="N11" s="183">
        <v>0</v>
      </c>
      <c r="O11" s="183">
        <v>54641281.55</v>
      </c>
      <c r="P11" s="182">
        <v>3183554569.59</v>
      </c>
      <c r="Q11" s="183">
        <v>0</v>
      </c>
      <c r="R11" s="183">
        <v>3183554569.59</v>
      </c>
      <c r="S11" s="182"/>
      <c r="T11" s="183"/>
      <c r="U11" s="183"/>
      <c r="V11" s="183">
        <f>SUM(D11,G11,J11,M11,S11,P11)</f>
        <v>8780688291.47001</v>
      </c>
      <c r="W11" s="183">
        <f>SUM(E11,H11,K11,N11,T11)</f>
        <v>0</v>
      </c>
      <c r="X11" s="183">
        <f>SUM(F11,I11,L11,O11,U11,R11)</f>
        <v>8780688291.47001</v>
      </c>
      <c r="Y11" s="185"/>
      <c r="Z11" s="186"/>
      <c r="AA11" s="186"/>
      <c r="AB11" s="162"/>
      <c r="AE11" s="196"/>
      <c r="AF11" s="191"/>
    </row>
    <row r="12" s="148" customFormat="1" ht="17" customHeight="1" spans="1:32">
      <c r="A12" s="156"/>
      <c r="B12" s="187"/>
      <c r="C12" s="188" t="s">
        <v>20</v>
      </c>
      <c r="D12" s="182">
        <v>29426802</v>
      </c>
      <c r="E12" s="183"/>
      <c r="F12" s="183">
        <f>SUM(D12:E12)</f>
        <v>29426802</v>
      </c>
      <c r="G12" s="184">
        <v>268450233.55</v>
      </c>
      <c r="H12" s="183"/>
      <c r="I12" s="183">
        <f>SUM(G12:H12)</f>
        <v>268450233.55</v>
      </c>
      <c r="J12" s="182">
        <v>37906013.24</v>
      </c>
      <c r="K12" s="183"/>
      <c r="L12" s="183">
        <f>SUM(J12:K12)</f>
        <v>37906013.24</v>
      </c>
      <c r="M12" s="197">
        <v>5800506</v>
      </c>
      <c r="N12" s="183"/>
      <c r="O12" s="183">
        <f>SUM(M12:N12)</f>
        <v>5800506</v>
      </c>
      <c r="P12" s="184">
        <v>140994753.38</v>
      </c>
      <c r="Q12" s="183"/>
      <c r="R12" s="183">
        <f>SUM(P12:Q12)</f>
        <v>140994753.38</v>
      </c>
      <c r="S12" s="182"/>
      <c r="T12" s="183"/>
      <c r="U12" s="183"/>
      <c r="V12" s="183">
        <f>SUM(D12,G12,J12,M12,S12,P12)</f>
        <v>482578308.17</v>
      </c>
      <c r="W12" s="183">
        <f>SUM(E12,H12,K12,N12,T12)</f>
        <v>0</v>
      </c>
      <c r="X12" s="183">
        <f>SUM(F12,I12,L12,O12,U12,R12)</f>
        <v>482578308.17</v>
      </c>
      <c r="Y12" s="189"/>
      <c r="Z12" s="151"/>
      <c r="AA12" s="151"/>
      <c r="AB12" s="162"/>
      <c r="AE12" s="196"/>
    </row>
    <row r="13" s="148" customFormat="1" ht="17" customHeight="1" spans="1:32">
      <c r="A13" s="156"/>
      <c r="B13" s="190" t="s">
        <v>21</v>
      </c>
      <c r="C13" s="188" t="s">
        <v>16</v>
      </c>
      <c r="D13" s="183">
        <v>0</v>
      </c>
      <c r="E13" s="183"/>
      <c r="F13" s="183">
        <f>SUM(D13:E13)</f>
        <v>0</v>
      </c>
      <c r="G13" s="197"/>
      <c r="H13" s="183"/>
      <c r="I13" s="183">
        <f>SUM(G13:H13)</f>
        <v>0</v>
      </c>
      <c r="J13" s="182">
        <v>0</v>
      </c>
      <c r="K13" s="183"/>
      <c r="L13" s="183">
        <f>SUM(J13:K13)</f>
        <v>0</v>
      </c>
      <c r="M13" s="183">
        <v>0</v>
      </c>
      <c r="N13" s="183"/>
      <c r="O13" s="183">
        <f>SUM(M13:N13)</f>
        <v>0</v>
      </c>
      <c r="P13" s="183">
        <v>0</v>
      </c>
      <c r="Q13" s="183"/>
      <c r="R13" s="183">
        <f>SUM(P13:Q13)</f>
        <v>0</v>
      </c>
      <c r="S13" s="183"/>
      <c r="T13" s="183"/>
      <c r="U13" s="183"/>
      <c r="V13" s="183">
        <f>SUM(D13,G13,J13,M13,S13,P13,)</f>
        <v>0</v>
      </c>
      <c r="W13" s="183">
        <f>SUM(E13,H13,K13,N13,T13)</f>
        <v>0</v>
      </c>
      <c r="X13" s="183">
        <f>SUM(F13,I13,L13,O13,U13,R13)</f>
        <v>0</v>
      </c>
      <c r="Y13" s="185"/>
      <c r="Z13" s="151"/>
      <c r="AA13" s="151"/>
      <c r="AB13" s="162"/>
    </row>
    <row r="14" s="148" customFormat="1" ht="17" customHeight="1" spans="1:32">
      <c r="A14" s="156"/>
      <c r="B14" s="190"/>
      <c r="C14" s="188" t="s">
        <v>17</v>
      </c>
      <c r="D14" s="183">
        <v>0</v>
      </c>
      <c r="E14" s="183"/>
      <c r="F14" s="183">
        <f>SUM(D14:E14)</f>
        <v>0</v>
      </c>
      <c r="G14" s="182">
        <v>0</v>
      </c>
      <c r="H14" s="183"/>
      <c r="I14" s="183">
        <f>SUM(G14:H14)</f>
        <v>0</v>
      </c>
      <c r="J14" s="183">
        <v>0</v>
      </c>
      <c r="K14" s="183"/>
      <c r="L14" s="183">
        <f>SUM(J14:K14)</f>
        <v>0</v>
      </c>
      <c r="M14" s="183">
        <v>0</v>
      </c>
      <c r="N14" s="183"/>
      <c r="O14" s="183">
        <f>SUM(M14:N14)</f>
        <v>0</v>
      </c>
      <c r="P14" s="182">
        <v>0</v>
      </c>
      <c r="Q14" s="183"/>
      <c r="R14" s="183">
        <f>SUM(P14:Q14)</f>
        <v>0</v>
      </c>
      <c r="S14" s="182"/>
      <c r="T14" s="183"/>
      <c r="U14" s="183"/>
      <c r="V14" s="183">
        <f>SUM(D14,G14,J14,M14,M14,S14,P14)</f>
        <v>0</v>
      </c>
      <c r="W14" s="183"/>
      <c r="X14" s="183">
        <f>SUM(F14,I14,L14,O14,U14,R14)</f>
        <v>0</v>
      </c>
      <c r="Y14" s="185"/>
      <c r="Z14" s="151"/>
      <c r="AA14" s="151"/>
      <c r="AB14" s="162"/>
    </row>
    <row r="15" s="148" customFormat="1" ht="17" customHeight="1" spans="1:32">
      <c r="A15" s="156"/>
      <c r="B15" s="190"/>
      <c r="C15" s="188" t="s">
        <v>18</v>
      </c>
      <c r="D15" s="183">
        <v>0</v>
      </c>
      <c r="E15" s="183"/>
      <c r="F15" s="183">
        <f>SUM(D15:E15)</f>
        <v>0</v>
      </c>
      <c r="G15" s="182">
        <v>0</v>
      </c>
      <c r="H15" s="183"/>
      <c r="I15" s="183">
        <f>SUM(G15:H15)</f>
        <v>0</v>
      </c>
      <c r="J15" s="183">
        <v>0</v>
      </c>
      <c r="K15" s="183"/>
      <c r="L15" s="183">
        <f>SUM(J15:K15)</f>
        <v>0</v>
      </c>
      <c r="M15" s="183">
        <v>0</v>
      </c>
      <c r="N15" s="183"/>
      <c r="O15" s="183">
        <f>SUM(M15:N15)</f>
        <v>0</v>
      </c>
      <c r="P15" s="182">
        <v>0</v>
      </c>
      <c r="Q15" s="183"/>
      <c r="R15" s="183">
        <f>SUM(P15:Q15)</f>
        <v>0</v>
      </c>
      <c r="S15" s="182"/>
      <c r="T15" s="183"/>
      <c r="U15" s="183"/>
      <c r="V15" s="183">
        <f>SUM(D15,G15,J15,M15,M15,S15,P15)</f>
        <v>0</v>
      </c>
      <c r="W15" s="183"/>
      <c r="X15" s="183">
        <f>SUM(F15,I15,L15,O15,U15,R15)</f>
        <v>0</v>
      </c>
      <c r="Y15" s="185"/>
      <c r="Z15" s="151"/>
      <c r="AA15" s="151"/>
      <c r="AB15" s="162"/>
    </row>
    <row r="16" s="148" customFormat="1" ht="17" customHeight="1" spans="1:32">
      <c r="A16" s="156"/>
      <c r="B16" s="192"/>
      <c r="C16" s="193" t="s">
        <v>19</v>
      </c>
      <c r="D16" s="194">
        <f>SUM(D11:D15)</f>
        <v>2557370884.9</v>
      </c>
      <c r="E16" s="194">
        <f>E11+E12+E13</f>
        <v>0</v>
      </c>
      <c r="F16" s="194">
        <f>F11+F12+F13+F14+F15</f>
        <v>2557370884.9</v>
      </c>
      <c r="G16" s="194">
        <f>G11+G12+G13+G14+G15</f>
        <v>2766929318.43001</v>
      </c>
      <c r="H16" s="194">
        <f>H11+H12+H13</f>
        <v>0</v>
      </c>
      <c r="I16" s="194">
        <f>I11+I12+I13+I14+I15</f>
        <v>2766929318.43001</v>
      </c>
      <c r="J16" s="194">
        <f>SUM(J11:J15)</f>
        <v>553975285.79</v>
      </c>
      <c r="K16" s="194">
        <f>K11+K12+K13</f>
        <v>0</v>
      </c>
      <c r="L16" s="194">
        <f>SUM(L11:L15)</f>
        <v>553975285.79</v>
      </c>
      <c r="M16" s="194">
        <f>SUM(M11:M15)</f>
        <v>60441787.55</v>
      </c>
      <c r="N16" s="194">
        <f>N11+N12+N13</f>
        <v>0</v>
      </c>
      <c r="O16" s="194">
        <f>SUM(O11:O15)</f>
        <v>60441787.55</v>
      </c>
      <c r="P16" s="194">
        <f>SUM(P11:P15)</f>
        <v>3324549322.97</v>
      </c>
      <c r="Q16" s="194">
        <f>Q11+Q12+Q13</f>
        <v>0</v>
      </c>
      <c r="R16" s="194">
        <f>SUM(后推明细表!R11:R15)</f>
        <v>3324549322.97</v>
      </c>
      <c r="S16" s="194">
        <f>SUM(S11:S15)</f>
        <v>0</v>
      </c>
      <c r="T16" s="194">
        <f>T11+T12+T13</f>
        <v>0</v>
      </c>
      <c r="U16" s="194">
        <f>SUM(后推明细表!U11:U15)</f>
        <v>0</v>
      </c>
      <c r="V16" s="194">
        <f>SUM(V11:V15)</f>
        <v>9263266599.64001</v>
      </c>
      <c r="W16" s="194">
        <f>W11+W12+W13</f>
        <v>0</v>
      </c>
      <c r="X16" s="194">
        <f>X11+X12+X13+X14+X15</f>
        <v>9263266599.64001</v>
      </c>
      <c r="Y16" s="185"/>
      <c r="Z16" s="186"/>
      <c r="AA16" s="186"/>
      <c r="AB16" s="162"/>
    </row>
    <row r="17" s="148" customFormat="1" ht="17" customHeight="1" spans="1:28">
      <c r="A17" s="156"/>
      <c r="B17" s="195"/>
      <c r="C17" s="193" t="s">
        <v>12</v>
      </c>
      <c r="D17" s="183">
        <v>416526129.04</v>
      </c>
      <c r="E17" s="183">
        <v>0</v>
      </c>
      <c r="F17" s="183">
        <v>416526129.04</v>
      </c>
      <c r="G17" s="182">
        <v>456355798.38</v>
      </c>
      <c r="H17" s="183">
        <v>0</v>
      </c>
      <c r="I17" s="183">
        <v>456355798.38</v>
      </c>
      <c r="J17" s="183">
        <v>5406999.22</v>
      </c>
      <c r="K17" s="183">
        <v>0</v>
      </c>
      <c r="L17" s="183">
        <v>5406999.22</v>
      </c>
      <c r="M17" s="183">
        <v>0</v>
      </c>
      <c r="N17" s="183">
        <v>0</v>
      </c>
      <c r="O17" s="183">
        <v>0</v>
      </c>
      <c r="P17" s="182">
        <v>1988968027.6</v>
      </c>
      <c r="Q17" s="183">
        <v>0</v>
      </c>
      <c r="R17" s="183">
        <v>1988968027.6</v>
      </c>
      <c r="S17" s="182"/>
      <c r="T17" s="183"/>
      <c r="U17" s="183"/>
      <c r="V17" s="183">
        <f>SUM(D17,G17,J17,M17,S17,P17)</f>
        <v>2867256954.24</v>
      </c>
      <c r="W17" s="183">
        <f>SUM(E17,H17,K17,N17,T17)</f>
        <v>0</v>
      </c>
      <c r="X17" s="183">
        <f>SUM(F17,I17,L17,O17,U17,R17)</f>
        <v>2867256954.24</v>
      </c>
      <c r="Y17" s="185"/>
      <c r="Z17" s="151"/>
      <c r="AA17" s="151"/>
      <c r="AB17" s="162"/>
    </row>
    <row r="18" s="148" customFormat="1" ht="17" customHeight="1" spans="1:28">
      <c r="A18" s="156"/>
      <c r="B18" s="187"/>
      <c r="C18" s="188" t="s">
        <v>20</v>
      </c>
      <c r="D18" s="183">
        <v>0</v>
      </c>
      <c r="E18" s="183"/>
      <c r="F18" s="183">
        <f>SUM(D18:E18)</f>
        <v>0</v>
      </c>
      <c r="G18" s="183">
        <v>1138128</v>
      </c>
      <c r="H18" s="183"/>
      <c r="I18" s="183">
        <f>SUM(G18:H18)</f>
        <v>1138128</v>
      </c>
      <c r="J18" s="183">
        <v>0</v>
      </c>
      <c r="K18" s="183"/>
      <c r="L18" s="183">
        <f>SUM(J18:K18)</f>
        <v>0</v>
      </c>
      <c r="M18" s="183">
        <v>0</v>
      </c>
      <c r="N18" s="183"/>
      <c r="O18" s="183">
        <f>SUM(M18:N18)</f>
        <v>0</v>
      </c>
      <c r="P18" s="183">
        <v>19841</v>
      </c>
      <c r="Q18" s="183"/>
      <c r="R18" s="183">
        <f>SUM(P18:Q18)</f>
        <v>19841</v>
      </c>
      <c r="S18" s="183"/>
      <c r="T18" s="183"/>
      <c r="U18" s="183"/>
      <c r="V18" s="183">
        <f>SUM(D18,G18,J18,M18,S18,P18)</f>
        <v>1157969</v>
      </c>
      <c r="W18" s="183">
        <f>SUM(E18,H18,K18,N18,T18)</f>
        <v>0</v>
      </c>
      <c r="X18" s="183">
        <f>SUM(F18,I18,L18,O18,U18,R18)</f>
        <v>1157969</v>
      </c>
      <c r="Y18" s="185"/>
      <c r="Z18" s="151"/>
      <c r="AA18" s="151"/>
      <c r="AB18" s="162"/>
    </row>
    <row r="19" s="148" customFormat="1" ht="17" customHeight="1" spans="1:28">
      <c r="A19" s="156"/>
      <c r="B19" s="190" t="s">
        <v>22</v>
      </c>
      <c r="C19" s="188" t="s">
        <v>16</v>
      </c>
      <c r="D19" s="183">
        <v>0</v>
      </c>
      <c r="E19" s="183"/>
      <c r="F19" s="183">
        <f>SUM(D19:E19)</f>
        <v>0</v>
      </c>
      <c r="G19" s="183">
        <v>0</v>
      </c>
      <c r="H19" s="183"/>
      <c r="I19" s="183">
        <f>SUM(G19:H19)</f>
        <v>0</v>
      </c>
      <c r="J19" s="183">
        <v>0</v>
      </c>
      <c r="K19" s="183"/>
      <c r="L19" s="183">
        <f>SUM(J19:K19)</f>
        <v>0</v>
      </c>
      <c r="M19" s="183">
        <v>0</v>
      </c>
      <c r="N19" s="183"/>
      <c r="O19" s="183">
        <f>SUM(M19:N19)</f>
        <v>0</v>
      </c>
      <c r="P19" s="183">
        <v>0</v>
      </c>
      <c r="Q19" s="183"/>
      <c r="R19" s="183">
        <f>SUM(P19:Q19)</f>
        <v>0</v>
      </c>
      <c r="S19" s="183"/>
      <c r="T19" s="183"/>
      <c r="U19" s="183"/>
      <c r="V19" s="183">
        <f>SUM(D19,G19,J19,M19,S19)</f>
        <v>0</v>
      </c>
      <c r="W19" s="183">
        <f>SUM(E19,H19,K19,N19,T19)</f>
        <v>0</v>
      </c>
      <c r="X19" s="183">
        <f>SUM(F19,I19,L19,O19,U19,R19)</f>
        <v>0</v>
      </c>
      <c r="Y19" s="185"/>
      <c r="Z19" s="151"/>
      <c r="AA19" s="151"/>
      <c r="AB19" s="162"/>
    </row>
    <row r="20" s="148" customFormat="1" ht="17" customHeight="1" spans="1:28">
      <c r="A20" s="156"/>
      <c r="B20" s="190"/>
      <c r="C20" s="188" t="s">
        <v>18</v>
      </c>
      <c r="D20" s="183">
        <v>0</v>
      </c>
      <c r="E20" s="183"/>
      <c r="F20" s="183">
        <f>SUM(D20:E20)</f>
        <v>0</v>
      </c>
      <c r="G20" s="183">
        <v>0</v>
      </c>
      <c r="H20" s="183"/>
      <c r="I20" s="183">
        <f>SUM(G20:H20)</f>
        <v>0</v>
      </c>
      <c r="J20" s="183">
        <v>0</v>
      </c>
      <c r="K20" s="183"/>
      <c r="L20" s="183">
        <f>SUM(J20:K20)</f>
        <v>0</v>
      </c>
      <c r="M20" s="183">
        <v>0</v>
      </c>
      <c r="N20" s="183"/>
      <c r="O20" s="183">
        <f>SUM(M20:N20)</f>
        <v>0</v>
      </c>
      <c r="P20" s="183">
        <v>0</v>
      </c>
      <c r="Q20" s="183"/>
      <c r="R20" s="183">
        <f>SUM(P20:Q20)</f>
        <v>0</v>
      </c>
      <c r="S20" s="183"/>
      <c r="T20" s="183"/>
      <c r="U20" s="183"/>
      <c r="V20" s="183">
        <f>SUM(D20,G20,J20,M20,S20,P20)</f>
        <v>0</v>
      </c>
      <c r="W20" s="183"/>
      <c r="X20" s="183">
        <f>SUM(F20,I20,L20,O20,U20,R20)</f>
        <v>0</v>
      </c>
      <c r="Y20" s="185"/>
      <c r="Z20" s="151"/>
      <c r="AA20" s="151"/>
      <c r="AB20" s="162"/>
    </row>
    <row r="21" s="148" customFormat="1" ht="17" customHeight="1" spans="1:28">
      <c r="A21" s="156"/>
      <c r="B21" s="190"/>
      <c r="C21" s="188" t="s">
        <v>17</v>
      </c>
      <c r="D21" s="183">
        <v>0</v>
      </c>
      <c r="E21" s="183"/>
      <c r="F21" s="183">
        <f>SUM(D21:E21)</f>
        <v>0</v>
      </c>
      <c r="G21" s="183">
        <v>0</v>
      </c>
      <c r="H21" s="183"/>
      <c r="I21" s="183">
        <f>SUM(G21:H21)</f>
        <v>0</v>
      </c>
      <c r="J21" s="183">
        <v>0</v>
      </c>
      <c r="K21" s="183"/>
      <c r="L21" s="183">
        <f>SUM(J21:K21)</f>
        <v>0</v>
      </c>
      <c r="M21" s="183">
        <v>0</v>
      </c>
      <c r="N21" s="183"/>
      <c r="O21" s="183">
        <f>SUM(M21:N21)</f>
        <v>0</v>
      </c>
      <c r="P21" s="183">
        <v>0</v>
      </c>
      <c r="Q21" s="183"/>
      <c r="R21" s="183">
        <f>SUM(P21:Q21)</f>
        <v>0</v>
      </c>
      <c r="S21" s="183"/>
      <c r="T21" s="183"/>
      <c r="U21" s="183"/>
      <c r="V21" s="183">
        <f>SUM(D21,G21,J21,M21,S21,P21)</f>
        <v>0</v>
      </c>
      <c r="W21" s="183"/>
      <c r="X21" s="183">
        <f>SUM(F21,I21,L21,O21,U21,R21)</f>
        <v>0</v>
      </c>
      <c r="Y21" s="185"/>
      <c r="Z21" s="151"/>
      <c r="AA21" s="151"/>
      <c r="AB21" s="162"/>
    </row>
    <row r="22" s="148" customFormat="1" ht="17" customHeight="1" spans="1:28">
      <c r="A22" s="156"/>
      <c r="B22" s="192"/>
      <c r="C22" s="193" t="s">
        <v>19</v>
      </c>
      <c r="D22" s="194">
        <f>D17+D18+D19+D20+D21</f>
        <v>416526129.04</v>
      </c>
      <c r="E22" s="194">
        <f t="shared" ref="E22:W22" si="8">E17+E18+E19</f>
        <v>0</v>
      </c>
      <c r="F22" s="194">
        <f>F17+F18+F19+F20+F21</f>
        <v>416526129.04</v>
      </c>
      <c r="G22" s="194">
        <f>G17+G18+G19+G20+G21</f>
        <v>457493926.38</v>
      </c>
      <c r="H22" s="194">
        <f t="shared" si="8"/>
        <v>0</v>
      </c>
      <c r="I22" s="194">
        <f>I17+I18+I19+I20+I21</f>
        <v>457493926.38</v>
      </c>
      <c r="J22" s="194">
        <f>SUM(J17:J21)</f>
        <v>5406999.22</v>
      </c>
      <c r="K22" s="194">
        <f t="shared" si="8"/>
        <v>0</v>
      </c>
      <c r="L22" s="194">
        <f>SUM(L17:L21)</f>
        <v>5406999.22</v>
      </c>
      <c r="M22" s="194">
        <f>SUM(M17:M21)</f>
        <v>0</v>
      </c>
      <c r="N22" s="194">
        <f t="shared" si="8"/>
        <v>0</v>
      </c>
      <c r="O22" s="194">
        <f>SUM(O17:O21)</f>
        <v>0</v>
      </c>
      <c r="P22" s="194">
        <f>SUM(P17:P21)</f>
        <v>1988987868.6</v>
      </c>
      <c r="Q22" s="194">
        <f t="shared" ref="Q22" si="9">Q17+Q18+Q19</f>
        <v>0</v>
      </c>
      <c r="R22" s="194">
        <f>SUM(R17:R21)</f>
        <v>1988987868.6</v>
      </c>
      <c r="S22" s="194">
        <f>SUM(S17:S21)</f>
        <v>0</v>
      </c>
      <c r="T22" s="194">
        <f t="shared" si="8"/>
        <v>0</v>
      </c>
      <c r="U22" s="194">
        <f>SUM(U17:U21)</f>
        <v>0</v>
      </c>
      <c r="V22" s="194">
        <f>SUM(V17:V21)</f>
        <v>2868414923.24</v>
      </c>
      <c r="W22" s="194">
        <f t="shared" si="8"/>
        <v>0</v>
      </c>
      <c r="X22" s="194">
        <f>X17+X18+X19+X20+X21</f>
        <v>2868414923.24</v>
      </c>
      <c r="Y22" s="185"/>
      <c r="Z22" s="151"/>
      <c r="AA22" s="151"/>
      <c r="AB22" s="162"/>
    </row>
    <row r="23" s="148" customFormat="1" ht="17" customHeight="1" spans="1:28">
      <c r="A23" s="156"/>
      <c r="B23" s="198" t="s">
        <v>23</v>
      </c>
      <c r="C23" s="193" t="s">
        <v>12</v>
      </c>
      <c r="D23" s="183">
        <f t="shared" ref="D23:X23" si="10">D4-D11-D17</f>
        <v>143877054.81</v>
      </c>
      <c r="E23" s="199">
        <f t="shared" si="10"/>
        <v>0</v>
      </c>
      <c r="F23" s="183">
        <f t="shared" si="10"/>
        <v>143877054.81</v>
      </c>
      <c r="G23" s="183">
        <f t="shared" si="10"/>
        <v>1162640823.34</v>
      </c>
      <c r="H23" s="183">
        <f t="shared" si="10"/>
        <v>0</v>
      </c>
      <c r="I23" s="183">
        <f t="shared" si="10"/>
        <v>1162640823.34</v>
      </c>
      <c r="J23" s="183">
        <f>M4-J11-J17</f>
        <v>-232006176.22</v>
      </c>
      <c r="K23" s="183">
        <f t="shared" si="10"/>
        <v>0</v>
      </c>
      <c r="L23" s="183">
        <f t="shared" si="10"/>
        <v>143658891.27</v>
      </c>
      <c r="M23" s="183">
        <f t="shared" si="10"/>
        <v>234828814</v>
      </c>
      <c r="N23" s="183">
        <f t="shared" si="10"/>
        <v>211</v>
      </c>
      <c r="O23" s="183">
        <f t="shared" si="10"/>
        <v>234828814</v>
      </c>
      <c r="P23" s="183">
        <f t="shared" si="10"/>
        <v>676142941.849997</v>
      </c>
      <c r="Q23" s="183">
        <f t="shared" si="10"/>
        <v>0</v>
      </c>
      <c r="R23" s="183">
        <f t="shared" si="10"/>
        <v>676142941.849997</v>
      </c>
      <c r="S23" s="183">
        <f t="shared" si="10"/>
        <v>0</v>
      </c>
      <c r="T23" s="183">
        <f t="shared" si="10"/>
        <v>0</v>
      </c>
      <c r="U23" s="183">
        <f t="shared" si="10"/>
        <v>0</v>
      </c>
      <c r="V23" s="183">
        <f t="shared" si="10"/>
        <v>2361148525.26999</v>
      </c>
      <c r="W23" s="183">
        <f t="shared" si="10"/>
        <v>211</v>
      </c>
      <c r="X23" s="183">
        <f t="shared" si="10"/>
        <v>2361148525.26999</v>
      </c>
      <c r="Y23" s="185">
        <f>[2]A3_单体报表审定数!$DN$55</f>
        <v>2361148525.27</v>
      </c>
      <c r="Z23" s="186">
        <f t="shared" ref="Z23:Z24" si="11">X23-Y23</f>
        <v>-5.24520874023437e-6</v>
      </c>
      <c r="AA23" s="186"/>
      <c r="AB23" s="162"/>
    </row>
    <row r="24" s="148" customFormat="1" ht="17" customHeight="1" spans="1:28">
      <c r="A24" s="156"/>
      <c r="B24" s="192"/>
      <c r="C24" s="200" t="s">
        <v>19</v>
      </c>
      <c r="D24" s="201">
        <f t="shared" ref="D24:X24" si="12">D10-D16-D22</f>
        <v>120865333.97</v>
      </c>
      <c r="E24" s="202">
        <f t="shared" si="12"/>
        <v>0</v>
      </c>
      <c r="F24" s="203">
        <f t="shared" si="12"/>
        <v>120865333.97</v>
      </c>
      <c r="G24" s="202">
        <f t="shared" si="12"/>
        <v>902634341.059996</v>
      </c>
      <c r="H24" s="202">
        <f t="shared" si="12"/>
        <v>0</v>
      </c>
      <c r="I24" s="202">
        <f t="shared" si="12"/>
        <v>902634341.059996</v>
      </c>
      <c r="J24" s="202">
        <f t="shared" si="12"/>
        <v>116828330.56</v>
      </c>
      <c r="K24" s="202">
        <f t="shared" si="12"/>
        <v>0</v>
      </c>
      <c r="L24" s="202">
        <f t="shared" si="12"/>
        <v>116828330.56</v>
      </c>
      <c r="M24" s="202">
        <f t="shared" si="12"/>
        <v>229028308</v>
      </c>
      <c r="N24" s="202">
        <f t="shared" si="12"/>
        <v>211</v>
      </c>
      <c r="O24" s="202">
        <f t="shared" si="12"/>
        <v>229028308</v>
      </c>
      <c r="P24" s="202">
        <f t="shared" si="12"/>
        <v>540885400.649997</v>
      </c>
      <c r="Q24" s="202">
        <f t="shared" si="12"/>
        <v>0</v>
      </c>
      <c r="R24" s="202">
        <f t="shared" si="12"/>
        <v>540885400.649997</v>
      </c>
      <c r="S24" s="202">
        <f t="shared" si="12"/>
        <v>0</v>
      </c>
      <c r="T24" s="202">
        <f t="shared" si="12"/>
        <v>0</v>
      </c>
      <c r="U24" s="202">
        <f t="shared" si="12"/>
        <v>0</v>
      </c>
      <c r="V24" s="202">
        <f t="shared" si="12"/>
        <v>1910241714.24</v>
      </c>
      <c r="W24" s="202">
        <f t="shared" si="12"/>
        <v>211</v>
      </c>
      <c r="X24" s="202">
        <f t="shared" si="12"/>
        <v>1910241714.24</v>
      </c>
      <c r="Y24" s="204">
        <f>[2]A3_单体报表审定数!$F$55</f>
        <v>1910241714.24</v>
      </c>
      <c r="Z24" s="186">
        <f t="shared" si="11"/>
        <v>-4.05311584472656e-6</v>
      </c>
      <c r="AA24" s="186"/>
      <c r="AB24" s="162"/>
    </row>
    <row r="25" s="148" customFormat="1" ht="14.75" customHeight="1" spans="1:28">
      <c r="A25" s="156"/>
      <c r="B25" s="205"/>
      <c r="C25" s="206"/>
      <c r="D25" s="207"/>
      <c r="E25" s="207"/>
      <c r="F25" s="207"/>
      <c r="G25" s="207"/>
      <c r="H25" s="207"/>
      <c r="I25" s="207"/>
      <c r="J25" s="207"/>
      <c r="K25" s="207"/>
      <c r="L25" s="207"/>
      <c r="M25" s="207"/>
      <c r="N25" s="207"/>
      <c r="O25" s="207"/>
      <c r="P25" s="207"/>
      <c r="Q25" s="207"/>
      <c r="R25" s="207"/>
      <c r="S25" s="207"/>
      <c r="T25" s="207"/>
      <c r="U25" s="207"/>
      <c r="V25" s="207"/>
      <c r="W25" s="207"/>
      <c r="X25" s="207"/>
      <c r="Y25" s="207"/>
      <c r="Z25" s="151"/>
      <c r="AA25" s="151"/>
      <c r="AB25" s="162"/>
    </row>
    <row r="26" s="148" customFormat="1" ht="14.75" customHeight="1" spans="1:28">
      <c r="A26" s="156"/>
      <c r="B26" s="205"/>
      <c r="C26" s="206"/>
      <c r="D26" s="207"/>
      <c r="E26" s="207"/>
      <c r="F26" s="207"/>
      <c r="G26" s="207"/>
      <c r="H26" s="207"/>
      <c r="I26" s="207"/>
      <c r="J26" s="207"/>
      <c r="K26" s="207"/>
      <c r="L26" s="207"/>
      <c r="M26" s="207"/>
      <c r="N26" s="207"/>
      <c r="O26" s="207"/>
      <c r="P26" s="207"/>
      <c r="Q26" s="207"/>
      <c r="R26" s="207"/>
      <c r="S26" s="207"/>
      <c r="T26" s="207"/>
      <c r="U26" s="207"/>
      <c r="V26" s="207"/>
      <c r="W26" s="207"/>
      <c r="X26" s="207"/>
      <c r="Y26" s="207"/>
      <c r="Z26" s="151"/>
      <c r="AA26" s="151"/>
      <c r="AB26" s="162"/>
    </row>
    <row r="27" s="148" customFormat="1" ht="14.75" customHeight="1" spans="1:28">
      <c r="A27" s="156"/>
      <c r="B27" s="208" t="s">
        <v>24</v>
      </c>
      <c r="C27" s="206"/>
      <c r="D27" s="207"/>
      <c r="E27" s="207"/>
      <c r="F27" s="207"/>
      <c r="G27" s="207"/>
      <c r="H27" s="207"/>
      <c r="I27" s="207"/>
      <c r="J27" s="207"/>
      <c r="K27" s="207"/>
      <c r="L27" s="207"/>
      <c r="M27" s="207"/>
      <c r="N27" s="207"/>
      <c r="O27" s="207"/>
      <c r="P27" s="207"/>
      <c r="Q27" s="207"/>
      <c r="R27" s="207"/>
      <c r="S27" s="207"/>
      <c r="T27" s="207"/>
      <c r="U27" s="207"/>
      <c r="V27" s="207"/>
      <c r="W27" s="207"/>
      <c r="X27" s="207"/>
      <c r="Y27" s="207"/>
      <c r="Z27" s="151"/>
      <c r="AA27" s="151"/>
      <c r="AB27" s="162"/>
    </row>
    <row r="28" s="148" customFormat="1" ht="14.75" customHeight="1" spans="1:28">
      <c r="A28" s="156"/>
      <c r="B28" s="209" t="s">
        <v>25</v>
      </c>
      <c r="C28" s="210"/>
      <c r="D28" s="210"/>
      <c r="E28" s="211"/>
      <c r="F28" s="207"/>
      <c r="G28" s="207"/>
      <c r="H28" s="207"/>
      <c r="I28" s="207"/>
      <c r="J28" s="207"/>
      <c r="K28" s="207"/>
      <c r="L28" s="207"/>
      <c r="M28" s="207"/>
      <c r="N28" s="207"/>
      <c r="O28" s="207"/>
      <c r="P28" s="207"/>
      <c r="Q28" s="207"/>
      <c r="R28" s="207"/>
      <c r="S28" s="207"/>
      <c r="T28" s="207"/>
      <c r="U28" s="207"/>
      <c r="V28" s="207"/>
      <c r="W28" s="207"/>
      <c r="X28" s="151"/>
      <c r="Y28" s="151"/>
      <c r="Z28" s="162"/>
    </row>
    <row r="29" s="148" customFormat="1" ht="14.75" customHeight="1" spans="1:28">
      <c r="A29" s="156"/>
      <c r="B29" s="212"/>
      <c r="C29" s="213"/>
      <c r="D29" s="213"/>
      <c r="E29" s="214"/>
      <c r="F29" s="207"/>
      <c r="G29" s="207"/>
      <c r="H29" s="207"/>
      <c r="I29" s="207"/>
      <c r="J29" s="207"/>
      <c r="K29" s="207"/>
      <c r="L29" s="207"/>
      <c r="M29" s="207"/>
      <c r="N29" s="207"/>
      <c r="O29" s="207"/>
      <c r="P29" s="207"/>
      <c r="Q29" s="207"/>
      <c r="R29" s="207"/>
      <c r="S29" s="207"/>
      <c r="T29" s="207"/>
      <c r="U29" s="207"/>
      <c r="V29" s="207"/>
      <c r="W29" s="207"/>
      <c r="X29" s="151"/>
      <c r="Y29" s="151"/>
      <c r="Z29" s="162"/>
    </row>
    <row r="30" s="148" customFormat="1" ht="14.75" customHeight="1" spans="1:28">
      <c r="A30" s="156"/>
      <c r="B30" s="215"/>
      <c r="C30" s="216"/>
      <c r="D30" s="216"/>
      <c r="E30" s="217"/>
      <c r="F30" s="207"/>
      <c r="G30" s="207"/>
      <c r="H30" s="207"/>
      <c r="I30" s="207"/>
      <c r="J30" s="207"/>
      <c r="K30" s="207"/>
      <c r="L30" s="207"/>
      <c r="M30" s="207"/>
      <c r="N30" s="207"/>
      <c r="O30" s="207"/>
      <c r="P30" s="207"/>
      <c r="Q30" s="207"/>
      <c r="R30" s="207"/>
      <c r="S30" s="207"/>
      <c r="T30" s="207"/>
      <c r="U30" s="207"/>
      <c r="V30" s="207"/>
      <c r="W30" s="207"/>
      <c r="X30" s="151"/>
      <c r="Y30" s="151"/>
      <c r="Z30" s="162"/>
    </row>
    <row r="31" s="151" customFormat="1" ht="15" customHeight="1" spans="1:28">
      <c r="A31" s="179"/>
      <c r="B31" s="153"/>
      <c r="C31" s="153"/>
      <c r="D31" s="153"/>
      <c r="E31" s="154"/>
      <c r="F31" s="153"/>
      <c r="G31" s="153"/>
      <c r="H31" s="153"/>
      <c r="I31" s="153"/>
      <c r="J31" s="155"/>
      <c r="K31" s="153"/>
      <c r="L31" s="153"/>
      <c r="M31" s="153"/>
      <c r="N31" s="153"/>
      <c r="AB31" s="162"/>
    </row>
    <row r="32" ht="7.5" customHeight="1" spans="1:28">
      <c r="A32" s="162"/>
      <c r="B32" s="162"/>
      <c r="C32" s="162"/>
      <c r="D32" s="162"/>
      <c r="E32" s="162"/>
      <c r="F32" s="162"/>
      <c r="G32" s="162"/>
      <c r="H32" s="162"/>
      <c r="I32" s="218"/>
      <c r="J32" s="162"/>
      <c r="K32" s="162"/>
      <c r="L32" s="162"/>
      <c r="M32" s="162"/>
      <c r="N32" s="162"/>
      <c r="O32" s="162"/>
      <c r="P32" s="162"/>
      <c r="Q32" s="162"/>
      <c r="R32" s="162"/>
      <c r="S32" s="162"/>
      <c r="T32" s="162"/>
      <c r="U32" s="162"/>
      <c r="V32" s="162"/>
      <c r="W32" s="162"/>
      <c r="X32" s="162"/>
      <c r="Y32" s="162"/>
      <c r="Z32" s="162"/>
      <c r="AA32" s="162"/>
      <c r="AB32" s="162"/>
    </row>
    <row r="33" ht="22.5" customHeight="1"/>
    <row r="35" customHeight="1" spans="1:15">
      <c r="E35" s="219"/>
    </row>
    <row r="37" customHeight="1" spans="1:15">
      <c r="B37" s="220"/>
      <c r="C37" s="220"/>
      <c r="D37" s="221"/>
      <c r="E37" s="220"/>
      <c r="F37" s="220"/>
      <c r="G37" s="220"/>
      <c r="H37" s="220"/>
      <c r="I37" s="222"/>
      <c r="J37" s="220"/>
      <c r="K37" s="220"/>
      <c r="L37" s="220"/>
    </row>
    <row r="38" customHeight="1" spans="1:15">
      <c r="B38" s="220"/>
      <c r="C38" s="220"/>
      <c r="D38" s="221"/>
      <c r="E38" s="220"/>
      <c r="F38" s="220"/>
      <c r="G38" s="220"/>
      <c r="H38" s="220"/>
      <c r="I38" s="222"/>
      <c r="J38" s="220"/>
      <c r="K38" s="220"/>
      <c r="L38" s="220"/>
    </row>
    <row r="39" customHeight="1" spans="1:15">
      <c r="B39" s="220"/>
      <c r="C39" s="220"/>
      <c r="D39" s="221"/>
      <c r="E39" s="220"/>
      <c r="F39" s="220"/>
      <c r="G39" s="220"/>
      <c r="H39" s="220"/>
      <c r="I39" s="222"/>
      <c r="J39" s="220"/>
      <c r="K39" s="220"/>
      <c r="L39" s="220"/>
    </row>
    <row r="40" customHeight="1" spans="1:15">
      <c r="B40" s="220"/>
      <c r="C40" s="220"/>
      <c r="D40" s="221"/>
      <c r="E40" s="220"/>
      <c r="F40" s="220"/>
      <c r="G40" s="220"/>
      <c r="H40" s="220"/>
      <c r="I40" s="222"/>
      <c r="J40" s="220"/>
      <c r="K40" s="220"/>
      <c r="L40" s="220"/>
    </row>
    <row r="41" customHeight="1" spans="1:15">
      <c r="B41" s="220"/>
      <c r="C41" s="220"/>
      <c r="D41" s="221"/>
      <c r="E41" s="220"/>
      <c r="F41" s="220"/>
      <c r="G41" s="220"/>
      <c r="H41" s="220"/>
      <c r="I41" s="222"/>
      <c r="J41" s="220"/>
      <c r="K41" s="220"/>
      <c r="L41" s="220"/>
    </row>
    <row r="42" customHeight="1" spans="1:15">
      <c r="B42" s="220"/>
      <c r="C42" s="220"/>
      <c r="D42" s="221"/>
      <c r="E42" s="220"/>
      <c r="F42" s="220"/>
      <c r="G42" s="220"/>
      <c r="H42" s="220"/>
      <c r="I42" s="222"/>
      <c r="J42" s="220"/>
      <c r="K42" s="220"/>
      <c r="L42" s="220"/>
    </row>
    <row r="43" customHeight="1" spans="1:15">
      <c r="B43" s="220"/>
      <c r="C43" s="220"/>
      <c r="D43" s="221"/>
      <c r="E43" s="220"/>
      <c r="F43" s="220"/>
      <c r="G43" s="220"/>
      <c r="H43" s="220"/>
      <c r="I43" s="222"/>
      <c r="J43" s="220"/>
      <c r="K43" s="220"/>
      <c r="L43" s="220"/>
    </row>
    <row r="44" customHeight="1" spans="1:15">
      <c r="B44" s="220"/>
      <c r="C44" s="220"/>
      <c r="D44" s="221"/>
      <c r="E44" s="220"/>
      <c r="F44" s="220"/>
      <c r="G44" s="220"/>
      <c r="H44" s="220"/>
      <c r="I44" s="222"/>
      <c r="J44" s="220"/>
      <c r="K44" s="220"/>
      <c r="L44" s="220"/>
    </row>
    <row r="45" customHeight="1" spans="1:15">
      <c r="B45" s="220"/>
      <c r="C45" s="220"/>
      <c r="D45" s="221"/>
      <c r="E45" s="220"/>
      <c r="F45" s="220"/>
      <c r="G45" s="220"/>
      <c r="H45" s="220"/>
      <c r="I45" s="222"/>
      <c r="J45" s="220"/>
      <c r="K45" s="220"/>
      <c r="L45" s="220"/>
    </row>
    <row r="46" s="151" customFormat="1" customHeight="1" spans="1:15">
      <c r="A46" s="179"/>
      <c r="B46" s="223"/>
      <c r="C46" s="220"/>
      <c r="D46" s="220"/>
      <c r="E46" s="221"/>
      <c r="F46" s="220"/>
      <c r="G46" s="220"/>
      <c r="H46" s="220"/>
      <c r="I46" s="220"/>
      <c r="J46" s="222"/>
      <c r="K46" s="220"/>
      <c r="L46" s="220"/>
      <c r="M46" s="220"/>
      <c r="O46" s="153"/>
    </row>
    <row r="56" s="151" customFormat="1" customHeight="1" spans="1:15">
      <c r="A56" s="179"/>
      <c r="C56" s="153"/>
      <c r="D56" s="153"/>
      <c r="E56" s="153"/>
      <c r="F56" s="154"/>
      <c r="G56" s="153"/>
      <c r="H56" s="153"/>
      <c r="I56" s="153"/>
      <c r="J56" s="153"/>
      <c r="K56" s="155"/>
      <c r="L56" s="153"/>
      <c r="M56" s="153"/>
      <c r="N56" s="153"/>
      <c r="O56" s="153"/>
    </row>
    <row r="57" s="151" customFormat="1" customHeight="1" spans="1:15">
      <c r="A57" s="179"/>
      <c r="C57" s="153"/>
      <c r="D57" s="153"/>
      <c r="E57" s="153"/>
      <c r="F57" s="154"/>
      <c r="G57" s="153"/>
      <c r="H57" s="153"/>
      <c r="I57" s="153"/>
      <c r="J57" s="153"/>
      <c r="K57" s="155"/>
      <c r="L57" s="153"/>
      <c r="M57" s="153"/>
      <c r="N57" s="153"/>
      <c r="O57" s="153"/>
    </row>
    <row r="58" s="151" customFormat="1" customHeight="1" spans="1:15">
      <c r="A58" s="179"/>
      <c r="C58" s="153"/>
      <c r="D58" s="153"/>
      <c r="E58" s="153"/>
      <c r="F58" s="154"/>
      <c r="G58" s="153"/>
      <c r="H58" s="153"/>
      <c r="I58" s="153"/>
      <c r="J58" s="153"/>
      <c r="K58" s="155"/>
      <c r="L58" s="153"/>
      <c r="M58" s="153"/>
      <c r="N58" s="153"/>
      <c r="O58" s="153"/>
    </row>
    <row r="59" s="151" customFormat="1" customHeight="1" spans="1:15">
      <c r="A59" s="179"/>
      <c r="C59" s="153"/>
      <c r="D59" s="153"/>
      <c r="E59" s="153"/>
      <c r="F59" s="154"/>
      <c r="G59" s="153"/>
      <c r="H59" s="153"/>
      <c r="I59" s="153"/>
      <c r="J59" s="153"/>
      <c r="K59" s="155"/>
      <c r="L59" s="153"/>
      <c r="M59" s="153"/>
      <c r="N59" s="153"/>
      <c r="O59" s="153"/>
    </row>
    <row r="60" s="151" customFormat="1" customHeight="1" spans="1:15">
      <c r="A60" s="179"/>
      <c r="C60" s="153"/>
      <c r="D60" s="153"/>
      <c r="E60" s="153"/>
      <c r="F60" s="154"/>
      <c r="G60" s="153"/>
      <c r="H60" s="153"/>
      <c r="I60" s="153"/>
      <c r="J60" s="153"/>
      <c r="K60" s="155"/>
      <c r="L60" s="153"/>
      <c r="M60" s="153"/>
      <c r="N60" s="153"/>
      <c r="O60" s="153"/>
    </row>
    <row r="61" s="151" customFormat="1" customHeight="1" spans="1:15">
      <c r="A61" s="179"/>
      <c r="C61" s="153"/>
      <c r="D61" s="153"/>
      <c r="E61" s="153"/>
      <c r="F61" s="154"/>
      <c r="G61" s="153"/>
      <c r="H61" s="153"/>
      <c r="I61" s="153"/>
      <c r="J61" s="153"/>
      <c r="K61" s="155"/>
      <c r="L61" s="153"/>
      <c r="M61" s="153"/>
      <c r="N61" s="153"/>
      <c r="O61" s="153"/>
    </row>
    <row r="62" s="151" customFormat="1" customHeight="1" spans="1:15">
      <c r="A62" s="179"/>
      <c r="C62" s="153"/>
      <c r="D62" s="153"/>
      <c r="E62" s="153"/>
      <c r="F62" s="154"/>
      <c r="G62" s="153"/>
      <c r="H62" s="153"/>
      <c r="I62" s="153"/>
      <c r="J62" s="153"/>
      <c r="K62" s="155"/>
      <c r="L62" s="153"/>
      <c r="M62" s="153"/>
      <c r="N62" s="153"/>
      <c r="O62" s="153"/>
    </row>
    <row r="63" s="151" customFormat="1" customHeight="1" spans="1:15">
      <c r="A63" s="179"/>
      <c r="C63" s="153"/>
      <c r="D63" s="153"/>
      <c r="E63" s="153"/>
      <c r="F63" s="154"/>
      <c r="G63" s="153"/>
      <c r="H63" s="153"/>
      <c r="I63" s="153"/>
      <c r="J63" s="153"/>
      <c r="K63" s="155"/>
      <c r="L63" s="153"/>
      <c r="M63" s="153"/>
      <c r="N63" s="153"/>
      <c r="O63" s="153"/>
    </row>
    <row r="64" s="151" customFormat="1" customHeight="1" spans="1:15">
      <c r="A64" s="179"/>
      <c r="C64" s="153"/>
      <c r="D64" s="153"/>
      <c r="E64" s="153"/>
      <c r="F64" s="154"/>
      <c r="G64" s="153"/>
      <c r="H64" s="153"/>
      <c r="I64" s="153"/>
      <c r="J64" s="153"/>
      <c r="K64" s="155"/>
      <c r="L64" s="153"/>
      <c r="M64" s="153"/>
      <c r="N64" s="153"/>
      <c r="O64" s="153"/>
    </row>
    <row r="65" s="151" customFormat="1" customHeight="1" spans="1:15">
      <c r="A65" s="179"/>
      <c r="C65" s="153"/>
      <c r="D65" s="153"/>
      <c r="E65" s="153"/>
      <c r="F65" s="154"/>
      <c r="G65" s="153"/>
      <c r="H65" s="153"/>
      <c r="I65" s="153"/>
      <c r="J65" s="153"/>
      <c r="K65" s="155"/>
      <c r="L65" s="153"/>
      <c r="M65" s="153"/>
      <c r="N65" s="153"/>
      <c r="O65" s="153"/>
    </row>
    <row r="66" s="151" customFormat="1" customHeight="1" spans="1:15">
      <c r="A66" s="179"/>
      <c r="C66" s="153"/>
      <c r="D66" s="153"/>
      <c r="E66" s="153"/>
      <c r="F66" s="154"/>
      <c r="G66" s="153"/>
      <c r="H66" s="153"/>
      <c r="I66" s="153"/>
      <c r="J66" s="153"/>
      <c r="K66" s="155"/>
      <c r="L66" s="153"/>
      <c r="M66" s="153"/>
      <c r="N66" s="153"/>
      <c r="O66" s="153"/>
    </row>
    <row r="67" s="151" customFormat="1" customHeight="1" spans="1:15">
      <c r="A67" s="179"/>
      <c r="C67" s="153"/>
      <c r="D67" s="153"/>
      <c r="E67" s="153"/>
      <c r="F67" s="154"/>
      <c r="G67" s="153"/>
      <c r="H67" s="153"/>
      <c r="I67" s="153"/>
      <c r="J67" s="153"/>
      <c r="K67" s="155"/>
      <c r="L67" s="153"/>
      <c r="M67" s="153"/>
      <c r="N67" s="153"/>
      <c r="O67" s="153"/>
    </row>
    <row r="68" s="151" customFormat="1" customHeight="1" spans="1:15">
      <c r="A68" s="179"/>
      <c r="C68" s="153"/>
      <c r="D68" s="153"/>
      <c r="E68" s="153"/>
      <c r="F68" s="154"/>
      <c r="G68" s="153"/>
      <c r="H68" s="153"/>
      <c r="I68" s="153"/>
      <c r="J68" s="153"/>
      <c r="K68" s="155"/>
      <c r="L68" s="153"/>
      <c r="M68" s="153"/>
      <c r="N68" s="153"/>
      <c r="O68" s="153"/>
    </row>
    <row r="69" s="151" customFormat="1" customHeight="1" spans="1:15">
      <c r="A69" s="179"/>
      <c r="C69" s="153"/>
      <c r="D69" s="153"/>
      <c r="E69" s="153"/>
      <c r="F69" s="154"/>
      <c r="G69" s="153"/>
      <c r="H69" s="153"/>
      <c r="I69" s="153"/>
      <c r="J69" s="153"/>
      <c r="K69" s="155"/>
      <c r="L69" s="153"/>
      <c r="M69" s="153"/>
      <c r="N69" s="153"/>
      <c r="O69" s="153"/>
    </row>
    <row r="70" s="151" customFormat="1" customHeight="1" spans="1:15">
      <c r="A70" s="179"/>
      <c r="C70" s="153"/>
      <c r="D70" s="153"/>
      <c r="E70" s="153"/>
      <c r="F70" s="154"/>
      <c r="G70" s="153"/>
      <c r="H70" s="153"/>
      <c r="I70" s="153"/>
      <c r="J70" s="153"/>
      <c r="K70" s="155"/>
      <c r="L70" s="153"/>
      <c r="M70" s="153"/>
      <c r="N70" s="153"/>
      <c r="O70" s="153"/>
    </row>
    <row r="71" s="151" customFormat="1" customHeight="1" spans="1:15">
      <c r="A71" s="179"/>
      <c r="C71" s="153"/>
      <c r="D71" s="153"/>
      <c r="E71" s="153"/>
      <c r="F71" s="154"/>
      <c r="G71" s="153"/>
      <c r="H71" s="153"/>
      <c r="I71" s="153"/>
      <c r="J71" s="153"/>
      <c r="K71" s="155"/>
      <c r="L71" s="153"/>
      <c r="M71" s="153"/>
      <c r="N71" s="153"/>
      <c r="O71" s="153"/>
    </row>
    <row r="72" s="151" customFormat="1" customHeight="1" spans="1:15">
      <c r="A72" s="179"/>
      <c r="C72" s="153"/>
      <c r="D72" s="153"/>
      <c r="E72" s="153"/>
      <c r="F72" s="154"/>
      <c r="G72" s="153"/>
      <c r="H72" s="153"/>
      <c r="I72" s="153"/>
      <c r="J72" s="153"/>
      <c r="K72" s="155"/>
      <c r="L72" s="153"/>
      <c r="M72" s="153"/>
      <c r="N72" s="153"/>
      <c r="O72" s="153"/>
    </row>
    <row r="73" s="151" customFormat="1" customHeight="1" spans="1:15">
      <c r="A73" s="179"/>
      <c r="C73" s="153"/>
      <c r="D73" s="153"/>
      <c r="E73" s="153"/>
      <c r="F73" s="154"/>
      <c r="G73" s="153"/>
      <c r="H73" s="153"/>
      <c r="I73" s="153"/>
      <c r="J73" s="153"/>
      <c r="K73" s="155"/>
      <c r="L73" s="153"/>
      <c r="M73" s="153"/>
      <c r="N73" s="153"/>
      <c r="O73" s="153"/>
    </row>
    <row r="74" s="151" customFormat="1" customHeight="1" spans="1:15">
      <c r="A74" s="179"/>
      <c r="C74" s="153"/>
      <c r="D74" s="153"/>
      <c r="E74" s="153"/>
      <c r="F74" s="154"/>
      <c r="G74" s="153"/>
      <c r="H74" s="153"/>
      <c r="I74" s="153"/>
      <c r="J74" s="153"/>
      <c r="K74" s="155"/>
      <c r="L74" s="153"/>
      <c r="M74" s="153"/>
      <c r="N74" s="153"/>
      <c r="O74" s="153"/>
    </row>
    <row r="75" s="151" customFormat="1" customHeight="1" spans="1:15">
      <c r="A75" s="179"/>
      <c r="C75" s="153"/>
      <c r="D75" s="153"/>
      <c r="E75" s="153"/>
      <c r="F75" s="154"/>
      <c r="G75" s="153"/>
      <c r="H75" s="153"/>
      <c r="I75" s="153"/>
      <c r="J75" s="153"/>
      <c r="K75" s="155"/>
      <c r="L75" s="153"/>
      <c r="M75" s="153"/>
      <c r="N75" s="153"/>
      <c r="O75" s="153"/>
    </row>
    <row r="76" s="151" customFormat="1" customHeight="1" spans="1:15">
      <c r="A76" s="179"/>
      <c r="C76" s="153"/>
      <c r="D76" s="153"/>
      <c r="E76" s="153"/>
      <c r="F76" s="154"/>
      <c r="G76" s="153"/>
      <c r="H76" s="153"/>
      <c r="I76" s="153"/>
      <c r="J76" s="153"/>
      <c r="K76" s="155"/>
      <c r="L76" s="153"/>
      <c r="M76" s="153"/>
      <c r="N76" s="153"/>
      <c r="O76" s="153"/>
    </row>
    <row r="77" s="151" customFormat="1" customHeight="1" spans="1:15">
      <c r="A77" s="179"/>
      <c r="C77" s="153"/>
      <c r="D77" s="153"/>
      <c r="E77" s="153"/>
      <c r="F77" s="154"/>
      <c r="G77" s="153"/>
      <c r="H77" s="153"/>
      <c r="I77" s="153"/>
      <c r="J77" s="153"/>
      <c r="K77" s="155"/>
      <c r="L77" s="153"/>
      <c r="M77" s="153"/>
      <c r="N77" s="153"/>
      <c r="O77" s="153"/>
    </row>
    <row r="78" s="151" customFormat="1" customHeight="1" spans="1:15">
      <c r="A78" s="179"/>
      <c r="C78" s="153"/>
      <c r="D78" s="153"/>
      <c r="E78" s="153"/>
      <c r="F78" s="154"/>
      <c r="G78" s="153"/>
      <c r="H78" s="153"/>
      <c r="I78" s="153"/>
      <c r="J78" s="153"/>
      <c r="K78" s="155"/>
      <c r="L78" s="153"/>
      <c r="M78" s="153"/>
      <c r="N78" s="153"/>
      <c r="O78" s="153"/>
    </row>
    <row r="79" s="151" customFormat="1" customHeight="1" spans="1:15">
      <c r="A79" s="179"/>
      <c r="C79" s="153"/>
      <c r="D79" s="153"/>
      <c r="E79" s="153"/>
      <c r="F79" s="154"/>
      <c r="G79" s="153"/>
      <c r="H79" s="153"/>
      <c r="I79" s="153"/>
      <c r="J79" s="153"/>
      <c r="K79" s="155"/>
      <c r="L79" s="153"/>
      <c r="M79" s="153"/>
      <c r="N79" s="153"/>
      <c r="O79" s="153"/>
    </row>
    <row r="80" s="151" customFormat="1" customHeight="1" spans="1:15">
      <c r="A80" s="179"/>
      <c r="C80" s="153"/>
      <c r="D80" s="153"/>
      <c r="E80" s="153"/>
      <c r="F80" s="154"/>
      <c r="G80" s="153"/>
      <c r="H80" s="153"/>
      <c r="I80" s="153"/>
      <c r="J80" s="153"/>
      <c r="K80" s="155"/>
      <c r="L80" s="153"/>
      <c r="M80" s="153"/>
      <c r="N80" s="153"/>
      <c r="O80" s="153"/>
    </row>
    <row r="81" s="151" customFormat="1" customHeight="1" spans="1:15">
      <c r="A81" s="179"/>
      <c r="C81" s="153"/>
      <c r="D81" s="153"/>
      <c r="E81" s="153"/>
      <c r="F81" s="154"/>
      <c r="G81" s="153"/>
      <c r="H81" s="153"/>
      <c r="I81" s="153"/>
      <c r="J81" s="153"/>
      <c r="K81" s="155"/>
      <c r="L81" s="153"/>
      <c r="M81" s="153"/>
      <c r="N81" s="153"/>
      <c r="O81" s="153"/>
    </row>
    <row r="82" s="151" customFormat="1" customHeight="1" spans="1:15">
      <c r="A82" s="179"/>
      <c r="C82" s="153"/>
      <c r="D82" s="153"/>
      <c r="E82" s="153"/>
      <c r="F82" s="154"/>
      <c r="G82" s="153"/>
      <c r="H82" s="153"/>
      <c r="I82" s="153"/>
      <c r="J82" s="153"/>
      <c r="K82" s="155"/>
      <c r="L82" s="153"/>
      <c r="M82" s="153"/>
      <c r="N82" s="153"/>
      <c r="O82" s="153"/>
    </row>
    <row r="83" s="151" customFormat="1" customHeight="1" spans="1:15">
      <c r="A83" s="179"/>
      <c r="C83" s="153"/>
      <c r="D83" s="153"/>
      <c r="E83" s="153"/>
      <c r="F83" s="154"/>
      <c r="G83" s="153"/>
      <c r="H83" s="153"/>
      <c r="I83" s="153"/>
      <c r="J83" s="153"/>
      <c r="K83" s="155"/>
      <c r="L83" s="153"/>
      <c r="M83" s="153"/>
      <c r="N83" s="153"/>
      <c r="O83" s="153"/>
    </row>
    <row r="84" s="151" customFormat="1" customHeight="1" spans="1:15">
      <c r="A84" s="179"/>
      <c r="C84" s="153"/>
      <c r="D84" s="153"/>
      <c r="E84" s="153"/>
      <c r="F84" s="154"/>
      <c r="G84" s="153"/>
      <c r="H84" s="153"/>
      <c r="I84" s="153"/>
      <c r="J84" s="153"/>
      <c r="K84" s="155"/>
      <c r="L84" s="153"/>
      <c r="M84" s="153"/>
      <c r="N84" s="153"/>
      <c r="O84" s="153"/>
    </row>
    <row r="85" s="151" customFormat="1" customHeight="1" spans="1:15">
      <c r="A85" s="179"/>
      <c r="C85" s="153"/>
      <c r="D85" s="153"/>
      <c r="E85" s="153"/>
      <c r="F85" s="154"/>
      <c r="G85" s="153"/>
      <c r="H85" s="153"/>
      <c r="I85" s="153"/>
      <c r="J85" s="153"/>
      <c r="K85" s="155"/>
      <c r="L85" s="153"/>
      <c r="M85" s="153"/>
      <c r="N85" s="153"/>
      <c r="O85" s="153"/>
    </row>
    <row r="86" s="151" customFormat="1" customHeight="1" spans="1:15">
      <c r="A86" s="179"/>
      <c r="C86" s="153"/>
      <c r="D86" s="153"/>
      <c r="E86" s="153"/>
      <c r="F86" s="154"/>
      <c r="G86" s="153"/>
      <c r="H86" s="153"/>
      <c r="I86" s="153"/>
      <c r="J86" s="153"/>
      <c r="K86" s="155"/>
      <c r="L86" s="153"/>
      <c r="M86" s="153"/>
      <c r="N86" s="153"/>
      <c r="O86" s="153"/>
    </row>
    <row r="87" s="151" customFormat="1" customHeight="1" spans="1:15">
      <c r="A87" s="179"/>
      <c r="C87" s="153"/>
      <c r="D87" s="153"/>
      <c r="E87" s="153"/>
      <c r="F87" s="154"/>
      <c r="G87" s="153"/>
      <c r="H87" s="153"/>
      <c r="I87" s="153"/>
      <c r="J87" s="153"/>
      <c r="K87" s="155"/>
      <c r="L87" s="153"/>
      <c r="M87" s="153"/>
      <c r="N87" s="153"/>
      <c r="O87" s="153"/>
    </row>
    <row r="88" s="151" customFormat="1" customHeight="1" spans="1:15">
      <c r="A88" s="179"/>
      <c r="C88" s="153"/>
      <c r="D88" s="153"/>
      <c r="E88" s="153"/>
      <c r="F88" s="154"/>
      <c r="G88" s="153"/>
      <c r="H88" s="153"/>
      <c r="I88" s="153"/>
      <c r="J88" s="153"/>
      <c r="K88" s="155"/>
      <c r="L88" s="153"/>
      <c r="M88" s="153"/>
      <c r="N88" s="153"/>
      <c r="O88" s="153"/>
    </row>
    <row r="89" s="151" customFormat="1" customHeight="1" spans="1:15">
      <c r="A89" s="179"/>
      <c r="C89" s="153"/>
      <c r="D89" s="153"/>
      <c r="E89" s="153"/>
      <c r="F89" s="154"/>
      <c r="G89" s="153"/>
      <c r="H89" s="153"/>
      <c r="I89" s="153"/>
      <c r="J89" s="153"/>
      <c r="K89" s="155"/>
      <c r="L89" s="153"/>
      <c r="M89" s="153"/>
      <c r="N89" s="153"/>
      <c r="O89" s="153"/>
    </row>
    <row r="90" s="151" customFormat="1" customHeight="1" spans="1:15">
      <c r="A90" s="179"/>
      <c r="C90" s="153"/>
      <c r="D90" s="153"/>
      <c r="E90" s="153"/>
      <c r="F90" s="154"/>
      <c r="G90" s="153"/>
      <c r="H90" s="153"/>
      <c r="I90" s="153"/>
      <c r="J90" s="153"/>
      <c r="K90" s="155"/>
      <c r="L90" s="153"/>
      <c r="M90" s="153"/>
      <c r="N90" s="153"/>
      <c r="O90" s="153"/>
    </row>
    <row r="91" s="151" customFormat="1" customHeight="1" spans="1:15">
      <c r="A91" s="179"/>
      <c r="C91" s="153"/>
      <c r="D91" s="153"/>
      <c r="E91" s="153"/>
      <c r="F91" s="154"/>
      <c r="G91" s="153"/>
      <c r="H91" s="153"/>
      <c r="I91" s="153"/>
      <c r="J91" s="153"/>
      <c r="K91" s="155"/>
      <c r="L91" s="153"/>
      <c r="M91" s="153"/>
      <c r="N91" s="153"/>
      <c r="O91" s="153"/>
    </row>
    <row r="92" s="151" customFormat="1" customHeight="1" spans="1:15">
      <c r="A92" s="179"/>
      <c r="C92" s="153"/>
      <c r="D92" s="153"/>
      <c r="E92" s="153"/>
      <c r="F92" s="154"/>
      <c r="G92" s="153"/>
      <c r="H92" s="153"/>
      <c r="I92" s="153"/>
      <c r="J92" s="153"/>
      <c r="K92" s="155"/>
      <c r="L92" s="153"/>
      <c r="M92" s="153"/>
      <c r="N92" s="153"/>
      <c r="O92" s="153"/>
    </row>
    <row r="93" s="151" customFormat="1" customHeight="1" spans="1:15">
      <c r="A93" s="179"/>
      <c r="C93" s="153"/>
      <c r="D93" s="153"/>
      <c r="E93" s="153"/>
      <c r="F93" s="154"/>
      <c r="G93" s="153"/>
      <c r="H93" s="153"/>
      <c r="I93" s="153"/>
      <c r="J93" s="153"/>
      <c r="K93" s="155"/>
      <c r="L93" s="153"/>
      <c r="M93" s="153"/>
      <c r="N93" s="153"/>
      <c r="O93" s="153"/>
    </row>
    <row r="94" s="151" customFormat="1" customHeight="1" spans="1:15">
      <c r="A94" s="179"/>
      <c r="C94" s="153"/>
      <c r="D94" s="153"/>
      <c r="E94" s="153"/>
      <c r="F94" s="154"/>
      <c r="G94" s="153"/>
      <c r="H94" s="153"/>
      <c r="I94" s="153"/>
      <c r="J94" s="153"/>
      <c r="K94" s="155"/>
      <c r="L94" s="153"/>
      <c r="M94" s="153"/>
      <c r="N94" s="153"/>
      <c r="O94" s="153"/>
    </row>
    <row r="95" s="151" customFormat="1" customHeight="1" spans="1:15">
      <c r="A95" s="179"/>
      <c r="C95" s="153"/>
      <c r="D95" s="153"/>
      <c r="E95" s="153"/>
      <c r="F95" s="154"/>
      <c r="G95" s="153"/>
      <c r="H95" s="153"/>
      <c r="I95" s="153"/>
      <c r="J95" s="153"/>
      <c r="K95" s="155"/>
      <c r="L95" s="153"/>
      <c r="M95" s="153"/>
      <c r="N95" s="153"/>
      <c r="O95" s="153"/>
    </row>
    <row r="96" s="151" customFormat="1" customHeight="1" spans="1:15">
      <c r="A96" s="179"/>
      <c r="C96" s="153"/>
      <c r="D96" s="153"/>
      <c r="E96" s="153"/>
      <c r="F96" s="154"/>
      <c r="G96" s="153"/>
      <c r="H96" s="153"/>
      <c r="I96" s="153"/>
      <c r="J96" s="153"/>
      <c r="K96" s="155"/>
      <c r="L96" s="153"/>
      <c r="M96" s="153"/>
      <c r="N96" s="153"/>
      <c r="O96" s="153"/>
    </row>
    <row r="97" s="151" customFormat="1" customHeight="1" spans="1:15">
      <c r="A97" s="179"/>
      <c r="C97" s="153"/>
      <c r="D97" s="153"/>
      <c r="E97" s="153"/>
      <c r="F97" s="154"/>
      <c r="G97" s="153"/>
      <c r="H97" s="153"/>
      <c r="I97" s="153"/>
      <c r="J97" s="153"/>
      <c r="K97" s="155"/>
      <c r="L97" s="153"/>
      <c r="M97" s="153"/>
      <c r="N97" s="153"/>
      <c r="O97" s="153"/>
    </row>
    <row r="98" s="151" customFormat="1" customHeight="1" spans="1:15">
      <c r="A98" s="179"/>
      <c r="C98" s="153"/>
      <c r="D98" s="153"/>
      <c r="E98" s="153"/>
      <c r="F98" s="154"/>
      <c r="G98" s="153"/>
      <c r="H98" s="153"/>
      <c r="I98" s="153"/>
      <c r="J98" s="153"/>
      <c r="K98" s="155"/>
      <c r="L98" s="153"/>
      <c r="M98" s="153"/>
      <c r="N98" s="153"/>
      <c r="O98" s="153"/>
    </row>
    <row r="99" s="151" customFormat="1" customHeight="1" spans="1:15">
      <c r="A99" s="179"/>
      <c r="C99" s="153"/>
      <c r="D99" s="153"/>
      <c r="E99" s="153"/>
      <c r="F99" s="154"/>
      <c r="G99" s="153"/>
      <c r="H99" s="153"/>
      <c r="I99" s="153"/>
      <c r="J99" s="153"/>
      <c r="K99" s="155"/>
      <c r="L99" s="153"/>
      <c r="M99" s="153"/>
      <c r="N99" s="153"/>
      <c r="O99" s="153"/>
    </row>
    <row r="100" s="151" customFormat="1" customHeight="1" spans="1:15">
      <c r="A100" s="179"/>
      <c r="C100" s="153"/>
      <c r="D100" s="153"/>
      <c r="E100" s="153"/>
      <c r="F100" s="154"/>
      <c r="G100" s="153"/>
      <c r="H100" s="153"/>
      <c r="I100" s="153"/>
      <c r="J100" s="153"/>
      <c r="K100" s="155"/>
      <c r="L100" s="153"/>
      <c r="M100" s="153"/>
      <c r="N100" s="153"/>
      <c r="O100" s="153"/>
    </row>
    <row r="101" s="151" customFormat="1" customHeight="1" spans="1:15">
      <c r="A101" s="179"/>
      <c r="C101" s="153"/>
      <c r="D101" s="153"/>
      <c r="E101" s="153"/>
      <c r="F101" s="154"/>
      <c r="G101" s="153"/>
      <c r="H101" s="153"/>
      <c r="I101" s="153"/>
      <c r="J101" s="153"/>
      <c r="K101" s="155"/>
      <c r="L101" s="153"/>
      <c r="M101" s="153"/>
      <c r="N101" s="153"/>
      <c r="O101" s="153"/>
    </row>
    <row r="102" s="151" customFormat="1" customHeight="1" spans="1:15">
      <c r="A102" s="179"/>
      <c r="C102" s="153"/>
      <c r="D102" s="153"/>
      <c r="E102" s="153"/>
      <c r="F102" s="154"/>
      <c r="G102" s="153"/>
      <c r="H102" s="153"/>
      <c r="I102" s="153"/>
      <c r="J102" s="153"/>
      <c r="K102" s="155"/>
      <c r="L102" s="153"/>
      <c r="M102" s="153"/>
      <c r="N102" s="153"/>
      <c r="O102" s="153"/>
    </row>
    <row r="103" s="151" customFormat="1" customHeight="1" spans="1:15">
      <c r="A103" s="179"/>
      <c r="C103" s="153"/>
      <c r="D103" s="153"/>
      <c r="E103" s="153"/>
      <c r="F103" s="154"/>
      <c r="G103" s="153"/>
      <c r="H103" s="153"/>
      <c r="I103" s="153"/>
      <c r="J103" s="153"/>
      <c r="K103" s="155"/>
      <c r="L103" s="153"/>
      <c r="M103" s="153"/>
      <c r="N103" s="153"/>
      <c r="O103" s="153"/>
    </row>
    <row r="104" s="151" customFormat="1" customHeight="1" spans="1:15">
      <c r="A104" s="179"/>
      <c r="C104" s="153"/>
      <c r="D104" s="153"/>
      <c r="E104" s="153"/>
      <c r="F104" s="154"/>
      <c r="G104" s="153"/>
      <c r="H104" s="153"/>
      <c r="I104" s="153"/>
      <c r="J104" s="153"/>
      <c r="K104" s="155"/>
      <c r="L104" s="153"/>
      <c r="M104" s="153"/>
      <c r="N104" s="153"/>
      <c r="O104" s="153"/>
    </row>
    <row r="105" s="151" customFormat="1" customHeight="1" spans="1:15">
      <c r="A105" s="179"/>
      <c r="C105" s="153"/>
      <c r="D105" s="153"/>
      <c r="E105" s="153"/>
      <c r="F105" s="154"/>
      <c r="G105" s="153"/>
      <c r="H105" s="153"/>
      <c r="I105" s="153"/>
      <c r="J105" s="153"/>
      <c r="K105" s="155"/>
      <c r="L105" s="153"/>
      <c r="M105" s="153"/>
      <c r="N105" s="153"/>
      <c r="O105" s="153"/>
    </row>
    <row r="106" s="151" customFormat="1" customHeight="1" spans="1:15">
      <c r="A106" s="179"/>
      <c r="C106" s="153"/>
      <c r="D106" s="153"/>
      <c r="E106" s="153"/>
      <c r="F106" s="154"/>
      <c r="G106" s="153"/>
      <c r="H106" s="153"/>
      <c r="I106" s="153"/>
      <c r="J106" s="153"/>
      <c r="K106" s="155"/>
      <c r="L106" s="153"/>
      <c r="M106" s="153"/>
      <c r="N106" s="153"/>
      <c r="O106" s="153"/>
    </row>
    <row r="107" s="151" customFormat="1" customHeight="1" spans="1:15">
      <c r="A107" s="179"/>
      <c r="C107" s="153"/>
      <c r="D107" s="153"/>
      <c r="E107" s="153"/>
      <c r="F107" s="154"/>
      <c r="G107" s="153"/>
      <c r="H107" s="153"/>
      <c r="I107" s="153"/>
      <c r="J107" s="153"/>
      <c r="K107" s="155"/>
      <c r="L107" s="153"/>
      <c r="M107" s="153"/>
      <c r="N107" s="153"/>
      <c r="O107" s="153"/>
    </row>
    <row r="108" s="151" customFormat="1" customHeight="1" spans="1:15">
      <c r="A108" s="179"/>
      <c r="C108" s="153"/>
      <c r="D108" s="153"/>
      <c r="E108" s="153"/>
      <c r="F108" s="154"/>
      <c r="G108" s="153"/>
      <c r="H108" s="153"/>
      <c r="I108" s="153"/>
      <c r="J108" s="153"/>
      <c r="K108" s="155"/>
      <c r="L108" s="153"/>
      <c r="M108" s="153"/>
      <c r="N108" s="153"/>
      <c r="O108" s="153"/>
    </row>
    <row r="109" s="151" customFormat="1" customHeight="1" spans="1:15">
      <c r="A109" s="179"/>
      <c r="C109" s="153"/>
      <c r="D109" s="153"/>
      <c r="E109" s="153"/>
      <c r="F109" s="154"/>
      <c r="G109" s="153"/>
      <c r="H109" s="153"/>
      <c r="I109" s="153"/>
      <c r="J109" s="153"/>
      <c r="K109" s="155"/>
      <c r="L109" s="153"/>
      <c r="M109" s="153"/>
      <c r="N109" s="153"/>
      <c r="O109" s="153"/>
    </row>
    <row r="110" s="151" customFormat="1" customHeight="1" spans="1:15">
      <c r="A110" s="179"/>
      <c r="C110" s="153"/>
      <c r="D110" s="153"/>
      <c r="E110" s="153"/>
      <c r="F110" s="154"/>
      <c r="G110" s="153"/>
      <c r="H110" s="153"/>
      <c r="I110" s="153"/>
      <c r="J110" s="153"/>
      <c r="K110" s="155"/>
      <c r="L110" s="153"/>
      <c r="M110" s="153"/>
      <c r="N110" s="153"/>
      <c r="O110" s="153"/>
    </row>
    <row r="111" s="151" customFormat="1" customHeight="1" spans="1:15">
      <c r="A111" s="179"/>
      <c r="C111" s="153"/>
      <c r="D111" s="153"/>
      <c r="E111" s="153"/>
      <c r="F111" s="154"/>
      <c r="G111" s="153"/>
      <c r="H111" s="153"/>
      <c r="I111" s="153"/>
      <c r="J111" s="153"/>
      <c r="K111" s="155"/>
      <c r="L111" s="153"/>
      <c r="M111" s="153"/>
      <c r="N111" s="153"/>
      <c r="O111" s="153"/>
    </row>
    <row r="112" s="151" customFormat="1" customHeight="1" spans="1:15">
      <c r="A112" s="179"/>
      <c r="C112" s="153"/>
      <c r="D112" s="153"/>
      <c r="E112" s="153"/>
      <c r="F112" s="154"/>
      <c r="G112" s="153"/>
      <c r="H112" s="153"/>
      <c r="I112" s="153"/>
      <c r="J112" s="153"/>
      <c r="K112" s="155"/>
      <c r="L112" s="153"/>
      <c r="M112" s="153"/>
      <c r="N112" s="153"/>
      <c r="O112" s="153"/>
    </row>
    <row r="113" s="151" customFormat="1" customHeight="1" spans="1:21">
      <c r="A113" s="179"/>
      <c r="C113" s="153"/>
      <c r="D113" s="153"/>
      <c r="E113" s="153"/>
      <c r="F113" s="154"/>
      <c r="G113" s="153"/>
      <c r="H113" s="153"/>
      <c r="I113" s="153"/>
      <c r="J113" s="153"/>
      <c r="K113" s="155"/>
      <c r="L113" s="153"/>
      <c r="M113" s="153"/>
      <c r="N113" s="153"/>
      <c r="O113" s="153"/>
    </row>
    <row r="114" s="151" customFormat="1" customHeight="1" spans="1:21">
      <c r="A114" s="179"/>
      <c r="C114" s="153"/>
      <c r="D114" s="153"/>
      <c r="E114" s="153"/>
      <c r="F114" s="154"/>
      <c r="G114" s="153"/>
      <c r="H114" s="153"/>
      <c r="I114" s="153"/>
      <c r="J114" s="153"/>
      <c r="K114" s="155"/>
      <c r="L114" s="153"/>
      <c r="M114" s="153"/>
      <c r="N114" s="153"/>
      <c r="O114" s="153"/>
    </row>
    <row r="115" s="151" customFormat="1" customHeight="1" spans="1:21">
      <c r="A115" s="179"/>
      <c r="C115" s="153"/>
      <c r="D115" s="153"/>
      <c r="E115" s="153"/>
      <c r="F115" s="154"/>
      <c r="G115" s="153"/>
      <c r="H115" s="153"/>
      <c r="I115" s="153"/>
      <c r="J115" s="153"/>
      <c r="K115" s="155"/>
      <c r="L115" s="153"/>
      <c r="M115" s="153"/>
      <c r="N115" s="153"/>
      <c r="O115" s="153"/>
      <c r="P115" s="153"/>
      <c r="Q115" s="153"/>
      <c r="R115" s="153"/>
      <c r="S115" s="153"/>
      <c r="T115" s="153"/>
      <c r="U115" s="153"/>
    </row>
    <row r="116" s="151" customFormat="1" customHeight="1" spans="1:21">
      <c r="A116" s="179"/>
      <c r="C116" s="153"/>
      <c r="D116" s="153"/>
      <c r="E116" s="153"/>
      <c r="F116" s="154"/>
      <c r="G116" s="153"/>
      <c r="H116" s="153"/>
      <c r="I116" s="153"/>
      <c r="J116" s="153"/>
      <c r="K116" s="155"/>
      <c r="L116" s="153"/>
      <c r="M116" s="153"/>
      <c r="N116" s="153"/>
      <c r="O116" s="153"/>
      <c r="P116" s="153"/>
      <c r="Q116" s="153"/>
      <c r="R116" s="153"/>
      <c r="S116" s="153"/>
      <c r="T116" s="153"/>
      <c r="U116" s="153"/>
    </row>
    <row r="117" s="151" customFormat="1" customHeight="1" spans="1:21">
      <c r="A117" s="179"/>
      <c r="C117" s="153"/>
      <c r="D117" s="153"/>
      <c r="E117" s="153"/>
      <c r="F117" s="154"/>
      <c r="G117" s="153"/>
      <c r="H117" s="153"/>
      <c r="I117" s="153"/>
      <c r="J117" s="153"/>
      <c r="K117" s="155"/>
      <c r="L117" s="153"/>
      <c r="M117" s="153"/>
      <c r="N117" s="153"/>
      <c r="O117" s="153"/>
      <c r="P117" s="153"/>
      <c r="Q117" s="153"/>
      <c r="R117" s="153"/>
      <c r="S117" s="153"/>
      <c r="T117" s="153"/>
      <c r="U117" s="153"/>
    </row>
    <row r="118" s="151" customFormat="1" customHeight="1" spans="1:21">
      <c r="A118" s="179"/>
      <c r="B118" s="153"/>
      <c r="C118" s="153"/>
      <c r="D118" s="153"/>
      <c r="E118" s="153"/>
      <c r="F118" s="154"/>
      <c r="G118" s="153"/>
      <c r="H118" s="153"/>
      <c r="I118" s="153"/>
      <c r="J118" s="153"/>
      <c r="K118" s="155"/>
      <c r="L118" s="153"/>
      <c r="M118" s="153"/>
      <c r="N118" s="153"/>
      <c r="O118" s="153"/>
      <c r="P118" s="153"/>
      <c r="Q118" s="153"/>
      <c r="R118" s="153"/>
      <c r="S118" s="153"/>
      <c r="T118" s="153"/>
      <c r="U118" s="153"/>
    </row>
    <row r="119" s="151" customFormat="1" customHeight="1" spans="1:21">
      <c r="A119" s="179"/>
      <c r="B119" s="153"/>
      <c r="C119" s="153"/>
      <c r="D119" s="153"/>
      <c r="E119" s="153"/>
      <c r="F119" s="154"/>
      <c r="G119" s="153"/>
      <c r="H119" s="153"/>
      <c r="I119" s="153"/>
      <c r="J119" s="153"/>
      <c r="K119" s="155"/>
      <c r="L119" s="153"/>
      <c r="M119" s="153"/>
      <c r="N119" s="153"/>
      <c r="O119" s="153"/>
      <c r="P119" s="153"/>
      <c r="Q119" s="153"/>
      <c r="R119" s="153"/>
      <c r="S119" s="153"/>
      <c r="T119" s="153"/>
      <c r="U119" s="153"/>
    </row>
    <row r="120" s="151" customFormat="1" customHeight="1" spans="1:21">
      <c r="A120" s="179"/>
      <c r="B120" s="153"/>
      <c r="C120" s="153"/>
      <c r="D120" s="153"/>
      <c r="E120" s="153"/>
      <c r="F120" s="154"/>
      <c r="G120" s="153"/>
      <c r="H120" s="153"/>
      <c r="I120" s="153"/>
      <c r="J120" s="153"/>
      <c r="K120" s="155"/>
      <c r="L120" s="153"/>
      <c r="M120" s="153"/>
      <c r="N120" s="153"/>
      <c r="O120" s="153"/>
      <c r="P120" s="153"/>
      <c r="Q120" s="153"/>
      <c r="R120" s="153"/>
      <c r="S120" s="153"/>
      <c r="T120" s="153"/>
      <c r="U120" s="153"/>
    </row>
    <row r="121" s="151" customFormat="1" customHeight="1" spans="1:21">
      <c r="A121" s="179"/>
      <c r="B121" s="153"/>
      <c r="C121" s="153"/>
      <c r="D121" s="153"/>
      <c r="E121" s="153"/>
      <c r="F121" s="154"/>
      <c r="G121" s="153"/>
      <c r="H121" s="153"/>
      <c r="I121" s="153"/>
      <c r="J121" s="153"/>
      <c r="K121" s="155"/>
      <c r="L121" s="153"/>
      <c r="M121" s="153"/>
      <c r="N121" s="153"/>
      <c r="O121" s="153"/>
      <c r="P121" s="153"/>
      <c r="Q121" s="153"/>
      <c r="R121" s="153"/>
      <c r="S121" s="153"/>
      <c r="T121" s="153"/>
      <c r="U121" s="153"/>
    </row>
    <row r="122" s="151" customFormat="1" customHeight="1" spans="1:21">
      <c r="A122" s="179"/>
      <c r="B122" s="153"/>
      <c r="C122" s="153"/>
      <c r="D122" s="153"/>
      <c r="E122" s="153"/>
      <c r="F122" s="154"/>
      <c r="G122" s="153"/>
      <c r="H122" s="153"/>
      <c r="I122" s="153"/>
      <c r="J122" s="153"/>
      <c r="K122" s="155"/>
      <c r="L122" s="153"/>
      <c r="M122" s="153"/>
      <c r="N122" s="153"/>
      <c r="O122" s="153"/>
      <c r="P122" s="153"/>
      <c r="Q122" s="153"/>
      <c r="R122" s="153"/>
      <c r="S122" s="153"/>
      <c r="T122" s="153"/>
      <c r="U122" s="153"/>
    </row>
    <row r="123" s="151" customFormat="1" customHeight="1" spans="1:21">
      <c r="A123" s="179"/>
      <c r="B123" s="153"/>
      <c r="C123" s="153"/>
      <c r="D123" s="153"/>
      <c r="E123" s="153"/>
      <c r="F123" s="154"/>
      <c r="G123" s="153"/>
      <c r="H123" s="153"/>
      <c r="I123" s="153"/>
      <c r="J123" s="153"/>
      <c r="K123" s="155"/>
      <c r="L123" s="153"/>
      <c r="M123" s="153"/>
      <c r="N123" s="153"/>
      <c r="O123" s="153"/>
      <c r="P123" s="153"/>
      <c r="Q123" s="153"/>
      <c r="R123" s="153"/>
      <c r="S123" s="153"/>
      <c r="T123" s="153"/>
      <c r="U123" s="153"/>
    </row>
    <row r="124" s="151" customFormat="1" customHeight="1" spans="1:21">
      <c r="A124" s="179"/>
      <c r="B124" s="153"/>
      <c r="C124" s="153"/>
      <c r="D124" s="153"/>
      <c r="E124" s="153"/>
      <c r="F124" s="154"/>
      <c r="G124" s="153"/>
      <c r="H124" s="153"/>
      <c r="I124" s="153"/>
      <c r="J124" s="153"/>
      <c r="K124" s="155"/>
      <c r="L124" s="153"/>
      <c r="M124" s="153"/>
      <c r="N124" s="153"/>
      <c r="O124" s="153"/>
      <c r="P124" s="153"/>
      <c r="Q124" s="153"/>
      <c r="R124" s="153"/>
      <c r="S124" s="153"/>
      <c r="T124" s="153"/>
      <c r="U124" s="153"/>
    </row>
    <row r="125" s="151" customFormat="1" customHeight="1" spans="1:21">
      <c r="A125" s="179"/>
      <c r="B125" s="153"/>
      <c r="C125" s="153"/>
      <c r="D125" s="153"/>
      <c r="E125" s="153"/>
      <c r="F125" s="154"/>
      <c r="G125" s="153"/>
      <c r="H125" s="153"/>
      <c r="I125" s="153"/>
      <c r="J125" s="153"/>
      <c r="K125" s="155"/>
      <c r="L125" s="153"/>
      <c r="M125" s="153"/>
      <c r="N125" s="153"/>
      <c r="O125" s="153"/>
      <c r="P125" s="153"/>
      <c r="Q125" s="153"/>
      <c r="R125" s="153"/>
      <c r="S125" s="153"/>
      <c r="T125" s="153"/>
      <c r="U125" s="153"/>
    </row>
    <row r="126" s="151" customFormat="1" customHeight="1" spans="1:21">
      <c r="A126" s="179"/>
      <c r="B126" s="153"/>
      <c r="C126" s="153"/>
      <c r="D126" s="153"/>
      <c r="E126" s="153"/>
      <c r="F126" s="154"/>
      <c r="G126" s="153"/>
      <c r="H126" s="153"/>
      <c r="I126" s="153"/>
      <c r="J126" s="153"/>
      <c r="K126" s="155"/>
      <c r="L126" s="153"/>
      <c r="M126" s="153"/>
      <c r="N126" s="153"/>
      <c r="O126" s="153"/>
      <c r="P126" s="153"/>
      <c r="Q126" s="153"/>
      <c r="R126" s="153"/>
      <c r="S126" s="153"/>
      <c r="T126" s="153"/>
      <c r="U126" s="153"/>
    </row>
    <row r="127" s="151" customFormat="1" customHeight="1" spans="1:21">
      <c r="A127" s="179"/>
      <c r="B127" s="153"/>
      <c r="C127" s="153"/>
      <c r="D127" s="153"/>
      <c r="E127" s="153"/>
      <c r="F127" s="154"/>
      <c r="G127" s="153"/>
      <c r="H127" s="153"/>
      <c r="I127" s="153"/>
      <c r="J127" s="153"/>
      <c r="K127" s="155"/>
      <c r="L127" s="153"/>
      <c r="M127" s="153"/>
      <c r="N127" s="153"/>
      <c r="O127" s="153"/>
      <c r="P127" s="153"/>
      <c r="Q127" s="153"/>
      <c r="R127" s="153"/>
      <c r="S127" s="153"/>
      <c r="T127" s="153"/>
      <c r="U127" s="153"/>
    </row>
    <row r="128" s="151" customFormat="1" customHeight="1" spans="1:21">
      <c r="A128" s="179"/>
      <c r="B128" s="153"/>
      <c r="C128" s="153"/>
      <c r="D128" s="153"/>
      <c r="E128" s="153"/>
      <c r="F128" s="154"/>
      <c r="G128" s="153"/>
      <c r="H128" s="153"/>
      <c r="I128" s="153"/>
      <c r="J128" s="153"/>
      <c r="K128" s="155"/>
      <c r="L128" s="153"/>
      <c r="M128" s="153"/>
      <c r="N128" s="153"/>
      <c r="O128" s="153"/>
      <c r="P128" s="153"/>
      <c r="Q128" s="153"/>
      <c r="R128" s="153"/>
      <c r="S128" s="153"/>
      <c r="T128" s="153"/>
      <c r="U128" s="153"/>
    </row>
  </sheetData>
  <mergeCells count="2">
    <mergeCell ref="V1:X1"/>
    <mergeCell ref="B28:E30"/>
  </mergeCells>
  <conditionalFormatting sqref="Q2">
    <cfRule type="containsBlanks" dxfId="0" priority="19">
      <formula>LEN(TRIM(Q2))=0</formula>
    </cfRule>
  </conditionalFormatting>
  <conditionalFormatting sqref="P11">
    <cfRule type="containsBlanks" dxfId="0" priority="3">
      <formula>LEN(TRIM(P11))=0</formula>
    </cfRule>
  </conditionalFormatting>
  <conditionalFormatting sqref="D4:D9">
    <cfRule type="containsBlanks" dxfId="0" priority="36">
      <formula>LEN(TRIM(D4))=0</formula>
    </cfRule>
  </conditionalFormatting>
  <conditionalFormatting sqref="D11:D15">
    <cfRule type="containsBlanks" dxfId="0" priority="35">
      <formula>LEN(TRIM(D11))=0</formula>
    </cfRule>
  </conditionalFormatting>
  <conditionalFormatting sqref="G5:G10">
    <cfRule type="containsBlanks" dxfId="0" priority="29">
      <formula>LEN(TRIM(G5))=0</formula>
    </cfRule>
  </conditionalFormatting>
  <conditionalFormatting sqref="G14:G15">
    <cfRule type="containsBlanks" dxfId="0" priority="33">
      <formula>LEN(TRIM(G14))=0</formula>
    </cfRule>
  </conditionalFormatting>
  <conditionalFormatting sqref="G17:G21">
    <cfRule type="containsBlanks" dxfId="0" priority="32">
      <formula>LEN(TRIM(G17))=0</formula>
    </cfRule>
  </conditionalFormatting>
  <conditionalFormatting sqref="J4:J9">
    <cfRule type="containsBlanks" dxfId="0" priority="1">
      <formula>LEN(TRIM(J4))=0</formula>
    </cfRule>
  </conditionalFormatting>
  <conditionalFormatting sqref="J12:J15">
    <cfRule type="containsBlanks" dxfId="0" priority="25">
      <formula>LEN(TRIM(J12))=0</formula>
    </cfRule>
  </conditionalFormatting>
  <conditionalFormatting sqref="M4:M9">
    <cfRule type="containsBlanks" dxfId="0" priority="28">
      <formula>LEN(TRIM(M4))=0</formula>
    </cfRule>
  </conditionalFormatting>
  <conditionalFormatting sqref="M11:M15">
    <cfRule type="containsBlanks" dxfId="0" priority="27">
      <formula>LEN(TRIM(M11))=0</formula>
    </cfRule>
  </conditionalFormatting>
  <conditionalFormatting sqref="P5:P9">
    <cfRule type="containsBlanks" dxfId="0" priority="12">
      <formula>LEN(TRIM(P5))=0</formula>
    </cfRule>
  </conditionalFormatting>
  <conditionalFormatting sqref="P13:P15">
    <cfRule type="containsBlanks" dxfId="0" priority="13">
      <formula>LEN(TRIM(P13))=0</formula>
    </cfRule>
  </conditionalFormatting>
  <conditionalFormatting sqref="P17:P21">
    <cfRule type="containsBlanks" dxfId="0" priority="9">
      <formula>LEN(TRIM(P17))=0</formula>
    </cfRule>
  </conditionalFormatting>
  <conditionalFormatting sqref="S5:S9">
    <cfRule type="containsBlanks" dxfId="0" priority="8">
      <formula>LEN(TRIM(S5))=0</formula>
    </cfRule>
  </conditionalFormatting>
  <conditionalFormatting sqref="S11:S15">
    <cfRule type="containsBlanks" dxfId="0" priority="7">
      <formula>LEN(TRIM(S11))=0</formula>
    </cfRule>
  </conditionalFormatting>
  <conditionalFormatting sqref="S17:S21">
    <cfRule type="containsBlanks" dxfId="0" priority="5">
      <formula>LEN(TRIM(S17))=0</formula>
    </cfRule>
  </conditionalFormatting>
  <conditionalFormatting sqref="E2 H2 K2 N2 T2">
    <cfRule type="containsBlanks" dxfId="0" priority="73">
      <formula>LEN(TRIM(E2))=0</formula>
    </cfRule>
  </conditionalFormatting>
  <conditionalFormatting sqref="D17:D21 J17:J21 M17:M21">
    <cfRule type="containsBlanks" dxfId="0" priority="74">
      <formula>LEN(TRIM(D17))=0</formula>
    </cfRule>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96"/>
  <sheetViews>
    <sheetView showGridLines="0" zoomScale="85" zoomScaleNormal="85" workbookViewId="0">
      <selection activeCell="H10" sqref="H10"/>
    </sheetView>
  </sheetViews>
  <sheetFormatPr defaultColWidth="8.81481481481481" defaultRowHeight="12.75" customHeight="1"/>
  <cols>
    <col min="1" max="1" width="8.09259259259259" style="4" customWidth="1"/>
    <col min="2" max="2" width="6.81481481481481" style="5" customWidth="1"/>
    <col min="3" max="3" width="24.8148148148148" style="6" customWidth="1"/>
    <col min="4" max="4" width="20.8148148148148" style="6" customWidth="1"/>
    <col min="5" max="5" width="16.9074074074074" style="6" customWidth="1"/>
    <col min="6" max="6" width="18.6296296296296" style="7" customWidth="1"/>
    <col min="7" max="7" width="22.9074074074074" style="6" customWidth="1"/>
    <col min="8" max="9" width="18.3611111111111" style="6" customWidth="1"/>
    <col min="10" max="10" width="18.3611111111111" style="3" customWidth="1"/>
    <col min="11" max="11" width="20.4537037037037" style="3" customWidth="1"/>
    <col min="12" max="12" width="21.1759259259259" style="6" customWidth="1"/>
    <col min="13" max="13" width="16.9074074074074" style="6" customWidth="1"/>
    <col min="14" max="14" width="2.09259259259259" style="6" customWidth="1"/>
    <col min="15" max="15" width="16.9074074074074" style="6" customWidth="1"/>
    <col min="16" max="16384" width="8.81481481481481" style="6"/>
  </cols>
  <sheetData>
    <row r="1" s="1" customFormat="1" ht="17.5" customHeight="1" spans="1:15">
      <c r="A1" s="8"/>
      <c r="B1" s="9"/>
      <c r="C1" s="10"/>
      <c r="D1" s="11"/>
      <c r="E1" s="11"/>
      <c r="F1" s="11"/>
      <c r="G1" s="12"/>
      <c r="H1" s="13"/>
      <c r="I1" s="13"/>
      <c r="J1" s="13"/>
      <c r="K1" s="13"/>
      <c r="N1" s="14"/>
    </row>
    <row r="2" s="1" customFormat="1" ht="17.5" customHeight="1" spans="1:15">
      <c r="A2" s="8"/>
      <c r="B2" s="15"/>
      <c r="C2" s="16" t="s">
        <v>26</v>
      </c>
      <c r="D2" s="17" t="s">
        <v>27</v>
      </c>
      <c r="E2" s="18"/>
      <c r="F2" s="19" t="s">
        <v>28</v>
      </c>
      <c r="G2" s="20">
        <v>449080000</v>
      </c>
      <c r="H2" s="21"/>
      <c r="I2" s="21"/>
      <c r="J2" s="21"/>
      <c r="K2" s="21"/>
      <c r="N2" s="14"/>
    </row>
    <row r="3" s="1" customFormat="1" ht="17.5" customHeight="1" spans="1:15">
      <c r="A3" s="8"/>
      <c r="B3" s="15"/>
      <c r="C3" s="22"/>
      <c r="D3" s="23"/>
      <c r="E3" s="18"/>
      <c r="F3" s="24"/>
      <c r="G3" s="25"/>
      <c r="H3" s="21"/>
      <c r="I3" s="21"/>
      <c r="J3" s="21"/>
      <c r="K3" s="21"/>
      <c r="N3" s="14"/>
    </row>
    <row r="4" s="1" customFormat="1" ht="17.5" customHeight="1" spans="1:15">
      <c r="A4" s="8"/>
      <c r="B4" s="15"/>
      <c r="C4" s="16" t="s">
        <v>29</v>
      </c>
      <c r="D4" s="26">
        <v>46022</v>
      </c>
      <c r="E4" s="18"/>
      <c r="F4" s="19" t="s">
        <v>30</v>
      </c>
      <c r="G4" s="20">
        <v>337000000</v>
      </c>
      <c r="H4" s="27"/>
      <c r="I4" s="27"/>
      <c r="J4" s="28"/>
      <c r="K4" s="28"/>
      <c r="N4" s="14"/>
    </row>
    <row r="5" s="1" customFormat="1" ht="17.5" customHeight="1" spans="1:15">
      <c r="A5" s="8"/>
      <c r="B5" s="15"/>
      <c r="C5" s="29"/>
      <c r="D5" s="30"/>
      <c r="E5" s="18"/>
      <c r="F5" s="18"/>
      <c r="G5" s="31"/>
      <c r="H5" s="21"/>
      <c r="I5" s="21"/>
      <c r="J5" s="21"/>
      <c r="K5" s="21"/>
      <c r="N5" s="14"/>
    </row>
    <row r="6" s="1" customFormat="1" ht="17.5" customHeight="1" spans="1:15">
      <c r="A6" s="8"/>
      <c r="B6" s="15"/>
      <c r="C6" s="16" t="s">
        <v>31</v>
      </c>
      <c r="D6" s="32" t="s">
        <v>32</v>
      </c>
      <c r="E6" s="18"/>
      <c r="F6" s="33" t="s">
        <v>33</v>
      </c>
      <c r="G6" s="20">
        <f>G4</f>
        <v>337000000</v>
      </c>
      <c r="H6" s="21"/>
      <c r="I6" s="21"/>
      <c r="J6" s="21"/>
      <c r="K6" s="21"/>
      <c r="N6" s="14"/>
    </row>
    <row r="7" s="1" customFormat="1" ht="17.5" customHeight="1" spans="1:15">
      <c r="A7" s="8"/>
      <c r="B7" s="15"/>
      <c r="C7" s="29"/>
      <c r="D7" s="30"/>
      <c r="E7" s="18"/>
      <c r="F7" s="34"/>
      <c r="G7" s="35"/>
      <c r="H7" s="21"/>
      <c r="I7" s="21"/>
      <c r="J7" s="21"/>
      <c r="K7" s="21"/>
      <c r="N7" s="14"/>
    </row>
    <row r="8" ht="17.5" customHeight="1" spans="1:15">
      <c r="A8" s="8"/>
      <c r="C8" s="29"/>
      <c r="D8" s="18"/>
      <c r="E8" s="18"/>
      <c r="F8" s="19" t="s">
        <v>34</v>
      </c>
      <c r="G8" s="20">
        <v>16750000</v>
      </c>
      <c r="J8" s="6"/>
      <c r="K8" s="6"/>
      <c r="N8" s="14"/>
    </row>
    <row r="9" ht="17.5" customHeight="1" spans="1:15">
      <c r="A9" s="8"/>
      <c r="C9" s="36"/>
      <c r="D9" s="37"/>
      <c r="E9" s="37"/>
      <c r="F9" s="37"/>
      <c r="G9" s="38"/>
      <c r="J9" s="6"/>
      <c r="K9" s="6"/>
      <c r="N9" s="14"/>
    </row>
    <row r="10" ht="15" spans="1:15">
      <c r="F10" s="6"/>
      <c r="J10" s="6"/>
      <c r="K10" s="39"/>
      <c r="N10" s="14"/>
    </row>
    <row r="11" ht="15.6" spans="1:15">
      <c r="C11" s="40" t="s">
        <v>35</v>
      </c>
      <c r="D11" s="4"/>
      <c r="F11" s="6"/>
      <c r="J11" s="6"/>
      <c r="K11" s="41"/>
      <c r="N11" s="14"/>
      <c r="O11" s="41"/>
    </row>
    <row r="12" ht="15" spans="1:15">
      <c r="C12" s="42" t="s">
        <v>36</v>
      </c>
      <c r="D12" s="43"/>
      <c r="F12" s="6"/>
      <c r="J12" s="6"/>
      <c r="K12" s="41"/>
      <c r="N12" s="14"/>
      <c r="O12" s="41"/>
    </row>
    <row r="13" ht="15" spans="1:15">
      <c r="A13" s="44"/>
      <c r="C13" s="42"/>
      <c r="D13" s="43"/>
      <c r="F13" s="6"/>
      <c r="J13" s="6"/>
      <c r="K13" s="41"/>
      <c r="N13" s="14"/>
      <c r="O13" s="41"/>
    </row>
    <row r="14" ht="15.6" spans="1:15">
      <c r="A14" s="45" t="s">
        <v>37</v>
      </c>
      <c r="B14" s="46"/>
      <c r="C14" s="47" t="s">
        <v>38</v>
      </c>
      <c r="D14" s="43"/>
      <c r="F14" s="6"/>
      <c r="J14" s="6"/>
      <c r="K14" s="41"/>
      <c r="N14" s="14"/>
      <c r="O14" s="41"/>
    </row>
    <row r="15" ht="15.6" spans="1:15">
      <c r="A15" s="48"/>
      <c r="B15" s="224" t="s">
        <v>39</v>
      </c>
      <c r="C15" s="50" t="s">
        <v>40</v>
      </c>
      <c r="D15" s="43"/>
      <c r="F15" s="6"/>
      <c r="J15" s="6"/>
      <c r="K15" s="41"/>
      <c r="N15" s="14"/>
      <c r="O15" s="41"/>
    </row>
    <row r="16" ht="16.35" spans="1:15">
      <c r="B16" s="51"/>
      <c r="C16" s="50"/>
      <c r="D16" s="43"/>
      <c r="F16" s="6"/>
      <c r="J16" s="6"/>
      <c r="K16" s="41"/>
      <c r="N16" s="14"/>
      <c r="O16" s="41"/>
    </row>
    <row r="17" ht="64.5" customHeight="1" spans="1:15">
      <c r="C17" s="52" t="s">
        <v>41</v>
      </c>
      <c r="D17" s="53"/>
      <c r="E17" s="53"/>
      <c r="F17" s="53"/>
      <c r="G17" s="53"/>
      <c r="H17" s="53"/>
      <c r="I17" s="54"/>
      <c r="J17" s="55"/>
      <c r="K17" s="41"/>
      <c r="N17" s="14"/>
      <c r="O17" s="41"/>
    </row>
    <row r="18" ht="15" spans="1:15">
      <c r="C18" s="56"/>
      <c r="D18" s="57"/>
      <c r="E18" s="58"/>
      <c r="F18" s="58"/>
      <c r="G18" s="58"/>
      <c r="H18" s="58"/>
      <c r="I18" s="59"/>
      <c r="J18" s="6"/>
      <c r="K18" s="41"/>
      <c r="N18" s="14"/>
      <c r="O18" s="41"/>
    </row>
    <row r="19" ht="15" spans="1:15">
      <c r="A19" s="60"/>
      <c r="C19" s="56" t="s">
        <v>42</v>
      </c>
      <c r="D19" s="61"/>
      <c r="E19" s="61"/>
      <c r="F19" s="61"/>
      <c r="G19" s="61"/>
      <c r="H19" s="61"/>
      <c r="I19" s="62"/>
      <c r="J19" s="61"/>
      <c r="K19" s="41"/>
      <c r="N19" s="14"/>
      <c r="O19" s="41"/>
    </row>
    <row r="20" ht="15.6" spans="1:15">
      <c r="C20" s="63"/>
      <c r="D20" s="57"/>
      <c r="E20" s="58"/>
      <c r="F20" s="58"/>
      <c r="G20" s="58"/>
      <c r="H20" s="58"/>
      <c r="I20" s="59"/>
      <c r="J20" s="6"/>
      <c r="K20" s="41"/>
      <c r="N20" s="14"/>
      <c r="O20" s="41"/>
    </row>
    <row r="21" ht="98.15" customHeight="1" spans="1:15">
      <c r="C21" s="64" t="s">
        <v>43</v>
      </c>
      <c r="D21" s="65"/>
      <c r="E21" s="65"/>
      <c r="F21" s="65"/>
      <c r="G21" s="65"/>
      <c r="H21" s="65"/>
      <c r="I21" s="66"/>
      <c r="J21" s="67"/>
      <c r="K21" s="41"/>
      <c r="N21" s="14"/>
      <c r="O21" s="41"/>
    </row>
    <row r="22" ht="15" spans="1:15">
      <c r="C22" s="40"/>
      <c r="D22" s="43"/>
      <c r="F22" s="6"/>
      <c r="J22" s="6"/>
      <c r="K22" s="41"/>
      <c r="N22" s="14"/>
      <c r="O22" s="41"/>
    </row>
    <row r="23" ht="16.35" spans="1:15">
      <c r="A23" s="44"/>
      <c r="B23" s="225" t="s">
        <v>44</v>
      </c>
      <c r="C23" s="68" t="s">
        <v>45</v>
      </c>
      <c r="D23" s="43"/>
      <c r="F23" s="6"/>
      <c r="J23" s="6"/>
      <c r="K23" s="41"/>
      <c r="N23" s="14"/>
      <c r="O23" s="41"/>
    </row>
    <row r="24" ht="76.5" customHeight="1" spans="1:15">
      <c r="B24" s="51"/>
      <c r="C24" s="69" t="s">
        <v>46</v>
      </c>
      <c r="D24" s="70"/>
      <c r="E24" s="70"/>
      <c r="F24" s="70"/>
      <c r="G24" s="70"/>
      <c r="H24" s="70"/>
      <c r="I24" s="70"/>
      <c r="J24" s="71"/>
      <c r="K24" s="41"/>
      <c r="N24" s="14"/>
      <c r="O24" s="41"/>
    </row>
    <row r="25" ht="15" spans="1:15">
      <c r="B25" s="51"/>
      <c r="C25" s="68"/>
      <c r="D25" s="43"/>
      <c r="F25" s="6"/>
      <c r="J25" s="6"/>
      <c r="K25" s="41"/>
      <c r="N25" s="14"/>
      <c r="O25" s="41"/>
    </row>
    <row r="26" s="2" customFormat="1" customHeight="1" spans="1:15">
      <c r="M26" s="6"/>
      <c r="N26" s="14"/>
      <c r="O26" s="6"/>
    </row>
    <row r="27" customHeight="1" spans="1:15">
      <c r="A27" s="44"/>
      <c r="B27" s="225" t="s">
        <v>47</v>
      </c>
      <c r="C27" s="50" t="s">
        <v>48</v>
      </c>
      <c r="F27" s="6"/>
      <c r="J27" s="72"/>
      <c r="N27" s="14"/>
    </row>
    <row r="28" ht="22.5" customHeight="1" spans="1:15">
      <c r="B28" s="73"/>
      <c r="C28" s="74" t="s">
        <v>49</v>
      </c>
      <c r="D28" s="75"/>
      <c r="E28" s="75"/>
      <c r="F28" s="75"/>
      <c r="G28" s="75"/>
      <c r="H28" s="75"/>
      <c r="I28" s="75"/>
      <c r="J28" s="76"/>
      <c r="N28" s="14"/>
    </row>
    <row r="29" customHeight="1" spans="1:15">
      <c r="B29" s="73"/>
      <c r="C29" s="77"/>
      <c r="D29" s="78" t="str">
        <f>后推明细表!E2</f>
        <v>非专利技术</v>
      </c>
      <c r="E29" s="79" t="str">
        <f>后推明细表!H2</f>
        <v>其他</v>
      </c>
      <c r="F29" s="78" t="str">
        <f>后推明细表!K2</f>
        <v>软件</v>
      </c>
      <c r="G29" s="79" t="str">
        <f>后推明细表!N2</f>
        <v>土地使用权</v>
      </c>
      <c r="H29" s="78" t="str">
        <f>后推明细表!Q2</f>
        <v>专利权</v>
      </c>
      <c r="I29" s="78"/>
      <c r="J29" s="80" t="s">
        <v>50</v>
      </c>
      <c r="K29" s="81" t="s">
        <v>10</v>
      </c>
      <c r="L29" s="82" t="s">
        <v>11</v>
      </c>
      <c r="N29" s="14"/>
    </row>
    <row r="30" ht="29.15" customHeight="1" spans="1:15">
      <c r="B30" s="73"/>
      <c r="C30" s="83" t="s">
        <v>51</v>
      </c>
      <c r="D30" s="84">
        <f>'[3]L1.01.1 BKD'!$L$18</f>
        <v>3081651866</v>
      </c>
      <c r="E30" s="85">
        <f>'[3]L1.01.1 BKD'!$R$18</f>
        <v>4056924693.01</v>
      </c>
      <c r="F30" s="85">
        <f>'[3]L1.01.1 BKD'!$O$18</f>
        <v>638774938.81</v>
      </c>
      <c r="G30" s="86">
        <f>'[3]L1.01.1 BKD'!$F$18</f>
        <v>289470095.55</v>
      </c>
      <c r="H30" s="85">
        <f>'[3]L1.01.1 BKD'!$I$18</f>
        <v>5802786450.12</v>
      </c>
      <c r="I30" s="85"/>
      <c r="J30" s="87">
        <f>SUM(D30:I30)</f>
        <v>13869608043.49</v>
      </c>
      <c r="K30" s="72">
        <f>'[3]L1.00 Lead'!$K$27</f>
        <v>13869608043.49</v>
      </c>
      <c r="L30" s="88">
        <f>J30-K30</f>
        <v>0</v>
      </c>
      <c r="N30" s="14"/>
    </row>
    <row r="31" ht="28.2" spans="1:15">
      <c r="B31" s="73"/>
      <c r="C31" s="83" t="s">
        <v>52</v>
      </c>
      <c r="D31" s="89">
        <f>后推明细表!D4</f>
        <v>3088347266.75</v>
      </c>
      <c r="E31" s="89">
        <f>后推明细表!G4</f>
        <v>4117475706.6</v>
      </c>
      <c r="F31" s="89">
        <f>后推明细表!J4</f>
        <v>665135163.040001</v>
      </c>
      <c r="G31" s="89">
        <f>后推明细表!M4</f>
        <v>289470095.55</v>
      </c>
      <c r="H31" s="89">
        <f>后推明细表!P4</f>
        <v>5848665539.04</v>
      </c>
      <c r="I31" s="89">
        <f>后推明细表!S4</f>
        <v>0</v>
      </c>
      <c r="J31" s="87">
        <f>SUM(D31:I31)</f>
        <v>14009093770.98</v>
      </c>
      <c r="K31" s="90" t="s">
        <v>53</v>
      </c>
      <c r="L31" s="88"/>
      <c r="N31" s="14"/>
    </row>
    <row r="32" ht="27" customHeight="1" spans="1:15">
      <c r="B32" s="73"/>
      <c r="C32" s="91" t="s">
        <v>54</v>
      </c>
      <c r="D32" s="89">
        <f t="shared" ref="D32:I32" si="0">AVERAGE(D30:D31)</f>
        <v>3084999566.375</v>
      </c>
      <c r="E32" s="89">
        <f t="shared" si="0"/>
        <v>4087200199.805</v>
      </c>
      <c r="F32" s="89">
        <f t="shared" si="0"/>
        <v>651955050.925</v>
      </c>
      <c r="G32" s="89">
        <f t="shared" si="0"/>
        <v>289470095.55</v>
      </c>
      <c r="H32" s="89">
        <f t="shared" si="0"/>
        <v>5825725994.58</v>
      </c>
      <c r="I32" s="89">
        <f t="shared" si="0"/>
        <v>0</v>
      </c>
      <c r="J32" s="87">
        <f>SUM(D32:I32)</f>
        <v>13939350907.235</v>
      </c>
      <c r="K32" s="72"/>
      <c r="L32" s="92"/>
      <c r="N32" s="14"/>
    </row>
    <row r="33" ht="22.5" customHeight="1" spans="1:15">
      <c r="B33" s="73"/>
      <c r="C33" s="83" t="s">
        <v>55</v>
      </c>
      <c r="D33" s="89">
        <f>后推明细表!D10</f>
        <v>3094762347.91</v>
      </c>
      <c r="E33" s="89">
        <f>后推明细表!G10</f>
        <v>4127057585.87</v>
      </c>
      <c r="F33" s="89">
        <f>后推明细表!J10</f>
        <v>676210615.570001</v>
      </c>
      <c r="G33" s="89">
        <f>后推明细表!M10</f>
        <v>289470095.55</v>
      </c>
      <c r="H33" s="89">
        <f>后推明细表!P10</f>
        <v>5854422592.22</v>
      </c>
      <c r="I33" s="89">
        <f>后推明细表!S10</f>
        <v>0</v>
      </c>
      <c r="J33" s="87">
        <f>SUM(D33:I33)</f>
        <v>14041923237.12</v>
      </c>
      <c r="K33" s="90" t="s">
        <v>53</v>
      </c>
      <c r="L33" s="88"/>
      <c r="N33" s="14"/>
    </row>
    <row r="34" customHeight="1" spans="1:15">
      <c r="B34" s="73"/>
      <c r="C34" s="93" t="s">
        <v>56</v>
      </c>
      <c r="D34" s="94">
        <f t="shared" ref="D34:I34" si="1">AVERAGE(D31,D33)</f>
        <v>3091554807.33</v>
      </c>
      <c r="E34" s="94">
        <f t="shared" si="1"/>
        <v>4122266646.235</v>
      </c>
      <c r="F34" s="94">
        <f t="shared" si="1"/>
        <v>670672889.305001</v>
      </c>
      <c r="G34" s="94">
        <f t="shared" si="1"/>
        <v>289470095.55</v>
      </c>
      <c r="H34" s="94">
        <f t="shared" si="1"/>
        <v>5851544065.63</v>
      </c>
      <c r="I34" s="94">
        <f t="shared" si="1"/>
        <v>0</v>
      </c>
      <c r="J34" s="87">
        <f>SUM(D34:I34)</f>
        <v>14025508504.05</v>
      </c>
      <c r="N34" s="14"/>
    </row>
    <row r="35" customHeight="1" spans="1:15">
      <c r="B35" s="73"/>
      <c r="C35" s="95"/>
      <c r="D35" s="96"/>
      <c r="E35" s="96"/>
      <c r="F35" s="96"/>
      <c r="G35" s="96"/>
      <c r="H35" s="96"/>
      <c r="I35" s="96"/>
      <c r="J35" s="97"/>
      <c r="N35" s="14"/>
    </row>
    <row r="36" customHeight="1" spans="1:15">
      <c r="B36" s="73"/>
      <c r="C36" s="98" t="s">
        <v>57</v>
      </c>
      <c r="D36" s="99">
        <f>$G$4/J34*D34</f>
        <v>74282794.7927424</v>
      </c>
      <c r="E36" s="99">
        <f>$G$4/$J$34*E34</f>
        <v>99048377.4174783</v>
      </c>
      <c r="F36" s="99">
        <f>$G$4/$J$34*F34</f>
        <v>16114692.9988685</v>
      </c>
      <c r="G36" s="99">
        <f>$G$4/$J$34*G34</f>
        <v>6955285.94718552</v>
      </c>
      <c r="H36" s="99">
        <f>$G$4/$J$34*H34</f>
        <v>140598848.843725</v>
      </c>
      <c r="I36" s="99">
        <f>$G$4/$J$34*I34</f>
        <v>0</v>
      </c>
      <c r="J36" s="100">
        <f>SUM(D36:I36)</f>
        <v>337000000</v>
      </c>
      <c r="N36" s="14"/>
    </row>
    <row r="37" customHeight="1" spans="1:15">
      <c r="B37" s="73"/>
      <c r="C37" s="95"/>
      <c r="D37" s="96"/>
      <c r="E37" s="96"/>
      <c r="F37" s="96"/>
      <c r="G37" s="96"/>
      <c r="H37" s="96"/>
      <c r="I37" s="96"/>
      <c r="J37" s="97"/>
      <c r="N37" s="14"/>
    </row>
    <row r="38" customHeight="1" spans="1:15">
      <c r="B38" s="73"/>
      <c r="C38" s="101" t="s">
        <v>58</v>
      </c>
      <c r="D38" s="89">
        <f>'[3]L1.01.1 BKD'!$L$30</f>
        <v>31960493.59</v>
      </c>
      <c r="E38" s="85">
        <f>'[3]L1.01.1 BKD'!$R$30</f>
        <v>279286298.82</v>
      </c>
      <c r="F38" s="85">
        <f>'[3]L1.01.1 BKD'!$O$30</f>
        <v>41172043.5</v>
      </c>
      <c r="G38" s="89">
        <f>'[3]L1.01.1 BKD'!$F$30</f>
        <v>5800508</v>
      </c>
      <c r="H38" s="85">
        <f>'[3]L1.01.1 BKD'!$I$30</f>
        <v>136800560.76</v>
      </c>
      <c r="I38" s="85"/>
      <c r="J38" s="87">
        <f>SUM(D38:I38)</f>
        <v>495019904.67</v>
      </c>
      <c r="L38" s="72"/>
      <c r="N38" s="14"/>
    </row>
    <row r="39" s="3" customFormat="1" customHeight="1" spans="1:15">
      <c r="A39" s="4"/>
      <c r="B39" s="73"/>
      <c r="C39" s="101" t="s">
        <v>59</v>
      </c>
      <c r="D39" s="102">
        <f t="shared" ref="D39:J39" si="2">D38/D32</f>
        <v>0.0103599669634816</v>
      </c>
      <c r="E39" s="102">
        <f t="shared" si="2"/>
        <v>0.0683319351064146</v>
      </c>
      <c r="F39" s="102">
        <f t="shared" si="2"/>
        <v>0.0631516596759005</v>
      </c>
      <c r="G39" s="102">
        <f t="shared" si="2"/>
        <v>0.0200383669649153</v>
      </c>
      <c r="H39" s="102">
        <f t="shared" si="2"/>
        <v>0.023482148128366</v>
      </c>
      <c r="I39" s="102">
        <v>0</v>
      </c>
      <c r="J39" s="102">
        <f t="shared" si="2"/>
        <v>0.0355124071389198</v>
      </c>
      <c r="L39" s="6"/>
      <c r="M39" s="6"/>
      <c r="N39" s="14"/>
      <c r="O39" s="6"/>
    </row>
    <row r="40" s="3" customFormat="1" customHeight="1" spans="1:15">
      <c r="A40" s="4"/>
      <c r="B40" s="73"/>
      <c r="C40" s="95"/>
      <c r="D40" s="96"/>
      <c r="E40" s="96"/>
      <c r="F40" s="96"/>
      <c r="G40" s="96"/>
      <c r="H40" s="96"/>
      <c r="I40" s="96"/>
      <c r="J40" s="97"/>
      <c r="L40" s="6"/>
      <c r="M40" s="6"/>
      <c r="N40" s="14"/>
      <c r="O40" s="6"/>
    </row>
    <row r="41" s="3" customFormat="1" customHeight="1" spans="1:15">
      <c r="A41" s="4"/>
      <c r="B41" s="73"/>
      <c r="C41" s="101" t="s">
        <v>60</v>
      </c>
      <c r="D41" s="103">
        <f>D39*D34</f>
        <v>32028405.6697314</v>
      </c>
      <c r="E41" s="103">
        <f t="shared" ref="E41:H41" si="3">E39*E34</f>
        <v>281682456.961867</v>
      </c>
      <c r="F41" s="103">
        <f t="shared" si="3"/>
        <v>42354106.0592423</v>
      </c>
      <c r="G41" s="103">
        <f t="shared" si="3"/>
        <v>5800508</v>
      </c>
      <c r="H41" s="103">
        <f t="shared" si="3"/>
        <v>137406824.528785</v>
      </c>
      <c r="I41" s="103">
        <f t="shared" ref="I41" si="4">I39*I34/12*9</f>
        <v>0</v>
      </c>
      <c r="J41" s="87">
        <f>SUM(D41:I41)</f>
        <v>499272301.219626</v>
      </c>
      <c r="L41" s="72"/>
      <c r="M41" s="6"/>
      <c r="N41" s="14"/>
      <c r="O41" s="6"/>
    </row>
    <row r="42" s="3" customFormat="1" customHeight="1" spans="1:15">
      <c r="A42" s="4"/>
      <c r="B42" s="73"/>
      <c r="C42" s="101" t="s">
        <v>61</v>
      </c>
      <c r="D42" s="104">
        <f>后推明细表!D12</f>
        <v>29426802</v>
      </c>
      <c r="E42" s="104">
        <f>后推明细表!G12</f>
        <v>268450233.55</v>
      </c>
      <c r="F42" s="104">
        <f>后推明细表!J12</f>
        <v>37906013.24</v>
      </c>
      <c r="G42" s="105">
        <f>后推明细表!M12</f>
        <v>5800506</v>
      </c>
      <c r="H42" s="104">
        <f>后推明细表!P12</f>
        <v>140994753.38</v>
      </c>
      <c r="I42" s="104">
        <f>后推明细表!S12</f>
        <v>0</v>
      </c>
      <c r="J42" s="87">
        <f>SUM(D42:I42)</f>
        <v>482578308.17</v>
      </c>
      <c r="K42" s="90" t="s">
        <v>53</v>
      </c>
      <c r="L42" s="72"/>
      <c r="M42" s="6"/>
      <c r="N42" s="14"/>
      <c r="O42" s="6"/>
    </row>
    <row r="43" s="3" customFormat="1" customHeight="1" spans="1:15">
      <c r="A43" s="4"/>
      <c r="B43" s="73"/>
      <c r="C43" s="98" t="s">
        <v>62</v>
      </c>
      <c r="D43" s="106">
        <f t="shared" ref="D43:I43" si="5">D42-D41</f>
        <v>-2601603.66973145</v>
      </c>
      <c r="E43" s="106">
        <f t="shared" si="5"/>
        <v>-13232223.4118673</v>
      </c>
      <c r="F43" s="106">
        <f t="shared" si="5"/>
        <v>-4448092.81924229</v>
      </c>
      <c r="G43" s="106">
        <f t="shared" si="5"/>
        <v>-2</v>
      </c>
      <c r="H43" s="106">
        <f t="shared" si="5"/>
        <v>3587928.85121524</v>
      </c>
      <c r="I43" s="106">
        <f t="shared" si="5"/>
        <v>0</v>
      </c>
      <c r="J43" s="107">
        <f>SUM(D43:I43)</f>
        <v>-16693993.0496258</v>
      </c>
      <c r="L43" s="6"/>
      <c r="M43" s="6"/>
      <c r="N43" s="14"/>
      <c r="O43" s="6"/>
    </row>
    <row r="44" s="3" customFormat="1" customHeight="1" spans="1:15">
      <c r="A44" s="4"/>
      <c r="B44" s="73"/>
      <c r="C44" s="95"/>
      <c r="D44" s="96"/>
      <c r="E44" s="96"/>
      <c r="F44" s="96"/>
      <c r="G44" s="96"/>
      <c r="H44" s="96"/>
      <c r="I44" s="96"/>
      <c r="J44" s="97"/>
      <c r="L44" s="6"/>
      <c r="M44" s="6"/>
      <c r="N44" s="14"/>
      <c r="O44" s="6"/>
    </row>
    <row r="45" s="3" customFormat="1" customHeight="1" spans="1:15">
      <c r="A45" s="4"/>
      <c r="B45" s="73"/>
      <c r="C45" s="108" t="s">
        <v>63</v>
      </c>
      <c r="D45" s="109" t="str">
        <f t="shared" ref="D45:J45" si="6">IF(ABS(D43)&gt;D36,"Yes","No")</f>
        <v>No</v>
      </c>
      <c r="E45" s="109" t="str">
        <f t="shared" si="6"/>
        <v>No</v>
      </c>
      <c r="F45" s="109" t="str">
        <f t="shared" si="6"/>
        <v>No</v>
      </c>
      <c r="G45" s="109" t="str">
        <f t="shared" si="6"/>
        <v>No</v>
      </c>
      <c r="H45" s="109" t="str">
        <f t="shared" si="6"/>
        <v>No</v>
      </c>
      <c r="I45" s="109" t="str">
        <f t="shared" si="6"/>
        <v>No</v>
      </c>
      <c r="J45" s="110" t="str">
        <f t="shared" si="6"/>
        <v>No</v>
      </c>
      <c r="L45" s="6"/>
      <c r="M45" s="6"/>
      <c r="N45" s="14"/>
      <c r="O45" s="6"/>
    </row>
    <row r="46" s="3" customFormat="1" customHeight="1" spans="1:15">
      <c r="A46" s="4"/>
      <c r="B46" s="73"/>
      <c r="C46" s="111"/>
      <c r="D46" s="6"/>
      <c r="E46" s="73"/>
      <c r="F46" s="112"/>
      <c r="G46" s="6"/>
      <c r="H46" s="4"/>
      <c r="I46" s="6"/>
      <c r="L46" s="6"/>
      <c r="M46" s="6"/>
      <c r="N46" s="14"/>
      <c r="O46" s="6"/>
    </row>
    <row r="47" s="3" customFormat="1" customHeight="1" spans="1:15">
      <c r="A47" s="4"/>
      <c r="B47" s="73"/>
      <c r="C47" s="113"/>
      <c r="D47" s="72"/>
      <c r="E47" s="114"/>
      <c r="F47" s="115"/>
      <c r="G47" s="114"/>
      <c r="H47" s="72"/>
      <c r="I47" s="72"/>
      <c r="J47" s="72"/>
      <c r="L47" s="6"/>
      <c r="M47" s="6"/>
      <c r="N47" s="14"/>
      <c r="O47" s="6"/>
    </row>
    <row r="48" s="3" customFormat="1" customHeight="1" spans="1:15">
      <c r="A48" s="4"/>
      <c r="B48" s="116" t="s">
        <v>64</v>
      </c>
      <c r="C48" s="6" t="s">
        <v>65</v>
      </c>
      <c r="D48" s="117"/>
      <c r="E48" s="118"/>
      <c r="F48" s="118"/>
      <c r="G48" s="119"/>
      <c r="H48" s="6"/>
      <c r="I48" s="6"/>
      <c r="L48" s="6"/>
      <c r="M48" s="6"/>
      <c r="N48" s="14"/>
      <c r="O48" s="6"/>
    </row>
    <row r="49" s="3" customFormat="1" customHeight="1" spans="1:15">
      <c r="A49" s="4"/>
      <c r="B49" s="120"/>
      <c r="C49" s="6" t="s">
        <v>66</v>
      </c>
      <c r="D49" s="121">
        <v>322560415.32</v>
      </c>
      <c r="E49" s="118"/>
      <c r="F49" s="118"/>
      <c r="G49" s="119"/>
      <c r="H49" s="6"/>
      <c r="I49" s="6"/>
      <c r="L49" s="6"/>
      <c r="M49" s="6"/>
      <c r="N49" s="14"/>
      <c r="O49" s="6"/>
    </row>
    <row r="50" s="3" customFormat="1" customHeight="1" spans="1:15">
      <c r="A50" s="4"/>
      <c r="B50" s="120"/>
      <c r="C50" s="6" t="s">
        <v>67</v>
      </c>
      <c r="D50" s="121">
        <v>20019962.91</v>
      </c>
      <c r="E50" s="118"/>
      <c r="F50" s="118"/>
      <c r="G50" s="119"/>
      <c r="H50" s="6"/>
      <c r="I50" s="6"/>
      <c r="L50" s="6"/>
      <c r="M50" s="6"/>
      <c r="N50" s="14"/>
      <c r="O50" s="6"/>
    </row>
    <row r="51" s="3" customFormat="1" customHeight="1" spans="1:15">
      <c r="A51" s="4"/>
      <c r="B51" s="120"/>
      <c r="C51" s="6" t="s">
        <v>68</v>
      </c>
      <c r="D51" s="121">
        <v>9981</v>
      </c>
      <c r="E51" s="118"/>
      <c r="F51" s="118"/>
      <c r="G51" s="119"/>
      <c r="H51" s="6"/>
      <c r="I51" s="6"/>
      <c r="L51" s="6"/>
      <c r="M51" s="6"/>
      <c r="N51" s="14"/>
      <c r="O51" s="6"/>
    </row>
    <row r="52" s="3" customFormat="1" customHeight="1" spans="1:15">
      <c r="A52" s="4"/>
      <c r="B52" s="120"/>
      <c r="C52" s="6" t="s">
        <v>69</v>
      </c>
      <c r="D52" s="121">
        <v>139806879.94</v>
      </c>
      <c r="E52" s="118"/>
      <c r="F52" s="118"/>
      <c r="G52" s="119"/>
      <c r="H52" s="6"/>
      <c r="I52" s="6"/>
      <c r="L52" s="6"/>
      <c r="M52" s="6"/>
      <c r="N52" s="14"/>
      <c r="O52" s="6"/>
    </row>
    <row r="53" s="3" customFormat="1" customHeight="1" spans="1:15">
      <c r="A53" s="4"/>
      <c r="B53" s="120"/>
      <c r="C53" s="6"/>
      <c r="D53" s="121"/>
      <c r="E53" s="118"/>
      <c r="F53" s="118"/>
      <c r="G53" s="119"/>
      <c r="H53" s="6"/>
      <c r="I53" s="6"/>
      <c r="L53" s="6"/>
      <c r="M53" s="6"/>
      <c r="N53" s="14"/>
      <c r="O53" s="6"/>
    </row>
    <row r="54" s="3" customFormat="1" customHeight="1" spans="1:15">
      <c r="A54" s="4"/>
      <c r="B54" s="120"/>
      <c r="C54" s="6" t="s">
        <v>70</v>
      </c>
      <c r="D54" s="121">
        <f>'LRA_无形资产&amp;摊销费用'!J42</f>
        <v>482578308.17</v>
      </c>
      <c r="E54" s="118"/>
      <c r="F54" s="122"/>
      <c r="G54" s="119"/>
      <c r="H54" s="6"/>
      <c r="I54" s="6"/>
      <c r="L54" s="6"/>
      <c r="M54" s="6"/>
      <c r="N54" s="14"/>
      <c r="O54" s="6"/>
    </row>
    <row r="55" s="3" customFormat="1" customHeight="1" spans="1:15">
      <c r="A55" s="4"/>
      <c r="B55" s="120"/>
      <c r="C55" s="6" t="s">
        <v>71</v>
      </c>
      <c r="D55" s="121">
        <f>D54-D49-D50-D51-D52</f>
        <v>181069.00000003</v>
      </c>
      <c r="E55" s="123" t="s">
        <v>72</v>
      </c>
      <c r="F55" s="118"/>
      <c r="G55" s="119"/>
      <c r="H55" s="6"/>
      <c r="I55" s="6"/>
      <c r="L55" s="6"/>
      <c r="M55" s="6"/>
      <c r="N55" s="14"/>
      <c r="O55" s="6"/>
    </row>
    <row r="56" s="3" customFormat="1" customHeight="1" spans="1:15">
      <c r="A56" s="4"/>
      <c r="B56" s="120"/>
      <c r="C56" s="6"/>
      <c r="D56" s="124"/>
      <c r="E56" s="123"/>
      <c r="F56" s="118"/>
      <c r="G56" s="119"/>
      <c r="H56" s="6"/>
      <c r="I56" s="6"/>
      <c r="L56" s="6"/>
      <c r="M56" s="6"/>
      <c r="N56" s="14"/>
      <c r="O56" s="6"/>
    </row>
    <row r="57" s="3" customFormat="1" customHeight="1" spans="1:15">
      <c r="A57" s="4"/>
      <c r="B57" s="120"/>
      <c r="C57" s="6"/>
      <c r="D57" s="124"/>
      <c r="E57" s="123"/>
      <c r="F57" s="118"/>
      <c r="G57" s="119"/>
      <c r="H57" s="6"/>
      <c r="I57" s="6"/>
      <c r="L57" s="6"/>
      <c r="M57" s="6"/>
      <c r="N57" s="14"/>
      <c r="O57" s="6"/>
    </row>
    <row r="58" s="3" customFormat="1" ht="51.65" customHeight="1" spans="1:15">
      <c r="A58" s="4"/>
      <c r="B58" s="116" t="s">
        <v>73</v>
      </c>
      <c r="C58" s="125" t="s">
        <v>74</v>
      </c>
      <c r="D58" s="125"/>
      <c r="E58" s="125"/>
      <c r="F58" s="125"/>
      <c r="G58" s="125"/>
      <c r="H58" s="125"/>
      <c r="I58" s="125"/>
      <c r="J58" s="125"/>
      <c r="L58" s="6"/>
      <c r="M58" s="6"/>
      <c r="N58" s="14"/>
      <c r="O58" s="6"/>
    </row>
    <row r="59" s="3" customFormat="1" customHeight="1" spans="1:15">
      <c r="A59" s="4"/>
      <c r="B59" s="120"/>
      <c r="C59" s="6"/>
      <c r="D59" s="124"/>
      <c r="E59" s="123"/>
      <c r="F59" s="118"/>
      <c r="G59" s="119"/>
      <c r="H59" s="6"/>
      <c r="I59" s="6"/>
      <c r="L59" s="6"/>
      <c r="M59" s="6"/>
      <c r="N59" s="14"/>
      <c r="O59" s="6"/>
    </row>
    <row r="60" s="3" customFormat="1" customHeight="1" spans="1:15">
      <c r="A60" s="4"/>
      <c r="B60" s="120"/>
      <c r="C60" s="6"/>
      <c r="D60" s="124"/>
      <c r="E60" s="123"/>
      <c r="F60" s="118"/>
      <c r="G60" s="119"/>
      <c r="H60" s="6"/>
      <c r="I60" s="6"/>
      <c r="L60" s="6"/>
      <c r="M60" s="6"/>
      <c r="N60" s="14"/>
      <c r="O60" s="6"/>
    </row>
    <row r="61" s="3" customFormat="1" ht="15" spans="1:15">
      <c r="A61" s="4"/>
      <c r="B61" s="120"/>
      <c r="C61" s="6"/>
      <c r="D61" s="118"/>
      <c r="E61" s="118"/>
      <c r="F61" s="118"/>
      <c r="G61" s="119"/>
      <c r="H61" s="6"/>
      <c r="I61" s="6"/>
      <c r="L61" s="6"/>
      <c r="M61" s="6"/>
      <c r="N61" s="14"/>
      <c r="O61" s="6"/>
    </row>
    <row r="62" s="3" customFormat="1" customHeight="1" spans="1:15">
      <c r="D62" s="118"/>
      <c r="E62" s="126"/>
      <c r="F62" s="126"/>
      <c r="G62" s="127"/>
      <c r="H62" s="6"/>
      <c r="I62" s="6"/>
      <c r="L62" s="6"/>
      <c r="M62" s="6"/>
      <c r="N62" s="14"/>
      <c r="O62" s="6"/>
    </row>
    <row r="63" s="3" customFormat="1" customHeight="1" spans="1:15">
      <c r="A63" s="128" t="s">
        <v>75</v>
      </c>
      <c r="B63" s="51"/>
      <c r="C63" s="40" t="s">
        <v>76</v>
      </c>
      <c r="L63" s="6"/>
      <c r="M63" s="6"/>
      <c r="N63" s="14"/>
      <c r="O63" s="6"/>
    </row>
    <row r="64" customHeight="1" spans="1:15">
      <c r="A64" s="129" t="s">
        <v>77</v>
      </c>
      <c r="B64" s="120"/>
      <c r="C64" s="3"/>
      <c r="D64" s="130"/>
      <c r="E64" s="130"/>
      <c r="F64" s="130"/>
      <c r="G64" s="130"/>
      <c r="H64" s="130"/>
      <c r="I64" s="130"/>
      <c r="J64" s="130"/>
      <c r="K64" s="81"/>
      <c r="L64" s="82"/>
      <c r="M64" s="82"/>
      <c r="N64" s="14"/>
    </row>
    <row r="65" ht="15.6" spans="1:14">
      <c r="B65" s="131"/>
      <c r="C65" s="128" t="s">
        <v>78</v>
      </c>
      <c r="D65" s="92"/>
      <c r="E65" s="92"/>
      <c r="F65" s="132"/>
      <c r="G65" s="92"/>
      <c r="H65" s="92"/>
      <c r="I65" s="92"/>
      <c r="J65" s="130"/>
      <c r="K65" s="72"/>
      <c r="L65" s="92"/>
      <c r="N65" s="14"/>
    </row>
    <row r="66" customHeight="1" spans="1:14">
      <c r="B66" s="74"/>
      <c r="C66" s="133" t="s">
        <v>79</v>
      </c>
      <c r="D66" s="134"/>
      <c r="E66" s="134"/>
      <c r="F66" s="134"/>
      <c r="G66" s="134"/>
      <c r="H66" s="92"/>
      <c r="I66" s="92"/>
      <c r="J66" s="130"/>
      <c r="K66" s="72"/>
      <c r="L66" s="88"/>
      <c r="N66" s="14"/>
    </row>
    <row r="67" customHeight="1" spans="1:14">
      <c r="B67" s="74"/>
      <c r="C67" s="134"/>
      <c r="D67" s="134"/>
      <c r="E67" s="134"/>
      <c r="F67" s="134"/>
      <c r="G67" s="134"/>
      <c r="H67" s="92"/>
      <c r="I67" s="92"/>
      <c r="J67" s="130"/>
      <c r="N67" s="14"/>
    </row>
    <row r="68" customHeight="1" spans="1:14">
      <c r="B68" s="74"/>
      <c r="C68" s="134"/>
      <c r="D68" s="134"/>
      <c r="E68" s="134"/>
      <c r="F68" s="134"/>
      <c r="G68" s="134"/>
      <c r="H68" s="92"/>
      <c r="I68" s="92"/>
      <c r="J68" s="130"/>
      <c r="N68" s="14"/>
    </row>
    <row r="69" customHeight="1" spans="1:14">
      <c r="B69" s="74"/>
      <c r="C69" s="92"/>
      <c r="D69" s="92"/>
      <c r="E69" s="92"/>
      <c r="F69" s="132"/>
      <c r="G69" s="92"/>
      <c r="H69" s="92"/>
      <c r="I69" s="92"/>
      <c r="J69" s="130"/>
      <c r="N69" s="14"/>
    </row>
    <row r="70" s="3" customFormat="1" ht="32.15" customHeight="1" spans="1:14">
      <c r="A70" s="4"/>
      <c r="B70" s="74"/>
      <c r="C70" s="135" t="s">
        <v>80</v>
      </c>
      <c r="D70" s="136" t="s">
        <v>81</v>
      </c>
      <c r="E70" s="136" t="s">
        <v>82</v>
      </c>
      <c r="F70" s="136" t="s">
        <v>83</v>
      </c>
      <c r="G70" s="136" t="s">
        <v>84</v>
      </c>
      <c r="H70" s="136" t="s">
        <v>85</v>
      </c>
      <c r="I70" s="137" t="s">
        <v>86</v>
      </c>
      <c r="K70" s="6"/>
      <c r="L70" s="6"/>
      <c r="N70" s="14"/>
    </row>
    <row r="71" ht="29" customHeight="1" spans="1:14">
      <c r="B71" s="74"/>
      <c r="C71" s="138" t="s">
        <v>87</v>
      </c>
      <c r="D71" s="139"/>
      <c r="E71" s="140"/>
      <c r="F71" s="141"/>
      <c r="G71" s="139"/>
      <c r="H71" s="139"/>
      <c r="I71" s="142"/>
      <c r="K71" s="6"/>
      <c r="N71" s="14"/>
    </row>
    <row r="72" customHeight="1" spans="1:14">
      <c r="B72" s="74"/>
      <c r="C72" s="92"/>
      <c r="D72" s="92"/>
      <c r="E72" s="92"/>
      <c r="F72" s="132"/>
      <c r="G72" s="92"/>
      <c r="H72" s="92"/>
      <c r="I72" s="92"/>
      <c r="J72" s="130"/>
      <c r="N72" s="14"/>
    </row>
    <row r="73" customHeight="1" spans="1:14">
      <c r="B73" s="143"/>
      <c r="C73" s="92"/>
      <c r="D73" s="92"/>
      <c r="E73" s="92"/>
      <c r="F73" s="132"/>
      <c r="G73" s="92"/>
      <c r="H73" s="92"/>
      <c r="I73" s="92"/>
      <c r="J73" s="130"/>
      <c r="N73" s="14"/>
    </row>
    <row r="74" ht="8.5" customHeight="1" spans="1:14">
      <c r="B74" s="6"/>
      <c r="F74" s="6"/>
      <c r="J74" s="6"/>
      <c r="N74" s="14"/>
    </row>
    <row r="75" ht="18" customHeight="1" spans="1:14">
      <c r="B75" s="6"/>
      <c r="C75" s="40" t="s">
        <v>88</v>
      </c>
      <c r="D75" s="144"/>
      <c r="E75" s="144"/>
      <c r="F75" s="144"/>
      <c r="J75" s="6"/>
      <c r="N75" s="14"/>
    </row>
    <row r="76" ht="15" spans="1:14">
      <c r="B76" s="6"/>
      <c r="C76" s="145" t="s">
        <v>89</v>
      </c>
      <c r="D76" s="144"/>
      <c r="E76" s="144"/>
      <c r="F76" s="144"/>
      <c r="J76" s="6"/>
      <c r="N76" s="14"/>
    </row>
    <row r="77" ht="15" spans="1:14">
      <c r="B77" s="6"/>
      <c r="F77" s="6"/>
      <c r="J77" s="6"/>
      <c r="N77" s="14"/>
    </row>
    <row r="78" ht="15" spans="1:14">
      <c r="B78" s="146"/>
      <c r="D78" s="144"/>
      <c r="E78" s="144"/>
      <c r="F78" s="144"/>
      <c r="N78" s="14"/>
    </row>
    <row r="79" ht="15" spans="1:14">
      <c r="B79" s="146"/>
      <c r="D79" s="147"/>
      <c r="E79" s="147"/>
      <c r="F79" s="147"/>
      <c r="N79" s="14"/>
    </row>
    <row r="80" ht="15" spans="1:14">
      <c r="B80" s="146"/>
      <c r="C80" s="144"/>
      <c r="D80" s="147"/>
      <c r="E80" s="147"/>
      <c r="F80" s="147"/>
      <c r="N80" s="14"/>
    </row>
    <row r="81" ht="15" spans="1:14">
      <c r="A81" s="14"/>
      <c r="B81" s="14"/>
      <c r="C81" s="14"/>
      <c r="D81" s="14"/>
      <c r="E81" s="14"/>
      <c r="F81" s="14"/>
      <c r="G81" s="14"/>
      <c r="H81" s="14"/>
      <c r="I81" s="14"/>
      <c r="J81" s="14"/>
      <c r="K81" s="14"/>
      <c r="L81" s="14"/>
      <c r="M81" s="14"/>
      <c r="N81" s="14"/>
    </row>
    <row r="82" ht="13.2" spans="1:14">
      <c r="B82" s="6"/>
      <c r="C82" s="43"/>
      <c r="F82" s="6"/>
    </row>
    <row r="83" ht="13.2" spans="1:14">
      <c r="B83" s="6"/>
      <c r="C83" s="43"/>
      <c r="F83" s="6"/>
    </row>
    <row r="84" ht="13.2" spans="1:14">
      <c r="B84" s="6"/>
      <c r="F84" s="6"/>
      <c r="J84" s="6"/>
    </row>
    <row r="85" ht="13.2" spans="1:14">
      <c r="A85" s="6"/>
      <c r="B85" s="6"/>
      <c r="F85" s="6"/>
      <c r="J85" s="6"/>
      <c r="K85" s="6"/>
    </row>
    <row r="86" ht="13.2" spans="1:14">
      <c r="A86" s="6"/>
      <c r="B86" s="6"/>
      <c r="F86" s="6"/>
      <c r="J86" s="6"/>
      <c r="K86" s="6"/>
    </row>
    <row r="87" ht="13.2" spans="1:14">
      <c r="A87" s="6"/>
      <c r="B87" s="6"/>
      <c r="F87" s="6"/>
      <c r="J87" s="6"/>
      <c r="K87" s="6"/>
    </row>
    <row r="88" ht="13.2" spans="1:14">
      <c r="A88" s="6"/>
      <c r="B88" s="6"/>
      <c r="F88" s="6"/>
      <c r="J88" s="6"/>
    </row>
    <row r="89" customHeight="1" spans="1:14">
      <c r="B89" s="6"/>
      <c r="F89" s="6"/>
      <c r="J89" s="6"/>
    </row>
    <row r="90" customHeight="1" spans="1:14">
      <c r="B90" s="6"/>
      <c r="F90" s="6"/>
      <c r="J90" s="6"/>
    </row>
    <row r="91" customHeight="1" spans="1:14">
      <c r="B91" s="6"/>
      <c r="F91" s="6"/>
      <c r="J91" s="6"/>
    </row>
    <row r="92" customHeight="1" spans="1:14">
      <c r="B92" s="6"/>
      <c r="F92" s="6"/>
      <c r="J92" s="6"/>
    </row>
    <row r="93" customHeight="1" spans="1:14">
      <c r="B93" s="6"/>
      <c r="F93" s="6"/>
      <c r="J93" s="6"/>
    </row>
    <row r="94" customHeight="1" spans="1:14">
      <c r="B94" s="6"/>
      <c r="F94" s="6"/>
      <c r="J94" s="6"/>
    </row>
    <row r="95" customHeight="1" spans="1:14">
      <c r="B95" s="6"/>
      <c r="F95" s="6"/>
      <c r="J95" s="6"/>
    </row>
    <row r="96" customHeight="1" spans="1:14">
      <c r="B96" s="6"/>
      <c r="F96" s="6"/>
      <c r="J96" s="6"/>
    </row>
  </sheetData>
  <mergeCells count="10">
    <mergeCell ref="C17:I17"/>
    <mergeCell ref="C19:I19"/>
    <mergeCell ref="C21:I21"/>
    <mergeCell ref="C24:J24"/>
    <mergeCell ref="C35:J35"/>
    <mergeCell ref="C37:J37"/>
    <mergeCell ref="C40:J40"/>
    <mergeCell ref="C44:J44"/>
    <mergeCell ref="C58:J58"/>
    <mergeCell ref="C66:G68"/>
  </mergeCells>
  <conditionalFormatting sqref="D4">
    <cfRule type="containsBlanks" dxfId="0" priority="8">
      <formula>LEN(TRIM(D4))=0</formula>
    </cfRule>
  </conditionalFormatting>
  <conditionalFormatting sqref="E30:H30">
    <cfRule type="containsBlanks" dxfId="0" priority="6">
      <formula>LEN(TRIM(E30))=0</formula>
    </cfRule>
  </conditionalFormatting>
  <conditionalFormatting sqref="D38:H38">
    <cfRule type="containsBlanks" dxfId="0" priority="5">
      <formula>LEN(TRIM(D38))=0</formula>
    </cfRule>
  </conditionalFormatting>
  <conditionalFormatting sqref="D30:D31">
    <cfRule type="containsBlanks" dxfId="0" priority="7">
      <formula>LEN(TRIM(D30))=0</formula>
    </cfRule>
  </conditionalFormatting>
  <pageMargins left="0.7" right="0.7" top="0.75" bottom="0.75" header="0.3" footer="0.3"/>
  <pageSetup paperSize="9" orientation="portrait" horizontalDpi="300" verticalDpi="300"/>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���ech�e�^�ech0qQ�N�[a�qQ�N�[a���~�Oo`�R���c�^�Q�[{|�Wh��
</file>

<file path=customXml/item3.xml>��
</file>

<file path=customXml/itemProps1.xml><?xml version="1.0" encoding="utf-8"?>
<ds:datastoreItem xmlns:ds="http://schemas.openxmlformats.org/officeDocument/2006/customXml" ds:itemID="{0CD475E7-2160-493E-AE9D-A68BA9040C14}">
  <ds:schemaRefs/>
</ds:datastoreItem>
</file>

<file path=customXml/itemProps2.xml><?xml version="1.0" encoding="utf-8"?>
<ds:datastoreItem xmlns:ds="http://schemas.openxmlformats.org/officeDocument/2006/customXml" ds:itemID="{55FD29B5-A1B7-4FCF-8EBF-AF576ACFF6F7}">
  <ds:schemaRefs/>
</ds:datastoreItem>
</file>

<file path=customXml/itemProps3.xml><?xml version="1.0" encoding="utf-8"?>
<ds:datastoreItem xmlns:ds="http://schemas.openxmlformats.org/officeDocument/2006/customXml" ds:itemID="{C8179F82-0087-471C-80F9-87AB8EBD20A1}">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后推明细表</vt:lpstr>
      <vt:lpstr>LRA_无形资产&amp;摊销费用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LRA_固定资产.xlsx</dc:title>
  <dc:creator>Elaine DD Xie</dc:creator>
  <dc:description>7876425F-1D7B-4D86-8C15-3CD901F123E9</dc:description>
  <cp:lastModifiedBy>aloha oe</cp:lastModifiedBy>
  <dcterms:created xsi:type="dcterms:W3CDTF">2024-11-04T08:15:00Z</dcterms:created>
  <dcterms:modified xsi:type="dcterms:W3CDTF">2026-05-26T08:05:47Z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0x01010095719B6FD07E654D8E9715B5271DEAE7</vt:lpwstr>
  </property>
  <property fmtid="{D5CDD505-2E9C-101B-9397-08002B2CF9AE}" pid="3" name="Order">
    <vt:r8>3506700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ICV">
    <vt:lpwstr>7D60CAA7DD1442E58AF4B9A403DDAE8E_12</vt:lpwstr>
  </property>
  <property fmtid="{D5CDD505-2E9C-101B-9397-08002B2CF9AE}" pid="11" name="KSOProductBuildVer">
    <vt:lpwstr>2052-12.1.0.26375</vt:lpwstr>
  </property>
  <property fmtid="{D5CDD505-2E9C-101B-9397-08002B2CF9AE}" pid="12" name="CalculationRule">
    <vt:i4>0</vt:i4>
  </property>
</Properties>
</file>
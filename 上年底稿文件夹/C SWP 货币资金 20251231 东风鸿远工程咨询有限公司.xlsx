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4.xml" ContentType="application/vnd.openxmlformats-officedocument.drawing+xml"/>
  <Override PartName="/xl/embeddings/oleObject1.bin" ContentType="application/vnd.openxmlformats-officedocument.oleObject"/>
  <Override PartName="/xl/drawings/drawing5.xml" ContentType="application/vnd.openxmlformats-officedocument.drawing+xml"/>
  <Override PartName="/xl/drawings/drawing6.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drawings/drawing7.xml" ContentType="application/vnd.openxmlformats-officedocument.drawing+xml"/>
  <Override PartName="/xl/drawings/drawing8.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C:\Users\DS597AS\AppData\Local\CanvasDocHelper\Evidence\9a1525f78e3d4ead917306fe285e682f\"/>
    </mc:Choice>
  </mc:AlternateContent>
  <xr:revisionPtr revIDLastSave="0" documentId="13_ncr:1_{89629015-1A4E-479A-9B3B-0B52AB39CFB5}" xr6:coauthVersionLast="47" xr6:coauthVersionMax="47" xr10:uidLastSave="{00000000-0000-0000-0000-000000000000}"/>
  <bookViews>
    <workbookView xWindow="-110" yWindow="-110" windowWidth="19420" windowHeight="10300" tabRatio="776" xr2:uid="{00000000-000D-0000-FFFF-FFFF00000000}"/>
  </bookViews>
  <sheets>
    <sheet name="Comments【归档前删除】" sheetId="132" r:id="rId1"/>
    <sheet name="汇总" sheetId="116" r:id="rId2"/>
    <sheet name="C.00 Lead" sheetId="103" r:id="rId3"/>
    <sheet name="C.00 BKD" sheetId="130" r:id="rId4"/>
    <sheet name="C.01C内部对账" sheetId="131" r:id="rId5"/>
    <sheet name="SkywindSettingSheet" sheetId="99" state="veryHidden" r:id="rId6"/>
    <sheet name="C.01 Confirmations " sheetId="122" r:id="rId7"/>
    <sheet name="C.00b Other classification" sheetId="107" r:id="rId8"/>
    <sheet name="C.02 Bank reconciliations" sheetId="66" r:id="rId9"/>
    <sheet name="DS_INTERNAL_SETTINGS_STORAGE" sheetId="108" state="veryHidden" r:id="rId10"/>
    <sheet name="DS_INTERNAL_DOCGROUP_STORAGE" sheetId="109" state="veryHidden" r:id="rId11"/>
    <sheet name="DS_INTERNAL_DOCUMENT_STORAGE" sheetId="110" state="veryHidden" r:id="rId12"/>
    <sheet name="DS_INTERNAL_SNIP_STORAGE" sheetId="111" state="veryHidden" r:id="rId13"/>
    <sheet name="C.03 Cutoff" sheetId="100" r:id="rId14"/>
  </sheets>
  <externalReferences>
    <externalReference r:id="rId15"/>
    <externalReference r:id="rId16"/>
  </externalReferences>
  <definedNames>
    <definedName name="_____dod1" localSheetId="3" hidden="1">{#N/A,#N/A,TRUE,"CPRD";#N/A,#N/A,TRUE,"BCCPDR";#N/A,#N/A,TRUE,"EWRD";#N/A,#N/A,TRUE,"5100";#N/A,#N/A,TRUE,"5110"}</definedName>
    <definedName name="_____dod1" localSheetId="6" hidden="1">{#N/A,#N/A,TRUE,"CPRD";#N/A,#N/A,TRUE,"BCCPDR";#N/A,#N/A,TRUE,"EWRD";#N/A,#N/A,TRUE,"5100";#N/A,#N/A,TRUE,"5110"}</definedName>
    <definedName name="_____dod1" localSheetId="1" hidden="1">{#N/A,#N/A,TRUE,"CPRD";#N/A,#N/A,TRUE,"BCCPDR";#N/A,#N/A,TRUE,"EWRD";#N/A,#N/A,TRUE,"5100";#N/A,#N/A,TRUE,"5110"}</definedName>
    <definedName name="_____dod1" hidden="1">{#N/A,#N/A,TRUE,"CPRD";#N/A,#N/A,TRUE,"BCCPDR";#N/A,#N/A,TRUE,"EWRD";#N/A,#N/A,TRUE,"5100";#N/A,#N/A,TRUE,"5110"}</definedName>
    <definedName name="____dod1" localSheetId="3" hidden="1">{#N/A,#N/A,TRUE,"CPRD";#N/A,#N/A,TRUE,"BCCPDR";#N/A,#N/A,TRUE,"EWRD";#N/A,#N/A,TRUE,"5100";#N/A,#N/A,TRUE,"5110"}</definedName>
    <definedName name="____dod1" localSheetId="6" hidden="1">{#N/A,#N/A,TRUE,"CPRD";#N/A,#N/A,TRUE,"BCCPDR";#N/A,#N/A,TRUE,"EWRD";#N/A,#N/A,TRUE,"5100";#N/A,#N/A,TRUE,"5110"}</definedName>
    <definedName name="____dod1" localSheetId="1" hidden="1">{#N/A,#N/A,TRUE,"CPRD";#N/A,#N/A,TRUE,"BCCPDR";#N/A,#N/A,TRUE,"EWRD";#N/A,#N/A,TRUE,"5100";#N/A,#N/A,TRUE,"5110"}</definedName>
    <definedName name="____dod1" hidden="1">{#N/A,#N/A,TRUE,"CPRD";#N/A,#N/A,TRUE,"BCCPDR";#N/A,#N/A,TRUE,"EWRD";#N/A,#N/A,TRUE,"5100";#N/A,#N/A,TRUE,"5110"}</definedName>
    <definedName name="___dod1" localSheetId="3" hidden="1">{#N/A,#N/A,TRUE,"CPRD";#N/A,#N/A,TRUE,"BCCPDR";#N/A,#N/A,TRUE,"EWRD";#N/A,#N/A,TRUE,"5100";#N/A,#N/A,TRUE,"5110"}</definedName>
    <definedName name="___dod1" localSheetId="6" hidden="1">{#N/A,#N/A,TRUE,"CPRD";#N/A,#N/A,TRUE,"BCCPDR";#N/A,#N/A,TRUE,"EWRD";#N/A,#N/A,TRUE,"5100";#N/A,#N/A,TRUE,"5110"}</definedName>
    <definedName name="___dod1" localSheetId="1" hidden="1">{#N/A,#N/A,TRUE,"CPRD";#N/A,#N/A,TRUE,"BCCPDR";#N/A,#N/A,TRUE,"EWRD";#N/A,#N/A,TRUE,"5100";#N/A,#N/A,TRUE,"5110"}</definedName>
    <definedName name="___dod1" hidden="1">{#N/A,#N/A,TRUE,"CPRD";#N/A,#N/A,TRUE,"BCCPDR";#N/A,#N/A,TRUE,"EWRD";#N/A,#N/A,TRUE,"5100";#N/A,#N/A,TRUE,"5110"}</definedName>
    <definedName name="___dog1" localSheetId="3" hidden="1">{#N/A,#N/A,TRUE,"CPRD";#N/A,#N/A,TRUE,"BCCPDR";#N/A,#N/A,TRUE,"EWRD";#N/A,#N/A,TRUE,"5100";#N/A,#N/A,TRUE,"5110"}</definedName>
    <definedName name="___dog1" localSheetId="6" hidden="1">{#N/A,#N/A,TRUE,"CPRD";#N/A,#N/A,TRUE,"BCCPDR";#N/A,#N/A,TRUE,"EWRD";#N/A,#N/A,TRUE,"5100";#N/A,#N/A,TRUE,"5110"}</definedName>
    <definedName name="___dog1" localSheetId="1" hidden="1">{#N/A,#N/A,TRUE,"CPRD";#N/A,#N/A,TRUE,"BCCPDR";#N/A,#N/A,TRUE,"EWRD";#N/A,#N/A,TRUE,"5100";#N/A,#N/A,TRUE,"5110"}</definedName>
    <definedName name="___dog1" hidden="1">{#N/A,#N/A,TRUE,"CPRD";#N/A,#N/A,TRUE,"BCCPDR";#N/A,#N/A,TRUE,"EWRD";#N/A,#N/A,TRUE,"5100";#N/A,#N/A,TRUE,"5110"}</definedName>
    <definedName name="__123Graph_A" localSheetId="6" hidden="1">#REF!</definedName>
    <definedName name="__123Graph_A" hidden="1">#REF!</definedName>
    <definedName name="__123Graph_AGraph1" localSheetId="6" hidden="1">#REF!</definedName>
    <definedName name="__123Graph_AGraph1" hidden="1">#REF!</definedName>
    <definedName name="__123Graph_B" localSheetId="6" hidden="1">#REF!</definedName>
    <definedName name="__123Graph_B" hidden="1">#REF!</definedName>
    <definedName name="__123Graph_BGraph1" localSheetId="6" hidden="1">#REF!</definedName>
    <definedName name="__123Graph_BGraph1" hidden="1">#REF!</definedName>
    <definedName name="__123Graph_C" localSheetId="6" hidden="1">#REF!</definedName>
    <definedName name="__123Graph_C" hidden="1">#REF!</definedName>
    <definedName name="__123Graph_CGraph1" localSheetId="6" hidden="1">#REF!</definedName>
    <definedName name="__123Graph_CGraph1" hidden="1">#REF!</definedName>
    <definedName name="__123Graph_D" hidden="1">#REF!</definedName>
    <definedName name="__123Graph_DGraph1" localSheetId="6" hidden="1">#REF!</definedName>
    <definedName name="__123Graph_DGraph1" hidden="1">#REF!</definedName>
    <definedName name="__123Graph_E" localSheetId="6" hidden="1">#REF!</definedName>
    <definedName name="__123Graph_E" hidden="1">#REF!</definedName>
    <definedName name="__123Graph_EGraph1" localSheetId="6" hidden="1">#REF!</definedName>
    <definedName name="__123Graph_EGraph1" hidden="1">#REF!</definedName>
    <definedName name="__123Graph_F" hidden="1">#REF!</definedName>
    <definedName name="__123Graph_X" localSheetId="6" hidden="1">#REF!</definedName>
    <definedName name="__123Graph_X" hidden="1">#REF!</definedName>
    <definedName name="__123Graph_XGraph1" localSheetId="6" hidden="1">#REF!</definedName>
    <definedName name="__123Graph_XGraph1" hidden="1">#REF!</definedName>
    <definedName name="__dod1" localSheetId="3" hidden="1">{#N/A,#N/A,TRUE,"CPRD";#N/A,#N/A,TRUE,"BCCPDR";#N/A,#N/A,TRUE,"EWRD";#N/A,#N/A,TRUE,"5100";#N/A,#N/A,TRUE,"5110"}</definedName>
    <definedName name="__dod1" localSheetId="6" hidden="1">{#N/A,#N/A,TRUE,"CPRD";#N/A,#N/A,TRUE,"BCCPDR";#N/A,#N/A,TRUE,"EWRD";#N/A,#N/A,TRUE,"5100";#N/A,#N/A,TRUE,"5110"}</definedName>
    <definedName name="__dod1" localSheetId="1" hidden="1">{#N/A,#N/A,TRUE,"CPRD";#N/A,#N/A,TRUE,"BCCPDR";#N/A,#N/A,TRUE,"EWRD";#N/A,#N/A,TRUE,"5100";#N/A,#N/A,TRUE,"5110"}</definedName>
    <definedName name="__dod1" hidden="1">{#N/A,#N/A,TRUE,"CPRD";#N/A,#N/A,TRUE,"BCCPDR";#N/A,#N/A,TRUE,"EWRD";#N/A,#N/A,TRUE,"5100";#N/A,#N/A,TRUE,"5110"}</definedName>
    <definedName name="__dog1" localSheetId="3" hidden="1">{#N/A,#N/A,TRUE,"CPRD";#N/A,#N/A,TRUE,"BCCPDR";#N/A,#N/A,TRUE,"EWRD";#N/A,#N/A,TRUE,"5100";#N/A,#N/A,TRUE,"5110"}</definedName>
    <definedName name="__dog1" localSheetId="6" hidden="1">{#N/A,#N/A,TRUE,"CPRD";#N/A,#N/A,TRUE,"BCCPDR";#N/A,#N/A,TRUE,"EWRD";#N/A,#N/A,TRUE,"5100";#N/A,#N/A,TRUE,"5110"}</definedName>
    <definedName name="__dog1" localSheetId="1" hidden="1">{#N/A,#N/A,TRUE,"CPRD";#N/A,#N/A,TRUE,"BCCPDR";#N/A,#N/A,TRUE,"EWRD";#N/A,#N/A,TRUE,"5100";#N/A,#N/A,TRUE,"5110"}</definedName>
    <definedName name="__dog1" hidden="1">{#N/A,#N/A,TRUE,"CPRD";#N/A,#N/A,TRUE,"BCCPDR";#N/A,#N/A,TRUE,"EWRD";#N/A,#N/A,TRUE,"5100";#N/A,#N/A,TRUE,"5110"}</definedName>
    <definedName name="__FDS_HYPERLINK_TOGGLE_STATE__" hidden="1">"ON"</definedName>
    <definedName name="__IntlFixup" hidden="1">TRUE</definedName>
    <definedName name="_1__123Graph_ACHART_3" hidden="1">#REF!</definedName>
    <definedName name="_15wrn.²Ä1­Ó¤ë1_Ü20¤H." localSheetId="3" hidden="1">{#N/A,#N/A,FALSE,"²Ä1­Ó¤ë"}</definedName>
    <definedName name="_15wrn.²Ä1­Ó¤ë1_Ü20¤H." localSheetId="6" hidden="1">{#N/A,#N/A,FALSE,"²Ä1­Ó¤ë"}</definedName>
    <definedName name="_15wrn.²Ä1­Ó¤ë1_Ü20¤H." hidden="1">{#N/A,#N/A,FALSE,"²Ä1­Ó¤ë"}</definedName>
    <definedName name="_16wrn.²Ä1­Ó¤ë1_Ü20¤H." localSheetId="3" hidden="1">{#N/A,#N/A,FALSE,"²Ä1­Ó¤ë"}</definedName>
    <definedName name="_16wrn.²Ä1­Ó¤ë1_Ü20¤H." localSheetId="6" hidden="1">{#N/A,#N/A,FALSE,"²Ä1­Ó¤ë"}</definedName>
    <definedName name="_16wrn.²Ä1­Ó¤ë1_Ü20¤H." hidden="1">{#N/A,#N/A,FALSE,"²Ä1­Ó¤ë"}</definedName>
    <definedName name="_2__123Graph_BCHART_2" hidden="1">#REF!</definedName>
    <definedName name="_3__123Graph_BCHART_3" hidden="1">#REF!</definedName>
    <definedName name="_4__123Graph_CCHART_3" hidden="1">#REF!</definedName>
    <definedName name="_5__123Graph_DCHART_2" hidden="1">#REF!</definedName>
    <definedName name="_57__123Graph_ACHART_1" hidden="1">#REF!</definedName>
    <definedName name="_6__123Graph_DCHART_3" hidden="1">#REF!</definedName>
    <definedName name="_60__123Graph_BCHART_1" hidden="1">#REF!</definedName>
    <definedName name="_63__123Graph_CCHART_1" hidden="1">#REF!</definedName>
    <definedName name="_66__123Graph_DCHART_1" hidden="1">#REF!</definedName>
    <definedName name="_69__123Graph_XCHART_1" hidden="1">#REF!</definedName>
    <definedName name="_bdm.5010A66FDA1D4A5C89B061EBD267E018.edm" hidden="1">#REF!</definedName>
    <definedName name="_bdm.810D9907712147CCB68C743A02D482F7.edm" hidden="1">#REF!</definedName>
    <definedName name="_bdm.BC73C1315733463ABA8F35CF36E670D2.edm" hidden="1">#REF!</definedName>
    <definedName name="_bdm.E7D4F600AEB946A6B094878EBFE48A39.edm" hidden="1">#REF!</definedName>
    <definedName name="_bdm.F4DFCF610F804F0EBC635163893E69C5.edm" hidden="1">#REF!</definedName>
    <definedName name="_dod1" localSheetId="3" hidden="1">{#N/A,#N/A,TRUE,"CPRD";#N/A,#N/A,TRUE,"BCCPDR";#N/A,#N/A,TRUE,"EWRD";#N/A,#N/A,TRUE,"5100";#N/A,#N/A,TRUE,"5110"}</definedName>
    <definedName name="_dod1" localSheetId="6" hidden="1">{#N/A,#N/A,TRUE,"CPRD";#N/A,#N/A,TRUE,"BCCPDR";#N/A,#N/A,TRUE,"EWRD";#N/A,#N/A,TRUE,"5100";#N/A,#N/A,TRUE,"5110"}</definedName>
    <definedName name="_dod1" localSheetId="1" hidden="1">{#N/A,#N/A,TRUE,"CPRD";#N/A,#N/A,TRUE,"BCCPDR";#N/A,#N/A,TRUE,"EWRD";#N/A,#N/A,TRUE,"5100";#N/A,#N/A,TRUE,"5110"}</definedName>
    <definedName name="_dod1" hidden="1">{#N/A,#N/A,TRUE,"CPRD";#N/A,#N/A,TRUE,"BCCPDR";#N/A,#N/A,TRUE,"EWRD";#N/A,#N/A,TRUE,"5100";#N/A,#N/A,TRUE,"5110"}</definedName>
    <definedName name="_dog1" localSheetId="3" hidden="1">{#N/A,#N/A,TRUE,"CPRD";#N/A,#N/A,TRUE,"BCCPDR";#N/A,#N/A,TRUE,"EWRD";#N/A,#N/A,TRUE,"5100";#N/A,#N/A,TRUE,"5110"}</definedName>
    <definedName name="_dog1" localSheetId="6" hidden="1">{#N/A,#N/A,TRUE,"CPRD";#N/A,#N/A,TRUE,"BCCPDR";#N/A,#N/A,TRUE,"EWRD";#N/A,#N/A,TRUE,"5100";#N/A,#N/A,TRUE,"5110"}</definedName>
    <definedName name="_dog1" localSheetId="1" hidden="1">{#N/A,#N/A,TRUE,"CPRD";#N/A,#N/A,TRUE,"BCCPDR";#N/A,#N/A,TRUE,"EWRD";#N/A,#N/A,TRUE,"5100";#N/A,#N/A,TRUE,"5110"}</definedName>
    <definedName name="_dog1" hidden="1">{#N/A,#N/A,TRUE,"CPRD";#N/A,#N/A,TRUE,"BCCPDR";#N/A,#N/A,TRUE,"EWRD";#N/A,#N/A,TRUE,"5100";#N/A,#N/A,TRUE,"5110"}</definedName>
    <definedName name="_Fill" localSheetId="3" hidden="1">#REF!</definedName>
    <definedName name="_Fill" hidden="1">#REF!</definedName>
    <definedName name="_xlnm._FilterDatabase" localSheetId="3" hidden="1">'C.00 BKD'!$B$8:$M$26</definedName>
    <definedName name="_xlnm._FilterDatabase" localSheetId="7" hidden="1">'C.00b Other classification'!#REF!</definedName>
    <definedName name="_xlnm._FilterDatabase" localSheetId="6" hidden="1">'C.01 Confirmations '!$S$1:$S$31</definedName>
    <definedName name="_xlnm._FilterDatabase" hidden="1">#REF!</definedName>
    <definedName name="_Key1" localSheetId="3" hidden="1">#REF!</definedName>
    <definedName name="_Key1" hidden="1">#REF!</definedName>
    <definedName name="_Key2" localSheetId="3" hidden="1">#REF!</definedName>
    <definedName name="_Key2" hidden="1">#REF!</definedName>
    <definedName name="_Key3" hidden="1">#REF!</definedName>
    <definedName name="_O1" localSheetId="3" hidden="1">{#N/A,#N/A,FALSE,"970301";#N/A,#N/A,FALSE,"970302";#N/A,#N/A,FALSE,"970303";#N/A,#N/A,FALSE,"970304";#N/A,#N/A,FALSE,"COM1";#N/A,#N/A,FALSE,"COM2"}</definedName>
    <definedName name="_O1" localSheetId="6" hidden="1">{#N/A,#N/A,FALSE,"970301";#N/A,#N/A,FALSE,"970302";#N/A,#N/A,FALSE,"970303";#N/A,#N/A,FALSE,"970304";#N/A,#N/A,FALSE,"COM1";#N/A,#N/A,FALSE,"COM2"}</definedName>
    <definedName name="_O1" hidden="1">{#N/A,#N/A,FALSE,"970301";#N/A,#N/A,FALSE,"970302";#N/A,#N/A,FALSE,"970303";#N/A,#N/A,FALSE,"970304";#N/A,#N/A,FALSE,"COM1";#N/A,#N/A,FALSE,"COM2"}</definedName>
    <definedName name="_Order1" hidden="1">255</definedName>
    <definedName name="_Order2" hidden="1">255</definedName>
    <definedName name="_Regression_Int" hidden="1">1</definedName>
    <definedName name="_Sort" localSheetId="3" hidden="1">#REF!</definedName>
    <definedName name="_Sort" hidden="1">#REF!</definedName>
    <definedName name="_Table1_In1" hidden="1">#REF!</definedName>
    <definedName name="_Table1_Out" hidden="1">#REF!</definedName>
    <definedName name="_Table2_In1" hidden="1">#REF!</definedName>
    <definedName name="_Table2_In2" hidden="1">#REF!</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vbrdf" localSheetId="3" hidden="1">{#N/A,#N/A,FALSE,"OffAdvance";#N/A,#N/A,FALSE,"OffExpRprt";#N/A,#N/A,FALSE,"Travelling";#N/A,#N/A,FALSE,"Entertmnt";#N/A,#N/A,FALSE,"Promotion"}</definedName>
    <definedName name="aavbrdf" localSheetId="6" hidden="1">{#N/A,#N/A,FALSE,"OffAdvance";#N/A,#N/A,FALSE,"OffExpRprt";#N/A,#N/A,FALSE,"Travelling";#N/A,#N/A,FALSE,"Entertmnt";#N/A,#N/A,FALSE,"Promotion"}</definedName>
    <definedName name="aavbrdf" hidden="1">{#N/A,#N/A,FALSE,"OffAdvance";#N/A,#N/A,FALSE,"OffExpRprt";#N/A,#N/A,FALSE,"Travelling";#N/A,#N/A,FALSE,"Entertmnt";#N/A,#N/A,FALSE,"Promotion"}</definedName>
    <definedName name="aaz" localSheetId="3" hidden="1">{#N/A,#N/A,FALSE,"资产负债表";#N/A,#N/A,FALSE,"资产负债表"}</definedName>
    <definedName name="aaz" localSheetId="6" hidden="1">{#N/A,#N/A,FALSE,"资产负债表";#N/A,#N/A,FALSE,"资产负债表"}</definedName>
    <definedName name="aaz" hidden="1">{#N/A,#N/A,FALSE,"资产负债表";#N/A,#N/A,FALSE,"资产负债表"}</definedName>
    <definedName name="AccessDatabase" hidden="1">"F:\Track-Pur\Sachs-2000.mdb"</definedName>
    <definedName name="ada" localSheetId="3" hidden="1">{#N/A,#N/A,FALSE,"资产负债表";#N/A,#N/A,FALSE,"资产负债表"}</definedName>
    <definedName name="ada" localSheetId="6" hidden="1">{#N/A,#N/A,FALSE,"资产负债表";#N/A,#N/A,FALSE,"资产负债表"}</definedName>
    <definedName name="ada" hidden="1">{#N/A,#N/A,FALSE,"资产负债表";#N/A,#N/A,FALSE,"资产负债表"}</definedName>
    <definedName name="adaf" localSheetId="3" hidden="1">{#N/A,#N/A,FALSE,"资产负债表";#N/A,#N/A,FALSE,"资产负债表"}</definedName>
    <definedName name="adaf" localSheetId="6" hidden="1">{#N/A,#N/A,FALSE,"资产负债表";#N/A,#N/A,FALSE,"资产负债表"}</definedName>
    <definedName name="adaf" hidden="1">{#N/A,#N/A,FALSE,"资产负债表";#N/A,#N/A,FALSE,"资产负债表"}</definedName>
    <definedName name="adas" localSheetId="3" hidden="1">{"M1Print",#N/A,TRUE,"M1";"M2Print",#N/A,TRUE,"M2";"M1sPrint",#N/A,TRUE,"M1s";"M2aPrint",#N/A,TRUE,"M2a";"M4Print",#N/A,TRUE,"M4";"M5Print",#N/A,TRUE,"M5";"M6Print",#N/A,TRUE,"M6";"M6_1Print",#N/A,TRUE,"M6_1";"M6_2Print",#N/A,TRUE,"M6_2";"M7_1Print",#N/A,TRUE,"M7_1";"M7_2Print",#N/A,TRUE,"M7_2"}</definedName>
    <definedName name="adas" localSheetId="6" hidden="1">{"M1Print",#N/A,TRUE,"M1";"M2Print",#N/A,TRUE,"M2";"M1sPrint",#N/A,TRUE,"M1s";"M2aPrint",#N/A,TRUE,"M2a";"M4Print",#N/A,TRUE,"M4";"M5Print",#N/A,TRUE,"M5";"M6Print",#N/A,TRUE,"M6";"M6_1Print",#N/A,TRUE,"M6_1";"M6_2Print",#N/A,TRUE,"M6_2";"M7_1Print",#N/A,TRUE,"M7_1";"M7_2Print",#N/A,TRUE,"M7_2"}</definedName>
    <definedName name="adas" localSheetId="1" hidden="1">{"M1Print",#N/A,TRUE,"M1";"M2Print",#N/A,TRUE,"M2";"M1sPrint",#N/A,TRUE,"M1s";"M2aPrint",#N/A,TRUE,"M2a";"M4Print",#N/A,TRUE,"M4";"M5Print",#N/A,TRUE,"M5";"M6Print",#N/A,TRUE,"M6";"M6_1Print",#N/A,TRUE,"M6_1";"M6_2Print",#N/A,TRUE,"M6_2";"M7_1Print",#N/A,TRUE,"M7_1";"M7_2Print",#N/A,TRUE,"M7_2"}</definedName>
    <definedName name="adas" hidden="1">{"M1Print",#N/A,TRUE,"M1";"M2Print",#N/A,TRUE,"M2";"M1sPrint",#N/A,TRUE,"M1s";"M2aPrint",#N/A,TRUE,"M2a";"M4Print",#N/A,TRUE,"M4";"M5Print",#N/A,TRUE,"M5";"M6Print",#N/A,TRUE,"M6";"M6_1Print",#N/A,TRUE,"M6_1";"M6_2Print",#N/A,TRUE,"M6_2";"M7_1Print",#N/A,TRUE,"M7_1";"M7_2Print",#N/A,TRUE,"M7_2"}</definedName>
    <definedName name="adf" localSheetId="3" hidden="1">{"toptrial",#N/A,TRUE,"toptrial";"adjustment",#N/A,TRUE,"toptrial";"voucher",#N/A,TRUE,"toptrial"}</definedName>
    <definedName name="adf" localSheetId="6" hidden="1">{"toptrial",#N/A,TRUE,"toptrial";"adjustment",#N/A,TRUE,"toptrial";"voucher",#N/A,TRUE,"toptrial"}</definedName>
    <definedName name="adf" hidden="1">{"toptrial",#N/A,TRUE,"toptrial";"adjustment",#N/A,TRUE,"toptrial";"voucher",#N/A,TRUE,"toptrial"}</definedName>
    <definedName name="afhai" localSheetId="3" hidden="1">{#N/A,#N/A,FALSE,"资产负债表";#N/A,#N/A,FALSE,"资产负债表"}</definedName>
    <definedName name="afhai" localSheetId="6" hidden="1">{#N/A,#N/A,FALSE,"资产负债表";#N/A,#N/A,FALSE,"资产负债表"}</definedName>
    <definedName name="afhai" hidden="1">{#N/A,#N/A,FALSE,"资产负债表";#N/A,#N/A,FALSE,"资产负债表"}</definedName>
    <definedName name="afsdavad" hidden="1">#REF!</definedName>
    <definedName name="AGEDDATABASE" localSheetId="3" hidden="1">{#N/A,#N/A,FALSE,"970301";#N/A,#N/A,FALSE,"970302";#N/A,#N/A,FALSE,"970303";#N/A,#N/A,FALSE,"970304";#N/A,#N/A,FALSE,"COM1";#N/A,#N/A,FALSE,"COM2"}</definedName>
    <definedName name="AGEDDATABASE" localSheetId="6" hidden="1">{#N/A,#N/A,FALSE,"970301";#N/A,#N/A,FALSE,"970302";#N/A,#N/A,FALSE,"970303";#N/A,#N/A,FALSE,"970304";#N/A,#N/A,FALSE,"COM1";#N/A,#N/A,FALSE,"COM2"}</definedName>
    <definedName name="AGEDDATABASE" hidden="1">{#N/A,#N/A,FALSE,"970301";#N/A,#N/A,FALSE,"970302";#N/A,#N/A,FALSE,"970303";#N/A,#N/A,FALSE,"970304";#N/A,#N/A,FALSE,"COM1";#N/A,#N/A,FALSE,"COM2"}</definedName>
    <definedName name="aidhaif" localSheetId="3" hidden="1">{#N/A,#N/A,FALSE,"资产负债表";#N/A,#N/A,FALSE,"资产负债表"}</definedName>
    <definedName name="aidhaif" localSheetId="6" hidden="1">{#N/A,#N/A,FALSE,"资产负债表";#N/A,#N/A,FALSE,"资产负债表"}</definedName>
    <definedName name="aidhaif" hidden="1">{#N/A,#N/A,FALSE,"资产负债表";#N/A,#N/A,FALSE,"资产负债表"}</definedName>
    <definedName name="anakf" localSheetId="3" hidden="1">{#N/A,#N/A,FALSE,"资产负债表";#N/A,#N/A,FALSE,"资产负债表"}</definedName>
    <definedName name="anakf" localSheetId="6" hidden="1">{#N/A,#N/A,FALSE,"资产负债表";#N/A,#N/A,FALSE,"资产负债表"}</definedName>
    <definedName name="anakf" hidden="1">{#N/A,#N/A,FALSE,"资产负债表";#N/A,#N/A,FALSE,"资产负债表"}</definedName>
    <definedName name="AS2DocOpenMode" hidden="1">"AS2DocumentEdit"</definedName>
    <definedName name="AS2HasNoAutoHeaderFooter" hidden="1">" "</definedName>
    <definedName name="AS2NamedRange" hidden="1">7</definedName>
    <definedName name="AS2ReportLS" hidden="1">1</definedName>
    <definedName name="AS2SyncStepLS" hidden="1">0</definedName>
    <definedName name="AS2TickmarkLS" localSheetId="3" hidden="1">#REF!</definedName>
    <definedName name="AS2TickmarkLS" hidden="1">#REF!</definedName>
    <definedName name="AS2VersionLS" hidden="1">300</definedName>
    <definedName name="asdas" localSheetId="6" hidden="1">{#N/A,#N/A,FALSE,"Marketing";#N/A,#N/A,FALSE,"Selling";#N/A,#N/A,FALSE,"Promotional";#N/A,#N/A,FALSE,"Advertising"}</definedName>
    <definedName name="asdas" hidden="1">{#N/A,#N/A,FALSE,"Marketing";#N/A,#N/A,FALSE,"Selling";#N/A,#N/A,FALSE,"Promotional";#N/A,#N/A,FALSE,"Advertising"}</definedName>
    <definedName name="asdg" localSheetId="3" hidden="1">{#N/A,#N/A,FALSE,"资产负债表";#N/A,#N/A,FALSE,"资产负债表"}</definedName>
    <definedName name="asdg" localSheetId="6" hidden="1">{#N/A,#N/A,FALSE,"资产负债表";#N/A,#N/A,FALSE,"资产负债表"}</definedName>
    <definedName name="asdg" hidden="1">{#N/A,#N/A,FALSE,"资产负债表";#N/A,#N/A,FALSE,"资产负债表"}</definedName>
    <definedName name="ass" localSheetId="3" hidden="1">{#N/A,#N/A,TRUE,"CPRD";#N/A,#N/A,TRUE,"BCCPDR";#N/A,#N/A,TRUE,"EWRD";#N/A,#N/A,TRUE,"5100";#N/A,#N/A,TRUE,"5110"}</definedName>
    <definedName name="ass" localSheetId="6" hidden="1">{#N/A,#N/A,TRUE,"CPRD";#N/A,#N/A,TRUE,"BCCPDR";#N/A,#N/A,TRUE,"EWRD";#N/A,#N/A,TRUE,"5100";#N/A,#N/A,TRUE,"5110"}</definedName>
    <definedName name="ass" localSheetId="1" hidden="1">{#N/A,#N/A,TRUE,"CPRD";#N/A,#N/A,TRUE,"BCCPDR";#N/A,#N/A,TRUE,"EWRD";#N/A,#N/A,TRUE,"5100";#N/A,#N/A,TRUE,"5110"}</definedName>
    <definedName name="ass" hidden="1">{#N/A,#N/A,TRUE,"CPRD";#N/A,#N/A,TRUE,"BCCPDR";#N/A,#N/A,TRUE,"EWRD";#N/A,#N/A,TRUE,"5100";#N/A,#N/A,TRUE,"5110"}</definedName>
    <definedName name="BG_Del" hidden="1">15</definedName>
    <definedName name="BG_Ins" hidden="1">4</definedName>
    <definedName name="BG_Mod" hidden="1">6</definedName>
    <definedName name="BLPH6" hidden="1">#REF!</definedName>
    <definedName name="BNE_MESSAGES_HIDDEN" hidden="1">#REF!</definedName>
    <definedName name="book" localSheetId="3" hidden="1">{#N/A,#N/A,FALSE,"OffAdvance";#N/A,#N/A,FALSE,"OffExpRprt";#N/A,#N/A,FALSE,"Entertmnt";#N/A,#N/A,FALSE,"Promotion";#N/A,#N/A,FALSE,"Travelling"}</definedName>
    <definedName name="book" localSheetId="6" hidden="1">{#N/A,#N/A,FALSE,"OffAdvance";#N/A,#N/A,FALSE,"OffExpRprt";#N/A,#N/A,FALSE,"Entertmnt";#N/A,#N/A,FALSE,"Promotion";#N/A,#N/A,FALSE,"Travelling"}</definedName>
    <definedName name="book" hidden="1">{#N/A,#N/A,FALSE,"OffAdvance";#N/A,#N/A,FALSE,"OffExpRprt";#N/A,#N/A,FALSE,"Entertmnt";#N/A,#N/A,FALSE,"Promotion";#N/A,#N/A,FALSE,"Travelling"}</definedName>
    <definedName name="book.2" localSheetId="3" hidden="1">{#N/A,#N/A,FALSE,"OffAdvance";#N/A,#N/A,FALSE,"OffExpRprt";#N/A,#N/A,FALSE,"Travelling";#N/A,#N/A,FALSE,"Entertmnt";#N/A,#N/A,FALSE,"Promotion"}</definedName>
    <definedName name="book.2" localSheetId="6" hidden="1">{#N/A,#N/A,FALSE,"OffAdvance";#N/A,#N/A,FALSE,"OffExpRprt";#N/A,#N/A,FALSE,"Travelling";#N/A,#N/A,FALSE,"Entertmnt";#N/A,#N/A,FALSE,"Promotion"}</definedName>
    <definedName name="book.2" hidden="1">{#N/A,#N/A,FALSE,"OffAdvance";#N/A,#N/A,FALSE,"OffExpRprt";#N/A,#N/A,FALSE,"Travelling";#N/A,#N/A,FALSE,"Entertmnt";#N/A,#N/A,FALSE,"Promotion"}</definedName>
    <definedName name="BYD" localSheetId="6" hidden="1">{#N/A,#N/A,FALSE,"Earn'gs &amp; Val'n";#N/A,#N/A,FALSE,"Interim"}</definedName>
    <definedName name="BYD" hidden="1">{#N/A,#N/A,FALSE,"Earn'gs &amp; Val'n";#N/A,#N/A,FALSE,"Interim"}</definedName>
    <definedName name="cashflow20030930" localSheetId="3" hidden="1">{"M1Print",#N/A,TRUE,"M1";"M2Print",#N/A,TRUE,"M2";"M1sPrint",#N/A,TRUE,"M1s";"M2aPrint",#N/A,TRUE,"M2a";"M4Print",#N/A,TRUE,"M4";"M5Print",#N/A,TRUE,"M5";"M6Print",#N/A,TRUE,"M6";"M6_1Print",#N/A,TRUE,"M6_1";"M6_2Print",#N/A,TRUE,"M6_2";"M7_1Print",#N/A,TRUE,"M7_1";"M7_2Print",#N/A,TRUE,"M7_2"}</definedName>
    <definedName name="cashflow20030930" localSheetId="6" hidden="1">{"M1Print",#N/A,TRUE,"M1";"M2Print",#N/A,TRUE,"M2";"M1sPrint",#N/A,TRUE,"M1s";"M2aPrint",#N/A,TRUE,"M2a";"M4Print",#N/A,TRUE,"M4";"M5Print",#N/A,TRUE,"M5";"M6Print",#N/A,TRUE,"M6";"M6_1Print",#N/A,TRUE,"M6_1";"M6_2Print",#N/A,TRUE,"M6_2";"M7_1Print",#N/A,TRUE,"M7_1";"M7_2Print",#N/A,TRUE,"M7_2"}</definedName>
    <definedName name="cashflow20030930" localSheetId="1" hidden="1">{"M1Print",#N/A,TRUE,"M1";"M2Print",#N/A,TRUE,"M2";"M1sPrint",#N/A,TRUE,"M1s";"M2aPrint",#N/A,TRUE,"M2a";"M4Print",#N/A,TRUE,"M4";"M5Print",#N/A,TRUE,"M5";"M6Print",#N/A,TRUE,"M6";"M6_1Print",#N/A,TRUE,"M6_1";"M6_2Print",#N/A,TRUE,"M6_2";"M7_1Print",#N/A,TRUE,"M7_1";"M7_2Print",#N/A,TRUE,"M7_2"}</definedName>
    <definedName name="cashflow20030930" hidden="1">{"M1Print",#N/A,TRUE,"M1";"M2Print",#N/A,TRUE,"M2";"M1sPrint",#N/A,TRUE,"M1s";"M2aPrint",#N/A,TRUE,"M2a";"M4Print",#N/A,TRUE,"M4";"M5Print",#N/A,TRUE,"M5";"M6Print",#N/A,TRUE,"M6";"M6_1Print",#N/A,TRUE,"M6_1";"M6_2Print",#N/A,TRUE,"M6_2";"M7_1Print",#N/A,TRUE,"M7_1";"M7_2Print",#N/A,TRUE,"M7_2"}</definedName>
    <definedName name="cbx" localSheetId="3" hidden="1">{#N/A,#N/A,FALSE,"M1s Board";#N/A,#N/A,FALSE,"M3 Board";#N/A,#N/A,FALSE,"M6 Board";#N/A,#N/A,FALSE,"M7";#N/A,#N/A,FALSE,"M7B";#N/A,#N/A,FALSE,"M8";#N/A,#N/A,FALSE,"M8A Board";#N/A,#N/A,FALSE,"AF1 Board"}</definedName>
    <definedName name="cbx" localSheetId="6" hidden="1">{#N/A,#N/A,FALSE,"M1s Board";#N/A,#N/A,FALSE,"M3 Board";#N/A,#N/A,FALSE,"M6 Board";#N/A,#N/A,FALSE,"M7";#N/A,#N/A,FALSE,"M7B";#N/A,#N/A,FALSE,"M8";#N/A,#N/A,FALSE,"M8A Board";#N/A,#N/A,FALSE,"AF1 Board"}</definedName>
    <definedName name="cbx" hidden="1">{#N/A,#N/A,FALSE,"M1s Board";#N/A,#N/A,FALSE,"M3 Board";#N/A,#N/A,FALSE,"M6 Board";#N/A,#N/A,FALSE,"M7";#N/A,#N/A,FALSE,"M7B";#N/A,#N/A,FALSE,"M8";#N/A,#N/A,FALSE,"M8A Board";#N/A,#N/A,FALSE,"AF1 Board"}</definedName>
    <definedName name="cccvb" localSheetId="3" hidden="1">{#N/A,#N/A,FALSE,"资产负债表";#N/A,#N/A,FALSE,"资产负债表"}</definedName>
    <definedName name="cccvb" localSheetId="6" hidden="1">{#N/A,#N/A,FALSE,"资产负债表";#N/A,#N/A,FALSE,"资产负债表"}</definedName>
    <definedName name="cccvb" hidden="1">{#N/A,#N/A,FALSE,"资产负债表";#N/A,#N/A,FALSE,"资产负债表"}</definedName>
    <definedName name="CFVVHH" localSheetId="3" hidden="1">{#N/A,#N/A,FALSE,"资产负债表";#N/A,#N/A,FALSE,"资产负债表"}</definedName>
    <definedName name="CFVVHH" localSheetId="6" hidden="1">{#N/A,#N/A,FALSE,"资产负债表";#N/A,#N/A,FALSE,"资产负债表"}</definedName>
    <definedName name="CFVVHH" hidden="1">{#N/A,#N/A,FALSE,"资产负债表";#N/A,#N/A,FALSE,"资产负债表"}</definedName>
    <definedName name="cfyik" localSheetId="3" hidden="1">{#N/A,#N/A,FALSE,"资产负债表";#N/A,#N/A,FALSE,"资产负债表"}</definedName>
    <definedName name="cfyik" localSheetId="6" hidden="1">{#N/A,#N/A,FALSE,"资产负债表";#N/A,#N/A,FALSE,"资产负债表"}</definedName>
    <definedName name="cfyik" hidden="1">{#N/A,#N/A,FALSE,"资产负债表";#N/A,#N/A,FALSE,"资产负债表"}</definedName>
    <definedName name="cgul" localSheetId="3" hidden="1">{#N/A,#N/A,FALSE,"资产负债表";#N/A,#N/A,FALSE,"资产负债表"}</definedName>
    <definedName name="cgul" localSheetId="6" hidden="1">{#N/A,#N/A,FALSE,"资产负债表";#N/A,#N/A,FALSE,"资产负债表"}</definedName>
    <definedName name="cgul" hidden="1">{#N/A,#N/A,FALSE,"资产负债表";#N/A,#N/A,FALSE,"资产负债表"}</definedName>
    <definedName name="cguocnbnl" localSheetId="3" hidden="1">{#N/A,#N/A,FALSE,"资产负债表";#N/A,#N/A,FALSE,"资产负债表"}</definedName>
    <definedName name="cguocnbnl" localSheetId="6" hidden="1">{#N/A,#N/A,FALSE,"资产负债表";#N/A,#N/A,FALSE,"资产负债表"}</definedName>
    <definedName name="cguocnbnl" hidden="1">{#N/A,#N/A,FALSE,"资产负债表";#N/A,#N/A,FALSE,"资产负债表"}</definedName>
    <definedName name="Coll" localSheetId="3" hidden="1">{#N/A,#N/A,FALSE,"970301";#N/A,#N/A,FALSE,"970302";#N/A,#N/A,FALSE,"970303";#N/A,#N/A,FALSE,"970304";#N/A,#N/A,FALSE,"COM1";#N/A,#N/A,FALSE,"COM2"}</definedName>
    <definedName name="Coll" localSheetId="6" hidden="1">{#N/A,#N/A,FALSE,"970301";#N/A,#N/A,FALSE,"970302";#N/A,#N/A,FALSE,"970303";#N/A,#N/A,FALSE,"970304";#N/A,#N/A,FALSE,"COM1";#N/A,#N/A,FALSE,"COM2"}</definedName>
    <definedName name="Coll" hidden="1">{#N/A,#N/A,FALSE,"970301";#N/A,#N/A,FALSE,"970302";#N/A,#N/A,FALSE,"970303";#N/A,#N/A,FALSE,"970304";#N/A,#N/A,FALSE,"COM1";#N/A,#N/A,FALSE,"COM2"}</definedName>
    <definedName name="DBS" hidden="1">#REF!</definedName>
    <definedName name="dcca" localSheetId="3" hidden="1">{#N/A,#N/A,FALSE,"资产负债表";#N/A,#N/A,FALSE,"资产负债表"}</definedName>
    <definedName name="dcca" localSheetId="6" hidden="1">{#N/A,#N/A,FALSE,"资产负债表";#N/A,#N/A,FALSE,"资产负债表"}</definedName>
    <definedName name="dcca" hidden="1">{#N/A,#N/A,FALSE,"资产负债表";#N/A,#N/A,FALSE,"资产负债表"}</definedName>
    <definedName name="dfgdafsg" localSheetId="3" hidden="1">{#N/A,#N/A,FALSE,"OffAdvance";#N/A,#N/A,FALSE,"OffExpRprt";#N/A,#N/A,FALSE,"Travelling";#N/A,#N/A,FALSE,"Entertmnt";#N/A,#N/A,FALSE,"Promotion"}</definedName>
    <definedName name="dfgdafsg" localSheetId="6" hidden="1">{#N/A,#N/A,FALSE,"OffAdvance";#N/A,#N/A,FALSE,"OffExpRprt";#N/A,#N/A,FALSE,"Travelling";#N/A,#N/A,FALSE,"Entertmnt";#N/A,#N/A,FALSE,"Promotion"}</definedName>
    <definedName name="dfgdafsg" hidden="1">{#N/A,#N/A,FALSE,"OffAdvance";#N/A,#N/A,FALSE,"OffExpRprt";#N/A,#N/A,FALSE,"Travelling";#N/A,#N/A,FALSE,"Entertmnt";#N/A,#N/A,FALSE,"Promotion"}</definedName>
    <definedName name="dfv" localSheetId="3" hidden="1">{"M1Print",#N/A,TRUE,"M1";"M2Print",#N/A,TRUE,"M2";"M1sPrint",#N/A,TRUE,"M1s";"M2aPrint",#N/A,TRUE,"M2a";"M4Print",#N/A,TRUE,"M4";"M5Print",#N/A,TRUE,"M5";"M6Print",#N/A,TRUE,"M6";"M6_1Print",#N/A,TRUE,"M6_1";"M6_2Print",#N/A,TRUE,"M6_2";"M7_1Print",#N/A,TRUE,"M7_1";"M7_2Print",#N/A,TRUE,"M7_2"}</definedName>
    <definedName name="dfv" localSheetId="6" hidden="1">{"M1Print",#N/A,TRUE,"M1";"M2Print",#N/A,TRUE,"M2";"M1sPrint",#N/A,TRUE,"M1s";"M2aPrint",#N/A,TRUE,"M2a";"M4Print",#N/A,TRUE,"M4";"M5Print",#N/A,TRUE,"M5";"M6Print",#N/A,TRUE,"M6";"M6_1Print",#N/A,TRUE,"M6_1";"M6_2Print",#N/A,TRUE,"M6_2";"M7_1Print",#N/A,TRUE,"M7_1";"M7_2Print",#N/A,TRUE,"M7_2"}</definedName>
    <definedName name="dfv" hidden="1">{"M1Print",#N/A,TRUE,"M1";"M2Print",#N/A,TRUE,"M2";"M1sPrint",#N/A,TRUE,"M1s";"M2aPrint",#N/A,TRUE,"M2a";"M4Print",#N/A,TRUE,"M4";"M5Print",#N/A,TRUE,"M5";"M6Print",#N/A,TRUE,"M6";"M6_1Print",#N/A,TRUE,"M6_1";"M6_2Print",#N/A,TRUE,"M6_2";"M7_1Print",#N/A,TRUE,"M7_1";"M7_2Print",#N/A,TRUE,"M7_2"}</definedName>
    <definedName name="dh" localSheetId="3" hidden="1">{"M4Print",#N/A,FALSE,"M4"}</definedName>
    <definedName name="dh" localSheetId="6" hidden="1">{"M4Print",#N/A,FALSE,"M4"}</definedName>
    <definedName name="dh" hidden="1">{"M4Print",#N/A,FALSE,"M4"}</definedName>
    <definedName name="display_area_2" hidden="1">#REF!</definedName>
    <definedName name="dlf" localSheetId="3" hidden="1">{"M4Print",#N/A,FALSE,"M4"}</definedName>
    <definedName name="dlf" localSheetId="6" hidden="1">{"M4Print",#N/A,FALSE,"M4"}</definedName>
    <definedName name="dlf" hidden="1">{"M4Print",#N/A,FALSE,"M4"}</definedName>
    <definedName name="DME_Dirty" hidden="1">"False"</definedName>
    <definedName name="DME_ODMALinks1" hidden="1">"::ODMA\DME-MSE\ECU1-46342=C:\DOCUME~1\ec01309\LOCALS~1\Temp\Dme\DME46342.xls"</definedName>
    <definedName name="DME_ODMALinksCount" hidden="1">"1"</definedName>
    <definedName name="doddd" localSheetId="3" hidden="1">{#N/A,#N/A,TRUE,"CPRD";#N/A,#N/A,TRUE,"BCCPDR";#N/A,#N/A,TRUE,"EWRD";#N/A,#N/A,TRUE,"5100";#N/A,#N/A,TRUE,"5110"}</definedName>
    <definedName name="doddd" localSheetId="6" hidden="1">{#N/A,#N/A,TRUE,"CPRD";#N/A,#N/A,TRUE,"BCCPDR";#N/A,#N/A,TRUE,"EWRD";#N/A,#N/A,TRUE,"5100";#N/A,#N/A,TRUE,"5110"}</definedName>
    <definedName name="doddd" localSheetId="1" hidden="1">{#N/A,#N/A,TRUE,"CPRD";#N/A,#N/A,TRUE,"BCCPDR";#N/A,#N/A,TRUE,"EWRD";#N/A,#N/A,TRUE,"5100";#N/A,#N/A,TRUE,"5110"}</definedName>
    <definedName name="doddd" hidden="1">{#N/A,#N/A,TRUE,"CPRD";#N/A,#N/A,TRUE,"BCCPDR";#N/A,#N/A,TRUE,"EWRD";#N/A,#N/A,TRUE,"5100";#N/A,#N/A,TRUE,"5110"}</definedName>
    <definedName name="dog" localSheetId="3" hidden="1">{#N/A,#N/A,TRUE,"CPRD";#N/A,#N/A,TRUE,"BCCPDR";#N/A,#N/A,TRUE,"EWRD";#N/A,#N/A,TRUE,"5100";#N/A,#N/A,TRUE,"5110"}</definedName>
    <definedName name="dog" localSheetId="6" hidden="1">{#N/A,#N/A,TRUE,"CPRD";#N/A,#N/A,TRUE,"BCCPDR";#N/A,#N/A,TRUE,"EWRD";#N/A,#N/A,TRUE,"5100";#N/A,#N/A,TRUE,"5110"}</definedName>
    <definedName name="dog" localSheetId="1" hidden="1">{#N/A,#N/A,TRUE,"CPRD";#N/A,#N/A,TRUE,"BCCPDR";#N/A,#N/A,TRUE,"EWRD";#N/A,#N/A,TRUE,"5100";#N/A,#N/A,TRUE,"5110"}</definedName>
    <definedName name="dog" hidden="1">{#N/A,#N/A,TRUE,"CPRD";#N/A,#N/A,TRUE,"BCCPDR";#N/A,#N/A,TRUE,"EWRD";#N/A,#N/A,TRUE,"5100";#N/A,#N/A,TRUE,"5110"}</definedName>
    <definedName name="DPL" hidden="1">#REF!</definedName>
    <definedName name="dsd是" hidden="1">#REF!</definedName>
    <definedName name="dvbm" localSheetId="3" hidden="1">{#N/A,#N/A,FALSE,"资产负债表";#N/A,#N/A,FALSE,"资产负债表"}</definedName>
    <definedName name="dvbm" localSheetId="6" hidden="1">{#N/A,#N/A,FALSE,"资产负债表";#N/A,#N/A,FALSE,"资产负债表"}</definedName>
    <definedName name="dvbm" hidden="1">{#N/A,#N/A,FALSE,"资产负债表";#N/A,#N/A,FALSE,"资产负债表"}</definedName>
    <definedName name="ehdg" localSheetId="3" hidden="1">{#N/A,#N/A,FALSE,"Jan"}</definedName>
    <definedName name="ehdg" localSheetId="6" hidden="1">{#N/A,#N/A,FALSE,"Jan"}</definedName>
    <definedName name="ehdg" localSheetId="1" hidden="1">{#N/A,#N/A,FALSE,"Jan"}</definedName>
    <definedName name="ehdg" hidden="1">{#N/A,#N/A,FALSE,"Jan"}</definedName>
    <definedName name="erf" localSheetId="3" hidden="1">{#N/A,#N/A,FALSE,"970301";#N/A,#N/A,FALSE,"970302";#N/A,#N/A,FALSE,"970303";#N/A,#N/A,FALSE,"970304";#N/A,#N/A,FALSE,"COM1";#N/A,#N/A,FALSE,"COM2"}</definedName>
    <definedName name="erf" localSheetId="6" hidden="1">{#N/A,#N/A,FALSE,"970301";#N/A,#N/A,FALSE,"970302";#N/A,#N/A,FALSE,"970303";#N/A,#N/A,FALSE,"970304";#N/A,#N/A,FALSE,"COM1";#N/A,#N/A,FALSE,"COM2"}</definedName>
    <definedName name="erf" hidden="1">{#N/A,#N/A,FALSE,"970301";#N/A,#N/A,FALSE,"970302";#N/A,#N/A,FALSE,"970303";#N/A,#N/A,FALSE,"970304";#N/A,#N/A,FALSE,"COM1";#N/A,#N/A,FALSE,"COM2"}</definedName>
    <definedName name="eryj" localSheetId="3" hidden="1">{#N/A,#N/A,FALSE,"资产负债表";#N/A,#N/A,FALSE,"资产负债表"}</definedName>
    <definedName name="eryj" localSheetId="6" hidden="1">{#N/A,#N/A,FALSE,"资产负债表";#N/A,#N/A,FALSE,"资产负债表"}</definedName>
    <definedName name="eryj" hidden="1">{#N/A,#N/A,FALSE,"资产负债表";#N/A,#N/A,FALSE,"资产负债表"}</definedName>
    <definedName name="EV__LASTREFTIME__" hidden="1">39274.4724884259</definedName>
    <definedName name="ExpenseUpload" localSheetId="3" hidden="1">{#N/A,#N/A,TRUE,"CPRD";#N/A,#N/A,TRUE,"BCCPDR";#N/A,#N/A,TRUE,"EWRD";#N/A,#N/A,TRUE,"5100";#N/A,#N/A,TRUE,"5110"}</definedName>
    <definedName name="ExpenseUpload" localSheetId="6" hidden="1">{#N/A,#N/A,TRUE,"CPRD";#N/A,#N/A,TRUE,"BCCPDR";#N/A,#N/A,TRUE,"EWRD";#N/A,#N/A,TRUE,"5100";#N/A,#N/A,TRUE,"5110"}</definedName>
    <definedName name="ExpenseUpload" localSheetId="1" hidden="1">{#N/A,#N/A,TRUE,"CPRD";#N/A,#N/A,TRUE,"BCCPDR";#N/A,#N/A,TRUE,"EWRD";#N/A,#N/A,TRUE,"5100";#N/A,#N/A,TRUE,"5110"}</definedName>
    <definedName name="ExpenseUpload" hidden="1">{#N/A,#N/A,TRUE,"CPRD";#N/A,#N/A,TRUE,"BCCPDR";#N/A,#N/A,TRUE,"EWRD";#N/A,#N/A,TRUE,"5100";#N/A,#N/A,TRUE,"5110"}</definedName>
    <definedName name="faif" localSheetId="3" hidden="1">{#N/A,#N/A,FALSE,"资产负债表";#N/A,#N/A,FALSE,"资产负债表"}</definedName>
    <definedName name="faif" localSheetId="6" hidden="1">{#N/A,#N/A,FALSE,"资产负债表";#N/A,#N/A,FALSE,"资产负债表"}</definedName>
    <definedName name="faif" hidden="1">{#N/A,#N/A,FALSE,"资产负债表";#N/A,#N/A,FALSE,"资产负债表"}</definedName>
    <definedName name="FCode" hidden="1">#REF!</definedName>
    <definedName name="fd" localSheetId="3" hidden="1">{"M1sPrint",#N/A,FALSE,"M1s"}</definedName>
    <definedName name="fd" localSheetId="6" hidden="1">{"M1sPrint",#N/A,FALSE,"M1s"}</definedName>
    <definedName name="fd" hidden="1">{"M1sPrint",#N/A,FALSE,"M1s"}</definedName>
    <definedName name="feedback" localSheetId="3" hidden="1">{#N/A,#N/A,TRUE,"CPRD";#N/A,#N/A,TRUE,"BCCPDR";#N/A,#N/A,TRUE,"EWRD";#N/A,#N/A,TRUE,"5100";#N/A,#N/A,TRUE,"5110"}</definedName>
    <definedName name="feedback" localSheetId="6" hidden="1">{#N/A,#N/A,TRUE,"CPRD";#N/A,#N/A,TRUE,"BCCPDR";#N/A,#N/A,TRUE,"EWRD";#N/A,#N/A,TRUE,"5100";#N/A,#N/A,TRUE,"5110"}</definedName>
    <definedName name="feedback" localSheetId="1" hidden="1">{#N/A,#N/A,TRUE,"CPRD";#N/A,#N/A,TRUE,"BCCPDR";#N/A,#N/A,TRUE,"EWRD";#N/A,#N/A,TRUE,"5100";#N/A,#N/A,TRUE,"5110"}</definedName>
    <definedName name="feedback" hidden="1">{#N/A,#N/A,TRUE,"CPRD";#N/A,#N/A,TRUE,"BCCPDR";#N/A,#N/A,TRUE,"EWRD";#N/A,#N/A,TRUE,"5100";#N/A,#N/A,TRUE,"5110"}</definedName>
    <definedName name="fgdg" localSheetId="3" hidden="1">{"M1Print",#N/A,TRUE,"M1";"M2Print",#N/A,TRUE,"M2";"M1sPrint",#N/A,TRUE,"M1s";"M2aPrint",#N/A,TRUE,"M2a";"M4Print",#N/A,TRUE,"M4";"M5Print",#N/A,TRUE,"M5";"M6Print",#N/A,TRUE,"M6";"M6_1Print",#N/A,TRUE,"M6_1";"M6_2Print",#N/A,TRUE,"M6_2";"M7_1Print",#N/A,TRUE,"M7_1";"M7_2Print",#N/A,TRUE,"M7_2"}</definedName>
    <definedName name="fgdg" localSheetId="6" hidden="1">{"M1Print",#N/A,TRUE,"M1";"M2Print",#N/A,TRUE,"M2";"M1sPrint",#N/A,TRUE,"M1s";"M2aPrint",#N/A,TRUE,"M2a";"M4Print",#N/A,TRUE,"M4";"M5Print",#N/A,TRUE,"M5";"M6Print",#N/A,TRUE,"M6";"M6_1Print",#N/A,TRUE,"M6_1";"M6_2Print",#N/A,TRUE,"M6_2";"M7_1Print",#N/A,TRUE,"M7_1";"M7_2Print",#N/A,TRUE,"M7_2"}</definedName>
    <definedName name="fgdg" hidden="1">{"M1Print",#N/A,TRUE,"M1";"M2Print",#N/A,TRUE,"M2";"M1sPrint",#N/A,TRUE,"M1s";"M2aPrint",#N/A,TRUE,"M2a";"M4Print",#N/A,TRUE,"M4";"M5Print",#N/A,TRUE,"M5";"M6Print",#N/A,TRUE,"M6";"M6_1Print",#N/A,TRUE,"M6_1";"M6_2Print",#N/A,TRUE,"M6_2";"M7_1Print",#N/A,TRUE,"M7_1";"M7_2Print",#N/A,TRUE,"M7_2"}</definedName>
    <definedName name="fvb" localSheetId="3" hidden="1">{#N/A,#N/A,FALSE,"资产负债表";#N/A,#N/A,FALSE,"资产负债表"}</definedName>
    <definedName name="fvb" localSheetId="6" hidden="1">{#N/A,#N/A,FALSE,"资产负债表";#N/A,#N/A,FALSE,"资产负债表"}</definedName>
    <definedName name="fvb" hidden="1">{#N/A,#N/A,FALSE,"资产负债表";#N/A,#N/A,FALSE,"资产负债表"}</definedName>
    <definedName name="G9IJGF" localSheetId="3" hidden="1">{#N/A,#N/A,FALSE,"资产负债表";#N/A,#N/A,FALSE,"资产负债表"}</definedName>
    <definedName name="G9IJGF" localSheetId="6" hidden="1">{#N/A,#N/A,FALSE,"资产负债表";#N/A,#N/A,FALSE,"资产负债表"}</definedName>
    <definedName name="G9IJGF" hidden="1">{#N/A,#N/A,FALSE,"资产负债表";#N/A,#N/A,FALSE,"资产负债表"}</definedName>
    <definedName name="hadiah" localSheetId="3" hidden="1">{#N/A,#N/A,FALSE,"资产负债表";#N/A,#N/A,FALSE,"资产负债表"}</definedName>
    <definedName name="hadiah" localSheetId="6" hidden="1">{#N/A,#N/A,FALSE,"资产负债表";#N/A,#N/A,FALSE,"资产负债表"}</definedName>
    <definedName name="hadiah" hidden="1">{#N/A,#N/A,FALSE,"资产负债表";#N/A,#N/A,FALSE,"资产负债表"}</definedName>
    <definedName name="HdctTrnd" localSheetId="3" hidden="1">{#N/A,#N/A,TRUE,"CPRD";#N/A,#N/A,TRUE,"BCCPDR";#N/A,#N/A,TRUE,"EWRD";#N/A,#N/A,TRUE,"5100";#N/A,#N/A,TRUE,"5110"}</definedName>
    <definedName name="HdctTrnd" localSheetId="6" hidden="1">{#N/A,#N/A,TRUE,"CPRD";#N/A,#N/A,TRUE,"BCCPDR";#N/A,#N/A,TRUE,"EWRD";#N/A,#N/A,TRUE,"5100";#N/A,#N/A,TRUE,"5110"}</definedName>
    <definedName name="HdctTrnd" localSheetId="1" hidden="1">{#N/A,#N/A,TRUE,"CPRD";#N/A,#N/A,TRUE,"BCCPDR";#N/A,#N/A,TRUE,"EWRD";#N/A,#N/A,TRUE,"5100";#N/A,#N/A,TRUE,"5110"}</definedName>
    <definedName name="HdctTrnd" hidden="1">{#N/A,#N/A,TRUE,"CPRD";#N/A,#N/A,TRUE,"BCCPDR";#N/A,#N/A,TRUE,"EWRD";#N/A,#N/A,TRUE,"5100";#N/A,#N/A,TRUE,"5110"}</definedName>
    <definedName name="HiddenRows" hidden="1">#REF!</definedName>
    <definedName name="HTL_Cotrol1" localSheetId="3" hidden="1">{"'Sheet3'!$A$47:$M$47"}</definedName>
    <definedName name="HTL_Cotrol1" localSheetId="6" hidden="1">{"'Sheet3'!$A$47:$M$47"}</definedName>
    <definedName name="HTL_Cotrol1" hidden="1">{"'Sheet3'!$A$47:$M$47"}</definedName>
    <definedName name="HTML_CodePage" hidden="1">1252</definedName>
    <definedName name="HTML_Control" localSheetId="3" hidden="1">{"'Vxxe_times_J750 (2)'!$A$3:$E$14"}</definedName>
    <definedName name="HTML_Control" localSheetId="6" hidden="1">{"'Vxxe_times_J750 (2)'!$A$3:$E$14"}</definedName>
    <definedName name="HTML_Control" localSheetId="1" hidden="1">{"'Vxxe_times_J750 (2)'!$A$3:$E$14"}</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Title" hidden="1">"virtexE_j750_wolf_comparison"</definedName>
    <definedName name="HTML1_11" hidden="1">1</definedName>
    <definedName name="HTML1_12" hidden="1">"C:\Irasia\mactopc\firstpachk\webpages\page 58 p and l 0713c.htm"</definedName>
    <definedName name="HTML1_2" hidden="1">-4146</definedName>
    <definedName name="HTML1_3" hidden="1">"C:\Irasia\mactopc\firstpachk\webpages\page 58 p and l 0713b.htm"</definedName>
    <definedName name="HTML2_11" hidden="1">1</definedName>
    <definedName name="HTML2_12" hidden="1">"C:\Irasia\mactopc\firstpachk\webpages\page 58 p and l 0713b.htm"</definedName>
    <definedName name="HTML2_2" hidden="1">-4146</definedName>
    <definedName name="HTML2_3" hidden="1">"C:\Irasia\mactopc\firstpachk\webpages\page 58 p and l 0713.htm"</definedName>
    <definedName name="HTMLCount" hidden="1">1</definedName>
    <definedName name="hueoa" localSheetId="3" hidden="1">{#N/A,#N/A,FALSE,"资产负债表";#N/A,#N/A,FALSE,"资产负债表"}</definedName>
    <definedName name="hueoa" localSheetId="6" hidden="1">{#N/A,#N/A,FALSE,"资产负债表";#N/A,#N/A,FALSE,"资产负债表"}</definedName>
    <definedName name="hueoa" hidden="1">{#N/A,#N/A,FALSE,"资产负债表";#N/A,#N/A,FALSE,"资产负债表"}</definedName>
    <definedName name="ieji" localSheetId="3" hidden="1">{#N/A,#N/A,FALSE,"970301";#N/A,#N/A,FALSE,"970302";#N/A,#N/A,FALSE,"970303";#N/A,#N/A,FALSE,"970304";#N/A,#N/A,FALSE,"COM1";#N/A,#N/A,FALSE,"COM2"}</definedName>
    <definedName name="ieji" localSheetId="6" hidden="1">{#N/A,#N/A,FALSE,"970301";#N/A,#N/A,FALSE,"970302";#N/A,#N/A,FALSE,"970303";#N/A,#N/A,FALSE,"970304";#N/A,#N/A,FALSE,"COM1";#N/A,#N/A,FALSE,"COM2"}</definedName>
    <definedName name="ieji" hidden="1">{#N/A,#N/A,FALSE,"970301";#N/A,#N/A,FALSE,"970302";#N/A,#N/A,FALSE,"970303";#N/A,#N/A,FALSE,"970304";#N/A,#N/A,FALSE,"COM1";#N/A,#N/A,FALSE,"COM2"}</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 hidden="1">"IQ_EPS"</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Y" hidden="1">1000</definedName>
    <definedName name="IQ_FY_DATE" hidden="1">"IQ_FY_DATE"</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"100"</definedName>
    <definedName name="IQ_LATESTQ" hidden="1">500</definedName>
    <definedName name="IQ_LATESTQFR" hidden="1">"50"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"06/27/2022 08:50:24"</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EDATETIME" hidden="1">"IQ_PRICEDATETIME"</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39097.571875</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ShowHideColumns" hidden="1">"iQShowQuarterlyAnnual"</definedName>
    <definedName name="jdda" localSheetId="3" hidden="1">{"M4Print",#N/A,FALSE,"M4"}</definedName>
    <definedName name="jdda" localSheetId="6" hidden="1">{"M4Print",#N/A,FALSE,"M4"}</definedName>
    <definedName name="jdda" hidden="1">{"M4Print",#N/A,FALSE,"M4"}</definedName>
    <definedName name="jdfslsajdflasdkjpf" localSheetId="3" hidden="1">{#N/A,#N/A,FALSE,"OffAdvance";#N/A,#N/A,FALSE,"OffExpRprt";#N/A,#N/A,FALSE,"Entertmnt";#N/A,#N/A,FALSE,"Promotion";#N/A,#N/A,FALSE,"Travelling"}</definedName>
    <definedName name="jdfslsajdflasdkjpf" localSheetId="6" hidden="1">{#N/A,#N/A,FALSE,"OffAdvance";#N/A,#N/A,FALSE,"OffExpRprt";#N/A,#N/A,FALSE,"Entertmnt";#N/A,#N/A,FALSE,"Promotion";#N/A,#N/A,FALSE,"Travelling"}</definedName>
    <definedName name="jdfslsajdflasdkjpf" hidden="1">{#N/A,#N/A,FALSE,"OffAdvance";#N/A,#N/A,FALSE,"OffExpRprt";#N/A,#N/A,FALSE,"Entertmnt";#N/A,#N/A,FALSE,"Promotion";#N/A,#N/A,FALSE,"Travelling"}</definedName>
    <definedName name="jfgh" localSheetId="3" hidden="1">{"M1sPrint",#N/A,FALSE,"M1s"}</definedName>
    <definedName name="jfgh" localSheetId="6" hidden="1">{"M1sPrint",#N/A,FALSE,"M1s"}</definedName>
    <definedName name="jfgh" hidden="1">{"M1sPrint",#N/A,FALSE,"M1s"}</definedName>
    <definedName name="jgfhfg" localSheetId="3" hidden="1">{"M1sPrint",#N/A,FALSE,"M1s"}</definedName>
    <definedName name="jgfhfg" localSheetId="6" hidden="1">{"M1sPrint",#N/A,FALSE,"M1s"}</definedName>
    <definedName name="jgfhfg" hidden="1">{"M1sPrint",#N/A,FALSE,"M1s"}</definedName>
    <definedName name="jlj" localSheetId="3" hidden="1">{"M2aPrint",#N/A,FALSE,"M2a"}</definedName>
    <definedName name="jlj" localSheetId="6" hidden="1">{"M2aPrint",#N/A,FALSE,"M2a"}</definedName>
    <definedName name="jlj" hidden="1">{"M2aPrint",#N/A,FALSE,"M2a"}</definedName>
    <definedName name="jughn" localSheetId="3" hidden="1">{"M7_1Print",#N/A,TRUE,"M7_1";"M7_2Print",#N/A,TRUE,"M7_2"}</definedName>
    <definedName name="jughn" localSheetId="6" hidden="1">{"M7_1Print",#N/A,TRUE,"M7_1";"M7_2Print",#N/A,TRUE,"M7_2"}</definedName>
    <definedName name="jughn" hidden="1">{"M7_1Print",#N/A,TRUE,"M7_1";"M7_2Print",#N/A,TRUE,"M7_2"}</definedName>
    <definedName name="jytj" localSheetId="3" hidden="1">{"M7_1Print",#N/A,TRUE,"M7_1";"M7_2Print",#N/A,TRUE,"M7_2"}</definedName>
    <definedName name="jytj" localSheetId="6" hidden="1">{"M7_1Print",#N/A,TRUE,"M7_1";"M7_2Print",#N/A,TRUE,"M7_2"}</definedName>
    <definedName name="jytj" hidden="1">{"M7_1Print",#N/A,TRUE,"M7_1";"M7_2Print",#N/A,TRUE,"M7_2"}</definedName>
    <definedName name="K2_WBEVMODE" hidden="1">-1</definedName>
    <definedName name="kljik" localSheetId="3" hidden="1">{#N/A,#N/A,FALSE,"OffAdvance";#N/A,#N/A,FALSE,"OffExpRprt";#N/A,#N/A,FALSE,"Entertmnt";#N/A,#N/A,FALSE,"Promotion";#N/A,#N/A,FALSE,"Travelling"}</definedName>
    <definedName name="kljik" localSheetId="6" hidden="1">{#N/A,#N/A,FALSE,"OffAdvance";#N/A,#N/A,FALSE,"OffExpRprt";#N/A,#N/A,FALSE,"Entertmnt";#N/A,#N/A,FALSE,"Promotion";#N/A,#N/A,FALSE,"Travelling"}</definedName>
    <definedName name="kljik" hidden="1">{#N/A,#N/A,FALSE,"OffAdvance";#N/A,#N/A,FALSE,"OffExpRprt";#N/A,#N/A,FALSE,"Entertmnt";#N/A,#N/A,FALSE,"Promotion";#N/A,#N/A,FALSE,"Travelling"}</definedName>
    <definedName name="kuj" localSheetId="3" hidden="1">{"M6Print",#N/A,FALSE,"M6";"M6_1Print",#N/A,FALSE,"M6_1";"M6_2Print",#N/A,FALSE,"M6_2"}</definedName>
    <definedName name="kuj" localSheetId="6" hidden="1">{"M6Print",#N/A,FALSE,"M6";"M6_1Print",#N/A,FALSE,"M6_1";"M6_2Print",#N/A,FALSE,"M6_2"}</definedName>
    <definedName name="kuj" hidden="1">{"M6Print",#N/A,FALSE,"M6";"M6_1Print",#N/A,FALSE,"M6_1";"M6_2Print",#N/A,FALSE,"M6_2"}</definedName>
    <definedName name="LotusGraphChart1" localSheetId="3" hidden="1">#REF!</definedName>
    <definedName name="LotusGraphChart1" hidden="1">#REF!</definedName>
    <definedName name="lotusgraphchart1b" localSheetId="3" hidden="1">#REF!</definedName>
    <definedName name="lotusgraphchart1b" hidden="1">#REF!</definedName>
    <definedName name="lotusgraphchart1x" localSheetId="3" hidden="1">#REF!</definedName>
    <definedName name="lotusgraphchart1x" hidden="1">#REF!</definedName>
    <definedName name="lu" localSheetId="3" hidden="1">{"M1sPrint",#N/A,FALSE,"M1s"}</definedName>
    <definedName name="lu" localSheetId="6" hidden="1">{"M1sPrint",#N/A,FALSE,"M1s"}</definedName>
    <definedName name="lu" hidden="1">{"M1sPrint",#N/A,FALSE,"M1s"}</definedName>
    <definedName name="M_PlaceofPath" hidden="1">"F:\danders\COMPANY\HET\HET_VDF.XLS"</definedName>
    <definedName name="n" localSheetId="3" hidden="1">{"M2Print",#N/A,FALSE,"M2"}</definedName>
    <definedName name="n" localSheetId="6" hidden="1">{"M2Print",#N/A,FALSE,"M2"}</definedName>
    <definedName name="n" hidden="1">{"M2Print",#N/A,FALSE,"M2"}</definedName>
    <definedName name="ngn" localSheetId="3" hidden="1">{"M1Print",#N/A,TRUE,"M1";"M2Print",#N/A,TRUE,"M2";"M1sPrint",#N/A,TRUE,"M1s";"M2aPrint",#N/A,TRUE,"M2a";"M4Print",#N/A,TRUE,"M4";"M5Print",#N/A,TRUE,"M5";"M6Print",#N/A,TRUE,"M6";"M6_1Print",#N/A,TRUE,"M6_1";"M6_2Print",#N/A,TRUE,"M6_2";"M7_1Print",#N/A,TRUE,"M7_1";"M7_2Print",#N/A,TRUE,"M7_2"}</definedName>
    <definedName name="ngn" localSheetId="6" hidden="1">{"M1Print",#N/A,TRUE,"M1";"M2Print",#N/A,TRUE,"M2";"M1sPrint",#N/A,TRUE,"M1s";"M2aPrint",#N/A,TRUE,"M2a";"M4Print",#N/A,TRUE,"M4";"M5Print",#N/A,TRUE,"M5";"M6Print",#N/A,TRUE,"M6";"M6_1Print",#N/A,TRUE,"M6_1";"M6_2Print",#N/A,TRUE,"M6_2";"M7_1Print",#N/A,TRUE,"M7_1";"M7_2Print",#N/A,TRUE,"M7_2"}</definedName>
    <definedName name="ngn" hidden="1">{"M1Print",#N/A,TRUE,"M1";"M2Print",#N/A,TRUE,"M2";"M1sPrint",#N/A,TRUE,"M1s";"M2aPrint",#N/A,TRUE,"M2a";"M4Print",#N/A,TRUE,"M4";"M5Print",#N/A,TRUE,"M5";"M6Print",#N/A,TRUE,"M6";"M6_1Print",#N/A,TRUE,"M6_1";"M6_2Print",#N/A,TRUE,"M6_2";"M7_1Print",#N/A,TRUE,"M7_1";"M7_2Print",#N/A,TRUE,"M7_2"}</definedName>
    <definedName name="notused" localSheetId="3" hidden="1">{#N/A,#N/A,TRUE,"CPRD";#N/A,#N/A,TRUE,"BCCPDR";#N/A,#N/A,TRUE,"EWRD";#N/A,#N/A,TRUE,"5100";#N/A,#N/A,TRUE,"5110"}</definedName>
    <definedName name="notused" localSheetId="6" hidden="1">{#N/A,#N/A,TRUE,"CPRD";#N/A,#N/A,TRUE,"BCCPDR";#N/A,#N/A,TRUE,"EWRD";#N/A,#N/A,TRUE,"5100";#N/A,#N/A,TRUE,"5110"}</definedName>
    <definedName name="notused" localSheetId="1" hidden="1">{#N/A,#N/A,TRUE,"CPRD";#N/A,#N/A,TRUE,"BCCPDR";#N/A,#N/A,TRUE,"EWRD";#N/A,#N/A,TRUE,"5100";#N/A,#N/A,TRUE,"5110"}</definedName>
    <definedName name="notused" hidden="1">{#N/A,#N/A,TRUE,"CPRD";#N/A,#N/A,TRUE,"BCCPDR";#N/A,#N/A,TRUE,"EWRD";#N/A,#N/A,TRUE,"5100";#N/A,#N/A,TRUE,"5110"}</definedName>
    <definedName name="ooo" localSheetId="6" hidden="1">{#N/A,#N/A,FALSE,"Sales  total 9712";#N/A,#N/A,FALSE,"Sales  total 9712";#N/A,#N/A,FALSE,"Sales  total 9712";#N/A,#N/A,FALSE,"Sales  total 9712"}</definedName>
    <definedName name="ooo" hidden="1">{#N/A,#N/A,FALSE,"Sales  total 9712";#N/A,#N/A,FALSE,"Sales  total 9712";#N/A,#N/A,FALSE,"Sales  total 9712";#N/A,#N/A,FALSE,"Sales  total 9712"}</definedName>
    <definedName name="OrderTable" hidden="1">#REF!</definedName>
    <definedName name="ProdForm" hidden="1">#REF!</definedName>
    <definedName name="Product" hidden="1">#REF!</definedName>
    <definedName name="qwertyuiopasdfghjkl" localSheetId="3" hidden="1">{"M2aPrint",#N/A,FALSE,"M2a"}</definedName>
    <definedName name="qwertyuiopasdfghjkl" localSheetId="6" hidden="1">{"M2aPrint",#N/A,FALSE,"M2a"}</definedName>
    <definedName name="qwertyuiopasdfghjkl" localSheetId="1" hidden="1">{"M2aPrint",#N/A,FALSE,"M2a"}</definedName>
    <definedName name="qwertyuiopasdfghjkl" hidden="1">{"M2aPrint",#N/A,FALSE,"M2a"}</definedName>
    <definedName name="qwwertyuiop" localSheetId="3" hidden="1">{"M2Print",#N/A,FALSE,"M2"}</definedName>
    <definedName name="qwwertyuiop" localSheetId="6" hidden="1">{"M2Print",#N/A,FALSE,"M2"}</definedName>
    <definedName name="qwwertyuiop" localSheetId="1" hidden="1">{"M2Print",#N/A,FALSE,"M2"}</definedName>
    <definedName name="qwwertyuiop" hidden="1">{"M2Print",#N/A,FALSE,"M2"}</definedName>
    <definedName name="RCArea" hidden="1">#REF!</definedName>
    <definedName name="RJE" localSheetId="3" hidden="1">{"toptrial",#N/A,TRUE,"toptrial";"adjustment",#N/A,TRUE,"toptrial";"voucher",#N/A,TRUE,"toptrial"}</definedName>
    <definedName name="RJE" localSheetId="6" hidden="1">{"toptrial",#N/A,TRUE,"toptrial";"adjustment",#N/A,TRUE,"toptrial";"voucher",#N/A,TRUE,"toptrial"}</definedName>
    <definedName name="RJE" hidden="1">{"toptrial",#N/A,TRUE,"toptrial";"adjustment",#N/A,TRUE,"toptrial";"voucher",#N/A,TRUE,"toptrial"}</definedName>
    <definedName name="SAPBEXdnldView" hidden="1">"4D4WVRAZFXWLPKS3R52UJB0QG"</definedName>
    <definedName name="SAPBEXrevision" hidden="1">1</definedName>
    <definedName name="SAPBEXsysID" hidden="1">"PE4"</definedName>
    <definedName name="SAPBEXwbID" hidden="1">"3Q4R7W3VD66V3CXTGQHGIRCBE"</definedName>
    <definedName name="sdfs" localSheetId="3" hidden="1">{"M1sPrint",#N/A,FALSE,"M1s"}</definedName>
    <definedName name="sdfs" localSheetId="6" hidden="1">{"M1sPrint",#N/A,FALSE,"M1s"}</definedName>
    <definedName name="sdfs" hidden="1">{"M1sPrint",#N/A,FALSE,"M1s"}</definedName>
    <definedName name="Sheet1_BNE_MESSAGES" localSheetId="3" hidden="1">#REF!</definedName>
    <definedName name="Sheet1_BNE_MESSAGES" hidden="1">#REF!</definedName>
    <definedName name="Sheet1_BNE_MESSAGES_HIDDEN" localSheetId="3" hidden="1">#REF!</definedName>
    <definedName name="Sheet1_BNE_MESSAGES_HIDDEN" hidden="1">#REF!</definedName>
    <definedName name="Sheet1_BNE_MESSAGES_LAMP" localSheetId="3" hidden="1">#REF!</definedName>
    <definedName name="Sheet1_BNE_MESSAGES_LAMP" hidden="1">#REF!</definedName>
    <definedName name="Sheet1_BNE_UPLOAD" localSheetId="3" hidden="1">#REF!</definedName>
    <definedName name="Sheet1_BNE_UPLOAD" hidden="1">#REF!</definedName>
    <definedName name="Sheet1_GL_INTERFACE_ACCOUNTING_DATE" localSheetId="3" hidden="1">#REF!</definedName>
    <definedName name="Sheet1_GL_INTERFACE_ACCOUNTING_DATE" hidden="1">#REF!</definedName>
    <definedName name="Sheet1_GL_INTERFACE_ACTUAL_FLAG" localSheetId="3" hidden="1">#REF!</definedName>
    <definedName name="Sheet1_GL_INTERFACE_ACTUAL_FLAG" hidden="1">#REF!</definedName>
    <definedName name="Sheet1_GL_INTERFACE_CURRENCY_CODE" localSheetId="3" hidden="1">#REF!</definedName>
    <definedName name="Sheet1_GL_INTERFACE_CURRENCY_CODE" hidden="1">#REF!</definedName>
    <definedName name="Sheet1_GL_INTERFACE_DATABASE" localSheetId="3" hidden="1">#REF!</definedName>
    <definedName name="Sheet1_GL_INTERFACE_DATABASE" hidden="1">#REF!</definedName>
    <definedName name="Sheet1_GL_INTERFACE_ENTERED_CR" localSheetId="3" hidden="1">#REF!</definedName>
    <definedName name="Sheet1_GL_INTERFACE_ENTERED_CR" hidden="1">#REF!</definedName>
    <definedName name="Sheet1_GL_INTERFACE_ENTERED_DR" localSheetId="3" hidden="1">#REF!</definedName>
    <definedName name="Sheet1_GL_INTERFACE_ENTERED_DR" hidden="1">#REF!</definedName>
    <definedName name="Sheet1_GL_INTERFACE_REFERENCE1" localSheetId="3" hidden="1">#REF!</definedName>
    <definedName name="Sheet1_GL_INTERFACE_REFERENCE1" hidden="1">#REF!</definedName>
    <definedName name="Sheet1_GL_INTERFACE_REFERENCE10" localSheetId="3" hidden="1">#REF!</definedName>
    <definedName name="Sheet1_GL_INTERFACE_REFERENCE10" hidden="1">#REF!</definedName>
    <definedName name="Sheet1_GL_INTERFACE_REFERENCE4" localSheetId="3" hidden="1">#REF!</definedName>
    <definedName name="Sheet1_GL_INTERFACE_REFERENCE4" hidden="1">#REF!</definedName>
    <definedName name="Sheet1_GL_INTERFACE_REFERENCE5" localSheetId="3" hidden="1">#REF!</definedName>
    <definedName name="Sheet1_GL_INTERFACE_REFERENCE5" hidden="1">#REF!</definedName>
    <definedName name="Sheet1_GL_INTERFACE_REFERENCE6" localSheetId="3" hidden="1">#REF!</definedName>
    <definedName name="Sheet1_GL_INTERFACE_REFERENCE6" hidden="1">#REF!</definedName>
    <definedName name="Sheet1_GL_INTERFACE_REFERENCE7" localSheetId="3" hidden="1">#REF!</definedName>
    <definedName name="Sheet1_GL_INTERFACE_REFERENCE7" hidden="1">#REF!</definedName>
    <definedName name="Sheet1_GL_INTERFACE_REFERENCE8" localSheetId="3" hidden="1">#REF!</definedName>
    <definedName name="Sheet1_GL_INTERFACE_REFERENCE8" hidden="1">#REF!</definedName>
    <definedName name="Sheet1_GL_INTERFACE_SEGMENT1" localSheetId="3" hidden="1">#REF!</definedName>
    <definedName name="Sheet1_GL_INTERFACE_SEGMENT1" hidden="1">#REF!</definedName>
    <definedName name="Sheet1_GL_INTERFACE_SEGMENT2" localSheetId="3" hidden="1">#REF!</definedName>
    <definedName name="Sheet1_GL_INTERFACE_SEGMENT2" hidden="1">#REF!</definedName>
    <definedName name="Sheet1_GL_INTERFACE_SEGMENT3" localSheetId="3" hidden="1">#REF!</definedName>
    <definedName name="Sheet1_GL_INTERFACE_SEGMENT3" hidden="1">#REF!</definedName>
    <definedName name="Sheet1_GL_INTERFACE_SEGMENT4" localSheetId="3" hidden="1">#REF!</definedName>
    <definedName name="Sheet1_GL_INTERFACE_SEGMENT4" hidden="1">#REF!</definedName>
    <definedName name="Sheet1_GL_INTERFACE_SEGMENT5" localSheetId="3" hidden="1">#REF!</definedName>
    <definedName name="Sheet1_GL_INTERFACE_SEGMENT5" hidden="1">#REF!</definedName>
    <definedName name="Sheet1_GL_INTERFACE_SEGMENT6" localSheetId="3" hidden="1">#REF!</definedName>
    <definedName name="Sheet1_GL_INTERFACE_SEGMENT6" hidden="1">#REF!</definedName>
    <definedName name="Sheet1_GL_INTERFACE_SET_OF_BOOKS_ID" localSheetId="3" hidden="1">#REF!</definedName>
    <definedName name="Sheet1_GL_INTERFACE_SET_OF_BOOKS_ID" hidden="1">#REF!</definedName>
    <definedName name="Sheet1_GL_INTERFACE_USER_JE_CATEGORY_NAME" localSheetId="3" hidden="1">#REF!</definedName>
    <definedName name="Sheet1_GL_INTERFACE_USER_JE_CATEGORY_NAME" hidden="1">#REF!</definedName>
    <definedName name="Sheet1_GL_INTERFACE_USER_JE_SOURCE_NAME" localSheetId="3" hidden="1">#REF!</definedName>
    <definedName name="Sheet1_GL_INTERFACE_USER_JE_SOURCE_NAME" hidden="1">#REF!</definedName>
    <definedName name="SpecialPrice" hidden="1">#REF!</definedName>
    <definedName name="sssz" localSheetId="3" hidden="1">{#N/A,#N/A,FALSE,"资产负债表";#N/A,#N/A,FALSE,"资产负债表"}</definedName>
    <definedName name="sssz" localSheetId="6" hidden="1">{#N/A,#N/A,FALSE,"资产负债表";#N/A,#N/A,FALSE,"资产负债表"}</definedName>
    <definedName name="sssz" hidden="1">{#N/A,#N/A,FALSE,"资产负债表";#N/A,#N/A,FALSE,"资产负债表"}</definedName>
    <definedName name="tbl_ProdInfo" hidden="1">#REF!</definedName>
    <definedName name="terh" localSheetId="3" hidden="1">{#N/A,#N/A,FALSE,"OffAdvance";#N/A,#N/A,FALSE,"OffExpRprt";#N/A,#N/A,FALSE,"Entertmnt";#N/A,#N/A,FALSE,"Promotion";#N/A,#N/A,FALSE,"Travelling"}</definedName>
    <definedName name="terh" localSheetId="6" hidden="1">{#N/A,#N/A,FALSE,"OffAdvance";#N/A,#N/A,FALSE,"OffExpRprt";#N/A,#N/A,FALSE,"Entertmnt";#N/A,#N/A,FALSE,"Promotion";#N/A,#N/A,FALSE,"Travelling"}</definedName>
    <definedName name="terh" hidden="1">{#N/A,#N/A,FALSE,"OffAdvance";#N/A,#N/A,FALSE,"OffExpRprt";#N/A,#N/A,FALSE,"Entertmnt";#N/A,#N/A,FALSE,"Promotion";#N/A,#N/A,FALSE,"Travelling"}</definedName>
    <definedName name="TextRefCopyRangeCount" hidden="1">5</definedName>
    <definedName name="tfhg" localSheetId="3" hidden="1">{"M1Print",#N/A,FALSE,"M1"}</definedName>
    <definedName name="tfhg" localSheetId="6" hidden="1">{"M1Print",#N/A,FALSE,"M1"}</definedName>
    <definedName name="tfhg" hidden="1">{"M1Print",#N/A,FALSE,"M1"}</definedName>
    <definedName name="the" localSheetId="3" hidden="1">{#N/A,#N/A,FALSE,"Marketing";#N/A,#N/A,FALSE,"Selling";#N/A,#N/A,FALSE,"Promotional";#N/A,#N/A,FALSE,"Advertising"}</definedName>
    <definedName name="the" localSheetId="6" hidden="1">{#N/A,#N/A,FALSE,"Marketing";#N/A,#N/A,FALSE,"Selling";#N/A,#N/A,FALSE,"Promotional";#N/A,#N/A,FALSE,"Advertising"}</definedName>
    <definedName name="the" hidden="1">{#N/A,#N/A,FALSE,"Marketing";#N/A,#N/A,FALSE,"Selling";#N/A,#N/A,FALSE,"Promotional";#N/A,#N/A,FALSE,"Advertising"}</definedName>
    <definedName name="ulead" localSheetId="3" hidden="1">{#N/A,#N/A,FALSE,"970301";#N/A,#N/A,FALSE,"970302";#N/A,#N/A,FALSE,"970303";#N/A,#N/A,FALSE,"970304";#N/A,#N/A,FALSE,"COM1";#N/A,#N/A,FALSE,"COM2"}</definedName>
    <definedName name="ulead" localSheetId="6" hidden="1">{#N/A,#N/A,FALSE,"970301";#N/A,#N/A,FALSE,"970302";#N/A,#N/A,FALSE,"970303";#N/A,#N/A,FALSE,"970304";#N/A,#N/A,FALSE,"COM1";#N/A,#N/A,FALSE,"COM2"}</definedName>
    <definedName name="ulead" hidden="1">{#N/A,#N/A,FALSE,"970301";#N/A,#N/A,FALSE,"970302";#N/A,#N/A,FALSE,"970303";#N/A,#N/A,FALSE,"970304";#N/A,#N/A,FALSE,"COM1";#N/A,#N/A,FALSE,"COM2"}</definedName>
    <definedName name="uygh" localSheetId="3" hidden="1">{"M6Print",#N/A,FALSE,"M6";"M6_1Print",#N/A,FALSE,"M6_1";"M6_2Print",#N/A,FALSE,"M6_2"}</definedName>
    <definedName name="uygh" localSheetId="6" hidden="1">{"M6Print",#N/A,FALSE,"M6";"M6_1Print",#N/A,FALSE,"M6_1";"M6_2Print",#N/A,FALSE,"M6_2"}</definedName>
    <definedName name="uygh" hidden="1">{"M6Print",#N/A,FALSE,"M6";"M6_1Print",#N/A,FALSE,"M6_1";"M6_2Print",#N/A,FALSE,"M6_2"}</definedName>
    <definedName name="vhvkb" localSheetId="3" hidden="1">{#N/A,#N/A,FALSE,"资产负债表";#N/A,#N/A,FALSE,"资产负债表"}</definedName>
    <definedName name="vhvkb" localSheetId="6" hidden="1">{#N/A,#N/A,FALSE,"资产负债表";#N/A,#N/A,FALSE,"资产负债表"}</definedName>
    <definedName name="vhvkb" hidden="1">{#N/A,#N/A,FALSE,"资产负债表";#N/A,#N/A,FALSE,"资产负债表"}</definedName>
    <definedName name="werwefasd" hidden="1">#REF!</definedName>
    <definedName name="wrn.Aging._.and._.Trend._.Analysis." localSheetId="3" hidden="1">{#N/A,#N/A,FALSE,"Aging Summary";#N/A,#N/A,FALSE,"Ratio Analysis";#N/A,#N/A,FALSE,"Test 120 Day Accts";#N/A,#N/A,FALSE,"Tickmarks"}</definedName>
    <definedName name="wrn.Aging._.and._.Trend._.Analysis." localSheetId="6" hidden="1">{#N/A,#N/A,FALSE,"Aging Summary";#N/A,#N/A,FALSE,"Ratio Analysis";#N/A,#N/A,FALSE,"Test 120 Day Accts";#N/A,#N/A,FALSE,"Tickmarks"}</definedName>
    <definedName name="wrn.Aging._.and._.Trend._.Analysis." localSheetId="1"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L." localSheetId="3" hidden="1">{#N/A,#N/A,FALSE,"SUM";#N/A,#N/A,FALSE,"SK_TOT";#N/A,#N/A,FALSE,"YM";#N/A,#N/A,FALSE,"TSMC";#N/A,#N/A,FALSE,"ICW";#N/A,#N/A,FALSE,"Sheet1"}</definedName>
    <definedName name="wrn.ALL." localSheetId="6" hidden="1">{#N/A,#N/A,FALSE,"SUM";#N/A,#N/A,FALSE,"SK_TOT";#N/A,#N/A,FALSE,"YM";#N/A,#N/A,FALSE,"TSMC";#N/A,#N/A,FALSE,"ICW";#N/A,#N/A,FALSE,"Sheet1"}</definedName>
    <definedName name="wrn.ALL." localSheetId="1" hidden="1">{#N/A,#N/A,FALSE,"SUM";#N/A,#N/A,FALSE,"SK_TOT";#N/A,#N/A,FALSE,"YM";#N/A,#N/A,FALSE,"TSMC";#N/A,#N/A,FALSE,"ICW";#N/A,#N/A,FALSE,"Sheet1"}</definedName>
    <definedName name="wrn.ALL." hidden="1">{#N/A,#N/A,FALSE,"SUM";#N/A,#N/A,FALSE,"SK_TOT";#N/A,#N/A,FALSE,"YM";#N/A,#N/A,FALSE,"TSMC";#N/A,#N/A,FALSE,"ICW";#N/A,#N/A,FALSE,"Sheet1"}</definedName>
    <definedName name="wrn.All._.M._.Schedules." localSheetId="3" hidden="1">{"M1Print",#N/A,TRUE,"M1";"M2Print",#N/A,TRUE,"M2";"M1sPrint",#N/A,TRUE,"M1s";"M2aPrint",#N/A,TRUE,"M2a";"M4Print",#N/A,TRUE,"M4";"M5Print",#N/A,TRUE,"M5";"M6Print",#N/A,TRUE,"M6";"M6_1Print",#N/A,TRUE,"M6_1";"M6_2Print",#N/A,TRUE,"M6_2";"M7_1Print",#N/A,TRUE,"M7_1";"M7_2Print",#N/A,TRUE,"M7_2"}</definedName>
    <definedName name="wrn.All._.M._.Schedules." localSheetId="6" hidden="1">{"M1Print",#N/A,TRUE,"M1";"M2Print",#N/A,TRUE,"M2";"M1sPrint",#N/A,TRUE,"M1s";"M2aPrint",#N/A,TRUE,"M2a";"M4Print",#N/A,TRUE,"M4";"M5Print",#N/A,TRUE,"M5";"M6Print",#N/A,TRUE,"M6";"M6_1Print",#N/A,TRUE,"M6_1";"M6_2Print",#N/A,TRUE,"M6_2";"M7_1Print",#N/A,TRUE,"M7_1";"M7_2Print",#N/A,TRUE,"M7_2"}</definedName>
    <definedName name="wrn.All._.M._.Schedules." localSheetId="1" hidden="1">{"M1Print",#N/A,TRUE,"M1";"M2Print",#N/A,TRUE,"M2";"M1sPrint",#N/A,TRUE,"M1s";"M2aPrint",#N/A,TRUE,"M2a";"M4Print",#N/A,TRUE,"M4";"M5Print",#N/A,TRUE,"M5";"M6Print",#N/A,TRUE,"M6";"M6_1Print",#N/A,TRUE,"M6_1";"M6_2Print",#N/A,TRUE,"M6_2";"M7_1Print",#N/A,TRUE,"M7_1";"M7_2Print",#N/A,TRUE,"M7_2"}</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localSheetId="3" hidden="1">{"M1Print",#N/A,TRUE,"M1";"M2Print",#N/A,TRUE,"M2";"M1sPrint",#N/A,TRUE,"M1s";"M2aPrint",#N/A,TRUE,"M2a";"M4Print",#N/A,TRUE,"M4";"M5Print",#N/A,TRUE,"M5";"M6Print",#N/A,TRUE,"M6";"M6_1Print",#N/A,TRUE,"M6_1";"M6_2Print",#N/A,TRUE,"M6_2";"M7_1Print",#N/A,TRUE,"M7_1";"M7_2Print",#N/A,TRUE,"M7_2"}</definedName>
    <definedName name="wrn.all._.M._.Schedules.1" localSheetId="6" hidden="1">{"M1Print",#N/A,TRUE,"M1";"M2Print",#N/A,TRUE,"M2";"M1sPrint",#N/A,TRUE,"M1s";"M2aPrint",#N/A,TRUE,"M2a";"M4Print",#N/A,TRUE,"M4";"M5Print",#N/A,TRUE,"M5";"M6Print",#N/A,TRUE,"M6";"M6_1Print",#N/A,TRUE,"M6_1";"M6_2Print",#N/A,TRUE,"M6_2";"M7_1Print",#N/A,TRUE,"M7_1";"M7_2Print",#N/A,TRUE,"M7_2"}</definedName>
    <definedName name="wrn.all._.M._.Schedules.1" localSheetId="1"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all._M._.Scheduleds。1" localSheetId="3" hidden="1">{"M1Print",#N/A,TRUE,"M1";"M2Print",#N/A,TRUE,"M2";"M1sPrint",#N/A,TRUE,"M1s";"M2aPrint",#N/A,TRUE,"M2a";"M4Print",#N/A,TRUE,"M4";"M5Print",#N/A,TRUE,"M5";"M6Print",#N/A,TRUE,"M6";"M6_1Print",#N/A,TRUE,"M6_1";"M6_2Print",#N/A,TRUE,"M6_2";"M7_1Print",#N/A,TRUE,"M7_1";"M7_2Print",#N/A,TRUE,"M7_2"}</definedName>
    <definedName name="wrn.all._M._.Scheduleds。1" localSheetId="6" hidden="1">{"M1Print",#N/A,TRUE,"M1";"M2Print",#N/A,TRUE,"M2";"M1sPrint",#N/A,TRUE,"M1s";"M2aPrint",#N/A,TRUE,"M2a";"M4Print",#N/A,TRUE,"M4";"M5Print",#N/A,TRUE,"M5";"M6Print",#N/A,TRUE,"M6";"M6_1Print",#N/A,TRUE,"M6_1";"M6_2Print",#N/A,TRUE,"M6_2";"M7_1Print",#N/A,TRUE,"M7_1";"M7_2Print",#N/A,TRUE,"M7_2"}</definedName>
    <definedName name="wrn.all._M._.Scheduleds。1" hidden="1">{"M1Print",#N/A,TRUE,"M1";"M2Print",#N/A,TRUE,"M2";"M1sPrint",#N/A,TRUE,"M1s";"M2aPrint",#N/A,TRUE,"M2a";"M4Print",#N/A,TRUE,"M4";"M5Print",#N/A,TRUE,"M5";"M6Print",#N/A,TRUE,"M6";"M6_1Print",#N/A,TRUE,"M6_1";"M6_2Print",#N/A,TRUE,"M6_2";"M7_1Print",#N/A,TRUE,"M7_1";"M7_2Print",#N/A,TRUE,"M7_2"}</definedName>
    <definedName name="wrn.BC._.Telfast." localSheetId="6"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elfast."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localSheetId="6"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localSheetId="3" hidden="1">{#N/A,#N/A,FALSE,"M1s Board";#N/A,#N/A,FALSE,"M3 Board";#N/A,#N/A,FALSE,"M6 Board";#N/A,#N/A,FALSE,"M7";#N/A,#N/A,FALSE,"M7B";#N/A,#N/A,FALSE,"M8";#N/A,#N/A,FALSE,"M8A Board";#N/A,#N/A,FALSE,"AF1 Board"}</definedName>
    <definedName name="wrn.Board._.Reports." localSheetId="6" hidden="1">{#N/A,#N/A,FALSE,"M1s Board";#N/A,#N/A,FALSE,"M3 Board";#N/A,#N/A,FALSE,"M6 Board";#N/A,#N/A,FALSE,"M7";#N/A,#N/A,FALSE,"M7B";#N/A,#N/A,FALSE,"M8";#N/A,#N/A,FALSE,"M8A Board";#N/A,#N/A,FALSE,"AF1 Board"}</definedName>
    <definedName name="wrn.Board._.Reports." localSheetId="1" hidden="1">{#N/A,#N/A,FALSE,"M1s Board";#N/A,#N/A,FALSE,"M3 Board";#N/A,#N/A,FALSE,"M6 Board";#N/A,#N/A,FALSE,"M7";#N/A,#N/A,FALSE,"M7B";#N/A,#N/A,FALSE,"M8";#N/A,#N/A,FALSE,"M8A Board";#N/A,#N/A,FALSE,"AF1 Board"}</definedName>
    <definedName name="wrn.Board._.Reports." hidden="1">{#N/A,#N/A,FALSE,"M1s Board";#N/A,#N/A,FALSE,"M3 Board";#N/A,#N/A,FALSE,"M6 Board";#N/A,#N/A,FALSE,"M7";#N/A,#N/A,FALSE,"M7B";#N/A,#N/A,FALSE,"M8";#N/A,#N/A,FALSE,"M8A Board";#N/A,#N/A,FALSE,"AF1 Board"}</definedName>
    <definedName name="wrn.Deposit._.By._.Day." localSheetId="3" hidden="1">{#N/A,#N/A,FALSE,"Deposits by day"}</definedName>
    <definedName name="wrn.Deposit._.By._.Day." localSheetId="6" hidden="1">{#N/A,#N/A,FALSE,"Deposits by day"}</definedName>
    <definedName name="wrn.Deposit._.By._.Day." localSheetId="1" hidden="1">{#N/A,#N/A,FALSE,"Deposits by day"}</definedName>
    <definedName name="wrn.Deposit._.By._.Day." hidden="1">{#N/A,#N/A,FALSE,"Deposits by day"}</definedName>
    <definedName name="wrn.Deptartment._.Expenses." localSheetId="3" hidden="1">{#N/A,#N/A,TRUE,"CPRD";#N/A,#N/A,TRUE,"BCCPDR";#N/A,#N/A,TRUE,"EWRD";#N/A,#N/A,TRUE,"5100";#N/A,#N/A,TRUE,"5110"}</definedName>
    <definedName name="wrn.Deptartment._.Expenses." localSheetId="6" hidden="1">{#N/A,#N/A,TRUE,"CPRD";#N/A,#N/A,TRUE,"BCCPDR";#N/A,#N/A,TRUE,"EWRD";#N/A,#N/A,TRUE,"5100";#N/A,#N/A,TRUE,"5110"}</definedName>
    <definedName name="wrn.Deptartment._.Expenses." localSheetId="1" hidden="1">{#N/A,#N/A,TRUE,"CPRD";#N/A,#N/A,TRUE,"BCCPDR";#N/A,#N/A,TRUE,"EWRD";#N/A,#N/A,TRUE,"5100";#N/A,#N/A,TRUE,"5110"}</definedName>
    <definedName name="wrn.Deptartment._.Expenses." hidden="1">{#N/A,#N/A,TRUE,"CPRD";#N/A,#N/A,TRUE,"BCCPDR";#N/A,#N/A,TRUE,"EWRD";#N/A,#N/A,TRUE,"5100";#N/A,#N/A,TRUE,"5110"}</definedName>
    <definedName name="wrn.ERNST." localSheetId="3" hidden="1">{#N/A,#N/A,FALSE,"YTCHAN";#N/A,#N/A,FALSE,"TOMMY";#N/A,#N/A,FALSE,"REP.OFFICE";#N/A,#N/A,FALSE,"E&amp;Y_CONSULTANT";#N/A,#N/A,FALSE,"BT &amp; CIT"}</definedName>
    <definedName name="wrn.ERNST." localSheetId="6" hidden="1">{#N/A,#N/A,FALSE,"YTCHAN";#N/A,#N/A,FALSE,"TOMMY";#N/A,#N/A,FALSE,"REP.OFFICE";#N/A,#N/A,FALSE,"E&amp;Y_CONSULTANT";#N/A,#N/A,FALSE,"BT &amp; CIT"}</definedName>
    <definedName name="wrn.ERNST." hidden="1">{#N/A,#N/A,FALSE,"YTCHAN";#N/A,#N/A,FALSE,"TOMMY";#N/A,#N/A,FALSE,"REP.OFFICE";#N/A,#N/A,FALSE,"E&amp;Y_CONSULTANT";#N/A,#N/A,FALSE,"BT &amp; CIT"}</definedName>
    <definedName name="wrn.Financial._.Report." localSheetId="3"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inancial._.Report." localSheetId="6"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inancial._.Report."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localSheetId="3" hidden="1">{#N/A,#N/A,FALSE,"OffAdvance";#N/A,#N/A,FALSE,"OffExpRprt";#N/A,#N/A,FALSE,"Entertmnt";#N/A,#N/A,FALSE,"Promotion";#N/A,#N/A,FALSE,"Travelling"}</definedName>
    <definedName name="wrn.form." localSheetId="6" hidden="1">{#N/A,#N/A,FALSE,"OffAdvance";#N/A,#N/A,FALSE,"OffExpRprt";#N/A,#N/A,FALSE,"Entertmnt";#N/A,#N/A,FALSE,"Promotion";#N/A,#N/A,FALSE,"Travelling"}</definedName>
    <definedName name="wrn.form." hidden="1">{#N/A,#N/A,FALSE,"OffAdvance";#N/A,#N/A,FALSE,"OffExpRprt";#N/A,#N/A,FALSE,"Entertmnt";#N/A,#N/A,FALSE,"Promotion";#N/A,#N/A,FALSE,"Travelling"}</definedName>
    <definedName name="wrn.gb." localSheetId="3" hidden="1">{#N/A,#N/A,FALSE,"资产负债表";#N/A,#N/A,FALSE,"资产负债表"}</definedName>
    <definedName name="wrn.gb." localSheetId="6" hidden="1">{#N/A,#N/A,FALSE,"资产负债表";#N/A,#N/A,FALSE,"资产负债表"}</definedName>
    <definedName name="wrn.gb." hidden="1">{#N/A,#N/A,FALSE,"资产负债表";#N/A,#N/A,FALSE,"资产负债表"}</definedName>
    <definedName name="wrn.Input._.Data." localSheetId="3" hidden="1">{"Input_Fin",#N/A,FALSE,"By Code";"Input_Opt",#N/A,FALSE,"By Code"}</definedName>
    <definedName name="wrn.Input._.Data." localSheetId="6" hidden="1">{"Input_Fin",#N/A,FALSE,"By Code";"Input_Opt",#N/A,FALSE,"By Code"}</definedName>
    <definedName name="wrn.Input._.Data." hidden="1">{"Input_Fin",#N/A,FALSE,"By Code";"Input_Opt",#N/A,FALSE,"By Code"}</definedName>
    <definedName name="wrn.jan." localSheetId="3" hidden="1">{#N/A,#N/A,FALSE,"Jan"}</definedName>
    <definedName name="wrn.jan." localSheetId="6" hidden="1">{#N/A,#N/A,FALSE,"Jan"}</definedName>
    <definedName name="wrn.jan." localSheetId="1" hidden="1">{#N/A,#N/A,FALSE,"Jan"}</definedName>
    <definedName name="wrn.jan." hidden="1">{#N/A,#N/A,FALSE,"Jan"}</definedName>
    <definedName name="wrn.M1._.Operating._.Statement." localSheetId="3" hidden="1">{"M1Print",#N/A,FALSE,"M1"}</definedName>
    <definedName name="wrn.M1._.Operating._.Statement." localSheetId="6" hidden="1">{"M1Print",#N/A,FALSE,"M1"}</definedName>
    <definedName name="wrn.M1._.Operating._.Statement." localSheetId="1" hidden="1">{"M1Print",#N/A,FALSE,"M1"}</definedName>
    <definedName name="wrn.M1._.Operating._.Statement." hidden="1">{"M1Print",#N/A,FALSE,"M1"}</definedName>
    <definedName name="wrn.M1s._.Statistics." localSheetId="3" hidden="1">{"M1sPrint",#N/A,FALSE,"M1s"}</definedName>
    <definedName name="wrn.M1s._.Statistics." localSheetId="6" hidden="1">{"M1sPrint",#N/A,FALSE,"M1s"}</definedName>
    <definedName name="wrn.M1s._.Statistics." localSheetId="1" hidden="1">{"M1sPrint",#N/A,FALSE,"M1s"}</definedName>
    <definedName name="wrn.M1s._.Statistics." hidden="1">{"M1sPrint",#N/A,FALSE,"M1s"}</definedName>
    <definedName name="wrn.M2._.Balance._.Sheet." localSheetId="3" hidden="1">{"M2Print",#N/A,FALSE,"M2"}</definedName>
    <definedName name="wrn.M2._.Balance._.Sheet." localSheetId="6" hidden="1">{"M2Print",#N/A,FALSE,"M2"}</definedName>
    <definedName name="wrn.M2._.Balance._.Sheet." localSheetId="1" hidden="1">{"M2Print",#N/A,FALSE,"M2"}</definedName>
    <definedName name="wrn.M2._.Balance._.Sheet." hidden="1">{"M2Print",#N/A,FALSE,"M2"}</definedName>
    <definedName name="wrn.M2a._.Cashflow." localSheetId="3" hidden="1">{"M2aPrint",#N/A,FALSE,"M2a"}</definedName>
    <definedName name="wrn.M2a._.Cashflow." localSheetId="6" hidden="1">{"M2aPrint",#N/A,FALSE,"M2a"}</definedName>
    <definedName name="wrn.M2a._.Cashflow." localSheetId="1" hidden="1">{"M2aPrint",#N/A,FALSE,"M2a"}</definedName>
    <definedName name="wrn.M2a._.Cashflow." hidden="1">{"M2aPrint",#N/A,FALSE,"M2a"}</definedName>
    <definedName name="wrn.M4._.Inventories." localSheetId="3" hidden="1">{"M4Print",#N/A,FALSE,"M4"}</definedName>
    <definedName name="wrn.M4._.Inventories." localSheetId="6" hidden="1">{"M4Print",#N/A,FALSE,"M4"}</definedName>
    <definedName name="wrn.M4._.Inventories." localSheetId="1" hidden="1">{"M4Print",#N/A,FALSE,"M4"}</definedName>
    <definedName name="wrn.M4._.Inventories." hidden="1">{"M4Print",#N/A,FALSE,"M4"}</definedName>
    <definedName name="wrn.M5._.Flash._.and._.Forecast." localSheetId="3" hidden="1">{"M5Print",#N/A,FALSE,"M5"}</definedName>
    <definedName name="wrn.M5._.Flash._.and._.Forecast." localSheetId="6" hidden="1">{"M5Print",#N/A,FALSE,"M5"}</definedName>
    <definedName name="wrn.M5._.Flash._.and._.Forecast." localSheetId="1" hidden="1">{"M5Print",#N/A,FALSE,"M5"}</definedName>
    <definedName name="wrn.M5._.Flash._.and._.Forecast." hidden="1">{"M5Print",#N/A,FALSE,"M5"}</definedName>
    <definedName name="wrn.M6._.Management._.Summary." localSheetId="3" hidden="1">{"M6Print",#N/A,FALSE,"M6";"M6_1Print",#N/A,FALSE,"M6_1";"M6_2Print",#N/A,FALSE,"M6_2"}</definedName>
    <definedName name="wrn.M6._.Management._.Summary." localSheetId="6" hidden="1">{"M6Print",#N/A,FALSE,"M6";"M6_1Print",#N/A,FALSE,"M6_1";"M6_2Print",#N/A,FALSE,"M6_2"}</definedName>
    <definedName name="wrn.M6._.Management._.Summary." localSheetId="1" hidden="1">{"M6Print",#N/A,FALSE,"M6";"M6_1Print",#N/A,FALSE,"M6_1";"M6_2Print",#N/A,FALSE,"M6_2"}</definedName>
    <definedName name="wrn.M6._.Management._.Summary." hidden="1">{"M6Print",#N/A,FALSE,"M6";"M6_1Print",#N/A,FALSE,"M6_1";"M6_2Print",#N/A,FALSE,"M6_2"}</definedName>
    <definedName name="wrn.M7._.Financial._.Controllers._.report." localSheetId="3" hidden="1">{"M7_1Print",#N/A,TRUE,"M7_1";"M7_2Print",#N/A,TRUE,"M7_2"}</definedName>
    <definedName name="wrn.M7._.Financial._.Controllers._.report." localSheetId="6" hidden="1">{"M7_1Print",#N/A,TRUE,"M7_1";"M7_2Print",#N/A,TRUE,"M7_2"}</definedName>
    <definedName name="wrn.M7._.Financial._.Controllers._.report." localSheetId="1" hidden="1">{"M7_1Print",#N/A,TRUE,"M7_1";"M7_2Print",#N/A,TRUE,"M7_2"}</definedName>
    <definedName name="wrn.M7._.Financial._.Controllers._.report." hidden="1">{"M7_1Print",#N/A,TRUE,"M7_1";"M7_2Print",#N/A,TRUE,"M7_2"}</definedName>
    <definedName name="wrn.Monthly._.Report." localSheetId="6"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Monthly._.Report."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localSheetId="3" hidden="1">{#N/A,#N/A,FALSE,"OffAdvance";#N/A,#N/A,FALSE,"OffExpRprt";#N/A,#N/A,FALSE,"Travelling";#N/A,#N/A,FALSE,"Entertmnt";#N/A,#N/A,FALSE,"Promotion"}</definedName>
    <definedName name="wrn.Office." localSheetId="6" hidden="1">{#N/A,#N/A,FALSE,"OffAdvance";#N/A,#N/A,FALSE,"OffExpRprt";#N/A,#N/A,FALSE,"Travelling";#N/A,#N/A,FALSE,"Entertmnt";#N/A,#N/A,FALSE,"Promotion"}</definedName>
    <definedName name="wrn.Office." hidden="1">{#N/A,#N/A,FALSE,"OffAdvance";#N/A,#N/A,FALSE,"OffExpRprt";#N/A,#N/A,FALSE,"Travelling";#N/A,#N/A,FALSE,"Entertmnt";#N/A,#N/A,FALSE,"Promotion"}</definedName>
    <definedName name="wrn.Operation._.Report." localSheetId="3"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Operation._.Report." localSheetId="6"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Operation._.Report."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localSheetId="6" hidden="1">{#N/A,#N/A,FALSE,"Sales  total 9712";#N/A,#N/A,FALSE,"Sales  total 9712";#N/A,#N/A,FALSE,"Sales  total 9712";#N/A,#N/A,FALSE,"Sales  total 9712"}</definedName>
    <definedName name="wrn.REPORT." hidden="1">{#N/A,#N/A,FALSE,"Sales  total 9712";#N/A,#N/A,FALSE,"Sales  total 9712";#N/A,#N/A,FALSE,"Sales  total 9712";#N/A,#N/A,FALSE,"Sales  total 9712"}</definedName>
    <definedName name="wrn.Sales." localSheetId="3" hidden="1">{#N/A,#N/A,FALSE,"Marketing";#N/A,#N/A,FALSE,"Selling";#N/A,#N/A,FALSE,"Promotional";#N/A,#N/A,FALSE,"Advertising"}</definedName>
    <definedName name="wrn.Sales." localSheetId="6" hidden="1">{#N/A,#N/A,FALSE,"Marketing";#N/A,#N/A,FALSE,"Selling";#N/A,#N/A,FALSE,"Promotional";#N/A,#N/A,FALSE,"Advertising"}</definedName>
    <definedName name="wrn.Sales." hidden="1">{#N/A,#N/A,FALSE,"Marketing";#N/A,#N/A,FALSE,"Selling";#N/A,#N/A,FALSE,"Promotional";#N/A,#N/A,FALSE,"Advertising"}</definedName>
    <definedName name="wrn.sunmicro." localSheetId="3" hidden="1">{#N/A,#N/A,FALSE,"FREEMAN";#N/A,#N/A,FALSE,"STEPHEN";#N/A,#N/A,FALSE,"VICTOR"}</definedName>
    <definedName name="wrn.sunmicro." localSheetId="6" hidden="1">{#N/A,#N/A,FALSE,"FREEMAN";#N/A,#N/A,FALSE,"STEPHEN";#N/A,#N/A,FALSE,"VICTOR"}</definedName>
    <definedName name="wrn.sunmicro." hidden="1">{#N/A,#N/A,FALSE,"FREEMAN";#N/A,#N/A,FALSE,"STEPHEN";#N/A,#N/A,FALSE,"VICTOR"}</definedName>
    <definedName name="wrn.test1." localSheetId="6" hidden="1">{#N/A,#N/A,FALSE,"Earn'gs &amp; Val'n";#N/A,#N/A,FALSE,"Interim"}</definedName>
    <definedName name="wrn.test1." hidden="1">{#N/A,#N/A,FALSE,"Earn'gs &amp; Val'n";#N/A,#N/A,FALSE,"Interim"}</definedName>
    <definedName name="wrn.tope" localSheetId="3" hidden="1">{"toptrial",#N/A,TRUE,"toptrial";"adjustment",#N/A,TRUE,"toptrial";"voucher",#N/A,TRUE,"toptrial"}</definedName>
    <definedName name="wrn.tope" localSheetId="6" hidden="1">{"toptrial",#N/A,TRUE,"toptrial";"adjustment",#N/A,TRUE,"toptrial";"voucher",#N/A,TRUE,"toptrial"}</definedName>
    <definedName name="wrn.tope" hidden="1">{"toptrial",#N/A,TRUE,"toptrial";"adjustment",#N/A,TRUE,"toptrial";"voucher",#N/A,TRUE,"toptrial"}</definedName>
    <definedName name="wrn.toptrial." localSheetId="3" hidden="1">{"toptrial",#N/A,TRUE,"toptrial";"adjustment",#N/A,TRUE,"toptrial";"voucher",#N/A,TRUE,"toptrial"}</definedName>
    <definedName name="wrn.toptrial." localSheetId="6" hidden="1">{"toptrial",#N/A,TRUE,"toptrial";"adjustment",#N/A,TRUE,"toptrial";"voucher",#N/A,TRUE,"toptrial"}</definedName>
    <definedName name="wrn.toptrial." hidden="1">{"toptrial",#N/A,TRUE,"toptrial";"adjustment",#N/A,TRUE,"toptrial";"voucher",#N/A,TRUE,"toptrial"}</definedName>
    <definedName name="wrn.voucher9703." localSheetId="3" hidden="1">{#N/A,#N/A,FALSE,"970301";#N/A,#N/A,FALSE,"970302";#N/A,#N/A,FALSE,"970303";#N/A,#N/A,FALSE,"970304";#N/A,#N/A,FALSE,"COM1";#N/A,#N/A,FALSE,"COM2"}</definedName>
    <definedName name="wrn.voucher9703." localSheetId="6" hidden="1">{#N/A,#N/A,FALSE,"970301";#N/A,#N/A,FALSE,"970302";#N/A,#N/A,FALSE,"970303";#N/A,#N/A,FALSE,"970304";#N/A,#N/A,FALSE,"COM1";#N/A,#N/A,FALSE,"COM2"}</definedName>
    <definedName name="wrn.voucher9703." hidden="1">{#N/A,#N/A,FALSE,"970301";#N/A,#N/A,FALSE,"970302";#N/A,#N/A,FALSE,"970303";#N/A,#N/A,FALSE,"970304";#N/A,#N/A,FALSE,"COM1";#N/A,#N/A,FALSE,"COM2"}</definedName>
    <definedName name="wrn.ytd." localSheetId="3" hidden="1">{#N/A,#N/A,FALSE,"YTD"}</definedName>
    <definedName name="wrn.ytd." localSheetId="6" hidden="1">{#N/A,#N/A,FALSE,"YTD"}</definedName>
    <definedName name="wrn.ytd." localSheetId="1" hidden="1">{#N/A,#N/A,FALSE,"YTD"}</definedName>
    <definedName name="wrn.ytd." hidden="1">{#N/A,#N/A,FALSE,"YTD"}</definedName>
    <definedName name="wrn100.gb" localSheetId="3" hidden="1">{#N/A,#N/A,FALSE,"资产负债表";#N/A,#N/A,FALSE,"资产负债表"}</definedName>
    <definedName name="wrn100.gb" localSheetId="6" hidden="1">{#N/A,#N/A,FALSE,"资产负债表";#N/A,#N/A,FALSE,"资产负债表"}</definedName>
    <definedName name="wrn100.gb" hidden="1">{#N/A,#N/A,FALSE,"资产负债表";#N/A,#N/A,FALSE,"资产负债表"}</definedName>
    <definedName name="wrnn.all." localSheetId="3" hidden="1">{#N/A,#N/A,FALSE,"SUM";#N/A,#N/A,FALSE,"SK_TOT";#N/A,#N/A,FALSE,"YM";#N/A,#N/A,FALSE,"TSMC";#N/A,#N/A,FALSE,"ICW";#N/A,#N/A,FALSE,"Sheet1"}</definedName>
    <definedName name="wrnn.all." localSheetId="6" hidden="1">{#N/A,#N/A,FALSE,"SUM";#N/A,#N/A,FALSE,"SK_TOT";#N/A,#N/A,FALSE,"YM";#N/A,#N/A,FALSE,"TSMC";#N/A,#N/A,FALSE,"ICW";#N/A,#N/A,FALSE,"Sheet1"}</definedName>
    <definedName name="wrnn.all." localSheetId="1" hidden="1">{#N/A,#N/A,FALSE,"SUM";#N/A,#N/A,FALSE,"SK_TOT";#N/A,#N/A,FALSE,"YM";#N/A,#N/A,FALSE,"TSMC";#N/A,#N/A,FALSE,"ICW";#N/A,#N/A,FALSE,"Sheet1"}</definedName>
    <definedName name="wrnn.all." hidden="1">{#N/A,#N/A,FALSE,"SUM";#N/A,#N/A,FALSE,"SK_TOT";#N/A,#N/A,FALSE,"YM";#N/A,#N/A,FALSE,"TSMC";#N/A,#N/A,FALSE,"ICW";#N/A,#N/A,FALSE,"Sheet1"}</definedName>
    <definedName name="wtr" localSheetId="3" hidden="1">{#N/A,#N/A,FALSE,"资产负债表";#N/A,#N/A,FALSE,"资产负债表"}</definedName>
    <definedName name="wtr" localSheetId="6" hidden="1">{#N/A,#N/A,FALSE,"资产负债表";#N/A,#N/A,FALSE,"资产负债表"}</definedName>
    <definedName name="wtr" hidden="1">{#N/A,#N/A,FALSE,"资产负债表";#N/A,#N/A,FALSE,"资产负债表"}</definedName>
    <definedName name="xdsdgfdh" hidden="1">#REF!</definedName>
    <definedName name="XREF_COLUMN_1" localSheetId="3" hidden="1">#REF!</definedName>
    <definedName name="XREF_COLUMN_1" localSheetId="6" hidden="1">'C.01 Confirmations '!#REF!</definedName>
    <definedName name="XREF_COLUMN_1" hidden="1">#REF!</definedName>
    <definedName name="XREF_COLUMN_10" localSheetId="3" hidden="1">#REF!</definedName>
    <definedName name="XREF_COLUMN_10" hidden="1">#REF!</definedName>
    <definedName name="XREF_COLUMN_11" localSheetId="3" hidden="1">#REF!</definedName>
    <definedName name="XREF_COLUMN_11" localSheetId="6" hidden="1">'C.01 Confirmations '!#REF!</definedName>
    <definedName name="XREF_COLUMN_11" hidden="1">#REF!</definedName>
    <definedName name="XREF_COLUMN_12" localSheetId="3" hidden="1">#REF!</definedName>
    <definedName name="XREF_COLUMN_12" localSheetId="6" hidden="1">'C.01 Confirmations '!#REF!</definedName>
    <definedName name="XREF_COLUMN_12" hidden="1">#REF!</definedName>
    <definedName name="XREF_COLUMN_19" localSheetId="3" hidden="1">#REF!</definedName>
    <definedName name="XREF_COLUMN_19" hidden="1">#REF!</definedName>
    <definedName name="XREF_COLUMN_2" localSheetId="3" hidden="1">#REF!</definedName>
    <definedName name="XREF_COLUMN_2" localSheetId="6" hidden="1">'C.01 Confirmations '!#REF!</definedName>
    <definedName name="XREF_COLUMN_2" hidden="1">#REF!</definedName>
    <definedName name="XREF_COLUMN_20" localSheetId="3" hidden="1">#REF!</definedName>
    <definedName name="XREF_COLUMN_20" hidden="1">#REF!</definedName>
    <definedName name="XREF_COLUMN_21" localSheetId="3" hidden="1">#REF!</definedName>
    <definedName name="XREF_COLUMN_21" hidden="1">#REF!</definedName>
    <definedName name="XREF_COLUMN_3" localSheetId="3" hidden="1">#REF!</definedName>
    <definedName name="XREF_COLUMN_3" localSheetId="6" hidden="1">'C.01 Confirmations '!#REF!</definedName>
    <definedName name="XREF_COLUMN_3" hidden="1">#REF!</definedName>
    <definedName name="XREF_COLUMN_4" localSheetId="3" hidden="1">#REF!</definedName>
    <definedName name="XREF_COLUMN_4" hidden="1">#REF!</definedName>
    <definedName name="XREF_COLUMN_5" localSheetId="3" hidden="1">#REF!</definedName>
    <definedName name="XREF_COLUMN_5" localSheetId="6" hidden="1">'C.01 Confirmations '!#REF!</definedName>
    <definedName name="XREF_COLUMN_5" hidden="1">#REF!</definedName>
    <definedName name="XREF_COLUMN_6" localSheetId="3" hidden="1">#REF!</definedName>
    <definedName name="XREF_COLUMN_6" localSheetId="6" hidden="1">'C.01 Confirmations '!#REF!</definedName>
    <definedName name="XREF_COLUMN_6" hidden="1">#REF!</definedName>
    <definedName name="XREF_COLUMN_7" localSheetId="3" hidden="1">#REF!</definedName>
    <definedName name="XREF_COLUMN_7" localSheetId="6" hidden="1">'C.01 Confirmations '!#REF!</definedName>
    <definedName name="XREF_COLUMN_7" hidden="1">#REF!</definedName>
    <definedName name="XRefActiveRow" localSheetId="3" hidden="1">#REF!</definedName>
    <definedName name="XRefActiveRow" hidden="1">#REF!</definedName>
    <definedName name="XRefColumnsCount" hidden="1">2</definedName>
    <definedName name="XRefCopy1" localSheetId="3" hidden="1">#REF!</definedName>
    <definedName name="XRefCopy1" hidden="1">#REF!</definedName>
    <definedName name="XRefCopy10" localSheetId="3" hidden="1">#REF!</definedName>
    <definedName name="XRefCopy10" hidden="1">#REF!</definedName>
    <definedName name="XRefCopy10Row" localSheetId="3" hidden="1">#REF!</definedName>
    <definedName name="XRefCopy10Row" hidden="1">#REF!</definedName>
    <definedName name="XRefCopy11" localSheetId="3" hidden="1">#REF!</definedName>
    <definedName name="XRefCopy11" localSheetId="6" hidden="1">'C.01 Confirmations '!#REF!</definedName>
    <definedName name="XRefCopy11" hidden="1">#REF!</definedName>
    <definedName name="XRefCopy11Row" localSheetId="3" hidden="1">#REF!</definedName>
    <definedName name="XRefCopy11Row" hidden="1">#REF!</definedName>
    <definedName name="XRefCopy12" localSheetId="3" hidden="1">#REF!</definedName>
    <definedName name="XRefCopy12" hidden="1">#REF!</definedName>
    <definedName name="XRefCopy13" localSheetId="3" hidden="1">#REF!</definedName>
    <definedName name="XRefCopy13" hidden="1">#REF!</definedName>
    <definedName name="XRefCopy13Row" localSheetId="3" hidden="1">#REF!</definedName>
    <definedName name="XRefCopy13Row" localSheetId="6" hidden="1">'C.01 Confirmations '!#REF!</definedName>
    <definedName name="XRefCopy13Row" hidden="1">#REF!</definedName>
    <definedName name="XRefCopy14" localSheetId="3" hidden="1">#REF!</definedName>
    <definedName name="XRefCopy14" hidden="1">#REF!</definedName>
    <definedName name="XRefCopy15" localSheetId="3" hidden="1">#REF!</definedName>
    <definedName name="XRefCopy15" hidden="1">#REF!</definedName>
    <definedName name="XRefCopy16Row" localSheetId="3" hidden="1">#REF!</definedName>
    <definedName name="XRefCopy16Row" localSheetId="6" hidden="1">'C.01 Confirmations '!#REF!</definedName>
    <definedName name="XRefCopy16Row" hidden="1">#REF!</definedName>
    <definedName name="XRefCopy1Row" localSheetId="3" hidden="1">#REF!</definedName>
    <definedName name="XRefCopy1Row" hidden="1">#REF!</definedName>
    <definedName name="XRefCopy2" localSheetId="3" hidden="1">#REF!</definedName>
    <definedName name="XRefCopy2" hidden="1">#REF!</definedName>
    <definedName name="XRefCopy2Row" localSheetId="3" hidden="1">#REF!</definedName>
    <definedName name="XRefCopy2Row" hidden="1">#REF!</definedName>
    <definedName name="XRefCopy3" localSheetId="3" hidden="1">#REF!</definedName>
    <definedName name="XRefCopy3" hidden="1">#REF!</definedName>
    <definedName name="XRefCopy3Row" localSheetId="3" hidden="1">#REF!</definedName>
    <definedName name="XRefCopy3Row" hidden="1">#REF!</definedName>
    <definedName name="XRefCopy4" localSheetId="3" hidden="1">#REF!</definedName>
    <definedName name="XRefCopy4" hidden="1">#REF!</definedName>
    <definedName name="XRefCopy46" localSheetId="3" hidden="1">#REF!</definedName>
    <definedName name="XRefCopy46" hidden="1">#REF!</definedName>
    <definedName name="XRefCopy47" localSheetId="3" hidden="1">#REF!</definedName>
    <definedName name="XRefCopy47" hidden="1">#REF!</definedName>
    <definedName name="XRefCopy47Row" localSheetId="3" hidden="1">#REF!</definedName>
    <definedName name="XRefCopy47Row" hidden="1">#REF!</definedName>
    <definedName name="XRefCopy48" localSheetId="3" hidden="1">#REF!</definedName>
    <definedName name="XRefCopy48" hidden="1">#REF!</definedName>
    <definedName name="XRefCopy48Row" localSheetId="3" hidden="1">#REF!</definedName>
    <definedName name="XRefCopy48Row" hidden="1">#REF!</definedName>
    <definedName name="XRefCopy49" localSheetId="3" hidden="1">#REF!</definedName>
    <definedName name="XRefCopy49" hidden="1">#REF!</definedName>
    <definedName name="XRefCopy49Row" localSheetId="3" hidden="1">#REF!</definedName>
    <definedName name="XRefCopy49Row" hidden="1">#REF!</definedName>
    <definedName name="XRefCopy4Row" localSheetId="3" hidden="1">#REF!</definedName>
    <definedName name="XRefCopy4Row" hidden="1">#REF!</definedName>
    <definedName name="XRefCopy5" localSheetId="3" hidden="1">#REF!</definedName>
    <definedName name="XRefCopy5" hidden="1">#REF!</definedName>
    <definedName name="XRefCopy50" localSheetId="3" hidden="1">#REF!</definedName>
    <definedName name="XRefCopy50" hidden="1">#REF!</definedName>
    <definedName name="XRefCopy50Row" localSheetId="3" hidden="1">#REF!</definedName>
    <definedName name="XRefCopy50Row" hidden="1">#REF!</definedName>
    <definedName name="XRefCopy51" localSheetId="3" hidden="1">#REF!</definedName>
    <definedName name="XRefCopy51" hidden="1">#REF!</definedName>
    <definedName name="XRefCopy52" localSheetId="3" hidden="1">#REF!</definedName>
    <definedName name="XRefCopy52" hidden="1">#REF!</definedName>
    <definedName name="XRefCopy52Row" localSheetId="3" hidden="1">#REF!</definedName>
    <definedName name="XRefCopy52Row" hidden="1">#REF!</definedName>
    <definedName name="XRefCopy53" localSheetId="3" hidden="1">#REF!</definedName>
    <definedName name="XRefCopy53" hidden="1">#REF!</definedName>
    <definedName name="XRefCopy53Row" localSheetId="3" hidden="1">#REF!</definedName>
    <definedName name="XRefCopy53Row" hidden="1">#REF!</definedName>
    <definedName name="XRefCopy54" localSheetId="3" hidden="1">#REF!</definedName>
    <definedName name="XRefCopy54" hidden="1">#REF!</definedName>
    <definedName name="XRefCopy54Row" localSheetId="3" hidden="1">#REF!</definedName>
    <definedName name="XRefCopy54Row" hidden="1">#REF!</definedName>
    <definedName name="XRefCopy55" localSheetId="3" hidden="1">#REF!</definedName>
    <definedName name="XRefCopy55" hidden="1">#REF!</definedName>
    <definedName name="XRefCopy55Row" localSheetId="3" hidden="1">#REF!</definedName>
    <definedName name="XRefCopy55Row" hidden="1">#REF!</definedName>
    <definedName name="XRefCopy56" localSheetId="3" hidden="1">#REF!</definedName>
    <definedName name="XRefCopy56" hidden="1">#REF!</definedName>
    <definedName name="XRefCopy56Row" localSheetId="3" hidden="1">#REF!</definedName>
    <definedName name="XRefCopy56Row" hidden="1">#REF!</definedName>
    <definedName name="XRefCopy57" localSheetId="3" hidden="1">#REF!</definedName>
    <definedName name="XRefCopy57" hidden="1">#REF!</definedName>
    <definedName name="XRefCopy57Row" localSheetId="3" hidden="1">#REF!</definedName>
    <definedName name="XRefCopy57Row" hidden="1">#REF!</definedName>
    <definedName name="XRefCopy5Row" localSheetId="3" hidden="1">#REF!</definedName>
    <definedName name="XRefCopy5Row" hidden="1">#REF!</definedName>
    <definedName name="XRefCopy6" localSheetId="3" hidden="1">#REF!</definedName>
    <definedName name="XRefCopy6" hidden="1">#REF!</definedName>
    <definedName name="XRefCopy6Row" localSheetId="3" hidden="1">#REF!</definedName>
    <definedName name="XRefCopy6Row" hidden="1">#REF!</definedName>
    <definedName name="XRefCopy7" localSheetId="3" hidden="1">#REF!</definedName>
    <definedName name="XRefCopy7" hidden="1">#REF!</definedName>
    <definedName name="XRefCopy7Row" localSheetId="3" hidden="1">#REF!</definedName>
    <definedName name="XRefCopy7Row" hidden="1">#REF!</definedName>
    <definedName name="XRefCopy8" localSheetId="3" hidden="1">#REF!</definedName>
    <definedName name="XRefCopy8" hidden="1">#REF!</definedName>
    <definedName name="XRefCopy8Row" localSheetId="3" hidden="1">#REF!</definedName>
    <definedName name="XRefCopy8Row" hidden="1">#REF!</definedName>
    <definedName name="XRefCopy9" localSheetId="3" hidden="1">#REF!</definedName>
    <definedName name="XRefCopy9" hidden="1">#REF!</definedName>
    <definedName name="XRefCopy9Row" localSheetId="3" hidden="1">#REF!</definedName>
    <definedName name="XRefCopy9Row" hidden="1">#REF!</definedName>
    <definedName name="XRefCopyRangeCount" hidden="1">3</definedName>
    <definedName name="XRefPaste1" localSheetId="3" hidden="1">#REF!</definedName>
    <definedName name="XRefPaste1" hidden="1">#REF!</definedName>
    <definedName name="XRefPaste10" localSheetId="3" hidden="1">#REF!</definedName>
    <definedName name="XRefPaste10" hidden="1">#REF!</definedName>
    <definedName name="XRefPaste11" localSheetId="3" hidden="1">#REF!</definedName>
    <definedName name="XRefPaste11" hidden="1">#REF!</definedName>
    <definedName name="XRefPaste1Row" localSheetId="3" hidden="1">#REF!</definedName>
    <definedName name="XRefPaste1Row" hidden="1">#REF!</definedName>
    <definedName name="XRefPaste2" localSheetId="3" hidden="1">#REF!</definedName>
    <definedName name="XRefPaste2" localSheetId="6" hidden="1">'C.01 Confirmations '!#REF!</definedName>
    <definedName name="XRefPaste2" hidden="1">#REF!</definedName>
    <definedName name="XRefPaste24" localSheetId="3" hidden="1">#REF!</definedName>
    <definedName name="XRefPaste24" hidden="1">#REF!</definedName>
    <definedName name="XRefPaste24Row" localSheetId="3" hidden="1">#REF!</definedName>
    <definedName name="XRefPaste24Row" hidden="1">#REF!</definedName>
    <definedName name="XRefPaste25" localSheetId="3" hidden="1">#REF!</definedName>
    <definedName name="XRefPaste25" hidden="1">#REF!</definedName>
    <definedName name="XRefPaste25Row" localSheetId="3" hidden="1">#REF!</definedName>
    <definedName name="XRefPaste25Row" hidden="1">#REF!</definedName>
    <definedName name="XRefPaste26" localSheetId="3" hidden="1">#REF!</definedName>
    <definedName name="XRefPaste26" hidden="1">#REF!</definedName>
    <definedName name="XRefPaste26Row" localSheetId="3" hidden="1">#REF!</definedName>
    <definedName name="XRefPaste26Row" hidden="1">#REF!</definedName>
    <definedName name="XRefPaste27" localSheetId="3" hidden="1">#REF!</definedName>
    <definedName name="XRefPaste27" hidden="1">#REF!</definedName>
    <definedName name="XRefPaste27Row" localSheetId="3" hidden="1">#REF!</definedName>
    <definedName name="XRefPaste27Row" hidden="1">#REF!</definedName>
    <definedName name="XRefPaste28" localSheetId="3" hidden="1">#REF!</definedName>
    <definedName name="XRefPaste28" hidden="1">#REF!</definedName>
    <definedName name="XRefPaste28Row" localSheetId="3" hidden="1">#REF!</definedName>
    <definedName name="XRefPaste28Row" hidden="1">#REF!</definedName>
    <definedName name="XRefPaste29" localSheetId="3" hidden="1">#REF!</definedName>
    <definedName name="XRefPaste29" hidden="1">#REF!</definedName>
    <definedName name="XRefPaste29Row" localSheetId="3" hidden="1">#REF!</definedName>
    <definedName name="XRefPaste29Row" hidden="1">#REF!</definedName>
    <definedName name="XRefPaste2Row" localSheetId="3" hidden="1">#REF!</definedName>
    <definedName name="XRefPaste2Row" localSheetId="6" hidden="1">'C.01 Confirmations '!#REF!</definedName>
    <definedName name="XRefPaste2Row" hidden="1">#REF!</definedName>
    <definedName name="XRefPaste3" localSheetId="3" hidden="1">#REF!</definedName>
    <definedName name="XRefPaste3" hidden="1">#REF!</definedName>
    <definedName name="XRefPaste3Row" localSheetId="3" hidden="1">#REF!</definedName>
    <definedName name="XRefPaste3Row" hidden="1">#REF!</definedName>
    <definedName name="XRefPaste4" localSheetId="3" hidden="1">#REF!</definedName>
    <definedName name="XRefPaste4" hidden="1">#REF!</definedName>
    <definedName name="XRefPaste4Row" localSheetId="3" hidden="1">#REF!</definedName>
    <definedName name="XRefPaste4Row" hidden="1">#REF!</definedName>
    <definedName name="XRefPaste5" localSheetId="3" hidden="1">#REF!</definedName>
    <definedName name="XRefPaste5" hidden="1">#REF!</definedName>
    <definedName name="XRefPaste6" localSheetId="3" hidden="1">#REF!</definedName>
    <definedName name="XRefPaste6" hidden="1">#REF!</definedName>
    <definedName name="XRefPaste6Row" localSheetId="3" hidden="1">#REF!</definedName>
    <definedName name="XRefPaste6Row" localSheetId="6" hidden="1">'C.01 Confirmations '!#REF!</definedName>
    <definedName name="XRefPaste6Row" hidden="1">#REF!</definedName>
    <definedName name="XRefPaste7" localSheetId="3" hidden="1">#REF!</definedName>
    <definedName name="XRefPaste7" hidden="1">#REF!</definedName>
    <definedName name="XRefPaste8" localSheetId="3" hidden="1">#REF!</definedName>
    <definedName name="XRefPaste8" hidden="1">#REF!</definedName>
    <definedName name="XRefPaste9" localSheetId="3" hidden="1">#REF!</definedName>
    <definedName name="XRefPaste9" hidden="1">#REF!</definedName>
    <definedName name="XRefPasteRangeCount" hidden="1">1</definedName>
    <definedName name="xsd" hidden="1">#REF!</definedName>
    <definedName name="XXXXXXXXXXXX" hidden="1">#REF!</definedName>
    <definedName name="xyz" hidden="1">#REF!</definedName>
    <definedName name="xzxsfd" localSheetId="3" hidden="1">{"M1Print",#N/A,FALSE,"M1"}</definedName>
    <definedName name="xzxsfd" localSheetId="6" hidden="1">{"M1Print",#N/A,FALSE,"M1"}</definedName>
    <definedName name="xzxsfd" localSheetId="1" hidden="1">{"M1Print",#N/A,FALSE,"M1"}</definedName>
    <definedName name="xzxsfd" hidden="1">{"M1Print",#N/A,FALSE,"M1"}</definedName>
    <definedName name="y" localSheetId="3" hidden="1">{#N/A,#N/A,FALSE,"970301";#N/A,#N/A,FALSE,"970302";#N/A,#N/A,FALSE,"970303";#N/A,#N/A,FALSE,"970304";#N/A,#N/A,FALSE,"COM1";#N/A,#N/A,FALSE,"COM2"}</definedName>
    <definedName name="y" localSheetId="6" hidden="1">{#N/A,#N/A,FALSE,"970301";#N/A,#N/A,FALSE,"970302";#N/A,#N/A,FALSE,"970303";#N/A,#N/A,FALSE,"970304";#N/A,#N/A,FALSE,"COM1";#N/A,#N/A,FALSE,"COM2"}</definedName>
    <definedName name="y" hidden="1">{#N/A,#N/A,FALSE,"970301";#N/A,#N/A,FALSE,"970302";#N/A,#N/A,FALSE,"970303";#N/A,#N/A,FALSE,"970304";#N/A,#N/A,FALSE,"COM1";#N/A,#N/A,FALSE,"COM2"}</definedName>
    <definedName name="Z_1711050D_B2D8_42FB_A40D_E4BD90297684_.wvu.Cols" localSheetId="3" hidden="1">#REF!,#REF!,#REF!,#REF!,#REF!</definedName>
    <definedName name="Z_1711050D_B2D8_42FB_A40D_E4BD90297684_.wvu.Cols" hidden="1">#REF!,#REF!,#REF!,#REF!,#REF!</definedName>
    <definedName name="Z_5B0018AC_ED7C_43A5_8355_57F537E03D3C_.wvu.Cols" hidden="1">#REF!</definedName>
    <definedName name="Z_5B0018AC_ED7C_43A5_8355_57F537E03D3C_.wvu.PrintArea" hidden="1">#REF!</definedName>
    <definedName name="Z_5B0018AC_ED7C_43A5_8355_57F537E03D3C_.wvu.PrintTitles" hidden="1">#REF!</definedName>
    <definedName name="Z_5B0018AC_ED7C_43A5_8355_57F537E03D3C_.wvu.Rows" hidden="1">#REF!</definedName>
    <definedName name="Z_CB0E8320_907C_11D8_8F9A_003018607B51_.wvu.Cols" hidden="1">#REF!</definedName>
    <definedName name="Z_E738B51C_56AE_4F9F_8D8A_36AD6137B90D_.wvu.Cols" localSheetId="3" hidden="1">#REF!</definedName>
    <definedName name="Z_E738B51C_56AE_4F9F_8D8A_36AD6137B90D_.wvu.Cols" hidden="1">#REF!</definedName>
    <definedName name="Z_E738B51C_56AE_4F9F_8D8A_36AD6137B90D_.wvu.PrintArea" localSheetId="3" hidden="1">#REF!</definedName>
    <definedName name="Z_E738B51C_56AE_4F9F_8D8A_36AD6137B90D_.wvu.PrintArea" hidden="1">#REF!</definedName>
    <definedName name="Z_E738B51C_56AE_4F9F_8D8A_36AD6137B90D_.wvu.PrintTitles" localSheetId="3" hidden="1">#REF!,#REF!</definedName>
    <definedName name="Z_E738B51C_56AE_4F9F_8D8A_36AD6137B90D_.wvu.PrintTitles" hidden="1">#REF!,#REF!</definedName>
    <definedName name="Z_E738B51C_56AE_4F9F_8D8A_36AD6137B90D_.wvu.Rows" localSheetId="3" hidden="1">#REF!</definedName>
    <definedName name="Z_E738B51C_56AE_4F9F_8D8A_36AD6137B90D_.wvu.Rows" hidden="1">#REF!</definedName>
    <definedName name="zdry" localSheetId="3" hidden="1">{#N/A,#N/A,FALSE,"资产负债表";#N/A,#N/A,FALSE,"资产负债表"}</definedName>
    <definedName name="zdry" localSheetId="6" hidden="1">{#N/A,#N/A,FALSE,"资产负债表";#N/A,#N/A,FALSE,"资产负债表"}</definedName>
    <definedName name="zdry" hidden="1">{#N/A,#N/A,FALSE,"资产负债表";#N/A,#N/A,FALSE,"资产负债表"}</definedName>
    <definedName name="zerey" localSheetId="3" hidden="1">{#N/A,#N/A,FALSE,"资产负债表";#N/A,#N/A,FALSE,"资产负债表"}</definedName>
    <definedName name="zerey" localSheetId="6" hidden="1">{#N/A,#N/A,FALSE,"资产负债表";#N/A,#N/A,FALSE,"资产负债表"}</definedName>
    <definedName name="zerey" hidden="1">{#N/A,#N/A,FALSE,"资产负债表";#N/A,#N/A,FALSE,"资产负债表"}</definedName>
    <definedName name="ZZZZZZZZZZZZZ" hidden="1">#REF!</definedName>
    <definedName name="啊" localSheetId="3" hidden="1">{#N/A,#N/A,FALSE,"970301";#N/A,#N/A,FALSE,"970302";#N/A,#N/A,FALSE,"970303";#N/A,#N/A,FALSE,"970304";#N/A,#N/A,FALSE,"COM1";#N/A,#N/A,FALSE,"COM2"}</definedName>
    <definedName name="啊" localSheetId="6" hidden="1">{#N/A,#N/A,FALSE,"970301";#N/A,#N/A,FALSE,"970302";#N/A,#N/A,FALSE,"970303";#N/A,#N/A,FALSE,"970304";#N/A,#N/A,FALSE,"COM1";#N/A,#N/A,FALSE,"COM2"}</definedName>
    <definedName name="啊" hidden="1">{#N/A,#N/A,FALSE,"970301";#N/A,#N/A,FALSE,"970302";#N/A,#N/A,FALSE,"970303";#N/A,#N/A,FALSE,"970304";#N/A,#N/A,FALSE,"COM1";#N/A,#N/A,FALSE,"COM2"}</definedName>
    <definedName name="备用" localSheetId="3" hidden="1">{#N/A,#N/A,FALSE,"OffAdvance";#N/A,#N/A,FALSE,"OffExpRprt";#N/A,#N/A,FALSE,"Entertmnt";#N/A,#N/A,FALSE,"Promotion";#N/A,#N/A,FALSE,"Travelling"}</definedName>
    <definedName name="备用" localSheetId="6" hidden="1">{#N/A,#N/A,FALSE,"OffAdvance";#N/A,#N/A,FALSE,"OffExpRprt";#N/A,#N/A,FALSE,"Entertmnt";#N/A,#N/A,FALSE,"Promotion";#N/A,#N/A,FALSE,"Travelling"}</definedName>
    <definedName name="备用" hidden="1">{#N/A,#N/A,FALSE,"OffAdvance";#N/A,#N/A,FALSE,"OffExpRprt";#N/A,#N/A,FALSE,"Entertmnt";#N/A,#N/A,FALSE,"Promotion";#N/A,#N/A,FALSE,"Travelling"}</definedName>
    <definedName name="借款" localSheetId="3" hidden="1">{#N/A,#N/A,FALSE,"970301";#N/A,#N/A,FALSE,"970302";#N/A,#N/A,FALSE,"970303";#N/A,#N/A,FALSE,"970304";#N/A,#N/A,FALSE,"COM1";#N/A,#N/A,FALSE,"COM2"}</definedName>
    <definedName name="借款" localSheetId="6" hidden="1">{#N/A,#N/A,FALSE,"970301";#N/A,#N/A,FALSE,"970302";#N/A,#N/A,FALSE,"970303";#N/A,#N/A,FALSE,"970304";#N/A,#N/A,FALSE,"COM1";#N/A,#N/A,FALSE,"COM2"}</definedName>
    <definedName name="借款" hidden="1">{#N/A,#N/A,FALSE,"970301";#N/A,#N/A,FALSE,"970302";#N/A,#N/A,FALSE,"970303";#N/A,#N/A,FALSE,"970304";#N/A,#N/A,FALSE,"COM1";#N/A,#N/A,FALSE,"COM2"}</definedName>
    <definedName name="苛" localSheetId="3" hidden="1">{"M1sPrint",#N/A,FALSE,"M1s"}</definedName>
    <definedName name="苛" localSheetId="6" hidden="1">{"M1sPrint",#N/A,FALSE,"M1s"}</definedName>
    <definedName name="苛" localSheetId="1" hidden="1">{"M1sPrint",#N/A,FALSE,"M1s"}</definedName>
    <definedName name="苛" hidden="1">{"M1sPrint",#N/A,FALSE,"M1s"}</definedName>
    <definedName name="试验" localSheetId="3" hidden="1">{#N/A,#N/A,FALSE,"OffAdvance";#N/A,#N/A,FALSE,"OffExpRprt";#N/A,#N/A,FALSE,"Travelling";#N/A,#N/A,FALSE,"Entertmnt";#N/A,#N/A,FALSE,"Promotion"}</definedName>
    <definedName name="试验" localSheetId="6" hidden="1">{#N/A,#N/A,FALSE,"OffAdvance";#N/A,#N/A,FALSE,"OffExpRprt";#N/A,#N/A,FALSE,"Travelling";#N/A,#N/A,FALSE,"Entertmnt";#N/A,#N/A,FALSE,"Promotion"}</definedName>
    <definedName name="试验" hidden="1">{#N/A,#N/A,FALSE,"OffAdvance";#N/A,#N/A,FALSE,"OffExpRprt";#N/A,#N/A,FALSE,"Travelling";#N/A,#N/A,FALSE,"Entertmnt";#N/A,#N/A,FALSE,"Promotion"}</definedName>
    <definedName name="已05" localSheetId="3" hidden="1">{"M1Print",#N/A,TRUE,"M1";"M2Print",#N/A,TRUE,"M2";"M1sPrint",#N/A,TRUE,"M1s";"M2aPrint",#N/A,TRUE,"M2a";"M4Print",#N/A,TRUE,"M4";"M5Print",#N/A,TRUE,"M5";"M6Print",#N/A,TRUE,"M6";"M6_1Print",#N/A,TRUE,"M6_1";"M6_2Print",#N/A,TRUE,"M6_2";"M7_1Print",#N/A,TRUE,"M7_1";"M7_2Print",#N/A,TRUE,"M7_2"}</definedName>
    <definedName name="已05" localSheetId="6" hidden="1">{"M1Print",#N/A,TRUE,"M1";"M2Print",#N/A,TRUE,"M2";"M1sPrint",#N/A,TRUE,"M1s";"M2aPrint",#N/A,TRUE,"M2a";"M4Print",#N/A,TRUE,"M4";"M5Print",#N/A,TRUE,"M5";"M6Print",#N/A,TRUE,"M6";"M6_1Print",#N/A,TRUE,"M6_1";"M6_2Print",#N/A,TRUE,"M6_2";"M7_1Print",#N/A,TRUE,"M7_1";"M7_2Print",#N/A,TRUE,"M7_2"}</definedName>
    <definedName name="已05" hidden="1">{"M1Print",#N/A,TRUE,"M1";"M2Print",#N/A,TRUE,"M2";"M1sPrint",#N/A,TRUE,"M1s";"M2aPrint",#N/A,TRUE,"M2a";"M4Print",#N/A,TRUE,"M4";"M5Print",#N/A,TRUE,"M5";"M6Print",#N/A,TRUE,"M6";"M6_1Print",#N/A,TRUE,"M6_1";"M6_2Print",#N/A,TRUE,"M6_2";"M7_1Print",#N/A,TRUE,"M7_1";"M7_2Print",#N/A,TRUE,"M7_2"}</definedName>
    <definedName name="应手款" localSheetId="3" hidden="1">{#N/A,#N/A,FALSE,"970301";#N/A,#N/A,FALSE,"970302";#N/A,#N/A,FALSE,"970303";#N/A,#N/A,FALSE,"970304";#N/A,#N/A,FALSE,"COM1";#N/A,#N/A,FALSE,"COM2"}</definedName>
    <definedName name="应手款" localSheetId="6" hidden="1">{#N/A,#N/A,FALSE,"970301";#N/A,#N/A,FALSE,"970302";#N/A,#N/A,FALSE,"970303";#N/A,#N/A,FALSE,"970304";#N/A,#N/A,FALSE,"COM1";#N/A,#N/A,FALSE,"COM2"}</definedName>
    <definedName name="应手款" hidden="1">{#N/A,#N/A,FALSE,"970301";#N/A,#N/A,FALSE,"970302";#N/A,#N/A,FALSE,"970303";#N/A,#N/A,FALSE,"970304";#N/A,#N/A,FALSE,"COM1";#N/A,#N/A,FALSE,"COM2"}</definedName>
    <definedName name="应手款1月" localSheetId="3" hidden="1">{#N/A,#N/A,FALSE,"Marketing";#N/A,#N/A,FALSE,"Selling";#N/A,#N/A,FALSE,"Promotional";#N/A,#N/A,FALSE,"Advertising"}</definedName>
    <definedName name="应手款1月" localSheetId="6" hidden="1">{#N/A,#N/A,FALSE,"Marketing";#N/A,#N/A,FALSE,"Selling";#N/A,#N/A,FALSE,"Promotional";#N/A,#N/A,FALSE,"Advertising"}</definedName>
    <definedName name="应手款1月" hidden="1">{#N/A,#N/A,FALSE,"Marketing";#N/A,#N/A,FALSE,"Selling";#N/A,#N/A,FALSE,"Promotional";#N/A,#N/A,FALSE,"Advertising"}</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8" i="130" l="1"/>
  <c r="C39" i="130" s="1"/>
  <c r="C36" i="130"/>
  <c r="D75" i="103"/>
  <c r="K46" i="103"/>
  <c r="J46" i="103"/>
  <c r="H46" i="103"/>
  <c r="P24" i="122" l="1"/>
  <c r="H24" i="122"/>
  <c r="X24" i="122"/>
  <c r="C81" i="103" s="1"/>
  <c r="V10" i="122" l="1"/>
  <c r="V11" i="122"/>
  <c r="V12" i="122"/>
  <c r="V13" i="122"/>
  <c r="V14" i="122"/>
  <c r="V15" i="122"/>
  <c r="V16" i="122"/>
  <c r="V17" i="122"/>
  <c r="V18" i="122"/>
  <c r="V19" i="122"/>
  <c r="V20" i="122"/>
  <c r="V21" i="122"/>
  <c r="L24" i="130" l="1"/>
  <c r="F9" i="131" l="1"/>
  <c r="C75" i="103"/>
  <c r="K43" i="103" l="1"/>
  <c r="F43" i="103"/>
  <c r="H21" i="130"/>
  <c r="H15" i="130"/>
  <c r="H16" i="130"/>
  <c r="H11" i="130"/>
  <c r="H12" i="130"/>
  <c r="H13" i="130"/>
  <c r="H10" i="130"/>
  <c r="D73" i="103" l="1"/>
  <c r="L26" i="130"/>
  <c r="K18" i="130"/>
  <c r="K17" i="130"/>
  <c r="H22" i="130"/>
  <c r="H20" i="130"/>
  <c r="H19" i="130"/>
  <c r="H18" i="130"/>
  <c r="H17" i="130"/>
  <c r="H14" i="130"/>
  <c r="H24" i="130" l="1"/>
  <c r="H26" i="130" s="1"/>
  <c r="K22" i="130" l="1"/>
  <c r="K21" i="130"/>
  <c r="K20" i="130"/>
  <c r="K19" i="130"/>
  <c r="K16" i="130"/>
  <c r="K15" i="130"/>
  <c r="K14" i="130"/>
  <c r="K13" i="130"/>
  <c r="K11" i="130"/>
  <c r="K10" i="130"/>
  <c r="H39" i="103"/>
  <c r="J39" i="103" s="1"/>
  <c r="L39" i="103" s="1"/>
  <c r="H40" i="103"/>
  <c r="J40" i="103" s="1"/>
  <c r="L40" i="103" s="1"/>
  <c r="H41" i="103"/>
  <c r="J41" i="103" s="1"/>
  <c r="L41" i="103" s="1"/>
  <c r="G43" i="103"/>
  <c r="B31" i="103"/>
  <c r="H38" i="103"/>
  <c r="H43" i="103" l="1"/>
  <c r="M40" i="103"/>
  <c r="M41" i="103"/>
  <c r="M39" i="103"/>
  <c r="K36" i="103"/>
  <c r="F36" i="103"/>
  <c r="F35" i="103"/>
  <c r="D76" i="103"/>
  <c r="F76" i="103" s="1"/>
  <c r="D17" i="103"/>
  <c r="D18" i="103"/>
  <c r="D19" i="103"/>
  <c r="D15" i="103" l="1"/>
  <c r="D16" i="103"/>
  <c r="J17" i="107" l="1"/>
  <c r="H17" i="107" l="1"/>
  <c r="H39" i="107"/>
  <c r="E15" i="103" l="1"/>
  <c r="C25" i="66" l="1"/>
  <c r="P34" i="100"/>
  <c r="P33" i="100"/>
  <c r="P32" i="100"/>
  <c r="P31" i="100"/>
  <c r="P30" i="100"/>
  <c r="P25" i="100"/>
  <c r="P24" i="100"/>
  <c r="P23" i="100"/>
  <c r="P22" i="100"/>
  <c r="P21" i="100"/>
  <c r="F30" i="66" l="1"/>
  <c r="F25" i="66"/>
  <c r="C30" i="66"/>
  <c r="C35" i="66" s="1"/>
  <c r="V22" i="122" l="1"/>
  <c r="D71" i="103" l="1"/>
  <c r="F35" i="66" l="1"/>
  <c r="R18" i="99"/>
  <c r="R17" i="99"/>
  <c r="R16" i="99"/>
  <c r="R15" i="99"/>
  <c r="C71" i="103"/>
  <c r="I43" i="103"/>
  <c r="J38" i="103"/>
  <c r="L38" i="103" l="1"/>
  <c r="M38" i="103" s="1"/>
  <c r="J43" i="103"/>
  <c r="C73" i="103" s="1"/>
  <c r="C76" i="103" s="1"/>
  <c r="E76" i="103" s="1"/>
  <c r="B7" i="100"/>
  <c r="B8" i="66"/>
  <c r="C36" i="66"/>
  <c r="K47" i="103"/>
  <c r="H47" i="103"/>
  <c r="C31" i="103" l="1"/>
  <c r="B54" i="66"/>
  <c r="J47" i="103"/>
  <c r="L43" i="103"/>
  <c r="M43" i="103" s="1"/>
  <c r="O40" i="103" l="1"/>
  <c r="O39" i="103"/>
  <c r="O41" i="103"/>
  <c r="O43" i="103"/>
  <c r="O38" i="10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tc={ED4BC2A2-FC2C-43C3-9711-E8C94B7357BD}</author>
  </authors>
  <commentList>
    <comment ref="B50" authorId="0" shapeId="0" xr:uid="{ED4BC2A2-FC2C-43C3-9711-E8C94B7357BD}">
      <text>
        <t>[线程批注]
你的Excel版本可读取此线程批注; 但如果在更新版本的Excel中打开文件，则对批注所作的任何改动都将被删除。了解详细信息: https://go.microsoft.com/fwlink/?linkid=870924
注释:
    根据项目组CFS修改
答复:
    已更新</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tc={6EE0DCE1-AF79-44BE-9096-5F597E5642F6}</author>
  </authors>
  <commentList>
    <comment ref="C39" authorId="0" shapeId="0" xr:uid="{6EE0DCE1-AF79-44BE-9096-5F597E5642F6}">
      <text>
        <t>[线程批注]
你的Excel版本可读取此线程批注; 但如果在更新版本的Excel中打开文件，则对批注所作的任何改动都将被删除。了解详细信息: https://go.microsoft.com/fwlink/?linkid=870924
注释:
    提醒项目组现金流披露，项目组将受限资金披露为现金及现金等价物（参考招标公司cmts)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tc={A62238B5-660D-49F2-AB48-AE745328189A}</author>
  </authors>
  <commentList>
    <comment ref="K34" authorId="0" shapeId="0" xr:uid="{A62238B5-660D-49F2-AB48-AE745328189A}">
      <text>
        <t>[线程批注]
你的Excel版本可读取此线程批注; 但如果在更新版本的Excel中打开文件，则对批注所作的任何改动都将被删除。了解详细信息: https://go.microsoft.com/fwlink/?linkid=870924
注释:
    参考招标的cmts，如果项目组确定要列为现金等价物，才在这里做测试
答复:
    与客户 确认为履约保证金，已更新</t>
      </text>
    </comment>
  </commentList>
</comments>
</file>

<file path=xl/sharedStrings.xml><?xml version="1.0" encoding="utf-8"?>
<sst xmlns="http://schemas.openxmlformats.org/spreadsheetml/2006/main" count="1124" uniqueCount="568">
  <si>
    <t>V6 SWP</t>
  </si>
  <si>
    <t>C.00</t>
  </si>
  <si>
    <r>
      <t>C.00 Lead sheet</t>
    </r>
    <r>
      <rPr>
        <b/>
        <sz val="10"/>
        <color rgb="FF000000"/>
        <rFont val="微软雅黑"/>
        <family val="2"/>
        <charset val="134"/>
      </rPr>
      <t>（认定：</t>
    </r>
    <r>
      <rPr>
        <b/>
        <sz val="10"/>
        <color rgb="FF000000"/>
        <rFont val="Arial"/>
        <family val="2"/>
      </rPr>
      <t>E</t>
    </r>
    <r>
      <rPr>
        <b/>
        <sz val="10"/>
        <color rgb="FF000000"/>
        <rFont val="微软雅黑"/>
        <family val="2"/>
        <charset val="134"/>
      </rPr>
      <t>、</t>
    </r>
    <r>
      <rPr>
        <b/>
        <sz val="10"/>
        <color rgb="FF000000"/>
        <rFont val="Arial"/>
        <family val="2"/>
      </rPr>
      <t xml:space="preserve"> V </t>
    </r>
    <r>
      <rPr>
        <b/>
        <sz val="10"/>
        <color rgb="FF000000"/>
        <rFont val="微软雅黑"/>
        <family val="2"/>
        <charset val="134"/>
      </rPr>
      <t>、</t>
    </r>
    <r>
      <rPr>
        <b/>
        <sz val="10"/>
        <color rgb="FF000000"/>
        <rFont val="Arial"/>
        <family val="2"/>
      </rPr>
      <t>C</t>
    </r>
    <r>
      <rPr>
        <b/>
        <sz val="10"/>
        <color rgb="FF000000"/>
        <rFont val="微软雅黑"/>
        <family val="2"/>
        <charset val="134"/>
      </rPr>
      <t>）</t>
    </r>
  </si>
  <si>
    <r>
      <rPr>
        <b/>
        <sz val="10"/>
        <rFont val="微软雅黑"/>
        <family val="2"/>
        <charset val="134"/>
      </rPr>
      <t>程序页</t>
    </r>
  </si>
  <si>
    <r>
      <rPr>
        <b/>
        <sz val="10"/>
        <rFont val="微软雅黑"/>
        <family val="2"/>
        <charset val="134"/>
      </rPr>
      <t>执行</t>
    </r>
    <phoneticPr fontId="114" type="noConversion"/>
  </si>
  <si>
    <r>
      <rPr>
        <b/>
        <sz val="10"/>
        <rFont val="微软雅黑"/>
        <family val="2"/>
        <charset val="134"/>
      </rPr>
      <t>不执行的原因</t>
    </r>
  </si>
  <si>
    <r>
      <rPr>
        <b/>
        <sz val="10"/>
        <rFont val="微软雅黑"/>
        <family val="2"/>
        <charset val="134"/>
      </rPr>
      <t>注意事项</t>
    </r>
  </si>
  <si>
    <r>
      <rPr>
        <sz val="10"/>
        <color theme="1"/>
        <rFont val="微软雅黑"/>
        <family val="2"/>
        <charset val="134"/>
      </rPr>
      <t>我们通过波动分析，识别不符合我们预期的账户设置以及账户余额的变化，并确认这些变化对计划实施的实质性程序的影响。</t>
    </r>
  </si>
  <si>
    <t>C.00 Lead</t>
  </si>
  <si>
    <t>是</t>
  </si>
  <si>
    <t>C.00 BKD</t>
  </si>
  <si>
    <t>C.01</t>
  </si>
  <si>
    <r>
      <t>C.01 Confirmations</t>
    </r>
    <r>
      <rPr>
        <b/>
        <sz val="10"/>
        <rFont val="微软雅黑"/>
        <family val="2"/>
        <charset val="134"/>
      </rPr>
      <t>（认定：</t>
    </r>
    <r>
      <rPr>
        <b/>
        <sz val="10"/>
        <rFont val="Arial"/>
        <family val="2"/>
      </rPr>
      <t>E</t>
    </r>
    <r>
      <rPr>
        <b/>
        <sz val="10"/>
        <rFont val="微软雅黑"/>
        <family val="2"/>
        <charset val="134"/>
      </rPr>
      <t>、</t>
    </r>
    <r>
      <rPr>
        <b/>
        <sz val="10"/>
        <rFont val="Arial"/>
        <family val="2"/>
      </rPr>
      <t xml:space="preserve"> V </t>
    </r>
    <r>
      <rPr>
        <b/>
        <sz val="10"/>
        <rFont val="微软雅黑"/>
        <family val="2"/>
        <charset val="134"/>
      </rPr>
      <t>、</t>
    </r>
    <r>
      <rPr>
        <b/>
        <sz val="10"/>
        <rFont val="Arial"/>
        <family val="2"/>
      </rPr>
      <t>C</t>
    </r>
    <r>
      <rPr>
        <b/>
        <sz val="10"/>
        <rFont val="微软雅黑"/>
        <family val="2"/>
        <charset val="134"/>
      </rPr>
      <t>、</t>
    </r>
    <r>
      <rPr>
        <b/>
        <sz val="10"/>
        <rFont val="Arial"/>
        <family val="2"/>
      </rPr>
      <t>R&amp;O</t>
    </r>
    <r>
      <rPr>
        <b/>
        <sz val="10"/>
        <rFont val="微软雅黑"/>
        <family val="2"/>
        <charset val="134"/>
      </rPr>
      <t>、</t>
    </r>
    <r>
      <rPr>
        <b/>
        <sz val="10"/>
        <rFont val="Arial"/>
        <family val="2"/>
      </rPr>
      <t>P&amp;D</t>
    </r>
    <r>
      <rPr>
        <b/>
        <sz val="10"/>
        <rFont val="微软雅黑"/>
        <family val="2"/>
        <charset val="134"/>
      </rPr>
      <t>）</t>
    </r>
    <phoneticPr fontId="114" type="noConversion"/>
  </si>
  <si>
    <r>
      <rPr>
        <b/>
        <sz val="10"/>
        <rFont val="微软雅黑"/>
        <family val="2"/>
        <charset val="134"/>
      </rPr>
      <t>执行</t>
    </r>
  </si>
  <si>
    <r>
      <rPr>
        <sz val="10"/>
        <color theme="1"/>
        <rFont val="微软雅黑"/>
        <family val="2"/>
        <charset val="134"/>
      </rPr>
      <t>我们对所有性质或金额重大的账户发送询证函，将回函金额核对到银行余额调节表中的银行余额，对于无余额调节项的账户，我们将回函金额直接核对到账面余额。我们审阅回函中的其他信息，我们在</t>
    </r>
    <r>
      <rPr>
        <sz val="10"/>
        <color theme="1"/>
        <rFont val="Arial"/>
        <family val="2"/>
      </rPr>
      <t>&lt;C.01&gt;</t>
    </r>
    <r>
      <rPr>
        <sz val="10"/>
        <color theme="1"/>
        <rFont val="微软雅黑"/>
        <family val="2"/>
        <charset val="134"/>
      </rPr>
      <t>记录函证跟进工作；
当函证程序不适用时，或回函除金额外的其他信息（如资金归集）需要进一步测试，我们在</t>
    </r>
    <r>
      <rPr>
        <sz val="10"/>
        <color theme="1"/>
        <rFont val="Arial"/>
        <family val="2"/>
      </rPr>
      <t>&lt;C.01b&gt;</t>
    </r>
    <r>
      <rPr>
        <sz val="10"/>
        <color theme="1"/>
        <rFont val="微软雅黑"/>
        <family val="2"/>
        <charset val="134"/>
      </rPr>
      <t>中记录我们的工作。</t>
    </r>
  </si>
  <si>
    <t>C.01 Confirmations</t>
  </si>
  <si>
    <r>
      <t xml:space="preserve">C.01b </t>
    </r>
    <r>
      <rPr>
        <b/>
        <u/>
        <sz val="10"/>
        <color theme="4"/>
        <rFont val="微软雅黑"/>
        <family val="2"/>
        <charset val="134"/>
      </rPr>
      <t>特殊账户程序</t>
    </r>
    <phoneticPr fontId="114" type="noConversion"/>
  </si>
  <si>
    <t>C.00b</t>
  </si>
  <si>
    <r>
      <t xml:space="preserve">C.00b Other classification </t>
    </r>
    <r>
      <rPr>
        <b/>
        <sz val="10"/>
        <rFont val="微软雅黑"/>
        <family val="2"/>
        <charset val="134"/>
      </rPr>
      <t>（认定：</t>
    </r>
    <r>
      <rPr>
        <b/>
        <sz val="10"/>
        <rFont val="Arial"/>
        <family val="2"/>
      </rPr>
      <t>P&amp;D</t>
    </r>
    <r>
      <rPr>
        <b/>
        <sz val="10"/>
        <rFont val="微软雅黑"/>
        <family val="2"/>
        <charset val="134"/>
      </rPr>
      <t>）</t>
    </r>
    <phoneticPr fontId="114" type="noConversion"/>
  </si>
  <si>
    <r>
      <rPr>
        <sz val="10"/>
        <color theme="1"/>
        <rFont val="微软雅黑"/>
        <family val="2"/>
        <charset val="134"/>
      </rPr>
      <t>我们评估管理层对货币资金明细项的分类是否正确，包括其中的受限项目、现金及现金等价物类别的项目。</t>
    </r>
  </si>
  <si>
    <t>C.00b Other classification</t>
  </si>
  <si>
    <t>C.02</t>
  </si>
  <si>
    <r>
      <t>C.02 Bank reconciliations</t>
    </r>
    <r>
      <rPr>
        <b/>
        <sz val="10"/>
        <rFont val="微软雅黑"/>
        <family val="2"/>
        <charset val="134"/>
      </rPr>
      <t>（认定：</t>
    </r>
    <r>
      <rPr>
        <b/>
        <sz val="10"/>
        <rFont val="Arial"/>
        <family val="2"/>
      </rPr>
      <t>E</t>
    </r>
    <r>
      <rPr>
        <b/>
        <sz val="10"/>
        <rFont val="微软雅黑"/>
        <family val="2"/>
        <charset val="134"/>
      </rPr>
      <t>、</t>
    </r>
    <r>
      <rPr>
        <b/>
        <sz val="10"/>
        <rFont val="Arial"/>
        <family val="2"/>
      </rPr>
      <t xml:space="preserve"> V </t>
    </r>
    <r>
      <rPr>
        <b/>
        <sz val="10"/>
        <rFont val="微软雅黑"/>
        <family val="2"/>
        <charset val="134"/>
      </rPr>
      <t>、</t>
    </r>
    <r>
      <rPr>
        <b/>
        <sz val="10"/>
        <rFont val="Arial"/>
        <family val="2"/>
      </rPr>
      <t>C</t>
    </r>
    <r>
      <rPr>
        <b/>
        <sz val="10"/>
        <rFont val="微软雅黑"/>
        <family val="2"/>
        <charset val="134"/>
      </rPr>
      <t>）</t>
    </r>
    <phoneticPr fontId="114" type="noConversion"/>
  </si>
  <si>
    <t>1</t>
    <phoneticPr fontId="114" type="noConversion"/>
  </si>
  <si>
    <r>
      <rPr>
        <sz val="10"/>
        <color rgb="FF000000"/>
        <rFont val="微软雅黑"/>
        <family val="2"/>
        <charset val="134"/>
      </rPr>
      <t>我们通过</t>
    </r>
    <r>
      <rPr>
        <sz val="10"/>
        <color rgb="FF000000"/>
        <rFont val="Arial"/>
        <family val="2"/>
      </rPr>
      <t>&lt;C.01&gt;</t>
    </r>
    <r>
      <rPr>
        <sz val="10"/>
        <color rgb="FF000000"/>
        <rFont val="微软雅黑"/>
        <family val="2"/>
        <charset val="134"/>
      </rPr>
      <t>及</t>
    </r>
    <r>
      <rPr>
        <sz val="10"/>
        <color rgb="FF000000"/>
        <rFont val="Arial"/>
        <family val="2"/>
      </rPr>
      <t>&lt;C.01b&gt;</t>
    </r>
    <r>
      <rPr>
        <sz val="10"/>
        <color rgb="FF000000"/>
        <rFont val="微软雅黑"/>
        <family val="2"/>
        <charset val="134"/>
      </rPr>
      <t>识别存在余额调节项的银行账户，并获取这些账户的余额调节表。
我们识别并选择了大于</t>
    </r>
    <r>
      <rPr>
        <sz val="10"/>
        <color rgb="FF000000"/>
        <rFont val="Arial"/>
        <family val="2"/>
      </rPr>
      <t>TT</t>
    </r>
    <r>
      <rPr>
        <sz val="10"/>
        <color rgb="FF000000"/>
        <rFont val="微软雅黑"/>
        <family val="2"/>
        <charset val="134"/>
      </rPr>
      <t>测试阈值的调节项以及其他被认为异常或预期外的调节项进行测试，我们识别并调查超</t>
    </r>
    <r>
      <rPr>
        <sz val="10"/>
        <color rgb="FF000000"/>
        <rFont val="Arial"/>
        <family val="2"/>
      </rPr>
      <t>SAD</t>
    </r>
    <r>
      <rPr>
        <sz val="10"/>
        <color rgb="FF000000"/>
        <rFont val="微软雅黑"/>
        <family val="2"/>
        <charset val="134"/>
      </rPr>
      <t>名义金额的未调节差异。
我们针对选中测试的有调节项的银行账户及识别出存在与调节项完整性相关的重大错报风险的银行账户，获取并复核了期后银行对账单。</t>
    </r>
  </si>
  <si>
    <t>C.02 Bank reconciliations</t>
  </si>
  <si>
    <r>
      <t>C.02a</t>
    </r>
    <r>
      <rPr>
        <b/>
        <u/>
        <sz val="10"/>
        <color theme="4"/>
        <rFont val="微软雅黑"/>
        <family val="2"/>
        <charset val="134"/>
      </rPr>
      <t>外币测算</t>
    </r>
  </si>
  <si>
    <t>C.03</t>
  </si>
  <si>
    <r>
      <t xml:space="preserve">C.03 Cutoff </t>
    </r>
    <r>
      <rPr>
        <b/>
        <sz val="10"/>
        <rFont val="微软雅黑"/>
        <family val="2"/>
        <charset val="134"/>
      </rPr>
      <t>（认定：</t>
    </r>
    <r>
      <rPr>
        <b/>
        <sz val="10"/>
        <rFont val="Arial"/>
        <family val="2"/>
      </rPr>
      <t>E</t>
    </r>
    <r>
      <rPr>
        <b/>
        <sz val="10"/>
        <rFont val="微软雅黑"/>
        <family val="2"/>
        <charset val="134"/>
      </rPr>
      <t>、</t>
    </r>
    <r>
      <rPr>
        <b/>
        <sz val="10"/>
        <rFont val="Arial"/>
        <family val="2"/>
      </rPr>
      <t xml:space="preserve"> C</t>
    </r>
    <r>
      <rPr>
        <b/>
        <sz val="10"/>
        <rFont val="微软雅黑"/>
        <family val="2"/>
        <charset val="134"/>
      </rPr>
      <t>）</t>
    </r>
    <phoneticPr fontId="114" type="noConversion"/>
  </si>
  <si>
    <r>
      <rPr>
        <sz val="10"/>
        <color rgb="FF000000"/>
        <rFont val="微软雅黑"/>
        <family val="2"/>
        <charset val="134"/>
      </rPr>
      <t>此程序涉及被审计单位，在适用函证测试范围内的银行账户，与被审计单位的另一个银行账户（不局限于适用函证测试的银行账户）之间的转账。我们记录了确定截止期间的理由，包含我们在</t>
    </r>
    <r>
      <rPr>
        <sz val="10"/>
        <color rgb="FF000000"/>
        <rFont val="Arial"/>
        <family val="2"/>
      </rPr>
      <t>⻛</t>
    </r>
    <r>
      <rPr>
        <sz val="10"/>
        <color rgb="FF000000"/>
        <rFont val="微软雅黑"/>
        <family val="2"/>
        <charset val="134"/>
      </rPr>
      <t>险评估程序中的考虑事项，以及这些事项如何影响我们对截</t>
    </r>
    <r>
      <rPr>
        <sz val="10"/>
        <color rgb="FF000000"/>
        <rFont val="Arial"/>
        <family val="2"/>
      </rPr>
      <t>⽌</t>
    </r>
    <r>
      <rPr>
        <sz val="10"/>
        <color rgb="FF000000"/>
        <rFont val="微软雅黑"/>
        <family val="2"/>
        <charset val="134"/>
      </rPr>
      <t xml:space="preserve">期间和样本量的确定。
</t>
    </r>
    <r>
      <rPr>
        <b/>
        <sz val="10"/>
        <color rgb="FFFF0000"/>
        <rFont val="Arial"/>
        <family val="2"/>
      </rPr>
      <t xml:space="preserve">IPE </t>
    </r>
    <r>
      <rPr>
        <b/>
        <sz val="10"/>
        <color rgb="FFFF0000"/>
        <rFont val="微软雅黑"/>
        <family val="2"/>
        <charset val="134"/>
      </rPr>
      <t>考虑：</t>
    </r>
  </si>
  <si>
    <t xml:space="preserve">C.03 Cutoff </t>
  </si>
  <si>
    <r>
      <rPr>
        <sz val="10"/>
        <rFont val="微软雅黑"/>
        <family val="2"/>
        <charset val="134"/>
      </rPr>
      <t>根据账户的性质和交易的金额，选取金额以及性质重大的账户进行截止性测试。
中国境内的银行转账业务基本能够实现</t>
    </r>
    <r>
      <rPr>
        <sz val="10"/>
        <rFont val="Arial"/>
        <family val="2"/>
      </rPr>
      <t>T+1</t>
    </r>
    <r>
      <rPr>
        <sz val="10"/>
        <rFont val="微软雅黑"/>
        <family val="2"/>
        <charset val="134"/>
      </rPr>
      <t>入账，因此我们往往选择资产负债表日前后</t>
    </r>
    <r>
      <rPr>
        <sz val="10"/>
        <rFont val="Arial"/>
        <family val="2"/>
      </rPr>
      <t>1</t>
    </r>
    <r>
      <rPr>
        <sz val="10"/>
        <rFont val="微软雅黑"/>
        <family val="2"/>
        <charset val="134"/>
      </rPr>
      <t>天作为测试期间；但如在期末，存在较多跨境交易和国际账户，则需适当延长测试期间。</t>
    </r>
  </si>
  <si>
    <t>Supplementary</t>
    <phoneticPr fontId="114" type="noConversion"/>
  </si>
  <si>
    <r>
      <rPr>
        <b/>
        <sz val="10"/>
        <rFont val="微软雅黑"/>
        <family val="2"/>
        <charset val="134"/>
      </rPr>
      <t>文件名称</t>
    </r>
  </si>
  <si>
    <t>C.00a</t>
  </si>
  <si>
    <r>
      <rPr>
        <sz val="10"/>
        <rFont val="微软雅黑"/>
        <family val="2"/>
        <charset val="134"/>
      </rPr>
      <t>我们评估管理层对现</t>
    </r>
    <r>
      <rPr>
        <sz val="10"/>
        <rFont val="Arial"/>
        <family val="2"/>
      </rPr>
      <t>⾦</t>
    </r>
    <r>
      <rPr>
        <sz val="10"/>
        <rFont val="微软雅黑"/>
        <family val="2"/>
        <charset val="134"/>
      </rPr>
      <t>和现</t>
    </r>
    <r>
      <rPr>
        <sz val="10"/>
        <rFont val="Arial"/>
        <family val="2"/>
      </rPr>
      <t>⾦</t>
    </r>
    <r>
      <rPr>
        <sz val="10"/>
        <rFont val="微软雅黑"/>
        <family val="2"/>
        <charset val="134"/>
      </rPr>
      <t>等价物负值余额分类的适当性。</t>
    </r>
  </si>
  <si>
    <t>C.00a Negative cash</t>
    <phoneticPr fontId="114" type="noConversion"/>
  </si>
  <si>
    <t>C.00c</t>
  </si>
  <si>
    <r>
      <rPr>
        <sz val="10"/>
        <color rgb="FF000000"/>
        <rFont val="微软雅黑"/>
        <family val="2"/>
        <charset val="134"/>
      </rPr>
      <t>我们对现金执行了盘点程序。</t>
    </r>
  </si>
  <si>
    <t>C.00c 现金盘点</t>
    <phoneticPr fontId="114" type="noConversion"/>
  </si>
  <si>
    <t>022d804f-8de8-4987-b9ac-42632653fc60</t>
    <phoneticPr fontId="114" type="noConversion"/>
  </si>
  <si>
    <r>
      <rPr>
        <b/>
        <sz val="14"/>
        <color theme="0"/>
        <rFont val="微软雅黑"/>
        <family val="2"/>
        <charset val="134"/>
      </rPr>
      <t>标准工作底稿</t>
    </r>
    <r>
      <rPr>
        <b/>
        <sz val="14"/>
        <color theme="0"/>
        <rFont val="Arial"/>
        <family val="2"/>
      </rPr>
      <t xml:space="preserve">: C SWP </t>
    </r>
    <r>
      <rPr>
        <b/>
        <sz val="14"/>
        <color theme="0"/>
        <rFont val="微软雅黑"/>
        <family val="2"/>
        <charset val="134"/>
      </rPr>
      <t>货币资金</t>
    </r>
  </si>
  <si>
    <r>
      <rPr>
        <b/>
        <sz val="12"/>
        <rFont val="微软雅黑"/>
        <family val="2"/>
        <charset val="134"/>
      </rPr>
      <t>客户名称</t>
    </r>
  </si>
  <si>
    <t>东风鸿远工程咨询有限公司</t>
  </si>
  <si>
    <r>
      <rPr>
        <b/>
        <sz val="12"/>
        <color rgb="FF000000"/>
        <rFont val="微软雅黑"/>
        <family val="2"/>
        <charset val="134"/>
      </rPr>
      <t>此工作底稿需要与以下</t>
    </r>
    <r>
      <rPr>
        <b/>
        <sz val="12"/>
        <color rgb="FF000000"/>
        <rFont val="Arial"/>
        <family val="2"/>
      </rPr>
      <t xml:space="preserve"> Canvas PSP guided workflow forms</t>
    </r>
    <r>
      <rPr>
        <b/>
        <sz val="12"/>
        <color rgb="FF000000"/>
        <rFont val="微软雅黑"/>
        <family val="2"/>
        <charset val="134"/>
      </rPr>
      <t xml:space="preserve">一起使用：
</t>
    </r>
    <r>
      <rPr>
        <b/>
        <sz val="12"/>
        <color rgb="FF000000"/>
        <rFont val="Arial"/>
        <family val="2"/>
      </rPr>
      <t xml:space="preserve">     • C.00 Cash lead sheet
     • C.01 Bank confirmations
     • C.02 Bank reconciliations
     • C.03 Cash cutoff
     • Account conclusion</t>
    </r>
  </si>
  <si>
    <r>
      <rPr>
        <b/>
        <sz val="12"/>
        <rFont val="微软雅黑"/>
        <family val="2"/>
        <charset val="134"/>
      </rPr>
      <t>期末</t>
    </r>
  </si>
  <si>
    <r>
      <rPr>
        <b/>
        <sz val="12"/>
        <rFont val="微软雅黑"/>
        <family val="2"/>
        <charset val="134"/>
      </rPr>
      <t>分析日期</t>
    </r>
  </si>
  <si>
    <r>
      <rPr>
        <b/>
        <sz val="12"/>
        <rFont val="微软雅黑"/>
        <family val="2"/>
        <charset val="134"/>
      </rPr>
      <t>可容忍误差</t>
    </r>
    <r>
      <rPr>
        <b/>
        <sz val="12"/>
        <color rgb="FF000000"/>
        <rFont val="Arial"/>
        <family val="2"/>
      </rPr>
      <t>(TE)</t>
    </r>
  </si>
  <si>
    <r>
      <rPr>
        <b/>
        <sz val="12"/>
        <rFont val="微软雅黑"/>
        <family val="2"/>
        <charset val="134"/>
      </rPr>
      <t>名义金额</t>
    </r>
    <r>
      <rPr>
        <b/>
        <sz val="12"/>
        <color rgb="FF000000"/>
        <rFont val="Arial"/>
        <family val="2"/>
      </rPr>
      <t>(SAD)</t>
    </r>
  </si>
  <si>
    <r>
      <rPr>
        <b/>
        <sz val="12"/>
        <rFont val="微软雅黑"/>
        <family val="2"/>
        <charset val="134"/>
      </rPr>
      <t>适用会计准则</t>
    </r>
  </si>
  <si>
    <t>企业会计准则</t>
    <phoneticPr fontId="114" type="noConversion"/>
  </si>
  <si>
    <r>
      <rPr>
        <b/>
        <sz val="12"/>
        <rFont val="微软雅黑"/>
        <family val="2"/>
        <charset val="134"/>
      </rPr>
      <t>记账本位币</t>
    </r>
  </si>
  <si>
    <t>CNY</t>
    <phoneticPr fontId="114" type="noConversion"/>
  </si>
  <si>
    <r>
      <t xml:space="preserve">C.00 </t>
    </r>
    <r>
      <rPr>
        <b/>
        <sz val="12"/>
        <color rgb="FF000000"/>
        <rFont val="微软雅黑"/>
        <family val="2"/>
        <charset val="134"/>
      </rPr>
      <t>编制引导表并比较余额</t>
    </r>
    <phoneticPr fontId="114" type="noConversion"/>
  </si>
  <si>
    <r>
      <rPr>
        <u/>
        <sz val="10"/>
        <color rgb="FFFF0000"/>
        <rFont val="微软雅黑"/>
        <family val="2"/>
        <charset val="134"/>
      </rPr>
      <t>返回汇总页</t>
    </r>
  </si>
  <si>
    <t>Threshold(s)</t>
  </si>
  <si>
    <r>
      <rPr>
        <b/>
        <sz val="10"/>
        <rFont val="微软雅黑"/>
        <family val="2"/>
        <charset val="134"/>
      </rPr>
      <t>安永标记</t>
    </r>
  </si>
  <si>
    <r>
      <rPr>
        <b/>
        <sz val="10"/>
        <rFont val="微软雅黑"/>
        <family val="2"/>
        <charset val="134"/>
      </rPr>
      <t>认定</t>
    </r>
    <phoneticPr fontId="114" type="noConversion"/>
  </si>
  <si>
    <t>CRA</t>
  </si>
  <si>
    <r>
      <rPr>
        <b/>
        <sz val="10"/>
        <rFont val="微软雅黑"/>
        <family val="2"/>
        <charset val="134"/>
      </rPr>
      <t>各项认定</t>
    </r>
    <r>
      <rPr>
        <b/>
        <vertAlign val="superscript"/>
        <sz val="10"/>
        <color rgb="FFFF0000"/>
        <rFont val="Arial"/>
        <family val="2"/>
      </rPr>
      <t>1</t>
    </r>
    <phoneticPr fontId="114" type="noConversion"/>
  </si>
  <si>
    <r>
      <rPr>
        <b/>
        <sz val="10"/>
        <rFont val="微软雅黑"/>
        <family val="2"/>
        <charset val="134"/>
      </rPr>
      <t>所有相关认定</t>
    </r>
    <r>
      <rPr>
        <b/>
        <sz val="10"/>
        <rFont val="Arial"/>
        <family val="2"/>
      </rPr>
      <t xml:space="preserve"> </t>
    </r>
    <r>
      <rPr>
        <b/>
        <vertAlign val="superscript"/>
        <sz val="10"/>
        <color rgb="FFFF0000"/>
        <rFont val="Arial"/>
        <family val="2"/>
      </rPr>
      <t>2</t>
    </r>
    <phoneticPr fontId="114" type="noConversion"/>
  </si>
  <si>
    <t>TB</t>
  </si>
  <si>
    <r>
      <rPr>
        <sz val="10"/>
        <color theme="1"/>
        <rFont val="微软雅黑"/>
        <family val="2"/>
        <charset val="134"/>
      </rPr>
      <t>已与科目余额表核对无误</t>
    </r>
  </si>
  <si>
    <r>
      <rPr>
        <sz val="10"/>
        <color rgb="FF000000"/>
        <rFont val="微软雅黑"/>
        <family val="2"/>
        <charset val="134"/>
      </rPr>
      <t>完整性</t>
    </r>
    <r>
      <rPr>
        <sz val="10"/>
        <color rgb="FF000000"/>
        <rFont val="Arial"/>
        <family val="2"/>
      </rPr>
      <t xml:space="preserve"> (C)</t>
    </r>
  </si>
  <si>
    <t>Moderate</t>
  </si>
  <si>
    <t>PY</t>
  </si>
  <si>
    <r>
      <rPr>
        <sz val="10"/>
        <color theme="1"/>
        <rFont val="微软雅黑"/>
        <family val="2"/>
        <charset val="134"/>
      </rPr>
      <t>与上年最终审定数核对一致</t>
    </r>
  </si>
  <si>
    <r>
      <rPr>
        <sz val="10"/>
        <color rgb="FF000000"/>
        <rFont val="微软雅黑"/>
        <family val="2"/>
        <charset val="134"/>
      </rPr>
      <t>存在性</t>
    </r>
    <r>
      <rPr>
        <sz val="10"/>
        <color rgb="FF000000"/>
        <rFont val="Arial"/>
        <family val="2"/>
      </rPr>
      <t xml:space="preserve"> (E)</t>
    </r>
    <phoneticPr fontId="114" type="noConversion"/>
  </si>
  <si>
    <t>A3</t>
  </si>
  <si>
    <r>
      <rPr>
        <sz val="10"/>
        <rFont val="微软雅黑"/>
        <family val="2"/>
        <charset val="134"/>
      </rPr>
      <t>与未审数、审定数核对一致</t>
    </r>
  </si>
  <si>
    <r>
      <rPr>
        <sz val="10"/>
        <color rgb="FF000000"/>
        <rFont val="微软雅黑"/>
        <family val="2"/>
        <charset val="134"/>
      </rPr>
      <t>计价（</t>
    </r>
    <r>
      <rPr>
        <sz val="10"/>
        <color rgb="FF000000"/>
        <rFont val="Arial"/>
        <family val="2"/>
      </rPr>
      <t>V</t>
    </r>
    <r>
      <rPr>
        <sz val="10"/>
        <color rgb="FF000000"/>
        <rFont val="微软雅黑"/>
        <family val="2"/>
        <charset val="134"/>
      </rPr>
      <t>）</t>
    </r>
  </si>
  <si>
    <t>N/A</t>
  </si>
  <si>
    <t>A5</t>
  </si>
  <si>
    <r>
      <rPr>
        <sz val="10"/>
        <rFont val="微软雅黑"/>
        <family val="2"/>
        <charset val="134"/>
      </rPr>
      <t>与审计调整核对一致</t>
    </r>
  </si>
  <si>
    <r>
      <rPr>
        <sz val="10"/>
        <color rgb="FF000000"/>
        <rFont val="微软雅黑"/>
        <family val="2"/>
        <charset val="134"/>
      </rPr>
      <t>权利和义务（</t>
    </r>
    <r>
      <rPr>
        <sz val="10"/>
        <color rgb="FF000000"/>
        <rFont val="Arial"/>
        <family val="2"/>
      </rPr>
      <t>R&amp;O</t>
    </r>
    <r>
      <rPr>
        <sz val="10"/>
        <color rgb="FF000000"/>
        <rFont val="微软雅黑"/>
        <family val="2"/>
        <charset val="134"/>
      </rPr>
      <t>）</t>
    </r>
    <phoneticPr fontId="114" type="noConversion"/>
  </si>
  <si>
    <t>FS</t>
  </si>
  <si>
    <r>
      <rPr>
        <sz val="10"/>
        <color theme="1"/>
        <rFont val="微软雅黑"/>
        <family val="2"/>
        <charset val="134"/>
      </rPr>
      <t>与</t>
    </r>
    <r>
      <rPr>
        <sz val="10"/>
        <color theme="1"/>
        <rFont val="Arial"/>
        <family val="2"/>
      </rPr>
      <t>FS.0x</t>
    </r>
    <r>
      <rPr>
        <sz val="10"/>
        <color theme="1"/>
        <rFont val="微软雅黑"/>
        <family val="2"/>
        <charset val="134"/>
      </rPr>
      <t>与财务报表核对无误</t>
    </r>
  </si>
  <si>
    <r>
      <rPr>
        <sz val="10"/>
        <color rgb="FF000000"/>
        <rFont val="微软雅黑"/>
        <family val="2"/>
        <charset val="134"/>
      </rPr>
      <t>列报和披露（</t>
    </r>
    <r>
      <rPr>
        <sz val="10"/>
        <color rgb="FF000000"/>
        <rFont val="Arial"/>
        <family val="2"/>
      </rPr>
      <t>P&amp;D</t>
    </r>
    <r>
      <rPr>
        <sz val="10"/>
        <color rgb="FF000000"/>
        <rFont val="微软雅黑"/>
        <family val="2"/>
        <charset val="134"/>
      </rPr>
      <t>）</t>
    </r>
    <phoneticPr fontId="114" type="noConversion"/>
  </si>
  <si>
    <t>w</t>
  </si>
  <si>
    <r>
      <rPr>
        <sz val="10"/>
        <color theme="1"/>
        <rFont val="微软雅黑"/>
        <family val="2"/>
        <charset val="134"/>
      </rPr>
      <t>低于</t>
    </r>
    <r>
      <rPr>
        <sz val="10"/>
        <color theme="1"/>
        <rFont val="Arial"/>
        <family val="2"/>
      </rPr>
      <t>SAD</t>
    </r>
    <r>
      <rPr>
        <sz val="10"/>
        <color theme="1"/>
        <rFont val="微软雅黑"/>
        <family val="2"/>
        <charset val="134"/>
      </rPr>
      <t>的金额</t>
    </r>
    <r>
      <rPr>
        <sz val="10"/>
        <color theme="1"/>
        <rFont val="Arial"/>
        <family val="2"/>
      </rPr>
      <t>——</t>
    </r>
    <r>
      <rPr>
        <sz val="10"/>
        <color theme="1"/>
        <rFont val="微软雅黑"/>
        <family val="2"/>
        <charset val="134"/>
      </rPr>
      <t>放弃进一步调查</t>
    </r>
  </si>
  <si>
    <r>
      <t xml:space="preserve">1 </t>
    </r>
    <r>
      <rPr>
        <b/>
        <i/>
        <sz val="9"/>
        <color rgb="FFFF0000"/>
        <rFont val="微软雅黑"/>
        <family val="2"/>
        <charset val="134"/>
      </rPr>
      <t>各项认定的测试阈值，是根据</t>
    </r>
    <r>
      <rPr>
        <b/>
        <i/>
        <sz val="9"/>
        <color rgb="FFFF0000"/>
        <rFont val="Arial"/>
        <family val="2"/>
      </rPr>
      <t xml:space="preserve">EY GAM SUBSTANTIVE DESIGN 2.2.1 </t>
    </r>
  </si>
  <si>
    <t>Rx</t>
  </si>
  <si>
    <r>
      <rPr>
        <sz val="10"/>
        <color theme="1"/>
        <rFont val="微软雅黑"/>
        <family val="2"/>
        <charset val="134"/>
      </rPr>
      <t>重新计算，无异常</t>
    </r>
  </si>
  <si>
    <r>
      <rPr>
        <b/>
        <i/>
        <sz val="9"/>
        <color rgb="FFFF0000"/>
        <rFont val="微软雅黑"/>
        <family val="2"/>
        <charset val="134"/>
      </rPr>
      <t>中的示例测试阈值（用占</t>
    </r>
    <r>
      <rPr>
        <b/>
        <i/>
        <sz val="9"/>
        <color rgb="FFFF0000"/>
        <rFont val="Arial"/>
        <family val="2"/>
      </rPr>
      <t>TE</t>
    </r>
    <r>
      <rPr>
        <b/>
        <i/>
        <sz val="9"/>
        <color rgb="FFFF0000"/>
        <rFont val="微软雅黑"/>
        <family val="2"/>
        <charset val="134"/>
      </rPr>
      <t>的百分比表示）在相应风险等级（</t>
    </r>
    <r>
      <rPr>
        <b/>
        <i/>
        <sz val="9"/>
        <color rgb="FFFF0000"/>
        <rFont val="Arial"/>
        <family val="2"/>
      </rPr>
      <t>CRA</t>
    </r>
    <r>
      <rPr>
        <b/>
        <i/>
        <sz val="9"/>
        <color rgb="FFFF0000"/>
        <rFont val="微软雅黑"/>
        <family val="2"/>
        <charset val="134"/>
      </rPr>
      <t>）区间的上限计算得出的。</t>
    </r>
  </si>
  <si>
    <t>m</t>
  </si>
  <si>
    <r>
      <rPr>
        <sz val="10"/>
        <color theme="1"/>
        <rFont val="微软雅黑"/>
        <family val="2"/>
        <charset val="134"/>
      </rPr>
      <t>余额</t>
    </r>
    <r>
      <rPr>
        <sz val="10"/>
        <color theme="1"/>
        <rFont val="Arial"/>
        <family val="2"/>
      </rPr>
      <t>/</t>
    </r>
    <r>
      <rPr>
        <sz val="10"/>
        <color theme="1"/>
        <rFont val="微软雅黑"/>
        <family val="2"/>
        <charset val="134"/>
      </rPr>
      <t>活动不符合测试范围</t>
    </r>
    <r>
      <rPr>
        <sz val="10"/>
        <color theme="1"/>
        <rFont val="Arial"/>
        <family val="2"/>
      </rPr>
      <t>–</t>
    </r>
    <r>
      <rPr>
        <sz val="10"/>
        <color theme="1"/>
        <rFont val="微软雅黑"/>
        <family val="2"/>
        <charset val="134"/>
      </rPr>
      <t>无需进一步调查</t>
    </r>
  </si>
  <si>
    <r>
      <rPr>
        <b/>
        <i/>
        <sz val="9"/>
        <color rgb="FFFF0000"/>
        <rFont val="微软雅黑"/>
        <family val="2"/>
        <charset val="134"/>
      </rPr>
      <t>除负债</t>
    </r>
    <r>
      <rPr>
        <b/>
        <i/>
        <sz val="9"/>
        <color rgb="FFFF0000"/>
        <rFont val="Arial"/>
        <family val="2"/>
      </rPr>
      <t>/</t>
    </r>
    <r>
      <rPr>
        <b/>
        <i/>
        <sz val="9"/>
        <color rgb="FFFF0000"/>
        <rFont val="微软雅黑"/>
        <family val="2"/>
        <charset val="134"/>
      </rPr>
      <t>费用类别账户的完整性认定应当使用负债</t>
    </r>
    <r>
      <rPr>
        <b/>
        <i/>
        <sz val="9"/>
        <color rgb="FFFF0000"/>
        <rFont val="Arial"/>
        <family val="2"/>
      </rPr>
      <t>/</t>
    </r>
    <r>
      <rPr>
        <b/>
        <i/>
        <sz val="9"/>
        <color rgb="FFFF0000"/>
        <rFont val="微软雅黑"/>
        <family val="2"/>
        <charset val="134"/>
      </rPr>
      <t>费用账户表之外，其他类别账户和认定均可使用资产</t>
    </r>
    <r>
      <rPr>
        <b/>
        <i/>
        <sz val="9"/>
        <color rgb="FFFF0000"/>
        <rFont val="Arial"/>
        <family val="2"/>
      </rPr>
      <t>/</t>
    </r>
    <r>
      <rPr>
        <b/>
        <i/>
        <sz val="9"/>
        <color rgb="FFFF0000"/>
        <rFont val="微软雅黑"/>
        <family val="2"/>
        <charset val="134"/>
      </rPr>
      <t>收入账户表。</t>
    </r>
  </si>
  <si>
    <t>SL</t>
  </si>
  <si>
    <r>
      <rPr>
        <sz val="10"/>
        <color rgb="FF000000"/>
        <rFont val="微软雅黑"/>
        <family val="2"/>
        <charset val="134"/>
      </rPr>
      <t>已与明细账核对无误</t>
    </r>
  </si>
  <si>
    <r>
      <t xml:space="preserve">2 </t>
    </r>
    <r>
      <rPr>
        <b/>
        <i/>
        <sz val="9"/>
        <color rgb="FFFF0000"/>
        <rFont val="微软雅黑"/>
        <family val="2"/>
        <charset val="134"/>
      </rPr>
      <t>所有相关认定的测试阈值，是所有有效认定对应之测试阈值的最小值。我们在</t>
    </r>
    <r>
      <rPr>
        <b/>
        <i/>
        <sz val="9"/>
        <color rgb="FFFF0000"/>
        <rFont val="Arial"/>
        <family val="2"/>
      </rPr>
      <t xml:space="preserve"> Lead</t>
    </r>
    <r>
      <rPr>
        <b/>
        <i/>
        <sz val="9"/>
        <color rgb="FFFF0000"/>
        <rFont val="微软雅黑"/>
        <family val="2"/>
        <charset val="134"/>
      </rPr>
      <t>中使用该测试阈值：（</t>
    </r>
    <r>
      <rPr>
        <b/>
        <i/>
        <sz val="9"/>
        <color rgb="FFFF0000"/>
        <rFont val="Arial"/>
        <family val="2"/>
      </rPr>
      <t>a</t>
    </r>
    <r>
      <rPr>
        <b/>
        <i/>
        <sz val="9"/>
        <color rgb="FFFF0000"/>
        <rFont val="微软雅黑"/>
        <family val="2"/>
        <charset val="134"/>
      </rPr>
      <t>）作为选取总账账户进行测试的起点；（</t>
    </r>
    <r>
      <rPr>
        <b/>
        <i/>
        <sz val="9"/>
        <color rgb="FFFF0000"/>
        <rFont val="Arial"/>
        <family val="2"/>
      </rPr>
      <t>b</t>
    </r>
    <r>
      <rPr>
        <b/>
        <i/>
        <sz val="9"/>
        <color rgb="FFFF0000"/>
        <rFont val="微软雅黑"/>
        <family val="2"/>
        <charset val="134"/>
      </rPr>
      <t>）作为（需要进一步调查的）金额波动范围的起点。</t>
    </r>
  </si>
  <si>
    <r>
      <rPr>
        <b/>
        <sz val="10"/>
        <rFont val="微软雅黑"/>
        <family val="2"/>
        <charset val="134"/>
      </rPr>
      <t>在下文中描述我们当期对现金账户余额和相关波动的预期，以及这些预期的依据和理由。</t>
    </r>
  </si>
  <si>
    <t>波动范围</t>
    <phoneticPr fontId="114" type="noConversion"/>
  </si>
  <si>
    <r>
      <rPr>
        <b/>
        <sz val="10"/>
        <rFont val="微软雅黑"/>
        <family val="2"/>
        <charset val="134"/>
      </rPr>
      <t>波动范围（</t>
    </r>
    <r>
      <rPr>
        <b/>
        <sz val="10"/>
        <rFont val="Arial"/>
        <family val="2"/>
      </rPr>
      <t>%</t>
    </r>
    <r>
      <rPr>
        <b/>
        <sz val="10"/>
        <rFont val="微软雅黑"/>
        <family val="2"/>
        <charset val="134"/>
      </rPr>
      <t>）：</t>
    </r>
    <phoneticPr fontId="114" type="noConversion"/>
  </si>
  <si>
    <r>
      <rPr>
        <b/>
        <sz val="10"/>
        <color rgb="FFFF0000"/>
        <rFont val="微软雅黑"/>
        <family val="2"/>
        <charset val="134"/>
      </rPr>
      <t>表</t>
    </r>
    <r>
      <rPr>
        <b/>
        <sz val="10"/>
        <color rgb="FFFF0000"/>
        <rFont val="Arial"/>
        <family val="2"/>
      </rPr>
      <t>1</t>
    </r>
  </si>
  <si>
    <t>|------- TB -------|</t>
  </si>
  <si>
    <t>|------- PY -------|</t>
    <phoneticPr fontId="146"/>
  </si>
  <si>
    <r>
      <rPr>
        <b/>
        <sz val="10"/>
        <rFont val="微软雅黑"/>
        <family val="2"/>
        <charset val="134"/>
      </rPr>
      <t>本期和上期期末余额</t>
    </r>
    <phoneticPr fontId="114" type="noConversion"/>
  </si>
  <si>
    <r>
      <rPr>
        <b/>
        <sz val="10"/>
        <color rgb="FF000000"/>
        <rFont val="微软雅黑"/>
        <family val="2"/>
        <charset val="134"/>
      </rPr>
      <t>基于波动幅度判断，是否进一步调查？</t>
    </r>
  </si>
  <si>
    <r>
      <rPr>
        <b/>
        <sz val="10"/>
        <color rgb="FF000000"/>
        <rFont val="微软雅黑"/>
        <family val="2"/>
        <charset val="134"/>
      </rPr>
      <t>基于定性考虑判断，是否进一步调查？</t>
    </r>
  </si>
  <si>
    <r>
      <rPr>
        <b/>
        <sz val="10"/>
        <rFont val="微软雅黑"/>
        <family val="2"/>
        <charset val="134"/>
      </rPr>
      <t>账套名称</t>
    </r>
    <r>
      <rPr>
        <b/>
        <sz val="10"/>
        <rFont val="Arial"/>
        <family val="2"/>
      </rPr>
      <t>/</t>
    </r>
    <r>
      <rPr>
        <b/>
        <sz val="10"/>
        <rFont val="微软雅黑"/>
        <family val="2"/>
        <charset val="134"/>
      </rPr>
      <t>账套编码</t>
    </r>
  </si>
  <si>
    <r>
      <rPr>
        <b/>
        <sz val="10"/>
        <rFont val="微软雅黑"/>
        <family val="2"/>
        <charset val="134"/>
      </rPr>
      <t>总账科目编码</t>
    </r>
    <phoneticPr fontId="114" type="noConversion"/>
  </si>
  <si>
    <r>
      <rPr>
        <b/>
        <sz val="10"/>
        <rFont val="微软雅黑"/>
        <family val="2"/>
        <charset val="134"/>
      </rPr>
      <t>科目名称</t>
    </r>
    <phoneticPr fontId="114" type="noConversion"/>
  </si>
  <si>
    <r>
      <rPr>
        <b/>
        <sz val="10"/>
        <rFont val="微软雅黑"/>
        <family val="2"/>
        <charset val="134"/>
      </rPr>
      <t>索引号</t>
    </r>
    <phoneticPr fontId="114" type="noConversion"/>
  </si>
  <si>
    <r>
      <rPr>
        <b/>
        <sz val="10"/>
        <rFont val="微软雅黑"/>
        <family val="2"/>
        <charset val="134"/>
      </rPr>
      <t>期末账面数</t>
    </r>
    <phoneticPr fontId="114" type="noConversion"/>
  </si>
  <si>
    <r>
      <rPr>
        <b/>
        <sz val="10"/>
        <rFont val="微软雅黑"/>
        <family val="2"/>
        <charset val="134"/>
      </rPr>
      <t>账表调整数</t>
    </r>
  </si>
  <si>
    <r>
      <rPr>
        <b/>
        <sz val="10"/>
        <rFont val="微软雅黑"/>
        <family val="2"/>
        <charset val="134"/>
      </rPr>
      <t>期末未审数</t>
    </r>
  </si>
  <si>
    <r>
      <rPr>
        <b/>
        <sz val="10"/>
        <rFont val="微软雅黑"/>
        <family val="2"/>
        <charset val="134"/>
      </rPr>
      <t>审计调整数</t>
    </r>
  </si>
  <si>
    <r>
      <rPr>
        <b/>
        <sz val="10"/>
        <rFont val="微软雅黑"/>
        <family val="2"/>
        <charset val="134"/>
      </rPr>
      <t>期末审定数</t>
    </r>
  </si>
  <si>
    <r>
      <rPr>
        <b/>
        <sz val="10"/>
        <color rgb="FF000000"/>
        <rFont val="微软雅黑"/>
        <family val="2"/>
        <charset val="134"/>
      </rPr>
      <t>上期末审定数</t>
    </r>
  </si>
  <si>
    <r>
      <rPr>
        <b/>
        <sz val="10"/>
        <rFont val="微软雅黑"/>
        <family val="2"/>
        <charset val="134"/>
      </rPr>
      <t>变动金额</t>
    </r>
  </si>
  <si>
    <r>
      <rPr>
        <b/>
        <sz val="10"/>
        <rFont val="微软雅黑"/>
        <family val="2"/>
        <charset val="134"/>
      </rPr>
      <t>变动</t>
    </r>
    <r>
      <rPr>
        <b/>
        <sz val="10"/>
        <rFont val="Arial"/>
        <family val="2"/>
      </rPr>
      <t>%</t>
    </r>
  </si>
  <si>
    <t xml:space="preserve">Notes
</t>
  </si>
  <si>
    <r>
      <rPr>
        <sz val="10"/>
        <rFont val="微软雅黑"/>
        <family val="2"/>
        <charset val="134"/>
      </rPr>
      <t>银行存款</t>
    </r>
  </si>
  <si>
    <t>C.00 BKD/</t>
  </si>
  <si>
    <t>[A]</t>
    <phoneticPr fontId="114" type="noConversion"/>
  </si>
  <si>
    <t>东风鸿远工程咨询有限公司福建分公司</t>
  </si>
  <si>
    <t>东风鸿远工程咨询有限公司武汉分公司</t>
  </si>
  <si>
    <t>东风鸿远工程咨询有限公司监理分公司</t>
  </si>
  <si>
    <r>
      <rPr>
        <b/>
        <sz val="10"/>
        <color rgb="FF000000"/>
        <rFont val="微软雅黑"/>
        <family val="2"/>
        <charset val="134"/>
      </rPr>
      <t>合计</t>
    </r>
  </si>
  <si>
    <t>Diff</t>
  </si>
  <si>
    <r>
      <rPr>
        <b/>
        <sz val="10"/>
        <color rgb="FFFF0000"/>
        <rFont val="微软雅黑"/>
        <family val="2"/>
        <charset val="134"/>
      </rPr>
      <t>波动说明</t>
    </r>
  </si>
  <si>
    <r>
      <rPr>
        <b/>
        <sz val="10"/>
        <rFont val="微软雅黑"/>
        <family val="2"/>
        <charset val="134"/>
      </rPr>
      <t>调整汇总表</t>
    </r>
    <r>
      <rPr>
        <b/>
        <i/>
        <sz val="10"/>
        <color rgb="FFFF0000"/>
        <rFont val="微软雅黑"/>
        <family val="2"/>
        <charset val="134"/>
      </rPr>
      <t>（如不适用请删除）</t>
    </r>
  </si>
  <si>
    <r>
      <rPr>
        <sz val="10"/>
        <rFont val="微软雅黑"/>
        <family val="2"/>
        <charset val="134"/>
      </rPr>
      <t>调整类型</t>
    </r>
  </si>
  <si>
    <r>
      <rPr>
        <b/>
        <sz val="10"/>
        <color rgb="FFFF0000"/>
        <rFont val="微软雅黑"/>
        <family val="2"/>
        <charset val="134"/>
      </rPr>
      <t>表</t>
    </r>
    <r>
      <rPr>
        <b/>
        <sz val="10"/>
        <color rgb="FFFF0000"/>
        <rFont val="Arial"/>
        <family val="2"/>
      </rPr>
      <t>2 For Disclosure</t>
    </r>
  </si>
  <si>
    <r>
      <rPr>
        <b/>
        <sz val="10"/>
        <color theme="1"/>
        <rFont val="微软雅黑"/>
        <family val="2"/>
        <charset val="134"/>
      </rPr>
      <t>货币资金（资产负债表）</t>
    </r>
  </si>
  <si>
    <r>
      <rPr>
        <b/>
        <sz val="10"/>
        <color theme="1"/>
        <rFont val="微软雅黑"/>
        <family val="2"/>
        <charset val="134"/>
      </rPr>
      <t>报表科目</t>
    </r>
  </si>
  <si>
    <r>
      <t xml:space="preserve">Check With </t>
    </r>
    <r>
      <rPr>
        <b/>
        <sz val="10"/>
        <color rgb="FFFF0000"/>
        <rFont val="微软雅黑"/>
        <family val="2"/>
        <charset val="134"/>
      </rPr>
      <t>表</t>
    </r>
    <r>
      <rPr>
        <b/>
        <sz val="10"/>
        <color rgb="FFFF0000"/>
        <rFont val="Arial"/>
        <family val="2"/>
      </rPr>
      <t>2</t>
    </r>
  </si>
  <si>
    <r>
      <rPr>
        <sz val="10"/>
        <color theme="1"/>
        <rFont val="微软雅黑"/>
        <family val="2"/>
        <charset val="134"/>
      </rPr>
      <t>库存现金</t>
    </r>
  </si>
  <si>
    <r>
      <rPr>
        <sz val="10"/>
        <color theme="1"/>
        <rFont val="微软雅黑"/>
        <family val="2"/>
        <charset val="134"/>
      </rPr>
      <t>银行存款</t>
    </r>
  </si>
  <si>
    <r>
      <rPr>
        <sz val="10"/>
        <color theme="1"/>
        <rFont val="微软雅黑"/>
        <family val="2"/>
        <charset val="134"/>
      </rPr>
      <t>其他货币资金</t>
    </r>
  </si>
  <si>
    <r>
      <rPr>
        <sz val="10"/>
        <color theme="1"/>
        <rFont val="微软雅黑"/>
        <family val="2"/>
        <charset val="134"/>
      </rPr>
      <t>存放财务公司款项</t>
    </r>
  </si>
  <si>
    <r>
      <rPr>
        <b/>
        <sz val="10"/>
        <color theme="1"/>
        <rFont val="微软雅黑"/>
        <family val="2"/>
        <charset val="134"/>
      </rPr>
      <t>合计</t>
    </r>
  </si>
  <si>
    <r>
      <rPr>
        <sz val="10"/>
        <color theme="1"/>
        <rFont val="微软雅黑"/>
        <family val="2"/>
        <charset val="134"/>
      </rPr>
      <t>其中：存放在境外的款项总额</t>
    </r>
    <r>
      <rPr>
        <b/>
        <sz val="10"/>
        <color rgb="FFFF0000"/>
        <rFont val="微软雅黑"/>
        <family val="2"/>
        <charset val="134"/>
      </rPr>
      <t>（如适用）</t>
    </r>
    <phoneticPr fontId="114" type="noConversion"/>
  </si>
  <si>
    <r>
      <t>*</t>
    </r>
    <r>
      <rPr>
        <b/>
        <i/>
        <sz val="11"/>
        <color rgb="FFFF0000"/>
        <rFont val="微软雅黑"/>
        <family val="2"/>
        <charset val="134"/>
      </rPr>
      <t>适用于</t>
    </r>
    <r>
      <rPr>
        <b/>
        <i/>
        <sz val="11"/>
        <color rgb="FFFF0000"/>
        <rFont val="Arial"/>
        <family val="2"/>
      </rPr>
      <t>A</t>
    </r>
    <r>
      <rPr>
        <b/>
        <i/>
        <sz val="11"/>
        <color rgb="FFFF0000"/>
        <rFont val="微软雅黑"/>
        <family val="2"/>
        <charset val="134"/>
      </rPr>
      <t>股上市公司</t>
    </r>
  </si>
  <si>
    <r>
      <rPr>
        <b/>
        <sz val="10"/>
        <color indexed="8"/>
        <rFont val="微软雅黑"/>
        <family val="2"/>
        <charset val="134"/>
      </rPr>
      <t>所有权或使用权受到限制的资产</t>
    </r>
  </si>
  <si>
    <r>
      <rPr>
        <sz val="10"/>
        <color indexed="8"/>
        <rFont val="微软雅黑"/>
        <family val="2"/>
        <charset val="134"/>
      </rPr>
      <t>所有权或使用权受到限制的货币资金</t>
    </r>
  </si>
  <si>
    <t>cd8846d7-01cb-4e39-99f2-dd3fb53a39f3</t>
    <phoneticPr fontId="114" type="noConversion"/>
  </si>
  <si>
    <r>
      <t xml:space="preserve">                                                                                                                                        </t>
    </r>
    <r>
      <rPr>
        <b/>
        <sz val="14"/>
        <color rgb="FFFFFFFF"/>
        <rFont val="微软雅黑"/>
        <family val="2"/>
        <charset val="134"/>
      </rPr>
      <t>标准工作底稿</t>
    </r>
    <r>
      <rPr>
        <b/>
        <sz val="14"/>
        <color rgb="FFFFFFFF"/>
        <rFont val="Arial"/>
        <family val="2"/>
      </rPr>
      <t xml:space="preserve">: C SWP </t>
    </r>
    <r>
      <rPr>
        <b/>
        <sz val="14"/>
        <color rgb="FFFFFFFF"/>
        <rFont val="微软雅黑"/>
        <family val="2"/>
        <charset val="134"/>
      </rPr>
      <t>货币资金</t>
    </r>
  </si>
  <si>
    <r>
      <rPr>
        <b/>
        <sz val="10"/>
        <rFont val="微软雅黑"/>
        <family val="2"/>
        <charset val="134"/>
      </rPr>
      <t>全量货币资金明细表</t>
    </r>
  </si>
  <si>
    <t>TB</t>
    <phoneticPr fontId="114" type="noConversion"/>
  </si>
  <si>
    <t>PBC&amp;C.01</t>
  </si>
  <si>
    <t>EY Works</t>
  </si>
  <si>
    <r>
      <rPr>
        <b/>
        <sz val="10"/>
        <color rgb="FF000000"/>
        <rFont val="微软雅黑"/>
        <family val="2"/>
        <charset val="134"/>
      </rPr>
      <t>公司名称</t>
    </r>
    <phoneticPr fontId="114" type="noConversion"/>
  </si>
  <si>
    <r>
      <rPr>
        <b/>
        <sz val="10"/>
        <color rgb="FF000000"/>
        <rFont val="微软雅黑"/>
        <family val="2"/>
        <charset val="134"/>
      </rPr>
      <t>科目名称</t>
    </r>
  </si>
  <si>
    <r>
      <rPr>
        <b/>
        <sz val="10"/>
        <color rgb="FF000000"/>
        <rFont val="微软雅黑"/>
        <family val="2"/>
        <charset val="134"/>
      </rPr>
      <t>银行</t>
    </r>
    <r>
      <rPr>
        <b/>
        <sz val="10"/>
        <color rgb="FF000000"/>
        <rFont val="Arial"/>
        <family val="2"/>
      </rPr>
      <t>/</t>
    </r>
    <r>
      <rPr>
        <b/>
        <sz val="10"/>
        <color rgb="FF000000"/>
        <rFont val="微软雅黑"/>
        <family val="2"/>
        <charset val="134"/>
      </rPr>
      <t>存款机构名称</t>
    </r>
  </si>
  <si>
    <r>
      <rPr>
        <b/>
        <sz val="10"/>
        <color rgb="FF000000"/>
        <rFont val="微软雅黑"/>
        <family val="2"/>
        <charset val="134"/>
      </rPr>
      <t>账号</t>
    </r>
    <r>
      <rPr>
        <b/>
        <vertAlign val="subscript"/>
        <sz val="10"/>
        <color rgb="FFFF0000"/>
        <rFont val="Arial"/>
        <family val="2"/>
      </rPr>
      <t>1</t>
    </r>
  </si>
  <si>
    <r>
      <rPr>
        <b/>
        <sz val="10"/>
        <color rgb="FF000000"/>
        <rFont val="微软雅黑"/>
        <family val="2"/>
        <charset val="134"/>
      </rPr>
      <t>币种</t>
    </r>
  </si>
  <si>
    <r>
      <rPr>
        <b/>
        <sz val="10"/>
        <color rgb="FF000000"/>
        <rFont val="微软雅黑"/>
        <family val="2"/>
        <charset val="134"/>
      </rPr>
      <t>期末账面金额
（原币）</t>
    </r>
  </si>
  <si>
    <r>
      <rPr>
        <b/>
        <sz val="10"/>
        <color rgb="FF000000"/>
        <rFont val="微软雅黑"/>
        <family val="2"/>
        <charset val="134"/>
      </rPr>
      <t>期末账面金额
（本币）</t>
    </r>
  </si>
  <si>
    <r>
      <rPr>
        <b/>
        <sz val="10"/>
        <color rgb="FF000000"/>
        <rFont val="微软雅黑"/>
        <family val="2"/>
        <charset val="134"/>
      </rPr>
      <t>货币资金账户的性质和用途</t>
    </r>
  </si>
  <si>
    <r>
      <rPr>
        <b/>
        <sz val="10"/>
        <color rgb="FF000000"/>
        <rFont val="微软雅黑"/>
        <family val="2"/>
        <charset val="134"/>
      </rPr>
      <t>是否对账户执行银行函证程序？</t>
    </r>
  </si>
  <si>
    <r>
      <rPr>
        <b/>
        <sz val="10"/>
        <color rgb="FF000000"/>
        <rFont val="微软雅黑"/>
        <family val="2"/>
        <charset val="134"/>
      </rPr>
      <t>记录我们判断账户在金额及性质上均不重大的理由和执行的工作，或，在</t>
    </r>
    <r>
      <rPr>
        <b/>
        <sz val="10"/>
        <color rgb="FF000000"/>
        <rFont val="Arial"/>
        <family val="2"/>
      </rPr>
      <t>&lt;C.01b&gt;</t>
    </r>
    <r>
      <rPr>
        <b/>
        <sz val="10"/>
        <color rgb="FF000000"/>
        <rFont val="微软雅黑"/>
        <family val="2"/>
        <charset val="134"/>
      </rPr>
      <t>记录我们执行的替代性程序。</t>
    </r>
  </si>
  <si>
    <t>Notes</t>
  </si>
  <si>
    <t>银行存款</t>
    <phoneticPr fontId="114" type="noConversion"/>
  </si>
  <si>
    <t>招商银行股份有限公司襄阳分行营业部</t>
  </si>
  <si>
    <t>127919613710008</t>
  </si>
  <si>
    <t>一般存款账户</t>
  </si>
  <si>
    <t>中国工商银行股份有限公司襄阳高新技术产业支行</t>
  </si>
  <si>
    <t>1804009019200221562</t>
  </si>
  <si>
    <t>东风汽车财务有限公司</t>
  </si>
  <si>
    <t>2120010759</t>
  </si>
  <si>
    <t>兴业银行股份有限公司襄阳分行</t>
  </si>
  <si>
    <t>419010100100198487</t>
  </si>
  <si>
    <t>协定存款户</t>
  </si>
  <si>
    <t>中国建设银行股份有限公司襄阳樊城支行</t>
  </si>
  <si>
    <t>42001646108050002660</t>
  </si>
  <si>
    <t>基本存款账户</t>
  </si>
  <si>
    <t>交通银行股份有限公司襄阳分行营业部</t>
  </si>
  <si>
    <t>426426351011000206710</t>
  </si>
  <si>
    <t>中国银行襄阳真武支行</t>
  </si>
  <si>
    <t>559979614041</t>
  </si>
  <si>
    <t>中国建设银行股份有限公司泉州洛江支行</t>
  </si>
  <si>
    <t>35050165690700002445</t>
  </si>
  <si>
    <t>中国建设银行股份有限公司武汉经济技术开发区支行</t>
  </si>
  <si>
    <t>42050125813600001754</t>
  </si>
  <si>
    <t>1804009019200268848</t>
  </si>
  <si>
    <t>中国建设银行股份有限公司襄阳铁路支行</t>
  </si>
  <si>
    <t>42050164770800000367</t>
  </si>
  <si>
    <t>RX</t>
  </si>
  <si>
    <t>C_Lead</t>
  </si>
  <si>
    <r>
      <rPr>
        <b/>
        <sz val="10"/>
        <color rgb="FFFF0000"/>
        <rFont val="Arial"/>
        <family val="2"/>
      </rPr>
      <t>Notes</t>
    </r>
    <r>
      <rPr>
        <b/>
        <sz val="10"/>
        <color rgb="FF000000"/>
        <rFont val="Arial"/>
        <family val="2"/>
      </rPr>
      <t xml:space="preserve"> </t>
    </r>
  </si>
  <si>
    <t>否</t>
  </si>
  <si>
    <t>0a1351bf-0789-4e2c-8675-482199dfc116</t>
    <phoneticPr fontId="114" type="noConversion"/>
  </si>
  <si>
    <t>ABC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ZdurYBgAAhGHY/1+zBcENnoEORTJ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t>
  </si>
  <si>
    <t>ABC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Qw7dZCyaZqUYXQrbiAhszKrKmsXbsHKotYiOHDouGc96gW4n8ZehoWPXkGE2A22IOL5Ry9E3PFDxPMd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P83Yfn0+c/C8unL/wQs+5/8/4Hl8y/f/fjrp48fP3z68stvP+yv333/4aefPn7/4e++ffv285dPP37/87c/D8unnz9/+vXjj79++PXzT7/B8sOnnz/8/OW7jx++fvzp05ffiPj45cvXPwPLD59++Pbt1x++fvj8449fP3z56Tddvv7y9ccP33/8jZxffvn28fO3b/9dWD5991/D8vm7vwqWT5/+l2X5279elj/+4Xd/+sPv/uX3//DHf/7HP/79P/3pd7//i8z8hQhzmMMc5vxHB3OYwxzmMOff/pjzN8xhDnOYwxzmvDhzmMMc5jCHOX/DHOYwhznMYc5/7mIOc5jDHOYwhznMqYk5//5qmcOceS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t>
  </si>
  <si>
    <t>ABC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DnX9mpQxsAAACEYf9/jSDZFXWYOdJ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t>
  </si>
  <si>
    <t>ABC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nLFThzYAAAAIw/7/GkGyK+owc6T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t>
  </si>
  <si>
    <t>ABC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8ZOHdoAAAAgDPv/awTJrqibwZEy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t>
  </si>
  <si>
    <t>ABC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nLFThzYAAAAIw/7/GkGyK+owc6T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t>
  </si>
  <si>
    <t>ABC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WOnDm0AAAAQhv3/NYJkV9Rh5kiZ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t>
  </si>
  <si>
    <t>ABC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oydOrQBAABAGPb/1wiSXVE3gyNl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t>
  </si>
  <si>
    <t>ABC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WOnDm0AAAAQhv3/NYJkV9Rh5kiZ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t>
  </si>
  <si>
    <t>ABC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LFThzYAAAAIw/7/GkGyK+owuKX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t>
  </si>
  <si>
    <t>ABC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oydOrQBAABAGPb/1wiSXVE3gyNl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t>
  </si>
  <si>
    <t>ABC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mOnjlLwvtErDm+lGzA4sWNPNjF7cB3nthft/mngDD+NVJpCp9BCn7uXTzr6/kiHhz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6m/zPmfPrlT8359OV/wpz7T/7/mPPzz59///jj688fPn7/7duHz79/+/Hhn3/96ceHb19/+/jt+6dvv//49c/N+fLTLx+/fvnl1w/ff/n6hzm//OX3D9++/Pj+4S+//vz7p0+/ffz67ceXPzHnD1m+fP/tl28fvv70Bzefv/z49cNf/pDqw7ffP378+fvXz3/8+um/a86nz/+5OZ9/+ofM+fS/TM5f/3Fy/vov//bjX/9LZf7jLrCABSxg+dsOsIDl7z4BLGD5J7CABSxg+buOgQUsYAELWMACFrCA5ZQFLGABC1jA8rf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t>
  </si>
  <si>
    <t>ABC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PLv7NSxDQAACMOw/79mC4IbPAMdimS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t>
  </si>
  <si>
    <t>ABC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Bl26tgGAACEYdj/X7MFwQ2eKQxFMl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t>
  </si>
  <si>
    <t>ABC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HXbq2AYAAIRh2P9fswXBDZ6hDFQy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
  </si>
  <si>
    <t>ABC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mWYaeObQAAQBiG/f81WxDc4JnCQCWD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t>
  </si>
  <si>
    <t>AB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Zhp45tAABAGIb9/zVbENzgGehQJBc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t>
  </si>
  <si>
    <t>ABC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oedOrYBAABhGPb/12xBcIPnAgOV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t>
  </si>
  <si>
    <t>AB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hp06tgEAAGEY9v/XbEFwg2doB5B8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t>
  </si>
  <si>
    <t>ABC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AMO3VsAwAAwjDs/6/ZguAGz5QOIBk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t>
  </si>
  <si>
    <t>ABC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lmGnjm0AAEAYhv3/NVsQ3OC5wFAkg+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t>
  </si>
  <si>
    <t>ABC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PuzUsQ0AAAjDsP+/ZguCGzxDO4Bk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t>
  </si>
  <si>
    <t>ABC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Bl2KljGwAAEIZh/3/NFgQ3eAY6FMl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t>
  </si>
  <si>
    <t>ABC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DLs1EHKZklCheGtuIGEzMqsqqxduAUri1qL4MCh4571qBfgfhp7GRYefYMIsRtsQcTnHx24ce4Pcc/3dBosYHkuGCw9BQtYzkcHC1juJljAAhawgAUsYAFLLwALWDoNFrA8FwyWnoIFLOejgwUsdxMsYAELWMACFrCApReABSydBgtYngsGS0/BApbz0cEClrsJFrCABSxgAQtYwNILwAKWToMFLM8Fg6WnYAHL+ehgAcvdBAtYwAIWsIAFLGDpBWABS6fBApbngsHSU7CA5Xx0sIDlboIFLGABC1jAAhaw9AKwgKXTYAHLc8Fg6SlYwHI+OljAcjfBAhawgAUsYAELWHoBWMDSabCA5blgsPQULGA5Hx0sYLmbYAELWMACFrCABSy9ACxg6TRYwPJcMFh6ChawnI8OFrDcTbCABSxgAQtYwAKWXgAWsHQaLGB5LhgsPQULWM5HBwtY7iZYwAIWsIAFLGABSy8AC1g6DRawPBcMlp6CBSzno4MFLHcTLGABC1jAAhawgKUXgAUsnQYLWJ4LBktPwQKW89HBApa7CRawgAUsYAELWMDSC8AClk6DBSzPBYOlp2ABy/noYAHL3QQLWMACFrCABSxg6QVgAUunwQKW54LB0lOwgOV8dLCA5W6CBSxgAQtYwAIWsPQCsICl02ABy3PBYOkpWMByPjpYwHI3wQIWsIAFLGABC1h6AVjA0mmwgOW5YLD0FCxgOR8dLGC5m2ABC1jAAhawgAUsvQAsYOk0WMDyXDBYegoWsJyPDhaw3E2wgAUsYAELWMACll4AFrB0GixgeS4YLD0FC1jORwcLWO4mWMACFrCABSxgAUsvAAtYOg0WsDwXDJaeggUs56ODBSx3EyxgAQtYwAIWsIClF4AFLJ0GC1ieCwZLT8EClvPRwQKWuwkWsIAFLGABC1jA0gvAApZOgwUszwWDpadgAcv56GABy90EC1jAAhawgAUsYOkFYAFLp8EClueCwdJTsIDlfHSwgOVuggUsYAELWMACFrD0ArCApdNgActzwWDpKVjAcj46WMByN8ECFrCABSxgAQtYegFYwNJpsIDluWCw9BQsYDkfHSxguZtgAQtYwAIWsIAFLL0ALGDpNFjA8lwwWHoKFrCcjw4WsNxNsIAFLGABC1jAApZeABawdBosYHkuGCw9BQtYzkcHC1juJljAAhawgAUsYAFLLwALWDoNFrA8FwyWnoIFLOejgwUsdxMsYAELWMACFrCApReABSydBgtYngsGS0/BApbz0cEClrsJFrCABSxgAQtYwNILwAKWToMFLM8Fg6WnYAHL+ehgAcvdBAtYwAIWsIAFLGDpBWABS6fBApbngsHSU7CA5Xx0sIDlboIFLGABC1jAAhaw9AKwgKXTYAHLc8Fg6SlYwHI+OljAcjfBAhawgAUsYAELWHoBWMDSabCA5blgsPQULGA5Hx0sYLmbYAELWMACFrCABSy9ACxg6TRYwPJcMFh6ChawnI8OFrDcTbCABSxgAQtYwAKWXgAWsHQaLGB5LhgsPQULWM5HBwtY7iZYwAIWsIAFLGABSy8AC1g6DRawPBcMlp6CBSzno4MFLHcTLGABC1jAAhawgKUXgAUsnQYLWJ4LBktPwQKW89HBApa7CRawgAUsYAELWMDSC8AClk6DBSzPBYOlp2ABy/noYAHL3QQLWMACFrCABSxg6QVgAUunwQKW54LB0lOwgOV8dLCA5W6CBSxgAQtYwAIWsPQCsICl02ABy3PBYOkpWMByPjpYwHI3wQIWsIAFLGABC1h6AVjA0mmwgOW5YLD0FCxgOR8dLGC5m2ABC1jAAhawgAUsvQAsYOk0WMDyXDBYegoWsJyPDhaw3E2wgAUsYAELWMACll4AFrB0GixgeS4YLD0FC1jORwcLWO4mWMACFrCABSxgAUsvAAtYOg0WsDwXDJaeggUs56ODBSx3EyxgAQtYwAIWsIClF4AFLJ0GC1ieCwZLT8EClvPRwQKWuwkWsIAFLGABC1jA0gvAApZOgwUszwWDpadgAcv56GABy90EC1jAAhawgAUsYOkFYAFLp8EClueCwdJTsIDlfHSwgOVuggUsYAELWMACFrD0ArCApdNgActzwWDpKVjAcj46WMByN8ECFrCABSxgAQtYegFYwNJpsIDluWCw9BQsYDkfHSxguZtgAQtYwAIWsIAFLL0ALGDpNFjA8lwwWHoKFrCcjw4WsNxNsIAFLGABC1jAApZeABawdBosYHkuGCw9BQtYzkcHC1juJljAAhawgAUsYAFLLwALWDoNFrA8FwyWnoIFLOejgwUsdxMsYAELWMACFrCApReABSydBgtYngsGS0/BApbz0cEClrsJFrCABSxgAQtYwNILwAKWToMFLM8Fg6WnYAHL+ehgAcvdBAtYwAIWsIAFLGDpBWABS6fBApbngsHSU7CA5Xx0sIDlboIFLGABC1jAAhaw9AKwgKXTYAHLc8Fg6SlYwHI+OljAcjfBAhawgAUsYAELWHoBWMDSabCA5blgsPQULGA5Hx0sYLmbYAELWMACFrCABSy9ACxg6TRYwPJcMFh6ChawnI8OFrDcTbCABSxgAQtYwAKWXgAWsHQaLGB5LhgsPQULWM5HBwtY7iZYwAIWsIAFLGABSy8AC1g6DRawPBcMlp6CBSzno4MFLHcTLGABC1jAAhawgKUXgAUsnQYLWJ4LBktPwQKW89HBApa7CRawgAUsYAELWMDSC8AClk6DBSzPBYOlp2ABy/noYAHL3QQLWMACFrCABSxg6QVgAUunwQKW54LB0lOwgOV8dLCA5W6CBSxgAQtYwAIWsPQCsICl02ABy3PBYOkpWMByPjpYwHI3wQIWsIAFLGABC1h6AVjA0mmwgOW5YLD0FCxgOR8dLGC5m2ABC1jAAhawgAUsvQAsYOk0WMDyXDBYegoWsJyPDhaw3E2wgAUsYAELWMACll4AFrB0GixgeS4YLD0FC1jORwcLWO4mWMACFrCABSxgAUsvAAtYOg0WsDwXDJaeggUs56ODBSx3EyxgAQtYwAIWsIClF4AFLJ0GC1ieCwZLT8EClvPRwQKWuwkWsIAFLGABC1jA0gvAApZOgwUszwWDpadgAcv56GABy90EC1jAAhawgAUsYOkFYAFLp8EClueCwdJTsIDlfHSwgOVuggUsYAELWMACFrD0ArCApdNgActzwWDpKVjAcj46WMByN8ECFrCABSxgAQtYegFYwNJpsIDluWCw9BQsYDkfHSxguZtgAQtYwAIWsIAFLL0ALGDpNFjA8lwwWHoKFrCcjw4WsNxNsIAFLGABC1jAApZeABawdBosYHkuGCw9BQtYzkcHC1juJljAAhawgAUsYAFLLwALWDoNFrA8FwyWnoIFLOejgwUsdxMsYAELWMACFrCApReABSydBgtYngsGS0/BApbz0cEClrsJFrCABSxgAQtYwNILwAKWToMFLM8Fg6WnYAHL+ehgAcvdBAtYwAIWsIAFLGDpBWABS6fBApbngsHSU7CA5Xx0sIDlboIFLGABC1jAAhaw9AKwgKXTYAHLc8Fg6SlYwHI+OljAcjfBAhawgAUsYAELWHoBWMDSabCA5blgsPQULGA5Hx0sYLmbYAELWMACFrCABSy9ACxg6TRYwPJcMFh6ChawnI8OFrDcTbCABSxgAQtYwAKWXgAWsHQaLGB5LhgsPQULWM5HBwtY7iZYwAIWsIAFLGABSy8AC1g6DRawPBcMlp6CBSzno4MFLHcTLGABC1jAAhawgKUXgAUsnQYLWJ4LBktPwQKW89HBApa7CRawgAUsYAELWMDSC8AClk6DBSzPBYOlp2ABy/noYAHL3QQLWMACFrCABSxg6QVgAUunwQKW54LB0lOwgOV8dLCA5W6CBSxgAQtYwAIWsPQCsICl02ABy3PBYOkpWMByPjpYwHI3wQIWsIAFLGABC1h6AVjA0mmwgOW5YLD0FCxgOR8dLGC5m2ABC1jAAhawgAUsvQAsYOk0WMDyXDBYegoWsJyPDhaw3E2wgAUsYAELWMACll4AFrB0GixgeS4YLD0FC1jORwcLWO4mWMACFrCABSxgAUsvAAtYOg0WsDwXDJaeggUs56ODBSx3EyxgAQtYwAIWsIClF4AFLJ0GC1ieCwZLT8EClvPRwQKWuwkWsIAFLGABC1jA0gvAApZOgwUszwWDpadgAcv56GABy90EC1jAAhawgAUsYOkFYAFLp8EClueCwdJTsIDlfHSwgOVuggUsYAELWMACFrD0ArCApdNgActzwWDpKVjAcj46WMByN8ECFrCABSxgAQtYegFYwNJpsIDluWCw9BQsYDkfHSxguZtgAQtYwAIWsIAFLL0ALGDpNFjA8lwwWHoKFrCcjw4WsNxNsIAFLGABC1jAApZeABawdBosYHkuGCw9BQtYzkcHC1juJljAAhawgAUsYAFLLwALWDoNFrA8FwyWnoIFLOejgwUsdxMsYAELWMACFrCApReABSydBgtYngsGS0/BApbz0cEClrsJFrCABSxgAQtYwNILwAKWToMFLM8Fg6WnYAHL+ehgAcvdBAtYwAIWsIAFLGDpBWABS6fBApbngsHSU7CA5Xx0sIDlboIFLGABC1jAAhaw9AKwgKXTYAHLc8Fg6SlYwHI+OljAcjfBAhawgAUsYAELWHoBWMDSabCA5blgsPQULGA5Hx0sYLmbYAELWMACFrCABSy9ACxg6TRYwPJcMFh6ChawnI8OFrDcTbCABSxgAQtYwAKWXgAWsHQaLGB5LhgsPQULWM5HBwtY7iZYwAIWsIAFLGABSy8AC1g6DRawPBcMlp6CBSzno4MFLHcTLGABC1jAAhawgKUXgAUsnQYLWJ4LBktPwQKW89HBApa7CRawgAUsYAELWMDSC8AClk6DBSzPBYOlp2ABy/noYAHL3QQLWMACFrCABSxg6QVgAUunwQKW54LB0lOwgOV8dLCA5W6CBSxgAQtYwAIWsPQCsICl02ABy3PBYOkpWMByPjpYwHI3wQIWsIAFLGABC1h6AVjA0mmwgOW5YLD0FCxgOR8dLGC5m2ABC1jAAhawgAUsvQAsYOk0WMDyXDBYegoWsJyPDhaw3E2wgAUsYAELWMACll4AFrB0GixgeS4YLD0FC1jORwcLWO4mWMACFrCABSxgAUsvAAtYOg0WsDwXDJaeggUs56ODBSx3EyxgAQtYwAIWsIClF4AFLJ0GC1ieCwZLT8EClvPRwQKWuwkWsIAFLGABC1jA0gvAApZOgwUszwWDpadgAcv56GABy90EC1jAAhawgAUsYOkFYAFLp8EClueCwdJTsIDlfHSwgOVuggUsYAELWMACFrD0ArCApdNgActzwWDpKVjAcj46WMByN8ECFrCABSxgAQtYegFYwNJpsIDluWCw9BQsYDkfHSxguZtgAQtYwAIWsIAFLL0ALGDpNFjA8lwwWHoKFrCcjw4WsNxNsIAFLGABC1jAApZeABawdBosYHkuGCw9BQtYzkcHC1juJljAAhawgAUsYAFLLwALWDoNFrA8FwyWnoIFLOejgwUsdxMsYAELWMACFrCApReABSydBgtYngsGS0/BApbz0cEClrsJFrCABSxgAQtYwNILwAKWToMFLM8Fg6WnYAHL+ehgAcvdBAtYwAIWsIAFLGDpBWABS6fBApbngsHSU7CA5Xx0sIDlboIFLGABC1jAAhaw9AKwgKXTYAHLc8Fg6SlYwHI+OljAcjfBAhawgAUsYAELWHoBWMDSabCA5blgsPQULGA5Hx0sYLmbYAELWMACFrCABSy9ACxg6TRYwPJcMFh6ChawnI8OFrDcTbCABSxgAQtYwAKWXgAWsHQaLGB5LhgsPQULWM5HBwtY7iZYwAIWsIAFLGABSy8AC1g6DRawPBcMlp6CBSzno4MFLHcTLGABC1jAAhawgKUXgAUsnQYLWJ4LBktPwQKW89HBApa7CRawgAUsYAELWMDSC8AClk6DBSzPBYOlp2ABy/noYAHL3QQLWMACFrCABSxg6QVgAUunwQKW54LB0lOwgOV8dLCA5W6CBSxgAQtYwAIWsPQCsICl02ABy3PBYOkpWMByPjpYwHI3wQIWsIAFLGABC1h6AVjA0mmwgOW5YLD0FCxgOR8dLGC5m2ABC1jAAhawgAUsvQAsYOk0WMDyXDBYegoWsJyPDhaw3E2wgAUsYAELWMACll4AFrB0GixgeS4YLD0FC1jORwcLWO4mWMACFrCABSxgAUsvAAtYOg0WsDwXDJaeggUs56ODBSx3EyxgAQtYwAIWsIClF4AFLJ0GC1ieCwZLT8EClvPRwQKWuwkWsIAFLGABC1jA0gvAApZOgwUszwWDpadgAcv56GABy90EC1jAAhawgAUsYOkFYAFLp8EClueCwdJTsIDlfHSwgOVuggUsYAELWMACFrD0ArCApdNgActzwWDpKVjAcj46WMByN8ECFrCABSxgAQtYegFYwNJpsIDluWCw9BQsYDkfHSxguZtgAQtYwAIWsIAFLL0ALGDpNFjA8lwwWHoKFrCcjw4WsNxNsIAFLGABC1jAApZeABawdBosYHkuGCw9BQtYzkcHC1juJljAAhawgAUsYAFLLwALWDoNFrA8FwyWnoIFLOejgwUsdxMsYAELWMACFrCApReABSydBgtYngsGS0/BApbz0cEClrsJFrCABSxgAQtYwNILwAKWToMFLM8Fg6WnYPm/Ccunz38Wlk9f/idguf/J/x9YPv/y3Y+/fvr48cOnL7/89sP++t33H3766eP3H/7u27dvP3/59OP3P3/787B8+vnzp18//vjrh18///QbLD98+vnDz1+++/jh68efPn35jYiPX758/TOw/PDph2/ffv3h64fPP/749cOXn37T5esvX3/88P3H38j55ZdvHz9/+/bfheXTd/81LJ+/+6tg+fTpf1mWv/3rZfnjH373pz/87l9+/w9//Od//OPf/9Offvf7v8jMX6gwhznMYc5/nGAOc5jDHOb82x9z/oY5zGEOc5jDnNWZwxzmMIc5zPkb5jCHOcxhDnP+8ynmMIc5zGEOc5jDnA4x599XyxzmnL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t>
  </si>
  <si>
    <t>ABC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5x/ZacObQAAABCG/f81gmRX1M3gSJn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t>
  </si>
  <si>
    <t>ABC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zX2KlDGwAAAIRh/3+NINkVdZg5Uu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t>
  </si>
  <si>
    <t>ABC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Bn7NShDQAAAMKw/79GkOyKOgxuKX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t>
  </si>
  <si>
    <t>ABC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Y6cObQAAABCG/f81gmRX1GHmSJn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t>
  </si>
  <si>
    <t>ABC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jJ06tAEAAEAY9v/XCJJdUYeZI/1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t>
  </si>
  <si>
    <t>AB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HO2KlDGwAAAIRh/3+NINkVdRjcUu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t>
  </si>
  <si>
    <t>ABC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xk4d2gAAACAM+/9rBMmuqMPMkTK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t>
  </si>
  <si>
    <t>ABC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GTt1aAMAAIAw7P+vESS7og4zR8q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t>
  </si>
  <si>
    <t>ABC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OcsVOHNgAAAAjD/v8aQbIr6jC4p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t>
  </si>
  <si>
    <t>ABC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jJ06tAEAAEAY9v/XCJJdUYeZI2U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t>
  </si>
  <si>
    <t>ABC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M3bq0AYAAABh2P9fI0h2RR1mjpQ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t>
  </si>
  <si>
    <t>ABC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Y6cObQAAABCG/f81gmRX1GFwS5n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t>
  </si>
  <si>
    <t>ABC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GTt1aAMAAIAw7P+vESS7og4zR8o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t>
  </si>
  <si>
    <t>ABC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Z+zUoQ0AAADCsP+/RpDsijrMHCl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t>
  </si>
  <si>
    <t>AB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x04d2gAAACAM+/9rBMmuqMPgl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t>
  </si>
  <si>
    <t>ABC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M3bq0AYAAABh2P9fI0h2RR1mjpQ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t>
  </si>
  <si>
    <t>ABC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ztipQxsAAACEYf9/jSDZFXUzOFL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t>
  </si>
  <si>
    <t>ABC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M3bq0AYAAABh2P9fI0h2RR1mjrS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t>
  </si>
  <si>
    <t>AB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Z+zUoQ0AAADCsP+/RpDsijrMHCl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t>
  </si>
  <si>
    <t>ABC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nLFTR6l6ZrkZRqeSCRhcZZfdNYmeg+Ny3eYimT8p2M2jlkIqkA6EkHX3caRX50faL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5/+sOZ9++VNzPn35nzBn/5P/P+b8/PPn3z/++Przh4/ff/v24fPv3358+Odff/rx4dvX3z5++/7p2+8/fv1zc7789MvHr19++fXD91++/mHOL3/5/cO3Lz++f/jLrz///unTbx+/fvvx5U/M+UOWL99/++Xbh68//cHN5y8/fv3wlz+k+vDt948ff/7+9fMff/303zXn0+f/3JzPP/1D5nz6Xybnr/84OX/9l3/78a//pTL/sQssYAELWP7WARaw/N1PAAtY/gksYAELWP7ujYEFLGABC1jAAhawgGUeC1jAAhawgOVv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t>
  </si>
  <si>
    <t>ABC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P6dnTq2AQAAYRj2/9dsQXCDZygDlQy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t>
  </si>
  <si>
    <t>ABC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GXYqWMbAAAQhmH/f80WBDd4BjoUyW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t>
  </si>
  <si>
    <t>ABC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MOzUsQ0AAAjDsP+/ZguCGzxTGIpk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t>
  </si>
  <si>
    <t>ABC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bLsFPHNgAAIAzD/v+aLQhu8FzKAJJL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t>
  </si>
  <si>
    <t>ABC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vDTh3bAACAMAz7/2u2ILjBM4WBSgY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t>
  </si>
  <si>
    <t>ABC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MNOHdsAAIAwDPv/a7YguMEzpQNIBk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t>
  </si>
  <si>
    <t>ABC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Bl2KljGwAAEIZh/3/NFgQ3eC4wFMm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t>
  </si>
  <si>
    <t>ABC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AMO3VsAwAAwjDs/6/ZguAGz9AOIBk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t>
  </si>
  <si>
    <t>ABC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Bl26tgGAACEYdj/X7MFwQ2eKR1AMl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t>
  </si>
  <si>
    <t>ABC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w04d2wAAgDAM+/9rtiC4wXOBoUg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t>
  </si>
  <si>
    <t>ABC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iGnTq2AQAAYRj2/9dsQXCDZygDlby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t>
  </si>
  <si>
    <t>ABC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GXYqWMbAAAQhmH/f80WBDd4BjoUyW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t>
  </si>
  <si>
    <t>ABC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MuzUsQ0AAAjDsP+/ZguCGzxTGIpk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t>
  </si>
  <si>
    <t>ABC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67NSxDQAACMOw/79mC4IbPEMZqGS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t>
  </si>
  <si>
    <t>ABC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zDTh3bAACAMAz7/2u2ILjBM4WBSgY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t>
  </si>
  <si>
    <t>ABC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MNOHdsAAIAwDPv/a7YguMEz0KFILg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t>
  </si>
  <si>
    <t>ABC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Dzt1bAMAAMIw7P+v2YLgBs8FBioZ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t>
  </si>
  <si>
    <t>ABC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AMO3VsAwAAwjDs/6/ZguAGz9AOIPk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t>
  </si>
  <si>
    <t>ABC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Bl26tgGAACEYdj/X7MFwQ2eKR1AMl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t>
  </si>
  <si>
    <t>ABC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w04d2wAAgDAM+/9rtiC4wXOBoUgG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t>
  </si>
  <si>
    <t>ABC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592KljGwAAEIZh/3/NFgQ3eIZ2AM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t>
  </si>
  <si>
    <t>ABC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cuwU8c2AAAgDMP+/5otCG7wDHQoksE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t>
  </si>
  <si>
    <t>ABC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Zdqxl1Y5zPMO4PtCv4PQfsrMnDlz6a5R0zaQUmEHuipmrqmwLIUjuaXQjbuJk0BCF7lANy2EJN3EXfQSB/ptKsn9Fp0jW//Xz5OjEoHOovS3McbPxcfP/9XvzDj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t>
  </si>
  <si>
    <t>AB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XLbwPL53/z6hHffffDDz7YXv3Ny/+yrz66/mt/w6Xl5Sv+zZPd/YN37l//iC81eXAsfyTv3r96/M2r7Qd/9ODhw3tXj588eed4+tPHh/KTfc7dF9TdyNyfP756//72W8er3/vD42n74cOnL8MroqXl1SG++LO1mi0Xp9XuMFmup5vJYrubT3bT3cVku98c9tPD6vJys787/mN333j8dPvwtbf4vPwSjS+ne/cbf9JO8ir/e+/NptM7X7k6bt8/PP7rR+OHe/L1M439X/C1J6Pz9+88vfowlfOfmntnYq6fw+aVtefsH776h/NXf5Tu3pjCO8cPHv/V8XBj7f/BI7jc73cXm8VmsppfrieL6fklbKbb3eS4v1wupsfNbjed3/IjmD376Y+e/eqj5//2vRe//PEbPYNS+tI7uFjd8A5ms6WH8PqHcJgtl6f9fjE5HmeryWJ+mk62s/O7mE9P0+3xcJquFxe3/BDmL77z6fNffvezf/3Z84//48Uvvvfs1z94K8/hcoaFN3wNs/PvhMPpcH4Du83i/BoOq8lmd/7cNT2s14vVerOZHme3+xpm02ff/s/PPvno+fd//uzjf//sn37xVp7Cjb8hZhcX3sLr38L5g8Fpf9xsJ/vF9VtYrXbnj98X88lytTqs99vV+dPD4nbfwvz6LZwfwvkV/Nevf/rsB995/o+/evbJp2/rUVxO/bp400cx3V7Mj5v55WR5ujh/Mdufv1etT6fzx4jd+vyJ4nTan9a3CsRkOp/88dff+8r20ft3ro77x4/2Dx4+ePnd/snbgWLtTbzpm5hv9/uLw/Yw2ZzO6SwWi+31d+3VZHfaXMw2++XhYnarXygm04vzm7hzb/vkL+/sP3z6+HR6K09hsfEU3vh3xvxw2M4vT5P5+vwFc7G8OH9+OG7nk/Xh+nfGarFYL0+3+jvj/E3m2cf//PyjT85fKz775Idv5SGsbvzwsPAOXv8Odsf5xXE2O39imG2vSdgtJ7vV/tqFw2K1nO03q+XhFt/Bn717/2/vvXc5nb74/r/897f//sU//OTF3336Vt7C+uYPkt7C69/CfnNYntar1eR4Ol1OFofddrKerpZnHU6X518bi/PHvNv89fC1+199O78Obvo2OdtI/n/5NnmxXi2Pp9XktJ+fFTiek99sZvPJ7jjbLRfL5WG/X95i8l/8eO8enz598OibL3/st/ISZjd9RlysvYTXvoQv/5i38gFwev2l4P7V8Vvbq+Odh+dk7/xm0l/+n8e/5S/+Gz8Brv6vB/27v/MX/wM=</t>
  </si>
  <si>
    <t>1b31f07f-f390-461b-b420-80914eb70448</t>
  </si>
  <si>
    <t>616ccf68-3778-49bb-8d87-503feddc03cc</t>
  </si>
  <si>
    <t>61507659-c570-458f-a6ec-892f33d07ae6</t>
  </si>
  <si>
    <t>3fe6cd5a-71bb-46e9-8eb7-af002c741bb3</t>
  </si>
  <si>
    <t>fdd2dfd4-c3b9-4a12-a727-8c16883132cf</t>
    <phoneticPr fontId="114" type="noConversion"/>
  </si>
  <si>
    <r>
      <rPr>
        <b/>
        <sz val="14"/>
        <color theme="0"/>
        <rFont val="微软雅黑"/>
        <family val="2"/>
        <charset val="134"/>
      </rPr>
      <t>标准工作底稿</t>
    </r>
    <r>
      <rPr>
        <b/>
        <sz val="14"/>
        <color theme="0"/>
        <rFont val="Arial"/>
        <family val="2"/>
      </rPr>
      <t xml:space="preserve">: C SWP </t>
    </r>
    <r>
      <rPr>
        <b/>
        <sz val="14"/>
        <color theme="0"/>
        <rFont val="微软雅黑"/>
        <family val="2"/>
        <charset val="134"/>
      </rPr>
      <t>货币资金</t>
    </r>
    <phoneticPr fontId="114" type="noConversion"/>
  </si>
  <si>
    <r>
      <t xml:space="preserve">C.01 </t>
    </r>
    <r>
      <rPr>
        <b/>
        <sz val="12"/>
        <color rgb="FF000000"/>
        <rFont val="微软雅黑"/>
        <family val="2"/>
        <charset val="134"/>
      </rPr>
      <t>选择执行函证的账户</t>
    </r>
    <r>
      <rPr>
        <b/>
        <sz val="12"/>
        <color rgb="FF000000"/>
        <rFont val="Arial"/>
        <family val="2"/>
      </rPr>
      <t xml:space="preserve"> C.01 </t>
    </r>
    <r>
      <rPr>
        <b/>
        <sz val="12"/>
        <color rgb="FF000000"/>
        <rFont val="微软雅黑"/>
        <family val="2"/>
        <charset val="134"/>
      </rPr>
      <t>制作并发送函证</t>
    </r>
    <r>
      <rPr>
        <b/>
        <sz val="12"/>
        <color rgb="FF000000"/>
        <rFont val="Arial"/>
        <family val="2"/>
      </rPr>
      <t xml:space="preserve"> C.01 </t>
    </r>
    <r>
      <rPr>
        <b/>
        <sz val="12"/>
        <color rgb="FF000000"/>
        <rFont val="微软雅黑"/>
        <family val="2"/>
        <charset val="134"/>
      </rPr>
      <t>核对函证金额，复核函证的其他事项并执行替代程序</t>
    </r>
  </si>
  <si>
    <r>
      <rPr>
        <b/>
        <sz val="10"/>
        <rFont val="微软雅黑"/>
        <family val="2"/>
        <charset val="134"/>
      </rPr>
      <t>已发函测试的银行账户</t>
    </r>
  </si>
  <si>
    <t>|---------------------------------------------C.00 BKD---------------------------------------------|</t>
  </si>
  <si>
    <r>
      <rPr>
        <sz val="10"/>
        <rFont val="微软雅黑"/>
        <family val="2"/>
        <charset val="134"/>
      </rPr>
      <t>回函信息</t>
    </r>
  </si>
  <si>
    <r>
      <rPr>
        <sz val="10"/>
        <color rgb="FFFF0000"/>
        <rFont val="微软雅黑"/>
        <family val="2"/>
        <charset val="134"/>
      </rPr>
      <t>差异跟进</t>
    </r>
  </si>
  <si>
    <r>
      <rPr>
        <sz val="10"/>
        <color rgb="FFFF0000"/>
        <rFont val="微软雅黑"/>
        <family val="2"/>
        <charset val="134"/>
      </rPr>
      <t>回函信息跟进</t>
    </r>
  </si>
  <si>
    <r>
      <rPr>
        <sz val="10"/>
        <color rgb="FFFF0000"/>
        <rFont val="微软雅黑"/>
        <family val="2"/>
        <charset val="134"/>
      </rPr>
      <t>替代测试</t>
    </r>
  </si>
  <si>
    <r>
      <rPr>
        <b/>
        <sz val="10"/>
        <color indexed="8"/>
        <rFont val="微软雅黑"/>
        <family val="2"/>
        <charset val="134"/>
      </rPr>
      <t>公司名称</t>
    </r>
    <r>
      <rPr>
        <b/>
        <sz val="10"/>
        <color indexed="8"/>
        <rFont val="Arial"/>
        <family val="2"/>
      </rPr>
      <t>/</t>
    </r>
    <r>
      <rPr>
        <b/>
        <sz val="10"/>
        <color indexed="8"/>
        <rFont val="微软雅黑"/>
        <family val="2"/>
        <charset val="134"/>
      </rPr>
      <t>发函单位名称</t>
    </r>
  </si>
  <si>
    <r>
      <rPr>
        <b/>
        <sz val="10"/>
        <color indexed="8"/>
        <rFont val="微软雅黑"/>
        <family val="2"/>
        <charset val="134"/>
      </rPr>
      <t>科目名称</t>
    </r>
  </si>
  <si>
    <r>
      <rPr>
        <b/>
        <sz val="10"/>
        <color indexed="8"/>
        <rFont val="微软雅黑"/>
        <family val="2"/>
        <charset val="134"/>
      </rPr>
      <t>银行名称</t>
    </r>
  </si>
  <si>
    <r>
      <rPr>
        <b/>
        <sz val="10"/>
        <color indexed="8"/>
        <rFont val="微软雅黑"/>
        <family val="2"/>
        <charset val="134"/>
      </rPr>
      <t>银行账号</t>
    </r>
  </si>
  <si>
    <r>
      <rPr>
        <b/>
        <sz val="10"/>
        <color indexed="8"/>
        <rFont val="微软雅黑"/>
        <family val="2"/>
        <charset val="134"/>
      </rPr>
      <t>币种</t>
    </r>
  </si>
  <si>
    <r>
      <rPr>
        <b/>
        <sz val="10"/>
        <color rgb="FF000000"/>
        <rFont val="微软雅黑"/>
        <family val="2"/>
        <charset val="134"/>
      </rPr>
      <t xml:space="preserve">期末账面银行余额
（原币）
</t>
    </r>
    <r>
      <rPr>
        <b/>
        <sz val="10"/>
        <color rgb="FFFF0000"/>
        <rFont val="Arial"/>
        <family val="2"/>
      </rPr>
      <t>A</t>
    </r>
  </si>
  <si>
    <r>
      <rPr>
        <b/>
        <sz val="10"/>
        <color indexed="8"/>
        <rFont val="微软雅黑"/>
        <family val="2"/>
        <charset val="134"/>
      </rPr>
      <t>期末账面金额
（本币）</t>
    </r>
  </si>
  <si>
    <r>
      <rPr>
        <b/>
        <sz val="10"/>
        <color theme="1"/>
        <rFont val="微软雅黑"/>
        <family val="2"/>
        <charset val="134"/>
      </rPr>
      <t>函证编号</t>
    </r>
  </si>
  <si>
    <r>
      <rPr>
        <b/>
        <sz val="10"/>
        <color theme="1"/>
        <rFont val="微软雅黑"/>
        <family val="2"/>
        <charset val="134"/>
      </rPr>
      <t>账户名称</t>
    </r>
  </si>
  <si>
    <r>
      <rPr>
        <b/>
        <sz val="10"/>
        <color theme="1"/>
        <rFont val="微软雅黑"/>
        <family val="2"/>
        <charset val="134"/>
      </rPr>
      <t>银行名称</t>
    </r>
  </si>
  <si>
    <r>
      <rPr>
        <b/>
        <sz val="10"/>
        <color theme="1"/>
        <rFont val="微软雅黑"/>
        <family val="2"/>
        <charset val="134"/>
      </rPr>
      <t>银行账号</t>
    </r>
  </si>
  <si>
    <r>
      <rPr>
        <b/>
        <sz val="10"/>
        <color theme="1"/>
        <rFont val="微软雅黑"/>
        <family val="2"/>
        <charset val="134"/>
      </rPr>
      <t>账户类型</t>
    </r>
  </si>
  <si>
    <r>
      <rPr>
        <b/>
        <sz val="10"/>
        <color theme="1"/>
        <rFont val="微软雅黑"/>
        <family val="2"/>
        <charset val="134"/>
      </rPr>
      <t>利率</t>
    </r>
  </si>
  <si>
    <r>
      <rPr>
        <b/>
        <sz val="10"/>
        <color theme="1"/>
        <rFont val="微软雅黑"/>
        <family val="2"/>
        <charset val="134"/>
      </rPr>
      <t>回函币种</t>
    </r>
  </si>
  <si>
    <r>
      <rPr>
        <b/>
        <sz val="10"/>
        <color theme="1"/>
        <rFont val="微软雅黑"/>
        <family val="2"/>
        <charset val="134"/>
      </rPr>
      <t xml:space="preserve">回函金额
</t>
    </r>
    <r>
      <rPr>
        <b/>
        <sz val="10"/>
        <color rgb="FFFF0000"/>
        <rFont val="Arial"/>
        <family val="2"/>
      </rPr>
      <t>B</t>
    </r>
  </si>
  <si>
    <r>
      <rPr>
        <b/>
        <sz val="10"/>
        <color theme="1"/>
        <rFont val="微软雅黑"/>
        <family val="2"/>
        <charset val="134"/>
      </rPr>
      <t>是否属于资金归集（资金池或其他资金管理）账户</t>
    </r>
  </si>
  <si>
    <r>
      <rPr>
        <b/>
        <sz val="10"/>
        <color theme="1"/>
        <rFont val="微软雅黑"/>
        <family val="2"/>
        <charset val="134"/>
      </rPr>
      <t>存款起止日期</t>
    </r>
  </si>
  <si>
    <r>
      <rPr>
        <b/>
        <sz val="10"/>
        <color theme="1"/>
        <rFont val="微软雅黑"/>
        <family val="2"/>
        <charset val="134"/>
      </rPr>
      <t>是否存在冻结、担保或其他使用限制</t>
    </r>
  </si>
  <si>
    <r>
      <rPr>
        <b/>
        <sz val="10"/>
        <color theme="1"/>
        <rFont val="微软雅黑"/>
        <family val="2"/>
        <charset val="134"/>
      </rPr>
      <t>备注</t>
    </r>
    <phoneticPr fontId="114" type="noConversion"/>
  </si>
  <si>
    <r>
      <rPr>
        <b/>
        <sz val="10"/>
        <color rgb="FF000000"/>
        <rFont val="微软雅黑"/>
        <family val="2"/>
        <charset val="134"/>
      </rPr>
      <t>销户日期</t>
    </r>
    <phoneticPr fontId="114" type="noConversion"/>
  </si>
  <si>
    <r>
      <rPr>
        <b/>
        <sz val="10"/>
        <color indexed="8"/>
        <rFont val="微软雅黑"/>
        <family val="2"/>
        <charset val="134"/>
      </rPr>
      <t xml:space="preserve">回函金额差异
（原币）
</t>
    </r>
    <r>
      <rPr>
        <b/>
        <sz val="10"/>
        <color rgb="FFFF0000"/>
        <rFont val="Arial"/>
        <family val="2"/>
      </rPr>
      <t>C=A-B</t>
    </r>
  </si>
  <si>
    <r>
      <rPr>
        <b/>
        <sz val="10"/>
        <color indexed="8"/>
        <rFont val="微软雅黑"/>
        <family val="2"/>
        <charset val="134"/>
      </rPr>
      <t>对于金额差异的描述、跟进措施记录</t>
    </r>
  </si>
  <si>
    <r>
      <rPr>
        <b/>
        <sz val="10"/>
        <color indexed="8"/>
        <rFont val="微软雅黑"/>
        <family val="2"/>
        <charset val="134"/>
      </rPr>
      <t>本期末实际受限金额
（本币）</t>
    </r>
  </si>
  <si>
    <r>
      <rPr>
        <b/>
        <sz val="10"/>
        <color rgb="FF000000"/>
        <rFont val="微软雅黑"/>
        <family val="2"/>
        <charset val="134"/>
      </rPr>
      <t>记录受限原因、确认受限情形进行了适当的分类和披露；在回函未确认受限情形时，记录我们的补充工作以及支持性文件索引</t>
    </r>
    <r>
      <rPr>
        <b/>
        <vertAlign val="subscript"/>
        <sz val="10"/>
        <color rgb="FFFF0000"/>
        <rFont val="Arial"/>
        <family val="2"/>
      </rPr>
      <t>1</t>
    </r>
    <phoneticPr fontId="114" type="noConversion"/>
  </si>
  <si>
    <r>
      <rPr>
        <b/>
        <sz val="10"/>
        <color indexed="8"/>
        <rFont val="微软雅黑"/>
        <family val="2"/>
        <charset val="134"/>
      </rPr>
      <t>其他回函信息跟进工作底稿索引</t>
    </r>
  </si>
  <si>
    <r>
      <rPr>
        <b/>
        <sz val="10"/>
        <color indexed="8"/>
        <rFont val="微软雅黑"/>
        <family val="2"/>
        <charset val="134"/>
      </rPr>
      <t>替代测试索引</t>
    </r>
  </si>
  <si>
    <t>8e07df5e-dbe6-449f-8e52-2e5f2b8a51ff</t>
    <phoneticPr fontId="114" type="noConversion"/>
  </si>
  <si>
    <r>
      <rPr>
        <b/>
        <sz val="10"/>
        <color rgb="FF000000"/>
        <rFont val="微软雅黑"/>
        <family val="2"/>
        <charset val="134"/>
      </rPr>
      <t>公司名称</t>
    </r>
  </si>
  <si>
    <r>
      <rPr>
        <b/>
        <sz val="10"/>
        <color rgb="FF000000"/>
        <rFont val="微软雅黑"/>
        <family val="2"/>
        <charset val="134"/>
      </rPr>
      <t>账号</t>
    </r>
  </si>
  <si>
    <r>
      <rPr>
        <sz val="10"/>
        <color theme="1"/>
        <rFont val="微软雅黑"/>
        <family val="2"/>
        <charset val="134"/>
      </rPr>
      <t>记录识别的异常的详细信息以及如何解决这些异常，包括执行的额外实质性程序</t>
    </r>
    <r>
      <rPr>
        <b/>
        <i/>
        <sz val="10"/>
        <color rgb="FFFF0000"/>
        <rFont val="微软雅黑"/>
        <family val="2"/>
        <charset val="134"/>
      </rPr>
      <t>（指引</t>
    </r>
    <r>
      <rPr>
        <b/>
        <i/>
        <sz val="10"/>
        <color rgb="FFFF0000"/>
        <rFont val="Arial"/>
        <family val="2"/>
      </rPr>
      <t>:</t>
    </r>
    <r>
      <rPr>
        <b/>
        <i/>
        <sz val="10"/>
        <color rgb="FFFF0000"/>
        <rFont val="微软雅黑"/>
        <family val="2"/>
        <charset val="134"/>
      </rPr>
      <t>包括充分的描述，以使经验丰富目之前与审计没有关联的审计师能够了解执行的程序）</t>
    </r>
    <phoneticPr fontId="114" type="noConversion"/>
  </si>
  <si>
    <r>
      <rPr>
        <b/>
        <sz val="10"/>
        <rFont val="微软雅黑"/>
        <family val="2"/>
        <charset val="134"/>
      </rPr>
      <t>安永属性测试说明</t>
    </r>
    <r>
      <rPr>
        <b/>
        <sz val="10"/>
        <rFont val="Arial"/>
        <family val="2"/>
      </rPr>
      <t>:</t>
    </r>
  </si>
  <si>
    <t>EY Works</t>
    <phoneticPr fontId="57"/>
  </si>
  <si>
    <r>
      <rPr>
        <b/>
        <sz val="10"/>
        <color theme="1"/>
        <rFont val="微软雅黑"/>
        <family val="2"/>
        <charset val="134"/>
      </rPr>
      <t>测试使用权受到限制的货币资金</t>
    </r>
  </si>
  <si>
    <r>
      <rPr>
        <b/>
        <sz val="10"/>
        <color rgb="FFFF0000"/>
        <rFont val="微软雅黑"/>
        <family val="2"/>
        <charset val="134"/>
      </rPr>
      <t>已经在</t>
    </r>
    <r>
      <rPr>
        <b/>
        <sz val="10"/>
        <color rgb="FFFF0000"/>
        <rFont val="Arial"/>
        <family val="2"/>
      </rPr>
      <t xml:space="preserve">C.01 Confirmations </t>
    </r>
    <r>
      <rPr>
        <b/>
        <sz val="10"/>
        <color rgb="FFFF0000"/>
        <rFont val="微软雅黑"/>
        <family val="2"/>
        <charset val="134"/>
      </rPr>
      <t>、</t>
    </r>
    <r>
      <rPr>
        <b/>
        <sz val="10"/>
        <color rgb="FFFF0000"/>
        <rFont val="Arial"/>
        <family val="2"/>
      </rPr>
      <t xml:space="preserve">C.01b </t>
    </r>
    <r>
      <rPr>
        <b/>
        <sz val="10"/>
        <color rgb="FFFF0000"/>
        <rFont val="微软雅黑"/>
        <family val="2"/>
        <charset val="134"/>
      </rPr>
      <t>特殊账户程序中执行工作的项目，无需重复执行本测试</t>
    </r>
  </si>
  <si>
    <r>
      <t>1)</t>
    </r>
    <r>
      <rPr>
        <sz val="11"/>
        <color rgb="FF000000"/>
        <rFont val="微软雅黑"/>
        <family val="2"/>
        <charset val="134"/>
      </rPr>
      <t>选取期末所有的现金及现金等价物进行测试，评估使用权收到限制的现金及现金等价物是否根据实体的政策和适用的财务报告框架进行了恰当的分类和披露。</t>
    </r>
  </si>
  <si>
    <t>|---------------------------------------------------------------------------------------------------------C.00 BKD-------------------------------------------------------------------------------------------|</t>
  </si>
  <si>
    <t>EY Works</t>
    <phoneticPr fontId="114" type="noConversion"/>
  </si>
  <si>
    <r>
      <rPr>
        <b/>
        <sz val="10"/>
        <color theme="1"/>
        <rFont val="微软雅黑"/>
        <family val="2"/>
        <charset val="134"/>
      </rPr>
      <t>本期末实际受限金额
（本币）</t>
    </r>
  </si>
  <si>
    <r>
      <rPr>
        <b/>
        <sz val="10"/>
        <color theme="1"/>
        <rFont val="微软雅黑"/>
        <family val="2"/>
        <charset val="134"/>
      </rPr>
      <t>测试现金等价物的分类是否正确</t>
    </r>
  </si>
  <si>
    <r>
      <rPr>
        <b/>
        <sz val="10"/>
        <color rgb="FFFF0000"/>
        <rFont val="微软雅黑"/>
        <family val="2"/>
        <charset val="134"/>
      </rPr>
      <t>选取本期末全部现金等价物项目进行测试，如，定期存款等。注意，使用权受到限制的货币资金一般不得分类为现金等价物。</t>
    </r>
  </si>
  <si>
    <r>
      <t>1)</t>
    </r>
    <r>
      <rPr>
        <sz val="10"/>
        <color rgb="FF000000"/>
        <rFont val="微软雅黑"/>
        <family val="2"/>
        <charset val="134"/>
      </rPr>
      <t>评估被选中的项目，根据实体的政策和适用的财务报告框架，是否应当分类为现金等价物？</t>
    </r>
  </si>
  <si>
    <r>
      <t>2)</t>
    </r>
    <r>
      <rPr>
        <sz val="10"/>
        <rFont val="微软雅黑"/>
        <family val="2"/>
        <charset val="134"/>
      </rPr>
      <t>评估管理层的分类和披露，与在</t>
    </r>
    <r>
      <rPr>
        <sz val="10"/>
        <rFont val="Arial"/>
        <family val="2"/>
      </rPr>
      <t>1)</t>
    </r>
    <r>
      <rPr>
        <sz val="10"/>
        <rFont val="微软雅黑"/>
        <family val="2"/>
        <charset val="134"/>
      </rPr>
      <t>中的判断是否一致？</t>
    </r>
  </si>
  <si>
    <r>
      <rPr>
        <b/>
        <sz val="10"/>
        <color rgb="FF000000"/>
        <rFont val="微软雅黑"/>
        <family val="2"/>
        <charset val="134"/>
      </rPr>
      <t>存款起止日期</t>
    </r>
  </si>
  <si>
    <t>90b881c4-583d-4889-826d-7581aa385c01</t>
    <phoneticPr fontId="114" type="noConversion"/>
  </si>
  <si>
    <r>
      <t xml:space="preserve">C.02. </t>
    </r>
    <r>
      <rPr>
        <b/>
        <sz val="12"/>
        <color rgb="FF000000"/>
        <rFont val="微软雅黑"/>
        <family val="2"/>
        <charset val="134"/>
      </rPr>
      <t>银行余额调节</t>
    </r>
  </si>
  <si>
    <r>
      <rPr>
        <b/>
        <sz val="10"/>
        <color theme="1"/>
        <rFont val="微软雅黑"/>
        <family val="2"/>
        <charset val="134"/>
      </rPr>
      <t>余额调节项测试</t>
    </r>
  </si>
  <si>
    <r>
      <rPr>
        <b/>
        <sz val="10"/>
        <color rgb="FF000000"/>
        <rFont val="微软雅黑"/>
        <family val="2"/>
        <charset val="134"/>
      </rPr>
      <t>用于识别和测试调节项的测试阈值</t>
    </r>
  </si>
  <si>
    <r>
      <rPr>
        <sz val="10"/>
        <color theme="1"/>
        <rFont val="微软雅黑"/>
        <family val="2"/>
        <charset val="134"/>
      </rPr>
      <t>记录所选个别调节项的理由，包括选取的测试阈值以及我们识别异常或意料之外项目的依据：</t>
    </r>
  </si>
  <si>
    <r>
      <rPr>
        <b/>
        <sz val="10"/>
        <color rgb="FFFF0000"/>
        <rFont val="微软雅黑"/>
        <family val="2"/>
        <charset val="134"/>
      </rPr>
      <t>表</t>
    </r>
    <r>
      <rPr>
        <b/>
        <sz val="10"/>
        <color rgb="FFFF0000"/>
        <rFont val="Arial"/>
        <family val="2"/>
      </rPr>
      <t xml:space="preserve">1.1 </t>
    </r>
    <r>
      <rPr>
        <b/>
        <sz val="10"/>
        <color theme="1"/>
        <rFont val="微软雅黑"/>
        <family val="2"/>
        <charset val="134"/>
      </rPr>
      <t>余额调节账户</t>
    </r>
    <r>
      <rPr>
        <b/>
        <sz val="10"/>
        <color theme="1"/>
        <rFont val="Arial"/>
        <family val="2"/>
      </rPr>
      <t>1</t>
    </r>
  </si>
  <si>
    <t>获取存在调节项的银行余额账户，并获取管理层编制的银行余额调节表。审计项目组列示C_BKD中账面余额与对账单金额存在差异的账户清单。如果客户可以提供自己格式的银行余额调节表，也可以直接采用客户的余额调节表执行如下审计程序，无需一定要采用下方表格格式。</t>
    <phoneticPr fontId="114" type="noConversion"/>
  </si>
  <si>
    <r>
      <rPr>
        <b/>
        <sz val="10"/>
        <color theme="1"/>
        <rFont val="微软雅黑"/>
        <family val="2"/>
        <charset val="134"/>
      </rPr>
      <t>科目</t>
    </r>
  </si>
  <si>
    <r>
      <rPr>
        <b/>
        <sz val="10"/>
        <color theme="1"/>
        <rFont val="微软雅黑"/>
        <family val="2"/>
        <charset val="134"/>
      </rPr>
      <t>索引号</t>
    </r>
  </si>
  <si>
    <r>
      <rPr>
        <sz val="10"/>
        <color theme="1"/>
        <rFont val="微软雅黑"/>
        <family val="2"/>
        <charset val="134"/>
      </rPr>
      <t>银行名称</t>
    </r>
  </si>
  <si>
    <r>
      <rPr>
        <sz val="10"/>
        <color theme="1"/>
        <rFont val="微软雅黑"/>
        <family val="2"/>
        <charset val="134"/>
      </rPr>
      <t>银行账号</t>
    </r>
  </si>
  <si>
    <r>
      <rPr>
        <sz val="10"/>
        <color theme="1"/>
        <rFont val="微软雅黑"/>
        <family val="2"/>
        <charset val="134"/>
      </rPr>
      <t>原币币种</t>
    </r>
  </si>
  <si>
    <r>
      <rPr>
        <sz val="10"/>
        <color theme="1"/>
        <rFont val="微软雅黑"/>
        <family val="2"/>
        <charset val="134"/>
      </rPr>
      <t>余额调节表编制日期</t>
    </r>
  </si>
  <si>
    <r>
      <rPr>
        <b/>
        <sz val="10"/>
        <color theme="1"/>
        <rFont val="微软雅黑"/>
        <family val="2"/>
        <charset val="134"/>
      </rPr>
      <t>调整项目（摘要）</t>
    </r>
  </si>
  <si>
    <r>
      <rPr>
        <b/>
        <sz val="10"/>
        <color theme="1"/>
        <rFont val="微软雅黑"/>
        <family val="2"/>
        <charset val="134"/>
      </rPr>
      <t>期末账面数
（原币）</t>
    </r>
  </si>
  <si>
    <t>Index</t>
  </si>
  <si>
    <r>
      <rPr>
        <b/>
        <sz val="10"/>
        <color theme="1"/>
        <rFont val="微软雅黑"/>
        <family val="2"/>
        <charset val="134"/>
      </rPr>
      <t>银行对账单金额
（原币数）</t>
    </r>
  </si>
  <si>
    <r>
      <rPr>
        <b/>
        <sz val="10"/>
        <color theme="1"/>
        <rFont val="微软雅黑"/>
        <family val="2"/>
        <charset val="134"/>
      </rPr>
      <t>加：银收企未收</t>
    </r>
  </si>
  <si>
    <r>
      <rPr>
        <b/>
        <sz val="10"/>
        <color theme="1"/>
        <rFont val="微软雅黑"/>
        <family val="2"/>
        <charset val="134"/>
      </rPr>
      <t>加：企收银未收</t>
    </r>
  </si>
  <si>
    <r>
      <rPr>
        <b/>
        <sz val="10"/>
        <color theme="1"/>
        <rFont val="微软雅黑"/>
        <family val="2"/>
        <charset val="134"/>
      </rPr>
      <t>减：银付企未付</t>
    </r>
  </si>
  <si>
    <r>
      <rPr>
        <b/>
        <sz val="10"/>
        <color theme="1"/>
        <rFont val="微软雅黑"/>
        <family val="2"/>
        <charset val="134"/>
      </rPr>
      <t>减：企付银未付</t>
    </r>
  </si>
  <si>
    <r>
      <rPr>
        <b/>
        <sz val="10"/>
        <color theme="1"/>
        <rFont val="微软雅黑"/>
        <family val="2"/>
        <charset val="134"/>
      </rPr>
      <t>调节后金额合计</t>
    </r>
  </si>
  <si>
    <t>Check</t>
  </si>
  <si>
    <r>
      <rPr>
        <b/>
        <sz val="10"/>
        <color rgb="FFFF0000"/>
        <rFont val="微软雅黑"/>
        <family val="2"/>
        <charset val="134"/>
      </rPr>
      <t>表</t>
    </r>
    <r>
      <rPr>
        <b/>
        <sz val="10"/>
        <color rgb="FFFF0000"/>
        <rFont val="Arial"/>
        <family val="2"/>
      </rPr>
      <t xml:space="preserve">1.2 </t>
    </r>
    <r>
      <rPr>
        <sz val="10"/>
        <color theme="1"/>
        <rFont val="微软雅黑"/>
        <family val="2"/>
        <charset val="134"/>
      </rPr>
      <t>从实体（而非银行）记录的项目列表（即</t>
    </r>
    <r>
      <rPr>
        <b/>
        <sz val="10"/>
        <color theme="1"/>
        <rFont val="微软雅黑"/>
        <family val="2"/>
        <charset val="134"/>
      </rPr>
      <t>企收银未收、企付银未付</t>
    </r>
    <r>
      <rPr>
        <sz val="10"/>
        <color theme="1"/>
        <rFont val="微软雅黑"/>
        <family val="2"/>
        <charset val="134"/>
      </rPr>
      <t>的项目）出发，将期前的账面记录核对到期后的银行流水记录：</t>
    </r>
  </si>
  <si>
    <t>Index</t>
    <phoneticPr fontId="114" type="noConversion"/>
  </si>
  <si>
    <r>
      <rPr>
        <b/>
        <sz val="10"/>
        <color theme="1"/>
        <rFont val="微软雅黑"/>
        <family val="2"/>
        <charset val="134"/>
      </rPr>
      <t>凭证类型号
（期前）</t>
    </r>
  </si>
  <si>
    <r>
      <rPr>
        <b/>
        <sz val="10"/>
        <color theme="1"/>
        <rFont val="微软雅黑"/>
        <family val="2"/>
        <charset val="134"/>
      </rPr>
      <t>账面记录的
交易日期</t>
    </r>
  </si>
  <si>
    <r>
      <rPr>
        <b/>
        <sz val="10"/>
        <rFont val="微软雅黑"/>
        <family val="2"/>
        <charset val="134"/>
      </rPr>
      <t xml:space="preserve">金额
</t>
    </r>
    <r>
      <rPr>
        <b/>
        <sz val="10"/>
        <rFont val="Arial"/>
        <family val="2"/>
      </rPr>
      <t>(</t>
    </r>
    <r>
      <rPr>
        <b/>
        <sz val="10"/>
        <rFont val="微软雅黑"/>
        <family val="2"/>
        <charset val="134"/>
      </rPr>
      <t>收款填列正数，付款填列负数）</t>
    </r>
  </si>
  <si>
    <r>
      <rPr>
        <b/>
        <sz val="10"/>
        <color theme="1"/>
        <rFont val="微软雅黑"/>
        <family val="2"/>
        <charset val="134"/>
      </rPr>
      <t>银行记录的
交易日期</t>
    </r>
    <r>
      <rPr>
        <b/>
        <sz val="10"/>
        <color theme="1"/>
        <rFont val="Arial"/>
        <family val="2"/>
      </rPr>
      <t>/</t>
    </r>
    <r>
      <rPr>
        <b/>
        <sz val="10"/>
        <color theme="1"/>
        <rFont val="微软雅黑"/>
        <family val="2"/>
        <charset val="134"/>
      </rPr>
      <t>结算日期</t>
    </r>
  </si>
  <si>
    <r>
      <rPr>
        <b/>
        <sz val="10"/>
        <color theme="1"/>
        <rFont val="微软雅黑"/>
        <family val="2"/>
        <charset val="134"/>
      </rPr>
      <t>期末前，我们检查被审计单位已根据适用的会计准则要求，将银行收支交易恰当的记录到会计账簿；</t>
    </r>
  </si>
  <si>
    <r>
      <rPr>
        <b/>
        <sz val="10"/>
        <color theme="1"/>
        <rFont val="微软雅黑"/>
        <family val="2"/>
        <charset val="134"/>
      </rPr>
      <t>期末后，我们将银行流水记录，与期前的会计账簿记录核对一致，确认款项已妥善结清</t>
    </r>
  </si>
  <si>
    <r>
      <rPr>
        <b/>
        <sz val="10"/>
        <color rgb="FFFF0000"/>
        <rFont val="微软雅黑"/>
        <family val="2"/>
        <charset val="134"/>
      </rPr>
      <t>表</t>
    </r>
    <r>
      <rPr>
        <b/>
        <sz val="10"/>
        <color rgb="FFFF0000"/>
        <rFont val="Arial"/>
        <family val="2"/>
      </rPr>
      <t xml:space="preserve">1.3 </t>
    </r>
    <r>
      <rPr>
        <sz val="10"/>
        <color theme="1"/>
        <rFont val="微软雅黑"/>
        <family val="2"/>
        <charset val="134"/>
      </rPr>
      <t>从银行（而非实体）记录的项目列表（即</t>
    </r>
    <r>
      <rPr>
        <b/>
        <sz val="10"/>
        <color theme="1"/>
        <rFont val="微软雅黑"/>
        <family val="2"/>
        <charset val="134"/>
      </rPr>
      <t>银收企未收、银付企未付</t>
    </r>
    <r>
      <rPr>
        <sz val="10"/>
        <color theme="1"/>
        <rFont val="微软雅黑"/>
        <family val="2"/>
        <charset val="134"/>
      </rPr>
      <t>的项目）出发，将期前的银行流水记录核对到期后的账面记录</t>
    </r>
  </si>
  <si>
    <r>
      <rPr>
        <b/>
        <sz val="10"/>
        <color theme="1"/>
        <rFont val="微软雅黑"/>
        <family val="2"/>
        <charset val="134"/>
      </rPr>
      <t>凭证类型号
（期后）</t>
    </r>
  </si>
  <si>
    <r>
      <rPr>
        <b/>
        <sz val="10"/>
        <color theme="1"/>
        <rFont val="微软雅黑"/>
        <family val="2"/>
        <charset val="134"/>
      </rPr>
      <t>期末前，我们将银行流水记录，与期后的会计账簿记录核对一致，确认款项已妥善结清</t>
    </r>
  </si>
  <si>
    <r>
      <rPr>
        <b/>
        <sz val="10"/>
        <color theme="1"/>
        <rFont val="微软雅黑"/>
        <family val="2"/>
        <charset val="134"/>
      </rPr>
      <t>期末后，我们检查被审计单位已根据适用的会计准则要求，将银行收支交易恰当的记录到会计账簿</t>
    </r>
  </si>
  <si>
    <r>
      <rPr>
        <b/>
        <sz val="10"/>
        <color theme="1"/>
        <rFont val="微软雅黑"/>
        <family val="2"/>
        <charset val="134"/>
      </rPr>
      <t>余额调节项完整性测试</t>
    </r>
  </si>
  <si>
    <r>
      <rPr>
        <b/>
        <sz val="10"/>
        <color rgb="FFFF0000"/>
        <rFont val="微软雅黑"/>
        <family val="2"/>
        <charset val="134"/>
      </rPr>
      <t>表</t>
    </r>
    <r>
      <rPr>
        <b/>
        <sz val="10"/>
        <color rgb="FFFF0000"/>
        <rFont val="Arial"/>
        <family val="2"/>
      </rPr>
      <t xml:space="preserve">2.1 </t>
    </r>
    <r>
      <rPr>
        <b/>
        <sz val="10"/>
        <color theme="1"/>
        <rFont val="微软雅黑"/>
        <family val="2"/>
        <charset val="134"/>
      </rPr>
      <t>确定余额调节项完整性测试的测试阈值和截止期间</t>
    </r>
  </si>
  <si>
    <r>
      <rPr>
        <b/>
        <sz val="10"/>
        <color theme="1"/>
        <rFont val="微软雅黑"/>
        <family val="2"/>
        <charset val="134"/>
      </rPr>
      <t>用于识别和测试调节项的测试阈值</t>
    </r>
  </si>
  <si>
    <r>
      <rPr>
        <b/>
        <sz val="10"/>
        <color theme="1"/>
        <rFont val="微软雅黑"/>
        <family val="2"/>
        <charset val="134"/>
      </rPr>
      <t>使用的截止期间</t>
    </r>
  </si>
  <si>
    <r>
      <rPr>
        <sz val="11"/>
        <color theme="1"/>
        <rFont val="微软雅黑"/>
        <family val="2"/>
        <charset val="134"/>
      </rPr>
      <t>请在下面描述所使用截止期间的理由：</t>
    </r>
  </si>
  <si>
    <r>
      <rPr>
        <b/>
        <sz val="10"/>
        <color rgb="FFFF0000"/>
        <rFont val="微软雅黑"/>
        <family val="2"/>
        <charset val="134"/>
      </rPr>
      <t>表</t>
    </r>
    <r>
      <rPr>
        <b/>
        <sz val="10"/>
        <color rgb="FFFF0000"/>
        <rFont val="Arial"/>
        <family val="2"/>
      </rPr>
      <t xml:space="preserve">2.2 </t>
    </r>
    <r>
      <rPr>
        <b/>
        <sz val="10"/>
        <color theme="1"/>
        <rFont val="微软雅黑"/>
        <family val="2"/>
        <charset val="134"/>
      </rPr>
      <t>根据表</t>
    </r>
    <r>
      <rPr>
        <b/>
        <sz val="10"/>
        <color theme="1"/>
        <rFont val="Arial"/>
        <family val="2"/>
      </rPr>
      <t>2.1</t>
    </r>
    <r>
      <rPr>
        <b/>
        <sz val="10"/>
        <color theme="1"/>
        <rFont val="微软雅黑"/>
        <family val="2"/>
        <charset val="134"/>
      </rPr>
      <t>确定的测试期间和测试阈值，对抽取的样本执行以下程序。</t>
    </r>
  </si>
  <si>
    <r>
      <rPr>
        <b/>
        <sz val="10"/>
        <color rgb="FFFF0000"/>
        <rFont val="微软雅黑"/>
        <family val="2"/>
        <charset val="134"/>
      </rPr>
      <t>为确保银行账户余额调节项的完整性，我们针对具有余额调节项的银行账户、以及我们已识别出余额调节项完整性存在重大错报风险的银行账户，获取期后银行流水。我们记录了使用该截止期间的理由，并完成了测试。</t>
    </r>
  </si>
  <si>
    <r>
      <t>|-----------------------------------------------------------------------------------------------------------------------------</t>
    </r>
    <r>
      <rPr>
        <b/>
        <sz val="10"/>
        <color rgb="FFFF0000"/>
        <rFont val="微软雅黑"/>
        <family val="2"/>
        <charset val="134"/>
      </rPr>
      <t>银行流水</t>
    </r>
    <r>
      <rPr>
        <b/>
        <sz val="10"/>
        <color rgb="FFFF0000"/>
        <rFont val="Arial"/>
        <family val="2"/>
      </rPr>
      <t>-------------------------------------------------------------------------------------------------------------------------------------------|</t>
    </r>
  </si>
  <si>
    <r>
      <t>|-----------------------</t>
    </r>
    <r>
      <rPr>
        <b/>
        <sz val="10"/>
        <color rgb="FFFF0000"/>
        <rFont val="微软雅黑"/>
        <family val="2"/>
        <charset val="134"/>
      </rPr>
      <t>管理层会计账簿</t>
    </r>
    <r>
      <rPr>
        <b/>
        <sz val="10"/>
        <color rgb="FFFF0000"/>
        <rFont val="Arial"/>
        <family val="2"/>
      </rPr>
      <t>--------------------|</t>
    </r>
  </si>
  <si>
    <r>
      <rPr>
        <b/>
        <sz val="10"/>
        <rFont val="微软雅黑"/>
        <family val="2"/>
        <charset val="134"/>
      </rPr>
      <t>样本编号</t>
    </r>
  </si>
  <si>
    <r>
      <rPr>
        <b/>
        <sz val="10"/>
        <rFont val="微软雅黑"/>
        <family val="2"/>
        <charset val="134"/>
      </rPr>
      <t>公司名称</t>
    </r>
  </si>
  <si>
    <r>
      <rPr>
        <b/>
        <sz val="10"/>
        <rFont val="微软雅黑"/>
        <family val="2"/>
        <charset val="134"/>
      </rPr>
      <t>银行名称</t>
    </r>
  </si>
  <si>
    <r>
      <rPr>
        <b/>
        <sz val="10"/>
        <rFont val="微软雅黑"/>
        <family val="2"/>
        <charset val="134"/>
      </rPr>
      <t>银行账号</t>
    </r>
  </si>
  <si>
    <r>
      <rPr>
        <b/>
        <sz val="10"/>
        <rFont val="微软雅黑"/>
        <family val="2"/>
        <charset val="134"/>
      </rPr>
      <t>银行记录的
交易日期</t>
    </r>
    <r>
      <rPr>
        <b/>
        <sz val="10"/>
        <rFont val="Arial"/>
        <family val="2"/>
      </rPr>
      <t>/</t>
    </r>
    <r>
      <rPr>
        <b/>
        <sz val="10"/>
        <rFont val="微软雅黑"/>
        <family val="2"/>
        <charset val="134"/>
      </rPr>
      <t>结算日期</t>
    </r>
  </si>
  <si>
    <r>
      <rPr>
        <b/>
        <sz val="10"/>
        <rFont val="微软雅黑"/>
        <family val="2"/>
        <charset val="134"/>
      </rPr>
      <t>交易编号</t>
    </r>
  </si>
  <si>
    <r>
      <rPr>
        <b/>
        <sz val="10"/>
        <rFont val="微软雅黑"/>
        <family val="2"/>
        <charset val="134"/>
      </rPr>
      <t>币种</t>
    </r>
  </si>
  <si>
    <r>
      <rPr>
        <b/>
        <sz val="10"/>
        <rFont val="微软雅黑"/>
        <family val="2"/>
        <charset val="134"/>
      </rPr>
      <t>该笔交易是否</t>
    </r>
    <r>
      <rPr>
        <b/>
        <sz val="10"/>
        <color rgb="FFFF0000"/>
        <rFont val="微软雅黑"/>
        <family val="2"/>
        <charset val="134"/>
      </rPr>
      <t>应当</t>
    </r>
    <r>
      <rPr>
        <b/>
        <sz val="10"/>
        <rFont val="微软雅黑"/>
        <family val="2"/>
        <charset val="134"/>
      </rPr>
      <t>计入期末余额调节表？</t>
    </r>
  </si>
  <si>
    <r>
      <rPr>
        <b/>
        <sz val="10"/>
        <rFont val="微软雅黑"/>
        <family val="2"/>
        <charset val="134"/>
      </rPr>
      <t>该笔交易是否</t>
    </r>
    <r>
      <rPr>
        <b/>
        <sz val="10"/>
        <color rgb="FFFF0000"/>
        <rFont val="微软雅黑"/>
        <family val="2"/>
        <charset val="134"/>
      </rPr>
      <t>应当</t>
    </r>
    <r>
      <rPr>
        <b/>
        <sz val="10"/>
        <rFont val="微软雅黑"/>
        <family val="2"/>
        <charset val="134"/>
      </rPr>
      <t>计入当期账面？</t>
    </r>
  </si>
  <si>
    <r>
      <rPr>
        <b/>
        <sz val="10"/>
        <color rgb="FF000000"/>
        <rFont val="微软雅黑"/>
        <family val="2"/>
        <charset val="134"/>
      </rPr>
      <t>该笔交易是否按照相关会计准则进行了恰当的处理？</t>
    </r>
  </si>
  <si>
    <r>
      <rPr>
        <b/>
        <sz val="10"/>
        <rFont val="微软雅黑"/>
        <family val="2"/>
        <charset val="134"/>
      </rPr>
      <t>备注</t>
    </r>
  </si>
  <si>
    <t>eeeed53b-601b-44e6-955e-6804b16b6e43</t>
    <phoneticPr fontId="114" type="noConversion"/>
  </si>
  <si>
    <t>EK1VPTZQYW1SK1ZCSSX1TFXSMTRW6EZZCSTEX1RCV91HG0PZA5VG</t>
  </si>
  <si>
    <t>Emma JH He</t>
  </si>
  <si>
    <t>P05SRP1JWHRBZSZJ6GRB81DBD3Q4W40RJFZ7YS60HXFQ91H292GG</t>
  </si>
  <si>
    <t>Johnny ZZ Zhang</t>
  </si>
  <si>
    <t>NR93MKF35EZT8NW1W2JRPKWHHB4VZTM96EX8FEVDTX6MGAD6996G</t>
  </si>
  <si>
    <t>Amanda Liang</t>
  </si>
  <si>
    <t>ZF1ETMEZC9QN6WPB23AEWKHPFR4F55CRNQ1D0B5WT7MED0ZKWWQG</t>
  </si>
  <si>
    <t>Amy LQ Chen</t>
  </si>
  <si>
    <t>G8F8ENVNS6NVQW7T8WXX38NRT9C6F65ED0E0GS4RDRPHKPE6JYW0</t>
  </si>
  <si>
    <t>Yao CY C Chen</t>
  </si>
  <si>
    <t>9QKVRYJWFZ38Q15SSC9F8R37HJH3965E74F5R92CN1PGMMZQECQ0</t>
  </si>
  <si>
    <t>Dan Y Yao</t>
  </si>
  <si>
    <t>27MRN2CY230YGQCH5SHPY9FGVAKPSVTQCEV49DCFDFF8H9XCQEK0</t>
  </si>
  <si>
    <t>Tian T Ma</t>
  </si>
  <si>
    <t>NJCBKWVS3J4F3HCA2MJBBCQ6HKD0ZSBEP3AX4S89TK4M9EY3DH60</t>
  </si>
  <si>
    <t>Phoebe YH Wang</t>
  </si>
  <si>
    <t>0NH4V0JHYJAK9FNS2C3A0N364JCC7PKKF342WDR5FWZZYXJHKXA0</t>
  </si>
  <si>
    <t>Trista CF Li</t>
  </si>
  <si>
    <t>T5WMV5MGJB59WZ0K302MPWMWM5G98C28W9B39WCZBPJXG5847NB0</t>
  </si>
  <si>
    <t>Grace YT Dai</t>
  </si>
  <si>
    <t>Q775XYNM7JGDVAMWSN3NR5KKNQM5NY4YPDM7W5EXVBGM3AB475NG</t>
  </si>
  <si>
    <t>Maikey Jin</t>
  </si>
  <si>
    <t>MQFDQD6SPH3FMJP2N0PQQ3N4PZ6XNH4T373A7HWSDE5TZ4A7V1DG</t>
  </si>
  <si>
    <t>Zelda Zhang</t>
  </si>
  <si>
    <t>8X7PYVP8C2C8T1HKPQQ1PKFG36HNJ659HK0KPRNFKDH93TMYMDE0</t>
  </si>
  <si>
    <t>Xiao Yu Q Quan</t>
  </si>
  <si>
    <t>N1FE23EA0HB4RD6ESRZ7MT3ECXZH00MXQ7GF84AR1B34JWH1CQMG</t>
  </si>
  <si>
    <t>Ashley YT He</t>
  </si>
  <si>
    <t>1P2X1MX3XYWCZ8E2MX2Y07YGB3MV287QRPBD8BFP4A63CGJFS7B0</t>
  </si>
  <si>
    <t>Evelyn Z Zhao</t>
  </si>
  <si>
    <t>4Z823YQ6WWHKP2SQZKRFWA1MQC85C4TFW8ZXK53HW5GKX3JEZQ00</t>
  </si>
  <si>
    <t>Nina XY Wang</t>
  </si>
  <si>
    <t>ESRXDMFF301213JT3ZH9F7ZDSK4QQHFF3A9ZCB0821P05Y900W90</t>
  </si>
  <si>
    <t>Alina Ye</t>
  </si>
  <si>
    <t>1JJHW2RA71BEV946RAW422BAFRW2GJRNFVYMYNDMNYRGVF7ER4E0</t>
  </si>
  <si>
    <t>Summer CH Hu</t>
  </si>
  <si>
    <t>NCN9GVS7YB2ETCVN7MZBV9G447DJ76R2C78P4GRG46G7PJNY5X10</t>
  </si>
  <si>
    <t>Ke Xin Fan</t>
  </si>
  <si>
    <t>6S9TPF8H3ZN4N0CHB8MYGHFTK6TQSV6Z8E1J7QSW8R4883X21Q5G</t>
  </si>
  <si>
    <t>Yu Qing YQ Cheng</t>
  </si>
  <si>
    <t>Create</t>
  </si>
  <si>
    <t>4d895e99-0076-4ce6-a07c-eae6f4396c83</t>
  </si>
  <si>
    <t>{"id":"4d895e99-0076-4ce6-a07c-eae6f4396c83","type":1,"name":"workbookId","value":"8e03150b-6290-47d2-9799-c039157425db"}</t>
  </si>
  <si>
    <t>db0c4ca0-43c9-429a-8749-8452749cb519</t>
  </si>
  <si>
    <t>{"id":"db0c4ca0-43c9-429a-8749-8452749cb519","type":0,"name":"dataSnipperSheetDeleted","value":"false"}</t>
  </si>
  <si>
    <t>28d3a200-1630-41ff-890e-d4b73a275b50</t>
  </si>
  <si>
    <t>{"id":"28d3a200-1630-41ff-890e-d4b73a275b50","type":0,"name":"embed-documents","value":"false"}</t>
  </si>
  <si>
    <t>2108dc9d-adff-451a-96e4-5ea47b3d353e</t>
  </si>
  <si>
    <t>{"id":"2108dc9d-adff-451a-96e4-5ea47b3d353e","type":0,"name":"table-snip-suggestions","value":"true"}</t>
  </si>
  <si>
    <t>ddf7c936-ddfe-42a1-923d-e157aa62580c</t>
  </si>
  <si>
    <t>{"id":"ddf7c936-ddfe-42a1-923d-e157aa62580c","type":1,"name":"migratedFssProjectId","value":""}</t>
  </si>
  <si>
    <t>{"id":"4d895e99-0076-4ce6-a07c-eae6f4396c83","type":1,"name":"workbookId","value":"f30fc162-3bc9-4689-aa89-d96cf6ca3770"}</t>
  </si>
  <si>
    <t>{"id":"db0c4ca0-43c9-429a-8749-8452749cb519","type":0,"name":"dataSnipperSheetDeleted","value":"true"}</t>
  </si>
  <si>
    <t>{"id":"28d3a200-1630-41ff-890e-d4b73a275b50","type":0,"name":"embed-documents","value":"true"}</t>
  </si>
  <si>
    <t>10494d48-2075-434b-9659-7b6bf83a94c8</t>
    <phoneticPr fontId="114" type="noConversion"/>
  </si>
  <si>
    <t>428bcb0b-85f7-4c15-9140-3212e12d0e35</t>
    <phoneticPr fontId="114" type="noConversion"/>
  </si>
  <si>
    <t>2387cfac-66ac-4135-8e2c-260239fd35f7</t>
    <phoneticPr fontId="114" type="noConversion"/>
  </si>
  <si>
    <t>CNY</t>
  </si>
  <si>
    <t>3b806d45-7e94-48de-97e2-2cdb473926b5</t>
    <phoneticPr fontId="114" type="noConversion"/>
  </si>
  <si>
    <r>
      <t xml:space="preserve">C.03 </t>
    </r>
    <r>
      <rPr>
        <b/>
        <sz val="12"/>
        <color rgb="FF000000"/>
        <rFont val="微软雅黑"/>
        <family val="2"/>
        <charset val="134"/>
      </rPr>
      <t>执行截止性测试</t>
    </r>
  </si>
  <si>
    <r>
      <rPr>
        <b/>
        <sz val="10"/>
        <color rgb="FFFF0000"/>
        <rFont val="微软雅黑"/>
        <family val="2"/>
        <charset val="134"/>
      </rPr>
      <t>表</t>
    </r>
    <r>
      <rPr>
        <b/>
        <sz val="10"/>
        <color rgb="FFFF0000"/>
        <rFont val="Arial"/>
        <family val="2"/>
      </rPr>
      <t>1.1</t>
    </r>
    <r>
      <rPr>
        <b/>
        <sz val="10"/>
        <color indexed="8"/>
        <rFont val="Arial"/>
        <family val="2"/>
      </rPr>
      <t xml:space="preserve"> </t>
    </r>
    <r>
      <rPr>
        <b/>
        <sz val="10"/>
        <color indexed="8"/>
        <rFont val="微软雅黑"/>
        <family val="2"/>
        <charset val="134"/>
      </rPr>
      <t>确定银行间转账测试的测试阈值和截止期间</t>
    </r>
  </si>
  <si>
    <r>
      <rPr>
        <b/>
        <sz val="10"/>
        <color theme="1"/>
        <rFont val="微软雅黑"/>
        <family val="2"/>
        <charset val="134"/>
      </rPr>
      <t>用于识别和测试银行转帐的测试阈值</t>
    </r>
  </si>
  <si>
    <r>
      <rPr>
        <b/>
        <sz val="10"/>
        <color theme="1"/>
        <rFont val="微软雅黑"/>
        <family val="2"/>
        <charset val="134"/>
      </rPr>
      <t>使用的截止期间（工作日）</t>
    </r>
  </si>
  <si>
    <r>
      <rPr>
        <sz val="10"/>
        <color theme="1"/>
        <rFont val="微软雅黑"/>
        <family val="2"/>
        <charset val="134"/>
      </rPr>
      <t>在下文中描述所使用截止期间的理由以及我们识别被认为异常或意料之外的银行转账的依据：</t>
    </r>
    <phoneticPr fontId="114" type="noConversion"/>
  </si>
  <si>
    <r>
      <rPr>
        <b/>
        <sz val="10"/>
        <color rgb="FFFF0000"/>
        <rFont val="微软雅黑"/>
        <family val="2"/>
        <charset val="134"/>
      </rPr>
      <t>表</t>
    </r>
    <r>
      <rPr>
        <b/>
        <sz val="10"/>
        <color rgb="FFFF0000"/>
        <rFont val="Arial"/>
        <family val="2"/>
      </rPr>
      <t>1.2</t>
    </r>
    <r>
      <rPr>
        <b/>
        <sz val="10"/>
        <color theme="1"/>
        <rFont val="Arial"/>
        <family val="2"/>
      </rPr>
      <t xml:space="preserve"> </t>
    </r>
    <r>
      <rPr>
        <b/>
        <sz val="10"/>
        <color theme="1"/>
        <rFont val="微软雅黑"/>
        <family val="2"/>
        <charset val="134"/>
      </rPr>
      <t>根据表</t>
    </r>
    <r>
      <rPr>
        <b/>
        <sz val="10"/>
        <color theme="1"/>
        <rFont val="Arial"/>
        <family val="2"/>
      </rPr>
      <t>1.1</t>
    </r>
    <r>
      <rPr>
        <b/>
        <sz val="10"/>
        <color theme="1"/>
        <rFont val="微软雅黑"/>
        <family val="2"/>
        <charset val="134"/>
      </rPr>
      <t>确定的测试期间和测试阈值，对抽取的样本执行以下程序。</t>
    </r>
  </si>
  <si>
    <r>
      <rPr>
        <b/>
        <i/>
        <sz val="10"/>
        <color rgb="FFFF0000"/>
        <rFont val="微软雅黑"/>
        <family val="2"/>
        <charset val="134"/>
      </rPr>
      <t>此程序涉及被审计单位，在适用函证测试范围内的银行账户，与被审计单位的另一个银行账户（不局限于适用函证测试的银行账户）之间的转账。</t>
    </r>
  </si>
  <si>
    <r>
      <rPr>
        <b/>
        <sz val="10"/>
        <color indexed="8"/>
        <rFont val="微软雅黑"/>
        <family val="2"/>
        <charset val="134"/>
      </rPr>
      <t>期末前银行间转账测试：</t>
    </r>
  </si>
  <si>
    <r>
      <rPr>
        <b/>
        <sz val="10"/>
        <rFont val="微软雅黑"/>
        <family val="2"/>
        <charset val="134"/>
      </rPr>
      <t>收款</t>
    </r>
    <r>
      <rPr>
        <b/>
        <sz val="10"/>
        <rFont val="Arial"/>
        <family val="2"/>
      </rPr>
      <t>/</t>
    </r>
    <r>
      <rPr>
        <b/>
        <sz val="10"/>
        <rFont val="微软雅黑"/>
        <family val="2"/>
        <charset val="134"/>
      </rPr>
      <t>付款时间</t>
    </r>
  </si>
  <si>
    <r>
      <rPr>
        <b/>
        <sz val="10"/>
        <rFont val="微软雅黑"/>
        <family val="2"/>
        <charset val="134"/>
      </rPr>
      <t xml:space="preserve">交易金额
</t>
    </r>
    <r>
      <rPr>
        <b/>
        <sz val="10"/>
        <rFont val="Arial"/>
        <family val="2"/>
      </rPr>
      <t>(</t>
    </r>
    <r>
      <rPr>
        <b/>
        <sz val="10"/>
        <rFont val="微软雅黑"/>
        <family val="2"/>
        <charset val="134"/>
      </rPr>
      <t>收款填列正数，付款填列负数）</t>
    </r>
  </si>
  <si>
    <r>
      <rPr>
        <b/>
        <sz val="10"/>
        <rFont val="微软雅黑"/>
        <family val="2"/>
        <charset val="134"/>
      </rPr>
      <t>交易日期</t>
    </r>
  </si>
  <si>
    <r>
      <rPr>
        <b/>
        <sz val="10"/>
        <color rgb="FF000000"/>
        <rFont val="微软雅黑"/>
        <family val="2"/>
        <charset val="134"/>
      </rPr>
      <t>银行间转账如</t>
    </r>
    <r>
      <rPr>
        <b/>
        <sz val="10"/>
        <color rgb="FFFF0000"/>
        <rFont val="微软雅黑"/>
        <family val="2"/>
        <charset val="134"/>
      </rPr>
      <t>跨期</t>
    </r>
    <r>
      <rPr>
        <b/>
        <sz val="10"/>
        <color rgb="FF000000"/>
        <rFont val="Arial"/>
        <family val="2"/>
      </rPr>
      <t xml:space="preserve">
</t>
    </r>
    <r>
      <rPr>
        <b/>
        <sz val="10"/>
        <color rgb="FF000000"/>
        <rFont val="微软雅黑"/>
        <family val="2"/>
        <charset val="134"/>
      </rPr>
      <t>是否在余额调节表中体现</t>
    </r>
  </si>
  <si>
    <r>
      <rPr>
        <b/>
        <sz val="10"/>
        <color rgb="FF000000"/>
        <rFont val="微软雅黑"/>
        <family val="2"/>
        <charset val="134"/>
      </rPr>
      <t>期末后银行间转账测试：</t>
    </r>
  </si>
  <si>
    <t>5AJH18F12ENV6SM1BH5B0D5KNYH2668TAQKER5S082RZ7067ANX0</t>
  </si>
  <si>
    <t>April YL Wang</t>
  </si>
  <si>
    <t>AJEX4J89EXX4R2KJPXPP5NM8QRF62F2DT7F7188WVT4CQ6HTGP70</t>
  </si>
  <si>
    <t>Rui R Hu</t>
  </si>
  <si>
    <t>招商银行股份有限公司襄阳分行营业部</t>
    <phoneticPr fontId="114" type="noConversion"/>
  </si>
  <si>
    <t>12791961377100020</t>
  </si>
  <si>
    <t>942068013000809290</t>
  </si>
  <si>
    <t>集团财务公司账户，执行内部对账程序</t>
  </si>
  <si>
    <t>C.01C内部对账!A1</t>
  </si>
  <si>
    <t>中国邮政储蓄银行股份有限公司襄阳市大庆东路支行</t>
    <phoneticPr fontId="114" type="noConversion"/>
  </si>
  <si>
    <t>对公活期保证金账户</t>
    <phoneticPr fontId="114" type="noConversion"/>
  </si>
  <si>
    <t>N/A</t>
    <phoneticPr fontId="114" type="noConversion"/>
  </si>
  <si>
    <t>我们选取大于测试阈值的项目进行测试。我们审阅了公司账户资产负债表日前后1天的银行流水，并没有发现任何余额调节事项。</t>
    <phoneticPr fontId="114" type="noConversion"/>
  </si>
  <si>
    <t xml:space="preserve"> </t>
    <phoneticPr fontId="114" type="noConversion"/>
  </si>
  <si>
    <t>2025/12/31-2026/01/01</t>
    <phoneticPr fontId="114" type="noConversion"/>
  </si>
  <si>
    <t>我们选取资产负债表日前后1天作为截止期间。
该公司的银行账户均为境内银行账户，银行转账业务已经基本实现实时交易，各银行账期相同。同时，我们了解到客户在期末前后银行转账交易并不频繁，出现错误的几率较小。我们还考虑了与我们的测试阈值和CRA的水平，综上，我们认为1天的测试期间是合理的。</t>
    <phoneticPr fontId="114" type="noConversion"/>
  </si>
  <si>
    <t>无样本</t>
    <phoneticPr fontId="114" type="noConversion"/>
  </si>
  <si>
    <t>经询问及函证测试，被审计单位不存在其他特殊账户及资金池账户。本程序不适用。</t>
    <phoneticPr fontId="114" type="noConversion"/>
  </si>
  <si>
    <t>币种</t>
  </si>
  <si>
    <t>存款类型</t>
  </si>
  <si>
    <t>人民币</t>
  </si>
  <si>
    <t>活期存款</t>
  </si>
  <si>
    <t>NA</t>
    <phoneticPr fontId="114" type="noConversion"/>
  </si>
  <si>
    <t>R2C7WHNKGADKEHF9RAMKH9HYCEAYVWB606DZJTQS6EK624AQD100</t>
  </si>
  <si>
    <t>Hao Hao Zhao</t>
  </si>
  <si>
    <t>东风财务公司是东风集团内部持牌金融机构，主要在集团内部开展吸收存款、公司及经销商贷款、承兑汇票、委存委贷等业务，东风集团下属单位（包含合营公司）本年采用对账的形式替代银行函证，相关对账邮件见：</t>
    <phoneticPr fontId="114" type="noConversion"/>
  </si>
  <si>
    <t>存放东财款项</t>
    <phoneticPr fontId="114" type="noConversion"/>
  </si>
  <si>
    <t>账面数据</t>
    <phoneticPr fontId="114" type="noConversion"/>
  </si>
  <si>
    <t>东财数据</t>
  </si>
  <si>
    <t>对账差异</t>
  </si>
  <si>
    <t>账号名称</t>
    <phoneticPr fontId="114" type="noConversion"/>
  </si>
  <si>
    <t>账号</t>
    <phoneticPr fontId="114" type="noConversion"/>
  </si>
  <si>
    <t>利率</t>
  </si>
  <si>
    <t>账户余额</t>
  </si>
  <si>
    <t>起始日期</t>
  </si>
  <si>
    <t>终止日期
（如无，可填不适用，下同）</t>
    <phoneticPr fontId="114" type="noConversion"/>
  </si>
  <si>
    <t>是否属于受限账户</t>
  </si>
  <si>
    <t>终止日期
（如无，可填不适用，下同）</t>
  </si>
  <si>
    <t>是否存在差异</t>
  </si>
  <si>
    <t>对差异的解释</t>
    <phoneticPr fontId="114" type="noConversion"/>
  </si>
  <si>
    <t>东风鸿远工程咨询有限公司</t>
    <phoneticPr fontId="114" type="noConversion"/>
  </si>
  <si>
    <t>2024-05-10</t>
  </si>
  <si>
    <t>无</t>
    <phoneticPr fontId="114" type="noConversion"/>
  </si>
  <si>
    <t>否</t>
    <phoneticPr fontId="114" type="noConversion"/>
  </si>
  <si>
    <t>货币资金总账与明细账核对一致，无差异</t>
    <phoneticPr fontId="114" type="noConversion"/>
  </si>
  <si>
    <t>期初账面金额
（本币）</t>
  </si>
  <si>
    <t>中国建设银行股份有限公司</t>
  </si>
  <si>
    <t>人民币元</t>
  </si>
  <si>
    <t>605.89</t>
  </si>
  <si>
    <t>中国工商银行股份有限公司</t>
  </si>
  <si>
    <t>122,094.03</t>
  </si>
  <si>
    <t>8,043.03</t>
  </si>
  <si>
    <t>兴业银行股份有限公司</t>
  </si>
  <si>
    <t>991.00</t>
  </si>
  <si>
    <t>90,863.39</t>
  </si>
  <si>
    <t>交通银行股份有限公司</t>
  </si>
  <si>
    <t>850.22</t>
  </si>
  <si>
    <t>中国邮政储蓄银行股份有限公司</t>
  </si>
  <si>
    <t>378.05</t>
  </si>
  <si>
    <t>招商银行武汉分行</t>
  </si>
  <si>
    <t>1,373.84</t>
  </si>
  <si>
    <t>50,000.00</t>
  </si>
  <si>
    <t>中国银行集约运营中心(广东)</t>
  </si>
  <si>
    <t>76,892.42</t>
  </si>
  <si>
    <t>中国工商银行襄阳高新技术产业支行</t>
  </si>
  <si>
    <t>7,000.00</t>
  </si>
  <si>
    <t>13872277-124773/CC39</t>
  </si>
  <si>
    <t>13872277-124773/CC40</t>
  </si>
  <si>
    <t>13872277-124773/CC41</t>
  </si>
  <si>
    <t>13872277-124773/CC42</t>
  </si>
  <si>
    <t>13872277-124773/CC43</t>
  </si>
  <si>
    <t>13872277-124773/CC44</t>
  </si>
  <si>
    <t>13872277-124773/CC45</t>
  </si>
  <si>
    <t>13872277-124773/CC52</t>
  </si>
  <si>
    <t>13872277-124773/CC53</t>
  </si>
  <si>
    <t>13872277-124773/CC56</t>
  </si>
  <si>
    <t>活期 0.05%</t>
  </si>
  <si>
    <t>【无差异】</t>
  </si>
  <si>
    <t>0.050000%</t>
  </si>
  <si>
    <t>基本账户</t>
  </si>
  <si>
    <t>/-/</t>
  </si>
  <si>
    <t>活期；起息日：2025-09-21，止息日：2025-12-20，结息日利率：0.05%；</t>
  </si>
  <si>
    <t>0.0500%</t>
  </si>
  <si>
    <t>不适用-不适用</t>
  </si>
  <si>
    <t>活期存款账户；</t>
  </si>
  <si>
    <t>中国共产党襄阳市汉江工程设计有限公司委员会</t>
  </si>
  <si>
    <t>42050164610800000275</t>
  </si>
  <si>
    <t>人民币专用存款账户</t>
  </si>
  <si>
    <t>封存（不付不收）；</t>
  </si>
  <si>
    <t>一般户</t>
  </si>
  <si>
    <t>活期</t>
  </si>
  <si>
    <t>0.05%</t>
  </si>
  <si>
    <t>一般存款户</t>
  </si>
  <si>
    <t>无</t>
  </si>
  <si>
    <t>对公活期保证金账户</t>
  </si>
  <si>
    <t>-----</t>
  </si>
  <si>
    <t>单位人民币活期一般账户存款</t>
  </si>
  <si>
    <t>活期;活期产品层利率;</t>
  </si>
  <si>
    <t>0.100000%</t>
  </si>
  <si>
    <t>一般结算户</t>
  </si>
  <si>
    <t>EY Ref.</t>
  </si>
  <si>
    <t>Tab Ref.</t>
  </si>
  <si>
    <t>Cell Ref.</t>
  </si>
  <si>
    <t>Question/Comment</t>
  </si>
  <si>
    <t>Answer/Comment</t>
  </si>
  <si>
    <t>Closed?</t>
  </si>
  <si>
    <t>【经对账，未见差异】</t>
    <phoneticPr fontId="114" type="noConversion"/>
  </si>
  <si>
    <t xml:space="preserve">【回函-发函未列示】：
跟进措施：已核对已开立银行结算账户清单，该账户为以党委名义开立的账户，其中的存款不属于企业的财产，不并入企业报表，该项不符对财报披露无影响。						
</t>
  </si>
  <si>
    <t>该企业本期不存在人民币以外的其他外币账户</t>
    <phoneticPr fontId="114" type="noConversion"/>
  </si>
  <si>
    <t>中国建设银行襄阳铁路支行</t>
  </si>
  <si>
    <t>20250827</t>
  </si>
  <si>
    <t>13872277-124773/CC54</t>
  </si>
  <si>
    <r>
      <rPr>
        <sz val="10"/>
        <rFont val="微软雅黑"/>
        <family val="2"/>
        <charset val="134"/>
      </rPr>
      <t>由于本年被审计单位主营业务无重大变化，</t>
    </r>
    <r>
      <rPr>
        <sz val="10"/>
        <rFont val="Arial"/>
        <family val="2"/>
      </rPr>
      <t>EY</t>
    </r>
    <r>
      <rPr>
        <sz val="10"/>
        <rFont val="微软雅黑"/>
        <family val="2"/>
        <charset val="134"/>
      </rPr>
      <t>预计本年货币资金余额较上年相比没有明显变化，根据我们对业务的了解、穿行测试、控制测试、检查现金</t>
    </r>
    <r>
      <rPr>
        <sz val="10"/>
        <rFont val="Arial"/>
        <family val="2"/>
      </rPr>
      <t>\</t>
    </r>
    <r>
      <rPr>
        <sz val="10"/>
        <rFont val="微软雅黑"/>
        <family val="2"/>
        <charset val="134"/>
      </rPr>
      <t>银行账户的结果，以及与管理层的沟通，公司在过去的</t>
    </r>
    <r>
      <rPr>
        <sz val="10"/>
        <rFont val="Arial"/>
        <family val="2"/>
      </rPr>
      <t>12</t>
    </r>
    <r>
      <rPr>
        <sz val="10"/>
        <rFont val="微软雅黑"/>
        <family val="2"/>
        <charset val="134"/>
      </rPr>
      <t>个月内不存在托管账户，存在开立的履约保证金业务、不存在日常结算所用的微信支付账户。</t>
    </r>
    <phoneticPr fontId="114" type="noConversion"/>
  </si>
  <si>
    <t>该公司不存在支票等兑现不及时的特殊业务，且本期不存在余额调节项，以往年度均无调节事项，同时，我们了解到客户在期末前后银行转账交易并不频繁，出现错误的几率较小。综合考虑了我们对内控的了解，我们认为无需对该公司执行余额调节项完整性测试。</t>
    <phoneticPr fontId="114" type="noConversion"/>
  </si>
  <si>
    <t>No</t>
  </si>
  <si>
    <t>8FYGPQKC1046Y3JN44MJH8JRYMY9MG15FZA2B6VX5K909WKJATJG</t>
  </si>
  <si>
    <t>Dana D Li</t>
  </si>
  <si>
    <r>
      <t xml:space="preserve">For ref </t>
    </r>
    <r>
      <rPr>
        <sz val="10"/>
        <color theme="1"/>
        <rFont val="宋体"/>
        <family val="2"/>
        <charset val="134"/>
      </rPr>
      <t>现金</t>
    </r>
    <phoneticPr fontId="114" type="noConversion"/>
  </si>
  <si>
    <t>现金等价物</t>
    <phoneticPr fontId="114" type="noConversion"/>
  </si>
  <si>
    <r>
      <t>CFS</t>
    </r>
    <r>
      <rPr>
        <sz val="10"/>
        <color theme="1"/>
        <rFont val="宋体"/>
        <family val="2"/>
        <charset val="134"/>
      </rPr>
      <t>现金及现金等价物</t>
    </r>
    <phoneticPr fontId="114" type="noConversion"/>
  </si>
  <si>
    <t>diff</t>
    <phoneticPr fontId="114" type="noConversion"/>
  </si>
  <si>
    <t>$B$50</t>
  </si>
  <si>
    <t xml:space="preserve">Dana D Li:_x000D_
根据项目组CFS修改_x000D_
</t>
  </si>
  <si>
    <t>$C$39</t>
  </si>
  <si>
    <t xml:space="preserve">Dana D Li:_x000D_
提醒项目组现金流披露，项目组将受限资金披露为现金及现金等价物（参考招标公司cmts)_x000D_
</t>
  </si>
  <si>
    <t>$K$34</t>
  </si>
  <si>
    <t xml:space="preserve">Dana D Li:_x000D_
参考招标的cmts，如果项目组确定要列为现金等价物，才在这里做测试_x000D_
</t>
  </si>
  <si>
    <t>[A]本期末货币资金余额较上期末增加1,165千元，涨幅23.85%。我们对于变动金额大于TT，且变动比例大于10%的项目进行分析，具体分析如下： 　 　 　 　
银行余额增加系经营活动现金净流入5,014千元，投资活动现金净流出2,304千元，筹资活动现金净流出1.544千元共同影响所致： 　 　 　 　
①经营活动：经营活动现金净流入5,014千元，主要系销售商品、提供劳务收到的现金105,458千元，购买商品、接受劳务支付的现金38,755千元，支付给职工以及为职工支付的现金52,418千元；
②投资活动：投资活动现金净流出2,304千元，主要系处置固定资产、无形资产和其他长期资产所收回的现金净额808千元，购建固定资产、无形资产、和其他长期资产所支付的现金3,112千元；
③筹资活动：筹资活动现金净流出1.544千元，主要系借款所收到的现金19,000千元，偿还债务支付的现金19,000千元，
支付的其他与筹资活动有关的现金1,033千元。</t>
    <phoneticPr fontId="114" type="noConversion"/>
  </si>
  <si>
    <t>ABC7ZjLa9xGHMfvgfwPwvToMfPWTG/2euMuTdZmtaGUEMw8E2GtZCRtjQkFQ+nrUEh66y2hpfRWCr2UUPrHhDXNqf9CZ7de2yRy6MKuTal0EOg3b74f/R7z18s/Hty+FUVPpq8oWnuvPj50a+9Ha92PN5KD46M0txsfFeXBnjp05ca282qc1clj5+r1qKnL2vrZRD07nQUqRBjSHsBYSEAdNkDwmAEqMJLSeoMQPx+SjPWwqFXWzZXO3HS8V1nl3my+k7psNvn5wOEH4TMfZ9nc0Fej2SHOtpe4uk7zR7NtX2ywuuvUW4v0qq3SqQNbHOVvNg2Ko04xzutgR2Ju7BTZ3Cjx3NjN67ROXRWMDx6eD3ej4hNnG9uS8WikyuPh9NxXnv6iS1IfZ+7sjJePvTnY6xe1a1xirywelWp0J82yTllU1cD5e4V182WmvT5d//ck9PLD8QIcMIopsZQCCqEGVCoMpKEQGMsQs5xoQfwKOTj95cvTk5dLkR6TJun/R8ov7ANceCwjGnCIgvbUcSAZc4ALSDXimjtKVqj9drLf6w+7g/7m3f2kOxz2+jvJfjLcHWzudJdChGwAAkHYInE1EghSSS0VAMNpMCBUA8mZBLHm2guiJDXimpDY3u3sDHbv7y0VCdQisSgSFAttdAgOgvkYUIMYkChECIIRdghb6Ai7PiTu3+v2hy0SN4sEJiI2XhnAeXjRkEkCMc0gMYeYSG9JIOW6Ake/13qIG8YhJImQW8pA7GRIJIV1QMYOA2yspjGRmOtVeojOBiRRZ1wX3i+FAIabEGgzyXcQIKEWAhkKmCA2EBBKSoG5BTETSCkimIFotQTgaEvlB1HpTJGbNEtVnRZ5tRQe4qbC4qLQbHlouF3A2IYiwoPgC0SoKkUMtJyGCswJ5ox4w+FqeYDRTPC39K/L8YLyC9q6gwXl99Zi6y0FhmgJqEIYqBjHQBjEhSCIYLPKS4UgP4o6Re7TcvSPH4iW4ghIU26AWxLeQYKxQlBuYwCR0YA6IoGUHgNrideMqJAtrvKKYeYItj7cXkj+yy7isvqN1wm8Vf9K9S9vczXa6mi3fuzKyGSqqlKfmtnvvpwssLEQoK3cNyc36ky++Pz1Zz9Nfv7tz19/XE6115Tb4bbauzGVi9HI5XX16uTp5PdvT198P/n6m8lXz19/98Ork2dLUbwpm/vPO/Hbtx7+DQ==</t>
  </si>
  <si>
    <t>经核查，本账户为履行编号710DB25011000001项下义务而向银行存入的履约保证金专户。根据相关合同约定及监管要求，该账户资金实行专项管理，用途仅限于担保对应合同的履行，在合同义务完全履行完毕或约定的担保条件解除前，该资金不得用于日常结算。因此，该账户资金属于使用受限的货币资金。该情况已按照企业会计准则要求在财务报告中进行恰当的分类及披露。相关合同详见canvas&lt;C 货币资金-鸿远工程-融通地产（福建）有限责任公司2025—2026年度概念、方案、施工图、消防设计集采框架协议3_3742873521916051456&gt;。</t>
    <phoneticPr fontId="114" type="noConversion"/>
  </si>
  <si>
    <t>经询问、检查银行存款明细账及函证测试，被审计单位不存在定期存款等其他现金等价物。本程序不适用。</t>
    <phoneticPr fontId="114" type="noConversion"/>
  </si>
  <si>
    <t xml:space="preserve">Rui R Hu:_x000D_
已更新_x000D_
</t>
  </si>
  <si>
    <t xml:space="preserve">Rui R Hu:_x000D_
与客户 确认为履约保证金，已更新_x000D_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</si>
</sst>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4">
    <numFmt numFmtId="176" formatCode="_(&quot;¥&quot;* #,##0.00_);_(&quot;¥&quot;* \(#,##0.00\);_(&quot;¥&quot;* &quot;-&quot;??_);_(@_)"/>
    <numFmt numFmtId="177" formatCode="_(* #,##0_);_(* \(#,##0\);_(* &quot;-&quot;_);_(@_)"/>
    <numFmt numFmtId="178" formatCode="_(* #,##0.00_);_(* \(#,##0.00\);_(* &quot;-&quot;??_);_(@_)"/>
    <numFmt numFmtId="179" formatCode="&quot;$&quot;#,##0_);\(&quot;$&quot;#,##0\)"/>
    <numFmt numFmtId="180" formatCode="&quot;$&quot;#,##0.00_);\(&quot;$&quot;#,##0.00\)"/>
    <numFmt numFmtId="181" formatCode="_(&quot;$&quot;* #,##0.00_);_(&quot;$&quot;* \(#,##0.00\);_(&quot;$&quot;* &quot;-&quot;??_);_(@_)"/>
    <numFmt numFmtId="182" formatCode="_-* #,##0.0000000000_-;\-* #,##0.0000000000_-;_-* &quot;-&quot;??_-;_-@_-"/>
    <numFmt numFmtId="183" formatCode="0.0%"/>
    <numFmt numFmtId="184" formatCode="\¥#,##0;\-\¥#,##0"/>
    <numFmt numFmtId="185" formatCode="#.\ \ "/>
    <numFmt numFmtId="186" formatCode="##.\ \ "/>
    <numFmt numFmtId="187" formatCode="#,##0;\-#,##0;&quot;-&quot;"/>
    <numFmt numFmtId="188" formatCode="#,##0.0_);\(#,##0.0\)"/>
    <numFmt numFmtId="189" formatCode="_(* #,##0.0000_);_(* \(#,##0.0000\);_(* &quot;-&quot;??_);_(@_)"/>
    <numFmt numFmtId="190" formatCode="mmmm\ d\,\ yyyy"/>
    <numFmt numFmtId="191" formatCode="#,##0\ &quot;FB&quot;;\-#,##0\ &quot;FB&quot;"/>
    <numFmt numFmtId="192" formatCode="0.0%;\(0.0%\)"/>
    <numFmt numFmtId="193" formatCode="&quot;$&quot;#,##0;[Red]&quot;$&quot;&quot;$&quot;&quot;$&quot;&quot;$&quot;&quot;$&quot;&quot;$&quot;&quot;$&quot;\-#,##0"/>
    <numFmt numFmtId="194" formatCode="_-* #,##0_-;\-* #,##0_-;_-* &quot;-&quot;_-;_-@_-"/>
    <numFmt numFmtId="195" formatCode="#,##0;\(#,##0\)"/>
    <numFmt numFmtId="196" formatCode="\$#,##0.00;\(\$#,##0.00\)"/>
    <numFmt numFmtId="197" formatCode="#,##0.000000"/>
    <numFmt numFmtId="198" formatCode="\$#,##0;\(\$#,##0\)"/>
    <numFmt numFmtId="199" formatCode="_ [$€-2]* #,##0.00_ ;_ [$€-2]* \-#,##0.00_ ;_ [$€-2]* &quot;-&quot;??_ "/>
    <numFmt numFmtId="200" formatCode="_ &quot;\&quot;* #,##0.00_ ;_ &quot;\&quot;* &quot;\&quot;&quot;\&quot;&quot;\&quot;\-#,##0.00_ ;_ &quot;\&quot;* &quot;-&quot;??_ ;_ @_ "/>
    <numFmt numFmtId="201" formatCode="[$-804]aaaa;@"/>
    <numFmt numFmtId="202" formatCode="&quot;?#,##0;\-&quot;?#,##0"/>
    <numFmt numFmtId="203" formatCode="_-* #,##0\¥_-;\-* #,##0\¥_-;_-* &quot;-&quot;\¥_-;_-@_-"/>
    <numFmt numFmtId="204" formatCode="_-* #,##0.00\ _B_E_F_-;\-* #,##0.00\ _B_E_F_-;_-* &quot;-&quot;??\ _B_E_F_-;_-@_-"/>
    <numFmt numFmtId="205" formatCode="&quot;$&quot;#,##0;\-&quot;$&quot;#,##0"/>
    <numFmt numFmtId="206" formatCode="#,##0.00\ &quot;FB&quot;;\-#,##0.00\ &quot;FB&quot;"/>
    <numFmt numFmtId="207" formatCode="#,##0.00\ &quot;FB&quot;;[Red]\-#,##0.00\ &quot;FB&quot;"/>
    <numFmt numFmtId="208" formatCode="_-* #,##0\ _k_r_-;\-* #,##0\ _k_r_-;_-* &quot;-&quot;\ _k_r_-;_-@_-"/>
    <numFmt numFmtId="209" formatCode="_-* #,##0.00\ _k_r_-;\-* #,##0.00\ _k_r_-;_-* &quot;-&quot;??\ _k_r_-;_-@_-"/>
    <numFmt numFmtId="210" formatCode="#,##0.00_);#,##0.00\)"/>
    <numFmt numFmtId="211" formatCode="0.00000&quot;  &quot;"/>
    <numFmt numFmtId="212" formatCode="_-* #,##0.00_-;\-* #,##0.00_-;_-* &quot;-&quot;??_-;_-@_-"/>
    <numFmt numFmtId="213" formatCode="_([$€-2]* #,##0.00000_);_([$€-2]* \(#,##0.00000\);_([$€-2]* &quot;-&quot;??_)"/>
    <numFmt numFmtId="214" formatCode="_(\¥* #,##0.00_);_(\¥* \(#,##0.00\);_(\¥* &quot;-&quot;??_);_(@_)"/>
    <numFmt numFmtId="215" formatCode="_ \¥* #,##0.00_ ;_ \¥* \-#,##0.00_ ;_ \¥* &quot;-&quot;??_ ;_ @_ "/>
    <numFmt numFmtId="216" formatCode="_-&quot;$&quot;* #,##0_-;\-&quot;$&quot;* #,##0_-;_-&quot;$&quot;* &quot;-&quot;_-;_-@_-"/>
    <numFmt numFmtId="217" formatCode="_-&quot;$&quot;* #,##0.00_-;\-&quot;$&quot;* #,##0.00_-;_-&quot;$&quot;* &quot;-&quot;??_-;_-@_-"/>
    <numFmt numFmtId="218" formatCode="&quot;\&quot;#,##0;[Red]&quot;\&quot;&quot;\&quot;\-#,##0"/>
    <numFmt numFmtId="219" formatCode="&quot;\&quot;#,##0.00;[Red]&quot;\&quot;&quot;\&quot;&quot;\&quot;&quot;\&quot;&quot;\&quot;&quot;\&quot;\-#,##0.00"/>
    <numFmt numFmtId="220" formatCode="&quot;\&quot;#,##0.00;[Red]&quot;\&quot;\-#,##0.00"/>
    <numFmt numFmtId="221" formatCode="&quot;\&quot;#,##0;[Red]&quot;\&quot;\-#,##0"/>
    <numFmt numFmtId="222"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23" formatCode="#,##0;\(#,##0\);0"/>
    <numFmt numFmtId="224" formatCode="_(* #,##0.00_);_(* \(#,##0.00\);_(* &quot;-&quot;??_)"/>
    <numFmt numFmtId="225" formatCode="_(* #,##0.00_);[Red]_(* \(#,##0.00\);_(* &quot;-&quot;??_)"/>
    <numFmt numFmtId="226" formatCode="_(* #,##0_);_(* \(#,##0\);_(* &quot;-&quot;??_);_(@_)"/>
    <numFmt numFmtId="227" formatCode="#,##0;\(#,##0\);\-#,##0"/>
    <numFmt numFmtId="228" formatCode="0.0000%"/>
    <numFmt numFmtId="229" formatCode="0.00_);[Red]\(0.00\)"/>
  </numFmts>
  <fonts count="165">
    <font>
      <sz val="11"/>
      <color theme="1"/>
      <name val="等线"/>
      <charset val="134"/>
      <scheme val="minor"/>
    </font>
    <font>
      <sz val="11"/>
      <color theme="1"/>
      <name val="等线"/>
      <family val="2"/>
      <charset val="134"/>
      <scheme val="minor"/>
    </font>
    <font>
      <sz val="10"/>
      <color theme="1"/>
      <name val="Arial"/>
      <family val="2"/>
    </font>
    <font>
      <b/>
      <sz val="11"/>
      <color rgb="FFFF0000"/>
      <name val="Arial"/>
      <family val="2"/>
    </font>
    <font>
      <sz val="11"/>
      <color theme="1"/>
      <name val="Arial"/>
      <family val="2"/>
    </font>
    <font>
      <b/>
      <sz val="14"/>
      <color theme="0"/>
      <name val="Arial"/>
      <family val="2"/>
    </font>
    <font>
      <sz val="14"/>
      <color theme="1"/>
      <name val="Arial"/>
      <family val="2"/>
    </font>
    <font>
      <b/>
      <sz val="14"/>
      <color rgb="FFFFC000"/>
      <name val="Arial"/>
      <family val="2"/>
    </font>
    <font>
      <b/>
      <sz val="12"/>
      <color rgb="FF000000"/>
      <name val="Arial"/>
      <family val="2"/>
    </font>
    <font>
      <b/>
      <sz val="10"/>
      <color rgb="FFFFFFFF"/>
      <name val="Arial"/>
      <family val="2"/>
    </font>
    <font>
      <sz val="10"/>
      <color indexed="8"/>
      <name val="Arial"/>
      <family val="2"/>
    </font>
    <font>
      <b/>
      <sz val="10"/>
      <color rgb="FFFF0000"/>
      <name val="Arial"/>
      <family val="2"/>
    </font>
    <font>
      <b/>
      <sz val="10"/>
      <color indexed="10"/>
      <name val="Arial"/>
      <family val="2"/>
    </font>
    <font>
      <b/>
      <sz val="10"/>
      <color indexed="8"/>
      <name val="Arial"/>
      <family val="2"/>
    </font>
    <font>
      <b/>
      <sz val="10"/>
      <color theme="1"/>
      <name val="Arial"/>
      <family val="2"/>
    </font>
    <font>
      <sz val="10"/>
      <name val="Arial"/>
      <family val="2"/>
    </font>
    <font>
      <b/>
      <sz val="10"/>
      <name val="Arial"/>
      <family val="2"/>
    </font>
    <font>
      <sz val="10"/>
      <color rgb="FF000000"/>
      <name val="Arial"/>
      <family val="2"/>
    </font>
    <font>
      <sz val="10"/>
      <color rgb="FFFF0000"/>
      <name val="Arial"/>
      <family val="2"/>
    </font>
    <font>
      <b/>
      <sz val="10"/>
      <color rgb="FF000000"/>
      <name val="Arial"/>
      <family val="2"/>
    </font>
    <font>
      <b/>
      <i/>
      <sz val="10"/>
      <color rgb="FFFF0000"/>
      <name val="Arial"/>
      <family val="2"/>
    </font>
    <font>
      <i/>
      <sz val="10"/>
      <color indexed="8"/>
      <name val="Arial"/>
      <family val="2"/>
    </font>
    <font>
      <sz val="10"/>
      <color theme="1"/>
      <name val="等线"/>
      <family val="3"/>
      <charset val="134"/>
    </font>
    <font>
      <sz val="10"/>
      <color indexed="10"/>
      <name val="Arial"/>
      <family val="2"/>
    </font>
    <font>
      <sz val="10"/>
      <name val="宋体"/>
      <family val="3"/>
      <charset val="134"/>
    </font>
    <font>
      <b/>
      <sz val="12"/>
      <color indexed="8"/>
      <name val="Arial"/>
      <family val="2"/>
    </font>
    <font>
      <sz val="10"/>
      <color theme="1"/>
      <name val="宋体"/>
      <family val="3"/>
      <charset val="134"/>
    </font>
    <font>
      <sz val="10"/>
      <color theme="1"/>
      <name val="微软雅黑"/>
      <family val="2"/>
      <charset val="134"/>
    </font>
    <font>
      <b/>
      <sz val="10"/>
      <color rgb="FF0000FF"/>
      <name val="Arial"/>
      <family val="2"/>
    </font>
    <font>
      <b/>
      <strike/>
      <sz val="10"/>
      <color rgb="FF0000FF"/>
      <name val="Arial"/>
      <family val="2"/>
    </font>
    <font>
      <sz val="14"/>
      <name val="Arial"/>
      <family val="2"/>
    </font>
    <font>
      <sz val="11"/>
      <color theme="1"/>
      <name val="等线"/>
      <family val="3"/>
      <charset val="134"/>
      <scheme val="minor"/>
    </font>
    <font>
      <u/>
      <sz val="11"/>
      <color theme="10"/>
      <name val="等线"/>
      <family val="3"/>
      <charset val="134"/>
      <scheme val="minor"/>
    </font>
    <font>
      <sz val="11"/>
      <color rgb="FF9C0006"/>
      <name val="等线"/>
      <family val="3"/>
      <charset val="134"/>
      <scheme val="minor"/>
    </font>
    <font>
      <sz val="10"/>
      <name val="Helv"/>
      <family val="2"/>
    </font>
    <font>
      <sz val="12"/>
      <name val="宋体"/>
      <family val="3"/>
      <charset val="134"/>
    </font>
    <font>
      <sz val="13"/>
      <name val="Tms Rmn"/>
      <family val="1"/>
    </font>
    <font>
      <sz val="10"/>
      <name val="Book Antiqua"/>
      <family val="1"/>
    </font>
    <font>
      <b/>
      <sz val="10"/>
      <name val="Book Antiqua"/>
      <family val="1"/>
    </font>
    <font>
      <sz val="12"/>
      <color indexed="8"/>
      <name val="宋体"/>
      <family val="3"/>
      <charset val="134"/>
    </font>
    <font>
      <sz val="12"/>
      <color indexed="9"/>
      <name val="宋体"/>
      <family val="3"/>
      <charset val="134"/>
    </font>
    <font>
      <sz val="11"/>
      <color theme="0"/>
      <name val="等线"/>
      <family val="3"/>
      <charset val="134"/>
      <scheme val="minor"/>
    </font>
    <font>
      <sz val="8"/>
      <name val="Times New Roman"/>
      <family val="1"/>
    </font>
    <font>
      <b/>
      <sz val="10"/>
      <name val="Helv"/>
      <family val="2"/>
    </font>
    <font>
      <b/>
      <sz val="11"/>
      <color theme="0"/>
      <name val="等线"/>
      <family val="3"/>
      <charset val="134"/>
      <scheme val="minor"/>
    </font>
    <font>
      <b/>
      <sz val="11"/>
      <color theme="0"/>
      <name val="宋体"/>
      <family val="3"/>
      <charset val="134"/>
    </font>
    <font>
      <b/>
      <sz val="13"/>
      <name val="Tms Rmn"/>
      <family val="1"/>
    </font>
    <font>
      <b/>
      <sz val="8"/>
      <name val="Arial"/>
      <family val="2"/>
    </font>
    <font>
      <sz val="11"/>
      <color indexed="8"/>
      <name val="宋体"/>
      <family val="3"/>
      <charset val="134"/>
    </font>
    <font>
      <sz val="11"/>
      <color theme="1"/>
      <name val="SimSun"/>
      <charset val="134"/>
    </font>
    <font>
      <sz val="11"/>
      <color rgb="FF000000"/>
      <name val="Calibri"/>
      <family val="2"/>
    </font>
    <font>
      <sz val="10"/>
      <name val="Times New Roman"/>
      <family val="1"/>
    </font>
    <font>
      <b/>
      <sz val="11"/>
      <color rgb="FFFF0000"/>
      <name val="宋体"/>
      <family val="3"/>
      <charset val="134"/>
    </font>
    <font>
      <sz val="10"/>
      <name val="MS Serif"/>
      <family val="1"/>
    </font>
    <font>
      <sz val="10"/>
      <name val="Courier"/>
      <family val="3"/>
    </font>
    <font>
      <sz val="10"/>
      <color indexed="16"/>
      <name val="MS Serif"/>
      <family val="1"/>
    </font>
    <font>
      <sz val="9"/>
      <name val="Times New Roman"/>
      <family val="1"/>
    </font>
    <font>
      <sz val="8"/>
      <name val="Arial"/>
      <family val="2"/>
    </font>
    <font>
      <sz val="11"/>
      <color rgb="FF006100"/>
      <name val="等线"/>
      <family val="3"/>
      <charset val="134"/>
      <scheme val="minor"/>
    </font>
    <font>
      <sz val="11"/>
      <color rgb="FF006100"/>
      <name val="宋体"/>
      <family val="3"/>
      <charset val="134"/>
    </font>
    <font>
      <b/>
      <sz val="12"/>
      <name val="Helv"/>
      <family val="2"/>
    </font>
    <font>
      <b/>
      <sz val="12"/>
      <name val="Arial"/>
      <family val="2"/>
    </font>
    <font>
      <b/>
      <sz val="10"/>
      <color theme="1"/>
      <name val="宋体"/>
      <family val="3"/>
      <charset val="134"/>
    </font>
    <font>
      <u/>
      <sz val="10"/>
      <color theme="10"/>
      <name val="Arial"/>
      <family val="2"/>
    </font>
    <font>
      <u/>
      <sz val="11"/>
      <color theme="10"/>
      <name val="宋体"/>
      <family val="3"/>
      <charset val="134"/>
    </font>
    <font>
      <u/>
      <sz val="10"/>
      <color theme="10"/>
      <name val="等线"/>
      <family val="3"/>
      <charset val="134"/>
    </font>
    <font>
      <u/>
      <sz val="10"/>
      <color indexed="12"/>
      <name val="宋体"/>
      <family val="3"/>
      <charset val="134"/>
    </font>
    <font>
      <sz val="12"/>
      <name val="Helv"/>
      <family val="2"/>
    </font>
    <font>
      <sz val="12"/>
      <color indexed="9"/>
      <name val="Helv"/>
      <family val="2"/>
    </font>
    <font>
      <b/>
      <sz val="11"/>
      <name val="Helv"/>
      <family val="2"/>
    </font>
    <font>
      <sz val="8"/>
      <name val="EYInterstate Light"/>
    </font>
    <font>
      <sz val="11"/>
      <color theme="1"/>
      <name val="宋体"/>
      <family val="3"/>
      <charset val="134"/>
    </font>
    <font>
      <sz val="12"/>
      <name val="Times New Roman"/>
      <family val="1"/>
    </font>
    <font>
      <sz val="10"/>
      <color theme="1"/>
      <name val="Times New Roman"/>
      <family val="1"/>
    </font>
    <font>
      <sz val="11"/>
      <color indexed="8"/>
      <name val="Calibri"/>
      <family val="2"/>
    </font>
    <font>
      <sz val="12"/>
      <color theme="1"/>
      <name val="宋体"/>
      <family val="3"/>
      <charset val="134"/>
    </font>
    <font>
      <sz val="10"/>
      <color theme="1"/>
      <name val="SimSun"/>
      <charset val="134"/>
    </font>
    <font>
      <strike/>
      <sz val="10"/>
      <name val="Arial"/>
      <family val="2"/>
    </font>
    <font>
      <sz val="10"/>
      <color indexed="8"/>
      <name val="MS Sans Serif"/>
      <family val="1"/>
    </font>
    <font>
      <sz val="10"/>
      <name val="Tms Rmn"/>
      <family val="1"/>
    </font>
    <font>
      <sz val="10"/>
      <name val="MS Sans Serif"/>
      <family val="2"/>
    </font>
    <font>
      <b/>
      <sz val="10"/>
      <name val="MS Sans Serif"/>
      <family val="2"/>
    </font>
    <font>
      <sz val="8"/>
      <color indexed="16"/>
      <name val="Century Schoolbook"/>
      <family val="1"/>
    </font>
    <font>
      <b/>
      <sz val="10"/>
      <color indexed="39"/>
      <name val="Arial"/>
      <family val="2"/>
    </font>
    <font>
      <sz val="10"/>
      <color indexed="39"/>
      <name val="Arial"/>
      <family val="2"/>
    </font>
    <font>
      <sz val="19"/>
      <color indexed="48"/>
      <name val="Arial"/>
      <family val="2"/>
    </font>
    <font>
      <b/>
      <i/>
      <sz val="10"/>
      <name val="Times New Roman"/>
      <family val="1"/>
    </font>
    <font>
      <b/>
      <sz val="8"/>
      <color indexed="8"/>
      <name val="Helv"/>
      <family val="2"/>
    </font>
    <font>
      <sz val="10"/>
      <color rgb="FF3F3F76"/>
      <name val="Arial"/>
      <family val="2"/>
    </font>
    <font>
      <b/>
      <sz val="9"/>
      <name val="Times New Roman"/>
      <family val="1"/>
    </font>
    <font>
      <sz val="11"/>
      <name val="明朝"/>
      <family val="1"/>
      <charset val="255"/>
    </font>
    <font>
      <sz val="10"/>
      <name val="Arial Narrow"/>
      <family val="2"/>
    </font>
    <font>
      <sz val="14"/>
      <name val="柧挬"/>
      <family val="2"/>
    </font>
    <font>
      <sz val="8"/>
      <name val="Century Schoolbook"/>
      <family val="1"/>
    </font>
    <font>
      <b/>
      <sz val="18"/>
      <color indexed="62"/>
      <name val="宋体"/>
      <family val="3"/>
      <charset val="134"/>
    </font>
    <font>
      <sz val="11"/>
      <color indexed="26"/>
      <name val="宋体"/>
      <family val="3"/>
      <charset val="134"/>
    </font>
    <font>
      <sz val="11"/>
      <color indexed="20"/>
      <name val="宋体"/>
      <family val="3"/>
      <charset val="134"/>
    </font>
    <font>
      <sz val="12"/>
      <color indexed="16"/>
      <name val="宋体"/>
      <family val="3"/>
      <charset val="134"/>
    </font>
    <font>
      <sz val="11"/>
      <color indexed="9"/>
      <name val="宋体"/>
      <family val="3"/>
      <charset val="134"/>
    </font>
    <font>
      <sz val="10"/>
      <name val="等线"/>
      <family val="3"/>
      <charset val="134"/>
      <scheme val="minor"/>
    </font>
    <font>
      <sz val="12"/>
      <color rgb="FF000000"/>
      <name val="Calibri"/>
      <family val="2"/>
    </font>
    <font>
      <u/>
      <sz val="12"/>
      <color indexed="12"/>
      <name val="宋体"/>
      <family val="3"/>
      <charset val="134"/>
    </font>
    <font>
      <sz val="11"/>
      <color indexed="38"/>
      <name val="宋体"/>
      <family val="3"/>
      <charset val="134"/>
    </font>
    <font>
      <sz val="11"/>
      <color indexed="17"/>
      <name val="宋体"/>
      <family val="3"/>
      <charset val="134"/>
    </font>
    <font>
      <sz val="12"/>
      <color indexed="17"/>
      <name val="宋体"/>
      <family val="3"/>
      <charset val="134"/>
    </font>
    <font>
      <sz val="11"/>
      <color indexed="21"/>
      <name val="宋体"/>
      <family val="3"/>
      <charset val="134"/>
    </font>
    <font>
      <sz val="10"/>
      <name val="Geneva"/>
      <family val="1"/>
    </font>
    <font>
      <sz val="12"/>
      <name val="新細明體"/>
      <family val="1"/>
    </font>
    <font>
      <sz val="12"/>
      <name val="官帕眉"/>
      <family val="2"/>
    </font>
    <font>
      <sz val="10"/>
      <name val="奔覆眉"/>
      <family val="2"/>
    </font>
    <font>
      <b/>
      <sz val="12"/>
      <color indexed="8"/>
      <name val="宋体"/>
      <family val="3"/>
      <charset val="134"/>
    </font>
    <font>
      <sz val="12"/>
      <name val="柧挬"/>
      <family val="2"/>
    </font>
    <font>
      <sz val="11"/>
      <name val="ＭＳ Ｐゴシック"/>
      <family val="2"/>
    </font>
    <font>
      <sz val="12"/>
      <name val="바탕체"/>
      <family val="3"/>
    </font>
    <font>
      <sz val="9"/>
      <name val="等线"/>
      <family val="3"/>
      <charset val="134"/>
      <scheme val="minor"/>
    </font>
    <font>
      <i/>
      <sz val="10"/>
      <color theme="4" tint="-0.249977111117893"/>
      <name val="Arial"/>
      <family val="2"/>
    </font>
    <font>
      <sz val="11"/>
      <color theme="1"/>
      <name val="等线"/>
      <family val="2"/>
      <scheme val="minor"/>
    </font>
    <font>
      <sz val="11"/>
      <color theme="1"/>
      <name val="等线"/>
      <family val="2"/>
      <scheme val="minor"/>
    </font>
    <font>
      <sz val="10"/>
      <name val="微软雅黑"/>
      <family val="2"/>
      <charset val="134"/>
    </font>
    <font>
      <b/>
      <sz val="10"/>
      <color rgb="FFFF0000"/>
      <name val="微软雅黑"/>
      <family val="2"/>
      <charset val="134"/>
    </font>
    <font>
      <b/>
      <sz val="10"/>
      <name val="微软雅黑"/>
      <family val="2"/>
      <charset val="134"/>
    </font>
    <font>
      <u/>
      <sz val="10"/>
      <color rgb="FFFF0000"/>
      <name val="Arial"/>
      <family val="2"/>
    </font>
    <font>
      <b/>
      <sz val="10"/>
      <color theme="0"/>
      <name val="Arial"/>
      <family val="2"/>
    </font>
    <font>
      <b/>
      <sz val="10"/>
      <color rgb="FFFFC000"/>
      <name val="Arial"/>
      <family val="2"/>
    </font>
    <font>
      <b/>
      <sz val="10"/>
      <color theme="1"/>
      <name val="微软雅黑"/>
      <family val="2"/>
      <charset val="134"/>
    </font>
    <font>
      <b/>
      <sz val="12"/>
      <color rgb="FF000000"/>
      <name val="微软雅黑"/>
      <family val="2"/>
      <charset val="134"/>
    </font>
    <font>
      <sz val="10"/>
      <color rgb="FF000000"/>
      <name val="微软雅黑"/>
      <family val="2"/>
      <charset val="134"/>
    </font>
    <font>
      <b/>
      <i/>
      <sz val="11"/>
      <color rgb="FFFF0000"/>
      <name val="Arial"/>
      <family val="2"/>
    </font>
    <font>
      <b/>
      <vertAlign val="superscript"/>
      <sz val="10"/>
      <color rgb="FFFF0000"/>
      <name val="Arial"/>
      <family val="2"/>
    </font>
    <font>
      <b/>
      <sz val="10"/>
      <color rgb="FF000000"/>
      <name val="微软雅黑"/>
      <family val="2"/>
      <charset val="134"/>
    </font>
    <font>
      <sz val="10"/>
      <color theme="0"/>
      <name val="Arial"/>
      <family val="2"/>
    </font>
    <font>
      <b/>
      <sz val="14"/>
      <color theme="0"/>
      <name val="微软雅黑"/>
      <family val="2"/>
      <charset val="134"/>
    </font>
    <font>
      <u/>
      <sz val="10"/>
      <color rgb="FFFF0000"/>
      <name val="微软雅黑"/>
      <family val="2"/>
      <charset val="134"/>
    </font>
    <font>
      <sz val="11"/>
      <color theme="1"/>
      <name val="微软雅黑"/>
      <family val="2"/>
      <charset val="134"/>
    </font>
    <font>
      <sz val="10"/>
      <color indexed="8"/>
      <name val="微软雅黑"/>
      <family val="2"/>
      <charset val="134"/>
    </font>
    <font>
      <b/>
      <i/>
      <sz val="10"/>
      <color rgb="FFFF0000"/>
      <name val="微软雅黑"/>
      <family val="2"/>
      <charset val="134"/>
    </font>
    <font>
      <i/>
      <sz val="10"/>
      <color rgb="FFFF0000"/>
      <name val="Arial"/>
      <family val="2"/>
    </font>
    <font>
      <b/>
      <sz val="12"/>
      <name val="微软雅黑"/>
      <family val="2"/>
      <charset val="134"/>
    </font>
    <font>
      <b/>
      <i/>
      <sz val="11"/>
      <color rgb="FFFF0000"/>
      <name val="微软雅黑"/>
      <family val="2"/>
      <charset val="134"/>
    </font>
    <font>
      <b/>
      <sz val="10"/>
      <color indexed="8"/>
      <name val="微软雅黑"/>
      <family val="2"/>
      <charset val="134"/>
    </font>
    <font>
      <sz val="10"/>
      <color rgb="FFFF0000"/>
      <name val="微软雅黑"/>
      <family val="2"/>
      <charset val="134"/>
    </font>
    <font>
      <b/>
      <u/>
      <sz val="10"/>
      <color theme="4"/>
      <name val="Arial"/>
      <family val="2"/>
    </font>
    <font>
      <sz val="11"/>
      <color rgb="FF000000"/>
      <name val="微软雅黑"/>
      <family val="2"/>
      <charset val="134"/>
    </font>
    <font>
      <b/>
      <u/>
      <sz val="10"/>
      <color theme="4"/>
      <name val="微软雅黑"/>
      <family val="2"/>
      <charset val="134"/>
    </font>
    <font>
      <b/>
      <vertAlign val="subscript"/>
      <sz val="10"/>
      <color rgb="FFFF0000"/>
      <name val="Arial"/>
      <family val="2"/>
    </font>
    <font>
      <sz val="11"/>
      <color rgb="FF000000"/>
      <name val="Arial"/>
      <family val="2"/>
    </font>
    <font>
      <b/>
      <i/>
      <sz val="10"/>
      <color theme="0"/>
      <name val="EYInterstate Light"/>
    </font>
    <font>
      <b/>
      <sz val="14"/>
      <color rgb="FFFFFFFF"/>
      <name val="微软雅黑"/>
      <family val="2"/>
      <charset val="134"/>
    </font>
    <font>
      <b/>
      <sz val="14"/>
      <color rgb="FFFFFFFF"/>
      <name val="Arial"/>
      <family val="2"/>
    </font>
    <font>
      <b/>
      <sz val="10"/>
      <name val="Arial"/>
      <family val="2"/>
      <charset val="134"/>
    </font>
    <font>
      <b/>
      <i/>
      <sz val="9"/>
      <color rgb="FFFF0000"/>
      <name val="Arial"/>
      <family val="2"/>
    </font>
    <font>
      <b/>
      <i/>
      <sz val="9"/>
      <color rgb="FFFF0000"/>
      <name val="微软雅黑"/>
      <family val="2"/>
      <charset val="134"/>
    </font>
    <font>
      <b/>
      <sz val="10"/>
      <color indexed="8"/>
      <name val="Arial"/>
      <family val="2"/>
      <charset val="134"/>
    </font>
    <font>
      <b/>
      <sz val="10"/>
      <color indexed="10"/>
      <name val="微软雅黑"/>
      <family val="2"/>
      <charset val="134"/>
    </font>
    <font>
      <sz val="10"/>
      <name val="Arial"/>
      <family val="2"/>
      <charset val="134"/>
    </font>
    <font>
      <b/>
      <sz val="16"/>
      <color rgb="FFFF0000"/>
      <name val="Arial"/>
      <family val="2"/>
    </font>
    <font>
      <b/>
      <sz val="12"/>
      <color theme="1"/>
      <name val="黑体"/>
      <family val="3"/>
      <charset val="134"/>
    </font>
    <font>
      <sz val="12"/>
      <color theme="1"/>
      <name val="黑体"/>
      <family val="3"/>
      <charset val="134"/>
    </font>
    <font>
      <sz val="12"/>
      <color rgb="FF000000"/>
      <name val="黑体"/>
      <family val="3"/>
      <charset val="134"/>
    </font>
    <font>
      <sz val="12"/>
      <name val="黑体"/>
      <family val="3"/>
      <charset val="134"/>
    </font>
    <font>
      <sz val="10"/>
      <color rgb="FF3F3F76"/>
      <name val="微软雅黑"/>
      <family val="2"/>
      <charset val="134"/>
    </font>
    <font>
      <sz val="9"/>
      <name val="Arial"/>
      <family val="2"/>
    </font>
    <font>
      <sz val="9"/>
      <name val="等线"/>
      <family val="3"/>
      <charset val="134"/>
      <scheme val="minor"/>
    </font>
    <font>
      <b/>
      <sz val="11"/>
      <color theme="1"/>
      <name val="等线"/>
      <family val="3"/>
      <charset val="134"/>
      <scheme val="minor"/>
    </font>
    <font>
      <sz val="10"/>
      <color theme="1"/>
      <name val="宋体"/>
      <family val="2"/>
      <charset val="134"/>
    </font>
  </fonts>
  <fills count="62">
    <fill>
      <patternFill patternType="none"/>
    </fill>
    <fill>
      <patternFill patternType="gray125"/>
    </fill>
    <fill>
      <patternFill patternType="solid">
        <fgColor theme="1"/>
        <bgColor indexed="64"/>
      </patternFill>
    </fill>
    <fill>
      <patternFill patternType="solid">
        <fgColor rgb="FF000000"/>
        <bgColor rgb="FF000000"/>
      </patternFill>
    </fill>
    <fill>
      <patternFill patternType="solid">
        <fgColor theme="0" tint="-4.9989318521683403E-2"/>
        <bgColor indexed="64"/>
      </patternFill>
    </fill>
    <fill>
      <patternFill patternType="solid">
        <fgColor rgb="FFFFFFFF"/>
        <bgColor indexed="64"/>
      </patternFill>
    </fill>
    <fill>
      <patternFill patternType="solid">
        <fgColor theme="0"/>
        <bgColor indexed="64"/>
      </patternFill>
    </fill>
    <fill>
      <patternFill patternType="solid">
        <fgColor theme="0" tint="-0.34998626667073579"/>
        <bgColor indexed="64"/>
      </patternFill>
    </fill>
    <fill>
      <patternFill patternType="solid">
        <fgColor rgb="FF333399"/>
        <bgColor indexed="64"/>
      </patternFill>
    </fill>
    <fill>
      <patternFill patternType="solid">
        <fgColor theme="0" tint="-0.14990691854609822"/>
        <bgColor indexed="64"/>
      </patternFill>
    </fill>
    <fill>
      <patternFill patternType="solid">
        <fgColor rgb="FFFFFFFF"/>
        <bgColor rgb="FF000000"/>
      </patternFill>
    </fill>
    <fill>
      <patternFill patternType="solid">
        <fgColor rgb="FFF2F2F2"/>
        <bgColor indexed="64"/>
      </patternFill>
    </fill>
    <fill>
      <patternFill patternType="solid">
        <fgColor indexed="65"/>
        <bgColor indexed="64"/>
      </patternFill>
    </fill>
    <fill>
      <patternFill patternType="solid">
        <fgColor theme="4" tint="0.79989013336588644"/>
        <bgColor indexed="64"/>
      </patternFill>
    </fill>
    <fill>
      <patternFill patternType="solid">
        <fgColor rgb="FFFFC7CE"/>
        <bgColor indexed="64"/>
      </patternFill>
    </fill>
    <fill>
      <patternFill patternType="solid">
        <fgColor theme="4" tint="0.7993713187047945"/>
        <bgColor indexed="64"/>
      </patternFill>
    </fill>
    <fill>
      <patternFill patternType="solid">
        <fgColor theme="9" tint="0.7993713187047945"/>
        <bgColor indexed="64"/>
      </patternFill>
    </fill>
    <fill>
      <patternFill patternType="solid">
        <fgColor theme="4" tint="0.79952391125217448"/>
        <bgColor indexed="64"/>
      </patternFill>
    </fill>
    <fill>
      <patternFill patternType="gray0625">
        <fgColor indexed="10"/>
      </patternFill>
    </fill>
    <fill>
      <patternFill patternType="solid">
        <fgColor indexed="31"/>
        <bgColor indexed="64"/>
      </patternFill>
    </fill>
    <fill>
      <patternFill patternType="solid">
        <fgColor indexed="44"/>
        <bgColor indexed="64"/>
      </patternFill>
    </fill>
    <fill>
      <patternFill patternType="solid">
        <fgColor indexed="26"/>
        <bgColor indexed="64"/>
      </patternFill>
    </fill>
    <fill>
      <patternFill patternType="solid">
        <fgColor indexed="22"/>
        <bgColor indexed="64"/>
      </patternFill>
    </fill>
    <fill>
      <patternFill patternType="solid">
        <fgColor indexed="55"/>
        <bgColor indexed="64"/>
      </patternFill>
    </fill>
    <fill>
      <patternFill patternType="solid">
        <fgColor theme="5"/>
        <bgColor indexed="64"/>
      </patternFill>
    </fill>
    <fill>
      <patternFill patternType="solid">
        <fgColor indexed="42"/>
        <bgColor indexed="64"/>
      </patternFill>
    </fill>
    <fill>
      <patternFill patternType="solid">
        <fgColor indexed="27"/>
        <bgColor indexed="64"/>
      </patternFill>
    </fill>
    <fill>
      <patternFill patternType="solid">
        <fgColor indexed="47"/>
        <bgColor indexed="64"/>
      </patternFill>
    </fill>
    <fill>
      <patternFill patternType="solid">
        <fgColor rgb="FFA5A5A5"/>
        <bgColor indexed="64"/>
      </patternFill>
    </fill>
    <fill>
      <patternFill patternType="solid">
        <fgColor indexed="24"/>
        <bgColor indexed="64"/>
      </patternFill>
    </fill>
    <fill>
      <patternFill patternType="solid">
        <fgColor indexed="13"/>
        <bgColor indexed="64"/>
      </patternFill>
    </fill>
    <fill>
      <patternFill patternType="solid">
        <fgColor rgb="FFC6EFCE"/>
        <bgColor indexed="64"/>
      </patternFill>
    </fill>
    <fill>
      <patternFill patternType="solid">
        <fgColor indexed="56"/>
        <bgColor indexed="64"/>
      </patternFill>
    </fill>
    <fill>
      <patternFill patternType="solid">
        <fgColor rgb="FF808080"/>
        <bgColor indexed="64"/>
      </patternFill>
    </fill>
    <fill>
      <patternFill patternType="solid">
        <fgColor indexed="15"/>
        <bgColor indexed="64"/>
      </patternFill>
    </fill>
    <fill>
      <patternFill patternType="solid">
        <fgColor indexed="12"/>
        <bgColor indexed="64"/>
      </patternFill>
    </fill>
    <fill>
      <patternFill patternType="solid">
        <fgColor indexed="43"/>
        <bgColor indexed="64"/>
      </patternFill>
    </fill>
    <fill>
      <patternFill patternType="solid">
        <fgColor indexed="40"/>
        <bgColor indexed="64"/>
      </patternFill>
    </fill>
    <fill>
      <patternFill patternType="solid">
        <fgColor indexed="45"/>
        <bgColor indexed="64"/>
      </patternFill>
    </fill>
    <fill>
      <patternFill patternType="solid">
        <fgColor indexed="29"/>
        <bgColor indexed="64"/>
      </patternFill>
    </fill>
    <fill>
      <patternFill patternType="solid">
        <fgColor indexed="10"/>
        <bgColor indexed="64"/>
      </patternFill>
    </fill>
    <fill>
      <patternFill patternType="solid">
        <fgColor indexed="51"/>
        <bgColor indexed="64"/>
      </patternFill>
    </fill>
    <fill>
      <patternFill patternType="solid">
        <fgColor indexed="52"/>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48"/>
        <bgColor indexed="41"/>
      </patternFill>
    </fill>
    <fill>
      <patternFill patternType="solid">
        <fgColor indexed="41"/>
        <bgColor indexed="64"/>
      </patternFill>
    </fill>
    <fill>
      <patternFill patternType="solid">
        <fgColor indexed="54"/>
        <bgColor indexed="64"/>
      </patternFill>
    </fill>
    <fill>
      <patternFill patternType="solid">
        <fgColor rgb="FFD9E1F2"/>
        <bgColor indexed="64"/>
      </patternFill>
    </fill>
    <fill>
      <patternFill patternType="solid">
        <fgColor indexed="18"/>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rgb="FFDCE6F1"/>
        <bgColor rgb="FF000000"/>
      </patternFill>
    </fill>
    <fill>
      <patternFill patternType="solid">
        <fgColor theme="0" tint="-0.34998626667073579"/>
        <bgColor rgb="FF000000"/>
      </patternFill>
    </fill>
    <fill>
      <patternFill patternType="solid">
        <fgColor rgb="FFA6A6A6"/>
        <bgColor rgb="FF000000"/>
      </patternFill>
    </fill>
    <fill>
      <patternFill patternType="solid">
        <fgColor theme="6"/>
        <bgColor indexed="64"/>
      </patternFill>
    </fill>
    <fill>
      <patternFill patternType="solid">
        <fgColor theme="6"/>
        <bgColor rgb="FF000000"/>
      </patternFill>
    </fill>
    <fill>
      <patternFill patternType="solid">
        <fgColor theme="4" tint="0.79992065187536243"/>
        <bgColor indexed="64"/>
      </patternFill>
    </fill>
    <fill>
      <patternFill patternType="solid">
        <fgColor rgb="FFD3D3D3"/>
        <bgColor indexed="64"/>
      </patternFill>
    </fill>
  </fills>
  <borders count="91">
    <border>
      <left/>
      <right/>
      <top/>
      <bottom/>
      <diagonal/>
    </border>
    <border>
      <left/>
      <right/>
      <top style="thin">
        <color auto="1"/>
      </top>
      <bottom style="thin">
        <color auto="1"/>
      </bottom>
      <diagonal/>
    </border>
    <border>
      <left/>
      <right/>
      <top/>
      <bottom style="medium">
        <color auto="1"/>
      </bottom>
      <diagonal/>
    </border>
    <border>
      <left/>
      <right/>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medium">
        <color auto="1"/>
      </top>
      <bottom style="medium">
        <color auto="1"/>
      </bottom>
      <diagonal/>
    </border>
    <border>
      <left style="thin">
        <color auto="1"/>
      </left>
      <right/>
      <top/>
      <bottom style="thin">
        <color auto="1"/>
      </bottom>
      <diagonal/>
    </border>
    <border>
      <left/>
      <right/>
      <top style="thin">
        <color auto="1"/>
      </top>
      <bottom style="double">
        <color auto="1"/>
      </bottom>
      <diagonal/>
    </border>
    <border>
      <left/>
      <right style="thin">
        <color auto="1"/>
      </right>
      <top/>
      <bottom style="thin">
        <color auto="1"/>
      </bottom>
      <diagonal/>
    </border>
    <border>
      <left style="thin">
        <color auto="1"/>
      </left>
      <right style="thin">
        <color auto="1"/>
      </right>
      <top/>
      <bottom/>
      <diagonal/>
    </border>
    <border>
      <left/>
      <right/>
      <top style="thin">
        <color auto="1"/>
      </top>
      <bottom/>
      <diagonal/>
    </border>
    <border>
      <left style="thin">
        <color auto="1"/>
      </left>
      <right style="thin">
        <color auto="1"/>
      </right>
      <top/>
      <bottom style="thin">
        <color auto="1"/>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double">
        <color rgb="FF3F3F3F"/>
      </left>
      <right style="double">
        <color rgb="FF3F3F3F"/>
      </right>
      <top style="double">
        <color rgb="FF3F3F3F"/>
      </top>
      <bottom style="double">
        <color rgb="FF3F3F3F"/>
      </bottom>
      <diagonal/>
    </border>
    <border>
      <left style="double">
        <color indexed="8"/>
      </left>
      <right style="double">
        <color indexed="8"/>
      </right>
      <top style="double">
        <color indexed="8"/>
      </top>
      <bottom style="double">
        <color indexed="8"/>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hair">
        <color auto="1"/>
      </left>
      <right style="hair">
        <color auto="1"/>
      </right>
      <top style="hair">
        <color auto="1"/>
      </top>
      <bottom style="hair">
        <color auto="1"/>
      </bottom>
      <diagonal/>
    </border>
    <border>
      <left style="thin">
        <color indexed="22"/>
      </left>
      <right style="thin">
        <color indexed="22"/>
      </right>
      <top style="thin">
        <color indexed="22"/>
      </top>
      <bottom style="thin">
        <color indexed="22"/>
      </bottom>
      <diagonal/>
    </border>
    <border>
      <left/>
      <right/>
      <top style="medium">
        <color auto="1"/>
      </top>
      <bottom style="medium">
        <color auto="1"/>
      </bottom>
      <diagonal/>
    </border>
    <border>
      <left/>
      <right/>
      <top style="thin">
        <color rgb="FF000000"/>
      </top>
      <bottom/>
      <diagonal/>
    </border>
    <border>
      <left/>
      <right/>
      <top style="thin">
        <color rgb="FF000000"/>
      </top>
      <bottom style="thin">
        <color rgb="FF000000"/>
      </bottom>
      <diagonal/>
    </border>
    <border>
      <left style="thin">
        <color indexed="64"/>
      </left>
      <right style="thin">
        <color auto="1"/>
      </right>
      <top style="thin">
        <color indexed="64"/>
      </top>
      <bottom style="thin">
        <color auto="1"/>
      </bottom>
      <diagonal/>
    </border>
    <border>
      <left style="thin">
        <color indexed="41"/>
      </left>
      <right style="thin">
        <color indexed="48"/>
      </right>
      <top style="medium">
        <color indexed="41"/>
      </top>
      <bottom style="thin">
        <color indexed="48"/>
      </bottom>
      <diagonal/>
    </border>
    <border>
      <left style="thin">
        <color indexed="41"/>
      </left>
      <right style="thin">
        <color indexed="48"/>
      </right>
      <top style="medium">
        <color indexed="41"/>
      </top>
      <bottom style="thin">
        <color indexed="48"/>
      </bottom>
      <diagonal/>
    </border>
    <border>
      <left style="thin">
        <color indexed="41"/>
      </left>
      <right style="thin">
        <color indexed="48"/>
      </right>
      <top style="medium">
        <color indexed="41"/>
      </top>
      <bottom style="thin">
        <color indexed="48"/>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thin">
        <color auto="1"/>
      </bottom>
      <diagonal/>
    </border>
    <border>
      <left/>
      <right style="thin">
        <color rgb="FF000000"/>
      </right>
      <top style="thin">
        <color rgb="FF000000"/>
      </top>
      <bottom style="thin">
        <color auto="1"/>
      </bottom>
      <diagonal/>
    </border>
    <border>
      <left/>
      <right style="thin">
        <color rgb="FF000000"/>
      </right>
      <top/>
      <bottom style="thin">
        <color auto="1"/>
      </bottom>
      <diagonal/>
    </border>
    <border>
      <left/>
      <right style="thin">
        <color rgb="FF000000"/>
      </right>
      <top style="thin">
        <color auto="1"/>
      </top>
      <bottom style="thin">
        <color auto="1"/>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style="thin">
        <color rgb="FF000000"/>
      </left>
      <right style="thin">
        <color auto="1"/>
      </right>
      <top style="thin">
        <color rgb="FF000000"/>
      </top>
      <bottom style="thin">
        <color auto="1"/>
      </bottom>
      <diagonal/>
    </border>
    <border>
      <left style="thin">
        <color auto="1"/>
      </left>
      <right style="thin">
        <color rgb="FF000000"/>
      </right>
      <top style="thin">
        <color rgb="FF000000"/>
      </top>
      <bottom style="thin">
        <color auto="1"/>
      </bottom>
      <diagonal/>
    </border>
    <border>
      <left style="thin">
        <color auto="1"/>
      </left>
      <right style="thin">
        <color rgb="FF000000"/>
      </right>
      <top style="thin">
        <color auto="1"/>
      </top>
      <bottom style="thin">
        <color rgb="FF000000"/>
      </bottom>
      <diagonal/>
    </border>
    <border>
      <left style="thin">
        <color rgb="FF000000"/>
      </left>
      <right style="thin">
        <color auto="1"/>
      </right>
      <top style="thin">
        <color rgb="FF000000"/>
      </top>
      <bottom/>
      <diagonal/>
    </border>
    <border>
      <left/>
      <right style="thin">
        <color auto="1"/>
      </right>
      <top style="thin">
        <color rgb="FF000000"/>
      </top>
      <bottom/>
      <diagonal/>
    </border>
    <border>
      <left style="thin">
        <color auto="1"/>
      </left>
      <right style="thin">
        <color rgb="FF000000"/>
      </right>
      <top style="thin">
        <color rgb="FF000000"/>
      </top>
      <bottom/>
      <diagonal/>
    </border>
    <border>
      <left style="thin">
        <color auto="1"/>
      </left>
      <right style="thin">
        <color rgb="FF000000"/>
      </right>
      <top/>
      <bottom style="thin">
        <color auto="1"/>
      </bottom>
      <diagonal/>
    </border>
    <border>
      <left style="thin">
        <color indexed="64"/>
      </left>
      <right style="thin">
        <color indexed="64"/>
      </right>
      <top style="thin">
        <color auto="1"/>
      </top>
      <bottom style="thin">
        <color rgb="FF000000"/>
      </bottom>
      <diagonal/>
    </border>
    <border>
      <left style="thin">
        <color auto="1"/>
      </left>
      <right/>
      <top style="thin">
        <color auto="1"/>
      </top>
      <bottom style="thin">
        <color rgb="FF000000"/>
      </bottom>
      <diagonal/>
    </border>
    <border>
      <left/>
      <right style="thin">
        <color rgb="FF000000"/>
      </right>
      <top style="thin">
        <color auto="1"/>
      </top>
      <bottom style="thin">
        <color rgb="FF000000"/>
      </bottom>
      <diagonal/>
    </border>
    <border>
      <left/>
      <right style="thin">
        <color indexed="64"/>
      </right>
      <top style="thin">
        <color auto="1"/>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auto="1"/>
      </top>
      <bottom style="thin">
        <color indexed="64"/>
      </bottom>
      <diagonal/>
    </border>
    <border>
      <left style="thin">
        <color rgb="FF000000"/>
      </left>
      <right style="thin">
        <color rgb="FF000000"/>
      </right>
      <top style="thin">
        <color auto="1"/>
      </top>
      <bottom style="thin">
        <color rgb="FF000000"/>
      </bottom>
      <diagonal/>
    </border>
    <border>
      <left style="thin">
        <color rgb="FF000000"/>
      </left>
      <right style="thin">
        <color rgb="FF000000"/>
      </right>
      <top style="thin">
        <color rgb="FF000000"/>
      </top>
      <bottom style="thin">
        <color auto="1"/>
      </bottom>
      <diagonal/>
    </border>
    <border>
      <left style="thin">
        <color indexed="64"/>
      </left>
      <right style="thin">
        <color auto="1"/>
      </right>
      <top style="thin">
        <color rgb="FF000000"/>
      </top>
      <bottom style="thin">
        <color auto="1"/>
      </bottom>
      <diagonal/>
    </border>
    <border>
      <left style="thin">
        <color rgb="FF000000"/>
      </left>
      <right style="thin">
        <color auto="1"/>
      </right>
      <top style="thin">
        <color rgb="FF000000"/>
      </top>
      <bottom style="thin">
        <color rgb="FF000000"/>
      </bottom>
      <diagonal/>
    </border>
    <border>
      <left style="thin">
        <color auto="1"/>
      </left>
      <right style="thin">
        <color auto="1"/>
      </right>
      <top style="thin">
        <color rgb="FF000000"/>
      </top>
      <bottom style="thin">
        <color rgb="FF000000"/>
      </bottom>
      <diagonal/>
    </border>
    <border>
      <left style="thin">
        <color auto="1"/>
      </left>
      <right style="thin">
        <color rgb="FF000000"/>
      </right>
      <top style="thin">
        <color rgb="FF000000"/>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right/>
      <top/>
      <bottom style="double">
        <color auto="1"/>
      </bottom>
      <diagonal/>
    </border>
    <border>
      <left/>
      <right style="thin">
        <color rgb="FF000000"/>
      </right>
      <top style="thin">
        <color rgb="FF000000"/>
      </top>
      <bottom style="thin">
        <color rgb="FF000000"/>
      </bottom>
      <diagonal/>
    </border>
    <border>
      <left style="thin">
        <color auto="1"/>
      </left>
      <right/>
      <top style="thin">
        <color rgb="FF000000"/>
      </top>
      <bottom style="thin">
        <color rgb="FF000000"/>
      </bottom>
      <diagonal/>
    </border>
    <border>
      <left style="thin">
        <color rgb="FF000000"/>
      </left>
      <right style="thin">
        <color auto="1"/>
      </right>
      <top style="thin">
        <color indexed="64"/>
      </top>
      <bottom style="thin">
        <color auto="1"/>
      </bottom>
      <diagonal/>
    </border>
    <border>
      <left/>
      <right/>
      <top style="thin">
        <color auto="1"/>
      </top>
      <bottom style="double">
        <color auto="1"/>
      </bottom>
      <diagonal/>
    </border>
    <border>
      <left style="thin">
        <color indexed="64"/>
      </left>
      <right style="thin">
        <color rgb="FF000000"/>
      </right>
      <top style="thin">
        <color auto="1"/>
      </top>
      <bottom style="thin">
        <color indexed="64"/>
      </bottom>
      <diagonal/>
    </border>
    <border>
      <left style="thin">
        <color indexed="64"/>
      </left>
      <right/>
      <top style="thin">
        <color indexed="64"/>
      </top>
      <bottom style="thin">
        <color auto="1"/>
      </bottom>
      <diagonal/>
    </border>
    <border>
      <left style="thin">
        <color rgb="FF000000"/>
      </left>
      <right style="thin">
        <color auto="1"/>
      </right>
      <top style="thin">
        <color indexed="64"/>
      </top>
      <bottom style="thin">
        <color rgb="FF000000"/>
      </bottom>
      <diagonal/>
    </border>
    <border>
      <left style="thin">
        <color rgb="FF000000"/>
      </left>
      <right/>
      <top style="thin">
        <color auto="1"/>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auto="1"/>
      </right>
      <top/>
      <bottom style="thin">
        <color auto="1"/>
      </bottom>
      <diagonal/>
    </border>
    <border>
      <left/>
      <right/>
      <top/>
      <bottom style="double">
        <color rgb="FF000000"/>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thin">
        <color auto="1"/>
      </right>
      <top style="medium">
        <color auto="1"/>
      </top>
      <bottom style="thin">
        <color auto="1"/>
      </bottom>
      <diagonal/>
    </border>
    <border>
      <left/>
      <right style="thin">
        <color auto="1"/>
      </right>
      <top style="thin">
        <color auto="1"/>
      </top>
      <bottom style="medium">
        <color auto="1"/>
      </bottom>
      <diagonal/>
    </border>
  </borders>
  <cellStyleXfs count="380">
    <xf numFmtId="0" fontId="0" fillId="0" borderId="0">
      <alignment vertical="center"/>
    </xf>
    <xf numFmtId="178" fontId="31" fillId="0" borderId="0" applyFont="0" applyFill="0" applyBorder="0" applyProtection="0"/>
    <xf numFmtId="9" fontId="31" fillId="0" borderId="0" applyFont="0" applyFill="0" applyBorder="0" applyProtection="0"/>
    <xf numFmtId="0" fontId="10" fillId="0" borderId="0">
      <alignment vertical="top"/>
    </xf>
    <xf numFmtId="0" fontId="34" fillId="0" borderId="0"/>
    <xf numFmtId="182" fontId="35" fillId="0" borderId="0" applyFont="0" applyFill="0" applyBorder="0" applyAlignment="0" applyProtection="0"/>
    <xf numFmtId="183" fontId="36" fillId="0" borderId="0" applyFont="0" applyFill="0" applyBorder="0" applyAlignment="0" applyProtection="0"/>
    <xf numFmtId="10" fontId="36" fillId="0" borderId="0" applyFont="0" applyFill="0" applyBorder="0" applyAlignment="0" applyProtection="0"/>
    <xf numFmtId="184" fontId="35" fillId="0" borderId="0" applyFont="0" applyFill="0" applyBorder="0" applyAlignment="0" applyProtection="0"/>
    <xf numFmtId="0" fontId="31" fillId="15" borderId="0" applyNumberFormat="0" applyBorder="0" applyProtection="0"/>
    <xf numFmtId="0" fontId="31" fillId="13" borderId="0" applyNumberFormat="0" applyBorder="0" applyAlignment="0" applyProtection="0">
      <alignment vertical="center"/>
    </xf>
    <xf numFmtId="0" fontId="31" fillId="16" borderId="0" applyNumberFormat="0" applyBorder="0" applyProtection="0"/>
    <xf numFmtId="0" fontId="31" fillId="17" borderId="0" applyNumberFormat="0" applyBorder="0" applyProtection="0"/>
    <xf numFmtId="0" fontId="37" fillId="0" borderId="4">
      <alignment horizontal="center"/>
    </xf>
    <xf numFmtId="0" fontId="38" fillId="0" borderId="0"/>
    <xf numFmtId="0" fontId="38" fillId="0" borderId="2" applyFill="0">
      <alignment horizontal="center"/>
      <protection locked="0"/>
    </xf>
    <xf numFmtId="0" fontId="37" fillId="0" borderId="0" applyFill="0">
      <alignment horizontal="center"/>
      <protection locked="0"/>
    </xf>
    <xf numFmtId="0" fontId="37" fillId="12" borderId="0"/>
    <xf numFmtId="0" fontId="37" fillId="0" borderId="0">
      <protection locked="0"/>
    </xf>
    <xf numFmtId="0" fontId="37" fillId="0" borderId="0"/>
    <xf numFmtId="185" fontId="37" fillId="0" borderId="0"/>
    <xf numFmtId="186" fontId="37" fillId="0" borderId="0"/>
    <xf numFmtId="0" fontId="38" fillId="18" borderId="0">
      <alignment horizontal="right"/>
    </xf>
    <xf numFmtId="0" fontId="39" fillId="19" borderId="0" applyNumberFormat="0" applyBorder="0" applyAlignment="0" applyProtection="0"/>
    <xf numFmtId="0" fontId="40" fillId="20" borderId="0" applyNumberFormat="0" applyBorder="0" applyAlignment="0" applyProtection="0"/>
    <xf numFmtId="0" fontId="39" fillId="21" borderId="0" applyNumberFormat="0" applyBorder="0" applyAlignment="0" applyProtection="0"/>
    <xf numFmtId="0" fontId="39" fillId="22" borderId="0" applyNumberFormat="0" applyBorder="0" applyAlignment="0" applyProtection="0"/>
    <xf numFmtId="0" fontId="40" fillId="23" borderId="0" applyNumberFormat="0" applyBorder="0" applyAlignment="0" applyProtection="0"/>
    <xf numFmtId="0" fontId="41" fillId="24" borderId="0" applyNumberFormat="0" applyBorder="0" applyProtection="0"/>
    <xf numFmtId="0" fontId="39" fillId="25" borderId="0" applyNumberFormat="0" applyBorder="0" applyAlignment="0" applyProtection="0"/>
    <xf numFmtId="0" fontId="40" fillId="22" borderId="0" applyNumberFormat="0" applyBorder="0" applyAlignment="0" applyProtection="0"/>
    <xf numFmtId="0" fontId="39" fillId="26" borderId="0" applyNumberFormat="0" applyBorder="0" applyAlignment="0" applyProtection="0"/>
    <xf numFmtId="0" fontId="39" fillId="27" borderId="0" applyNumberFormat="0" applyBorder="0" applyAlignment="0" applyProtection="0"/>
    <xf numFmtId="0" fontId="40" fillId="27" borderId="0" applyNumberFormat="0" applyBorder="0" applyAlignment="0" applyProtection="0"/>
    <xf numFmtId="0" fontId="42" fillId="0" borderId="0">
      <alignment horizontal="center" wrapText="1"/>
      <protection locked="0"/>
    </xf>
    <xf numFmtId="187" fontId="10" fillId="0" borderId="0" applyFill="0" applyBorder="0" applyAlignment="0"/>
    <xf numFmtId="188" fontId="34" fillId="0" borderId="0" applyFill="0" applyBorder="0" applyAlignment="0"/>
    <xf numFmtId="189" fontId="34" fillId="0" borderId="0" applyFill="0" applyBorder="0" applyAlignment="0"/>
    <xf numFmtId="190" fontId="15" fillId="0" borderId="0" applyFill="0" applyBorder="0" applyAlignment="0"/>
    <xf numFmtId="191" fontId="15" fillId="0" borderId="0" applyFill="0" applyBorder="0" applyAlignment="0"/>
    <xf numFmtId="181" fontId="34" fillId="0" borderId="0" applyFill="0" applyBorder="0" applyAlignment="0"/>
    <xf numFmtId="192" fontId="34" fillId="0" borderId="0" applyFill="0" applyBorder="0" applyAlignment="0"/>
    <xf numFmtId="0" fontId="43" fillId="0" borderId="0"/>
    <xf numFmtId="4" fontId="31" fillId="0" borderId="4">
      <alignment horizontal="right"/>
    </xf>
    <xf numFmtId="4" fontId="27" fillId="0" borderId="4">
      <alignment horizontal="right" vertical="center"/>
    </xf>
    <xf numFmtId="10" fontId="31" fillId="0" borderId="4" applyAlignment="0"/>
    <xf numFmtId="0" fontId="27" fillId="0" borderId="4">
      <alignment horizontal="right" vertical="center"/>
    </xf>
    <xf numFmtId="0" fontId="44" fillId="28" borderId="17" applyNumberFormat="0" applyAlignment="0" applyProtection="0"/>
    <xf numFmtId="0" fontId="45" fillId="29" borderId="18" applyNumberFormat="0" applyAlignment="0" applyProtection="0"/>
    <xf numFmtId="0" fontId="46" fillId="0" borderId="3" applyNumberFormat="0" applyFill="0" applyProtection="0">
      <alignment horizontal="center"/>
    </xf>
    <xf numFmtId="0" fontId="47" fillId="0" borderId="16">
      <alignment horizontal="center"/>
    </xf>
    <xf numFmtId="193" fontId="15" fillId="0" borderId="0"/>
    <xf numFmtId="177" fontId="31" fillId="0" borderId="0" applyFont="0" applyFill="0" applyBorder="0" applyAlignment="0" applyProtection="0"/>
    <xf numFmtId="177" fontId="31" fillId="0" borderId="0" applyFont="0" applyFill="0" applyBorder="0" applyAlignment="0" applyProtection="0"/>
    <xf numFmtId="177" fontId="31" fillId="0" borderId="0" applyFont="0" applyFill="0" applyBorder="0" applyAlignment="0" applyProtection="0"/>
    <xf numFmtId="177" fontId="31" fillId="0" borderId="0" applyFont="0" applyFill="0" applyBorder="0" applyAlignment="0" applyProtection="0"/>
    <xf numFmtId="177" fontId="48" fillId="0" borderId="0" applyFont="0" applyFill="0" applyBorder="0" applyAlignment="0" applyProtection="0"/>
    <xf numFmtId="177" fontId="35" fillId="0" borderId="0" applyFont="0" applyFill="0" applyBorder="0" applyAlignment="0" applyProtection="0"/>
    <xf numFmtId="181" fontId="34" fillId="0" borderId="0" applyFont="0" applyFill="0" applyBorder="0" applyAlignment="0" applyProtection="0"/>
    <xf numFmtId="178" fontId="31" fillId="0" borderId="0" applyFont="0" applyFill="0" applyBorder="0" applyAlignment="0" applyProtection="0"/>
    <xf numFmtId="178" fontId="31" fillId="0" borderId="0" applyFont="0" applyFill="0" applyBorder="0" applyAlignment="0" applyProtection="0"/>
    <xf numFmtId="178" fontId="31" fillId="0" borderId="0" applyFont="0" applyFill="0" applyBorder="0" applyProtection="0"/>
    <xf numFmtId="178" fontId="31" fillId="0" borderId="0" applyFont="0" applyFill="0" applyBorder="0" applyAlignment="0" applyProtection="0"/>
    <xf numFmtId="178" fontId="31" fillId="0" borderId="0" applyFont="0" applyFill="0" applyBorder="0" applyAlignment="0" applyProtection="0"/>
    <xf numFmtId="177" fontId="31" fillId="0" borderId="0" applyFont="0" applyFill="0" applyBorder="0" applyAlignment="0" applyProtection="0"/>
    <xf numFmtId="178" fontId="31" fillId="0" borderId="0" applyFont="0" applyFill="0" applyBorder="0" applyProtection="0"/>
    <xf numFmtId="194" fontId="15" fillId="0" borderId="0" applyFont="0" applyFill="0" applyBorder="0" applyAlignment="0" applyProtection="0"/>
    <xf numFmtId="178" fontId="49" fillId="0" borderId="0" applyFont="0" applyFill="0" applyBorder="0" applyAlignment="0" applyProtection="0"/>
    <xf numFmtId="178" fontId="15" fillId="0" borderId="0" applyFont="0" applyFill="0" applyBorder="0" applyAlignment="0" applyProtection="0"/>
    <xf numFmtId="178" fontId="15" fillId="0" borderId="0" applyFont="0" applyFill="0" applyBorder="0" applyAlignment="0" applyProtection="0"/>
    <xf numFmtId="178" fontId="31" fillId="0" borderId="0" applyFont="0" applyAlignment="0" applyProtection="0"/>
    <xf numFmtId="178" fontId="31" fillId="0" borderId="0" applyFont="0" applyAlignment="0" applyProtection="0"/>
    <xf numFmtId="178" fontId="50" fillId="0" borderId="0" applyFont="0" applyAlignment="0" applyProtection="0"/>
    <xf numFmtId="178" fontId="31" fillId="0" borderId="0" applyAlignment="0"/>
    <xf numFmtId="178" fontId="31" fillId="0" borderId="0" applyAlignment="0"/>
    <xf numFmtId="178" fontId="50" fillId="0" borderId="0" applyAlignment="0"/>
    <xf numFmtId="178" fontId="35" fillId="0" borderId="0" applyFont="0" applyFill="0" applyBorder="0" applyAlignment="0" applyProtection="0"/>
    <xf numFmtId="178" fontId="35" fillId="0" borderId="0" applyFont="0" applyFill="0" applyBorder="0" applyAlignment="0" applyProtection="0"/>
    <xf numFmtId="195" fontId="51" fillId="0" borderId="0"/>
    <xf numFmtId="37" fontId="36" fillId="0" borderId="0" applyFont="0" applyFill="0" applyBorder="0" applyAlignment="0" applyProtection="0"/>
    <xf numFmtId="188" fontId="36" fillId="0" borderId="0" applyFont="0" applyFill="0" applyBorder="0" applyAlignment="0" applyProtection="0"/>
    <xf numFmtId="39" fontId="36" fillId="0" borderId="0" applyFont="0" applyFill="0" applyBorder="0" applyAlignment="0" applyProtection="0"/>
    <xf numFmtId="0" fontId="52" fillId="0" borderId="0" applyAlignment="0"/>
    <xf numFmtId="0" fontId="53" fillId="0" borderId="0" applyNumberFormat="0"/>
    <xf numFmtId="0" fontId="54" fillId="0" borderId="0" applyNumberFormat="0" applyAlignment="0"/>
    <xf numFmtId="188" fontId="34" fillId="0" borderId="0" applyFont="0" applyFill="0" applyBorder="0" applyAlignment="0" applyProtection="0"/>
    <xf numFmtId="179" fontId="36" fillId="0" borderId="0" applyFont="0" applyFill="0" applyBorder="0" applyAlignment="0" applyProtection="0"/>
    <xf numFmtId="180" fontId="36" fillId="0" borderId="0" applyFont="0" applyFill="0" applyBorder="0" applyAlignment="0" applyProtection="0"/>
    <xf numFmtId="196" fontId="51" fillId="0" borderId="0"/>
    <xf numFmtId="0" fontId="31" fillId="0" borderId="4" applyAlignment="0"/>
    <xf numFmtId="197" fontId="15" fillId="0" borderId="0">
      <protection locked="0"/>
    </xf>
    <xf numFmtId="14" fontId="10" fillId="0" borderId="0" applyFill="0" applyBorder="0" applyAlignment="0"/>
    <xf numFmtId="177" fontId="15" fillId="0" borderId="0" applyFont="0" applyFill="0" applyBorder="0" applyAlignment="0" applyProtection="0"/>
    <xf numFmtId="198" fontId="51" fillId="0" borderId="0"/>
    <xf numFmtId="0" fontId="55" fillId="0" borderId="0" applyNumberFormat="0"/>
    <xf numFmtId="0" fontId="56" fillId="0" borderId="0">
      <alignment horizontal="left"/>
    </xf>
    <xf numFmtId="0" fontId="57" fillId="30" borderId="4"/>
    <xf numFmtId="199" fontId="24" fillId="0" borderId="0" applyFont="0" applyFill="0" applyBorder="0" applyAlignment="0" applyProtection="0"/>
    <xf numFmtId="0" fontId="27" fillId="0" borderId="4" applyAlignment="0"/>
    <xf numFmtId="0" fontId="58" fillId="31" borderId="0" applyNumberFormat="0" applyBorder="0" applyAlignment="0" applyProtection="0"/>
    <xf numFmtId="0" fontId="58" fillId="31" borderId="0" applyNumberFormat="0" applyBorder="0" applyProtection="0"/>
    <xf numFmtId="0" fontId="59" fillId="32" borderId="0" applyNumberFormat="0" applyBorder="0" applyAlignment="0" applyProtection="0"/>
    <xf numFmtId="0" fontId="57" fillId="22" borderId="0" applyNumberFormat="0" applyBorder="0" applyAlignment="0" applyProtection="0"/>
    <xf numFmtId="0" fontId="60" fillId="0" borderId="0">
      <alignment horizontal="left"/>
    </xf>
    <xf numFmtId="0" fontId="61" fillId="0" borderId="6" applyNumberFormat="0" applyProtection="0"/>
    <xf numFmtId="0" fontId="61" fillId="0" borderId="1">
      <alignment horizontal="left" vertical="center"/>
    </xf>
    <xf numFmtId="0" fontId="62" fillId="33" borderId="4">
      <alignment horizontal="center" vertical="center"/>
    </xf>
    <xf numFmtId="0" fontId="32" fillId="0" borderId="0" applyNumberFormat="0" applyFill="0" applyBorder="0" applyAlignment="0" applyProtection="0"/>
    <xf numFmtId="0" fontId="63" fillId="0" borderId="0" applyNumberFormat="0" applyFill="0" applyBorder="0" applyAlignment="0" applyProtection="0"/>
    <xf numFmtId="0" fontId="32" fillId="0" borderId="0" applyNumberFormat="0" applyFill="0" applyBorder="0" applyAlignment="0" applyProtection="0">
      <alignment vertical="center"/>
    </xf>
    <xf numFmtId="0" fontId="64" fillId="0" borderId="0" applyNumberFormat="0" applyFill="0" applyBorder="0" applyAlignment="0" applyProtection="0"/>
    <xf numFmtId="0" fontId="32" fillId="0" borderId="0" applyNumberFormat="0" applyFill="0" applyBorder="0" applyAlignment="0" applyProtection="0"/>
    <xf numFmtId="0" fontId="65" fillId="0" borderId="0" applyNumberFormat="0" applyFill="0" applyBorder="0" applyProtection="0"/>
    <xf numFmtId="0" fontId="66" fillId="0" borderId="0" applyNumberFormat="0" applyFill="0" applyBorder="0">
      <protection locked="0"/>
    </xf>
    <xf numFmtId="0" fontId="57" fillId="21" borderId="4" applyNumberFormat="0" applyBorder="0" applyAlignment="0" applyProtection="0"/>
    <xf numFmtId="188" fontId="67" fillId="34" borderId="0"/>
    <xf numFmtId="188" fontId="68" fillId="35" borderId="0"/>
    <xf numFmtId="0" fontId="15" fillId="0" borderId="0" applyFont="0" applyFill="0" applyBorder="0" applyAlignment="0" applyProtection="0"/>
    <xf numFmtId="0" fontId="69" fillId="0" borderId="2"/>
    <xf numFmtId="200" fontId="35" fillId="0" borderId="0"/>
    <xf numFmtId="183" fontId="35" fillId="0" borderId="0"/>
    <xf numFmtId="0" fontId="15"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alignment vertical="center"/>
    </xf>
    <xf numFmtId="0" fontId="70" fillId="0" borderId="0">
      <alignment vertical="center"/>
    </xf>
    <xf numFmtId="0" fontId="71" fillId="0" borderId="0"/>
    <xf numFmtId="0" fontId="70" fillId="0" borderId="0">
      <alignment vertical="center"/>
    </xf>
    <xf numFmtId="0" fontId="15" fillId="0" borderId="0"/>
    <xf numFmtId="0" fontId="31" fillId="0" borderId="0"/>
    <xf numFmtId="0" fontId="50" fillId="0" borderId="0" applyAlignment="0"/>
    <xf numFmtId="0" fontId="72" fillId="0" borderId="0"/>
    <xf numFmtId="0" fontId="31" fillId="0" borderId="0"/>
    <xf numFmtId="201" fontId="73" fillId="0" borderId="0" applyAlignment="0">
      <protection locked="0"/>
    </xf>
    <xf numFmtId="0" fontId="31" fillId="0" borderId="0"/>
    <xf numFmtId="0" fontId="31" fillId="0" borderId="0" applyAlignment="0"/>
    <xf numFmtId="0" fontId="2" fillId="0" borderId="0"/>
    <xf numFmtId="0" fontId="74" fillId="0" borderId="0"/>
    <xf numFmtId="0" fontId="2" fillId="0" borderId="0" applyAlignment="0"/>
    <xf numFmtId="0" fontId="31" fillId="0" borderId="0">
      <alignment vertical="center"/>
    </xf>
    <xf numFmtId="0" fontId="49" fillId="0" borderId="0"/>
    <xf numFmtId="0" fontId="75" fillId="0" borderId="0" applyAlignment="0"/>
    <xf numFmtId="0" fontId="31" fillId="0" borderId="0">
      <protection locked="0"/>
    </xf>
    <xf numFmtId="201" fontId="31" fillId="0" borderId="0">
      <protection locked="0"/>
    </xf>
    <xf numFmtId="0" fontId="48" fillId="0" borderId="0" applyAlignment="0">
      <protection locked="0"/>
    </xf>
    <xf numFmtId="9" fontId="31" fillId="0" borderId="0" applyAlignment="0"/>
    <xf numFmtId="9" fontId="50" fillId="0" borderId="0" applyAlignment="0"/>
    <xf numFmtId="178" fontId="74" fillId="0" borderId="0" applyAlignment="0"/>
    <xf numFmtId="178" fontId="74" fillId="0" borderId="0" applyAlignment="0"/>
    <xf numFmtId="0" fontId="31" fillId="0" borderId="0"/>
    <xf numFmtId="0" fontId="31" fillId="0" borderId="0"/>
    <xf numFmtId="0" fontId="76" fillId="0" borderId="0"/>
    <xf numFmtId="0" fontId="31" fillId="0" borderId="0">
      <alignment vertical="center"/>
    </xf>
    <xf numFmtId="0" fontId="50" fillId="0" borderId="0"/>
    <xf numFmtId="0" fontId="72" fillId="0" borderId="0"/>
    <xf numFmtId="0" fontId="77" fillId="0" borderId="0"/>
    <xf numFmtId="0" fontId="78" fillId="0" borderId="0"/>
    <xf numFmtId="202" fontId="35" fillId="0" borderId="0" applyFont="0" applyFill="0" applyBorder="0" applyAlignment="0" applyProtection="0"/>
    <xf numFmtId="203" fontId="35" fillId="0" borderId="0" applyFont="0" applyFill="0" applyBorder="0" applyAlignment="0" applyProtection="0"/>
    <xf numFmtId="14" fontId="42" fillId="0" borderId="0">
      <alignment horizontal="center" wrapText="1"/>
      <protection locked="0"/>
    </xf>
    <xf numFmtId="191" fontId="15" fillId="0" borderId="0" applyFont="0" applyFill="0" applyBorder="0" applyAlignment="0" applyProtection="0"/>
    <xf numFmtId="204" fontId="15" fillId="0" borderId="0" applyFont="0" applyFill="0" applyBorder="0" applyAlignment="0" applyProtection="0"/>
    <xf numFmtId="10" fontId="15" fillId="0" borderId="0" applyFont="0" applyFill="0" applyBorder="0" applyAlignment="0" applyProtection="0"/>
    <xf numFmtId="183" fontId="31" fillId="0" borderId="0" applyFont="0" applyFill="0" applyBorder="0" applyAlignment="0" applyProtection="0"/>
    <xf numFmtId="9" fontId="35" fillId="0" borderId="0" applyFont="0" applyFill="0" applyBorder="0" applyAlignment="0" applyProtection="0"/>
    <xf numFmtId="183" fontId="31" fillId="0" borderId="0" applyFont="0" applyFill="0" applyBorder="0" applyAlignment="0" applyProtection="0"/>
    <xf numFmtId="9" fontId="31" fillId="0" borderId="0" applyFont="0" applyFill="0" applyBorder="0" applyAlignment="0" applyProtection="0"/>
    <xf numFmtId="13" fontId="15" fillId="0" borderId="0" applyFont="0" applyFill="0" applyProtection="0"/>
    <xf numFmtId="0" fontId="57" fillId="22" borderId="4"/>
    <xf numFmtId="4" fontId="56" fillId="0" borderId="0">
      <alignment horizontal="right"/>
    </xf>
    <xf numFmtId="205" fontId="79" fillId="0" borderId="0"/>
    <xf numFmtId="0" fontId="80" fillId="0" borderId="0" applyNumberFormat="0" applyFont="0" applyFill="0" applyBorder="0" applyProtection="0"/>
    <xf numFmtId="0" fontId="81" fillId="0" borderId="2">
      <alignment horizontal="center"/>
    </xf>
    <xf numFmtId="4" fontId="82" fillId="0" borderId="0">
      <alignment horizontal="right"/>
    </xf>
    <xf numFmtId="0" fontId="72" fillId="0" borderId="0" applyNumberFormat="0" applyFill="0" applyBorder="0" applyProtection="0"/>
    <xf numFmtId="177" fontId="51" fillId="0" borderId="0" applyFont="0" applyFill="0" applyBorder="0" applyAlignment="0" applyProtection="0"/>
    <xf numFmtId="0" fontId="13" fillId="36" borderId="19" applyNumberFormat="0" applyProtection="0">
      <alignment vertical="center"/>
    </xf>
    <xf numFmtId="0" fontId="83" fillId="36" borderId="19" applyNumberFormat="0" applyProtection="0">
      <alignment vertical="center"/>
    </xf>
    <xf numFmtId="0" fontId="13" fillId="36" borderId="19" applyNumberFormat="0" applyProtection="0">
      <alignment horizontal="left" vertical="center" indent="1"/>
    </xf>
    <xf numFmtId="0" fontId="13" fillId="36" borderId="19" applyNumberFormat="0" applyProtection="0">
      <alignment horizontal="left" vertical="top" indent="1"/>
    </xf>
    <xf numFmtId="0" fontId="13" fillId="37" borderId="0" applyNumberFormat="0" applyProtection="0">
      <alignment horizontal="left" vertical="center" indent="1"/>
    </xf>
    <xf numFmtId="0" fontId="10" fillId="38" borderId="19" applyNumberFormat="0" applyProtection="0">
      <alignment horizontal="right" vertical="center"/>
    </xf>
    <xf numFmtId="0" fontId="10" fillId="39" borderId="19" applyNumberFormat="0" applyProtection="0">
      <alignment horizontal="right" vertical="center"/>
    </xf>
    <xf numFmtId="0" fontId="10" fillId="40" borderId="19" applyNumberFormat="0" applyProtection="0">
      <alignment horizontal="right" vertical="center"/>
    </xf>
    <xf numFmtId="0" fontId="10" fillId="41" borderId="19" applyNumberFormat="0" applyProtection="0">
      <alignment horizontal="right" vertical="center"/>
    </xf>
    <xf numFmtId="0" fontId="10" fillId="42" borderId="19" applyNumberFormat="0" applyProtection="0">
      <alignment horizontal="right" vertical="center"/>
    </xf>
    <xf numFmtId="0" fontId="10" fillId="43" borderId="19" applyNumberFormat="0" applyProtection="0">
      <alignment horizontal="right" vertical="center"/>
    </xf>
    <xf numFmtId="0" fontId="10" fillId="44" borderId="19" applyNumberFormat="0" applyProtection="0">
      <alignment horizontal="right" vertical="center"/>
    </xf>
    <xf numFmtId="0" fontId="10" fillId="45" borderId="19" applyNumberFormat="0" applyProtection="0">
      <alignment horizontal="right" vertical="center"/>
    </xf>
    <xf numFmtId="0" fontId="10" fillId="46" borderId="19" applyNumberFormat="0" applyProtection="0">
      <alignment horizontal="right" vertical="center"/>
    </xf>
    <xf numFmtId="0" fontId="13" fillId="47" borderId="20" applyNumberFormat="0" applyProtection="0">
      <alignment horizontal="left" vertical="center" indent="1"/>
    </xf>
    <xf numFmtId="0" fontId="10" fillId="48" borderId="0" applyNumberFormat="0" applyProtection="0">
      <alignment horizontal="left" vertical="center" indent="1"/>
    </xf>
    <xf numFmtId="0" fontId="25" fillId="49" borderId="0" applyNumberFormat="0" applyProtection="0">
      <alignment horizontal="left" vertical="center" indent="1"/>
    </xf>
    <xf numFmtId="0" fontId="10" fillId="37" borderId="19" applyNumberFormat="0" applyProtection="0">
      <alignment horizontal="right" vertical="center"/>
    </xf>
    <xf numFmtId="0" fontId="10" fillId="37" borderId="0" applyNumberFormat="0" applyProtection="0">
      <alignment horizontal="left" vertical="center" indent="1"/>
    </xf>
    <xf numFmtId="0" fontId="15" fillId="49" borderId="19" applyNumberFormat="0" applyProtection="0">
      <alignment horizontal="left" vertical="center" indent="1"/>
    </xf>
    <xf numFmtId="0" fontId="15" fillId="49" borderId="19" applyNumberFormat="0" applyProtection="0">
      <alignment horizontal="left" vertical="top" indent="1"/>
    </xf>
    <xf numFmtId="0" fontId="15" fillId="37" borderId="19" applyNumberFormat="0" applyProtection="0">
      <alignment horizontal="left" vertical="center" indent="1"/>
    </xf>
    <xf numFmtId="0" fontId="15" fillId="37" borderId="19" applyNumberFormat="0" applyProtection="0">
      <alignment horizontal="left" vertical="top" indent="1"/>
    </xf>
    <xf numFmtId="0" fontId="15" fillId="20" borderId="19" applyNumberFormat="0" applyProtection="0">
      <alignment horizontal="left" vertical="center" indent="1"/>
    </xf>
    <xf numFmtId="0" fontId="15" fillId="20" borderId="19" applyNumberFormat="0" applyProtection="0">
      <alignment horizontal="left" vertical="top" indent="1"/>
    </xf>
    <xf numFmtId="0" fontId="15" fillId="48" borderId="19" applyNumberFormat="0" applyProtection="0">
      <alignment horizontal="left" vertical="center" indent="1"/>
    </xf>
    <xf numFmtId="0" fontId="15" fillId="48" borderId="19" applyNumberFormat="0" applyProtection="0">
      <alignment horizontal="left" vertical="top" indent="1"/>
    </xf>
    <xf numFmtId="0" fontId="10" fillId="21" borderId="19" applyNumberFormat="0" applyProtection="0">
      <alignment vertical="center"/>
    </xf>
    <xf numFmtId="0" fontId="84" fillId="21" borderId="19" applyNumberFormat="0" applyProtection="0">
      <alignment vertical="center"/>
    </xf>
    <xf numFmtId="0" fontId="10" fillId="21" borderId="19" applyNumberFormat="0" applyProtection="0">
      <alignment horizontal="left" vertical="center" indent="1"/>
    </xf>
    <xf numFmtId="0" fontId="10" fillId="21" borderId="19" applyNumberFormat="0" applyProtection="0">
      <alignment horizontal="left" vertical="top" indent="1"/>
    </xf>
    <xf numFmtId="0" fontId="10" fillId="48" borderId="19" applyNumberFormat="0" applyProtection="0">
      <alignment horizontal="right" vertical="center"/>
    </xf>
    <xf numFmtId="0" fontId="84" fillId="48" borderId="19" applyNumberFormat="0" applyProtection="0">
      <alignment horizontal="right" vertical="center"/>
    </xf>
    <xf numFmtId="0" fontId="10" fillId="37" borderId="19" applyNumberFormat="0" applyProtection="0">
      <alignment horizontal="left" vertical="center" indent="1"/>
    </xf>
    <xf numFmtId="0" fontId="10" fillId="37" borderId="19" applyNumberFormat="0" applyProtection="0">
      <alignment horizontal="left" vertical="top" indent="1"/>
    </xf>
    <xf numFmtId="0" fontId="85" fillId="34" borderId="0" applyNumberFormat="0" applyProtection="0">
      <alignment horizontal="left" vertical="center" indent="1"/>
    </xf>
    <xf numFmtId="0" fontId="23" fillId="48" borderId="19" applyNumberFormat="0" applyProtection="0">
      <alignment horizontal="right" vertical="center"/>
    </xf>
    <xf numFmtId="0" fontId="86" fillId="0" borderId="0">
      <alignment horizontal="left"/>
    </xf>
    <xf numFmtId="178" fontId="57" fillId="0" borderId="21"/>
    <xf numFmtId="0" fontId="69" fillId="0" borderId="0"/>
    <xf numFmtId="40" fontId="87" fillId="0" borderId="0" applyBorder="0">
      <alignment horizontal="right"/>
    </xf>
    <xf numFmtId="49" fontId="10" fillId="0" borderId="0" applyFill="0" applyBorder="0" applyAlignment="0"/>
    <xf numFmtId="206" fontId="15" fillId="0" borderId="0" applyFill="0" applyBorder="0" applyAlignment="0"/>
    <xf numFmtId="207" fontId="15" fillId="0" borderId="0" applyFill="0" applyBorder="0" applyAlignment="0"/>
    <xf numFmtId="0" fontId="88" fillId="50" borderId="22">
      <alignment vertical="center"/>
      <protection locked="0"/>
    </xf>
    <xf numFmtId="0" fontId="89" fillId="0" borderId="0">
      <alignment horizontal="center"/>
    </xf>
    <xf numFmtId="197" fontId="15" fillId="0" borderId="8">
      <protection locked="0"/>
    </xf>
    <xf numFmtId="208" fontId="15" fillId="0" borderId="0" applyFont="0" applyFill="0" applyBorder="0" applyAlignment="0" applyProtection="0"/>
    <xf numFmtId="209" fontId="15" fillId="0" borderId="0" applyFont="0" applyFill="0" applyBorder="0" applyAlignment="0" applyProtection="0"/>
    <xf numFmtId="210" fontId="35" fillId="0" borderId="0" applyFont="0" applyFill="0" applyBorder="0" applyAlignment="0" applyProtection="0"/>
    <xf numFmtId="211" fontId="35" fillId="0" borderId="0" applyFont="0" applyFill="0" applyBorder="0" applyAlignment="0" applyProtection="0"/>
    <xf numFmtId="9" fontId="90" fillId="0" borderId="0" applyFont="0" applyFill="0" applyBorder="0" applyAlignment="0" applyProtection="0"/>
    <xf numFmtId="0" fontId="91" fillId="0" borderId="0"/>
    <xf numFmtId="194" fontId="72" fillId="0" borderId="0" applyFont="0" applyFill="0" applyBorder="0" applyAlignment="0" applyProtection="0"/>
    <xf numFmtId="212" fontId="72" fillId="0" borderId="0" applyFont="0" applyFill="0" applyBorder="0" applyAlignment="0" applyProtection="0"/>
    <xf numFmtId="9" fontId="72" fillId="0" borderId="0" applyFont="0" applyFill="0" applyBorder="0" applyAlignment="0" applyProtection="0"/>
    <xf numFmtId="9" fontId="74" fillId="0" borderId="0" applyAlignment="0"/>
    <xf numFmtId="9" fontId="15" fillId="0" borderId="0" applyFont="0" applyFill="0" applyBorder="0" applyAlignment="0" applyProtection="0"/>
    <xf numFmtId="9" fontId="24" fillId="0" borderId="0" applyFont="0" applyFill="0" applyBorder="0" applyProtection="0"/>
    <xf numFmtId="9" fontId="31" fillId="0" borderId="0" applyFont="0" applyProtection="0"/>
    <xf numFmtId="0" fontId="92" fillId="0" borderId="0" applyFont="0" applyFill="0" applyBorder="0" applyAlignment="0" applyProtection="0"/>
    <xf numFmtId="4" fontId="93" fillId="0" borderId="0">
      <alignment horizontal="right"/>
    </xf>
    <xf numFmtId="0" fontId="94" fillId="0" borderId="0" applyNumberFormat="0" applyFill="0" applyBorder="0" applyAlignment="0" applyProtection="0"/>
    <xf numFmtId="0" fontId="95" fillId="41" borderId="0" applyNumberFormat="0" applyBorder="0" applyProtection="0"/>
    <xf numFmtId="0" fontId="96" fillId="38" borderId="0" applyNumberFormat="0" applyBorder="0" applyProtection="0"/>
    <xf numFmtId="0" fontId="97" fillId="38" borderId="0" applyNumberFormat="0" applyBorder="0" applyAlignment="0" applyProtection="0"/>
    <xf numFmtId="0" fontId="98" fillId="30" borderId="0" applyNumberFormat="0" applyBorder="0" applyProtection="0"/>
    <xf numFmtId="0" fontId="31" fillId="0" borderId="0">
      <alignment vertical="center"/>
    </xf>
    <xf numFmtId="0" fontId="24" fillId="0" borderId="0"/>
    <xf numFmtId="0" fontId="75" fillId="0" borderId="0"/>
    <xf numFmtId="213" fontId="99" fillId="0" borderId="0"/>
    <xf numFmtId="213" fontId="24" fillId="0" borderId="0"/>
    <xf numFmtId="0" fontId="22" fillId="0" borderId="0">
      <alignment vertical="center"/>
    </xf>
    <xf numFmtId="0" fontId="31" fillId="0" borderId="0"/>
    <xf numFmtId="0" fontId="74" fillId="0" borderId="0">
      <protection locked="0"/>
    </xf>
    <xf numFmtId="0" fontId="15" fillId="0" borderId="0">
      <protection locked="0"/>
    </xf>
    <xf numFmtId="0" fontId="35" fillId="0" borderId="0"/>
    <xf numFmtId="0" fontId="31" fillId="0" borderId="0">
      <alignment vertical="center"/>
    </xf>
    <xf numFmtId="0" fontId="35" fillId="0" borderId="0">
      <alignment vertical="top"/>
    </xf>
    <xf numFmtId="0" fontId="31" fillId="0" borderId="0" applyAlignment="0"/>
    <xf numFmtId="0" fontId="24" fillId="0" borderId="0"/>
    <xf numFmtId="0" fontId="26" fillId="0" borderId="0"/>
    <xf numFmtId="0" fontId="31" fillId="0" borderId="0">
      <alignment vertical="center"/>
      <protection locked="0"/>
    </xf>
    <xf numFmtId="0" fontId="100" fillId="0" borderId="0"/>
    <xf numFmtId="0" fontId="31" fillId="0" borderId="0"/>
    <xf numFmtId="0" fontId="35" fillId="0" borderId="0">
      <alignment vertical="center"/>
    </xf>
    <xf numFmtId="0" fontId="24" fillId="0" borderId="0"/>
    <xf numFmtId="0" fontId="101" fillId="0" borderId="0" applyNumberFormat="0" applyFill="0" applyBorder="0">
      <protection locked="0"/>
    </xf>
    <xf numFmtId="0" fontId="32" fillId="0" borderId="0" applyNumberFormat="0" applyProtection="0"/>
    <xf numFmtId="0" fontId="102" fillId="32" borderId="0" applyNumberFormat="0" applyBorder="0" applyProtection="0"/>
    <xf numFmtId="0" fontId="103" fillId="25" borderId="0" applyNumberFormat="0" applyBorder="0" applyProtection="0"/>
    <xf numFmtId="0" fontId="103" fillId="32" borderId="0" applyNumberFormat="0" applyBorder="0" applyProtection="0"/>
    <xf numFmtId="0" fontId="104" fillId="25" borderId="0" applyNumberFormat="0" applyBorder="0" applyAlignment="0" applyProtection="0"/>
    <xf numFmtId="0" fontId="105" fillId="51" borderId="0" applyNumberFormat="0" applyBorder="0" applyProtection="0"/>
    <xf numFmtId="4" fontId="106" fillId="0" borderId="0" applyFont="0" applyFill="0" applyBorder="0" applyAlignment="0" applyProtection="0"/>
    <xf numFmtId="214" fontId="31" fillId="0" borderId="0" applyFont="0" applyFill="0" applyBorder="0" applyAlignment="0" applyProtection="0"/>
    <xf numFmtId="215" fontId="31" fillId="0" borderId="0" applyFont="0" applyFill="0" applyBorder="0" applyAlignment="0" applyProtection="0"/>
    <xf numFmtId="216" fontId="107" fillId="0" borderId="0" applyFont="0" applyFill="0" applyBorder="0" applyAlignment="0" applyProtection="0"/>
    <xf numFmtId="217" fontId="107" fillId="0" borderId="0" applyFont="0" applyFill="0" applyBorder="0" applyAlignment="0" applyProtection="0"/>
    <xf numFmtId="218" fontId="15" fillId="0" borderId="0" applyFont="0" applyFill="0" applyBorder="0" applyAlignment="0" applyProtection="0"/>
    <xf numFmtId="219" fontId="15" fillId="0" borderId="0" applyFont="0" applyFill="0" applyBorder="0" applyAlignment="0" applyProtection="0"/>
    <xf numFmtId="1" fontId="72" fillId="0" borderId="0"/>
    <xf numFmtId="220" fontId="108" fillId="0" borderId="0" applyFont="0" applyFill="0" applyBorder="0" applyAlignment="0" applyProtection="0"/>
    <xf numFmtId="221" fontId="108" fillId="0" borderId="0" applyFont="0" applyFill="0" applyBorder="0" applyAlignment="0" applyProtection="0"/>
    <xf numFmtId="216" fontId="72" fillId="0" borderId="0" applyFont="0" applyFill="0" applyBorder="0" applyAlignment="0" applyProtection="0"/>
    <xf numFmtId="217" fontId="72" fillId="0" borderId="0" applyFont="0" applyFill="0" applyBorder="0" applyAlignment="0" applyProtection="0"/>
    <xf numFmtId="0" fontId="51" fillId="0" borderId="0"/>
    <xf numFmtId="178" fontId="51" fillId="0" borderId="0" applyFont="0" applyFill="0" applyBorder="0" applyAlignment="0" applyProtection="0"/>
    <xf numFmtId="178" fontId="31" fillId="0" borderId="0" applyFont="0" applyFill="0" applyBorder="0" applyAlignment="0" applyProtection="0"/>
    <xf numFmtId="178" fontId="31" fillId="0" borderId="0" applyFont="0" applyProtection="0"/>
    <xf numFmtId="178" fontId="31" fillId="0" borderId="0" applyFont="0" applyProtection="0"/>
    <xf numFmtId="178" fontId="74" fillId="0" borderId="0" applyFont="0" applyAlignment="0" applyProtection="0"/>
    <xf numFmtId="178" fontId="35" fillId="0" borderId="0" applyFont="0" applyFill="0" applyBorder="0" applyProtection="0"/>
    <xf numFmtId="178" fontId="50" fillId="0" borderId="0" applyFont="0" applyProtection="0"/>
    <xf numFmtId="178" fontId="24" fillId="0" borderId="0" applyFont="0" applyFill="0" applyBorder="0" applyAlignment="0" applyProtection="0"/>
    <xf numFmtId="178" fontId="24" fillId="0" borderId="0" applyFont="0" applyFill="0" applyBorder="0" applyProtection="0"/>
    <xf numFmtId="177" fontId="35" fillId="0" borderId="0" applyFont="0" applyFill="0" applyBorder="0" applyProtection="0"/>
    <xf numFmtId="0" fontId="109" fillId="0" borderId="0"/>
    <xf numFmtId="0" fontId="110" fillId="52" borderId="0" applyNumberFormat="0" applyBorder="0" applyAlignment="0" applyProtection="0"/>
    <xf numFmtId="0" fontId="110" fillId="53" borderId="0" applyNumberFormat="0" applyBorder="0" applyAlignment="0" applyProtection="0"/>
    <xf numFmtId="0" fontId="110" fillId="54" borderId="0" applyNumberFormat="0" applyBorder="0" applyAlignment="0" applyProtection="0"/>
    <xf numFmtId="181" fontId="15" fillId="0" borderId="0" applyFont="0" applyFill="0" applyBorder="0" applyAlignment="0" applyProtection="0"/>
    <xf numFmtId="222" fontId="106" fillId="0" borderId="0" applyFont="0" applyFill="0" applyBorder="0" applyAlignment="0" applyProtection="0"/>
    <xf numFmtId="0" fontId="107" fillId="0" borderId="0"/>
    <xf numFmtId="0" fontId="111" fillId="0" borderId="0"/>
    <xf numFmtId="40" fontId="92" fillId="0" borderId="0" applyFont="0" applyFill="0" applyBorder="0" applyAlignment="0" applyProtection="0"/>
    <xf numFmtId="38" fontId="92" fillId="0" borderId="0" applyFont="0" applyFill="0" applyBorder="0" applyAlignment="0" applyProtection="0"/>
    <xf numFmtId="0" fontId="15" fillId="0" borderId="4" applyNumberFormat="0"/>
    <xf numFmtId="38" fontId="112" fillId="0" borderId="0" applyFont="0" applyFill="0" applyBorder="0" applyAlignment="0" applyProtection="0"/>
    <xf numFmtId="40" fontId="112" fillId="0" borderId="0" applyFont="0" applyFill="0" applyBorder="0" applyAlignment="0" applyProtection="0"/>
    <xf numFmtId="0" fontId="112" fillId="0" borderId="0" applyFont="0" applyFill="0" applyBorder="0" applyAlignment="0" applyProtection="0"/>
    <xf numFmtId="0" fontId="113" fillId="0" borderId="0"/>
    <xf numFmtId="0" fontId="33" fillId="14" borderId="0" applyNumberFormat="0" applyBorder="0" applyProtection="0"/>
    <xf numFmtId="0" fontId="58" fillId="31" borderId="0" applyNumberFormat="0" applyBorder="0" applyProtection="0"/>
    <xf numFmtId="178" fontId="31" fillId="0" borderId="0" applyFont="0" applyFill="0" applyBorder="0" applyProtection="0"/>
    <xf numFmtId="0" fontId="116" fillId="0" borderId="0">
      <alignment vertical="center"/>
    </xf>
    <xf numFmtId="0" fontId="15" fillId="0" borderId="0"/>
    <xf numFmtId="0" fontId="117" fillId="0" borderId="0"/>
    <xf numFmtId="0" fontId="117" fillId="0" borderId="0"/>
    <xf numFmtId="178" fontId="31" fillId="0" borderId="0" applyFont="0" applyFill="0" applyBorder="0" applyProtection="0"/>
    <xf numFmtId="0" fontId="37" fillId="0" borderId="26">
      <alignment horizontal="center"/>
    </xf>
    <xf numFmtId="177" fontId="31" fillId="0" borderId="0" applyFont="0" applyFill="0" applyBorder="0" applyAlignment="0" applyProtection="0"/>
    <xf numFmtId="177" fontId="31" fillId="0" borderId="0" applyFont="0" applyFill="0" applyBorder="0" applyAlignment="0" applyProtection="0"/>
    <xf numFmtId="4" fontId="31" fillId="0" borderId="26">
      <alignment horizontal="right"/>
    </xf>
    <xf numFmtId="4" fontId="27" fillId="0" borderId="26">
      <alignment horizontal="right" vertical="center"/>
    </xf>
    <xf numFmtId="10" fontId="31" fillId="0" borderId="26" applyAlignment="0"/>
    <xf numFmtId="0" fontId="27" fillId="0" borderId="26">
      <alignment horizontal="right" vertical="center"/>
    </xf>
    <xf numFmtId="177" fontId="31" fillId="0" borderId="0" applyFont="0" applyFill="0" applyBorder="0" applyAlignment="0" applyProtection="0"/>
    <xf numFmtId="177" fontId="31" fillId="0" borderId="0" applyFont="0" applyFill="0" applyBorder="0" applyAlignment="0" applyProtection="0"/>
    <xf numFmtId="177" fontId="48" fillId="0" borderId="0" applyFont="0" applyFill="0" applyBorder="0" applyAlignment="0" applyProtection="0"/>
    <xf numFmtId="177" fontId="35" fillId="0" borderId="0" applyFont="0" applyFill="0" applyBorder="0" applyAlignment="0" applyProtection="0"/>
    <xf numFmtId="178" fontId="31" fillId="0" borderId="0" applyFont="0" applyFill="0" applyBorder="0" applyAlignment="0" applyProtection="0"/>
    <xf numFmtId="178" fontId="31" fillId="0" borderId="0" applyFont="0" applyFill="0" applyBorder="0" applyProtection="0"/>
    <xf numFmtId="178" fontId="31" fillId="0" borderId="0" applyFont="0" applyFill="0" applyBorder="0" applyAlignment="0" applyProtection="0"/>
    <xf numFmtId="177" fontId="31" fillId="0" borderId="0" applyFont="0" applyFill="0" applyBorder="0" applyAlignment="0" applyProtection="0"/>
    <xf numFmtId="178" fontId="31" fillId="0" borderId="0" applyFont="0" applyFill="0" applyBorder="0" applyProtection="0"/>
    <xf numFmtId="178" fontId="49" fillId="0" borderId="0" applyFont="0" applyFill="0" applyBorder="0" applyAlignment="0" applyProtection="0"/>
    <xf numFmtId="178" fontId="15" fillId="0" borderId="0" applyFont="0" applyFill="0" applyBorder="0" applyAlignment="0" applyProtection="0"/>
    <xf numFmtId="178" fontId="31" fillId="0" borderId="0" applyFont="0" applyAlignment="0" applyProtection="0"/>
    <xf numFmtId="178" fontId="31" fillId="0" borderId="0" applyAlignment="0"/>
    <xf numFmtId="178" fontId="35" fillId="0" borderId="0" applyFont="0" applyFill="0" applyBorder="0" applyAlignment="0" applyProtection="0"/>
    <xf numFmtId="178" fontId="35" fillId="0" borderId="0" applyFont="0" applyFill="0" applyBorder="0" applyAlignment="0" applyProtection="0"/>
    <xf numFmtId="0" fontId="31" fillId="0" borderId="26" applyAlignment="0"/>
    <xf numFmtId="0" fontId="57" fillId="30" borderId="26"/>
    <xf numFmtId="0" fontId="27" fillId="0" borderId="26" applyAlignment="0"/>
    <xf numFmtId="0" fontId="61" fillId="0" borderId="23" applyNumberFormat="0" applyProtection="0"/>
    <xf numFmtId="0" fontId="62" fillId="33" borderId="26">
      <alignment horizontal="center" vertical="center"/>
    </xf>
    <xf numFmtId="0" fontId="13" fillId="47" borderId="27" applyNumberFormat="0" applyProtection="0">
      <alignment horizontal="left" vertical="center" indent="1"/>
    </xf>
    <xf numFmtId="0" fontId="57" fillId="21" borderId="26" applyNumberFormat="0" applyBorder="0" applyAlignment="0" applyProtection="0"/>
    <xf numFmtId="178" fontId="74" fillId="0" borderId="0" applyAlignment="0"/>
    <xf numFmtId="0" fontId="57" fillId="22" borderId="26"/>
    <xf numFmtId="0" fontId="13" fillId="47" borderId="29" applyNumberFormat="0" applyProtection="0">
      <alignment horizontal="left" vertical="center" indent="1"/>
    </xf>
    <xf numFmtId="0" fontId="13" fillId="47" borderId="28" applyNumberFormat="0" applyProtection="0">
      <alignment horizontal="left" vertical="center" indent="1"/>
    </xf>
    <xf numFmtId="178" fontId="57" fillId="0" borderId="21"/>
    <xf numFmtId="177" fontId="31" fillId="0" borderId="0" applyFont="0" applyFill="0" applyBorder="0" applyAlignment="0" applyProtection="0"/>
    <xf numFmtId="177" fontId="31" fillId="0" borderId="0" applyFont="0" applyFill="0" applyBorder="0" applyAlignment="0" applyProtection="0"/>
    <xf numFmtId="177" fontId="31" fillId="0" borderId="0" applyFont="0" applyFill="0" applyBorder="0" applyAlignment="0" applyProtection="0"/>
    <xf numFmtId="178" fontId="31" fillId="0" borderId="0" applyFont="0" applyFill="0" applyBorder="0" applyAlignment="0" applyProtection="0"/>
    <xf numFmtId="178" fontId="31" fillId="0" borderId="0" applyFont="0" applyProtection="0"/>
    <xf numFmtId="178" fontId="74" fillId="0" borderId="0" applyFont="0" applyAlignment="0" applyProtection="0"/>
    <xf numFmtId="178" fontId="35" fillId="0" borderId="0" applyFont="0" applyFill="0" applyBorder="0" applyProtection="0"/>
    <xf numFmtId="178" fontId="24" fillId="0" borderId="0" applyFont="0" applyFill="0" applyBorder="0" applyAlignment="0" applyProtection="0"/>
    <xf numFmtId="178" fontId="24" fillId="0" borderId="0" applyFont="0" applyFill="0" applyBorder="0" applyProtection="0"/>
    <xf numFmtId="177" fontId="35" fillId="0" borderId="0" applyFont="0" applyFill="0" applyBorder="0" applyProtection="0"/>
    <xf numFmtId="0" fontId="15" fillId="0" borderId="26" applyNumberFormat="0"/>
    <xf numFmtId="178" fontId="31" fillId="0" borderId="0" applyFont="0" applyFill="0" applyBorder="0" applyProtection="0"/>
    <xf numFmtId="0" fontId="116" fillId="0" borderId="0"/>
    <xf numFmtId="0" fontId="116" fillId="0" borderId="0"/>
    <xf numFmtId="0" fontId="1" fillId="0" borderId="0">
      <alignment vertical="center"/>
    </xf>
    <xf numFmtId="0" fontId="1" fillId="0" borderId="0"/>
    <xf numFmtId="0" fontId="31" fillId="0" borderId="0"/>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50" fillId="0" borderId="0" applyAlignment="0"/>
    <xf numFmtId="0" fontId="31" fillId="0" borderId="0"/>
    <xf numFmtId="0" fontId="31" fillId="60" borderId="0" applyNumberFormat="0" applyBorder="0" applyAlignment="0" applyProtection="0">
      <alignment vertical="center"/>
    </xf>
    <xf numFmtId="178" fontId="31" fillId="0" borderId="0" applyFont="0" applyFill="0" applyBorder="0" applyAlignment="0" applyProtection="0">
      <alignment vertical="center"/>
    </xf>
    <xf numFmtId="0" fontId="160" fillId="50" borderId="22">
      <alignment vertical="center"/>
    </xf>
    <xf numFmtId="0" fontId="33" fillId="14" borderId="0" applyNumberFormat="0" applyBorder="0" applyProtection="0"/>
    <xf numFmtId="0" fontId="116" fillId="0" borderId="0"/>
  </cellStyleXfs>
  <cellXfs count="726">
    <xf numFmtId="0" fontId="0" fillId="0" borderId="0" xfId="0">
      <alignment vertical="center"/>
    </xf>
    <xf numFmtId="0" fontId="2" fillId="0" borderId="0" xfId="0" applyFont="1" applyProtection="1">
      <alignment vertical="center"/>
      <protection locked="0"/>
    </xf>
    <xf numFmtId="0" fontId="3" fillId="0" borderId="0" xfId="0" applyFont="1">
      <alignment vertical="center"/>
    </xf>
    <xf numFmtId="0" fontId="4" fillId="0" borderId="0" xfId="0" applyFont="1">
      <alignment vertical="center"/>
    </xf>
    <xf numFmtId="0" fontId="6" fillId="2" borderId="1" xfId="0" applyFont="1" applyFill="1" applyBorder="1" applyAlignment="1" applyProtection="1">
      <alignment horizontal="centerContinuous" vertical="center"/>
      <protection locked="0"/>
    </xf>
    <xf numFmtId="0" fontId="7" fillId="3" borderId="1" xfId="0" applyFont="1" applyFill="1" applyBorder="1" applyAlignment="1" applyProtection="1">
      <alignment horizontal="centerContinuous" vertical="center"/>
      <protection locked="0"/>
    </xf>
    <xf numFmtId="0" fontId="2" fillId="0" borderId="0" xfId="0" applyFont="1" applyAlignment="1" applyProtection="1">
      <alignment horizontal="left" vertical="center"/>
      <protection locked="0"/>
    </xf>
    <xf numFmtId="0" fontId="8" fillId="4" borderId="1" xfId="0" applyFont="1" applyFill="1" applyBorder="1" applyProtection="1">
      <alignment vertical="center"/>
      <protection locked="0"/>
    </xf>
    <xf numFmtId="0" fontId="9" fillId="0" borderId="0" xfId="0" applyFont="1" applyAlignment="1"/>
    <xf numFmtId="0" fontId="10" fillId="0" borderId="0" xfId="0" applyFont="1">
      <alignment vertical="center"/>
    </xf>
    <xf numFmtId="49" fontId="11" fillId="5" borderId="0" xfId="0" applyNumberFormat="1" applyFont="1" applyFill="1">
      <alignment vertical="center"/>
    </xf>
    <xf numFmtId="0" fontId="13" fillId="5" borderId="0" xfId="0" applyFont="1" applyFill="1">
      <alignment vertical="center"/>
    </xf>
    <xf numFmtId="0" fontId="10" fillId="5" borderId="0" xfId="0" applyFont="1" applyFill="1">
      <alignment vertical="center"/>
    </xf>
    <xf numFmtId="0" fontId="12" fillId="0" borderId="0" xfId="0" applyFont="1" applyAlignment="1">
      <alignment vertical="center" wrapText="1"/>
    </xf>
    <xf numFmtId="14" fontId="15" fillId="5" borderId="0" xfId="0" applyNumberFormat="1" applyFont="1" applyFill="1">
      <alignment vertical="center"/>
    </xf>
    <xf numFmtId="49" fontId="11" fillId="0" borderId="0" xfId="0" applyNumberFormat="1" applyFont="1">
      <alignment vertical="center"/>
    </xf>
    <xf numFmtId="0" fontId="11" fillId="5" borderId="0" xfId="0" applyFont="1" applyFill="1">
      <alignment vertical="center"/>
    </xf>
    <xf numFmtId="0" fontId="10" fillId="0" borderId="0" xfId="0" applyFont="1" applyAlignment="1"/>
    <xf numFmtId="49" fontId="11" fillId="0" borderId="0" xfId="1" applyNumberFormat="1" applyFont="1" applyFill="1" applyBorder="1" applyAlignment="1" applyProtection="1">
      <alignment horizontal="left" vertical="center"/>
      <protection locked="0"/>
    </xf>
    <xf numFmtId="49" fontId="11" fillId="0" borderId="0" xfId="1" applyNumberFormat="1" applyFont="1" applyFill="1" applyBorder="1" applyAlignment="1" applyProtection="1">
      <alignment horizontal="left" vertical="center" wrapText="1"/>
      <protection locked="0"/>
    </xf>
    <xf numFmtId="0" fontId="2" fillId="0" borderId="0" xfId="133" applyFont="1" applyAlignment="1" applyProtection="1">
      <alignment vertical="center"/>
      <protection locked="0"/>
    </xf>
    <xf numFmtId="0" fontId="7" fillId="3" borderId="5" xfId="0" applyFont="1" applyFill="1" applyBorder="1" applyAlignment="1" applyProtection="1">
      <alignment horizontal="centerContinuous" vertical="center"/>
      <protection locked="0"/>
    </xf>
    <xf numFmtId="0" fontId="8" fillId="4" borderId="5" xfId="0" applyFont="1" applyFill="1" applyBorder="1" applyProtection="1">
      <alignment vertical="center"/>
      <protection locked="0"/>
    </xf>
    <xf numFmtId="0" fontId="20" fillId="5" borderId="0" xfId="0" applyFont="1" applyFill="1">
      <alignment vertical="center"/>
    </xf>
    <xf numFmtId="224" fontId="10" fillId="5" borderId="0" xfId="0" applyNumberFormat="1" applyFont="1" applyFill="1" applyAlignment="1">
      <alignment horizontal="right" vertical="center"/>
    </xf>
    <xf numFmtId="0" fontId="2" fillId="0" borderId="0" xfId="127" applyFont="1" applyAlignment="1">
      <alignment vertical="center"/>
    </xf>
    <xf numFmtId="0" fontId="12" fillId="6" borderId="0" xfId="127" applyFont="1" applyFill="1" applyAlignment="1">
      <alignment vertical="center"/>
    </xf>
    <xf numFmtId="0" fontId="2" fillId="6" borderId="0" xfId="127" applyFont="1" applyFill="1" applyAlignment="1">
      <alignment vertical="center"/>
    </xf>
    <xf numFmtId="0" fontId="9" fillId="0" borderId="0" xfId="127" applyFont="1" applyAlignment="1">
      <alignment vertical="center"/>
    </xf>
    <xf numFmtId="49" fontId="12" fillId="6" borderId="0" xfId="127" applyNumberFormat="1" applyFont="1" applyFill="1" applyAlignment="1">
      <alignment vertical="center"/>
    </xf>
    <xf numFmtId="0" fontId="11" fillId="0" borderId="0" xfId="0" applyFont="1" applyAlignment="1">
      <alignment horizontal="right" wrapText="1"/>
    </xf>
    <xf numFmtId="49" fontId="2" fillId="6" borderId="0" xfId="127" applyNumberFormat="1" applyFont="1" applyFill="1" applyAlignment="1">
      <alignment vertical="center"/>
    </xf>
    <xf numFmtId="0" fontId="2" fillId="0" borderId="0" xfId="0" applyFont="1" applyAlignment="1" applyProtection="1">
      <alignment vertical="center" wrapText="1"/>
      <protection locked="0"/>
    </xf>
    <xf numFmtId="0" fontId="2" fillId="6" borderId="0" xfId="127" applyFont="1" applyFill="1" applyAlignment="1">
      <alignment horizontal="left" vertical="center"/>
    </xf>
    <xf numFmtId="1" fontId="2" fillId="6" borderId="0" xfId="127" applyNumberFormat="1" applyFont="1" applyFill="1" applyAlignment="1">
      <alignment vertical="center"/>
    </xf>
    <xf numFmtId="14" fontId="2" fillId="6" borderId="0" xfId="127" applyNumberFormat="1" applyFont="1" applyFill="1" applyAlignment="1">
      <alignment vertical="center"/>
    </xf>
    <xf numFmtId="177" fontId="2" fillId="6" borderId="0" xfId="127" applyNumberFormat="1" applyFont="1" applyFill="1" applyAlignment="1">
      <alignment vertical="center"/>
    </xf>
    <xf numFmtId="0" fontId="14" fillId="0" borderId="0" xfId="0" applyFont="1" applyProtection="1">
      <alignment vertical="center"/>
      <protection locked="0"/>
    </xf>
    <xf numFmtId="0" fontId="11" fillId="0" borderId="0" xfId="0" applyFont="1" applyAlignment="1" applyProtection="1">
      <alignment horizontal="center" vertical="center"/>
      <protection locked="0"/>
    </xf>
    <xf numFmtId="0" fontId="21" fillId="5" borderId="0" xfId="0" applyFont="1" applyFill="1">
      <alignment vertical="center"/>
    </xf>
    <xf numFmtId="0" fontId="2" fillId="8" borderId="0" xfId="0" applyFont="1" applyFill="1" applyProtection="1">
      <alignment vertical="center"/>
      <protection locked="0"/>
    </xf>
    <xf numFmtId="49" fontId="0" fillId="0" borderId="0" xfId="0" applyNumberFormat="1">
      <alignment vertical="center"/>
    </xf>
    <xf numFmtId="0" fontId="2" fillId="0" borderId="0" xfId="0" applyFont="1">
      <alignment vertical="center"/>
    </xf>
    <xf numFmtId="0" fontId="11" fillId="0" borderId="0" xfId="128" applyFont="1">
      <alignment vertical="center"/>
    </xf>
    <xf numFmtId="178" fontId="12" fillId="0" borderId="0" xfId="260" applyNumberFormat="1" applyFont="1" applyAlignment="1" applyProtection="1">
      <alignment horizontal="center" vertical="center" shrinkToFit="1"/>
      <protection locked="0"/>
    </xf>
    <xf numFmtId="0" fontId="2" fillId="0" borderId="0" xfId="128" applyFont="1">
      <alignment vertical="center"/>
    </xf>
    <xf numFmtId="178" fontId="15" fillId="0" borderId="0" xfId="260" applyNumberFormat="1" applyFont="1" applyAlignment="1" applyProtection="1">
      <alignment horizontal="center" vertical="center" shrinkToFit="1"/>
      <protection locked="0"/>
    </xf>
    <xf numFmtId="0" fontId="12" fillId="0" borderId="0" xfId="0" applyFont="1">
      <alignment vertical="center"/>
    </xf>
    <xf numFmtId="0" fontId="5" fillId="2" borderId="1" xfId="0" applyFont="1" applyFill="1" applyBorder="1" applyAlignment="1" applyProtection="1">
      <alignment horizontal="centerContinuous" vertical="center"/>
      <protection locked="0"/>
    </xf>
    <xf numFmtId="0" fontId="2" fillId="0" borderId="0" xfId="133" applyFont="1" applyAlignment="1" applyProtection="1">
      <alignment horizontal="left" vertical="center"/>
      <protection locked="0"/>
    </xf>
    <xf numFmtId="0" fontId="12" fillId="8" borderId="0" xfId="0" applyFont="1" applyFill="1">
      <alignment vertical="center"/>
    </xf>
    <xf numFmtId="0" fontId="2" fillId="8" borderId="0" xfId="0" applyFont="1" applyFill="1">
      <alignment vertical="center"/>
    </xf>
    <xf numFmtId="0" fontId="18" fillId="0" borderId="0" xfId="0" applyFont="1" applyProtection="1">
      <alignment vertical="center"/>
      <protection locked="0"/>
    </xf>
    <xf numFmtId="223" fontId="30" fillId="0" borderId="0" xfId="122" applyNumberFormat="1" applyFont="1" applyAlignment="1">
      <alignment horizontal="left" vertical="center"/>
    </xf>
    <xf numFmtId="227" fontId="16" fillId="0" borderId="0" xfId="159" applyNumberFormat="1" applyFont="1" applyAlignment="1" applyProtection="1">
      <alignment horizontal="right" vertical="center"/>
      <protection locked="0"/>
    </xf>
    <xf numFmtId="227" fontId="16" fillId="0" borderId="0" xfId="159" applyNumberFormat="1" applyFont="1" applyAlignment="1" applyProtection="1">
      <alignment vertical="center" wrapText="1"/>
      <protection locked="0"/>
    </xf>
    <xf numFmtId="0" fontId="11" fillId="0" borderId="0" xfId="0" applyFont="1" applyAlignment="1">
      <alignment horizontal="center" vertical="center"/>
    </xf>
    <xf numFmtId="0" fontId="2" fillId="6" borderId="0" xfId="0" applyFont="1" applyFill="1">
      <alignment vertical="center"/>
    </xf>
    <xf numFmtId="0" fontId="11" fillId="0" borderId="0" xfId="0" applyFont="1" applyAlignment="1" applyProtection="1">
      <alignment horizontal="center" vertical="center" shrinkToFit="1"/>
      <protection locked="0"/>
    </xf>
    <xf numFmtId="0" fontId="11" fillId="0" borderId="0" xfId="127" applyFont="1" applyAlignment="1" applyProtection="1">
      <alignment horizontal="left" vertical="center"/>
      <protection locked="0"/>
    </xf>
    <xf numFmtId="178" fontId="15" fillId="0" borderId="0" xfId="0" applyNumberFormat="1" applyFont="1" applyAlignment="1">
      <alignment vertical="center" shrinkToFit="1"/>
    </xf>
    <xf numFmtId="49" fontId="19" fillId="0" borderId="0" xfId="260" applyNumberFormat="1" applyFont="1" applyAlignment="1" applyProtection="1">
      <alignment horizontal="center" vertical="center" shrinkToFit="1"/>
      <protection locked="0"/>
    </xf>
    <xf numFmtId="49" fontId="10" fillId="6" borderId="0" xfId="260" applyNumberFormat="1" applyFont="1" applyFill="1" applyAlignment="1" applyProtection="1">
      <alignment horizontal="center" vertical="center" shrinkToFit="1"/>
      <protection locked="0"/>
    </xf>
    <xf numFmtId="178" fontId="2" fillId="0" borderId="0" xfId="260" applyNumberFormat="1" applyFont="1" applyAlignment="1" applyProtection="1">
      <alignment horizontal="right" vertical="center" shrinkToFit="1"/>
      <protection locked="0"/>
    </xf>
    <xf numFmtId="178" fontId="12" fillId="0" borderId="0" xfId="260" applyNumberFormat="1" applyFont="1" applyAlignment="1" applyProtection="1">
      <alignment horizontal="right" vertical="center" shrinkToFit="1"/>
      <protection locked="0"/>
    </xf>
    <xf numFmtId="178" fontId="15" fillId="0" borderId="0" xfId="156" applyNumberFormat="1" applyFont="1" applyAlignment="1">
      <alignment horizontal="right" vertical="center" shrinkToFit="1"/>
    </xf>
    <xf numFmtId="178" fontId="2" fillId="0" borderId="0" xfId="0" applyNumberFormat="1" applyFont="1" applyAlignment="1">
      <alignment horizontal="right" vertical="center" shrinkToFit="1"/>
    </xf>
    <xf numFmtId="178" fontId="2" fillId="0" borderId="0" xfId="1" applyFont="1" applyFill="1" applyBorder="1" applyAlignment="1" applyProtection="1">
      <alignment horizontal="right" vertical="center" shrinkToFit="1"/>
      <protection locked="0"/>
    </xf>
    <xf numFmtId="0" fontId="11" fillId="0" borderId="0" xfId="260" applyFont="1" applyAlignment="1" applyProtection="1">
      <alignment horizontal="left" vertical="center"/>
      <protection locked="0"/>
    </xf>
    <xf numFmtId="0" fontId="15" fillId="0" borderId="0" xfId="260" applyFont="1" applyAlignment="1" applyProtection="1">
      <alignment horizontal="center" vertical="center"/>
      <protection locked="0"/>
    </xf>
    <xf numFmtId="0" fontId="12" fillId="6" borderId="0" xfId="127" applyFont="1" applyFill="1" applyAlignment="1" applyProtection="1">
      <alignment vertical="center"/>
      <protection locked="0"/>
    </xf>
    <xf numFmtId="0" fontId="2" fillId="6" borderId="0" xfId="127" applyFont="1" applyFill="1" applyAlignment="1" applyProtection="1">
      <alignment vertical="center"/>
      <protection locked="0"/>
    </xf>
    <xf numFmtId="0" fontId="2" fillId="6" borderId="0" xfId="127" applyFont="1" applyFill="1" applyAlignment="1" applyProtection="1">
      <alignment horizontal="right" vertical="center"/>
      <protection locked="0"/>
    </xf>
    <xf numFmtId="0" fontId="12" fillId="8" borderId="0" xfId="127" applyFont="1" applyFill="1" applyAlignment="1" applyProtection="1">
      <alignment vertical="center"/>
      <protection locked="0"/>
    </xf>
    <xf numFmtId="0" fontId="2" fillId="8" borderId="0" xfId="127" applyFont="1" applyFill="1" applyAlignment="1" applyProtection="1">
      <alignment vertical="center"/>
      <protection locked="0"/>
    </xf>
    <xf numFmtId="0" fontId="2" fillId="8" borderId="0" xfId="127" applyFont="1" applyFill="1" applyAlignment="1" applyProtection="1">
      <alignment horizontal="right" vertical="center"/>
      <protection locked="0"/>
    </xf>
    <xf numFmtId="0" fontId="12" fillId="8" borderId="0" xfId="127" applyFont="1" applyFill="1" applyAlignment="1">
      <alignment vertical="center"/>
    </xf>
    <xf numFmtId="0" fontId="2" fillId="8" borderId="0" xfId="127" applyFont="1" applyFill="1" applyAlignment="1">
      <alignment vertical="center"/>
    </xf>
    <xf numFmtId="0" fontId="7" fillId="3" borderId="15" xfId="0" applyFont="1" applyFill="1" applyBorder="1" applyAlignment="1" applyProtection="1">
      <alignment horizontal="centerContinuous" vertical="center"/>
      <protection locked="0"/>
    </xf>
    <xf numFmtId="0" fontId="7" fillId="3" borderId="11" xfId="0" applyFont="1" applyFill="1" applyBorder="1" applyAlignment="1" applyProtection="1">
      <alignment horizontal="centerContinuous" vertical="center"/>
      <protection locked="0"/>
    </xf>
    <xf numFmtId="0" fontId="6" fillId="2" borderId="11" xfId="0" applyFont="1" applyFill="1" applyBorder="1" applyAlignment="1" applyProtection="1">
      <alignment horizontal="centerContinuous" vertical="center"/>
      <protection locked="0"/>
    </xf>
    <xf numFmtId="0" fontId="2" fillId="0" borderId="0" xfId="0" applyFont="1" applyAlignment="1">
      <alignment horizontal="left" vertical="center"/>
    </xf>
    <xf numFmtId="0" fontId="15" fillId="0" borderId="0" xfId="0" applyFont="1" applyAlignment="1" applyProtection="1">
      <alignment horizontal="left" vertical="center"/>
      <protection locked="0"/>
    </xf>
    <xf numFmtId="0" fontId="15" fillId="0" borderId="0" xfId="0" applyFont="1" applyAlignment="1">
      <alignment horizontal="left" vertical="center"/>
    </xf>
    <xf numFmtId="0" fontId="2" fillId="0" borderId="1" xfId="0" applyFont="1" applyBorder="1">
      <alignment vertical="center"/>
    </xf>
    <xf numFmtId="0" fontId="2" fillId="0" borderId="3" xfId="0" applyFont="1" applyBorder="1">
      <alignment vertical="center"/>
    </xf>
    <xf numFmtId="0" fontId="2" fillId="0" borderId="1" xfId="0" applyFont="1" applyBorder="1" applyProtection="1">
      <alignment vertical="center"/>
      <protection locked="0"/>
    </xf>
    <xf numFmtId="0" fontId="16" fillId="0" borderId="0" xfId="0" applyFont="1">
      <alignment vertical="center"/>
    </xf>
    <xf numFmtId="0" fontId="15" fillId="0" borderId="0" xfId="0" applyFont="1">
      <alignment vertical="center"/>
    </xf>
    <xf numFmtId="0" fontId="14" fillId="0" borderId="0" xfId="0" applyFont="1">
      <alignment vertical="center"/>
    </xf>
    <xf numFmtId="0" fontId="11" fillId="0" borderId="0" xfId="0" applyFont="1">
      <alignment vertical="center"/>
    </xf>
    <xf numFmtId="178" fontId="2" fillId="0" borderId="0" xfId="0" applyNumberFormat="1" applyFont="1">
      <alignment vertical="center"/>
    </xf>
    <xf numFmtId="0" fontId="13" fillId="0" borderId="0" xfId="0" applyFont="1">
      <alignment vertical="center"/>
    </xf>
    <xf numFmtId="0" fontId="15" fillId="8" borderId="0" xfId="0" applyFont="1" applyFill="1">
      <alignment vertical="center"/>
    </xf>
    <xf numFmtId="177" fontId="15" fillId="12" borderId="0" xfId="0" applyNumberFormat="1" applyFont="1" applyFill="1">
      <alignment vertical="center"/>
    </xf>
    <xf numFmtId="0" fontId="15" fillId="0" borderId="0" xfId="0" applyFont="1" applyProtection="1">
      <alignment vertical="center"/>
      <protection locked="0"/>
    </xf>
    <xf numFmtId="0" fontId="15" fillId="0" borderId="0" xfId="133" applyFont="1" applyAlignment="1" applyProtection="1">
      <alignment vertical="center"/>
      <protection locked="0"/>
    </xf>
    <xf numFmtId="0" fontId="2" fillId="6" borderId="0" xfId="0" applyFont="1" applyFill="1" applyProtection="1">
      <alignment vertical="center"/>
      <protection locked="0"/>
    </xf>
    <xf numFmtId="0" fontId="14" fillId="6" borderId="0" xfId="0" applyFont="1" applyFill="1" applyProtection="1">
      <alignment vertical="center"/>
      <protection locked="0"/>
    </xf>
    <xf numFmtId="0" fontId="11" fillId="6" borderId="0" xfId="0" applyFont="1" applyFill="1" applyAlignment="1" applyProtection="1">
      <alignment horizontal="center" vertical="center"/>
      <protection locked="0"/>
    </xf>
    <xf numFmtId="0" fontId="5" fillId="2" borderId="14" xfId="0" applyFont="1" applyFill="1" applyBorder="1" applyAlignment="1" applyProtection="1">
      <alignment horizontal="centerContinuous" vertical="center"/>
      <protection locked="0"/>
    </xf>
    <xf numFmtId="0" fontId="11" fillId="0" borderId="0" xfId="52" applyNumberFormat="1" applyFont="1" applyAlignment="1" applyProtection="1">
      <alignment horizontal="left" vertical="center"/>
      <protection locked="0"/>
    </xf>
    <xf numFmtId="0" fontId="6" fillId="2" borderId="1" xfId="315" applyFont="1" applyFill="1" applyBorder="1" applyAlignment="1" applyProtection="1">
      <alignment horizontal="centerContinuous" vertical="center"/>
      <protection locked="0"/>
    </xf>
    <xf numFmtId="0" fontId="7" fillId="3" borderId="1" xfId="315" applyFont="1" applyFill="1" applyBorder="1" applyAlignment="1" applyProtection="1">
      <alignment horizontal="centerContinuous" vertical="center"/>
      <protection locked="0"/>
    </xf>
    <xf numFmtId="0" fontId="7" fillId="3" borderId="5" xfId="315" applyFont="1" applyFill="1" applyBorder="1" applyAlignment="1" applyProtection="1">
      <alignment horizontal="centerContinuous" vertical="center"/>
      <protection locked="0"/>
    </xf>
    <xf numFmtId="0" fontId="2" fillId="6" borderId="0" xfId="315" applyFont="1" applyFill="1" applyProtection="1">
      <alignment vertical="center"/>
      <protection locked="0"/>
    </xf>
    <xf numFmtId="0" fontId="2" fillId="8" borderId="0" xfId="315" applyFont="1" applyFill="1" applyProtection="1">
      <alignment vertical="center"/>
      <protection locked="0"/>
    </xf>
    <xf numFmtId="0" fontId="115" fillId="6" borderId="0" xfId="158" applyFont="1" applyFill="1" applyAlignment="1" applyProtection="1">
      <alignment horizontal="left" vertical="center"/>
      <protection locked="0"/>
    </xf>
    <xf numFmtId="0" fontId="2" fillId="0" borderId="11" xfId="0" applyFont="1" applyBorder="1">
      <alignment vertical="center"/>
    </xf>
    <xf numFmtId="0" fontId="2" fillId="0" borderId="3" xfId="0" applyFont="1" applyBorder="1" applyProtection="1">
      <alignment vertical="center"/>
      <protection locked="0"/>
    </xf>
    <xf numFmtId="0" fontId="2" fillId="0" borderId="24" xfId="0" applyFont="1" applyBorder="1">
      <alignment vertical="center"/>
    </xf>
    <xf numFmtId="0" fontId="2" fillId="0" borderId="25" xfId="0" applyFont="1" applyBorder="1">
      <alignment vertical="center"/>
    </xf>
    <xf numFmtId="0" fontId="18" fillId="8" borderId="0" xfId="315" applyFont="1" applyFill="1" applyProtection="1">
      <alignment vertical="center"/>
      <protection locked="0"/>
    </xf>
    <xf numFmtId="0" fontId="5" fillId="2" borderId="1" xfId="315" applyFont="1" applyFill="1" applyBorder="1" applyAlignment="1" applyProtection="1">
      <alignment horizontal="centerContinuous" vertical="center"/>
      <protection locked="0"/>
    </xf>
    <xf numFmtId="0" fontId="2" fillId="0" borderId="0" xfId="247" applyFont="1" applyProtection="1">
      <alignment vertical="center"/>
      <protection locked="0"/>
    </xf>
    <xf numFmtId="0" fontId="14" fillId="0" borderId="0" xfId="247" applyFont="1" applyAlignment="1" applyProtection="1">
      <alignment horizontal="left" vertical="center"/>
      <protection locked="0"/>
    </xf>
    <xf numFmtId="0" fontId="14" fillId="8" borderId="0" xfId="247" applyFont="1" applyFill="1" applyProtection="1">
      <alignment vertical="center"/>
      <protection locked="0"/>
    </xf>
    <xf numFmtId="0" fontId="14" fillId="0" borderId="0" xfId="247" applyFont="1" applyProtection="1">
      <alignment vertical="center"/>
      <protection locked="0"/>
    </xf>
    <xf numFmtId="0" fontId="2" fillId="0" borderId="0" xfId="247" applyFont="1" applyAlignment="1" applyProtection="1">
      <alignment horizontal="left" vertical="center"/>
      <protection locked="0"/>
    </xf>
    <xf numFmtId="0" fontId="2" fillId="0" borderId="0" xfId="247" applyFont="1">
      <alignment vertical="center"/>
    </xf>
    <xf numFmtId="0" fontId="2" fillId="8" borderId="0" xfId="247" applyFont="1" applyFill="1" applyProtection="1">
      <alignment vertical="center"/>
      <protection locked="0"/>
    </xf>
    <xf numFmtId="0" fontId="12" fillId="0" borderId="0" xfId="138" applyFont="1" applyAlignment="1" applyProtection="1">
      <alignment vertical="center"/>
      <protection locked="0"/>
    </xf>
    <xf numFmtId="0" fontId="2" fillId="0" borderId="0" xfId="138" applyFont="1" applyAlignment="1" applyProtection="1">
      <alignment horizontal="right" vertical="center"/>
      <protection locked="0"/>
    </xf>
    <xf numFmtId="0" fontId="2" fillId="0" borderId="0" xfId="138" applyFont="1" applyAlignment="1" applyProtection="1">
      <alignment horizontal="left" vertical="center" wrapText="1"/>
      <protection locked="0"/>
    </xf>
    <xf numFmtId="0" fontId="2" fillId="6" borderId="0" xfId="138" applyFont="1" applyFill="1" applyAlignment="1" applyProtection="1">
      <alignment vertical="center"/>
      <protection locked="0"/>
    </xf>
    <xf numFmtId="0" fontId="2" fillId="0" borderId="0" xfId="138" applyFont="1" applyAlignment="1" applyProtection="1">
      <alignment vertical="center"/>
      <protection locked="0"/>
    </xf>
    <xf numFmtId="0" fontId="13" fillId="0" borderId="0" xfId="128" applyFont="1" applyAlignment="1">
      <alignment horizontal="left" vertical="center"/>
    </xf>
    <xf numFmtId="0" fontId="10" fillId="5" borderId="0" xfId="128" applyFont="1" applyFill="1" applyProtection="1">
      <alignment vertical="center"/>
      <protection locked="0"/>
    </xf>
    <xf numFmtId="0" fontId="23" fillId="0" borderId="0" xfId="128" applyFont="1" applyAlignment="1" applyProtection="1">
      <alignment horizontal="center" vertical="center"/>
      <protection locked="0"/>
    </xf>
    <xf numFmtId="0" fontId="10" fillId="0" borderId="0" xfId="128" applyFont="1" applyAlignment="1" applyProtection="1">
      <alignment horizontal="center" vertical="center"/>
      <protection locked="0"/>
    </xf>
    <xf numFmtId="0" fontId="18" fillId="0" borderId="0" xfId="128" applyFont="1" applyAlignment="1" applyProtection="1">
      <alignment horizontal="right" vertical="center"/>
      <protection locked="0"/>
    </xf>
    <xf numFmtId="0" fontId="12" fillId="0" borderId="0" xfId="128" applyFont="1" applyAlignment="1" applyProtection="1">
      <alignment horizontal="center" vertical="center"/>
      <protection locked="0"/>
    </xf>
    <xf numFmtId="0" fontId="13" fillId="0" borderId="0" xfId="128" applyFont="1" applyAlignment="1" applyProtection="1">
      <alignment horizontal="center" vertical="center"/>
      <protection locked="0"/>
    </xf>
    <xf numFmtId="0" fontId="12" fillId="5" borderId="0" xfId="128" applyFont="1" applyFill="1" applyProtection="1">
      <alignment vertical="center"/>
      <protection locked="0"/>
    </xf>
    <xf numFmtId="0" fontId="10" fillId="0" borderId="0" xfId="128" applyFont="1" applyProtection="1">
      <alignment vertical="center"/>
      <protection locked="0"/>
    </xf>
    <xf numFmtId="178" fontId="10" fillId="0" borderId="0" xfId="128" applyNumberFormat="1" applyFont="1" applyAlignment="1"/>
    <xf numFmtId="0" fontId="12" fillId="6" borderId="0" xfId="138" applyFont="1" applyFill="1" applyAlignment="1" applyProtection="1">
      <alignment vertical="center"/>
      <protection locked="0"/>
    </xf>
    <xf numFmtId="0" fontId="19" fillId="10" borderId="0" xfId="128" applyFont="1" applyFill="1">
      <alignment vertical="center"/>
    </xf>
    <xf numFmtId="0" fontId="17" fillId="10" borderId="0" xfId="128" applyFont="1" applyFill="1">
      <alignment vertical="center"/>
    </xf>
    <xf numFmtId="0" fontId="13" fillId="0" borderId="0" xfId="128" applyFont="1" applyProtection="1">
      <alignment vertical="center"/>
      <protection locked="0"/>
    </xf>
    <xf numFmtId="0" fontId="11" fillId="0" borderId="0" xfId="128" applyFont="1" applyAlignment="1" applyProtection="1">
      <alignment horizontal="center" vertical="center"/>
      <protection locked="0"/>
    </xf>
    <xf numFmtId="0" fontId="2" fillId="6" borderId="0" xfId="138" applyFont="1" applyFill="1" applyAlignment="1" applyProtection="1">
      <alignment horizontal="right" vertical="center"/>
      <protection locked="0"/>
    </xf>
    <xf numFmtId="0" fontId="2" fillId="0" borderId="0" xfId="0" applyFont="1" applyAlignment="1">
      <alignment vertical="top" wrapText="1"/>
    </xf>
    <xf numFmtId="0" fontId="121" fillId="7" borderId="0" xfId="0" applyFont="1" applyFill="1" applyAlignment="1"/>
    <xf numFmtId="0" fontId="61" fillId="4" borderId="13" xfId="0" applyFont="1" applyFill="1" applyBorder="1">
      <alignment vertical="center"/>
    </xf>
    <xf numFmtId="0" fontId="9" fillId="0" borderId="0" xfId="371" applyFont="1" applyAlignment="1"/>
    <xf numFmtId="0" fontId="2" fillId="0" borderId="0" xfId="247" applyFont="1" applyAlignment="1" applyProtection="1">
      <alignment horizontal="center" vertical="center"/>
      <protection locked="0"/>
    </xf>
    <xf numFmtId="0" fontId="2" fillId="6" borderId="0" xfId="138" applyFont="1" applyFill="1" applyAlignment="1" applyProtection="1">
      <alignment horizontal="center" vertical="center" wrapText="1"/>
      <protection locked="0"/>
    </xf>
    <xf numFmtId="0" fontId="18" fillId="0" borderId="0" xfId="128" applyFont="1" applyAlignment="1" applyProtection="1">
      <alignment horizontal="center" vertical="center"/>
      <protection locked="0"/>
    </xf>
    <xf numFmtId="0" fontId="2" fillId="0" borderId="0" xfId="138" applyFont="1" applyAlignment="1" applyProtection="1">
      <alignment horizontal="center" vertical="center"/>
      <protection locked="0"/>
    </xf>
    <xf numFmtId="0" fontId="2" fillId="6" borderId="0" xfId="138" applyFont="1" applyFill="1" applyAlignment="1" applyProtection="1">
      <alignment horizontal="center" vertical="center"/>
      <protection locked="0"/>
    </xf>
    <xf numFmtId="0" fontId="2" fillId="8" borderId="0" xfId="247" applyFont="1" applyFill="1" applyAlignment="1" applyProtection="1">
      <alignment horizontal="center" vertical="center"/>
      <protection locked="0"/>
    </xf>
    <xf numFmtId="49" fontId="10" fillId="0" borderId="0" xfId="128" applyNumberFormat="1" applyFont="1" applyAlignment="1" applyProtection="1">
      <alignment horizontal="right"/>
      <protection locked="0"/>
    </xf>
    <xf numFmtId="49" fontId="10" fillId="0" borderId="0" xfId="128" applyNumberFormat="1" applyFont="1" applyAlignment="1" applyProtection="1">
      <alignment horizontal="center"/>
      <protection locked="0"/>
    </xf>
    <xf numFmtId="0" fontId="2" fillId="0" borderId="36" xfId="0" applyFont="1" applyBorder="1">
      <alignment vertical="center"/>
    </xf>
    <xf numFmtId="0" fontId="2" fillId="0" borderId="37" xfId="0" applyFont="1" applyBorder="1">
      <alignment vertical="center"/>
    </xf>
    <xf numFmtId="0" fontId="2" fillId="0" borderId="37" xfId="0" applyFont="1" applyBorder="1" applyProtection="1">
      <alignment vertical="center"/>
      <protection locked="0"/>
    </xf>
    <xf numFmtId="9" fontId="11" fillId="0" borderId="0" xfId="0" applyNumberFormat="1" applyFont="1" applyAlignment="1">
      <alignment horizontal="center" vertical="center" shrinkToFit="1"/>
    </xf>
    <xf numFmtId="0" fontId="14" fillId="0" borderId="45" xfId="0" applyFont="1" applyBorder="1">
      <alignment vertical="center"/>
    </xf>
    <xf numFmtId="0" fontId="14" fillId="0" borderId="60" xfId="0" applyFont="1" applyBorder="1" applyAlignment="1">
      <alignment horizontal="center" vertical="center"/>
    </xf>
    <xf numFmtId="0" fontId="14" fillId="0" borderId="46" xfId="0" applyFont="1" applyBorder="1" applyAlignment="1">
      <alignment horizontal="center" vertical="center"/>
    </xf>
    <xf numFmtId="0" fontId="10" fillId="0" borderId="61" xfId="0" applyFont="1" applyBorder="1" applyAlignment="1">
      <alignment horizontal="left" vertical="center" wrapText="1"/>
    </xf>
    <xf numFmtId="226" fontId="2" fillId="0" borderId="0" xfId="1" applyNumberFormat="1" applyFont="1" applyFill="1" applyBorder="1" applyAlignment="1" applyProtection="1">
      <alignment horizontal="right" vertical="center" shrinkToFit="1"/>
      <protection locked="0"/>
    </xf>
    <xf numFmtId="0" fontId="127" fillId="6" borderId="0" xfId="158" applyFont="1" applyFill="1" applyAlignment="1" applyProtection="1">
      <alignment horizontal="left" vertical="center"/>
      <protection locked="0"/>
    </xf>
    <xf numFmtId="226" fontId="2" fillId="0" borderId="52" xfId="0" applyNumberFormat="1" applyFont="1" applyBorder="1">
      <alignment vertical="center"/>
    </xf>
    <xf numFmtId="0" fontId="16" fillId="7" borderId="3" xfId="247" applyFont="1" applyFill="1" applyBorder="1" applyProtection="1">
      <alignment vertical="center"/>
      <protection locked="0"/>
    </xf>
    <xf numFmtId="0" fontId="14" fillId="7" borderId="3" xfId="247" applyFont="1" applyFill="1" applyBorder="1" applyProtection="1">
      <alignment vertical="center"/>
      <protection locked="0"/>
    </xf>
    <xf numFmtId="0" fontId="2" fillId="7" borderId="3" xfId="247" applyFont="1" applyFill="1" applyBorder="1" applyProtection="1">
      <alignment vertical="center"/>
      <protection locked="0"/>
    </xf>
    <xf numFmtId="0" fontId="11" fillId="7" borderId="3" xfId="247" applyFont="1" applyFill="1" applyBorder="1" applyAlignment="1" applyProtection="1">
      <alignment horizontal="center" vertical="center"/>
      <protection locked="0"/>
    </xf>
    <xf numFmtId="226" fontId="10" fillId="0" borderId="0" xfId="143" applyNumberFormat="1" applyFont="1" applyAlignment="1" applyProtection="1">
      <alignment horizontal="right" vertical="center" wrapText="1"/>
      <protection locked="0"/>
    </xf>
    <xf numFmtId="0" fontId="16" fillId="7" borderId="3" xfId="0" applyFont="1" applyFill="1" applyBorder="1" applyProtection="1">
      <alignment vertical="center"/>
      <protection locked="0"/>
    </xf>
    <xf numFmtId="0" fontId="14" fillId="9" borderId="5" xfId="0" applyFont="1" applyFill="1" applyBorder="1" applyAlignment="1" applyProtection="1">
      <alignment vertical="center" wrapText="1"/>
      <protection locked="0"/>
    </xf>
    <xf numFmtId="0" fontId="14" fillId="9" borderId="5" xfId="0" applyFont="1" applyFill="1" applyBorder="1" applyAlignment="1" applyProtection="1">
      <alignment horizontal="left" vertical="center" wrapText="1"/>
      <protection locked="0"/>
    </xf>
    <xf numFmtId="0" fontId="14" fillId="0" borderId="5" xfId="0" applyFont="1" applyBorder="1" applyAlignment="1" applyProtection="1">
      <alignment vertical="center" wrapText="1"/>
      <protection locked="0"/>
    </xf>
    <xf numFmtId="0" fontId="14" fillId="9" borderId="57" xfId="0" applyFont="1" applyFill="1" applyBorder="1" applyAlignment="1" applyProtection="1">
      <alignment vertical="center" wrapText="1"/>
      <protection locked="0"/>
    </xf>
    <xf numFmtId="225" fontId="14" fillId="9" borderId="57" xfId="0" applyNumberFormat="1" applyFont="1" applyFill="1" applyBorder="1" applyAlignment="1" applyProtection="1">
      <alignment horizontal="right" vertical="center" wrapText="1"/>
      <protection locked="0"/>
    </xf>
    <xf numFmtId="0" fontId="14" fillId="0" borderId="55" xfId="0" applyFont="1" applyBorder="1" applyAlignment="1" applyProtection="1">
      <alignment horizontal="left" vertical="center" wrapText="1"/>
      <protection locked="0"/>
    </xf>
    <xf numFmtId="0" fontId="19" fillId="7" borderId="68" xfId="0" applyFont="1" applyFill="1" applyBorder="1">
      <alignment vertical="center"/>
    </xf>
    <xf numFmtId="0" fontId="19" fillId="7" borderId="25" xfId="0" applyFont="1" applyFill="1" applyBorder="1">
      <alignment vertical="center"/>
    </xf>
    <xf numFmtId="0" fontId="19" fillId="7" borderId="67" xfId="0" applyFont="1" applyFill="1" applyBorder="1">
      <alignment vertical="center"/>
    </xf>
    <xf numFmtId="0" fontId="14" fillId="7" borderId="45" xfId="0" applyFont="1" applyFill="1" applyBorder="1" applyAlignment="1" applyProtection="1">
      <alignment horizontal="left" wrapText="1"/>
      <protection locked="0"/>
    </xf>
    <xf numFmtId="0" fontId="14" fillId="7" borderId="46" xfId="0" applyFont="1" applyFill="1" applyBorder="1" applyAlignment="1" applyProtection="1">
      <alignment horizontal="left" wrapText="1"/>
      <protection locked="0"/>
    </xf>
    <xf numFmtId="0" fontId="14" fillId="7" borderId="45" xfId="0" applyFont="1" applyFill="1" applyBorder="1" applyAlignment="1" applyProtection="1">
      <alignment horizontal="center" vertical="center" wrapText="1"/>
      <protection locked="0"/>
    </xf>
    <xf numFmtId="0" fontId="14" fillId="7" borderId="64" xfId="0" applyFont="1" applyFill="1" applyBorder="1" applyAlignment="1" applyProtection="1">
      <alignment horizontal="center" vertical="center" wrapText="1"/>
      <protection locked="0"/>
    </xf>
    <xf numFmtId="0" fontId="14" fillId="7" borderId="59" xfId="127" applyFont="1" applyFill="1" applyBorder="1" applyAlignment="1">
      <alignment horizontal="center" vertical="center"/>
    </xf>
    <xf numFmtId="0" fontId="14" fillId="7" borderId="65" xfId="0" applyFont="1" applyFill="1" applyBorder="1" applyAlignment="1" applyProtection="1">
      <alignment horizontal="center" vertical="center" wrapText="1"/>
      <protection locked="0"/>
    </xf>
    <xf numFmtId="0" fontId="14" fillId="7" borderId="60" xfId="0" applyFont="1" applyFill="1" applyBorder="1" applyAlignment="1" applyProtection="1">
      <alignment horizontal="center" vertical="center" wrapText="1"/>
      <protection locked="0"/>
    </xf>
    <xf numFmtId="0" fontId="14" fillId="7" borderId="46" xfId="127" applyFont="1" applyFill="1" applyBorder="1" applyAlignment="1">
      <alignment horizontal="center" vertical="center"/>
    </xf>
    <xf numFmtId="0" fontId="16" fillId="7" borderId="60" xfId="0" applyFont="1" applyFill="1" applyBorder="1" applyAlignment="1">
      <alignment horizontal="center" vertical="center" wrapText="1"/>
    </xf>
    <xf numFmtId="0" fontId="14" fillId="7" borderId="51" xfId="0" applyFont="1" applyFill="1" applyBorder="1" applyAlignment="1" applyProtection="1">
      <alignment horizontal="center" vertical="center" wrapText="1"/>
      <protection locked="0"/>
    </xf>
    <xf numFmtId="0" fontId="14" fillId="7" borderId="59" xfId="0" applyFont="1" applyFill="1" applyBorder="1" applyAlignment="1" applyProtection="1">
      <alignment horizontal="center" vertical="center" wrapText="1"/>
      <protection locked="0"/>
    </xf>
    <xf numFmtId="0" fontId="14" fillId="7" borderId="46" xfId="0" applyFont="1" applyFill="1" applyBorder="1" applyAlignment="1" applyProtection="1">
      <alignment horizontal="center" vertical="center" wrapText="1"/>
      <protection locked="0"/>
    </xf>
    <xf numFmtId="0" fontId="14" fillId="7" borderId="64" xfId="0" applyFont="1" applyFill="1" applyBorder="1" applyAlignment="1" applyProtection="1">
      <alignment horizontal="left" vertical="center"/>
      <protection locked="0"/>
    </xf>
    <xf numFmtId="0" fontId="14" fillId="7" borderId="35" xfId="0" applyFont="1" applyFill="1" applyBorder="1" applyAlignment="1" applyProtection="1">
      <alignment horizontal="left" vertical="center"/>
      <protection locked="0"/>
    </xf>
    <xf numFmtId="0" fontId="16" fillId="7" borderId="45" xfId="0" applyFont="1" applyFill="1" applyBorder="1" applyAlignment="1">
      <alignment horizontal="center" vertical="center"/>
    </xf>
    <xf numFmtId="0" fontId="16" fillId="7" borderId="60" xfId="0" applyFont="1" applyFill="1" applyBorder="1" applyAlignment="1">
      <alignment horizontal="center" vertical="center"/>
    </xf>
    <xf numFmtId="0" fontId="16" fillId="7" borderId="64" xfId="0" applyFont="1" applyFill="1" applyBorder="1" applyAlignment="1">
      <alignment horizontal="center" vertical="center" wrapText="1"/>
    </xf>
    <xf numFmtId="0" fontId="19" fillId="7" borderId="64" xfId="0" applyFont="1" applyFill="1" applyBorder="1" applyAlignment="1">
      <alignment horizontal="center" vertical="center" wrapText="1"/>
    </xf>
    <xf numFmtId="0" fontId="16" fillId="7" borderId="46" xfId="0" applyFont="1" applyFill="1" applyBorder="1" applyAlignment="1">
      <alignment horizontal="center" vertical="center"/>
    </xf>
    <xf numFmtId="0" fontId="19" fillId="7" borderId="60" xfId="0" applyFont="1" applyFill="1" applyBorder="1" applyAlignment="1">
      <alignment horizontal="center" vertical="center" wrapText="1"/>
    </xf>
    <xf numFmtId="0" fontId="11" fillId="0" borderId="69" xfId="0" applyFont="1" applyBorder="1" applyAlignment="1">
      <alignment horizontal="center" vertical="center"/>
    </xf>
    <xf numFmtId="0" fontId="28" fillId="0" borderId="69" xfId="0" applyFont="1" applyBorder="1" applyAlignment="1">
      <alignment horizontal="center" vertical="center"/>
    </xf>
    <xf numFmtId="0" fontId="11" fillId="0" borderId="69" xfId="0" applyFont="1" applyBorder="1" applyAlignment="1" applyProtection="1">
      <alignment horizontal="center" vertical="center"/>
      <protection locked="0"/>
    </xf>
    <xf numFmtId="0" fontId="29" fillId="0" borderId="69" xfId="0" applyFont="1" applyBorder="1" applyAlignment="1">
      <alignment horizontal="center" vertical="center"/>
    </xf>
    <xf numFmtId="0" fontId="2" fillId="0" borderId="69" xfId="0" applyFont="1" applyBorder="1">
      <alignment vertical="center"/>
    </xf>
    <xf numFmtId="0" fontId="2" fillId="0" borderId="69" xfId="0" applyFont="1" applyBorder="1" applyAlignment="1" applyProtection="1">
      <alignment vertical="center" wrapText="1"/>
      <protection locked="0"/>
    </xf>
    <xf numFmtId="0" fontId="14" fillId="9" borderId="69" xfId="0" applyFont="1" applyFill="1" applyBorder="1" applyAlignment="1" applyProtection="1">
      <alignment vertical="center" wrapText="1"/>
      <protection locked="0"/>
    </xf>
    <xf numFmtId="0" fontId="14" fillId="0" borderId="69" xfId="0" applyFont="1" applyBorder="1" applyAlignment="1" applyProtection="1">
      <alignment vertical="center" wrapText="1"/>
      <protection locked="0"/>
    </xf>
    <xf numFmtId="226" fontId="17" fillId="0" borderId="70" xfId="253" applyNumberFormat="1" applyFont="1" applyBorder="1" applyAlignment="1">
      <alignment horizontal="right" vertical="center"/>
    </xf>
    <xf numFmtId="0" fontId="14" fillId="9" borderId="71" xfId="0" applyFont="1" applyFill="1" applyBorder="1" applyAlignment="1" applyProtection="1">
      <alignment vertical="center" wrapText="1"/>
      <protection locked="0"/>
    </xf>
    <xf numFmtId="225" fontId="14" fillId="9" borderId="71" xfId="0" applyNumberFormat="1" applyFont="1" applyFill="1" applyBorder="1" applyAlignment="1" applyProtection="1">
      <alignment horizontal="right" vertical="center" wrapText="1"/>
      <protection locked="0"/>
    </xf>
    <xf numFmtId="0" fontId="25" fillId="11" borderId="72" xfId="0" applyFont="1" applyFill="1" applyBorder="1" applyProtection="1">
      <alignment vertical="center"/>
      <protection locked="0"/>
    </xf>
    <xf numFmtId="0" fontId="2" fillId="0" borderId="72" xfId="0" applyFont="1" applyBorder="1">
      <alignment vertical="center"/>
    </xf>
    <xf numFmtId="0" fontId="15" fillId="0" borderId="72" xfId="124" applyFont="1" applyBorder="1" applyAlignment="1">
      <alignment vertical="center"/>
    </xf>
    <xf numFmtId="0" fontId="14" fillId="0" borderId="73" xfId="0" applyFont="1" applyBorder="1">
      <alignment vertical="center"/>
    </xf>
    <xf numFmtId="0" fontId="5" fillId="2" borderId="72" xfId="0" applyFont="1" applyFill="1" applyBorder="1" applyAlignment="1" applyProtection="1">
      <alignment horizontal="centerContinuous" vertical="center"/>
      <protection locked="0"/>
    </xf>
    <xf numFmtId="0" fontId="8" fillId="4" borderId="72" xfId="315" applyFont="1" applyFill="1" applyBorder="1" applyProtection="1">
      <alignment vertical="center"/>
      <protection locked="0"/>
    </xf>
    <xf numFmtId="0" fontId="8" fillId="4" borderId="72" xfId="0" applyFont="1" applyFill="1" applyBorder="1" applyProtection="1">
      <alignment vertical="center"/>
      <protection locked="0"/>
    </xf>
    <xf numFmtId="0" fontId="2" fillId="0" borderId="73" xfId="0" applyFont="1" applyBorder="1" applyAlignment="1" applyProtection="1">
      <alignment vertical="center" wrapText="1"/>
      <protection locked="0"/>
    </xf>
    <xf numFmtId="0" fontId="14" fillId="0" borderId="73" xfId="0" applyFont="1" applyBorder="1" applyAlignment="1" applyProtection="1">
      <alignment vertical="center" wrapText="1"/>
      <protection locked="0"/>
    </xf>
    <xf numFmtId="0" fontId="20" fillId="6" borderId="0" xfId="158" applyFont="1" applyFill="1" applyAlignment="1" applyProtection="1">
      <alignment horizontal="left" vertical="center"/>
      <protection locked="0"/>
    </xf>
    <xf numFmtId="0" fontId="20" fillId="0" borderId="0" xfId="0" applyFont="1">
      <alignment vertical="center"/>
    </xf>
    <xf numFmtId="0" fontId="9" fillId="6" borderId="0" xfId="371" applyFont="1" applyFill="1" applyAlignment="1"/>
    <xf numFmtId="0" fontId="15" fillId="6" borderId="0" xfId="0" applyFont="1" applyFill="1" applyAlignment="1" applyProtection="1">
      <alignment horizontal="left" vertical="top" wrapText="1" indent="2"/>
      <protection locked="0"/>
    </xf>
    <xf numFmtId="0" fontId="2" fillId="6" borderId="0" xfId="133" applyFont="1" applyFill="1" applyAlignment="1" applyProtection="1">
      <alignment vertical="center"/>
      <protection locked="0"/>
    </xf>
    <xf numFmtId="0" fontId="130" fillId="0" borderId="0" xfId="0" applyFont="1" applyProtection="1">
      <alignment vertical="center"/>
      <protection locked="0"/>
    </xf>
    <xf numFmtId="0" fontId="11" fillId="0" borderId="30" xfId="0" applyFont="1" applyBorder="1" applyAlignment="1">
      <alignment horizontal="center" vertical="center"/>
    </xf>
    <xf numFmtId="0" fontId="17" fillId="0" borderId="74" xfId="0" applyFont="1" applyBorder="1">
      <alignment vertical="center"/>
    </xf>
    <xf numFmtId="176" fontId="2" fillId="0" borderId="10" xfId="1" applyNumberFormat="1" applyFont="1" applyBorder="1" applyProtection="1">
      <protection locked="0"/>
    </xf>
    <xf numFmtId="176" fontId="2" fillId="0" borderId="12" xfId="1" applyNumberFormat="1" applyFont="1" applyBorder="1" applyProtection="1">
      <protection locked="0"/>
    </xf>
    <xf numFmtId="224" fontId="17" fillId="0" borderId="72" xfId="1" applyNumberFormat="1" applyFont="1" applyFill="1" applyBorder="1" applyAlignment="1" applyProtection="1">
      <alignment horizontal="right" vertical="center"/>
      <protection locked="0"/>
    </xf>
    <xf numFmtId="224" fontId="2" fillId="0" borderId="16" xfId="1" applyNumberFormat="1" applyFont="1" applyBorder="1" applyAlignment="1" applyProtection="1">
      <alignment horizontal="right" vertical="center"/>
      <protection locked="0"/>
    </xf>
    <xf numFmtId="0" fontId="14" fillId="7" borderId="30" xfId="253" applyFont="1" applyFill="1" applyBorder="1" applyAlignment="1">
      <alignment horizontal="center" vertical="center" wrapText="1"/>
    </xf>
    <xf numFmtId="0" fontId="16" fillId="7" borderId="14" xfId="0" applyFont="1" applyFill="1" applyBorder="1" applyProtection="1">
      <alignment vertical="center"/>
      <protection locked="0"/>
    </xf>
    <xf numFmtId="0" fontId="16" fillId="7" borderId="11" xfId="0" applyFont="1" applyFill="1" applyBorder="1" applyProtection="1">
      <alignment vertical="center"/>
      <protection locked="0"/>
    </xf>
    <xf numFmtId="0" fontId="11" fillId="7" borderId="11" xfId="0" applyFont="1" applyFill="1" applyBorder="1" applyProtection="1">
      <alignment vertical="center"/>
      <protection locked="0"/>
    </xf>
    <xf numFmtId="0" fontId="11" fillId="7" borderId="15" xfId="0" applyFont="1" applyFill="1" applyBorder="1" applyProtection="1">
      <alignment vertical="center"/>
      <protection locked="0"/>
    </xf>
    <xf numFmtId="0" fontId="15" fillId="6" borderId="0" xfId="0" applyFont="1" applyFill="1" applyAlignment="1" applyProtection="1">
      <alignment horizontal="left" vertical="top" indent="2"/>
      <protection locked="0"/>
    </xf>
    <xf numFmtId="0" fontId="16" fillId="4" borderId="13" xfId="0" applyFont="1" applyFill="1" applyBorder="1" applyAlignment="1">
      <alignment horizontal="right" vertical="center"/>
    </xf>
    <xf numFmtId="178" fontId="17" fillId="0" borderId="70" xfId="253" applyNumberFormat="1" applyFont="1" applyBorder="1" applyAlignment="1">
      <alignment horizontal="right" vertical="center"/>
    </xf>
    <xf numFmtId="0" fontId="2" fillId="6" borderId="0" xfId="253" applyFont="1" applyFill="1"/>
    <xf numFmtId="0" fontId="14" fillId="6" borderId="0" xfId="253" applyFont="1" applyFill="1"/>
    <xf numFmtId="0" fontId="19" fillId="4" borderId="1" xfId="315" applyFont="1" applyFill="1" applyBorder="1" applyProtection="1">
      <alignment vertical="center"/>
      <protection locked="0"/>
    </xf>
    <xf numFmtId="0" fontId="19" fillId="4" borderId="5" xfId="315" applyFont="1" applyFill="1" applyBorder="1" applyProtection="1">
      <alignment vertical="center"/>
      <protection locked="0"/>
    </xf>
    <xf numFmtId="0" fontId="18" fillId="6" borderId="0" xfId="253" applyFont="1" applyFill="1"/>
    <xf numFmtId="0" fontId="18" fillId="6" borderId="0" xfId="138" applyFont="1" applyFill="1" applyAlignment="1">
      <alignment horizontal="center" vertical="center" wrapText="1"/>
    </xf>
    <xf numFmtId="0" fontId="15" fillId="6" borderId="0" xfId="253" applyFont="1" applyFill="1" applyAlignment="1">
      <alignment horizontal="center" vertical="center"/>
    </xf>
    <xf numFmtId="0" fontId="18" fillId="6" borderId="0" xfId="253" applyFont="1" applyFill="1" applyAlignment="1">
      <alignment horizontal="center" vertical="center"/>
    </xf>
    <xf numFmtId="0" fontId="13" fillId="7" borderId="30" xfId="128" applyFont="1" applyFill="1" applyBorder="1" applyAlignment="1">
      <alignment horizontal="center" vertical="center" wrapText="1"/>
    </xf>
    <xf numFmtId="0" fontId="13" fillId="7" borderId="30" xfId="143" applyFont="1" applyFill="1" applyBorder="1" applyAlignment="1">
      <alignment horizontal="center" vertical="center" wrapText="1"/>
    </xf>
    <xf numFmtId="0" fontId="11" fillId="6" borderId="0" xfId="253" applyFont="1" applyFill="1"/>
    <xf numFmtId="49" fontId="2" fillId="6" borderId="0" xfId="253" applyNumberFormat="1" applyFont="1" applyFill="1"/>
    <xf numFmtId="224" fontId="2" fillId="6" borderId="0" xfId="253" applyNumberFormat="1" applyFont="1" applyFill="1"/>
    <xf numFmtId="0" fontId="20" fillId="6" borderId="0" xfId="158" applyFont="1" applyFill="1" applyAlignment="1" applyProtection="1">
      <alignment vertical="top" wrapText="1"/>
      <protection locked="0"/>
    </xf>
    <xf numFmtId="0" fontId="5" fillId="6" borderId="0" xfId="253" applyFont="1" applyFill="1"/>
    <xf numFmtId="0" fontId="6" fillId="6" borderId="0" xfId="253" applyFont="1" applyFill="1"/>
    <xf numFmtId="0" fontId="30" fillId="8" borderId="0" xfId="121" applyFont="1" applyFill="1" applyAlignment="1" applyProtection="1">
      <alignment vertical="center"/>
      <protection locked="0"/>
    </xf>
    <xf numFmtId="0" fontId="6" fillId="6" borderId="0" xfId="315" applyFont="1" applyFill="1" applyProtection="1">
      <alignment vertical="center"/>
      <protection locked="0"/>
    </xf>
    <xf numFmtId="0" fontId="15" fillId="0" borderId="0" xfId="128" applyFont="1" applyAlignment="1" applyProtection="1">
      <alignment horizontal="left" vertical="center" wrapText="1"/>
      <protection locked="0"/>
    </xf>
    <xf numFmtId="0" fontId="15" fillId="0" borderId="0" xfId="128" applyFont="1" applyAlignment="1">
      <alignment horizontal="left" vertical="center" wrapText="1"/>
    </xf>
    <xf numFmtId="224" fontId="15" fillId="0" borderId="0" xfId="128" applyNumberFormat="1" applyFont="1" applyAlignment="1">
      <alignment horizontal="right" vertical="center" shrinkToFit="1"/>
    </xf>
    <xf numFmtId="224" fontId="15" fillId="0" borderId="0" xfId="128" applyNumberFormat="1" applyFont="1" applyAlignment="1" applyProtection="1">
      <alignment horizontal="right" vertical="center" shrinkToFit="1"/>
      <protection locked="0"/>
    </xf>
    <xf numFmtId="0" fontId="15" fillId="0" borderId="0" xfId="128" applyFont="1" applyAlignment="1">
      <alignment horizontal="left" vertical="center" shrinkToFit="1"/>
    </xf>
    <xf numFmtId="0" fontId="16" fillId="7" borderId="38" xfId="0" applyFont="1" applyFill="1" applyBorder="1" applyProtection="1">
      <alignment vertical="center"/>
      <protection locked="0"/>
    </xf>
    <xf numFmtId="178" fontId="17" fillId="0" borderId="33" xfId="1" applyFont="1" applyBorder="1" applyAlignment="1">
      <alignment horizontal="right" vertical="center"/>
    </xf>
    <xf numFmtId="178" fontId="14" fillId="9" borderId="72" xfId="0" applyNumberFormat="1" applyFont="1" applyFill="1" applyBorder="1" applyAlignment="1" applyProtection="1">
      <alignment vertical="center" wrapText="1"/>
      <protection locked="0"/>
    </xf>
    <xf numFmtId="0" fontId="17" fillId="0" borderId="71" xfId="0" applyFont="1" applyBorder="1" applyAlignment="1">
      <alignment horizontal="left"/>
    </xf>
    <xf numFmtId="0" fontId="17" fillId="0" borderId="47" xfId="0" applyFont="1" applyBorder="1" applyAlignment="1">
      <alignment horizontal="left"/>
    </xf>
    <xf numFmtId="178" fontId="17" fillId="6" borderId="45" xfId="0" applyNumberFormat="1" applyFont="1" applyFill="1" applyBorder="1" applyAlignment="1" applyProtection="1">
      <alignment horizontal="right" vertical="center"/>
      <protection locked="0"/>
    </xf>
    <xf numFmtId="0" fontId="17" fillId="6" borderId="69" xfId="127" applyFont="1" applyFill="1" applyBorder="1" applyAlignment="1">
      <alignment horizontal="left" vertical="center"/>
    </xf>
    <xf numFmtId="0" fontId="17" fillId="6" borderId="73" xfId="127" applyFont="1" applyFill="1" applyBorder="1" applyAlignment="1">
      <alignment horizontal="left" vertical="center"/>
    </xf>
    <xf numFmtId="178" fontId="17" fillId="0" borderId="72" xfId="0" applyNumberFormat="1" applyFont="1" applyBorder="1" applyAlignment="1" applyProtection="1">
      <alignment horizontal="right" vertical="center" wrapText="1"/>
      <protection locked="0"/>
    </xf>
    <xf numFmtId="0" fontId="17" fillId="0" borderId="57" xfId="0" applyFont="1" applyBorder="1" applyAlignment="1" applyProtection="1">
      <alignment horizontal="left" vertical="center" wrapText="1"/>
      <protection locked="0"/>
    </xf>
    <xf numFmtId="0" fontId="17" fillId="0" borderId="71" xfId="0" applyFont="1" applyBorder="1" applyAlignment="1" applyProtection="1">
      <alignment horizontal="left" vertical="center" wrapText="1"/>
      <protection locked="0"/>
    </xf>
    <xf numFmtId="178" fontId="17" fillId="0" borderId="53" xfId="0" applyNumberFormat="1" applyFont="1" applyBorder="1" applyAlignment="1" applyProtection="1">
      <alignment horizontal="right" vertical="center" wrapText="1"/>
      <protection locked="0"/>
    </xf>
    <xf numFmtId="226" fontId="17" fillId="0" borderId="52" xfId="0" applyNumberFormat="1" applyFont="1" applyBorder="1" applyAlignment="1" applyProtection="1">
      <alignment horizontal="right" vertical="center" wrapText="1"/>
      <protection locked="0"/>
    </xf>
    <xf numFmtId="0" fontId="17" fillId="0" borderId="47" xfId="0" applyFont="1" applyBorder="1" applyAlignment="1" applyProtection="1">
      <alignment horizontal="left" vertical="center" wrapText="1"/>
      <protection locked="0"/>
    </xf>
    <xf numFmtId="0" fontId="17" fillId="0" borderId="58" xfId="0" applyFont="1" applyBorder="1" applyAlignment="1" applyProtection="1">
      <alignment horizontal="left" vertical="center" wrapText="1"/>
      <protection locked="0"/>
    </xf>
    <xf numFmtId="0" fontId="17" fillId="0" borderId="71" xfId="0" applyFont="1" applyBorder="1" applyAlignment="1" applyProtection="1">
      <alignment horizontal="right" vertical="center" wrapText="1"/>
      <protection locked="0"/>
    </xf>
    <xf numFmtId="14" fontId="17" fillId="0" borderId="47" xfId="0" applyNumberFormat="1" applyFont="1" applyBorder="1" applyAlignment="1" applyProtection="1">
      <alignment horizontal="right" vertical="center" wrapText="1"/>
      <protection locked="0"/>
    </xf>
    <xf numFmtId="178" fontId="17" fillId="6" borderId="34" xfId="0" applyNumberFormat="1" applyFont="1" applyFill="1" applyBorder="1" applyAlignment="1" applyProtection="1">
      <alignment horizontal="right" vertical="center"/>
      <protection locked="0"/>
    </xf>
    <xf numFmtId="226" fontId="17" fillId="5" borderId="0" xfId="0" applyNumberFormat="1" applyFont="1" applyFill="1" applyAlignment="1">
      <alignment horizontal="right" vertical="center"/>
    </xf>
    <xf numFmtId="0" fontId="7" fillId="3" borderId="41" xfId="0" applyFont="1" applyFill="1" applyBorder="1" applyAlignment="1" applyProtection="1">
      <alignment horizontal="centerContinuous" vertical="center"/>
      <protection locked="0"/>
    </xf>
    <xf numFmtId="0" fontId="14" fillId="7" borderId="3" xfId="0" applyFont="1" applyFill="1" applyBorder="1" applyProtection="1">
      <alignment vertical="center"/>
      <protection locked="0"/>
    </xf>
    <xf numFmtId="0" fontId="2" fillId="7" borderId="3" xfId="0" applyFont="1" applyFill="1" applyBorder="1" applyProtection="1">
      <alignment vertical="center"/>
      <protection locked="0"/>
    </xf>
    <xf numFmtId="0" fontId="11" fillId="7" borderId="3" xfId="0" applyFont="1" applyFill="1" applyBorder="1" applyAlignment="1" applyProtection="1">
      <alignment horizontal="center" vertical="center"/>
      <protection locked="0"/>
    </xf>
    <xf numFmtId="0" fontId="14" fillId="7" borderId="38" xfId="0" applyFont="1" applyFill="1" applyBorder="1" applyProtection="1">
      <alignment vertical="center"/>
      <protection locked="0"/>
    </xf>
    <xf numFmtId="0" fontId="2" fillId="7" borderId="38" xfId="0" applyFont="1" applyFill="1" applyBorder="1" applyProtection="1">
      <alignment vertical="center"/>
      <protection locked="0"/>
    </xf>
    <xf numFmtId="0" fontId="11" fillId="7" borderId="38" xfId="0" applyFont="1" applyFill="1" applyBorder="1" applyAlignment="1" applyProtection="1">
      <alignment horizontal="center" vertical="center"/>
      <protection locked="0"/>
    </xf>
    <xf numFmtId="0" fontId="2" fillId="7" borderId="38" xfId="127" applyFont="1" applyFill="1" applyBorder="1" applyAlignment="1">
      <alignment vertical="center"/>
    </xf>
    <xf numFmtId="0" fontId="16" fillId="7" borderId="38" xfId="315" applyFont="1" applyFill="1" applyBorder="1" applyProtection="1">
      <alignment vertical="center"/>
      <protection locked="0"/>
    </xf>
    <xf numFmtId="0" fontId="14" fillId="7" borderId="38" xfId="315" applyFont="1" applyFill="1" applyBorder="1" applyProtection="1">
      <alignment vertical="center"/>
      <protection locked="0"/>
    </xf>
    <xf numFmtId="0" fontId="14" fillId="7" borderId="38" xfId="253" applyFont="1" applyFill="1" applyBorder="1"/>
    <xf numFmtId="0" fontId="2" fillId="7" borderId="38" xfId="247" applyFont="1" applyFill="1" applyBorder="1" applyAlignment="1" applyProtection="1">
      <alignment horizontal="center" vertical="center"/>
      <protection locked="0"/>
    </xf>
    <xf numFmtId="0" fontId="17" fillId="7" borderId="38" xfId="0" applyFont="1" applyFill="1" applyBorder="1">
      <alignment vertical="center"/>
    </xf>
    <xf numFmtId="0" fontId="123" fillId="3" borderId="41" xfId="247" applyFont="1" applyFill="1" applyBorder="1" applyAlignment="1" applyProtection="1">
      <alignment horizontal="center" vertical="center"/>
      <protection locked="0"/>
    </xf>
    <xf numFmtId="0" fontId="122" fillId="0" borderId="0" xfId="247" applyFont="1" applyProtection="1">
      <alignment vertical="center"/>
      <protection locked="0"/>
    </xf>
    <xf numFmtId="49" fontId="10" fillId="0" borderId="0" xfId="128" applyNumberFormat="1" applyFont="1" applyAlignment="1" applyProtection="1">
      <alignment horizontal="center" wrapText="1"/>
      <protection locked="0"/>
    </xf>
    <xf numFmtId="226" fontId="10" fillId="0" borderId="0" xfId="128" applyNumberFormat="1" applyFont="1" applyAlignment="1">
      <alignment horizontal="right" vertical="center"/>
    </xf>
    <xf numFmtId="0" fontId="136" fillId="0" borderId="0" xfId="133" applyFont="1" applyAlignment="1" applyProtection="1">
      <alignment horizontal="center" vertical="center"/>
      <protection locked="0"/>
    </xf>
    <xf numFmtId="0" fontId="18" fillId="0" borderId="0" xfId="128" applyFont="1" applyAlignment="1" applyProtection="1">
      <alignment horizontal="left" vertical="center" indent="1"/>
      <protection locked="0"/>
    </xf>
    <xf numFmtId="0" fontId="14" fillId="6" borderId="0" xfId="253" applyFont="1" applyFill="1" applyAlignment="1">
      <alignment vertical="center"/>
    </xf>
    <xf numFmtId="49" fontId="15" fillId="6" borderId="30" xfId="253" applyNumberFormat="1" applyFont="1" applyFill="1" applyBorder="1" applyAlignment="1">
      <alignment horizontal="left" vertical="center" wrapText="1"/>
    </xf>
    <xf numFmtId="178" fontId="2" fillId="6" borderId="30" xfId="253" applyNumberFormat="1" applyFont="1" applyFill="1" applyBorder="1" applyAlignment="1">
      <alignment horizontal="right" vertical="center"/>
    </xf>
    <xf numFmtId="0" fontId="2" fillId="6" borderId="0" xfId="253" applyFont="1" applyFill="1" applyAlignment="1">
      <alignment vertical="center"/>
    </xf>
    <xf numFmtId="0" fontId="14" fillId="6" borderId="0" xfId="253" applyFont="1" applyFill="1" applyAlignment="1">
      <alignment horizontal="center" vertical="center"/>
    </xf>
    <xf numFmtId="0" fontId="17" fillId="6" borderId="30" xfId="138" applyFont="1" applyFill="1" applyBorder="1" applyAlignment="1">
      <alignment horizontal="left" vertical="center" wrapText="1"/>
    </xf>
    <xf numFmtId="0" fontId="2" fillId="0" borderId="0" xfId="127" applyFont="1" applyAlignment="1" applyProtection="1">
      <alignment vertical="center"/>
      <protection locked="0"/>
    </xf>
    <xf numFmtId="0" fontId="17" fillId="0" borderId="75" xfId="0" applyFont="1" applyBorder="1" applyAlignment="1">
      <alignment horizontal="left" vertical="center"/>
    </xf>
    <xf numFmtId="0" fontId="19" fillId="58" borderId="75" xfId="260" applyFont="1" applyFill="1" applyBorder="1" applyAlignment="1" applyProtection="1">
      <alignment horizontal="center" vertical="center" wrapText="1"/>
      <protection locked="0"/>
    </xf>
    <xf numFmtId="0" fontId="19" fillId="59" borderId="75" xfId="0" applyFont="1" applyFill="1" applyBorder="1" applyAlignment="1">
      <alignment horizontal="center" vertical="center" wrapText="1"/>
    </xf>
    <xf numFmtId="0" fontId="11" fillId="59" borderId="75" xfId="0" applyFont="1" applyFill="1" applyBorder="1" applyAlignment="1">
      <alignment horizontal="center" vertical="center" wrapText="1"/>
    </xf>
    <xf numFmtId="0" fontId="19" fillId="57" borderId="75" xfId="0" applyFont="1" applyFill="1" applyBorder="1" applyAlignment="1">
      <alignment horizontal="center" vertical="center" wrapText="1"/>
    </xf>
    <xf numFmtId="0" fontId="16" fillId="7" borderId="75" xfId="0" applyFont="1" applyFill="1" applyBorder="1" applyAlignment="1">
      <alignment horizontal="center" vertical="center" wrapText="1"/>
    </xf>
    <xf numFmtId="0" fontId="15" fillId="0" borderId="75" xfId="128" applyFont="1" applyBorder="1" applyAlignment="1">
      <alignment horizontal="left" vertical="center" wrapText="1"/>
    </xf>
    <xf numFmtId="178" fontId="17" fillId="0" borderId="75" xfId="0" applyNumberFormat="1" applyFont="1" applyBorder="1" applyAlignment="1" applyProtection="1">
      <alignment horizontal="right" vertical="center" wrapText="1"/>
      <protection locked="0"/>
    </xf>
    <xf numFmtId="178" fontId="14" fillId="9" borderId="75" xfId="0" applyNumberFormat="1" applyFont="1" applyFill="1" applyBorder="1" applyAlignment="1" applyProtection="1">
      <alignment vertical="center" wrapText="1"/>
      <protection locked="0"/>
    </xf>
    <xf numFmtId="178" fontId="15" fillId="0" borderId="0" xfId="1" applyFont="1" applyFill="1" applyBorder="1" applyAlignment="1" applyProtection="1">
      <alignment horizontal="left" vertical="center" shrinkToFit="1"/>
      <protection locked="0"/>
    </xf>
    <xf numFmtId="0" fontId="11" fillId="0" borderId="0" xfId="260" applyFont="1" applyAlignment="1" applyProtection="1">
      <alignment horizontal="center" vertical="center"/>
      <protection locked="0"/>
    </xf>
    <xf numFmtId="0" fontId="16" fillId="0" borderId="0" xfId="260" applyFont="1" applyAlignment="1" applyProtection="1">
      <alignment horizontal="center" vertical="center"/>
      <protection locked="0"/>
    </xf>
    <xf numFmtId="0" fontId="11" fillId="0" borderId="0" xfId="0" applyFont="1" applyAlignment="1">
      <alignment horizontal="left" wrapText="1"/>
    </xf>
    <xf numFmtId="0" fontId="141" fillId="0" borderId="30" xfId="371" applyNumberFormat="1" applyFont="1" applyBorder="1" applyAlignment="1">
      <alignment horizontal="center" vertical="center" wrapText="1"/>
    </xf>
    <xf numFmtId="0" fontId="141" fillId="0" borderId="30" xfId="371" applyFont="1" applyBorder="1" applyAlignment="1">
      <alignment horizontal="center" vertical="center" wrapText="1"/>
    </xf>
    <xf numFmtId="0" fontId="141" fillId="0" borderId="30" xfId="371" quotePrefix="1" applyNumberFormat="1" applyFont="1" applyBorder="1" applyAlignment="1">
      <alignment horizontal="center" vertical="center" wrapText="1"/>
    </xf>
    <xf numFmtId="0" fontId="15" fillId="0" borderId="0" xfId="371" applyFont="1" applyAlignment="1"/>
    <xf numFmtId="0" fontId="14" fillId="7" borderId="32" xfId="253" applyFont="1" applyFill="1" applyBorder="1" applyAlignment="1">
      <alignment horizontal="center" vertical="center" wrapText="1"/>
    </xf>
    <xf numFmtId="0" fontId="14" fillId="7" borderId="33" xfId="253" applyFont="1" applyFill="1" applyBorder="1" applyAlignment="1">
      <alignment horizontal="center" vertical="center" wrapText="1"/>
    </xf>
    <xf numFmtId="0" fontId="14" fillId="7" borderId="62" xfId="253" applyFont="1" applyFill="1" applyBorder="1" applyAlignment="1">
      <alignment horizontal="center" vertical="center" wrapText="1"/>
    </xf>
    <xf numFmtId="0" fontId="136" fillId="6" borderId="0" xfId="158" applyFont="1" applyFill="1" applyAlignment="1" applyProtection="1">
      <alignment horizontal="left" vertical="center"/>
      <protection locked="0"/>
    </xf>
    <xf numFmtId="0" fontId="11" fillId="0" borderId="0" xfId="0" applyFont="1" applyAlignment="1" applyProtection="1">
      <alignment horizontal="left" vertical="center"/>
      <protection locked="0"/>
    </xf>
    <xf numFmtId="0" fontId="2" fillId="0" borderId="0" xfId="247" applyFont="1" applyAlignment="1">
      <alignment horizontal="center" vertical="center"/>
    </xf>
    <xf numFmtId="0" fontId="16" fillId="13" borderId="30" xfId="136" applyFont="1" applyFill="1" applyBorder="1" applyAlignment="1">
      <alignment horizontal="center" vertical="center" wrapText="1"/>
    </xf>
    <xf numFmtId="0" fontId="16" fillId="55" borderId="30" xfId="0" applyFont="1" applyFill="1" applyBorder="1" applyAlignment="1" applyProtection="1">
      <alignment horizontal="center" vertical="center" wrapText="1"/>
      <protection locked="0"/>
    </xf>
    <xf numFmtId="9" fontId="15" fillId="0" borderId="47" xfId="133" applyNumberFormat="1" applyFont="1" applyBorder="1" applyAlignment="1" applyProtection="1">
      <alignment vertical="center"/>
      <protection locked="0"/>
    </xf>
    <xf numFmtId="0" fontId="15" fillId="0" borderId="24" xfId="260" applyFont="1" applyBorder="1" applyAlignment="1" applyProtection="1">
      <alignment horizontal="left" vertical="center"/>
      <protection locked="0"/>
    </xf>
    <xf numFmtId="0" fontId="15" fillId="0" borderId="75" xfId="128" applyFont="1" applyBorder="1" applyAlignment="1" applyProtection="1">
      <alignment horizontal="left" vertical="center" wrapText="1"/>
      <protection locked="0"/>
    </xf>
    <xf numFmtId="49" fontId="15" fillId="0" borderId="75" xfId="128" applyNumberFormat="1" applyFont="1" applyBorder="1" applyAlignment="1">
      <alignment horizontal="left" vertical="center" wrapText="1"/>
    </xf>
    <xf numFmtId="0" fontId="15" fillId="0" borderId="30" xfId="138" applyFont="1" applyBorder="1" applyAlignment="1">
      <alignment horizontal="left" vertical="center" wrapText="1"/>
    </xf>
    <xf numFmtId="49" fontId="15" fillId="0" borderId="30" xfId="138" applyNumberFormat="1" applyFont="1" applyBorder="1" applyAlignment="1">
      <alignment horizontal="left" vertical="center" wrapText="1"/>
    </xf>
    <xf numFmtId="49" fontId="15" fillId="0" borderId="30" xfId="253" applyNumberFormat="1" applyFont="1" applyBorder="1" applyAlignment="1">
      <alignment horizontal="left" vertical="center" wrapText="1"/>
    </xf>
    <xf numFmtId="0" fontId="17" fillId="0" borderId="30" xfId="138" applyFont="1" applyBorder="1" applyAlignment="1">
      <alignment horizontal="left" vertical="center" wrapText="1"/>
    </xf>
    <xf numFmtId="178" fontId="17" fillId="0" borderId="30" xfId="138" applyNumberFormat="1" applyFont="1" applyBorder="1" applyAlignment="1">
      <alignment horizontal="right" vertical="center"/>
    </xf>
    <xf numFmtId="0" fontId="15" fillId="0" borderId="57" xfId="133" applyFont="1" applyBorder="1" applyAlignment="1" applyProtection="1">
      <alignment horizontal="left" vertical="center"/>
      <protection locked="0"/>
    </xf>
    <xf numFmtId="0" fontId="15" fillId="0" borderId="69" xfId="128" applyFont="1" applyBorder="1" applyAlignment="1" applyProtection="1">
      <alignment horizontal="left" vertical="center" wrapText="1"/>
      <protection locked="0"/>
    </xf>
    <xf numFmtId="224" fontId="15" fillId="0" borderId="75" xfId="128" applyNumberFormat="1" applyFont="1" applyBorder="1" applyAlignment="1">
      <alignment horizontal="right" vertical="center" wrapText="1" shrinkToFit="1"/>
    </xf>
    <xf numFmtId="224" fontId="15" fillId="0" borderId="75" xfId="128" applyNumberFormat="1" applyFont="1" applyBorder="1" applyAlignment="1" applyProtection="1">
      <alignment horizontal="right" vertical="center" wrapText="1" shrinkToFit="1"/>
      <protection locked="0"/>
    </xf>
    <xf numFmtId="224" fontId="15" fillId="0" borderId="72" xfId="128" applyNumberFormat="1" applyFont="1" applyBorder="1" applyAlignment="1">
      <alignment horizontal="right" vertical="center"/>
    </xf>
    <xf numFmtId="0" fontId="15" fillId="0" borderId="75" xfId="133" applyFont="1" applyBorder="1" applyAlignment="1" applyProtection="1">
      <alignment horizontal="left" vertical="center"/>
      <protection locked="0"/>
    </xf>
    <xf numFmtId="0" fontId="17" fillId="0" borderId="69" xfId="0" applyFont="1" applyBorder="1" applyAlignment="1">
      <alignment horizontal="left"/>
    </xf>
    <xf numFmtId="0" fontId="17" fillId="0" borderId="75" xfId="0" applyFont="1" applyBorder="1" applyAlignment="1">
      <alignment horizontal="left"/>
    </xf>
    <xf numFmtId="14" fontId="17" fillId="0" borderId="75" xfId="0" applyNumberFormat="1" applyFont="1" applyBorder="1" applyAlignment="1">
      <alignment horizontal="left"/>
    </xf>
    <xf numFmtId="0" fontId="17" fillId="0" borderId="72" xfId="0" applyFont="1" applyBorder="1" applyAlignment="1">
      <alignment horizontal="left"/>
    </xf>
    <xf numFmtId="0" fontId="17" fillId="0" borderId="73" xfId="0" applyFont="1" applyBorder="1" applyAlignment="1">
      <alignment horizontal="left"/>
    </xf>
    <xf numFmtId="0" fontId="17" fillId="0" borderId="52" xfId="0" applyFont="1" applyBorder="1" applyAlignment="1">
      <alignment horizontal="left"/>
    </xf>
    <xf numFmtId="14" fontId="17" fillId="0" borderId="52" xfId="0" applyNumberFormat="1" applyFont="1" applyBorder="1" applyAlignment="1">
      <alignment horizontal="left"/>
    </xf>
    <xf numFmtId="0" fontId="17" fillId="0" borderId="53" xfId="0" applyFont="1" applyBorder="1" applyAlignment="1">
      <alignment horizontal="left"/>
    </xf>
    <xf numFmtId="0" fontId="17" fillId="0" borderId="69" xfId="0" applyFont="1" applyBorder="1" applyAlignment="1" applyProtection="1">
      <alignment horizontal="left" vertical="center" wrapText="1"/>
      <protection locked="0"/>
    </xf>
    <xf numFmtId="0" fontId="17" fillId="0" borderId="5" xfId="0" applyFont="1" applyBorder="1" applyAlignment="1" applyProtection="1">
      <alignment horizontal="left" vertical="center" wrapText="1"/>
      <protection locked="0"/>
    </xf>
    <xf numFmtId="14" fontId="17" fillId="0" borderId="75" xfId="127" applyNumberFormat="1" applyFont="1" applyBorder="1" applyAlignment="1">
      <alignment horizontal="left" vertical="center"/>
    </xf>
    <xf numFmtId="14" fontId="17" fillId="0" borderId="72" xfId="127" applyNumberFormat="1" applyFont="1" applyBorder="1" applyAlignment="1">
      <alignment horizontal="left" vertical="center"/>
    </xf>
    <xf numFmtId="14" fontId="17" fillId="0" borderId="52" xfId="127" applyNumberFormat="1" applyFont="1" applyBorder="1" applyAlignment="1">
      <alignment horizontal="left" vertical="center"/>
    </xf>
    <xf numFmtId="14" fontId="17" fillId="0" borderId="53" xfId="127" applyNumberFormat="1" applyFont="1" applyBorder="1" applyAlignment="1">
      <alignment horizontal="left" vertical="center"/>
    </xf>
    <xf numFmtId="14" fontId="17" fillId="0" borderId="75" xfId="0" applyNumberFormat="1" applyFont="1" applyBorder="1" applyAlignment="1">
      <alignment horizontal="left" vertical="center"/>
    </xf>
    <xf numFmtId="14" fontId="17" fillId="0" borderId="52" xfId="0" applyNumberFormat="1" applyFont="1" applyBorder="1" applyAlignment="1">
      <alignment horizontal="left" vertical="center"/>
    </xf>
    <xf numFmtId="0" fontId="122" fillId="2" borderId="24" xfId="247" applyFont="1" applyFill="1" applyBorder="1" applyAlignment="1" applyProtection="1">
      <alignment horizontal="centerContinuous" vertical="center"/>
      <protection locked="0"/>
    </xf>
    <xf numFmtId="0" fontId="2" fillId="2" borderId="24" xfId="247" applyFont="1" applyFill="1" applyBorder="1" applyAlignment="1" applyProtection="1">
      <alignment horizontal="centerContinuous" vertical="center"/>
      <protection locked="0"/>
    </xf>
    <xf numFmtId="0" fontId="123" fillId="3" borderId="24" xfId="247" applyFont="1" applyFill="1" applyBorder="1" applyAlignment="1" applyProtection="1">
      <alignment horizontal="centerContinuous" vertical="center"/>
      <protection locked="0"/>
    </xf>
    <xf numFmtId="0" fontId="123" fillId="3" borderId="24" xfId="247" applyFont="1" applyFill="1" applyBorder="1" applyAlignment="1" applyProtection="1">
      <alignment horizontal="center" vertical="center"/>
      <protection locked="0"/>
    </xf>
    <xf numFmtId="0" fontId="8" fillId="4" borderId="72" xfId="247" applyFont="1" applyFill="1" applyBorder="1" applyProtection="1">
      <alignment vertical="center"/>
      <protection locked="0"/>
    </xf>
    <xf numFmtId="0" fontId="19" fillId="4" borderId="1" xfId="247" applyFont="1" applyFill="1" applyBorder="1" applyProtection="1">
      <alignment vertical="center"/>
      <protection locked="0"/>
    </xf>
    <xf numFmtId="0" fontId="19" fillId="4" borderId="1" xfId="247" applyFont="1" applyFill="1" applyBorder="1" applyAlignment="1" applyProtection="1">
      <alignment horizontal="center" vertical="center"/>
      <protection locked="0"/>
    </xf>
    <xf numFmtId="0" fontId="19" fillId="4" borderId="5" xfId="247" applyFont="1" applyFill="1" applyBorder="1" applyAlignment="1" applyProtection="1">
      <alignment horizontal="center" vertical="center"/>
      <protection locked="0"/>
    </xf>
    <xf numFmtId="0" fontId="12" fillId="0" borderId="0" xfId="127" applyFont="1" applyAlignment="1">
      <alignment vertical="center"/>
    </xf>
    <xf numFmtId="0" fontId="5" fillId="2" borderId="40" xfId="0" applyFont="1" applyFill="1" applyBorder="1" applyAlignment="1" applyProtection="1">
      <alignment horizontal="centerContinuous" vertical="center"/>
      <protection locked="0"/>
    </xf>
    <xf numFmtId="0" fontId="6" fillId="2" borderId="24" xfId="0" applyFont="1" applyFill="1" applyBorder="1" applyAlignment="1" applyProtection="1">
      <alignment horizontal="centerContinuous" vertical="center"/>
      <protection locked="0"/>
    </xf>
    <xf numFmtId="0" fontId="7" fillId="3" borderId="24" xfId="0" applyFont="1" applyFill="1" applyBorder="1" applyAlignment="1" applyProtection="1">
      <alignment horizontal="centerContinuous" vertical="center"/>
      <protection locked="0"/>
    </xf>
    <xf numFmtId="0" fontId="7" fillId="3" borderId="49" xfId="0" applyFont="1" applyFill="1" applyBorder="1" applyAlignment="1" applyProtection="1">
      <alignment horizontal="centerContinuous" vertical="center"/>
      <protection locked="0"/>
    </xf>
    <xf numFmtId="0" fontId="28" fillId="0" borderId="0" xfId="0" applyFont="1" applyAlignment="1" applyProtection="1">
      <alignment horizontal="center" vertical="center"/>
      <protection locked="0"/>
    </xf>
    <xf numFmtId="0" fontId="145" fillId="0" borderId="33" xfId="0" applyFont="1" applyBorder="1" applyAlignment="1">
      <alignment horizontal="left" vertical="center" indent="1"/>
    </xf>
    <xf numFmtId="0" fontId="19" fillId="0" borderId="25" xfId="0" applyFont="1" applyBorder="1" applyAlignment="1">
      <alignment horizontal="left" vertical="top"/>
    </xf>
    <xf numFmtId="0" fontId="15" fillId="6" borderId="25" xfId="0" applyFont="1" applyFill="1" applyBorder="1" applyAlignment="1" applyProtection="1">
      <alignment horizontal="left" vertical="top" indent="2"/>
      <protection locked="0"/>
    </xf>
    <xf numFmtId="0" fontId="15" fillId="6" borderId="67" xfId="0" applyFont="1" applyFill="1" applyBorder="1" applyAlignment="1" applyProtection="1">
      <alignment horizontal="left" vertical="top" indent="2"/>
      <protection locked="0"/>
    </xf>
    <xf numFmtId="0" fontId="2" fillId="7" borderId="38" xfId="133" applyFont="1" applyFill="1" applyBorder="1" applyAlignment="1" applyProtection="1">
      <alignment vertical="center"/>
      <protection locked="0"/>
    </xf>
    <xf numFmtId="0" fontId="14" fillId="7" borderId="38" xfId="0" applyFont="1" applyFill="1" applyBorder="1" applyAlignment="1">
      <alignment horizontal="left" vertical="center"/>
    </xf>
    <xf numFmtId="0" fontId="9" fillId="0" borderId="0" xfId="371" applyFont="1" applyAlignment="1">
      <alignment vertical="center"/>
    </xf>
    <xf numFmtId="0" fontId="17" fillId="0" borderId="13" xfId="0" applyFont="1" applyBorder="1" applyAlignment="1" applyProtection="1">
      <alignment horizontal="left" vertical="center" indent="1"/>
      <protection locked="0"/>
    </xf>
    <xf numFmtId="0" fontId="15" fillId="0" borderId="31" xfId="0" applyFont="1" applyBorder="1" applyProtection="1">
      <alignment vertical="center"/>
      <protection locked="0"/>
    </xf>
    <xf numFmtId="0" fontId="15" fillId="0" borderId="7" xfId="0" applyFont="1" applyBorder="1" applyAlignment="1" applyProtection="1">
      <alignment horizontal="left" vertical="center" indent="1"/>
      <protection locked="0"/>
    </xf>
    <xf numFmtId="0" fontId="15" fillId="0" borderId="3" xfId="0" applyFont="1" applyBorder="1" applyProtection="1">
      <alignment vertical="center"/>
      <protection locked="0"/>
    </xf>
    <xf numFmtId="0" fontId="15" fillId="0" borderId="9" xfId="0" applyFont="1" applyBorder="1" applyProtection="1">
      <alignment vertical="center"/>
      <protection locked="0"/>
    </xf>
    <xf numFmtId="0" fontId="17" fillId="0" borderId="0" xfId="0" applyFont="1" applyAlignment="1">
      <alignment vertical="center" wrapText="1"/>
    </xf>
    <xf numFmtId="0" fontId="148" fillId="2" borderId="40" xfId="247" applyFont="1" applyFill="1" applyBorder="1" applyProtection="1">
      <alignment vertical="center"/>
      <protection locked="0"/>
    </xf>
    <xf numFmtId="0" fontId="12" fillId="0" borderId="0" xfId="127" applyFont="1" applyAlignment="1" applyProtection="1">
      <alignment vertical="center"/>
      <protection locked="0"/>
    </xf>
    <xf numFmtId="0" fontId="2" fillId="0" borderId="0" xfId="127" applyFont="1" applyAlignment="1" applyProtection="1">
      <alignment horizontal="right" vertical="center"/>
      <protection locked="0"/>
    </xf>
    <xf numFmtId="0" fontId="15" fillId="0" borderId="0" xfId="121" applyAlignment="1" applyProtection="1">
      <alignment vertical="center"/>
      <protection locked="0"/>
    </xf>
    <xf numFmtId="0" fontId="15" fillId="8" borderId="0" xfId="121" applyFill="1" applyAlignment="1" applyProtection="1">
      <alignment vertical="center"/>
      <protection locked="0"/>
    </xf>
    <xf numFmtId="0" fontId="5" fillId="2" borderId="72" xfId="315" applyFont="1" applyFill="1" applyBorder="1" applyAlignment="1" applyProtection="1">
      <alignment horizontal="centerContinuous" vertical="center"/>
      <protection locked="0"/>
    </xf>
    <xf numFmtId="0" fontId="19" fillId="7" borderId="30" xfId="126" applyFont="1" applyFill="1" applyBorder="1" applyAlignment="1">
      <alignment horizontal="center" vertical="center" wrapText="1"/>
    </xf>
    <xf numFmtId="0" fontId="141" fillId="0" borderId="67" xfId="371" applyFont="1" applyBorder="1" applyAlignment="1">
      <alignment horizontal="center" vertical="center" wrapText="1"/>
    </xf>
    <xf numFmtId="0" fontId="16" fillId="13" borderId="30" xfId="247" applyFont="1" applyFill="1" applyBorder="1" applyAlignment="1">
      <alignment horizontal="center" vertical="center"/>
    </xf>
    <xf numFmtId="0" fontId="16" fillId="13" borderId="30" xfId="247" applyFont="1" applyFill="1" applyBorder="1" applyAlignment="1">
      <alignment horizontal="center" vertical="center" wrapText="1"/>
    </xf>
    <xf numFmtId="0" fontId="2" fillId="0" borderId="30" xfId="247" applyFont="1" applyBorder="1" applyAlignment="1">
      <alignment horizontal="center" vertical="center"/>
    </xf>
    <xf numFmtId="0" fontId="16" fillId="7" borderId="76" xfId="132" applyFont="1" applyFill="1" applyBorder="1" applyAlignment="1">
      <alignment vertical="center"/>
    </xf>
    <xf numFmtId="226" fontId="15" fillId="0" borderId="51" xfId="1" applyNumberFormat="1" applyFont="1" applyFill="1" applyBorder="1" applyAlignment="1" applyProtection="1">
      <alignment vertical="center"/>
      <protection locked="0"/>
    </xf>
    <xf numFmtId="0" fontId="121" fillId="7" borderId="0" xfId="0" applyFont="1" applyFill="1">
      <alignment vertical="center"/>
    </xf>
    <xf numFmtId="0" fontId="2" fillId="0" borderId="0" xfId="0" applyFont="1" applyAlignment="1" applyProtection="1">
      <alignment horizontal="center" vertical="center"/>
      <protection locked="0"/>
    </xf>
    <xf numFmtId="0" fontId="16" fillId="7" borderId="75" xfId="0" applyFont="1" applyFill="1" applyBorder="1" applyAlignment="1">
      <alignment horizontal="center" vertical="center"/>
    </xf>
    <xf numFmtId="0" fontId="16" fillId="7" borderId="16" xfId="0" applyFont="1" applyFill="1" applyBorder="1" applyAlignment="1">
      <alignment horizontal="center" vertical="center"/>
    </xf>
    <xf numFmtId="0" fontId="149" fillId="7" borderId="73" xfId="132" applyFont="1" applyFill="1" applyBorder="1" applyAlignment="1">
      <alignment vertical="center"/>
    </xf>
    <xf numFmtId="0" fontId="150" fillId="0" borderId="0" xfId="0" applyFont="1" applyAlignment="1">
      <alignment horizontal="left" vertical="center"/>
    </xf>
    <xf numFmtId="14" fontId="16" fillId="4" borderId="13" xfId="0" applyNumberFormat="1" applyFont="1" applyFill="1" applyBorder="1" applyAlignment="1">
      <alignment horizontal="right" vertical="center"/>
    </xf>
    <xf numFmtId="178" fontId="16" fillId="4" borderId="13" xfId="0" applyNumberFormat="1" applyFont="1" applyFill="1" applyBorder="1" applyAlignment="1">
      <alignment horizontal="right" vertical="center"/>
    </xf>
    <xf numFmtId="0" fontId="11" fillId="0" borderId="0" xfId="138" applyFont="1" applyAlignment="1" applyProtection="1">
      <alignment horizontal="center" vertical="center"/>
      <protection locked="0"/>
    </xf>
    <xf numFmtId="0" fontId="27" fillId="0" borderId="61" xfId="0" applyFont="1" applyBorder="1" applyAlignment="1">
      <alignment horizontal="left" vertical="center" wrapText="1"/>
    </xf>
    <xf numFmtId="0" fontId="15" fillId="0" borderId="0" xfId="128" applyFont="1" applyAlignment="1" applyProtection="1">
      <alignment horizontal="left" vertical="center"/>
      <protection locked="0"/>
    </xf>
    <xf numFmtId="0" fontId="15" fillId="0" borderId="75" xfId="128" applyFont="1" applyBorder="1" applyAlignment="1" applyProtection="1">
      <alignment horizontal="left" vertical="center"/>
      <protection locked="0"/>
    </xf>
    <xf numFmtId="0" fontId="15" fillId="0" borderId="75" xfId="128" applyFont="1" applyBorder="1" applyAlignment="1">
      <alignment horizontal="left" vertical="center"/>
    </xf>
    <xf numFmtId="0" fontId="15" fillId="8" borderId="0" xfId="247" applyFont="1" applyFill="1" applyAlignment="1" applyProtection="1">
      <alignment horizontal="left" vertical="center"/>
      <protection locked="0"/>
    </xf>
    <xf numFmtId="0" fontId="12" fillId="0" borderId="0" xfId="143" applyFont="1" applyAlignment="1">
      <alignment horizontal="right" vertical="top" wrapText="1"/>
    </xf>
    <xf numFmtId="49" fontId="15" fillId="0" borderId="75" xfId="128" applyNumberFormat="1" applyFont="1" applyBorder="1" applyAlignment="1">
      <alignment horizontal="left" vertical="center"/>
    </xf>
    <xf numFmtId="0" fontId="152" fillId="7" borderId="30" xfId="143" applyFont="1" applyFill="1" applyBorder="1" applyAlignment="1">
      <alignment horizontal="left" vertical="center" wrapText="1"/>
    </xf>
    <xf numFmtId="0" fontId="14" fillId="0" borderId="0" xfId="253" applyFont="1"/>
    <xf numFmtId="0" fontId="2" fillId="0" borderId="0" xfId="253" applyFont="1"/>
    <xf numFmtId="0" fontId="14" fillId="0" borderId="0" xfId="253" applyFont="1" applyAlignment="1">
      <alignment vertical="center" wrapText="1"/>
    </xf>
    <xf numFmtId="0" fontId="136" fillId="0" borderId="0" xfId="128" applyFont="1" applyAlignment="1" applyProtection="1">
      <alignment horizontal="left" vertical="center"/>
      <protection locked="0"/>
    </xf>
    <xf numFmtId="0" fontId="136" fillId="0" borderId="0" xfId="128" applyFont="1" applyAlignment="1" applyProtection="1">
      <alignment horizontal="left" vertical="center" indent="1"/>
      <protection locked="0"/>
    </xf>
    <xf numFmtId="0" fontId="11" fillId="0" borderId="0" xfId="133" applyFont="1" applyAlignment="1" applyProtection="1">
      <alignment horizontal="left" vertical="center"/>
      <protection locked="0"/>
    </xf>
    <xf numFmtId="0" fontId="17" fillId="0" borderId="33" xfId="247" applyFont="1" applyBorder="1" applyAlignment="1">
      <alignment horizontal="center" vertical="center" wrapText="1"/>
    </xf>
    <xf numFmtId="0" fontId="11" fillId="56" borderId="75" xfId="0" applyFont="1" applyFill="1" applyBorder="1" applyAlignment="1">
      <alignment horizontal="center" vertical="center" wrapText="1"/>
    </xf>
    <xf numFmtId="0" fontId="11" fillId="0" borderId="0" xfId="371" applyFont="1" applyAlignment="1"/>
    <xf numFmtId="0" fontId="2" fillId="0" borderId="0" xfId="0" applyFont="1" applyAlignment="1">
      <alignment horizontal="center" vertical="center"/>
    </xf>
    <xf numFmtId="0" fontId="11" fillId="7" borderId="55" xfId="0" applyFont="1" applyFill="1" applyBorder="1" applyProtection="1">
      <alignment vertical="center"/>
      <protection locked="0"/>
    </xf>
    <xf numFmtId="49" fontId="153" fillId="6" borderId="0" xfId="127" applyNumberFormat="1" applyFont="1" applyFill="1" applyAlignment="1">
      <alignment vertical="center"/>
    </xf>
    <xf numFmtId="0" fontId="119" fillId="6" borderId="0" xfId="127" applyFont="1" applyFill="1" applyAlignment="1">
      <alignment vertical="center"/>
    </xf>
    <xf numFmtId="0" fontId="27" fillId="0" borderId="0" xfId="0" applyFont="1" applyAlignment="1" applyProtection="1">
      <alignment wrapText="1"/>
      <protection locked="0"/>
    </xf>
    <xf numFmtId="0" fontId="27" fillId="6" borderId="0" xfId="127" applyFont="1" applyFill="1" applyAlignment="1">
      <alignment vertical="center"/>
    </xf>
    <xf numFmtId="0" fontId="27" fillId="0" borderId="0" xfId="127" applyFont="1" applyAlignment="1">
      <alignment vertical="center"/>
    </xf>
    <xf numFmtId="0" fontId="27" fillId="8" borderId="0" xfId="127" applyFont="1" applyFill="1" applyAlignment="1">
      <alignment vertical="center"/>
    </xf>
    <xf numFmtId="0" fontId="17" fillId="0" borderId="75" xfId="127" applyFont="1" applyBorder="1" applyAlignment="1">
      <alignment vertical="center"/>
    </xf>
    <xf numFmtId="0" fontId="17" fillId="0" borderId="52" xfId="127" applyFont="1" applyBorder="1" applyAlignment="1">
      <alignment vertical="center"/>
    </xf>
    <xf numFmtId="49" fontId="17" fillId="0" borderId="75" xfId="0" applyNumberFormat="1" applyFont="1" applyBorder="1" applyAlignment="1">
      <alignment horizontal="left"/>
    </xf>
    <xf numFmtId="49" fontId="17" fillId="0" borderId="52" xfId="0" applyNumberFormat="1" applyFont="1" applyBorder="1" applyAlignment="1">
      <alignment horizontal="left"/>
    </xf>
    <xf numFmtId="14" fontId="17" fillId="0" borderId="73" xfId="0" applyNumberFormat="1" applyFont="1" applyBorder="1" applyAlignment="1" applyProtection="1">
      <alignment horizontal="left" vertical="center"/>
      <protection locked="0"/>
    </xf>
    <xf numFmtId="0" fontId="19" fillId="0" borderId="0" xfId="0" applyFont="1">
      <alignment vertical="center"/>
    </xf>
    <xf numFmtId="0" fontId="17" fillId="0" borderId="69" xfId="0" applyFont="1" applyBorder="1" applyAlignment="1">
      <alignment horizontal="left" vertical="center"/>
    </xf>
    <xf numFmtId="0" fontId="17" fillId="0" borderId="73" xfId="0" applyFont="1" applyBorder="1" applyAlignment="1">
      <alignment horizontal="left" vertical="center"/>
    </xf>
    <xf numFmtId="0" fontId="17" fillId="0" borderId="52" xfId="0" applyFont="1" applyBorder="1" applyAlignment="1">
      <alignment horizontal="left" vertical="center"/>
    </xf>
    <xf numFmtId="0" fontId="17" fillId="0" borderId="71" xfId="0" applyFont="1" applyBorder="1" applyAlignment="1">
      <alignment horizontal="left" vertical="center"/>
    </xf>
    <xf numFmtId="0" fontId="17" fillId="0" borderId="47" xfId="0" applyFont="1" applyBorder="1" applyAlignment="1">
      <alignment horizontal="left" vertical="center"/>
    </xf>
    <xf numFmtId="49" fontId="17" fillId="0" borderId="75" xfId="0" applyNumberFormat="1" applyFont="1" applyBorder="1" applyAlignment="1">
      <alignment horizontal="left" vertical="center"/>
    </xf>
    <xf numFmtId="49" fontId="17" fillId="0" borderId="52" xfId="0" applyNumberFormat="1" applyFont="1" applyBorder="1" applyAlignment="1">
      <alignment horizontal="left" vertical="center"/>
    </xf>
    <xf numFmtId="178" fontId="17" fillId="0" borderId="75" xfId="0" applyNumberFormat="1" applyFont="1" applyBorder="1" applyAlignment="1">
      <alignment horizontal="right" vertical="center"/>
    </xf>
    <xf numFmtId="178" fontId="17" fillId="0" borderId="52" xfId="0" applyNumberFormat="1" applyFont="1" applyBorder="1" applyAlignment="1">
      <alignment horizontal="right" vertical="center"/>
    </xf>
    <xf numFmtId="0" fontId="17" fillId="0" borderId="75" xfId="0" applyFont="1" applyBorder="1" applyAlignment="1">
      <alignment horizontal="center" vertical="center"/>
    </xf>
    <xf numFmtId="0" fontId="17" fillId="0" borderId="75" xfId="0" applyFont="1" applyBorder="1" applyAlignment="1">
      <alignment horizontal="center" vertical="center" wrapText="1"/>
    </xf>
    <xf numFmtId="0" fontId="15" fillId="0" borderId="30" xfId="371" applyFont="1" applyBorder="1" applyAlignment="1">
      <alignment horizontal="left" vertical="center" wrapText="1"/>
    </xf>
    <xf numFmtId="0" fontId="15" fillId="0" borderId="30" xfId="0" applyFont="1" applyBorder="1" applyAlignment="1">
      <alignment horizontal="left" vertical="center" wrapText="1"/>
    </xf>
    <xf numFmtId="0" fontId="15" fillId="0" borderId="75" xfId="0" applyFont="1" applyBorder="1" applyAlignment="1" applyProtection="1">
      <alignment horizontal="left" vertical="center"/>
      <protection locked="0"/>
    </xf>
    <xf numFmtId="0" fontId="15" fillId="0" borderId="30" xfId="369" applyFont="1" applyBorder="1" applyAlignment="1" applyProtection="1">
      <alignment horizontal="center" vertical="center"/>
      <protection locked="0"/>
    </xf>
    <xf numFmtId="0" fontId="15" fillId="0" borderId="30" xfId="247" applyFont="1" applyBorder="1" applyAlignment="1">
      <alignment horizontal="left" vertical="center" wrapText="1"/>
    </xf>
    <xf numFmtId="0" fontId="15" fillId="0" borderId="40" xfId="260" applyFont="1" applyBorder="1" applyAlignment="1" applyProtection="1">
      <alignment horizontal="left" vertical="center"/>
      <protection locked="0"/>
    </xf>
    <xf numFmtId="0" fontId="15" fillId="0" borderId="42" xfId="260" applyFont="1" applyBorder="1" applyAlignment="1" applyProtection="1">
      <alignment horizontal="left" vertical="center"/>
      <protection locked="0"/>
    </xf>
    <xf numFmtId="0" fontId="15" fillId="0" borderId="44" xfId="260" applyFont="1" applyBorder="1" applyAlignment="1" applyProtection="1">
      <alignment horizontal="left" vertical="center"/>
      <protection locked="0"/>
    </xf>
    <xf numFmtId="0" fontId="15" fillId="0" borderId="24" xfId="0" applyFont="1" applyBorder="1" applyAlignment="1">
      <alignment horizontal="left" vertical="center"/>
    </xf>
    <xf numFmtId="0" fontId="15" fillId="0" borderId="41" xfId="0" applyFont="1" applyBorder="1" applyAlignment="1">
      <alignment horizontal="left" vertical="center"/>
    </xf>
    <xf numFmtId="0" fontId="15" fillId="0" borderId="0" xfId="260" applyFont="1" applyAlignment="1" applyProtection="1">
      <alignment horizontal="left" vertical="center"/>
      <protection locked="0"/>
    </xf>
    <xf numFmtId="0" fontId="15" fillId="0" borderId="43" xfId="0" applyFont="1" applyBorder="1" applyAlignment="1">
      <alignment horizontal="left" vertical="center"/>
    </xf>
    <xf numFmtId="0" fontId="15" fillId="0" borderId="38" xfId="260" applyFont="1" applyBorder="1" applyAlignment="1" applyProtection="1">
      <alignment horizontal="left" vertical="center"/>
      <protection locked="0"/>
    </xf>
    <xf numFmtId="0" fontId="15" fillId="0" borderId="39" xfId="260" applyFont="1" applyBorder="1" applyAlignment="1" applyProtection="1">
      <alignment horizontal="left" vertical="center"/>
      <protection locked="0"/>
    </xf>
    <xf numFmtId="178" fontId="15" fillId="0" borderId="30" xfId="138" applyNumberFormat="1" applyFont="1" applyBorder="1" applyAlignment="1">
      <alignment horizontal="right" vertical="center" shrinkToFit="1"/>
    </xf>
    <xf numFmtId="178" fontId="15" fillId="0" borderId="30" xfId="253" applyNumberFormat="1" applyFont="1" applyBorder="1" applyAlignment="1">
      <alignment horizontal="right" vertical="center"/>
    </xf>
    <xf numFmtId="228" fontId="15" fillId="0" borderId="30" xfId="253" applyNumberFormat="1" applyFont="1" applyBorder="1" applyAlignment="1">
      <alignment horizontal="right" vertical="center"/>
    </xf>
    <xf numFmtId="14" fontId="2" fillId="0" borderId="30" xfId="253" applyNumberFormat="1" applyFont="1" applyBorder="1" applyAlignment="1">
      <alignment horizontal="left" vertical="center"/>
    </xf>
    <xf numFmtId="178" fontId="15" fillId="0" borderId="75" xfId="128" applyNumberFormat="1" applyFont="1" applyBorder="1" applyAlignment="1">
      <alignment horizontal="right" vertical="center" shrinkToFit="1"/>
    </xf>
    <xf numFmtId="178" fontId="15" fillId="0" borderId="75" xfId="128" applyNumberFormat="1" applyFont="1" applyBorder="1" applyAlignment="1" applyProtection="1">
      <alignment horizontal="right" vertical="center" shrinkToFit="1"/>
      <protection locked="0"/>
    </xf>
    <xf numFmtId="178" fontId="17" fillId="0" borderId="75" xfId="127" applyNumberFormat="1" applyFont="1" applyBorder="1" applyAlignment="1">
      <alignment horizontal="right" vertical="center" shrinkToFit="1"/>
    </xf>
    <xf numFmtId="178" fontId="17" fillId="0" borderId="52" xfId="127" applyNumberFormat="1" applyFont="1" applyBorder="1" applyAlignment="1">
      <alignment horizontal="right" vertical="center" shrinkToFit="1"/>
    </xf>
    <xf numFmtId="178" fontId="17" fillId="0" borderId="75" xfId="0" applyNumberFormat="1" applyFont="1" applyBorder="1" applyAlignment="1">
      <alignment horizontal="right" vertical="center" shrinkToFit="1"/>
    </xf>
    <xf numFmtId="178" fontId="17" fillId="0" borderId="52" xfId="0" applyNumberFormat="1" applyFont="1" applyBorder="1" applyAlignment="1">
      <alignment horizontal="right" vertical="center" shrinkToFit="1"/>
    </xf>
    <xf numFmtId="14" fontId="17" fillId="0" borderId="44" xfId="0" applyNumberFormat="1" applyFont="1" applyBorder="1" applyAlignment="1" applyProtection="1">
      <alignment horizontal="left" vertical="center"/>
      <protection locked="0"/>
    </xf>
    <xf numFmtId="178" fontId="15" fillId="0" borderId="75" xfId="0" applyNumberFormat="1" applyFont="1" applyBorder="1" applyAlignment="1">
      <alignment horizontal="right" vertical="center" shrinkToFit="1"/>
    </xf>
    <xf numFmtId="178" fontId="15" fillId="0" borderId="71" xfId="0" applyNumberFormat="1" applyFont="1" applyBorder="1" applyAlignment="1">
      <alignment horizontal="right" vertical="center" shrinkToFit="1"/>
    </xf>
    <xf numFmtId="178" fontId="15" fillId="0" borderId="62" xfId="0" applyNumberFormat="1" applyFont="1" applyBorder="1" applyAlignment="1">
      <alignment horizontal="right" vertical="center" shrinkToFit="1"/>
    </xf>
    <xf numFmtId="178" fontId="15" fillId="0" borderId="63" xfId="0" applyNumberFormat="1" applyFont="1" applyBorder="1" applyAlignment="1">
      <alignment horizontal="right" vertical="center" shrinkToFit="1"/>
    </xf>
    <xf numFmtId="0" fontId="155" fillId="0" borderId="0" xfId="247" applyFont="1">
      <alignment vertical="center"/>
    </xf>
    <xf numFmtId="178" fontId="10" fillId="0" borderId="70" xfId="1" applyFont="1" applyBorder="1"/>
    <xf numFmtId="178" fontId="10" fillId="0" borderId="0" xfId="1" applyFont="1" applyProtection="1">
      <protection locked="0"/>
    </xf>
    <xf numFmtId="226" fontId="2" fillId="0" borderId="77" xfId="260" applyNumberFormat="1" applyFont="1" applyBorder="1" applyAlignment="1" applyProtection="1">
      <alignment horizontal="right" vertical="center" shrinkToFit="1"/>
      <protection locked="0"/>
    </xf>
    <xf numFmtId="226" fontId="2" fillId="0" borderId="66" xfId="260" applyNumberFormat="1" applyFont="1" applyBorder="1" applyAlignment="1" applyProtection="1">
      <alignment horizontal="right" vertical="center" shrinkToFit="1"/>
      <protection locked="0"/>
    </xf>
    <xf numFmtId="10" fontId="15" fillId="0" borderId="66" xfId="2" applyNumberFormat="1" applyFont="1" applyFill="1" applyBorder="1" applyAlignment="1" applyProtection="1">
      <alignment horizontal="right" vertical="center" shrinkToFit="1"/>
      <protection locked="0"/>
    </xf>
    <xf numFmtId="0" fontId="19" fillId="7" borderId="75" xfId="0" applyFont="1" applyFill="1" applyBorder="1" applyAlignment="1">
      <alignment horizontal="center" vertical="center" wrapText="1"/>
    </xf>
    <xf numFmtId="0" fontId="11" fillId="7" borderId="75" xfId="0" applyFont="1" applyFill="1" applyBorder="1" applyAlignment="1">
      <alignment horizontal="center" vertical="center" wrapText="1"/>
    </xf>
    <xf numFmtId="0" fontId="15" fillId="0" borderId="75" xfId="259" applyFont="1" applyBorder="1" applyAlignment="1">
      <alignment horizontal="left" vertical="center" shrinkToFit="1"/>
    </xf>
    <xf numFmtId="0" fontId="11" fillId="0" borderId="75" xfId="0" applyFont="1" applyBorder="1" applyAlignment="1" applyProtection="1">
      <alignment horizontal="center" vertical="center"/>
      <protection locked="0"/>
    </xf>
    <xf numFmtId="224" fontId="15" fillId="0" borderId="75" xfId="1" applyNumberFormat="1" applyFont="1" applyBorder="1" applyAlignment="1">
      <alignment horizontal="right" vertical="center" shrinkToFit="1"/>
    </xf>
    <xf numFmtId="178" fontId="15" fillId="0" borderId="75" xfId="260" applyNumberFormat="1" applyFont="1" applyBorder="1" applyAlignment="1" applyProtection="1">
      <alignment horizontal="right" vertical="center" shrinkToFit="1"/>
      <protection locked="0"/>
    </xf>
    <xf numFmtId="224" fontId="15" fillId="0" borderId="75" xfId="260" applyNumberFormat="1" applyFont="1" applyBorder="1" applyAlignment="1" applyProtection="1">
      <alignment horizontal="right" vertical="center" shrinkToFit="1"/>
      <protection locked="0"/>
    </xf>
    <xf numFmtId="10" fontId="15" fillId="0" borderId="75" xfId="2" applyNumberFormat="1" applyFont="1" applyBorder="1" applyAlignment="1" applyProtection="1">
      <alignment vertical="center"/>
      <protection locked="0"/>
    </xf>
    <xf numFmtId="0" fontId="11" fillId="0" borderId="75" xfId="2" applyNumberFormat="1" applyFont="1" applyBorder="1" applyAlignment="1">
      <alignment horizontal="left" vertical="center" shrinkToFit="1"/>
    </xf>
    <xf numFmtId="0" fontId="15" fillId="0" borderId="75" xfId="0" applyFont="1" applyBorder="1" applyAlignment="1">
      <alignment horizontal="left" vertical="center"/>
    </xf>
    <xf numFmtId="178" fontId="15" fillId="6" borderId="75" xfId="1" applyFont="1" applyFill="1" applyBorder="1" applyAlignment="1">
      <alignment horizontal="right" vertical="center" shrinkToFit="1"/>
    </xf>
    <xf numFmtId="0" fontId="2" fillId="0" borderId="75" xfId="0" applyFont="1" applyBorder="1" applyAlignment="1">
      <alignment horizontal="left" vertical="center" shrinkToFit="1"/>
    </xf>
    <xf numFmtId="0" fontId="16" fillId="7" borderId="78" xfId="0" applyFont="1" applyFill="1" applyBorder="1" applyAlignment="1">
      <alignment horizontal="center" vertical="center" wrapText="1"/>
    </xf>
    <xf numFmtId="0" fontId="15" fillId="0" borderId="78" xfId="139" applyFont="1" applyBorder="1" applyAlignment="1">
      <alignment horizontal="left" vertical="center" shrinkToFit="1"/>
    </xf>
    <xf numFmtId="0" fontId="15" fillId="0" borderId="79" xfId="0" applyFont="1" applyBorder="1" applyAlignment="1">
      <alignment horizontal="left" vertical="center"/>
    </xf>
    <xf numFmtId="0" fontId="15" fillId="0" borderId="78" xfId="0" applyFont="1" applyBorder="1" applyAlignment="1">
      <alignment horizontal="left" vertical="center" shrinkToFit="1"/>
    </xf>
    <xf numFmtId="178" fontId="15" fillId="0" borderId="80" xfId="0" applyNumberFormat="1" applyFont="1" applyBorder="1" applyAlignment="1">
      <alignment vertical="center" shrinkToFit="1"/>
    </xf>
    <xf numFmtId="178" fontId="15" fillId="0" borderId="81" xfId="260" applyNumberFormat="1" applyFont="1" applyBorder="1" applyAlignment="1" applyProtection="1">
      <alignment horizontal="center" vertical="center" shrinkToFit="1"/>
      <protection locked="0"/>
    </xf>
    <xf numFmtId="178" fontId="15" fillId="0" borderId="81" xfId="266" applyNumberFormat="1" applyFont="1" applyBorder="1" applyAlignment="1" applyProtection="1">
      <alignment horizontal="center" vertical="center" shrinkToFit="1"/>
      <protection locked="0"/>
    </xf>
    <xf numFmtId="178" fontId="15" fillId="0" borderId="81" xfId="260" applyNumberFormat="1" applyFont="1" applyBorder="1" applyAlignment="1" applyProtection="1">
      <alignment horizontal="right" vertical="center" shrinkToFit="1"/>
      <protection locked="0"/>
    </xf>
    <xf numFmtId="178" fontId="2" fillId="0" borderId="81" xfId="260" applyNumberFormat="1" applyFont="1" applyBorder="1" applyAlignment="1" applyProtection="1">
      <alignment horizontal="right" vertical="center" shrinkToFit="1"/>
      <protection locked="0"/>
    </xf>
    <xf numFmtId="10" fontId="2" fillId="0" borderId="81" xfId="260" applyNumberFormat="1" applyFont="1" applyBorder="1" applyAlignment="1" applyProtection="1">
      <alignment horizontal="right" vertical="center" shrinkToFit="1"/>
      <protection locked="0"/>
    </xf>
    <xf numFmtId="178" fontId="15" fillId="0" borderId="81" xfId="0" applyNumberFormat="1" applyFont="1" applyBorder="1" applyAlignment="1">
      <alignment horizontal="left" vertical="center" shrinkToFit="1"/>
    </xf>
    <xf numFmtId="0" fontId="2" fillId="0" borderId="81" xfId="0" applyFont="1" applyBorder="1" applyAlignment="1">
      <alignment horizontal="left" vertical="center"/>
    </xf>
    <xf numFmtId="0" fontId="2" fillId="0" borderId="82" xfId="0" applyFont="1" applyBorder="1" applyAlignment="1">
      <alignment horizontal="left" vertical="center"/>
    </xf>
    <xf numFmtId="178" fontId="2" fillId="0" borderId="47" xfId="1" applyFont="1" applyBorder="1"/>
    <xf numFmtId="178" fontId="2" fillId="0" borderId="66" xfId="1" applyFont="1" applyBorder="1" applyProtection="1">
      <protection locked="0"/>
    </xf>
    <xf numFmtId="178" fontId="2" fillId="0" borderId="0" xfId="1" applyFont="1" applyFill="1" applyBorder="1" applyProtection="1">
      <protection locked="0"/>
    </xf>
    <xf numFmtId="178" fontId="15" fillId="0" borderId="66" xfId="1" applyFont="1" applyBorder="1" applyProtection="1">
      <protection locked="0"/>
    </xf>
    <xf numFmtId="178" fontId="15" fillId="0" borderId="75" xfId="1" applyFont="1" applyBorder="1" applyProtection="1">
      <protection locked="0"/>
    </xf>
    <xf numFmtId="178" fontId="15" fillId="0" borderId="75" xfId="1" applyFont="1" applyBorder="1"/>
    <xf numFmtId="0" fontId="2" fillId="0" borderId="30" xfId="247" applyFont="1" applyBorder="1" applyAlignment="1">
      <alignment horizontal="center" vertical="center" wrapText="1"/>
    </xf>
    <xf numFmtId="0" fontId="150" fillId="0" borderId="0" xfId="0" applyFont="1" applyAlignment="1">
      <alignment horizontal="left" vertical="center" wrapText="1"/>
    </xf>
    <xf numFmtId="0" fontId="19" fillId="7" borderId="75" xfId="260" applyFont="1" applyFill="1" applyBorder="1" applyAlignment="1" applyProtection="1">
      <alignment horizontal="center" vertical="center" wrapText="1"/>
      <protection locked="0"/>
    </xf>
    <xf numFmtId="0" fontId="2" fillId="7" borderId="83" xfId="0" applyFont="1" applyFill="1" applyBorder="1" applyAlignment="1">
      <alignment vertical="center" wrapText="1"/>
    </xf>
    <xf numFmtId="0" fontId="10" fillId="7" borderId="84" xfId="260" applyFont="1" applyFill="1" applyBorder="1" applyAlignment="1" applyProtection="1">
      <alignment vertical="center" wrapText="1"/>
      <protection locked="0"/>
    </xf>
    <xf numFmtId="0" fontId="17" fillId="7" borderId="84" xfId="260" applyFont="1" applyFill="1" applyBorder="1" applyAlignment="1" applyProtection="1">
      <alignment vertical="center" wrapText="1"/>
      <protection locked="0"/>
    </xf>
    <xf numFmtId="14" fontId="16" fillId="7" borderId="84" xfId="0" applyNumberFormat="1" applyFont="1" applyFill="1" applyBorder="1" applyAlignment="1" applyProtection="1">
      <alignment horizontal="center" vertical="center"/>
      <protection locked="0"/>
    </xf>
    <xf numFmtId="0" fontId="11" fillId="7" borderId="84" xfId="0" applyFont="1" applyFill="1" applyBorder="1">
      <alignment vertical="center"/>
    </xf>
    <xf numFmtId="0" fontId="118" fillId="0" borderId="75" xfId="128" applyFont="1" applyBorder="1" applyAlignment="1">
      <alignment horizontal="left" vertical="center"/>
    </xf>
    <xf numFmtId="0" fontId="32" fillId="0" borderId="75" xfId="372" applyBorder="1" applyAlignment="1">
      <alignment horizontal="left" vertical="center"/>
    </xf>
    <xf numFmtId="0" fontId="126" fillId="0" borderId="69" xfId="0" applyFont="1" applyBorder="1" applyAlignment="1">
      <alignment horizontal="left" vertical="center"/>
    </xf>
    <xf numFmtId="0" fontId="120" fillId="4" borderId="13" xfId="0" applyFont="1" applyFill="1" applyBorder="1" applyAlignment="1">
      <alignment horizontal="right" vertical="center"/>
    </xf>
    <xf numFmtId="0" fontId="118" fillId="0" borderId="30" xfId="247" applyFont="1" applyBorder="1" applyAlignment="1">
      <alignment horizontal="left" vertical="center" wrapText="1"/>
    </xf>
    <xf numFmtId="178" fontId="15" fillId="0" borderId="75" xfId="1" applyFont="1" applyFill="1" applyBorder="1" applyProtection="1">
      <protection locked="0"/>
    </xf>
    <xf numFmtId="0" fontId="157" fillId="0" borderId="0" xfId="0" applyFont="1" applyAlignment="1">
      <alignment horizontal="left" vertical="center" wrapText="1"/>
    </xf>
    <xf numFmtId="0" fontId="157" fillId="0" borderId="0" xfId="0" applyFont="1" applyAlignment="1">
      <alignment vertical="center" wrapText="1"/>
    </xf>
    <xf numFmtId="0" fontId="157" fillId="0" borderId="0" xfId="0" applyFont="1">
      <alignment vertical="center"/>
    </xf>
    <xf numFmtId="0" fontId="157" fillId="0" borderId="78" xfId="374" applyFont="1" applyBorder="1" applyAlignment="1">
      <alignment horizontal="center" vertical="center"/>
    </xf>
    <xf numFmtId="229" fontId="157" fillId="0" borderId="75" xfId="375" applyNumberFormat="1" applyFont="1" applyFill="1" applyBorder="1" applyAlignment="1" applyProtection="1">
      <alignment horizontal="center" vertical="center" wrapText="1"/>
      <protection locked="0"/>
    </xf>
    <xf numFmtId="178" fontId="157" fillId="0" borderId="75" xfId="376" applyFont="1" applyFill="1" applyBorder="1" applyAlignment="1" applyProtection="1">
      <alignment horizontal="center" vertical="center" wrapText="1"/>
      <protection locked="0"/>
    </xf>
    <xf numFmtId="229" fontId="157" fillId="0" borderId="79" xfId="375" applyNumberFormat="1" applyFont="1" applyFill="1" applyBorder="1" applyAlignment="1" applyProtection="1">
      <alignment horizontal="center" vertical="center" wrapText="1"/>
      <protection locked="0"/>
    </xf>
    <xf numFmtId="229" fontId="157" fillId="0" borderId="5" xfId="375" applyNumberFormat="1" applyFont="1" applyFill="1" applyBorder="1" applyAlignment="1" applyProtection="1">
      <alignment horizontal="center" vertical="center" wrapText="1"/>
      <protection locked="0"/>
    </xf>
    <xf numFmtId="0" fontId="159" fillId="6" borderId="78" xfId="374" applyFont="1" applyFill="1" applyBorder="1" applyAlignment="1">
      <alignment vertical="center"/>
    </xf>
    <xf numFmtId="0" fontId="159" fillId="6" borderId="75" xfId="377" applyFont="1" applyFill="1" applyBorder="1">
      <alignment vertical="center"/>
    </xf>
    <xf numFmtId="0" fontId="159" fillId="6" borderId="75" xfId="374" applyFont="1" applyFill="1" applyBorder="1" applyAlignment="1">
      <alignment vertical="center"/>
    </xf>
    <xf numFmtId="0" fontId="159" fillId="6" borderId="79" xfId="374" applyFont="1" applyFill="1" applyBorder="1" applyAlignment="1">
      <alignment vertical="center"/>
    </xf>
    <xf numFmtId="0" fontId="159" fillId="6" borderId="79" xfId="377" applyFont="1" applyFill="1" applyBorder="1">
      <alignment vertical="center"/>
    </xf>
    <xf numFmtId="0" fontId="159" fillId="6" borderId="5" xfId="377" applyFont="1" applyFill="1" applyBorder="1">
      <alignment vertical="center"/>
    </xf>
    <xf numFmtId="0" fontId="157" fillId="0" borderId="79" xfId="374" applyFont="1" applyBorder="1" applyAlignment="1">
      <alignment vertical="center"/>
    </xf>
    <xf numFmtId="0" fontId="159" fillId="6" borderId="80" xfId="374" applyFont="1" applyFill="1" applyBorder="1" applyAlignment="1">
      <alignment vertical="center"/>
    </xf>
    <xf numFmtId="0" fontId="159" fillId="6" borderId="81" xfId="377" applyFont="1" applyFill="1" applyBorder="1">
      <alignment vertical="center"/>
    </xf>
    <xf numFmtId="0" fontId="159" fillId="6" borderId="81" xfId="374" applyFont="1" applyFill="1" applyBorder="1" applyAlignment="1">
      <alignment vertical="center"/>
    </xf>
    <xf numFmtId="0" fontId="159" fillId="6" borderId="82" xfId="374" applyFont="1" applyFill="1" applyBorder="1" applyAlignment="1">
      <alignment vertical="center"/>
    </xf>
    <xf numFmtId="0" fontId="159" fillId="6" borderId="82" xfId="377" applyFont="1" applyFill="1" applyBorder="1">
      <alignment vertical="center"/>
    </xf>
    <xf numFmtId="0" fontId="159" fillId="6" borderId="90" xfId="377" applyFont="1" applyFill="1" applyBorder="1">
      <alignment vertical="center"/>
    </xf>
    <xf numFmtId="0" fontId="157" fillId="0" borderId="82" xfId="374" applyFont="1" applyBorder="1" applyAlignment="1">
      <alignment vertical="center"/>
    </xf>
    <xf numFmtId="0" fontId="118" fillId="0" borderId="75" xfId="128" applyFont="1" applyBorder="1" applyAlignment="1" applyProtection="1">
      <alignment horizontal="left" vertical="center"/>
      <protection locked="0"/>
    </xf>
    <xf numFmtId="178" fontId="159" fillId="6" borderId="75" xfId="1" applyFont="1" applyFill="1" applyBorder="1"/>
    <xf numFmtId="0" fontId="129" fillId="58" borderId="75" xfId="260" applyFont="1" applyFill="1" applyBorder="1" applyAlignment="1" applyProtection="1">
      <alignment horizontal="center" vertical="center" wrapText="1"/>
      <protection locked="0"/>
    </xf>
    <xf numFmtId="178" fontId="2" fillId="0" borderId="0" xfId="1" applyFont="1" applyProtection="1">
      <protection locked="0"/>
    </xf>
    <xf numFmtId="49" fontId="161" fillId="0" borderId="75" xfId="378" applyNumberFormat="1" applyFont="1" applyFill="1" applyBorder="1" applyAlignment="1" applyProtection="1">
      <alignment horizontal="left" vertical="center" wrapText="1"/>
    </xf>
    <xf numFmtId="49" fontId="161" fillId="0" borderId="75" xfId="378" applyNumberFormat="1" applyFont="1" applyFill="1" applyBorder="1" applyAlignment="1" applyProtection="1">
      <alignment horizontal="center" vertical="center" wrapText="1"/>
    </xf>
    <xf numFmtId="224" fontId="161" fillId="0" borderId="75" xfId="378" applyNumberFormat="1" applyFont="1" applyFill="1" applyBorder="1" applyAlignment="1" applyProtection="1">
      <alignment horizontal="right" vertical="center" wrapText="1"/>
    </xf>
    <xf numFmtId="228" fontId="161" fillId="0" borderId="75" xfId="2" applyNumberFormat="1" applyFont="1" applyFill="1" applyBorder="1" applyAlignment="1" applyProtection="1">
      <alignment horizontal="right" vertical="center" wrapText="1"/>
    </xf>
    <xf numFmtId="0" fontId="161" fillId="0" borderId="75" xfId="378" applyNumberFormat="1" applyFont="1" applyFill="1" applyBorder="1" applyAlignment="1" applyProtection="1">
      <alignment horizontal="center" vertical="center" wrapText="1"/>
    </xf>
    <xf numFmtId="4" fontId="161" fillId="0" borderId="75" xfId="378" applyNumberFormat="1" applyFont="1" applyFill="1" applyBorder="1" applyAlignment="1" applyProtection="1">
      <alignment horizontal="center" vertical="center" wrapText="1"/>
    </xf>
    <xf numFmtId="3" fontId="161" fillId="0" borderId="75" xfId="378" applyNumberFormat="1" applyFont="1" applyFill="1" applyBorder="1" applyAlignment="1" applyProtection="1">
      <alignment horizontal="center" vertical="center" wrapText="1"/>
    </xf>
    <xf numFmtId="0" fontId="163" fillId="61" borderId="0" xfId="0" applyFont="1" applyFill="1" applyAlignment="1">
      <alignment horizontal="center" vertical="center"/>
    </xf>
    <xf numFmtId="0" fontId="0" fillId="0" borderId="0" xfId="0" applyAlignment="1">
      <alignment vertical="center" wrapText="1"/>
    </xf>
    <xf numFmtId="0" fontId="32" fillId="0" borderId="0" xfId="372">
      <alignment vertical="center"/>
    </xf>
    <xf numFmtId="49" fontId="15" fillId="0" borderId="75" xfId="379" applyNumberFormat="1" applyFont="1" applyBorder="1" applyAlignment="1">
      <alignment horizontal="left" vertical="center" wrapText="1"/>
    </xf>
    <xf numFmtId="49" fontId="15" fillId="0" borderId="75" xfId="378" applyNumberFormat="1" applyFont="1" applyFill="1" applyBorder="1" applyAlignment="1" applyProtection="1">
      <alignment horizontal="left" vertical="center" wrapText="1"/>
    </xf>
    <xf numFmtId="49" fontId="15" fillId="0" borderId="30" xfId="253" applyNumberFormat="1" applyFont="1" applyBorder="1" applyAlignment="1">
      <alignment horizontal="center" vertical="center"/>
    </xf>
    <xf numFmtId="0" fontId="126" fillId="0" borderId="30" xfId="138" applyFont="1" applyBorder="1" applyAlignment="1">
      <alignment horizontal="left" vertical="center" wrapText="1"/>
    </xf>
    <xf numFmtId="0" fontId="164" fillId="6" borderId="0" xfId="138" applyFont="1" applyFill="1" applyAlignment="1" applyProtection="1">
      <alignment horizontal="right" vertical="center"/>
      <protection locked="0"/>
    </xf>
    <xf numFmtId="176" fontId="2" fillId="6" borderId="0" xfId="138" applyNumberFormat="1" applyFont="1" applyFill="1" applyAlignment="1" applyProtection="1">
      <alignment horizontal="right" vertical="center"/>
      <protection locked="0"/>
    </xf>
    <xf numFmtId="49" fontId="17" fillId="0" borderId="56" xfId="247" applyNumberFormat="1" applyFont="1" applyBorder="1" applyAlignment="1">
      <alignment horizontal="center" vertical="center" wrapText="1"/>
    </xf>
    <xf numFmtId="49" fontId="17" fillId="0" borderId="32" xfId="247" applyNumberFormat="1" applyFont="1" applyBorder="1" applyAlignment="1">
      <alignment horizontal="center" vertical="center" wrapText="1"/>
    </xf>
    <xf numFmtId="0" fontId="2" fillId="0" borderId="30" xfId="247" applyFont="1" applyBorder="1" applyAlignment="1">
      <alignment horizontal="center" vertical="center" wrapText="1"/>
    </xf>
    <xf numFmtId="0" fontId="2" fillId="0" borderId="56" xfId="247" applyFont="1" applyBorder="1" applyAlignment="1">
      <alignment horizontal="center" vertical="center" wrapText="1"/>
    </xf>
    <xf numFmtId="0" fontId="2" fillId="0" borderId="32" xfId="247" applyFont="1" applyBorder="1" applyAlignment="1">
      <alignment horizontal="center" vertical="center" wrapText="1"/>
    </xf>
    <xf numFmtId="0" fontId="2" fillId="0" borderId="33" xfId="247" applyFont="1" applyBorder="1" applyAlignment="1">
      <alignment horizontal="left" vertical="center" wrapText="1"/>
    </xf>
    <xf numFmtId="0" fontId="2" fillId="0" borderId="25" xfId="247" applyFont="1" applyBorder="1" applyAlignment="1">
      <alignment horizontal="left" vertical="center" wrapText="1"/>
    </xf>
    <xf numFmtId="0" fontId="2" fillId="0" borderId="67" xfId="247" applyFont="1" applyBorder="1" applyAlignment="1">
      <alignment horizontal="left" vertical="center" wrapText="1"/>
    </xf>
    <xf numFmtId="0" fontId="17" fillId="0" borderId="40" xfId="247" applyFont="1" applyBorder="1" applyAlignment="1">
      <alignment horizontal="left" vertical="center" wrapText="1"/>
    </xf>
    <xf numFmtId="0" fontId="17" fillId="0" borderId="24" xfId="247" applyFont="1" applyBorder="1" applyAlignment="1">
      <alignment horizontal="left" vertical="center" wrapText="1"/>
    </xf>
    <xf numFmtId="0" fontId="17" fillId="0" borderId="41" xfId="247" applyFont="1" applyBorder="1" applyAlignment="1">
      <alignment horizontal="left" vertical="center" wrapText="1"/>
    </xf>
    <xf numFmtId="0" fontId="17" fillId="0" borderId="44" xfId="247" applyFont="1" applyBorder="1" applyAlignment="1">
      <alignment horizontal="left" vertical="center" wrapText="1"/>
    </xf>
    <xf numFmtId="0" fontId="17" fillId="0" borderId="38" xfId="247" applyFont="1" applyBorder="1" applyAlignment="1">
      <alignment horizontal="left" vertical="center" wrapText="1"/>
    </xf>
    <xf numFmtId="0" fontId="17" fillId="0" borderId="39" xfId="247" applyFont="1" applyBorder="1" applyAlignment="1">
      <alignment horizontal="left" vertical="center" wrapText="1"/>
    </xf>
    <xf numFmtId="0" fontId="16" fillId="13" borderId="33" xfId="247" applyFont="1" applyFill="1" applyBorder="1" applyAlignment="1">
      <alignment horizontal="left" vertical="center"/>
    </xf>
    <xf numFmtId="0" fontId="16" fillId="13" borderId="25" xfId="247" applyFont="1" applyFill="1" applyBorder="1" applyAlignment="1">
      <alignment horizontal="left" vertical="center"/>
    </xf>
    <xf numFmtId="0" fontId="16" fillId="13" borderId="67" xfId="247" applyFont="1" applyFill="1" applyBorder="1" applyAlignment="1">
      <alignment horizontal="left" vertical="center"/>
    </xf>
    <xf numFmtId="0" fontId="19" fillId="13" borderId="33" xfId="247" applyFont="1" applyFill="1" applyBorder="1" applyAlignment="1">
      <alignment horizontal="left" vertical="center"/>
    </xf>
    <xf numFmtId="0" fontId="19" fillId="13" borderId="25" xfId="247" applyFont="1" applyFill="1" applyBorder="1" applyAlignment="1">
      <alignment horizontal="left" vertical="center"/>
    </xf>
    <xf numFmtId="0" fontId="19" fillId="13" borderId="67" xfId="247" applyFont="1" applyFill="1" applyBorder="1" applyAlignment="1">
      <alignment horizontal="left" vertical="center"/>
    </xf>
    <xf numFmtId="0" fontId="2" fillId="0" borderId="40" xfId="247" applyFont="1" applyBorder="1" applyAlignment="1">
      <alignment horizontal="left" vertical="center" wrapText="1"/>
    </xf>
    <xf numFmtId="0" fontId="2" fillId="0" borderId="24" xfId="247" applyFont="1" applyBorder="1" applyAlignment="1">
      <alignment horizontal="left" vertical="center" wrapText="1"/>
    </xf>
    <xf numFmtId="0" fontId="2" fillId="0" borderId="41" xfId="247" applyFont="1" applyBorder="1" applyAlignment="1">
      <alignment horizontal="left" vertical="center" wrapText="1"/>
    </xf>
    <xf numFmtId="0" fontId="2" fillId="0" borderId="44" xfId="247" applyFont="1" applyBorder="1" applyAlignment="1">
      <alignment horizontal="left" vertical="center" wrapText="1"/>
    </xf>
    <xf numFmtId="0" fontId="2" fillId="0" borderId="38" xfId="247" applyFont="1" applyBorder="1" applyAlignment="1">
      <alignment horizontal="left" vertical="center" wrapText="1"/>
    </xf>
    <xf numFmtId="0" fontId="2" fillId="0" borderId="39" xfId="247" applyFont="1" applyBorder="1" applyAlignment="1">
      <alignment horizontal="left" vertical="center" wrapText="1"/>
    </xf>
    <xf numFmtId="0" fontId="16" fillId="13" borderId="33" xfId="247" applyFont="1" applyFill="1" applyBorder="1" applyAlignment="1">
      <alignment horizontal="left" vertical="center" wrapText="1"/>
    </xf>
    <xf numFmtId="0" fontId="16" fillId="13" borderId="25" xfId="247" applyFont="1" applyFill="1" applyBorder="1" applyAlignment="1">
      <alignment horizontal="left" vertical="center" wrapText="1"/>
    </xf>
    <xf numFmtId="0" fontId="16" fillId="13" borderId="67" xfId="247" applyFont="1" applyFill="1" applyBorder="1" applyAlignment="1">
      <alignment horizontal="left" vertical="center" wrapText="1"/>
    </xf>
    <xf numFmtId="0" fontId="16" fillId="13" borderId="40" xfId="247" applyFont="1" applyFill="1" applyBorder="1" applyAlignment="1">
      <alignment horizontal="left" vertical="center"/>
    </xf>
    <xf numFmtId="0" fontId="16" fillId="13" borderId="24" xfId="247" applyFont="1" applyFill="1" applyBorder="1" applyAlignment="1">
      <alignment horizontal="left" vertical="center"/>
    </xf>
    <xf numFmtId="0" fontId="16" fillId="13" borderId="41" xfId="247" applyFont="1" applyFill="1" applyBorder="1" applyAlignment="1">
      <alignment horizontal="left" vertical="center"/>
    </xf>
    <xf numFmtId="0" fontId="17" fillId="0" borderId="75" xfId="0" applyFont="1" applyBorder="1" applyAlignment="1">
      <alignment horizontal="left" vertical="center" wrapText="1"/>
    </xf>
    <xf numFmtId="0" fontId="2" fillId="0" borderId="75" xfId="247" applyFont="1" applyBorder="1" applyAlignment="1">
      <alignment horizontal="left" vertical="center" wrapText="1"/>
    </xf>
    <xf numFmtId="0" fontId="15" fillId="0" borderId="33" xfId="247" applyFont="1" applyBorder="1" applyAlignment="1">
      <alignment horizontal="left" vertical="center" wrapText="1"/>
    </xf>
    <xf numFmtId="0" fontId="15" fillId="0" borderId="25" xfId="247" applyFont="1" applyBorder="1" applyAlignment="1">
      <alignment horizontal="left" vertical="center" wrapText="1"/>
    </xf>
    <xf numFmtId="0" fontId="15" fillId="0" borderId="67" xfId="247" applyFont="1" applyBorder="1" applyAlignment="1">
      <alignment horizontal="left" vertical="center" wrapText="1"/>
    </xf>
    <xf numFmtId="0" fontId="17" fillId="0" borderId="33" xfId="247" applyFont="1" applyBorder="1" applyAlignment="1">
      <alignment horizontal="left" vertical="center" wrapText="1"/>
    </xf>
    <xf numFmtId="0" fontId="17" fillId="0" borderId="25" xfId="247" applyFont="1" applyBorder="1" applyAlignment="1">
      <alignment horizontal="left" vertical="center" wrapText="1"/>
    </xf>
    <xf numFmtId="0" fontId="17" fillId="0" borderId="67" xfId="247" applyFont="1" applyBorder="1" applyAlignment="1">
      <alignment horizontal="left" vertical="center" wrapText="1"/>
    </xf>
    <xf numFmtId="0" fontId="16" fillId="56" borderId="72" xfId="0" applyFont="1" applyFill="1" applyBorder="1" applyAlignment="1">
      <alignment horizontal="center" vertical="center"/>
    </xf>
    <xf numFmtId="0" fontId="16" fillId="56" borderId="1" xfId="0" applyFont="1" applyFill="1" applyBorder="1" applyAlignment="1">
      <alignment horizontal="center" vertical="center"/>
    </xf>
    <xf numFmtId="0" fontId="16" fillId="56" borderId="5" xfId="0" applyFont="1" applyFill="1" applyBorder="1" applyAlignment="1">
      <alignment horizontal="center" vertical="center"/>
    </xf>
    <xf numFmtId="0" fontId="27" fillId="0" borderId="40" xfId="52" applyNumberFormat="1" applyFont="1" applyFill="1" applyBorder="1" applyAlignment="1" applyProtection="1">
      <alignment horizontal="left" vertical="center" wrapText="1"/>
      <protection locked="0"/>
    </xf>
    <xf numFmtId="0" fontId="2" fillId="0" borderId="24" xfId="52" applyNumberFormat="1" applyFont="1" applyFill="1" applyBorder="1" applyAlignment="1" applyProtection="1">
      <alignment horizontal="left" vertical="center" wrapText="1"/>
      <protection locked="0"/>
    </xf>
    <xf numFmtId="0" fontId="2" fillId="0" borderId="41" xfId="52" applyNumberFormat="1" applyFont="1" applyFill="1" applyBorder="1" applyAlignment="1" applyProtection="1">
      <alignment horizontal="left" vertical="center" wrapText="1"/>
      <protection locked="0"/>
    </xf>
    <xf numFmtId="0" fontId="2" fillId="0" borderId="42" xfId="52" applyNumberFormat="1" applyFont="1" applyFill="1" applyBorder="1" applyAlignment="1" applyProtection="1">
      <alignment horizontal="left" vertical="center" wrapText="1"/>
      <protection locked="0"/>
    </xf>
    <xf numFmtId="0" fontId="2" fillId="0" borderId="0" xfId="52" applyNumberFormat="1" applyFont="1" applyFill="1" applyBorder="1" applyAlignment="1" applyProtection="1">
      <alignment horizontal="left" vertical="center" wrapText="1"/>
      <protection locked="0"/>
    </xf>
    <xf numFmtId="0" fontId="2" fillId="0" borderId="43" xfId="52" applyNumberFormat="1" applyFont="1" applyFill="1" applyBorder="1" applyAlignment="1" applyProtection="1">
      <alignment horizontal="left" vertical="center" wrapText="1"/>
      <protection locked="0"/>
    </xf>
    <xf numFmtId="0" fontId="2" fillId="0" borderId="44" xfId="52" applyNumberFormat="1" applyFont="1" applyFill="1" applyBorder="1" applyAlignment="1" applyProtection="1">
      <alignment horizontal="left" vertical="center" wrapText="1"/>
      <protection locked="0"/>
    </xf>
    <xf numFmtId="0" fontId="2" fillId="0" borderId="38" xfId="52" applyNumberFormat="1" applyFont="1" applyFill="1" applyBorder="1" applyAlignment="1" applyProtection="1">
      <alignment horizontal="left" vertical="center" wrapText="1"/>
      <protection locked="0"/>
    </xf>
    <xf numFmtId="0" fontId="2" fillId="0" borderId="39" xfId="52" applyNumberFormat="1" applyFont="1" applyFill="1" applyBorder="1" applyAlignment="1" applyProtection="1">
      <alignment horizontal="left" vertical="center" wrapText="1"/>
      <protection locked="0"/>
    </xf>
    <xf numFmtId="0" fontId="150" fillId="0" borderId="0" xfId="0" applyFont="1" applyAlignment="1">
      <alignment horizontal="left" vertical="center" wrapText="1"/>
    </xf>
    <xf numFmtId="0" fontId="5" fillId="2" borderId="72" xfId="0" applyFont="1" applyFill="1" applyBorder="1" applyAlignment="1" applyProtection="1">
      <alignment horizontal="center" vertical="center"/>
      <protection locked="0"/>
    </xf>
    <xf numFmtId="0" fontId="5" fillId="2" borderId="1" xfId="0" applyFont="1" applyFill="1" applyBorder="1" applyAlignment="1" applyProtection="1">
      <alignment horizontal="center" vertical="center"/>
      <protection locked="0"/>
    </xf>
    <xf numFmtId="0" fontId="5" fillId="2" borderId="5" xfId="0" applyFont="1" applyFill="1" applyBorder="1" applyAlignment="1" applyProtection="1">
      <alignment horizontal="center" vertical="center"/>
      <protection locked="0"/>
    </xf>
    <xf numFmtId="0" fontId="8" fillId="4" borderId="14" xfId="0" applyFont="1" applyFill="1" applyBorder="1" applyAlignment="1">
      <alignment horizontal="left" vertical="center" wrapText="1" indent="20"/>
    </xf>
    <xf numFmtId="0" fontId="8" fillId="4" borderId="11" xfId="0" applyFont="1" applyFill="1" applyBorder="1" applyAlignment="1">
      <alignment horizontal="left" vertical="center" wrapText="1" indent="20"/>
    </xf>
    <xf numFmtId="0" fontId="8" fillId="4" borderId="15" xfId="0" applyFont="1" applyFill="1" applyBorder="1" applyAlignment="1">
      <alignment horizontal="left" vertical="center" wrapText="1" indent="20"/>
    </xf>
    <xf numFmtId="0" fontId="8" fillId="4" borderId="13" xfId="0" applyFont="1" applyFill="1" applyBorder="1" applyAlignment="1">
      <alignment horizontal="left" vertical="center" wrapText="1" indent="20"/>
    </xf>
    <xf numFmtId="0" fontId="8" fillId="4" borderId="0" xfId="0" applyFont="1" applyFill="1" applyAlignment="1">
      <alignment horizontal="left" vertical="center" wrapText="1" indent="20"/>
    </xf>
    <xf numFmtId="0" fontId="8" fillId="4" borderId="31" xfId="0" applyFont="1" applyFill="1" applyBorder="1" applyAlignment="1">
      <alignment horizontal="left" vertical="center" wrapText="1" indent="20"/>
    </xf>
    <xf numFmtId="0" fontId="8" fillId="4" borderId="7" xfId="0" applyFont="1" applyFill="1" applyBorder="1" applyAlignment="1">
      <alignment horizontal="left" vertical="center" wrapText="1" indent="20"/>
    </xf>
    <xf numFmtId="0" fontId="8" fillId="4" borderId="3" xfId="0" applyFont="1" applyFill="1" applyBorder="1" applyAlignment="1">
      <alignment horizontal="left" vertical="center" wrapText="1" indent="20"/>
    </xf>
    <xf numFmtId="0" fontId="8" fillId="4" borderId="9" xfId="0" applyFont="1" applyFill="1" applyBorder="1" applyAlignment="1">
      <alignment horizontal="left" vertical="center" wrapText="1" indent="20"/>
    </xf>
    <xf numFmtId="0" fontId="19" fillId="7" borderId="85" xfId="260" applyFont="1" applyFill="1" applyBorder="1" applyAlignment="1" applyProtection="1">
      <alignment horizontal="center" vertical="center" wrapText="1"/>
      <protection locked="0"/>
    </xf>
    <xf numFmtId="0" fontId="19" fillId="7" borderId="79" xfId="260" applyFont="1" applyFill="1" applyBorder="1" applyAlignment="1" applyProtection="1">
      <alignment horizontal="center" vertical="center" wrapText="1"/>
      <protection locked="0"/>
    </xf>
    <xf numFmtId="0" fontId="19" fillId="7" borderId="84" xfId="260" applyFont="1" applyFill="1" applyBorder="1" applyAlignment="1" applyProtection="1">
      <alignment horizontal="center" vertical="center" wrapText="1"/>
      <protection locked="0"/>
    </xf>
    <xf numFmtId="0" fontId="19" fillId="7" borderId="75" xfId="260" applyFont="1" applyFill="1" applyBorder="1" applyAlignment="1" applyProtection="1">
      <alignment horizontal="center" vertical="center" wrapText="1"/>
      <protection locked="0"/>
    </xf>
    <xf numFmtId="0" fontId="154" fillId="0" borderId="40" xfId="123" applyFont="1" applyBorder="1" applyAlignment="1">
      <alignment horizontal="left" vertical="center" wrapText="1"/>
    </xf>
    <xf numFmtId="0" fontId="15" fillId="0" borderId="24" xfId="123" applyFont="1" applyBorder="1" applyAlignment="1">
      <alignment horizontal="left" vertical="center" wrapText="1"/>
    </xf>
    <xf numFmtId="0" fontId="15" fillId="0" borderId="41" xfId="123" applyFont="1" applyBorder="1" applyAlignment="1">
      <alignment horizontal="left" vertical="center" wrapText="1"/>
    </xf>
    <xf numFmtId="0" fontId="15" fillId="0" borderId="42" xfId="123" applyFont="1" applyBorder="1" applyAlignment="1">
      <alignment horizontal="left" vertical="center" wrapText="1"/>
    </xf>
    <xf numFmtId="0" fontId="15" fillId="0" borderId="0" xfId="123" applyFont="1" applyAlignment="1">
      <alignment horizontal="left" vertical="center" wrapText="1"/>
    </xf>
    <xf numFmtId="0" fontId="15" fillId="0" borderId="43" xfId="123" applyFont="1" applyBorder="1" applyAlignment="1">
      <alignment horizontal="left" vertical="center" wrapText="1"/>
    </xf>
    <xf numFmtId="0" fontId="15" fillId="0" borderId="44" xfId="123" applyFont="1" applyBorder="1" applyAlignment="1">
      <alignment horizontal="left" vertical="center" wrapText="1"/>
    </xf>
    <xf numFmtId="0" fontId="15" fillId="0" borderId="38" xfId="123" applyFont="1" applyBorder="1" applyAlignment="1">
      <alignment horizontal="left" vertical="center" wrapText="1"/>
    </xf>
    <xf numFmtId="0" fontId="15" fillId="0" borderId="39" xfId="123" applyFont="1" applyBorder="1" applyAlignment="1">
      <alignment horizontal="left" vertical="center" wrapText="1"/>
    </xf>
    <xf numFmtId="14" fontId="19" fillId="7" borderId="84" xfId="260" applyNumberFormat="1" applyFont="1" applyFill="1" applyBorder="1" applyAlignment="1" applyProtection="1">
      <alignment horizontal="center" vertical="center" wrapText="1"/>
      <protection locked="0"/>
    </xf>
    <xf numFmtId="0" fontId="16" fillId="7" borderId="84" xfId="0" applyFont="1" applyFill="1" applyBorder="1" applyAlignment="1">
      <alignment horizontal="center" vertical="center" wrapText="1"/>
    </xf>
    <xf numFmtId="0" fontId="16" fillId="7" borderId="14" xfId="0" applyFont="1" applyFill="1" applyBorder="1" applyAlignment="1" applyProtection="1">
      <alignment horizontal="center" vertical="center" shrinkToFit="1"/>
      <protection locked="0"/>
    </xf>
    <xf numFmtId="0" fontId="16" fillId="7" borderId="11" xfId="0" applyFont="1" applyFill="1" applyBorder="1" applyAlignment="1" applyProtection="1">
      <alignment horizontal="center" vertical="center" shrinkToFit="1"/>
      <protection locked="0"/>
    </xf>
    <xf numFmtId="0" fontId="16" fillId="7" borderId="15" xfId="0" applyFont="1" applyFill="1" applyBorder="1" applyAlignment="1" applyProtection="1">
      <alignment horizontal="center" vertical="center" shrinkToFit="1"/>
      <protection locked="0"/>
    </xf>
    <xf numFmtId="227" fontId="120" fillId="7" borderId="72" xfId="159" applyNumberFormat="1" applyFont="1" applyFill="1" applyBorder="1" applyAlignment="1" applyProtection="1">
      <alignment horizontal="center" vertical="center"/>
      <protection locked="0"/>
    </xf>
    <xf numFmtId="227" fontId="120" fillId="7" borderId="5" xfId="159" applyNumberFormat="1" applyFont="1" applyFill="1" applyBorder="1" applyAlignment="1" applyProtection="1">
      <alignment horizontal="center" vertical="center"/>
      <protection locked="0"/>
    </xf>
    <xf numFmtId="0" fontId="16" fillId="7" borderId="72" xfId="0" applyFont="1" applyFill="1" applyBorder="1" applyAlignment="1">
      <alignment horizontal="center" vertical="center"/>
    </xf>
    <xf numFmtId="0" fontId="16" fillId="7" borderId="5" xfId="0" applyFont="1" applyFill="1" applyBorder="1" applyAlignment="1">
      <alignment horizontal="center" vertical="center"/>
    </xf>
    <xf numFmtId="0" fontId="118" fillId="0" borderId="40" xfId="128" applyFont="1" applyBorder="1" applyAlignment="1">
      <alignment horizontal="left" vertical="center" wrapText="1"/>
    </xf>
    <xf numFmtId="0" fontId="118" fillId="0" borderId="24" xfId="128" applyFont="1" applyBorder="1" applyAlignment="1">
      <alignment horizontal="left" vertical="center" wrapText="1"/>
    </xf>
    <xf numFmtId="0" fontId="118" fillId="0" borderId="41" xfId="128" applyFont="1" applyBorder="1" applyAlignment="1">
      <alignment horizontal="left" vertical="center" wrapText="1"/>
    </xf>
    <xf numFmtId="0" fontId="118" fillId="0" borderId="42" xfId="128" applyFont="1" applyBorder="1" applyAlignment="1">
      <alignment horizontal="left" vertical="center" wrapText="1"/>
    </xf>
    <xf numFmtId="0" fontId="118" fillId="0" borderId="0" xfId="128" applyFont="1" applyAlignment="1">
      <alignment horizontal="left" vertical="center" wrapText="1"/>
    </xf>
    <xf numFmtId="0" fontId="118" fillId="0" borderId="43" xfId="128" applyFont="1" applyBorder="1" applyAlignment="1">
      <alignment horizontal="left" vertical="center" wrapText="1"/>
    </xf>
    <xf numFmtId="0" fontId="118" fillId="0" borderId="44" xfId="128" applyFont="1" applyBorder="1" applyAlignment="1">
      <alignment horizontal="left" vertical="center" wrapText="1"/>
    </xf>
    <xf numFmtId="0" fontId="118" fillId="0" borderId="38" xfId="128" applyFont="1" applyBorder="1" applyAlignment="1">
      <alignment horizontal="left" vertical="center" wrapText="1"/>
    </xf>
    <xf numFmtId="0" fontId="118" fillId="0" borderId="39" xfId="128" applyFont="1" applyBorder="1" applyAlignment="1">
      <alignment horizontal="left" vertical="center" wrapText="1"/>
    </xf>
    <xf numFmtId="0" fontId="156" fillId="0" borderId="0" xfId="0" applyFont="1" applyAlignment="1">
      <alignment horizontal="left" vertical="center" wrapText="1"/>
    </xf>
    <xf numFmtId="0" fontId="158" fillId="0" borderId="86" xfId="373" applyFont="1" applyBorder="1" applyAlignment="1" applyProtection="1">
      <alignment horizontal="center" vertical="center"/>
      <protection locked="0"/>
    </xf>
    <xf numFmtId="0" fontId="158" fillId="0" borderId="87" xfId="373" applyFont="1" applyBorder="1" applyAlignment="1" applyProtection="1">
      <alignment horizontal="center" vertical="center"/>
      <protection locked="0"/>
    </xf>
    <xf numFmtId="0" fontId="158" fillId="0" borderId="88" xfId="373" applyFont="1" applyBorder="1" applyAlignment="1" applyProtection="1">
      <alignment horizontal="center" vertical="center"/>
      <protection locked="0"/>
    </xf>
    <xf numFmtId="0" fontId="158" fillId="0" borderId="89" xfId="373" applyFont="1" applyBorder="1" applyAlignment="1" applyProtection="1">
      <alignment horizontal="center" vertical="center"/>
      <protection locked="0"/>
    </xf>
    <xf numFmtId="0" fontId="15" fillId="0" borderId="40" xfId="0" applyFont="1" applyBorder="1" applyAlignment="1">
      <alignment horizontal="left" vertical="center" wrapText="1"/>
    </xf>
    <xf numFmtId="0" fontId="15" fillId="0" borderId="24" xfId="0" applyFont="1" applyBorder="1" applyAlignment="1">
      <alignment horizontal="left" vertical="center" wrapText="1"/>
    </xf>
    <xf numFmtId="0" fontId="15" fillId="0" borderId="41" xfId="0" applyFont="1" applyBorder="1" applyAlignment="1">
      <alignment horizontal="left" vertical="center" wrapText="1"/>
    </xf>
    <xf numFmtId="0" fontId="15" fillId="0" borderId="42" xfId="0" applyFont="1" applyBorder="1" applyAlignment="1">
      <alignment horizontal="left" vertical="center" wrapText="1"/>
    </xf>
    <xf numFmtId="0" fontId="15" fillId="0" borderId="0" xfId="0" applyFont="1" applyAlignment="1">
      <alignment horizontal="left" vertical="center" wrapText="1"/>
    </xf>
    <xf numFmtId="0" fontId="15" fillId="0" borderId="43" xfId="0" applyFont="1" applyBorder="1" applyAlignment="1">
      <alignment horizontal="left" vertical="center" wrapText="1"/>
    </xf>
    <xf numFmtId="0" fontId="15" fillId="0" borderId="44" xfId="0" applyFont="1" applyBorder="1" applyAlignment="1">
      <alignment horizontal="left" vertical="center" wrapText="1"/>
    </xf>
    <xf numFmtId="0" fontId="15" fillId="0" borderId="38" xfId="0" applyFont="1" applyBorder="1" applyAlignment="1">
      <alignment horizontal="left" vertical="center" wrapText="1"/>
    </xf>
    <xf numFmtId="0" fontId="15" fillId="0" borderId="39" xfId="0" applyFont="1" applyBorder="1" applyAlignment="1">
      <alignment horizontal="left" vertical="center" wrapText="1"/>
    </xf>
    <xf numFmtId="0" fontId="118" fillId="0" borderId="40" xfId="0" applyFont="1" applyBorder="1" applyAlignment="1">
      <alignment horizontal="left" vertical="center" wrapText="1"/>
    </xf>
    <xf numFmtId="0" fontId="118" fillId="0" borderId="24" xfId="0" applyFont="1" applyBorder="1" applyAlignment="1">
      <alignment horizontal="left" vertical="center" wrapText="1"/>
    </xf>
    <xf numFmtId="0" fontId="118" fillId="0" borderId="41" xfId="0" applyFont="1" applyBorder="1" applyAlignment="1">
      <alignment horizontal="left" vertical="center" wrapText="1"/>
    </xf>
    <xf numFmtId="0" fontId="118" fillId="0" borderId="42" xfId="0" applyFont="1" applyBorder="1" applyAlignment="1">
      <alignment horizontal="left" vertical="center" wrapText="1"/>
    </xf>
    <xf numFmtId="0" fontId="118" fillId="0" borderId="0" xfId="0" applyFont="1" applyAlignment="1">
      <alignment horizontal="left" vertical="center" wrapText="1"/>
    </xf>
    <xf numFmtId="0" fontId="118" fillId="0" borderId="43" xfId="0" applyFont="1" applyBorder="1" applyAlignment="1">
      <alignment horizontal="left" vertical="center" wrapText="1"/>
    </xf>
    <xf numFmtId="0" fontId="118" fillId="0" borderId="44" xfId="0" applyFont="1" applyBorder="1" applyAlignment="1">
      <alignment horizontal="left" vertical="center" wrapText="1"/>
    </xf>
    <xf numFmtId="0" fontId="118" fillId="0" borderId="38" xfId="0" applyFont="1" applyBorder="1" applyAlignment="1">
      <alignment horizontal="left" vertical="center" wrapText="1"/>
    </xf>
    <xf numFmtId="0" fontId="118" fillId="0" borderId="39" xfId="0" applyFont="1" applyBorder="1" applyAlignment="1">
      <alignment horizontal="left" vertical="center" wrapText="1"/>
    </xf>
    <xf numFmtId="0" fontId="11" fillId="56" borderId="72" xfId="0" applyFont="1" applyFill="1" applyBorder="1" applyAlignment="1">
      <alignment horizontal="center" vertical="center"/>
    </xf>
    <xf numFmtId="0" fontId="11" fillId="56" borderId="5" xfId="0" applyFont="1" applyFill="1" applyBorder="1" applyAlignment="1">
      <alignment horizontal="center" vertical="center"/>
    </xf>
    <xf numFmtId="0" fontId="126" fillId="0" borderId="40" xfId="123" applyFont="1" applyBorder="1" applyAlignment="1">
      <alignment horizontal="left" vertical="center" wrapText="1"/>
    </xf>
    <xf numFmtId="0" fontId="126" fillId="0" borderId="24" xfId="123" applyFont="1" applyBorder="1" applyAlignment="1">
      <alignment horizontal="left" vertical="center" wrapText="1"/>
    </xf>
    <xf numFmtId="0" fontId="126" fillId="0" borderId="41" xfId="123" applyFont="1" applyBorder="1" applyAlignment="1">
      <alignment horizontal="left" vertical="center" wrapText="1"/>
    </xf>
    <xf numFmtId="0" fontId="126" fillId="0" borderId="42" xfId="123" applyFont="1" applyBorder="1" applyAlignment="1">
      <alignment horizontal="left" vertical="center" wrapText="1"/>
    </xf>
    <xf numFmtId="0" fontId="126" fillId="0" borderId="0" xfId="123" applyFont="1" applyAlignment="1">
      <alignment horizontal="left" vertical="center" wrapText="1"/>
    </xf>
    <xf numFmtId="0" fontId="126" fillId="0" borderId="43" xfId="123" applyFont="1" applyBorder="1" applyAlignment="1">
      <alignment horizontal="left" vertical="center" wrapText="1"/>
    </xf>
    <xf numFmtId="0" fontId="126" fillId="0" borderId="44" xfId="123" applyFont="1" applyBorder="1" applyAlignment="1">
      <alignment horizontal="left" vertical="center" wrapText="1"/>
    </xf>
    <xf numFmtId="0" fontId="126" fillId="0" borderId="38" xfId="123" applyFont="1" applyBorder="1" applyAlignment="1">
      <alignment horizontal="left" vertical="center" wrapText="1"/>
    </xf>
    <xf numFmtId="0" fontId="126" fillId="0" borderId="39" xfId="123" applyFont="1" applyBorder="1" applyAlignment="1">
      <alignment horizontal="left" vertical="center" wrapText="1"/>
    </xf>
    <xf numFmtId="0" fontId="118" fillId="0" borderId="40" xfId="123" applyFont="1" applyBorder="1" applyAlignment="1">
      <alignment horizontal="left" vertical="center" wrapText="1"/>
    </xf>
    <xf numFmtId="0" fontId="118" fillId="0" borderId="24" xfId="123" applyFont="1" applyBorder="1" applyAlignment="1">
      <alignment horizontal="left" vertical="center" wrapText="1"/>
    </xf>
    <xf numFmtId="0" fontId="118" fillId="0" borderId="41" xfId="123" applyFont="1" applyBorder="1" applyAlignment="1">
      <alignment horizontal="left" vertical="center" wrapText="1"/>
    </xf>
    <xf numFmtId="0" fontId="118" fillId="0" borderId="42" xfId="123" applyFont="1" applyBorder="1" applyAlignment="1">
      <alignment horizontal="left" vertical="center" wrapText="1"/>
    </xf>
    <xf numFmtId="0" fontId="118" fillId="0" borderId="0" xfId="123" applyFont="1" applyAlignment="1">
      <alignment horizontal="left" vertical="center" wrapText="1"/>
    </xf>
    <xf numFmtId="0" fontId="118" fillId="0" borderId="43" xfId="123" applyFont="1" applyBorder="1" applyAlignment="1">
      <alignment horizontal="left" vertical="center" wrapText="1"/>
    </xf>
    <xf numFmtId="0" fontId="118" fillId="0" borderId="44" xfId="123" applyFont="1" applyBorder="1" applyAlignment="1">
      <alignment horizontal="left" vertical="center" wrapText="1"/>
    </xf>
    <xf numFmtId="0" fontId="118" fillId="0" borderId="38" xfId="123" applyFont="1" applyBorder="1" applyAlignment="1">
      <alignment horizontal="left" vertical="center" wrapText="1"/>
    </xf>
    <xf numFmtId="0" fontId="118" fillId="0" borderId="39" xfId="123" applyFont="1" applyBorder="1" applyAlignment="1">
      <alignment horizontal="left" vertical="center" wrapText="1"/>
    </xf>
    <xf numFmtId="0" fontId="11" fillId="7" borderId="48" xfId="128" applyFont="1" applyFill="1" applyBorder="1" applyAlignment="1" applyProtection="1">
      <alignment horizontal="center" vertical="center" wrapText="1"/>
      <protection locked="0"/>
    </xf>
    <xf numFmtId="0" fontId="11" fillId="7" borderId="50" xfId="128" applyFont="1" applyFill="1" applyBorder="1" applyAlignment="1" applyProtection="1">
      <alignment horizontal="center" vertical="center" wrapText="1"/>
      <protection locked="0"/>
    </xf>
    <xf numFmtId="0" fontId="119" fillId="7" borderId="61" xfId="128" applyFont="1" applyFill="1" applyBorder="1" applyAlignment="1" applyProtection="1">
      <alignment horizontal="center" vertical="center" wrapText="1"/>
      <protection locked="0"/>
    </xf>
    <xf numFmtId="0" fontId="11" fillId="7" borderId="63" xfId="128" applyFont="1" applyFill="1" applyBorder="1" applyAlignment="1" applyProtection="1">
      <alignment horizontal="center" vertical="center" wrapText="1"/>
      <protection locked="0"/>
    </xf>
    <xf numFmtId="0" fontId="14" fillId="7" borderId="60" xfId="0" applyFont="1" applyFill="1" applyBorder="1" applyAlignment="1" applyProtection="1">
      <alignment horizontal="left" vertical="center"/>
      <protection locked="0"/>
    </xf>
    <xf numFmtId="0" fontId="14" fillId="7" borderId="46" xfId="0" applyFont="1" applyFill="1" applyBorder="1" applyAlignment="1" applyProtection="1">
      <alignment horizontal="left" vertical="center"/>
      <protection locked="0"/>
    </xf>
    <xf numFmtId="0" fontId="14" fillId="7" borderId="52" xfId="0" applyFont="1" applyFill="1" applyBorder="1" applyAlignment="1" applyProtection="1">
      <alignment horizontal="left" vertical="center" wrapText="1"/>
      <protection locked="0"/>
    </xf>
    <xf numFmtId="0" fontId="14" fillId="7" borderId="47" xfId="0" applyFont="1" applyFill="1" applyBorder="1" applyAlignment="1" applyProtection="1">
      <alignment horizontal="left" vertical="center" wrapText="1"/>
      <protection locked="0"/>
    </xf>
    <xf numFmtId="0" fontId="14" fillId="7" borderId="53" xfId="0" applyFont="1" applyFill="1" applyBorder="1" applyAlignment="1" applyProtection="1">
      <alignment horizontal="left" vertical="center" wrapText="1"/>
      <protection locked="0"/>
    </xf>
    <xf numFmtId="0" fontId="14" fillId="7" borderId="54" xfId="0" applyFont="1" applyFill="1" applyBorder="1" applyAlignment="1" applyProtection="1">
      <alignment horizontal="left" vertical="center" wrapText="1"/>
      <protection locked="0"/>
    </xf>
  </cellXfs>
  <cellStyles count="380">
    <cellStyle name="_2005年工作底稿" xfId="3" xr:uid="{00000000-0005-0000-0000-000031000000}"/>
    <cellStyle name="_3-2-A22-无形资产" xfId="4" xr:uid="{00000000-0005-0000-0000-000032000000}"/>
    <cellStyle name="0%" xfId="5" xr:uid="{00000000-0005-0000-0000-000033000000}"/>
    <cellStyle name="0.0%" xfId="6" xr:uid="{00000000-0005-0000-0000-000034000000}"/>
    <cellStyle name="0.00%" xfId="7" xr:uid="{00000000-0005-0000-0000-000035000000}"/>
    <cellStyle name="00" xfId="8" xr:uid="{00000000-0005-0000-0000-000036000000}"/>
    <cellStyle name="20% - Accent1 2" xfId="9" xr:uid="{00000000-0005-0000-0000-000037000000}"/>
    <cellStyle name="20% - Accent1 2 2" xfId="10" xr:uid="{00000000-0005-0000-0000-000038000000}"/>
    <cellStyle name="20% - Accent1 2 5" xfId="375" xr:uid="{7F430658-6124-443C-AA53-C58BCEECB59B}"/>
    <cellStyle name="20% - Accent6 2" xfId="11" xr:uid="{00000000-0005-0000-0000-000039000000}"/>
    <cellStyle name="20% - 着色 1 2" xfId="12" xr:uid="{00000000-0005-0000-0000-00003A000000}"/>
    <cellStyle name="AA FRAME" xfId="13" xr:uid="{00000000-0005-0000-0000-00003B000000}"/>
    <cellStyle name="AA FRAME 2" xfId="320" xr:uid="{98DCDB6C-335E-4E7A-A572-D52C91A8F577}"/>
    <cellStyle name="AA HEADING" xfId="14" xr:uid="{00000000-0005-0000-0000-00003C000000}"/>
    <cellStyle name="AA INITIALS" xfId="15" xr:uid="{00000000-0005-0000-0000-00003D000000}"/>
    <cellStyle name="AA INPUT" xfId="16" xr:uid="{00000000-0005-0000-0000-00003E000000}"/>
    <cellStyle name="AA LOCK" xfId="17" xr:uid="{00000000-0005-0000-0000-00003F000000}"/>
    <cellStyle name="AA MGR NAME" xfId="18" xr:uid="{00000000-0005-0000-0000-000040000000}"/>
    <cellStyle name="AA NORMAL" xfId="19" xr:uid="{00000000-0005-0000-0000-000041000000}"/>
    <cellStyle name="AA NUMBER" xfId="20" xr:uid="{00000000-0005-0000-0000-000042000000}"/>
    <cellStyle name="AA NUMBER2" xfId="21" xr:uid="{00000000-0005-0000-0000-000043000000}"/>
    <cellStyle name="AA QUESTION" xfId="22" xr:uid="{00000000-0005-0000-0000-000044000000}"/>
    <cellStyle name="Accent1 - 20%" xfId="23" xr:uid="{00000000-0005-0000-0000-000045000000}"/>
    <cellStyle name="Accent1 - 60%" xfId="24" xr:uid="{00000000-0005-0000-0000-000046000000}"/>
    <cellStyle name="Accent2 - 20%" xfId="25" xr:uid="{00000000-0005-0000-0000-000047000000}"/>
    <cellStyle name="Accent2 - 40%" xfId="26" xr:uid="{00000000-0005-0000-0000-000048000000}"/>
    <cellStyle name="Accent2 - 60%" xfId="27" xr:uid="{00000000-0005-0000-0000-000049000000}"/>
    <cellStyle name="Accent2 2" xfId="28" xr:uid="{00000000-0005-0000-0000-00004A000000}"/>
    <cellStyle name="Accent3 - 40%" xfId="29" xr:uid="{00000000-0005-0000-0000-00004B000000}"/>
    <cellStyle name="Accent3 - 60%" xfId="30" xr:uid="{00000000-0005-0000-0000-00004C000000}"/>
    <cellStyle name="Accent5 - 20%" xfId="31" xr:uid="{00000000-0005-0000-0000-00004D000000}"/>
    <cellStyle name="Accent6 - 40%" xfId="32" xr:uid="{00000000-0005-0000-0000-00004E000000}"/>
    <cellStyle name="Accent6 - 60%" xfId="33" xr:uid="{00000000-0005-0000-0000-00004F000000}"/>
    <cellStyle name="args.style" xfId="34" xr:uid="{00000000-0005-0000-0000-000050000000}"/>
    <cellStyle name="Bad 2" xfId="378" xr:uid="{99E7BF30-B444-465B-B5BF-35B562F2B2C9}"/>
    <cellStyle name="Calc Currency (0)" xfId="35" xr:uid="{00000000-0005-0000-0000-000051000000}"/>
    <cellStyle name="Calc Currency (2)" xfId="36" xr:uid="{00000000-0005-0000-0000-000052000000}"/>
    <cellStyle name="Calc Percent (0)" xfId="37" xr:uid="{00000000-0005-0000-0000-000053000000}"/>
    <cellStyle name="Calc Percent (1)" xfId="38" xr:uid="{00000000-0005-0000-0000-000054000000}"/>
    <cellStyle name="Calc Percent (2)" xfId="39" xr:uid="{00000000-0005-0000-0000-000055000000}"/>
    <cellStyle name="Calc Units (0)" xfId="40" xr:uid="{00000000-0005-0000-0000-000056000000}"/>
    <cellStyle name="Calc Units (1)" xfId="41" xr:uid="{00000000-0005-0000-0000-000057000000}"/>
    <cellStyle name="category" xfId="42" xr:uid="{00000000-0005-0000-0000-000058000000}"/>
    <cellStyle name="cellStyleNum" xfId="43" xr:uid="{00000000-0005-0000-0000-000059000000}"/>
    <cellStyle name="cellStyleNum 2" xfId="44" xr:uid="{00000000-0005-0000-0000-00005A000000}"/>
    <cellStyle name="cellStyleNum 2 2" xfId="324" xr:uid="{CC89F030-C1A0-4C48-8439-5D64404D3FAF}"/>
    <cellStyle name="cellStyleNum 3" xfId="323" xr:uid="{9E5996EB-6796-4FD9-9996-15D945494E17}"/>
    <cellStyle name="cellStylePer" xfId="45" xr:uid="{00000000-0005-0000-0000-00005B000000}"/>
    <cellStyle name="cellStylePer 2" xfId="46" xr:uid="{00000000-0005-0000-0000-00005C000000}"/>
    <cellStyle name="cellStylePer 2 2" xfId="326" xr:uid="{B5AEE6D9-31C9-4128-941C-23AADF2DE555}"/>
    <cellStyle name="cellStylePer 3" xfId="325" xr:uid="{5A8F39CE-470D-4398-9157-D1D7BA6DBAAE}"/>
    <cellStyle name="Check Cell 2" xfId="47" xr:uid="{00000000-0005-0000-0000-00005D000000}"/>
    <cellStyle name="Check Cell 2 3" xfId="48" xr:uid="{00000000-0005-0000-0000-00005E000000}"/>
    <cellStyle name="Col Heads" xfId="49" xr:uid="{00000000-0005-0000-0000-00005F000000}"/>
    <cellStyle name="Column_Title" xfId="50" xr:uid="{00000000-0005-0000-0000-000060000000}"/>
    <cellStyle name="Comma  - Style1" xfId="51" xr:uid="{00000000-0005-0000-0000-000061000000}"/>
    <cellStyle name="Comma [0] 2" xfId="52" xr:uid="{00000000-0005-0000-0000-000062000000}"/>
    <cellStyle name="Comma [0] 2 2 2 2 2 2 2 2 2" xfId="53" xr:uid="{00000000-0005-0000-0000-000063000000}"/>
    <cellStyle name="Comma [0] 2 2 2 2 2 2 2 2 2 2" xfId="327" xr:uid="{1E969DCE-727F-4B79-923C-A968FDF75173}"/>
    <cellStyle name="Comma [0] 2 5" xfId="54" xr:uid="{00000000-0005-0000-0000-000064000000}"/>
    <cellStyle name="Comma [0] 2 5 2 2" xfId="55" xr:uid="{00000000-0005-0000-0000-000065000000}"/>
    <cellStyle name="Comma [0] 2 5 2 2 2" xfId="328" xr:uid="{0C4DEC0E-EBDE-4E42-9566-4A53A788C34B}"/>
    <cellStyle name="Comma [0] 2 8" xfId="56" xr:uid="{00000000-0005-0000-0000-000066000000}"/>
    <cellStyle name="Comma [0] 2 8 2" xfId="329" xr:uid="{0BDA7A9C-1C35-491A-B5DB-7657387BF7F3}"/>
    <cellStyle name="Comma [0] 3 2 2" xfId="57" xr:uid="{00000000-0005-0000-0000-000067000000}"/>
    <cellStyle name="Comma [0] 3 2 2 2" xfId="330" xr:uid="{43587D43-C4E6-40DE-83AB-E1DAD271DC7F}"/>
    <cellStyle name="Comma [00]" xfId="58" xr:uid="{00000000-0005-0000-0000-000068000000}"/>
    <cellStyle name="Comma 10 2" xfId="59" xr:uid="{00000000-0005-0000-0000-000069000000}"/>
    <cellStyle name="Comma 10 2 2 2 2 2 2" xfId="60" xr:uid="{00000000-0005-0000-0000-00006A000000}"/>
    <cellStyle name="Comma 10 2 2 2 2 2 2 2" xfId="331" xr:uid="{042458D9-3D8C-436A-917C-722436184EA8}"/>
    <cellStyle name="Comma 10 3" xfId="61" xr:uid="{00000000-0005-0000-0000-00006B000000}"/>
    <cellStyle name="Comma 10 3 2" xfId="332" xr:uid="{97B3AF23-4E10-450A-A6B8-CB5E12D5951A}"/>
    <cellStyle name="Comma 11" xfId="62" xr:uid="{00000000-0005-0000-0000-00006C000000}"/>
    <cellStyle name="Comma 11 3" xfId="63" xr:uid="{00000000-0005-0000-0000-00006D000000}"/>
    <cellStyle name="Comma 11 3 2" xfId="333" xr:uid="{22B48CF3-656D-4279-B477-670325FB2A41}"/>
    <cellStyle name="Comma 2" xfId="64" xr:uid="{00000000-0005-0000-0000-00006E000000}"/>
    <cellStyle name="Comma 2 11" xfId="65" xr:uid="{00000000-0005-0000-0000-00006F000000}"/>
    <cellStyle name="Comma 2 11 2" xfId="335" xr:uid="{4F80E632-E75B-417A-800D-BACD33DD4C94}"/>
    <cellStyle name="Comma 2 14" xfId="66" xr:uid="{00000000-0005-0000-0000-000070000000}"/>
    <cellStyle name="Comma 2 15" xfId="67" xr:uid="{00000000-0005-0000-0000-000071000000}"/>
    <cellStyle name="Comma 2 15 2" xfId="336" xr:uid="{FCF573A3-DF33-40B7-ABF9-F6FE6A2302F3}"/>
    <cellStyle name="Comma 2 2" xfId="68" xr:uid="{00000000-0005-0000-0000-000072000000}"/>
    <cellStyle name="Comma 2 2 10 2" xfId="69" xr:uid="{00000000-0005-0000-0000-000073000000}"/>
    <cellStyle name="Comma 2 2 10 2 2" xfId="337" xr:uid="{A1AEB382-890B-4C11-8A8B-C739DD91393C}"/>
    <cellStyle name="Comma 2 2 2" xfId="70" xr:uid="{00000000-0005-0000-0000-000074000000}"/>
    <cellStyle name="Comma 2 2 2 2 2 2 2 2 2 2" xfId="71" xr:uid="{00000000-0005-0000-0000-000075000000}"/>
    <cellStyle name="Comma 2 2 2 2 2 2 2 2 2 2 2" xfId="338" xr:uid="{172D595A-5350-4533-B487-38E0DE7D7602}"/>
    <cellStyle name="Comma 2 2 2 2_1" xfId="72" xr:uid="{00000000-0005-0000-0000-000076000000}"/>
    <cellStyle name="Comma 2 3" xfId="73" xr:uid="{00000000-0005-0000-0000-000077000000}"/>
    <cellStyle name="Comma 2 3 2 2 2 2 2 2 2" xfId="74" xr:uid="{00000000-0005-0000-0000-000078000000}"/>
    <cellStyle name="Comma 2 3 2 2 2 2 2 2 2 2" xfId="339" xr:uid="{134C2E9F-3415-4AD6-9AA8-5DC17D05CE44}"/>
    <cellStyle name="Comma 2 3 2_1" xfId="75" xr:uid="{00000000-0005-0000-0000-000079000000}"/>
    <cellStyle name="Comma 2 4" xfId="334" xr:uid="{DEDE93E0-B02E-4CC1-99BA-2EBB7770937A}"/>
    <cellStyle name="Comma 2 5" xfId="356" xr:uid="{1B00A0E4-241C-4C27-94A2-67072B55C6AB}"/>
    <cellStyle name="Comma 2 6" xfId="321" xr:uid="{832E4DC0-037D-448B-80C5-BACA98359E57}"/>
    <cellStyle name="Comma 2 7" xfId="355" xr:uid="{A6AB8E5C-7BC0-497D-9CE4-3F88427AFFFA}"/>
    <cellStyle name="Comma 2 7 2 4" xfId="76" xr:uid="{00000000-0005-0000-0000-00007A000000}"/>
    <cellStyle name="Comma 2 7 2 4 2" xfId="340" xr:uid="{5F08BFD6-6012-48C6-8A55-7BD47FAC27AD}"/>
    <cellStyle name="Comma 2 8" xfId="322" xr:uid="{774CF035-5E21-4BD2-A283-D101EFCD2544}"/>
    <cellStyle name="Comma 2 9" xfId="354" xr:uid="{063AFB37-EE91-41B4-B866-8F339DE1F42C}"/>
    <cellStyle name="Comma 5" xfId="77" xr:uid="{00000000-0005-0000-0000-00007B000000}"/>
    <cellStyle name="Comma 5 2" xfId="341" xr:uid="{51EBFD8C-5FBB-400F-B0C9-636B1C969574}"/>
    <cellStyle name="comma zerodec" xfId="78" xr:uid="{00000000-0005-0000-0000-00007C000000}"/>
    <cellStyle name="Comma,0" xfId="79" xr:uid="{00000000-0005-0000-0000-00007D000000}"/>
    <cellStyle name="Comma,1" xfId="80" xr:uid="{00000000-0005-0000-0000-00007E000000}"/>
    <cellStyle name="Comma,2" xfId="81" xr:uid="{00000000-0005-0000-0000-00007F000000}"/>
    <cellStyle name="consultationStyle" xfId="82" xr:uid="{00000000-0005-0000-0000-000080000000}"/>
    <cellStyle name="Copied" xfId="83" xr:uid="{00000000-0005-0000-0000-000081000000}"/>
    <cellStyle name="COST1" xfId="84" xr:uid="{00000000-0005-0000-0000-000082000000}"/>
    <cellStyle name="Currency [00]" xfId="85" xr:uid="{00000000-0005-0000-0000-000083000000}"/>
    <cellStyle name="Currency,0" xfId="86" xr:uid="{00000000-0005-0000-0000-000084000000}"/>
    <cellStyle name="Currency,2" xfId="87" xr:uid="{00000000-0005-0000-0000-000085000000}"/>
    <cellStyle name="Currency1" xfId="88" xr:uid="{00000000-0005-0000-0000-000086000000}"/>
    <cellStyle name="dataStyle" xfId="89" xr:uid="{00000000-0005-0000-0000-000087000000}"/>
    <cellStyle name="dataStyle 2" xfId="342" xr:uid="{D6834159-2E7E-472A-A7BD-E694D1054E5A}"/>
    <cellStyle name="Date" xfId="90" xr:uid="{00000000-0005-0000-0000-000088000000}"/>
    <cellStyle name="Date Short" xfId="91" xr:uid="{00000000-0005-0000-0000-000089000000}"/>
    <cellStyle name="Dezimal [0]_results" xfId="92" xr:uid="{00000000-0005-0000-0000-00008A000000}"/>
    <cellStyle name="Dollar (zero dec)" xfId="93" xr:uid="{00000000-0005-0000-0000-00008B000000}"/>
    <cellStyle name="Entered" xfId="94" xr:uid="{00000000-0005-0000-0000-00008C000000}"/>
    <cellStyle name="entry" xfId="95" xr:uid="{00000000-0005-0000-0000-00008D000000}"/>
    <cellStyle name="entry box" xfId="96" xr:uid="{00000000-0005-0000-0000-00008E000000}"/>
    <cellStyle name="entry box 2" xfId="343" xr:uid="{153B33CF-7642-4587-8A68-1D519C85A8B9}"/>
    <cellStyle name="Euro" xfId="97" xr:uid="{00000000-0005-0000-0000-00008F000000}"/>
    <cellStyle name="evenStyle 2 2" xfId="98" xr:uid="{00000000-0005-0000-0000-000090000000}"/>
    <cellStyle name="evenStyle 2 2 2" xfId="344" xr:uid="{A615C42A-4224-47C1-ABDD-5E771F42ED47}"/>
    <cellStyle name="Good 2" xfId="99" xr:uid="{00000000-0005-0000-0000-000091000000}"/>
    <cellStyle name="Good 2 3" xfId="100" xr:uid="{00000000-0005-0000-0000-000092000000}"/>
    <cellStyle name="Good 2 4" xfId="101" xr:uid="{00000000-0005-0000-0000-000093000000}"/>
    <cellStyle name="Grey" xfId="102" xr:uid="{00000000-0005-0000-0000-000094000000}"/>
    <cellStyle name="HEADER" xfId="103" xr:uid="{00000000-0005-0000-0000-000095000000}"/>
    <cellStyle name="Header1" xfId="104" xr:uid="{00000000-0005-0000-0000-000096000000}"/>
    <cellStyle name="Header1 2" xfId="345" xr:uid="{3E8702DA-5F14-4583-91CE-DA62CD977216}"/>
    <cellStyle name="Header2" xfId="105" xr:uid="{00000000-0005-0000-0000-000097000000}"/>
    <cellStyle name="headStyle" xfId="106" xr:uid="{00000000-0005-0000-0000-000098000000}"/>
    <cellStyle name="headStyle 2" xfId="346" xr:uid="{56A53B97-826A-45A2-8934-F0A4CB9EEEA5}"/>
    <cellStyle name="Hyperlink" xfId="371" xr:uid="{5ADFB9DE-7582-4081-8395-2750664C2883}"/>
    <cellStyle name="Hyperlink 2" xfId="107" xr:uid="{00000000-0005-0000-0000-000099000000}"/>
    <cellStyle name="Hyperlink 2 2" xfId="108" xr:uid="{00000000-0005-0000-0000-00009A000000}"/>
    <cellStyle name="Hyperlink 2 2 4" xfId="109" xr:uid="{00000000-0005-0000-0000-00009B000000}"/>
    <cellStyle name="Hyperlink 2 4" xfId="110" xr:uid="{00000000-0005-0000-0000-00009C000000}"/>
    <cellStyle name="Hyperlink 5 2" xfId="111" xr:uid="{00000000-0005-0000-0000-00009D000000}"/>
    <cellStyle name="Hyperlink 5 3" xfId="112" xr:uid="{00000000-0005-0000-0000-00009E000000}"/>
    <cellStyle name="Hyperlink 7" xfId="113" xr:uid="{00000000-0005-0000-0000-00009F000000}"/>
    <cellStyle name="Input [yellow]" xfId="114" xr:uid="{00000000-0005-0000-0000-0000A0000000}"/>
    <cellStyle name="Input [yellow] 2" xfId="348" xr:uid="{DE3DD89C-E26F-48E3-804B-3E53B40BDFEC}"/>
    <cellStyle name="Input Cells" xfId="115" xr:uid="{00000000-0005-0000-0000-0000A1000000}"/>
    <cellStyle name="Linked Cells" xfId="116" xr:uid="{00000000-0005-0000-0000-0000A2000000}"/>
    <cellStyle name="Milliers [0]_!!!GO" xfId="117" xr:uid="{00000000-0005-0000-0000-0000A3000000}"/>
    <cellStyle name="Model" xfId="118" xr:uid="{00000000-0005-0000-0000-0000A4000000}"/>
    <cellStyle name="Normal - Style1" xfId="119" xr:uid="{00000000-0005-0000-0000-0000A5000000}"/>
    <cellStyle name="Normal - Style1 2" xfId="120" xr:uid="{00000000-0005-0000-0000-0000A6000000}"/>
    <cellStyle name="Normal 10 10" xfId="121" xr:uid="{00000000-0005-0000-0000-0000A7000000}"/>
    <cellStyle name="Normal 121" xfId="122" xr:uid="{00000000-0005-0000-0000-0000A8000000}"/>
    <cellStyle name="Normal 121 2" xfId="123" xr:uid="{00000000-0005-0000-0000-0000A9000000}"/>
    <cellStyle name="Normal 121 2 2 2 4" xfId="124" xr:uid="{00000000-0005-0000-0000-0000AA000000}"/>
    <cellStyle name="Normal 121 4" xfId="125" xr:uid="{00000000-0005-0000-0000-0000AB000000}"/>
    <cellStyle name="Normal 14" xfId="379" xr:uid="{D04877F2-84F2-406B-AF3E-710AA8CF6D9B}"/>
    <cellStyle name="Normal 14 5" xfId="126" xr:uid="{00000000-0005-0000-0000-0000AC000000}"/>
    <cellStyle name="Normal 2" xfId="127" xr:uid="{00000000-0005-0000-0000-0000AD000000}"/>
    <cellStyle name="Normal 2 11" xfId="128" xr:uid="{00000000-0005-0000-0000-0000AE000000}"/>
    <cellStyle name="Normal 2 12" xfId="129" xr:uid="{00000000-0005-0000-0000-0000AF000000}"/>
    <cellStyle name="Normal 2 13" xfId="130" xr:uid="{00000000-0005-0000-0000-0000B0000000}"/>
    <cellStyle name="Normal 2 2" xfId="131" xr:uid="{00000000-0005-0000-0000-0000B1000000}"/>
    <cellStyle name="Normal 2 2 3" xfId="132" xr:uid="{00000000-0005-0000-0000-0000B2000000}"/>
    <cellStyle name="Normal 2 2 4" xfId="133" xr:uid="{00000000-0005-0000-0000-0000B3000000}"/>
    <cellStyle name="Normal 2 2_1" xfId="134" xr:uid="{00000000-0005-0000-0000-0000B4000000}"/>
    <cellStyle name="Normal 2 2_3" xfId="373" xr:uid="{5862B57B-884D-4E11-953F-AA00AA6900A3}"/>
    <cellStyle name="Normal 2 3 2 2 5" xfId="374" xr:uid="{E42B7698-8683-4D8A-894E-6FEA18F29D56}"/>
    <cellStyle name="Normal 2 3 4" xfId="135" xr:uid="{00000000-0005-0000-0000-0000B5000000}"/>
    <cellStyle name="Normal 2 3 6 2" xfId="136" xr:uid="{00000000-0005-0000-0000-0000B6000000}"/>
    <cellStyle name="Normal 2 4" xfId="137" xr:uid="{00000000-0005-0000-0000-0000B7000000}"/>
    <cellStyle name="Normal 2 4 2" xfId="138" xr:uid="{00000000-0005-0000-0000-0000B8000000}"/>
    <cellStyle name="Normal 3" xfId="139" xr:uid="{00000000-0005-0000-0000-0000B9000000}"/>
    <cellStyle name="Normal 3 2 2 2" xfId="140" xr:uid="{00000000-0005-0000-0000-0000BA000000}"/>
    <cellStyle name="Normal 3 2 2 2 2" xfId="141" xr:uid="{00000000-0005-0000-0000-0000BB000000}"/>
    <cellStyle name="Normal 3 3" xfId="142" xr:uid="{00000000-0005-0000-0000-0000BC000000}"/>
    <cellStyle name="Normal 3 4" xfId="143" xr:uid="{00000000-0005-0000-0000-0000BD000000}"/>
    <cellStyle name="Normal 3 5" xfId="144" xr:uid="{00000000-0005-0000-0000-0000BE000000}"/>
    <cellStyle name="Normal 4" xfId="315" xr:uid="{BCB512A1-26A2-4D4C-97C2-7A2883725535}"/>
    <cellStyle name="Normal 4 2" xfId="145" xr:uid="{00000000-0005-0000-0000-0000BF000000}"/>
    <cellStyle name="Normal 4 2 2" xfId="316" xr:uid="{0653743E-866D-49F5-88E4-28F2B2F230A8}"/>
    <cellStyle name="Normal 4 3" xfId="370" xr:uid="{2A7809A2-9211-4B96-8FF6-8373842F02DA}"/>
    <cellStyle name="Normal 4 5" xfId="146" xr:uid="{00000000-0005-0000-0000-0000C0000000}"/>
    <cellStyle name="Normal 5" xfId="317" xr:uid="{1CE9193D-AC7B-4A7A-9418-84CF9FF51863}"/>
    <cellStyle name="Normal 5 2" xfId="147" xr:uid="{00000000-0005-0000-0000-0000C1000000}"/>
    <cellStyle name="Normal 5 3" xfId="148" xr:uid="{00000000-0005-0000-0000-0000C2000000}"/>
    <cellStyle name="Normal 5 4" xfId="366" xr:uid="{76337669-D740-4DBC-B5CB-1DD30229D7DF}"/>
    <cellStyle name="Normal 6 2" xfId="149" xr:uid="{00000000-0005-0000-0000-0000C3000000}"/>
    <cellStyle name="Normal 6 2 2 2 2" xfId="318" xr:uid="{998657FB-ED40-4405-9F6B-2FB9C00855EF}"/>
    <cellStyle name="Normal 6 2 2 2 2 2" xfId="367" xr:uid="{F57F252F-6982-4293-9D08-4C125DEBEA67}"/>
    <cellStyle name="Normal 6_1" xfId="150" xr:uid="{00000000-0005-0000-0000-0000C4000000}"/>
    <cellStyle name="Normal 7" xfId="151" xr:uid="{00000000-0005-0000-0000-0000C5000000}"/>
    <cellStyle name="Normal 7 10" xfId="152" xr:uid="{00000000-0005-0000-0000-0000C6000000}"/>
    <cellStyle name="Normal 7 10 2" xfId="349" xr:uid="{E37C1451-5AE2-413B-8A21-042F3541D7CC}"/>
    <cellStyle name="Normal 7 4" xfId="153" xr:uid="{00000000-0005-0000-0000-0000C7000000}"/>
    <cellStyle name="Normal 8" xfId="154" xr:uid="{00000000-0005-0000-0000-0000C8000000}"/>
    <cellStyle name="Normal 8 5" xfId="155" xr:uid="{00000000-0005-0000-0000-0000C9000000}"/>
    <cellStyle name="Normal 9" xfId="156" xr:uid="{00000000-0005-0000-0000-0000CA000000}"/>
    <cellStyle name="Normal_6" xfId="157" xr:uid="{00000000-0005-0000-0000-0000CB000000}"/>
    <cellStyle name="Normal_A 8 2a CAL - Interim 2 2" xfId="158" xr:uid="{00000000-0005-0000-0000-0000CC000000}"/>
    <cellStyle name="Normal_Sheet2" xfId="159" xr:uid="{00000000-0005-0000-0000-0000CD000000}"/>
    <cellStyle name="Normalny_Arkusz1" xfId="160" xr:uid="{00000000-0005-0000-0000-0000CE000000}"/>
    <cellStyle name="Œ…‹æØ‚è [0.00]_Region Orders (2)" xfId="161" xr:uid="{00000000-0005-0000-0000-0000CF000000}"/>
    <cellStyle name="Œ…‹æØ‚è_Region Orders (2)" xfId="162" xr:uid="{00000000-0005-0000-0000-0000D0000000}"/>
    <cellStyle name="per.style" xfId="163" xr:uid="{00000000-0005-0000-0000-0000D1000000}"/>
    <cellStyle name="Percent [0]" xfId="164" xr:uid="{00000000-0005-0000-0000-0000D2000000}"/>
    <cellStyle name="Percent [00]" xfId="165" xr:uid="{00000000-0005-0000-0000-0000D3000000}"/>
    <cellStyle name="Percent [2]" xfId="166" xr:uid="{00000000-0005-0000-0000-0000D4000000}"/>
    <cellStyle name="Percent 2" xfId="167" xr:uid="{00000000-0005-0000-0000-0000D5000000}"/>
    <cellStyle name="Percent 2 3" xfId="168" xr:uid="{00000000-0005-0000-0000-0000D6000000}"/>
    <cellStyle name="Percent 2 5" xfId="169" xr:uid="{00000000-0005-0000-0000-0000D7000000}"/>
    <cellStyle name="Percent 3" xfId="170" xr:uid="{00000000-0005-0000-0000-0000D8000000}"/>
    <cellStyle name="Pourcentage_pldt" xfId="171" xr:uid="{00000000-0005-0000-0000-0000D9000000}"/>
    <cellStyle name="Prefilled" xfId="172" xr:uid="{00000000-0005-0000-0000-0000DA000000}"/>
    <cellStyle name="Prefilled 2" xfId="350" xr:uid="{099C6080-A5D1-4E83-8DC1-40B3E3D700D7}"/>
    <cellStyle name="price" xfId="173" xr:uid="{00000000-0005-0000-0000-0000DB000000}"/>
    <cellStyle name="pricing" xfId="174" xr:uid="{00000000-0005-0000-0000-0000DC000000}"/>
    <cellStyle name="PSChar" xfId="175" xr:uid="{00000000-0005-0000-0000-0000DD000000}"/>
    <cellStyle name="PSHeading" xfId="176" xr:uid="{00000000-0005-0000-0000-0000DE000000}"/>
    <cellStyle name="revised" xfId="177" xr:uid="{00000000-0005-0000-0000-0000DF000000}"/>
    <cellStyle name="RevList" xfId="178" xr:uid="{00000000-0005-0000-0000-0000E0000000}"/>
    <cellStyle name="row_def_array" xfId="179" xr:uid="{00000000-0005-0000-0000-0000E1000000}"/>
    <cellStyle name="SAPBEXaggData" xfId="180" xr:uid="{00000000-0005-0000-0000-0000E2000000}"/>
    <cellStyle name="SAPBEXaggDataEmph" xfId="181" xr:uid="{00000000-0005-0000-0000-0000E3000000}"/>
    <cellStyle name="SAPBEXaggItem" xfId="182" xr:uid="{00000000-0005-0000-0000-0000E4000000}"/>
    <cellStyle name="SAPBEXaggItemX" xfId="183" xr:uid="{00000000-0005-0000-0000-0000E5000000}"/>
    <cellStyle name="SAPBEXchaText" xfId="184" xr:uid="{00000000-0005-0000-0000-0000E6000000}"/>
    <cellStyle name="SAPBEXexcBad7" xfId="185" xr:uid="{00000000-0005-0000-0000-0000E7000000}"/>
    <cellStyle name="SAPBEXexcBad8" xfId="186" xr:uid="{00000000-0005-0000-0000-0000E8000000}"/>
    <cellStyle name="SAPBEXexcBad9" xfId="187" xr:uid="{00000000-0005-0000-0000-0000E9000000}"/>
    <cellStyle name="SAPBEXexcCritical4" xfId="188" xr:uid="{00000000-0005-0000-0000-0000EA000000}"/>
    <cellStyle name="SAPBEXexcCritical5" xfId="189" xr:uid="{00000000-0005-0000-0000-0000EB000000}"/>
    <cellStyle name="SAPBEXexcCritical6" xfId="190" xr:uid="{00000000-0005-0000-0000-0000EC000000}"/>
    <cellStyle name="SAPBEXexcGood1" xfId="191" xr:uid="{00000000-0005-0000-0000-0000ED000000}"/>
    <cellStyle name="SAPBEXexcGood2" xfId="192" xr:uid="{00000000-0005-0000-0000-0000EE000000}"/>
    <cellStyle name="SAPBEXexcGood3" xfId="193" xr:uid="{00000000-0005-0000-0000-0000EF000000}"/>
    <cellStyle name="SAPBEXfilterDrill" xfId="194" xr:uid="{00000000-0005-0000-0000-0000F0000000}"/>
    <cellStyle name="SAPBEXfilterDrill 2" xfId="347" xr:uid="{E29CBE56-087B-49D9-9451-9AA476EF7AD3}"/>
    <cellStyle name="SAPBEXfilterDrill 3" xfId="352" xr:uid="{DE8858FC-986A-4F70-950E-6DABF97E1A5D}"/>
    <cellStyle name="SAPBEXfilterDrill 4" xfId="351" xr:uid="{D2678CC8-893F-478C-B85D-7EB9599EB047}"/>
    <cellStyle name="SAPBEXfilterItem" xfId="195" xr:uid="{00000000-0005-0000-0000-0000F1000000}"/>
    <cellStyle name="SAPBEXfilterText" xfId="196" xr:uid="{00000000-0005-0000-0000-0000F2000000}"/>
    <cellStyle name="SAPBEXformats" xfId="197" xr:uid="{00000000-0005-0000-0000-0000F3000000}"/>
    <cellStyle name="SAPBEXheaderText" xfId="198" xr:uid="{00000000-0005-0000-0000-0000F4000000}"/>
    <cellStyle name="SAPBEXHLevel0" xfId="199" xr:uid="{00000000-0005-0000-0000-0000F5000000}"/>
    <cellStyle name="SAPBEXHLevel0X" xfId="200" xr:uid="{00000000-0005-0000-0000-0000F6000000}"/>
    <cellStyle name="SAPBEXHLevel1" xfId="201" xr:uid="{00000000-0005-0000-0000-0000F7000000}"/>
    <cellStyle name="SAPBEXHLevel1X" xfId="202" xr:uid="{00000000-0005-0000-0000-0000F8000000}"/>
    <cellStyle name="SAPBEXHLevel2" xfId="203" xr:uid="{00000000-0005-0000-0000-0000F9000000}"/>
    <cellStyle name="SAPBEXHLevel2X" xfId="204" xr:uid="{00000000-0005-0000-0000-0000FA000000}"/>
    <cellStyle name="SAPBEXHLevel3" xfId="205" xr:uid="{00000000-0005-0000-0000-0000FB000000}"/>
    <cellStyle name="SAPBEXHLevel3X" xfId="206" xr:uid="{00000000-0005-0000-0000-0000FC000000}"/>
    <cellStyle name="SAPBEXresData" xfId="207" xr:uid="{00000000-0005-0000-0000-0000FD000000}"/>
    <cellStyle name="SAPBEXresDataEmph" xfId="208" xr:uid="{00000000-0005-0000-0000-0000FE000000}"/>
    <cellStyle name="SAPBEXresItem" xfId="209" xr:uid="{00000000-0005-0000-0000-0000FF000000}"/>
    <cellStyle name="SAPBEXresItemX" xfId="210" xr:uid="{00000000-0005-0000-0000-000000010000}"/>
    <cellStyle name="SAPBEXstdData" xfId="211" xr:uid="{00000000-0005-0000-0000-000001010000}"/>
    <cellStyle name="SAPBEXstdDataEmph" xfId="212" xr:uid="{00000000-0005-0000-0000-000002010000}"/>
    <cellStyle name="SAPBEXstdItem" xfId="213" xr:uid="{00000000-0005-0000-0000-000003010000}"/>
    <cellStyle name="SAPBEXstdItemX" xfId="214" xr:uid="{00000000-0005-0000-0000-000004010000}"/>
    <cellStyle name="SAPBEXtitle" xfId="215" xr:uid="{00000000-0005-0000-0000-000005010000}"/>
    <cellStyle name="SAPBEXundefined" xfId="216" xr:uid="{00000000-0005-0000-0000-000006010000}"/>
    <cellStyle name="section" xfId="217" xr:uid="{00000000-0005-0000-0000-000007010000}"/>
    <cellStyle name="SOR" xfId="218" xr:uid="{00000000-0005-0000-0000-000008010000}"/>
    <cellStyle name="SOR 2" xfId="353" xr:uid="{391FE93C-E60B-4EE1-8D22-3258AF448AB3}"/>
    <cellStyle name="subhead" xfId="219" xr:uid="{00000000-0005-0000-0000-000009010000}"/>
    <cellStyle name="Subtotal" xfId="220" xr:uid="{00000000-0005-0000-0000-00000A010000}"/>
    <cellStyle name="Text Indent A" xfId="221" xr:uid="{00000000-0005-0000-0000-00000B010000}"/>
    <cellStyle name="Text Indent B" xfId="222" xr:uid="{00000000-0005-0000-0000-00000C010000}"/>
    <cellStyle name="Text Indent C" xfId="223" xr:uid="{00000000-0005-0000-0000-00000D010000}"/>
    <cellStyle name="Text Snip" xfId="224" xr:uid="{00000000-0005-0000-0000-00000E010000}"/>
    <cellStyle name="Text Snip 6" xfId="377" xr:uid="{DEDAD686-BCA9-44D0-92A8-FF88A379ACA7}"/>
    <cellStyle name="title 2" xfId="225" xr:uid="{00000000-0005-0000-0000-00000F010000}"/>
    <cellStyle name="Total 2" xfId="226" xr:uid="{00000000-0005-0000-0000-000010010000}"/>
    <cellStyle name="Tusental (0)_pldt" xfId="227" xr:uid="{00000000-0005-0000-0000-000011010000}"/>
    <cellStyle name="Tusental_pldt" xfId="228" xr:uid="{00000000-0005-0000-0000-000012010000}"/>
    <cellStyle name="Valuta (0)_pldt" xfId="229" xr:uid="{00000000-0005-0000-0000-000013010000}"/>
    <cellStyle name="Valuta_pldt" xfId="230" xr:uid="{00000000-0005-0000-0000-000014010000}"/>
    <cellStyle name="パーセント_laroux" xfId="231" xr:uid="{00000000-0005-0000-0000-000015010000}"/>
    <cellStyle name="_laroux" xfId="232" xr:uid="{00000000-0005-0000-0000-000016010000}"/>
    <cellStyle name="だ[0]_PLDT" xfId="233" xr:uid="{00000000-0005-0000-0000-000017010000}"/>
    <cellStyle name="だ_PLDT" xfId="234" xr:uid="{00000000-0005-0000-0000-000018010000}"/>
    <cellStyle name="だ_laroux" xfId="235" xr:uid="{00000000-0005-0000-0000-000019010000}"/>
    <cellStyle name="百分比" xfId="2" builtinId="5"/>
    <cellStyle name="百分比 2" xfId="236" xr:uid="{00000000-0005-0000-0000-00001A010000}"/>
    <cellStyle name="百分比 2 3" xfId="237" xr:uid="{00000000-0005-0000-0000-00001B010000}"/>
    <cellStyle name="百分比 3 2" xfId="238" xr:uid="{00000000-0005-0000-0000-00001C010000}"/>
    <cellStyle name="百分比 4" xfId="239" xr:uid="{00000000-0005-0000-0000-00001D010000}"/>
    <cellStyle name="捠壿 [0.00]_PRODUCT DETAIL Q1" xfId="240" xr:uid="{00000000-0005-0000-0000-00001E010000}"/>
    <cellStyle name="標準_１１月価格表" xfId="241" xr:uid="{00000000-0005-0000-0000-00001F010000}"/>
    <cellStyle name="表标题" xfId="242" xr:uid="{00000000-0005-0000-0000-000020010000}"/>
    <cellStyle name="差 2" xfId="312" xr:uid="{D39DDC4B-3D68-4AE8-8E9C-CED5278D9282}"/>
    <cellStyle name="差_10存货" xfId="243" xr:uid="{00000000-0005-0000-0000-000021010000}"/>
    <cellStyle name="差_11-持有至到期投资（空白模板）" xfId="244" xr:uid="{00000000-0005-0000-0000-000022010000}"/>
    <cellStyle name="差_3-2 进一步审计程序-采购与付款循环" xfId="245" xr:uid="{00000000-0005-0000-0000-000023010000}"/>
    <cellStyle name="差_dxn底稿目录" xfId="246" xr:uid="{00000000-0005-0000-0000-000024010000}"/>
    <cellStyle name="常规" xfId="0" builtinId="0"/>
    <cellStyle name="常规 10 5" xfId="247" xr:uid="{00000000-0005-0000-0000-000025010000}"/>
    <cellStyle name="常规 11" xfId="248" xr:uid="{00000000-0005-0000-0000-000026010000}"/>
    <cellStyle name="常规 15" xfId="369" xr:uid="{C75A58E1-D134-4853-AF7D-BE5E31182B57}"/>
    <cellStyle name="常规 2" xfId="249" xr:uid="{00000000-0005-0000-0000-000027010000}"/>
    <cellStyle name="常规 2- " xfId="250" xr:uid="{00000000-0005-0000-0000-000028010000}"/>
    <cellStyle name="常规 2 10" xfId="251" xr:uid="{00000000-0005-0000-0000-000029010000}"/>
    <cellStyle name="常规 2 16" xfId="252" xr:uid="{00000000-0005-0000-0000-00002A010000}"/>
    <cellStyle name="常规 2 19" xfId="253" xr:uid="{00000000-0005-0000-0000-00002B010000}"/>
    <cellStyle name="常规 2 2 2 3" xfId="254" xr:uid="{00000000-0005-0000-0000-00002C010000}"/>
    <cellStyle name="常规 2 2 3 3" xfId="255" xr:uid="{00000000-0005-0000-0000-00002D010000}"/>
    <cellStyle name="常规 2 2 3 3 2" xfId="256" xr:uid="{00000000-0005-0000-0000-00002E010000}"/>
    <cellStyle name="常规 2 2 5 3" xfId="368" xr:uid="{4285C700-AF76-41CE-9630-CD713F16E5AF}"/>
    <cellStyle name="常规 2 2 5 5" xfId="257" xr:uid="{00000000-0005-0000-0000-00002F010000}"/>
    <cellStyle name="常规 2 3 2" xfId="258" xr:uid="{00000000-0005-0000-0000-000030010000}"/>
    <cellStyle name="常规 3" xfId="259" xr:uid="{00000000-0005-0000-0000-000031010000}"/>
    <cellStyle name="常规 3 2" xfId="260" xr:uid="{00000000-0005-0000-0000-000032010000}"/>
    <cellStyle name="常规 3 2 3" xfId="261" xr:uid="{00000000-0005-0000-0000-000033010000}"/>
    <cellStyle name="常规 3 2 3 2" xfId="262" xr:uid="{00000000-0005-0000-0000-000034010000}"/>
    <cellStyle name="常规 3_1" xfId="263" xr:uid="{00000000-0005-0000-0000-000035010000}"/>
    <cellStyle name="常规 4" xfId="264" xr:uid="{00000000-0005-0000-0000-000036010000}"/>
    <cellStyle name="常规 6 3" xfId="265" xr:uid="{00000000-0005-0000-0000-000037010000}"/>
    <cellStyle name="常规_ZA 货币资金" xfId="266" xr:uid="{00000000-0005-0000-0000-000038010000}"/>
    <cellStyle name="超级链接_综合类底稿表格" xfId="267" xr:uid="{00000000-0005-0000-0000-000039010000}"/>
    <cellStyle name="超链接" xfId="372" builtinId="8"/>
    <cellStyle name="超链接 3" xfId="268" xr:uid="{00000000-0005-0000-0000-00003A010000}"/>
    <cellStyle name="好 2" xfId="313" xr:uid="{AF122CA2-E349-479A-8FA0-75D4DBB7728D}"/>
    <cellStyle name="好_10存货" xfId="269" xr:uid="{00000000-0005-0000-0000-00003B010000}"/>
    <cellStyle name="好_11-持有至到期投资（空白模板）" xfId="270" xr:uid="{00000000-0005-0000-0000-00003C010000}"/>
    <cellStyle name="好_1财务费用" xfId="271" xr:uid="{00000000-0005-0000-0000-00003D010000}"/>
    <cellStyle name="好_3-2 进一步审计程序-采购与付款循环" xfId="272" xr:uid="{00000000-0005-0000-0000-00003E010000}"/>
    <cellStyle name="好_大信底稿目录" xfId="273" xr:uid="{00000000-0005-0000-0000-00003F010000}"/>
    <cellStyle name="桁区切り [0.00]_１１月価格表" xfId="274" xr:uid="{00000000-0005-0000-0000-000040010000}"/>
    <cellStyle name="货币 2" xfId="275" xr:uid="{00000000-0005-0000-0000-000041010000}"/>
    <cellStyle name="货币 2 2 2 2" xfId="276" xr:uid="{00000000-0005-0000-0000-000042010000}"/>
    <cellStyle name="貨幣 [0]_SGV" xfId="277" xr:uid="{00000000-0005-0000-0000-000043010000}"/>
    <cellStyle name="貨幣_SGV" xfId="278" xr:uid="{00000000-0005-0000-0000-000044010000}"/>
    <cellStyle name="霓付 [0]_1202" xfId="279" xr:uid="{00000000-0005-0000-0000-000045010000}"/>
    <cellStyle name="霓付_1202" xfId="280" xr:uid="{00000000-0005-0000-0000-000046010000}"/>
    <cellStyle name="欧" xfId="281" xr:uid="{00000000-0005-0000-0000-000047010000}"/>
    <cellStyle name="烹拳 [0]_1202" xfId="282" xr:uid="{00000000-0005-0000-0000-000048010000}"/>
    <cellStyle name="烹拳_1202" xfId="283" xr:uid="{00000000-0005-0000-0000-000049010000}"/>
    <cellStyle name="砯刽 [0]_PLDT" xfId="284" xr:uid="{00000000-0005-0000-0000-00004A010000}"/>
    <cellStyle name="砯刽_PLDT" xfId="285" xr:uid="{00000000-0005-0000-0000-00004B010000}"/>
    <cellStyle name="普通_ 白土" xfId="286" xr:uid="{00000000-0005-0000-0000-00004C010000}"/>
    <cellStyle name="千分位_ 白土" xfId="287" xr:uid="{00000000-0005-0000-0000-00004D010000}"/>
    <cellStyle name="千位分隔" xfId="1" builtinId="3"/>
    <cellStyle name="千位分隔 11" xfId="376" xr:uid="{8B274BFD-4E57-49E2-BA80-AFEE110811A3}"/>
    <cellStyle name="千位分隔 2" xfId="288" xr:uid="{00000000-0005-0000-0000-00004E010000}"/>
    <cellStyle name="千位分隔 2 2" xfId="289" xr:uid="{00000000-0005-0000-0000-00004F010000}"/>
    <cellStyle name="千位分隔 2 2 2 2 2 2 2" xfId="290" xr:uid="{00000000-0005-0000-0000-000050010000}"/>
    <cellStyle name="千位分隔 2 2 2 2 2 2 2 2" xfId="358" xr:uid="{F935CDE0-D1C0-4C42-8B9A-C4AC776CFA91}"/>
    <cellStyle name="千位分隔 2 2 2 2 3" xfId="291" xr:uid="{00000000-0005-0000-0000-000051010000}"/>
    <cellStyle name="千位分隔 2 2 2 2 3 2" xfId="359" xr:uid="{F510E1FC-C56A-4A6D-BB73-2B4DF2D2EA08}"/>
    <cellStyle name="千位分隔 2 3" xfId="314" xr:uid="{3A1DB848-B898-4C9F-BA04-864969B33CDD}"/>
    <cellStyle name="千位分隔 2 3 2" xfId="365" xr:uid="{7B6E4384-A415-49CC-B497-327542652285}"/>
    <cellStyle name="千位分隔 2 3 3 3" xfId="292" xr:uid="{00000000-0005-0000-0000-000052010000}"/>
    <cellStyle name="千位分隔 2 3 3 3 2" xfId="360" xr:uid="{1120B5E5-E0DB-4083-894E-A91A532CDA24}"/>
    <cellStyle name="千位分隔 2 4" xfId="357" xr:uid="{FDCB16DC-FEEE-45AF-B496-052AE7B2A3AD}"/>
    <cellStyle name="千位分隔 2_1" xfId="293" xr:uid="{00000000-0005-0000-0000-000053010000}"/>
    <cellStyle name="千位分隔 3" xfId="319" xr:uid="{5629704F-D424-43CA-AE4D-A0E780554D49}"/>
    <cellStyle name="千位分隔 3 2 2 3" xfId="294" xr:uid="{00000000-0005-0000-0000-000054010000}"/>
    <cellStyle name="千位分隔 3 2 2 3 2" xfId="361" xr:uid="{138540E9-263D-4113-AB64-E2BCAF8A604E}"/>
    <cellStyle name="千位分隔 5 2 4" xfId="295" xr:uid="{00000000-0005-0000-0000-000055010000}"/>
    <cellStyle name="千位分隔 5 2 4 2" xfId="362" xr:uid="{47C214CF-3979-4A9B-A2A7-4A11C7C8DFAA}"/>
    <cellStyle name="千位分隔[0] 2" xfId="296" xr:uid="{00000000-0005-0000-0000-000056010000}"/>
    <cellStyle name="千位分隔[0] 2 2" xfId="363" xr:uid="{12559984-5D95-4A8E-B3FA-FFEF4F4FFC62}"/>
    <cellStyle name="钎霖_(沥焊何巩)岿喊牢盔拌裙" xfId="297" xr:uid="{00000000-0005-0000-0000-000057010000}"/>
    <cellStyle name="强调 1" xfId="298" xr:uid="{00000000-0005-0000-0000-000058010000}"/>
    <cellStyle name="强调 2" xfId="299" xr:uid="{00000000-0005-0000-0000-000059010000}"/>
    <cellStyle name="强调 3" xfId="300" xr:uid="{00000000-0005-0000-0000-00005A010000}"/>
    <cellStyle name="通貨 [0.00]_１１月価格表" xfId="301" xr:uid="{00000000-0005-0000-0000-00005B010000}"/>
    <cellStyle name="通貨_１１月価格表" xfId="302" xr:uid="{00000000-0005-0000-0000-00005C010000}"/>
    <cellStyle name="一般_SGV" xfId="303" xr:uid="{00000000-0005-0000-0000-00005D010000}"/>
    <cellStyle name="昗弨_BOOKSHIP" xfId="304" xr:uid="{00000000-0005-0000-0000-00005E010000}"/>
    <cellStyle name="寘嬫愗傝 [0.00]_PRODUCT DETAIL Q1" xfId="305" xr:uid="{00000000-0005-0000-0000-00005F010000}"/>
    <cellStyle name="寘嬫愗傝_PRODUCT DETAIL Q1" xfId="306" xr:uid="{00000000-0005-0000-0000-000060010000}"/>
    <cellStyle name="资产" xfId="307" xr:uid="{00000000-0005-0000-0000-000061010000}"/>
    <cellStyle name="资产 2" xfId="364" xr:uid="{D0E971E5-46F4-4B95-A2B0-6BB3F80F073D}"/>
    <cellStyle name="콤마 [0]_BOILER-CO1" xfId="308" xr:uid="{00000000-0005-0000-0000-000062010000}"/>
    <cellStyle name="콤마_BOILER-CO1" xfId="309" xr:uid="{00000000-0005-0000-0000-000063010000}"/>
    <cellStyle name="통화 [0]_BOILER-CO1" xfId="310" xr:uid="{00000000-0005-0000-0000-000064010000}"/>
    <cellStyle name="표준_0N-HANDLING " xfId="311" xr:uid="{00000000-0005-0000-0000-000065010000}"/>
  </cellStyles>
  <dxfs count="38">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patternType="solid">
          <bgColor rgb="FFFFFFCC"/>
        </patternFill>
      </fill>
    </dxf>
    <dxf>
      <fill>
        <patternFill>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s>
  <tableStyles count="2" defaultTableStyle="TableStyleMedium2" defaultPivotStyle="PivotStyleLight16">
    <tableStyle name="Invisible" pivot="0" table="0" count="0" xr9:uid="{306A554C-9C0E-4DE7-AF5D-92949C398912}"/>
    <tableStyle name="MySqlDefault" table="0" count="0" xr9:uid="{1258B3E6-BF2C-4514-953E-451012EE200A}"/>
  </tableStyles>
  <colors>
    <mruColors>
      <color rgb="FFFFFFCC"/>
      <color rgb="FF0000FF"/>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26" Type="http://schemas.openxmlformats.org/officeDocument/2006/relationships/customXml" Target="../customXml/item5.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5"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hyperlink" Target="https://eychinamanaged.sharepoint.cn/sites/GCknowledgecenter/SitePages/Altas-PSP-%E9%93%BE%E6%8E%A5.aspx#:~:text=%E7%9B%B8%E5%85%B3PSP%20%E4%BB%A5%E5%8F%8AOSP%20%E5%8F%AF%E4%BB%8EAtlas%20%E4%B8%AD%E8%8E%B7%E5%BE%97%EF%BC%8CAtlas%20Link%3A%0A(CN)%20C%2DCash%0A%E6%9B%B4%E5%A4%9A%E8%AF%A5%E7%A7%91%E7%9B%AE%E7%9B%B8%E5%85%B3%E5%AE%A1%E8%AE%A1%E4%BC%9A%E8%AE%A1%E7%9F%A5%E8%AF%86%E5%8F%AF%E5%8F%82%E8%80%83%E2%80%9C%E5%A4%A7%E4%B8%AD%E5%8D%8E%E5%8C%BA%E4%BC%9A%E8%AE%A1%E5%AE%A1%E8%AE%A1%E7%9F%A5%E8%AF%86%E5%BA%93%E2%80%9D%0AC_%E8%B4%A7%E5%B8%81%E8%B5%84%E9%87%91" TargetMode="External"/><Relationship Id="rId7" Type="http://schemas.openxmlformats.org/officeDocument/2006/relationships/hyperlink" Target="https://eychinamanaged.sharepoint.cn/sites/GCknowledgecenter/SitePages/%E6%A0%87%E5%87%86%E5%AE%A1%E8%AE%A1%E5%BA%95%E7%A8%BF%E6%A8%A1%E6%9D%BF_C_%E8%B4%A7%E5%B8%81%E8%B5%84%E9%87%91_202YMMDD_XYZ%E5%85%AC%E5%8F%B8_Read-me-and-Delete-me.aspx#:~:text=C.03%20Cutoff%2D%E6%B3%A8%E9%87%8A13,%E5%85%B6%E4%BB%96%E3%80%82" TargetMode="External"/><Relationship Id="rId2" Type="http://schemas.openxmlformats.org/officeDocument/2006/relationships/image" Target="../media/image1.png"/><Relationship Id="rId1" Type="http://schemas.openxmlformats.org/officeDocument/2006/relationships/hyperlink" Target="https://eychinamanaged.sharepoint.cn/sites/GCknowledgecenter/SitePages/%E6%A0%87%E5%87%86%E5%AE%A1%E8%AE%A1%E5%BA%95%E7%A8%BF%E6%A8%A1%E6%9D%BF_C_%E8%B4%A7%E5%B8%81%E8%B5%84%E9%87%91_202YMMDD_XYZ%E5%85%AC%E5%8F%B8_Read-me-and-Delete-me.aspx#:~:text=C.%E6%B1%87%E6%80%BB%2D%E6%B3%A8%E9%87%8A1%EF%BC%9A%E7%8E%B0%E9%87%91%E7%9B%98%E7%82%B9%E5%B7%A5%E4%BD%9C%E7%9A%84%E9%80%82%E7%94%A8%E6%9D%A1%E4%BB%B6" TargetMode="External"/><Relationship Id="rId6" Type="http://schemas.openxmlformats.org/officeDocument/2006/relationships/hyperlink" Target="https://eychinamanaged.sharepoint.cn/sites/GCknowledgecenter/SitePages/%E6%A0%87%E5%87%86%E5%BA%95%E7%A8%BF%E6%A8%A1%E6%9D%BF%E7%AD%94%E7%96%91%E9%93%BE%E6%8E%A5.aspx" TargetMode="External"/><Relationship Id="rId5" Type="http://schemas.openxmlformats.org/officeDocument/2006/relationships/hyperlink" Target="https://eychinamanaged.sharepoint.cn/sites/GCknowledgecenter/SitePages/%E6%A0%87%E5%87%86%E5%AE%A1%E8%AE%A1%E5%BA%95%E7%A8%BF%E6%A8%A1%E6%9D%BF_%E9%A2%84%E5%AE%A1&amp;%E5%B9%B4%E5%AE%A1%E5%B7%A5%E4%BD%9C%E6%B3%A8%E6%84%8F%E4%BA%8B%E9%A1%B9.aspx" TargetMode="External"/><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https://eychinamanaged.sharepoint.cn/sites/GCknowledgecenter/SitePages/%E6%A0%87%E5%87%86%E5%AE%A1%E8%AE%A1%E5%BA%95%E7%A8%BF%E6%A8%A1%E6%9D%BF_C_%E8%B4%A7%E5%B8%81%E8%B5%84%E9%87%91_202YMMDD_XYZ%E5%85%AC%E5%8F%B8_Read-me-and-Delete-me.aspx#:~:text=C.00%20Lead%2D%E6%B3%A8%E9%87%8A,%E5%A4%A7%E8%B4%B7%E2%80%9D%E6%83%85%E5%86%B5%E7%AD%89%E3%80%82" TargetMode="External"/><Relationship Id="rId1" Type="http://schemas.openxmlformats.org/officeDocument/2006/relationships/image" Target="../media/image3.png"/><Relationship Id="rId6" Type="http://schemas.openxmlformats.org/officeDocument/2006/relationships/hyperlink" Target="https://eychinamanaged.sharepoint.cn/sites/GCknowledgecenter/SitePages/%E6%A0%87%E5%87%86%E5%AE%A1%E8%AE%A1%E5%BA%95%E7%A8%BF%E6%A8%A1%E6%9D%BF_C_%E8%B4%A7%E5%B8%81%E8%B5%84%E9%87%91_202YMMDD_XYZ%E5%85%AC%E5%8F%B8_Read-me-and-Delete-me.aspx#:~:text=C.00%20Lead%2D%E6%B3%A8%E9%87%8A4,%E7%AD%89%E4%BB%B7%E7%89%A9%E4%BD%99%E9%A2%9D" TargetMode="External"/><Relationship Id="rId5" Type="http://schemas.openxmlformats.org/officeDocument/2006/relationships/image" Target="../media/image2.png"/><Relationship Id="rId4" Type="http://schemas.openxmlformats.org/officeDocument/2006/relationships/hyperlink" Target="https://eychinamanaged.sharepoint.cn/sites/GCknowledgecenter/SitePages/%E6%A0%87%E5%87%86%E5%AE%A1%E8%AE%A1%E5%BA%95%E7%A8%BF%E6%A8%A1%E6%9D%BF_C_%E8%B4%A7%E5%B8%81%E8%B5%84%E9%87%91_202YMMDD_XYZ%E5%85%AC%E5%8F%B8_Read-me-and-Delete-me.aspx#:~:text=C.00%20Lead%2D%E6%B3%A8%E9%87%8A3,%E6%8C%89%E7%85%A7%E4%BC%9A%E8%AE%A1%E6%94%BF%E7%AD%96%E5%8F%98%E6%9B%B4%E5%A4%84%E7%90%86%E3%80%82" TargetMode="External"/></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1.png"/><Relationship Id="rId1" Type="http://schemas.openxmlformats.org/officeDocument/2006/relationships/hyperlink" Target="https://eychinamanaged.sharepoint.cn/sites/GCknowledgecenter/SitePages/%E6%A0%87%E5%87%86%E5%AE%A1%E8%AE%A1%E5%BA%95%E7%A8%BF%E6%A8%A1%E6%9D%BF_C_%E8%B4%A7%E5%B8%81%E8%B5%84%E9%87%91_202YMMDD_XYZ%E5%85%AC%E5%8F%B8_Read-me-and-Delete-me.aspx#:~:text=C.01%20Confirmations%20%2D%E6%B3%A8%E9%87%8A10,%E6%88%B7%E8%AF%81%E6%98%8E/%E9%94%80%E6%88%B7%E8%AF%81%E6%98%8E%E3%80%82" TargetMode="External"/><Relationship Id="rId4" Type="http://schemas.openxmlformats.org/officeDocument/2006/relationships/hyperlink" Target="https://eychinamanaged.sharepoint.cn/sites/GCknowledgecenter/SitePages/%E6%A0%87%E5%87%86%E5%AE%A1%E8%AE%A1%E5%BA%95%E7%A8%BF%E6%A8%A1%E6%9D%BF_C_%E8%B4%A7%E5%B8%81%E8%B5%84%E9%87%91_202YMMDD_XYZ%E5%85%AC%E5%8F%B8_Read-me-and-Delete-me.aspx#:~:text=C.01%20Confirmations%20%2D%E6%B3%A8%E9%87%8A,%E5%86%8D%E8%8E%B7%E5%8F%96%E5%AF%B9%E8%B4%A6%E5%8D%95%E3%80%82" TargetMode="External"/></Relationships>
</file>

<file path=xl/drawings/_rels/drawing6.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https://eychinamanaged.sharepoint.cn/sites/GCknowledgecenter/SitePages/%E6%A0%87%E5%87%86%E5%AE%A1%E8%AE%A1%E5%BA%95%E7%A8%BF%E6%A8%A1%E6%9D%BF_C_%E8%B4%A7%E5%B8%81%E8%B5%84%E9%87%91_202YMMDD_XYZ%E5%85%AC%E5%8F%B8_Read-me-and-Delete-me.aspx#:~:text=C.00b%20Other%20classification%2D%E6%B3%A8%E9%87%8A6,Notes%E4%B8%AD%E8%AE%B0%E5%BD%95%E6%88%91%E4%BB%AC%E7%9A%84%E5%B7%A5%E4%BD%9C%E3%80%82" TargetMode="External"/><Relationship Id="rId1" Type="http://schemas.openxmlformats.org/officeDocument/2006/relationships/image" Target="../media/image3.png"/><Relationship Id="rId4" Type="http://schemas.openxmlformats.org/officeDocument/2006/relationships/hyperlink" Target="https://eychinamanaged.sharepoint.cn/sites/GCknowledgecenter/SitePages/%E6%A0%87%E5%87%86%E5%AE%A1%E8%AE%A1%E5%BA%95%E7%A8%BF%E6%A8%A1%E6%9D%BF_C_%E8%B4%A7%E5%B8%81%E8%B5%84%E9%87%91_202YMMDD_XYZ%E5%85%AC%E5%8F%B8_Read-me-and-Delete-me.aspx#:~:text=C.00b%20Other%20classification%2D%E6%B3%A8%E9%87%8A,%E8%AF%81%E5%88%B8%E5%85%AC%E5%8F%B8%E7%9A%84%E5%AE%A1%E8%AE%A1%E8%AF%81%E6%8D%AE%E3%80%82" TargetMode="External"/></Relationships>
</file>

<file path=xl/drawings/_rels/drawing7.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1.png"/><Relationship Id="rId1" Type="http://schemas.openxmlformats.org/officeDocument/2006/relationships/hyperlink" Target="https://eychinamanaged.sharepoint.cn/sites/GCknowledgecenter/SitePages/%E6%A0%87%E5%87%86%E5%AE%A1%E8%AE%A1%E5%BA%95%E7%A8%BF%E6%A8%A1%E6%9D%BF_C_%E8%B4%A7%E5%B8%81%E8%B5%84%E9%87%91_202YMMDD_XYZ%E5%85%AC%E5%8F%B8_Read-me-and-Delete-me.aspx#:~:text=C.02%20Bank%20reconciliations%2D%E6%B3%A8%E9%87%8A,%3E%E8%AF%84%E4%BC%B0%E9%94%99%E6%8A%A5%E9%A3%8E%E9%99%A9%E3%80%82" TargetMode="External"/></Relationships>
</file>

<file path=xl/drawings/_rels/drawing8.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https://eychinamanaged.sharepoint.cn/sites/GCknowledgecenter/SitePages/%E6%A0%87%E5%87%86%E5%AE%A1%E8%AE%A1%E5%BA%95%E7%A8%BF%E6%A8%A1%E6%9D%BF_C_%E8%B4%A7%E5%B8%81%E8%B5%84%E9%87%91_202YMMDD_XYZ%E5%85%AC%E5%8F%B8_Read-me-and-Delete-me.aspx#:~:text=C.03%20Cutoff%2D,%E7%BC%BA%E9%99%B7%E5%AF%BC%E8%87%B4%E7%9A%84%E9%94%99%E8%AF%AF%EF%BC%89%E3%80%82" TargetMode="External"/><Relationship Id="rId1" Type="http://schemas.openxmlformats.org/officeDocument/2006/relationships/image" Target="../media/image3.png"/><Relationship Id="rId4" Type="http://schemas.openxmlformats.org/officeDocument/2006/relationships/hyperlink" Target="https://eychinamanaged.sharepoint.cn/sites/GCknowledgecenter/SitePages/%E6%A0%87%E5%87%86%E5%AE%A1%E8%AE%A1%E5%BA%95%E7%A8%BF%E6%A8%A1%E6%9D%BF_C_%E8%B4%A7%E5%B8%81%E8%B5%84%E9%87%91_202YMMDD_XYZ%E5%85%AC%E5%8F%B8_Read-me-and-Delete-me.aspx#:~:text=C.03%20Cutoff%2D%E6%B3%A8%E9%87%8A13,%E5%85%B6%E4%BB%96%E3%80%82" TargetMode="External"/></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2</xdr:col>
      <xdr:colOff>1045028</xdr:colOff>
      <xdr:row>15</xdr:row>
      <xdr:rowOff>10887</xdr:rowOff>
    </xdr:from>
    <xdr:to>
      <xdr:col>3</xdr:col>
      <xdr:colOff>363</xdr:colOff>
      <xdr:row>16</xdr:row>
      <xdr:rowOff>3437</xdr:rowOff>
    </xdr:to>
    <xdr:pic>
      <xdr:nvPicPr>
        <xdr:cNvPr id="8" name="图片 1">
          <a:hlinkClick xmlns:r="http://schemas.openxmlformats.org/officeDocument/2006/relationships" r:id="rId1" tooltip="现金盘点工作的适用条件"/>
          <a:extLst>
            <a:ext uri="{FF2B5EF4-FFF2-40B4-BE49-F238E27FC236}">
              <a16:creationId xmlns:a16="http://schemas.microsoft.com/office/drawing/2014/main" id="{00000000-0008-0000-0100-00000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24742" y="7023101"/>
          <a:ext cx="206829" cy="1906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552505</xdr:colOff>
      <xdr:row>1</xdr:row>
      <xdr:rowOff>1</xdr:rowOff>
    </xdr:from>
    <xdr:to>
      <xdr:col>1</xdr:col>
      <xdr:colOff>754630</xdr:colOff>
      <xdr:row>2</xdr:row>
      <xdr:rowOff>0</xdr:rowOff>
    </xdr:to>
    <xdr:pic>
      <xdr:nvPicPr>
        <xdr:cNvPr id="11" name="图片 3">
          <a:hlinkClick xmlns:r="http://schemas.openxmlformats.org/officeDocument/2006/relationships" r:id="rId3" tooltip="Altas PSP 链接"/>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4"/>
        <a:stretch>
          <a:fillRect/>
        </a:stretch>
      </xdr:blipFill>
      <xdr:spPr>
        <a:xfrm>
          <a:off x="752076" y="163287"/>
          <a:ext cx="202125" cy="190499"/>
        </a:xfrm>
        <a:prstGeom prst="rect">
          <a:avLst/>
        </a:prstGeom>
      </xdr:spPr>
    </xdr:pic>
    <xdr:clientData/>
  </xdr:twoCellAnchor>
  <xdr:oneCellAnchor>
    <xdr:from>
      <xdr:col>6</xdr:col>
      <xdr:colOff>616856</xdr:colOff>
      <xdr:row>1</xdr:row>
      <xdr:rowOff>2</xdr:rowOff>
    </xdr:from>
    <xdr:ext cx="208643" cy="202505"/>
    <xdr:pic>
      <xdr:nvPicPr>
        <xdr:cNvPr id="15" name="图片 4">
          <a:hlinkClick xmlns:r="http://schemas.openxmlformats.org/officeDocument/2006/relationships" r:id="rId5" tooltip="预审&amp;年审工作注意事项"/>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4"/>
        <a:stretch>
          <a:fillRect/>
        </a:stretch>
      </xdr:blipFill>
      <xdr:spPr>
        <a:xfrm>
          <a:off x="7066642" y="163288"/>
          <a:ext cx="208643" cy="202505"/>
        </a:xfrm>
        <a:prstGeom prst="rect">
          <a:avLst/>
        </a:prstGeom>
      </xdr:spPr>
    </xdr:pic>
    <xdr:clientData/>
  </xdr:oneCellAnchor>
  <xdr:oneCellAnchor>
    <xdr:from>
      <xdr:col>8</xdr:col>
      <xdr:colOff>1909534</xdr:colOff>
      <xdr:row>1</xdr:row>
      <xdr:rowOff>9071</xdr:rowOff>
    </xdr:from>
    <xdr:ext cx="205343" cy="199303"/>
    <xdr:pic>
      <xdr:nvPicPr>
        <xdr:cNvPr id="3" name="图片 2">
          <a:hlinkClick xmlns:r="http://schemas.openxmlformats.org/officeDocument/2006/relationships" r:id="rId6" tooltip="如需帮助请点击"/>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4"/>
        <a:stretch>
          <a:fillRect/>
        </a:stretch>
      </xdr:blipFill>
      <xdr:spPr>
        <a:xfrm>
          <a:off x="11257641" y="689428"/>
          <a:ext cx="205343" cy="199303"/>
        </a:xfrm>
        <a:prstGeom prst="rect">
          <a:avLst/>
        </a:prstGeom>
      </xdr:spPr>
    </xdr:pic>
    <xdr:clientData/>
  </xdr:oneCellAnchor>
  <xdr:twoCellAnchor editAs="oneCell">
    <xdr:from>
      <xdr:col>2</xdr:col>
      <xdr:colOff>653142</xdr:colOff>
      <xdr:row>13</xdr:row>
      <xdr:rowOff>927211</xdr:rowOff>
    </xdr:from>
    <xdr:to>
      <xdr:col>2</xdr:col>
      <xdr:colOff>911223</xdr:colOff>
      <xdr:row>13</xdr:row>
      <xdr:rowOff>1139814</xdr:rowOff>
    </xdr:to>
    <xdr:pic>
      <xdr:nvPicPr>
        <xdr:cNvPr id="4" name="图片 3">
          <a:hlinkClick xmlns:r="http://schemas.openxmlformats.org/officeDocument/2006/relationships" r:id="rId7" tooltip="IPE考虑"/>
          <a:extLst>
            <a:ext uri="{FF2B5EF4-FFF2-40B4-BE49-F238E27FC236}">
              <a16:creationId xmlns:a16="http://schemas.microsoft.com/office/drawing/2014/main" id="{00000000-0008-0000-0100-000004000000}"/>
            </a:ext>
            <a:ext uri="{147F2762-F138-4A5C-976F-8EAC2B608ADB}">
              <a16:predDERef xmlns:a16="http://schemas.microsoft.com/office/drawing/2014/main" pred="{C695FE29-17C9-4E1B-B0EF-8E8B893A867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32856" y="6424497"/>
          <a:ext cx="245381" cy="2037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32018</xdr:colOff>
      <xdr:row>0</xdr:row>
      <xdr:rowOff>0</xdr:rowOff>
    </xdr:from>
    <xdr:to>
      <xdr:col>1</xdr:col>
      <xdr:colOff>535320</xdr:colOff>
      <xdr:row>0</xdr:row>
      <xdr:rowOff>606388</xdr:rowOff>
    </xdr:to>
    <xdr:pic>
      <xdr:nvPicPr>
        <xdr:cNvPr id="5" name="Picture 1">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a:stretch>
          <a:fillRect/>
        </a:stretch>
      </xdr:blipFill>
      <xdr:spPr>
        <a:xfrm>
          <a:off x="165100" y="0"/>
          <a:ext cx="503555" cy="604520"/>
        </a:xfrm>
        <a:prstGeom prst="rect">
          <a:avLst/>
        </a:prstGeom>
      </xdr:spPr>
    </xdr:pic>
    <xdr:clientData/>
  </xdr:twoCellAnchor>
  <xdr:twoCellAnchor editAs="oneCell">
    <xdr:from>
      <xdr:col>15</xdr:col>
      <xdr:colOff>1170215</xdr:colOff>
      <xdr:row>36</xdr:row>
      <xdr:rowOff>63628</xdr:rowOff>
    </xdr:from>
    <xdr:to>
      <xdr:col>15</xdr:col>
      <xdr:colOff>1260607</xdr:colOff>
      <xdr:row>36</xdr:row>
      <xdr:rowOff>307840</xdr:rowOff>
    </xdr:to>
    <xdr:pic>
      <xdr:nvPicPr>
        <xdr:cNvPr id="6" name="图片 1">
          <a:hlinkClick xmlns:r="http://schemas.openxmlformats.org/officeDocument/2006/relationships" r:id="rId2" tooltip="注意异常事项"/>
          <a:extLst>
            <a:ext uri="{FF2B5EF4-FFF2-40B4-BE49-F238E27FC236}">
              <a16:creationId xmlns:a16="http://schemas.microsoft.com/office/drawing/2014/main" id="{00000000-0008-0000-0200-000006000000}"/>
            </a:ext>
            <a:ext uri="{147F2762-F138-4A5C-976F-8EAC2B608ADB}">
              <a16:predDERef xmlns:a16="http://schemas.microsoft.com/office/drawing/2014/main" pred="{0B824A85-594A-4C7B-AF72-439C038CE81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0537715" y="7874128"/>
          <a:ext cx="232632" cy="2454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589643</xdr:colOff>
      <xdr:row>38</xdr:row>
      <xdr:rowOff>9071</xdr:rowOff>
    </xdr:from>
    <xdr:to>
      <xdr:col>4</xdr:col>
      <xdr:colOff>752929</xdr:colOff>
      <xdr:row>41</xdr:row>
      <xdr:rowOff>36286</xdr:rowOff>
    </xdr:to>
    <xdr:grpSp>
      <xdr:nvGrpSpPr>
        <xdr:cNvPr id="2" name="Group 10">
          <a:extLst>
            <a:ext uri="{FF2B5EF4-FFF2-40B4-BE49-F238E27FC236}">
              <a16:creationId xmlns:a16="http://schemas.microsoft.com/office/drawing/2014/main" id="{00000000-0008-0000-0200-000002000000}"/>
            </a:ext>
          </a:extLst>
        </xdr:cNvPr>
        <xdr:cNvGrpSpPr/>
      </xdr:nvGrpSpPr>
      <xdr:grpSpPr>
        <a:xfrm>
          <a:off x="6200055" y="8406012"/>
          <a:ext cx="163286" cy="587509"/>
          <a:chOff x="5778500" y="8636000"/>
          <a:chExt cx="114300" cy="758825"/>
        </a:xfrm>
      </xdr:grpSpPr>
      <xdr:cxnSp macro="">
        <xdr:nvCxnSpPr>
          <xdr:cNvPr id="4" name="Straight Connector 8">
            <a:extLst>
              <a:ext uri="{FF2B5EF4-FFF2-40B4-BE49-F238E27FC236}">
                <a16:creationId xmlns:a16="http://schemas.microsoft.com/office/drawing/2014/main" id="{00000000-0008-0000-0200-000004000000}"/>
              </a:ext>
            </a:extLst>
          </xdr:cNvPr>
          <xdr:cNvCxnSpPr/>
        </xdr:nvCxnSpPr>
        <xdr:spPr>
          <a:xfrm>
            <a:off x="5829300" y="8636000"/>
            <a:ext cx="0" cy="758825"/>
          </a:xfrm>
          <a:prstGeom prst="line">
            <a:avLst/>
          </a:prstGeom>
          <a:ln w="1">
            <a:solidFill>
              <a:srgbClr xmlns:mc="http://schemas.openxmlformats.org/markup-compatibility/2006" xmlns:a14="http://schemas.microsoft.com/office/drawing/2010/main" val="FF0000" mc:Ignorable="a14" a14:legacySpreadsheetColorIndex="10"/>
            </a:solidFill>
            <a:prstDash val="solid"/>
            <a:headEnd type="none" w="med" len="sm"/>
            <a:tailEnd type="none" w="med" len="sm"/>
          </a:ln>
        </xdr:spPr>
        <xdr:style>
          <a:lnRef idx="1">
            <a:schemeClr val="accent1"/>
          </a:lnRef>
          <a:fillRef idx="0">
            <a:schemeClr val="accent1"/>
          </a:fillRef>
          <a:effectRef idx="0">
            <a:schemeClr val="accent1"/>
          </a:effectRef>
          <a:fontRef idx="minor">
            <a:schemeClr val="tx1"/>
          </a:fontRef>
        </xdr:style>
      </xdr:cxnSp>
      <xdr:cxnSp macro="">
        <xdr:nvCxnSpPr>
          <xdr:cNvPr id="7" name="Straight Connector 9">
            <a:extLst>
              <a:ext uri="{FF2B5EF4-FFF2-40B4-BE49-F238E27FC236}">
                <a16:creationId xmlns:a16="http://schemas.microsoft.com/office/drawing/2014/main" id="{00000000-0008-0000-0200-000007000000}"/>
              </a:ext>
            </a:extLst>
          </xdr:cNvPr>
          <xdr:cNvCxnSpPr/>
        </xdr:nvCxnSpPr>
        <xdr:spPr>
          <a:xfrm>
            <a:off x="5778500" y="9394825"/>
            <a:ext cx="114300" cy="0"/>
          </a:xfrm>
          <a:prstGeom prst="line">
            <a:avLst/>
          </a:prstGeom>
          <a:ln w="1">
            <a:solidFill>
              <a:srgbClr xmlns:mc="http://schemas.openxmlformats.org/markup-compatibility/2006" xmlns:a14="http://schemas.microsoft.com/office/drawing/2010/main" val="FF0000" mc:Ignorable="a14" a14:legacySpreadsheetColorIndex="10"/>
            </a:solidFill>
            <a:prstDash val="solid"/>
            <a:headEnd type="none" w="med" len="sm"/>
            <a:tailEnd type="none" w="med" len="sm"/>
          </a:ln>
        </xdr:spPr>
        <xdr:style>
          <a:lnRef idx="1">
            <a:schemeClr val="accent1"/>
          </a:lnRef>
          <a:fillRef idx="0">
            <a:schemeClr val="accent1"/>
          </a:fillRef>
          <a:effectRef idx="0">
            <a:schemeClr val="accent1"/>
          </a:effectRef>
          <a:fontRef idx="minor">
            <a:schemeClr val="tx1"/>
          </a:fontRef>
        </xdr:style>
      </xdr:cxnSp>
    </xdr:grpSp>
    <xdr:clientData/>
  </xdr:twoCellAnchor>
  <xdr:oneCellAnchor>
    <xdr:from>
      <xdr:col>1</xdr:col>
      <xdr:colOff>1246909</xdr:colOff>
      <xdr:row>67</xdr:row>
      <xdr:rowOff>103908</xdr:rowOff>
    </xdr:from>
    <xdr:ext cx="208643" cy="202505"/>
    <xdr:pic>
      <xdr:nvPicPr>
        <xdr:cNvPr id="8" name="图片 4">
          <a:hlinkClick xmlns:r="http://schemas.openxmlformats.org/officeDocument/2006/relationships" r:id="rId4" tooltip="现金及现金等价物的定义以及常见现金等价物的名词解释"/>
          <a:extLst>
            <a:ext uri="{FF2B5EF4-FFF2-40B4-BE49-F238E27FC236}">
              <a16:creationId xmlns:a16="http://schemas.microsoft.com/office/drawing/2014/main" id="{00000000-0008-0000-0200-000008000000}"/>
            </a:ext>
          </a:extLst>
        </xdr:cNvPr>
        <xdr:cNvPicPr>
          <a:picLocks noChangeAspect="1"/>
        </xdr:cNvPicPr>
      </xdr:nvPicPr>
      <xdr:blipFill>
        <a:blip xmlns:r="http://schemas.openxmlformats.org/officeDocument/2006/relationships" r:embed="rId5"/>
        <a:stretch>
          <a:fillRect/>
        </a:stretch>
      </xdr:blipFill>
      <xdr:spPr>
        <a:xfrm>
          <a:off x="1443182" y="11510817"/>
          <a:ext cx="208643" cy="202505"/>
        </a:xfrm>
        <a:prstGeom prst="rect">
          <a:avLst/>
        </a:prstGeom>
      </xdr:spPr>
    </xdr:pic>
    <xdr:clientData/>
  </xdr:oneCellAnchor>
  <xdr:oneCellAnchor>
    <xdr:from>
      <xdr:col>1</xdr:col>
      <xdr:colOff>1533072</xdr:colOff>
      <xdr:row>67</xdr:row>
      <xdr:rowOff>99786</xdr:rowOff>
    </xdr:from>
    <xdr:ext cx="208643" cy="202505"/>
    <xdr:pic>
      <xdr:nvPicPr>
        <xdr:cNvPr id="3" name="图片 4">
          <a:hlinkClick xmlns:r="http://schemas.openxmlformats.org/officeDocument/2006/relationships" r:id="rId6" tooltip="注意现金等价物的披露"/>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5"/>
        <a:stretch>
          <a:fillRect/>
        </a:stretch>
      </xdr:blipFill>
      <xdr:spPr>
        <a:xfrm>
          <a:off x="1732643" y="11547929"/>
          <a:ext cx="208643" cy="20250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1</xdr:col>
      <xdr:colOff>54430</xdr:colOff>
      <xdr:row>0</xdr:row>
      <xdr:rowOff>66222</xdr:rowOff>
    </xdr:from>
    <xdr:to>
      <xdr:col>1</xdr:col>
      <xdr:colOff>529627</xdr:colOff>
      <xdr:row>0</xdr:row>
      <xdr:rowOff>574462</xdr:rowOff>
    </xdr:to>
    <xdr:pic>
      <xdr:nvPicPr>
        <xdr:cNvPr id="2" name="Picture 3">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251280" y="66222"/>
          <a:ext cx="475197" cy="50824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20</xdr:col>
          <xdr:colOff>63500</xdr:colOff>
          <xdr:row>0</xdr:row>
          <xdr:rowOff>120650</xdr:rowOff>
        </xdr:from>
        <xdr:to>
          <xdr:col>25</xdr:col>
          <xdr:colOff>406400</xdr:colOff>
          <xdr:row>4</xdr:row>
          <xdr:rowOff>6350</xdr:rowOff>
        </xdr:to>
        <xdr:sp macro="" textlink="">
          <xdr:nvSpPr>
            <xdr:cNvPr id="10243" name="Object 3" hidden="1">
              <a:extLst>
                <a:ext uri="{63B3BB69-23CF-44E3-9099-C40C66FF867C}">
                  <a14:compatExt spid="_x0000_s10243"/>
                </a:ext>
                <a:ext uri="{FF2B5EF4-FFF2-40B4-BE49-F238E27FC236}">
                  <a16:creationId xmlns:a16="http://schemas.microsoft.com/office/drawing/2014/main" id="{00000000-0008-0000-0400-0000032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xdr:twoCellAnchor editAs="oneCell">
    <xdr:from>
      <xdr:col>20</xdr:col>
      <xdr:colOff>925286</xdr:colOff>
      <xdr:row>8</xdr:row>
      <xdr:rowOff>308428</xdr:rowOff>
    </xdr:from>
    <xdr:to>
      <xdr:col>20</xdr:col>
      <xdr:colOff>1140153</xdr:colOff>
      <xdr:row>8</xdr:row>
      <xdr:rowOff>530143</xdr:rowOff>
    </xdr:to>
    <xdr:pic>
      <xdr:nvPicPr>
        <xdr:cNvPr id="8" name="图片 4">
          <a:hlinkClick xmlns:r="http://schemas.openxmlformats.org/officeDocument/2006/relationships" r:id="rId1" tooltip="开销户证明"/>
          <a:extLst>
            <a:ext uri="{FF2B5EF4-FFF2-40B4-BE49-F238E27FC236}">
              <a16:creationId xmlns:a16="http://schemas.microsoft.com/office/drawing/2014/main" id="{00000000-0008-0000-0600-000008000000}"/>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821572" y="2367642"/>
          <a:ext cx="291067" cy="216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54429</xdr:colOff>
      <xdr:row>0</xdr:row>
      <xdr:rowOff>66222</xdr:rowOff>
    </xdr:from>
    <xdr:to>
      <xdr:col>1</xdr:col>
      <xdr:colOff>536590</xdr:colOff>
      <xdr:row>0</xdr:row>
      <xdr:rowOff>613074</xdr:rowOff>
    </xdr:to>
    <xdr:pic>
      <xdr:nvPicPr>
        <xdr:cNvPr id="2" name="Picture 3">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3"/>
        <a:stretch>
          <a:fillRect/>
        </a:stretch>
      </xdr:blipFill>
      <xdr:spPr>
        <a:xfrm>
          <a:off x="168729" y="66222"/>
          <a:ext cx="494861" cy="553837"/>
        </a:xfrm>
        <a:prstGeom prst="rect">
          <a:avLst/>
        </a:prstGeom>
      </xdr:spPr>
    </xdr:pic>
    <xdr:clientData/>
  </xdr:twoCellAnchor>
  <xdr:twoCellAnchor editAs="oneCell">
    <xdr:from>
      <xdr:col>15</xdr:col>
      <xdr:colOff>961571</xdr:colOff>
      <xdr:row>8</xdr:row>
      <xdr:rowOff>226785</xdr:rowOff>
    </xdr:from>
    <xdr:to>
      <xdr:col>16</xdr:col>
      <xdr:colOff>593</xdr:colOff>
      <xdr:row>8</xdr:row>
      <xdr:rowOff>492353</xdr:rowOff>
    </xdr:to>
    <xdr:pic>
      <xdr:nvPicPr>
        <xdr:cNvPr id="6" name="图片 2">
          <a:hlinkClick xmlns:r="http://schemas.openxmlformats.org/officeDocument/2006/relationships" r:id="rId4" tooltip="银行回函金额与对账单金额可视为相同效力的审计证据"/>
          <a:extLst>
            <a:ext uri="{FF2B5EF4-FFF2-40B4-BE49-F238E27FC236}">
              <a16:creationId xmlns:a16="http://schemas.microsoft.com/office/drawing/2014/main" id="{00000000-0008-0000-0600-00000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351250" y="1927678"/>
          <a:ext cx="235858" cy="2547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18144</xdr:colOff>
      <xdr:row>0</xdr:row>
      <xdr:rowOff>20864</xdr:rowOff>
    </xdr:from>
    <xdr:to>
      <xdr:col>1</xdr:col>
      <xdr:colOff>530710</xdr:colOff>
      <xdr:row>0</xdr:row>
      <xdr:rowOff>606334</xdr:rowOff>
    </xdr:to>
    <xdr:pic>
      <xdr:nvPicPr>
        <xdr:cNvPr id="2" name="Picture 2">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130203" y="20864"/>
          <a:ext cx="497326" cy="577850"/>
        </a:xfrm>
        <a:prstGeom prst="rect">
          <a:avLst/>
        </a:prstGeom>
      </xdr:spPr>
    </xdr:pic>
    <xdr:clientData/>
  </xdr:twoCellAnchor>
  <xdr:twoCellAnchor editAs="oneCell">
    <xdr:from>
      <xdr:col>9</xdr:col>
      <xdr:colOff>952500</xdr:colOff>
      <xdr:row>12</xdr:row>
      <xdr:rowOff>217714</xdr:rowOff>
    </xdr:from>
    <xdr:to>
      <xdr:col>9</xdr:col>
      <xdr:colOff>1169851</xdr:colOff>
      <xdr:row>13</xdr:row>
      <xdr:rowOff>2396</xdr:rowOff>
    </xdr:to>
    <xdr:pic>
      <xdr:nvPicPr>
        <xdr:cNvPr id="16" name="图片 4">
          <a:hlinkClick xmlns:r="http://schemas.openxmlformats.org/officeDocument/2006/relationships" r:id="rId2" tooltip="调查受限金额的性质和原因"/>
          <a:extLst>
            <a:ext uri="{FF2B5EF4-FFF2-40B4-BE49-F238E27FC236}">
              <a16:creationId xmlns:a16="http://schemas.microsoft.com/office/drawing/2014/main" id="{00000000-0008-0000-0700-000010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1829143" y="3138714"/>
          <a:ext cx="263071" cy="2382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19479</xdr:colOff>
      <xdr:row>8</xdr:row>
      <xdr:rowOff>18143</xdr:rowOff>
    </xdr:from>
    <xdr:to>
      <xdr:col>2</xdr:col>
      <xdr:colOff>339453</xdr:colOff>
      <xdr:row>9</xdr:row>
      <xdr:rowOff>2721</xdr:rowOff>
    </xdr:to>
    <xdr:pic>
      <xdr:nvPicPr>
        <xdr:cNvPr id="13" name="图片 2">
          <a:hlinkClick xmlns:r="http://schemas.openxmlformats.org/officeDocument/2006/relationships" r:id="rId4" tooltip="第三方支付平台、存出投资款介绍"/>
          <a:extLst>
            <a:ext uri="{FF2B5EF4-FFF2-40B4-BE49-F238E27FC236}">
              <a16:creationId xmlns:a16="http://schemas.microsoft.com/office/drawing/2014/main" id="{00000000-0008-0000-0700-00000D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815622" y="2068286"/>
          <a:ext cx="316164" cy="2630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1015997</xdr:colOff>
      <xdr:row>4</xdr:row>
      <xdr:rowOff>72188</xdr:rowOff>
    </xdr:from>
    <xdr:to>
      <xdr:col>2</xdr:col>
      <xdr:colOff>1443</xdr:colOff>
      <xdr:row>5</xdr:row>
      <xdr:rowOff>177638</xdr:rowOff>
    </xdr:to>
    <xdr:pic>
      <xdr:nvPicPr>
        <xdr:cNvPr id="2" name="图片 1">
          <a:hlinkClick xmlns:r="http://schemas.openxmlformats.org/officeDocument/2006/relationships" r:id="rId1" tooltip="如何执行银行余额调节项截止性测试"/>
          <a:extLst>
            <a:ext uri="{FF2B5EF4-FFF2-40B4-BE49-F238E27FC236}">
              <a16:creationId xmlns:a16="http://schemas.microsoft.com/office/drawing/2014/main" id="{00000000-0008-0000-0800-00000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flipH="1">
          <a:off x="1212270" y="1434552"/>
          <a:ext cx="300184" cy="2763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497326</xdr:colOff>
      <xdr:row>0</xdr:row>
      <xdr:rowOff>574040</xdr:rowOff>
    </xdr:to>
    <xdr:pic>
      <xdr:nvPicPr>
        <xdr:cNvPr id="5" name="Picture 2">
          <a:extLst>
            <a:ext uri="{FF2B5EF4-FFF2-40B4-BE49-F238E27FC236}">
              <a16:creationId xmlns:a16="http://schemas.microsoft.com/office/drawing/2014/main" id="{00000000-0008-0000-0800-000005000000}"/>
            </a:ext>
          </a:extLst>
        </xdr:cNvPr>
        <xdr:cNvPicPr>
          <a:picLocks noChangeAspect="1"/>
        </xdr:cNvPicPr>
      </xdr:nvPicPr>
      <xdr:blipFill>
        <a:blip xmlns:r="http://schemas.openxmlformats.org/officeDocument/2006/relationships" r:embed="rId3"/>
        <a:stretch>
          <a:fillRect/>
        </a:stretch>
      </xdr:blipFill>
      <xdr:spPr>
        <a:xfrm>
          <a:off x="196273" y="0"/>
          <a:ext cx="497326" cy="5778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54429</xdr:colOff>
      <xdr:row>0</xdr:row>
      <xdr:rowOff>66221</xdr:rowOff>
    </xdr:from>
    <xdr:to>
      <xdr:col>1</xdr:col>
      <xdr:colOff>536590</xdr:colOff>
      <xdr:row>1</xdr:row>
      <xdr:rowOff>3447</xdr:rowOff>
    </xdr:to>
    <xdr:pic>
      <xdr:nvPicPr>
        <xdr:cNvPr id="2" name="Picture 4">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stretch>
          <a:fillRect/>
        </a:stretch>
      </xdr:blipFill>
      <xdr:spPr>
        <a:xfrm>
          <a:off x="187325" y="66040"/>
          <a:ext cx="495300" cy="570865"/>
        </a:xfrm>
        <a:prstGeom prst="rect">
          <a:avLst/>
        </a:prstGeom>
      </xdr:spPr>
    </xdr:pic>
    <xdr:clientData/>
  </xdr:twoCellAnchor>
  <xdr:twoCellAnchor editAs="oneCell">
    <xdr:from>
      <xdr:col>2</xdr:col>
      <xdr:colOff>399143</xdr:colOff>
      <xdr:row>1</xdr:row>
      <xdr:rowOff>81643</xdr:rowOff>
    </xdr:from>
    <xdr:to>
      <xdr:col>2</xdr:col>
      <xdr:colOff>682811</xdr:colOff>
      <xdr:row>1</xdr:row>
      <xdr:rowOff>308236</xdr:rowOff>
    </xdr:to>
    <xdr:pic>
      <xdr:nvPicPr>
        <xdr:cNvPr id="3" name="图片 2">
          <a:hlinkClick xmlns:r="http://schemas.openxmlformats.org/officeDocument/2006/relationships" r:id="rId2" tooltip="现金截止性测试介绍"/>
          <a:extLst>
            <a:ext uri="{FF2B5EF4-FFF2-40B4-BE49-F238E27FC236}">
              <a16:creationId xmlns:a16="http://schemas.microsoft.com/office/drawing/2014/main" id="{00000000-0008-0000-0D00-000003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950357" y="716643"/>
          <a:ext cx="282120" cy="2342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204107</xdr:colOff>
      <xdr:row>8</xdr:row>
      <xdr:rowOff>136070</xdr:rowOff>
    </xdr:from>
    <xdr:to>
      <xdr:col>5</xdr:col>
      <xdr:colOff>492577</xdr:colOff>
      <xdr:row>10</xdr:row>
      <xdr:rowOff>3072</xdr:rowOff>
    </xdr:to>
    <xdr:pic>
      <xdr:nvPicPr>
        <xdr:cNvPr id="4" name="图片 3">
          <a:hlinkClick xmlns:r="http://schemas.openxmlformats.org/officeDocument/2006/relationships" r:id="rId4" tooltip="IPE考虑"/>
          <a:extLst>
            <a:ext uri="{FF2B5EF4-FFF2-40B4-BE49-F238E27FC236}">
              <a16:creationId xmlns:a16="http://schemas.microsoft.com/office/drawing/2014/main" id="{00000000-0008-0000-0D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796643" y="2285999"/>
          <a:ext cx="282120" cy="2342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eychinamanaged.sharepoint.cn/sites/DFAM/Shared%20Documents/&#36164;&#31649;%202025/5.%20A3A5&amp;OAR&amp;CFS/25&#21672;&#35810;A3A5&#65288;&#24050;&#20256;canvas%20&#20462;&#25913;&#35831;&#19978;canvas&#25110;&#21516;&#27493;&#65289;/1231/&#19996;&#39118;&#40511;&#36828;_A3&amp;A5_&#36164;&#20135;&#36127;&#20538;&#21450;&#25439;&#30410;&#34920;_20251231.xlsx" TargetMode="External"/><Relationship Id="rId1" Type="http://schemas.openxmlformats.org/officeDocument/2006/relationships/externalLinkPath" Target="https://eychinamanaged.sharepoint.cn/sites/DFAM/Shared%20Documents/&#36164;&#31649;%202025/5.%20A3A5&amp;OAR&amp;CFS/25&#21672;&#35810;A3A5&#65288;&#24050;&#20256;canvas%20&#20462;&#25913;&#35831;&#19978;canvas&#25110;&#21516;&#27493;&#65289;/1231/&#19996;&#39118;&#40511;&#36828;_A3&amp;A5_&#36164;&#20135;&#36127;&#20538;&#21450;&#25439;&#30410;&#34920;_2025123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eychinamanaged.sharepoint.cn/sites/DFAM/Shared%20Documents/&#36164;&#31649;%202025/5.%20A3A5&amp;OAR&amp;CFS/CFS/&#21672;&#35810;&#65288;&#24050;&#19978;&#20256;canvas&#65289;/CFS%20&#19996;&#39118;&#40511;&#36828;_A3&amp;A5_&#36164;&#20135;&#36127;&#20538;&#21450;&#25439;&#30410;&#34920;_20251231.xlsx" TargetMode="External"/><Relationship Id="rId1" Type="http://schemas.openxmlformats.org/officeDocument/2006/relationships/externalLinkPath" Target="https://eychinamanaged.sharepoint.cn/sites/DFAM/Shared%20Documents/&#36164;&#31649;%202025/5.%20A3A5&amp;OAR&amp;CFS/CFS/&#21672;&#35810;&#65288;&#24050;&#19978;&#20256;canvas&#65289;/CFS%20&#19996;&#39118;&#40511;&#36828;_A3&amp;A5_&#36164;&#20135;&#36127;&#20538;&#21450;&#25439;&#30410;&#34920;_2025123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kywind"/>
      <sheetName val="Lead"/>
      <sheetName val="cache"/>
      <sheetName val="A3_Consol"/>
      <sheetName val="Modify_A3_Control"/>
      <sheetName val="Roll_A3"/>
      <sheetName val="使用手册"/>
      <sheetName val="Control list"/>
      <sheetName val="审定表"/>
      <sheetName val="A3"/>
      <sheetName val="A5"/>
      <sheetName val="A5_Adj_sum"/>
      <sheetName val="25BPC原报数_资产负债表"/>
      <sheetName val="25BPC原报数_利润表"/>
      <sheetName val="24BPC原报数_资产负债表"/>
      <sheetName val="24BPC原报数_利润表"/>
      <sheetName val="DS_INTERNAL_SETTINGS_STORAGE"/>
      <sheetName val="DS_INTERNAL_DOCGROUP_STORAGE"/>
      <sheetName val="DS_INTERNAL_DOCUMENT_STORAGE"/>
      <sheetName val="DS_INTERNAL_SNIP_STORAGE"/>
    </sheetNames>
    <sheetDataSet>
      <sheetData sheetId="0"/>
      <sheetData sheetId="1"/>
      <sheetData sheetId="2"/>
      <sheetData sheetId="3"/>
      <sheetData sheetId="4"/>
      <sheetData sheetId="5"/>
      <sheetData sheetId="6"/>
      <sheetData sheetId="7"/>
      <sheetData sheetId="8"/>
      <sheetData sheetId="9">
        <row r="13">
          <cell r="F13">
            <v>6055157.0800000001</v>
          </cell>
          <cell r="H13">
            <v>6055157.0800000001</v>
          </cell>
          <cell r="L13">
            <v>4889286.68</v>
          </cell>
        </row>
      </sheetData>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kywind"/>
      <sheetName val="Lead"/>
      <sheetName val="cache"/>
      <sheetName val="A3_Consol"/>
      <sheetName val="Modify_A3_Control"/>
      <sheetName val="Roll_A3"/>
      <sheetName val="使用手册"/>
      <sheetName val="Control list"/>
      <sheetName val="审定表"/>
      <sheetName val="A3"/>
      <sheetName val="A5"/>
      <sheetName val="A5_Adj_sum"/>
      <sheetName val="CF-WP"/>
      <sheetName val="CF-主表"/>
      <sheetName val="CFS-附表"/>
      <sheetName val="CF-notes"/>
      <sheetName val="CF-资产movement"/>
      <sheetName val="25BPC原报数_资产负债表"/>
      <sheetName val="25BPC原报数_利润表"/>
      <sheetName val="24BPC原报数_资产负债表"/>
      <sheetName val="24BPC原报数_利润表"/>
      <sheetName val="DS_INTERNAL_SETTINGS_STORAGE"/>
      <sheetName val="DS_INTERNAL_DOCGROUP_STORAGE"/>
      <sheetName val="DS_INTERNAL_DOCUMENT_STORAGE"/>
      <sheetName val="DS_INTERNAL_SNIP_STORAG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45">
          <cell r="E45">
            <v>6055157.0800000001</v>
          </cell>
        </row>
      </sheetData>
      <sheetData sheetId="14"/>
      <sheetData sheetId="15"/>
      <sheetData sheetId="16"/>
      <sheetData sheetId="17"/>
      <sheetData sheetId="18"/>
      <sheetData sheetId="19"/>
      <sheetData sheetId="20"/>
      <sheetData sheetId="21"/>
      <sheetData sheetId="22"/>
      <sheetData sheetId="23"/>
      <sheetData sheetId="24"/>
    </sheetDataSet>
  </externalBook>
</externalLink>
</file>

<file path=xl/persons/person.xml><?xml version="1.0" encoding="utf-8"?>
<personList xmlns="http://schemas.microsoft.com/office/spreadsheetml/2018/threadedcomments" xmlns:x="http://schemas.openxmlformats.org/spreadsheetml/2006/main">
  <person displayName="Rui R Hu" id="{3FC06A11-AAA6-48C9-9ADA-16C5EC144E6F}" userId="S::Rui.R.Hu1@cn.ey.com::6d510b24-1dfc-442c-be37-dd9b78c14bbb" providerId="AD"/>
  <person displayName="Dana D Li" id="{CCC2DBCE-251C-4CAA-AE2A-525FE5377905}" userId="S::Dana.D.Li1@cn.ey.com::e8e9757c-2580-47ca-adc7-0fc57035227d" providerId="AD"/>
</personList>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50" dT="2026-03-22T08:39:38.91" personId="{CCC2DBCE-251C-4CAA-AE2A-525FE5377905}" id="{ED4BC2A2-FC2C-43C3-9711-E8C94B7357BD}">
    <text>根据项目组CFS修改</text>
  </threadedComment>
  <threadedComment ref="B50" dT="2026-03-23T07:19:23.24" personId="{3FC06A11-AAA6-48C9-9ADA-16C5EC144E6F}" id="{89AF7032-0C32-4B38-902B-B2040DA33998}" parentId="{ED4BC2A2-FC2C-43C3-9711-E8C94B7357BD}">
    <text>已更新</text>
  </threadedComment>
</ThreadedComments>
</file>

<file path=xl/threadedComments/threadedComment2.xml><?xml version="1.0" encoding="utf-8"?>
<ThreadedComments xmlns="http://schemas.microsoft.com/office/spreadsheetml/2018/threadedcomments" xmlns:x="http://schemas.openxmlformats.org/spreadsheetml/2006/main">
  <threadedComment ref="C39" dT="2026-03-22T08:41:44.69" personId="{CCC2DBCE-251C-4CAA-AE2A-525FE5377905}" id="{6EE0DCE1-AF79-44BE-9096-5F597E5642F6}">
    <text>提醒项目组现金流披露，项目组将受限资金披露为现金及现金等价物（参考招标公司cmts)</text>
  </threadedComment>
</ThreadedComments>
</file>

<file path=xl/threadedComments/threadedComment3.xml><?xml version="1.0" encoding="utf-8"?>
<ThreadedComments xmlns="http://schemas.microsoft.com/office/spreadsheetml/2018/threadedcomments" xmlns:x="http://schemas.openxmlformats.org/spreadsheetml/2006/main">
  <threadedComment ref="K34" dT="2026-03-22T08:43:10.36" personId="{CCC2DBCE-251C-4CAA-AE2A-525FE5377905}" id="{A62238B5-660D-49F2-AB48-AE745328189A}">
    <text>参考招标的cmts，如果项目组确定要列为现金等价物，才在这里做测试</text>
  </threadedComment>
  <threadedComment ref="K34" dT="2026-03-23T08:14:27.21" personId="{3FC06A11-AAA6-48C9-9ADA-16C5EC144E6F}" id="{BC13DA4B-64C5-4DED-BDCF-1F90176A4D38}" parentId="{A62238B5-660D-49F2-AB48-AE745328189A}">
    <text>与客户 确认为履约保证金，已更新</text>
  </threadedComment>
</ThreadedComments>
</file>

<file path=xl/worksheets/_rels/sheet1.xml.rels><?xml version="1.0" encoding="UTF-8" standalone="yes"?>
<Relationships xmlns="http://schemas.openxmlformats.org/package/2006/relationships"><Relationship Id="rId3" Type="http://schemas.openxmlformats.org/officeDocument/2006/relationships/hyperlink" Target="C%20SWP%20&#36135;&#24065;&#36164;&#37329;%2020251231%20&#19996;&#39118;&#40511;&#36828;&#24037;&#31243;&#21672;&#35810;&#26377;&#38480;&#20844;&#21496;.xlsx" TargetMode="External"/><Relationship Id="rId2" Type="http://schemas.openxmlformats.org/officeDocument/2006/relationships/hyperlink" Target="C%20SWP%20&#36135;&#24065;&#36164;&#37329;%2020251231%20&#19996;&#39118;&#40511;&#36828;&#24037;&#31243;&#21672;&#35810;&#26377;&#38480;&#20844;&#21496;.xlsx" TargetMode="External"/><Relationship Id="rId1" Type="http://schemas.openxmlformats.org/officeDocument/2006/relationships/hyperlink" Target="C%20SWP%20&#36135;&#24065;&#36164;&#37329;%2020251231%20&#19996;&#39118;&#40511;&#36828;&#24037;&#31243;&#21672;&#35810;&#26377;&#38480;&#20844;&#21496;.xlsx"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CanvasDocHelper/CanvasDocHelper/CanvasDocHelper/CanvasDocHelper/CanvasDocHelper/CanvasDocHelper/:x:/r/sites/GCknowledgecenter/Shared%20Documents/%E5%AE%A1%E8%AE%A1%E6%A0%87%E5%87%86%E5%BA%95%E7%A8%BF/%E6%A0%87%E5%87%86%E5%AE%A1%E8%AE%A1%E5%BA%95%E7%A8%BF%E6%A8%A1%E6%9D%BF%E7%AC%AC%E5%85%AD%E7%89%88-%E4%BD%BF%E7%94%A8%E7%89%88/C.00a%20Negative%20cash.xlsx?d=w85bea283ab1c470c8ede0132fb417f23&amp;csf=1&amp;web=1&amp;e=j3Ajh9" TargetMode="External"/><Relationship Id="rId2" Type="http://schemas.openxmlformats.org/officeDocument/2006/relationships/hyperlink" Target="../../CanvasDocHelper/CanvasDocHelper/CanvasDocHelper/CanvasDocHelper/CanvasDocHelper/CanvasDocHelper/CanvasDocHelper/CanvasDocHelper/emma_jh_he_cn_ey_com/Documents/Desktop/FY26/C%20PO/C.00e%20%E7%8E%B0%E9%87%91%E7%9B%98%E7%82%B9.xlsx?web=1" TargetMode="External"/><Relationship Id="rId1" Type="http://schemas.openxmlformats.org/officeDocument/2006/relationships/hyperlink" Target="../../CanvasDocHelper/CanvasDocHelper/CanvasDocHelper/CanvasDocHelper/CanvasDocHelper/CanvasDocHelper/CanvasDocHelper/CanvasDocHelper/emma_jh_he_cn_ey_com/Documents/Desktop/FY26/C%20PO/C.00d%20Negative%20cash.xlsx?web=1"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CanvasDocHelper/CanvasDocHelper/CanvasDocHelper/CanvasDocHelper/CanvasDocHelper/CanvasDocHelper/:x:/r/sites/GCknowledgecenter/Shared%20Documents/%E5%AE%A1%E8%AE%A1%E6%A0%87%E5%87%86%E5%BA%95%E7%A8%BF/%E6%A0%87%E5%87%86%E5%AE%A1%E8%AE%A1%E5%BA%95%E7%A8%BF%E6%A8%A1%E6%9D%BF%E7%AC%AC%E5%85%AD%E7%89%88-%E4%BD%BF%E7%94%A8%E7%89%88/C.00c%20%E7%8E%B0%E9%87%91%E7%9B%98%E7%82%B9.xlsx?d=wbd3f59f0adb6484e912d6e014c77041c&amp;csf=1&amp;web=1&amp;e=aI3hhm"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openxmlformats.org/officeDocument/2006/relationships/image" Target="../media/image4.emf"/><Relationship Id="rId4" Type="http://schemas.openxmlformats.org/officeDocument/2006/relationships/oleObject" Target="../embeddings/oleObject1.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6.xml"/><Relationship Id="rId1" Type="http://schemas.openxmlformats.org/officeDocument/2006/relationships/printerSettings" Target="../printerSettings/printerSettings6.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18160-DD7C-4FF3-9F90-6D2C61B5515E}">
  <sheetPr>
    <tabColor rgb="FFFF0000"/>
  </sheetPr>
  <dimension ref="A1:F4"/>
  <sheetViews>
    <sheetView tabSelected="1" zoomScale="85" zoomScaleNormal="85" workbookViewId="0">
      <selection activeCell="D4" sqref="D4"/>
    </sheetView>
  </sheetViews>
  <sheetFormatPr defaultRowHeight="14"/>
  <cols>
    <col min="1" max="2" width="8.58203125" customWidth="1"/>
    <col min="3" max="3" width="12.58203125" customWidth="1"/>
    <col min="4" max="5" width="70.58203125" customWidth="1"/>
    <col min="6" max="6" width="8.58203125" customWidth="1"/>
  </cols>
  <sheetData>
    <row r="1" spans="1:6">
      <c r="A1" s="568" t="s">
        <v>535</v>
      </c>
      <c r="B1" s="568" t="s">
        <v>536</v>
      </c>
      <c r="C1" s="568" t="s">
        <v>537</v>
      </c>
      <c r="D1" s="568" t="s">
        <v>538</v>
      </c>
      <c r="E1" s="568" t="s">
        <v>539</v>
      </c>
      <c r="F1" s="568" t="s">
        <v>540</v>
      </c>
    </row>
    <row r="2" spans="1:6" ht="42">
      <c r="A2">
        <v>1</v>
      </c>
      <c r="B2" t="s">
        <v>8</v>
      </c>
      <c r="C2" s="570" t="s">
        <v>556</v>
      </c>
      <c r="D2" s="569" t="s">
        <v>557</v>
      </c>
      <c r="E2" s="569" t="s">
        <v>566</v>
      </c>
      <c r="F2" t="s">
        <v>549</v>
      </c>
    </row>
    <row r="3" spans="1:6" ht="56">
      <c r="A3">
        <v>2</v>
      </c>
      <c r="B3" t="s">
        <v>10</v>
      </c>
      <c r="C3" s="570" t="s">
        <v>558</v>
      </c>
      <c r="D3" s="569" t="s">
        <v>559</v>
      </c>
      <c r="F3" t="s">
        <v>549</v>
      </c>
    </row>
    <row r="4" spans="1:6" ht="42">
      <c r="A4">
        <v>3</v>
      </c>
      <c r="B4" t="s">
        <v>20</v>
      </c>
      <c r="C4" s="570" t="s">
        <v>560</v>
      </c>
      <c r="D4" s="569" t="s">
        <v>561</v>
      </c>
      <c r="E4" s="569" t="s">
        <v>567</v>
      </c>
      <c r="F4" t="s">
        <v>549</v>
      </c>
    </row>
  </sheetData>
  <phoneticPr fontId="162" type="noConversion"/>
  <hyperlinks>
    <hyperlink ref="C2" r:id="rId1" location="'C.00 Lead'!$B$50" xr:uid="{81E19FCA-8932-47BA-BB86-C493182CEF57}"/>
    <hyperlink ref="C3" r:id="rId2" location="'C.00 BKD'!$C$39" xr:uid="{DC55375C-E0BB-4FF4-A628-88C79709DB24}"/>
    <hyperlink ref="C4" r:id="rId3" location="'C.00b Other classification'!$K$34" xr:uid="{6EE30F1D-5525-4E96-A18C-EEF93CFBD3C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3"/>
  <sheetViews>
    <sheetView showGridLines="0" zoomScale="70" zoomScaleNormal="70" workbookViewId="0">
      <selection activeCell="G26" sqref="G26"/>
    </sheetView>
  </sheetViews>
  <sheetFormatPr defaultColWidth="9" defaultRowHeight="12.75" customHeight="1"/>
  <cols>
    <col min="1" max="1" width="2.58203125" style="119" customWidth="1"/>
    <col min="2" max="2" width="10.25" style="330" customWidth="1"/>
    <col min="3" max="3" width="18" style="119" customWidth="1"/>
    <col min="4" max="4" width="19.33203125" style="119" customWidth="1"/>
    <col min="5" max="5" width="15" style="119" customWidth="1"/>
    <col min="6" max="6" width="20.33203125" style="330" bestFit="1" customWidth="1"/>
    <col min="7" max="7" width="11.75" style="330" customWidth="1"/>
    <col min="8" max="8" width="28.25" style="6" customWidth="1"/>
    <col min="9" max="9" width="39.33203125" style="119" customWidth="1"/>
    <col min="10" max="16384" width="9" style="119"/>
  </cols>
  <sheetData>
    <row r="1" spans="1:9" ht="20">
      <c r="A1" s="484" t="s">
        <v>0</v>
      </c>
    </row>
    <row r="2" spans="1:9" ht="15" customHeight="1">
      <c r="B2" s="399" t="s">
        <v>1</v>
      </c>
      <c r="C2" s="594" t="s">
        <v>2</v>
      </c>
      <c r="D2" s="595"/>
      <c r="E2" s="596"/>
      <c r="F2" s="331" t="s">
        <v>3</v>
      </c>
      <c r="G2" s="331" t="s">
        <v>4</v>
      </c>
      <c r="H2" s="332" t="s">
        <v>5</v>
      </c>
      <c r="I2" s="331" t="s">
        <v>6</v>
      </c>
    </row>
    <row r="3" spans="1:9" ht="33" customHeight="1">
      <c r="B3" s="579">
        <v>1</v>
      </c>
      <c r="C3" s="597" t="s">
        <v>7</v>
      </c>
      <c r="D3" s="598"/>
      <c r="E3" s="599"/>
      <c r="F3" s="321" t="s">
        <v>8</v>
      </c>
      <c r="G3" s="458" t="s">
        <v>9</v>
      </c>
      <c r="H3" s="457"/>
      <c r="I3" s="455"/>
    </row>
    <row r="4" spans="1:9" ht="33" customHeight="1">
      <c r="B4" s="579"/>
      <c r="C4" s="600"/>
      <c r="D4" s="601"/>
      <c r="E4" s="602"/>
      <c r="F4" s="321" t="s">
        <v>10</v>
      </c>
      <c r="G4" s="458" t="s">
        <v>9</v>
      </c>
      <c r="H4" s="457"/>
      <c r="I4" s="455"/>
    </row>
    <row r="5" spans="1:9" ht="15" customHeight="1">
      <c r="B5" s="400" t="s">
        <v>11</v>
      </c>
      <c r="C5" s="603" t="s">
        <v>12</v>
      </c>
      <c r="D5" s="604"/>
      <c r="E5" s="605"/>
      <c r="F5" s="331" t="s">
        <v>3</v>
      </c>
      <c r="G5" s="331" t="s">
        <v>13</v>
      </c>
      <c r="H5" s="332" t="s">
        <v>5</v>
      </c>
      <c r="I5" s="331" t="s">
        <v>6</v>
      </c>
    </row>
    <row r="6" spans="1:9" ht="44.25" customHeight="1">
      <c r="B6" s="580">
        <v>1</v>
      </c>
      <c r="C6" s="597" t="s">
        <v>14</v>
      </c>
      <c r="D6" s="598"/>
      <c r="E6" s="599"/>
      <c r="F6" s="322" t="s">
        <v>15</v>
      </c>
      <c r="G6" s="458" t="s">
        <v>9</v>
      </c>
      <c r="H6" s="457"/>
      <c r="I6" s="456"/>
    </row>
    <row r="7" spans="1:9" ht="68.25" customHeight="1">
      <c r="B7" s="581"/>
      <c r="C7" s="600"/>
      <c r="D7" s="601"/>
      <c r="E7" s="602"/>
      <c r="F7" s="322" t="s">
        <v>16</v>
      </c>
      <c r="G7" s="458" t="s">
        <v>181</v>
      </c>
      <c r="H7" s="533" t="s">
        <v>452</v>
      </c>
      <c r="I7" s="456"/>
    </row>
    <row r="8" spans="1:9" ht="15" customHeight="1">
      <c r="B8" s="400" t="s">
        <v>17</v>
      </c>
      <c r="C8" s="591" t="s">
        <v>18</v>
      </c>
      <c r="D8" s="592"/>
      <c r="E8" s="593"/>
      <c r="F8" s="331" t="s">
        <v>3</v>
      </c>
      <c r="G8" s="331" t="s">
        <v>13</v>
      </c>
      <c r="H8" s="332" t="s">
        <v>5</v>
      </c>
      <c r="I8" s="331" t="s">
        <v>6</v>
      </c>
    </row>
    <row r="9" spans="1:9" ht="45" customHeight="1">
      <c r="B9" s="521">
        <v>1</v>
      </c>
      <c r="C9" s="582" t="s">
        <v>19</v>
      </c>
      <c r="D9" s="583"/>
      <c r="E9" s="584"/>
      <c r="F9" s="321" t="s">
        <v>20</v>
      </c>
      <c r="G9" s="458" t="s">
        <v>9</v>
      </c>
      <c r="H9" s="457"/>
      <c r="I9" s="455"/>
    </row>
    <row r="10" spans="1:9" ht="15" customHeight="1">
      <c r="B10" s="400" t="s">
        <v>21</v>
      </c>
      <c r="C10" s="591" t="s">
        <v>22</v>
      </c>
      <c r="D10" s="592"/>
      <c r="E10" s="593"/>
      <c r="F10" s="331" t="s">
        <v>3</v>
      </c>
      <c r="G10" s="331" t="s">
        <v>13</v>
      </c>
      <c r="H10" s="332" t="s">
        <v>5</v>
      </c>
      <c r="I10" s="331" t="s">
        <v>6</v>
      </c>
    </row>
    <row r="11" spans="1:9" ht="52.5" customHeight="1">
      <c r="B11" s="577" t="s">
        <v>23</v>
      </c>
      <c r="C11" s="585" t="s">
        <v>24</v>
      </c>
      <c r="D11" s="586"/>
      <c r="E11" s="587"/>
      <c r="F11" s="322" t="s">
        <v>25</v>
      </c>
      <c r="G11" s="458" t="s">
        <v>9</v>
      </c>
      <c r="H11" s="457" t="s">
        <v>448</v>
      </c>
      <c r="I11" s="455"/>
    </row>
    <row r="12" spans="1:9" ht="69" customHeight="1">
      <c r="B12" s="578"/>
      <c r="C12" s="588"/>
      <c r="D12" s="589"/>
      <c r="E12" s="590"/>
      <c r="F12" s="322" t="s">
        <v>26</v>
      </c>
      <c r="G12" s="458" t="s">
        <v>181</v>
      </c>
      <c r="H12" s="459" t="s">
        <v>543</v>
      </c>
      <c r="I12" s="455"/>
    </row>
    <row r="13" spans="1:9" ht="15" customHeight="1">
      <c r="B13" s="400" t="s">
        <v>27</v>
      </c>
      <c r="C13" s="606" t="s">
        <v>28</v>
      </c>
      <c r="D13" s="607"/>
      <c r="E13" s="608"/>
      <c r="F13" s="331" t="s">
        <v>3</v>
      </c>
      <c r="G13" s="331" t="s">
        <v>13</v>
      </c>
      <c r="H13" s="332" t="s">
        <v>5</v>
      </c>
      <c r="I13" s="331" t="s">
        <v>6</v>
      </c>
    </row>
    <row r="14" spans="1:9" ht="106.5" customHeight="1">
      <c r="B14" s="427">
        <v>1</v>
      </c>
      <c r="C14" s="609" t="s">
        <v>29</v>
      </c>
      <c r="D14" s="610"/>
      <c r="E14" s="610"/>
      <c r="F14" s="398" t="s">
        <v>30</v>
      </c>
      <c r="G14" s="458" t="s">
        <v>9</v>
      </c>
      <c r="H14" s="457"/>
      <c r="I14" s="459" t="s">
        <v>31</v>
      </c>
    </row>
    <row r="15" spans="1:9" ht="12.5">
      <c r="C15" s="390"/>
      <c r="D15" s="390"/>
      <c r="E15" s="390"/>
      <c r="H15" s="119"/>
    </row>
    <row r="16" spans="1:9" ht="15" customHeight="1">
      <c r="B16" s="399" t="s">
        <v>1</v>
      </c>
      <c r="C16" s="591" t="s">
        <v>32</v>
      </c>
      <c r="D16" s="592"/>
      <c r="E16" s="593"/>
      <c r="F16" s="331" t="s">
        <v>33</v>
      </c>
      <c r="H16" s="119"/>
    </row>
    <row r="17" spans="2:8" ht="15" customHeight="1">
      <c r="B17" s="401" t="s">
        <v>34</v>
      </c>
      <c r="C17" s="611" t="s">
        <v>35</v>
      </c>
      <c r="D17" s="612"/>
      <c r="E17" s="613"/>
      <c r="F17" s="323" t="s">
        <v>36</v>
      </c>
      <c r="H17" s="119"/>
    </row>
    <row r="18" spans="2:8" ht="15.75" customHeight="1">
      <c r="B18" s="401" t="s">
        <v>37</v>
      </c>
      <c r="C18" s="614" t="s">
        <v>38</v>
      </c>
      <c r="D18" s="615"/>
      <c r="E18" s="616"/>
      <c r="F18" s="323" t="s">
        <v>39</v>
      </c>
      <c r="H18" s="119"/>
    </row>
    <row r="19" spans="2:8" ht="12.5">
      <c r="H19" s="119"/>
    </row>
    <row r="20" spans="2:8" ht="12.5">
      <c r="H20" s="119"/>
    </row>
    <row r="21" spans="2:8" ht="12.5">
      <c r="H21" s="119"/>
    </row>
    <row r="22" spans="2:8" ht="12.5">
      <c r="H22" s="119"/>
    </row>
    <row r="23" spans="2:8" ht="12.5">
      <c r="H23" s="119"/>
    </row>
  </sheetData>
  <mergeCells count="16">
    <mergeCell ref="C13:E13"/>
    <mergeCell ref="C14:E14"/>
    <mergeCell ref="C16:E16"/>
    <mergeCell ref="C17:E17"/>
    <mergeCell ref="C18:E18"/>
    <mergeCell ref="C2:E2"/>
    <mergeCell ref="C3:E4"/>
    <mergeCell ref="C5:E5"/>
    <mergeCell ref="C6:E7"/>
    <mergeCell ref="C8:E8"/>
    <mergeCell ref="B11:B12"/>
    <mergeCell ref="B3:B4"/>
    <mergeCell ref="B6:B7"/>
    <mergeCell ref="C9:E9"/>
    <mergeCell ref="C11:E12"/>
    <mergeCell ref="C10:E10"/>
  </mergeCells>
  <phoneticPr fontId="114" type="noConversion"/>
  <conditionalFormatting sqref="G3:G4">
    <cfRule type="containsBlanks" dxfId="37" priority="22">
      <formula>LEN(TRIM(G3))=0</formula>
    </cfRule>
  </conditionalFormatting>
  <conditionalFormatting sqref="G6:G7">
    <cfRule type="containsBlanks" dxfId="36" priority="5">
      <formula>LEN(TRIM(G6))=0</formula>
    </cfRule>
  </conditionalFormatting>
  <conditionalFormatting sqref="G9">
    <cfRule type="containsBlanks" dxfId="35" priority="4">
      <formula>LEN(TRIM(G9))=0</formula>
    </cfRule>
  </conditionalFormatting>
  <conditionalFormatting sqref="G11:G12">
    <cfRule type="containsBlanks" dxfId="34" priority="2">
      <formula>LEN(TRIM(G11))=0</formula>
    </cfRule>
  </conditionalFormatting>
  <conditionalFormatting sqref="G14">
    <cfRule type="containsBlanks" dxfId="33" priority="1">
      <formula>LEN(TRIM(G14))=0</formula>
    </cfRule>
  </conditionalFormatting>
  <conditionalFormatting sqref="H3:H4">
    <cfRule type="expression" dxfId="32" priority="11">
      <formula>SUMPRODUCT((G3="否")*(LEN(H3)=0))</formula>
    </cfRule>
  </conditionalFormatting>
  <conditionalFormatting sqref="H6">
    <cfRule type="expression" dxfId="31" priority="10">
      <formula>SUMPRODUCT((G6="否")*(LEN(H6)=0))</formula>
    </cfRule>
  </conditionalFormatting>
  <conditionalFormatting sqref="H9">
    <cfRule type="expression" dxfId="30" priority="9">
      <formula>SUMPRODUCT((G9="否")*(LEN(H9)=0))</formula>
    </cfRule>
  </conditionalFormatting>
  <conditionalFormatting sqref="H11">
    <cfRule type="expression" dxfId="29" priority="8">
      <formula>SUMPRODUCT((G11="否")*(LEN(H11)=0))</formula>
    </cfRule>
  </conditionalFormatting>
  <conditionalFormatting sqref="H14">
    <cfRule type="expression" dxfId="28" priority="7">
      <formula>SUMPRODUCT((G14="否")*(LEN(H14)=0))</formula>
    </cfRule>
  </conditionalFormatting>
  <dataValidations count="1">
    <dataValidation type="list" allowBlank="1" showInputMessage="1" sqref="G9 G11:G12 G3:G4 G6:G7 G14" xr:uid="{55809320-A7A9-4758-A6EE-B7062FC6D966}">
      <formula1>"是,否"</formula1>
    </dataValidation>
  </dataValidations>
  <hyperlinks>
    <hyperlink ref="J17" r:id="rId1" display="C.00d Negative cash" xr:uid="{2569CC49-A84B-4AEF-BF72-6AEA0B392256}"/>
    <hyperlink ref="J18" r:id="rId2" display="C.00e 现金盘点" xr:uid="{31BEAFA6-61C1-4EA4-9D90-34A99DF5DD66}"/>
    <hyperlink ref="F6" location="'C.01 Confirmations '!A1" display="C.01 Confirmations" xr:uid="{FD45A018-1CB8-4286-B672-B2D174057BBB}"/>
    <hyperlink ref="F9" location="'C.00b Other classification'!A1" display="C.00b Other classification" xr:uid="{CABEBFF7-1729-4D1B-97F4-326BF145D818}"/>
    <hyperlink ref="F11" location="'C.02 Bank reconciliations'!A1" display="C.02 Bank reconciliations" xr:uid="{FFE7DFD2-A56B-4D49-A10F-11AF37280FFE}"/>
    <hyperlink ref="F14" location="'C.03 Cutoff'!A1" display="C.03 Cutoff " xr:uid="{D6FC4A25-B271-475B-81BA-31AA98A5AF03}"/>
    <hyperlink ref="F3" location="'C.00 Lead'!A1" display="C.00 Lead sheet" xr:uid="{D432D57A-5FAE-4D82-B8B3-6086B1FD9CDB}"/>
    <hyperlink ref="F4" location="'C.00 BKD'!A1" display="C.00 BKD" xr:uid="{FB926EDA-9162-4D90-81CF-354C7FBC66D2}"/>
    <hyperlink ref="F7" location="'C.01b 特殊账户程序'!A1" display="C.01b 特殊账户补充程序" xr:uid="{00347830-A9CE-4A3A-85FE-8F143067ABAC}"/>
    <hyperlink ref="F12" location="'C.02a 外币测算'!A1" display="C.02a外币测算" xr:uid="{4B04461C-491A-49F2-A327-7EADA0D1B3D2}"/>
    <hyperlink ref="F17" r:id="rId3" xr:uid="{C7FFC2B5-471D-4779-BF73-5D71650A90F6}"/>
    <hyperlink ref="F18" r:id="rId4" xr:uid="{46759879-C654-4F05-944C-C5A7B449FCAD}"/>
  </hyperlinks>
  <pageMargins left="0.7" right="0.7" top="0.75" bottom="0.75" header="0.3" footer="0.3"/>
  <pageSetup orientation="portrait" r:id="rId5"/>
  <drawing r:id="rId6"/>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84"/>
  <sheetViews>
    <sheetView showGridLines="0" topLeftCell="A46" zoomScale="85" zoomScaleNormal="85" workbookViewId="0">
      <selection activeCell="B50" sqref="B50:F60"/>
    </sheetView>
  </sheetViews>
  <sheetFormatPr defaultColWidth="9.25" defaultRowHeight="14"/>
  <cols>
    <col min="1" max="1" width="2.58203125" style="70" customWidth="1"/>
    <col min="2" max="2" width="33.75" style="71" customWidth="1"/>
    <col min="3" max="3" width="20.58203125" style="71" customWidth="1"/>
    <col min="4" max="10" width="16.75" style="71" customWidth="1"/>
    <col min="11" max="11" width="16.75" style="72" customWidth="1"/>
    <col min="12" max="14" width="16.75" style="71" customWidth="1"/>
    <col min="15" max="15" width="16.25" style="71" customWidth="1"/>
    <col min="16" max="16" width="18.4140625" style="71" customWidth="1"/>
    <col min="17" max="17" width="2.58203125" style="3" customWidth="1"/>
    <col min="18" max="18" width="1.58203125" style="71" customWidth="1"/>
    <col min="19" max="19" width="9.25" style="307"/>
    <col min="20" max="16384" width="9.25" style="71"/>
  </cols>
  <sheetData>
    <row r="1" spans="1:18" s="1" customFormat="1" ht="50.15" customHeight="1">
      <c r="A1" s="225" t="s">
        <v>40</v>
      </c>
      <c r="B1" s="630" t="s">
        <v>41</v>
      </c>
      <c r="C1" s="631"/>
      <c r="D1" s="631"/>
      <c r="E1" s="631"/>
      <c r="F1" s="631"/>
      <c r="G1" s="631"/>
      <c r="H1" s="631"/>
      <c r="I1" s="631"/>
      <c r="J1" s="631"/>
      <c r="K1" s="631"/>
      <c r="L1" s="631"/>
      <c r="M1" s="631"/>
      <c r="N1" s="631"/>
      <c r="O1" s="631"/>
      <c r="P1" s="632"/>
      <c r="R1" s="40"/>
    </row>
    <row r="2" spans="1:18" s="1" customFormat="1" ht="15" customHeight="1">
      <c r="B2" s="144" t="s">
        <v>42</v>
      </c>
      <c r="C2" s="238" t="s">
        <v>43</v>
      </c>
      <c r="D2" s="633" t="s">
        <v>44</v>
      </c>
      <c r="E2" s="634"/>
      <c r="F2" s="634"/>
      <c r="G2" s="634"/>
      <c r="H2" s="634"/>
      <c r="I2" s="634"/>
      <c r="J2" s="634"/>
      <c r="K2" s="634"/>
      <c r="L2" s="634"/>
      <c r="M2" s="634"/>
      <c r="N2" s="634"/>
      <c r="O2" s="634"/>
      <c r="P2" s="635"/>
      <c r="R2" s="40"/>
    </row>
    <row r="3" spans="1:18" s="1" customFormat="1" ht="19.5" customHeight="1">
      <c r="B3" s="144" t="s">
        <v>45</v>
      </c>
      <c r="C3" s="410">
        <v>46022</v>
      </c>
      <c r="D3" s="636"/>
      <c r="E3" s="637"/>
      <c r="F3" s="637"/>
      <c r="G3" s="637"/>
      <c r="H3" s="637"/>
      <c r="I3" s="637"/>
      <c r="J3" s="637"/>
      <c r="K3" s="637"/>
      <c r="L3" s="637"/>
      <c r="M3" s="637"/>
      <c r="N3" s="637"/>
      <c r="O3" s="637"/>
      <c r="P3" s="638"/>
      <c r="R3" s="40"/>
    </row>
    <row r="4" spans="1:18" s="1" customFormat="1" ht="15" customHeight="1">
      <c r="B4" s="144" t="s">
        <v>46</v>
      </c>
      <c r="C4" s="410">
        <v>46044</v>
      </c>
      <c r="D4" s="636"/>
      <c r="E4" s="637"/>
      <c r="F4" s="637"/>
      <c r="G4" s="637"/>
      <c r="H4" s="637"/>
      <c r="I4" s="637"/>
      <c r="J4" s="637"/>
      <c r="K4" s="637"/>
      <c r="L4" s="637"/>
      <c r="M4" s="637"/>
      <c r="N4" s="637"/>
      <c r="O4" s="637"/>
      <c r="P4" s="638"/>
      <c r="R4" s="40"/>
    </row>
    <row r="5" spans="1:18" s="1" customFormat="1" ht="18" customHeight="1">
      <c r="B5" s="144" t="s">
        <v>47</v>
      </c>
      <c r="C5" s="411">
        <v>3900000</v>
      </c>
      <c r="D5" s="636"/>
      <c r="E5" s="637"/>
      <c r="F5" s="637"/>
      <c r="G5" s="637"/>
      <c r="H5" s="637"/>
      <c r="I5" s="637"/>
      <c r="J5" s="637"/>
      <c r="K5" s="637"/>
      <c r="L5" s="637"/>
      <c r="M5" s="637"/>
      <c r="N5" s="637"/>
      <c r="O5" s="637"/>
      <c r="P5" s="638"/>
      <c r="R5" s="40"/>
    </row>
    <row r="6" spans="1:18" s="1" customFormat="1" ht="15.75" customHeight="1">
      <c r="B6" s="144" t="s">
        <v>48</v>
      </c>
      <c r="C6" s="411">
        <v>260000</v>
      </c>
      <c r="D6" s="636"/>
      <c r="E6" s="637"/>
      <c r="F6" s="637"/>
      <c r="G6" s="637"/>
      <c r="H6" s="637"/>
      <c r="I6" s="637"/>
      <c r="J6" s="637"/>
      <c r="K6" s="637"/>
      <c r="L6" s="637"/>
      <c r="M6" s="637"/>
      <c r="N6" s="637"/>
      <c r="O6" s="637"/>
      <c r="P6" s="638"/>
      <c r="R6" s="40"/>
    </row>
    <row r="7" spans="1:18" s="1" customFormat="1" ht="20.25" customHeight="1">
      <c r="B7" s="144" t="s">
        <v>49</v>
      </c>
      <c r="C7" s="532" t="s">
        <v>50</v>
      </c>
      <c r="D7" s="636"/>
      <c r="E7" s="637"/>
      <c r="F7" s="637"/>
      <c r="G7" s="637"/>
      <c r="H7" s="637"/>
      <c r="I7" s="637"/>
      <c r="J7" s="637"/>
      <c r="K7" s="637"/>
      <c r="L7" s="637"/>
      <c r="M7" s="637"/>
      <c r="N7" s="637"/>
      <c r="O7" s="637"/>
      <c r="P7" s="638"/>
      <c r="R7" s="40"/>
    </row>
    <row r="8" spans="1:18" s="1" customFormat="1" ht="18" customHeight="1">
      <c r="B8" s="144" t="s">
        <v>51</v>
      </c>
      <c r="C8" s="238" t="s">
        <v>52</v>
      </c>
      <c r="D8" s="639"/>
      <c r="E8" s="640"/>
      <c r="F8" s="640"/>
      <c r="G8" s="640"/>
      <c r="H8" s="640"/>
      <c r="I8" s="640"/>
      <c r="J8" s="640"/>
      <c r="K8" s="640"/>
      <c r="L8" s="640"/>
      <c r="M8" s="640"/>
      <c r="N8" s="640"/>
      <c r="O8" s="637"/>
      <c r="P8" s="641"/>
      <c r="R8" s="40"/>
    </row>
    <row r="9" spans="1:18" s="1" customFormat="1" ht="30" customHeight="1">
      <c r="B9" s="211" t="s">
        <v>53</v>
      </c>
      <c r="C9" s="7"/>
      <c r="D9" s="7"/>
      <c r="E9" s="7"/>
      <c r="F9" s="7"/>
      <c r="G9" s="7"/>
      <c r="H9" s="7"/>
      <c r="I9" s="7"/>
      <c r="J9" s="7"/>
      <c r="K9" s="7"/>
      <c r="L9" s="7"/>
      <c r="M9" s="7"/>
      <c r="N9" s="7"/>
      <c r="O9" s="7"/>
      <c r="P9" s="22"/>
      <c r="R9" s="40"/>
    </row>
    <row r="10" spans="1:18" s="1" customFormat="1" ht="15" customHeight="1">
      <c r="N10" s="394"/>
      <c r="O10" s="52"/>
      <c r="R10" s="40"/>
    </row>
    <row r="11" spans="1:18" s="1" customFormat="1" ht="15" customHeight="1">
      <c r="B11" s="404" t="s">
        <v>54</v>
      </c>
      <c r="N11" s="394"/>
      <c r="O11" s="52"/>
      <c r="R11" s="40"/>
    </row>
    <row r="12" spans="1:18" s="1" customFormat="1" ht="15" customHeight="1">
      <c r="N12" s="394"/>
      <c r="O12" s="52"/>
      <c r="R12" s="40"/>
    </row>
    <row r="13" spans="1:18" s="1" customFormat="1" ht="15" customHeight="1">
      <c r="B13" s="405"/>
      <c r="C13" s="405"/>
      <c r="D13" s="662" t="s">
        <v>55</v>
      </c>
      <c r="E13" s="663"/>
      <c r="H13" s="617" t="s">
        <v>56</v>
      </c>
      <c r="I13" s="618"/>
      <c r="J13" s="618"/>
      <c r="K13" s="618"/>
      <c r="L13" s="619"/>
      <c r="N13" s="394"/>
      <c r="O13" s="52"/>
      <c r="R13" s="40"/>
    </row>
    <row r="14" spans="1:18" s="1" customFormat="1" ht="15" customHeight="1">
      <c r="B14" s="406" t="s">
        <v>57</v>
      </c>
      <c r="C14" s="406" t="s">
        <v>58</v>
      </c>
      <c r="D14" s="406" t="s">
        <v>59</v>
      </c>
      <c r="E14" s="407" t="s">
        <v>60</v>
      </c>
      <c r="H14" s="200" t="s">
        <v>61</v>
      </c>
      <c r="I14" s="212" t="s">
        <v>62</v>
      </c>
      <c r="J14" s="85"/>
      <c r="K14" s="85"/>
      <c r="L14" s="154"/>
      <c r="N14" s="394"/>
      <c r="O14" s="52"/>
      <c r="R14" s="40"/>
    </row>
    <row r="15" spans="1:18" s="1" customFormat="1" ht="15" customHeight="1">
      <c r="B15" s="453" t="s">
        <v>63</v>
      </c>
      <c r="C15" s="308" t="s">
        <v>64</v>
      </c>
      <c r="D15" s="230">
        <f>IF(C15="Minimal",$C$5*100%,IF(C15="Low",$C$5*75%,IF(C15="Moderate",$C$5*50%,IF(C15="High",$C$5*25%,IF(C15="N/A","-",)))))</f>
        <v>1950000</v>
      </c>
      <c r="E15" s="231">
        <f>MIN($D$15:$D$19)</f>
        <v>1950000</v>
      </c>
      <c r="H15" s="201" t="s">
        <v>65</v>
      </c>
      <c r="I15" s="212" t="s">
        <v>66</v>
      </c>
      <c r="J15" s="108"/>
      <c r="K15" s="84"/>
      <c r="L15" s="155"/>
      <c r="N15" s="394"/>
      <c r="O15" s="52"/>
      <c r="R15" s="40"/>
    </row>
    <row r="16" spans="1:18" s="1" customFormat="1" ht="15" customHeight="1">
      <c r="B16" s="453" t="s">
        <v>67</v>
      </c>
      <c r="C16" s="308" t="s">
        <v>64</v>
      </c>
      <c r="D16" s="230">
        <f>IF(C16="Minimal",$C$5*100%,IF(C16="Low",$C$5*75%,IF(C16="Moderate",$C$5*50%,IF(C16="High",$C$5*25%,IF(C16="N/A","-",)))))</f>
        <v>1950000</v>
      </c>
      <c r="E16" s="228"/>
      <c r="H16" s="200" t="s">
        <v>68</v>
      </c>
      <c r="I16" s="213" t="s">
        <v>69</v>
      </c>
      <c r="J16" s="110"/>
      <c r="K16" s="84"/>
      <c r="L16" s="155"/>
      <c r="N16" s="394"/>
      <c r="O16" s="52"/>
      <c r="R16" s="40"/>
    </row>
    <row r="17" spans="1:18" s="1" customFormat="1" ht="15" customHeight="1">
      <c r="B17" s="453" t="s">
        <v>70</v>
      </c>
      <c r="C17" s="308" t="s">
        <v>71</v>
      </c>
      <c r="D17" s="230" t="str">
        <f t="shared" ref="D17:D19" si="0">IF(C17="Minimal",$C$5*100%,IF(C17="Low",$C$5*75%,IF(C17="Moderate",$C$5*50%,IF(C17="High",$C$5*25%,IF(C17="N/A","-",)))))</f>
        <v>-</v>
      </c>
      <c r="E17" s="228"/>
      <c r="H17" s="200" t="s">
        <v>72</v>
      </c>
      <c r="I17" s="213" t="s">
        <v>73</v>
      </c>
      <c r="J17" s="111"/>
      <c r="K17" s="84"/>
      <c r="L17" s="155"/>
      <c r="N17" s="394"/>
      <c r="O17" s="52"/>
      <c r="R17" s="40"/>
    </row>
    <row r="18" spans="1:18" s="1" customFormat="1" ht="15" customHeight="1">
      <c r="B18" s="453" t="s">
        <v>74</v>
      </c>
      <c r="C18" s="308" t="s">
        <v>64</v>
      </c>
      <c r="D18" s="230">
        <f t="shared" si="0"/>
        <v>1950000</v>
      </c>
      <c r="E18" s="228"/>
      <c r="H18" s="202" t="s">
        <v>75</v>
      </c>
      <c r="I18" s="212" t="s">
        <v>76</v>
      </c>
      <c r="J18" s="109"/>
      <c r="K18" s="86"/>
      <c r="L18" s="156"/>
      <c r="N18" s="394"/>
      <c r="O18" s="52"/>
      <c r="R18" s="40"/>
    </row>
    <row r="19" spans="1:18" s="1" customFormat="1" ht="15" customHeight="1">
      <c r="B19" s="454" t="s">
        <v>77</v>
      </c>
      <c r="C19" s="308" t="s">
        <v>64</v>
      </c>
      <c r="D19" s="230">
        <f t="shared" si="0"/>
        <v>1950000</v>
      </c>
      <c r="E19" s="229"/>
      <c r="H19" s="203" t="s">
        <v>78</v>
      </c>
      <c r="I19" s="212" t="s">
        <v>79</v>
      </c>
      <c r="J19" s="84"/>
      <c r="K19" s="84"/>
      <c r="L19" s="155"/>
      <c r="N19" s="394"/>
      <c r="O19" s="52"/>
      <c r="R19" s="40"/>
    </row>
    <row r="20" spans="1:18" s="1" customFormat="1" ht="14.5">
      <c r="B20" s="629" t="s">
        <v>80</v>
      </c>
      <c r="C20" s="629"/>
      <c r="D20" s="629"/>
      <c r="E20" s="629"/>
      <c r="H20" s="200" t="s">
        <v>81</v>
      </c>
      <c r="I20" s="212" t="s">
        <v>82</v>
      </c>
      <c r="J20" s="84"/>
      <c r="K20" s="84"/>
      <c r="L20" s="155"/>
      <c r="N20" s="394"/>
      <c r="O20" s="52"/>
      <c r="R20" s="40"/>
    </row>
    <row r="21" spans="1:18" s="1" customFormat="1" ht="14.5">
      <c r="B21" s="409" t="s">
        <v>83</v>
      </c>
      <c r="C21" s="522"/>
      <c r="D21" s="522"/>
      <c r="E21" s="522"/>
      <c r="H21" s="203" t="s">
        <v>84</v>
      </c>
      <c r="I21" s="212" t="s">
        <v>85</v>
      </c>
      <c r="J21" s="84"/>
      <c r="K21" s="84"/>
      <c r="L21" s="155"/>
      <c r="N21" s="394"/>
      <c r="O21" s="52"/>
      <c r="R21" s="40"/>
    </row>
    <row r="22" spans="1:18" s="1" customFormat="1" ht="14.5">
      <c r="B22" s="409" t="s">
        <v>86</v>
      </c>
      <c r="C22" s="522"/>
      <c r="D22" s="522"/>
      <c r="E22" s="522"/>
      <c r="H22" s="226" t="s">
        <v>87</v>
      </c>
      <c r="I22" s="227" t="s">
        <v>88</v>
      </c>
      <c r="J22" s="84"/>
      <c r="K22" s="84"/>
      <c r="L22" s="155"/>
      <c r="N22" s="394"/>
      <c r="O22" s="52"/>
      <c r="R22" s="40"/>
    </row>
    <row r="23" spans="1:18" s="1" customFormat="1" ht="30" customHeight="1">
      <c r="B23" s="629" t="s">
        <v>89</v>
      </c>
      <c r="C23" s="629"/>
      <c r="D23" s="629"/>
      <c r="E23" s="629"/>
      <c r="H23" s="42"/>
      <c r="I23" s="42"/>
      <c r="J23" s="42"/>
      <c r="K23" s="42"/>
      <c r="L23" s="42"/>
      <c r="N23" s="394"/>
      <c r="O23" s="52"/>
      <c r="R23" s="40"/>
    </row>
    <row r="24" spans="1:18" s="42" customFormat="1" ht="12.5">
      <c r="A24" s="81"/>
      <c r="R24" s="51"/>
    </row>
    <row r="25" spans="1:18" s="42" customFormat="1" ht="17.5">
      <c r="A25" s="81"/>
      <c r="B25" s="87" t="s">
        <v>90</v>
      </c>
      <c r="C25" s="53"/>
      <c r="D25" s="53"/>
      <c r="E25" s="53"/>
      <c r="F25" s="53"/>
      <c r="G25" s="53"/>
      <c r="L25" s="25"/>
      <c r="R25" s="51"/>
    </row>
    <row r="26" spans="1:18" s="42" customFormat="1" ht="17.5">
      <c r="A26" s="81"/>
      <c r="B26" s="646" t="s">
        <v>547</v>
      </c>
      <c r="C26" s="647"/>
      <c r="D26" s="647"/>
      <c r="E26" s="647"/>
      <c r="F26" s="648"/>
      <c r="G26" s="53"/>
      <c r="H26" s="53"/>
      <c r="I26" s="53"/>
      <c r="J26" s="27"/>
      <c r="K26" s="25"/>
      <c r="L26" s="25"/>
      <c r="R26" s="51"/>
    </row>
    <row r="27" spans="1:18" s="42" customFormat="1" ht="17.5">
      <c r="A27" s="81"/>
      <c r="B27" s="649"/>
      <c r="C27" s="650"/>
      <c r="D27" s="650"/>
      <c r="E27" s="650"/>
      <c r="F27" s="651"/>
      <c r="G27" s="53"/>
      <c r="H27" s="53"/>
      <c r="I27" s="53"/>
      <c r="J27" s="27"/>
      <c r="K27" s="25"/>
      <c r="L27" s="25"/>
      <c r="R27" s="51"/>
    </row>
    <row r="28" spans="1:18" s="42" customFormat="1" ht="17.5">
      <c r="A28" s="82"/>
      <c r="B28" s="652"/>
      <c r="C28" s="653"/>
      <c r="D28" s="653"/>
      <c r="E28" s="653"/>
      <c r="F28" s="654"/>
      <c r="G28" s="53"/>
      <c r="H28" s="53"/>
      <c r="I28" s="53"/>
      <c r="J28" s="27"/>
      <c r="K28" s="25"/>
      <c r="L28" s="25"/>
      <c r="R28" s="51"/>
    </row>
    <row r="29" spans="1:18" s="42" customFormat="1" ht="13">
      <c r="A29" s="82"/>
      <c r="B29" s="54"/>
      <c r="C29" s="55"/>
      <c r="D29" s="56"/>
      <c r="E29" s="56"/>
      <c r="F29" s="56"/>
      <c r="G29" s="56"/>
      <c r="H29" s="88"/>
      <c r="I29" s="88"/>
      <c r="J29" s="57"/>
      <c r="K29" s="25"/>
      <c r="L29" s="25"/>
      <c r="R29" s="51"/>
    </row>
    <row r="30" spans="1:18" s="42" customFormat="1" ht="14.5">
      <c r="A30" s="82"/>
      <c r="B30" s="660" t="s">
        <v>91</v>
      </c>
      <c r="C30" s="661"/>
      <c r="D30" s="56"/>
      <c r="E30" s="56"/>
      <c r="F30" s="56"/>
      <c r="G30" s="56"/>
      <c r="H30" s="88"/>
      <c r="I30" s="88"/>
      <c r="J30" s="57"/>
      <c r="K30" s="25"/>
      <c r="L30" s="25"/>
      <c r="R30" s="51"/>
    </row>
    <row r="31" spans="1:18" s="42" customFormat="1" ht="13">
      <c r="A31" s="95"/>
      <c r="B31" s="402" t="str">
        <f>"波动范围 ("&amp;C8&amp; "):"</f>
        <v>波动范围 (CNY):</v>
      </c>
      <c r="C31" s="403">
        <f>E15</f>
        <v>1950000</v>
      </c>
      <c r="D31" s="96"/>
      <c r="E31" s="96"/>
      <c r="F31" s="96"/>
      <c r="G31" s="96"/>
      <c r="H31" s="96"/>
      <c r="I31" s="96"/>
      <c r="J31" s="96"/>
      <c r="K31" s="25"/>
      <c r="L31" s="25"/>
      <c r="R31" s="51"/>
    </row>
    <row r="32" spans="1:18" s="42" customFormat="1" ht="14.5">
      <c r="B32" s="408" t="s">
        <v>92</v>
      </c>
      <c r="C32" s="333">
        <v>0.1</v>
      </c>
      <c r="D32" s="1"/>
      <c r="E32" s="1"/>
      <c r="F32" s="1"/>
      <c r="G32" s="1"/>
      <c r="H32" s="1"/>
      <c r="I32" s="1"/>
      <c r="J32" s="1"/>
      <c r="K32" s="25"/>
      <c r="L32" s="25"/>
      <c r="R32" s="51"/>
    </row>
    <row r="33" spans="1:18" s="42" customFormat="1" ht="12.5">
      <c r="B33" s="1"/>
      <c r="C33" s="1"/>
      <c r="D33" s="1"/>
      <c r="E33" s="1"/>
      <c r="F33" s="1"/>
      <c r="G33" s="1"/>
      <c r="H33" s="1"/>
      <c r="I33" s="25"/>
      <c r="J33" s="25"/>
      <c r="N33" s="88"/>
      <c r="R33" s="51"/>
    </row>
    <row r="34" spans="1:18" s="42" customFormat="1" ht="14.5">
      <c r="A34" s="81"/>
      <c r="B34" s="59" t="s">
        <v>93</v>
      </c>
      <c r="F34" s="38" t="s">
        <v>94</v>
      </c>
      <c r="H34" s="56"/>
      <c r="K34" s="377" t="s">
        <v>95</v>
      </c>
      <c r="R34" s="51"/>
    </row>
    <row r="35" spans="1:18" s="42" customFormat="1" ht="13.5" thickBot="1">
      <c r="B35" s="56"/>
      <c r="C35" s="58"/>
      <c r="D35" s="58"/>
      <c r="E35" s="58"/>
      <c r="F35" s="657" t="str">
        <f>"货币/单位: "&amp;C8</f>
        <v>货币/单位: CNY</v>
      </c>
      <c r="G35" s="658"/>
      <c r="H35" s="658"/>
      <c r="I35" s="658"/>
      <c r="J35" s="658"/>
      <c r="K35" s="659"/>
      <c r="L35" s="56"/>
      <c r="M35" s="56"/>
      <c r="N35" s="157"/>
      <c r="R35" s="51"/>
    </row>
    <row r="36" spans="1:18" s="42" customFormat="1" ht="13.25" customHeight="1">
      <c r="A36" s="81"/>
      <c r="B36" s="524"/>
      <c r="C36" s="525"/>
      <c r="D36" s="525"/>
      <c r="E36" s="526"/>
      <c r="F36" s="655">
        <f>C3</f>
        <v>46022</v>
      </c>
      <c r="G36" s="655"/>
      <c r="H36" s="655"/>
      <c r="I36" s="655"/>
      <c r="J36" s="655"/>
      <c r="K36" s="527">
        <f>DATE(YEAR($C$3)-1,12,31)</f>
        <v>45657</v>
      </c>
      <c r="L36" s="656" t="s">
        <v>96</v>
      </c>
      <c r="M36" s="656"/>
      <c r="N36" s="528"/>
      <c r="O36" s="644" t="s">
        <v>97</v>
      </c>
      <c r="P36" s="642" t="s">
        <v>98</v>
      </c>
      <c r="R36" s="51"/>
    </row>
    <row r="37" spans="1:18" s="42" customFormat="1" ht="26">
      <c r="A37" s="81"/>
      <c r="B37" s="502" t="s">
        <v>99</v>
      </c>
      <c r="C37" s="313" t="s">
        <v>100</v>
      </c>
      <c r="D37" s="313" t="s">
        <v>101</v>
      </c>
      <c r="E37" s="313" t="s">
        <v>102</v>
      </c>
      <c r="F37" s="313" t="s">
        <v>103</v>
      </c>
      <c r="G37" s="313" t="s">
        <v>104</v>
      </c>
      <c r="H37" s="313" t="s">
        <v>105</v>
      </c>
      <c r="I37" s="313" t="s">
        <v>106</v>
      </c>
      <c r="J37" s="313" t="s">
        <v>107</v>
      </c>
      <c r="K37" s="490" t="s">
        <v>108</v>
      </c>
      <c r="L37" s="313" t="s">
        <v>109</v>
      </c>
      <c r="M37" s="313" t="s">
        <v>110</v>
      </c>
      <c r="N37" s="491" t="s">
        <v>111</v>
      </c>
      <c r="O37" s="645"/>
      <c r="P37" s="643"/>
      <c r="R37" s="51"/>
    </row>
    <row r="38" spans="1:18" s="42" customFormat="1" ht="14.5">
      <c r="A38" s="81"/>
      <c r="B38" s="503" t="s">
        <v>43</v>
      </c>
      <c r="C38" s="492">
        <v>1002</v>
      </c>
      <c r="D38" s="492" t="s">
        <v>112</v>
      </c>
      <c r="E38" s="493" t="s">
        <v>113</v>
      </c>
      <c r="F38" s="494">
        <v>5924414.1299999999</v>
      </c>
      <c r="G38" s="500"/>
      <c r="H38" s="494">
        <f>F38+G38</f>
        <v>5924414.1299999999</v>
      </c>
      <c r="I38" s="500"/>
      <c r="J38" s="494">
        <f>H38+I38</f>
        <v>5924414.1299999999</v>
      </c>
      <c r="K38" s="495">
        <v>4880069.67</v>
      </c>
      <c r="L38" s="496">
        <f t="shared" ref="L38" si="1">J38-K38</f>
        <v>1044344.46</v>
      </c>
      <c r="M38" s="497">
        <f>IF(K38&lt;&gt;0,L38/K38,1)</f>
        <v>0.21400195706632197</v>
      </c>
      <c r="N38" s="498"/>
      <c r="O38" s="499" t="str">
        <f>IF(AND(ABS(L38)&gt;=$C$31,ABS(M38)&gt;=$C$32),"是","否")</f>
        <v>否</v>
      </c>
      <c r="P38" s="504" t="s">
        <v>181</v>
      </c>
      <c r="R38" s="51"/>
    </row>
    <row r="39" spans="1:18" s="42" customFormat="1" ht="14.5">
      <c r="A39" s="81"/>
      <c r="B39" s="505" t="s">
        <v>115</v>
      </c>
      <c r="C39" s="492">
        <v>1002</v>
      </c>
      <c r="D39" s="492" t="s">
        <v>112</v>
      </c>
      <c r="E39" s="493"/>
      <c r="F39" s="494">
        <v>605.89</v>
      </c>
      <c r="G39" s="495"/>
      <c r="H39" s="494">
        <f t="shared" ref="H39:H41" si="2">F39+G39</f>
        <v>605.89</v>
      </c>
      <c r="I39" s="495"/>
      <c r="J39" s="494">
        <f t="shared" ref="J39:J41" si="3">H39+I39</f>
        <v>605.89</v>
      </c>
      <c r="K39" s="495">
        <v>990.34</v>
      </c>
      <c r="L39" s="496">
        <f t="shared" ref="L39:L41" si="4">J39-K39</f>
        <v>-384.45000000000005</v>
      </c>
      <c r="M39" s="497">
        <f t="shared" ref="M39:M41" si="5">IF(K39&lt;&gt;0,L39/K39,1)</f>
        <v>-0.38820001211705074</v>
      </c>
      <c r="N39" s="501"/>
      <c r="O39" s="499" t="str">
        <f t="shared" ref="O39:O41" si="6">IF(AND(ABS(L39)&gt;=$C$31,ABS(M39)&gt;=$C$32),"是","否")</f>
        <v>否</v>
      </c>
      <c r="P39" s="504" t="s">
        <v>181</v>
      </c>
      <c r="R39" s="51"/>
    </row>
    <row r="40" spans="1:18" s="42" customFormat="1" ht="14.5">
      <c r="A40" s="81"/>
      <c r="B40" s="505" t="s">
        <v>116</v>
      </c>
      <c r="C40" s="492">
        <v>1002</v>
      </c>
      <c r="D40" s="492" t="s">
        <v>112</v>
      </c>
      <c r="E40" s="493"/>
      <c r="F40" s="494">
        <v>8043.03</v>
      </c>
      <c r="G40" s="495"/>
      <c r="H40" s="494">
        <f t="shared" si="2"/>
        <v>8043.03</v>
      </c>
      <c r="I40" s="495"/>
      <c r="J40" s="494">
        <f t="shared" si="3"/>
        <v>8043.03</v>
      </c>
      <c r="K40" s="495">
        <v>5161.99</v>
      </c>
      <c r="L40" s="496">
        <f t="shared" si="4"/>
        <v>2881.04</v>
      </c>
      <c r="M40" s="497">
        <f t="shared" si="5"/>
        <v>0.5581258390659416</v>
      </c>
      <c r="N40" s="501"/>
      <c r="O40" s="499" t="str">
        <f t="shared" si="6"/>
        <v>否</v>
      </c>
      <c r="P40" s="504" t="s">
        <v>181</v>
      </c>
      <c r="R40" s="51"/>
    </row>
    <row r="41" spans="1:18" s="42" customFormat="1" ht="14.5">
      <c r="A41" s="81"/>
      <c r="B41" s="505" t="s">
        <v>117</v>
      </c>
      <c r="C41" s="492">
        <v>1002</v>
      </c>
      <c r="D41" s="492" t="s">
        <v>112</v>
      </c>
      <c r="E41" s="493"/>
      <c r="F41" s="494">
        <v>122094.03</v>
      </c>
      <c r="G41" s="495"/>
      <c r="H41" s="494">
        <f t="shared" si="2"/>
        <v>122094.03</v>
      </c>
      <c r="I41" s="495"/>
      <c r="J41" s="494">
        <f t="shared" si="3"/>
        <v>122094.03</v>
      </c>
      <c r="K41" s="495">
        <v>3064.68</v>
      </c>
      <c r="L41" s="496">
        <f t="shared" si="4"/>
        <v>119029.35</v>
      </c>
      <c r="M41" s="497">
        <f t="shared" si="5"/>
        <v>38.839079447120092</v>
      </c>
      <c r="N41" s="501"/>
      <c r="O41" s="499" t="str">
        <f t="shared" si="6"/>
        <v>否</v>
      </c>
      <c r="P41" s="504" t="s">
        <v>181</v>
      </c>
      <c r="R41" s="51"/>
    </row>
    <row r="42" spans="1:18" s="42" customFormat="1" ht="13" thickBot="1">
      <c r="A42" s="81"/>
      <c r="B42" s="506"/>
      <c r="C42" s="507"/>
      <c r="D42" s="507"/>
      <c r="E42" s="508"/>
      <c r="F42" s="509"/>
      <c r="G42" s="510"/>
      <c r="H42" s="509"/>
      <c r="I42" s="510"/>
      <c r="J42" s="508"/>
      <c r="K42" s="510"/>
      <c r="L42" s="510"/>
      <c r="M42" s="511"/>
      <c r="N42" s="512"/>
      <c r="O42" s="513"/>
      <c r="P42" s="514"/>
      <c r="R42" s="51"/>
    </row>
    <row r="43" spans="1:18" s="42" customFormat="1" ht="15" thickBot="1">
      <c r="A43" s="81"/>
      <c r="B43" s="60"/>
      <c r="C43" s="46"/>
      <c r="D43" s="46"/>
      <c r="E43" s="61" t="s">
        <v>118</v>
      </c>
      <c r="F43" s="487">
        <f>SUM(F38:F41)</f>
        <v>6055157.0800000001</v>
      </c>
      <c r="G43" s="488">
        <f>SUM(G37:G38)</f>
        <v>0</v>
      </c>
      <c r="H43" s="488">
        <f>SUM(H38:H41)</f>
        <v>6055157.0800000001</v>
      </c>
      <c r="I43" s="488">
        <f>SUM(I37:I38)</f>
        <v>0</v>
      </c>
      <c r="J43" s="488">
        <f>SUM(J38:J42)</f>
        <v>6055157.0800000001</v>
      </c>
      <c r="K43" s="516">
        <f>SUM(K38:K41)</f>
        <v>4889286.68</v>
      </c>
      <c r="L43" s="518">
        <f>J43-K43</f>
        <v>1165870.4000000004</v>
      </c>
      <c r="M43" s="489">
        <f>IF(K43&lt;&gt;0,L43/K43,1)</f>
        <v>0.23845408876699381</v>
      </c>
      <c r="N43" s="498" t="s">
        <v>114</v>
      </c>
      <c r="O43" s="83" t="str">
        <f>IF(AND(ABS(L43)&gt;=$C$31,ABS(M43)&gt;=$C$32),"是","否")</f>
        <v>否</v>
      </c>
      <c r="P43" s="83" t="s">
        <v>181</v>
      </c>
      <c r="R43" s="51"/>
    </row>
    <row r="44" spans="1:18" s="42" customFormat="1" ht="13.5" thickTop="1">
      <c r="A44" s="81"/>
      <c r="C44" s="46"/>
      <c r="D44" s="46"/>
      <c r="E44" s="62"/>
      <c r="F44" s="56" t="s">
        <v>81</v>
      </c>
      <c r="G44" s="56" t="s">
        <v>81</v>
      </c>
      <c r="H44" s="56" t="s">
        <v>81</v>
      </c>
      <c r="I44" s="56" t="s">
        <v>81</v>
      </c>
      <c r="J44" s="56" t="s">
        <v>81</v>
      </c>
      <c r="K44" s="56" t="s">
        <v>81</v>
      </c>
      <c r="L44" s="64"/>
      <c r="M44" s="65"/>
      <c r="N44" s="60"/>
      <c r="R44" s="51"/>
    </row>
    <row r="45" spans="1:18" s="42" customFormat="1" ht="13">
      <c r="A45" s="81"/>
      <c r="C45" s="46"/>
      <c r="D45" s="46"/>
      <c r="E45" s="62"/>
      <c r="F45" s="56"/>
      <c r="G45" s="56"/>
      <c r="H45" s="56"/>
      <c r="I45" s="56"/>
      <c r="J45" s="56"/>
      <c r="K45" s="56"/>
      <c r="L45" s="64"/>
      <c r="M45" s="65"/>
      <c r="N45" s="60"/>
      <c r="R45" s="51"/>
    </row>
    <row r="46" spans="1:18" s="42" customFormat="1" ht="13">
      <c r="A46" s="81"/>
      <c r="B46" s="60"/>
      <c r="C46" s="46"/>
      <c r="D46" s="46"/>
      <c r="E46" s="60"/>
      <c r="F46" s="66"/>
      <c r="G46" s="44" t="s">
        <v>68</v>
      </c>
      <c r="H46" s="66">
        <f>[1]A3!$F$13</f>
        <v>6055157.0800000001</v>
      </c>
      <c r="J46" s="66">
        <f>[1]A3!$H$13</f>
        <v>6055157.0800000001</v>
      </c>
      <c r="K46" s="66">
        <f>[1]A3!$L$13</f>
        <v>4889286.68</v>
      </c>
      <c r="L46" s="63"/>
      <c r="M46" s="63"/>
      <c r="N46" s="60"/>
      <c r="R46" s="51"/>
    </row>
    <row r="47" spans="1:18" s="42" customFormat="1" ht="13">
      <c r="A47" s="81"/>
      <c r="F47" s="67"/>
      <c r="G47" s="44" t="s">
        <v>119</v>
      </c>
      <c r="H47" s="162">
        <f>H43-H46</f>
        <v>0</v>
      </c>
      <c r="J47" s="162">
        <f>J43-J46</f>
        <v>0</v>
      </c>
      <c r="K47" s="517">
        <f>K43-K46</f>
        <v>0</v>
      </c>
      <c r="L47" s="67"/>
      <c r="M47" s="67"/>
      <c r="N47" s="67"/>
      <c r="R47" s="51"/>
    </row>
    <row r="48" spans="1:18" s="42" customFormat="1" ht="13">
      <c r="A48" s="81"/>
      <c r="G48" s="67"/>
      <c r="H48" s="44"/>
      <c r="I48" s="67"/>
      <c r="J48" s="67"/>
      <c r="L48" s="67"/>
      <c r="M48" s="67"/>
      <c r="N48" s="67"/>
      <c r="O48" s="67"/>
      <c r="P48" s="67"/>
      <c r="R48" s="51"/>
    </row>
    <row r="49" spans="1:18" s="42" customFormat="1" ht="14.5">
      <c r="B49" s="101" t="s">
        <v>120</v>
      </c>
      <c r="F49" s="67"/>
      <c r="G49" s="67"/>
      <c r="H49" s="44"/>
      <c r="I49" s="67"/>
      <c r="J49" s="67"/>
      <c r="L49" s="67"/>
      <c r="M49" s="67"/>
      <c r="N49" s="67"/>
      <c r="O49" s="67"/>
      <c r="R49" s="51"/>
    </row>
    <row r="50" spans="1:18" s="42" customFormat="1" ht="13.5" customHeight="1">
      <c r="A50" s="6"/>
      <c r="B50" s="620" t="s">
        <v>562</v>
      </c>
      <c r="C50" s="621"/>
      <c r="D50" s="621"/>
      <c r="E50" s="621"/>
      <c r="F50" s="622"/>
      <c r="G50" s="67"/>
      <c r="H50" s="44"/>
      <c r="I50" s="67"/>
      <c r="J50" s="67"/>
      <c r="L50" s="67"/>
      <c r="M50" s="67"/>
      <c r="N50" s="67"/>
      <c r="O50" s="67"/>
      <c r="R50" s="51"/>
    </row>
    <row r="51" spans="1:18" s="42" customFormat="1" ht="13.5" customHeight="1">
      <c r="A51" s="6"/>
      <c r="B51" s="623"/>
      <c r="C51" s="624"/>
      <c r="D51" s="624"/>
      <c r="E51" s="624"/>
      <c r="F51" s="625"/>
      <c r="G51" s="67"/>
      <c r="H51" s="44"/>
      <c r="I51" s="67"/>
      <c r="J51" s="67"/>
      <c r="L51" s="67"/>
      <c r="M51" s="67"/>
      <c r="N51" s="67"/>
      <c r="O51" s="67"/>
      <c r="R51" s="51"/>
    </row>
    <row r="52" spans="1:18" s="42" customFormat="1" ht="13.5" customHeight="1">
      <c r="A52" s="6"/>
      <c r="B52" s="623"/>
      <c r="C52" s="624"/>
      <c r="D52" s="624"/>
      <c r="E52" s="624"/>
      <c r="F52" s="625"/>
      <c r="G52" s="67"/>
      <c r="H52" s="44"/>
      <c r="I52" s="67"/>
      <c r="J52" s="67"/>
      <c r="L52" s="67"/>
      <c r="M52" s="67"/>
      <c r="N52" s="67"/>
      <c r="O52" s="67"/>
      <c r="R52" s="51"/>
    </row>
    <row r="53" spans="1:18" s="42" customFormat="1" ht="13.5" customHeight="1">
      <c r="A53" s="6"/>
      <c r="B53" s="623"/>
      <c r="C53" s="624"/>
      <c r="D53" s="624"/>
      <c r="E53" s="624"/>
      <c r="F53" s="625"/>
      <c r="G53" s="67"/>
      <c r="H53" s="44"/>
      <c r="I53" s="67"/>
      <c r="J53" s="67"/>
      <c r="L53" s="67"/>
      <c r="M53" s="67"/>
      <c r="N53" s="67"/>
      <c r="O53" s="67"/>
      <c r="R53" s="51"/>
    </row>
    <row r="54" spans="1:18" s="42" customFormat="1" ht="13.5" customHeight="1">
      <c r="A54" s="6"/>
      <c r="B54" s="623"/>
      <c r="C54" s="624"/>
      <c r="D54" s="624"/>
      <c r="E54" s="624"/>
      <c r="F54" s="625"/>
      <c r="G54" s="67"/>
      <c r="H54" s="44"/>
      <c r="I54" s="67"/>
      <c r="J54" s="67"/>
      <c r="L54" s="67"/>
      <c r="M54" s="67"/>
      <c r="N54" s="67"/>
      <c r="O54" s="67"/>
      <c r="R54" s="51"/>
    </row>
    <row r="55" spans="1:18" s="42" customFormat="1" ht="13.5" customHeight="1">
      <c r="A55" s="6"/>
      <c r="B55" s="623"/>
      <c r="C55" s="624"/>
      <c r="D55" s="624"/>
      <c r="E55" s="624"/>
      <c r="F55" s="625"/>
      <c r="G55" s="67"/>
      <c r="H55" s="44"/>
      <c r="I55" s="67"/>
      <c r="J55" s="67"/>
      <c r="L55" s="67"/>
      <c r="M55" s="67"/>
      <c r="N55" s="67"/>
      <c r="O55" s="67"/>
      <c r="R55" s="51"/>
    </row>
    <row r="56" spans="1:18" s="42" customFormat="1" ht="13.5" customHeight="1">
      <c r="A56" s="6"/>
      <c r="B56" s="623"/>
      <c r="C56" s="624"/>
      <c r="D56" s="624"/>
      <c r="E56" s="624"/>
      <c r="F56" s="625"/>
      <c r="G56" s="67"/>
      <c r="H56" s="44"/>
      <c r="I56" s="67"/>
      <c r="J56" s="67"/>
      <c r="L56" s="67"/>
      <c r="M56" s="67"/>
      <c r="N56" s="67"/>
      <c r="O56" s="67"/>
      <c r="R56" s="51"/>
    </row>
    <row r="57" spans="1:18" s="42" customFormat="1" ht="13.5" customHeight="1">
      <c r="A57" s="6"/>
      <c r="B57" s="623"/>
      <c r="C57" s="624"/>
      <c r="D57" s="624"/>
      <c r="E57" s="624"/>
      <c r="F57" s="625"/>
      <c r="G57" s="67"/>
      <c r="H57" s="44"/>
      <c r="I57" s="67"/>
      <c r="J57" s="67"/>
      <c r="L57" s="67"/>
      <c r="M57" s="67"/>
      <c r="N57" s="67"/>
      <c r="O57" s="67"/>
      <c r="R57" s="51"/>
    </row>
    <row r="58" spans="1:18" s="42" customFormat="1" ht="13.5" customHeight="1">
      <c r="A58" s="6"/>
      <c r="B58" s="623"/>
      <c r="C58" s="624"/>
      <c r="D58" s="624"/>
      <c r="E58" s="624"/>
      <c r="F58" s="625"/>
      <c r="G58" s="67"/>
      <c r="H58" s="44"/>
      <c r="I58" s="67"/>
      <c r="J58" s="67"/>
      <c r="L58" s="67"/>
      <c r="M58" s="67"/>
      <c r="N58" s="67"/>
      <c r="O58" s="67"/>
      <c r="R58" s="51"/>
    </row>
    <row r="59" spans="1:18" s="42" customFormat="1" ht="13.5" customHeight="1">
      <c r="A59" s="6"/>
      <c r="B59" s="623"/>
      <c r="C59" s="624"/>
      <c r="D59" s="624"/>
      <c r="E59" s="624"/>
      <c r="F59" s="625"/>
      <c r="G59" s="67"/>
      <c r="H59" s="44"/>
      <c r="I59" s="67"/>
      <c r="J59" s="67"/>
      <c r="L59" s="67"/>
      <c r="M59" s="67"/>
      <c r="N59" s="67"/>
      <c r="O59" s="67"/>
      <c r="R59" s="51"/>
    </row>
    <row r="60" spans="1:18" s="42" customFormat="1" ht="13.5" customHeight="1">
      <c r="A60" s="81"/>
      <c r="B60" s="626"/>
      <c r="C60" s="627"/>
      <c r="D60" s="627"/>
      <c r="E60" s="627"/>
      <c r="F60" s="628"/>
      <c r="G60" s="67"/>
      <c r="H60" s="44"/>
      <c r="I60" s="67"/>
      <c r="J60" s="67"/>
      <c r="L60" s="67"/>
      <c r="M60" s="67"/>
      <c r="N60" s="67"/>
      <c r="O60" s="67"/>
      <c r="R60" s="51"/>
    </row>
    <row r="61" spans="1:18" s="42" customFormat="1" ht="13">
      <c r="A61" s="81"/>
      <c r="F61" s="67"/>
      <c r="G61" s="67"/>
      <c r="H61" s="44"/>
      <c r="I61" s="67"/>
      <c r="J61" s="67"/>
      <c r="L61" s="67"/>
      <c r="M61" s="67"/>
      <c r="N61" s="67"/>
      <c r="O61" s="67"/>
      <c r="R61" s="51"/>
    </row>
    <row r="62" spans="1:18" s="88" customFormat="1" ht="14.5" hidden="1">
      <c r="A62" s="83"/>
      <c r="B62" s="3" t="s">
        <v>121</v>
      </c>
      <c r="C62" s="68"/>
      <c r="D62" s="69"/>
      <c r="E62" s="69"/>
      <c r="F62" s="94"/>
      <c r="G62" s="94"/>
      <c r="H62" s="94"/>
      <c r="I62" s="94"/>
      <c r="R62" s="93"/>
    </row>
    <row r="63" spans="1:18" s="88" customFormat="1" ht="14.5" hidden="1">
      <c r="A63" s="83"/>
      <c r="B63" s="317" t="s">
        <v>122</v>
      </c>
      <c r="C63" s="318"/>
      <c r="D63" s="318"/>
      <c r="E63" s="319"/>
      <c r="F63" s="319"/>
      <c r="G63" s="94"/>
      <c r="H63" s="94"/>
      <c r="I63" s="94"/>
      <c r="R63" s="93"/>
    </row>
    <row r="64" spans="1:18" s="88" customFormat="1" ht="14.25" hidden="1" customHeight="1">
      <c r="A64" s="83"/>
      <c r="B64" s="460"/>
      <c r="C64" s="334"/>
      <c r="D64" s="334"/>
      <c r="E64" s="463"/>
      <c r="F64" s="464"/>
      <c r="G64" s="94"/>
      <c r="H64" s="94"/>
      <c r="I64" s="94"/>
      <c r="R64" s="93"/>
    </row>
    <row r="65" spans="1:18" s="88" customFormat="1" ht="14.25" hidden="1" customHeight="1">
      <c r="A65" s="83"/>
      <c r="B65" s="461"/>
      <c r="C65" s="465"/>
      <c r="D65" s="465"/>
      <c r="E65" s="83"/>
      <c r="F65" s="466"/>
      <c r="G65" s="94"/>
      <c r="H65" s="94"/>
      <c r="I65" s="94"/>
      <c r="R65" s="93"/>
    </row>
    <row r="66" spans="1:18" s="88" customFormat="1" ht="14.25" hidden="1" customHeight="1">
      <c r="A66" s="47"/>
      <c r="B66" s="461"/>
      <c r="C66" s="465"/>
      <c r="D66" s="465"/>
      <c r="E66" s="83"/>
      <c r="F66" s="466"/>
      <c r="G66" s="94"/>
      <c r="H66" s="94"/>
      <c r="I66" s="94"/>
      <c r="R66" s="93"/>
    </row>
    <row r="67" spans="1:18" s="88" customFormat="1" ht="13" hidden="1">
      <c r="A67" s="47"/>
      <c r="B67" s="462"/>
      <c r="C67" s="467"/>
      <c r="D67" s="467"/>
      <c r="E67" s="467"/>
      <c r="F67" s="468"/>
      <c r="G67" s="94"/>
      <c r="H67" s="94"/>
      <c r="I67" s="94"/>
      <c r="R67" s="93"/>
    </row>
    <row r="68" spans="1:18" s="42" customFormat="1" ht="13">
      <c r="F68" s="67"/>
      <c r="G68" s="67"/>
      <c r="H68" s="44"/>
      <c r="I68" s="67"/>
      <c r="J68" s="67"/>
      <c r="L68" s="67"/>
      <c r="M68" s="67"/>
      <c r="N68" s="67"/>
      <c r="O68" s="67"/>
      <c r="R68" s="51"/>
    </row>
    <row r="69" spans="1:18" s="42" customFormat="1" ht="14.5">
      <c r="A69" s="59"/>
      <c r="B69" s="59" t="s">
        <v>123</v>
      </c>
      <c r="F69" s="67"/>
      <c r="G69" s="67"/>
      <c r="H69" s="44"/>
      <c r="I69" s="67"/>
      <c r="J69" s="67"/>
      <c r="L69" s="67"/>
      <c r="M69" s="67"/>
      <c r="N69" s="67"/>
      <c r="O69" s="67"/>
      <c r="R69" s="51"/>
    </row>
    <row r="70" spans="1:18" s="42" customFormat="1" ht="14.5">
      <c r="A70" s="59"/>
      <c r="B70" s="89" t="s">
        <v>124</v>
      </c>
      <c r="E70" s="67"/>
      <c r="F70" s="67"/>
      <c r="G70" s="44"/>
      <c r="H70" s="67"/>
      <c r="I70" s="67"/>
      <c r="K70" s="67"/>
      <c r="L70" s="67"/>
      <c r="M70" s="67"/>
      <c r="N70" s="67"/>
      <c r="O70" s="67"/>
      <c r="R70" s="51"/>
    </row>
    <row r="71" spans="1:18" s="42" customFormat="1" ht="14.5">
      <c r="A71" s="59"/>
      <c r="B71" s="158" t="s">
        <v>125</v>
      </c>
      <c r="C71" s="159" t="str">
        <f>J37</f>
        <v>期末审定数</v>
      </c>
      <c r="D71" s="160" t="str">
        <f>K37</f>
        <v>上期末审定数</v>
      </c>
      <c r="E71" s="90" t="s">
        <v>126</v>
      </c>
      <c r="F71" s="67"/>
      <c r="G71" s="44"/>
      <c r="H71" s="67"/>
      <c r="I71" s="67"/>
      <c r="K71" s="67"/>
      <c r="L71" s="67"/>
      <c r="N71" s="67"/>
      <c r="O71" s="67"/>
      <c r="R71" s="51"/>
    </row>
    <row r="72" spans="1:18" s="42" customFormat="1" ht="14.5">
      <c r="A72" s="81"/>
      <c r="B72" s="204" t="s">
        <v>127</v>
      </c>
      <c r="C72" s="480">
        <v>0</v>
      </c>
      <c r="D72" s="481">
        <v>0</v>
      </c>
      <c r="F72" s="67"/>
      <c r="G72" s="44"/>
      <c r="H72" s="67"/>
      <c r="I72" s="67"/>
      <c r="K72" s="67"/>
      <c r="L72" s="67"/>
      <c r="M72" s="67"/>
      <c r="N72" s="67"/>
      <c r="O72" s="67"/>
      <c r="R72" s="51"/>
    </row>
    <row r="73" spans="1:18" s="42" customFormat="1" ht="14.5">
      <c r="A73" s="81"/>
      <c r="B73" s="204" t="s">
        <v>128</v>
      </c>
      <c r="C73" s="480">
        <f>J43-C75</f>
        <v>359091.87000000011</v>
      </c>
      <c r="D73" s="481">
        <f>K43-D75</f>
        <v>242827.27999999933</v>
      </c>
      <c r="E73" s="91"/>
      <c r="F73" s="67"/>
      <c r="G73" s="44"/>
      <c r="H73" s="67"/>
      <c r="I73" s="67"/>
      <c r="K73" s="67"/>
      <c r="L73" s="67"/>
      <c r="M73" s="67"/>
      <c r="N73" s="67"/>
      <c r="O73" s="67"/>
      <c r="R73" s="51"/>
    </row>
    <row r="74" spans="1:18" s="42" customFormat="1" ht="14.5">
      <c r="A74" s="81"/>
      <c r="B74" s="204" t="s">
        <v>129</v>
      </c>
      <c r="C74" s="480">
        <v>0</v>
      </c>
      <c r="D74" s="481">
        <v>0</v>
      </c>
      <c r="F74" s="67"/>
      <c r="G74" s="44"/>
      <c r="H74" s="67"/>
      <c r="I74" s="67"/>
      <c r="K74" s="67"/>
      <c r="L74" s="67"/>
      <c r="M74" s="67"/>
      <c r="N74" s="67"/>
      <c r="O74" s="67"/>
      <c r="R74" s="51"/>
    </row>
    <row r="75" spans="1:18" s="42" customFormat="1" ht="14.5">
      <c r="A75" s="81"/>
      <c r="B75" s="204" t="s">
        <v>130</v>
      </c>
      <c r="C75" s="480">
        <f>'C.00 BKD'!G12</f>
        <v>5696065.21</v>
      </c>
      <c r="D75" s="481">
        <f>'C.00 BKD'!L12</f>
        <v>4646459.4000000004</v>
      </c>
      <c r="M75" s="88"/>
      <c r="R75" s="51"/>
    </row>
    <row r="76" spans="1:18" s="42" customFormat="1" ht="14.5">
      <c r="A76" s="81"/>
      <c r="B76" s="214" t="s">
        <v>131</v>
      </c>
      <c r="C76" s="164">
        <f>C72+C73+C74+C75</f>
        <v>6055157.0800000001</v>
      </c>
      <c r="D76" s="515">
        <f>D72+D73+D74+D75</f>
        <v>4889286.68</v>
      </c>
      <c r="E76" s="91">
        <f>C76-J43</f>
        <v>0</v>
      </c>
      <c r="F76" s="91">
        <f>D76-K43</f>
        <v>0</v>
      </c>
      <c r="M76" s="88"/>
      <c r="R76" s="51"/>
    </row>
    <row r="77" spans="1:18" s="42" customFormat="1" ht="13">
      <c r="A77" s="81"/>
      <c r="C77" s="56" t="s">
        <v>81</v>
      </c>
      <c r="D77" s="56" t="s">
        <v>81</v>
      </c>
      <c r="M77" s="88"/>
      <c r="R77" s="51"/>
    </row>
    <row r="78" spans="1:18" s="42" customFormat="1" ht="16.5">
      <c r="A78" s="81"/>
      <c r="B78" s="413" t="s">
        <v>132</v>
      </c>
      <c r="C78" s="482">
        <v>0</v>
      </c>
      <c r="D78" s="483">
        <v>0</v>
      </c>
      <c r="E78" s="163" t="s">
        <v>133</v>
      </c>
      <c r="F78" s="67"/>
      <c r="G78" s="44"/>
      <c r="H78" s="67"/>
      <c r="I78" s="67"/>
      <c r="K78" s="67"/>
      <c r="L78" s="67"/>
      <c r="M78" s="67"/>
      <c r="N78" s="67"/>
      <c r="O78" s="67"/>
      <c r="R78" s="51"/>
    </row>
    <row r="79" spans="1:18" s="42" customFormat="1" ht="13">
      <c r="A79" s="81"/>
      <c r="G79" s="67"/>
      <c r="H79" s="44"/>
      <c r="I79" s="67"/>
      <c r="J79" s="67"/>
      <c r="L79" s="67"/>
      <c r="M79" s="67"/>
      <c r="N79" s="67"/>
      <c r="O79" s="67"/>
      <c r="R79" s="51"/>
    </row>
    <row r="80" spans="1:18" s="42" customFormat="1" ht="14.5">
      <c r="A80" s="81"/>
      <c r="B80" s="92" t="s">
        <v>134</v>
      </c>
      <c r="C80" s="92"/>
      <c r="D80" s="92"/>
      <c r="E80" s="91"/>
      <c r="N80" s="88"/>
      <c r="R80" s="51"/>
    </row>
    <row r="81" spans="1:18" s="42" customFormat="1" ht="14.5">
      <c r="A81" s="81"/>
      <c r="B81" s="161" t="s">
        <v>135</v>
      </c>
      <c r="C81" s="482">
        <f>'C.01 Confirmations '!X24</f>
        <v>50000</v>
      </c>
      <c r="D81" s="483">
        <v>0</v>
      </c>
      <c r="E81" s="91"/>
      <c r="N81" s="88"/>
      <c r="R81" s="51"/>
    </row>
    <row r="82" spans="1:18" ht="15" customHeight="1">
      <c r="B82" s="307"/>
      <c r="C82" s="307"/>
      <c r="D82" s="307"/>
      <c r="R82" s="51"/>
    </row>
    <row r="83" spans="1:18" ht="7.5" customHeight="1">
      <c r="A83" s="73"/>
      <c r="B83" s="74"/>
      <c r="C83" s="74"/>
      <c r="D83" s="74"/>
      <c r="E83" s="74"/>
      <c r="F83" s="74"/>
      <c r="G83" s="74"/>
      <c r="H83" s="74"/>
      <c r="I83" s="74"/>
      <c r="J83" s="74"/>
      <c r="K83" s="75"/>
      <c r="L83" s="74"/>
      <c r="M83" s="74"/>
      <c r="N83" s="74"/>
      <c r="O83" s="74"/>
      <c r="P83" s="74"/>
      <c r="Q83" s="74"/>
      <c r="R83" s="74"/>
    </row>
    <row r="84" spans="1:18" s="307" customFormat="1">
      <c r="A84" s="392"/>
      <c r="K84" s="393"/>
      <c r="Q84" s="3"/>
    </row>
  </sheetData>
  <sheetProtection autoFilter="0"/>
  <mergeCells count="14">
    <mergeCell ref="H13:L13"/>
    <mergeCell ref="B50:F60"/>
    <mergeCell ref="B20:E20"/>
    <mergeCell ref="B23:E23"/>
    <mergeCell ref="B1:P1"/>
    <mergeCell ref="D2:P8"/>
    <mergeCell ref="P36:P37"/>
    <mergeCell ref="O36:O37"/>
    <mergeCell ref="B26:F28"/>
    <mergeCell ref="F36:J36"/>
    <mergeCell ref="L36:M36"/>
    <mergeCell ref="F35:K35"/>
    <mergeCell ref="B30:C30"/>
    <mergeCell ref="D13:E13"/>
  </mergeCells>
  <phoneticPr fontId="114" type="noConversion"/>
  <conditionalFormatting sqref="B26 C32 B38:D41 K38:K41 P38:P41 H46 J46:K46">
    <cfRule type="containsBlanks" dxfId="27" priority="26">
      <formula>LEN(TRIM(B26))=0</formula>
    </cfRule>
  </conditionalFormatting>
  <conditionalFormatting sqref="B64:F64 C65:F65 B65:B67">
    <cfRule type="containsBlanks" dxfId="26" priority="5">
      <formula>LEN(TRIM(B64))=0</formula>
    </cfRule>
  </conditionalFormatting>
  <conditionalFormatting sqref="C2:C8">
    <cfRule type="containsBlanks" dxfId="25" priority="10">
      <formula>LEN(TRIM(C2))=0</formula>
    </cfRule>
  </conditionalFormatting>
  <conditionalFormatting sqref="C15:C19">
    <cfRule type="containsBlanks" dxfId="24" priority="9">
      <formula>LEN(TRIM(C15))=0</formula>
    </cfRule>
  </conditionalFormatting>
  <conditionalFormatting sqref="C72:D75">
    <cfRule type="containsBlanks" dxfId="23" priority="12">
      <formula>LEN(TRIM(C72))=0</formula>
    </cfRule>
  </conditionalFormatting>
  <conditionalFormatting sqref="C78:D78">
    <cfRule type="containsBlanks" dxfId="22" priority="25">
      <formula>LEN(TRIM(C78))=0</formula>
    </cfRule>
  </conditionalFormatting>
  <conditionalFormatting sqref="C81:D81">
    <cfRule type="containsBlanks" dxfId="21" priority="17">
      <formula>LEN(TRIM(C81))=0</formula>
    </cfRule>
  </conditionalFormatting>
  <conditionalFormatting sqref="C66:F67">
    <cfRule type="containsBlanks" dxfId="20" priority="4">
      <formula>LEN(TRIM(C66))=0</formula>
    </cfRule>
  </conditionalFormatting>
  <conditionalFormatting sqref="O38:O41 B50:B59">
    <cfRule type="containsBlanks" dxfId="19" priority="13">
      <formula>LEN(TRIM(B38))=0</formula>
    </cfRule>
  </conditionalFormatting>
  <conditionalFormatting sqref="O43">
    <cfRule type="containsBlanks" dxfId="18" priority="1">
      <formula>LEN(TRIM(O43))=0</formula>
    </cfRule>
  </conditionalFormatting>
  <conditionalFormatting sqref="P43">
    <cfRule type="containsBlanks" dxfId="17" priority="2">
      <formula>LEN(TRIM(P43))=0</formula>
    </cfRule>
  </conditionalFormatting>
  <dataValidations count="3">
    <dataValidation type="list" allowBlank="1" showInputMessage="1" showErrorMessage="1" sqref="C15:C19" xr:uid="{00000000-0002-0000-0300-000000000000}">
      <formula1>"Minimal,Low,Moderate,High,N/A"</formula1>
    </dataValidation>
    <dataValidation type="list" allowBlank="1" showInputMessage="1" sqref="P43 P38:P41" xr:uid="{00000000-0002-0000-0300-000001000000}">
      <formula1>"是,否"</formula1>
    </dataValidation>
    <dataValidation type="list" allowBlank="1" showInputMessage="1" sqref="B64:B67" xr:uid="{CC216C19-CC37-4DDB-A73E-144BC1E5ABCA}">
      <formula1>"管理层账表调整(CLA),已更正审计调整(AA/RA/OA),未更正审计调整(SAD)"</formula1>
    </dataValidation>
  </dataValidations>
  <hyperlinks>
    <hyperlink ref="B11" location="汇总!A1" display="返回汇总页" xr:uid="{FD3A324A-FB76-4B79-BF3F-5ECAD25A375B}"/>
  </hyperlinks>
  <pageMargins left="0.7" right="0.7" top="0.75" bottom="0.75" header="0.3" footer="0.3"/>
  <pageSetup paperSize="9"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34A86-C7FF-4C65-BD54-360D1AF47008}">
  <dimension ref="A1:P39"/>
  <sheetViews>
    <sheetView showGridLines="0" topLeftCell="A25" zoomScale="70" zoomScaleNormal="70" zoomScaleSheetLayoutView="90" workbookViewId="0">
      <selection activeCell="C45" sqref="C45"/>
    </sheetView>
  </sheetViews>
  <sheetFormatPr defaultColWidth="9.25" defaultRowHeight="15" customHeight="1"/>
  <cols>
    <col min="1" max="1" width="2.58203125" style="136" customWidth="1"/>
    <col min="2" max="2" width="32.33203125" style="141" customWidth="1"/>
    <col min="3" max="3" width="16.58203125" style="141" customWidth="1"/>
    <col min="4" max="4" width="40.08203125" style="124" customWidth="1"/>
    <col min="5" max="5" width="23.58203125" style="124" customWidth="1"/>
    <col min="6" max="9" width="16.58203125" style="124" customWidth="1"/>
    <col min="10" max="10" width="16.58203125" style="150" customWidth="1"/>
    <col min="11" max="11" width="42.75" style="150" customWidth="1"/>
    <col min="12" max="12" width="23.75" style="150" customWidth="1"/>
    <col min="13" max="13" width="16.58203125" style="150" customWidth="1"/>
    <col min="14" max="14" width="24.08203125" style="124" customWidth="1"/>
    <col min="15" max="15" width="1.58203125" style="124" customWidth="1"/>
    <col min="16" max="16" width="9.25" style="125" customWidth="1"/>
    <col min="17" max="17" width="9.25" style="124" customWidth="1"/>
    <col min="18" max="16384" width="9.25" style="124"/>
  </cols>
  <sheetData>
    <row r="1" spans="1:15" s="114" customFormat="1" ht="50.15" customHeight="1">
      <c r="A1" s="296" t="s">
        <v>136</v>
      </c>
      <c r="B1" s="391" t="s">
        <v>137</v>
      </c>
      <c r="C1" s="364"/>
      <c r="D1" s="365"/>
      <c r="E1" s="365"/>
      <c r="F1" s="365"/>
      <c r="G1" s="366"/>
      <c r="H1" s="366"/>
      <c r="I1" s="366"/>
      <c r="J1" s="367"/>
      <c r="K1" s="367"/>
      <c r="L1" s="367"/>
      <c r="M1" s="295"/>
      <c r="N1" s="394"/>
      <c r="O1" s="395"/>
    </row>
    <row r="2" spans="1:15" s="117" customFormat="1" ht="30" customHeight="1">
      <c r="A2" s="115"/>
      <c r="B2" s="368" t="s">
        <v>10</v>
      </c>
      <c r="C2" s="369"/>
      <c r="D2" s="369"/>
      <c r="E2" s="369"/>
      <c r="F2" s="369"/>
      <c r="G2" s="369"/>
      <c r="H2" s="369"/>
      <c r="I2" s="369"/>
      <c r="J2" s="370"/>
      <c r="K2" s="370"/>
      <c r="L2" s="370"/>
      <c r="M2" s="371"/>
      <c r="N2" s="115"/>
      <c r="O2" s="116"/>
    </row>
    <row r="3" spans="1:15" s="114" customFormat="1" ht="12.5">
      <c r="A3" s="118"/>
      <c r="J3" s="146"/>
      <c r="K3" s="146"/>
      <c r="L3" s="146"/>
      <c r="M3" s="146"/>
      <c r="N3" s="119"/>
      <c r="O3" s="120"/>
    </row>
    <row r="4" spans="1:15" s="114" customFormat="1" ht="14.5">
      <c r="A4" s="118"/>
      <c r="B4" s="143" t="s">
        <v>54</v>
      </c>
      <c r="J4" s="146"/>
      <c r="K4" s="146"/>
      <c r="L4" s="146"/>
      <c r="M4" s="146"/>
      <c r="N4" s="119"/>
      <c r="O4" s="120"/>
    </row>
    <row r="5" spans="1:15" s="114" customFormat="1" ht="12.5">
      <c r="A5" s="118"/>
      <c r="J5" s="146"/>
      <c r="K5" s="146"/>
      <c r="L5" s="146"/>
      <c r="M5" s="146"/>
      <c r="N5" s="119"/>
      <c r="O5" s="120"/>
    </row>
    <row r="6" spans="1:15" s="114" customFormat="1" ht="14.5">
      <c r="A6" s="118"/>
      <c r="B6" s="165" t="s">
        <v>138</v>
      </c>
      <c r="C6" s="165"/>
      <c r="D6" s="166"/>
      <c r="E6" s="166"/>
      <c r="F6" s="166"/>
      <c r="G6" s="167"/>
      <c r="H6" s="168"/>
      <c r="I6" s="168"/>
      <c r="J6" s="293"/>
      <c r="K6" s="294"/>
      <c r="L6" s="294"/>
      <c r="M6" s="294"/>
      <c r="N6" s="118"/>
      <c r="O6" s="120"/>
    </row>
    <row r="7" spans="1:15" s="125" customFormat="1" ht="13">
      <c r="A7" s="121"/>
      <c r="C7" s="122"/>
      <c r="D7" s="43"/>
      <c r="E7" s="123"/>
      <c r="F7" s="123"/>
      <c r="G7" s="123"/>
      <c r="I7" s="123"/>
      <c r="J7" s="147"/>
      <c r="K7" s="147"/>
      <c r="L7" s="147"/>
      <c r="M7" s="147"/>
      <c r="O7" s="120"/>
    </row>
    <row r="8" spans="1:15" s="129" customFormat="1" ht="13">
      <c r="A8" s="128"/>
      <c r="B8" s="38" t="s">
        <v>139</v>
      </c>
      <c r="C8" s="38" t="s">
        <v>139</v>
      </c>
      <c r="D8" s="38" t="s">
        <v>139</v>
      </c>
      <c r="E8" s="38" t="s">
        <v>139</v>
      </c>
      <c r="F8" s="38" t="s">
        <v>139</v>
      </c>
      <c r="G8" s="38" t="s">
        <v>139</v>
      </c>
      <c r="H8" s="38" t="s">
        <v>139</v>
      </c>
      <c r="I8" s="412" t="s">
        <v>140</v>
      </c>
      <c r="J8" s="412" t="s">
        <v>141</v>
      </c>
      <c r="K8" s="412" t="s">
        <v>141</v>
      </c>
      <c r="L8" s="412"/>
      <c r="M8" s="148"/>
      <c r="O8" s="120"/>
    </row>
    <row r="9" spans="1:15" s="132" customFormat="1" ht="29">
      <c r="A9" s="131"/>
      <c r="B9" s="309" t="s">
        <v>142</v>
      </c>
      <c r="C9" s="309" t="s">
        <v>143</v>
      </c>
      <c r="D9" s="309" t="s">
        <v>144</v>
      </c>
      <c r="E9" s="309" t="s">
        <v>145</v>
      </c>
      <c r="F9" s="309" t="s">
        <v>146</v>
      </c>
      <c r="G9" s="309" t="s">
        <v>147</v>
      </c>
      <c r="H9" s="309" t="s">
        <v>148</v>
      </c>
      <c r="I9" s="310" t="s">
        <v>149</v>
      </c>
      <c r="J9" s="309" t="s">
        <v>150</v>
      </c>
      <c r="K9" s="309" t="s">
        <v>151</v>
      </c>
      <c r="L9" s="559" t="s">
        <v>480</v>
      </c>
      <c r="M9" s="311" t="s">
        <v>152</v>
      </c>
      <c r="O9" s="120"/>
    </row>
    <row r="10" spans="1:15" s="414" customFormat="1" ht="14.5" customHeight="1">
      <c r="B10" s="415" t="s">
        <v>43</v>
      </c>
      <c r="C10" s="415" t="s">
        <v>153</v>
      </c>
      <c r="D10" s="416" t="s">
        <v>154</v>
      </c>
      <c r="E10" s="419" t="s">
        <v>155</v>
      </c>
      <c r="F10" s="416" t="s">
        <v>52</v>
      </c>
      <c r="G10" s="519">
        <v>1373.84</v>
      </c>
      <c r="H10" s="534">
        <f>G10</f>
        <v>1373.84</v>
      </c>
      <c r="I10" s="415" t="s">
        <v>156</v>
      </c>
      <c r="J10" s="416" t="s">
        <v>9</v>
      </c>
      <c r="K10" s="416" t="str">
        <f t="shared" ref="K10:K22" si="0">IF(J10="是","N/a","")</f>
        <v>N/a</v>
      </c>
      <c r="L10" s="520">
        <v>19628.16</v>
      </c>
      <c r="M10" s="416"/>
      <c r="O10" s="417"/>
    </row>
    <row r="11" spans="1:15" s="414" customFormat="1" ht="14.5" customHeight="1">
      <c r="B11" s="415" t="s">
        <v>43</v>
      </c>
      <c r="C11" s="415" t="s">
        <v>153</v>
      </c>
      <c r="D11" s="416" t="s">
        <v>157</v>
      </c>
      <c r="E11" s="419" t="s">
        <v>158</v>
      </c>
      <c r="F11" s="416" t="s">
        <v>52</v>
      </c>
      <c r="G11" s="519">
        <v>7000</v>
      </c>
      <c r="H11" s="534">
        <f>G11</f>
        <v>7000</v>
      </c>
      <c r="I11" s="415" t="s">
        <v>156</v>
      </c>
      <c r="J11" s="416" t="s">
        <v>9</v>
      </c>
      <c r="K11" s="416" t="str">
        <f t="shared" si="0"/>
        <v>N/a</v>
      </c>
      <c r="L11" s="520">
        <v>107000</v>
      </c>
      <c r="M11" s="416"/>
      <c r="O11" s="417"/>
    </row>
    <row r="12" spans="1:15" s="414" customFormat="1" ht="14.5" customHeight="1">
      <c r="B12" s="415" t="s">
        <v>43</v>
      </c>
      <c r="C12" s="415" t="s">
        <v>153</v>
      </c>
      <c r="D12" s="416" t="s">
        <v>159</v>
      </c>
      <c r="E12" s="419" t="s">
        <v>160</v>
      </c>
      <c r="F12" s="416" t="s">
        <v>52</v>
      </c>
      <c r="G12" s="519">
        <v>5696065.21</v>
      </c>
      <c r="H12" s="534">
        <f t="shared" ref="H12:H13" si="1">G12</f>
        <v>5696065.21</v>
      </c>
      <c r="I12" s="415" t="s">
        <v>156</v>
      </c>
      <c r="J12" s="416" t="s">
        <v>181</v>
      </c>
      <c r="K12" s="415" t="s">
        <v>442</v>
      </c>
      <c r="L12" s="520">
        <v>4646459.4000000004</v>
      </c>
      <c r="M12" s="530" t="s">
        <v>443</v>
      </c>
      <c r="O12" s="417"/>
    </row>
    <row r="13" spans="1:15" s="414" customFormat="1" ht="14.5" customHeight="1">
      <c r="B13" s="415" t="s">
        <v>43</v>
      </c>
      <c r="C13" s="415" t="s">
        <v>153</v>
      </c>
      <c r="D13" s="416" t="s">
        <v>161</v>
      </c>
      <c r="E13" s="419" t="s">
        <v>162</v>
      </c>
      <c r="F13" s="416" t="s">
        <v>52</v>
      </c>
      <c r="G13" s="519">
        <v>991</v>
      </c>
      <c r="H13" s="534">
        <f t="shared" si="1"/>
        <v>991</v>
      </c>
      <c r="I13" s="415" t="s">
        <v>163</v>
      </c>
      <c r="J13" s="416" t="s">
        <v>9</v>
      </c>
      <c r="K13" s="416" t="str">
        <f t="shared" si="0"/>
        <v>N/a</v>
      </c>
      <c r="L13" s="520">
        <v>55.58</v>
      </c>
      <c r="M13" s="416"/>
      <c r="O13" s="417"/>
    </row>
    <row r="14" spans="1:15" s="414" customFormat="1" ht="14.5" customHeight="1">
      <c r="B14" s="415" t="s">
        <v>43</v>
      </c>
      <c r="C14" s="415" t="s">
        <v>153</v>
      </c>
      <c r="D14" s="416" t="s">
        <v>164</v>
      </c>
      <c r="E14" s="419" t="s">
        <v>165</v>
      </c>
      <c r="F14" s="416" t="s">
        <v>52</v>
      </c>
      <c r="G14" s="519">
        <v>90863.39</v>
      </c>
      <c r="H14" s="534">
        <f>G14</f>
        <v>90863.39</v>
      </c>
      <c r="I14" s="415" t="s">
        <v>166</v>
      </c>
      <c r="J14" s="416" t="s">
        <v>9</v>
      </c>
      <c r="K14" s="416" t="str">
        <f t="shared" si="0"/>
        <v>N/a</v>
      </c>
      <c r="L14" s="520">
        <v>29069.09</v>
      </c>
      <c r="M14" s="416"/>
      <c r="O14" s="417"/>
    </row>
    <row r="15" spans="1:15" s="414" customFormat="1" ht="14.5" customHeight="1">
      <c r="B15" s="415" t="s">
        <v>43</v>
      </c>
      <c r="C15" s="415" t="s">
        <v>153</v>
      </c>
      <c r="D15" s="416" t="s">
        <v>167</v>
      </c>
      <c r="E15" s="419" t="s">
        <v>168</v>
      </c>
      <c r="F15" s="416" t="s">
        <v>52</v>
      </c>
      <c r="G15" s="519">
        <v>850.22</v>
      </c>
      <c r="H15" s="534">
        <f t="shared" ref="H15:H16" si="2">G15</f>
        <v>850.22</v>
      </c>
      <c r="I15" s="415" t="s">
        <v>156</v>
      </c>
      <c r="J15" s="416" t="s">
        <v>9</v>
      </c>
      <c r="K15" s="416" t="str">
        <f t="shared" si="0"/>
        <v>N/a</v>
      </c>
      <c r="L15" s="520">
        <v>1000</v>
      </c>
      <c r="M15" s="416"/>
      <c r="O15" s="417"/>
    </row>
    <row r="16" spans="1:15" s="414" customFormat="1" ht="14.5" customHeight="1">
      <c r="B16" s="415" t="s">
        <v>43</v>
      </c>
      <c r="C16" s="415" t="s">
        <v>153</v>
      </c>
      <c r="D16" s="416" t="s">
        <v>169</v>
      </c>
      <c r="E16" s="419" t="s">
        <v>170</v>
      </c>
      <c r="F16" s="416" t="s">
        <v>52</v>
      </c>
      <c r="G16" s="519">
        <v>76892.42</v>
      </c>
      <c r="H16" s="534">
        <f t="shared" si="2"/>
        <v>76892.42</v>
      </c>
      <c r="I16" s="415" t="s">
        <v>156</v>
      </c>
      <c r="J16" s="416" t="s">
        <v>9</v>
      </c>
      <c r="K16" s="416" t="str">
        <f t="shared" si="0"/>
        <v>N/a</v>
      </c>
      <c r="L16" s="520">
        <v>76857.440000000002</v>
      </c>
      <c r="M16" s="416"/>
      <c r="O16" s="417"/>
    </row>
    <row r="17" spans="1:16" s="414" customFormat="1" ht="14.5" customHeight="1">
      <c r="B17" s="415" t="s">
        <v>43</v>
      </c>
      <c r="C17" s="415" t="s">
        <v>153</v>
      </c>
      <c r="D17" s="529" t="s">
        <v>439</v>
      </c>
      <c r="E17" s="419" t="s">
        <v>440</v>
      </c>
      <c r="F17" s="416" t="s">
        <v>52</v>
      </c>
      <c r="G17" s="519">
        <v>50000</v>
      </c>
      <c r="H17" s="534">
        <f t="shared" ref="H17:H22" si="3">G17</f>
        <v>50000</v>
      </c>
      <c r="I17" s="415" t="s">
        <v>445</v>
      </c>
      <c r="J17" s="416" t="s">
        <v>9</v>
      </c>
      <c r="K17" s="416" t="str">
        <f t="shared" si="0"/>
        <v>N/a</v>
      </c>
      <c r="L17" s="520">
        <v>0</v>
      </c>
      <c r="M17" s="416"/>
      <c r="O17" s="417"/>
    </row>
    <row r="18" spans="1:16" s="414" customFormat="1" ht="14.5" customHeight="1">
      <c r="B18" s="557" t="s">
        <v>475</v>
      </c>
      <c r="C18" s="415" t="s">
        <v>153</v>
      </c>
      <c r="D18" s="529" t="s">
        <v>444</v>
      </c>
      <c r="E18" s="419" t="s">
        <v>441</v>
      </c>
      <c r="F18" s="416" t="s">
        <v>52</v>
      </c>
      <c r="G18" s="519">
        <v>378.05</v>
      </c>
      <c r="H18" s="534">
        <f t="shared" si="3"/>
        <v>378.05</v>
      </c>
      <c r="I18" s="415" t="s">
        <v>156</v>
      </c>
      <c r="J18" s="416" t="s">
        <v>9</v>
      </c>
      <c r="K18" s="416" t="str">
        <f t="shared" si="0"/>
        <v>N/a</v>
      </c>
      <c r="L18" s="520">
        <v>0</v>
      </c>
      <c r="M18" s="416"/>
      <c r="O18" s="417"/>
    </row>
    <row r="19" spans="1:16" s="414" customFormat="1" ht="14.5" customHeight="1">
      <c r="B19" s="415" t="s">
        <v>115</v>
      </c>
      <c r="C19" s="415" t="s">
        <v>153</v>
      </c>
      <c r="D19" s="416" t="s">
        <v>171</v>
      </c>
      <c r="E19" s="419" t="s">
        <v>172</v>
      </c>
      <c r="F19" s="416" t="s">
        <v>52</v>
      </c>
      <c r="G19" s="519">
        <v>605.89</v>
      </c>
      <c r="H19" s="534">
        <f t="shared" si="3"/>
        <v>605.89</v>
      </c>
      <c r="I19" s="415" t="s">
        <v>166</v>
      </c>
      <c r="J19" s="416" t="s">
        <v>9</v>
      </c>
      <c r="K19" s="416" t="str">
        <f t="shared" si="0"/>
        <v>N/a</v>
      </c>
      <c r="L19" s="520">
        <v>990.34</v>
      </c>
      <c r="M19" s="416"/>
      <c r="O19" s="417"/>
    </row>
    <row r="20" spans="1:16" s="414" customFormat="1" ht="14.5" customHeight="1">
      <c r="B20" s="415" t="s">
        <v>116</v>
      </c>
      <c r="C20" s="415" t="s">
        <v>153</v>
      </c>
      <c r="D20" s="416" t="s">
        <v>173</v>
      </c>
      <c r="E20" s="419" t="s">
        <v>174</v>
      </c>
      <c r="F20" s="416" t="s">
        <v>52</v>
      </c>
      <c r="G20" s="519">
        <v>8043.03</v>
      </c>
      <c r="H20" s="534">
        <f t="shared" si="3"/>
        <v>8043.03</v>
      </c>
      <c r="I20" s="415" t="s">
        <v>166</v>
      </c>
      <c r="J20" s="416" t="s">
        <v>9</v>
      </c>
      <c r="K20" s="416" t="str">
        <f t="shared" si="0"/>
        <v>N/a</v>
      </c>
      <c r="L20" s="520">
        <v>5161.99</v>
      </c>
      <c r="M20" s="416"/>
      <c r="O20" s="417"/>
    </row>
    <row r="21" spans="1:16" s="414" customFormat="1" ht="14.5" customHeight="1">
      <c r="B21" s="415" t="s">
        <v>117</v>
      </c>
      <c r="C21" s="415" t="s">
        <v>153</v>
      </c>
      <c r="D21" s="416" t="s">
        <v>157</v>
      </c>
      <c r="E21" s="419" t="s">
        <v>175</v>
      </c>
      <c r="F21" s="416" t="s">
        <v>52</v>
      </c>
      <c r="G21" s="519">
        <v>122094.03</v>
      </c>
      <c r="H21" s="534">
        <f t="shared" si="3"/>
        <v>122094.03</v>
      </c>
      <c r="I21" s="415" t="s">
        <v>156</v>
      </c>
      <c r="J21" s="416" t="s">
        <v>9</v>
      </c>
      <c r="K21" s="416" t="str">
        <f t="shared" si="0"/>
        <v>N/a</v>
      </c>
      <c r="L21" s="520">
        <v>995.53</v>
      </c>
      <c r="M21" s="416"/>
      <c r="O21" s="417"/>
    </row>
    <row r="22" spans="1:16" s="414" customFormat="1" ht="14.5" customHeight="1">
      <c r="B22" s="415" t="s">
        <v>117</v>
      </c>
      <c r="C22" s="415" t="s">
        <v>153</v>
      </c>
      <c r="D22" s="416" t="s">
        <v>176</v>
      </c>
      <c r="E22" s="419" t="s">
        <v>177</v>
      </c>
      <c r="F22" s="416" t="s">
        <v>52</v>
      </c>
      <c r="G22" s="519">
        <v>0</v>
      </c>
      <c r="H22" s="534">
        <f t="shared" si="3"/>
        <v>0</v>
      </c>
      <c r="I22" s="415" t="s">
        <v>166</v>
      </c>
      <c r="J22" s="416" t="s">
        <v>9</v>
      </c>
      <c r="K22" s="416" t="str">
        <f t="shared" si="0"/>
        <v>N/a</v>
      </c>
      <c r="L22" s="520">
        <v>2069.15</v>
      </c>
      <c r="M22" s="416"/>
      <c r="O22" s="417"/>
    </row>
    <row r="23" spans="1:16" s="127" customFormat="1" ht="13">
      <c r="A23" s="133"/>
      <c r="B23" s="328"/>
      <c r="G23" s="152"/>
      <c r="H23" s="152"/>
      <c r="I23" s="152"/>
      <c r="J23" s="153"/>
      <c r="K23" s="297"/>
      <c r="L23" s="297"/>
      <c r="M23" s="153"/>
      <c r="O23" s="120"/>
      <c r="P23" s="134"/>
    </row>
    <row r="24" spans="1:16" s="127" customFormat="1" ht="13.5" thickBot="1">
      <c r="A24" s="133"/>
      <c r="G24" s="135"/>
      <c r="H24" s="485">
        <f>SUM(H10:H22)</f>
        <v>6055157.0799999991</v>
      </c>
      <c r="I24" s="298"/>
      <c r="J24" s="129"/>
      <c r="K24" s="129"/>
      <c r="L24" s="485">
        <f>SUM(L10:L22)</f>
        <v>4889286.6800000016</v>
      </c>
      <c r="M24" s="129"/>
      <c r="O24" s="120"/>
      <c r="P24" s="134"/>
    </row>
    <row r="25" spans="1:16" s="127" customFormat="1" ht="13.5" thickTop="1">
      <c r="A25" s="133"/>
      <c r="B25" s="125"/>
      <c r="C25" s="125"/>
      <c r="D25" s="125"/>
      <c r="E25" s="125"/>
      <c r="F25" s="125"/>
      <c r="G25" s="125"/>
      <c r="H25" s="44" t="s">
        <v>178</v>
      </c>
      <c r="I25" s="44"/>
      <c r="J25" s="149"/>
      <c r="K25" s="149"/>
      <c r="L25" s="149"/>
      <c r="M25" s="149"/>
      <c r="O25" s="120"/>
      <c r="P25" s="134"/>
    </row>
    <row r="26" spans="1:16" s="127" customFormat="1" ht="13">
      <c r="A26" s="133"/>
      <c r="B26" s="125"/>
      <c r="C26" s="125"/>
      <c r="D26" s="125"/>
      <c r="E26" s="125"/>
      <c r="F26" s="125"/>
      <c r="G26" s="418" t="s">
        <v>179</v>
      </c>
      <c r="H26" s="486">
        <f>H24-'C.00 Lead'!F43</f>
        <v>0</v>
      </c>
      <c r="I26" s="169"/>
      <c r="J26" s="149"/>
      <c r="K26" s="149"/>
      <c r="L26" s="560">
        <f>L24-'C.00 Lead'!K43</f>
        <v>0</v>
      </c>
      <c r="M26" s="149"/>
      <c r="O26" s="120"/>
      <c r="P26" s="134"/>
    </row>
    <row r="27" spans="1:16" s="127" customFormat="1" ht="13">
      <c r="A27" s="133"/>
      <c r="B27" s="125"/>
      <c r="C27" s="125"/>
      <c r="D27" s="125"/>
      <c r="E27" s="125"/>
      <c r="F27" s="125"/>
      <c r="K27" s="130"/>
      <c r="L27" s="130"/>
      <c r="M27" s="130"/>
      <c r="O27" s="120"/>
      <c r="P27" s="134"/>
    </row>
    <row r="28" spans="1:16" ht="13">
      <c r="B28" s="137" t="s">
        <v>180</v>
      </c>
      <c r="C28" s="138"/>
      <c r="G28" s="125"/>
      <c r="I28" s="45"/>
      <c r="K28" s="124"/>
      <c r="L28" s="124"/>
      <c r="M28" s="124"/>
      <c r="O28" s="120"/>
    </row>
    <row r="29" spans="1:16" ht="13">
      <c r="B29" s="664" t="s">
        <v>479</v>
      </c>
      <c r="C29" s="665"/>
      <c r="D29" s="665"/>
      <c r="E29" s="665"/>
      <c r="F29" s="666"/>
      <c r="G29" s="125"/>
      <c r="I29" s="45"/>
      <c r="K29" s="124"/>
      <c r="L29" s="124"/>
      <c r="M29" s="124"/>
      <c r="O29" s="120"/>
    </row>
    <row r="30" spans="1:16" ht="13">
      <c r="B30" s="667"/>
      <c r="C30" s="668"/>
      <c r="D30" s="668"/>
      <c r="E30" s="668"/>
      <c r="F30" s="669"/>
      <c r="I30" s="45"/>
      <c r="K30" s="124"/>
      <c r="L30" s="124"/>
      <c r="M30" s="124"/>
      <c r="O30" s="120"/>
    </row>
    <row r="31" spans="1:16" ht="13">
      <c r="B31" s="670"/>
      <c r="C31" s="671"/>
      <c r="D31" s="671"/>
      <c r="E31" s="671"/>
      <c r="F31" s="672"/>
      <c r="G31" s="125"/>
      <c r="K31" s="124"/>
      <c r="L31" s="124"/>
      <c r="M31" s="124"/>
      <c r="O31" s="120"/>
    </row>
    <row r="32" spans="1:16" ht="15" customHeight="1">
      <c r="A32" s="121"/>
      <c r="B32" s="126"/>
      <c r="C32" s="126"/>
      <c r="D32" s="134"/>
      <c r="E32" s="139"/>
      <c r="F32" s="134"/>
      <c r="G32" s="132"/>
      <c r="H32" s="134"/>
      <c r="I32" s="134"/>
      <c r="J32" s="140"/>
      <c r="K32" s="124"/>
      <c r="L32" s="124"/>
      <c r="M32" s="124"/>
      <c r="O32" s="120"/>
    </row>
    <row r="33" spans="1:15" ht="7.5" customHeight="1">
      <c r="A33" s="120"/>
      <c r="B33" s="120"/>
      <c r="C33" s="120"/>
      <c r="D33" s="120"/>
      <c r="E33" s="120"/>
      <c r="F33" s="120"/>
      <c r="G33" s="120"/>
      <c r="H33" s="120"/>
      <c r="I33" s="120"/>
      <c r="J33" s="151"/>
      <c r="K33" s="151"/>
      <c r="L33" s="151"/>
      <c r="M33" s="151"/>
      <c r="N33" s="120"/>
      <c r="O33" s="120"/>
    </row>
    <row r="36" spans="1:15" ht="15" customHeight="1">
      <c r="B36" s="141" t="s">
        <v>552</v>
      </c>
      <c r="C36" s="576">
        <f>H24-'C.01 Confirmations '!X24</f>
        <v>6005157.0799999991</v>
      </c>
    </row>
    <row r="37" spans="1:15" ht="15" customHeight="1">
      <c r="B37" s="575" t="s">
        <v>553</v>
      </c>
      <c r="C37" s="141">
        <v>0</v>
      </c>
    </row>
    <row r="38" spans="1:15" ht="15" customHeight="1">
      <c r="B38" s="141" t="s">
        <v>554</v>
      </c>
      <c r="C38" s="141">
        <f>'[2]CF-主表'!$E$45</f>
        <v>6055157.0800000001</v>
      </c>
    </row>
    <row r="39" spans="1:15" ht="15" customHeight="1">
      <c r="B39" s="141" t="s">
        <v>555</v>
      </c>
      <c r="C39" s="576">
        <f>C36+C37-C38</f>
        <v>-50000.000000000931</v>
      </c>
    </row>
  </sheetData>
  <sheetProtection autoFilter="0"/>
  <autoFilter ref="B8:M26" xr:uid="{56534A86-C7FF-4C65-BD54-360D1AF47008}"/>
  <mergeCells count="1">
    <mergeCell ref="B29:F31"/>
  </mergeCells>
  <phoneticPr fontId="114" type="noConversion"/>
  <conditionalFormatting sqref="B10:L22 B29">
    <cfRule type="containsBlanks" dxfId="16" priority="1">
      <formula>LEN(TRIM(B10))=0</formula>
    </cfRule>
  </conditionalFormatting>
  <dataValidations count="1">
    <dataValidation type="list" allowBlank="1" showInputMessage="1" sqref="J10:J22" xr:uid="{55924412-CD28-4A0C-B3C2-8FE5C421C71A}">
      <formula1>"是,否"</formula1>
    </dataValidation>
  </dataValidations>
  <hyperlinks>
    <hyperlink ref="B4" location="汇总!A1" display="返回汇总页" xr:uid="{2D35E03F-D1B5-4A36-B515-27E6B62407D5}"/>
    <hyperlink ref="M12" location="C.01C内部对账!A1" display="C.01C内部对账!A1" xr:uid="{E7D9BEA0-2537-403A-AEF9-80DD140BB9C0}"/>
  </hyperlinks>
  <pageMargins left="0.7" right="0.7" top="0.75" bottom="0.75" header="0.3" footer="0.3"/>
  <pageSetup paperSize="9"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054B0-48B2-4404-BEB4-3837ACFD1AD1}">
  <dimension ref="A3:T15"/>
  <sheetViews>
    <sheetView topLeftCell="D1" workbookViewId="0">
      <selection activeCell="K17" sqref="K17"/>
    </sheetView>
  </sheetViews>
  <sheetFormatPr defaultRowHeight="14"/>
  <cols>
    <col min="2" max="2" width="22.25" customWidth="1"/>
    <col min="5" max="5" width="12.58203125" customWidth="1"/>
    <col min="6" max="6" width="20.08203125" customWidth="1"/>
    <col min="7" max="7" width="12.75" customWidth="1"/>
    <col min="11" max="11" width="11.25" bestFit="1" customWidth="1"/>
    <col min="15" max="15" width="19.25" customWidth="1"/>
  </cols>
  <sheetData>
    <row r="3" spans="1:20" ht="15">
      <c r="A3" s="673" t="s">
        <v>460</v>
      </c>
      <c r="B3" s="673"/>
      <c r="C3" s="673"/>
      <c r="D3" s="673"/>
      <c r="E3" s="673"/>
      <c r="F3" s="673"/>
      <c r="G3" s="673"/>
      <c r="H3" s="673"/>
      <c r="I3" s="673"/>
      <c r="J3" s="673"/>
      <c r="K3" s="673"/>
      <c r="L3" s="673"/>
      <c r="M3" s="673"/>
      <c r="N3" s="673"/>
      <c r="O3" s="673"/>
      <c r="P3" s="673"/>
      <c r="Q3" s="673"/>
      <c r="R3" s="673"/>
      <c r="S3" s="673"/>
      <c r="T3" s="673"/>
    </row>
    <row r="4" spans="1:20" ht="15">
      <c r="A4" s="535"/>
      <c r="B4" s="535"/>
      <c r="C4" s="535"/>
      <c r="D4" s="535"/>
      <c r="E4" s="535"/>
      <c r="F4" s="535"/>
      <c r="G4" s="535"/>
      <c r="H4" s="535"/>
      <c r="I4" s="535"/>
      <c r="J4" s="535"/>
      <c r="K4" s="535"/>
      <c r="L4" s="535"/>
      <c r="M4" s="535"/>
      <c r="N4" s="535"/>
      <c r="O4" s="535"/>
      <c r="P4" s="535"/>
      <c r="Q4" s="535"/>
      <c r="R4" s="535"/>
      <c r="S4" s="535"/>
      <c r="T4" s="535"/>
    </row>
    <row r="5" spans="1:20" ht="30">
      <c r="A5" s="536" t="s">
        <v>461</v>
      </c>
      <c r="B5" s="537"/>
      <c r="C5" s="537"/>
      <c r="D5" s="537"/>
      <c r="E5" s="537"/>
      <c r="F5" s="537"/>
      <c r="G5" s="537"/>
      <c r="H5" s="537"/>
      <c r="I5" s="537"/>
      <c r="J5" s="537"/>
      <c r="K5" s="537"/>
      <c r="L5" s="537"/>
      <c r="M5" s="537"/>
      <c r="N5" s="537"/>
      <c r="O5" s="537"/>
      <c r="P5" s="537"/>
      <c r="Q5" s="537"/>
      <c r="R5" s="537"/>
      <c r="S5" s="537"/>
      <c r="T5" s="537"/>
    </row>
    <row r="6" spans="1:20" ht="15.5" thickBot="1">
      <c r="A6" s="536"/>
      <c r="B6" s="537"/>
      <c r="C6" s="537"/>
      <c r="D6" s="537"/>
      <c r="E6" s="537"/>
      <c r="F6" s="537"/>
      <c r="G6" s="537"/>
      <c r="H6" s="537"/>
      <c r="I6" s="537"/>
      <c r="J6" s="537"/>
      <c r="K6" s="537"/>
      <c r="L6" s="537"/>
      <c r="M6" s="537"/>
      <c r="N6" s="537"/>
      <c r="O6" s="537"/>
      <c r="P6" s="537"/>
      <c r="Q6" s="537"/>
      <c r="R6" s="537"/>
      <c r="S6" s="537"/>
      <c r="T6" s="537"/>
    </row>
    <row r="7" spans="1:20" ht="15">
      <c r="A7" s="674" t="s">
        <v>462</v>
      </c>
      <c r="B7" s="675"/>
      <c r="C7" s="675"/>
      <c r="D7" s="675"/>
      <c r="E7" s="675"/>
      <c r="F7" s="675"/>
      <c r="G7" s="675"/>
      <c r="H7" s="675"/>
      <c r="I7" s="676"/>
      <c r="J7" s="674" t="s">
        <v>463</v>
      </c>
      <c r="K7" s="675"/>
      <c r="L7" s="675"/>
      <c r="M7" s="675"/>
      <c r="N7" s="675"/>
      <c r="O7" s="675"/>
      <c r="P7" s="675"/>
      <c r="Q7" s="675"/>
      <c r="R7" s="676"/>
      <c r="S7" s="677" t="s">
        <v>464</v>
      </c>
      <c r="T7" s="676"/>
    </row>
    <row r="8" spans="1:20" ht="90">
      <c r="A8" s="538" t="s">
        <v>465</v>
      </c>
      <c r="B8" s="539" t="s">
        <v>466</v>
      </c>
      <c r="C8" s="539" t="s">
        <v>453</v>
      </c>
      <c r="D8" s="539" t="s">
        <v>467</v>
      </c>
      <c r="E8" s="539" t="s">
        <v>454</v>
      </c>
      <c r="F8" s="539" t="s">
        <v>468</v>
      </c>
      <c r="G8" s="540" t="s">
        <v>469</v>
      </c>
      <c r="H8" s="540" t="s">
        <v>470</v>
      </c>
      <c r="I8" s="541" t="s">
        <v>471</v>
      </c>
      <c r="J8" s="538" t="s">
        <v>465</v>
      </c>
      <c r="K8" s="539" t="s">
        <v>466</v>
      </c>
      <c r="L8" s="539" t="s">
        <v>453</v>
      </c>
      <c r="M8" s="539" t="s">
        <v>467</v>
      </c>
      <c r="N8" s="539" t="s">
        <v>454</v>
      </c>
      <c r="O8" s="539" t="s">
        <v>468</v>
      </c>
      <c r="P8" s="540" t="s">
        <v>469</v>
      </c>
      <c r="Q8" s="540" t="s">
        <v>472</v>
      </c>
      <c r="R8" s="541" t="s">
        <v>471</v>
      </c>
      <c r="S8" s="542" t="s">
        <v>473</v>
      </c>
      <c r="T8" s="541" t="s">
        <v>474</v>
      </c>
    </row>
    <row r="9" spans="1:20" ht="15">
      <c r="A9" s="544" t="s">
        <v>43</v>
      </c>
      <c r="B9" s="544" t="s">
        <v>160</v>
      </c>
      <c r="C9" s="544" t="s">
        <v>52</v>
      </c>
      <c r="D9" s="544">
        <v>0.1</v>
      </c>
      <c r="E9" s="544" t="s">
        <v>456</v>
      </c>
      <c r="F9" s="558">
        <f>'C.00 BKD'!G12</f>
        <v>5696065.21</v>
      </c>
      <c r="G9" s="544" t="s">
        <v>476</v>
      </c>
      <c r="H9" s="544" t="s">
        <v>477</v>
      </c>
      <c r="I9" s="546" t="s">
        <v>478</v>
      </c>
      <c r="J9" s="544" t="s">
        <v>43</v>
      </c>
      <c r="K9" s="544" t="s">
        <v>160</v>
      </c>
      <c r="L9" s="544" t="s">
        <v>52</v>
      </c>
      <c r="M9" s="544">
        <v>0.1</v>
      </c>
      <c r="N9" s="544" t="s">
        <v>456</v>
      </c>
      <c r="O9" s="558">
        <v>5696065.21</v>
      </c>
      <c r="P9" s="544" t="s">
        <v>476</v>
      </c>
      <c r="Q9" s="544" t="s">
        <v>477</v>
      </c>
      <c r="R9" s="547" t="s">
        <v>478</v>
      </c>
      <c r="S9" s="548" t="s">
        <v>478</v>
      </c>
      <c r="T9" s="549"/>
    </row>
    <row r="10" spans="1:20" ht="15">
      <c r="A10" s="543"/>
      <c r="B10" s="544"/>
      <c r="C10" s="545"/>
      <c r="D10" s="544"/>
      <c r="E10" s="544"/>
      <c r="F10" s="544"/>
      <c r="G10" s="544"/>
      <c r="H10" s="544"/>
      <c r="I10" s="546"/>
      <c r="J10" s="543"/>
      <c r="K10" s="545"/>
      <c r="L10" s="544"/>
      <c r="M10" s="544"/>
      <c r="N10" s="544"/>
      <c r="O10" s="544"/>
      <c r="P10" s="544"/>
      <c r="Q10" s="544"/>
      <c r="R10" s="547"/>
      <c r="S10" s="548"/>
      <c r="T10" s="549"/>
    </row>
    <row r="11" spans="1:20" ht="15">
      <c r="A11" s="543"/>
      <c r="B11" s="544"/>
      <c r="C11" s="545"/>
      <c r="D11" s="544"/>
      <c r="E11" s="544"/>
      <c r="F11" s="544"/>
      <c r="G11" s="544"/>
      <c r="H11" s="544"/>
      <c r="I11" s="546"/>
      <c r="J11" s="543"/>
      <c r="K11" s="545"/>
      <c r="L11" s="544"/>
      <c r="M11" s="544"/>
      <c r="N11" s="544"/>
      <c r="O11" s="544"/>
      <c r="P11" s="544"/>
      <c r="Q11" s="544"/>
      <c r="R11" s="547"/>
      <c r="S11" s="548"/>
      <c r="T11" s="549"/>
    </row>
    <row r="12" spans="1:20" ht="15">
      <c r="A12" s="543"/>
      <c r="B12" s="544"/>
      <c r="C12" s="545"/>
      <c r="D12" s="544"/>
      <c r="E12" s="544"/>
      <c r="F12" s="544"/>
      <c r="G12" s="544"/>
      <c r="H12" s="544"/>
      <c r="I12" s="546"/>
      <c r="J12" s="543"/>
      <c r="K12" s="545"/>
      <c r="L12" s="544"/>
      <c r="M12" s="544"/>
      <c r="N12" s="544"/>
      <c r="O12" s="544"/>
      <c r="P12" s="544"/>
      <c r="Q12" s="544"/>
      <c r="R12" s="547"/>
      <c r="S12" s="548"/>
      <c r="T12" s="549"/>
    </row>
    <row r="13" spans="1:20" ht="15.5" thickBot="1">
      <c r="A13" s="550"/>
      <c r="B13" s="551"/>
      <c r="C13" s="552"/>
      <c r="D13" s="551"/>
      <c r="E13" s="551"/>
      <c r="F13" s="551"/>
      <c r="G13" s="551"/>
      <c r="H13" s="551"/>
      <c r="I13" s="553"/>
      <c r="J13" s="550"/>
      <c r="K13" s="552"/>
      <c r="L13" s="551"/>
      <c r="M13" s="551"/>
      <c r="N13" s="551"/>
      <c r="O13" s="551"/>
      <c r="P13" s="551"/>
      <c r="Q13" s="551"/>
      <c r="R13" s="554"/>
      <c r="S13" s="555"/>
      <c r="T13" s="556"/>
    </row>
    <row r="14" spans="1:20" ht="15">
      <c r="A14" s="537"/>
      <c r="B14" s="537"/>
      <c r="C14" s="537"/>
      <c r="D14" s="537"/>
      <c r="E14" s="537"/>
      <c r="F14" s="537"/>
      <c r="G14" s="537"/>
      <c r="H14" s="537"/>
      <c r="I14" s="537"/>
      <c r="J14" s="537"/>
      <c r="K14" s="537"/>
      <c r="L14" s="537"/>
      <c r="M14" s="537"/>
      <c r="N14" s="537"/>
      <c r="O14" s="537"/>
      <c r="P14" s="537"/>
      <c r="Q14" s="537"/>
      <c r="R14" s="537"/>
      <c r="S14" s="537"/>
      <c r="T14" s="537"/>
    </row>
    <row r="15" spans="1:20" ht="15">
      <c r="A15" s="537" t="s">
        <v>541</v>
      </c>
      <c r="B15" s="537"/>
      <c r="C15" s="537"/>
      <c r="D15" s="537"/>
      <c r="E15" s="537"/>
      <c r="F15" s="537"/>
      <c r="G15" s="537"/>
      <c r="H15" s="537"/>
      <c r="I15" s="537"/>
      <c r="J15" s="537"/>
      <c r="K15" s="537"/>
      <c r="L15" s="537"/>
      <c r="M15" s="537"/>
      <c r="N15" s="537"/>
      <c r="O15" s="537"/>
      <c r="P15" s="537"/>
      <c r="Q15" s="537"/>
      <c r="R15" s="537"/>
      <c r="S15" s="537"/>
      <c r="T15" s="537"/>
    </row>
  </sheetData>
  <mergeCells count="4">
    <mergeCell ref="A3:T3"/>
    <mergeCell ref="A7:I7"/>
    <mergeCell ref="J7:R7"/>
    <mergeCell ref="S7:T7"/>
  </mergeCells>
  <phoneticPr fontId="114" type="noConversion"/>
  <conditionalFormatting sqref="A9:B9">
    <cfRule type="containsBlanks" dxfId="15" priority="3">
      <formula>LEN(TRIM(A9))=0</formula>
    </cfRule>
  </conditionalFormatting>
  <conditionalFormatting sqref="A9:S13">
    <cfRule type="containsBlanks" dxfId="14" priority="5">
      <formula>LEN(TRIM(A9))=0</formula>
    </cfRule>
  </conditionalFormatting>
  <conditionalFormatting sqref="J9:K9">
    <cfRule type="containsBlanks" dxfId="13" priority="1">
      <formula>LEN(TRIM(J9))=0</formula>
    </cfRule>
  </conditionalFormatting>
  <pageMargins left="0.7" right="0.7" top="0.75" bottom="0.75" header="0.3" footer="0.3"/>
  <pageSetup orientation="portrait" r:id="rId1"/>
  <drawing r:id="rId2"/>
  <legacyDrawing r:id="rId3"/>
  <oleObjects>
    <mc:AlternateContent xmlns:mc="http://schemas.openxmlformats.org/markup-compatibility/2006">
      <mc:Choice Requires="x14">
        <oleObject progId="包装程序外壳对象" shapeId="10243" r:id="rId4">
          <objectPr defaultSize="0" autoPict="0" r:id="rId5">
            <anchor moveWithCells="1">
              <from>
                <xdr:col>20</xdr:col>
                <xdr:colOff>63500</xdr:colOff>
                <xdr:row>0</xdr:row>
                <xdr:rowOff>120650</xdr:rowOff>
              </from>
              <to>
                <xdr:col>25</xdr:col>
                <xdr:colOff>406400</xdr:colOff>
                <xdr:row>4</xdr:row>
                <xdr:rowOff>6350</xdr:rowOff>
              </to>
            </anchor>
          </objectPr>
        </oleObject>
      </mc:Choice>
      <mc:Fallback>
        <oleObject progId="包装程序外壳对象" shapeId="10243" r:id="rId4"/>
      </mc:Fallback>
    </mc:AlternateContent>
  </oleObjec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N18"/>
  <sheetViews>
    <sheetView workbookViewId="0"/>
  </sheetViews>
  <sheetFormatPr defaultColWidth="9" defaultRowHeight="14"/>
  <sheetData>
    <row r="1" spans="1:92">
      <c r="A1" t="s">
        <v>182</v>
      </c>
    </row>
    <row r="6" spans="1:92">
      <c r="E6" t="s">
        <v>563</v>
      </c>
      <c r="Y6" t="s">
        <v>183</v>
      </c>
      <c r="Z6" t="s">
        <v>184</v>
      </c>
      <c r="AA6" t="s">
        <v>185</v>
      </c>
      <c r="AB6" t="s">
        <v>186</v>
      </c>
      <c r="AC6" t="s">
        <v>187</v>
      </c>
      <c r="AD6" t="s">
        <v>188</v>
      </c>
      <c r="AE6" t="s">
        <v>189</v>
      </c>
      <c r="AF6" t="s">
        <v>190</v>
      </c>
      <c r="AG6" t="s">
        <v>191</v>
      </c>
      <c r="AH6" t="s">
        <v>192</v>
      </c>
      <c r="AI6" t="s">
        <v>193</v>
      </c>
      <c r="AJ6" t="s">
        <v>194</v>
      </c>
      <c r="AK6" t="s">
        <v>195</v>
      </c>
      <c r="AL6" t="s">
        <v>196</v>
      </c>
      <c r="AM6" t="s">
        <v>197</v>
      </c>
      <c r="AN6" t="s">
        <v>198</v>
      </c>
      <c r="AO6" t="s">
        <v>199</v>
      </c>
      <c r="AP6" t="s">
        <v>200</v>
      </c>
      <c r="AQ6" t="s">
        <v>201</v>
      </c>
      <c r="AR6" t="s">
        <v>202</v>
      </c>
      <c r="AS6" t="s">
        <v>203</v>
      </c>
      <c r="AT6" t="s">
        <v>204</v>
      </c>
      <c r="AU6" t="s">
        <v>205</v>
      </c>
      <c r="AV6" t="s">
        <v>206</v>
      </c>
      <c r="AW6" t="s">
        <v>207</v>
      </c>
      <c r="AX6" t="s">
        <v>208</v>
      </c>
      <c r="AY6" t="s">
        <v>209</v>
      </c>
      <c r="AZ6" t="s">
        <v>210</v>
      </c>
      <c r="BA6" t="s">
        <v>211</v>
      </c>
      <c r="BB6" t="s">
        <v>212</v>
      </c>
      <c r="BC6" t="s">
        <v>213</v>
      </c>
      <c r="BD6" t="s">
        <v>214</v>
      </c>
      <c r="BE6" t="s">
        <v>215</v>
      </c>
      <c r="BF6" t="s">
        <v>216</v>
      </c>
      <c r="BG6" t="s">
        <v>217</v>
      </c>
      <c r="BH6" t="s">
        <v>218</v>
      </c>
      <c r="BI6" t="s">
        <v>219</v>
      </c>
      <c r="BJ6" t="s">
        <v>220</v>
      </c>
      <c r="BK6" t="s">
        <v>221</v>
      </c>
      <c r="BL6" t="s">
        <v>222</v>
      </c>
      <c r="BM6" t="s">
        <v>223</v>
      </c>
      <c r="BN6" t="s">
        <v>224</v>
      </c>
      <c r="BO6" t="s">
        <v>225</v>
      </c>
      <c r="BP6" t="s">
        <v>226</v>
      </c>
      <c r="BQ6" t="s">
        <v>227</v>
      </c>
      <c r="BR6" t="s">
        <v>228</v>
      </c>
      <c r="BS6" t="s">
        <v>229</v>
      </c>
      <c r="BT6" t="s">
        <v>230</v>
      </c>
      <c r="BU6" t="s">
        <v>231</v>
      </c>
      <c r="BV6" t="s">
        <v>232</v>
      </c>
      <c r="BW6" t="s">
        <v>233</v>
      </c>
      <c r="BX6" t="s">
        <v>234</v>
      </c>
      <c r="BY6" t="s">
        <v>235</v>
      </c>
      <c r="BZ6" t="s">
        <v>236</v>
      </c>
      <c r="CA6" t="s">
        <v>237</v>
      </c>
      <c r="CB6" t="s">
        <v>238</v>
      </c>
      <c r="CC6" t="s">
        <v>239</v>
      </c>
      <c r="CD6" t="s">
        <v>240</v>
      </c>
      <c r="CE6" t="s">
        <v>241</v>
      </c>
      <c r="CF6" t="s">
        <v>242</v>
      </c>
      <c r="CG6" t="s">
        <v>243</v>
      </c>
      <c r="CH6" t="s">
        <v>244</v>
      </c>
      <c r="CI6" t="s">
        <v>245</v>
      </c>
      <c r="CJ6" t="s">
        <v>246</v>
      </c>
      <c r="CK6" t="s">
        <v>247</v>
      </c>
      <c r="CL6" t="s">
        <v>248</v>
      </c>
      <c r="CM6" t="s">
        <v>249</v>
      </c>
      <c r="CN6" t="s">
        <v>250</v>
      </c>
    </row>
    <row r="15" spans="1:92">
      <c r="A15" s="41">
        <v>18</v>
      </c>
      <c r="R15" t="e">
        <f>#REF!</f>
        <v>#REF!</v>
      </c>
      <c r="S15" t="s">
        <v>251</v>
      </c>
    </row>
    <row r="16" spans="1:92">
      <c r="R16" t="e">
        <f>#REF!</f>
        <v>#REF!</v>
      </c>
      <c r="S16" t="s">
        <v>252</v>
      </c>
    </row>
    <row r="17" spans="18:19">
      <c r="R17" t="e">
        <f>#REF!</f>
        <v>#REF!</v>
      </c>
      <c r="S17" t="s">
        <v>253</v>
      </c>
    </row>
    <row r="18" spans="18:19">
      <c r="R18" t="e">
        <f>#REF!</f>
        <v>#REF!</v>
      </c>
      <c r="S18" t="s">
        <v>254</v>
      </c>
    </row>
  </sheetData>
  <phoneticPr fontId="114"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66A6C-A195-4FC8-AFD4-5B60B4E023E7}">
  <dimension ref="A1:AC31"/>
  <sheetViews>
    <sheetView showGridLines="0" zoomScale="70" zoomScaleNormal="70" workbookViewId="0">
      <pane xSplit="8" ySplit="9" topLeftCell="W19" activePane="bottomRight" state="frozen"/>
      <selection activeCell="F19" sqref="F19"/>
      <selection pane="topRight" activeCell="F19" sqref="F19"/>
      <selection pane="bottomLeft" activeCell="F19" sqref="F19"/>
      <selection pane="bottomRight" activeCell="X19" sqref="X19"/>
    </sheetView>
  </sheetViews>
  <sheetFormatPr defaultColWidth="9" defaultRowHeight="12" customHeight="1" outlineLevelCol="1"/>
  <cols>
    <col min="1" max="1" width="2.58203125" style="240" customWidth="1"/>
    <col min="2" max="2" width="18.33203125" style="240" customWidth="1"/>
    <col min="3" max="8" width="16.58203125" style="240" customWidth="1"/>
    <col min="9" max="9" width="21.25" style="240" bestFit="1" customWidth="1"/>
    <col min="10" max="10" width="32" style="240" bestFit="1" customWidth="1"/>
    <col min="11" max="11" width="33" style="240" customWidth="1"/>
    <col min="12" max="12" width="16.58203125" style="240" customWidth="1" outlineLevel="1"/>
    <col min="13" max="13" width="16.58203125" style="240" customWidth="1"/>
    <col min="14" max="14" width="16.58203125" style="240" customWidth="1" outlineLevel="1"/>
    <col min="15" max="16" width="16.58203125" style="240" customWidth="1"/>
    <col min="17" max="18" width="16.58203125" style="240" customWidth="1" outlineLevel="1"/>
    <col min="19" max="22" width="16.58203125" style="240" customWidth="1"/>
    <col min="23" max="23" width="14.58203125" style="240" customWidth="1"/>
    <col min="24" max="24" width="16.58203125" style="240" customWidth="1"/>
    <col min="25" max="25" width="35.33203125" style="240" customWidth="1"/>
    <col min="26" max="27" width="16.58203125" style="240" customWidth="1"/>
    <col min="28" max="28" width="2.58203125" style="240" customWidth="1"/>
    <col min="29" max="29" width="1.58203125" style="240" customWidth="1"/>
    <col min="30" max="16384" width="9" style="240"/>
  </cols>
  <sheetData>
    <row r="1" spans="1:29" s="257" customFormat="1" ht="50.15" customHeight="1">
      <c r="A1" s="254" t="s">
        <v>255</v>
      </c>
      <c r="B1" s="396" t="s">
        <v>256</v>
      </c>
      <c r="C1" s="113"/>
      <c r="D1" s="102"/>
      <c r="E1" s="102"/>
      <c r="F1" s="102"/>
      <c r="G1" s="103"/>
      <c r="H1" s="103"/>
      <c r="I1" s="103"/>
      <c r="J1" s="103"/>
      <c r="K1" s="103"/>
      <c r="L1" s="103"/>
      <c r="M1" s="103"/>
      <c r="N1" s="103"/>
      <c r="O1" s="103"/>
      <c r="P1" s="103"/>
      <c r="Q1" s="103"/>
      <c r="R1" s="103"/>
      <c r="S1" s="103"/>
      <c r="T1" s="103"/>
      <c r="U1" s="104"/>
      <c r="V1" s="103"/>
      <c r="W1" s="103"/>
      <c r="X1" s="103"/>
      <c r="Y1" s="103"/>
      <c r="Z1" s="103"/>
      <c r="AA1" s="104"/>
      <c r="AB1" s="255"/>
      <c r="AC1" s="256"/>
    </row>
    <row r="2" spans="1:29" s="105" customFormat="1" ht="30" customHeight="1">
      <c r="A2" s="241"/>
      <c r="B2" s="216" t="s">
        <v>257</v>
      </c>
      <c r="C2" s="242"/>
      <c r="D2" s="242"/>
      <c r="E2" s="242"/>
      <c r="F2" s="242"/>
      <c r="G2" s="242"/>
      <c r="H2" s="242"/>
      <c r="I2" s="242"/>
      <c r="J2" s="242"/>
      <c r="K2" s="242"/>
      <c r="L2" s="242"/>
      <c r="M2" s="242"/>
      <c r="N2" s="242"/>
      <c r="O2" s="242"/>
      <c r="P2" s="242"/>
      <c r="Q2" s="242"/>
      <c r="R2" s="242"/>
      <c r="S2" s="242"/>
      <c r="T2" s="242"/>
      <c r="U2" s="242"/>
      <c r="V2" s="242"/>
      <c r="W2" s="242"/>
      <c r="X2" s="242"/>
      <c r="Y2" s="242"/>
      <c r="Z2" s="242"/>
      <c r="AA2" s="243"/>
      <c r="AB2" s="240"/>
      <c r="AC2" s="106"/>
    </row>
    <row r="3" spans="1:29" s="241" customFormat="1" ht="13">
      <c r="AB3" s="240"/>
      <c r="AC3" s="106"/>
    </row>
    <row r="4" spans="1:29" s="241" customFormat="1" ht="14.5">
      <c r="B4" s="143" t="s">
        <v>54</v>
      </c>
      <c r="AB4" s="240"/>
      <c r="AC4" s="106"/>
    </row>
    <row r="5" spans="1:29" s="241" customFormat="1" ht="13">
      <c r="AB5" s="240"/>
      <c r="AC5" s="106"/>
    </row>
    <row r="6" spans="1:29" s="105" customFormat="1" ht="15" customHeight="1">
      <c r="A6" s="241"/>
      <c r="B6" s="290" t="s">
        <v>258</v>
      </c>
      <c r="C6" s="290"/>
      <c r="D6" s="291"/>
      <c r="E6" s="291"/>
      <c r="F6" s="291"/>
      <c r="G6" s="292"/>
      <c r="H6" s="292"/>
      <c r="I6" s="292"/>
      <c r="J6" s="292"/>
      <c r="K6" s="292"/>
      <c r="L6" s="292"/>
      <c r="M6" s="292"/>
      <c r="N6" s="292"/>
      <c r="O6" s="292"/>
      <c r="P6" s="292"/>
      <c r="Q6" s="292"/>
      <c r="R6" s="292"/>
      <c r="S6" s="292"/>
      <c r="T6" s="292"/>
      <c r="U6" s="292"/>
      <c r="V6" s="292"/>
      <c r="W6" s="292"/>
      <c r="X6" s="292"/>
      <c r="Y6" s="292"/>
      <c r="Z6" s="292"/>
      <c r="AA6" s="292"/>
      <c r="AB6" s="240"/>
      <c r="AC6" s="106"/>
    </row>
    <row r="7" spans="1:29" s="244" customFormat="1" ht="13">
      <c r="G7" s="241"/>
      <c r="H7" s="241"/>
      <c r="I7" s="241"/>
      <c r="J7" s="241"/>
      <c r="K7" s="241"/>
      <c r="L7" s="241"/>
      <c r="M7" s="241"/>
      <c r="N7" s="241"/>
      <c r="O7" s="241"/>
      <c r="P7" s="241"/>
      <c r="Q7" s="241"/>
      <c r="R7" s="241"/>
      <c r="S7" s="241"/>
      <c r="T7" s="241"/>
      <c r="U7" s="241"/>
      <c r="V7" s="241"/>
      <c r="W7" s="241"/>
      <c r="X7" s="241"/>
      <c r="Y7" s="241"/>
      <c r="Z7" s="241"/>
      <c r="AA7" s="241"/>
      <c r="AC7" s="112"/>
    </row>
    <row r="8" spans="1:29" s="247" customFormat="1" ht="14.5">
      <c r="A8" s="241"/>
      <c r="B8" s="245"/>
      <c r="C8" s="245"/>
      <c r="D8" s="245"/>
      <c r="E8" s="38" t="s">
        <v>259</v>
      </c>
      <c r="F8" s="245"/>
      <c r="G8" s="245"/>
      <c r="H8" s="245"/>
      <c r="I8" s="246"/>
      <c r="J8" s="246" t="s">
        <v>260</v>
      </c>
      <c r="K8" s="246" t="s">
        <v>260</v>
      </c>
      <c r="L8" s="246" t="s">
        <v>260</v>
      </c>
      <c r="M8" s="246" t="s">
        <v>260</v>
      </c>
      <c r="N8" s="246" t="s">
        <v>260</v>
      </c>
      <c r="O8" s="246" t="s">
        <v>260</v>
      </c>
      <c r="P8" s="246" t="s">
        <v>260</v>
      </c>
      <c r="Q8" s="246" t="s">
        <v>260</v>
      </c>
      <c r="R8" s="246" t="s">
        <v>260</v>
      </c>
      <c r="S8" s="246" t="s">
        <v>260</v>
      </c>
      <c r="T8" s="246" t="s">
        <v>260</v>
      </c>
      <c r="U8" s="246" t="s">
        <v>260</v>
      </c>
      <c r="V8" s="245" t="s">
        <v>261</v>
      </c>
      <c r="W8" s="245" t="s">
        <v>261</v>
      </c>
      <c r="X8" s="245" t="s">
        <v>262</v>
      </c>
      <c r="Y8" s="245" t="s">
        <v>262</v>
      </c>
      <c r="Z8" s="245" t="s">
        <v>262</v>
      </c>
      <c r="AA8" s="245" t="s">
        <v>263</v>
      </c>
      <c r="AB8" s="240"/>
      <c r="AC8" s="106"/>
    </row>
    <row r="9" spans="1:29" s="423" customFormat="1" ht="61" customHeight="1">
      <c r="A9" s="421"/>
      <c r="B9" s="248" t="s">
        <v>264</v>
      </c>
      <c r="C9" s="248" t="s">
        <v>265</v>
      </c>
      <c r="D9" s="248" t="s">
        <v>266</v>
      </c>
      <c r="E9" s="248" t="s">
        <v>267</v>
      </c>
      <c r="F9" s="248" t="s">
        <v>268</v>
      </c>
      <c r="G9" s="248" t="s">
        <v>269</v>
      </c>
      <c r="H9" s="248" t="s">
        <v>270</v>
      </c>
      <c r="I9" s="232" t="s">
        <v>271</v>
      </c>
      <c r="J9" s="232" t="s">
        <v>272</v>
      </c>
      <c r="K9" s="232" t="s">
        <v>273</v>
      </c>
      <c r="L9" s="232" t="s">
        <v>274</v>
      </c>
      <c r="M9" s="232" t="s">
        <v>275</v>
      </c>
      <c r="N9" s="232" t="s">
        <v>276</v>
      </c>
      <c r="O9" s="232" t="s">
        <v>277</v>
      </c>
      <c r="P9" s="232" t="s">
        <v>278</v>
      </c>
      <c r="Q9" s="232" t="s">
        <v>279</v>
      </c>
      <c r="R9" s="232" t="s">
        <v>280</v>
      </c>
      <c r="S9" s="232" t="s">
        <v>281</v>
      </c>
      <c r="T9" s="232" t="s">
        <v>282</v>
      </c>
      <c r="U9" s="397" t="s">
        <v>283</v>
      </c>
      <c r="V9" s="249" t="s">
        <v>284</v>
      </c>
      <c r="W9" s="249" t="s">
        <v>285</v>
      </c>
      <c r="X9" s="249" t="s">
        <v>286</v>
      </c>
      <c r="Y9" s="420" t="s">
        <v>287</v>
      </c>
      <c r="Z9" s="249" t="s">
        <v>288</v>
      </c>
      <c r="AA9" s="249" t="s">
        <v>289</v>
      </c>
      <c r="AB9" s="422"/>
      <c r="AC9" s="106"/>
    </row>
    <row r="10" spans="1:29" s="305" customFormat="1" ht="41" customHeight="1">
      <c r="A10" s="301"/>
      <c r="B10" s="337" t="s">
        <v>115</v>
      </c>
      <c r="C10" s="415" t="s">
        <v>153</v>
      </c>
      <c r="D10" s="337" t="s">
        <v>481</v>
      </c>
      <c r="E10" s="338" t="s">
        <v>172</v>
      </c>
      <c r="F10" s="337" t="s">
        <v>482</v>
      </c>
      <c r="G10" s="469" t="s">
        <v>483</v>
      </c>
      <c r="H10" s="469">
        <v>605.89</v>
      </c>
      <c r="I10" s="339" t="s">
        <v>501</v>
      </c>
      <c r="J10" s="339" t="s">
        <v>115</v>
      </c>
      <c r="K10" s="561" t="s">
        <v>481</v>
      </c>
      <c r="L10" s="561" t="s">
        <v>172</v>
      </c>
      <c r="M10" s="562" t="s">
        <v>166</v>
      </c>
      <c r="N10" s="563" t="s">
        <v>511</v>
      </c>
      <c r="O10" s="564" t="s">
        <v>482</v>
      </c>
      <c r="P10" s="565">
        <v>605.89</v>
      </c>
      <c r="Q10" s="562" t="s">
        <v>181</v>
      </c>
      <c r="R10" s="562"/>
      <c r="S10" s="562" t="s">
        <v>181</v>
      </c>
      <c r="T10" s="562"/>
      <c r="U10" s="472"/>
      <c r="V10" s="303">
        <f>G10-P10</f>
        <v>0</v>
      </c>
      <c r="W10" s="561" t="s">
        <v>512</v>
      </c>
      <c r="X10" s="341">
        <v>0</v>
      </c>
      <c r="Y10" s="340"/>
      <c r="Z10" s="306"/>
      <c r="AA10" s="306"/>
      <c r="AB10" s="304"/>
      <c r="AC10" s="106"/>
    </row>
    <row r="11" spans="1:29" s="305" customFormat="1" ht="46">
      <c r="A11" s="301"/>
      <c r="B11" s="337" t="s">
        <v>117</v>
      </c>
      <c r="C11" s="415" t="s">
        <v>153</v>
      </c>
      <c r="D11" s="337" t="s">
        <v>484</v>
      </c>
      <c r="E11" s="338" t="s">
        <v>175</v>
      </c>
      <c r="F11" s="337" t="s">
        <v>455</v>
      </c>
      <c r="G11" s="469" t="s">
        <v>485</v>
      </c>
      <c r="H11" s="469">
        <v>122094.03</v>
      </c>
      <c r="I11" s="339" t="s">
        <v>502</v>
      </c>
      <c r="J11" s="339" t="s">
        <v>117</v>
      </c>
      <c r="K11" s="561" t="s">
        <v>484</v>
      </c>
      <c r="L11" s="561" t="s">
        <v>175</v>
      </c>
      <c r="M11" s="562" t="s">
        <v>514</v>
      </c>
      <c r="N11" s="563" t="s">
        <v>513</v>
      </c>
      <c r="O11" s="564" t="s">
        <v>455</v>
      </c>
      <c r="P11" s="566">
        <v>122094.03</v>
      </c>
      <c r="Q11" s="562" t="s">
        <v>181</v>
      </c>
      <c r="R11" s="562" t="s">
        <v>515</v>
      </c>
      <c r="S11" s="562" t="s">
        <v>181</v>
      </c>
      <c r="T11" s="562" t="s">
        <v>516</v>
      </c>
      <c r="U11" s="472"/>
      <c r="V11" s="303">
        <f>G11-P11</f>
        <v>0</v>
      </c>
      <c r="W11" s="561" t="s">
        <v>512</v>
      </c>
      <c r="X11" s="341">
        <v>0</v>
      </c>
      <c r="Y11" s="340"/>
      <c r="Z11" s="306"/>
      <c r="AA11" s="306"/>
      <c r="AB11" s="304"/>
      <c r="AC11" s="106"/>
    </row>
    <row r="12" spans="1:29" s="305" customFormat="1" ht="25">
      <c r="A12" s="301"/>
      <c r="B12" s="337" t="s">
        <v>116</v>
      </c>
      <c r="C12" s="415" t="s">
        <v>153</v>
      </c>
      <c r="D12" s="337" t="s">
        <v>481</v>
      </c>
      <c r="E12" s="338" t="s">
        <v>174</v>
      </c>
      <c r="F12" s="337" t="s">
        <v>482</v>
      </c>
      <c r="G12" s="469" t="s">
        <v>486</v>
      </c>
      <c r="H12" s="469">
        <v>8043.03</v>
      </c>
      <c r="I12" s="339" t="s">
        <v>503</v>
      </c>
      <c r="J12" s="339" t="s">
        <v>116</v>
      </c>
      <c r="K12" s="561" t="s">
        <v>481</v>
      </c>
      <c r="L12" s="561" t="s">
        <v>174</v>
      </c>
      <c r="M12" s="562" t="s">
        <v>166</v>
      </c>
      <c r="N12" s="563" t="s">
        <v>511</v>
      </c>
      <c r="O12" s="564" t="s">
        <v>482</v>
      </c>
      <c r="P12" s="566">
        <v>8043.03</v>
      </c>
      <c r="Q12" s="562" t="s">
        <v>181</v>
      </c>
      <c r="R12" s="562"/>
      <c r="S12" s="562" t="s">
        <v>181</v>
      </c>
      <c r="T12" s="562"/>
      <c r="U12" s="472"/>
      <c r="V12" s="303">
        <f t="shared" ref="V12:V21" si="0">G12-P12</f>
        <v>0</v>
      </c>
      <c r="W12" s="561" t="s">
        <v>512</v>
      </c>
      <c r="X12" s="341">
        <v>0</v>
      </c>
      <c r="Y12" s="340"/>
      <c r="Z12" s="306"/>
      <c r="AA12" s="306"/>
      <c r="AB12" s="304"/>
      <c r="AC12" s="106"/>
    </row>
    <row r="13" spans="1:29" s="305" customFormat="1" ht="25">
      <c r="A13" s="301"/>
      <c r="B13" s="337" t="s">
        <v>43</v>
      </c>
      <c r="C13" s="415" t="s">
        <v>153</v>
      </c>
      <c r="D13" s="337" t="s">
        <v>487</v>
      </c>
      <c r="E13" s="338" t="s">
        <v>162</v>
      </c>
      <c r="F13" s="337" t="s">
        <v>420</v>
      </c>
      <c r="G13" s="469" t="s">
        <v>488</v>
      </c>
      <c r="H13" s="469">
        <v>991</v>
      </c>
      <c r="I13" s="339" t="s">
        <v>504</v>
      </c>
      <c r="J13" s="339" t="s">
        <v>43</v>
      </c>
      <c r="K13" s="561" t="s">
        <v>487</v>
      </c>
      <c r="L13" s="561" t="s">
        <v>162</v>
      </c>
      <c r="M13" s="562" t="s">
        <v>156</v>
      </c>
      <c r="N13" s="563" t="s">
        <v>517</v>
      </c>
      <c r="O13" s="564" t="s">
        <v>420</v>
      </c>
      <c r="P13" s="565">
        <v>991</v>
      </c>
      <c r="Q13" s="562" t="s">
        <v>181</v>
      </c>
      <c r="R13" s="562" t="s">
        <v>518</v>
      </c>
      <c r="S13" s="562" t="s">
        <v>181</v>
      </c>
      <c r="T13" s="562" t="s">
        <v>519</v>
      </c>
      <c r="U13" s="472"/>
      <c r="V13" s="303">
        <f t="shared" si="0"/>
        <v>0</v>
      </c>
      <c r="W13" s="561" t="s">
        <v>512</v>
      </c>
      <c r="X13" s="341">
        <v>0</v>
      </c>
      <c r="Y13" s="340"/>
      <c r="Z13" s="306"/>
      <c r="AA13" s="306"/>
      <c r="AB13" s="304"/>
      <c r="AC13" s="106"/>
    </row>
    <row r="14" spans="1:29" s="305" customFormat="1" ht="25">
      <c r="A14" s="301"/>
      <c r="B14" s="337" t="s">
        <v>43</v>
      </c>
      <c r="C14" s="415" t="s">
        <v>153</v>
      </c>
      <c r="D14" s="337" t="s">
        <v>481</v>
      </c>
      <c r="E14" s="338" t="s">
        <v>165</v>
      </c>
      <c r="F14" s="337" t="s">
        <v>482</v>
      </c>
      <c r="G14" s="469" t="s">
        <v>489</v>
      </c>
      <c r="H14" s="469">
        <v>90863.39</v>
      </c>
      <c r="I14" s="339" t="s">
        <v>505</v>
      </c>
      <c r="J14" s="339" t="s">
        <v>43</v>
      </c>
      <c r="K14" s="561" t="s">
        <v>481</v>
      </c>
      <c r="L14" s="561" t="s">
        <v>165</v>
      </c>
      <c r="M14" s="562" t="s">
        <v>166</v>
      </c>
      <c r="N14" s="563" t="s">
        <v>511</v>
      </c>
      <c r="O14" s="564" t="s">
        <v>482</v>
      </c>
      <c r="P14" s="566">
        <v>90863.39</v>
      </c>
      <c r="Q14" s="562" t="s">
        <v>181</v>
      </c>
      <c r="R14" s="562"/>
      <c r="S14" s="562" t="s">
        <v>181</v>
      </c>
      <c r="T14" s="562"/>
      <c r="U14" s="472"/>
      <c r="V14" s="303">
        <f t="shared" si="0"/>
        <v>0</v>
      </c>
      <c r="W14" s="561" t="s">
        <v>512</v>
      </c>
      <c r="X14" s="341">
        <v>0</v>
      </c>
      <c r="Y14" s="340"/>
      <c r="Z14" s="306"/>
      <c r="AA14" s="306"/>
      <c r="AB14" s="304"/>
      <c r="AC14" s="106"/>
    </row>
    <row r="15" spans="1:29" s="305" customFormat="1" ht="126.5">
      <c r="A15" s="301"/>
      <c r="B15" s="337" t="s">
        <v>43</v>
      </c>
      <c r="C15" s="415" t="s">
        <v>153</v>
      </c>
      <c r="D15" s="337" t="s">
        <v>481</v>
      </c>
      <c r="E15" s="338"/>
      <c r="F15" s="337"/>
      <c r="G15" s="469"/>
      <c r="H15" s="469"/>
      <c r="I15" s="339" t="s">
        <v>505</v>
      </c>
      <c r="J15" s="339" t="s">
        <v>520</v>
      </c>
      <c r="K15" s="561" t="s">
        <v>481</v>
      </c>
      <c r="L15" s="561" t="s">
        <v>521</v>
      </c>
      <c r="M15" s="562" t="s">
        <v>522</v>
      </c>
      <c r="N15" s="563" t="s">
        <v>511</v>
      </c>
      <c r="O15" s="564" t="s">
        <v>482</v>
      </c>
      <c r="P15" s="566">
        <v>28325.58</v>
      </c>
      <c r="Q15" s="562" t="s">
        <v>181</v>
      </c>
      <c r="R15" s="562"/>
      <c r="S15" s="562" t="s">
        <v>9</v>
      </c>
      <c r="T15" s="562" t="s">
        <v>523</v>
      </c>
      <c r="U15" s="472"/>
      <c r="V15" s="303">
        <f t="shared" si="0"/>
        <v>-28325.58</v>
      </c>
      <c r="W15" s="561" t="s">
        <v>542</v>
      </c>
      <c r="X15" s="341">
        <v>0</v>
      </c>
      <c r="Y15" s="340"/>
      <c r="Z15" s="306"/>
      <c r="AA15" s="306"/>
      <c r="AB15" s="304"/>
      <c r="AC15" s="106"/>
    </row>
    <row r="16" spans="1:29" s="305" customFormat="1" ht="25">
      <c r="A16" s="301"/>
      <c r="B16" s="337" t="s">
        <v>43</v>
      </c>
      <c r="C16" s="415" t="s">
        <v>153</v>
      </c>
      <c r="D16" s="337" t="s">
        <v>490</v>
      </c>
      <c r="E16" s="338" t="s">
        <v>168</v>
      </c>
      <c r="F16" s="337" t="s">
        <v>455</v>
      </c>
      <c r="G16" s="469" t="s">
        <v>491</v>
      </c>
      <c r="H16" s="469">
        <v>850.22</v>
      </c>
      <c r="I16" s="339" t="s">
        <v>506</v>
      </c>
      <c r="J16" s="339" t="s">
        <v>43</v>
      </c>
      <c r="K16" s="561" t="s">
        <v>490</v>
      </c>
      <c r="L16" s="561" t="s">
        <v>168</v>
      </c>
      <c r="M16" s="562" t="s">
        <v>524</v>
      </c>
      <c r="N16" s="563" t="s">
        <v>513</v>
      </c>
      <c r="O16" s="564" t="s">
        <v>455</v>
      </c>
      <c r="P16" s="565">
        <v>850.22</v>
      </c>
      <c r="Q16" s="562" t="s">
        <v>181</v>
      </c>
      <c r="R16" s="562" t="s">
        <v>515</v>
      </c>
      <c r="S16" s="562" t="s">
        <v>181</v>
      </c>
      <c r="T16" s="562" t="s">
        <v>525</v>
      </c>
      <c r="U16" s="472"/>
      <c r="V16" s="303">
        <f t="shared" si="0"/>
        <v>0</v>
      </c>
      <c r="W16" s="561" t="s">
        <v>512</v>
      </c>
      <c r="X16" s="341">
        <v>0</v>
      </c>
      <c r="Y16" s="340"/>
      <c r="Z16" s="306"/>
      <c r="AA16" s="306"/>
      <c r="AB16" s="304"/>
      <c r="AC16" s="106"/>
    </row>
    <row r="17" spans="1:29" s="305" customFormat="1" ht="25">
      <c r="A17" s="301"/>
      <c r="B17" s="337" t="s">
        <v>43</v>
      </c>
      <c r="C17" s="415" t="s">
        <v>153</v>
      </c>
      <c r="D17" s="337" t="s">
        <v>492</v>
      </c>
      <c r="E17" s="338" t="s">
        <v>441</v>
      </c>
      <c r="F17" s="337" t="s">
        <v>420</v>
      </c>
      <c r="G17" s="469" t="s">
        <v>493</v>
      </c>
      <c r="H17" s="469">
        <v>378.05</v>
      </c>
      <c r="I17" s="339" t="s">
        <v>507</v>
      </c>
      <c r="J17" s="339" t="s">
        <v>43</v>
      </c>
      <c r="K17" s="561" t="s">
        <v>492</v>
      </c>
      <c r="L17" s="561" t="s">
        <v>441</v>
      </c>
      <c r="M17" s="562" t="s">
        <v>524</v>
      </c>
      <c r="N17" s="563" t="s">
        <v>526</v>
      </c>
      <c r="O17" s="564" t="s">
        <v>420</v>
      </c>
      <c r="P17" s="565">
        <v>378.05</v>
      </c>
      <c r="Q17" s="562" t="s">
        <v>181</v>
      </c>
      <c r="R17" s="562" t="s">
        <v>518</v>
      </c>
      <c r="S17" s="562" t="s">
        <v>181</v>
      </c>
      <c r="T17" s="562" t="s">
        <v>525</v>
      </c>
      <c r="U17" s="472"/>
      <c r="V17" s="303">
        <f t="shared" si="0"/>
        <v>0</v>
      </c>
      <c r="W17" s="561" t="s">
        <v>512</v>
      </c>
      <c r="X17" s="341">
        <v>0</v>
      </c>
      <c r="Y17" s="340"/>
      <c r="Z17" s="306"/>
      <c r="AA17" s="306"/>
      <c r="AB17" s="304"/>
      <c r="AC17" s="106"/>
    </row>
    <row r="18" spans="1:29" s="305" customFormat="1" ht="25">
      <c r="A18" s="301"/>
      <c r="B18" s="337" t="s">
        <v>43</v>
      </c>
      <c r="C18" s="415" t="s">
        <v>153</v>
      </c>
      <c r="D18" s="337" t="s">
        <v>494</v>
      </c>
      <c r="E18" s="338" t="s">
        <v>155</v>
      </c>
      <c r="F18" s="337" t="s">
        <v>455</v>
      </c>
      <c r="G18" s="469" t="s">
        <v>495</v>
      </c>
      <c r="H18" s="469">
        <v>1373.84</v>
      </c>
      <c r="I18" s="339" t="s">
        <v>508</v>
      </c>
      <c r="J18" s="339" t="s">
        <v>43</v>
      </c>
      <c r="K18" s="561" t="s">
        <v>494</v>
      </c>
      <c r="L18" s="561" t="s">
        <v>155</v>
      </c>
      <c r="M18" s="562" t="s">
        <v>527</v>
      </c>
      <c r="N18" s="563" t="s">
        <v>526</v>
      </c>
      <c r="O18" s="564" t="s">
        <v>455</v>
      </c>
      <c r="P18" s="566">
        <v>1373.84</v>
      </c>
      <c r="Q18" s="562" t="s">
        <v>181</v>
      </c>
      <c r="R18" s="562" t="s">
        <v>518</v>
      </c>
      <c r="S18" s="562" t="s">
        <v>181</v>
      </c>
      <c r="T18" s="562" t="s">
        <v>528</v>
      </c>
      <c r="U18" s="472"/>
      <c r="V18" s="303">
        <f t="shared" si="0"/>
        <v>0</v>
      </c>
      <c r="W18" s="561" t="s">
        <v>512</v>
      </c>
      <c r="X18" s="341">
        <v>0</v>
      </c>
      <c r="Y18" s="340"/>
      <c r="Z18" s="306"/>
      <c r="AA18" s="306"/>
      <c r="AB18" s="304"/>
      <c r="AC18" s="106"/>
    </row>
    <row r="19" spans="1:29" s="305" customFormat="1" ht="188.5">
      <c r="A19" s="301"/>
      <c r="B19" s="337" t="s">
        <v>43</v>
      </c>
      <c r="C19" s="415" t="s">
        <v>153</v>
      </c>
      <c r="D19" s="337" t="s">
        <v>494</v>
      </c>
      <c r="E19" s="338" t="s">
        <v>440</v>
      </c>
      <c r="F19" s="337" t="s">
        <v>455</v>
      </c>
      <c r="G19" s="469" t="s">
        <v>496</v>
      </c>
      <c r="H19" s="469">
        <v>50000</v>
      </c>
      <c r="I19" s="339" t="s">
        <v>508</v>
      </c>
      <c r="J19" s="339" t="s">
        <v>43</v>
      </c>
      <c r="K19" s="561" t="s">
        <v>494</v>
      </c>
      <c r="L19" s="561" t="s">
        <v>440</v>
      </c>
      <c r="M19" s="562" t="s">
        <v>529</v>
      </c>
      <c r="N19" s="563" t="s">
        <v>526</v>
      </c>
      <c r="O19" s="564" t="s">
        <v>455</v>
      </c>
      <c r="P19" s="567">
        <v>50000</v>
      </c>
      <c r="Q19" s="562" t="s">
        <v>181</v>
      </c>
      <c r="R19" s="562" t="s">
        <v>530</v>
      </c>
      <c r="S19" s="562" t="s">
        <v>9</v>
      </c>
      <c r="T19" s="562" t="s">
        <v>528</v>
      </c>
      <c r="U19" s="472"/>
      <c r="V19" s="303">
        <f t="shared" si="0"/>
        <v>0</v>
      </c>
      <c r="W19" s="561" t="s">
        <v>512</v>
      </c>
      <c r="X19" s="341">
        <v>50000</v>
      </c>
      <c r="Y19" s="574" t="s">
        <v>564</v>
      </c>
      <c r="Z19" s="306"/>
      <c r="AA19" s="306"/>
      <c r="AB19" s="304"/>
      <c r="AC19" s="106"/>
    </row>
    <row r="20" spans="1:29" s="305" customFormat="1" ht="25">
      <c r="A20" s="301"/>
      <c r="B20" s="337" t="s">
        <v>43</v>
      </c>
      <c r="C20" s="415" t="s">
        <v>153</v>
      </c>
      <c r="D20" s="337" t="s">
        <v>497</v>
      </c>
      <c r="E20" s="338" t="s">
        <v>170</v>
      </c>
      <c r="F20" s="337" t="s">
        <v>420</v>
      </c>
      <c r="G20" s="469" t="s">
        <v>498</v>
      </c>
      <c r="H20" s="469">
        <v>76892.42</v>
      </c>
      <c r="I20" s="339" t="s">
        <v>509</v>
      </c>
      <c r="J20" s="339" t="s">
        <v>43</v>
      </c>
      <c r="K20" s="572" t="s">
        <v>497</v>
      </c>
      <c r="L20" s="561" t="s">
        <v>170</v>
      </c>
      <c r="M20" s="562" t="s">
        <v>531</v>
      </c>
      <c r="N20" s="563" t="s">
        <v>526</v>
      </c>
      <c r="O20" s="564" t="s">
        <v>420</v>
      </c>
      <c r="P20" s="566">
        <v>76892.42</v>
      </c>
      <c r="Q20" s="562" t="s">
        <v>181</v>
      </c>
      <c r="R20" s="562" t="s">
        <v>515</v>
      </c>
      <c r="S20" s="562" t="s">
        <v>181</v>
      </c>
      <c r="T20" s="562" t="s">
        <v>532</v>
      </c>
      <c r="U20" s="472"/>
      <c r="V20" s="303">
        <f t="shared" si="0"/>
        <v>0</v>
      </c>
      <c r="W20" s="561" t="s">
        <v>512</v>
      </c>
      <c r="X20" s="341">
        <v>0</v>
      </c>
      <c r="Y20" s="340"/>
      <c r="Z20" s="306"/>
      <c r="AA20" s="306"/>
      <c r="AB20" s="304"/>
      <c r="AC20" s="106"/>
    </row>
    <row r="21" spans="1:29" s="305" customFormat="1" ht="25">
      <c r="A21" s="301"/>
      <c r="B21" s="337" t="s">
        <v>43</v>
      </c>
      <c r="C21" s="415" t="s">
        <v>153</v>
      </c>
      <c r="D21" s="337" t="s">
        <v>499</v>
      </c>
      <c r="E21" s="338" t="s">
        <v>158</v>
      </c>
      <c r="F21" s="337" t="s">
        <v>420</v>
      </c>
      <c r="G21" s="469" t="s">
        <v>500</v>
      </c>
      <c r="H21" s="469">
        <v>7000</v>
      </c>
      <c r="I21" s="339" t="s">
        <v>510</v>
      </c>
      <c r="J21" s="339" t="s">
        <v>43</v>
      </c>
      <c r="K21" s="571" t="s">
        <v>544</v>
      </c>
      <c r="L21" s="561" t="s">
        <v>158</v>
      </c>
      <c r="M21" s="562" t="s">
        <v>534</v>
      </c>
      <c r="N21" s="563" t="s">
        <v>533</v>
      </c>
      <c r="O21" s="564" t="s">
        <v>52</v>
      </c>
      <c r="P21" s="566">
        <v>7000</v>
      </c>
      <c r="Q21" s="562" t="s">
        <v>181</v>
      </c>
      <c r="R21" s="562" t="s">
        <v>518</v>
      </c>
      <c r="S21" s="562" t="s">
        <v>181</v>
      </c>
      <c r="T21" s="562" t="s">
        <v>528</v>
      </c>
      <c r="U21" s="472"/>
      <c r="V21" s="303">
        <f t="shared" si="0"/>
        <v>0</v>
      </c>
      <c r="W21" s="561" t="s">
        <v>512</v>
      </c>
      <c r="X21" s="341">
        <v>0</v>
      </c>
      <c r="Y21" s="340"/>
      <c r="Z21" s="306"/>
      <c r="AA21" s="306"/>
      <c r="AB21" s="304"/>
      <c r="AC21" s="106"/>
    </row>
    <row r="22" spans="1:29" s="305" customFormat="1" ht="25">
      <c r="A22" s="301"/>
      <c r="B22" s="337" t="s">
        <v>117</v>
      </c>
      <c r="C22" s="415" t="s">
        <v>153</v>
      </c>
      <c r="D22" s="337" t="s">
        <v>544</v>
      </c>
      <c r="E22" s="338" t="s">
        <v>177</v>
      </c>
      <c r="F22" s="337" t="s">
        <v>420</v>
      </c>
      <c r="G22" s="469">
        <v>0</v>
      </c>
      <c r="H22" s="469">
        <v>0</v>
      </c>
      <c r="I22" s="339" t="s">
        <v>546</v>
      </c>
      <c r="J22" s="339" t="s">
        <v>117</v>
      </c>
      <c r="K22" s="339" t="s">
        <v>544</v>
      </c>
      <c r="L22" s="339" t="s">
        <v>177</v>
      </c>
      <c r="M22" s="339" t="s">
        <v>166</v>
      </c>
      <c r="N22" s="471"/>
      <c r="O22" s="564" t="s">
        <v>52</v>
      </c>
      <c r="P22" s="470">
        <v>0</v>
      </c>
      <c r="Q22" s="562" t="s">
        <v>181</v>
      </c>
      <c r="R22" s="562" t="s">
        <v>518</v>
      </c>
      <c r="S22" s="573" t="s">
        <v>181</v>
      </c>
      <c r="T22" s="302"/>
      <c r="U22" s="472" t="s">
        <v>545</v>
      </c>
      <c r="V22" s="303">
        <f t="shared" ref="V22" si="1">G22-P22</f>
        <v>0</v>
      </c>
      <c r="W22" s="561" t="s">
        <v>512</v>
      </c>
      <c r="X22" s="341">
        <v>0</v>
      </c>
      <c r="Y22" s="340"/>
      <c r="Z22" s="306"/>
      <c r="AA22" s="306"/>
      <c r="AB22" s="304"/>
      <c r="AC22" s="106"/>
    </row>
    <row r="23" spans="1:29" ht="13">
      <c r="C23" s="220"/>
      <c r="D23" s="250"/>
      <c r="E23" s="250"/>
      <c r="F23" s="250"/>
      <c r="I23" s="251"/>
      <c r="J23" s="251"/>
      <c r="K23" s="251"/>
      <c r="L23" s="251"/>
      <c r="M23" s="251"/>
      <c r="N23" s="251"/>
      <c r="O23" s="251"/>
      <c r="P23" s="252"/>
      <c r="Q23" s="252"/>
      <c r="R23" s="252"/>
      <c r="V23" s="252"/>
      <c r="X23" s="252"/>
      <c r="AC23" s="106"/>
    </row>
    <row r="24" spans="1:29" ht="15" thickBot="1">
      <c r="C24" s="220"/>
      <c r="D24" s="250"/>
      <c r="E24" s="250"/>
      <c r="F24" s="250"/>
      <c r="G24" s="241" t="s">
        <v>131</v>
      </c>
      <c r="H24" s="239">
        <f>SUM(H9:H22)</f>
        <v>359091.87</v>
      </c>
      <c r="I24" s="251"/>
      <c r="J24" s="251"/>
      <c r="K24" s="251"/>
      <c r="L24" s="251"/>
      <c r="M24" s="251"/>
      <c r="N24" s="251"/>
      <c r="O24" s="251"/>
      <c r="P24" s="239">
        <f>SUM(P9:P22)</f>
        <v>387417.45</v>
      </c>
      <c r="Q24" s="252"/>
      <c r="R24" s="252"/>
      <c r="V24" s="252"/>
      <c r="X24" s="208">
        <f>SUM(X9:X22)</f>
        <v>50000</v>
      </c>
      <c r="AC24" s="106"/>
    </row>
    <row r="25" spans="1:29" ht="13.5" thickTop="1">
      <c r="C25" s="220"/>
      <c r="D25" s="250"/>
      <c r="E25" s="250"/>
      <c r="F25" s="250"/>
      <c r="H25" s="44" t="s">
        <v>178</v>
      </c>
      <c r="I25" s="251"/>
      <c r="J25" s="251"/>
      <c r="K25" s="251"/>
      <c r="L25" s="251"/>
      <c r="M25" s="251"/>
      <c r="N25" s="251"/>
      <c r="O25" s="251"/>
      <c r="P25" s="252"/>
      <c r="Q25" s="252"/>
      <c r="R25" s="252"/>
      <c r="V25" s="252"/>
      <c r="X25" s="44" t="s">
        <v>178</v>
      </c>
      <c r="AC25" s="106"/>
    </row>
    <row r="26" spans="1:29" ht="13">
      <c r="C26" s="220"/>
      <c r="D26" s="250"/>
      <c r="E26" s="250"/>
      <c r="F26" s="250"/>
      <c r="I26" s="251"/>
      <c r="J26" s="251"/>
      <c r="K26" s="251"/>
      <c r="L26" s="251"/>
      <c r="M26" s="251"/>
      <c r="N26" s="251"/>
      <c r="O26" s="251"/>
      <c r="P26" s="252"/>
      <c r="Q26" s="252"/>
      <c r="R26" s="252"/>
      <c r="V26" s="252"/>
      <c r="X26" s="252"/>
      <c r="AC26" s="106"/>
    </row>
    <row r="27" spans="1:29" ht="13">
      <c r="B27" s="424"/>
      <c r="C27" s="220"/>
      <c r="D27" s="250"/>
      <c r="E27" s="250"/>
      <c r="F27" s="250"/>
      <c r="I27" s="251"/>
      <c r="J27" s="251"/>
      <c r="K27" s="251"/>
      <c r="L27" s="251"/>
      <c r="M27" s="251"/>
      <c r="N27" s="251"/>
      <c r="O27" s="251"/>
      <c r="P27" s="252"/>
      <c r="Q27" s="252"/>
      <c r="R27" s="252"/>
      <c r="V27" s="252"/>
      <c r="AC27" s="106"/>
    </row>
    <row r="28" spans="1:29" ht="13">
      <c r="B28" s="425"/>
      <c r="C28" s="253"/>
      <c r="D28" s="253"/>
      <c r="E28" s="253"/>
      <c r="F28" s="253"/>
      <c r="I28" s="251"/>
      <c r="J28" s="251"/>
      <c r="K28" s="251"/>
      <c r="L28" s="251"/>
      <c r="M28" s="251"/>
      <c r="N28" s="251"/>
      <c r="O28" s="251"/>
      <c r="P28" s="252"/>
      <c r="Q28" s="252"/>
      <c r="R28" s="252"/>
      <c r="V28" s="252"/>
      <c r="AC28" s="106"/>
    </row>
    <row r="29" spans="1:29" ht="13">
      <c r="B29" s="425"/>
      <c r="C29" s="107"/>
      <c r="AC29" s="106"/>
    </row>
    <row r="30" spans="1:29" ht="15" customHeight="1">
      <c r="B30" s="300"/>
      <c r="C30" s="107"/>
      <c r="AC30" s="106"/>
    </row>
    <row r="31" spans="1:29" ht="7.5" customHeight="1">
      <c r="A31" s="106"/>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6"/>
      <c r="Z31" s="106"/>
      <c r="AA31" s="106"/>
      <c r="AB31" s="106"/>
      <c r="AC31" s="106"/>
    </row>
  </sheetData>
  <phoneticPr fontId="114" type="noConversion"/>
  <conditionalFormatting sqref="B10:B22 D10:S22 U10:U22 W10:Y22">
    <cfRule type="containsBlanks" dxfId="12" priority="2">
      <formula>LEN(TRIM(B10))=0</formula>
    </cfRule>
  </conditionalFormatting>
  <conditionalFormatting sqref="C10:C22">
    <cfRule type="containsBlanks" dxfId="11" priority="1">
      <formula>LEN(TRIM(C10))=0</formula>
    </cfRule>
  </conditionalFormatting>
  <dataValidations count="1">
    <dataValidation type="list" allowBlank="1" showInputMessage="1" sqref="S10:S22 Q10:Q22" xr:uid="{58090E60-D459-4680-AFA0-177BB1F28BB9}">
      <formula1>"是,否"</formula1>
    </dataValidation>
  </dataValidations>
  <hyperlinks>
    <hyperlink ref="B4" location="汇总!A1" display="返回汇总页" xr:uid="{383C3686-109E-404D-BC29-B78805B0A70B}"/>
  </hyperlink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51"/>
  <sheetViews>
    <sheetView showGridLines="0" topLeftCell="A31" zoomScale="70" zoomScaleNormal="70" workbookViewId="0">
      <selection activeCell="K34" sqref="K34"/>
    </sheetView>
  </sheetViews>
  <sheetFormatPr defaultColWidth="9.08203125" defaultRowHeight="13" outlineLevelRow="1"/>
  <cols>
    <col min="1" max="1" width="2.58203125" style="47" customWidth="1"/>
    <col min="2" max="2" width="21" style="42" customWidth="1"/>
    <col min="3" max="3" width="17" style="42" customWidth="1"/>
    <col min="4" max="4" width="30.08203125" style="42" customWidth="1"/>
    <col min="5" max="12" width="17" style="42" customWidth="1"/>
    <col min="13" max="13" width="2.58203125" style="42" customWidth="1"/>
    <col min="14" max="14" width="1.58203125" style="42" customWidth="1"/>
    <col min="15" max="16384" width="9.08203125" style="42"/>
  </cols>
  <sheetData>
    <row r="1" spans="1:14" s="1" customFormat="1" ht="50.15" customHeight="1">
      <c r="A1" s="225" t="s">
        <v>290</v>
      </c>
      <c r="B1" s="215" t="s">
        <v>41</v>
      </c>
      <c r="C1" s="48"/>
      <c r="D1" s="48"/>
      <c r="E1" s="4"/>
      <c r="F1" s="5"/>
      <c r="G1" s="5"/>
      <c r="H1" s="5"/>
      <c r="I1" s="5"/>
      <c r="J1" s="5"/>
      <c r="K1" s="21"/>
      <c r="L1" s="21"/>
      <c r="M1" s="42"/>
      <c r="N1" s="40"/>
    </row>
    <row r="2" spans="1:14" s="1" customFormat="1" ht="30" customHeight="1">
      <c r="A2" s="6"/>
      <c r="B2" s="211" t="s">
        <v>20</v>
      </c>
      <c r="C2" s="7"/>
      <c r="D2" s="7"/>
      <c r="E2" s="7"/>
      <c r="F2" s="7"/>
      <c r="G2" s="7"/>
      <c r="H2" s="7"/>
      <c r="I2" s="7"/>
      <c r="J2" s="7"/>
      <c r="K2" s="7"/>
      <c r="L2" s="22"/>
      <c r="M2" s="42"/>
      <c r="N2" s="40"/>
    </row>
    <row r="3" spans="1:14">
      <c r="A3" s="145"/>
      <c r="B3" s="49"/>
      <c r="C3" s="20"/>
      <c r="D3" s="20"/>
      <c r="E3" s="20"/>
      <c r="F3" s="20"/>
      <c r="G3" s="20"/>
      <c r="H3" s="20"/>
      <c r="I3" s="20"/>
      <c r="J3" s="20"/>
      <c r="K3" s="20"/>
      <c r="L3" s="20"/>
      <c r="N3" s="51"/>
    </row>
    <row r="4" spans="1:14" ht="14.5">
      <c r="A4" s="145"/>
      <c r="B4" s="143" t="s">
        <v>54</v>
      </c>
      <c r="C4" s="20"/>
      <c r="D4" s="20"/>
      <c r="E4" s="20"/>
      <c r="F4" s="20"/>
      <c r="G4" s="20"/>
      <c r="H4" s="20"/>
      <c r="I4" s="20"/>
      <c r="J4" s="20"/>
      <c r="K4" s="20"/>
      <c r="L4" s="20"/>
      <c r="N4" s="51"/>
    </row>
    <row r="5" spans="1:14">
      <c r="A5" s="145"/>
      <c r="B5" s="20"/>
      <c r="C5" s="20"/>
      <c r="D5" s="20"/>
      <c r="E5" s="20"/>
      <c r="F5" s="20"/>
      <c r="G5" s="20"/>
      <c r="H5" s="20"/>
      <c r="I5" s="20"/>
      <c r="J5" s="20"/>
      <c r="K5" s="20"/>
      <c r="L5" s="20"/>
      <c r="N5" s="51"/>
    </row>
    <row r="6" spans="1:14" ht="14.5">
      <c r="A6" s="145"/>
      <c r="B6" s="383" t="s">
        <v>296</v>
      </c>
      <c r="C6" s="263"/>
      <c r="D6" s="263"/>
      <c r="E6" s="263"/>
      <c r="F6" s="263"/>
      <c r="G6" s="263"/>
      <c r="H6" s="263"/>
      <c r="I6" s="263"/>
      <c r="J6" s="263"/>
      <c r="K6" s="263"/>
      <c r="L6" s="382"/>
      <c r="N6" s="51"/>
    </row>
    <row r="7" spans="1:14" ht="14.5" outlineLevel="1">
      <c r="A7" s="145"/>
      <c r="B7" s="426" t="s">
        <v>297</v>
      </c>
      <c r="C7" s="49"/>
      <c r="D7" s="49"/>
      <c r="E7" s="49"/>
      <c r="F7" s="49"/>
      <c r="G7" s="49"/>
      <c r="H7" s="49"/>
      <c r="I7" s="49"/>
      <c r="J7" s="49"/>
      <c r="K7" s="49"/>
      <c r="L7" s="20"/>
      <c r="N7" s="51"/>
    </row>
    <row r="8" spans="1:14" outlineLevel="1">
      <c r="A8" s="145"/>
      <c r="B8" s="49"/>
      <c r="C8" s="49"/>
      <c r="D8" s="49"/>
      <c r="E8" s="49"/>
      <c r="F8" s="49"/>
      <c r="G8" s="49"/>
      <c r="H8" s="49"/>
      <c r="I8" s="49"/>
      <c r="J8" s="49"/>
      <c r="K8" s="49"/>
      <c r="L8" s="20"/>
      <c r="N8" s="51"/>
    </row>
    <row r="9" spans="1:14" ht="21.65" customHeight="1" outlineLevel="1">
      <c r="A9" s="145"/>
      <c r="B9" s="233" t="s">
        <v>294</v>
      </c>
      <c r="C9" s="234"/>
      <c r="D9" s="234"/>
      <c r="E9" s="235"/>
      <c r="F9" s="235"/>
      <c r="G9" s="235"/>
      <c r="H9" s="235"/>
      <c r="I9" s="235"/>
      <c r="J9" s="235"/>
      <c r="K9" s="235"/>
      <c r="L9" s="431"/>
      <c r="N9" s="51"/>
    </row>
    <row r="10" spans="1:14" ht="19.5" customHeight="1" outlineLevel="1">
      <c r="A10" s="222"/>
      <c r="B10" s="378" t="s">
        <v>298</v>
      </c>
      <c r="C10" s="379"/>
      <c r="D10" s="379"/>
      <c r="E10" s="379"/>
      <c r="F10" s="379"/>
      <c r="G10" s="379"/>
      <c r="H10" s="379"/>
      <c r="I10" s="379"/>
      <c r="J10" s="380"/>
      <c r="K10" s="380"/>
      <c r="L10" s="381"/>
      <c r="N10" s="51"/>
    </row>
    <row r="11" spans="1:14" outlineLevel="1">
      <c r="A11" s="222"/>
      <c r="B11" s="223"/>
      <c r="C11" s="223"/>
      <c r="D11" s="223"/>
      <c r="E11" s="223"/>
      <c r="F11" s="223"/>
      <c r="G11" s="223"/>
      <c r="H11" s="223"/>
      <c r="I11" s="223"/>
      <c r="J11" s="223"/>
      <c r="K11" s="262"/>
      <c r="L11" s="20"/>
      <c r="N11" s="51"/>
    </row>
    <row r="12" spans="1:14" ht="15" customHeight="1" outlineLevel="1">
      <c r="A12" s="222"/>
      <c r="B12" s="426" t="s">
        <v>299</v>
      </c>
      <c r="C12" s="20"/>
      <c r="D12" s="20"/>
      <c r="E12" s="20"/>
      <c r="F12" s="20"/>
      <c r="G12" s="20"/>
      <c r="H12" s="20"/>
      <c r="I12" s="20"/>
      <c r="J12" s="299"/>
      <c r="K12" s="428" t="s">
        <v>300</v>
      </c>
      <c r="L12" s="20"/>
      <c r="N12" s="51"/>
    </row>
    <row r="13" spans="1:14" ht="35.75" customHeight="1" outlineLevel="1">
      <c r="A13" s="222"/>
      <c r="B13" s="523" t="s">
        <v>291</v>
      </c>
      <c r="C13" s="523" t="s">
        <v>143</v>
      </c>
      <c r="D13" s="523" t="s">
        <v>144</v>
      </c>
      <c r="E13" s="523" t="s">
        <v>292</v>
      </c>
      <c r="F13" s="523" t="s">
        <v>146</v>
      </c>
      <c r="G13" s="523" t="s">
        <v>147</v>
      </c>
      <c r="H13" s="523" t="s">
        <v>148</v>
      </c>
      <c r="I13" s="312" t="s">
        <v>149</v>
      </c>
      <c r="J13" s="326" t="s">
        <v>301</v>
      </c>
      <c r="K13" s="327">
        <v>1</v>
      </c>
      <c r="L13" s="20"/>
      <c r="N13" s="51"/>
    </row>
    <row r="14" spans="1:14" outlineLevel="1">
      <c r="A14" s="222"/>
      <c r="B14" s="343"/>
      <c r="C14" s="335"/>
      <c r="D14" s="314"/>
      <c r="E14" s="336"/>
      <c r="F14" s="314"/>
      <c r="G14" s="344"/>
      <c r="H14" s="345"/>
      <c r="I14" s="314"/>
      <c r="J14" s="346"/>
      <c r="K14" s="347"/>
      <c r="L14" s="20"/>
      <c r="N14" s="51"/>
    </row>
    <row r="15" spans="1:14" outlineLevel="1">
      <c r="A15" s="222"/>
      <c r="B15" s="343"/>
      <c r="C15" s="335"/>
      <c r="D15" s="314"/>
      <c r="E15" s="336"/>
      <c r="F15" s="314"/>
      <c r="G15" s="344"/>
      <c r="H15" s="345"/>
      <c r="I15" s="314"/>
      <c r="J15" s="346"/>
      <c r="K15" s="347"/>
      <c r="L15" s="20"/>
      <c r="N15" s="51"/>
    </row>
    <row r="16" spans="1:14" outlineLevel="1">
      <c r="A16" s="222"/>
      <c r="B16" s="258"/>
      <c r="C16" s="258"/>
      <c r="D16" s="259"/>
      <c r="E16" s="259"/>
      <c r="F16" s="259"/>
      <c r="G16" s="260"/>
      <c r="H16" s="261"/>
      <c r="I16" s="259"/>
      <c r="J16" s="259"/>
      <c r="K16" s="262"/>
      <c r="L16" s="262"/>
      <c r="N16" s="51"/>
    </row>
    <row r="17" spans="1:14" ht="15" outlineLevel="1" thickBot="1">
      <c r="A17" s="222"/>
      <c r="B17" s="258"/>
      <c r="C17" s="258"/>
      <c r="D17" s="259"/>
      <c r="E17" s="259"/>
      <c r="F17" s="259"/>
      <c r="G17" s="241" t="s">
        <v>131</v>
      </c>
      <c r="H17" s="239">
        <f>SUM(H13:H15)</f>
        <v>0</v>
      </c>
      <c r="I17" s="259"/>
      <c r="J17" s="239">
        <f>SUM(J13:J15)</f>
        <v>0</v>
      </c>
      <c r="K17" s="262"/>
      <c r="L17" s="262"/>
      <c r="N17" s="51"/>
    </row>
    <row r="18" spans="1:14" ht="13.5" outlineLevel="1" thickTop="1">
      <c r="A18" s="222"/>
      <c r="B18" s="258"/>
      <c r="C18" s="258"/>
      <c r="D18" s="259"/>
      <c r="E18" s="259"/>
      <c r="F18" s="259"/>
      <c r="G18" s="240"/>
      <c r="H18" s="38" t="s">
        <v>81</v>
      </c>
      <c r="I18" s="430"/>
      <c r="J18" s="38" t="s">
        <v>81</v>
      </c>
      <c r="K18" s="262"/>
      <c r="L18" s="262"/>
      <c r="N18" s="51"/>
    </row>
    <row r="19" spans="1:14" outlineLevel="1">
      <c r="A19" s="222"/>
      <c r="B19" s="237"/>
      <c r="C19" s="223"/>
      <c r="D19" s="223"/>
      <c r="E19" s="223"/>
      <c r="F19" s="223"/>
      <c r="G19" s="223"/>
      <c r="H19" s="223"/>
      <c r="I19" s="223"/>
      <c r="J19" s="20"/>
      <c r="K19" s="223"/>
      <c r="L19" s="223"/>
      <c r="N19" s="51"/>
    </row>
    <row r="20" spans="1:14" ht="14.5" outlineLevel="1">
      <c r="A20" s="222"/>
      <c r="B20" s="42" t="s">
        <v>293</v>
      </c>
      <c r="I20" s="223"/>
      <c r="J20" s="223"/>
      <c r="K20" s="223"/>
      <c r="L20" s="223"/>
      <c r="N20" s="51"/>
    </row>
    <row r="21" spans="1:14" outlineLevel="1">
      <c r="A21" s="222"/>
      <c r="B21" s="678" t="s">
        <v>446</v>
      </c>
      <c r="C21" s="679"/>
      <c r="D21" s="679"/>
      <c r="E21" s="679"/>
      <c r="F21" s="680"/>
      <c r="I21" s="224"/>
      <c r="J21" s="224"/>
      <c r="K21" s="224"/>
      <c r="L21" s="224"/>
      <c r="N21" s="51"/>
    </row>
    <row r="22" spans="1:14" outlineLevel="1">
      <c r="A22" s="145"/>
      <c r="B22" s="681"/>
      <c r="C22" s="682"/>
      <c r="D22" s="682"/>
      <c r="E22" s="682"/>
      <c r="F22" s="683"/>
      <c r="G22" s="20"/>
      <c r="H22" s="20"/>
      <c r="I22" s="20"/>
      <c r="J22" s="20"/>
      <c r="K22" s="20"/>
      <c r="L22" s="20"/>
      <c r="N22" s="51"/>
    </row>
    <row r="23" spans="1:14" outlineLevel="1">
      <c r="A23" s="145"/>
      <c r="B23" s="681"/>
      <c r="C23" s="682"/>
      <c r="D23" s="682"/>
      <c r="E23" s="682"/>
      <c r="F23" s="683"/>
      <c r="G23" s="20"/>
      <c r="H23" s="20"/>
      <c r="I23" s="20"/>
      <c r="J23" s="20"/>
      <c r="K23" s="20"/>
      <c r="L23" s="20"/>
      <c r="N23" s="51"/>
    </row>
    <row r="24" spans="1:14" outlineLevel="1">
      <c r="A24" s="145"/>
      <c r="B24" s="684"/>
      <c r="C24" s="685"/>
      <c r="D24" s="685"/>
      <c r="E24" s="685"/>
      <c r="F24" s="686"/>
      <c r="G24" s="20"/>
      <c r="H24" s="20"/>
      <c r="I24" s="20"/>
      <c r="J24" s="20"/>
      <c r="K24" s="20"/>
      <c r="L24" s="20"/>
      <c r="N24" s="51"/>
    </row>
    <row r="25" spans="1:14">
      <c r="A25" s="145"/>
      <c r="B25" s="49"/>
      <c r="C25" s="20"/>
      <c r="D25" s="20"/>
      <c r="E25" s="20"/>
      <c r="F25" s="20"/>
      <c r="G25" s="20"/>
      <c r="H25" s="20"/>
      <c r="I25" s="20"/>
      <c r="J25" s="20"/>
      <c r="K25" s="20"/>
      <c r="L25" s="20"/>
      <c r="N25" s="51"/>
    </row>
    <row r="26" spans="1:14" ht="14.5">
      <c r="A26" s="145"/>
      <c r="B26" s="383" t="s">
        <v>302</v>
      </c>
      <c r="C26" s="263"/>
      <c r="D26" s="263"/>
      <c r="E26" s="263"/>
      <c r="F26" s="263"/>
      <c r="G26" s="170"/>
      <c r="H26" s="170"/>
      <c r="I26" s="170"/>
      <c r="J26" s="170"/>
      <c r="K26" s="170"/>
      <c r="L26" s="170"/>
      <c r="N26" s="51"/>
    </row>
    <row r="27" spans="1:14" ht="14.5" outlineLevel="1">
      <c r="A27" s="145"/>
      <c r="B27" s="429" t="s">
        <v>303</v>
      </c>
      <c r="C27" s="145"/>
      <c r="D27" s="145"/>
      <c r="E27" s="145"/>
      <c r="F27" s="145"/>
      <c r="G27" s="145"/>
      <c r="H27" s="145"/>
      <c r="I27" s="145"/>
      <c r="J27" s="145"/>
      <c r="K27" s="145"/>
      <c r="L27" s="145"/>
      <c r="N27" s="51"/>
    </row>
    <row r="28" spans="1:14" outlineLevel="1">
      <c r="A28" s="145"/>
      <c r="C28" s="145"/>
      <c r="D28" s="145"/>
      <c r="E28" s="145"/>
      <c r="F28" s="145"/>
      <c r="G28" s="145"/>
      <c r="H28" s="145"/>
      <c r="I28" s="145"/>
      <c r="J28" s="145"/>
      <c r="K28" s="145"/>
      <c r="L28" s="145"/>
      <c r="N28" s="51"/>
    </row>
    <row r="29" spans="1:14" ht="14.5" outlineLevel="1">
      <c r="A29" s="145"/>
      <c r="B29" s="233" t="s">
        <v>294</v>
      </c>
      <c r="C29" s="234"/>
      <c r="D29" s="234"/>
      <c r="E29" s="235"/>
      <c r="F29" s="235"/>
      <c r="G29" s="235"/>
      <c r="H29" s="235"/>
      <c r="I29" s="235"/>
      <c r="J29" s="235"/>
      <c r="K29" s="235"/>
      <c r="L29" s="236"/>
      <c r="N29" s="51"/>
    </row>
    <row r="30" spans="1:14" ht="15" customHeight="1" outlineLevel="1">
      <c r="A30" s="384"/>
      <c r="B30" s="385" t="s">
        <v>304</v>
      </c>
      <c r="C30" s="95"/>
      <c r="D30" s="95"/>
      <c r="E30" s="95"/>
      <c r="F30" s="95"/>
      <c r="G30" s="95"/>
      <c r="H30" s="95"/>
      <c r="I30" s="95"/>
      <c r="J30" s="95"/>
      <c r="K30" s="95"/>
      <c r="L30" s="386"/>
      <c r="N30" s="51"/>
    </row>
    <row r="31" spans="1:14" ht="14.25" customHeight="1" outlineLevel="1">
      <c r="A31" s="384"/>
      <c r="B31" s="387" t="s">
        <v>305</v>
      </c>
      <c r="C31" s="388"/>
      <c r="D31" s="388"/>
      <c r="E31" s="388"/>
      <c r="F31" s="388"/>
      <c r="G31" s="388"/>
      <c r="H31" s="388"/>
      <c r="I31" s="388"/>
      <c r="J31" s="388"/>
      <c r="K31" s="388"/>
      <c r="L31" s="389"/>
      <c r="N31" s="51"/>
    </row>
    <row r="32" spans="1:14" outlineLevel="1">
      <c r="A32" s="145"/>
      <c r="B32" s="145"/>
      <c r="C32" s="145"/>
      <c r="D32" s="145"/>
      <c r="E32" s="145"/>
      <c r="F32" s="145"/>
      <c r="G32" s="145"/>
      <c r="H32" s="145"/>
      <c r="I32" s="145"/>
      <c r="J32" s="145"/>
      <c r="K32" s="145"/>
      <c r="L32" s="145"/>
      <c r="N32" s="51"/>
    </row>
    <row r="33" spans="1:14" ht="13.25" customHeight="1" outlineLevel="1">
      <c r="A33" s="145"/>
      <c r="B33" s="426" t="s">
        <v>299</v>
      </c>
      <c r="C33" s="20"/>
      <c r="D33" s="20"/>
      <c r="E33" s="38"/>
      <c r="F33" s="20"/>
      <c r="G33" s="20"/>
      <c r="H33" s="20"/>
      <c r="I33" s="20"/>
      <c r="J33" s="412" t="s">
        <v>140</v>
      </c>
      <c r="K33" s="696" t="s">
        <v>141</v>
      </c>
      <c r="L33" s="697"/>
      <c r="N33" s="51"/>
    </row>
    <row r="34" spans="1:14" ht="52.5" customHeight="1" outlineLevel="1">
      <c r="A34" s="145"/>
      <c r="B34" s="523" t="s">
        <v>291</v>
      </c>
      <c r="C34" s="523" t="s">
        <v>143</v>
      </c>
      <c r="D34" s="523" t="s">
        <v>144</v>
      </c>
      <c r="E34" s="523" t="s">
        <v>292</v>
      </c>
      <c r="F34" s="523" t="s">
        <v>146</v>
      </c>
      <c r="G34" s="523" t="s">
        <v>147</v>
      </c>
      <c r="H34" s="523" t="s">
        <v>148</v>
      </c>
      <c r="I34" s="312" t="s">
        <v>149</v>
      </c>
      <c r="J34" s="312" t="s">
        <v>306</v>
      </c>
      <c r="K34" s="325">
        <v>1</v>
      </c>
      <c r="L34" s="325">
        <v>2</v>
      </c>
      <c r="N34" s="51"/>
    </row>
    <row r="35" spans="1:14" s="88" customFormat="1" ht="14.5" outlineLevel="1">
      <c r="A35" s="324"/>
      <c r="B35" s="343" t="s">
        <v>457</v>
      </c>
      <c r="C35" s="335"/>
      <c r="D35" s="529"/>
      <c r="E35" s="419"/>
      <c r="F35" s="416"/>
      <c r="G35" s="519"/>
      <c r="H35" s="345"/>
      <c r="I35" s="415"/>
      <c r="J35" s="314"/>
      <c r="K35" s="342"/>
      <c r="L35" s="342"/>
      <c r="N35" s="93"/>
    </row>
    <row r="36" spans="1:14" s="88" customFormat="1" ht="12.5" outlineLevel="1">
      <c r="A36" s="324"/>
      <c r="B36" s="343"/>
      <c r="C36" s="335"/>
      <c r="D36" s="314"/>
      <c r="E36" s="336"/>
      <c r="F36" s="314"/>
      <c r="G36" s="473"/>
      <c r="H36" s="474"/>
      <c r="I36" s="314"/>
      <c r="J36" s="314"/>
      <c r="K36" s="342"/>
      <c r="L36" s="342"/>
      <c r="N36" s="93"/>
    </row>
    <row r="37" spans="1:14" s="88" customFormat="1" ht="12.5" outlineLevel="1">
      <c r="A37" s="324"/>
      <c r="B37" s="343"/>
      <c r="C37" s="335"/>
      <c r="D37" s="314"/>
      <c r="E37" s="336"/>
      <c r="F37" s="314"/>
      <c r="G37" s="473"/>
      <c r="H37" s="474"/>
      <c r="I37" s="314"/>
      <c r="J37" s="314"/>
      <c r="K37" s="342"/>
      <c r="L37" s="342"/>
      <c r="N37" s="93"/>
    </row>
    <row r="38" spans="1:14" ht="14" outlineLevel="1">
      <c r="A38" s="145"/>
      <c r="J38" s="3"/>
      <c r="K38" s="3"/>
      <c r="L38" s="3"/>
      <c r="N38" s="51"/>
    </row>
    <row r="39" spans="1:14" ht="15" outlineLevel="1" thickBot="1">
      <c r="A39" s="145"/>
      <c r="G39" s="241" t="s">
        <v>131</v>
      </c>
      <c r="H39" s="239">
        <f>SUM(H34:H37)</f>
        <v>0</v>
      </c>
      <c r="I39" s="91"/>
      <c r="J39" s="3"/>
      <c r="K39" s="3"/>
      <c r="L39" s="3"/>
      <c r="N39" s="51"/>
    </row>
    <row r="40" spans="1:14" ht="13.5" outlineLevel="1" thickTop="1">
      <c r="A40" s="145"/>
      <c r="G40" s="44"/>
      <c r="H40" s="329" t="s">
        <v>81</v>
      </c>
      <c r="N40" s="51"/>
    </row>
    <row r="41" spans="1:14" outlineLevel="1">
      <c r="A41" s="145"/>
      <c r="G41" s="44"/>
      <c r="H41" s="329"/>
      <c r="N41" s="51"/>
    </row>
    <row r="42" spans="1:14" ht="14.5" outlineLevel="1">
      <c r="A42" s="145"/>
      <c r="B42" s="42" t="s">
        <v>293</v>
      </c>
      <c r="N42" s="51"/>
    </row>
    <row r="43" spans="1:14" outlineLevel="1">
      <c r="A43" s="145"/>
      <c r="B43" s="687" t="s">
        <v>565</v>
      </c>
      <c r="C43" s="688"/>
      <c r="D43" s="688"/>
      <c r="E43" s="688"/>
      <c r="F43" s="689"/>
      <c r="N43" s="51"/>
    </row>
    <row r="44" spans="1:14" outlineLevel="1">
      <c r="A44" s="145"/>
      <c r="B44" s="690"/>
      <c r="C44" s="691"/>
      <c r="D44" s="691"/>
      <c r="E44" s="691"/>
      <c r="F44" s="692"/>
      <c r="G44" s="20"/>
      <c r="H44" s="20"/>
      <c r="N44" s="51"/>
    </row>
    <row r="45" spans="1:14" outlineLevel="1">
      <c r="A45" s="145"/>
      <c r="B45" s="690"/>
      <c r="C45" s="691"/>
      <c r="D45" s="691"/>
      <c r="E45" s="691"/>
      <c r="F45" s="692"/>
      <c r="G45" s="20"/>
      <c r="H45" s="20"/>
      <c r="N45" s="51"/>
    </row>
    <row r="46" spans="1:14" outlineLevel="1">
      <c r="A46" s="145"/>
      <c r="B46" s="693"/>
      <c r="C46" s="694"/>
      <c r="D46" s="694"/>
      <c r="E46" s="694"/>
      <c r="F46" s="695"/>
      <c r="G46" s="20"/>
      <c r="H46" s="20"/>
      <c r="N46" s="51"/>
    </row>
    <row r="47" spans="1:14" ht="15" customHeight="1">
      <c r="B47" s="142"/>
      <c r="C47" s="142"/>
      <c r="D47" s="142"/>
      <c r="E47" s="142"/>
      <c r="F47" s="142"/>
      <c r="H47" s="142"/>
      <c r="I47" s="142"/>
      <c r="J47" s="142"/>
      <c r="K47" s="142"/>
      <c r="L47" s="142"/>
      <c r="N47" s="51"/>
    </row>
    <row r="48" spans="1:14" ht="7.5" customHeight="1">
      <c r="A48" s="50"/>
      <c r="B48" s="51"/>
      <c r="C48" s="51"/>
      <c r="D48" s="51"/>
      <c r="E48" s="51"/>
      <c r="F48" s="51"/>
      <c r="G48" s="51"/>
      <c r="H48" s="51"/>
      <c r="I48" s="51"/>
      <c r="J48" s="51"/>
      <c r="K48" s="51"/>
      <c r="L48" s="51"/>
      <c r="M48" s="51"/>
      <c r="N48" s="51"/>
    </row>
    <row r="49" ht="10.5" customHeight="1"/>
    <row r="50" ht="10.5" customHeight="1"/>
    <row r="51" ht="10.5" customHeight="1"/>
  </sheetData>
  <mergeCells count="3">
    <mergeCell ref="B21:F24"/>
    <mergeCell ref="B43:F46"/>
    <mergeCell ref="K33:L33"/>
  </mergeCells>
  <phoneticPr fontId="114" type="noConversion"/>
  <conditionalFormatting sqref="B21">
    <cfRule type="containsBlanks" dxfId="10" priority="8">
      <formula>LEN(TRIM(B21))=0</formula>
    </cfRule>
  </conditionalFormatting>
  <conditionalFormatting sqref="B43">
    <cfRule type="containsBlanks" dxfId="9" priority="37">
      <formula>LEN(TRIM(B43))=0</formula>
    </cfRule>
  </conditionalFormatting>
  <conditionalFormatting sqref="B14:K15 B35:I35">
    <cfRule type="containsBlanks" dxfId="8" priority="1">
      <formula>LEN(TRIM(B14))=0</formula>
    </cfRule>
  </conditionalFormatting>
  <conditionalFormatting sqref="B35:L37">
    <cfRule type="containsBlanks" dxfId="7" priority="10">
      <formula>LEN(TRIM(B35))=0</formula>
    </cfRule>
  </conditionalFormatting>
  <dataValidations count="1">
    <dataValidation type="list" allowBlank="1" showInputMessage="1" sqref="K35:L37 K14:K15" xr:uid="{51D11F8A-C7C3-42AC-82EB-D5CB69DD0CF4}">
      <formula1>"Y,N"</formula1>
    </dataValidation>
  </dataValidations>
  <hyperlinks>
    <hyperlink ref="B4" location="汇总!A1" display="返回汇总页" xr:uid="{BE961A1A-48F2-4F24-B07D-981820731706}"/>
  </hyperlinks>
  <pageMargins left="0.7" right="0.7" top="0.75" bottom="0.75" header="0.3" footer="0.3"/>
  <pageSetup paperSize="9" orientation="portrait" horizontalDpi="300" verticalDpi="300" r:id="rId1"/>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7"/>
  <dimension ref="A1:R73"/>
  <sheetViews>
    <sheetView showGridLines="0" zoomScale="70" zoomScaleNormal="70" workbookViewId="0">
      <selection activeCell="I67" sqref="I67"/>
    </sheetView>
  </sheetViews>
  <sheetFormatPr defaultColWidth="8.25" defaultRowHeight="13" outlineLevelRow="1"/>
  <cols>
    <col min="1" max="1" width="2.58203125" style="26" customWidth="1"/>
    <col min="2" max="5" width="18" style="27" customWidth="1"/>
    <col min="6" max="6" width="17" style="27" customWidth="1"/>
    <col min="7" max="7" width="18" style="27" customWidth="1"/>
    <col min="8" max="8" width="38.33203125" style="27" customWidth="1"/>
    <col min="9" max="9" width="43.4140625" style="27" customWidth="1"/>
    <col min="10" max="10" width="18" style="25" customWidth="1"/>
    <col min="11" max="15" width="18" style="27" customWidth="1"/>
    <col min="16" max="16" width="2.58203125" style="27" customWidth="1"/>
    <col min="17" max="17" width="1.58203125" style="27" customWidth="1"/>
    <col min="18" max="18" width="8.25" style="25"/>
    <col min="19" max="16384" width="8.25" style="27"/>
  </cols>
  <sheetData>
    <row r="1" spans="1:18" s="1" customFormat="1" ht="50.15" customHeight="1">
      <c r="A1" s="225" t="s">
        <v>307</v>
      </c>
      <c r="B1" s="100" t="s">
        <v>41</v>
      </c>
      <c r="C1" s="80"/>
      <c r="D1" s="79"/>
      <c r="E1" s="79"/>
      <c r="F1" s="79"/>
      <c r="G1" s="79"/>
      <c r="H1" s="79"/>
      <c r="I1" s="79"/>
      <c r="J1" s="78"/>
      <c r="K1" s="79"/>
      <c r="L1" s="78"/>
      <c r="M1" s="79"/>
      <c r="N1" s="78"/>
      <c r="O1" s="78"/>
      <c r="Q1" s="40"/>
    </row>
    <row r="2" spans="1:18" s="1" customFormat="1" ht="30" customHeight="1">
      <c r="A2" s="6"/>
      <c r="B2" s="217" t="s">
        <v>308</v>
      </c>
      <c r="C2" s="7"/>
      <c r="D2" s="7"/>
      <c r="E2" s="7"/>
      <c r="F2" s="7"/>
      <c r="G2" s="7"/>
      <c r="H2" s="7"/>
      <c r="I2" s="7"/>
      <c r="J2" s="7"/>
      <c r="K2" s="7"/>
      <c r="L2" s="7"/>
      <c r="M2" s="7"/>
      <c r="N2" s="7"/>
      <c r="O2" s="22"/>
      <c r="Q2" s="40"/>
    </row>
    <row r="3" spans="1:18" s="25" customFormat="1" ht="13.5" customHeight="1">
      <c r="A3" s="28"/>
      <c r="Q3" s="77"/>
    </row>
    <row r="4" spans="1:18" s="25" customFormat="1" ht="13.5" customHeight="1">
      <c r="A4" s="28"/>
      <c r="B4" s="143" t="s">
        <v>54</v>
      </c>
      <c r="Q4" s="77"/>
    </row>
    <row r="5" spans="1:18" s="25" customFormat="1" ht="13.5" customHeight="1">
      <c r="A5" s="28"/>
      <c r="Q5" s="77"/>
    </row>
    <row r="6" spans="1:18" ht="14.5">
      <c r="B6" s="286" t="s">
        <v>309</v>
      </c>
      <c r="C6" s="286"/>
      <c r="D6" s="286"/>
      <c r="E6" s="287"/>
      <c r="F6" s="288"/>
      <c r="G6" s="289"/>
      <c r="H6" s="289"/>
      <c r="I6" s="289"/>
      <c r="J6" s="289"/>
      <c r="K6" s="289"/>
      <c r="L6" s="289"/>
      <c r="M6" s="289"/>
      <c r="N6" s="289"/>
      <c r="O6" s="289"/>
      <c r="Q6" s="77"/>
    </row>
    <row r="7" spans="1:18">
      <c r="B7" s="98"/>
      <c r="C7" s="98"/>
      <c r="D7" s="98"/>
      <c r="E7" s="97"/>
      <c r="F7" s="99"/>
      <c r="G7" s="25"/>
      <c r="H7" s="25"/>
      <c r="I7" s="25"/>
      <c r="K7" s="25"/>
      <c r="L7" s="25"/>
      <c r="M7" s="25"/>
      <c r="N7" s="25"/>
      <c r="O7" s="25"/>
      <c r="Q7" s="77"/>
    </row>
    <row r="8" spans="1:18" ht="15.65" customHeight="1">
      <c r="B8" s="264">
        <f>MIN('C.00 Lead'!$D$15,'C.00 Lead'!$D$16)</f>
        <v>1950000</v>
      </c>
      <c r="C8" s="177" t="s">
        <v>310</v>
      </c>
      <c r="D8" s="178"/>
      <c r="E8" s="179"/>
      <c r="F8" s="25"/>
      <c r="G8" s="25"/>
      <c r="H8" s="25"/>
      <c r="I8" s="25"/>
      <c r="K8" s="25"/>
      <c r="L8" s="25"/>
      <c r="M8" s="25"/>
      <c r="N8" s="25"/>
      <c r="O8" s="25"/>
      <c r="Q8" s="77"/>
    </row>
    <row r="9" spans="1:18">
      <c r="A9" s="29"/>
      <c r="I9" s="25"/>
      <c r="J9" s="27"/>
      <c r="Q9" s="77"/>
    </row>
    <row r="10" spans="1:18" ht="14.5">
      <c r="A10" s="29"/>
      <c r="B10" s="42" t="s">
        <v>311</v>
      </c>
      <c r="C10" s="3"/>
      <c r="D10" s="3"/>
      <c r="E10" s="12"/>
      <c r="F10" s="12"/>
      <c r="I10" s="25"/>
      <c r="J10" s="27"/>
      <c r="Q10" s="77"/>
    </row>
    <row r="11" spans="1:18" ht="12.75" customHeight="1">
      <c r="A11" s="29"/>
      <c r="B11" s="698" t="s">
        <v>447</v>
      </c>
      <c r="C11" s="699"/>
      <c r="D11" s="699"/>
      <c r="E11" s="699"/>
      <c r="F11" s="700"/>
      <c r="I11" s="25"/>
      <c r="J11" s="27"/>
      <c r="Q11" s="77"/>
    </row>
    <row r="12" spans="1:18" ht="12.75" customHeight="1">
      <c r="A12" s="29"/>
      <c r="B12" s="701"/>
      <c r="C12" s="702"/>
      <c r="D12" s="702"/>
      <c r="E12" s="702"/>
      <c r="F12" s="703"/>
      <c r="I12" s="25"/>
      <c r="J12" s="27"/>
      <c r="Q12" s="77"/>
    </row>
    <row r="13" spans="1:18" ht="12.75" customHeight="1">
      <c r="A13" s="29"/>
      <c r="B13" s="704"/>
      <c r="C13" s="705"/>
      <c r="D13" s="705"/>
      <c r="E13" s="705"/>
      <c r="F13" s="706"/>
      <c r="I13" s="25"/>
      <c r="J13" s="27"/>
      <c r="Q13" s="77"/>
    </row>
    <row r="14" spans="1:18">
      <c r="A14" s="29"/>
      <c r="I14" s="25"/>
      <c r="J14" s="27"/>
      <c r="Q14" s="77"/>
    </row>
    <row r="15" spans="1:18" s="1" customFormat="1" ht="15" customHeight="1">
      <c r="A15" s="6"/>
      <c r="B15" s="98" t="s">
        <v>312</v>
      </c>
      <c r="C15" s="98"/>
      <c r="D15" s="98"/>
      <c r="E15" s="97"/>
      <c r="F15" s="99"/>
      <c r="G15" s="99"/>
      <c r="H15" s="99"/>
      <c r="I15" s="99"/>
      <c r="J15" s="99"/>
      <c r="K15" s="99"/>
      <c r="L15" s="99"/>
      <c r="M15" s="97"/>
      <c r="N15" s="97"/>
      <c r="O15" s="97"/>
      <c r="P15" s="6"/>
      <c r="Q15" s="40"/>
    </row>
    <row r="16" spans="1:18" s="435" customFormat="1" ht="14.5">
      <c r="A16" s="432"/>
      <c r="B16" s="433" t="s">
        <v>313</v>
      </c>
      <c r="C16" s="434"/>
      <c r="I16" s="436"/>
      <c r="Q16" s="437"/>
      <c r="R16" s="436"/>
    </row>
    <row r="17" spans="1:17" ht="14.5" hidden="1" outlineLevel="1">
      <c r="A17" s="29"/>
      <c r="B17" s="180" t="s">
        <v>314</v>
      </c>
      <c r="C17" s="181" t="s">
        <v>315</v>
      </c>
      <c r="I17" s="25"/>
      <c r="J17" s="27"/>
      <c r="Q17" s="77"/>
    </row>
    <row r="18" spans="1:17" ht="14.5" hidden="1" outlineLevel="1">
      <c r="A18" s="29"/>
      <c r="B18" s="205" t="s">
        <v>316</v>
      </c>
      <c r="C18" s="278" t="s">
        <v>457</v>
      </c>
      <c r="D18" s="320" t="s">
        <v>11</v>
      </c>
      <c r="E18" s="31"/>
      <c r="I18" s="25"/>
      <c r="J18" s="27"/>
      <c r="Q18" s="77"/>
    </row>
    <row r="19" spans="1:17" ht="14.5" hidden="1" outlineLevel="1">
      <c r="A19" s="29"/>
      <c r="B19" s="205" t="s">
        <v>317</v>
      </c>
      <c r="C19" s="278"/>
      <c r="D19" s="320" t="s">
        <v>11</v>
      </c>
      <c r="E19" s="31"/>
      <c r="I19" s="25"/>
      <c r="J19" s="27"/>
      <c r="Q19" s="77"/>
    </row>
    <row r="20" spans="1:17" ht="14.5" hidden="1" outlineLevel="1">
      <c r="A20" s="29"/>
      <c r="B20" s="205" t="s">
        <v>318</v>
      </c>
      <c r="C20" s="278"/>
      <c r="D20" s="320" t="s">
        <v>11</v>
      </c>
      <c r="E20" s="31"/>
      <c r="I20" s="25"/>
      <c r="J20" s="27"/>
      <c r="Q20" s="77"/>
    </row>
    <row r="21" spans="1:17" ht="14.5" hidden="1" outlineLevel="1">
      <c r="A21" s="29"/>
      <c r="B21" s="218" t="s">
        <v>319</v>
      </c>
      <c r="C21" s="279"/>
      <c r="D21" s="30"/>
      <c r="E21" s="31"/>
      <c r="I21" s="25"/>
      <c r="J21" s="27"/>
      <c r="Q21" s="77"/>
    </row>
    <row r="22" spans="1:17" hidden="1" outlineLevel="1">
      <c r="A22" s="29"/>
      <c r="B22" s="32"/>
      <c r="C22" s="32"/>
      <c r="D22" s="30"/>
      <c r="E22" s="31"/>
      <c r="I22" s="25"/>
      <c r="J22" s="27"/>
      <c r="Q22" s="77"/>
    </row>
    <row r="23" spans="1:17" ht="32.25" hidden="1" customHeight="1" outlineLevel="1">
      <c r="A23" s="29"/>
      <c r="B23" s="182" t="s">
        <v>320</v>
      </c>
      <c r="C23" s="183" t="s">
        <v>321</v>
      </c>
      <c r="D23" s="184" t="s">
        <v>322</v>
      </c>
      <c r="E23" s="185" t="s">
        <v>320</v>
      </c>
      <c r="F23" s="186" t="s">
        <v>323</v>
      </c>
      <c r="G23" s="187" t="s">
        <v>322</v>
      </c>
      <c r="I23" s="25"/>
      <c r="J23" s="27"/>
      <c r="Q23" s="77"/>
    </row>
    <row r="24" spans="1:17" hidden="1" outlineLevel="1">
      <c r="A24" s="29"/>
      <c r="B24" s="356" t="s">
        <v>457</v>
      </c>
      <c r="C24" s="271"/>
      <c r="D24" s="272"/>
      <c r="E24" s="357"/>
      <c r="F24" s="315"/>
      <c r="G24" s="273"/>
      <c r="I24" s="25"/>
      <c r="J24" s="27"/>
      <c r="Q24" s="77"/>
    </row>
    <row r="25" spans="1:17" ht="14.5" hidden="1" outlineLevel="1">
      <c r="A25" s="29"/>
      <c r="B25" s="206" t="s">
        <v>324</v>
      </c>
      <c r="C25" s="265">
        <f>SUM(C26:C29)</f>
        <v>0</v>
      </c>
      <c r="D25" s="174"/>
      <c r="E25" s="171" t="s">
        <v>325</v>
      </c>
      <c r="F25" s="316">
        <f>SUM(F26:F29)</f>
        <v>0</v>
      </c>
      <c r="G25" s="209"/>
      <c r="I25" s="25"/>
      <c r="J25" s="27"/>
      <c r="Q25" s="77"/>
    </row>
    <row r="26" spans="1:17" hidden="1" outlineLevel="1">
      <c r="A26" s="29"/>
      <c r="B26" s="356"/>
      <c r="C26" s="271"/>
      <c r="D26" s="272"/>
      <c r="E26" s="357"/>
      <c r="F26" s="315"/>
      <c r="G26" s="273"/>
      <c r="I26" s="25"/>
      <c r="J26" s="27"/>
      <c r="Q26" s="77"/>
    </row>
    <row r="27" spans="1:17" hidden="1" outlineLevel="1">
      <c r="A27" s="29"/>
      <c r="B27" s="356"/>
      <c r="C27" s="271"/>
      <c r="D27" s="272"/>
      <c r="E27" s="357"/>
      <c r="F27" s="315"/>
      <c r="G27" s="273"/>
      <c r="I27" s="25"/>
      <c r="J27" s="27"/>
      <c r="Q27" s="77"/>
    </row>
    <row r="28" spans="1:17" hidden="1" outlineLevel="1">
      <c r="A28" s="29"/>
      <c r="B28" s="356"/>
      <c r="C28" s="271"/>
      <c r="D28" s="272"/>
      <c r="E28" s="357"/>
      <c r="F28" s="315"/>
      <c r="G28" s="273"/>
      <c r="I28" s="25"/>
      <c r="J28" s="27"/>
      <c r="Q28" s="77"/>
    </row>
    <row r="29" spans="1:17" hidden="1" outlineLevel="1">
      <c r="A29" s="29"/>
      <c r="B29" s="356"/>
      <c r="C29" s="271"/>
      <c r="D29" s="272"/>
      <c r="E29" s="357"/>
      <c r="F29" s="315"/>
      <c r="G29" s="273"/>
      <c r="I29" s="25"/>
      <c r="J29" s="27"/>
      <c r="Q29" s="77"/>
    </row>
    <row r="30" spans="1:17" ht="14.5" hidden="1" outlineLevel="1">
      <c r="A30" s="29"/>
      <c r="B30" s="206" t="s">
        <v>326</v>
      </c>
      <c r="C30" s="265">
        <f>SUM(C31:C34)</f>
        <v>0</v>
      </c>
      <c r="D30" s="175"/>
      <c r="E30" s="172" t="s">
        <v>327</v>
      </c>
      <c r="F30" s="316">
        <f>SUM(F31:F34)</f>
        <v>0</v>
      </c>
      <c r="G30" s="210"/>
      <c r="I30" s="25"/>
      <c r="J30" s="27"/>
      <c r="Q30" s="77"/>
    </row>
    <row r="31" spans="1:17" hidden="1" outlineLevel="1">
      <c r="A31" s="29"/>
      <c r="B31" s="356"/>
      <c r="C31" s="271"/>
      <c r="D31" s="272"/>
      <c r="E31" s="357"/>
      <c r="F31" s="315"/>
      <c r="G31" s="273"/>
      <c r="I31" s="25"/>
      <c r="J31" s="27"/>
      <c r="Q31" s="77"/>
    </row>
    <row r="32" spans="1:17" hidden="1" outlineLevel="1">
      <c r="A32" s="29"/>
      <c r="B32" s="356"/>
      <c r="C32" s="271"/>
      <c r="D32" s="272"/>
      <c r="E32" s="357"/>
      <c r="F32" s="315"/>
      <c r="G32" s="273"/>
      <c r="I32" s="25"/>
      <c r="J32" s="27"/>
      <c r="Q32" s="77"/>
    </row>
    <row r="33" spans="1:17" hidden="1" outlineLevel="1">
      <c r="A33" s="29"/>
      <c r="B33" s="356"/>
      <c r="C33" s="271"/>
      <c r="D33" s="272"/>
      <c r="E33" s="357"/>
      <c r="F33" s="315"/>
      <c r="G33" s="273"/>
      <c r="I33" s="25"/>
      <c r="J33" s="27"/>
      <c r="Q33" s="77"/>
    </row>
    <row r="34" spans="1:17" hidden="1" outlineLevel="1">
      <c r="A34" s="29"/>
      <c r="B34" s="356"/>
      <c r="C34" s="271"/>
      <c r="D34" s="272"/>
      <c r="E34" s="357"/>
      <c r="F34" s="315"/>
      <c r="G34" s="273"/>
      <c r="I34" s="25"/>
      <c r="J34" s="27"/>
      <c r="Q34" s="77"/>
    </row>
    <row r="35" spans="1:17" ht="14.5" hidden="1" outlineLevel="1">
      <c r="A35" s="29"/>
      <c r="B35" s="207" t="s">
        <v>328</v>
      </c>
      <c r="C35" s="271">
        <f>C24+C25-C30</f>
        <v>0</v>
      </c>
      <c r="D35" s="272"/>
      <c r="E35" s="173" t="s">
        <v>328</v>
      </c>
      <c r="F35" s="315">
        <f>F24+F25-F30</f>
        <v>0</v>
      </c>
      <c r="G35" s="273"/>
      <c r="I35" s="25"/>
      <c r="J35" s="27"/>
      <c r="Q35" s="77"/>
    </row>
    <row r="36" spans="1:17" hidden="1" outlineLevel="1">
      <c r="A36" s="29"/>
      <c r="B36" s="219" t="s">
        <v>329</v>
      </c>
      <c r="C36" s="274">
        <f>F35-C35</f>
        <v>0</v>
      </c>
      <c r="D36" s="277"/>
      <c r="E36" s="176"/>
      <c r="F36" s="275"/>
      <c r="G36" s="276"/>
      <c r="I36" s="25"/>
      <c r="J36" s="27"/>
      <c r="Q36" s="77"/>
    </row>
    <row r="37" spans="1:17" hidden="1" outlineLevel="1">
      <c r="A37" s="29"/>
      <c r="I37" s="25"/>
      <c r="J37" s="27"/>
      <c r="Q37" s="77"/>
    </row>
    <row r="38" spans="1:17" s="1" customFormat="1" ht="15" customHeight="1" collapsed="1">
      <c r="A38" s="6"/>
      <c r="B38" s="25" t="s">
        <v>330</v>
      </c>
      <c r="C38" s="25"/>
      <c r="D38" s="25"/>
      <c r="E38" s="25"/>
      <c r="F38" s="25"/>
      <c r="G38" s="25"/>
      <c r="H38" s="25"/>
      <c r="I38" s="25"/>
      <c r="J38" s="25"/>
      <c r="K38" s="25"/>
      <c r="L38" s="25"/>
      <c r="M38" s="25"/>
      <c r="N38" s="25"/>
      <c r="O38" s="25"/>
      <c r="P38" s="6"/>
      <c r="Q38" s="40"/>
    </row>
    <row r="39" spans="1:17" hidden="1" outlineLevel="1">
      <c r="A39" s="29"/>
      <c r="H39" s="718" t="s">
        <v>295</v>
      </c>
      <c r="I39" s="719"/>
      <c r="J39" s="27"/>
      <c r="Q39" s="77"/>
    </row>
    <row r="40" spans="1:17" ht="40.5" hidden="1" customHeight="1" outlineLevel="1">
      <c r="A40" s="29"/>
      <c r="B40" s="182" t="s">
        <v>331</v>
      </c>
      <c r="C40" s="186" t="s">
        <v>320</v>
      </c>
      <c r="D40" s="186" t="s">
        <v>332</v>
      </c>
      <c r="E40" s="186" t="s">
        <v>333</v>
      </c>
      <c r="F40" s="188" t="s">
        <v>334</v>
      </c>
      <c r="G40" s="183" t="s">
        <v>335</v>
      </c>
      <c r="H40" s="190" t="s">
        <v>336</v>
      </c>
      <c r="I40" s="189" t="s">
        <v>337</v>
      </c>
      <c r="J40" s="27"/>
      <c r="Q40" s="77"/>
    </row>
    <row r="41" spans="1:17" hidden="1" outlineLevel="1">
      <c r="A41" s="29"/>
      <c r="B41" s="269"/>
      <c r="C41" s="438"/>
      <c r="D41" s="438"/>
      <c r="E41" s="358"/>
      <c r="F41" s="475"/>
      <c r="G41" s="359"/>
      <c r="H41" s="342"/>
      <c r="I41" s="342"/>
      <c r="J41" s="27"/>
      <c r="Q41" s="77"/>
    </row>
    <row r="42" spans="1:17" hidden="1" outlineLevel="1">
      <c r="A42" s="29"/>
      <c r="B42" s="270"/>
      <c r="C42" s="439"/>
      <c r="D42" s="439"/>
      <c r="E42" s="360"/>
      <c r="F42" s="476"/>
      <c r="G42" s="361"/>
      <c r="H42" s="342"/>
      <c r="I42" s="342"/>
      <c r="J42" s="27"/>
      <c r="Q42" s="77"/>
    </row>
    <row r="43" spans="1:17" hidden="1" outlineLevel="1">
      <c r="A43" s="29"/>
      <c r="B43" s="33"/>
      <c r="C43" s="34"/>
      <c r="D43" s="35"/>
      <c r="E43" s="35"/>
      <c r="F43" s="36"/>
      <c r="G43" s="35"/>
      <c r="I43" s="25"/>
      <c r="J43" s="27"/>
      <c r="Q43" s="77"/>
    </row>
    <row r="44" spans="1:17" hidden="1" outlineLevel="1">
      <c r="A44" s="29"/>
      <c r="B44" s="33"/>
      <c r="C44" s="34"/>
      <c r="D44" s="35"/>
      <c r="E44" s="35"/>
      <c r="F44" s="36"/>
      <c r="G44" s="35"/>
      <c r="I44" s="25"/>
      <c r="J44" s="27"/>
      <c r="Q44" s="77"/>
    </row>
    <row r="45" spans="1:17" s="1" customFormat="1" ht="15" customHeight="1" collapsed="1">
      <c r="A45" s="6"/>
      <c r="B45" s="25" t="s">
        <v>338</v>
      </c>
      <c r="C45" s="25"/>
      <c r="D45" s="25"/>
      <c r="E45" s="25"/>
      <c r="F45" s="25"/>
      <c r="G45" s="25"/>
      <c r="H45" s="25"/>
      <c r="I45" s="25"/>
      <c r="J45" s="25"/>
      <c r="K45" s="25"/>
      <c r="L45" s="25"/>
      <c r="M45" s="25"/>
      <c r="N45" s="25"/>
      <c r="O45" s="25"/>
      <c r="P45" s="6"/>
      <c r="Q45" s="40"/>
    </row>
    <row r="46" spans="1:17" hidden="1" outlineLevel="1">
      <c r="A46" s="29"/>
      <c r="H46" s="716" t="s">
        <v>295</v>
      </c>
      <c r="I46" s="717"/>
      <c r="J46" s="27"/>
      <c r="Q46" s="77"/>
    </row>
    <row r="47" spans="1:17" ht="41.15" hidden="1" customHeight="1" outlineLevel="1">
      <c r="A47" s="29"/>
      <c r="B47" s="182" t="s">
        <v>331</v>
      </c>
      <c r="C47" s="186" t="s">
        <v>320</v>
      </c>
      <c r="D47" s="186" t="s">
        <v>339</v>
      </c>
      <c r="E47" s="186" t="s">
        <v>333</v>
      </c>
      <c r="F47" s="188" t="s">
        <v>334</v>
      </c>
      <c r="G47" s="183" t="s">
        <v>335</v>
      </c>
      <c r="H47" s="182" t="s">
        <v>340</v>
      </c>
      <c r="I47" s="191" t="s">
        <v>341</v>
      </c>
      <c r="J47" s="27"/>
      <c r="Q47" s="77"/>
    </row>
    <row r="48" spans="1:17" hidden="1" outlineLevel="1">
      <c r="A48" s="29"/>
      <c r="B48" s="269"/>
      <c r="C48" s="438"/>
      <c r="D48" s="438"/>
      <c r="E48" s="358"/>
      <c r="F48" s="475"/>
      <c r="G48" s="359"/>
      <c r="H48" s="342"/>
      <c r="I48" s="342"/>
      <c r="J48" s="27"/>
      <c r="Q48" s="77"/>
    </row>
    <row r="49" spans="1:17" hidden="1" outlineLevel="1">
      <c r="A49" s="29"/>
      <c r="B49" s="270"/>
      <c r="C49" s="439"/>
      <c r="D49" s="439"/>
      <c r="E49" s="360"/>
      <c r="F49" s="476"/>
      <c r="G49" s="361"/>
      <c r="H49" s="342"/>
      <c r="I49" s="342"/>
      <c r="J49" s="27"/>
      <c r="Q49" s="77"/>
    </row>
    <row r="50" spans="1:17" collapsed="1">
      <c r="A50" s="29"/>
      <c r="I50" s="25"/>
      <c r="J50" s="27"/>
      <c r="Q50" s="77"/>
    </row>
    <row r="51" spans="1:17" ht="14.5">
      <c r="A51" s="29"/>
      <c r="B51" s="283" t="s">
        <v>342</v>
      </c>
      <c r="C51" s="283"/>
      <c r="D51" s="283"/>
      <c r="E51" s="284"/>
      <c r="F51" s="285"/>
      <c r="G51" s="285"/>
      <c r="H51" s="285"/>
      <c r="I51" s="285"/>
      <c r="J51" s="285"/>
      <c r="K51" s="285"/>
      <c r="L51" s="285"/>
      <c r="M51" s="284"/>
      <c r="N51" s="284"/>
      <c r="O51" s="284"/>
      <c r="Q51" s="77"/>
    </row>
    <row r="52" spans="1:17">
      <c r="I52" s="25"/>
      <c r="J52" s="27"/>
      <c r="Q52" s="77"/>
    </row>
    <row r="53" spans="1:17" s="1" customFormat="1" ht="15" customHeight="1">
      <c r="A53" s="6"/>
      <c r="B53" s="37" t="s">
        <v>343</v>
      </c>
      <c r="C53" s="37"/>
      <c r="D53" s="37"/>
      <c r="F53" s="38"/>
      <c r="G53" s="38"/>
      <c r="H53" s="38"/>
      <c r="I53" s="38"/>
      <c r="J53" s="38"/>
      <c r="K53" s="38"/>
      <c r="L53" s="38"/>
      <c r="P53" s="6"/>
      <c r="Q53" s="40"/>
    </row>
    <row r="54" spans="1:17" ht="14.5">
      <c r="A54" s="10"/>
      <c r="B54" s="268">
        <f>'C.02 Bank reconciliations'!B8</f>
        <v>1950000</v>
      </c>
      <c r="C54" s="720" t="s">
        <v>344</v>
      </c>
      <c r="D54" s="721"/>
      <c r="E54" s="39"/>
      <c r="F54" s="12"/>
      <c r="G54" s="12"/>
      <c r="H54" s="12"/>
      <c r="I54" s="25"/>
      <c r="J54" s="12"/>
      <c r="K54" s="12"/>
      <c r="L54" s="12"/>
      <c r="M54" s="12"/>
      <c r="N54" s="12"/>
      <c r="O54" s="12"/>
      <c r="Q54" s="77"/>
    </row>
    <row r="55" spans="1:17">
      <c r="A55" s="10"/>
      <c r="B55" s="442"/>
      <c r="C55" s="722" t="s">
        <v>345</v>
      </c>
      <c r="D55" s="723"/>
      <c r="E55" s="12"/>
      <c r="F55" s="12"/>
      <c r="G55" s="12"/>
      <c r="H55" s="12"/>
      <c r="I55" s="25"/>
      <c r="J55" s="12"/>
      <c r="K55" s="12"/>
      <c r="L55" s="12"/>
      <c r="M55" s="12"/>
      <c r="N55" s="12"/>
      <c r="O55" s="12"/>
      <c r="Q55" s="77"/>
    </row>
    <row r="56" spans="1:17">
      <c r="A56" s="10"/>
      <c r="B56" s="13"/>
      <c r="C56" s="13"/>
      <c r="D56" s="12"/>
      <c r="E56" s="12"/>
      <c r="F56" s="12"/>
      <c r="G56" s="12"/>
      <c r="H56" s="12"/>
      <c r="I56" s="25"/>
      <c r="J56" s="12"/>
      <c r="K56" s="12"/>
      <c r="L56" s="12"/>
      <c r="M56" s="12"/>
      <c r="N56" s="12"/>
      <c r="O56" s="12"/>
      <c r="Q56" s="77"/>
    </row>
    <row r="57" spans="1:17" ht="16.5">
      <c r="A57" s="10"/>
      <c r="B57" s="3" t="s">
        <v>346</v>
      </c>
      <c r="C57" s="3"/>
      <c r="D57" s="3"/>
      <c r="E57" s="12"/>
      <c r="F57" s="12"/>
      <c r="G57" s="12"/>
      <c r="H57" s="12"/>
      <c r="I57" s="25"/>
      <c r="J57" s="12"/>
      <c r="K57" s="12"/>
      <c r="L57" s="12"/>
      <c r="M57" s="12"/>
      <c r="N57" s="12"/>
      <c r="O57" s="12"/>
      <c r="Q57" s="77"/>
    </row>
    <row r="58" spans="1:17" ht="14.25" customHeight="1">
      <c r="A58" s="10"/>
      <c r="B58" s="707" t="s">
        <v>548</v>
      </c>
      <c r="C58" s="708"/>
      <c r="D58" s="708"/>
      <c r="E58" s="708"/>
      <c r="F58" s="709"/>
      <c r="G58" s="12"/>
      <c r="H58" s="12"/>
      <c r="I58" s="25"/>
      <c r="J58" s="12"/>
      <c r="K58" s="12"/>
      <c r="L58" s="12"/>
      <c r="M58" s="12"/>
      <c r="N58" s="12"/>
      <c r="O58" s="12"/>
      <c r="Q58" s="77"/>
    </row>
    <row r="59" spans="1:17" ht="14.25" customHeight="1">
      <c r="A59" s="10"/>
      <c r="B59" s="710"/>
      <c r="C59" s="711"/>
      <c r="D59" s="711"/>
      <c r="E59" s="711"/>
      <c r="F59" s="712"/>
      <c r="G59" s="12"/>
      <c r="H59" s="12"/>
      <c r="I59" s="25"/>
      <c r="J59" s="12"/>
      <c r="K59" s="12"/>
      <c r="L59" s="12"/>
      <c r="M59" s="12"/>
      <c r="N59" s="12"/>
      <c r="O59" s="12"/>
      <c r="Q59" s="77"/>
    </row>
    <row r="60" spans="1:17" ht="14.25" customHeight="1">
      <c r="A60" s="10"/>
      <c r="B60" s="713"/>
      <c r="C60" s="714"/>
      <c r="D60" s="714"/>
      <c r="E60" s="714"/>
      <c r="F60" s="715"/>
      <c r="G60" s="12"/>
      <c r="H60" s="12"/>
      <c r="I60" s="25"/>
      <c r="J60" s="12"/>
      <c r="K60" s="12"/>
      <c r="L60" s="12"/>
      <c r="M60" s="12"/>
      <c r="N60" s="12"/>
      <c r="O60" s="12"/>
      <c r="Q60" s="77"/>
    </row>
    <row r="61" spans="1:17" ht="14">
      <c r="A61" s="2"/>
      <c r="B61" s="3"/>
      <c r="C61" s="3"/>
      <c r="D61" s="3"/>
      <c r="E61" s="3"/>
      <c r="F61" s="3"/>
      <c r="G61" s="3"/>
      <c r="H61" s="3"/>
      <c r="I61" s="25"/>
      <c r="J61" s="3"/>
      <c r="K61" s="3"/>
      <c r="L61" s="3"/>
      <c r="M61" s="3"/>
      <c r="N61" s="3"/>
      <c r="O61" s="3"/>
      <c r="Q61" s="77"/>
    </row>
    <row r="62" spans="1:17" s="1" customFormat="1" ht="15" customHeight="1">
      <c r="A62" s="6"/>
      <c r="B62" s="98" t="s">
        <v>347</v>
      </c>
      <c r="C62" s="98"/>
      <c r="D62" s="98"/>
      <c r="E62" s="97"/>
      <c r="F62" s="99"/>
      <c r="G62" s="99"/>
      <c r="H62" s="99"/>
      <c r="I62" s="99"/>
      <c r="J62" s="99"/>
      <c r="K62" s="99"/>
      <c r="L62" s="99"/>
      <c r="M62" s="97"/>
      <c r="N62" s="97"/>
      <c r="O62" s="97"/>
      <c r="P62" s="6"/>
      <c r="Q62" s="40"/>
    </row>
    <row r="63" spans="1:17" ht="14.5">
      <c r="A63" s="2"/>
      <c r="B63" s="90" t="s">
        <v>348</v>
      </c>
      <c r="C63" s="9"/>
      <c r="D63" s="9"/>
      <c r="E63" s="9"/>
      <c r="F63" s="12"/>
      <c r="G63" s="12"/>
      <c r="H63" s="12"/>
      <c r="I63" s="25"/>
      <c r="J63" s="27"/>
      <c r="L63" s="12"/>
      <c r="M63" s="12"/>
      <c r="N63" s="12"/>
      <c r="O63" s="3"/>
      <c r="Q63" s="77"/>
    </row>
    <row r="64" spans="1:17" ht="14.5">
      <c r="A64" s="2"/>
      <c r="B64" s="18" t="s">
        <v>349</v>
      </c>
      <c r="C64" s="9"/>
      <c r="D64" s="9"/>
      <c r="E64" s="9"/>
      <c r="F64" s="12"/>
      <c r="G64" s="12"/>
      <c r="H64" s="12"/>
      <c r="I64" s="25"/>
      <c r="J64" s="18" t="s">
        <v>350</v>
      </c>
      <c r="L64" s="12"/>
      <c r="M64" s="12"/>
      <c r="N64" s="12"/>
      <c r="O64" s="3"/>
      <c r="Q64" s="77"/>
    </row>
    <row r="65" spans="1:17" ht="43.5">
      <c r="A65" s="2"/>
      <c r="B65" s="194" t="s">
        <v>351</v>
      </c>
      <c r="C65" s="195" t="s">
        <v>352</v>
      </c>
      <c r="D65" s="195" t="s">
        <v>353</v>
      </c>
      <c r="E65" s="195" t="s">
        <v>354</v>
      </c>
      <c r="F65" s="188" t="s">
        <v>355</v>
      </c>
      <c r="G65" s="195" t="s">
        <v>356</v>
      </c>
      <c r="H65" s="195" t="s">
        <v>357</v>
      </c>
      <c r="I65" s="186" t="s">
        <v>334</v>
      </c>
      <c r="J65" s="186" t="s">
        <v>339</v>
      </c>
      <c r="K65" s="186" t="s">
        <v>333</v>
      </c>
      <c r="L65" s="196" t="s">
        <v>358</v>
      </c>
      <c r="M65" s="196" t="s">
        <v>359</v>
      </c>
      <c r="N65" s="197" t="s">
        <v>360</v>
      </c>
      <c r="O65" s="198" t="s">
        <v>361</v>
      </c>
      <c r="Q65" s="77"/>
    </row>
    <row r="66" spans="1:17" ht="14">
      <c r="A66" s="2"/>
      <c r="B66" s="348" t="s">
        <v>446</v>
      </c>
      <c r="C66" s="349"/>
      <c r="D66" s="349"/>
      <c r="E66" s="440"/>
      <c r="F66" s="350"/>
      <c r="G66" s="440"/>
      <c r="H66" s="349"/>
      <c r="I66" s="477"/>
      <c r="J66" s="349"/>
      <c r="K66" s="350"/>
      <c r="L66" s="351"/>
      <c r="M66" s="351"/>
      <c r="N66" s="351"/>
      <c r="O66" s="266"/>
      <c r="Q66" s="77"/>
    </row>
    <row r="67" spans="1:17" ht="14">
      <c r="A67" s="2"/>
      <c r="B67" s="348"/>
      <c r="C67" s="349"/>
      <c r="D67" s="349"/>
      <c r="E67" s="440"/>
      <c r="F67" s="350"/>
      <c r="G67" s="440"/>
      <c r="H67" s="349"/>
      <c r="I67" s="477"/>
      <c r="J67" s="349"/>
      <c r="K67" s="350"/>
      <c r="L67" s="351"/>
      <c r="M67" s="351"/>
      <c r="N67" s="351"/>
      <c r="O67" s="266"/>
      <c r="Q67" s="77"/>
    </row>
    <row r="68" spans="1:17" ht="14">
      <c r="A68" s="2"/>
      <c r="B68" s="348"/>
      <c r="C68" s="349"/>
      <c r="D68" s="349"/>
      <c r="E68" s="440"/>
      <c r="F68" s="350"/>
      <c r="G68" s="440"/>
      <c r="H68" s="349"/>
      <c r="I68" s="477"/>
      <c r="J68" s="349"/>
      <c r="K68" s="350"/>
      <c r="L68" s="351"/>
      <c r="M68" s="351"/>
      <c r="N68" s="351"/>
      <c r="O68" s="266"/>
      <c r="Q68" s="77"/>
    </row>
    <row r="69" spans="1:17" ht="14">
      <c r="A69" s="2"/>
      <c r="B69" s="348"/>
      <c r="C69" s="349"/>
      <c r="D69" s="349"/>
      <c r="E69" s="440"/>
      <c r="F69" s="350"/>
      <c r="G69" s="440"/>
      <c r="H69" s="349"/>
      <c r="I69" s="477"/>
      <c r="J69" s="349"/>
      <c r="K69" s="350"/>
      <c r="L69" s="351"/>
      <c r="M69" s="351"/>
      <c r="N69" s="351"/>
      <c r="O69" s="266"/>
      <c r="Q69" s="77"/>
    </row>
    <row r="70" spans="1:17" ht="14">
      <c r="A70" s="2"/>
      <c r="B70" s="352"/>
      <c r="C70" s="353"/>
      <c r="D70" s="353"/>
      <c r="E70" s="441"/>
      <c r="F70" s="354"/>
      <c r="G70" s="441"/>
      <c r="H70" s="353"/>
      <c r="I70" s="478"/>
      <c r="J70" s="353"/>
      <c r="K70" s="354"/>
      <c r="L70" s="355"/>
      <c r="M70" s="355"/>
      <c r="N70" s="355"/>
      <c r="O70" s="267"/>
      <c r="Q70" s="77"/>
    </row>
    <row r="71" spans="1:17" ht="15" customHeight="1">
      <c r="Q71" s="77"/>
    </row>
    <row r="72" spans="1:17" ht="7.5" customHeight="1">
      <c r="A72" s="76"/>
      <c r="B72" s="77"/>
      <c r="C72" s="77"/>
      <c r="D72" s="77"/>
      <c r="E72" s="77"/>
      <c r="F72" s="77"/>
      <c r="G72" s="77"/>
      <c r="H72" s="77"/>
      <c r="I72" s="77"/>
      <c r="J72" s="77"/>
      <c r="K72" s="77"/>
      <c r="L72" s="77"/>
      <c r="M72" s="77"/>
      <c r="N72" s="77"/>
      <c r="O72" s="77"/>
      <c r="P72" s="77"/>
      <c r="Q72" s="77"/>
    </row>
    <row r="73" spans="1:17" s="25" customFormat="1">
      <c r="A73" s="372"/>
    </row>
  </sheetData>
  <sheetProtection autoFilter="0"/>
  <mergeCells count="6">
    <mergeCell ref="B11:F13"/>
    <mergeCell ref="B58:F60"/>
    <mergeCell ref="H46:I46"/>
    <mergeCell ref="H39:I39"/>
    <mergeCell ref="C54:D54"/>
    <mergeCell ref="C55:D55"/>
  </mergeCells>
  <phoneticPr fontId="114" type="noConversion"/>
  <conditionalFormatting sqref="B11">
    <cfRule type="containsBlanks" dxfId="6" priority="8">
      <formula>LEN(TRIM(B11))=0</formula>
    </cfRule>
  </conditionalFormatting>
  <conditionalFormatting sqref="B55 B66:N70">
    <cfRule type="containsBlanks" dxfId="5" priority="11">
      <formula>LEN(TRIM(B55))=0</formula>
    </cfRule>
  </conditionalFormatting>
  <conditionalFormatting sqref="B58">
    <cfRule type="containsBlanks" dxfId="4" priority="7">
      <formula>LEN(TRIM(B58))=0</formula>
    </cfRule>
  </conditionalFormatting>
  <conditionalFormatting sqref="B24:C24 E24:F24 B26:C29 E26:F29 B31:C34 E31:F34">
    <cfRule type="containsBlanks" dxfId="3" priority="10">
      <formula>LEN(TRIM(B24))=0</formula>
    </cfRule>
  </conditionalFormatting>
  <conditionalFormatting sqref="C41:I42">
    <cfRule type="containsBlanks" dxfId="2" priority="2">
      <formula>LEN(TRIM(C41))=0</formula>
    </cfRule>
  </conditionalFormatting>
  <conditionalFormatting sqref="C48:I49">
    <cfRule type="containsBlanks" dxfId="1" priority="1">
      <formula>LEN(TRIM(C48))=0</formula>
    </cfRule>
  </conditionalFormatting>
  <dataValidations count="2">
    <dataValidation type="list" allowBlank="1" showInputMessage="1" sqref="H41:I42 H48:I49" xr:uid="{8DEDF570-E39B-426D-BFCD-80BCDED58171}">
      <formula1>"Y,N"</formula1>
    </dataValidation>
    <dataValidation type="list" allowBlank="1" showInputMessage="1" showErrorMessage="1" sqref="L66:N70" xr:uid="{4E5AC838-FCA1-4BB5-8934-A25D904FBB2F}">
      <formula1>"是,否"</formula1>
    </dataValidation>
  </dataValidations>
  <hyperlinks>
    <hyperlink ref="B4" location="汇总!A1" display="返回汇总页" xr:uid="{F17E7AAE-ECFD-4073-AE3C-D22C110FA6CD}"/>
  </hyperlink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V9"/>
  <sheetViews>
    <sheetView workbookViewId="0"/>
  </sheetViews>
  <sheetFormatPr defaultColWidth="9" defaultRowHeight="14"/>
  <cols>
    <col min="17" max="17" width="13.08203125" bestFit="1" customWidth="1"/>
    <col min="49" max="49" width="12.25" bestFit="1" customWidth="1"/>
    <col min="52" max="52" width="9.08203125" bestFit="1" customWidth="1"/>
    <col min="53" max="53" width="12.25" bestFit="1" customWidth="1"/>
    <col min="56" max="56" width="9.08203125" bestFit="1" customWidth="1"/>
    <col min="65" max="65" width="12.33203125" bestFit="1" customWidth="1"/>
    <col min="68" max="68" width="9.08203125" bestFit="1" customWidth="1"/>
  </cols>
  <sheetData>
    <row r="1" spans="1:100">
      <c r="A1" t="s">
        <v>362</v>
      </c>
      <c r="B1" t="s">
        <v>363</v>
      </c>
      <c r="C1" t="s">
        <v>364</v>
      </c>
      <c r="D1">
        <v>8</v>
      </c>
      <c r="E1">
        <v>1751464339955</v>
      </c>
      <c r="F1" t="s">
        <v>365</v>
      </c>
      <c r="G1" t="s">
        <v>366</v>
      </c>
      <c r="H1">
        <v>0</v>
      </c>
      <c r="I1">
        <v>1751860621568</v>
      </c>
      <c r="J1" t="s">
        <v>367</v>
      </c>
      <c r="K1" t="s">
        <v>368</v>
      </c>
      <c r="L1">
        <v>0</v>
      </c>
      <c r="M1">
        <v>1752834134621</v>
      </c>
      <c r="N1" t="s">
        <v>369</v>
      </c>
      <c r="O1" t="s">
        <v>370</v>
      </c>
      <c r="P1">
        <v>0</v>
      </c>
      <c r="Q1">
        <v>1753068567359</v>
      </c>
      <c r="R1" t="s">
        <v>371</v>
      </c>
      <c r="S1" t="s">
        <v>372</v>
      </c>
      <c r="T1">
        <v>0</v>
      </c>
      <c r="U1">
        <v>1753077658560</v>
      </c>
      <c r="V1" t="s">
        <v>373</v>
      </c>
      <c r="W1" t="s">
        <v>374</v>
      </c>
      <c r="X1">
        <v>0</v>
      </c>
      <c r="Y1">
        <v>1753261287448</v>
      </c>
      <c r="Z1" t="s">
        <v>375</v>
      </c>
      <c r="AA1" t="s">
        <v>376</v>
      </c>
      <c r="AB1">
        <v>0</v>
      </c>
      <c r="AC1">
        <v>1753327233859</v>
      </c>
      <c r="AD1" t="s">
        <v>377</v>
      </c>
      <c r="AE1" t="s">
        <v>378</v>
      </c>
      <c r="AF1">
        <v>0</v>
      </c>
      <c r="AG1">
        <v>1753521120193</v>
      </c>
      <c r="AH1" t="s">
        <v>379</v>
      </c>
      <c r="AI1" t="s">
        <v>380</v>
      </c>
      <c r="AJ1">
        <v>0</v>
      </c>
      <c r="AK1">
        <v>1753770430430</v>
      </c>
      <c r="AL1" t="s">
        <v>381</v>
      </c>
      <c r="AM1" t="s">
        <v>382</v>
      </c>
      <c r="AN1">
        <v>0</v>
      </c>
      <c r="AO1">
        <v>1754012993764</v>
      </c>
      <c r="AP1" t="s">
        <v>383</v>
      </c>
      <c r="AQ1" t="s">
        <v>384</v>
      </c>
      <c r="AR1">
        <v>0</v>
      </c>
      <c r="AS1">
        <v>1754359855401</v>
      </c>
      <c r="AT1" t="s">
        <v>385</v>
      </c>
      <c r="AU1" t="s">
        <v>386</v>
      </c>
      <c r="AV1">
        <v>0</v>
      </c>
      <c r="AW1">
        <v>1754466118431</v>
      </c>
      <c r="AX1" t="s">
        <v>387</v>
      </c>
      <c r="AY1" t="s">
        <v>388</v>
      </c>
      <c r="AZ1">
        <v>0</v>
      </c>
      <c r="BA1">
        <v>1754550754141</v>
      </c>
      <c r="BB1" t="s">
        <v>363</v>
      </c>
      <c r="BC1" t="s">
        <v>364</v>
      </c>
      <c r="BD1">
        <v>0</v>
      </c>
      <c r="BE1">
        <v>1754709799183</v>
      </c>
      <c r="BF1" t="s">
        <v>389</v>
      </c>
      <c r="BG1" t="s">
        <v>390</v>
      </c>
      <c r="BH1">
        <v>0</v>
      </c>
      <c r="BI1">
        <v>1755076525612</v>
      </c>
      <c r="BJ1" t="s">
        <v>391</v>
      </c>
      <c r="BK1" t="s">
        <v>392</v>
      </c>
      <c r="BL1">
        <v>0</v>
      </c>
      <c r="BM1">
        <v>1755243753054</v>
      </c>
      <c r="BN1" t="s">
        <v>393</v>
      </c>
      <c r="BO1" t="s">
        <v>394</v>
      </c>
      <c r="BP1">
        <v>0</v>
      </c>
      <c r="BQ1">
        <v>1755761503360</v>
      </c>
      <c r="BR1" t="s">
        <v>395</v>
      </c>
      <c r="BS1" t="s">
        <v>396</v>
      </c>
      <c r="BT1">
        <v>0</v>
      </c>
      <c r="BU1">
        <v>1756273424843</v>
      </c>
      <c r="BV1" t="s">
        <v>397</v>
      </c>
      <c r="BW1" t="s">
        <v>398</v>
      </c>
      <c r="BX1">
        <v>0</v>
      </c>
      <c r="BY1">
        <v>1756431653582</v>
      </c>
      <c r="BZ1" t="s">
        <v>399</v>
      </c>
      <c r="CA1" t="s">
        <v>400</v>
      </c>
      <c r="CB1">
        <v>0</v>
      </c>
      <c r="CC1">
        <v>1757467743247</v>
      </c>
      <c r="CD1" t="s">
        <v>401</v>
      </c>
      <c r="CE1" t="s">
        <v>402</v>
      </c>
      <c r="CF1">
        <v>0</v>
      </c>
      <c r="CG1">
        <v>1765778698357</v>
      </c>
      <c r="CH1" t="s">
        <v>435</v>
      </c>
      <c r="CI1" t="s">
        <v>436</v>
      </c>
      <c r="CJ1">
        <v>0</v>
      </c>
      <c r="CK1">
        <v>1769001675238</v>
      </c>
      <c r="CL1" t="s">
        <v>437</v>
      </c>
      <c r="CM1" t="s">
        <v>438</v>
      </c>
      <c r="CN1">
        <v>0</v>
      </c>
      <c r="CO1">
        <v>1770866612457</v>
      </c>
      <c r="CP1" t="s">
        <v>458</v>
      </c>
      <c r="CQ1" t="s">
        <v>459</v>
      </c>
      <c r="CR1">
        <v>0</v>
      </c>
      <c r="CS1">
        <v>1774168497236</v>
      </c>
      <c r="CT1" t="s">
        <v>550</v>
      </c>
      <c r="CU1" t="s">
        <v>551</v>
      </c>
      <c r="CV1">
        <v>0</v>
      </c>
    </row>
    <row r="2" spans="1:100">
      <c r="A2">
        <v>1749106372694</v>
      </c>
      <c r="B2" t="s">
        <v>403</v>
      </c>
      <c r="C2" t="s">
        <v>404</v>
      </c>
      <c r="D2" t="s">
        <v>405</v>
      </c>
    </row>
    <row r="3" spans="1:100">
      <c r="A3">
        <v>1749106372700</v>
      </c>
      <c r="B3" t="s">
        <v>403</v>
      </c>
      <c r="C3" t="s">
        <v>406</v>
      </c>
      <c r="D3" t="s">
        <v>407</v>
      </c>
    </row>
    <row r="4" spans="1:100">
      <c r="A4">
        <v>1749106372700</v>
      </c>
      <c r="B4" t="s">
        <v>403</v>
      </c>
      <c r="C4" t="s">
        <v>408</v>
      </c>
      <c r="D4" t="s">
        <v>409</v>
      </c>
    </row>
    <row r="5" spans="1:100">
      <c r="A5">
        <v>1749106372700</v>
      </c>
      <c r="B5" t="s">
        <v>403</v>
      </c>
      <c r="C5" t="s">
        <v>410</v>
      </c>
      <c r="D5" t="s">
        <v>411</v>
      </c>
    </row>
    <row r="6" spans="1:100">
      <c r="A6">
        <v>1749106372700</v>
      </c>
      <c r="B6" t="s">
        <v>403</v>
      </c>
      <c r="C6" t="s">
        <v>412</v>
      </c>
      <c r="D6" t="s">
        <v>413</v>
      </c>
    </row>
    <row r="7" spans="1:100">
      <c r="A7">
        <v>1749106372844</v>
      </c>
      <c r="B7" t="s">
        <v>403</v>
      </c>
      <c r="C7" t="s">
        <v>404</v>
      </c>
      <c r="D7" t="s">
        <v>414</v>
      </c>
    </row>
    <row r="8" spans="1:100">
      <c r="A8">
        <v>1749106372850</v>
      </c>
      <c r="B8" t="s">
        <v>403</v>
      </c>
      <c r="C8" t="s">
        <v>406</v>
      </c>
      <c r="D8" t="s">
        <v>415</v>
      </c>
    </row>
    <row r="9" spans="1:100">
      <c r="A9">
        <v>1749106372854</v>
      </c>
      <c r="B9" t="s">
        <v>403</v>
      </c>
      <c r="C9" t="s">
        <v>408</v>
      </c>
      <c r="D9" t="s">
        <v>416</v>
      </c>
    </row>
  </sheetData>
  <phoneticPr fontId="114"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V1"/>
  <sheetViews>
    <sheetView workbookViewId="0"/>
  </sheetViews>
  <sheetFormatPr defaultColWidth="9" defaultRowHeight="14"/>
  <cols>
    <col min="17" max="17" width="13.08203125" bestFit="1" customWidth="1"/>
    <col min="49" max="49" width="12.25" bestFit="1" customWidth="1"/>
    <col min="52" max="52" width="9.08203125" bestFit="1" customWidth="1"/>
    <col min="53" max="53" width="12.25" bestFit="1" customWidth="1"/>
    <col min="56" max="56" width="9.08203125" bestFit="1" customWidth="1"/>
    <col min="65" max="65" width="12.33203125" bestFit="1" customWidth="1"/>
    <col min="68" max="68" width="9.08203125" bestFit="1" customWidth="1"/>
  </cols>
  <sheetData>
    <row r="1" spans="1:100">
      <c r="A1" t="s">
        <v>417</v>
      </c>
      <c r="B1" t="s">
        <v>363</v>
      </c>
      <c r="C1" t="s">
        <v>364</v>
      </c>
      <c r="D1">
        <v>0</v>
      </c>
      <c r="E1">
        <v>1751464340324</v>
      </c>
      <c r="F1" t="s">
        <v>365</v>
      </c>
      <c r="G1" t="s">
        <v>366</v>
      </c>
      <c r="H1">
        <v>0</v>
      </c>
      <c r="I1">
        <v>1751860621713</v>
      </c>
      <c r="J1" t="s">
        <v>367</v>
      </c>
      <c r="K1" t="s">
        <v>368</v>
      </c>
      <c r="L1">
        <v>0</v>
      </c>
      <c r="M1">
        <v>1752834134751</v>
      </c>
      <c r="N1" t="s">
        <v>369</v>
      </c>
      <c r="O1" t="s">
        <v>370</v>
      </c>
      <c r="P1">
        <v>0</v>
      </c>
      <c r="Q1">
        <v>1753068567868</v>
      </c>
      <c r="R1" t="s">
        <v>371</v>
      </c>
      <c r="S1" t="s">
        <v>372</v>
      </c>
      <c r="T1">
        <v>0</v>
      </c>
      <c r="U1">
        <v>1753077659548</v>
      </c>
      <c r="V1" t="s">
        <v>373</v>
      </c>
      <c r="W1" t="s">
        <v>374</v>
      </c>
      <c r="X1">
        <v>0</v>
      </c>
      <c r="Y1">
        <v>1753261287755</v>
      </c>
      <c r="Z1" t="s">
        <v>375</v>
      </c>
      <c r="AA1" t="s">
        <v>376</v>
      </c>
      <c r="AB1">
        <v>0</v>
      </c>
      <c r="AC1">
        <v>1753327234296</v>
      </c>
      <c r="AD1" t="s">
        <v>377</v>
      </c>
      <c r="AE1" t="s">
        <v>378</v>
      </c>
      <c r="AF1">
        <v>0</v>
      </c>
      <c r="AG1">
        <v>1753521120283</v>
      </c>
      <c r="AH1" t="s">
        <v>379</v>
      </c>
      <c r="AI1" t="s">
        <v>380</v>
      </c>
      <c r="AJ1">
        <v>0</v>
      </c>
      <c r="AK1">
        <v>1753770431523</v>
      </c>
      <c r="AL1" t="s">
        <v>381</v>
      </c>
      <c r="AM1" t="s">
        <v>382</v>
      </c>
      <c r="AN1">
        <v>0</v>
      </c>
      <c r="AO1">
        <v>1754012994953</v>
      </c>
      <c r="AP1" t="s">
        <v>383</v>
      </c>
      <c r="AQ1" t="s">
        <v>384</v>
      </c>
      <c r="AR1">
        <v>0</v>
      </c>
      <c r="AS1">
        <v>1754359855643</v>
      </c>
      <c r="AT1" t="s">
        <v>385</v>
      </c>
      <c r="AU1" t="s">
        <v>386</v>
      </c>
      <c r="AV1">
        <v>0</v>
      </c>
      <c r="AW1">
        <v>1754466118503</v>
      </c>
      <c r="AX1" t="s">
        <v>387</v>
      </c>
      <c r="AY1" t="s">
        <v>388</v>
      </c>
      <c r="AZ1">
        <v>0</v>
      </c>
      <c r="BA1">
        <v>1754550754951</v>
      </c>
      <c r="BB1" t="s">
        <v>363</v>
      </c>
      <c r="BC1" t="s">
        <v>364</v>
      </c>
      <c r="BD1">
        <v>0</v>
      </c>
      <c r="BE1">
        <v>1754709799333</v>
      </c>
      <c r="BF1" t="s">
        <v>389</v>
      </c>
      <c r="BG1" t="s">
        <v>390</v>
      </c>
      <c r="BH1">
        <v>0</v>
      </c>
      <c r="BI1">
        <v>1755076525699</v>
      </c>
      <c r="BJ1" t="s">
        <v>391</v>
      </c>
      <c r="BK1" t="s">
        <v>392</v>
      </c>
      <c r="BL1">
        <v>0</v>
      </c>
      <c r="BM1">
        <v>1755243753142</v>
      </c>
      <c r="BN1" t="s">
        <v>393</v>
      </c>
      <c r="BO1" t="s">
        <v>394</v>
      </c>
      <c r="BP1">
        <v>0</v>
      </c>
      <c r="BQ1">
        <v>1755761503365</v>
      </c>
      <c r="BR1" t="s">
        <v>395</v>
      </c>
      <c r="BS1" t="s">
        <v>396</v>
      </c>
      <c r="BT1">
        <v>0</v>
      </c>
      <c r="BU1">
        <v>1756273424871</v>
      </c>
      <c r="BV1" t="s">
        <v>397</v>
      </c>
      <c r="BW1" t="s">
        <v>398</v>
      </c>
      <c r="BX1">
        <v>0</v>
      </c>
      <c r="BY1">
        <v>1756431653662</v>
      </c>
      <c r="BZ1" t="s">
        <v>399</v>
      </c>
      <c r="CA1" t="s">
        <v>400</v>
      </c>
      <c r="CB1">
        <v>0</v>
      </c>
      <c r="CC1">
        <v>1757467743263</v>
      </c>
      <c r="CD1" t="s">
        <v>401</v>
      </c>
      <c r="CE1" t="s">
        <v>402</v>
      </c>
      <c r="CF1">
        <v>0</v>
      </c>
      <c r="CG1">
        <v>1765778698374</v>
      </c>
      <c r="CH1" t="s">
        <v>435</v>
      </c>
      <c r="CI1" t="s">
        <v>436</v>
      </c>
      <c r="CJ1">
        <v>0</v>
      </c>
      <c r="CK1">
        <v>1769001675241</v>
      </c>
      <c r="CL1" t="s">
        <v>437</v>
      </c>
      <c r="CM1" t="s">
        <v>438</v>
      </c>
      <c r="CN1">
        <v>0</v>
      </c>
      <c r="CO1">
        <v>1770866612499</v>
      </c>
      <c r="CP1" t="s">
        <v>458</v>
      </c>
      <c r="CQ1" t="s">
        <v>459</v>
      </c>
      <c r="CR1">
        <v>0</v>
      </c>
      <c r="CS1">
        <v>1774168497288</v>
      </c>
      <c r="CT1" t="s">
        <v>550</v>
      </c>
      <c r="CU1" t="s">
        <v>551</v>
      </c>
      <c r="CV1">
        <v>0</v>
      </c>
    </row>
  </sheetData>
  <phoneticPr fontId="114"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V1"/>
  <sheetViews>
    <sheetView workbookViewId="0"/>
  </sheetViews>
  <sheetFormatPr defaultColWidth="9" defaultRowHeight="14"/>
  <cols>
    <col min="17" max="17" width="13.08203125" bestFit="1" customWidth="1"/>
    <col min="49" max="49" width="12.25" bestFit="1" customWidth="1"/>
    <col min="52" max="52" width="9.08203125" bestFit="1" customWidth="1"/>
    <col min="53" max="53" width="12.25" bestFit="1" customWidth="1"/>
    <col min="56" max="56" width="9.08203125" bestFit="1" customWidth="1"/>
    <col min="65" max="65" width="12.33203125" bestFit="1" customWidth="1"/>
    <col min="68" max="68" width="9.08203125" bestFit="1" customWidth="1"/>
  </cols>
  <sheetData>
    <row r="1" spans="1:100">
      <c r="A1" t="s">
        <v>418</v>
      </c>
      <c r="B1" t="s">
        <v>363</v>
      </c>
      <c r="C1" t="s">
        <v>364</v>
      </c>
      <c r="D1">
        <v>0</v>
      </c>
      <c r="E1">
        <v>1751464340332</v>
      </c>
      <c r="F1" t="s">
        <v>365</v>
      </c>
      <c r="G1" t="s">
        <v>366</v>
      </c>
      <c r="H1">
        <v>0</v>
      </c>
      <c r="I1">
        <v>1751860621717</v>
      </c>
      <c r="J1" t="s">
        <v>367</v>
      </c>
      <c r="K1" t="s">
        <v>368</v>
      </c>
      <c r="L1">
        <v>0</v>
      </c>
      <c r="M1">
        <v>1752834134787</v>
      </c>
      <c r="N1" t="s">
        <v>369</v>
      </c>
      <c r="O1" t="s">
        <v>370</v>
      </c>
      <c r="P1">
        <v>0</v>
      </c>
      <c r="Q1">
        <v>1753068567878</v>
      </c>
      <c r="R1" t="s">
        <v>371</v>
      </c>
      <c r="S1" t="s">
        <v>372</v>
      </c>
      <c r="T1">
        <v>0</v>
      </c>
      <c r="U1">
        <v>1753077659559</v>
      </c>
      <c r="V1" t="s">
        <v>373</v>
      </c>
      <c r="W1" t="s">
        <v>374</v>
      </c>
      <c r="X1">
        <v>0</v>
      </c>
      <c r="Y1">
        <v>1753261287771</v>
      </c>
      <c r="Z1" t="s">
        <v>375</v>
      </c>
      <c r="AA1" t="s">
        <v>376</v>
      </c>
      <c r="AB1">
        <v>0</v>
      </c>
      <c r="AC1">
        <v>1753327234302</v>
      </c>
      <c r="AD1" t="s">
        <v>377</v>
      </c>
      <c r="AE1" t="s">
        <v>378</v>
      </c>
      <c r="AF1">
        <v>0</v>
      </c>
      <c r="AG1">
        <v>1753521120289</v>
      </c>
      <c r="AH1" t="s">
        <v>379</v>
      </c>
      <c r="AI1" t="s">
        <v>380</v>
      </c>
      <c r="AJ1">
        <v>0</v>
      </c>
      <c r="AK1">
        <v>1753770431541</v>
      </c>
      <c r="AL1" t="s">
        <v>381</v>
      </c>
      <c r="AM1" t="s">
        <v>382</v>
      </c>
      <c r="AN1">
        <v>0</v>
      </c>
      <c r="AO1">
        <v>1754012994970</v>
      </c>
      <c r="AP1" t="s">
        <v>383</v>
      </c>
      <c r="AQ1" t="s">
        <v>384</v>
      </c>
      <c r="AR1">
        <v>0</v>
      </c>
      <c r="AS1">
        <v>1754359855652</v>
      </c>
      <c r="AT1" t="s">
        <v>385</v>
      </c>
      <c r="AU1" t="s">
        <v>386</v>
      </c>
      <c r="AV1">
        <v>0</v>
      </c>
      <c r="AW1">
        <v>1754466118551</v>
      </c>
      <c r="AX1" t="s">
        <v>387</v>
      </c>
      <c r="AY1" t="s">
        <v>388</v>
      </c>
      <c r="AZ1">
        <v>0</v>
      </c>
      <c r="BA1">
        <v>1754550754102</v>
      </c>
      <c r="BB1" t="s">
        <v>363</v>
      </c>
      <c r="BC1" t="s">
        <v>364</v>
      </c>
      <c r="BD1">
        <v>0</v>
      </c>
      <c r="BE1">
        <v>1754709799941</v>
      </c>
      <c r="BF1" t="s">
        <v>389</v>
      </c>
      <c r="BG1" t="s">
        <v>390</v>
      </c>
      <c r="BH1">
        <v>0</v>
      </c>
      <c r="BI1">
        <v>1755076526111</v>
      </c>
      <c r="BJ1" t="s">
        <v>391</v>
      </c>
      <c r="BK1" t="s">
        <v>392</v>
      </c>
      <c r="BL1">
        <v>0</v>
      </c>
      <c r="BM1">
        <v>1755243753257</v>
      </c>
      <c r="BN1" t="s">
        <v>393</v>
      </c>
      <c r="BO1" t="s">
        <v>394</v>
      </c>
      <c r="BP1">
        <v>0</v>
      </c>
      <c r="BQ1">
        <v>1755761503383</v>
      </c>
      <c r="BR1" t="s">
        <v>395</v>
      </c>
      <c r="BS1" t="s">
        <v>396</v>
      </c>
      <c r="BT1">
        <v>0</v>
      </c>
      <c r="BU1">
        <v>1756273424897</v>
      </c>
      <c r="BV1" t="s">
        <v>397</v>
      </c>
      <c r="BW1" t="s">
        <v>398</v>
      </c>
      <c r="BX1">
        <v>0</v>
      </c>
      <c r="BY1">
        <v>1756431654263</v>
      </c>
      <c r="BZ1" t="s">
        <v>399</v>
      </c>
      <c r="CA1" t="s">
        <v>400</v>
      </c>
      <c r="CB1">
        <v>0</v>
      </c>
      <c r="CC1">
        <v>1757467743278</v>
      </c>
      <c r="CD1" t="s">
        <v>401</v>
      </c>
      <c r="CE1" t="s">
        <v>402</v>
      </c>
      <c r="CF1">
        <v>0</v>
      </c>
      <c r="CG1">
        <v>1765778698385</v>
      </c>
      <c r="CH1" t="s">
        <v>435</v>
      </c>
      <c r="CI1" t="s">
        <v>436</v>
      </c>
      <c r="CJ1">
        <v>0</v>
      </c>
      <c r="CK1">
        <v>1769001675242</v>
      </c>
      <c r="CL1" t="s">
        <v>437</v>
      </c>
      <c r="CM1" t="s">
        <v>438</v>
      </c>
      <c r="CN1">
        <v>0</v>
      </c>
      <c r="CO1">
        <v>1770866612545</v>
      </c>
      <c r="CP1" t="s">
        <v>458</v>
      </c>
      <c r="CQ1" t="s">
        <v>459</v>
      </c>
      <c r="CR1">
        <v>0</v>
      </c>
      <c r="CS1">
        <v>1774168497342</v>
      </c>
      <c r="CT1" t="s">
        <v>550</v>
      </c>
      <c r="CU1" t="s">
        <v>551</v>
      </c>
      <c r="CV1">
        <v>0</v>
      </c>
    </row>
  </sheetData>
  <phoneticPr fontId="114"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V1"/>
  <sheetViews>
    <sheetView workbookViewId="0"/>
  </sheetViews>
  <sheetFormatPr defaultColWidth="9" defaultRowHeight="14"/>
  <cols>
    <col min="17" max="17" width="13.08203125" bestFit="1" customWidth="1"/>
    <col min="49" max="49" width="12.25" bestFit="1" customWidth="1"/>
    <col min="52" max="52" width="9.08203125" bestFit="1" customWidth="1"/>
    <col min="53" max="53" width="12.25" bestFit="1" customWidth="1"/>
    <col min="56" max="56" width="9.08203125" bestFit="1" customWidth="1"/>
    <col min="65" max="65" width="12.33203125" bestFit="1" customWidth="1"/>
    <col min="68" max="68" width="9.08203125" bestFit="1" customWidth="1"/>
  </cols>
  <sheetData>
    <row r="1" spans="1:100">
      <c r="A1" t="s">
        <v>419</v>
      </c>
      <c r="B1" t="s">
        <v>363</v>
      </c>
      <c r="C1" t="s">
        <v>364</v>
      </c>
      <c r="D1">
        <v>0</v>
      </c>
      <c r="E1">
        <v>1751464340337</v>
      </c>
      <c r="F1" t="s">
        <v>365</v>
      </c>
      <c r="G1" t="s">
        <v>366</v>
      </c>
      <c r="H1">
        <v>0</v>
      </c>
      <c r="I1">
        <v>1751860621724</v>
      </c>
      <c r="J1" t="s">
        <v>367</v>
      </c>
      <c r="K1" t="s">
        <v>368</v>
      </c>
      <c r="L1">
        <v>0</v>
      </c>
      <c r="M1">
        <v>1752834134844</v>
      </c>
      <c r="N1" t="s">
        <v>369</v>
      </c>
      <c r="O1" t="s">
        <v>370</v>
      </c>
      <c r="P1">
        <v>0</v>
      </c>
      <c r="Q1">
        <v>1753068567895</v>
      </c>
      <c r="R1" t="s">
        <v>371</v>
      </c>
      <c r="S1" t="s">
        <v>372</v>
      </c>
      <c r="T1">
        <v>0</v>
      </c>
      <c r="U1">
        <v>1753077659566</v>
      </c>
      <c r="V1" t="s">
        <v>373</v>
      </c>
      <c r="W1" t="s">
        <v>374</v>
      </c>
      <c r="X1">
        <v>0</v>
      </c>
      <c r="Y1">
        <v>1753261287783</v>
      </c>
      <c r="Z1" t="s">
        <v>375</v>
      </c>
      <c r="AA1" t="s">
        <v>376</v>
      </c>
      <c r="AB1">
        <v>0</v>
      </c>
      <c r="AC1">
        <v>1753327234307</v>
      </c>
      <c r="AD1" t="s">
        <v>377</v>
      </c>
      <c r="AE1" t="s">
        <v>378</v>
      </c>
      <c r="AF1">
        <v>0</v>
      </c>
      <c r="AG1">
        <v>1753521120298</v>
      </c>
      <c r="AH1" t="s">
        <v>379</v>
      </c>
      <c r="AI1" t="s">
        <v>380</v>
      </c>
      <c r="AJ1">
        <v>0</v>
      </c>
      <c r="AK1">
        <v>1753770431552</v>
      </c>
      <c r="AL1" t="s">
        <v>381</v>
      </c>
      <c r="AM1" t="s">
        <v>382</v>
      </c>
      <c r="AN1">
        <v>0</v>
      </c>
      <c r="AO1">
        <v>1754012994982</v>
      </c>
      <c r="AP1" t="s">
        <v>383</v>
      </c>
      <c r="AQ1" t="s">
        <v>384</v>
      </c>
      <c r="AR1">
        <v>0</v>
      </c>
      <c r="AS1">
        <v>1754359855678</v>
      </c>
      <c r="AT1" t="s">
        <v>385</v>
      </c>
      <c r="AU1" t="s">
        <v>386</v>
      </c>
      <c r="AV1">
        <v>0</v>
      </c>
      <c r="AW1">
        <v>1754466118600</v>
      </c>
      <c r="AX1" t="s">
        <v>387</v>
      </c>
      <c r="AY1" t="s">
        <v>388</v>
      </c>
      <c r="AZ1">
        <v>0</v>
      </c>
      <c r="BA1">
        <v>1754550755287</v>
      </c>
      <c r="BB1" t="s">
        <v>363</v>
      </c>
      <c r="BC1" t="s">
        <v>364</v>
      </c>
      <c r="BD1">
        <v>0</v>
      </c>
      <c r="BE1">
        <v>1754709799951</v>
      </c>
      <c r="BF1" t="s">
        <v>389</v>
      </c>
      <c r="BG1" t="s">
        <v>390</v>
      </c>
      <c r="BH1">
        <v>0</v>
      </c>
      <c r="BI1">
        <v>1755076526124</v>
      </c>
      <c r="BJ1" t="s">
        <v>391</v>
      </c>
      <c r="BK1" t="s">
        <v>392</v>
      </c>
      <c r="BL1">
        <v>0</v>
      </c>
      <c r="BM1">
        <v>1755243753321</v>
      </c>
      <c r="BN1" t="s">
        <v>393</v>
      </c>
      <c r="BO1" t="s">
        <v>394</v>
      </c>
      <c r="BP1">
        <v>0</v>
      </c>
      <c r="BQ1">
        <v>1755761503402</v>
      </c>
      <c r="BR1" t="s">
        <v>395</v>
      </c>
      <c r="BS1" t="s">
        <v>396</v>
      </c>
      <c r="BT1">
        <v>0</v>
      </c>
      <c r="BU1">
        <v>1756273424921</v>
      </c>
      <c r="BV1" t="s">
        <v>397</v>
      </c>
      <c r="BW1" t="s">
        <v>398</v>
      </c>
      <c r="BX1">
        <v>0</v>
      </c>
      <c r="BY1">
        <v>1756431654276</v>
      </c>
      <c r="BZ1" t="s">
        <v>399</v>
      </c>
      <c r="CA1" t="s">
        <v>400</v>
      </c>
      <c r="CB1">
        <v>0</v>
      </c>
      <c r="CC1">
        <v>1757467743294</v>
      </c>
      <c r="CD1" t="s">
        <v>401</v>
      </c>
      <c r="CE1" t="s">
        <v>402</v>
      </c>
      <c r="CF1">
        <v>0</v>
      </c>
      <c r="CG1">
        <v>1765778698391</v>
      </c>
      <c r="CH1" t="s">
        <v>435</v>
      </c>
      <c r="CI1" t="s">
        <v>436</v>
      </c>
      <c r="CJ1">
        <v>0</v>
      </c>
      <c r="CK1">
        <v>1769001675244</v>
      </c>
      <c r="CL1" t="s">
        <v>437</v>
      </c>
      <c r="CM1" t="s">
        <v>438</v>
      </c>
      <c r="CN1">
        <v>0</v>
      </c>
      <c r="CO1">
        <v>1770866612585</v>
      </c>
      <c r="CP1" t="s">
        <v>458</v>
      </c>
      <c r="CQ1" t="s">
        <v>459</v>
      </c>
      <c r="CR1">
        <v>0</v>
      </c>
      <c r="CS1">
        <v>1774168497391</v>
      </c>
      <c r="CT1" t="s">
        <v>550</v>
      </c>
      <c r="CU1" t="s">
        <v>551</v>
      </c>
      <c r="CV1">
        <v>0</v>
      </c>
    </row>
  </sheetData>
  <phoneticPr fontId="114"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S52"/>
  <sheetViews>
    <sheetView showGridLines="0" zoomScale="70" zoomScaleNormal="70" workbookViewId="0">
      <selection activeCell="O63" sqref="O63"/>
    </sheetView>
  </sheetViews>
  <sheetFormatPr defaultColWidth="8.25" defaultRowHeight="14"/>
  <cols>
    <col min="1" max="1" width="2.58203125" style="2" customWidth="1"/>
    <col min="2" max="15" width="17.75" style="3" customWidth="1"/>
    <col min="16" max="16" width="7.25" style="3" bestFit="1" customWidth="1"/>
    <col min="17" max="17" width="2.58203125" style="3" customWidth="1"/>
    <col min="18" max="18" width="1.58203125" style="3" customWidth="1"/>
    <col min="19" max="16384" width="8.25" style="3"/>
  </cols>
  <sheetData>
    <row r="1" spans="1:19" s="1" customFormat="1" ht="50.15" customHeight="1">
      <c r="A1" s="225" t="s">
        <v>421</v>
      </c>
      <c r="B1" s="373" t="s">
        <v>41</v>
      </c>
      <c r="C1" s="374"/>
      <c r="D1" s="375"/>
      <c r="E1" s="375"/>
      <c r="F1" s="375"/>
      <c r="G1" s="375"/>
      <c r="H1" s="375"/>
      <c r="I1" s="375"/>
      <c r="J1" s="375"/>
      <c r="K1" s="376"/>
      <c r="L1" s="375"/>
      <c r="M1" s="375"/>
      <c r="N1" s="375"/>
      <c r="O1" s="375"/>
      <c r="P1" s="282"/>
      <c r="Q1" s="394"/>
      <c r="R1" s="395"/>
      <c r="S1" s="394"/>
    </row>
    <row r="2" spans="1:19" s="1" customFormat="1" ht="30" customHeight="1">
      <c r="A2" s="6"/>
      <c r="B2" s="217" t="s">
        <v>422</v>
      </c>
      <c r="C2" s="7"/>
      <c r="D2" s="7"/>
      <c r="E2" s="7"/>
      <c r="F2" s="7"/>
      <c r="G2" s="7"/>
      <c r="H2" s="7"/>
      <c r="I2" s="7"/>
      <c r="J2" s="7"/>
      <c r="K2" s="7"/>
      <c r="L2" s="7"/>
      <c r="M2" s="7"/>
      <c r="N2" s="7"/>
      <c r="O2" s="7"/>
      <c r="P2" s="22"/>
      <c r="Q2" s="6"/>
      <c r="R2" s="395"/>
    </row>
    <row r="3" spans="1:19">
      <c r="A3" s="8"/>
      <c r="B3" s="9"/>
      <c r="C3" s="9"/>
      <c r="D3" s="9"/>
      <c r="E3" s="9"/>
      <c r="F3" s="9"/>
      <c r="G3" s="9"/>
      <c r="H3" s="9"/>
      <c r="I3" s="9"/>
      <c r="J3" s="9"/>
      <c r="K3" s="9"/>
      <c r="L3" s="9"/>
      <c r="M3" s="9"/>
      <c r="N3" s="9"/>
      <c r="O3" s="9"/>
      <c r="P3" s="6"/>
      <c r="Q3" s="6"/>
      <c r="R3" s="395"/>
    </row>
    <row r="4" spans="1:19" ht="14.5">
      <c r="A4" s="8"/>
      <c r="B4" s="143" t="s">
        <v>54</v>
      </c>
      <c r="C4" s="9"/>
      <c r="D4" s="9"/>
      <c r="E4" s="9"/>
      <c r="F4" s="9"/>
      <c r="G4" s="9"/>
      <c r="H4" s="9"/>
      <c r="I4" s="9"/>
      <c r="J4" s="9"/>
      <c r="K4" s="9"/>
      <c r="L4" s="9"/>
      <c r="M4" s="9"/>
      <c r="N4" s="9"/>
      <c r="O4" s="9"/>
      <c r="P4" s="6"/>
      <c r="Q4" s="6"/>
      <c r="R4" s="395"/>
    </row>
    <row r="5" spans="1:19">
      <c r="A5" s="8"/>
      <c r="B5" s="9"/>
      <c r="C5" s="9"/>
      <c r="D5" s="9"/>
      <c r="E5" s="9"/>
      <c r="F5" s="9"/>
      <c r="G5" s="9"/>
      <c r="H5" s="9"/>
      <c r="I5" s="9"/>
      <c r="J5" s="9"/>
      <c r="K5" s="9"/>
      <c r="L5" s="9"/>
      <c r="M5" s="9"/>
      <c r="N5" s="9"/>
      <c r="O5" s="9"/>
      <c r="P5" s="6"/>
      <c r="Q5" s="6"/>
      <c r="R5" s="395"/>
    </row>
    <row r="6" spans="1:19" ht="14.5">
      <c r="A6" s="10"/>
      <c r="B6" s="11" t="s">
        <v>423</v>
      </c>
      <c r="C6" s="12"/>
      <c r="D6" s="12"/>
      <c r="E6" s="12"/>
      <c r="F6" s="12"/>
      <c r="G6" s="12"/>
      <c r="H6" s="12"/>
      <c r="I6" s="12"/>
      <c r="J6" s="12"/>
      <c r="K6" s="12"/>
      <c r="L6" s="12"/>
      <c r="M6" s="12"/>
      <c r="N6" s="12"/>
      <c r="O6" s="12"/>
      <c r="P6" s="6"/>
      <c r="Q6" s="6"/>
      <c r="R6" s="395"/>
    </row>
    <row r="7" spans="1:19" ht="14.5">
      <c r="A7" s="10"/>
      <c r="B7" s="280">
        <f>MIN('C.00 Lead'!$D$15,'C.00 Lead'!$D$16)</f>
        <v>1950000</v>
      </c>
      <c r="C7" s="192" t="s">
        <v>424</v>
      </c>
      <c r="D7" s="193"/>
      <c r="E7" s="12"/>
      <c r="F7" s="12"/>
      <c r="G7" s="12"/>
      <c r="H7" s="12"/>
      <c r="I7" s="12"/>
      <c r="J7" s="12"/>
      <c r="K7" s="12"/>
      <c r="L7" s="12"/>
      <c r="M7" s="12"/>
      <c r="N7" s="12"/>
      <c r="O7" s="12"/>
      <c r="P7" s="6"/>
      <c r="Q7" s="6"/>
      <c r="R7" s="395"/>
    </row>
    <row r="8" spans="1:19" ht="14.25" customHeight="1">
      <c r="A8" s="10"/>
      <c r="B8" s="479" t="s">
        <v>449</v>
      </c>
      <c r="C8" s="724" t="s">
        <v>345</v>
      </c>
      <c r="D8" s="725" t="s">
        <v>425</v>
      </c>
      <c r="E8" s="12"/>
      <c r="F8" s="12"/>
      <c r="G8" s="12"/>
      <c r="H8" s="12"/>
      <c r="I8" s="12"/>
      <c r="J8" s="12"/>
      <c r="K8" s="12"/>
      <c r="L8" s="12"/>
      <c r="M8" s="12"/>
      <c r="N8" s="12"/>
      <c r="O8" s="12"/>
      <c r="P8" s="6"/>
      <c r="Q8" s="6"/>
      <c r="R8" s="395"/>
    </row>
    <row r="9" spans="1:19">
      <c r="A9" s="10"/>
      <c r="B9" s="13"/>
      <c r="C9" s="13"/>
      <c r="D9" s="14"/>
      <c r="E9" s="12"/>
      <c r="F9" s="12"/>
      <c r="G9" s="12"/>
      <c r="H9" s="12"/>
      <c r="I9" s="12"/>
      <c r="J9" s="12"/>
      <c r="K9" s="12"/>
      <c r="L9" s="12"/>
      <c r="M9" s="12"/>
      <c r="N9" s="12"/>
      <c r="O9" s="12"/>
      <c r="P9" s="6"/>
      <c r="Q9" s="6"/>
      <c r="R9" s="395"/>
    </row>
    <row r="10" spans="1:19" ht="14.5">
      <c r="A10" s="10"/>
      <c r="B10" s="42" t="s">
        <v>426</v>
      </c>
      <c r="E10" s="12"/>
      <c r="F10" s="9"/>
      <c r="G10" s="12"/>
      <c r="H10" s="12"/>
      <c r="I10" s="12"/>
      <c r="J10" s="12"/>
      <c r="K10" s="12"/>
      <c r="L10" s="12"/>
      <c r="M10" s="12"/>
      <c r="N10" s="12"/>
      <c r="O10" s="12"/>
      <c r="P10" s="6"/>
      <c r="Q10" s="6"/>
      <c r="R10" s="395"/>
    </row>
    <row r="11" spans="1:19">
      <c r="A11" s="10"/>
      <c r="B11" s="698" t="s">
        <v>450</v>
      </c>
      <c r="C11" s="699"/>
      <c r="D11" s="699"/>
      <c r="E11" s="699"/>
      <c r="F11" s="700"/>
      <c r="G11" s="12"/>
      <c r="H11" s="12"/>
      <c r="I11" s="12"/>
      <c r="J11" s="12"/>
      <c r="K11" s="12"/>
      <c r="L11" s="12"/>
      <c r="M11" s="12"/>
      <c r="N11" s="12"/>
      <c r="O11" s="12"/>
      <c r="P11" s="6"/>
      <c r="Q11" s="6"/>
      <c r="R11" s="395"/>
    </row>
    <row r="12" spans="1:19">
      <c r="A12" s="10"/>
      <c r="B12" s="701"/>
      <c r="C12" s="702"/>
      <c r="D12" s="702"/>
      <c r="E12" s="702"/>
      <c r="F12" s="703"/>
      <c r="G12" s="12"/>
      <c r="H12" s="12"/>
      <c r="I12" s="12"/>
      <c r="J12" s="12"/>
      <c r="K12" s="12"/>
      <c r="L12" s="12"/>
      <c r="M12" s="12"/>
      <c r="N12" s="12"/>
      <c r="O12" s="12"/>
      <c r="P12" s="6"/>
      <c r="Q12" s="6"/>
      <c r="R12" s="395"/>
    </row>
    <row r="13" spans="1:19">
      <c r="A13" s="10"/>
      <c r="B13" s="701"/>
      <c r="C13" s="702"/>
      <c r="D13" s="702"/>
      <c r="E13" s="702"/>
      <c r="F13" s="703"/>
      <c r="G13" s="12"/>
      <c r="H13" s="12"/>
      <c r="I13" s="12"/>
      <c r="J13" s="12"/>
      <c r="K13" s="12"/>
      <c r="L13" s="12"/>
      <c r="M13" s="12"/>
      <c r="N13" s="12"/>
      <c r="O13" s="12"/>
      <c r="P13" s="6"/>
      <c r="Q13" s="6"/>
      <c r="R13" s="395"/>
    </row>
    <row r="14" spans="1:19">
      <c r="A14" s="10"/>
      <c r="B14" s="704"/>
      <c r="C14" s="705"/>
      <c r="D14" s="705"/>
      <c r="E14" s="705"/>
      <c r="F14" s="706"/>
      <c r="G14" s="12"/>
      <c r="H14" s="12"/>
      <c r="I14" s="12"/>
      <c r="J14" s="12"/>
      <c r="K14" s="12"/>
      <c r="L14" s="12"/>
      <c r="M14" s="12"/>
      <c r="N14" s="12"/>
      <c r="O14" s="12"/>
      <c r="P14" s="6"/>
      <c r="Q14" s="6"/>
      <c r="R14" s="395"/>
    </row>
    <row r="15" spans="1:19">
      <c r="A15" s="15"/>
      <c r="B15" s="9"/>
      <c r="C15" s="9"/>
      <c r="D15" s="9"/>
      <c r="E15" s="9"/>
      <c r="F15" s="9"/>
      <c r="G15" s="9"/>
      <c r="H15" s="9"/>
      <c r="I15" s="9"/>
      <c r="J15" s="9"/>
      <c r="K15" s="9"/>
      <c r="L15" s="9"/>
      <c r="M15" s="9"/>
      <c r="N15" s="9"/>
      <c r="O15" s="9"/>
      <c r="P15" s="6"/>
      <c r="Q15" s="6"/>
      <c r="R15" s="395"/>
    </row>
    <row r="16" spans="1:19" s="1" customFormat="1" ht="15" customHeight="1">
      <c r="A16" s="6"/>
      <c r="B16" s="37" t="s">
        <v>427</v>
      </c>
      <c r="C16" s="37"/>
      <c r="D16" s="37"/>
      <c r="F16" s="38"/>
      <c r="G16" s="38"/>
      <c r="H16" s="38"/>
      <c r="I16" s="38"/>
      <c r="J16" s="38"/>
      <c r="K16" s="38"/>
      <c r="L16" s="38"/>
      <c r="P16" s="6"/>
      <c r="Q16" s="6"/>
      <c r="R16" s="395"/>
    </row>
    <row r="17" spans="1:18" s="1" customFormat="1" ht="15" customHeight="1">
      <c r="A17" s="6"/>
      <c r="B17" s="221" t="s">
        <v>428</v>
      </c>
      <c r="C17" s="37"/>
      <c r="D17" s="37"/>
      <c r="F17" s="38"/>
      <c r="G17" s="38"/>
      <c r="H17" s="38"/>
      <c r="I17" s="38"/>
      <c r="J17" s="38"/>
      <c r="K17" s="38"/>
      <c r="L17" s="38"/>
      <c r="P17" s="6"/>
      <c r="Q17" s="6"/>
      <c r="R17" s="395"/>
    </row>
    <row r="18" spans="1:18">
      <c r="A18" s="16"/>
      <c r="C18" s="12"/>
      <c r="D18" s="17"/>
      <c r="E18" s="17"/>
      <c r="F18" s="17"/>
      <c r="H18" s="17"/>
      <c r="I18" s="17"/>
      <c r="J18" s="17"/>
      <c r="K18" s="17"/>
      <c r="L18" s="17"/>
      <c r="M18" s="17"/>
      <c r="N18" s="17"/>
      <c r="O18" s="17"/>
      <c r="P18" s="6"/>
      <c r="Q18" s="6"/>
      <c r="R18" s="395"/>
    </row>
    <row r="19" spans="1:18" ht="14.5">
      <c r="A19" s="16"/>
      <c r="B19" s="11" t="s">
        <v>429</v>
      </c>
      <c r="C19" s="19"/>
      <c r="D19" s="19"/>
      <c r="E19" s="19"/>
      <c r="F19" s="20"/>
      <c r="G19" s="17"/>
      <c r="H19" s="17"/>
      <c r="I19" s="20"/>
      <c r="J19" s="18"/>
      <c r="K19" s="18"/>
      <c r="L19" s="18"/>
      <c r="M19" s="17"/>
      <c r="N19" s="17"/>
      <c r="O19" s="17"/>
      <c r="P19" s="6"/>
      <c r="Q19" s="6"/>
      <c r="R19" s="395"/>
    </row>
    <row r="20" spans="1:18" ht="80.25" customHeight="1">
      <c r="A20" s="16"/>
      <c r="B20" s="194" t="s">
        <v>351</v>
      </c>
      <c r="C20" s="195" t="s">
        <v>352</v>
      </c>
      <c r="D20" s="195" t="s">
        <v>353</v>
      </c>
      <c r="E20" s="195" t="s">
        <v>354</v>
      </c>
      <c r="F20" s="195" t="s">
        <v>430</v>
      </c>
      <c r="G20" s="195" t="s">
        <v>356</v>
      </c>
      <c r="H20" s="195" t="s">
        <v>357</v>
      </c>
      <c r="I20" s="188" t="s">
        <v>431</v>
      </c>
      <c r="J20" s="195" t="s">
        <v>353</v>
      </c>
      <c r="K20" s="195" t="s">
        <v>354</v>
      </c>
      <c r="L20" s="195" t="s">
        <v>432</v>
      </c>
      <c r="M20" s="188" t="s">
        <v>431</v>
      </c>
      <c r="N20" s="199" t="s">
        <v>433</v>
      </c>
      <c r="O20" s="198" t="s">
        <v>361</v>
      </c>
      <c r="P20" s="23" t="s">
        <v>329</v>
      </c>
      <c r="Q20" s="23"/>
      <c r="R20" s="395"/>
    </row>
    <row r="21" spans="1:18" ht="14.5">
      <c r="A21" s="16"/>
      <c r="B21" s="531" t="s">
        <v>451</v>
      </c>
      <c r="C21" s="308"/>
      <c r="D21" s="308"/>
      <c r="E21" s="449"/>
      <c r="F21" s="350"/>
      <c r="G21" s="308"/>
      <c r="H21" s="308"/>
      <c r="I21" s="451"/>
      <c r="J21" s="308"/>
      <c r="K21" s="449"/>
      <c r="L21" s="362"/>
      <c r="M21" s="451"/>
      <c r="N21" s="308"/>
      <c r="O21" s="447"/>
      <c r="P21" s="281">
        <f>M21+I21</f>
        <v>0</v>
      </c>
      <c r="Q21" s="24"/>
      <c r="R21" s="395"/>
    </row>
    <row r="22" spans="1:18">
      <c r="A22" s="16"/>
      <c r="B22" s="444"/>
      <c r="C22" s="308"/>
      <c r="D22" s="308"/>
      <c r="E22" s="449"/>
      <c r="F22" s="350"/>
      <c r="G22" s="308"/>
      <c r="H22" s="308"/>
      <c r="I22" s="451"/>
      <c r="J22" s="308"/>
      <c r="K22" s="449"/>
      <c r="L22" s="362"/>
      <c r="M22" s="451"/>
      <c r="N22" s="308"/>
      <c r="O22" s="447"/>
      <c r="P22" s="281">
        <f t="shared" ref="P22:P25" si="0">M22+I22</f>
        <v>0</v>
      </c>
      <c r="Q22" s="24"/>
      <c r="R22" s="395"/>
    </row>
    <row r="23" spans="1:18">
      <c r="A23" s="16"/>
      <c r="B23" s="444"/>
      <c r="C23" s="308"/>
      <c r="D23" s="308"/>
      <c r="E23" s="449"/>
      <c r="F23" s="350"/>
      <c r="G23" s="308"/>
      <c r="H23" s="308"/>
      <c r="I23" s="451"/>
      <c r="J23" s="308"/>
      <c r="K23" s="449"/>
      <c r="L23" s="362"/>
      <c r="M23" s="451"/>
      <c r="N23" s="308"/>
      <c r="O23" s="447"/>
      <c r="P23" s="281">
        <f t="shared" si="0"/>
        <v>0</v>
      </c>
      <c r="Q23" s="24"/>
      <c r="R23" s="395"/>
    </row>
    <row r="24" spans="1:18">
      <c r="A24" s="16"/>
      <c r="B24" s="444"/>
      <c r="C24" s="308"/>
      <c r="D24" s="308"/>
      <c r="E24" s="449"/>
      <c r="F24" s="350"/>
      <c r="G24" s="308"/>
      <c r="H24" s="308"/>
      <c r="I24" s="451"/>
      <c r="J24" s="308"/>
      <c r="K24" s="449"/>
      <c r="L24" s="362"/>
      <c r="M24" s="451"/>
      <c r="N24" s="308"/>
      <c r="O24" s="447"/>
      <c r="P24" s="281">
        <f t="shared" si="0"/>
        <v>0</v>
      </c>
      <c r="Q24" s="24"/>
      <c r="R24" s="395"/>
    </row>
    <row r="25" spans="1:18">
      <c r="A25" s="16"/>
      <c r="B25" s="445"/>
      <c r="C25" s="446"/>
      <c r="D25" s="446"/>
      <c r="E25" s="450"/>
      <c r="F25" s="354"/>
      <c r="G25" s="446"/>
      <c r="H25" s="446"/>
      <c r="I25" s="452"/>
      <c r="J25" s="446"/>
      <c r="K25" s="450"/>
      <c r="L25" s="363"/>
      <c r="M25" s="452"/>
      <c r="N25" s="446"/>
      <c r="O25" s="448"/>
      <c r="P25" s="281">
        <f t="shared" si="0"/>
        <v>0</v>
      </c>
      <c r="Q25" s="24"/>
      <c r="R25" s="395"/>
    </row>
    <row r="26" spans="1:18">
      <c r="A26" s="16"/>
      <c r="B26" s="12"/>
      <c r="C26" s="12"/>
      <c r="D26" s="12"/>
      <c r="E26" s="12"/>
      <c r="F26" s="12"/>
      <c r="G26" s="12"/>
      <c r="H26" s="12"/>
      <c r="I26" s="12"/>
      <c r="J26" s="12"/>
      <c r="K26" s="12"/>
      <c r="L26" s="12"/>
      <c r="M26" s="12"/>
      <c r="N26" s="12"/>
      <c r="O26" s="12"/>
      <c r="P26" s="12"/>
      <c r="Q26" s="12"/>
      <c r="R26" s="395"/>
    </row>
    <row r="27" spans="1:18">
      <c r="A27" s="16"/>
      <c r="C27" s="9"/>
      <c r="D27" s="9"/>
      <c r="E27" s="9"/>
      <c r="F27" s="12"/>
      <c r="G27" s="12"/>
      <c r="H27" s="12"/>
      <c r="I27" s="12"/>
      <c r="J27" s="12"/>
      <c r="K27" s="12"/>
      <c r="L27" s="12"/>
      <c r="M27" s="12"/>
      <c r="N27" s="12"/>
      <c r="O27" s="12"/>
      <c r="P27" s="12"/>
      <c r="Q27" s="12"/>
      <c r="R27" s="395"/>
    </row>
    <row r="28" spans="1:18" ht="14.25" customHeight="1">
      <c r="A28" s="16"/>
      <c r="B28" s="443" t="s">
        <v>434</v>
      </c>
      <c r="C28" s="9"/>
      <c r="D28" s="9"/>
      <c r="E28" s="9"/>
      <c r="F28" s="12"/>
      <c r="G28" s="12"/>
      <c r="H28" s="12"/>
      <c r="I28" s="12"/>
      <c r="J28" s="18"/>
      <c r="K28" s="12"/>
      <c r="L28" s="18"/>
      <c r="M28" s="17"/>
      <c r="N28" s="12"/>
      <c r="O28" s="12"/>
      <c r="P28" s="12"/>
      <c r="Q28" s="12"/>
      <c r="R28" s="395"/>
    </row>
    <row r="29" spans="1:18" ht="60" customHeight="1">
      <c r="A29" s="16"/>
      <c r="B29" s="194" t="s">
        <v>351</v>
      </c>
      <c r="C29" s="195" t="s">
        <v>352</v>
      </c>
      <c r="D29" s="195" t="s">
        <v>353</v>
      </c>
      <c r="E29" s="195" t="s">
        <v>354</v>
      </c>
      <c r="F29" s="195" t="s">
        <v>430</v>
      </c>
      <c r="G29" s="195" t="s">
        <v>356</v>
      </c>
      <c r="H29" s="195" t="s">
        <v>357</v>
      </c>
      <c r="I29" s="188" t="s">
        <v>431</v>
      </c>
      <c r="J29" s="195" t="s">
        <v>353</v>
      </c>
      <c r="K29" s="195" t="s">
        <v>354</v>
      </c>
      <c r="L29" s="195" t="s">
        <v>432</v>
      </c>
      <c r="M29" s="188" t="s">
        <v>431</v>
      </c>
      <c r="N29" s="199" t="s">
        <v>433</v>
      </c>
      <c r="O29" s="198" t="s">
        <v>361</v>
      </c>
      <c r="P29" s="23" t="s">
        <v>329</v>
      </c>
      <c r="Q29" s="23"/>
      <c r="R29" s="395"/>
    </row>
    <row r="30" spans="1:18" ht="14.5">
      <c r="A30" s="16"/>
      <c r="B30" s="531" t="s">
        <v>451</v>
      </c>
      <c r="C30" s="308"/>
      <c r="D30" s="308"/>
      <c r="E30" s="449"/>
      <c r="F30" s="350"/>
      <c r="G30" s="308"/>
      <c r="H30" s="308"/>
      <c r="I30" s="451"/>
      <c r="J30" s="308"/>
      <c r="K30" s="449"/>
      <c r="L30" s="362"/>
      <c r="M30" s="451"/>
      <c r="N30" s="308"/>
      <c r="O30" s="447"/>
      <c r="P30" s="281">
        <f t="shared" ref="P30:P34" si="1">M30+I30</f>
        <v>0</v>
      </c>
      <c r="Q30" s="24"/>
      <c r="R30" s="395"/>
    </row>
    <row r="31" spans="1:18">
      <c r="A31" s="16"/>
      <c r="B31" s="444"/>
      <c r="C31" s="308"/>
      <c r="D31" s="308"/>
      <c r="E31" s="449"/>
      <c r="F31" s="350"/>
      <c r="G31" s="308"/>
      <c r="H31" s="308"/>
      <c r="I31" s="451"/>
      <c r="J31" s="308"/>
      <c r="K31" s="449"/>
      <c r="L31" s="362"/>
      <c r="M31" s="451"/>
      <c r="N31" s="308"/>
      <c r="O31" s="447"/>
      <c r="P31" s="281">
        <f t="shared" si="1"/>
        <v>0</v>
      </c>
      <c r="Q31" s="24"/>
      <c r="R31" s="395"/>
    </row>
    <row r="32" spans="1:18">
      <c r="A32" s="16"/>
      <c r="B32" s="444"/>
      <c r="C32" s="308"/>
      <c r="D32" s="308"/>
      <c r="E32" s="449"/>
      <c r="F32" s="350"/>
      <c r="G32" s="308"/>
      <c r="H32" s="308"/>
      <c r="I32" s="451"/>
      <c r="J32" s="308"/>
      <c r="K32" s="449"/>
      <c r="L32" s="362"/>
      <c r="M32" s="451"/>
      <c r="N32" s="308"/>
      <c r="O32" s="447"/>
      <c r="P32" s="281">
        <f t="shared" si="1"/>
        <v>0</v>
      </c>
      <c r="Q32" s="24"/>
      <c r="R32" s="395"/>
    </row>
    <row r="33" spans="1:18">
      <c r="A33" s="16"/>
      <c r="B33" s="444"/>
      <c r="C33" s="308"/>
      <c r="D33" s="308"/>
      <c r="E33" s="449"/>
      <c r="F33" s="350"/>
      <c r="G33" s="308"/>
      <c r="H33" s="308"/>
      <c r="I33" s="451"/>
      <c r="J33" s="308"/>
      <c r="K33" s="449"/>
      <c r="L33" s="362"/>
      <c r="M33" s="451"/>
      <c r="N33" s="308"/>
      <c r="O33" s="447"/>
      <c r="P33" s="281">
        <f t="shared" si="1"/>
        <v>0</v>
      </c>
      <c r="Q33" s="24"/>
      <c r="R33" s="395"/>
    </row>
    <row r="34" spans="1:18">
      <c r="A34" s="16"/>
      <c r="B34" s="445"/>
      <c r="C34" s="446"/>
      <c r="D34" s="446"/>
      <c r="E34" s="450"/>
      <c r="F34" s="354"/>
      <c r="G34" s="446"/>
      <c r="H34" s="446"/>
      <c r="I34" s="452"/>
      <c r="J34" s="446"/>
      <c r="K34" s="450"/>
      <c r="L34" s="363"/>
      <c r="M34" s="452"/>
      <c r="N34" s="446"/>
      <c r="O34" s="448"/>
      <c r="P34" s="281">
        <f t="shared" si="1"/>
        <v>0</v>
      </c>
      <c r="Q34" s="24"/>
      <c r="R34" s="395"/>
    </row>
    <row r="35" spans="1:18" ht="15" customHeight="1">
      <c r="A35" s="3"/>
      <c r="R35" s="395"/>
    </row>
    <row r="36" spans="1:18" ht="7.5" customHeight="1">
      <c r="A36" s="395"/>
      <c r="B36" s="395"/>
      <c r="C36" s="395"/>
      <c r="D36" s="395"/>
      <c r="E36" s="395"/>
      <c r="F36" s="395"/>
      <c r="G36" s="395"/>
      <c r="H36" s="395"/>
      <c r="I36" s="395"/>
      <c r="J36" s="395"/>
      <c r="K36" s="395"/>
      <c r="L36" s="395"/>
      <c r="M36" s="395"/>
      <c r="N36" s="395"/>
      <c r="O36" s="395"/>
      <c r="P36" s="395"/>
      <c r="Q36" s="395"/>
      <c r="R36" s="395"/>
    </row>
    <row r="37" spans="1:18">
      <c r="A37" s="3"/>
    </row>
    <row r="38" spans="1:18">
      <c r="A38" s="3"/>
    </row>
    <row r="39" spans="1:18">
      <c r="A39" s="3"/>
    </row>
    <row r="40" spans="1:18">
      <c r="A40" s="3"/>
    </row>
    <row r="41" spans="1:18">
      <c r="A41" s="3"/>
    </row>
    <row r="42" spans="1:18">
      <c r="A42" s="3"/>
    </row>
    <row r="43" spans="1:18">
      <c r="A43" s="3"/>
    </row>
    <row r="44" spans="1:18">
      <c r="A44" s="3"/>
    </row>
    <row r="45" spans="1:18">
      <c r="A45" s="3"/>
    </row>
    <row r="46" spans="1:18">
      <c r="A46" s="3"/>
    </row>
    <row r="47" spans="1:18">
      <c r="A47" s="3"/>
    </row>
    <row r="48" spans="1:18">
      <c r="A48" s="3"/>
    </row>
    <row r="49" spans="1:2">
      <c r="A49" s="3"/>
    </row>
    <row r="50" spans="1:2">
      <c r="A50" s="3"/>
    </row>
    <row r="51" spans="1:2">
      <c r="A51" s="3"/>
    </row>
    <row r="52" spans="1:2">
      <c r="B52" s="12"/>
    </row>
  </sheetData>
  <mergeCells count="2">
    <mergeCell ref="C8:D8"/>
    <mergeCell ref="B11:F14"/>
  </mergeCells>
  <phoneticPr fontId="114" type="noConversion"/>
  <conditionalFormatting sqref="B8 B11:F14 B21:N25 B30:N34">
    <cfRule type="containsBlanks" dxfId="0" priority="1">
      <formula>LEN(TRIM(B8))=0</formula>
    </cfRule>
  </conditionalFormatting>
  <dataValidations count="1">
    <dataValidation type="list" allowBlank="1" showInputMessage="1" sqref="N21:N25 N30:N34" xr:uid="{14D3201E-D133-4E21-949F-CF8C57FE9E68}">
      <formula1>"是,否"</formula1>
    </dataValidation>
  </dataValidations>
  <hyperlinks>
    <hyperlink ref="B4" location="汇总!A1" display="返回汇总页" xr:uid="{616F7E77-90D2-45CA-B731-D338FFCA9BD8}"/>
  </hyperlinks>
  <pageMargins left="0.7" right="0.7" top="0.75" bottom="0.75" header="0.3" footer="0.3"/>
  <pageSetup paperSize="9" orientation="portrait"/>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datasnipper xmlns="http://datasnipperlegacy" workbookId="f30fc162-3bc9-4689-aa89-d96cf6ca3770" dataSnipperSheetDeleted="true" guid="71f779ae-4976-415f-b7e2-4aa84fdb86ac" revision="11">
  <settings xmlns="" guid="2b62df5d-ae31-487c-ab65-92e911b482f2">
    <setting type="boolean" value="True" name="embed-documents" guid="cabb5c0b-fd8a-4388-8031-642ee359dd09"/>
  </settings>
</datasnipper>
</file>

<file path=customXml/item3.xml><?xml version="1.0" encoding="utf-8"?>
<datasnipper xmlns="http://datasnipper" xmlMigrated="true" guid="3b6229f8-5c0b-4d07-b4bf-9a0eb733aebc" revision="12"/>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5.xml><?xml version="1.0" encoding="utf-8"?>
<ct:contentTypeSchema xmlns:ct="http://schemas.microsoft.com/office/2006/metadata/contentType" xmlns:ma="http://schemas.microsoft.com/office/2006/metadata/properties/metaAttributes" ct:_="" ma:_="" ma:contentTypeName="文档" ma:contentTypeID="0x010100DF3550D7BF13514F98E371620A139941" ma:contentTypeVersion="2" ma:contentTypeDescription="新建文档。" ma:contentTypeScope="" ma:versionID="d23de8b404dd05bc5ea1d342134eb8f0">
  <xsd:schema xmlns:xsd="http://www.w3.org/2001/XMLSchema" xmlns:xs="http://www.w3.org/2001/XMLSchema" xmlns:p="http://schemas.microsoft.com/office/2006/metadata/properties" xmlns:ns2="200d2cec-77de-4108-98a5-960fad86d843" targetNamespace="http://schemas.microsoft.com/office/2006/metadata/properties" ma:root="true" ma:fieldsID="6b1d5cb3a138c737942bbc941dd5d05c" ns2:_="">
    <xsd:import namespace="200d2cec-77de-4108-98a5-960fad86d843"/>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0d2cec-77de-4108-98a5-960fad86d843" elementFormDefault="qualified">
    <xsd:import namespace="http://schemas.microsoft.com/office/2006/documentManagement/types"/>
    <xsd:import namespace="http://schemas.microsoft.com/office/infopath/2007/PartnerControls"/>
    <xsd:element name="SharedWithUsers" ma:index="8" nillable="true" ma:displayName="共享对象:"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享对象详细信息"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42C00C-AFDC-4C5D-8ABE-5B6DFA2D72AE}">
  <ds:schemaRefs>
    <ds:schemaRef ds:uri="http://schemas.microsoft.com/sharepoint/v3/contenttype/forms"/>
  </ds:schemaRefs>
</ds:datastoreItem>
</file>

<file path=customXml/itemProps2.xml><?xml version="1.0" encoding="utf-8"?>
<ds:datastoreItem xmlns:ds="http://schemas.openxmlformats.org/officeDocument/2006/customXml" ds:itemID="{F5CC33FB-71D7-47F8-9735-46F85A6D1DE1}">
  <ds:schemaRefs>
    <ds:schemaRef ds:uri="http://datasnipperlegacy"/>
    <ds:schemaRef ds:uri=""/>
  </ds:schemaRefs>
</ds:datastoreItem>
</file>

<file path=customXml/itemProps3.xml><?xml version="1.0" encoding="utf-8"?>
<ds:datastoreItem xmlns:ds="http://schemas.openxmlformats.org/officeDocument/2006/customXml" ds:itemID="{2FA5ED01-2DB3-4ECE-A09A-28540C922B0C}">
  <ds:schemaRefs>
    <ds:schemaRef ds:uri="http://datasnipper"/>
  </ds:schemaRefs>
</ds:datastoreItem>
</file>

<file path=customXml/itemProps4.xml><?xml version="1.0" encoding="utf-8"?>
<ds:datastoreItem xmlns:ds="http://schemas.openxmlformats.org/officeDocument/2006/customXml" ds:itemID="{126335DE-BC73-4247-AF5A-33DF9E3D576A}">
  <ds:schemaRefs>
    <ds:schemaRef ds:uri="http://schemas.microsoft.com/office/2006/metadata/properties"/>
    <ds:schemaRef ds:uri="http://schemas.microsoft.com/office/infopath/2007/PartnerControls"/>
  </ds:schemaRefs>
</ds:datastoreItem>
</file>

<file path=customXml/itemProps5.xml><?xml version="1.0" encoding="utf-8"?>
<ds:datastoreItem xmlns:ds="http://schemas.openxmlformats.org/officeDocument/2006/customXml" ds:itemID="{1920C01A-7408-44F8-BECF-E093D212ACC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00d2cec-77de-4108-98a5-960fad86d84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Comments【归档前删除】</vt:lpstr>
      <vt:lpstr>汇总</vt:lpstr>
      <vt:lpstr>C.00 Lead</vt:lpstr>
      <vt:lpstr>C.00 BKD</vt:lpstr>
      <vt:lpstr>C.01C内部对账</vt:lpstr>
      <vt:lpstr>C.01 Confirmations </vt:lpstr>
      <vt:lpstr>C.00b Other classification</vt:lpstr>
      <vt:lpstr>C.02 Bank reconciliations</vt:lpstr>
      <vt:lpstr>C.03 Cutoff</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Skywind_C_货币资金_20191231_测试公司07.xlsx</dc:title>
  <dc:subject/>
  <dc:creator>Sandy Y Song</dc:creator>
  <cp:keywords>Final Audit.V6.C.0901</cp:keywords>
  <dc:description>2A3F9CD9-957C-4AA1-8774-3BE90552149B</dc:description>
  <cp:lastModifiedBy>Rui R Hu</cp:lastModifiedBy>
  <cp:revision/>
  <dcterms:created xsi:type="dcterms:W3CDTF">2019-02-28T05:41:00Z</dcterms:created>
  <dcterms:modified xsi:type="dcterms:W3CDTF">2026-03-23T08:15:43Z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0x010100DF3550D7BF13514F98E371620A139941</vt:lpwstr>
  </property>
  <property fmtid="{D5CDD505-2E9C-101B-9397-08002B2CF9AE}" pid="3" name="SV_QUERY_LIST_4F35BF76-6C0D-4D9B-82B2-816C12CF3733">
    <vt:lpwstr>empty_477D106A-C0D6-4607-AEBD-E2C9D60EA279</vt:lpwstr>
  </property>
  <property fmtid="{D5CDD505-2E9C-101B-9397-08002B2CF9AE}" pid="4" name="ICV">
    <vt:lpwstr>35043ED6BACC4556B91B666CA617E00E_12</vt:lpwstr>
  </property>
  <property fmtid="{D5CDD505-2E9C-101B-9397-08002B2CF9AE}" pid="5" name="KSOProductBuildVer">
    <vt:lpwstr>2052-12.1.0.21915</vt:lpwstr>
  </property>
</Properties>
</file>
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eychinamanaged.sharepoint.cn/sites/DFAM/Shared Documents/资管 2025/4. For EDC/L1无形资产/"/>
    </mc:Choice>
  </mc:AlternateContent>
  <xr:revisionPtr revIDLastSave="379" documentId="13_ncr:1_{85B1220B-F5DB-46D1-A6CE-FAA5324606E2}" xr6:coauthVersionLast="47" xr6:coauthVersionMax="47" xr10:uidLastSave="{87CD620C-02D7-481F-955E-FBA5C5E006AE}"/>
  <bookViews>
    <workbookView xWindow="-110" yWindow="-110" windowWidth="19420" windowHeight="10300" tabRatio="870" xr2:uid="{00000000-000D-0000-FFFF-FFFF00000000}"/>
  </bookViews>
  <sheets>
    <sheet name="汇总" sheetId="73" r:id="rId1"/>
    <sheet name="L1.00 Lead sheet" sheetId="81" r:id="rId2"/>
    <sheet name="L1.01.1 Agree SL to GL" sheetId="80" r:id="rId3"/>
    <sheet name="L1.01.1 Agree SL to GL(241231)" sheetId="89" r:id="rId4"/>
    <sheet name="L1.02.1 新增测试" sheetId="82" r:id="rId5"/>
    <sheet name="L1.02.1a 选样输出" sheetId="88" r:id="rId6"/>
    <sheet name="新增清单" sheetId="63" r:id="rId7"/>
    <sheet name="L1.02.2 处置测试" sheetId="83" r:id="rId8"/>
    <sheet name="处置清单" sheetId="65" r:id="rId9"/>
    <sheet name="L1.02.2a 选样输出" sheetId="87" r:id="rId10"/>
    <sheet name="L1.03 摊销测试" sheetId="58" r:id="rId11"/>
    <sheet name="L1.03 摊销测试 (20241231)" sheetId="90" r:id="rId12"/>
    <sheet name="SkywindSettingSheet" sheetId="30" state="veryHidden" r:id="rId13"/>
    <sheet name="DS_INTERNAL_SETTINGS_STORAGE" sheetId="67" state="veryHidden" r:id="rId14"/>
    <sheet name="DS_INTERNAL_DOCGROUP_STORAGE" sheetId="68" state="veryHidden" r:id="rId15"/>
    <sheet name="DS_INTERNAL_DOCUMENT_STORAGE" sheetId="69" state="veryHidden" r:id="rId16"/>
    <sheet name="DS_INTERNAL_SNIP_STORAGE" sheetId="70" state="veryHidden" r:id="rId17"/>
  </sheets>
  <externalReferences>
    <externalReference r:id="rId18"/>
    <externalReference r:id="rId19"/>
    <externalReference r:id="rId20"/>
  </externalReferences>
  <definedNames>
    <definedName name="_____dod1" localSheetId="5" hidden="1">{#N/A,#N/A,TRUE,"CPRD";#N/A,#N/A,TRUE,"BCCPDR";#N/A,#N/A,TRUE,"EWRD";#N/A,#N/A,TRUE,"5100";#N/A,#N/A,TRUE,"5110"}</definedName>
    <definedName name="_____dod1" localSheetId="9" hidden="1">{#N/A,#N/A,TRUE,"CPRD";#N/A,#N/A,TRUE,"BCCPDR";#N/A,#N/A,TRUE,"EWRD";#N/A,#N/A,TRUE,"5100";#N/A,#N/A,TRUE,"5110"}</definedName>
    <definedName name="_____dod1" localSheetId="10" hidden="1">{#N/A,#N/A,TRUE,"CPRD";#N/A,#N/A,TRUE,"BCCPDR";#N/A,#N/A,TRUE,"EWRD";#N/A,#N/A,TRUE,"5100";#N/A,#N/A,TRUE,"5110"}</definedName>
    <definedName name="_____dod1" localSheetId="11" hidden="1">{#N/A,#N/A,TRUE,"CPRD";#N/A,#N/A,TRUE,"BCCPDR";#N/A,#N/A,TRUE,"EWRD";#N/A,#N/A,TRUE,"5100";#N/A,#N/A,TRUE,"5110"}</definedName>
    <definedName name="_____dod1" localSheetId="0"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5" hidden="1">{#N/A,#N/A,TRUE,"CPRD";#N/A,#N/A,TRUE,"BCCPDR";#N/A,#N/A,TRUE,"EWRD";#N/A,#N/A,TRUE,"5100";#N/A,#N/A,TRUE,"5110"}</definedName>
    <definedName name="____dod1" localSheetId="9" hidden="1">{#N/A,#N/A,TRUE,"CPRD";#N/A,#N/A,TRUE,"BCCPDR";#N/A,#N/A,TRUE,"EWRD";#N/A,#N/A,TRUE,"5100";#N/A,#N/A,TRUE,"5110"}</definedName>
    <definedName name="____dod1" localSheetId="10" hidden="1">{#N/A,#N/A,TRUE,"CPRD";#N/A,#N/A,TRUE,"BCCPDR";#N/A,#N/A,TRUE,"EWRD";#N/A,#N/A,TRUE,"5100";#N/A,#N/A,TRUE,"5110"}</definedName>
    <definedName name="____dod1" localSheetId="11" hidden="1">{#N/A,#N/A,TRUE,"CPRD";#N/A,#N/A,TRUE,"BCCPDR";#N/A,#N/A,TRUE,"EWRD";#N/A,#N/A,TRUE,"5100";#N/A,#N/A,TRUE,"5110"}</definedName>
    <definedName name="____dod1" localSheetId="0"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5" hidden="1">{#N/A,#N/A,TRUE,"CPRD";#N/A,#N/A,TRUE,"BCCPDR";#N/A,#N/A,TRUE,"EWRD";#N/A,#N/A,TRUE,"5100";#N/A,#N/A,TRUE,"5110"}</definedName>
    <definedName name="___dod1" localSheetId="9" hidden="1">{#N/A,#N/A,TRUE,"CPRD";#N/A,#N/A,TRUE,"BCCPDR";#N/A,#N/A,TRUE,"EWRD";#N/A,#N/A,TRUE,"5100";#N/A,#N/A,TRUE,"5110"}</definedName>
    <definedName name="___dod1" localSheetId="10" hidden="1">{#N/A,#N/A,TRUE,"CPRD";#N/A,#N/A,TRUE,"BCCPDR";#N/A,#N/A,TRUE,"EWRD";#N/A,#N/A,TRUE,"5100";#N/A,#N/A,TRUE,"5110"}</definedName>
    <definedName name="___dod1" localSheetId="11" hidden="1">{#N/A,#N/A,TRUE,"CPRD";#N/A,#N/A,TRUE,"BCCPDR";#N/A,#N/A,TRUE,"EWRD";#N/A,#N/A,TRUE,"5100";#N/A,#N/A,TRUE,"5110"}</definedName>
    <definedName name="___dod1" localSheetId="0"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5" hidden="1">{#N/A,#N/A,TRUE,"CPRD";#N/A,#N/A,TRUE,"BCCPDR";#N/A,#N/A,TRUE,"EWRD";#N/A,#N/A,TRUE,"5100";#N/A,#N/A,TRUE,"5110"}</definedName>
    <definedName name="___dog1" localSheetId="9" hidden="1">{#N/A,#N/A,TRUE,"CPRD";#N/A,#N/A,TRUE,"BCCPDR";#N/A,#N/A,TRUE,"EWRD";#N/A,#N/A,TRUE,"5100";#N/A,#N/A,TRUE,"5110"}</definedName>
    <definedName name="___dog1" localSheetId="10" hidden="1">{#N/A,#N/A,TRUE,"CPRD";#N/A,#N/A,TRUE,"BCCPDR";#N/A,#N/A,TRUE,"EWRD";#N/A,#N/A,TRUE,"5100";#N/A,#N/A,TRUE,"5110"}</definedName>
    <definedName name="___dog1" localSheetId="11" hidden="1">{#N/A,#N/A,TRUE,"CPRD";#N/A,#N/A,TRUE,"BCCPDR";#N/A,#N/A,TRUE,"EWRD";#N/A,#N/A,TRUE,"5100";#N/A,#N/A,TRUE,"5110"}</definedName>
    <definedName name="___dog1" localSheetId="0"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localSheetId="6" hidden="1">#REF!</definedName>
    <definedName name="__123Graph_A" hidden="1">#REF!</definedName>
    <definedName name="__123Graph_AGraph1" localSheetId="6" hidden="1">#REF!</definedName>
    <definedName name="__123Graph_AGraph1" hidden="1">#REF!</definedName>
    <definedName name="__123Graph_B" localSheetId="6" hidden="1">#REF!</definedName>
    <definedName name="__123Graph_B" hidden="1">#REF!</definedName>
    <definedName name="__123Graph_BGraph1" localSheetId="6" hidden="1">#REF!</definedName>
    <definedName name="__123Graph_BGraph1" hidden="1">#REF!</definedName>
    <definedName name="__123Graph_C" localSheetId="6" hidden="1">#REF!</definedName>
    <definedName name="__123Graph_C" hidden="1">#REF!</definedName>
    <definedName name="__123Graph_CGraph1" localSheetId="6" hidden="1">#REF!</definedName>
    <definedName name="__123Graph_CGraph1" hidden="1">#REF!</definedName>
    <definedName name="__123Graph_D" hidden="1">#REF!</definedName>
    <definedName name="__123Graph_DGraph1" localSheetId="6" hidden="1">#REF!</definedName>
    <definedName name="__123Graph_DGraph1" hidden="1">#REF!</definedName>
    <definedName name="__123Graph_E" localSheetId="6" hidden="1">#REF!</definedName>
    <definedName name="__123Graph_E" hidden="1">#REF!</definedName>
    <definedName name="__123Graph_EGraph1" localSheetId="6" hidden="1">#REF!</definedName>
    <definedName name="__123Graph_EGraph1" hidden="1">#REF!</definedName>
    <definedName name="__123Graph_F" hidden="1">#REF!</definedName>
    <definedName name="__123Graph_X" localSheetId="6" hidden="1">#REF!</definedName>
    <definedName name="__123Graph_X" hidden="1">#REF!</definedName>
    <definedName name="__123Graph_XGraph1" localSheetId="6" hidden="1">#REF!</definedName>
    <definedName name="__123Graph_XGraph1" hidden="1">#REF!</definedName>
    <definedName name="__dod1" localSheetId="5" hidden="1">{#N/A,#N/A,TRUE,"CPRD";#N/A,#N/A,TRUE,"BCCPDR";#N/A,#N/A,TRUE,"EWRD";#N/A,#N/A,TRUE,"5100";#N/A,#N/A,TRUE,"5110"}</definedName>
    <definedName name="__dod1" localSheetId="9" hidden="1">{#N/A,#N/A,TRUE,"CPRD";#N/A,#N/A,TRUE,"BCCPDR";#N/A,#N/A,TRUE,"EWRD";#N/A,#N/A,TRUE,"5100";#N/A,#N/A,TRUE,"5110"}</definedName>
    <definedName name="__dod1" localSheetId="10" hidden="1">{#N/A,#N/A,TRUE,"CPRD";#N/A,#N/A,TRUE,"BCCPDR";#N/A,#N/A,TRUE,"EWRD";#N/A,#N/A,TRUE,"5100";#N/A,#N/A,TRUE,"5110"}</definedName>
    <definedName name="__dod1" localSheetId="11" hidden="1">{#N/A,#N/A,TRUE,"CPRD";#N/A,#N/A,TRUE,"BCCPDR";#N/A,#N/A,TRUE,"EWRD";#N/A,#N/A,TRUE,"5100";#N/A,#N/A,TRUE,"5110"}</definedName>
    <definedName name="__dod1" localSheetId="0"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5" hidden="1">{#N/A,#N/A,TRUE,"CPRD";#N/A,#N/A,TRUE,"BCCPDR";#N/A,#N/A,TRUE,"EWRD";#N/A,#N/A,TRUE,"5100";#N/A,#N/A,TRUE,"5110"}</definedName>
    <definedName name="__dog1" localSheetId="9" hidden="1">{#N/A,#N/A,TRUE,"CPRD";#N/A,#N/A,TRUE,"BCCPDR";#N/A,#N/A,TRUE,"EWRD";#N/A,#N/A,TRUE,"5100";#N/A,#N/A,TRUE,"5110"}</definedName>
    <definedName name="__dog1" localSheetId="10" hidden="1">{#N/A,#N/A,TRUE,"CPRD";#N/A,#N/A,TRUE,"BCCPDR";#N/A,#N/A,TRUE,"EWRD";#N/A,#N/A,TRUE,"5100";#N/A,#N/A,TRUE,"5110"}</definedName>
    <definedName name="__dog1" localSheetId="11" hidden="1">{#N/A,#N/A,TRUE,"CPRD";#N/A,#N/A,TRUE,"BCCPDR";#N/A,#N/A,TRUE,"EWRD";#N/A,#N/A,TRUE,"5100";#N/A,#N/A,TRUE,"5110"}</definedName>
    <definedName name="__dog1" localSheetId="0"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0" hidden="1">{#N/A,#N/A,FALSE,"²Ä1­Ó¤ë"}</definedName>
    <definedName name="_15wrn.²Ä1­Ó¤ë1_Ü20¤H." hidden="1">{#N/A,#N/A,FALSE,"²Ä1­Ó¤ë"}</definedName>
    <definedName name="_16wrn.²Ä1­Ó¤ë1_Ü20¤H." localSheetId="0"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5" hidden="1">{#N/A,#N/A,TRUE,"CPRD";#N/A,#N/A,TRUE,"BCCPDR";#N/A,#N/A,TRUE,"EWRD";#N/A,#N/A,TRUE,"5100";#N/A,#N/A,TRUE,"5110"}</definedName>
    <definedName name="_dod1" localSheetId="9" hidden="1">{#N/A,#N/A,TRUE,"CPRD";#N/A,#N/A,TRUE,"BCCPDR";#N/A,#N/A,TRUE,"EWRD";#N/A,#N/A,TRUE,"5100";#N/A,#N/A,TRUE,"5110"}</definedName>
    <definedName name="_dod1" localSheetId="10" hidden="1">{#N/A,#N/A,TRUE,"CPRD";#N/A,#N/A,TRUE,"BCCPDR";#N/A,#N/A,TRUE,"EWRD";#N/A,#N/A,TRUE,"5100";#N/A,#N/A,TRUE,"5110"}</definedName>
    <definedName name="_dod1" localSheetId="11" hidden="1">{#N/A,#N/A,TRUE,"CPRD";#N/A,#N/A,TRUE,"BCCPDR";#N/A,#N/A,TRUE,"EWRD";#N/A,#N/A,TRUE,"5100";#N/A,#N/A,TRUE,"5110"}</definedName>
    <definedName name="_dod1" localSheetId="0"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5" hidden="1">{#N/A,#N/A,TRUE,"CPRD";#N/A,#N/A,TRUE,"BCCPDR";#N/A,#N/A,TRUE,"EWRD";#N/A,#N/A,TRUE,"5100";#N/A,#N/A,TRUE,"5110"}</definedName>
    <definedName name="_dog1" localSheetId="9" hidden="1">{#N/A,#N/A,TRUE,"CPRD";#N/A,#N/A,TRUE,"BCCPDR";#N/A,#N/A,TRUE,"EWRD";#N/A,#N/A,TRUE,"5100";#N/A,#N/A,TRUE,"5110"}</definedName>
    <definedName name="_dog1" localSheetId="10" hidden="1">{#N/A,#N/A,TRUE,"CPRD";#N/A,#N/A,TRUE,"BCCPDR";#N/A,#N/A,TRUE,"EWRD";#N/A,#N/A,TRUE,"5100";#N/A,#N/A,TRUE,"5110"}</definedName>
    <definedName name="_dog1" localSheetId="11" hidden="1">{#N/A,#N/A,TRUE,"CPRD";#N/A,#N/A,TRUE,"BCCPDR";#N/A,#N/A,TRUE,"EWRD";#N/A,#N/A,TRUE,"5100";#N/A,#N/A,TRUE,"5110"}</definedName>
    <definedName name="_dog1" localSheetId="0"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Fill" localSheetId="10" hidden="1">#REF!</definedName>
    <definedName name="_Fill" localSheetId="11" hidden="1">#REF!</definedName>
    <definedName name="_Fill" hidden="1">#REF!</definedName>
    <definedName name="_xlnm._FilterDatabase" localSheetId="10" hidden="1">#REF!</definedName>
    <definedName name="_xlnm._FilterDatabase" localSheetId="11" hidden="1">#REF!</definedName>
    <definedName name="_xlnm._FilterDatabase" localSheetId="6" hidden="1">#REF!</definedName>
    <definedName name="_xlnm._FilterDatabase" hidden="1">#REF!</definedName>
    <definedName name="_Key1" localSheetId="10" hidden="1">#REF!</definedName>
    <definedName name="_Key1" localSheetId="11" hidden="1">#REF!</definedName>
    <definedName name="_Key1" hidden="1">#REF!</definedName>
    <definedName name="_Key2" hidden="1">#REF!</definedName>
    <definedName name="_Key3" hidden="1">#REF!</definedName>
    <definedName name="_O1" localSheetId="0"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10" hidden="1">#REF!</definedName>
    <definedName name="_Sort" localSheetId="11"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0"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0" hidden="1">{#N/A,#N/A,FALSE,"资产负债表";#N/A,#N/A,FALSE,"资产负债表"}</definedName>
    <definedName name="aaz" hidden="1">{#N/A,#N/A,FALSE,"资产负债表";#N/A,#N/A,FALSE,"资产负债表"}</definedName>
    <definedName name="AccessDatabase" hidden="1">"F:\Track-Pur\Sachs-2000.mdb"</definedName>
    <definedName name="ada" localSheetId="0" hidden="1">{#N/A,#N/A,FALSE,"资产负债表";#N/A,#N/A,FALSE,"资产负债表"}</definedName>
    <definedName name="ada" hidden="1">{#N/A,#N/A,FALSE,"资产负债表";#N/A,#N/A,FALSE,"资产负债表"}</definedName>
    <definedName name="adaf" localSheetId="0" hidden="1">{#N/A,#N/A,FALSE,"资产负债表";#N/A,#N/A,FALSE,"资产负债表"}</definedName>
    <definedName name="adaf" hidden="1">{#N/A,#N/A,FALSE,"资产负债表";#N/A,#N/A,FALSE,"资产负债表"}</definedName>
    <definedName name="adas" localSheetId="5"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df" hidden="1">{"toptrial",#N/A,TRUE,"toptrial";"adjustment",#N/A,TRUE,"toptrial";"voucher",#N/A,TRUE,"toptrial"}</definedName>
    <definedName name="afhai" localSheetId="0" hidden="1">{#N/A,#N/A,FALSE,"资产负债表";#N/A,#N/A,FALSE,"资产负债表"}</definedName>
    <definedName name="afhai" hidden="1">{#N/A,#N/A,FALSE,"资产负债表";#N/A,#N/A,FALSE,"资产负债表"}</definedName>
    <definedName name="afsdavad" hidden="1">#REF!</definedName>
    <definedName name="AGEDDATABASE" localSheetId="5" hidden="1">{#N/A,#N/A,FALSE,"970301";#N/A,#N/A,FALSE,"970302";#N/A,#N/A,FALSE,"970303";#N/A,#N/A,FALSE,"970304";#N/A,#N/A,FALSE,"COM1";#N/A,#N/A,FALSE,"COM2"}</definedName>
    <definedName name="AGEDDATABASE" localSheetId="9" hidden="1">{#N/A,#N/A,FALSE,"970301";#N/A,#N/A,FALSE,"970302";#N/A,#N/A,FALSE,"970303";#N/A,#N/A,FALSE,"970304";#N/A,#N/A,FALSE,"COM1";#N/A,#N/A,FALSE,"COM2"}</definedName>
    <definedName name="AGEDDATABASE" localSheetId="0" hidden="1">{#N/A,#N/A,FALSE,"970301";#N/A,#N/A,FALSE,"970302";#N/A,#N/A,FALSE,"970303";#N/A,#N/A,FALSE,"970304";#N/A,#N/A,FALSE,"COM1";#N/A,#N/A,FALSE,"COM2"}</definedName>
    <definedName name="AGEDDATABASE" hidden="1">{#N/A,#N/A,FALSE,"970301";#N/A,#N/A,FALSE,"970302";#N/A,#N/A,FALSE,"970303";#N/A,#N/A,FALSE,"970304";#N/A,#N/A,FALSE,"COM1";#N/A,#N/A,FALSE,"COM2"}</definedName>
    <definedName name="aidhaif" localSheetId="0" hidden="1">{#N/A,#N/A,FALSE,"资产负债表";#N/A,#N/A,FALSE,"资产负债表"}</definedName>
    <definedName name="aidhaif" hidden="1">{#N/A,#N/A,FALSE,"资产负债表";#N/A,#N/A,FALSE,"资产负债表"}</definedName>
    <definedName name="anakf" localSheetId="0"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10" hidden="1">#REF!</definedName>
    <definedName name="AS2TickmarkLS" localSheetId="11" hidden="1">#REF!</definedName>
    <definedName name="AS2TickmarkLS" hidden="1">#REF!</definedName>
    <definedName name="AS2VersionLS" hidden="1">300</definedName>
    <definedName name="asdas" localSheetId="5" hidden="1">{#N/A,#N/A,FALSE,"Marketing";#N/A,#N/A,FALSE,"Selling";#N/A,#N/A,FALSE,"Promotional";#N/A,#N/A,FALSE,"Advertising"}</definedName>
    <definedName name="asdas" localSheetId="9" hidden="1">{#N/A,#N/A,FALSE,"Marketing";#N/A,#N/A,FALSE,"Selling";#N/A,#N/A,FALSE,"Promotional";#N/A,#N/A,FALSE,"Advertising"}</definedName>
    <definedName name="asdas" localSheetId="0" hidden="1">{#N/A,#N/A,FALSE,"Marketing";#N/A,#N/A,FALSE,"Selling";#N/A,#N/A,FALSE,"Promotional";#N/A,#N/A,FALSE,"Advertising"}</definedName>
    <definedName name="asdas" hidden="1">{#N/A,#N/A,FALSE,"Marketing";#N/A,#N/A,FALSE,"Selling";#N/A,#N/A,FALSE,"Promotional";#N/A,#N/A,FALSE,"Advertising"}</definedName>
    <definedName name="asdg" localSheetId="0" hidden="1">{#N/A,#N/A,FALSE,"资产负债表";#N/A,#N/A,FALSE,"资产负债表"}</definedName>
    <definedName name="asdg" hidden="1">{#N/A,#N/A,FALSE,"资产负债表";#N/A,#N/A,FALSE,"资产负债表"}</definedName>
    <definedName name="ass" localSheetId="5" hidden="1">{#N/A,#N/A,TRUE,"CPRD";#N/A,#N/A,TRUE,"BCCPDR";#N/A,#N/A,TRUE,"EWRD";#N/A,#N/A,TRUE,"5100";#N/A,#N/A,TRUE,"5110"}</definedName>
    <definedName name="ass" localSheetId="9" hidden="1">{#N/A,#N/A,TRUE,"CPRD";#N/A,#N/A,TRUE,"BCCPDR";#N/A,#N/A,TRUE,"EWRD";#N/A,#N/A,TRUE,"5100";#N/A,#N/A,TRUE,"5110"}</definedName>
    <definedName name="ass" localSheetId="10" hidden="1">{#N/A,#N/A,TRUE,"CPRD";#N/A,#N/A,TRUE,"BCCPDR";#N/A,#N/A,TRUE,"EWRD";#N/A,#N/A,TRUE,"5100";#N/A,#N/A,TRUE,"5110"}</definedName>
    <definedName name="ass" localSheetId="11" hidden="1">{#N/A,#N/A,TRUE,"CPRD";#N/A,#N/A,TRUE,"BCCPDR";#N/A,#N/A,TRUE,"EWRD";#N/A,#N/A,TRUE,"5100";#N/A,#N/A,TRUE,"5110"}</definedName>
    <definedName name="ass" localSheetId="0"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0"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0" hidden="1">{#N/A,#N/A,FALSE,"OffAdvance";#N/A,#N/A,FALSE,"OffExpRprt";#N/A,#N/A,FALSE,"Travelling";#N/A,#N/A,FALSE,"Entertmnt";#N/A,#N/A,FALSE,"Promotion"}</definedName>
    <definedName name="book.2" hidden="1">{#N/A,#N/A,FALSE,"OffAdvance";#N/A,#N/A,FALSE,"OffExpRprt";#N/A,#N/A,FALSE,"Travelling";#N/A,#N/A,FALSE,"Entertmnt";#N/A,#N/A,FALSE,"Promotion"}</definedName>
    <definedName name="BYD" localSheetId="5" hidden="1">{#N/A,#N/A,FALSE,"Earn'gs &amp; Val'n";#N/A,#N/A,FALSE,"Interim"}</definedName>
    <definedName name="BYD" localSheetId="9" hidden="1">{#N/A,#N/A,FALSE,"Earn'gs &amp; Val'n";#N/A,#N/A,FALSE,"Interim"}</definedName>
    <definedName name="BYD" localSheetId="0" hidden="1">{#N/A,#N/A,FALSE,"Earn'gs &amp; Val'n";#N/A,#N/A,FALSE,"Interim"}</definedName>
    <definedName name="BYD" hidden="1">{#N/A,#N/A,FALSE,"Earn'gs &amp; Val'n";#N/A,#N/A,FALSE,"Interim"}</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0" hidden="1">{#N/A,#N/A,FALSE,"资产负债表";#N/A,#N/A,FALSE,"资产负债表"}</definedName>
    <definedName name="cccvb" hidden="1">{#N/A,#N/A,FALSE,"资产负债表";#N/A,#N/A,FALSE,"资产负债表"}</definedName>
    <definedName name="CFVVHH" localSheetId="0" hidden="1">{#N/A,#N/A,FALSE,"资产负债表";#N/A,#N/A,FALSE,"资产负债表"}</definedName>
    <definedName name="CFVVHH" hidden="1">{#N/A,#N/A,FALSE,"资产负债表";#N/A,#N/A,FALSE,"资产负债表"}</definedName>
    <definedName name="cfyik" localSheetId="0" hidden="1">{#N/A,#N/A,FALSE,"资产负债表";#N/A,#N/A,FALSE,"资产负债表"}</definedName>
    <definedName name="cfyik" hidden="1">{#N/A,#N/A,FALSE,"资产负债表";#N/A,#N/A,FALSE,"资产负债表"}</definedName>
    <definedName name="cgul" localSheetId="0" hidden="1">{#N/A,#N/A,FALSE,"资产负债表";#N/A,#N/A,FALSE,"资产负债表"}</definedName>
    <definedName name="cgul" hidden="1">{#N/A,#N/A,FALSE,"资产负债表";#N/A,#N/A,FALSE,"资产负债表"}</definedName>
    <definedName name="cguocnbnl" localSheetId="0" hidden="1">{#N/A,#N/A,FALSE,"资产负债表";#N/A,#N/A,FALSE,"资产负债表"}</definedName>
    <definedName name="cguocnbnl" hidden="1">{#N/A,#N/A,FALSE,"资产负债表";#N/A,#N/A,FALSE,"资产负债表"}</definedName>
    <definedName name="Coll" localSheetId="5" hidden="1">{#N/A,#N/A,FALSE,"970301";#N/A,#N/A,FALSE,"970302";#N/A,#N/A,FALSE,"970303";#N/A,#N/A,FALSE,"970304";#N/A,#N/A,FALSE,"COM1";#N/A,#N/A,FALSE,"COM2"}</definedName>
    <definedName name="Coll" localSheetId="9" hidden="1">{#N/A,#N/A,FALSE,"970301";#N/A,#N/A,FALSE,"970302";#N/A,#N/A,FALSE,"970303";#N/A,#N/A,FALSE,"970304";#N/A,#N/A,FALSE,"COM1";#N/A,#N/A,FALSE,"COM2"}</definedName>
    <definedName name="Coll" localSheetId="0"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0" hidden="1">{#N/A,#N/A,FALSE,"资产负债表";#N/A,#N/A,FALSE,"资产负债表"}</definedName>
    <definedName name="dcca" hidden="1">{#N/A,#N/A,FALSE,"资产负债表";#N/A,#N/A,FALSE,"资产负债表"}</definedName>
    <definedName name="dfgdafsg" localSheetId="0"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h" hidden="1">{"M4Print",#N/A,FALSE,"M4"}</definedName>
    <definedName name="display_area_2" hidden="1">#REF!</definedName>
    <definedName name="dlf" localSheetId="0"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5" hidden="1">{#N/A,#N/A,TRUE,"CPRD";#N/A,#N/A,TRUE,"BCCPDR";#N/A,#N/A,TRUE,"EWRD";#N/A,#N/A,TRUE,"5100";#N/A,#N/A,TRUE,"5110"}</definedName>
    <definedName name="doddd" localSheetId="9" hidden="1">{#N/A,#N/A,TRUE,"CPRD";#N/A,#N/A,TRUE,"BCCPDR";#N/A,#N/A,TRUE,"EWRD";#N/A,#N/A,TRUE,"5100";#N/A,#N/A,TRUE,"5110"}</definedName>
    <definedName name="doddd" localSheetId="10" hidden="1">{#N/A,#N/A,TRUE,"CPRD";#N/A,#N/A,TRUE,"BCCPDR";#N/A,#N/A,TRUE,"EWRD";#N/A,#N/A,TRUE,"5100";#N/A,#N/A,TRUE,"5110"}</definedName>
    <definedName name="doddd" localSheetId="11" hidden="1">{#N/A,#N/A,TRUE,"CPRD";#N/A,#N/A,TRUE,"BCCPDR";#N/A,#N/A,TRUE,"EWRD";#N/A,#N/A,TRUE,"5100";#N/A,#N/A,TRUE,"5110"}</definedName>
    <definedName name="doddd" localSheetId="0"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5" hidden="1">{#N/A,#N/A,TRUE,"CPRD";#N/A,#N/A,TRUE,"BCCPDR";#N/A,#N/A,TRUE,"EWRD";#N/A,#N/A,TRUE,"5100";#N/A,#N/A,TRUE,"5110"}</definedName>
    <definedName name="dog" localSheetId="9" hidden="1">{#N/A,#N/A,TRUE,"CPRD";#N/A,#N/A,TRUE,"BCCPDR";#N/A,#N/A,TRUE,"EWRD";#N/A,#N/A,TRUE,"5100";#N/A,#N/A,TRUE,"5110"}</definedName>
    <definedName name="dog" localSheetId="10" hidden="1">{#N/A,#N/A,TRUE,"CPRD";#N/A,#N/A,TRUE,"BCCPDR";#N/A,#N/A,TRUE,"EWRD";#N/A,#N/A,TRUE,"5100";#N/A,#N/A,TRUE,"5110"}</definedName>
    <definedName name="dog" localSheetId="11" hidden="1">{#N/A,#N/A,TRUE,"CPRD";#N/A,#N/A,TRUE,"BCCPDR";#N/A,#N/A,TRUE,"EWRD";#N/A,#N/A,TRUE,"5100";#N/A,#N/A,TRUE,"5110"}</definedName>
    <definedName name="dog" localSheetId="0"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0" hidden="1">{#N/A,#N/A,FALSE,"资产负债表";#N/A,#N/A,FALSE,"资产负债表"}</definedName>
    <definedName name="dvbm" hidden="1">{#N/A,#N/A,FALSE,"资产负债表";#N/A,#N/A,FALSE,"资产负债表"}</definedName>
    <definedName name="ehdg" localSheetId="5" hidden="1">{#N/A,#N/A,FALSE,"Jan"}</definedName>
    <definedName name="ehdg" localSheetId="9" hidden="1">{#N/A,#N/A,FALSE,"Jan"}</definedName>
    <definedName name="ehdg" localSheetId="0" hidden="1">{#N/A,#N/A,FALSE,"Jan"}</definedName>
    <definedName name="ehdg" localSheetId="6" hidden="1">{#N/A,#N/A,FALSE,"Jan"}</definedName>
    <definedName name="ehdg" hidden="1">{#N/A,#N/A,FALSE,"Jan"}</definedName>
    <definedName name="erf" localSheetId="0" hidden="1">{#N/A,#N/A,FALSE,"970301";#N/A,#N/A,FALSE,"970302";#N/A,#N/A,FALSE,"970303";#N/A,#N/A,FALSE,"970304";#N/A,#N/A,FALSE,"COM1";#N/A,#N/A,FALSE,"COM2"}</definedName>
    <definedName name="erf" hidden="1">{#N/A,#N/A,FALSE,"970301";#N/A,#N/A,FALSE,"970302";#N/A,#N/A,FALSE,"970303";#N/A,#N/A,FALSE,"970304";#N/A,#N/A,FALSE,"COM1";#N/A,#N/A,FALSE,"COM2"}</definedName>
    <definedName name="eryj" localSheetId="0" hidden="1">{#N/A,#N/A,FALSE,"资产负债表";#N/A,#N/A,FALSE,"资产负债表"}</definedName>
    <definedName name="eryj" hidden="1">{#N/A,#N/A,FALSE,"资产负债表";#N/A,#N/A,FALSE,"资产负债表"}</definedName>
    <definedName name="EV__LASTREFTIME__" hidden="1">39274.4724884259</definedName>
    <definedName name="ExpenseUpload" localSheetId="5" hidden="1">{#N/A,#N/A,TRUE,"CPRD";#N/A,#N/A,TRUE,"BCCPDR";#N/A,#N/A,TRUE,"EWRD";#N/A,#N/A,TRUE,"5100";#N/A,#N/A,TRUE,"5110"}</definedName>
    <definedName name="ExpenseUpload" localSheetId="9" hidden="1">{#N/A,#N/A,TRUE,"CPRD";#N/A,#N/A,TRUE,"BCCPDR";#N/A,#N/A,TRUE,"EWRD";#N/A,#N/A,TRUE,"5100";#N/A,#N/A,TRUE,"5110"}</definedName>
    <definedName name="ExpenseUpload" localSheetId="10" hidden="1">{#N/A,#N/A,TRUE,"CPRD";#N/A,#N/A,TRUE,"BCCPDR";#N/A,#N/A,TRUE,"EWRD";#N/A,#N/A,TRUE,"5100";#N/A,#N/A,TRUE,"5110"}</definedName>
    <definedName name="ExpenseUpload" localSheetId="11" hidden="1">{#N/A,#N/A,TRUE,"CPRD";#N/A,#N/A,TRUE,"BCCPDR";#N/A,#N/A,TRUE,"EWRD";#N/A,#N/A,TRUE,"5100";#N/A,#N/A,TRUE,"5110"}</definedName>
    <definedName name="ExpenseUpload" localSheetId="0"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faif" localSheetId="0" hidden="1">{#N/A,#N/A,FALSE,"资产负债表";#N/A,#N/A,FALSE,"资产负债表"}</definedName>
    <definedName name="faif" hidden="1">{#N/A,#N/A,FALSE,"资产负债表";#N/A,#N/A,FALSE,"资产负债表"}</definedName>
    <definedName name="FCode" hidden="1">#REF!</definedName>
    <definedName name="fd" localSheetId="0" hidden="1">{"M1sPrint",#N/A,FALSE,"M1s"}</definedName>
    <definedName name="fd" hidden="1">{"M1sPrint",#N/A,FALSE,"M1s"}</definedName>
    <definedName name="feedback" localSheetId="5" hidden="1">{#N/A,#N/A,TRUE,"CPRD";#N/A,#N/A,TRUE,"BCCPDR";#N/A,#N/A,TRUE,"EWRD";#N/A,#N/A,TRUE,"5100";#N/A,#N/A,TRUE,"5110"}</definedName>
    <definedName name="feedback" localSheetId="9" hidden="1">{#N/A,#N/A,TRUE,"CPRD";#N/A,#N/A,TRUE,"BCCPDR";#N/A,#N/A,TRUE,"EWRD";#N/A,#N/A,TRUE,"5100";#N/A,#N/A,TRUE,"5110"}</definedName>
    <definedName name="feedback" localSheetId="0" hidden="1">{#N/A,#N/A,TRUE,"CPRD";#N/A,#N/A,TRUE,"BCCPDR";#N/A,#N/A,TRUE,"EWRD";#N/A,#N/A,TRUE,"5100";#N/A,#N/A,TRUE,"5110"}</definedName>
    <definedName name="feedback"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fvb" hidden="1">{#N/A,#N/A,FALSE,"资产负债表";#N/A,#N/A,FALSE,"资产负债表"}</definedName>
    <definedName name="G9IJGF" localSheetId="0" hidden="1">{#N/A,#N/A,FALSE,"资产负债表";#N/A,#N/A,FALSE,"资产负债表"}</definedName>
    <definedName name="G9IJGF" hidden="1">{#N/A,#N/A,FALSE,"资产负债表";#N/A,#N/A,FALSE,"资产负债表"}</definedName>
    <definedName name="hadiah" localSheetId="0" hidden="1">{#N/A,#N/A,FALSE,"资产负债表";#N/A,#N/A,FALSE,"资产负债表"}</definedName>
    <definedName name="hadiah" hidden="1">{#N/A,#N/A,FALSE,"资产负债表";#N/A,#N/A,FALSE,"资产负债表"}</definedName>
    <definedName name="HdctTrnd" localSheetId="5" hidden="1">{#N/A,#N/A,TRUE,"CPRD";#N/A,#N/A,TRUE,"BCCPDR";#N/A,#N/A,TRUE,"EWRD";#N/A,#N/A,TRUE,"5100";#N/A,#N/A,TRUE,"5110"}</definedName>
    <definedName name="HdctTrnd" localSheetId="9" hidden="1">{#N/A,#N/A,TRUE,"CPRD";#N/A,#N/A,TRUE,"BCCPDR";#N/A,#N/A,TRUE,"EWRD";#N/A,#N/A,TRUE,"5100";#N/A,#N/A,TRUE,"5110"}</definedName>
    <definedName name="HdctTrnd" localSheetId="10" hidden="1">{#N/A,#N/A,TRUE,"CPRD";#N/A,#N/A,TRUE,"BCCPDR";#N/A,#N/A,TRUE,"EWRD";#N/A,#N/A,TRUE,"5100";#N/A,#N/A,TRUE,"5110"}</definedName>
    <definedName name="HdctTrnd" localSheetId="11" hidden="1">{#N/A,#N/A,TRUE,"CPRD";#N/A,#N/A,TRUE,"BCCPDR";#N/A,#N/A,TRUE,"EWRD";#N/A,#N/A,TRUE,"5100";#N/A,#N/A,TRUE,"5110"}</definedName>
    <definedName name="HdctTrnd" localSheetId="0"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iddenRows" hidden="1">#REF!</definedName>
    <definedName name="HTL_Cotrol1" localSheetId="0" hidden="1">{"'Sheet3'!$A$47:$M$47"}</definedName>
    <definedName name="HTL_Cotrol1" hidden="1">{"'Sheet3'!$A$47:$M$47"}</definedName>
    <definedName name="HTML_CodePage" hidden="1">1252</definedName>
    <definedName name="HTML_Control" localSheetId="5" hidden="1">{"'Vxxe_times_J750 (2)'!$A$3:$E$14"}</definedName>
    <definedName name="HTML_Control" localSheetId="9" hidden="1">{"'Vxxe_times_J750 (2)'!$A$3:$E$14"}</definedName>
    <definedName name="HTML_Control" localSheetId="10" hidden="1">{"'Vxxe_times_J750 (2)'!$A$3:$E$14"}</definedName>
    <definedName name="HTML_Control" localSheetId="11" hidden="1">{"'Vxxe_times_J750 (2)'!$A$3:$E$14"}</definedName>
    <definedName name="HTML_Control" localSheetId="0"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0" hidden="1">{#N/A,#N/A,FALSE,"资产负债表";#N/A,#N/A,FALSE,"资产负债表"}</definedName>
    <definedName name="hueoa" hidden="1">{#N/A,#N/A,FALSE,"资产负债表";#N/A,#N/A,FALSE,"资产负债表"}</definedName>
    <definedName name="hylinkcount" hidden="1">22</definedName>
    <definedName name="ieji" localSheetId="0"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0" hidden="1">{"M4Print",#N/A,FALSE,"M4"}</definedName>
    <definedName name="jdda" hidden="1">{"M4Print",#N/A,FALSE,"M4"}</definedName>
    <definedName name="jdfslsajdflasdkjpf" localSheetId="0"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0" hidden="1">{"M1sPrint",#N/A,FALSE,"M1s"}</definedName>
    <definedName name="jfgh" hidden="1">{"M1sPrint",#N/A,FALSE,"M1s"}</definedName>
    <definedName name="jgfhfg" localSheetId="0" hidden="1">{"M1sPrint",#N/A,FALSE,"M1s"}</definedName>
    <definedName name="jgfhfg" hidden="1">{"M1sPrint",#N/A,FALSE,"M1s"}</definedName>
    <definedName name="jlj" localSheetId="0" hidden="1">{"M2aPrint",#N/A,FALSE,"M2a"}</definedName>
    <definedName name="jlj" hidden="1">{"M2aPrint",#N/A,FALSE,"M2a"}</definedName>
    <definedName name="jughn" localSheetId="0" hidden="1">{"M7_1Print",#N/A,TRUE,"M7_1";"M7_2Print",#N/A,TRUE,"M7_2"}</definedName>
    <definedName name="jughn" hidden="1">{"M7_1Print",#N/A,TRUE,"M7_1";"M7_2Print",#N/A,TRUE,"M7_2"}</definedName>
    <definedName name="jytj" localSheetId="0" hidden="1">{"M7_1Print",#N/A,TRUE,"M7_1";"M7_2Print",#N/A,TRUE,"M7_2"}</definedName>
    <definedName name="jytj" hidden="1">{"M7_1Print",#N/A,TRUE,"M7_1";"M7_2Print",#N/A,TRUE,"M7_2"}</definedName>
    <definedName name="K2_WBEVMODE" hidden="1">-1</definedName>
    <definedName name="kljik" localSheetId="0" hidden="1">{#N/A,#N/A,FALSE,"OffAdvance";#N/A,#N/A,FALSE,"OffExpRprt";#N/A,#N/A,FALSE,"Entertmnt";#N/A,#N/A,FALSE,"Promotion";#N/A,#N/A,FALSE,"Travelling"}</definedName>
    <definedName name="kljik" hidden="1">{#N/A,#N/A,FALSE,"OffAdvance";#N/A,#N/A,FALSE,"OffExpRprt";#N/A,#N/A,FALSE,"Entertmnt";#N/A,#N/A,FALSE,"Promotion";#N/A,#N/A,FALSE,"Travelling"}</definedName>
    <definedName name="kuj" localSheetId="0" hidden="1">{"M6Print",#N/A,FALSE,"M6";"M6_1Print",#N/A,FALSE,"M6_1";"M6_2Print",#N/A,FALSE,"M6_2"}</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localSheetId="0" hidden="1">{"M1sPrint",#N/A,FALSE,"M1s"}</definedName>
    <definedName name="lu" hidden="1">{"M1sPrint",#N/A,FALSE,"M1s"}</definedName>
    <definedName name="M_PlaceofPath" hidden="1">"F:\danders\COMPANY\HET\HET_VDF.XLS"</definedName>
    <definedName name="n" localSheetId="0" hidden="1">{"M2Print",#N/A,FALSE,"M2"}</definedName>
    <definedName name="n"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5" hidden="1">{#N/A,#N/A,TRUE,"CPRD";#N/A,#N/A,TRUE,"BCCPDR";#N/A,#N/A,TRUE,"EWRD";#N/A,#N/A,TRUE,"5100";#N/A,#N/A,TRUE,"5110"}</definedName>
    <definedName name="notused" localSheetId="9" hidden="1">{#N/A,#N/A,TRUE,"CPRD";#N/A,#N/A,TRUE,"BCCPDR";#N/A,#N/A,TRUE,"EWRD";#N/A,#N/A,TRUE,"5100";#N/A,#N/A,TRUE,"5110"}</definedName>
    <definedName name="notused" localSheetId="10" hidden="1">{#N/A,#N/A,TRUE,"CPRD";#N/A,#N/A,TRUE,"BCCPDR";#N/A,#N/A,TRUE,"EWRD";#N/A,#N/A,TRUE,"5100";#N/A,#N/A,TRUE,"5110"}</definedName>
    <definedName name="notused" localSheetId="11" hidden="1">{#N/A,#N/A,TRUE,"CPRD";#N/A,#N/A,TRUE,"BCCPDR";#N/A,#N/A,TRUE,"EWRD";#N/A,#N/A,TRUE,"5100";#N/A,#N/A,TRUE,"5110"}</definedName>
    <definedName name="notused" localSheetId="0"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ooo" localSheetId="5" hidden="1">{#N/A,#N/A,FALSE,"Sales  total 9712";#N/A,#N/A,FALSE,"Sales  total 9712";#N/A,#N/A,FALSE,"Sales  total 9712";#N/A,#N/A,FALSE,"Sales  total 9712"}</definedName>
    <definedName name="ooo" localSheetId="9" hidden="1">{#N/A,#N/A,FALSE,"Sales  total 9712";#N/A,#N/A,FALSE,"Sales  total 9712";#N/A,#N/A,FALSE,"Sales  total 9712";#N/A,#N/A,FALSE,"Sales  total 9712"}</definedName>
    <definedName name="ooo" localSheetId="0" hidden="1">{#N/A,#N/A,FALSE,"Sales  total 9712";#N/A,#N/A,FALSE,"Sales  total 9712";#N/A,#N/A,FALSE,"Sales  total 9712";#N/A,#N/A,FALSE,"Sales  total 9712"}</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5" hidden="1">{"M2aPrint",#N/A,FALSE,"M2a"}</definedName>
    <definedName name="qwertyuiopasdfghjkl" localSheetId="9" hidden="1">{"M2aPrint",#N/A,FALSE,"M2a"}</definedName>
    <definedName name="qwertyuiopasdfghjkl" localSheetId="10" hidden="1">{"M2aPrint",#N/A,FALSE,"M2a"}</definedName>
    <definedName name="qwertyuiopasdfghjkl" localSheetId="11" hidden="1">{"M2aPrint",#N/A,FALSE,"M2a"}</definedName>
    <definedName name="qwertyuiopasdfghjkl" localSheetId="0" hidden="1">{"M2aPrint",#N/A,FALSE,"M2a"}</definedName>
    <definedName name="qwertyuiopasdfghjkl" localSheetId="6" hidden="1">{"M2aPrint",#N/A,FALSE,"M2a"}</definedName>
    <definedName name="qwertyuiopasdfghjkl" hidden="1">{"M2aPrint",#N/A,FALSE,"M2a"}</definedName>
    <definedName name="qwwertyuiop" localSheetId="5" hidden="1">{"M2Print",#N/A,FALSE,"M2"}</definedName>
    <definedName name="qwwertyuiop" localSheetId="9" hidden="1">{"M2Print",#N/A,FALSE,"M2"}</definedName>
    <definedName name="qwwertyuiop" localSheetId="10" hidden="1">{"M2Print",#N/A,FALSE,"M2"}</definedName>
    <definedName name="qwwertyuiop" localSheetId="11" hidden="1">{"M2Print",#N/A,FALSE,"M2"}</definedName>
    <definedName name="qwwertyuiop" localSheetId="0" hidden="1">{"M2Print",#N/A,FALSE,"M2"}</definedName>
    <definedName name="qwwertyuiop" localSheetId="6" hidden="1">{"M2Print",#N/A,FALSE,"M2"}</definedName>
    <definedName name="qwwertyuiop" hidden="1">{"M2Print",#N/A,FALSE,"M2"}</definedName>
    <definedName name="RCArea" hidden="1">#REF!</definedName>
    <definedName name="RJE" localSheetId="0"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localSheetId="0" hidden="1">{"M1sPrint",#N/A,FALSE,"M1s"}</definedName>
    <definedName name="sdfs" hidden="1">{"M1sPrint",#N/A,FALSE,"M1s"}</definedName>
    <definedName name="Sheet1_BNE_MESSAGES" localSheetId="10" hidden="1">#REF!</definedName>
    <definedName name="Sheet1_BNE_MESSAGES" localSheetId="11"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localSheetId="0" hidden="1">{#N/A,#N/A,FALSE,"资产负债表";#N/A,#N/A,FALSE,"资产负债表"}</definedName>
    <definedName name="sssz" hidden="1">{#N/A,#N/A,FALSE,"资产负债表";#N/A,#N/A,FALSE,"资产负债表"}</definedName>
    <definedName name="tbl_ProdInfo" hidden="1">#REF!</definedName>
    <definedName name="terh" localSheetId="0"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6" hidden="1">4</definedName>
    <definedName name="TextRefCopyRangeCount" hidden="1">5</definedName>
    <definedName name="tfhg" localSheetId="0" hidden="1">{"M1Print",#N/A,FALSE,"M1"}</definedName>
    <definedName name="tfhg" hidden="1">{"M1Print",#N/A,FALSE,"M1"}</definedName>
    <definedName name="the" localSheetId="0" hidden="1">{#N/A,#N/A,FALSE,"Marketing";#N/A,#N/A,FALSE,"Selling";#N/A,#N/A,FALSE,"Promotional";#N/A,#N/A,FALSE,"Advertising"}</definedName>
    <definedName name="the" hidden="1">{#N/A,#N/A,FALSE,"Marketing";#N/A,#N/A,FALSE,"Selling";#N/A,#N/A,FALSE,"Promotional";#N/A,#N/A,FALSE,"Advertising"}</definedName>
    <definedName name="ulead" localSheetId="0" hidden="1">{#N/A,#N/A,FALSE,"970301";#N/A,#N/A,FALSE,"970302";#N/A,#N/A,FALSE,"970303";#N/A,#N/A,FALSE,"970304";#N/A,#N/A,FALSE,"COM1";#N/A,#N/A,FALSE,"COM2"}</definedName>
    <definedName name="ulead" hidden="1">{#N/A,#N/A,FALSE,"970301";#N/A,#N/A,FALSE,"970302";#N/A,#N/A,FALSE,"970303";#N/A,#N/A,FALSE,"970304";#N/A,#N/A,FALSE,"COM1";#N/A,#N/A,FALSE,"COM2"}</definedName>
    <definedName name="uygh" localSheetId="0" hidden="1">{"M6Print",#N/A,FALSE,"M6";"M6_1Print",#N/A,FALSE,"M6_1";"M6_2Print",#N/A,FALSE,"M6_2"}</definedName>
    <definedName name="uygh" hidden="1">{"M6Print",#N/A,FALSE,"M6";"M6_1Print",#N/A,FALSE,"M6_1";"M6_2Print",#N/A,FALSE,"M6_2"}</definedName>
    <definedName name="vhvkb" localSheetId="0" hidden="1">{#N/A,#N/A,FALSE,"资产负债表";#N/A,#N/A,FALSE,"资产负债表"}</definedName>
    <definedName name="vhvkb" hidden="1">{#N/A,#N/A,FALSE,"资产负债表";#N/A,#N/A,FALSE,"资产负债表"}</definedName>
    <definedName name="werwefasd" hidden="1">#REF!</definedName>
    <definedName name="wrn.Aging._.and._.Trend._.Analysis." localSheetId="5"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5" hidden="1">{#N/A,#N/A,FALSE,"SUM";#N/A,#N/A,FALSE,"SK_TOT";#N/A,#N/A,FALSE,"YM";#N/A,#N/A,FALSE,"TSMC";#N/A,#N/A,FALSE,"ICW";#N/A,#N/A,FALSE,"Sheet1"}</definedName>
    <definedName name="wrn.ALL." localSheetId="9" hidden="1">{#N/A,#N/A,FALSE,"SUM";#N/A,#N/A,FALSE,"SK_TOT";#N/A,#N/A,FALSE,"YM";#N/A,#N/A,FALSE,"TSMC";#N/A,#N/A,FALSE,"ICW";#N/A,#N/A,FALSE,"Sheet1"}</definedName>
    <definedName name="wrn.ALL." localSheetId="10" hidden="1">{#N/A,#N/A,FALSE,"SUM";#N/A,#N/A,FALSE,"SK_TOT";#N/A,#N/A,FALSE,"YM";#N/A,#N/A,FALSE,"TSMC";#N/A,#N/A,FALSE,"ICW";#N/A,#N/A,FALSE,"Sheet1"}</definedName>
    <definedName name="wrn.ALL." localSheetId="11" hidden="1">{#N/A,#N/A,FALSE,"SUM";#N/A,#N/A,FALSE,"SK_TOT";#N/A,#N/A,FALSE,"YM";#N/A,#N/A,FALSE,"TSMC";#N/A,#N/A,FALSE,"ICW";#N/A,#N/A,FALSE,"Sheet1"}</definedName>
    <definedName name="wrn.ALL." localSheetId="0"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5"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5"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5"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5" hidden="1">{#N/A,#N/A,FALSE,"Deposits by day"}</definedName>
    <definedName name="wrn.Deposit._.By._.Day." localSheetId="9" hidden="1">{#N/A,#N/A,FALSE,"Deposits by day"}</definedName>
    <definedName name="wrn.Deposit._.By._.Day." localSheetId="0" hidden="1">{#N/A,#N/A,FALSE,"Deposits by day"}</definedName>
    <definedName name="wrn.Deposit._.By._.Day." localSheetId="6" hidden="1">{#N/A,#N/A,FALSE,"Deposits by day"}</definedName>
    <definedName name="wrn.Deposit._.By._.Day." hidden="1">{#N/A,#N/A,FALSE,"Deposits by day"}</definedName>
    <definedName name="wrn.Deptartment._.Expenses." localSheetId="5" hidden="1">{#N/A,#N/A,TRUE,"CPRD";#N/A,#N/A,TRUE,"BCCPDR";#N/A,#N/A,TRUE,"EWRD";#N/A,#N/A,TRUE,"5100";#N/A,#N/A,TRUE,"5110"}</definedName>
    <definedName name="wrn.Deptartment._.Expenses." localSheetId="9" hidden="1">{#N/A,#N/A,TRUE,"CPRD";#N/A,#N/A,TRUE,"BCCPDR";#N/A,#N/A,TRUE,"EWRD";#N/A,#N/A,TRUE,"5100";#N/A,#N/A,TRUE,"5110"}</definedName>
    <definedName name="wrn.Deptartment._.Expenses." localSheetId="10" hidden="1">{#N/A,#N/A,TRUE,"CPRD";#N/A,#N/A,TRUE,"BCCPDR";#N/A,#N/A,TRUE,"EWRD";#N/A,#N/A,TRUE,"5100";#N/A,#N/A,TRUE,"5110"}</definedName>
    <definedName name="wrn.Deptartment._.Expenses." localSheetId="11" hidden="1">{#N/A,#N/A,TRUE,"CPRD";#N/A,#N/A,TRUE,"BCCPDR";#N/A,#N/A,TRUE,"EWRD";#N/A,#N/A,TRUE,"5100";#N/A,#N/A,TRUE,"5110"}</definedName>
    <definedName name="wrn.Deptartment._.Expenses." localSheetId="0"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ERNST." localSheetId="0"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5" hidden="1">{#N/A,#N/A,FALSE,"OffAdvance";#N/A,#N/A,FALSE,"OffExpRprt";#N/A,#N/A,FALSE,"Entertmnt";#N/A,#N/A,FALSE,"Promotion";#N/A,#N/A,FALSE,"Travelling"}</definedName>
    <definedName name="wrn.form." localSheetId="9" hidden="1">{#N/A,#N/A,FALSE,"OffAdvance";#N/A,#N/A,FALSE,"OffExpRprt";#N/A,#N/A,FALSE,"Entertmnt";#N/A,#N/A,FALSE,"Promotion";#N/A,#N/A,FALSE,"Travelling"}</definedName>
    <definedName name="wrn.form." localSheetId="0"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0" hidden="1">{#N/A,#N/A,FALSE,"资产负债表";#N/A,#N/A,FALSE,"资产负债表"}</definedName>
    <definedName name="wrn.gb." hidden="1">{#N/A,#N/A,FALSE,"资产负债表";#N/A,#N/A,FALSE,"资产负债表"}</definedName>
    <definedName name="wrn.Input._.Data." localSheetId="0" hidden="1">{"Input_Fin",#N/A,FALSE,"By Code";"Input_Opt",#N/A,FALSE,"By Code"}</definedName>
    <definedName name="wrn.Input._.Data." hidden="1">{"Input_Fin",#N/A,FALSE,"By Code";"Input_Opt",#N/A,FALSE,"By Code"}</definedName>
    <definedName name="wrn.jan." localSheetId="5" hidden="1">{#N/A,#N/A,FALSE,"Jan"}</definedName>
    <definedName name="wrn.jan." localSheetId="9" hidden="1">{#N/A,#N/A,FALSE,"Jan"}</definedName>
    <definedName name="wrn.jan." localSheetId="0" hidden="1">{#N/A,#N/A,FALSE,"Jan"}</definedName>
    <definedName name="wrn.jan." localSheetId="6" hidden="1">{#N/A,#N/A,FALSE,"Jan"}</definedName>
    <definedName name="wrn.jan." hidden="1">{#N/A,#N/A,FALSE,"Jan"}</definedName>
    <definedName name="wrn.M1._.Operating._.Statement." localSheetId="5" hidden="1">{"M1Print",#N/A,FALSE,"M1"}</definedName>
    <definedName name="wrn.M1._.Operating._.Statement." localSheetId="9" hidden="1">{"M1Print",#N/A,FALSE,"M1"}</definedName>
    <definedName name="wrn.M1._.Operating._.Statement." localSheetId="10" hidden="1">{"M1Print",#N/A,FALSE,"M1"}</definedName>
    <definedName name="wrn.M1._.Operating._.Statement." localSheetId="11" hidden="1">{"M1Print",#N/A,FALSE,"M1"}</definedName>
    <definedName name="wrn.M1._.Operating._.Statement." localSheetId="0" hidden="1">{"M1Print",#N/A,FALSE,"M1"}</definedName>
    <definedName name="wrn.M1._.Operating._.Statement." localSheetId="6" hidden="1">{"M1Print",#N/A,FALSE,"M1"}</definedName>
    <definedName name="wrn.M1._.Operating._.Statement." hidden="1">{"M1Print",#N/A,FALSE,"M1"}</definedName>
    <definedName name="wrn.M1s._.Statistics." localSheetId="5" hidden="1">{"M1sPrint",#N/A,FALSE,"M1s"}</definedName>
    <definedName name="wrn.M1s._.Statistics." localSheetId="9" hidden="1">{"M1sPrint",#N/A,FALSE,"M1s"}</definedName>
    <definedName name="wrn.M1s._.Statistics." localSheetId="10" hidden="1">{"M1sPrint",#N/A,FALSE,"M1s"}</definedName>
    <definedName name="wrn.M1s._.Statistics." localSheetId="11" hidden="1">{"M1sPrint",#N/A,FALSE,"M1s"}</definedName>
    <definedName name="wrn.M1s._.Statistics." localSheetId="0" hidden="1">{"M1sPrint",#N/A,FALSE,"M1s"}</definedName>
    <definedName name="wrn.M1s._.Statistics." localSheetId="6" hidden="1">{"M1sPrint",#N/A,FALSE,"M1s"}</definedName>
    <definedName name="wrn.M1s._.Statistics." hidden="1">{"M1sPrint",#N/A,FALSE,"M1s"}</definedName>
    <definedName name="wrn.M2._.Balance._.Sheet." localSheetId="5" hidden="1">{"M2Print",#N/A,FALSE,"M2"}</definedName>
    <definedName name="wrn.M2._.Balance._.Sheet." localSheetId="9" hidden="1">{"M2Print",#N/A,FALSE,"M2"}</definedName>
    <definedName name="wrn.M2._.Balance._.Sheet." localSheetId="10" hidden="1">{"M2Print",#N/A,FALSE,"M2"}</definedName>
    <definedName name="wrn.M2._.Balance._.Sheet." localSheetId="11" hidden="1">{"M2Print",#N/A,FALSE,"M2"}</definedName>
    <definedName name="wrn.M2._.Balance._.Sheet." localSheetId="0" hidden="1">{"M2Print",#N/A,FALSE,"M2"}</definedName>
    <definedName name="wrn.M2._.Balance._.Sheet." localSheetId="6" hidden="1">{"M2Print",#N/A,FALSE,"M2"}</definedName>
    <definedName name="wrn.M2._.Balance._.Sheet." hidden="1">{"M2Print",#N/A,FALSE,"M2"}</definedName>
    <definedName name="wrn.M2a._.Cashflow." localSheetId="5" hidden="1">{"M2aPrint",#N/A,FALSE,"M2a"}</definedName>
    <definedName name="wrn.M2a._.Cashflow." localSheetId="9" hidden="1">{"M2aPrint",#N/A,FALSE,"M2a"}</definedName>
    <definedName name="wrn.M2a._.Cashflow." localSheetId="10" hidden="1">{"M2aPrint",#N/A,FALSE,"M2a"}</definedName>
    <definedName name="wrn.M2a._.Cashflow." localSheetId="11" hidden="1">{"M2aPrint",#N/A,FALSE,"M2a"}</definedName>
    <definedName name="wrn.M2a._.Cashflow." localSheetId="0" hidden="1">{"M2aPrint",#N/A,FALSE,"M2a"}</definedName>
    <definedName name="wrn.M2a._.Cashflow." localSheetId="6" hidden="1">{"M2aPrint",#N/A,FALSE,"M2a"}</definedName>
    <definedName name="wrn.M2a._.Cashflow." hidden="1">{"M2aPrint",#N/A,FALSE,"M2a"}</definedName>
    <definedName name="wrn.M4._.Inventories." localSheetId="5" hidden="1">{"M4Print",#N/A,FALSE,"M4"}</definedName>
    <definedName name="wrn.M4._.Inventories." localSheetId="9" hidden="1">{"M4Print",#N/A,FALSE,"M4"}</definedName>
    <definedName name="wrn.M4._.Inventories." localSheetId="10" hidden="1">{"M4Print",#N/A,FALSE,"M4"}</definedName>
    <definedName name="wrn.M4._.Inventories." localSheetId="11" hidden="1">{"M4Print",#N/A,FALSE,"M4"}</definedName>
    <definedName name="wrn.M4._.Inventories." localSheetId="0" hidden="1">{"M4Print",#N/A,FALSE,"M4"}</definedName>
    <definedName name="wrn.M4._.Inventories." localSheetId="6" hidden="1">{"M4Print",#N/A,FALSE,"M4"}</definedName>
    <definedName name="wrn.M4._.Inventories." hidden="1">{"M4Print",#N/A,FALSE,"M4"}</definedName>
    <definedName name="wrn.M5._.Flash._.and._.Forecast." localSheetId="5" hidden="1">{"M5Print",#N/A,FALSE,"M5"}</definedName>
    <definedName name="wrn.M5._.Flash._.and._.Forecast." localSheetId="9" hidden="1">{"M5Print",#N/A,FALSE,"M5"}</definedName>
    <definedName name="wrn.M5._.Flash._.and._.Forecast." localSheetId="10" hidden="1">{"M5Print",#N/A,FALSE,"M5"}</definedName>
    <definedName name="wrn.M5._.Flash._.and._.Forecast." localSheetId="11" hidden="1">{"M5Print",#N/A,FALSE,"M5"}</definedName>
    <definedName name="wrn.M5._.Flash._.and._.Forecast." localSheetId="0" hidden="1">{"M5Print",#N/A,FALSE,"M5"}</definedName>
    <definedName name="wrn.M5._.Flash._.and._.Forecast." localSheetId="6" hidden="1">{"M5Print",#N/A,FALSE,"M5"}</definedName>
    <definedName name="wrn.M5._.Flash._.and._.Forecast." hidden="1">{"M5Print",#N/A,FALSE,"M5"}</definedName>
    <definedName name="wrn.M6._.Management._.Summary." localSheetId="5" hidden="1">{"M6Print",#N/A,FALSE,"M6";"M6_1Print",#N/A,FALSE,"M6_1";"M6_2Print",#N/A,FALSE,"M6_2"}</definedName>
    <definedName name="wrn.M6._.Management._.Summary." localSheetId="9" hidden="1">{"M6Print",#N/A,FALSE,"M6";"M6_1Print",#N/A,FALSE,"M6_1";"M6_2Print",#N/A,FALSE,"M6_2"}</definedName>
    <definedName name="wrn.M6._.Management._.Summary." localSheetId="10" hidden="1">{"M6Print",#N/A,FALSE,"M6";"M6_1Print",#N/A,FALSE,"M6_1";"M6_2Print",#N/A,FALSE,"M6_2"}</definedName>
    <definedName name="wrn.M6._.Management._.Summary." localSheetId="11" hidden="1">{"M6Print",#N/A,FALSE,"M6";"M6_1Print",#N/A,FALSE,"M6_1";"M6_2Print",#N/A,FALSE,"M6_2"}</definedName>
    <definedName name="wrn.M6._.Management._.Summary." localSheetId="0"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5" hidden="1">{"M7_1Print",#N/A,TRUE,"M7_1";"M7_2Print",#N/A,TRUE,"M7_2"}</definedName>
    <definedName name="wrn.M7._.Financial._.Controllers._.report." localSheetId="9" hidden="1">{"M7_1Print",#N/A,TRUE,"M7_1";"M7_2Print",#N/A,TRUE,"M7_2"}</definedName>
    <definedName name="wrn.M7._.Financial._.Controllers._.report." localSheetId="10" hidden="1">{"M7_1Print",#N/A,TRUE,"M7_1";"M7_2Print",#N/A,TRUE,"M7_2"}</definedName>
    <definedName name="wrn.M7._.Financial._.Controllers._.report." localSheetId="11" hidden="1">{"M7_1Print",#N/A,TRUE,"M7_1";"M7_2Print",#N/A,TRUE,"M7_2"}</definedName>
    <definedName name="wrn.M7._.Financial._.Controllers._.report." localSheetId="0"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Monthly._.Report." localSheetId="5"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5" hidden="1">{#N/A,#N/A,FALSE,"OffAdvance";#N/A,#N/A,FALSE,"OffExpRprt";#N/A,#N/A,FALSE,"Travelling";#N/A,#N/A,FALSE,"Entertmnt";#N/A,#N/A,FALSE,"Promotion"}</definedName>
    <definedName name="wrn.Office." localSheetId="9" hidden="1">{#N/A,#N/A,FALSE,"OffAdvance";#N/A,#N/A,FALSE,"OffExpRprt";#N/A,#N/A,FALSE,"Travelling";#N/A,#N/A,FALSE,"Entertmnt";#N/A,#N/A,FALSE,"Promotion"}</definedName>
    <definedName name="wrn.Office." localSheetId="0"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5" hidden="1">{#N/A,#N/A,FALSE,"Sales  total 9712";#N/A,#N/A,FALSE,"Sales  total 9712";#N/A,#N/A,FALSE,"Sales  total 9712";#N/A,#N/A,FALSE,"Sales  total 9712"}</definedName>
    <definedName name="wrn.REPORT." localSheetId="9" hidden="1">{#N/A,#N/A,FALSE,"Sales  total 9712";#N/A,#N/A,FALSE,"Sales  total 9712";#N/A,#N/A,FALSE,"Sales  total 9712";#N/A,#N/A,FALSE,"Sales  total 9712"}</definedName>
    <definedName name="wrn.REPORT." localSheetId="0"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5" hidden="1">{#N/A,#N/A,FALSE,"Marketing";#N/A,#N/A,FALSE,"Selling";#N/A,#N/A,FALSE,"Promotional";#N/A,#N/A,FALSE,"Advertising"}</definedName>
    <definedName name="wrn.Sales." localSheetId="9" hidden="1">{#N/A,#N/A,FALSE,"Marketing";#N/A,#N/A,FALSE,"Selling";#N/A,#N/A,FALSE,"Promotional";#N/A,#N/A,FALSE,"Advertising"}</definedName>
    <definedName name="wrn.Sales." localSheetId="0" hidden="1">{#N/A,#N/A,FALSE,"Marketing";#N/A,#N/A,FALSE,"Selling";#N/A,#N/A,FALSE,"Promotional";#N/A,#N/A,FALSE,"Advertising"}</definedName>
    <definedName name="wrn.Sales." hidden="1">{#N/A,#N/A,FALSE,"Marketing";#N/A,#N/A,FALSE,"Selling";#N/A,#N/A,FALSE,"Promotional";#N/A,#N/A,FALSE,"Advertising"}</definedName>
    <definedName name="wrn.sunmicro." localSheetId="0" hidden="1">{#N/A,#N/A,FALSE,"FREEMAN";#N/A,#N/A,FALSE,"STEPHEN";#N/A,#N/A,FALSE,"VICTOR"}</definedName>
    <definedName name="wrn.sunmicro." hidden="1">{#N/A,#N/A,FALSE,"FREEMAN";#N/A,#N/A,FALSE,"STEPHEN";#N/A,#N/A,FALSE,"VICTOR"}</definedName>
    <definedName name="wrn.test1." localSheetId="5" hidden="1">{#N/A,#N/A,FALSE,"Earn'gs &amp; Val'n";#N/A,#N/A,FALSE,"Interim"}</definedName>
    <definedName name="wrn.test1." localSheetId="9" hidden="1">{#N/A,#N/A,FALSE,"Earn'gs &amp; Val'n";#N/A,#N/A,FALSE,"Interim"}</definedName>
    <definedName name="wrn.test1." localSheetId="0" hidden="1">{#N/A,#N/A,FALSE,"Earn'gs &amp; Val'n";#N/A,#N/A,FALSE,"Interim"}</definedName>
    <definedName name="wrn.test1." hidden="1">{#N/A,#N/A,FALSE,"Earn'gs &amp; Val'n";#N/A,#N/A,FALSE,"Interim"}</definedName>
    <definedName name="wrn.tope" localSheetId="0" hidden="1">{"toptrial",#N/A,TRUE,"toptrial";"adjustment",#N/A,TRUE,"toptrial";"voucher",#N/A,TRUE,"toptrial"}</definedName>
    <definedName name="wrn.tope" hidden="1">{"toptrial",#N/A,TRUE,"toptrial";"adjustment",#N/A,TRUE,"toptrial";"voucher",#N/A,TRUE,"toptrial"}</definedName>
    <definedName name="wrn.toptrial." localSheetId="5" hidden="1">{"toptrial",#N/A,TRUE,"toptrial";"adjustment",#N/A,TRUE,"toptrial";"voucher",#N/A,TRUE,"toptrial"}</definedName>
    <definedName name="wrn.toptrial." localSheetId="9" hidden="1">{"toptrial",#N/A,TRUE,"toptrial";"adjustment",#N/A,TRUE,"toptrial";"voucher",#N/A,TRUE,"toptrial"}</definedName>
    <definedName name="wrn.toptrial." localSheetId="0" hidden="1">{"toptrial",#N/A,TRUE,"toptrial";"adjustment",#N/A,TRUE,"toptrial";"voucher",#N/A,TRUE,"toptrial"}</definedName>
    <definedName name="wrn.toptrial." hidden="1">{"toptrial",#N/A,TRUE,"toptrial";"adjustment",#N/A,TRUE,"toptrial";"voucher",#N/A,TRUE,"toptrial"}</definedName>
    <definedName name="wrn.voucher9703." localSheetId="5" hidden="1">{#N/A,#N/A,FALSE,"970301";#N/A,#N/A,FALSE,"970302";#N/A,#N/A,FALSE,"970303";#N/A,#N/A,FALSE,"970304";#N/A,#N/A,FALSE,"COM1";#N/A,#N/A,FALSE,"COM2"}</definedName>
    <definedName name="wrn.voucher9703." localSheetId="9" hidden="1">{#N/A,#N/A,FALSE,"970301";#N/A,#N/A,FALSE,"970302";#N/A,#N/A,FALSE,"970303";#N/A,#N/A,FALSE,"970304";#N/A,#N/A,FALSE,"COM1";#N/A,#N/A,FALSE,"COM2"}</definedName>
    <definedName name="wrn.voucher9703." localSheetId="0" hidden="1">{#N/A,#N/A,FALSE,"970301";#N/A,#N/A,FALSE,"970302";#N/A,#N/A,FALSE,"970303";#N/A,#N/A,FALSE,"970304";#N/A,#N/A,FALSE,"COM1";#N/A,#N/A,FALSE,"COM2"}</definedName>
    <definedName name="wrn.voucher9703." hidden="1">{#N/A,#N/A,FALSE,"970301";#N/A,#N/A,FALSE,"970302";#N/A,#N/A,FALSE,"970303";#N/A,#N/A,FALSE,"970304";#N/A,#N/A,FALSE,"COM1";#N/A,#N/A,FALSE,"COM2"}</definedName>
    <definedName name="wrn.ytd." localSheetId="5" hidden="1">{#N/A,#N/A,FALSE,"YTD"}</definedName>
    <definedName name="wrn.ytd." localSheetId="9" hidden="1">{#N/A,#N/A,FALSE,"YTD"}</definedName>
    <definedName name="wrn.ytd." localSheetId="0" hidden="1">{#N/A,#N/A,FALSE,"YTD"}</definedName>
    <definedName name="wrn.ytd." localSheetId="6" hidden="1">{#N/A,#N/A,FALSE,"YTD"}</definedName>
    <definedName name="wrn.ytd." hidden="1">{#N/A,#N/A,FALSE,"YTD"}</definedName>
    <definedName name="wrn100.gb" localSheetId="0" hidden="1">{#N/A,#N/A,FALSE,"资产负债表";#N/A,#N/A,FALSE,"资产负债表"}</definedName>
    <definedName name="wrn100.gb" hidden="1">{#N/A,#N/A,FALSE,"资产负债表";#N/A,#N/A,FALSE,"资产负债表"}</definedName>
    <definedName name="wrnn.all." localSheetId="5" hidden="1">{#N/A,#N/A,FALSE,"SUM";#N/A,#N/A,FALSE,"SK_TOT";#N/A,#N/A,FALSE,"YM";#N/A,#N/A,FALSE,"TSMC";#N/A,#N/A,FALSE,"ICW";#N/A,#N/A,FALSE,"Sheet1"}</definedName>
    <definedName name="wrnn.all." localSheetId="9" hidden="1">{#N/A,#N/A,FALSE,"SUM";#N/A,#N/A,FALSE,"SK_TOT";#N/A,#N/A,FALSE,"YM";#N/A,#N/A,FALSE,"TSMC";#N/A,#N/A,FALSE,"ICW";#N/A,#N/A,FALSE,"Sheet1"}</definedName>
    <definedName name="wrnn.all." localSheetId="10" hidden="1">{#N/A,#N/A,FALSE,"SUM";#N/A,#N/A,FALSE,"SK_TOT";#N/A,#N/A,FALSE,"YM";#N/A,#N/A,FALSE,"TSMC";#N/A,#N/A,FALSE,"ICW";#N/A,#N/A,FALSE,"Sheet1"}</definedName>
    <definedName name="wrnn.all." localSheetId="11" hidden="1">{#N/A,#N/A,FALSE,"SUM";#N/A,#N/A,FALSE,"SK_TOT";#N/A,#N/A,FALSE,"YM";#N/A,#N/A,FALSE,"TSMC";#N/A,#N/A,FALSE,"ICW";#N/A,#N/A,FALSE,"Sheet1"}</definedName>
    <definedName name="wrnn.all." localSheetId="0"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wtr" localSheetId="0" hidden="1">{#N/A,#N/A,FALSE,"资产负债表";#N/A,#N/A,FALSE,"资产负债表"}</definedName>
    <definedName name="wtr" hidden="1">{#N/A,#N/A,FALSE,"资产负债表";#N/A,#N/A,FALSE,"资产负债表"}</definedName>
    <definedName name="xdsdgfdh" hidden="1">#REF!</definedName>
    <definedName name="XREF_COLUMN_1" localSheetId="6" hidden="1">#REF!</definedName>
    <definedName name="XREF_COLUMN_1" hidden="1">#REF!</definedName>
    <definedName name="XREF_COLUMN_10" localSheetId="10" hidden="1">#REF!</definedName>
    <definedName name="XREF_COLUMN_10" localSheetId="11" hidden="1">#REF!</definedName>
    <definedName name="XREF_COLUMN_10" hidden="1">#REF!</definedName>
    <definedName name="XREF_COLUMN_11" localSheetId="10" hidden="1">#REF!</definedName>
    <definedName name="XREF_COLUMN_11" localSheetId="11" hidden="1">#REF!</definedName>
    <definedName name="XREF_COLUMN_11" localSheetId="6" hidden="1">#REF!</definedName>
    <definedName name="XREF_COLUMN_11" hidden="1">#REF!</definedName>
    <definedName name="XREF_COLUMN_12" localSheetId="6" hidden="1">#REF!</definedName>
    <definedName name="XREF_COLUMN_12" hidden="1">#REF!</definedName>
    <definedName name="XREF_COLUMN_19" localSheetId="10" hidden="1">#REF!</definedName>
    <definedName name="XREF_COLUMN_19" localSheetId="11" hidden="1">#REF!</definedName>
    <definedName name="XREF_COLUMN_19" hidden="1">#REF!</definedName>
    <definedName name="XREF_COLUMN_2" localSheetId="10" hidden="1">#REF!</definedName>
    <definedName name="XREF_COLUMN_2" localSheetId="11" hidden="1">#REF!</definedName>
    <definedName name="XREF_COLUMN_2" localSheetId="6" hidden="1">#REF!</definedName>
    <definedName name="XREF_COLUMN_2" hidden="1">#REF!</definedName>
    <definedName name="XREF_COLUMN_20" localSheetId="10" hidden="1">#REF!</definedName>
    <definedName name="XREF_COLUMN_20" localSheetId="11" hidden="1">#REF!</definedName>
    <definedName name="XREF_COLUMN_20" hidden="1">#REF!</definedName>
    <definedName name="XREF_COLUMN_21" hidden="1">#REF!</definedName>
    <definedName name="XREF_COLUMN_3" localSheetId="10" hidden="1">#REF!</definedName>
    <definedName name="XREF_COLUMN_3" localSheetId="11" hidden="1">#REF!</definedName>
    <definedName name="XREF_COLUMN_3" localSheetId="6" hidden="1">#REF!</definedName>
    <definedName name="XREF_COLUMN_3" hidden="1">#REF!</definedName>
    <definedName name="XREF_COLUMN_4" localSheetId="10" hidden="1">#REF!</definedName>
    <definedName name="XREF_COLUMN_4" localSheetId="11" hidden="1">#REF!</definedName>
    <definedName name="XREF_COLUMN_4" hidden="1">#REF!</definedName>
    <definedName name="XREF_COLUMN_5" localSheetId="10" hidden="1">#REF!</definedName>
    <definedName name="XREF_COLUMN_5" localSheetId="11" hidden="1">#REF!</definedName>
    <definedName name="XREF_COLUMN_5" localSheetId="6" hidden="1">#REF!</definedName>
    <definedName name="XREF_COLUMN_5" hidden="1">#REF!</definedName>
    <definedName name="XREF_COLUMN_6" localSheetId="10" hidden="1">#REF!</definedName>
    <definedName name="XREF_COLUMN_6" localSheetId="11" hidden="1">#REF!</definedName>
    <definedName name="XREF_COLUMN_6" localSheetId="6" hidden="1">#REF!</definedName>
    <definedName name="XREF_COLUMN_6" hidden="1">#REF!</definedName>
    <definedName name="XREF_COLUMN_7" localSheetId="6" hidden="1">#REF!</definedName>
    <definedName name="XREF_COLUMN_7" hidden="1">#REF!</definedName>
    <definedName name="XRefActiveRow" localSheetId="10" hidden="1">#REF!</definedName>
    <definedName name="XRefActiveRow" localSheetId="11" hidden="1">#REF!</definedName>
    <definedName name="XRefActiveRow" hidden="1">#REF!</definedName>
    <definedName name="XRefColumnsCount" hidden="1">2</definedName>
    <definedName name="XRefCopy1" localSheetId="10" hidden="1">#REF!</definedName>
    <definedName name="XRefCopy1" localSheetId="11" hidden="1">#REF!</definedName>
    <definedName name="XRefCopy1" hidden="1">#REF!</definedName>
    <definedName name="XRefCopy10" hidden="1">#REF!</definedName>
    <definedName name="XRefCopy10Row" hidden="1">#REF!</definedName>
    <definedName name="XRefCopy11" localSheetId="10" hidden="1">#REF!</definedName>
    <definedName name="XRefCopy11" localSheetId="11" hidden="1">#REF!</definedName>
    <definedName name="XRefCopy11" localSheetId="6" hidden="1">#REF!</definedName>
    <definedName name="XRefCopy11" hidden="1">#REF!</definedName>
    <definedName name="XRefCopy11Row" localSheetId="10" hidden="1">#REF!</definedName>
    <definedName name="XRefCopy11Row" localSheetId="11" hidden="1">#REF!</definedName>
    <definedName name="XRefCopy11Row" hidden="1">#REF!</definedName>
    <definedName name="XRefCopy12" hidden="1">#REF!</definedName>
    <definedName name="XRefCopy13" hidden="1">#REF!</definedName>
    <definedName name="XRefCopy13Row" localSheetId="10" hidden="1">#REF!</definedName>
    <definedName name="XRefCopy13Row" localSheetId="11" hidden="1">#REF!</definedName>
    <definedName name="XRefCopy13Row" localSheetId="6" hidden="1">#REF!</definedName>
    <definedName name="XRefCopy13Row" hidden="1">#REF!</definedName>
    <definedName name="XRefCopy14" localSheetId="10" hidden="1">#REF!</definedName>
    <definedName name="XRefCopy14" localSheetId="11" hidden="1">#REF!</definedName>
    <definedName name="XRefCopy14" hidden="1">#REF!</definedName>
    <definedName name="XRefCopy15" hidden="1">#REF!</definedName>
    <definedName name="XRefCopy16Row" localSheetId="10" hidden="1">#REF!</definedName>
    <definedName name="XRefCopy16Row" localSheetId="11" hidden="1">#REF!</definedName>
    <definedName name="XRefCopy16Row" localSheetId="6" hidden="1">#REF!</definedName>
    <definedName name="XRefCopy16Row" hidden="1">#REF!</definedName>
    <definedName name="XRefCopy1Row" localSheetId="10" hidden="1">#REF!</definedName>
    <definedName name="XRefCopy1Row" localSheetId="1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localSheetId="6" hidden="1">#REF!</definedName>
    <definedName name="XRefPaste1" hidden="1">#REF!</definedName>
    <definedName name="XRefPaste10" hidden="1">#REF!</definedName>
    <definedName name="XRefPaste11" hidden="1">#REF!</definedName>
    <definedName name="XRefPaste1Row" hidden="1">#REF!</definedName>
    <definedName name="XRefPaste2" localSheetId="10" hidden="1">#REF!</definedName>
    <definedName name="XRefPaste2" localSheetId="11" hidden="1">#REF!</definedName>
    <definedName name="XRefPaste2" localSheetId="6" hidden="1">#REF!</definedName>
    <definedName name="XRefPaste2" hidden="1">#REF!</definedName>
    <definedName name="XRefPaste24" localSheetId="10" hidden="1">#REF!</definedName>
    <definedName name="XRefPaste24" localSheetId="11"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0" hidden="1">#REF!</definedName>
    <definedName name="XRefPaste2Row" localSheetId="11" hidden="1">#REF!</definedName>
    <definedName name="XRefPaste2Row" localSheetId="6" hidden="1">#REF!</definedName>
    <definedName name="XRefPaste2Row" hidden="1">#REF!</definedName>
    <definedName name="XRefPaste3" localSheetId="10" hidden="1">#REF!</definedName>
    <definedName name="XRefPaste3" localSheetId="11"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10" hidden="1">#REF!</definedName>
    <definedName name="XRefPaste6Row" localSheetId="11" hidden="1">#REF!</definedName>
    <definedName name="XRefPaste6Row" localSheetId="6" hidden="1">#REF!</definedName>
    <definedName name="XRefPaste6Row" hidden="1">#REF!</definedName>
    <definedName name="XRefPaste7" localSheetId="10" hidden="1">#REF!</definedName>
    <definedName name="XRefPaste7" localSheetId="11"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5" hidden="1">{"M1Print",#N/A,FALSE,"M1"}</definedName>
    <definedName name="xzxsfd" localSheetId="9" hidden="1">{"M1Print",#N/A,FALSE,"M1"}</definedName>
    <definedName name="xzxsfd" localSheetId="10" hidden="1">{"M1Print",#N/A,FALSE,"M1"}</definedName>
    <definedName name="xzxsfd" localSheetId="11" hidden="1">{"M1Print",#N/A,FALSE,"M1"}</definedName>
    <definedName name="xzxsfd" localSheetId="0" hidden="1">{"M1Print",#N/A,FALSE,"M1"}</definedName>
    <definedName name="xzxsfd" localSheetId="6" hidden="1">{"M1Print",#N/A,FALSE,"M1"}</definedName>
    <definedName name="xzxsfd" hidden="1">{"M1Print",#N/A,FALSE,"M1"}</definedName>
    <definedName name="y" localSheetId="0"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localSheetId="6"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10" hidden="1">#REF!</definedName>
    <definedName name="Z_E738B51C_56AE_4F9F_8D8A_36AD6137B90D_.wvu.Cols" localSheetId="11"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10" hidden="1">#REF!,#REF!</definedName>
    <definedName name="Z_E738B51C_56AE_4F9F_8D8A_36AD6137B90D_.wvu.PrintTitles" localSheetId="11" hidden="1">#REF!,#REF!</definedName>
    <definedName name="Z_E738B51C_56AE_4F9F_8D8A_36AD6137B90D_.wvu.PrintTitles" hidden="1">#REF!,#REF!</definedName>
    <definedName name="Z_E738B51C_56AE_4F9F_8D8A_36AD6137B90D_.wvu.Rows" localSheetId="10" hidden="1">#REF!</definedName>
    <definedName name="Z_E738B51C_56AE_4F9F_8D8A_36AD6137B90D_.wvu.Rows" localSheetId="11" hidden="1">#REF!</definedName>
    <definedName name="Z_E738B51C_56AE_4F9F_8D8A_36AD6137B90D_.wvu.Rows" hidden="1">#REF!</definedName>
    <definedName name="zdry" localSheetId="0" hidden="1">{#N/A,#N/A,FALSE,"资产负债表";#N/A,#N/A,FALSE,"资产负债表"}</definedName>
    <definedName name="zdry" hidden="1">{#N/A,#N/A,FALSE,"资产负债表";#N/A,#N/A,FALSE,"资产负债表"}</definedName>
    <definedName name="zerey" localSheetId="0" hidden="1">{#N/A,#N/A,FALSE,"资产负债表";#N/A,#N/A,FALSE,"资产负债表"}</definedName>
    <definedName name="zerey" hidden="1">{#N/A,#N/A,FALSE,"资产负债表";#N/A,#N/A,FALSE,"资产负债表"}</definedName>
    <definedName name="ZZZZZZZZZZZZZ" hidden="1">#REF!</definedName>
    <definedName name="啊" localSheetId="0" hidden="1">{#N/A,#N/A,FALSE,"970301";#N/A,#N/A,FALSE,"970302";#N/A,#N/A,FALSE,"970303";#N/A,#N/A,FALSE,"970304";#N/A,#N/A,FALSE,"COM1";#N/A,#N/A,FALSE,"COM2"}</definedName>
    <definedName name="啊" hidden="1">{#N/A,#N/A,FALSE,"970301";#N/A,#N/A,FALSE,"970302";#N/A,#N/A,FALSE,"970303";#N/A,#N/A,FALSE,"970304";#N/A,#N/A,FALSE,"COM1";#N/A,#N/A,FALSE,"COM2"}</definedName>
    <definedName name="备用" localSheetId="5" hidden="1">{#N/A,#N/A,FALSE,"OffAdvance";#N/A,#N/A,FALSE,"OffExpRprt";#N/A,#N/A,FALSE,"Entertmnt";#N/A,#N/A,FALSE,"Promotion";#N/A,#N/A,FALSE,"Travelling"}</definedName>
    <definedName name="备用" localSheetId="9" hidden="1">{#N/A,#N/A,FALSE,"OffAdvance";#N/A,#N/A,FALSE,"OffExpRprt";#N/A,#N/A,FALSE,"Entertmnt";#N/A,#N/A,FALSE,"Promotion";#N/A,#N/A,FALSE,"Travelling"}</definedName>
    <definedName name="备用" localSheetId="0"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5" hidden="1">{#N/A,#N/A,FALSE,"970301";#N/A,#N/A,FALSE,"970302";#N/A,#N/A,FALSE,"970303";#N/A,#N/A,FALSE,"970304";#N/A,#N/A,FALSE,"COM1";#N/A,#N/A,FALSE,"COM2"}</definedName>
    <definedName name="借款" localSheetId="9" hidden="1">{#N/A,#N/A,FALSE,"970301";#N/A,#N/A,FALSE,"970302";#N/A,#N/A,FALSE,"970303";#N/A,#N/A,FALSE,"970304";#N/A,#N/A,FALSE,"COM1";#N/A,#N/A,FALSE,"COM2"}</definedName>
    <definedName name="借款" localSheetId="0" hidden="1">{#N/A,#N/A,FALSE,"970301";#N/A,#N/A,FALSE,"970302";#N/A,#N/A,FALSE,"970303";#N/A,#N/A,FALSE,"970304";#N/A,#N/A,FALSE,"COM1";#N/A,#N/A,FALSE,"COM2"}</definedName>
    <definedName name="借款" hidden="1">{#N/A,#N/A,FALSE,"970301";#N/A,#N/A,FALSE,"970302";#N/A,#N/A,FALSE,"970303";#N/A,#N/A,FALSE,"970304";#N/A,#N/A,FALSE,"COM1";#N/A,#N/A,FALSE,"COM2"}</definedName>
    <definedName name="苛" localSheetId="5" hidden="1">{"M1sPrint",#N/A,FALSE,"M1s"}</definedName>
    <definedName name="苛" localSheetId="9" hidden="1">{"M1sPrint",#N/A,FALSE,"M1s"}</definedName>
    <definedName name="苛" localSheetId="10" hidden="1">{"M1sPrint",#N/A,FALSE,"M1s"}</definedName>
    <definedName name="苛" localSheetId="11" hidden="1">{"M1sPrint",#N/A,FALSE,"M1s"}</definedName>
    <definedName name="苛" localSheetId="0" hidden="1">{"M1sPrint",#N/A,FALSE,"M1s"}</definedName>
    <definedName name="苛" localSheetId="6" hidden="1">{"M1sPrint",#N/A,FALSE,"M1s"}</definedName>
    <definedName name="苛" hidden="1">{"M1sPrint",#N/A,FALSE,"M1s"}</definedName>
    <definedName name="试验" localSheetId="5" hidden="1">{#N/A,#N/A,FALSE,"OffAdvance";#N/A,#N/A,FALSE,"OffExpRprt";#N/A,#N/A,FALSE,"Travelling";#N/A,#N/A,FALSE,"Entertmnt";#N/A,#N/A,FALSE,"Promotion"}</definedName>
    <definedName name="试验" localSheetId="9" hidden="1">{#N/A,#N/A,FALSE,"OffAdvance";#N/A,#N/A,FALSE,"OffExpRprt";#N/A,#N/A,FALSE,"Travelling";#N/A,#N/A,FALSE,"Entertmnt";#N/A,#N/A,FALSE,"Promotion"}</definedName>
    <definedName name="试验" localSheetId="0"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5" hidden="1">{#N/A,#N/A,FALSE,"970301";#N/A,#N/A,FALSE,"970302";#N/A,#N/A,FALSE,"970303";#N/A,#N/A,FALSE,"970304";#N/A,#N/A,FALSE,"COM1";#N/A,#N/A,FALSE,"COM2"}</definedName>
    <definedName name="应手款" localSheetId="9" hidden="1">{#N/A,#N/A,FALSE,"970301";#N/A,#N/A,FALSE,"970302";#N/A,#N/A,FALSE,"970303";#N/A,#N/A,FALSE,"970304";#N/A,#N/A,FALSE,"COM1";#N/A,#N/A,FALSE,"COM2"}</definedName>
    <definedName name="应手款" localSheetId="0" hidden="1">{#N/A,#N/A,FALSE,"970301";#N/A,#N/A,FALSE,"970302";#N/A,#N/A,FALSE,"970303";#N/A,#N/A,FALSE,"970304";#N/A,#N/A,FALSE,"COM1";#N/A,#N/A,FALSE,"COM2"}</definedName>
    <definedName name="应手款" hidden="1">{#N/A,#N/A,FALSE,"970301";#N/A,#N/A,FALSE,"970302";#N/A,#N/A,FALSE,"970303";#N/A,#N/A,FALSE,"970304";#N/A,#N/A,FALSE,"COM1";#N/A,#N/A,FALSE,"COM2"}</definedName>
    <definedName name="应手款1月" localSheetId="5" hidden="1">{#N/A,#N/A,FALSE,"Marketing";#N/A,#N/A,FALSE,"Selling";#N/A,#N/A,FALSE,"Promotional";#N/A,#N/A,FALSE,"Advertising"}</definedName>
    <definedName name="应手款1月" localSheetId="9" hidden="1">{#N/A,#N/A,FALSE,"Marketing";#N/A,#N/A,FALSE,"Selling";#N/A,#N/A,FALSE,"Promotional";#N/A,#N/A,FALSE,"Advertising"}</definedName>
    <definedName name="应手款1月" localSheetId="0"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89" l="1"/>
  <c r="F53" i="89"/>
  <c r="F58" i="89"/>
  <c r="H53" i="89"/>
  <c r="E58" i="89"/>
  <c r="D58" i="89"/>
  <c r="I58" i="89" s="1"/>
  <c r="W30" i="89"/>
  <c r="W24" i="89"/>
  <c r="W18" i="89"/>
  <c r="G14" i="89"/>
  <c r="V14" i="89" s="1"/>
  <c r="V18" i="89" s="1"/>
  <c r="W22" i="89"/>
  <c r="J21" i="89"/>
  <c r="J22" i="89"/>
  <c r="G21" i="89"/>
  <c r="V21" i="89" s="1"/>
  <c r="G22" i="89"/>
  <c r="U21" i="89"/>
  <c r="U22" i="89"/>
  <c r="V22" i="89"/>
  <c r="V15" i="89"/>
  <c r="V16" i="89"/>
  <c r="W31" i="80"/>
  <c r="W19" i="80"/>
  <c r="W12" i="80"/>
  <c r="J48" i="81"/>
  <c r="T14" i="89"/>
  <c r="T15" i="89"/>
  <c r="J46" i="81"/>
  <c r="S17" i="90" l="1"/>
  <c r="S18" i="90"/>
  <c r="S19" i="90"/>
  <c r="R13" i="90"/>
  <c r="S13" i="90" s="1"/>
  <c r="T13" i="90" s="1"/>
  <c r="R16" i="90"/>
  <c r="S16" i="90" s="1"/>
  <c r="R19" i="90"/>
  <c r="T19" i="90" s="1"/>
  <c r="P16" i="90"/>
  <c r="P13" i="90"/>
  <c r="Q15" i="90" a="1"/>
  <c r="Q15" i="90" s="1"/>
  <c r="R15" i="90" s="1"/>
  <c r="S15" i="90" s="1"/>
  <c r="T15" i="90" s="1"/>
  <c r="R17" i="90"/>
  <c r="T17" i="90" s="1"/>
  <c r="R18" i="90"/>
  <c r="T18" i="90" s="1"/>
  <c r="P15" i="90"/>
  <c r="P17" i="90"/>
  <c r="P18" i="90"/>
  <c r="P19" i="90"/>
  <c r="M14" i="90"/>
  <c r="M15" i="90"/>
  <c r="M16" i="90"/>
  <c r="M17" i="90"/>
  <c r="M18" i="90"/>
  <c r="M19" i="90"/>
  <c r="M13" i="90"/>
  <c r="D28" i="90"/>
  <c r="C28" i="90"/>
  <c r="E34" i="90"/>
  <c r="B34" i="90"/>
  <c r="E33" i="90"/>
  <c r="B33" i="90"/>
  <c r="E32" i="90"/>
  <c r="B32" i="90"/>
  <c r="E31" i="90"/>
  <c r="B31" i="90"/>
  <c r="E30" i="90"/>
  <c r="B30" i="90"/>
  <c r="O23" i="90"/>
  <c r="L23" i="90"/>
  <c r="K23" i="90"/>
  <c r="J23" i="90"/>
  <c r="I23" i="90"/>
  <c r="H23" i="90"/>
  <c r="P22" i="90"/>
  <c r="Q22" i="90" s="1" a="1"/>
  <c r="Q22" i="90" s="1"/>
  <c r="R22" i="90" s="1"/>
  <c r="S22" i="90" s="1"/>
  <c r="T22" i="90" s="1"/>
  <c r="P21" i="90"/>
  <c r="Q21" i="90" s="1" a="1"/>
  <c r="Q21" i="90" s="1"/>
  <c r="R21" i="90" s="1"/>
  <c r="S21" i="90" s="1"/>
  <c r="T21" i="90" s="1"/>
  <c r="P20" i="90"/>
  <c r="Q20" i="90" s="1" a="1"/>
  <c r="Q20" i="90" s="1"/>
  <c r="R20" i="90" s="1"/>
  <c r="S20" i="90" s="1"/>
  <c r="T20" i="90" s="1"/>
  <c r="P14" i="90"/>
  <c r="Q14" i="90" s="1" a="1"/>
  <c r="Q14" i="90" s="1"/>
  <c r="R14" i="90" s="1"/>
  <c r="S14" i="90" s="1"/>
  <c r="T14" i="90" s="1"/>
  <c r="S21" i="89"/>
  <c r="P21" i="89"/>
  <c r="M21" i="89"/>
  <c r="T21" i="89"/>
  <c r="H45" i="89"/>
  <c r="H41" i="89"/>
  <c r="H39" i="89"/>
  <c r="E45" i="89"/>
  <c r="E41" i="89"/>
  <c r="E39" i="89"/>
  <c r="T39" i="89" s="1"/>
  <c r="H24" i="80"/>
  <c r="F81" i="89"/>
  <c r="F57" i="89"/>
  <c r="E57" i="89"/>
  <c r="D57" i="89"/>
  <c r="B57" i="89"/>
  <c r="C57" i="89" s="1"/>
  <c r="F56" i="89"/>
  <c r="E56" i="89"/>
  <c r="C56" i="89"/>
  <c r="B56" i="89"/>
  <c r="D56" i="89" s="1"/>
  <c r="F55" i="89"/>
  <c r="D55" i="89"/>
  <c r="C55" i="89"/>
  <c r="B55" i="89"/>
  <c r="E55" i="89" s="1"/>
  <c r="E54" i="89"/>
  <c r="B54" i="89"/>
  <c r="B53" i="89"/>
  <c r="T43" i="89"/>
  <c r="T41" i="89"/>
  <c r="R32" i="89"/>
  <c r="O32" i="89"/>
  <c r="F32" i="89"/>
  <c r="R31" i="89"/>
  <c r="Q31" i="89"/>
  <c r="O31" i="89"/>
  <c r="N31" i="89"/>
  <c r="L31" i="89"/>
  <c r="K31" i="89"/>
  <c r="I31" i="89"/>
  <c r="U31" i="89" s="1"/>
  <c r="H31" i="89"/>
  <c r="F31" i="89"/>
  <c r="E31" i="89"/>
  <c r="C31" i="89"/>
  <c r="L30" i="89"/>
  <c r="C30" i="89"/>
  <c r="R29" i="89"/>
  <c r="Q29" i="89"/>
  <c r="Q44" i="89" s="1"/>
  <c r="O29" i="89"/>
  <c r="N29" i="89"/>
  <c r="N36" i="89" s="1"/>
  <c r="N37" i="89" s="1"/>
  <c r="L29" i="89"/>
  <c r="K29" i="89"/>
  <c r="K44" i="89" s="1"/>
  <c r="I29" i="89"/>
  <c r="I30" i="89" s="1"/>
  <c r="H29" i="89"/>
  <c r="H44" i="89" s="1"/>
  <c r="F29" i="89"/>
  <c r="E29" i="89"/>
  <c r="E36" i="89" s="1"/>
  <c r="E37" i="89" s="1"/>
  <c r="C29" i="89"/>
  <c r="U28" i="89"/>
  <c r="T28" i="89"/>
  <c r="S28" i="89"/>
  <c r="P28" i="89"/>
  <c r="M28" i="89"/>
  <c r="J28" i="89"/>
  <c r="G28" i="89"/>
  <c r="U27" i="89"/>
  <c r="T27" i="89"/>
  <c r="S27" i="89"/>
  <c r="P27" i="89"/>
  <c r="M27" i="89"/>
  <c r="J27" i="89"/>
  <c r="G27" i="89"/>
  <c r="U26" i="89"/>
  <c r="T26" i="89"/>
  <c r="S26" i="89"/>
  <c r="P26" i="89"/>
  <c r="M26" i="89"/>
  <c r="J26" i="89"/>
  <c r="G26" i="89"/>
  <c r="U25" i="89"/>
  <c r="U29" i="89" s="1"/>
  <c r="T25" i="89"/>
  <c r="S25" i="89"/>
  <c r="P25" i="89"/>
  <c r="P29" i="89" s="1"/>
  <c r="P36" i="89" s="1"/>
  <c r="P37" i="89" s="1"/>
  <c r="M25" i="89"/>
  <c r="J25" i="89"/>
  <c r="J29" i="89" s="1"/>
  <c r="J36" i="89" s="1"/>
  <c r="J37" i="89" s="1"/>
  <c r="G25" i="89"/>
  <c r="U24" i="89"/>
  <c r="R24" i="89"/>
  <c r="R30" i="89" s="1"/>
  <c r="Q24" i="89"/>
  <c r="Q34" i="89" s="1"/>
  <c r="Q35" i="89" s="1"/>
  <c r="O24" i="89"/>
  <c r="O30" i="89" s="1"/>
  <c r="N24" i="89"/>
  <c r="N42" i="89" s="1"/>
  <c r="L24" i="89"/>
  <c r="K24" i="89"/>
  <c r="I55" i="89" s="1"/>
  <c r="I24" i="89"/>
  <c r="H24" i="89"/>
  <c r="H42" i="89" s="1"/>
  <c r="F24" i="89"/>
  <c r="F30" i="89" s="1"/>
  <c r="E24" i="89"/>
  <c r="E42" i="89" s="1"/>
  <c r="C24" i="89"/>
  <c r="U23" i="89"/>
  <c r="T23" i="89"/>
  <c r="S23" i="89"/>
  <c r="P23" i="89"/>
  <c r="M23" i="89"/>
  <c r="J23" i="89"/>
  <c r="G23" i="89"/>
  <c r="T22" i="89"/>
  <c r="S22" i="89"/>
  <c r="P22" i="89"/>
  <c r="M22" i="89"/>
  <c r="U20" i="89"/>
  <c r="T20" i="89"/>
  <c r="F83" i="89" s="1"/>
  <c r="S20" i="89"/>
  <c r="P20" i="89"/>
  <c r="M20" i="89"/>
  <c r="J20" i="89"/>
  <c r="G20" i="89"/>
  <c r="U19" i="89"/>
  <c r="T19" i="89"/>
  <c r="S19" i="89"/>
  <c r="P19" i="89"/>
  <c r="M19" i="89"/>
  <c r="J19" i="89"/>
  <c r="G19" i="89"/>
  <c r="R18" i="89"/>
  <c r="Q18" i="89"/>
  <c r="Q32" i="89" s="1"/>
  <c r="Q33" i="89" s="1"/>
  <c r="O18" i="89"/>
  <c r="N18" i="89"/>
  <c r="N32" i="89" s="1"/>
  <c r="N33" i="89" s="1"/>
  <c r="L18" i="89"/>
  <c r="L32" i="89" s="1"/>
  <c r="K18" i="89"/>
  <c r="H55" i="89" s="1"/>
  <c r="I18" i="89"/>
  <c r="I32" i="89" s="1"/>
  <c r="H18" i="89"/>
  <c r="F18" i="89"/>
  <c r="E18" i="89"/>
  <c r="E40" i="89" s="1"/>
  <c r="U17" i="89"/>
  <c r="T17" i="89"/>
  <c r="S17" i="89"/>
  <c r="P17" i="89"/>
  <c r="M17" i="89"/>
  <c r="J17" i="89"/>
  <c r="G17" i="89"/>
  <c r="U16" i="89"/>
  <c r="T16" i="89"/>
  <c r="S16" i="89"/>
  <c r="P16" i="89"/>
  <c r="M16" i="89"/>
  <c r="J16" i="89"/>
  <c r="G16" i="89"/>
  <c r="U15" i="89"/>
  <c r="U18" i="89" s="1"/>
  <c r="U32" i="89" s="1"/>
  <c r="S15" i="89"/>
  <c r="P15" i="89"/>
  <c r="M15" i="89"/>
  <c r="J15" i="89"/>
  <c r="G15" i="89"/>
  <c r="J14" i="89"/>
  <c r="U13" i="89"/>
  <c r="T13" i="89"/>
  <c r="S13" i="89"/>
  <c r="P13" i="89"/>
  <c r="M13" i="89"/>
  <c r="J13" i="89"/>
  <c r="G13" i="89"/>
  <c r="U12" i="89"/>
  <c r="T12" i="89"/>
  <c r="S12" i="89"/>
  <c r="P12" i="89"/>
  <c r="M12" i="89"/>
  <c r="J12" i="89"/>
  <c r="G12" i="89"/>
  <c r="J14" i="80"/>
  <c r="E18" i="80"/>
  <c r="O18" i="58"/>
  <c r="B32" i="81"/>
  <c r="E39" i="81"/>
  <c r="O34" i="82"/>
  <c r="E17" i="82"/>
  <c r="Q14" i="58" a="1"/>
  <c r="Q14" i="58" s="1"/>
  <c r="R14" i="58" s="1"/>
  <c r="S14" i="58" s="1"/>
  <c r="Q13" i="58" a="1"/>
  <c r="Q13" i="58" s="1"/>
  <c r="R13" i="58" s="1"/>
  <c r="S13" i="58" s="1"/>
  <c r="S18" i="58" s="1"/>
  <c r="T18" i="58" s="1"/>
  <c r="P13" i="58"/>
  <c r="P14" i="58"/>
  <c r="P15" i="58"/>
  <c r="Q15" i="58" s="1" a="1"/>
  <c r="Q15" i="58" s="1"/>
  <c r="R15" i="58" s="1"/>
  <c r="S15" i="58" s="1"/>
  <c r="P16" i="58"/>
  <c r="Q16" i="58" s="1" a="1"/>
  <c r="Q16" i="58" s="1"/>
  <c r="R16" i="58" s="1"/>
  <c r="S16" i="58" s="1"/>
  <c r="P17" i="58"/>
  <c r="Q17" i="58" s="1" a="1"/>
  <c r="Q17" i="58" s="1"/>
  <c r="R17" i="58" s="1"/>
  <c r="S17" i="58" s="1"/>
  <c r="J40" i="81"/>
  <c r="E40" i="81"/>
  <c r="E14" i="83"/>
  <c r="E20" i="83" s="1"/>
  <c r="O33" i="82"/>
  <c r="Q36" i="83"/>
  <c r="O36" i="83"/>
  <c r="L36" i="83"/>
  <c r="E25" i="58"/>
  <c r="F81" i="80"/>
  <c r="D58" i="80"/>
  <c r="E58" i="80"/>
  <c r="F58" i="80"/>
  <c r="R18" i="58" l="1"/>
  <c r="T16" i="90"/>
  <c r="M23" i="90"/>
  <c r="R23" i="90"/>
  <c r="S29" i="89"/>
  <c r="S36" i="89" s="1"/>
  <c r="S37" i="89" s="1"/>
  <c r="J57" i="89"/>
  <c r="Q42" i="89"/>
  <c r="S24" i="89"/>
  <c r="S34" i="89" s="1"/>
  <c r="S35" i="89" s="1"/>
  <c r="I57" i="89"/>
  <c r="S18" i="89"/>
  <c r="H57" i="89"/>
  <c r="N44" i="89"/>
  <c r="J56" i="89"/>
  <c r="V20" i="89"/>
  <c r="I56" i="89"/>
  <c r="P31" i="89"/>
  <c r="P18" i="89"/>
  <c r="N40" i="89"/>
  <c r="H56" i="89"/>
  <c r="M29" i="89"/>
  <c r="M36" i="89" s="1"/>
  <c r="M37" i="89" s="1"/>
  <c r="K36" i="89"/>
  <c r="K37" i="89" s="1"/>
  <c r="J55" i="89"/>
  <c r="K42" i="89"/>
  <c r="K34" i="89"/>
  <c r="K35" i="89" s="1"/>
  <c r="V19" i="89"/>
  <c r="M31" i="89"/>
  <c r="V13" i="89"/>
  <c r="T29" i="89"/>
  <c r="T44" i="89" s="1"/>
  <c r="I54" i="89"/>
  <c r="H30" i="89"/>
  <c r="K54" i="89" s="1"/>
  <c r="H34" i="89"/>
  <c r="H35" i="89" s="1"/>
  <c r="V17" i="89"/>
  <c r="J18" i="89"/>
  <c r="J32" i="89" s="1"/>
  <c r="J33" i="89" s="1"/>
  <c r="H40" i="89"/>
  <c r="V28" i="89"/>
  <c r="V27" i="89"/>
  <c r="V26" i="89"/>
  <c r="G29" i="89"/>
  <c r="G36" i="89" s="1"/>
  <c r="G37" i="89" s="1"/>
  <c r="V25" i="89"/>
  <c r="V29" i="89" s="1"/>
  <c r="V23" i="89"/>
  <c r="T24" i="89"/>
  <c r="T34" i="89" s="1"/>
  <c r="T35" i="89" s="1"/>
  <c r="G31" i="89"/>
  <c r="G24" i="89"/>
  <c r="G34" i="89" s="1"/>
  <c r="G35" i="89" s="1"/>
  <c r="E32" i="89"/>
  <c r="E33" i="89" s="1"/>
  <c r="T18" i="89"/>
  <c r="T45" i="89"/>
  <c r="H46" i="89"/>
  <c r="P32" i="89"/>
  <c r="P33" i="89" s="1"/>
  <c r="S30" i="89"/>
  <c r="U30" i="89"/>
  <c r="F84" i="89"/>
  <c r="N30" i="89"/>
  <c r="N46" i="89" s="1"/>
  <c r="P24" i="89"/>
  <c r="P34" i="89" s="1"/>
  <c r="P35" i="89" s="1"/>
  <c r="S31" i="89"/>
  <c r="T31" i="89" s="1"/>
  <c r="H32" i="89"/>
  <c r="H33" i="89" s="1"/>
  <c r="Q40" i="89"/>
  <c r="G18" i="89"/>
  <c r="N34" i="89"/>
  <c r="N35" i="89" s="1"/>
  <c r="I53" i="89"/>
  <c r="H54" i="89"/>
  <c r="M24" i="89"/>
  <c r="M34" i="89" s="1"/>
  <c r="M35" i="89" s="1"/>
  <c r="M18" i="89"/>
  <c r="J54" i="89"/>
  <c r="E44" i="89"/>
  <c r="E53" i="89"/>
  <c r="J53" i="89" s="1"/>
  <c r="H36" i="89"/>
  <c r="H37" i="89" s="1"/>
  <c r="E30" i="89"/>
  <c r="E46" i="89" s="1"/>
  <c r="J24" i="89"/>
  <c r="J34" i="89" s="1"/>
  <c r="J35" i="89" s="1"/>
  <c r="Q30" i="89"/>
  <c r="Q46" i="89" s="1"/>
  <c r="J31" i="89"/>
  <c r="K32" i="89"/>
  <c r="K33" i="89" s="1"/>
  <c r="S32" i="89"/>
  <c r="S33" i="89" s="1"/>
  <c r="E34" i="89"/>
  <c r="E35" i="89" s="1"/>
  <c r="Q36" i="89"/>
  <c r="Q37" i="89" s="1"/>
  <c r="V12" i="89"/>
  <c r="K30" i="89"/>
  <c r="K46" i="89" s="1"/>
  <c r="K40" i="89"/>
  <c r="T39" i="80"/>
  <c r="H18" i="80"/>
  <c r="B29" i="58"/>
  <c r="B28" i="58"/>
  <c r="B27" i="58"/>
  <c r="B26" i="58"/>
  <c r="B25" i="58"/>
  <c r="D23" i="58"/>
  <c r="C23" i="58"/>
  <c r="E29" i="58"/>
  <c r="E28" i="58"/>
  <c r="E27" i="58"/>
  <c r="E26" i="58"/>
  <c r="G13" i="80"/>
  <c r="J13" i="80"/>
  <c r="T32" i="89" l="1"/>
  <c r="T33" i="89" s="1"/>
  <c r="T40" i="89"/>
  <c r="S23" i="90"/>
  <c r="T23" i="90" s="1"/>
  <c r="V24" i="89"/>
  <c r="V34" i="89" s="1"/>
  <c r="V35" i="89" s="1"/>
  <c r="J58" i="89"/>
  <c r="T36" i="89"/>
  <c r="T37" i="89" s="1"/>
  <c r="T42" i="89"/>
  <c r="W25" i="89"/>
  <c r="P30" i="89"/>
  <c r="T30" i="89"/>
  <c r="K53" i="89"/>
  <c r="G30" i="89"/>
  <c r="G32" i="89"/>
  <c r="G33" i="89" s="1"/>
  <c r="K56" i="89"/>
  <c r="C58" i="89"/>
  <c r="H58" i="89" s="1"/>
  <c r="K55" i="89"/>
  <c r="M30" i="89"/>
  <c r="M32" i="89"/>
  <c r="M33" i="89" s="1"/>
  <c r="K57" i="89"/>
  <c r="J30" i="89"/>
  <c r="V36" i="89"/>
  <c r="V37" i="89" s="1"/>
  <c r="W29" i="89"/>
  <c r="V31" i="89"/>
  <c r="L44" i="81"/>
  <c r="B57" i="80"/>
  <c r="B56" i="80"/>
  <c r="B55" i="80"/>
  <c r="B54" i="80"/>
  <c r="B53" i="80"/>
  <c r="T45" i="80"/>
  <c r="T43" i="80"/>
  <c r="E44" i="81" s="1"/>
  <c r="G44" i="81" s="1"/>
  <c r="I44" i="81" s="1"/>
  <c r="T41" i="80"/>
  <c r="E43" i="81" s="1"/>
  <c r="G43" i="81" s="1"/>
  <c r="E42" i="81"/>
  <c r="G42" i="81" s="1"/>
  <c r="I42" i="81" s="1"/>
  <c r="K42" i="81" s="1"/>
  <c r="L42" i="81" s="1"/>
  <c r="R31" i="80"/>
  <c r="Q31" i="80"/>
  <c r="O31" i="80"/>
  <c r="N31" i="80"/>
  <c r="L31" i="80"/>
  <c r="K31" i="80"/>
  <c r="I31" i="80"/>
  <c r="H31" i="80"/>
  <c r="F31" i="80"/>
  <c r="E31" i="80"/>
  <c r="C31" i="80"/>
  <c r="C30" i="80"/>
  <c r="R29" i="80"/>
  <c r="Q29" i="80"/>
  <c r="O29" i="80"/>
  <c r="N29" i="80"/>
  <c r="N36" i="80" s="1"/>
  <c r="N37" i="80" s="1"/>
  <c r="L29" i="80"/>
  <c r="K29" i="80"/>
  <c r="K44" i="80" s="1"/>
  <c r="I29" i="80"/>
  <c r="H29" i="80"/>
  <c r="H44" i="80" s="1"/>
  <c r="F29" i="80"/>
  <c r="E29" i="80"/>
  <c r="E36" i="80" s="1"/>
  <c r="E37" i="80" s="1"/>
  <c r="C29" i="80"/>
  <c r="U28" i="80"/>
  <c r="T28" i="80"/>
  <c r="S28" i="80"/>
  <c r="P28" i="80"/>
  <c r="M28" i="80"/>
  <c r="J28" i="80"/>
  <c r="G28" i="80"/>
  <c r="U27" i="80"/>
  <c r="T27" i="80"/>
  <c r="K15" i="83" s="1"/>
  <c r="K16" i="83" s="1"/>
  <c r="K17" i="83" s="1"/>
  <c r="S27" i="80"/>
  <c r="P27" i="80"/>
  <c r="M27" i="80"/>
  <c r="J27" i="80"/>
  <c r="G27" i="80"/>
  <c r="U26" i="80"/>
  <c r="T26" i="80"/>
  <c r="S26" i="80"/>
  <c r="P26" i="80"/>
  <c r="M26" i="80"/>
  <c r="J26" i="80"/>
  <c r="G26" i="80"/>
  <c r="U25" i="80"/>
  <c r="T25" i="80"/>
  <c r="S25" i="80"/>
  <c r="P25" i="80"/>
  <c r="M25" i="80"/>
  <c r="J25" i="80"/>
  <c r="G25" i="80"/>
  <c r="R24" i="80"/>
  <c r="Q24" i="80"/>
  <c r="Q34" i="80" s="1"/>
  <c r="Q35" i="80" s="1"/>
  <c r="O24" i="80"/>
  <c r="N24" i="80"/>
  <c r="N34" i="80" s="1"/>
  <c r="N35" i="80" s="1"/>
  <c r="L24" i="80"/>
  <c r="K24" i="80"/>
  <c r="K42" i="80" s="1"/>
  <c r="I24" i="80"/>
  <c r="H42" i="80"/>
  <c r="F24" i="80"/>
  <c r="E24" i="80"/>
  <c r="E34" i="80" s="1"/>
  <c r="E35" i="80" s="1"/>
  <c r="C24" i="80"/>
  <c r="U23" i="80"/>
  <c r="T23" i="80"/>
  <c r="S23" i="80"/>
  <c r="P23" i="80"/>
  <c r="M23" i="80"/>
  <c r="J23" i="80"/>
  <c r="G23" i="80"/>
  <c r="U22" i="80"/>
  <c r="T22" i="80"/>
  <c r="I15" i="83" s="1"/>
  <c r="I16" i="83" s="1"/>
  <c r="I17" i="83" s="1"/>
  <c r="S22" i="80"/>
  <c r="P22" i="80"/>
  <c r="M22" i="80"/>
  <c r="J22" i="80"/>
  <c r="G22" i="80"/>
  <c r="U20" i="80"/>
  <c r="T20" i="80"/>
  <c r="F83" i="80" s="1"/>
  <c r="F84" i="80" s="1"/>
  <c r="S20" i="80"/>
  <c r="P20" i="80"/>
  <c r="M20" i="80"/>
  <c r="J20" i="80"/>
  <c r="G20" i="80"/>
  <c r="U19" i="80"/>
  <c r="T19" i="80"/>
  <c r="S19" i="80"/>
  <c r="P19" i="80"/>
  <c r="M19" i="80"/>
  <c r="J19" i="80"/>
  <c r="G19" i="80"/>
  <c r="R18" i="80"/>
  <c r="R32" i="80" s="1"/>
  <c r="Q18" i="80"/>
  <c r="Q40" i="80" s="1"/>
  <c r="O18" i="80"/>
  <c r="O32" i="80" s="1"/>
  <c r="N18" i="80"/>
  <c r="N40" i="80" s="1"/>
  <c r="L18" i="80"/>
  <c r="L32" i="80" s="1"/>
  <c r="K18" i="80"/>
  <c r="K40" i="80" s="1"/>
  <c r="I18" i="80"/>
  <c r="I32" i="80" s="1"/>
  <c r="H40" i="80"/>
  <c r="F18" i="80"/>
  <c r="F32" i="80" s="1"/>
  <c r="U17" i="80"/>
  <c r="T17" i="80"/>
  <c r="S17" i="80"/>
  <c r="P17" i="80"/>
  <c r="M17" i="80"/>
  <c r="J17" i="80"/>
  <c r="G17" i="80"/>
  <c r="U16" i="80"/>
  <c r="T16" i="80"/>
  <c r="G15" i="83" s="1"/>
  <c r="S16" i="80"/>
  <c r="P16" i="80"/>
  <c r="M16" i="80"/>
  <c r="J16" i="80"/>
  <c r="G16" i="80"/>
  <c r="U15" i="80"/>
  <c r="T15" i="80"/>
  <c r="S15" i="80"/>
  <c r="P15" i="80"/>
  <c r="M15" i="80"/>
  <c r="J15" i="80"/>
  <c r="G15" i="80"/>
  <c r="U13" i="80"/>
  <c r="T13" i="80"/>
  <c r="E13" i="82" s="1"/>
  <c r="E14" i="82" s="1"/>
  <c r="J14" i="82" s="1"/>
  <c r="S13" i="80"/>
  <c r="P13" i="80"/>
  <c r="M13" i="80"/>
  <c r="U12" i="80"/>
  <c r="T12" i="80"/>
  <c r="S12" i="80"/>
  <c r="P12" i="80"/>
  <c r="M12" i="80"/>
  <c r="J12" i="80"/>
  <c r="G12" i="80"/>
  <c r="H46" i="81"/>
  <c r="F46" i="81"/>
  <c r="D19" i="81"/>
  <c r="D18" i="81"/>
  <c r="D17" i="81"/>
  <c r="D16" i="81"/>
  <c r="D15" i="81"/>
  <c r="V30" i="89" l="1"/>
  <c r="V32" i="89"/>
  <c r="V33" i="89" s="1"/>
  <c r="T46" i="89"/>
  <c r="K58" i="89"/>
  <c r="F53" i="80"/>
  <c r="C53" i="80"/>
  <c r="H53" i="80" s="1"/>
  <c r="E53" i="80"/>
  <c r="J53" i="80" s="1"/>
  <c r="D53" i="80"/>
  <c r="I53" i="80" s="1"/>
  <c r="D55" i="80"/>
  <c r="I55" i="80" s="1"/>
  <c r="E55" i="80"/>
  <c r="J55" i="80" s="1"/>
  <c r="F55" i="80"/>
  <c r="C55" i="80"/>
  <c r="H55" i="80" s="1"/>
  <c r="D56" i="80"/>
  <c r="I56" i="80" s="1"/>
  <c r="E56" i="80"/>
  <c r="J56" i="80" s="1"/>
  <c r="F56" i="80"/>
  <c r="C56" i="80"/>
  <c r="H56" i="80" s="1"/>
  <c r="D54" i="80"/>
  <c r="I54" i="80" s="1"/>
  <c r="E54" i="80"/>
  <c r="J54" i="80" s="1"/>
  <c r="F54" i="80"/>
  <c r="C54" i="80"/>
  <c r="H54" i="80" s="1"/>
  <c r="D57" i="80"/>
  <c r="I57" i="80" s="1"/>
  <c r="E57" i="80"/>
  <c r="J57" i="80" s="1"/>
  <c r="F57" i="80"/>
  <c r="C57" i="80"/>
  <c r="H57" i="80" s="1"/>
  <c r="G16" i="83"/>
  <c r="G17" i="83" s="1"/>
  <c r="E15" i="83"/>
  <c r="E16" i="83" s="1"/>
  <c r="E17" i="83" s="1"/>
  <c r="J49" i="81"/>
  <c r="E46" i="81"/>
  <c r="K44" i="81"/>
  <c r="N42" i="80"/>
  <c r="E15" i="81"/>
  <c r="C32" i="81" s="1"/>
  <c r="N42" i="81" s="1"/>
  <c r="N44" i="80"/>
  <c r="V13" i="80"/>
  <c r="V23" i="80"/>
  <c r="Q42" i="80"/>
  <c r="S31" i="80"/>
  <c r="T31" i="80" s="1"/>
  <c r="J29" i="80"/>
  <c r="J36" i="80" s="1"/>
  <c r="J37" i="80" s="1"/>
  <c r="Q30" i="80"/>
  <c r="Q46" i="80" s="1"/>
  <c r="T24" i="80"/>
  <c r="T42" i="80" s="1"/>
  <c r="V22" i="80"/>
  <c r="U24" i="80"/>
  <c r="H32" i="80"/>
  <c r="H33" i="80" s="1"/>
  <c r="J31" i="80"/>
  <c r="G24" i="80"/>
  <c r="G34" i="80" s="1"/>
  <c r="G35" i="80" s="1"/>
  <c r="E42" i="80"/>
  <c r="U18" i="80"/>
  <c r="U32" i="80" s="1"/>
  <c r="K32" i="80"/>
  <c r="K33" i="80" s="1"/>
  <c r="Q32" i="80"/>
  <c r="Q33" i="80" s="1"/>
  <c r="V19" i="80"/>
  <c r="I30" i="80"/>
  <c r="H30" i="80"/>
  <c r="H46" i="80" s="1"/>
  <c r="T29" i="80"/>
  <c r="E30" i="80"/>
  <c r="E46" i="80" s="1"/>
  <c r="U29" i="80"/>
  <c r="G31" i="80"/>
  <c r="V16" i="80"/>
  <c r="S24" i="80"/>
  <c r="S34" i="80" s="1"/>
  <c r="S35" i="80" s="1"/>
  <c r="Q36" i="80"/>
  <c r="Q37" i="80" s="1"/>
  <c r="M18" i="80"/>
  <c r="M32" i="80" s="1"/>
  <c r="M33" i="80" s="1"/>
  <c r="L30" i="80"/>
  <c r="U31" i="80"/>
  <c r="P29" i="80"/>
  <c r="P36" i="80" s="1"/>
  <c r="P37" i="80" s="1"/>
  <c r="K34" i="80"/>
  <c r="K35" i="80" s="1"/>
  <c r="J24" i="80"/>
  <c r="J34" i="80" s="1"/>
  <c r="J35" i="80" s="1"/>
  <c r="E32" i="80"/>
  <c r="E33" i="80" s="1"/>
  <c r="Q44" i="80"/>
  <c r="M24" i="80"/>
  <c r="M34" i="80" s="1"/>
  <c r="M35" i="80" s="1"/>
  <c r="H36" i="80"/>
  <c r="H37" i="80" s="1"/>
  <c r="V15" i="80"/>
  <c r="P18" i="80"/>
  <c r="P32" i="80" s="1"/>
  <c r="P33" i="80" s="1"/>
  <c r="M29" i="80"/>
  <c r="M36" i="80" s="1"/>
  <c r="M37" i="80" s="1"/>
  <c r="N30" i="80"/>
  <c r="N46" i="80" s="1"/>
  <c r="N32" i="80"/>
  <c r="N33" i="80" s="1"/>
  <c r="O30" i="80"/>
  <c r="T36" i="80"/>
  <c r="T37" i="80" s="1"/>
  <c r="G18" i="80"/>
  <c r="G32" i="80" s="1"/>
  <c r="G33" i="80" s="1"/>
  <c r="K30" i="80"/>
  <c r="K46" i="80" s="1"/>
  <c r="T18" i="80"/>
  <c r="T40" i="80" s="1"/>
  <c r="V28" i="80"/>
  <c r="M31" i="80"/>
  <c r="V12" i="80"/>
  <c r="V17" i="80"/>
  <c r="V25" i="80"/>
  <c r="W25" i="80" s="1"/>
  <c r="P31" i="80"/>
  <c r="E40" i="80"/>
  <c r="E44" i="80"/>
  <c r="S18" i="80"/>
  <c r="S32" i="80" s="1"/>
  <c r="S33" i="80" s="1"/>
  <c r="K36" i="80"/>
  <c r="K37" i="80" s="1"/>
  <c r="H34" i="80"/>
  <c r="H35" i="80" s="1"/>
  <c r="S29" i="80"/>
  <c r="S36" i="80" s="1"/>
  <c r="S37" i="80" s="1"/>
  <c r="V27" i="80"/>
  <c r="V26" i="80"/>
  <c r="G29" i="80"/>
  <c r="G36" i="80" s="1"/>
  <c r="G37" i="80" s="1"/>
  <c r="P24" i="80"/>
  <c r="P34" i="80" s="1"/>
  <c r="P35" i="80" s="1"/>
  <c r="V20" i="80"/>
  <c r="J18" i="80"/>
  <c r="F30" i="80"/>
  <c r="R30" i="80"/>
  <c r="I43" i="81"/>
  <c r="K55" i="80" l="1"/>
  <c r="K56" i="80"/>
  <c r="K57" i="80"/>
  <c r="K54" i="80"/>
  <c r="T34" i="80"/>
  <c r="T35" i="80" s="1"/>
  <c r="I58" i="80"/>
  <c r="T44" i="80"/>
  <c r="J58" i="80"/>
  <c r="K53" i="80"/>
  <c r="N44" i="81"/>
  <c r="K43" i="81"/>
  <c r="V18" i="80"/>
  <c r="V24" i="80"/>
  <c r="V34" i="80" s="1"/>
  <c r="V35" i="80" s="1"/>
  <c r="S30" i="80"/>
  <c r="T30" i="80" s="1"/>
  <c r="V31" i="80"/>
  <c r="M30" i="80"/>
  <c r="G30" i="80"/>
  <c r="V29" i="80"/>
  <c r="T32" i="80"/>
  <c r="T33" i="80" s="1"/>
  <c r="J32" i="80"/>
  <c r="J33" i="80" s="1"/>
  <c r="J30" i="80"/>
  <c r="U30" i="80"/>
  <c r="P30" i="80"/>
  <c r="G46" i="81"/>
  <c r="G49" i="81" s="1"/>
  <c r="I46" i="81"/>
  <c r="I49" i="81" s="1"/>
  <c r="L43" i="81" l="1"/>
  <c r="N43" i="81" s="1"/>
  <c r="T46" i="80"/>
  <c r="K58" i="80"/>
  <c r="V36" i="80"/>
  <c r="V37" i="80" s="1"/>
  <c r="W29" i="80"/>
  <c r="K46" i="81"/>
  <c r="W24" i="80"/>
  <c r="V32" i="80"/>
  <c r="V33" i="80" s="1"/>
  <c r="W18" i="80"/>
  <c r="V30" i="80"/>
  <c r="W30" i="80" s="1"/>
  <c r="L46" i="81" l="1"/>
  <c r="N46" i="81" s="1"/>
  <c r="L37" i="83"/>
  <c r="O37" i="83" s="1"/>
  <c r="L38" i="83"/>
  <c r="O38" i="83" s="1"/>
  <c r="L39" i="83"/>
  <c r="O39" i="83" s="1"/>
  <c r="L40" i="83"/>
  <c r="O40" i="83" s="1"/>
  <c r="Q40" i="83"/>
  <c r="Q39" i="83"/>
  <c r="Q38" i="83"/>
  <c r="Q37" i="83"/>
  <c r="O37" i="82"/>
  <c r="O36" i="82"/>
  <c r="O35" i="82"/>
  <c r="H18" i="58" l="1"/>
  <c r="W20" i="80" s="1"/>
  <c r="I18" i="58"/>
  <c r="M18" i="58"/>
  <c r="T15" i="58" l="1"/>
  <c r="T16" i="58"/>
  <c r="T17" i="58"/>
  <c r="T13" i="58"/>
  <c r="T14" i="58" l="1"/>
  <c r="L18" i="58" l="1"/>
  <c r="K18" i="58"/>
  <c r="J18" i="58"/>
  <c r="R34" i="30" l="1"/>
  <c r="R33" i="30"/>
  <c r="R32" i="30" l="1"/>
  <c r="R31" i="30"/>
  <c r="R30" i="30"/>
  <c r="R29" i="30"/>
  <c r="R28" i="30"/>
  <c r="R27" i="30"/>
  <c r="R26" i="30"/>
  <c r="R25" i="30"/>
  <c r="R24" i="30"/>
  <c r="R23" i="30"/>
  <c r="R22" i="30"/>
  <c r="R21" i="30"/>
  <c r="R20" i="30"/>
  <c r="R19" i="30"/>
  <c r="R18" i="30"/>
  <c r="R17" i="30"/>
  <c r="R16" i="30"/>
  <c r="R15" i="30"/>
  <c r="F44" i="30" l="1"/>
  <c r="F43" i="30" l="1"/>
  <c r="F42" i="30" l="1"/>
  <c r="F41" i="30"/>
  <c r="F40" i="30"/>
  <c r="F39" i="30"/>
  <c r="F38" i="30"/>
  <c r="F37" i="30"/>
  <c r="F36" i="30"/>
  <c r="F35" i="30"/>
  <c r="F34" i="30"/>
  <c r="F33" i="30"/>
  <c r="F32" i="30"/>
  <c r="F31" i="30"/>
  <c r="F30" i="30"/>
  <c r="F29" i="30"/>
  <c r="F28" i="30"/>
  <c r="F27" i="30"/>
  <c r="F26" i="30"/>
  <c r="F25" i="30"/>
  <c r="F24" i="30"/>
  <c r="F23" i="30"/>
  <c r="F22" i="30"/>
  <c r="F21" i="30"/>
  <c r="F20" i="30"/>
  <c r="F19" i="30"/>
  <c r="F18" i="30"/>
  <c r="F17" i="30"/>
  <c r="H16" i="30"/>
  <c r="F16" i="30"/>
  <c r="H15" i="30"/>
  <c r="F15" i="30"/>
  <c r="H14" i="30"/>
  <c r="F14" i="30"/>
  <c r="H13" i="30"/>
  <c r="F13" i="30"/>
  <c r="H12" i="30"/>
  <c r="F12" i="30"/>
  <c r="H11" i="30"/>
  <c r="F11" i="30"/>
  <c r="H10" i="30"/>
  <c r="F10" i="30"/>
  <c r="C58" i="80" l="1"/>
  <c r="H58" i="8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<sst xmlns="http://schemas.openxmlformats.org/spreadsheetml/2006/main" count="928" uniqueCount="478">
  <si>
    <r>
      <rPr>
        <b/>
        <sz val="14"/>
        <color indexed="8"/>
        <rFont val="微软雅黑"/>
        <family val="2"/>
        <charset val="134"/>
      </rPr>
      <t>该科目涉及</t>
    </r>
    <r>
      <rPr>
        <b/>
        <sz val="14"/>
        <color indexed="8"/>
        <rFont val="Arial"/>
        <family val="2"/>
      </rPr>
      <t>OSP</t>
    </r>
    <r>
      <rPr>
        <b/>
        <sz val="14"/>
        <color indexed="8"/>
        <rFont val="微软雅黑"/>
        <family val="2"/>
        <charset val="134"/>
      </rPr>
      <t>底稿可参考此链接</t>
    </r>
  </si>
  <si>
    <t>L1.00</t>
  </si>
  <si>
    <r>
      <t>L1.00 Lead sheet</t>
    </r>
    <r>
      <rPr>
        <b/>
        <sz val="10"/>
        <color rgb="FF000000"/>
        <rFont val="微软雅黑"/>
        <family val="2"/>
        <charset val="134"/>
      </rPr>
      <t>（认定：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</si>
  <si>
    <t>L.00 Lead sheet</t>
  </si>
  <si>
    <r>
      <rPr>
        <b/>
        <sz val="10"/>
        <rFont val="微软雅黑"/>
        <family val="2"/>
        <charset val="134"/>
      </rPr>
      <t>程序页</t>
    </r>
    <phoneticPr fontId="78" type="noConversion"/>
  </si>
  <si>
    <r>
      <rPr>
        <b/>
        <sz val="10"/>
        <rFont val="微软雅黑"/>
        <family val="2"/>
        <charset val="134"/>
      </rPr>
      <t>执行</t>
    </r>
  </si>
  <si>
    <r>
      <rPr>
        <b/>
        <sz val="10"/>
        <color theme="1"/>
        <rFont val="微软雅黑"/>
        <family val="2"/>
        <charset val="134"/>
      </rPr>
      <t>不执行的原因</t>
    </r>
    <phoneticPr fontId="78" type="noConversion"/>
  </si>
  <si>
    <r>
      <rPr>
        <sz val="10"/>
        <color theme="1"/>
        <rFont val="微软雅黑"/>
        <family val="2"/>
        <charset val="134"/>
      </rPr>
      <t>获取和编制无形资产两期变动的引导表，并与试算平衡表和上年底稿核对一致。对无形资产变动建立预期并说明理由，对不符合预期的变动以及异常变动进行调查和分析。</t>
    </r>
    <phoneticPr fontId="78" type="noConversion"/>
  </si>
  <si>
    <t>L1.00 Lead sheet</t>
    <phoneticPr fontId="78" type="noConversion"/>
  </si>
  <si>
    <t>L1.01.1</t>
    <phoneticPr fontId="78" type="noConversion"/>
  </si>
  <si>
    <r>
      <t>L1.01.1 Agree SL to GL</t>
    </r>
    <r>
      <rPr>
        <b/>
        <sz val="10"/>
        <rFont val="微软雅黑"/>
        <family val="2"/>
        <charset val="134"/>
      </rPr>
      <t>（认定：</t>
    </r>
    <r>
      <rPr>
        <b/>
        <sz val="10"/>
        <rFont val="Arial"/>
        <family val="2"/>
      </rPr>
      <t>E</t>
    </r>
    <r>
      <rPr>
        <b/>
        <sz val="10"/>
        <rFont val="微软雅黑"/>
        <family val="2"/>
        <charset val="134"/>
      </rPr>
      <t>、</t>
    </r>
    <r>
      <rPr>
        <b/>
        <sz val="10"/>
        <rFont val="Arial"/>
        <family val="2"/>
      </rPr>
      <t>V</t>
    </r>
    <r>
      <rPr>
        <b/>
        <sz val="10"/>
        <rFont val="微软雅黑"/>
        <family val="2"/>
        <charset val="134"/>
      </rPr>
      <t>、</t>
    </r>
    <r>
      <rPr>
        <b/>
        <sz val="10"/>
        <rFont val="Arial"/>
        <family val="2"/>
      </rPr>
      <t>C</t>
    </r>
    <r>
      <rPr>
        <b/>
        <sz val="10"/>
        <rFont val="微软雅黑"/>
        <family val="2"/>
        <charset val="134"/>
      </rPr>
      <t>、</t>
    </r>
    <r>
      <rPr>
        <b/>
        <sz val="10"/>
        <rFont val="Arial"/>
        <family val="2"/>
      </rPr>
      <t>R&amp;O</t>
    </r>
    <r>
      <rPr>
        <b/>
        <sz val="10"/>
        <rFont val="微软雅黑"/>
        <family val="2"/>
        <charset val="134"/>
      </rPr>
      <t>、</t>
    </r>
    <r>
      <rPr>
        <b/>
        <sz val="10"/>
        <rFont val="Arial"/>
        <family val="2"/>
      </rPr>
      <t>P&amp;D</t>
    </r>
    <r>
      <rPr>
        <b/>
        <sz val="10"/>
        <rFont val="微软雅黑"/>
        <family val="2"/>
        <charset val="134"/>
      </rPr>
      <t>）</t>
    </r>
  </si>
  <si>
    <r>
      <t xml:space="preserve">L1.01.1 </t>
    </r>
    <r>
      <rPr>
        <b/>
        <sz val="10"/>
        <rFont val="微软雅黑"/>
        <family val="2"/>
        <charset val="134"/>
      </rPr>
      <t>明细账与总账核对一致</t>
    </r>
  </si>
  <si>
    <r>
      <rPr>
        <b/>
        <sz val="10"/>
        <rFont val="微软雅黑"/>
        <family val="2"/>
        <charset val="134"/>
      </rPr>
      <t>程序页</t>
    </r>
  </si>
  <si>
    <r>
      <rPr>
        <sz val="10"/>
        <color theme="1"/>
        <rFont val="微软雅黑"/>
        <family val="2"/>
        <charset val="134"/>
      </rPr>
      <t>获取无形资产后推明细表，并将其与试算平衡表和无形资产清单核对一致。</t>
    </r>
    <phoneticPr fontId="78" type="noConversion"/>
  </si>
  <si>
    <t>L1.01.1 Agree SL to GL</t>
    <phoneticPr fontId="78" type="noConversion"/>
  </si>
  <si>
    <t>L1.02.1</t>
    <phoneticPr fontId="78" type="noConversion"/>
  </si>
  <si>
    <r>
      <t xml:space="preserve">L1.02.1 </t>
    </r>
    <r>
      <rPr>
        <b/>
        <sz val="10"/>
        <color rgb="FF000000"/>
        <rFont val="微软雅黑"/>
        <family val="2"/>
        <charset val="134"/>
      </rPr>
      <t>新增测试</t>
    </r>
    <r>
      <rPr>
        <b/>
        <sz val="10"/>
        <color rgb="FF000000"/>
        <rFont val="Arial"/>
        <family val="2"/>
      </rPr>
      <t xml:space="preserve"> &amp;</t>
    </r>
    <r>
      <rPr>
        <b/>
        <sz val="10"/>
        <color rgb="FF000000"/>
        <rFont val="微软雅黑"/>
        <family val="2"/>
        <charset val="134"/>
      </rPr>
      <t>新增清单（认定：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</si>
  <si>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rPr>
        <sz val="10"/>
        <color rgb="FF000000"/>
        <rFont val="微软雅黑"/>
        <family val="2"/>
        <charset val="134"/>
      </rPr>
      <t>获取当期按类别划分的所有无形资产新增清单，并将该列表与无形资产后推核对一致，调查超过</t>
    </r>
    <r>
      <rPr>
        <sz val="10"/>
        <color rgb="FF000000"/>
        <rFont val="Arial"/>
        <family val="2"/>
      </rPr>
      <t>SAD</t>
    </r>
    <r>
      <rPr>
        <sz val="10"/>
        <color rgb="FF000000"/>
        <rFont val="微软雅黑"/>
        <family val="2"/>
        <charset val="134"/>
      </rPr>
      <t xml:space="preserve">名义金额的差额。
</t>
    </r>
  </si>
  <si>
    <r>
      <rPr>
        <b/>
        <u/>
        <sz val="10"/>
        <color theme="4" tint="-0.249977111117893"/>
        <rFont val="微软雅黑"/>
        <family val="2"/>
        <charset val="134"/>
      </rPr>
      <t>新增清单</t>
    </r>
  </si>
  <si>
    <r>
      <rPr>
        <sz val="10"/>
        <rFont val="微软雅黑"/>
        <family val="2"/>
        <charset val="134"/>
      </rPr>
      <t>对本年新增资产执行关键项目测试和代表性样本测试（如需要）。</t>
    </r>
    <phoneticPr fontId="78" type="noConversion"/>
  </si>
  <si>
    <r>
      <t xml:space="preserve">L1.02.1 </t>
    </r>
    <r>
      <rPr>
        <b/>
        <u/>
        <sz val="10"/>
        <color theme="4" tint="-0.249977111117893"/>
        <rFont val="微软雅黑"/>
        <family val="2"/>
        <charset val="134"/>
      </rPr>
      <t>新增测试</t>
    </r>
  </si>
  <si>
    <t>L1.02.2</t>
    <phoneticPr fontId="78" type="noConversion"/>
  </si>
  <si>
    <r>
      <t xml:space="preserve">L1.02.2 </t>
    </r>
    <r>
      <rPr>
        <b/>
        <sz val="10"/>
        <color rgb="FF000000"/>
        <rFont val="微软雅黑"/>
        <family val="2"/>
        <charset val="134"/>
      </rPr>
      <t>处置测试</t>
    </r>
    <r>
      <rPr>
        <b/>
        <sz val="10"/>
        <color rgb="FF000000"/>
        <rFont val="Arial"/>
        <family val="2"/>
      </rPr>
      <t xml:space="preserve"> &amp; </t>
    </r>
    <r>
      <rPr>
        <b/>
        <sz val="10"/>
        <color rgb="FF000000"/>
        <rFont val="微软雅黑"/>
        <family val="2"/>
        <charset val="134"/>
      </rPr>
      <t>处置清单（认定：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</si>
  <si>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rPr>
        <sz val="10"/>
        <color rgb="FF000000"/>
        <rFont val="微软雅黑"/>
        <family val="2"/>
        <charset val="134"/>
      </rPr>
      <t>获取当期按类别划分的所有无形资产处置清单，包括记录的处置的损益，并将该列表与无形资产后推核对一致，我们调查超过</t>
    </r>
    <r>
      <rPr>
        <sz val="10"/>
        <color rgb="FF000000"/>
        <rFont val="Arial"/>
        <family val="2"/>
      </rPr>
      <t>SAD</t>
    </r>
    <r>
      <rPr>
        <sz val="10"/>
        <color rgb="FF000000"/>
        <rFont val="微软雅黑"/>
        <family val="2"/>
        <charset val="134"/>
      </rPr>
      <t>名义金额的差额。</t>
    </r>
  </si>
  <si>
    <r>
      <rPr>
        <b/>
        <u/>
        <sz val="10"/>
        <color theme="4" tint="-0.249977111117893"/>
        <rFont val="微软雅黑"/>
        <family val="2"/>
        <charset val="134"/>
      </rPr>
      <t>处置清单</t>
    </r>
  </si>
  <si>
    <r>
      <rPr>
        <sz val="10"/>
        <rFont val="微软雅黑"/>
        <family val="2"/>
        <charset val="134"/>
      </rPr>
      <t>对本年处置资产执行关键项目测试和代表性样本测试（如需要）。</t>
    </r>
    <phoneticPr fontId="78" type="noConversion"/>
  </si>
  <si>
    <r>
      <t xml:space="preserve">L1.02.2 </t>
    </r>
    <r>
      <rPr>
        <b/>
        <u/>
        <sz val="10"/>
        <color theme="4" tint="-0.249977111117893"/>
        <rFont val="微软雅黑"/>
        <family val="2"/>
        <charset val="134"/>
      </rPr>
      <t>处置测试</t>
    </r>
  </si>
  <si>
    <t>L1.03</t>
  </si>
  <si>
    <r>
      <t xml:space="preserve">L1.03 </t>
    </r>
    <r>
      <rPr>
        <b/>
        <sz val="10"/>
        <color rgb="FF000000"/>
        <rFont val="微软雅黑"/>
        <family val="2"/>
        <charset val="134"/>
      </rPr>
      <t>摊销测试（认定：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</si>
  <si>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t xml:space="preserve">L1.01.1a IA list &amp; </t>
    </r>
    <r>
      <rPr>
        <b/>
        <sz val="10"/>
        <rFont val="微软雅黑"/>
        <family val="2"/>
        <charset val="134"/>
      </rPr>
      <t>摊销测试</t>
    </r>
  </si>
  <si>
    <r>
      <rPr>
        <sz val="10"/>
        <color theme="1"/>
        <rFont val="微软雅黑"/>
        <family val="2"/>
        <charset val="134"/>
      </rPr>
      <t>按照公司摊销政策对本年应计提摊销执行重新计算（</t>
    </r>
    <r>
      <rPr>
        <sz val="10"/>
        <color theme="1"/>
        <rFont val="Arial"/>
        <family val="2"/>
      </rPr>
      <t>by item</t>
    </r>
    <r>
      <rPr>
        <sz val="10"/>
        <color theme="1"/>
        <rFont val="微软雅黑"/>
        <family val="2"/>
        <charset val="134"/>
      </rPr>
      <t>），并与账面进行核对，调查超过</t>
    </r>
    <r>
      <rPr>
        <sz val="10"/>
        <color theme="1"/>
        <rFont val="Arial"/>
        <family val="2"/>
      </rPr>
      <t>SAD</t>
    </r>
    <r>
      <rPr>
        <sz val="10"/>
        <color theme="1"/>
        <rFont val="微软雅黑"/>
        <family val="2"/>
        <charset val="134"/>
      </rPr>
      <t>名义金额的差额。
检查无形资产各项目的摊销政策是否符合有关规定，是否与上期一致，其是否具有商业合理性。若改变摊销政策，检查其依据是否充分。</t>
    </r>
  </si>
  <si>
    <r>
      <t xml:space="preserve">L1.03 </t>
    </r>
    <r>
      <rPr>
        <b/>
        <u/>
        <sz val="10"/>
        <color theme="4" tint="-0.249977111117893"/>
        <rFont val="微软雅黑"/>
        <family val="2"/>
        <charset val="134"/>
      </rPr>
      <t>摊销测试</t>
    </r>
  </si>
  <si>
    <t>L1.04</t>
  </si>
  <si>
    <t>L1.04 无形资产的减值（认定：V）</t>
  </si>
  <si>
    <t>验证是否已按照公司的会计政策或适用财务报告框架进行了适当调整，以反映无形资产的账面价值的减值。</t>
  </si>
  <si>
    <t>项目组自行填写底稿索引</t>
  </si>
  <si>
    <r>
      <rPr>
        <b/>
        <sz val="14"/>
        <color theme="0"/>
        <rFont val="微软雅黑"/>
        <family val="2"/>
        <charset val="134"/>
      </rPr>
      <t>标准工作底稿</t>
    </r>
    <r>
      <rPr>
        <b/>
        <sz val="14"/>
        <color theme="0"/>
        <rFont val="Arial"/>
        <family val="2"/>
      </rPr>
      <t xml:space="preserve">: L1 SWP </t>
    </r>
    <r>
      <rPr>
        <b/>
        <sz val="14"/>
        <color theme="0"/>
        <rFont val="微软雅黑"/>
        <family val="2"/>
        <charset val="134"/>
      </rPr>
      <t>无形资产</t>
    </r>
  </si>
  <si>
    <r>
      <rPr>
        <b/>
        <sz val="12"/>
        <rFont val="微软雅黑"/>
        <family val="2"/>
        <charset val="134"/>
      </rPr>
      <t>客户名称</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</si>
  <si>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</si>
  <si>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</si>
  <si>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rFont val="Arial"/>
        <family val="2"/>
      </rPr>
      <t>(TE</t>
    </r>
    <r>
      <rPr>
        <b/>
        <sz val="12"/>
        <rFont val="微软雅黑"/>
        <family val="2"/>
        <charset val="134"/>
      </rPr>
      <t>）</t>
    </r>
  </si>
  <si>
    <r>
      <rPr>
        <b/>
        <sz val="12"/>
        <rFont val="微软雅黑"/>
        <family val="2"/>
        <charset val="134"/>
      </rPr>
      <t>名义金额（</t>
    </r>
    <r>
      <rPr>
        <b/>
        <sz val="12"/>
        <rFont val="Arial"/>
        <family val="2"/>
      </rPr>
      <t>SAD</t>
    </r>
    <r>
      <rPr>
        <b/>
        <sz val="12"/>
        <rFont val="微软雅黑"/>
        <family val="2"/>
        <charset val="134"/>
      </rPr>
      <t>）</t>
    </r>
  </si>
  <si>
    <r>
      <rPr>
        <b/>
        <sz val="12"/>
        <rFont val="微软雅黑"/>
        <family val="2"/>
        <charset val="134"/>
      </rPr>
      <t>公认会计准则（</t>
    </r>
    <r>
      <rPr>
        <b/>
        <sz val="12"/>
        <rFont val="Arial"/>
        <family val="2"/>
      </rPr>
      <t>GAAP</t>
    </r>
    <r>
      <rPr>
        <b/>
        <sz val="12"/>
        <rFont val="微软雅黑"/>
        <family val="2"/>
        <charset val="134"/>
      </rPr>
      <t>）</t>
    </r>
  </si>
  <si>
    <r>
      <rPr>
        <b/>
        <sz val="12"/>
        <rFont val="微软雅黑"/>
        <family val="2"/>
        <charset val="134"/>
      </rPr>
      <t>货币</t>
    </r>
    <r>
      <rPr>
        <b/>
        <sz val="12"/>
        <rFont val="Arial"/>
        <family val="2"/>
      </rPr>
      <t>/</t>
    </r>
    <r>
      <rPr>
        <b/>
        <sz val="12"/>
        <rFont val="微软雅黑"/>
        <family val="2"/>
        <charset val="134"/>
      </rPr>
      <t>单位</t>
    </r>
  </si>
  <si>
    <r>
      <t>L1.00</t>
    </r>
    <r>
      <rPr>
        <b/>
        <sz val="12"/>
        <color rgb="FF000000"/>
        <rFont val="微软雅黑"/>
        <family val="2"/>
        <charset val="134"/>
      </rPr>
      <t>：编制引导表并比较余额</t>
    </r>
  </si>
  <si>
    <r>
      <rPr>
        <u/>
        <sz val="10"/>
        <color rgb="FFFF0000"/>
        <rFont val="微软雅黑"/>
        <family val="2"/>
        <charset val="134"/>
      </rPr>
      <t>返回汇总页</t>
    </r>
    <phoneticPr fontId="78" type="noConversion"/>
  </si>
  <si>
    <t>Threshold(s)</t>
  </si>
  <si>
    <r>
      <rPr>
        <b/>
        <sz val="10"/>
        <rFont val="微软雅黑"/>
        <family val="2"/>
        <charset val="134"/>
      </rPr>
      <t>安永标记</t>
    </r>
  </si>
  <si>
    <r>
      <rPr>
        <b/>
        <sz val="10"/>
        <rFont val="微软雅黑"/>
        <family val="2"/>
        <charset val="134"/>
      </rPr>
      <t>认定</t>
    </r>
  </si>
  <si>
    <t>CRA</t>
  </si>
  <si>
    <r>
      <rPr>
        <b/>
        <sz val="10"/>
        <rFont val="微软雅黑"/>
        <family val="2"/>
        <charset val="134"/>
      </rPr>
      <t>各项认定</t>
    </r>
    <r>
      <rPr>
        <b/>
        <vertAlign val="superscript"/>
        <sz val="10"/>
        <color rgb="FFFF0000"/>
        <rFont val="Arial"/>
        <family val="2"/>
      </rPr>
      <t>1</t>
    </r>
    <phoneticPr fontId="78"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</si>
  <si>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78" type="noConversion"/>
  </si>
  <si>
    <t>TB</t>
  </si>
  <si>
    <r>
      <rPr>
        <sz val="10"/>
        <color theme="1"/>
        <rFont val="微软雅黑"/>
        <family val="2"/>
        <charset val="134"/>
      </rPr>
      <t>已与科目余额表核对无误</t>
    </r>
  </si>
  <si>
    <r>
      <rPr>
        <sz val="10"/>
        <color rgb="FF000000"/>
        <rFont val="微软雅黑"/>
        <family val="2"/>
        <charset val="134"/>
      </rPr>
      <t>完整性</t>
    </r>
    <r>
      <rPr>
        <sz val="10"/>
        <color rgb="FF000000"/>
        <rFont val="Arial"/>
        <family val="2"/>
      </rPr>
      <t xml:space="preserve"> (C)</t>
    </r>
    <phoneticPr fontId="78" type="noConversion"/>
  </si>
  <si>
    <t>PY</t>
  </si>
  <si>
    <r>
      <rPr>
        <sz val="10"/>
        <color theme="1"/>
        <rFont val="微软雅黑"/>
        <family val="2"/>
        <charset val="134"/>
      </rPr>
      <t>与上年最终审定数核对一致</t>
    </r>
  </si>
  <si>
    <r>
      <rPr>
        <sz val="10"/>
        <color rgb="FF000000"/>
        <rFont val="微软雅黑"/>
        <family val="2"/>
        <charset val="134"/>
      </rPr>
      <t>存在性</t>
    </r>
    <r>
      <rPr>
        <sz val="10"/>
        <color rgb="FF000000"/>
        <rFont val="Arial"/>
        <family val="2"/>
      </rPr>
      <t xml:space="preserve"> (E) / </t>
    </r>
    <r>
      <rPr>
        <sz val="10"/>
        <color rgb="FF000000"/>
        <rFont val="微软雅黑"/>
        <family val="2"/>
        <charset val="134"/>
      </rPr>
      <t>发生</t>
    </r>
    <r>
      <rPr>
        <sz val="10"/>
        <color rgb="FF000000"/>
        <rFont val="Arial"/>
        <family val="2"/>
      </rPr>
      <t xml:space="preserve"> (O)</t>
    </r>
    <phoneticPr fontId="78" type="noConversion"/>
  </si>
  <si>
    <t>A3</t>
  </si>
  <si>
    <r>
      <rPr>
        <sz val="10"/>
        <rFont val="微软雅黑"/>
        <family val="2"/>
        <charset val="134"/>
      </rPr>
      <t>与未审数、审定数核对一致</t>
    </r>
  </si>
  <si>
    <r>
      <rPr>
        <sz val="10"/>
        <color rgb="FF000000"/>
        <rFont val="微软雅黑"/>
        <family val="2"/>
        <charset val="134"/>
      </rPr>
      <t>计价</t>
    </r>
    <r>
      <rPr>
        <sz val="10"/>
        <color rgb="FF000000"/>
        <rFont val="Arial"/>
        <family val="2"/>
      </rPr>
      <t>/</t>
    </r>
    <r>
      <rPr>
        <sz val="10"/>
        <color rgb="FF000000"/>
        <rFont val="微软雅黑"/>
        <family val="2"/>
        <charset val="134"/>
      </rPr>
      <t>计量</t>
    </r>
    <r>
      <rPr>
        <sz val="10"/>
        <color rgb="FF000000"/>
        <rFont val="Arial"/>
        <family val="2"/>
      </rPr>
      <t xml:space="preserve"> (V/M)</t>
    </r>
  </si>
  <si>
    <t>A5</t>
  </si>
  <si>
    <r>
      <rPr>
        <sz val="10"/>
        <rFont val="微软雅黑"/>
        <family val="2"/>
        <charset val="134"/>
      </rPr>
      <t>与审计调整核对一致</t>
    </r>
  </si>
  <si>
    <r>
      <rPr>
        <sz val="10"/>
        <color rgb="FF000000"/>
        <rFont val="微软雅黑"/>
        <family val="2"/>
        <charset val="134"/>
      </rPr>
      <t>权利和义务</t>
    </r>
    <r>
      <rPr>
        <sz val="10"/>
        <color rgb="FF000000"/>
        <rFont val="Arial"/>
        <family val="2"/>
      </rPr>
      <t xml:space="preserve"> (R&amp;O)</t>
    </r>
    <phoneticPr fontId="78" type="noConversion"/>
  </si>
  <si>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</si>
  <si>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</si>
  <si>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r>
      <rPr>
        <sz val="10"/>
        <color rgb="FF000000"/>
        <rFont val="微软雅黑"/>
        <family val="2"/>
        <charset val="134"/>
      </rPr>
      <t>列报和披露</t>
    </r>
    <r>
      <rPr>
        <sz val="10"/>
        <color rgb="FF000000"/>
        <rFont val="Arial"/>
        <family val="2"/>
      </rPr>
      <t xml:space="preserve"> (P&amp;D)</t>
    </r>
    <phoneticPr fontId="78" type="noConversion"/>
  </si>
  <si>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</si>
  <si>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</si>
  <si>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r>
      <t xml:space="preserve">1 </t>
    </r>
    <r>
      <rPr>
        <b/>
        <i/>
        <sz val="10"/>
        <color rgb="FFFF0000"/>
        <rFont val="微软雅黑"/>
        <family val="2"/>
        <charset val="134"/>
      </rPr>
      <t>各项认定的测试阈值，是根据</t>
    </r>
    <r>
      <rPr>
        <b/>
        <i/>
        <sz val="10"/>
        <color rgb="FFFF0000"/>
        <rFont val="Arial"/>
        <family val="2"/>
      </rPr>
      <t xml:space="preserve">EY GAM SUBSTANTIVE DESIGN 2.2.1 </t>
    </r>
  </si>
  <si>
    <t>Rx</t>
  </si>
  <si>
    <r>
      <rPr>
        <sz val="10"/>
        <color theme="1"/>
        <rFont val="微软雅黑"/>
        <family val="2"/>
        <charset val="134"/>
      </rPr>
      <t>重新计算，无异常</t>
    </r>
  </si>
  <si>
    <r>
      <rPr>
        <b/>
        <i/>
        <sz val="10"/>
        <color rgb="FFFF0000"/>
        <rFont val="微软雅黑"/>
        <family val="2"/>
        <charset val="134"/>
      </rPr>
      <t>中的示例测试阈值（用占</t>
    </r>
    <r>
      <rPr>
        <b/>
        <i/>
        <sz val="10"/>
        <color rgb="FFFF0000"/>
        <rFont val="Arial"/>
        <family val="2"/>
      </rPr>
      <t>TE</t>
    </r>
    <r>
      <rPr>
        <b/>
        <i/>
        <sz val="10"/>
        <color rgb="FFFF0000"/>
        <rFont val="微软雅黑"/>
        <family val="2"/>
        <charset val="134"/>
      </rPr>
      <t>的百分比表示）在相应风险等级（</t>
    </r>
    <r>
      <rPr>
        <b/>
        <i/>
        <sz val="10"/>
        <color rgb="FFFF0000"/>
        <rFont val="Arial"/>
        <family val="2"/>
      </rPr>
      <t>CRA</t>
    </r>
    <r>
      <rPr>
        <b/>
        <i/>
        <sz val="10"/>
        <color rgb="FFFF0000"/>
        <rFont val="微软雅黑"/>
        <family val="2"/>
        <charset val="134"/>
      </rPr>
      <t>）区间的上限计算得出的。</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</si>
  <si>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</si>
  <si>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</si>
  <si>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r>
      <rPr>
        <b/>
        <i/>
        <sz val="10"/>
        <color rgb="FFFF0000"/>
        <rFont val="微软雅黑"/>
        <family val="2"/>
        <charset val="134"/>
      </rPr>
      <t>除负债</t>
    </r>
    <r>
      <rPr>
        <b/>
        <i/>
        <sz val="10"/>
        <color rgb="FFFF0000"/>
        <rFont val="Arial"/>
        <family val="2"/>
      </rPr>
      <t>/</t>
    </r>
    <r>
      <rPr>
        <b/>
        <i/>
        <sz val="10"/>
        <color rgb="FFFF0000"/>
        <rFont val="微软雅黑"/>
        <family val="2"/>
        <charset val="134"/>
      </rPr>
      <t>费用类别账户的完整性认定应当使用负债</t>
    </r>
    <r>
      <rPr>
        <b/>
        <i/>
        <sz val="10"/>
        <color rgb="FFFF0000"/>
        <rFont val="Arial"/>
        <family val="2"/>
      </rPr>
      <t>/</t>
    </r>
    <r>
      <rPr>
        <b/>
        <i/>
        <sz val="10"/>
        <color rgb="FFFF0000"/>
        <rFont val="微软雅黑"/>
        <family val="2"/>
        <charset val="134"/>
      </rPr>
      <t>费用账户表之外，其他类别账户和认定均可使用资产</t>
    </r>
    <r>
      <rPr>
        <b/>
        <i/>
        <sz val="10"/>
        <color rgb="FFFF0000"/>
        <rFont val="Arial"/>
        <family val="2"/>
      </rPr>
      <t>/</t>
    </r>
    <r>
      <rPr>
        <b/>
        <i/>
        <sz val="10"/>
        <color rgb="FFFF0000"/>
        <rFont val="微软雅黑"/>
        <family val="2"/>
        <charset val="134"/>
      </rPr>
      <t>收入账户表。</t>
    </r>
  </si>
  <si>
    <t>SL</t>
  </si>
  <si>
    <r>
      <rPr>
        <sz val="10"/>
        <color rgb="FF000000"/>
        <rFont val="微软雅黑"/>
        <family val="2"/>
        <charset val="134"/>
      </rPr>
      <t>已与明细账核对无误</t>
    </r>
  </si>
  <si>
    <r>
      <t xml:space="preserve">2 </t>
    </r>
    <r>
      <rPr>
        <b/>
        <i/>
        <sz val="10"/>
        <color rgb="FFFF0000"/>
        <rFont val="微软雅黑"/>
        <family val="2"/>
        <charset val="134"/>
      </rPr>
      <t>所有相关认定的测试阈值，是所有有效认定对应之测试阈值的最小值。我们在</t>
    </r>
    <r>
      <rPr>
        <b/>
        <i/>
        <sz val="10"/>
        <color rgb="FFFF0000"/>
        <rFont val="Arial"/>
        <family val="2"/>
      </rPr>
      <t xml:space="preserve"> Lead</t>
    </r>
    <r>
      <rPr>
        <b/>
        <i/>
        <sz val="10"/>
        <color rgb="FFFF0000"/>
        <rFont val="微软雅黑"/>
        <family val="2"/>
        <charset val="134"/>
      </rPr>
      <t>中使用该测试阈值：（</t>
    </r>
    <r>
      <rPr>
        <b/>
        <i/>
        <sz val="10"/>
        <color rgb="FFFF0000"/>
        <rFont val="Arial"/>
        <family val="2"/>
      </rPr>
      <t>a</t>
    </r>
    <r>
      <rPr>
        <b/>
        <i/>
        <sz val="10"/>
        <color rgb="FFFF0000"/>
        <rFont val="微软雅黑"/>
        <family val="2"/>
        <charset val="134"/>
      </rPr>
      <t>）作为选取总账账户进行测试的起点；（</t>
    </r>
    <r>
      <rPr>
        <b/>
        <i/>
        <sz val="10"/>
        <color rgb="FFFF0000"/>
        <rFont val="Arial"/>
        <family val="2"/>
      </rPr>
      <t>b</t>
    </r>
    <r>
      <rPr>
        <b/>
        <i/>
        <sz val="10"/>
        <color rgb="FFFF0000"/>
        <rFont val="微软雅黑"/>
        <family val="2"/>
        <charset val="134"/>
      </rPr>
      <t>）作为（需要进一步调查的）金额波动范围的起点。</t>
    </r>
  </si>
  <si>
    <r>
      <rPr>
        <b/>
        <sz val="10"/>
        <rFont val="微软雅黑"/>
        <family val="2"/>
        <charset val="134"/>
      </rPr>
      <t>以下描述我们对无形资产的预期，在此期间的相关账户余额和相关波动，以及我们这些预期的依据和理由。（请对无形资产</t>
    </r>
    <r>
      <rPr>
        <b/>
        <sz val="10"/>
        <rFont val="Arial"/>
        <family val="2"/>
      </rPr>
      <t>L1.01.1 BKD</t>
    </r>
    <r>
      <rPr>
        <b/>
        <sz val="10"/>
        <rFont val="微软雅黑"/>
        <family val="2"/>
        <charset val="134"/>
      </rPr>
      <t>中表</t>
    </r>
    <r>
      <rPr>
        <b/>
        <sz val="10"/>
        <rFont val="Arial"/>
        <family val="2"/>
      </rPr>
      <t>1</t>
    </r>
    <r>
      <rPr>
        <b/>
        <sz val="10"/>
        <rFont val="微软雅黑"/>
        <family val="2"/>
        <charset val="134"/>
      </rPr>
      <t>的变动项分别进行预期，如新增、处置、摊销方法、摊销年限、摊销费用、使用寿命变化等。）</t>
    </r>
  </si>
  <si>
    <r>
      <rPr>
        <b/>
        <sz val="10"/>
        <rFont val="微软雅黑"/>
        <family val="2"/>
        <charset val="134"/>
      </rPr>
      <t>波动范围</t>
    </r>
    <phoneticPr fontId="78" type="noConversion"/>
  </si>
  <si>
    <r>
      <rPr>
        <b/>
        <sz val="10"/>
        <rFont val="微软雅黑"/>
        <family val="2"/>
        <charset val="134"/>
      </rPr>
      <t>波动幅度</t>
    </r>
    <r>
      <rPr>
        <b/>
        <sz val="10"/>
        <rFont val="Arial"/>
        <family val="2"/>
      </rPr>
      <t>(%):</t>
    </r>
    <phoneticPr fontId="78" type="noConversion"/>
  </si>
  <si>
    <r>
      <t>我们获取或编制了与上期对比的重大账户（无形资产）引导表。我们将本期余额与试算平衡表核对一致，并将上期余额与上期审定数核对一致（</t>
    </r>
    <r>
      <rPr>
        <b/>
        <sz val="10"/>
        <color rgb="FFFF0000"/>
        <rFont val="微软雅黑"/>
        <family val="2"/>
        <charset val="134"/>
      </rPr>
      <t>如适用）</t>
    </r>
    <r>
      <rPr>
        <b/>
        <sz val="10"/>
        <rFont val="微软雅黑"/>
        <family val="2"/>
        <charset val="134"/>
      </rPr>
      <t>。</t>
    </r>
  </si>
  <si>
    <r>
      <t>我们将期末余额与上期余额进行对比。调查超出测试阈值（金额和百分比）的波动，以及代表异常或预期外变动或未发生预期中变动的波动，并确定其对我们计划实质性程序的影响</t>
    </r>
    <r>
      <rPr>
        <b/>
        <sz val="10"/>
        <color rgb="FFFF0000"/>
        <rFont val="微软雅黑"/>
        <family val="2"/>
        <charset val="134"/>
      </rPr>
      <t>（如有）</t>
    </r>
    <r>
      <rPr>
        <b/>
        <sz val="10"/>
        <rFont val="微软雅黑"/>
        <family val="2"/>
        <charset val="134"/>
      </rPr>
      <t>。</t>
    </r>
  </si>
  <si>
    <t>|------- TB -------|</t>
  </si>
  <si>
    <t>|------- PY -------|</t>
  </si>
  <si>
    <r>
      <rPr>
        <b/>
        <sz val="10"/>
        <rFont val="微软雅黑"/>
        <family val="2"/>
        <charset val="134"/>
      </rPr>
      <t>本期和上期期末余额</t>
    </r>
    <phoneticPr fontId="78" type="noConversion"/>
  </si>
  <si>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</si>
  <si>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</si>
  <si>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rFont val="微软雅黑"/>
        <family val="2"/>
        <charset val="134"/>
      </rPr>
      <t>总账科目编码</t>
    </r>
  </si>
  <si>
    <r>
      <rPr>
        <b/>
        <sz val="10"/>
        <rFont val="微软雅黑"/>
        <family val="2"/>
        <charset val="134"/>
      </rPr>
      <t>科目名称</t>
    </r>
  </si>
  <si>
    <r>
      <rPr>
        <b/>
        <sz val="10"/>
        <rFont val="微软雅黑"/>
        <family val="2"/>
        <charset val="134"/>
      </rPr>
      <t>索引号</t>
    </r>
  </si>
  <si>
    <r>
      <rPr>
        <b/>
        <sz val="10"/>
        <color rgb="FF000000"/>
        <rFont val="微软雅黑"/>
        <family val="2"/>
        <charset val="134"/>
      </rPr>
      <t>期末账面数</t>
    </r>
  </si>
  <si>
    <r>
      <rPr>
        <b/>
        <sz val="10"/>
        <rFont val="微软雅黑"/>
        <family val="2"/>
        <charset val="134"/>
      </rPr>
      <t>账表调整数</t>
    </r>
  </si>
  <si>
    <r>
      <rPr>
        <b/>
        <sz val="10"/>
        <rFont val="微软雅黑"/>
        <family val="2"/>
        <charset val="134"/>
      </rPr>
      <t>期末未审数</t>
    </r>
  </si>
  <si>
    <r>
      <rPr>
        <b/>
        <sz val="10"/>
        <rFont val="微软雅黑"/>
        <family val="2"/>
        <charset val="134"/>
      </rPr>
      <t>审计调整数</t>
    </r>
  </si>
  <si>
    <r>
      <rPr>
        <b/>
        <sz val="10"/>
        <color rgb="FF000000"/>
        <rFont val="微软雅黑"/>
        <family val="2"/>
        <charset val="134"/>
      </rPr>
      <t>期末审定数</t>
    </r>
  </si>
  <si>
    <r>
      <rPr>
        <b/>
        <sz val="10"/>
        <color rgb="FF000000"/>
        <rFont val="微软雅黑"/>
        <family val="2"/>
        <charset val="134"/>
      </rPr>
      <t>上期末审定数</t>
    </r>
  </si>
  <si>
    <r>
      <rPr>
        <b/>
        <sz val="10"/>
        <rFont val="微软雅黑"/>
        <family val="2"/>
        <charset val="134"/>
      </rPr>
      <t>变动金额</t>
    </r>
  </si>
  <si>
    <r>
      <rPr>
        <b/>
        <sz val="10"/>
        <rFont val="微软雅黑"/>
        <family val="2"/>
        <charset val="134"/>
      </rPr>
      <t>变动</t>
    </r>
    <r>
      <rPr>
        <b/>
        <sz val="10"/>
        <rFont val="Arial"/>
        <family val="2"/>
      </rPr>
      <t>%</t>
    </r>
  </si>
  <si>
    <t>Notes</t>
  </si>
  <si>
    <r>
      <rPr>
        <sz val="10"/>
        <rFont val="微软雅黑"/>
        <family val="2"/>
        <charset val="134"/>
      </rPr>
      <t>无形资产</t>
    </r>
  </si>
  <si>
    <t>L.01.1</t>
  </si>
  <si>
    <t>[A]</t>
  </si>
  <si>
    <r>
      <rPr>
        <sz val="10"/>
        <rFont val="微软雅黑"/>
        <family val="2"/>
        <charset val="134"/>
      </rPr>
      <t>累计摊销</t>
    </r>
  </si>
  <si>
    <r>
      <rPr>
        <sz val="10"/>
        <rFont val="微软雅黑"/>
        <family val="2"/>
        <charset val="134"/>
      </rPr>
      <t>减值准备</t>
    </r>
  </si>
  <si>
    <t>合计</t>
  </si>
  <si>
    <t>check with A3</t>
  </si>
  <si>
    <t>Diff</t>
    <phoneticPr fontId="79" type="noConversion"/>
  </si>
  <si>
    <r>
      <rPr>
        <b/>
        <sz val="10"/>
        <color rgb="FFFF0000"/>
        <rFont val="微软雅黑"/>
        <family val="2"/>
        <charset val="134"/>
      </rPr>
      <t>波动说明</t>
    </r>
  </si>
  <si>
    <r>
      <rPr>
        <b/>
        <sz val="1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</si>
  <si>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</si>
  <si>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r>
      <rPr>
        <b/>
        <sz val="14"/>
        <color rgb="FFFFFFFF"/>
        <rFont val="微软雅黑"/>
        <family val="2"/>
        <charset val="134"/>
      </rPr>
      <t>标准工作底稿</t>
    </r>
    <r>
      <rPr>
        <b/>
        <sz val="14"/>
        <color rgb="FFFFFFFF"/>
        <rFont val="Arial"/>
        <family val="2"/>
      </rPr>
      <t xml:space="preserve">: L1 SWP </t>
    </r>
    <r>
      <rPr>
        <b/>
        <sz val="14"/>
        <color rgb="FFFFFFFF"/>
        <rFont val="微软雅黑"/>
        <family val="2"/>
        <charset val="134"/>
      </rPr>
      <t>无形资产</t>
    </r>
  </si>
  <si>
    <r>
      <t xml:space="preserve">L1.01.1 </t>
    </r>
    <r>
      <rPr>
        <b/>
        <sz val="12"/>
        <color rgb="FF000000"/>
        <rFont val="微软雅黑"/>
        <family val="2"/>
        <charset val="134"/>
      </rPr>
      <t>明细账与总账核对一致</t>
    </r>
  </si>
  <si>
    <r>
      <rPr>
        <b/>
        <sz val="10"/>
        <rFont val="微软雅黑"/>
        <family val="2"/>
        <charset val="134"/>
      </rPr>
      <t>获取上期末至本期末（或中期，如适用）无形资产及相关新增、处置、转让和摊销的后推明细表。（原值、累计摊销、减值均为正数填列，本期减少以负数填列，账表调整、审计调整数据均直接链接至</t>
    </r>
    <r>
      <rPr>
        <b/>
        <sz val="10"/>
        <rFont val="Arial"/>
        <family val="2"/>
      </rPr>
      <t>L1.00 Lead sheet</t>
    </r>
    <r>
      <rPr>
        <b/>
        <sz val="10"/>
        <rFont val="微软雅黑"/>
        <family val="2"/>
        <charset val="134"/>
      </rPr>
      <t>。）以下资产类别作为示例，审计团队需按照被审计单位实际情况修改。</t>
    </r>
  </si>
  <si>
    <r>
      <rPr>
        <b/>
        <sz val="10"/>
        <rFont val="微软雅黑"/>
        <family val="2"/>
        <charset val="134"/>
      </rPr>
      <t>将期初无形资产余额与上期审定数核对一致，将期末无形资产余额与无形资产明细账和试算表核对一致。调查大于</t>
    </r>
    <r>
      <rPr>
        <b/>
        <sz val="10"/>
        <rFont val="Arial"/>
        <family val="2"/>
      </rPr>
      <t>SAD</t>
    </r>
    <r>
      <rPr>
        <b/>
        <sz val="10"/>
        <rFont val="微软雅黑"/>
        <family val="2"/>
        <charset val="134"/>
      </rPr>
      <t>的差异。</t>
    </r>
  </si>
  <si>
    <r>
      <rPr>
        <b/>
        <sz val="10"/>
        <rFont val="微软雅黑"/>
        <family val="2"/>
        <charset val="134"/>
      </rPr>
      <t>我们选择了超过测试阈值的后推活动（如，新增、处置、转移和摊销费用），以执行</t>
    </r>
    <r>
      <rPr>
        <b/>
        <sz val="10"/>
        <rFont val="Arial"/>
        <family val="2"/>
      </rPr>
      <t>L1.02</t>
    </r>
    <r>
      <rPr>
        <b/>
        <sz val="10"/>
        <rFont val="微软雅黑"/>
        <family val="2"/>
        <charset val="134"/>
      </rPr>
      <t>和</t>
    </r>
    <r>
      <rPr>
        <b/>
        <sz val="10"/>
        <rFont val="Arial"/>
        <family val="2"/>
      </rPr>
      <t>L1.03</t>
    </r>
    <r>
      <rPr>
        <b/>
        <sz val="10"/>
        <rFont val="微软雅黑"/>
        <family val="2"/>
        <charset val="134"/>
      </rPr>
      <t>的实质性程序。对于未包含在本程序表范围内的程序，我们交叉索引至完成该程序的单独程序表。我们评估了无形资产的其他转出和其他调整，以了解调整的性质，并确定是否需要执行额外程序。</t>
    </r>
    <phoneticPr fontId="78" type="noConversion"/>
  </si>
  <si>
    <r>
      <rPr>
        <b/>
        <sz val="10"/>
        <color rgb="FFFF0000"/>
        <rFont val="微软雅黑"/>
        <family val="2"/>
        <charset val="134"/>
      </rPr>
      <t>表</t>
    </r>
    <r>
      <rPr>
        <b/>
        <sz val="10"/>
        <color rgb="FFFF0000"/>
        <rFont val="Arial"/>
        <family val="2"/>
      </rPr>
      <t>1</t>
    </r>
    <phoneticPr fontId="78" type="noConversion"/>
  </si>
  <si>
    <r>
      <rPr>
        <b/>
        <sz val="10"/>
        <rFont val="微软雅黑"/>
        <family val="2"/>
        <charset val="134"/>
      </rPr>
      <t>土地使用权</t>
    </r>
    <phoneticPr fontId="78" type="noConversion"/>
  </si>
  <si>
    <r>
      <rPr>
        <b/>
        <sz val="10"/>
        <rFont val="微软雅黑"/>
        <family val="2"/>
        <charset val="134"/>
      </rPr>
      <t>商标权</t>
    </r>
    <phoneticPr fontId="78" type="noConversion"/>
  </si>
  <si>
    <r>
      <rPr>
        <b/>
        <sz val="10"/>
        <rFont val="微软雅黑"/>
        <family val="2"/>
        <charset val="134"/>
      </rPr>
      <t>专利权</t>
    </r>
    <phoneticPr fontId="78" type="noConversion"/>
  </si>
  <si>
    <r>
      <rPr>
        <b/>
        <sz val="10"/>
        <rFont val="微软雅黑"/>
        <family val="2"/>
        <charset val="134"/>
      </rPr>
      <t>合计</t>
    </r>
    <phoneticPr fontId="78" type="noConversion"/>
  </si>
  <si>
    <t>Check</t>
  </si>
  <si>
    <r>
      <rPr>
        <b/>
        <sz val="10"/>
        <rFont val="微软雅黑"/>
        <family val="2"/>
        <charset val="134"/>
      </rPr>
      <t>账面数</t>
    </r>
  </si>
  <si>
    <r>
      <rPr>
        <b/>
        <sz val="10"/>
        <color theme="1"/>
        <rFont val="微软雅黑"/>
        <family val="2"/>
        <charset val="134"/>
      </rPr>
      <t>账表调整</t>
    </r>
    <r>
      <rPr>
        <b/>
        <sz val="10"/>
        <color theme="1"/>
        <rFont val="Arial"/>
        <family val="2"/>
      </rPr>
      <t>/</t>
    </r>
    <r>
      <rPr>
        <b/>
        <sz val="10"/>
        <color theme="1"/>
        <rFont val="微软雅黑"/>
        <family val="2"/>
        <charset val="134"/>
      </rPr>
      <t>审计调整</t>
    </r>
  </si>
  <si>
    <r>
      <rPr>
        <b/>
        <sz val="10"/>
        <rFont val="微软雅黑"/>
        <family val="2"/>
        <charset val="134"/>
      </rPr>
      <t>审定数</t>
    </r>
  </si>
  <si>
    <r>
      <rPr>
        <b/>
        <sz val="10"/>
        <color theme="1"/>
        <rFont val="微软雅黑"/>
        <family val="2"/>
        <charset val="134"/>
      </rPr>
      <t>原值</t>
    </r>
  </si>
  <si>
    <r>
      <rPr>
        <b/>
        <sz val="10"/>
        <color theme="1"/>
        <rFont val="微软雅黑"/>
        <family val="2"/>
        <charset val="134"/>
      </rPr>
      <t>年初余额</t>
    </r>
  </si>
  <si>
    <t>PY</t>
    <phoneticPr fontId="78" type="noConversion"/>
  </si>
  <si>
    <r>
      <rPr>
        <sz val="10"/>
        <color theme="1"/>
        <rFont val="微软雅黑"/>
        <family val="2"/>
        <charset val="134"/>
      </rPr>
      <t>购置</t>
    </r>
  </si>
  <si>
    <t>L1.02.1</t>
  </si>
  <si>
    <r>
      <rPr>
        <sz val="10"/>
        <color theme="1"/>
        <rFont val="微软雅黑"/>
        <family val="2"/>
        <charset val="134"/>
      </rPr>
      <t>本年其他新增</t>
    </r>
  </si>
  <si>
    <r>
      <rPr>
        <sz val="10"/>
        <color theme="1"/>
        <rFont val="微软雅黑"/>
        <family val="2"/>
        <charset val="134"/>
      </rPr>
      <t>处置或报废</t>
    </r>
  </si>
  <si>
    <t>L1.02.2</t>
  </si>
  <si>
    <r>
      <rPr>
        <sz val="10"/>
        <color theme="1"/>
        <rFont val="微软雅黑"/>
        <family val="2"/>
        <charset val="134"/>
      </rPr>
      <t>本年其他转出</t>
    </r>
  </si>
  <si>
    <r>
      <rPr>
        <b/>
        <sz val="10"/>
        <color theme="1"/>
        <rFont val="微软雅黑"/>
        <family val="2"/>
        <charset val="134"/>
      </rPr>
      <t>年末余额</t>
    </r>
  </si>
  <si>
    <t>Rx</t>
    <phoneticPr fontId="78" type="noConversion"/>
  </si>
  <si>
    <r>
      <rPr>
        <sz val="10"/>
        <color theme="1"/>
        <rFont val="微软雅黑"/>
        <family val="2"/>
        <charset val="134"/>
      </rPr>
      <t>计提</t>
    </r>
  </si>
  <si>
    <t>L1.01.1a</t>
  </si>
  <si>
    <r>
      <rPr>
        <b/>
        <sz val="10"/>
        <color theme="1"/>
        <rFont val="微软雅黑"/>
        <family val="2"/>
        <charset val="134"/>
      </rPr>
      <t>累计摊销</t>
    </r>
    <phoneticPr fontId="78" type="noConversion"/>
  </si>
  <si>
    <r>
      <t>SWP</t>
    </r>
    <r>
      <rPr>
        <b/>
        <sz val="10"/>
        <color rgb="FFFF0000"/>
        <rFont val="微软雅黑"/>
        <family val="2"/>
        <charset val="134"/>
      </rPr>
      <t>减值</t>
    </r>
  </si>
  <si>
    <r>
      <rPr>
        <b/>
        <sz val="10"/>
        <color theme="1"/>
        <rFont val="微软雅黑"/>
        <family val="2"/>
        <charset val="134"/>
      </rPr>
      <t>减值准备</t>
    </r>
  </si>
  <si>
    <r>
      <rPr>
        <b/>
        <sz val="10"/>
        <color theme="1"/>
        <rFont val="微软雅黑"/>
        <family val="2"/>
        <charset val="134"/>
      </rPr>
      <t>净值</t>
    </r>
    <r>
      <rPr>
        <b/>
        <sz val="10"/>
        <color theme="1"/>
        <rFont val="Arial"/>
        <family val="2"/>
      </rPr>
      <t xml:space="preserve"> (NBV)</t>
    </r>
  </si>
  <si>
    <r>
      <rPr>
        <b/>
        <sz val="10"/>
        <color theme="1"/>
        <rFont val="微软雅黑"/>
        <family val="2"/>
        <charset val="134"/>
      </rPr>
      <t>变动</t>
    </r>
  </si>
  <si>
    <r>
      <rPr>
        <sz val="10"/>
        <color theme="1"/>
        <rFont val="微软雅黑"/>
        <family val="2"/>
        <charset val="134"/>
      </rPr>
      <t>原值变动金额</t>
    </r>
  </si>
  <si>
    <r>
      <rPr>
        <sz val="10"/>
        <color theme="1"/>
        <rFont val="微软雅黑"/>
        <family val="2"/>
        <charset val="134"/>
      </rPr>
      <t>本年</t>
    </r>
    <r>
      <rPr>
        <sz val="10"/>
        <color theme="1"/>
        <rFont val="Arial"/>
        <family val="2"/>
      </rPr>
      <t>VS</t>
    </r>
    <r>
      <rPr>
        <sz val="10"/>
        <color theme="1"/>
        <rFont val="微软雅黑"/>
        <family val="2"/>
        <charset val="134"/>
      </rPr>
      <t>上年</t>
    </r>
  </si>
  <si>
    <r>
      <rPr>
        <sz val="10"/>
        <color theme="1"/>
        <rFont val="微软雅黑"/>
        <family val="2"/>
        <charset val="134"/>
      </rPr>
      <t>原值变动比例</t>
    </r>
  </si>
  <si>
    <t>%</t>
  </si>
  <si>
    <r>
      <rPr>
        <sz val="10"/>
        <color theme="1"/>
        <rFont val="微软雅黑"/>
        <family val="2"/>
        <charset val="134"/>
      </rPr>
      <t>累计摊销变动金额</t>
    </r>
  </si>
  <si>
    <r>
      <rPr>
        <sz val="10"/>
        <color theme="1"/>
        <rFont val="微软雅黑"/>
        <family val="2"/>
        <charset val="134"/>
      </rPr>
      <t>累计摊销变动比例</t>
    </r>
  </si>
  <si>
    <r>
      <rPr>
        <sz val="10"/>
        <color theme="1"/>
        <rFont val="微软雅黑"/>
        <family val="2"/>
        <charset val="134"/>
      </rPr>
      <t>减值准备变动金额</t>
    </r>
  </si>
  <si>
    <r>
      <rPr>
        <sz val="10"/>
        <color theme="1"/>
        <rFont val="微软雅黑"/>
        <family val="2"/>
        <charset val="134"/>
      </rPr>
      <t>减值准备变动比例</t>
    </r>
  </si>
  <si>
    <r>
      <t>TB-</t>
    </r>
    <r>
      <rPr>
        <b/>
        <sz val="10"/>
        <color rgb="FFFF0000"/>
        <rFont val="微软雅黑"/>
        <family val="2"/>
        <charset val="134"/>
      </rPr>
      <t>原值</t>
    </r>
    <phoneticPr fontId="77" type="noConversion"/>
  </si>
  <si>
    <r>
      <rPr>
        <b/>
        <sz val="10"/>
        <color rgb="FFFF0000"/>
        <rFont val="微软雅黑"/>
        <family val="2"/>
        <charset val="134"/>
      </rPr>
      <t>差异</t>
    </r>
  </si>
  <si>
    <r>
      <t>TB-</t>
    </r>
    <r>
      <rPr>
        <b/>
        <sz val="10"/>
        <color rgb="FFFF0000"/>
        <rFont val="微软雅黑"/>
        <family val="2"/>
        <charset val="134"/>
      </rPr>
      <t>累计摊销</t>
    </r>
  </si>
  <si>
    <r>
      <t>TB-</t>
    </r>
    <r>
      <rPr>
        <b/>
        <sz val="10"/>
        <color rgb="FFFF0000"/>
        <rFont val="微软雅黑"/>
        <family val="2"/>
        <charset val="134"/>
      </rPr>
      <t>减值准备</t>
    </r>
    <phoneticPr fontId="77" type="noConversion"/>
  </si>
  <si>
    <r>
      <rPr>
        <b/>
        <sz val="10"/>
        <color rgb="FFFF0000"/>
        <rFont val="微软雅黑"/>
        <family val="2"/>
        <charset val="134"/>
      </rPr>
      <t>差异</t>
    </r>
    <phoneticPr fontId="77" type="noConversion"/>
  </si>
  <si>
    <r>
      <t>TB-</t>
    </r>
    <r>
      <rPr>
        <b/>
        <sz val="10"/>
        <color rgb="FFFF0000"/>
        <rFont val="微软雅黑"/>
        <family val="2"/>
        <charset val="134"/>
      </rPr>
      <t>净值</t>
    </r>
    <phoneticPr fontId="77" type="noConversion"/>
  </si>
  <si>
    <r>
      <rPr>
        <b/>
        <sz val="10"/>
        <color rgb="FF000000"/>
        <rFont val="微软雅黑"/>
        <family val="2"/>
        <charset val="134"/>
      </rPr>
      <t>获取期末的无形资产明细清单，我们将无形资产明细清单的金额与表</t>
    </r>
    <r>
      <rPr>
        <b/>
        <sz val="10"/>
        <color rgb="FF000000"/>
        <rFont val="Arial"/>
        <family val="2"/>
      </rPr>
      <t>1</t>
    </r>
    <r>
      <rPr>
        <b/>
        <sz val="10"/>
        <color rgb="FF000000"/>
        <rFont val="微软雅黑"/>
        <family val="2"/>
        <charset val="134"/>
      </rPr>
      <t>金额进行核对，调查大于</t>
    </r>
    <r>
      <rPr>
        <b/>
        <sz val="10"/>
        <color rgb="FF000000"/>
        <rFont val="Arial"/>
        <family val="2"/>
      </rPr>
      <t>SAD</t>
    </r>
    <r>
      <rPr>
        <b/>
        <sz val="10"/>
        <color rgb="FF000000"/>
        <rFont val="微软雅黑"/>
        <family val="2"/>
        <charset val="134"/>
      </rPr>
      <t>的差异。</t>
    </r>
    <phoneticPr fontId="78" type="noConversion"/>
  </si>
  <si>
    <r>
      <rPr>
        <b/>
        <sz val="10"/>
        <color rgb="FFFF0000"/>
        <rFont val="微软雅黑"/>
        <family val="2"/>
        <charset val="134"/>
      </rPr>
      <t>表</t>
    </r>
    <r>
      <rPr>
        <b/>
        <sz val="10"/>
        <color rgb="FFFF0000"/>
        <rFont val="Arial"/>
        <family val="2"/>
      </rPr>
      <t>2</t>
    </r>
    <phoneticPr fontId="77" type="noConversion"/>
  </si>
  <si>
    <r>
      <t>IA list</t>
    </r>
    <r>
      <rPr>
        <b/>
        <sz val="10"/>
        <color theme="1"/>
        <rFont val="微软雅黑"/>
        <family val="2"/>
        <charset val="134"/>
      </rPr>
      <t>汇总</t>
    </r>
    <phoneticPr fontId="78" type="noConversion"/>
  </si>
  <si>
    <r>
      <rPr>
        <b/>
        <sz val="10"/>
        <color rgb="FFFF0000"/>
        <rFont val="微软雅黑"/>
        <family val="2"/>
        <charset val="134"/>
      </rPr>
      <t>表</t>
    </r>
    <r>
      <rPr>
        <b/>
        <sz val="10"/>
        <color rgb="FFFF0000"/>
        <rFont val="Arial"/>
        <family val="2"/>
      </rPr>
      <t>3</t>
    </r>
    <phoneticPr fontId="77" type="noConversion"/>
  </si>
  <si>
    <r>
      <t xml:space="preserve">check with </t>
    </r>
    <r>
      <rPr>
        <b/>
        <sz val="10"/>
        <rFont val="微软雅黑"/>
        <family val="2"/>
        <charset val="134"/>
      </rPr>
      <t>表</t>
    </r>
    <r>
      <rPr>
        <b/>
        <sz val="10"/>
        <rFont val="Arial"/>
        <family val="2"/>
      </rPr>
      <t>1</t>
    </r>
  </si>
  <si>
    <r>
      <rPr>
        <b/>
        <sz val="10"/>
        <color theme="1"/>
        <rFont val="微软雅黑"/>
        <family val="2"/>
        <charset val="134"/>
      </rPr>
      <t>类别</t>
    </r>
    <phoneticPr fontId="78" type="noConversion"/>
  </si>
  <si>
    <r>
      <rPr>
        <b/>
        <sz val="10"/>
        <color theme="1"/>
        <rFont val="微软雅黑"/>
        <family val="2"/>
        <charset val="134"/>
      </rPr>
      <t>净值</t>
    </r>
  </si>
  <si>
    <r>
      <rPr>
        <b/>
        <sz val="10"/>
        <color theme="1"/>
        <rFont val="微软雅黑"/>
        <family val="2"/>
        <charset val="134"/>
      </rPr>
      <t>合计</t>
    </r>
    <phoneticPr fontId="79" type="noConversion"/>
  </si>
  <si>
    <r>
      <rPr>
        <b/>
        <sz val="10"/>
        <color rgb="FFFF0000"/>
        <rFont val="Arial"/>
        <family val="2"/>
      </rPr>
      <t>Notes</t>
    </r>
    <r>
      <rPr>
        <b/>
        <sz val="10"/>
        <color rgb="FFFF0000"/>
        <rFont val="微软雅黑"/>
        <family val="2"/>
        <charset val="134"/>
      </rPr>
      <t>：</t>
    </r>
    <r>
      <rPr>
        <sz val="10"/>
        <color theme="1"/>
        <rFont val="微软雅黑"/>
        <family val="2"/>
        <charset val="134"/>
      </rPr>
      <t>如果项目仅对部分总账科目执行程序，需评估未执行程序的总账科目加总金额是否大于</t>
    </r>
    <r>
      <rPr>
        <sz val="10"/>
        <color theme="1"/>
        <rFont val="Arial"/>
        <family val="2"/>
      </rPr>
      <t>TE</t>
    </r>
    <r>
      <rPr>
        <sz val="10"/>
        <color theme="1"/>
        <rFont val="微软雅黑"/>
        <family val="2"/>
        <charset val="134"/>
      </rPr>
      <t>，如大于</t>
    </r>
    <r>
      <rPr>
        <sz val="10"/>
        <color theme="1"/>
        <rFont val="Arial"/>
        <family val="2"/>
      </rPr>
      <t>TE</t>
    </r>
    <r>
      <rPr>
        <sz val="10"/>
        <color theme="1"/>
        <rFont val="微软雅黑"/>
        <family val="2"/>
        <charset val="134"/>
      </rPr>
      <t>，请项目组执行额外的测试程序。</t>
    </r>
    <r>
      <rPr>
        <b/>
        <sz val="10"/>
        <color rgb="FFFF0000"/>
        <rFont val="Arial"/>
        <family val="2"/>
      </rPr>
      <t>(</t>
    </r>
    <r>
      <rPr>
        <b/>
        <sz val="10"/>
        <color rgb="FFFF0000"/>
        <rFont val="微软雅黑"/>
        <family val="2"/>
        <charset val="134"/>
      </rPr>
      <t>如不适用请删除）</t>
    </r>
    <phoneticPr fontId="78" type="noConversion"/>
  </si>
  <si>
    <r>
      <rPr>
        <b/>
        <sz val="10"/>
        <color rgb="FFFF0000"/>
        <rFont val="Arial"/>
        <family val="2"/>
      </rPr>
      <t>Notes</t>
    </r>
    <r>
      <rPr>
        <b/>
        <sz val="10"/>
        <color rgb="FFFF0000"/>
        <rFont val="微软雅黑"/>
        <family val="2"/>
        <charset val="134"/>
      </rPr>
      <t>：</t>
    </r>
    <r>
      <rPr>
        <sz val="10"/>
        <color theme="1"/>
        <rFont val="微软雅黑"/>
        <family val="2"/>
        <charset val="134"/>
      </rPr>
      <t>请在此记录无形资产明细账和总账的差异，并详细记录对差异进行的核查程序</t>
    </r>
    <phoneticPr fontId="78" type="noConversion"/>
  </si>
  <si>
    <r>
      <rPr>
        <b/>
        <sz val="10"/>
        <rFont val="微软雅黑"/>
        <family val="2"/>
        <charset val="134"/>
      </rPr>
      <t>将无形资产本年摊销与利润表相关科目金额核对。复核本期摊销是否正确，与利润表科目核对是否相符。</t>
    </r>
    <phoneticPr fontId="78" type="noConversion"/>
  </si>
  <si>
    <r>
      <rPr>
        <b/>
        <sz val="10"/>
        <color rgb="FFFF0000"/>
        <rFont val="微软雅黑"/>
        <family val="2"/>
        <charset val="134"/>
      </rPr>
      <t>表</t>
    </r>
    <r>
      <rPr>
        <b/>
        <sz val="10"/>
        <color rgb="FFFF0000"/>
        <rFont val="Arial"/>
        <family val="2"/>
      </rPr>
      <t>4</t>
    </r>
  </si>
  <si>
    <r>
      <rPr>
        <b/>
        <sz val="10"/>
        <rFont val="微软雅黑"/>
        <family val="2"/>
        <charset val="134"/>
      </rPr>
      <t>本年摊销与利润表科目核对</t>
    </r>
  </si>
  <si>
    <r>
      <rPr>
        <b/>
        <sz val="10"/>
        <rFont val="微软雅黑"/>
        <family val="2"/>
        <charset val="134"/>
      </rPr>
      <t>交叉索引</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</si>
  <si>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</si>
  <si>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科目编码</t>
    </r>
  </si>
  <si>
    <r>
      <rPr>
        <b/>
        <sz val="10"/>
        <rFont val="微软雅黑"/>
        <family val="2"/>
        <charset val="134"/>
      </rPr>
      <t>金额</t>
    </r>
  </si>
  <si>
    <r>
      <rPr>
        <sz val="10"/>
        <rFont val="微软雅黑"/>
        <family val="2"/>
        <charset val="134"/>
      </rPr>
      <t>制造费用</t>
    </r>
  </si>
  <si>
    <r>
      <rPr>
        <sz val="10"/>
        <rFont val="微软雅黑"/>
        <family val="2"/>
        <charset val="134"/>
      </rPr>
      <t>管理费用</t>
    </r>
  </si>
  <si>
    <r>
      <rPr>
        <sz val="10"/>
        <rFont val="微软雅黑"/>
        <family val="2"/>
        <charset val="134"/>
      </rPr>
      <t>研发费用</t>
    </r>
  </si>
  <si>
    <r>
      <rPr>
        <sz val="10"/>
        <rFont val="微软雅黑"/>
        <family val="2"/>
        <charset val="134"/>
      </rPr>
      <t>销售费用</t>
    </r>
  </si>
  <si>
    <t>[…]</t>
  </si>
  <si>
    <r>
      <rPr>
        <sz val="10"/>
        <rFont val="微软雅黑"/>
        <family val="2"/>
        <charset val="134"/>
      </rPr>
      <t>合计</t>
    </r>
  </si>
  <si>
    <r>
      <rPr>
        <sz val="10"/>
        <rFont val="微软雅黑"/>
        <family val="2"/>
        <charset val="134"/>
      </rPr>
      <t>累计摊销</t>
    </r>
    <r>
      <rPr>
        <sz val="10"/>
        <rFont val="Arial"/>
        <family val="2"/>
      </rPr>
      <t>-</t>
    </r>
    <r>
      <rPr>
        <sz val="10"/>
        <rFont val="微软雅黑"/>
        <family val="2"/>
        <charset val="134"/>
      </rPr>
      <t>本年计提</t>
    </r>
  </si>
  <si>
    <r>
      <rPr>
        <sz val="10"/>
        <rFont val="微软雅黑"/>
        <family val="2"/>
        <charset val="134"/>
      </rPr>
      <t>差异</t>
    </r>
  </si>
  <si>
    <r>
      <rPr>
        <b/>
        <sz val="14"/>
        <color theme="0"/>
        <rFont val="微软雅黑"/>
        <family val="2"/>
        <charset val="134"/>
      </rPr>
      <t>标准工作底稿</t>
    </r>
    <r>
      <rPr>
        <b/>
        <sz val="14"/>
        <color theme="0"/>
        <rFont val="Arial"/>
        <family val="2"/>
      </rPr>
      <t xml:space="preserve">: L1 SWP </t>
    </r>
    <r>
      <rPr>
        <b/>
        <sz val="14"/>
        <color theme="0"/>
        <rFont val="微软雅黑"/>
        <family val="2"/>
        <charset val="134"/>
      </rPr>
      <t>无形资产</t>
    </r>
    <phoneticPr fontId="88"/>
  </si>
  <si>
    <r>
      <t>L1.02.1</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新增</t>
    </r>
    <r>
      <rPr>
        <b/>
        <sz val="12"/>
        <color rgb="FF000000"/>
        <rFont val="Arial"/>
        <family val="2"/>
      </rPr>
      <t>)</t>
    </r>
  </si>
  <si>
    <r>
      <rPr>
        <b/>
        <i/>
        <sz val="10"/>
        <rFont val="微软雅黑"/>
        <family val="2"/>
        <charset val="134"/>
      </rPr>
      <t>记录我们的详细测试所涵盖的总体</t>
    </r>
    <r>
      <rPr>
        <b/>
        <i/>
        <sz val="10"/>
        <color rgb="FFFF0000"/>
        <rFont val="微软雅黑"/>
        <family val="2"/>
        <charset val="134"/>
      </rPr>
      <t>（指引：纳入充分的描述，以使经验丰富且之前与该项审计无关的审计师能够理解样本是如何选择的，例如，总体的分类或筛选。）</t>
    </r>
    <phoneticPr fontId="78" type="noConversion"/>
  </si>
  <si>
    <r>
      <rPr>
        <sz val="10"/>
        <rFont val="微软雅黑"/>
        <family val="2"/>
        <charset val="134"/>
      </rPr>
      <t>购置总金额</t>
    </r>
  </si>
  <si>
    <r>
      <t>Breakdown</t>
    </r>
    <r>
      <rPr>
        <sz val="10"/>
        <rFont val="微软雅黑"/>
        <family val="2"/>
        <charset val="134"/>
      </rPr>
      <t>中购置金额</t>
    </r>
  </si>
  <si>
    <t>L1.01.1</t>
  </si>
  <si>
    <r>
      <rPr>
        <b/>
        <sz val="10"/>
        <rFont val="微软雅黑"/>
        <family val="2"/>
        <charset val="134"/>
      </rPr>
      <t>差异是否需要进一步调查？</t>
    </r>
    <r>
      <rPr>
        <b/>
        <sz val="10"/>
        <rFont val="Arial"/>
        <family val="2"/>
      </rPr>
      <t xml:space="preserve">     </t>
    </r>
  </si>
  <si>
    <r>
      <rPr>
        <sz val="10"/>
        <rFont val="微软雅黑"/>
        <family val="2"/>
        <charset val="134"/>
      </rPr>
      <t>减：测试的关键项目</t>
    </r>
  </si>
  <si>
    <r>
      <rPr>
        <sz val="10"/>
        <rFont val="微软雅黑"/>
        <family val="2"/>
        <charset val="134"/>
      </rPr>
      <t>进行代表性抽样的剩余总体</t>
    </r>
  </si>
  <si>
    <r>
      <rPr>
        <b/>
        <sz val="10"/>
        <color rgb="FF000000"/>
        <rFont val="微软雅黑"/>
        <family val="2"/>
        <charset val="134"/>
      </rPr>
      <t>在下方描述选择关键项目的理由</t>
    </r>
    <r>
      <rPr>
        <b/>
        <i/>
        <sz val="10"/>
        <color rgb="FFFF0000"/>
        <rFont val="微软雅黑"/>
        <family val="2"/>
        <charset val="134"/>
      </rPr>
      <t>（请参阅</t>
    </r>
    <r>
      <rPr>
        <b/>
        <i/>
        <sz val="10"/>
        <color rgb="FFFF0000"/>
        <rFont val="Arial"/>
        <family val="2"/>
      </rPr>
      <t>Canvas</t>
    </r>
    <r>
      <rPr>
        <b/>
        <i/>
        <sz val="10"/>
        <color rgb="FFFF0000"/>
        <rFont val="微软雅黑"/>
        <family val="2"/>
        <charset val="134"/>
      </rPr>
      <t>指导工作流程的</t>
    </r>
    <r>
      <rPr>
        <b/>
        <i/>
        <sz val="10"/>
        <color rgb="FFFF0000"/>
        <rFont val="Arial"/>
        <family val="2"/>
      </rPr>
      <t>“</t>
    </r>
    <r>
      <rPr>
        <b/>
        <i/>
        <sz val="10"/>
        <color rgb="FFFF0000"/>
        <rFont val="微软雅黑"/>
        <family val="2"/>
        <charset val="134"/>
      </rPr>
      <t>关键项目</t>
    </r>
    <r>
      <rPr>
        <b/>
        <i/>
        <sz val="10"/>
        <color rgb="FFFF0000"/>
        <rFont val="Arial"/>
        <family val="2"/>
      </rPr>
      <t>”</t>
    </r>
    <r>
      <rPr>
        <b/>
        <i/>
        <sz val="10"/>
        <color rgb="FFFF0000"/>
        <rFont val="微软雅黑"/>
        <family val="2"/>
        <charset val="134"/>
      </rPr>
      <t>部分，包括信息图标）</t>
    </r>
    <phoneticPr fontId="78" type="noConversion"/>
  </si>
  <si>
    <r>
      <t xml:space="preserve">EY </t>
    </r>
    <r>
      <rPr>
        <b/>
        <sz val="10"/>
        <rFont val="微软雅黑"/>
        <family val="2"/>
        <charset val="134"/>
      </rPr>
      <t>测试属性解释</t>
    </r>
    <r>
      <rPr>
        <b/>
        <sz val="10"/>
        <rFont val="Arial"/>
        <family val="2"/>
      </rPr>
      <t>:</t>
    </r>
  </si>
  <si>
    <r>
      <rPr>
        <i/>
        <sz val="10"/>
        <rFont val="微软雅黑"/>
        <family val="2"/>
        <charset val="134"/>
      </rPr>
      <t>对于每个被选中进行测试的项目，我们检查了相关的第三方证据以及相关的会计分录，并确定：</t>
    </r>
  </si>
  <si>
    <r>
      <t xml:space="preserve">1) </t>
    </r>
    <r>
      <rPr>
        <sz val="10"/>
        <rFont val="微软雅黑"/>
        <family val="2"/>
        <charset val="134"/>
      </rPr>
      <t>测试样本于恰当的日期被正确资本化为无形资产（即，不应该费用化）。</t>
    </r>
  </si>
  <si>
    <r>
      <t xml:space="preserve">2) </t>
    </r>
    <r>
      <rPr>
        <sz val="10"/>
        <rFont val="微软雅黑"/>
        <family val="2"/>
        <charset val="134"/>
      </rPr>
      <t>历史成本已根据适用的财务报告框架进行记录。</t>
    </r>
  </si>
  <si>
    <r>
      <t xml:space="preserve">3) </t>
    </r>
    <r>
      <rPr>
        <sz val="10"/>
        <rFont val="微软雅黑"/>
        <family val="2"/>
        <charset val="134"/>
      </rPr>
      <t>管理层对测试项目采用的使用寿命和摊销方法是适当的（符合实体的会计政策和适用的财务报告框架）。</t>
    </r>
  </si>
  <si>
    <r>
      <t xml:space="preserve">4) </t>
    </r>
    <r>
      <rPr>
        <sz val="10"/>
        <rFont val="微软雅黑"/>
        <family val="2"/>
        <charset val="134"/>
      </rPr>
      <t>该资产已被归入适当的无形资产类别。</t>
    </r>
  </si>
  <si>
    <t>|------- Rx -------|</t>
  </si>
  <si>
    <r>
      <t>EY</t>
    </r>
    <r>
      <rPr>
        <b/>
        <sz val="10"/>
        <color rgb="FFFF0000"/>
        <rFont val="微软雅黑"/>
        <family val="2"/>
        <charset val="134"/>
      </rPr>
      <t xml:space="preserve"> </t>
    </r>
    <r>
      <rPr>
        <b/>
        <sz val="10"/>
        <color rgb="FFFF0000"/>
        <rFont val="Arial"/>
        <family val="2"/>
      </rPr>
      <t>Works</t>
    </r>
    <phoneticPr fontId="78" type="noConversion"/>
  </si>
  <si>
    <r>
      <rPr>
        <b/>
        <sz val="10"/>
        <rFont val="微软雅黑"/>
        <family val="2"/>
        <charset val="134"/>
      </rPr>
      <t>样本序号</t>
    </r>
    <phoneticPr fontId="88"/>
  </si>
  <si>
    <r>
      <rPr>
        <b/>
        <sz val="10"/>
        <rFont val="微软雅黑"/>
        <family val="2"/>
        <charset val="134"/>
      </rPr>
      <t>样本类型</t>
    </r>
  </si>
  <si>
    <r>
      <rPr>
        <b/>
        <sz val="10"/>
        <rFont val="微软雅黑"/>
        <family val="2"/>
        <charset val="134"/>
      </rPr>
      <t>无形资产类别</t>
    </r>
  </si>
  <si>
    <r>
      <rPr>
        <b/>
        <sz val="10"/>
        <rFont val="微软雅黑"/>
        <family val="2"/>
        <charset val="134"/>
      </rPr>
      <t>总账账户代码</t>
    </r>
    <phoneticPr fontId="88"/>
  </si>
  <si>
    <r>
      <rPr>
        <b/>
        <sz val="10"/>
        <rFont val="微软雅黑"/>
        <family val="2"/>
        <charset val="134"/>
      </rPr>
      <t>无形资产编号</t>
    </r>
  </si>
  <si>
    <r>
      <rPr>
        <b/>
        <sz val="10"/>
        <rFont val="微软雅黑"/>
        <family val="2"/>
        <charset val="134"/>
      </rPr>
      <t>无形资产名称</t>
    </r>
  </si>
  <si>
    <r>
      <rPr>
        <b/>
        <sz val="10"/>
        <rFont val="微软雅黑"/>
        <family val="2"/>
        <charset val="134"/>
      </rPr>
      <t>资产原价</t>
    </r>
    <phoneticPr fontId="88"/>
  </si>
  <si>
    <r>
      <rPr>
        <b/>
        <sz val="10"/>
        <rFont val="微软雅黑"/>
        <family val="2"/>
        <charset val="134"/>
      </rPr>
      <t>资本化日期</t>
    </r>
  </si>
  <si>
    <r>
      <rPr>
        <b/>
        <sz val="10"/>
        <rFont val="微软雅黑"/>
        <family val="2"/>
        <charset val="134"/>
      </rPr>
      <t>使用寿命</t>
    </r>
    <r>
      <rPr>
        <b/>
        <sz val="10"/>
        <rFont val="Arial"/>
        <family val="2"/>
      </rPr>
      <t xml:space="preserve"> (</t>
    </r>
    <r>
      <rPr>
        <b/>
        <sz val="10"/>
        <rFont val="微软雅黑"/>
        <family val="2"/>
        <charset val="134"/>
      </rPr>
      <t>月</t>
    </r>
    <r>
      <rPr>
        <b/>
        <sz val="10"/>
        <rFont val="Arial"/>
        <family val="2"/>
      </rPr>
      <t>)</t>
    </r>
  </si>
  <si>
    <r>
      <rPr>
        <b/>
        <sz val="10"/>
        <rFont val="微软雅黑"/>
        <family val="2"/>
        <charset val="134"/>
      </rPr>
      <t>残值率</t>
    </r>
  </si>
  <si>
    <r>
      <rPr>
        <b/>
        <sz val="10"/>
        <rFont val="微软雅黑"/>
        <family val="2"/>
        <charset val="134"/>
      </rPr>
      <t>摊销政策</t>
    </r>
  </si>
  <si>
    <r>
      <rPr>
        <b/>
        <sz val="10"/>
        <rFont val="微软雅黑"/>
        <family val="2"/>
        <charset val="134"/>
      </rPr>
      <t>资产原价（通过审计证据</t>
    </r>
    <r>
      <rPr>
        <b/>
        <sz val="10"/>
        <rFont val="Arial"/>
        <family val="2"/>
      </rPr>
      <t>/</t>
    </r>
    <r>
      <rPr>
        <b/>
        <sz val="10"/>
        <rFont val="微软雅黑"/>
        <family val="2"/>
        <charset val="134"/>
      </rPr>
      <t>支持性文件取得）</t>
    </r>
    <phoneticPr fontId="78" type="noConversion"/>
  </si>
  <si>
    <r>
      <rPr>
        <b/>
        <sz val="10"/>
        <rFont val="微软雅黑"/>
        <family val="2"/>
        <charset val="134"/>
      </rPr>
      <t>获得的证据</t>
    </r>
    <r>
      <rPr>
        <b/>
        <sz val="10"/>
        <rFont val="Arial"/>
        <family val="2"/>
      </rPr>
      <t>/</t>
    </r>
    <r>
      <rPr>
        <b/>
        <sz val="10"/>
        <rFont val="微软雅黑"/>
        <family val="2"/>
        <charset val="134"/>
      </rPr>
      <t>支持的描述（例如，我们检查的控制权转移时点的单据</t>
    </r>
    <r>
      <rPr>
        <b/>
        <sz val="10"/>
        <rFont val="Arial"/>
        <family val="2"/>
      </rPr>
      <t>/</t>
    </r>
    <r>
      <rPr>
        <b/>
        <sz val="10"/>
        <rFont val="微软雅黑"/>
        <family val="2"/>
        <charset val="134"/>
      </rPr>
      <t>销售发票</t>
    </r>
    <r>
      <rPr>
        <b/>
        <sz val="10"/>
        <rFont val="Arial"/>
        <family val="2"/>
      </rPr>
      <t>/</t>
    </r>
    <r>
      <rPr>
        <b/>
        <sz val="10"/>
        <rFont val="微软雅黑"/>
        <family val="2"/>
        <charset val="134"/>
      </rPr>
      <t>合同</t>
    </r>
    <r>
      <rPr>
        <b/>
        <sz val="10"/>
        <rFont val="Arial"/>
        <family val="2"/>
      </rPr>
      <t>/</t>
    </r>
    <r>
      <rPr>
        <b/>
        <sz val="10"/>
        <rFont val="微软雅黑"/>
        <family val="2"/>
        <charset val="134"/>
      </rPr>
      <t>订单等）</t>
    </r>
    <phoneticPr fontId="78" type="noConversion"/>
  </si>
  <si>
    <r>
      <rPr>
        <b/>
        <sz val="10"/>
        <rFont val="微软雅黑"/>
        <family val="2"/>
        <charset val="134"/>
      </rPr>
      <t>资产原价差异</t>
    </r>
    <phoneticPr fontId="88"/>
  </si>
  <si>
    <r>
      <rPr>
        <b/>
        <sz val="10"/>
        <color rgb="FF000000"/>
        <rFont val="微软雅黑"/>
        <family val="2"/>
        <charset val="134"/>
      </rPr>
      <t>标记图例</t>
    </r>
    <r>
      <rPr>
        <b/>
        <sz val="10"/>
        <color rgb="FF000000"/>
        <rFont val="Arial"/>
        <family val="2"/>
      </rPr>
      <t xml:space="preserve">: </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charset val="134"/>
      </rPr>
      <t>（指南：包括足够的描述，以使之前与审计无关的经验丰富的审计师能够理解执行的程序）。</t>
    </r>
    <phoneticPr fontId="78" type="noConversion"/>
  </si>
  <si>
    <r>
      <rPr>
        <b/>
        <sz val="14"/>
        <color rgb="FFFF0000"/>
        <rFont val="微软雅黑"/>
        <family val="2"/>
        <charset val="134"/>
      </rPr>
      <t>注：样本新增测试请与</t>
    </r>
    <r>
      <rPr>
        <b/>
        <sz val="14"/>
        <color rgb="FFFF0000"/>
        <rFont val="Arial"/>
        <family val="2"/>
      </rPr>
      <t xml:space="preserve">L1.02.1 </t>
    </r>
    <r>
      <rPr>
        <b/>
        <sz val="14"/>
        <color rgb="FFFF0000"/>
        <rFont val="微软雅黑"/>
        <family val="2"/>
        <charset val="134"/>
      </rPr>
      <t>新增（本年购置）测试金额核对一致。</t>
    </r>
    <phoneticPr fontId="79" type="noConversion"/>
  </si>
  <si>
    <r>
      <rPr>
        <b/>
        <sz val="14"/>
        <color rgb="FF000000"/>
        <rFont val="微软雅黑"/>
        <family val="2"/>
        <charset val="134"/>
      </rPr>
      <t>获取当期按类别划分的所有无形资产新增清单，并将该列表与无形资产后推核对一致。调查超过</t>
    </r>
    <r>
      <rPr>
        <b/>
        <sz val="14"/>
        <color rgb="FF000000"/>
        <rFont val="Arial"/>
        <family val="2"/>
      </rPr>
      <t>SAD</t>
    </r>
    <r>
      <rPr>
        <b/>
        <sz val="14"/>
        <color rgb="FF000000"/>
        <rFont val="微软雅黑"/>
        <family val="2"/>
        <charset val="134"/>
      </rPr>
      <t>名义金额的差额（例如，新增清单和后推明细表之间没被解释的差额）。</t>
    </r>
    <r>
      <rPr>
        <b/>
        <sz val="14"/>
        <color rgb="FF000000"/>
        <rFont val="Arial"/>
        <family val="2"/>
      </rPr>
      <t xml:space="preserve"> </t>
    </r>
  </si>
  <si>
    <r>
      <rPr>
        <b/>
        <sz val="14"/>
        <color rgb="FFFF0000"/>
        <rFont val="微软雅黑"/>
        <family val="2"/>
        <charset val="134"/>
      </rPr>
      <t>注：项目组可以自定义无形资产新增清单表格，也可直接使用系统导出的无形资产新增清单，但必须确保必需字段（无形资产类别、编号、名称、入账开始日期、使用寿命、残值率、原值、新增方式）完整。</t>
    </r>
  </si>
  <si>
    <r>
      <t>L1.02.2</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处置</t>
    </r>
    <r>
      <rPr>
        <b/>
        <sz val="12"/>
        <color rgb="FF000000"/>
        <rFont val="Arial"/>
        <family val="2"/>
      </rPr>
      <t>)</t>
    </r>
  </si>
  <si>
    <r>
      <rPr>
        <b/>
        <i/>
        <sz val="10"/>
        <color rgb="FF000000"/>
        <rFont val="微软雅黑"/>
        <family val="2"/>
        <charset val="134"/>
      </rPr>
      <t>记录我们的详细测试所涵盖的总体</t>
    </r>
    <r>
      <rPr>
        <b/>
        <i/>
        <sz val="10"/>
        <color rgb="FFFF0000"/>
        <rFont val="微软雅黑"/>
        <family val="2"/>
        <charset val="134"/>
      </rPr>
      <t>（指引：纳入充分的描述，以使经验丰富且之前与该项审计无关的审计师能够理解样本是如何选择的，例如，总体的分类或筛选。）</t>
    </r>
    <phoneticPr fontId="78" type="noConversion"/>
  </si>
  <si>
    <r>
      <rPr>
        <b/>
        <sz val="10"/>
        <rFont val="微软雅黑"/>
        <family val="2"/>
        <charset val="134"/>
      </rPr>
      <t>账面价值</t>
    </r>
    <phoneticPr fontId="78" type="noConversion"/>
  </si>
  <si>
    <r>
      <rPr>
        <b/>
        <sz val="10"/>
        <rFont val="微软雅黑"/>
        <family val="2"/>
        <charset val="134"/>
      </rPr>
      <t>原价</t>
    </r>
    <phoneticPr fontId="78" type="noConversion"/>
  </si>
  <si>
    <r>
      <rPr>
        <b/>
        <sz val="10"/>
        <rFont val="微软雅黑"/>
        <family val="2"/>
        <charset val="134"/>
      </rPr>
      <t>累计摊销</t>
    </r>
    <phoneticPr fontId="78" type="noConversion"/>
  </si>
  <si>
    <r>
      <rPr>
        <b/>
        <sz val="10"/>
        <rFont val="微软雅黑"/>
        <family val="2"/>
        <charset val="134"/>
      </rPr>
      <t>减值准备</t>
    </r>
    <phoneticPr fontId="78" type="noConversion"/>
  </si>
  <si>
    <r>
      <rPr>
        <sz val="10"/>
        <rFont val="微软雅黑"/>
        <family val="2"/>
        <charset val="134"/>
      </rPr>
      <t>减少总金额</t>
    </r>
  </si>
  <si>
    <r>
      <t>Breakdown</t>
    </r>
    <r>
      <rPr>
        <sz val="10"/>
        <rFont val="微软雅黑"/>
        <family val="2"/>
        <charset val="134"/>
      </rPr>
      <t>中减少金额</t>
    </r>
  </si>
  <si>
    <r>
      <t xml:space="preserve">1) </t>
    </r>
    <r>
      <rPr>
        <sz val="10"/>
        <rFont val="微软雅黑"/>
        <family val="2"/>
        <charset val="134"/>
      </rPr>
      <t>测试样本（原值和累计摊销余额）已从无形资产明细账和总账中正确移除。</t>
    </r>
  </si>
  <si>
    <r>
      <t xml:space="preserve">2) </t>
    </r>
    <r>
      <rPr>
        <sz val="10"/>
        <rFont val="微软雅黑"/>
        <family val="2"/>
        <charset val="134"/>
      </rPr>
      <t>重新计算资产处置时点的账面净值，并计算处置损益。确认处置损益已按照适用的财务报告框架正确记录和分类。</t>
    </r>
  </si>
  <si>
    <r>
      <t>3)</t>
    </r>
    <r>
      <rPr>
        <sz val="10"/>
        <rFont val="微软雅黑"/>
        <family val="2"/>
        <charset val="134"/>
      </rPr>
      <t>如果适用，正确记录处置收入金额。如果资产被出售（即收到收益），则获得发票或付款证明等，并确认与日记账分录中记录的收益金额一致。</t>
    </r>
  </si>
  <si>
    <r>
      <rPr>
        <b/>
        <sz val="10"/>
        <rFont val="微软雅黑"/>
        <family val="2"/>
        <charset val="134"/>
      </rPr>
      <t>样本序号</t>
    </r>
  </si>
  <si>
    <r>
      <rPr>
        <b/>
        <sz val="10"/>
        <rFont val="微软雅黑"/>
        <family val="2"/>
        <charset val="134"/>
      </rPr>
      <t>总账账户代码</t>
    </r>
    <phoneticPr fontId="78" type="noConversion"/>
  </si>
  <si>
    <r>
      <rPr>
        <b/>
        <sz val="10"/>
        <rFont val="微软雅黑"/>
        <family val="2"/>
        <charset val="134"/>
      </rPr>
      <t>处置</t>
    </r>
    <r>
      <rPr>
        <b/>
        <sz val="10"/>
        <rFont val="Arial"/>
        <family val="2"/>
      </rPr>
      <t>/</t>
    </r>
    <r>
      <rPr>
        <b/>
        <sz val="10"/>
        <rFont val="微软雅黑"/>
        <family val="2"/>
        <charset val="134"/>
      </rPr>
      <t>报废日</t>
    </r>
  </si>
  <si>
    <r>
      <rPr>
        <b/>
        <sz val="10"/>
        <rFont val="微软雅黑"/>
        <family val="2"/>
        <charset val="134"/>
      </rPr>
      <t>账面价值</t>
    </r>
    <phoneticPr fontId="88"/>
  </si>
  <si>
    <r>
      <rPr>
        <b/>
        <sz val="10"/>
        <rFont val="微软雅黑"/>
        <family val="2"/>
        <charset val="134"/>
      </rPr>
      <t>出售价格</t>
    </r>
  </si>
  <si>
    <r>
      <rPr>
        <b/>
        <sz val="10"/>
        <rFont val="微软雅黑"/>
        <family val="2"/>
        <charset val="134"/>
      </rPr>
      <t>处置交易凭证号</t>
    </r>
  </si>
  <si>
    <r>
      <rPr>
        <b/>
        <sz val="10"/>
        <rFont val="微软雅黑"/>
        <family val="2"/>
        <charset val="134"/>
      </rPr>
      <t>处置损益</t>
    </r>
  </si>
  <si>
    <r>
      <rPr>
        <b/>
        <sz val="10"/>
        <rFont val="微软雅黑"/>
        <family val="2"/>
        <charset val="134"/>
      </rPr>
      <t>出售价格（通过审计证据</t>
    </r>
    <r>
      <rPr>
        <b/>
        <sz val="10"/>
        <rFont val="Arial"/>
        <family val="2"/>
      </rPr>
      <t>/</t>
    </r>
    <r>
      <rPr>
        <b/>
        <sz val="10"/>
        <rFont val="微软雅黑"/>
        <family val="2"/>
        <charset val="134"/>
      </rPr>
      <t>支持性文件取得）</t>
    </r>
    <phoneticPr fontId="78" type="noConversion"/>
  </si>
  <si>
    <r>
      <rPr>
        <b/>
        <sz val="10"/>
        <rFont val="微软雅黑"/>
        <family val="2"/>
        <charset val="134"/>
      </rPr>
      <t>出售价格差异</t>
    </r>
    <phoneticPr fontId="78" type="noConversion"/>
  </si>
  <si>
    <r>
      <rPr>
        <b/>
        <sz val="10"/>
        <rFont val="微软雅黑"/>
        <family val="2"/>
        <charset val="134"/>
      </rPr>
      <t>获得的证据</t>
    </r>
    <r>
      <rPr>
        <b/>
        <sz val="10"/>
        <rFont val="Arial"/>
        <family val="2"/>
      </rPr>
      <t>/</t>
    </r>
    <r>
      <rPr>
        <b/>
        <sz val="10"/>
        <rFont val="微软雅黑"/>
        <family val="2"/>
        <charset val="134"/>
      </rPr>
      <t>支持的描述（例如，我们检查的具体销售发票</t>
    </r>
    <r>
      <rPr>
        <b/>
        <sz val="10"/>
        <rFont val="Arial"/>
        <family val="2"/>
      </rPr>
      <t>/</t>
    </r>
    <r>
      <rPr>
        <b/>
        <sz val="10"/>
        <rFont val="微软雅黑"/>
        <family val="2"/>
        <charset val="134"/>
      </rPr>
      <t>合同</t>
    </r>
    <r>
      <rPr>
        <b/>
        <sz val="10"/>
        <rFont val="Arial"/>
        <family val="2"/>
      </rPr>
      <t>/</t>
    </r>
    <r>
      <rPr>
        <b/>
        <sz val="10"/>
        <rFont val="微软雅黑"/>
        <family val="2"/>
        <charset val="134"/>
      </rPr>
      <t>订单</t>
    </r>
    <r>
      <rPr>
        <b/>
        <sz val="10"/>
        <rFont val="Arial"/>
        <family val="2"/>
      </rPr>
      <t>/</t>
    </r>
    <r>
      <rPr>
        <b/>
        <sz val="10"/>
        <rFont val="微软雅黑"/>
        <family val="2"/>
        <charset val="134"/>
      </rPr>
      <t>审批文件等）</t>
    </r>
  </si>
  <si>
    <r>
      <rPr>
        <b/>
        <sz val="14"/>
        <color rgb="FFFF0000"/>
        <rFont val="微软雅黑"/>
        <family val="2"/>
        <charset val="134"/>
      </rPr>
      <t>注：样本处置测试请与</t>
    </r>
    <r>
      <rPr>
        <b/>
        <sz val="14"/>
        <color rgb="FFFF0000"/>
        <rFont val="Arial"/>
        <family val="2"/>
      </rPr>
      <t xml:space="preserve">L1.02.2 </t>
    </r>
    <r>
      <rPr>
        <b/>
        <sz val="14"/>
        <color rgb="FFFF0000"/>
        <rFont val="微软雅黑"/>
        <family val="2"/>
        <charset val="134"/>
      </rPr>
      <t>处置（处置及报废）测试金额核对一致。</t>
    </r>
    <phoneticPr fontId="79" type="noConversion"/>
  </si>
  <si>
    <r>
      <rPr>
        <b/>
        <sz val="14"/>
        <color rgb="FF000000"/>
        <rFont val="微软雅黑"/>
        <family val="2"/>
        <charset val="134"/>
      </rPr>
      <t>获取当期按类别划分的所有无形资产处置清单，包括记录的处置的损益，并将该列表与无形资产后推核对一致。我们调查超过</t>
    </r>
    <r>
      <rPr>
        <b/>
        <sz val="14"/>
        <color rgb="FF000000"/>
        <rFont val="Arial"/>
        <family val="2"/>
      </rPr>
      <t>SAD</t>
    </r>
    <r>
      <rPr>
        <b/>
        <sz val="14"/>
        <color rgb="FF000000"/>
        <rFont val="微软雅黑"/>
        <family val="2"/>
        <charset val="134"/>
      </rPr>
      <t>名义金额的差额（例如，处置清单和后推明细表之间没被解释的差额）。我们考虑了实体经营的任何重大变化是否导致资产报废和</t>
    </r>
    <r>
      <rPr>
        <b/>
        <sz val="14"/>
        <color rgb="FF000000"/>
        <rFont val="Arial"/>
        <family val="2"/>
      </rPr>
      <t>/</t>
    </r>
    <r>
      <rPr>
        <b/>
        <sz val="14"/>
        <color rgb="FF000000"/>
        <rFont val="微软雅黑"/>
        <family val="2"/>
        <charset val="134"/>
      </rPr>
      <t>或处置，如果是，我们确保这些资产计入当期处置。</t>
    </r>
  </si>
  <si>
    <r>
      <rPr>
        <b/>
        <sz val="14"/>
        <color rgb="FFFF0000"/>
        <rFont val="微软雅黑"/>
        <family val="2"/>
        <charset val="134"/>
      </rPr>
      <t>注：项目组可以自定义无形资产处置清单表格，也可直接使用系统导出的无形资产处置清单，但必须确保必需字段（无形资产类别、编号、名称、原值、累计折旧、减值、净值、处置日期、减少方式）完整。</t>
    </r>
  </si>
  <si>
    <r>
      <t>L1.03</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摊销</t>
    </r>
    <r>
      <rPr>
        <b/>
        <sz val="12"/>
        <color rgb="FF000000"/>
        <rFont val="Arial"/>
        <family val="2"/>
      </rPr>
      <t>)</t>
    </r>
  </si>
  <si>
    <r>
      <rPr>
        <b/>
        <i/>
        <sz val="14"/>
        <color rgb="FFFF0000"/>
        <rFont val="微软雅黑"/>
        <family val="2"/>
        <charset val="134"/>
      </rPr>
      <t>注：</t>
    </r>
    <r>
      <rPr>
        <b/>
        <i/>
        <sz val="14"/>
        <color rgb="FFFF0000"/>
        <rFont val="Arial"/>
        <family val="2"/>
      </rPr>
      <t>1.</t>
    </r>
    <r>
      <rPr>
        <b/>
        <i/>
        <sz val="14"/>
        <color rgb="FFFF0000"/>
        <rFont val="微软雅黑"/>
        <family val="2"/>
        <charset val="134"/>
      </rPr>
      <t>如果下列表格不适用，项目组可以自定义下方无形资产清单表格，也可直接使用系统导出的无形资产清单，但必须确保必需字段完整。</t>
    </r>
  </si>
  <si>
    <r>
      <t>2.</t>
    </r>
    <r>
      <rPr>
        <b/>
        <i/>
        <sz val="14"/>
        <color rgb="FFFF0000"/>
        <rFont val="微软雅黑"/>
        <family val="2"/>
        <charset val="134"/>
      </rPr>
      <t>无形资产的类别：请使用被审计单位的台账，无需对资产的类别添加自己的重分类修改，资产类别应当与</t>
    </r>
    <r>
      <rPr>
        <b/>
        <i/>
        <sz val="14"/>
        <color rgb="FFFF0000"/>
        <rFont val="Arial"/>
        <family val="2"/>
      </rPr>
      <t>L1.01.1</t>
    </r>
    <r>
      <rPr>
        <b/>
        <i/>
        <sz val="14"/>
        <color rgb="FFFF0000"/>
        <rFont val="微软雅黑"/>
        <family val="2"/>
        <charset val="134"/>
      </rPr>
      <t>中列示的类别匹配。</t>
    </r>
  </si>
  <si>
    <r>
      <rPr>
        <b/>
        <sz val="10"/>
        <color theme="1"/>
        <rFont val="微软雅黑"/>
        <family val="2"/>
        <charset val="134"/>
      </rPr>
      <t>按公司的摊销政策重新计算本年应计提的摊销费用并与账面本年摊销费用比对。重新计算摊销出现差异的，我们进行进一步核查以得出结论。</t>
    </r>
  </si>
  <si>
    <r>
      <rPr>
        <b/>
        <sz val="10"/>
        <color rgb="FFFF0000"/>
        <rFont val="Arial"/>
        <family val="2"/>
      </rPr>
      <t>|-------------------------------------------------------------------------------------------------------------------------------------------------</t>
    </r>
    <r>
      <rPr>
        <b/>
        <sz val="10"/>
        <color rgb="FFFF0000"/>
        <rFont val="微软雅黑"/>
        <family val="2"/>
        <charset val="134"/>
      </rPr>
      <t>必需字段</t>
    </r>
    <r>
      <rPr>
        <b/>
        <sz val="10"/>
        <color indexed="10"/>
        <rFont val="Arial"/>
        <family val="2"/>
      </rPr>
      <t>*----------------------------------------------------------------------------------------------------------------------------------------------------------|</t>
    </r>
    <phoneticPr fontId="78" type="noConversion"/>
  </si>
  <si>
    <r>
      <rPr>
        <b/>
        <sz val="10"/>
        <color rgb="FFFF0000"/>
        <rFont val="微软雅黑"/>
        <family val="2"/>
        <charset val="134"/>
      </rPr>
      <t>表</t>
    </r>
    <r>
      <rPr>
        <b/>
        <sz val="10"/>
        <color rgb="FFFF0000"/>
        <rFont val="Arial"/>
        <family val="2"/>
      </rPr>
      <t xml:space="preserve">1  </t>
    </r>
    <r>
      <rPr>
        <b/>
        <sz val="10"/>
        <color rgb="FFFF0000"/>
        <rFont val="微软雅黑"/>
        <family val="2"/>
        <charset val="134"/>
      </rPr>
      <t>无形资产明细清单</t>
    </r>
  </si>
  <si>
    <r>
      <t xml:space="preserve">    </t>
    </r>
    <r>
      <rPr>
        <b/>
        <sz val="10"/>
        <color rgb="FF000000"/>
        <rFont val="微软雅黑"/>
        <family val="2"/>
        <charset val="134"/>
      </rPr>
      <t>若处置或报废，须填写</t>
    </r>
    <phoneticPr fontId="78" type="noConversion"/>
  </si>
  <si>
    <t>EY Works</t>
    <phoneticPr fontId="78" type="noConversion"/>
  </si>
  <si>
    <r>
      <rPr>
        <b/>
        <sz val="10"/>
        <rFont val="微软雅黑"/>
        <family val="2"/>
        <charset val="134"/>
      </rPr>
      <t>无形资产编号</t>
    </r>
    <phoneticPr fontId="78" type="noConversion"/>
  </si>
  <si>
    <r>
      <rPr>
        <b/>
        <sz val="10"/>
        <rFont val="微软雅黑"/>
        <family val="2"/>
        <charset val="134"/>
      </rPr>
      <t>无形资产名称</t>
    </r>
    <phoneticPr fontId="78" type="noConversion"/>
  </si>
  <si>
    <r>
      <rPr>
        <b/>
        <sz val="10"/>
        <rFont val="微软雅黑"/>
        <family val="2"/>
        <charset val="134"/>
      </rPr>
      <t>无形资产类别</t>
    </r>
    <phoneticPr fontId="78" type="noConversion"/>
  </si>
  <si>
    <r>
      <rPr>
        <b/>
        <sz val="10"/>
        <rFont val="微软雅黑"/>
        <family val="2"/>
        <charset val="134"/>
      </rPr>
      <t>入账开始日期</t>
    </r>
    <phoneticPr fontId="79" type="noConversion"/>
  </si>
  <si>
    <r>
      <t xml:space="preserve"> </t>
    </r>
    <r>
      <rPr>
        <b/>
        <sz val="10"/>
        <rFont val="微软雅黑"/>
        <family val="2"/>
        <charset val="134"/>
      </rPr>
      <t>残值率</t>
    </r>
    <r>
      <rPr>
        <b/>
        <sz val="10"/>
        <rFont val="Arial"/>
        <family val="2"/>
      </rPr>
      <t xml:space="preserve"> </t>
    </r>
  </si>
  <si>
    <r>
      <t xml:space="preserve"> </t>
    </r>
    <r>
      <rPr>
        <b/>
        <sz val="10"/>
        <rFont val="微软雅黑"/>
        <family val="2"/>
        <charset val="134"/>
      </rPr>
      <t>使用寿命</t>
    </r>
    <r>
      <rPr>
        <b/>
        <sz val="10"/>
        <rFont val="Arial"/>
        <family val="2"/>
      </rPr>
      <t>(</t>
    </r>
    <r>
      <rPr>
        <b/>
        <sz val="10"/>
        <rFont val="微软雅黑"/>
        <family val="2"/>
        <charset val="134"/>
      </rPr>
      <t>月</t>
    </r>
    <r>
      <rPr>
        <b/>
        <sz val="10"/>
        <rFont val="Arial"/>
        <family val="2"/>
      </rPr>
      <t>)</t>
    </r>
  </si>
  <si>
    <r>
      <rPr>
        <b/>
        <sz val="10"/>
        <rFont val="微软雅黑"/>
        <family val="2"/>
        <charset val="134"/>
      </rPr>
      <t>本期摊销</t>
    </r>
    <phoneticPr fontId="78" type="noConversion"/>
  </si>
  <si>
    <r>
      <rPr>
        <b/>
        <sz val="10"/>
        <rFont val="微软雅黑"/>
        <family val="2"/>
        <charset val="134"/>
      </rPr>
      <t>本期计提减值准备</t>
    </r>
    <phoneticPr fontId="78" type="noConversion"/>
  </si>
  <si>
    <r>
      <rPr>
        <b/>
        <sz val="10"/>
        <rFont val="微软雅黑"/>
        <family val="2"/>
        <charset val="134"/>
      </rPr>
      <t>期末原值</t>
    </r>
    <phoneticPr fontId="79" type="noConversion"/>
  </si>
  <si>
    <r>
      <rPr>
        <b/>
        <sz val="10"/>
        <rFont val="微软雅黑"/>
        <family val="2"/>
        <charset val="134"/>
      </rPr>
      <t>期末累计摊销</t>
    </r>
    <phoneticPr fontId="79" type="noConversion"/>
  </si>
  <si>
    <r>
      <rPr>
        <b/>
        <sz val="10"/>
        <rFont val="微软雅黑"/>
        <family val="2"/>
        <charset val="134"/>
      </rPr>
      <t>期末减值准备</t>
    </r>
    <phoneticPr fontId="79" type="noConversion"/>
  </si>
  <si>
    <r>
      <rPr>
        <b/>
        <sz val="10"/>
        <rFont val="微软雅黑"/>
        <family val="2"/>
        <charset val="134"/>
      </rPr>
      <t>期末净值</t>
    </r>
    <phoneticPr fontId="79" type="noConversion"/>
  </si>
  <si>
    <r>
      <rPr>
        <b/>
        <sz val="10"/>
        <color rgb="FF000000"/>
        <rFont val="微软雅黑"/>
        <family val="2"/>
        <charset val="134"/>
      </rPr>
      <t>处置日期</t>
    </r>
  </si>
  <si>
    <r>
      <rPr>
        <b/>
        <sz val="10"/>
        <color rgb="FF000000"/>
        <rFont val="微软雅黑"/>
        <family val="2"/>
        <charset val="134"/>
      </rPr>
      <t>原值减少金额</t>
    </r>
  </si>
  <si>
    <r>
      <rPr>
        <b/>
        <sz val="10"/>
        <color rgb="FF000000"/>
        <rFont val="微软雅黑"/>
        <family val="2"/>
        <charset val="134"/>
      </rPr>
      <t>提足折旧时间</t>
    </r>
  </si>
  <si>
    <r>
      <rPr>
        <b/>
        <sz val="10"/>
        <color rgb="FF000000"/>
        <rFont val="微软雅黑"/>
        <family val="2"/>
        <charset val="134"/>
      </rPr>
      <t>本期应摊销月数</t>
    </r>
  </si>
  <si>
    <r>
      <rPr>
        <b/>
        <sz val="10"/>
        <color rgb="FF000000"/>
        <rFont val="微软雅黑"/>
        <family val="2"/>
        <charset val="134"/>
      </rPr>
      <t>本期应摊销金额</t>
    </r>
  </si>
  <si>
    <r>
      <rPr>
        <b/>
        <sz val="10"/>
        <color rgb="FF000000"/>
        <rFont val="微软雅黑"/>
        <family val="2"/>
        <charset val="134"/>
      </rPr>
      <t>本期差异</t>
    </r>
  </si>
  <si>
    <r>
      <rPr>
        <b/>
        <sz val="10"/>
        <rFont val="微软雅黑"/>
        <family val="2"/>
        <charset val="134"/>
      </rPr>
      <t>标记</t>
    </r>
  </si>
  <si>
    <r>
      <rPr>
        <b/>
        <sz val="10"/>
        <rFont val="微软雅黑"/>
        <family val="2"/>
        <charset val="134"/>
      </rPr>
      <t>合计</t>
    </r>
    <phoneticPr fontId="79" type="noConversion"/>
  </si>
  <si>
    <r>
      <rPr>
        <b/>
        <sz val="10"/>
        <rFont val="微软雅黑"/>
        <family val="2"/>
        <charset val="134"/>
      </rPr>
      <t>检查无形资产各项目的摊销政策是否符合有关规定，是否与上期一致，其是否具有商业合理性。若改变摊销政策，检查其依据是否充分。</t>
    </r>
  </si>
  <si>
    <r>
      <rPr>
        <b/>
        <sz val="10"/>
        <color rgb="FFFF0000"/>
        <rFont val="微软雅黑"/>
        <family val="2"/>
        <charset val="134"/>
      </rPr>
      <t>表</t>
    </r>
    <r>
      <rPr>
        <b/>
        <sz val="10"/>
        <color rgb="FFFF0000"/>
        <rFont val="Arial"/>
        <family val="2"/>
      </rPr>
      <t xml:space="preserve">2  </t>
    </r>
    <r>
      <rPr>
        <b/>
        <sz val="10"/>
        <color rgb="FFFF0000"/>
        <rFont val="微软雅黑"/>
        <family val="2"/>
        <charset val="134"/>
      </rPr>
      <t>公司摊销政策复核表</t>
    </r>
  </si>
  <si>
    <r>
      <rPr>
        <b/>
        <sz val="10"/>
        <color theme="1"/>
        <rFont val="微软雅黑"/>
        <family val="2"/>
        <charset val="134"/>
      </rPr>
      <t>资产类别</t>
    </r>
  </si>
  <si>
    <r>
      <rPr>
        <b/>
        <sz val="10"/>
        <color theme="1"/>
        <rFont val="微软雅黑"/>
        <family val="2"/>
        <charset val="134"/>
      </rPr>
      <t>差异</t>
    </r>
  </si>
  <si>
    <r>
      <rPr>
        <b/>
        <sz val="10"/>
        <color theme="1"/>
        <rFont val="微软雅黑"/>
        <family val="2"/>
        <charset val="134"/>
      </rPr>
      <t>差异说明</t>
    </r>
    <phoneticPr fontId="78" type="noConversion"/>
  </si>
  <si>
    <r>
      <rPr>
        <b/>
        <sz val="10"/>
        <color theme="1"/>
        <rFont val="微软雅黑"/>
        <family val="2"/>
        <charset val="134"/>
      </rPr>
      <t>使用寿命的</t>
    </r>
    <phoneticPr fontId="78" type="noConversion"/>
  </si>
  <si>
    <r>
      <rPr>
        <b/>
        <sz val="10"/>
        <color theme="1"/>
        <rFont val="微软雅黑"/>
        <family val="2"/>
        <charset val="134"/>
      </rPr>
      <t>使用寿命</t>
    </r>
  </si>
  <si>
    <r>
      <rPr>
        <b/>
        <sz val="10"/>
        <color theme="1"/>
        <rFont val="微软雅黑"/>
        <family val="2"/>
        <charset val="134"/>
      </rPr>
      <t>商业合理性分析</t>
    </r>
    <phoneticPr fontId="78" type="noConversion"/>
  </si>
  <si>
    <t>b8e777cf-a974-4dca-af89-7da1caee1666</t>
    <phoneticPr fontId="78" type="noConversion"/>
  </si>
  <si>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phoneticPr fontId="78" type="noConversion"/>
  </si>
  <si>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phoneticPr fontId="78" type="noConversion"/>
  </si>
  <si>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phoneticPr fontId="78" type="noConversion"/>
  </si>
  <si>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phoneticPr fontId="78" type="noConversion"/>
  </si>
  <si>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phoneticPr fontId="78" type="noConversion"/>
  </si>
  <si>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phoneticPr fontId="78" type="noConversion"/>
  </si>
  <si>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phoneticPr fontId="78" type="noConversion"/>
  </si>
  <si>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phoneticPr fontId="78" type="noConversion"/>
  </si>
  <si>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78"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</si>
  <si>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78"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</si>
  <si>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78"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</si>
  <si>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78"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</si>
  <si>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78"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</si>
  <si>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78"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</si>
  <si>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78"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</si>
  <si>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78"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</si>
  <si>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78"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</si>
  <si>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phoneticPr fontId="78" type="noConversion"/>
  </si>
  <si>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phoneticPr fontId="78" type="noConversion"/>
  </si>
  <si>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phoneticPr fontId="78" type="noConversion"/>
  </si>
  <si>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phoneticPr fontId="78" type="noConversion"/>
  </si>
  <si>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phoneticPr fontId="78" type="noConversion"/>
  </si>
  <si>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phoneticPr fontId="78" type="noConversion"/>
  </si>
  <si>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phoneticPr fontId="78" type="noConversion"/>
  </si>
  <si>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phoneticPr fontId="78" type="noConversion"/>
  </si>
  <si>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phoneticPr fontId="78" type="noConversion"/>
  </si>
  <si>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phoneticPr fontId="78" type="noConversion"/>
  </si>
  <si>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phoneticPr fontId="78" type="noConversion"/>
  </si>
  <si>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phoneticPr fontId="78" type="noConversion"/>
  </si>
  <si>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phoneticPr fontId="78" type="noConversion"/>
  </si>
  <si>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phoneticPr fontId="78" type="noConversion"/>
  </si>
  <si>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phoneticPr fontId="78" type="noConversion"/>
  </si>
  <si>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phoneticPr fontId="78" type="noConversion"/>
  </si>
  <si>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phoneticPr fontId="78" type="noConversion"/>
  </si>
  <si>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phoneticPr fontId="78" type="noConversion"/>
  </si>
  <si>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78"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</si>
  <si>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78"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</si>
  <si>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78"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</si>
  <si>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78"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</si>
  <si>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78"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</si>
  <si>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78"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</si>
  <si>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78"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</si>
  <si>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78"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</si>
  <si>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78"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</si>
  <si>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78"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</si>
  <si>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phoneticPr fontId="78" type="noConversion"/>
  </si>
  <si>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phoneticPr fontId="78" type="noConversion"/>
  </si>
  <si>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phoneticPr fontId="78" type="noConversion"/>
  </si>
  <si>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phoneticPr fontId="78" type="noConversion"/>
  </si>
  <si>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phoneticPr fontId="78" type="noConversion"/>
  </si>
  <si>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78"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</si>
  <si>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78"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</si>
  <si>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78"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</si>
  <si>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phoneticPr fontId="78" type="noConversion"/>
  </si>
  <si>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phoneticPr fontId="78"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</si>
  <si>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</si>
  <si>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</si>
  <si>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</si>
  <si>
    <t>L1_200减值测试,L1_200减值测试</t>
  </si>
  <si>
    <t>64e20412-8c57-4720-8496-e31c907f64da</t>
  </si>
  <si>
    <t>c10b7b35-29ec-4e88-81d3-50063290e8b3</t>
  </si>
  <si>
    <t>d51e0eb0-384b-4e92-80e5-5a1409a9e517</t>
  </si>
  <si>
    <t>551fce6c-88cc-4f1b-a7a3-d5c02927881b</t>
  </si>
  <si>
    <t>983eb9ed-675c-4b48-b09b-67a16519af2b</t>
  </si>
  <si>
    <t>119404d3-73a7-4f47-b98c-0f2d661451d2</t>
  </si>
  <si>
    <t>f03c53f5-f092-4fd3-a156-7c6f76012f90</t>
  </si>
  <si>
    <t>7cbc3218-3fc2-4791-8d5a-fa3e221a8992</t>
  </si>
  <si>
    <t>4e4583fe-7303-426d-9758-fbf2b74ed75c</t>
  </si>
  <si>
    <t>99efff94-9c41-44a6-ac3e-e4176ad6e9cc</t>
  </si>
  <si>
    <t>2e66dced-104a-4d3a-b3d7-4b4901ea2810</t>
  </si>
  <si>
    <t>93d590d2-ec66-4356-a08a-bf7be2b7e5e7</t>
  </si>
  <si>
    <t>88423085-c362-4faa-9312-ecc12fbb8490</t>
  </si>
  <si>
    <t>167d9160-3445-42b2-8bd3-d1b8d899edb4</t>
  </si>
  <si>
    <t>c4f688f1-5830-49fc-be7d-38786a1f876a</t>
  </si>
  <si>
    <t>a9a1e3ee-ebf2-4323-9f6f-3e50c3873453</t>
  </si>
  <si>
    <t>cd5d0e80-1a57-4f31-9ad9-5371825d3d39</t>
  </si>
  <si>
    <t>cc7c0b0c-d1af-43fd-9f21-ddb3a49a759b</t>
  </si>
  <si>
    <t>2ca0850f-c161-4b54-ad72-6f7065738b37</t>
  </si>
  <si>
    <t>b2edc357-ba5e-44b5-a126-22a4dcaa4da9</t>
  </si>
  <si>
    <t>cf345fca-8d73-49df-8d23-e82fc2c97f2d</t>
  </si>
  <si>
    <t>c98149a7-11af-4d1a-9c53-0d069ab005b1</t>
  </si>
  <si>
    <t>7059f948-2cf6-4d71-9fac-21c51f309d2e</t>
  </si>
  <si>
    <t>16ae491c-c900-4e01-83d7-579e75b8829e</t>
  </si>
  <si>
    <t>9ed7b0d5-3fe9-4190-8dff-766a8a97dfdc</t>
  </si>
  <si>
    <t>d6f449b8-4982-4808-aa3e-53bfa1ce0282</t>
  </si>
  <si>
    <t>b553a51e-ae6c-4cce-9b93-86ca24c1aa09</t>
  </si>
  <si>
    <t>3dca8336-fcf0-4b2f-8626-96a9cf65b285</t>
  </si>
  <si>
    <t>5032bdbb-af2d-44a5-b953-4d692a5d0d27</t>
  </si>
  <si>
    <t>08f71b1e-ef75-44c6-b068-f76e18d8500a</t>
  </si>
  <si>
    <t>8cfe4b90-ae57-4f52-9a5e-9be22770d467</t>
  </si>
  <si>
    <t>17c11792-f015-444a-90f2-af2105fe93c8</t>
  </si>
  <si>
    <t>4c8d6a92-66c0-4a3e-beac-d7a93a4e3f1e</t>
  </si>
  <si>
    <t>1b9d5e18-8c84-4f2e-a255-1feafa63ce3c</t>
  </si>
  <si>
    <t>7d36140b-06af-40af-be37-5dfc62966a9c</t>
  </si>
  <si>
    <t>4d091a71-9beb-45aa-bb7c-f55e6a85b0b0</t>
  </si>
  <si>
    <t>db172aaf-21c7-4cd1-8744-6f3dc79c9bda</t>
  </si>
  <si>
    <t>edc46e12-3e59-4a6f-80a8-ebab25c0d7e3</t>
  </si>
  <si>
    <t>1a2ffd19-0f73-45e3-ade1-e149cbbc1935</t>
  </si>
  <si>
    <t>08990719-167a-4807-9408-22c6e10d05aa</t>
  </si>
  <si>
    <t>55540efe-9c50-4f57-91a5-6cdd61c04eb7</t>
  </si>
  <si>
    <t>b7a9dfed-e7db-4801-b5ce-3cd2954e459c</t>
  </si>
  <si>
    <t>64adf357-3c82-416b-a08b-1d5418eb380b</t>
  </si>
  <si>
    <t>0f702697-b587-46d8-bf66-83a4dfd1f98b</t>
  </si>
  <si>
    <t>80ea1905-dd56-4e32-ab24-753511383540</t>
  </si>
  <si>
    <t>35092804-059f-42b7-ae0f-eafe0c89e234</t>
  </si>
  <si>
    <t>490a8dfb-0fe4-4bd0-a521-462d317fa505</t>
  </si>
  <si>
    <t>0214d2a8-3948-46da-a8d8-bc0df05fcf9a</t>
  </si>
  <si>
    <t>9ef70a34-6124-4d52-a5f3-58a450f55b14</t>
  </si>
  <si>
    <t>560f4263-5548-4935-9608-046f24fe6824</t>
  </si>
  <si>
    <t>8327f4f7-832a-4723-991f-b83c2b40438c</t>
  </si>
  <si>
    <t>55b43e99-5250-4087-9cf0-6b19eea3ee44</t>
  </si>
  <si>
    <t>af5bdbac-e5ff-406b-b5fb-89a8f66f700f</t>
  </si>
  <si>
    <t>efde8ffa-f18b-4a32-9b9c-4f6d4518ab34</t>
  </si>
  <si>
    <t>d66f64ac-ef61-429f-b384-3718f77d9c54</t>
  </si>
  <si>
    <t>c986ae1a-db8d-437d-ae69-2b921fc47ca0</t>
  </si>
  <si>
    <t>87315c74-871e-477b-8fe2-9c7d8d810308</t>
  </si>
  <si>
    <t>8fcc93c5-fed0-4258-a344-7dcda27663f4</t>
  </si>
  <si>
    <t>0a23ffcf-c0a7-481f-878b-b903f9495a9f</t>
  </si>
  <si>
    <t>ea250ad1-cd25-4479-b368-5ed4471bb2c7</t>
  </si>
  <si>
    <t>c73fd2e6-57c0-472d-a4f2-364357c58e63</t>
  </si>
  <si>
    <t>1f01b757-5139-4881-9913-57c094d314dd</t>
  </si>
  <si>
    <t>7PK60YJ2R6TH6GTS85FNSX8PZ8YS86H76SRZHQYQKA45G9BY71C0</t>
  </si>
  <si>
    <t>Cassie Z Zhang</t>
  </si>
  <si>
    <t>6YBFJ9NP0RNJCYED93FVYDS6ZMPT41FTW6XN3AYT2RWVRVVWS3DG</t>
  </si>
  <si>
    <t>Wesley Yan</t>
  </si>
  <si>
    <t>PWWFJ6YMYDEQFAD3AWR19JE638YP83B294053XBSKVMQVCDKJD3G</t>
  </si>
  <si>
    <t>Zhu Jin</t>
  </si>
  <si>
    <t>75DY8C6DK81CGKYJ21FZQEBQF4KQB5YS11WP11P12FZVAGAGERHG</t>
  </si>
  <si>
    <t>Tsia Yu</t>
  </si>
  <si>
    <t>EP3THTW6FGC1ZTBDGWEKHPSB2Y0JS9EPQN3FSJ1W75PS9TAQK3DG</t>
  </si>
  <si>
    <t>Sean Sun</t>
  </si>
  <si>
    <t>27MRN2CY230YGQCH5SHPY9FGVAKPSVTQCEV49DCFDFF8H9XCQEK0</t>
  </si>
  <si>
    <t>Tian T Ma</t>
  </si>
  <si>
    <t>MQFDQD6SPH3FMJP2N0PQQ3N4PZ6XNH4T373A7HWSDE5TZ4A7V1DG</t>
  </si>
  <si>
    <t>Zelda Zhang</t>
  </si>
  <si>
    <t>9QKVRYJWFZ38Q15SSC9F8R37HJH3965E74F5R92CN1PGMMZQECQ0</t>
  </si>
  <si>
    <t>Dan Y Yao</t>
  </si>
  <si>
    <t>ESRXDMFF301213JT3ZH9F7ZDSK4QQHFF3A9ZCB0821P05Y900W90</t>
  </si>
  <si>
    <t>Alina Ye</t>
  </si>
  <si>
    <t>1P2X1MX3XYWCZ8E2MX2Y07YGB3MV287QRPBD8BFP4A63CGJFS7B0</t>
  </si>
  <si>
    <t>Evelyn Z Zhao</t>
  </si>
  <si>
    <t>Create</t>
  </si>
  <si>
    <t>c6b91df8-a0a7-4864-b73c-870850a27fb0</t>
  </si>
  <si>
    <t>{"id":"c6b91df8-a0a7-4864-b73c-870850a27fb0","type":1,"name":"workbookId","value":"b79098ca-2c6b-422e-a01e-c84f8e7ccc66"}</t>
  </si>
  <si>
    <t>0775af90-6042-42d9-aff9-cf722ec40488</t>
  </si>
  <si>
    <t>{"id":"0775af90-6042-42d9-aff9-cf722ec40488","type":0,"name":"dataSnipperSheetDeleted","value":"false"}</t>
  </si>
  <si>
    <t>a9cd0b00-10a7-4ba8-963a-cfd32cef0e91</t>
  </si>
  <si>
    <t>{"id":"a9cd0b00-10a7-4ba8-963a-cfd32cef0e91","type":0,"name":"embed-documents","value":"false"}</t>
  </si>
  <si>
    <t>106d96ef-31fd-4b9a-a0bd-61bf141ceaf4</t>
  </si>
  <si>
    <t>{"id":"106d96ef-31fd-4b9a-a0bd-61bf141ceaf4","type":0,"name":"table-snip-suggestions","value":"true"}</t>
  </si>
  <si>
    <t>2de01863-aefb-43d4-98d1-75abd3b72854</t>
  </si>
  <si>
    <t>{"id":"2de01863-aefb-43d4-98d1-75abd3b72854","type":1,"name":"migratedFssProjectId","value":""}</t>
  </si>
  <si>
    <t>{"id":"c6b91df8-a0a7-4864-b73c-870850a27fb0","type":1,"name":"workbookId","value":"4db264c2-19c2-425e-945a-2e3233cb0f67"}</t>
  </si>
  <si>
    <t>{"id":"a9cd0b00-10a7-4ba8-963a-cfd32cef0e91","type":0,"name":"embed-documents","value":"true"}</t>
  </si>
  <si>
    <t>NCN9GVS7YB2ETCVN7MZBV9G447DJ76R2C78P4GRG46G7PJNY5X10</t>
  </si>
  <si>
    <t>Ke Xin Fan</t>
  </si>
  <si>
    <t>OSP L1 SWP 开发支出 202YMMDD XYZ公司.xlsx</t>
  </si>
  <si>
    <t>OSP L1 SWP 无形资产权属检查 202YMMDD XYZ公司.xlsx</t>
  </si>
  <si>
    <t>OSP L1 SWP 无形资产资本化支出 202YMMDD XYZ公司.xlsx</t>
  </si>
  <si>
    <t xml:space="preserve">V6 SWP </t>
    <phoneticPr fontId="78" type="noConversion"/>
  </si>
  <si>
    <t>6S9TPF8H3ZN4N0CHB8MYGHFTK6TQSV6Z8E1J7QSW8R4883X21Q5G</t>
  </si>
  <si>
    <t>Yu Qing YQ Cheng</t>
  </si>
  <si>
    <t>东风鸿远工程咨询有限公司</t>
  </si>
  <si>
    <t>东风鸿远工程咨询有限公司</t>
    <phoneticPr fontId="78" type="noConversion"/>
  </si>
  <si>
    <t>CNY</t>
    <phoneticPr fontId="78" type="noConversion"/>
  </si>
  <si>
    <t>软件</t>
    <phoneticPr fontId="78" type="noConversion"/>
  </si>
  <si>
    <t>特许权</t>
    <phoneticPr fontId="78" type="noConversion"/>
  </si>
  <si>
    <t>合并增加</t>
    <phoneticPr fontId="78" type="noConversion"/>
  </si>
  <si>
    <t>鸿远本部+武汉分公司</t>
    <phoneticPr fontId="78" type="noConversion"/>
  </si>
  <si>
    <t>公司主体</t>
    <phoneticPr fontId="78" type="noConversion"/>
  </si>
  <si>
    <t>SJY0067</t>
  </si>
  <si>
    <t>SJY0068</t>
  </si>
  <si>
    <t>SJY0069</t>
  </si>
  <si>
    <t>SJY0144</t>
  </si>
  <si>
    <t>ZCLB0716</t>
  </si>
  <si>
    <t>ZCLB0718</t>
  </si>
  <si>
    <t>设计院土地使用权</t>
  </si>
  <si>
    <t>勘察设计软件</t>
  </si>
  <si>
    <t>挡土墙设计软件</t>
  </si>
  <si>
    <t>金慧综合管理系统</t>
  </si>
  <si>
    <t>“多测合一”生产软件（SISS）V1.0</t>
  </si>
  <si>
    <t>大疆智图永久版、LiDAR360软件</t>
  </si>
  <si>
    <t>土地使用权</t>
    <phoneticPr fontId="78" type="noConversion"/>
  </si>
  <si>
    <t>东风鸿远工程咨询有限公司武汉分公司</t>
  </si>
  <si>
    <r>
      <t>IT</t>
    </r>
    <r>
      <rPr>
        <sz val="10"/>
        <rFont val="宋体"/>
        <family val="2"/>
        <charset val="134"/>
      </rPr>
      <t>软件</t>
    </r>
    <phoneticPr fontId="78" type="noConversion"/>
  </si>
  <si>
    <t>NA</t>
    <phoneticPr fontId="78" type="noConversion"/>
  </si>
  <si>
    <t>是</t>
  </si>
  <si>
    <t>企业会计准则</t>
    <phoneticPr fontId="78" type="noConversion"/>
  </si>
  <si>
    <t>Moderate</t>
  </si>
  <si>
    <t>N/A</t>
  </si>
  <si>
    <t>ABC7dhNi9NAGADg+8L+h6F4WKGEJqm7q7faZmsgm5ZMFpFlKbNkWkMnmZJMLEWEHpRlVzyIH0cR8ezHQRQX9dc07p78CzZrP6SOoDCSss6lh3cmMxke3nTe99vxl93VFQBuZz8AFC6wQQ8XroCCcUOB3UHfDz3lOo26TdTDkWKGvYTBmxizIuBNKBQny5jeeI0wIWQagMm+SxkiRoj2Cc5G24jEeHF4y8ckGyzMVnKvLaxko+DsBdO3B+nweL5jbGH0y7pmfDXCqOvRfrg45NB+lSYhG8fVy9NglZJZUJsGjZD5zMfxOLi7N3scB/QW9rhjMAkCFA3c7Ki/PfB8CmQDgifH+vmkFadpU4a5WzQj2olQsOUTUo1oHDu4vU09PN0mm3Wn+OewNdxGCVkWWktVSpqigvTpm9GLZ+m7+yevnwiBLl/iQGuqhM4JerI5xIz5YefspcQ4lznOmzKh801oDYxe3v366ZXIhN7kJbQuoXOE1kH68Oj08VAgs67ymNclc07MNdgybddw7IrVgobrmnYdtqDbcCp1Qwg4L63nuS69c/SuNap1p7HTFOrNy2/pvSzeO9uG7Urv/8Mb2qbM7XNsnV3R1HFxXelEGANoAUZB3RIjra9zrFVVFti5Ncl+dFA+3Bs9EHMT3+BdxDekb06+k4JanC+vE6qXpW++jRMEToeH6fP3J58fjQ4+iumc8L7UEjrnlvc/gOb+JUvoPKFLIOMEMb/fzaLkbz/aXGN5xV6eLihY00paWdV09aKYhihPXDZEl6yoWhNJfm6Lq9WVve8=</t>
  </si>
  <si>
    <r>
      <rPr>
        <sz val="10"/>
        <color rgb="FF000000"/>
        <rFont val="宋体"/>
        <family val="2"/>
        <charset val="134"/>
      </rPr>
      <t>鸿远科目辅助余额表</t>
    </r>
    <r>
      <rPr>
        <sz val="10"/>
        <color rgb="FF000000"/>
        <rFont val="Arial"/>
        <family val="2"/>
      </rPr>
      <t>20241231</t>
    </r>
    <phoneticPr fontId="78" type="noConversion"/>
  </si>
  <si>
    <t>明细账与总账无差异</t>
    <phoneticPr fontId="78" type="noConversion"/>
  </si>
  <si>
    <t>IT软件</t>
  </si>
  <si>
    <t>1</t>
    <phoneticPr fontId="78" type="noConversion"/>
  </si>
  <si>
    <r>
      <t>30-50</t>
    </r>
    <r>
      <rPr>
        <sz val="10"/>
        <color theme="1"/>
        <rFont val="宋体"/>
        <family val="2"/>
        <charset val="134"/>
      </rPr>
      <t>年</t>
    </r>
    <phoneticPr fontId="78" type="noConversion"/>
  </si>
  <si>
    <r>
      <t>5</t>
    </r>
    <r>
      <rPr>
        <sz val="10"/>
        <color theme="1"/>
        <rFont val="宋体"/>
        <family val="2"/>
        <charset val="134"/>
      </rPr>
      <t>年</t>
    </r>
    <phoneticPr fontId="78" type="noConversion"/>
  </si>
  <si>
    <t>是</t>
    <phoneticPr fontId="7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</si>
</sst>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1">
    <numFmt numFmtId="41" formatCode="_ * #,##0_ ;_ * \-#,##0_ ;_ * &quot;-&quot;_ ;_ @_ "/>
    <numFmt numFmtId="44" formatCode="_ &quot;¥&quot;* #,##0.00_ ;_ &quot;¥&quot;* \-#,##0.00_ ;_ &quot;¥&quot;* &quot;-&quot;??_ ;_ @_ "/>
    <numFmt numFmtId="43" formatCode="_ * #,##0.00_ ;_ * \-#,##0.00_ ;_ * &quot;-&quot;??_ ;_ @_ "/>
    <numFmt numFmtId="176" formatCode="_-* #,##0_-;\-* #,##0_-;_-* &quot;-&quot;_-;_-@_-"/>
    <numFmt numFmtId="177" formatCode="_-&quot;$&quot;* #,##0_-;\-&quot;$&quot;* #,##0_-;_-&quot;$&quot;* &quot;-&quot;_-;_-@_-"/>
    <numFmt numFmtId="178" formatCode="_-* #,##0.00_-;\-* #,##0.00_-;_-* &quot;-&quot;??_-;_-@_-"/>
    <numFmt numFmtId="179" formatCode="#,##0;\-#,##0;&quot;-&quot;"/>
    <numFmt numFmtId="180" formatCode="_(* #,##0.00_);_(* \(#,##0.00\);_(* &quot;-&quot;??_);_(@_)"/>
    <numFmt numFmtId="181" formatCode="_(* #,##0_);_(* \(#,##0\);_(* &quot;-&quot;_);_(@_)"/>
    <numFmt numFmtId="182" formatCode="_(&quot;$&quot;* #,##0.00_);_(&quot;$&quot;* \(#,##0.00\);_(&quot;$&quot;* &quot;-&quot;??_);_(@_)"/>
    <numFmt numFmtId="183" formatCode="&quot;\&quot;#,##0;[Red]&quot;\&quot;&quot;\&quot;\-#,##0"/>
    <numFmt numFmtId="184" formatCode="_(\¥* #,##0.00_);_(\¥* \(#,##0.00\);_(\¥* &quot;-&quot;??_);_(@_)"/>
    <numFmt numFmtId="185" formatCode="_ [$€-2]* #,##0.00_ ;_ [$€-2]* \-#,##0.00_ ;_ [$€-2]* &quot;-&quot;??_ "/>
    <numFmt numFmtId="186" formatCode="_-* #,##0\ _k_r_-;\-* #,##0\ _k_r_-;_-* &quot;-&quot;\ _k_r_-;_-@_-"/>
    <numFmt numFmtId="187" formatCode="_-* #,##0.0000000000_-;\-* #,##0.0000000000_-;_-* &quot;-&quot;??_-;_-@_-"/>
    <numFmt numFmtId="188" formatCode="0.0%"/>
    <numFmt numFmtId="189" formatCode="#,##0.00_ ;[Red]\-#,##0.00\ "/>
    <numFmt numFmtId="190" formatCode="#,##0;\(#,##0\)"/>
    <numFmt numFmtId="191" formatCode="\$#,##0;\(\$#,##0\)"/>
    <numFmt numFmtId="192" formatCode="&quot;$&quot;#,##0;[Red]&quot;$&quot;&quot;$&quot;&quot;$&quot;&quot;$&quot;&quot;$&quot;&quot;$&quot;&quot;$&quot;\-#,##0"/>
    <numFmt numFmtId="193" formatCode="\¥#,##0;\-\¥#,##0"/>
    <numFmt numFmtId="194" formatCode="_-&quot;$&quot;* #,##0.00_-;\-&quot;$&quot;* #,##0.00_-;_-&quot;$&quot;* &quot;-&quot;??_-;_-@_-"/>
    <numFmt numFmtId="195" formatCode="#,##0.00_);#,##0.00\)"/>
    <numFmt numFmtId="196" formatCode="&quot;\&quot;#,##0.00;[Red]&quot;\&quot;&quot;\&quot;&quot;\&quot;&quot;\&quot;&quot;\&quot;&quot;\&quot;\-#,##0.00"/>
    <numFmt numFmtId="197" formatCode="&quot;$&quot;#,##0_);\(&quot;$&quot;#,##0\)"/>
    <numFmt numFmtId="198" formatCode="#,##0.0_);\(#,##0.0\)"/>
    <numFmt numFmtId="199" formatCode="&quot;\&quot;#,##0;[Red]&quot;\&quot;\-#,##0"/>
    <numFmt numFmtId="200" formatCode="0.00000&quot;  &quot;"/>
    <numFmt numFmtId="201" formatCode="&quot;$&quot;#,##0.00_);\(&quot;$&quot;#,##0.00\)"/>
    <numFmt numFmtId="202" formatCode="\$#,##0.00;\(\$#,##0.00\)"/>
    <numFmt numFmtId="203" formatCode="_-* #,##0.00\ _k_r_-;\-* #,##0.00\ _k_r_-;_-* &quot;-&quot;??\ _k_r_-;_-@_-"/>
    <numFmt numFmtId="204" formatCode="&quot;\&quot;#,##0.00;[Red]&quot;\&quot;\-#,##0.00"/>
    <numFmt numFmtId="20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6" formatCode="0_ "/>
    <numFmt numFmtId="207" formatCode="_([$€-2]* #,##0.00_);_([$€-2]* \(#,##0.00\);_([$€-2]* &quot;-&quot;??_)"/>
    <numFmt numFmtId="208" formatCode="_(* #,##0_);_(* \(#,##0\);_(* &quot;-&quot;??_);_(@_)"/>
    <numFmt numFmtId="209" formatCode="_([$€-2]* #,##0.00000_);_([$€-2]* \(#,##0.00000\);_([$€-2]* &quot;-&quot;??_)"/>
    <numFmt numFmtId="210" formatCode="* #,##0.00;[Red]\(#,##0.00\);&quot;-&quot;;\ @"/>
    <numFmt numFmtId="211" formatCode="[=0]&quot;-&quot;;General"/>
    <numFmt numFmtId="212" formatCode="&quot;¥&quot;#,##0;\-&quot;¥&quot;#,##0"/>
    <numFmt numFmtId="213" formatCode="[$-804]aaaa;@"/>
  </numFmts>
  <fonts count="179">
    <font>
      <sz val="11"/>
      <color theme="1"/>
      <name val="等线"/>
      <charset val="134"/>
      <scheme val="minor"/>
    </font>
    <font>
      <sz val="11"/>
      <color theme="1"/>
      <name val="等线"/>
      <family val="2"/>
      <charset val="134"/>
      <scheme val="minor"/>
    </font>
    <font>
      <sz val="11"/>
      <color theme="1"/>
      <name val="等线"/>
      <family val="2"/>
      <scheme val="minor"/>
    </font>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0"/>
      <color theme="1"/>
      <name val="Arial"/>
      <family val="2"/>
    </font>
    <font>
      <b/>
      <sz val="10"/>
      <color rgb="FFFF0000"/>
      <name val="Arial"/>
      <family val="2"/>
    </font>
    <font>
      <sz val="11"/>
      <color theme="1"/>
      <name val="Arial"/>
      <family val="2"/>
    </font>
    <font>
      <sz val="10"/>
      <color rgb="FF000000"/>
      <name val="Arial"/>
      <family val="2"/>
    </font>
    <font>
      <sz val="10"/>
      <name val="Arial"/>
      <family val="2"/>
    </font>
    <font>
      <sz val="10"/>
      <color rgb="FFFF0000"/>
      <name val="Arial"/>
      <family val="2"/>
    </font>
    <font>
      <sz val="10"/>
      <color theme="0"/>
      <name val="Arial"/>
      <family val="2"/>
    </font>
    <font>
      <sz val="10"/>
      <name val="宋体"/>
      <family val="3"/>
      <charset val="134"/>
    </font>
    <font>
      <b/>
      <sz val="10"/>
      <name val="Arial"/>
      <family val="2"/>
    </font>
    <font>
      <u/>
      <sz val="10"/>
      <color theme="10"/>
      <name val="Arial"/>
      <family val="2"/>
    </font>
    <font>
      <sz val="10"/>
      <color indexed="8"/>
      <name val="Arial"/>
      <family val="2"/>
    </font>
    <font>
      <b/>
      <sz val="10"/>
      <color indexed="8"/>
      <name val="Arial"/>
      <family val="2"/>
    </font>
    <font>
      <b/>
      <sz val="10"/>
      <color indexed="10"/>
      <name val="Arial"/>
      <family val="2"/>
    </font>
    <font>
      <sz val="10"/>
      <color indexed="10"/>
      <name val="Arial"/>
      <family val="2"/>
    </font>
    <font>
      <u/>
      <sz val="11"/>
      <color theme="10"/>
      <name val="等线"/>
      <family val="3"/>
      <charset val="134"/>
      <scheme val="minor"/>
    </font>
    <font>
      <sz val="11"/>
      <color theme="0"/>
      <name val="等线"/>
      <family val="3"/>
      <charset val="134"/>
      <scheme val="minor"/>
    </font>
    <font>
      <sz val="11"/>
      <color indexed="17"/>
      <name val="宋体"/>
      <family val="3"/>
      <charset val="134"/>
    </font>
    <font>
      <sz val="10"/>
      <color indexed="8"/>
      <name val="MS Sans Serif"/>
      <family val="2"/>
    </font>
    <font>
      <sz val="12"/>
      <color indexed="8"/>
      <name val="宋体"/>
      <family val="3"/>
      <charset val="134"/>
    </font>
    <font>
      <sz val="10"/>
      <name val="宋体"/>
      <family val="3"/>
      <charset val="134"/>
    </font>
    <font>
      <sz val="12"/>
      <name val="宋体"/>
      <family val="3"/>
      <charset val="134"/>
    </font>
    <font>
      <sz val="12"/>
      <color indexed="9"/>
      <name val="宋体"/>
      <family val="3"/>
      <charset val="134"/>
    </font>
    <font>
      <sz val="9"/>
      <name val="Times New Roman"/>
      <family val="1"/>
    </font>
    <font>
      <sz val="11"/>
      <color indexed="20"/>
      <name val="宋体"/>
      <family val="3"/>
      <charset val="134"/>
    </font>
    <font>
      <sz val="11"/>
      <color indexed="9"/>
      <name val="宋体"/>
      <family val="3"/>
      <charset val="134"/>
    </font>
    <font>
      <sz val="11"/>
      <color indexed="26"/>
      <name val="宋体"/>
      <family val="3"/>
      <charset val="134"/>
    </font>
    <font>
      <sz val="13"/>
      <name val="Tms Rmn"/>
      <family val="1"/>
    </font>
    <font>
      <u/>
      <sz val="11"/>
      <color theme="10"/>
      <name val="宋体"/>
      <family val="3"/>
      <charset val="134"/>
    </font>
    <font>
      <sz val="12"/>
      <name val="柧挬"/>
      <family val="2"/>
    </font>
    <font>
      <u/>
      <sz val="10"/>
      <color indexed="12"/>
      <name val="宋体"/>
      <family val="3"/>
      <charset val="134"/>
    </font>
    <font>
      <sz val="12"/>
      <name val="Times New Roman"/>
      <family val="1"/>
    </font>
    <font>
      <sz val="11"/>
      <color indexed="38"/>
      <name val="宋体"/>
      <family val="3"/>
      <charset val="134"/>
    </font>
    <font>
      <sz val="11"/>
      <color theme="1"/>
      <name val="宋体"/>
      <family val="3"/>
      <charset val="134"/>
    </font>
    <font>
      <sz val="11"/>
      <name val="ＭＳ Ｐゴシック"/>
      <family val="2"/>
    </font>
    <font>
      <sz val="10"/>
      <name val="Times New Roman"/>
      <family val="1"/>
    </font>
    <font>
      <b/>
      <sz val="10"/>
      <name val="Helv"/>
      <family val="2"/>
    </font>
    <font>
      <b/>
      <sz val="11"/>
      <color theme="0"/>
      <name val="宋体"/>
      <family val="3"/>
      <charset val="134"/>
    </font>
    <font>
      <b/>
      <sz val="13"/>
      <name val="Tms Rmn"/>
      <family val="1"/>
    </font>
    <font>
      <sz val="11"/>
      <color indexed="21"/>
      <name val="宋体"/>
      <family val="3"/>
      <charset val="134"/>
    </font>
    <font>
      <sz val="11"/>
      <color indexed="8"/>
      <name val="宋体"/>
      <family val="3"/>
      <charset val="134"/>
    </font>
    <font>
      <b/>
      <sz val="12"/>
      <color indexed="8"/>
      <name val="宋体"/>
      <family val="3"/>
      <charset val="134"/>
    </font>
    <font>
      <sz val="14"/>
      <name val="柧挬"/>
      <family val="2"/>
    </font>
    <font>
      <u/>
      <sz val="12"/>
      <color indexed="12"/>
      <name val="宋体"/>
      <family val="3"/>
      <charset val="134"/>
    </font>
    <font>
      <b/>
      <sz val="18"/>
      <color indexed="35"/>
      <name val="宋体"/>
      <family val="3"/>
      <charset val="134"/>
    </font>
    <font>
      <sz val="12"/>
      <name val="官帕眉"/>
      <family val="2"/>
    </font>
    <font>
      <sz val="11"/>
      <color rgb="FF006100"/>
      <name val="宋体"/>
      <family val="3"/>
      <charset val="134"/>
    </font>
    <font>
      <sz val="8"/>
      <name val="EYInterstate Light"/>
    </font>
    <font>
      <sz val="8"/>
      <name val="Arial"/>
      <family val="2"/>
    </font>
    <font>
      <b/>
      <sz val="12"/>
      <name val="Helv"/>
      <family val="2"/>
    </font>
    <font>
      <b/>
      <sz val="12"/>
      <name val="Arial"/>
      <family val="2"/>
    </font>
    <font>
      <b/>
      <sz val="11"/>
      <name val="Helv"/>
      <family val="2"/>
    </font>
    <font>
      <sz val="8"/>
      <name val="Century Schoolbook"/>
      <family val="1"/>
    </font>
    <font>
      <sz val="10"/>
      <name val="Tahoma"/>
      <family val="2"/>
    </font>
    <font>
      <sz val="10"/>
      <name val="Arial Narrow"/>
      <family val="2"/>
    </font>
    <font>
      <sz val="11"/>
      <color indexed="8"/>
      <name val="Calibri"/>
      <family val="2"/>
    </font>
    <font>
      <sz val="8"/>
      <color indexed="16"/>
      <name val="Century Schoolbook"/>
      <family val="1"/>
    </font>
    <font>
      <sz val="10"/>
      <color indexed="39"/>
      <name val="Arial"/>
      <family val="2"/>
    </font>
    <font>
      <b/>
      <sz val="10"/>
      <color indexed="39"/>
      <name val="Arial"/>
      <family val="2"/>
    </font>
    <font>
      <b/>
      <sz val="12"/>
      <color indexed="8"/>
      <name val="Arial"/>
      <family val="2"/>
    </font>
    <font>
      <b/>
      <sz val="18"/>
      <color indexed="62"/>
      <name val="宋体"/>
      <family val="3"/>
      <charset val="134"/>
    </font>
    <font>
      <b/>
      <i/>
      <sz val="10"/>
      <name val="Times New Roman"/>
      <family val="1"/>
    </font>
    <font>
      <sz val="12"/>
      <color indexed="16"/>
      <name val="宋体"/>
      <family val="3"/>
      <charset val="134"/>
    </font>
    <font>
      <sz val="19"/>
      <color indexed="48"/>
      <name val="Arial"/>
      <family val="2"/>
    </font>
    <font>
      <sz val="10"/>
      <name val="Geneva"/>
      <family val="2"/>
    </font>
    <font>
      <b/>
      <sz val="9"/>
      <name val="Times New Roman"/>
      <family val="1"/>
    </font>
    <font>
      <sz val="12"/>
      <name val="바탕체"/>
      <family val="3"/>
    </font>
    <font>
      <sz val="11"/>
      <name val="明朝"/>
      <family val="1"/>
      <charset val="255"/>
    </font>
    <font>
      <sz val="12"/>
      <color indexed="17"/>
      <name val="宋体"/>
      <family val="3"/>
      <charset val="134"/>
    </font>
    <font>
      <sz val="12"/>
      <name val="新細明體"/>
      <family val="1"/>
    </font>
    <font>
      <sz val="10"/>
      <name val="奔覆眉"/>
      <family val="2"/>
    </font>
    <font>
      <sz val="11"/>
      <color theme="1"/>
      <name val="等线"/>
      <family val="3"/>
      <charset val="134"/>
      <scheme val="minor"/>
    </font>
    <font>
      <sz val="9"/>
      <name val="等线"/>
      <family val="3"/>
      <charset val="134"/>
      <scheme val="minor"/>
    </font>
    <font>
      <sz val="9"/>
      <name val="等线"/>
      <family val="2"/>
      <charset val="134"/>
      <scheme val="minor"/>
    </font>
    <font>
      <sz val="11"/>
      <color theme="1"/>
      <name val="等线"/>
      <family val="2"/>
      <charset val="134"/>
      <scheme val="minor"/>
    </font>
    <font>
      <u/>
      <sz val="11"/>
      <color theme="10"/>
      <name val="等线"/>
      <family val="2"/>
      <scheme val="minor"/>
    </font>
    <font>
      <b/>
      <sz val="10"/>
      <color rgb="FF000000"/>
      <name val="Arial"/>
      <family val="2"/>
    </font>
    <font>
      <sz val="14"/>
      <color theme="1"/>
      <name val="Arial"/>
      <family val="2"/>
    </font>
    <font>
      <b/>
      <sz val="10"/>
      <color theme="0"/>
      <name val="Arial"/>
      <family val="2"/>
    </font>
    <font>
      <sz val="11"/>
      <color theme="1"/>
      <name val="等线"/>
      <family val="3"/>
      <charset val="134"/>
      <scheme val="minor"/>
    </font>
    <font>
      <sz val="8"/>
      <name val="EYInterstate Light"/>
      <family val="2"/>
    </font>
    <font>
      <sz val="10"/>
      <name val="Helv"/>
      <family val="2"/>
    </font>
    <font>
      <sz val="6"/>
      <name val="等线"/>
      <family val="3"/>
      <charset val="128"/>
      <scheme val="minor"/>
    </font>
    <font>
      <sz val="11"/>
      <color theme="1"/>
      <name val="等线"/>
      <family val="3"/>
      <charset val="134"/>
      <scheme val="minor"/>
    </font>
    <font>
      <b/>
      <sz val="11"/>
      <color theme="0"/>
      <name val="等线"/>
      <family val="3"/>
      <charset val="134"/>
      <scheme val="minor"/>
    </font>
    <font>
      <sz val="9"/>
      <color theme="1"/>
      <name val="Arial Unicode MS"/>
      <family val="2"/>
    </font>
    <font>
      <sz val="11"/>
      <color rgb="FF006100"/>
      <name val="等线"/>
      <family val="3"/>
      <charset val="134"/>
      <scheme val="minor"/>
    </font>
    <font>
      <sz val="10"/>
      <name val="等线"/>
      <family val="3"/>
      <charset val="134"/>
      <scheme val="minor"/>
    </font>
    <font>
      <u/>
      <sz val="11"/>
      <color theme="10"/>
      <name val="等线"/>
      <family val="2"/>
      <charset val="134"/>
      <scheme val="minor"/>
    </font>
    <font>
      <sz val="9"/>
      <color theme="1"/>
      <name val="Arial"/>
      <family val="2"/>
      <charset val="134"/>
    </font>
    <font>
      <b/>
      <strike/>
      <sz val="10"/>
      <color rgb="FF0000FF"/>
      <name val="Arial"/>
      <family val="2"/>
    </font>
    <font>
      <b/>
      <sz val="10"/>
      <color theme="1"/>
      <name val="Arial"/>
      <family val="2"/>
    </font>
    <font>
      <sz val="10"/>
      <color rgb="FFFFFFFF"/>
      <name val="Arial"/>
      <family val="2"/>
    </font>
    <font>
      <strike/>
      <sz val="10"/>
      <color rgb="FF0000FF"/>
      <name val="Arial"/>
      <family val="2"/>
    </font>
    <font>
      <i/>
      <sz val="10"/>
      <name val="Arial"/>
      <family val="2"/>
    </font>
    <font>
      <sz val="10"/>
      <color indexed="0"/>
      <name val="Arial"/>
      <family val="2"/>
    </font>
    <font>
      <sz val="10"/>
      <color theme="1"/>
      <name val="微软雅黑"/>
      <family val="2"/>
      <charset val="134"/>
    </font>
    <font>
      <b/>
      <sz val="10"/>
      <color rgb="FFFF0000"/>
      <name val="微软雅黑"/>
      <family val="2"/>
      <charset val="134"/>
    </font>
    <font>
      <sz val="10"/>
      <color rgb="FF000000"/>
      <name val="微软雅黑"/>
      <family val="2"/>
      <charset val="134"/>
    </font>
    <font>
      <sz val="10"/>
      <name val="微软雅黑"/>
      <family val="2"/>
      <charset val="134"/>
    </font>
    <font>
      <b/>
      <sz val="10"/>
      <name val="微软雅黑"/>
      <family val="2"/>
      <charset val="134"/>
    </font>
    <font>
      <b/>
      <sz val="10"/>
      <color rgb="FF000000"/>
      <name val="微软雅黑"/>
      <family val="2"/>
      <charset val="134"/>
    </font>
    <font>
      <b/>
      <i/>
      <sz val="10"/>
      <color rgb="FFFF0000"/>
      <name val="微软雅黑"/>
      <family val="2"/>
      <charset val="134"/>
    </font>
    <font>
      <b/>
      <sz val="10"/>
      <color theme="1"/>
      <name val="微软雅黑"/>
      <family val="2"/>
      <charset val="134"/>
    </font>
    <font>
      <i/>
      <sz val="10"/>
      <name val="微软雅黑"/>
      <family val="2"/>
      <charset val="134"/>
    </font>
    <font>
      <b/>
      <sz val="14"/>
      <color rgb="FF000000"/>
      <name val="Arial"/>
      <family val="2"/>
    </font>
    <font>
      <sz val="11"/>
      <color rgb="FF9C0006"/>
      <name val="等线"/>
      <family val="3"/>
      <charset val="134"/>
      <scheme val="minor"/>
    </font>
    <font>
      <sz val="11"/>
      <color rgb="FF000000"/>
      <name val="Calibri"/>
      <family val="2"/>
    </font>
    <font>
      <b/>
      <sz val="11"/>
      <color rgb="FFFF0000"/>
      <name val="宋体"/>
      <family val="3"/>
      <charset val="134"/>
    </font>
    <font>
      <b/>
      <sz val="10"/>
      <color theme="1"/>
      <name val="宋体"/>
      <family val="3"/>
      <charset val="134"/>
    </font>
    <font>
      <u/>
      <sz val="10"/>
      <color theme="10"/>
      <name val="等线"/>
      <family val="3"/>
      <charset val="134"/>
    </font>
    <font>
      <sz val="11"/>
      <color rgb="FF9C5700"/>
      <name val="等线"/>
      <family val="3"/>
      <charset val="134"/>
      <scheme val="minor"/>
    </font>
    <font>
      <sz val="10"/>
      <color theme="1"/>
      <name val="Times New Roman"/>
      <family val="1"/>
    </font>
    <font>
      <sz val="12"/>
      <color theme="1"/>
      <name val="宋体"/>
      <family val="3"/>
      <charset val="134"/>
    </font>
    <font>
      <sz val="10"/>
      <color theme="1"/>
      <name val="等线"/>
      <family val="3"/>
      <charset val="134"/>
    </font>
    <font>
      <sz val="12"/>
      <color rgb="FF000000"/>
      <name val="Calibri"/>
      <family val="2"/>
    </font>
    <font>
      <sz val="10"/>
      <name val="宋体"/>
      <family val="2"/>
      <charset val="134"/>
    </font>
    <font>
      <u/>
      <sz val="9"/>
      <color theme="10"/>
      <name val="Arial"/>
      <family val="2"/>
    </font>
    <font>
      <b/>
      <sz val="12"/>
      <color rgb="FF000000"/>
      <name val="Arial"/>
      <family val="2"/>
    </font>
    <font>
      <b/>
      <sz val="14"/>
      <color theme="0"/>
      <name val="Arial"/>
      <family val="2"/>
    </font>
    <font>
      <b/>
      <sz val="14"/>
      <color rgb="FFFFC000"/>
      <name val="Arial"/>
      <family val="2"/>
    </font>
    <font>
      <u/>
      <sz val="12"/>
      <color theme="10"/>
      <name val="Arial"/>
      <family val="2"/>
    </font>
    <font>
      <b/>
      <sz val="10"/>
      <color rgb="FF0000FF"/>
      <name val="Arial"/>
      <family val="2"/>
    </font>
    <font>
      <i/>
      <vertAlign val="superscript"/>
      <sz val="8"/>
      <color theme="4" tint="-0.249977111117893"/>
      <name val="Arial"/>
      <family val="2"/>
    </font>
    <font>
      <b/>
      <i/>
      <sz val="10"/>
      <color rgb="FFFF0000"/>
      <name val="Arial"/>
      <family val="2"/>
    </font>
    <font>
      <i/>
      <sz val="10"/>
      <color rgb="FF000000"/>
      <name val="Arial"/>
      <family val="2"/>
    </font>
    <font>
      <sz val="10"/>
      <color rgb="FF242424"/>
      <name val="Arial"/>
      <family val="2"/>
    </font>
    <font>
      <b/>
      <i/>
      <sz val="10"/>
      <color theme="4"/>
      <name val="Arial"/>
      <family val="2"/>
    </font>
    <font>
      <sz val="10"/>
      <color theme="1"/>
      <name val="Tahoma"/>
      <family val="2"/>
    </font>
    <font>
      <sz val="11"/>
      <color indexed="8"/>
      <name val="等线"/>
      <family val="2"/>
      <scheme val="minor"/>
    </font>
    <font>
      <b/>
      <i/>
      <sz val="10"/>
      <name val="微软雅黑"/>
      <family val="2"/>
      <charset val="134"/>
    </font>
    <font>
      <b/>
      <sz val="10"/>
      <color rgb="FFFFC000"/>
      <name val="Arial"/>
      <family val="2"/>
    </font>
    <font>
      <i/>
      <sz val="10"/>
      <color theme="1"/>
      <name val="Arial"/>
      <family val="2"/>
    </font>
    <font>
      <b/>
      <sz val="14"/>
      <color rgb="FFFFFFFF"/>
      <name val="Arial"/>
      <family val="2"/>
    </font>
    <font>
      <sz val="11"/>
      <color rgb="FF000000"/>
      <name val="等线"/>
      <family val="2"/>
      <scheme val="minor"/>
    </font>
    <font>
      <sz val="12"/>
      <name val="Arial"/>
      <family val="2"/>
    </font>
    <font>
      <sz val="10"/>
      <color theme="1"/>
      <name val="times new roman"/>
      <family val="2"/>
    </font>
    <font>
      <b/>
      <i/>
      <sz val="10"/>
      <color rgb="FF000000"/>
      <name val="微软雅黑"/>
      <family val="2"/>
      <charset val="134"/>
    </font>
    <font>
      <b/>
      <u/>
      <sz val="9"/>
      <color theme="10"/>
      <name val="Arial"/>
      <family val="2"/>
    </font>
    <font>
      <b/>
      <vertAlign val="superscript"/>
      <sz val="10"/>
      <color rgb="FFFF0000"/>
      <name val="Arial"/>
      <family val="2"/>
    </font>
    <font>
      <b/>
      <sz val="14"/>
      <color rgb="FFFFFFFF"/>
      <name val="微软雅黑"/>
      <family val="2"/>
      <charset val="134"/>
    </font>
    <font>
      <b/>
      <sz val="14"/>
      <color theme="0"/>
      <name val="微软雅黑"/>
      <family val="2"/>
      <charset val="134"/>
    </font>
    <font>
      <b/>
      <sz val="12"/>
      <name val="微软雅黑"/>
      <family val="2"/>
      <charset val="134"/>
    </font>
    <font>
      <b/>
      <sz val="12"/>
      <color rgb="FF000000"/>
      <name val="微软雅黑"/>
      <family val="2"/>
      <charset val="134"/>
    </font>
    <font>
      <b/>
      <sz val="14"/>
      <color rgb="FFFF0000"/>
      <name val="微软雅黑"/>
      <family val="2"/>
      <charset val="134"/>
    </font>
    <font>
      <b/>
      <sz val="14"/>
      <color rgb="FF000000"/>
      <name val="微软雅黑"/>
      <family val="2"/>
      <charset val="134"/>
    </font>
    <font>
      <b/>
      <i/>
      <sz val="14"/>
      <color rgb="FFFF0000"/>
      <name val="微软雅黑"/>
      <family val="2"/>
      <charset val="134"/>
    </font>
    <font>
      <b/>
      <i/>
      <sz val="14"/>
      <color rgb="FFFF0000"/>
      <name val="Arial"/>
      <family val="2"/>
    </font>
    <font>
      <sz val="12"/>
      <color theme="1"/>
      <name val="Arial"/>
      <family val="2"/>
    </font>
    <font>
      <b/>
      <sz val="12"/>
      <color theme="1"/>
      <name val="Arial"/>
      <family val="2"/>
    </font>
    <font>
      <sz val="14"/>
      <color rgb="FF000000"/>
      <name val="Arial"/>
      <family val="2"/>
    </font>
    <font>
      <b/>
      <sz val="14"/>
      <color rgb="FFFF0000"/>
      <name val="Arial"/>
      <family val="2"/>
    </font>
    <font>
      <b/>
      <sz val="12"/>
      <color rgb="FFFF0000"/>
      <name val="Arial"/>
      <family val="2"/>
    </font>
    <font>
      <b/>
      <sz val="14"/>
      <color indexed="8"/>
      <name val="Arial"/>
      <family val="2"/>
    </font>
    <font>
      <b/>
      <sz val="14"/>
      <color indexed="8"/>
      <name val="微软雅黑"/>
      <family val="2"/>
      <charset val="134"/>
    </font>
    <font>
      <b/>
      <sz val="11"/>
      <color rgb="FF000000"/>
      <name val="Arial"/>
      <family val="2"/>
    </font>
    <font>
      <sz val="11"/>
      <color rgb="FF000000"/>
      <name val="Arial"/>
      <family val="2"/>
    </font>
    <font>
      <b/>
      <sz val="10"/>
      <name val="微软雅黑"/>
      <family val="2"/>
    </font>
    <font>
      <sz val="10"/>
      <name val="Arial"/>
      <family val="2"/>
      <charset val="134"/>
    </font>
    <font>
      <b/>
      <u/>
      <sz val="10"/>
      <color theme="4" tint="-0.249977111117893"/>
      <name val="Arial"/>
      <family val="2"/>
    </font>
    <font>
      <b/>
      <u/>
      <sz val="10"/>
      <color theme="4" tint="-0.249977111117893"/>
      <name val="微软雅黑"/>
      <family val="2"/>
      <charset val="134"/>
    </font>
    <font>
      <u/>
      <sz val="10"/>
      <color rgb="FFFF0000"/>
      <name val="Arial"/>
      <family val="2"/>
    </font>
    <font>
      <u/>
      <sz val="10"/>
      <color rgb="FFFF0000"/>
      <name val="微软雅黑"/>
      <family val="2"/>
      <charset val="134"/>
    </font>
    <font>
      <b/>
      <sz val="10"/>
      <color rgb="FF000000"/>
      <name val="Arial"/>
      <family val="2"/>
      <charset val="134"/>
    </font>
    <font>
      <b/>
      <sz val="11"/>
      <color theme="1"/>
      <name val="Arial"/>
      <family val="2"/>
    </font>
    <font>
      <sz val="10"/>
      <color rgb="FF0000FF"/>
      <name val="Arial"/>
      <family val="2"/>
    </font>
    <font>
      <u/>
      <sz val="10"/>
      <color theme="4" tint="-0.249977111117893"/>
      <name val="Arial"/>
      <family val="2"/>
    </font>
    <font>
      <b/>
      <sz val="16"/>
      <color rgb="FFFF0000"/>
      <name val="Arial"/>
      <family val="2"/>
    </font>
    <font>
      <b/>
      <sz val="12"/>
      <name val="宋体"/>
      <family val="2"/>
      <charset val="134"/>
    </font>
    <font>
      <b/>
      <sz val="10"/>
      <name val="宋体"/>
      <family val="2"/>
      <charset val="134"/>
    </font>
    <font>
      <sz val="10"/>
      <color theme="1"/>
      <name val="宋体"/>
      <family val="2"/>
      <charset val="134"/>
    </font>
    <font>
      <sz val="10"/>
      <color rgb="FF000000"/>
      <name val="宋体"/>
      <family val="2"/>
      <charset val="134"/>
    </font>
    <font>
      <sz val="10"/>
      <color rgb="FF000000"/>
      <name val="Arial"/>
      <family val="2"/>
      <charset val="134"/>
    </font>
  </fonts>
  <fills count="62">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7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1"/>
        <bgColor indexed="64"/>
      </patternFill>
    </fill>
    <fill>
      <patternFill patternType="solid">
        <fgColor theme="9" tint="0.79931028168584251"/>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tint="-0.34998626667073579"/>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71">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style="thin">
        <color rgb="FF000000"/>
      </left>
      <right/>
      <top/>
      <bottom style="thin">
        <color auto="1"/>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761">
    <xf numFmtId="0" fontId="0" fillId="0" borderId="0"/>
    <xf numFmtId="181" fontId="11" fillId="0" borderId="0" applyFont="0" applyFill="0" applyBorder="0" applyAlignment="0" applyProtection="0"/>
    <xf numFmtId="0" fontId="22" fillId="4" borderId="0" applyNumberFormat="0" applyBorder="0" applyAlignment="0" applyProtection="0">
      <alignment vertical="center"/>
    </xf>
    <xf numFmtId="0" fontId="23" fillId="5" borderId="0" applyNumberFormat="0" applyBorder="0" applyProtection="0"/>
    <xf numFmtId="0" fontId="17" fillId="6" borderId="13" applyNumberFormat="0" applyProtection="0">
      <alignment horizontal="left" vertical="center" indent="1"/>
    </xf>
    <xf numFmtId="0" fontId="24" fillId="0" borderId="0"/>
    <xf numFmtId="0" fontId="25" fillId="7" borderId="0" applyNumberFormat="0" applyBorder="0" applyAlignment="0" applyProtection="0"/>
    <xf numFmtId="0" fontId="77" fillId="0" borderId="0"/>
    <xf numFmtId="180" fontId="26" fillId="0" borderId="0" applyFont="0" applyFill="0" applyBorder="0" applyAlignment="0" applyProtection="0"/>
    <xf numFmtId="180" fontId="77" fillId="0" borderId="0" applyFont="0" applyFill="0" applyBorder="0" applyAlignment="0" applyProtection="0"/>
    <xf numFmtId="181" fontId="27" fillId="0" borderId="0" applyFont="0" applyFill="0" applyBorder="0" applyAlignment="0" applyProtection="0"/>
    <xf numFmtId="0" fontId="28" fillId="8" borderId="0" applyNumberFormat="0" applyBorder="0" applyAlignment="0" applyProtection="0"/>
    <xf numFmtId="0" fontId="27" fillId="0" borderId="0"/>
    <xf numFmtId="0" fontId="11" fillId="0" borderId="0"/>
    <xf numFmtId="9" fontId="77" fillId="0" borderId="0" applyFont="0" applyFill="0" applyBorder="0" applyAlignment="0" applyProtection="0"/>
    <xf numFmtId="0" fontId="27" fillId="0" borderId="0">
      <alignment vertical="center"/>
    </xf>
    <xf numFmtId="0" fontId="29" fillId="0" borderId="0">
      <alignment horizontal="left"/>
    </xf>
    <xf numFmtId="180" fontId="11" fillId="0" borderId="0" applyFont="0" applyFill="0" applyBorder="0" applyAlignment="0" applyProtection="0"/>
    <xf numFmtId="0" fontId="30" fillId="9" borderId="0" applyNumberFormat="0" applyBorder="0" applyProtection="0"/>
    <xf numFmtId="9" fontId="77" fillId="0" borderId="0" applyFont="0" applyFill="0" applyBorder="0" applyAlignment="0" applyProtection="0"/>
    <xf numFmtId="187" fontId="27" fillId="0" borderId="0" applyFont="0" applyFill="0" applyBorder="0" applyAlignment="0" applyProtection="0"/>
    <xf numFmtId="181" fontId="11" fillId="0" borderId="0" applyFont="0" applyFill="0" applyBorder="0" applyAlignment="0" applyProtection="0"/>
    <xf numFmtId="0" fontId="23" fillId="10" borderId="0" applyNumberFormat="0" applyBorder="0" applyProtection="0"/>
    <xf numFmtId="0" fontId="32" fillId="11" borderId="0" applyNumberFormat="0" applyBorder="0" applyProtection="0"/>
    <xf numFmtId="0" fontId="77" fillId="0" borderId="0"/>
    <xf numFmtId="180" fontId="77" fillId="0" borderId="0" applyFont="0" applyFill="0" applyBorder="0" applyAlignment="0" applyProtection="0"/>
    <xf numFmtId="0" fontId="17" fillId="9" borderId="13" applyNumberFormat="0" applyProtection="0">
      <alignment horizontal="right" vertical="center"/>
    </xf>
    <xf numFmtId="0" fontId="22" fillId="12" borderId="0" applyNumberFormat="0" applyBorder="0" applyAlignment="0" applyProtection="0">
      <alignment vertical="center"/>
    </xf>
    <xf numFmtId="188" fontId="33" fillId="0" borderId="0" applyFont="0" applyFill="0" applyBorder="0" applyAlignment="0" applyProtection="0"/>
    <xf numFmtId="181" fontId="27" fillId="0" borderId="0" applyFont="0" applyFill="0" applyBorder="0" applyAlignment="0" applyProtection="0"/>
    <xf numFmtId="0" fontId="34" fillId="0" borderId="0" applyNumberFormat="0" applyFill="0" applyBorder="0" applyAlignment="0" applyProtection="0"/>
    <xf numFmtId="0" fontId="35" fillId="0" borderId="0"/>
    <xf numFmtId="0" fontId="17" fillId="14" borderId="13" applyNumberFormat="0" applyProtection="0">
      <alignment horizontal="left" vertical="center" indent="1"/>
    </xf>
    <xf numFmtId="0" fontId="18" fillId="13" borderId="13" applyNumberFormat="0" applyProtection="0">
      <alignment horizontal="left" vertical="center" indent="1"/>
    </xf>
    <xf numFmtId="0" fontId="36" fillId="0" borderId="0" applyNumberFormat="0" applyFill="0" applyBorder="0">
      <protection locked="0"/>
    </xf>
    <xf numFmtId="0" fontId="34" fillId="0" borderId="0" applyNumberFormat="0" applyFill="0" applyBorder="0" applyAlignment="0" applyProtection="0"/>
    <xf numFmtId="0" fontId="11" fillId="16" borderId="13" applyNumberFormat="0" applyProtection="0">
      <alignment horizontal="left" vertical="top" indent="1"/>
    </xf>
    <xf numFmtId="181" fontId="27" fillId="0" borderId="0" applyFont="0" applyFill="0" applyBorder="0" applyAlignment="0" applyProtection="0"/>
    <xf numFmtId="176" fontId="37" fillId="0" borderId="0" applyFont="0" applyFill="0" applyBorder="0" applyAlignment="0" applyProtection="0"/>
    <xf numFmtId="0" fontId="25" fillId="18" borderId="0" applyNumberFormat="0" applyBorder="0" applyAlignment="0" applyProtection="0"/>
    <xf numFmtId="0" fontId="38" fillId="10" borderId="0" applyNumberFormat="0" applyBorder="0" applyProtection="0"/>
    <xf numFmtId="10" fontId="33" fillId="0" borderId="0" applyFont="0" applyFill="0" applyBorder="0" applyAlignment="0" applyProtection="0"/>
    <xf numFmtId="181" fontId="77" fillId="0" borderId="0" applyFont="0" applyFill="0" applyBorder="0" applyAlignment="0" applyProtection="0"/>
    <xf numFmtId="193" fontId="27" fillId="0" borderId="0" applyFont="0" applyFill="0" applyBorder="0" applyAlignment="0" applyProtection="0"/>
    <xf numFmtId="0" fontId="28" fillId="19" borderId="0" applyNumberFormat="0" applyBorder="0" applyAlignment="0" applyProtection="0"/>
    <xf numFmtId="0" fontId="77" fillId="0" borderId="0"/>
    <xf numFmtId="181" fontId="77" fillId="0" borderId="0" applyFont="0" applyFill="0" applyBorder="0" applyAlignment="0" applyProtection="0"/>
    <xf numFmtId="0" fontId="28" fillId="20" borderId="0" applyNumberFormat="0" applyBorder="0" applyAlignment="0" applyProtection="0"/>
    <xf numFmtId="0" fontId="25" fillId="18" borderId="0" applyNumberFormat="0" applyBorder="0" applyAlignment="0" applyProtection="0"/>
    <xf numFmtId="0" fontId="28" fillId="21" borderId="0" applyNumberFormat="0" applyBorder="0" applyAlignment="0" applyProtection="0"/>
    <xf numFmtId="0" fontId="39" fillId="0" borderId="0"/>
    <xf numFmtId="0" fontId="25" fillId="6" borderId="0" applyNumberFormat="0" applyBorder="0" applyAlignment="0" applyProtection="0"/>
    <xf numFmtId="0" fontId="40" fillId="0" borderId="0" applyFont="0" applyFill="0" applyBorder="0" applyAlignment="0" applyProtection="0"/>
    <xf numFmtId="190" fontId="41" fillId="0" borderId="0"/>
    <xf numFmtId="0" fontId="22" fillId="22" borderId="0" applyNumberFormat="0" applyBorder="0" applyAlignment="0" applyProtection="0">
      <alignment vertical="center"/>
    </xf>
    <xf numFmtId="0" fontId="23" fillId="5" borderId="0" applyNumberFormat="0" applyBorder="0" applyProtection="0"/>
    <xf numFmtId="0" fontId="23" fillId="5" borderId="0" applyNumberFormat="0" applyBorder="0" applyProtection="0"/>
    <xf numFmtId="0" fontId="28" fillId="8" borderId="0" applyNumberFormat="0" applyBorder="0" applyAlignment="0" applyProtection="0"/>
    <xf numFmtId="192" fontId="11" fillId="0" borderId="0"/>
    <xf numFmtId="0" fontId="25" fillId="6" borderId="0" applyNumberFormat="0" applyBorder="0" applyAlignment="0" applyProtection="0"/>
    <xf numFmtId="0" fontId="77" fillId="0" borderId="0"/>
    <xf numFmtId="0" fontId="25" fillId="5" borderId="0" applyNumberFormat="0" applyBorder="0" applyAlignment="0" applyProtection="0"/>
    <xf numFmtId="0" fontId="28" fillId="7" borderId="0" applyNumberFormat="0" applyBorder="0" applyAlignment="0" applyProtection="0"/>
    <xf numFmtId="0" fontId="23" fillId="5" borderId="0" applyNumberFormat="0" applyBorder="0" applyProtection="0"/>
    <xf numFmtId="0" fontId="28" fillId="20" borderId="0" applyNumberFormat="0" applyBorder="0" applyAlignment="0" applyProtection="0"/>
    <xf numFmtId="0" fontId="25" fillId="18" borderId="0" applyNumberFormat="0" applyBorder="0" applyAlignment="0" applyProtection="0"/>
    <xf numFmtId="0" fontId="32" fillId="11" borderId="0" applyNumberFormat="0" applyBorder="0" applyProtection="0"/>
    <xf numFmtId="0" fontId="17" fillId="23" borderId="13" applyNumberFormat="0" applyProtection="0">
      <alignment horizontal="right" vertical="center"/>
    </xf>
    <xf numFmtId="0" fontId="25" fillId="7" borderId="0" applyNumberFormat="0" applyBorder="0" applyAlignment="0" applyProtection="0"/>
    <xf numFmtId="0" fontId="77" fillId="0" borderId="0"/>
    <xf numFmtId="0" fontId="28" fillId="7" borderId="0" applyNumberFormat="0" applyBorder="0" applyAlignment="0" applyProtection="0"/>
    <xf numFmtId="180" fontId="77" fillId="0" borderId="0" applyFont="0" applyFill="0" applyBorder="0" applyAlignment="0" applyProtection="0"/>
    <xf numFmtId="0" fontId="22" fillId="24" borderId="0" applyNumberFormat="0" applyBorder="0" applyAlignment="0" applyProtection="0">
      <alignment vertical="center"/>
    </xf>
    <xf numFmtId="0" fontId="11" fillId="21" borderId="13" applyNumberFormat="0" applyProtection="0">
      <alignment horizontal="left" vertical="center" indent="1"/>
    </xf>
    <xf numFmtId="0" fontId="28" fillId="25" borderId="0" applyNumberFormat="0" applyBorder="0" applyAlignment="0" applyProtection="0"/>
    <xf numFmtId="0" fontId="25" fillId="26" borderId="0" applyNumberFormat="0" applyBorder="0" applyAlignment="0" applyProtection="0"/>
    <xf numFmtId="181" fontId="41" fillId="0" borderId="0" applyFont="0" applyFill="0" applyBorder="0" applyAlignment="0" applyProtection="0"/>
    <xf numFmtId="0" fontId="25" fillId="18" borderId="0" applyNumberFormat="0" applyBorder="0" applyAlignment="0" applyProtection="0"/>
    <xf numFmtId="0" fontId="28" fillId="21" borderId="0" applyNumberFormat="0" applyBorder="0" applyAlignment="0" applyProtection="0"/>
    <xf numFmtId="0" fontId="22" fillId="27" borderId="0" applyNumberFormat="0" applyBorder="0" applyAlignment="0" applyProtection="0">
      <alignment vertical="center"/>
    </xf>
    <xf numFmtId="0" fontId="28" fillId="28" borderId="0" applyNumberFormat="0" applyBorder="0" applyAlignment="0" applyProtection="0"/>
    <xf numFmtId="0" fontId="18" fillId="29" borderId="14" applyNumberFormat="0" applyProtection="0">
      <alignment horizontal="left" vertical="center" indent="1"/>
    </xf>
    <xf numFmtId="0" fontId="17" fillId="11" borderId="13" applyNumberFormat="0" applyProtection="0">
      <alignment horizontal="right" vertical="center"/>
    </xf>
    <xf numFmtId="0" fontId="25" fillId="6" borderId="0" applyNumberFormat="0" applyBorder="0" applyAlignment="0" applyProtection="0"/>
    <xf numFmtId="0" fontId="26" fillId="0" borderId="0"/>
    <xf numFmtId="0" fontId="17" fillId="23" borderId="13" applyNumberFormat="0" applyProtection="0">
      <alignment horizontal="right" vertical="center"/>
    </xf>
    <xf numFmtId="0" fontId="25" fillId="17" borderId="0" applyNumberFormat="0" applyBorder="0" applyAlignment="0" applyProtection="0"/>
    <xf numFmtId="0" fontId="17" fillId="16" borderId="13" applyNumberFormat="0" applyProtection="0">
      <alignment horizontal="right" vertical="center"/>
    </xf>
    <xf numFmtId="0" fontId="18" fillId="13" borderId="13" applyNumberFormat="0" applyProtection="0">
      <alignment vertical="center"/>
    </xf>
    <xf numFmtId="0" fontId="28" fillId="17" borderId="0" applyNumberFormat="0" applyBorder="0" applyAlignment="0" applyProtection="0"/>
    <xf numFmtId="0" fontId="17" fillId="30" borderId="13" applyNumberFormat="0" applyProtection="0">
      <alignment horizontal="right" vertical="center"/>
    </xf>
    <xf numFmtId="0" fontId="22" fillId="31" borderId="0" applyNumberFormat="0" applyBorder="0" applyAlignment="0" applyProtection="0">
      <alignment vertical="center"/>
    </xf>
    <xf numFmtId="0" fontId="11" fillId="0" borderId="0"/>
    <xf numFmtId="179" fontId="17" fillId="0" borderId="0" applyFill="0" applyBorder="0" applyAlignment="0"/>
    <xf numFmtId="192" fontId="11" fillId="0" borderId="0"/>
    <xf numFmtId="0" fontId="42" fillId="0" borderId="0"/>
    <xf numFmtId="0" fontId="43" fillId="32" borderId="15" applyNumberFormat="0" applyAlignment="0" applyProtection="0"/>
    <xf numFmtId="180" fontId="27" fillId="0" borderId="0" applyFont="0" applyFill="0" applyBorder="0" applyAlignment="0" applyProtection="0"/>
    <xf numFmtId="0" fontId="44" fillId="0" borderId="1" applyNumberFormat="0" applyFill="0" applyProtection="0">
      <alignment horizontal="center"/>
    </xf>
    <xf numFmtId="0" fontId="30" fillId="9" borderId="0" applyNumberFormat="0" applyBorder="0" applyProtection="0"/>
    <xf numFmtId="0" fontId="11" fillId="16" borderId="13" applyNumberFormat="0" applyProtection="0">
      <alignment horizontal="left" vertical="center" indent="1"/>
    </xf>
    <xf numFmtId="192" fontId="11" fillId="0" borderId="0"/>
    <xf numFmtId="192" fontId="11" fillId="0" borderId="0"/>
    <xf numFmtId="0" fontId="77" fillId="0" borderId="0"/>
    <xf numFmtId="180" fontId="77" fillId="0" borderId="0" applyFont="0" applyFill="0" applyBorder="0" applyAlignment="0" applyProtection="0"/>
    <xf numFmtId="192" fontId="11" fillId="0" borderId="0"/>
    <xf numFmtId="0" fontId="77" fillId="0" borderId="0"/>
    <xf numFmtId="192" fontId="11" fillId="0" borderId="0"/>
    <xf numFmtId="192" fontId="11" fillId="0" borderId="0"/>
    <xf numFmtId="196" fontId="11" fillId="0" borderId="0" applyFont="0" applyFill="0" applyBorder="0" applyAlignment="0" applyProtection="0"/>
    <xf numFmtId="192" fontId="11" fillId="0" borderId="0"/>
    <xf numFmtId="0" fontId="45" fillId="33" borderId="0" applyNumberFormat="0" applyBorder="0" applyProtection="0"/>
    <xf numFmtId="181" fontId="77" fillId="0" borderId="0" applyFont="0" applyFill="0" applyBorder="0" applyAlignment="0" applyProtection="0"/>
    <xf numFmtId="0" fontId="38" fillId="10" borderId="0" applyNumberFormat="0" applyBorder="0" applyProtection="0"/>
    <xf numFmtId="181" fontId="46" fillId="0" borderId="0" applyFont="0" applyFill="0" applyBorder="0" applyAlignment="0" applyProtection="0"/>
    <xf numFmtId="181" fontId="77" fillId="0" borderId="0" applyFont="0" applyFill="0" applyBorder="0" applyAlignment="0" applyProtection="0"/>
    <xf numFmtId="0" fontId="26" fillId="0" borderId="0"/>
    <xf numFmtId="181" fontId="77" fillId="0" borderId="0" applyFont="0" applyFill="0" applyBorder="0" applyAlignment="0" applyProtection="0"/>
    <xf numFmtId="181" fontId="77" fillId="0" borderId="0" applyFont="0" applyFill="0" applyBorder="0" applyAlignment="0" applyProtection="0"/>
    <xf numFmtId="0" fontId="38" fillId="10" borderId="0" applyNumberFormat="0" applyBorder="0" applyProtection="0"/>
    <xf numFmtId="0" fontId="77" fillId="0" borderId="0"/>
    <xf numFmtId="181" fontId="77" fillId="0" borderId="0" applyFont="0" applyFill="0" applyBorder="0" applyAlignment="0" applyProtection="0"/>
    <xf numFmtId="0" fontId="77" fillId="0" borderId="0"/>
    <xf numFmtId="181" fontId="77" fillId="0" borderId="0" applyFont="0" applyFill="0" applyBorder="0" applyAlignment="0" applyProtection="0"/>
    <xf numFmtId="181" fontId="77" fillId="0" borderId="0" applyFont="0" applyFill="0" applyBorder="0" applyAlignment="0" applyProtection="0"/>
    <xf numFmtId="181" fontId="46" fillId="0" borderId="0" applyFont="0" applyFill="0" applyBorder="0" applyAlignment="0" applyProtection="0"/>
    <xf numFmtId="0" fontId="47" fillId="34" borderId="0" applyNumberFormat="0" applyBorder="0" applyAlignment="0" applyProtection="0"/>
    <xf numFmtId="0" fontId="38" fillId="10" borderId="0" applyNumberFormat="0" applyBorder="0" applyProtection="0"/>
    <xf numFmtId="181" fontId="46" fillId="0" borderId="0" applyFont="0" applyFill="0" applyBorder="0" applyAlignment="0" applyProtection="0"/>
    <xf numFmtId="181" fontId="46" fillId="0" borderId="0" applyFont="0" applyFill="0" applyBorder="0" applyAlignment="0" applyProtection="0"/>
    <xf numFmtId="181"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1" fontId="77" fillId="0" borderId="0" applyFont="0" applyFill="0" applyBorder="0" applyAlignment="0" applyProtection="0"/>
    <xf numFmtId="181" fontId="77" fillId="0" borderId="0" applyFont="0" applyFill="0" applyBorder="0" applyAlignment="0" applyProtection="0"/>
    <xf numFmtId="0" fontId="23" fillId="5" borderId="0" applyNumberFormat="0" applyBorder="0" applyProtection="0"/>
    <xf numFmtId="0" fontId="16" fillId="0" borderId="0" applyNumberFormat="0" applyFill="0" applyBorder="0" applyAlignment="0" applyProtection="0"/>
    <xf numFmtId="0" fontId="32" fillId="11" borderId="0" applyNumberFormat="0" applyBorder="0" applyProtection="0"/>
    <xf numFmtId="181" fontId="27" fillId="0" borderId="0" applyFont="0" applyFill="0" applyBorder="0" applyAlignment="0" applyProtection="0"/>
    <xf numFmtId="38" fontId="48" fillId="0" borderId="0" applyFont="0" applyFill="0" applyBorder="0" applyAlignment="0" applyProtection="0"/>
    <xf numFmtId="0" fontId="49" fillId="0" borderId="0" applyNumberFormat="0" applyFill="0" applyBorder="0">
      <protection locked="0"/>
    </xf>
    <xf numFmtId="181" fontId="27" fillId="0" borderId="0" applyFont="0" applyFill="0" applyBorder="0" applyAlignment="0" applyProtection="0"/>
    <xf numFmtId="0" fontId="16" fillId="0" borderId="0" applyNumberFormat="0" applyFill="0" applyBorder="0" applyAlignment="0" applyProtection="0"/>
    <xf numFmtId="181" fontId="27" fillId="0" borderId="0" applyFont="0" applyFill="0" applyBorder="0" applyAlignment="0" applyProtection="0"/>
    <xf numFmtId="0" fontId="16" fillId="0" borderId="0" applyNumberFormat="0" applyFill="0" applyBorder="0" applyAlignment="0" applyProtection="0"/>
    <xf numFmtId="181" fontId="27" fillId="0" borderId="0" applyFont="0" applyFill="0" applyBorder="0" applyAlignment="0" applyProtection="0"/>
    <xf numFmtId="0" fontId="49" fillId="0" borderId="0" applyNumberFormat="0" applyFill="0" applyBorder="0">
      <protection locked="0"/>
    </xf>
    <xf numFmtId="181" fontId="2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26" fillId="0" borderId="0" applyFont="0" applyFill="0" applyBorder="0" applyAlignment="0" applyProtection="0"/>
    <xf numFmtId="180" fontId="77"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0" fontId="23" fillId="5" borderId="0" applyNumberFormat="0" applyBorder="0" applyProtection="0"/>
    <xf numFmtId="0" fontId="50" fillId="0" borderId="0" applyNumberFormat="0" applyFill="0" applyBorder="0" applyProtection="0"/>
    <xf numFmtId="180" fontId="77" fillId="0" borderId="0" applyFont="0" applyFill="0" applyBorder="0" applyAlignment="0" applyProtection="0"/>
    <xf numFmtId="180" fontId="77" fillId="0" borderId="0" applyFont="0" applyFill="0" applyBorder="0" applyAlignment="0" applyProtection="0"/>
    <xf numFmtId="0" fontId="38" fillId="10" borderId="0" applyNumberFormat="0" applyBorder="0" applyProtection="0"/>
    <xf numFmtId="180" fontId="77"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0" fontId="32" fillId="11" borderId="0" applyNumberFormat="0" applyBorder="0" applyProtection="0"/>
    <xf numFmtId="180" fontId="27" fillId="0" borderId="0" applyFont="0" applyFill="0" applyBorder="0" applyAlignment="0" applyProtection="0"/>
    <xf numFmtId="180" fontId="27" fillId="0" borderId="0" applyFont="0" applyFill="0" applyBorder="0" applyAlignment="0" applyProtection="0"/>
    <xf numFmtId="199" fontId="51"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0" fontId="52" fillId="10" borderId="0" applyNumberFormat="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0" fontId="30" fillId="9" borderId="0" applyNumberFormat="0" applyBorder="0" applyProtection="0"/>
    <xf numFmtId="180" fontId="77" fillId="0" borderId="0" applyFont="0" applyFill="0" applyBorder="0" applyAlignment="0" applyProtection="0"/>
    <xf numFmtId="37" fontId="33" fillId="0" borderId="0" applyFont="0" applyFill="0" applyBorder="0" applyAlignment="0" applyProtection="0"/>
    <xf numFmtId="0" fontId="30" fillId="9" borderId="0" applyNumberFormat="0" applyBorder="0" applyProtection="0"/>
    <xf numFmtId="198" fontId="33" fillId="0" borderId="0" applyFont="0" applyFill="0" applyBorder="0" applyAlignment="0" applyProtection="0"/>
    <xf numFmtId="0" fontId="41" fillId="0" borderId="0"/>
    <xf numFmtId="39" fontId="33" fillId="0" borderId="0" applyFont="0" applyFill="0" applyBorder="0" applyAlignment="0" applyProtection="0"/>
    <xf numFmtId="197" fontId="33" fillId="0" borderId="0" applyFont="0" applyFill="0" applyBorder="0" applyAlignment="0" applyProtection="0"/>
    <xf numFmtId="201" fontId="33" fillId="0" borderId="0" applyFont="0" applyFill="0" applyBorder="0" applyAlignment="0" applyProtection="0"/>
    <xf numFmtId="202" fontId="41" fillId="0" borderId="0"/>
    <xf numFmtId="0" fontId="53" fillId="0" borderId="0">
      <alignment vertical="center"/>
    </xf>
    <xf numFmtId="191" fontId="41" fillId="0" borderId="0"/>
    <xf numFmtId="0" fontId="54" fillId="35" borderId="9"/>
    <xf numFmtId="185" fontId="26" fillId="0" borderId="0" applyFont="0" applyFill="0" applyBorder="0" applyAlignment="0" applyProtection="0"/>
    <xf numFmtId="185" fontId="26" fillId="0" borderId="0" applyFont="0" applyFill="0" applyBorder="0" applyAlignment="0" applyProtection="0"/>
    <xf numFmtId="0" fontId="54" fillId="7" borderId="0" applyNumberFormat="0" applyBorder="0" applyAlignment="0" applyProtection="0"/>
    <xf numFmtId="180" fontId="41" fillId="0" borderId="0" applyFont="0" applyFill="0" applyBorder="0" applyAlignment="0" applyProtection="0"/>
    <xf numFmtId="0" fontId="55" fillId="0" borderId="0">
      <alignment horizontal="left"/>
    </xf>
    <xf numFmtId="0" fontId="32" fillId="11" borderId="0" applyNumberFormat="0" applyBorder="0" applyProtection="0"/>
    <xf numFmtId="0" fontId="56" fillId="0" borderId="5" applyNumberFormat="0" applyProtection="0"/>
    <xf numFmtId="0" fontId="26" fillId="0" borderId="0"/>
    <xf numFmtId="0" fontId="56" fillId="0" borderId="11">
      <alignment horizontal="left" vertical="center"/>
    </xf>
    <xf numFmtId="180" fontId="27" fillId="0" borderId="0" applyFont="0" applyFill="0" applyBorder="0" applyAlignment="0" applyProtection="0"/>
    <xf numFmtId="0" fontId="54" fillId="6" borderId="9" applyNumberFormat="0" applyBorder="0" applyAlignment="0" applyProtection="0"/>
    <xf numFmtId="0" fontId="57" fillId="0" borderId="6"/>
    <xf numFmtId="183" fontId="11" fillId="0" borderId="0" applyFont="0" applyFill="0" applyBorder="0" applyAlignment="0" applyProtection="0"/>
    <xf numFmtId="0" fontId="57" fillId="0" borderId="6"/>
    <xf numFmtId="188" fontId="27" fillId="0" borderId="0"/>
    <xf numFmtId="0" fontId="38" fillId="10" borderId="0" applyNumberFormat="0" applyBorder="0" applyProtection="0"/>
    <xf numFmtId="0" fontId="11" fillId="0" borderId="0"/>
    <xf numFmtId="0" fontId="77" fillId="0" borderId="0"/>
    <xf numFmtId="0" fontId="77" fillId="0" borderId="0"/>
    <xf numFmtId="0" fontId="77" fillId="0" borderId="0"/>
    <xf numFmtId="0" fontId="23" fillId="5" borderId="0" applyNumberFormat="0" applyBorder="0" applyProtection="0"/>
    <xf numFmtId="0" fontId="17" fillId="28" borderId="13" applyNumberFormat="0" applyProtection="0">
      <alignment horizontal="right" vertical="center"/>
    </xf>
    <xf numFmtId="0" fontId="77" fillId="0" borderId="0"/>
    <xf numFmtId="0" fontId="17" fillId="28" borderId="13" applyNumberFormat="0" applyProtection="0">
      <alignment horizontal="right" vertical="center"/>
    </xf>
    <xf numFmtId="0" fontId="77" fillId="0" borderId="0"/>
    <xf numFmtId="0" fontId="77" fillId="0" borderId="0"/>
    <xf numFmtId="0" fontId="77" fillId="0" borderId="0"/>
    <xf numFmtId="0" fontId="77" fillId="0" borderId="0"/>
    <xf numFmtId="0" fontId="77" fillId="0" borderId="0"/>
    <xf numFmtId="0" fontId="17" fillId="14" borderId="13" applyNumberFormat="0" applyProtection="0">
      <alignment horizontal="left" vertical="top" indent="1"/>
    </xf>
    <xf numFmtId="0" fontId="18" fillId="13" borderId="13" applyNumberFormat="0" applyProtection="0">
      <alignment horizontal="left" vertical="top" indent="1"/>
    </xf>
    <xf numFmtId="0" fontId="39" fillId="0" borderId="0"/>
    <xf numFmtId="4" fontId="58" fillId="0" borderId="0">
      <alignment horizontal="right"/>
    </xf>
    <xf numFmtId="0" fontId="11" fillId="0" borderId="0"/>
    <xf numFmtId="180" fontId="27" fillId="0" borderId="0" applyFont="0" applyFill="0" applyBorder="0" applyAlignment="0" applyProtection="0"/>
    <xf numFmtId="0" fontId="53" fillId="0" borderId="0">
      <alignment vertical="center"/>
    </xf>
    <xf numFmtId="0" fontId="59" fillId="0" borderId="0"/>
    <xf numFmtId="0" fontId="77" fillId="0" borderId="0"/>
    <xf numFmtId="0" fontId="77" fillId="0" borderId="0"/>
    <xf numFmtId="180" fontId="27" fillId="0" borderId="0" applyFont="0" applyFill="0" applyBorder="0" applyAlignment="0" applyProtection="0"/>
    <xf numFmtId="0" fontId="77" fillId="0" borderId="0"/>
    <xf numFmtId="180" fontId="27" fillId="0" borderId="0" applyFont="0" applyFill="0" applyBorder="0" applyAlignment="0" applyProtection="0"/>
    <xf numFmtId="0" fontId="77" fillId="0" borderId="0"/>
    <xf numFmtId="0" fontId="7" fillId="0" borderId="0"/>
    <xf numFmtId="0" fontId="77" fillId="0" borderId="0"/>
    <xf numFmtId="0" fontId="77" fillId="0" borderId="0" applyAlignment="0"/>
    <xf numFmtId="0" fontId="60" fillId="0" borderId="0"/>
    <xf numFmtId="0" fontId="61" fillId="0" borderId="0"/>
    <xf numFmtId="0" fontId="23" fillId="10" borderId="0" applyNumberFormat="0" applyBorder="0" applyProtection="0"/>
    <xf numFmtId="0" fontId="32" fillId="11" borderId="0" applyNumberFormat="0" applyBorder="0" applyProtection="0"/>
    <xf numFmtId="0" fontId="26" fillId="0" borderId="0"/>
    <xf numFmtId="0" fontId="26" fillId="0" borderId="0"/>
    <xf numFmtId="180" fontId="77" fillId="0" borderId="0" applyFont="0" applyFill="0" applyBorder="0" applyAlignment="0" applyProtection="0"/>
    <xf numFmtId="0" fontId="11" fillId="0" borderId="0"/>
    <xf numFmtId="0" fontId="26" fillId="0" borderId="0"/>
    <xf numFmtId="0" fontId="39" fillId="0" borderId="0"/>
    <xf numFmtId="0" fontId="14" fillId="0" borderId="0"/>
    <xf numFmtId="0" fontId="26" fillId="0" borderId="0"/>
    <xf numFmtId="0" fontId="39" fillId="0" borderId="0"/>
    <xf numFmtId="10" fontId="11" fillId="0" borderId="0" applyFont="0" applyFill="0" applyBorder="0" applyAlignment="0" applyProtection="0"/>
    <xf numFmtId="0" fontId="37" fillId="0" borderId="0"/>
    <xf numFmtId="0" fontId="54" fillId="7" borderId="9"/>
    <xf numFmtId="9" fontId="77" fillId="0" borderId="0" applyFont="0" applyFill="0" applyBorder="0" applyAlignment="0" applyProtection="0"/>
    <xf numFmtId="4" fontId="29" fillId="0" borderId="0">
      <alignment horizontal="right"/>
    </xf>
    <xf numFmtId="182" fontId="11" fillId="0" borderId="0" applyFont="0" applyFill="0" applyBorder="0" applyAlignment="0" applyProtection="0"/>
    <xf numFmtId="4" fontId="62" fillId="0" borderId="0">
      <alignment horizontal="right"/>
    </xf>
    <xf numFmtId="181" fontId="41" fillId="0" borderId="0" applyFont="0" applyFill="0" applyBorder="0" applyAlignment="0" applyProtection="0"/>
    <xf numFmtId="0" fontId="17" fillId="16" borderId="13" applyNumberFormat="0" applyProtection="0">
      <alignment horizontal="right" vertical="center"/>
    </xf>
    <xf numFmtId="0" fontId="17" fillId="15" borderId="13" applyNumberFormat="0" applyProtection="0">
      <alignment horizontal="right" vertical="center"/>
    </xf>
    <xf numFmtId="0" fontId="18" fillId="13" borderId="13" applyNumberFormat="0" applyProtection="0">
      <alignment vertical="center"/>
    </xf>
    <xf numFmtId="0" fontId="63" fillId="16" borderId="13" applyNumberFormat="0" applyProtection="0">
      <alignment horizontal="right" vertical="center"/>
    </xf>
    <xf numFmtId="0" fontId="64" fillId="13" borderId="13" applyNumberFormat="0" applyProtection="0">
      <alignment vertical="center"/>
    </xf>
    <xf numFmtId="0" fontId="38" fillId="10" borderId="0" applyNumberFormat="0" applyBorder="0" applyProtection="0"/>
    <xf numFmtId="0" fontId="63" fillId="16" borderId="13" applyNumberFormat="0" applyProtection="0">
      <alignment horizontal="right" vertical="center"/>
    </xf>
    <xf numFmtId="0" fontId="64" fillId="13" borderId="13" applyNumberFormat="0" applyProtection="0">
      <alignment vertical="center"/>
    </xf>
    <xf numFmtId="0" fontId="17" fillId="14" borderId="13" applyNumberFormat="0" applyProtection="0">
      <alignment horizontal="left" vertical="center" indent="1"/>
    </xf>
    <xf numFmtId="0" fontId="18" fillId="13" borderId="13" applyNumberFormat="0" applyProtection="0">
      <alignment horizontal="left" vertical="center" indent="1"/>
    </xf>
    <xf numFmtId="0" fontId="17" fillId="14" borderId="13" applyNumberFormat="0" applyProtection="0">
      <alignment horizontal="left" vertical="top" indent="1"/>
    </xf>
    <xf numFmtId="0" fontId="18" fillId="13" borderId="13" applyNumberFormat="0" applyProtection="0">
      <alignment horizontal="left" vertical="top" indent="1"/>
    </xf>
    <xf numFmtId="0" fontId="18" fillId="14" borderId="0" applyNumberFormat="0" applyProtection="0">
      <alignment horizontal="left" vertical="center" indent="1"/>
    </xf>
    <xf numFmtId="0" fontId="17" fillId="9" borderId="13" applyNumberFormat="0" applyProtection="0">
      <alignment horizontal="right" vertical="center"/>
    </xf>
    <xf numFmtId="0" fontId="26" fillId="0" borderId="0"/>
    <xf numFmtId="0" fontId="17" fillId="15" borderId="13" applyNumberFormat="0" applyProtection="0">
      <alignment horizontal="right" vertical="center"/>
    </xf>
    <xf numFmtId="0" fontId="38" fillId="10" borderId="0" applyNumberFormat="0" applyBorder="0" applyProtection="0"/>
    <xf numFmtId="0" fontId="17" fillId="30" borderId="13" applyNumberFormat="0" applyProtection="0">
      <alignment horizontal="right" vertical="center"/>
    </xf>
    <xf numFmtId="0" fontId="17" fillId="6" borderId="13" applyNumberFormat="0" applyProtection="0">
      <alignment horizontal="left" vertical="center" indent="1"/>
    </xf>
    <xf numFmtId="0" fontId="17" fillId="11"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9" fontId="27" fillId="0" borderId="0" applyFont="0" applyFill="0" applyBorder="0" applyAlignment="0" applyProtection="0"/>
    <xf numFmtId="0" fontId="17" fillId="37" borderId="13" applyNumberFormat="0" applyProtection="0">
      <alignment horizontal="right" vertical="center"/>
    </xf>
    <xf numFmtId="0" fontId="17" fillId="37" borderId="13" applyNumberFormat="0" applyProtection="0">
      <alignment horizontal="right" vertical="center"/>
    </xf>
    <xf numFmtId="9" fontId="26" fillId="0" borderId="0" applyFont="0" applyFill="0" applyBorder="0" applyProtection="0"/>
    <xf numFmtId="0" fontId="17" fillId="38" borderId="13" applyNumberFormat="0" applyProtection="0">
      <alignment horizontal="right" vertical="center"/>
    </xf>
    <xf numFmtId="9" fontId="26" fillId="0" borderId="0" applyFont="0" applyFill="0" applyBorder="0" applyProtection="0"/>
    <xf numFmtId="0" fontId="17" fillId="38" borderId="13" applyNumberFormat="0" applyProtection="0">
      <alignment horizontal="right" vertical="center"/>
    </xf>
    <xf numFmtId="0" fontId="18" fillId="29" borderId="14" applyNumberFormat="0" applyProtection="0">
      <alignment horizontal="left" vertical="center" indent="1"/>
    </xf>
    <xf numFmtId="0" fontId="17" fillId="16" borderId="0" applyNumberFormat="0" applyProtection="0">
      <alignment horizontal="left" vertical="center" indent="1"/>
    </xf>
    <xf numFmtId="0" fontId="65" fillId="20" borderId="0" applyNumberFormat="0" applyProtection="0">
      <alignment horizontal="left" vertical="center" indent="1"/>
    </xf>
    <xf numFmtId="0" fontId="66" fillId="0" borderId="0" applyNumberFormat="0" applyFill="0" applyBorder="0" applyAlignment="0" applyProtection="0"/>
    <xf numFmtId="0" fontId="17" fillId="14" borderId="13" applyNumberFormat="0" applyProtection="0">
      <alignment horizontal="right" vertical="center"/>
    </xf>
    <xf numFmtId="0" fontId="17" fillId="14" borderId="13" applyNumberFormat="0" applyProtection="0">
      <alignment horizontal="right" vertical="center"/>
    </xf>
    <xf numFmtId="0" fontId="26" fillId="0" borderId="0"/>
    <xf numFmtId="0" fontId="17" fillId="16" borderId="0" applyNumberFormat="0" applyProtection="0">
      <alignment horizontal="left" vertical="center" indent="1"/>
    </xf>
    <xf numFmtId="0" fontId="17" fillId="14" borderId="0"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67" fillId="0" borderId="0">
      <alignment horizontal="left"/>
    </xf>
    <xf numFmtId="0" fontId="11" fillId="20" borderId="13" applyNumberFormat="0" applyProtection="0">
      <alignment horizontal="left" vertical="top" indent="1"/>
    </xf>
    <xf numFmtId="180" fontId="77" fillId="0" borderId="0" applyFont="0" applyFill="0" applyBorder="0" applyAlignment="0" applyProtection="0"/>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30" fillId="9" borderId="0" applyNumberFormat="0" applyBorder="0" applyProtection="0"/>
    <xf numFmtId="0" fontId="11" fillId="16" borderId="13" applyNumberFormat="0" applyProtection="0">
      <alignment horizontal="left" vertical="center" indent="1"/>
    </xf>
    <xf numFmtId="0" fontId="11" fillId="16" borderId="13" applyNumberFormat="0" applyProtection="0">
      <alignment horizontal="left" vertical="top" indent="1"/>
    </xf>
    <xf numFmtId="0" fontId="17" fillId="6" borderId="13" applyNumberFormat="0" applyProtection="0">
      <alignment vertical="center"/>
    </xf>
    <xf numFmtId="0" fontId="68" fillId="9" borderId="0" applyNumberFormat="0" applyBorder="0" applyAlignment="0" applyProtection="0"/>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top" indent="1"/>
    </xf>
    <xf numFmtId="0" fontId="17" fillId="6" borderId="13" applyNumberFormat="0" applyProtection="0">
      <alignment horizontal="left" vertical="top" indent="1"/>
    </xf>
    <xf numFmtId="180" fontId="26" fillId="0" borderId="0" applyFont="0" applyFill="0" applyBorder="0" applyAlignment="0" applyProtection="0"/>
    <xf numFmtId="0" fontId="69" fillId="39" borderId="0" applyNumberFormat="0" applyProtection="0">
      <alignment horizontal="left" vertical="center" indent="1"/>
    </xf>
    <xf numFmtId="0" fontId="20" fillId="16" borderId="13" applyNumberFormat="0" applyProtection="0">
      <alignment horizontal="right" vertical="center"/>
    </xf>
    <xf numFmtId="0" fontId="20" fillId="16" borderId="13" applyNumberFormat="0" applyProtection="0">
      <alignment horizontal="right" vertical="center"/>
    </xf>
    <xf numFmtId="4" fontId="70" fillId="0" borderId="0" applyFont="0" applyFill="0" applyBorder="0" applyAlignment="0" applyProtection="0"/>
    <xf numFmtId="180" fontId="54" fillId="0" borderId="16"/>
    <xf numFmtId="180" fontId="54" fillId="0" borderId="16"/>
    <xf numFmtId="0" fontId="36" fillId="0" borderId="0" applyNumberFormat="0" applyFill="0" applyBorder="0">
      <protection locked="0"/>
    </xf>
    <xf numFmtId="180" fontId="54" fillId="0" borderId="16"/>
    <xf numFmtId="180" fontId="54" fillId="0" borderId="16"/>
    <xf numFmtId="0" fontId="31" fillId="35" borderId="0" applyNumberFormat="0" applyBorder="0" applyProtection="0"/>
    <xf numFmtId="0" fontId="57" fillId="0" borderId="0"/>
    <xf numFmtId="0" fontId="27" fillId="0" borderId="0"/>
    <xf numFmtId="0" fontId="71" fillId="0" borderId="0">
      <alignment horizontal="center"/>
    </xf>
    <xf numFmtId="186" fontId="11" fillId="0" borderId="0" applyFont="0" applyFill="0" applyBorder="0" applyAlignment="0" applyProtection="0"/>
    <xf numFmtId="0" fontId="72" fillId="0" borderId="0"/>
    <xf numFmtId="203" fontId="11" fillId="0" borderId="0" applyFont="0" applyFill="0" applyBorder="0" applyAlignment="0" applyProtection="0"/>
    <xf numFmtId="195" fontId="27" fillId="0" borderId="0" applyFont="0" applyFill="0" applyBorder="0" applyAlignment="0" applyProtection="0"/>
    <xf numFmtId="200" fontId="27" fillId="0" borderId="0" applyFont="0" applyFill="0" applyBorder="0" applyAlignment="0" applyProtection="0"/>
    <xf numFmtId="9" fontId="73" fillId="0" borderId="0" applyFont="0" applyFill="0" applyBorder="0" applyAlignment="0" applyProtection="0"/>
    <xf numFmtId="0" fontId="38" fillId="10" borderId="0" applyNumberFormat="0" applyBorder="0" applyProtection="0"/>
    <xf numFmtId="0" fontId="37" fillId="0" borderId="0"/>
    <xf numFmtId="178" fontId="37" fillId="0" borderId="0" applyFont="0" applyFill="0" applyBorder="0" applyAlignment="0" applyProtection="0"/>
    <xf numFmtId="9" fontId="37" fillId="0" borderId="0" applyFont="0" applyFill="0" applyBorder="0" applyAlignment="0" applyProtection="0"/>
    <xf numFmtId="9" fontId="77" fillId="0" borderId="0" applyFont="0" applyFill="0" applyBorder="0" applyAlignment="0" applyProtection="0"/>
    <xf numFmtId="180" fontId="27"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30" fillId="9" borderId="0" applyNumberFormat="0" applyBorder="0" applyProtection="0"/>
    <xf numFmtId="0" fontId="30" fillId="9" borderId="0" applyNumberFormat="0" applyBorder="0" applyProtection="0"/>
    <xf numFmtId="0" fontId="30" fillId="9" borderId="0" applyNumberFormat="0" applyBorder="0" applyProtection="0"/>
    <xf numFmtId="0" fontId="32" fillId="11" borderId="0" applyNumberFormat="0" applyBorder="0" applyProtection="0"/>
    <xf numFmtId="0" fontId="30" fillId="9" borderId="0" applyNumberFormat="0" applyBorder="0" applyProtection="0"/>
    <xf numFmtId="0" fontId="30" fillId="9" borderId="0" applyNumberFormat="0" applyBorder="0" applyProtection="0"/>
    <xf numFmtId="0" fontId="31" fillId="35" borderId="0" applyNumberFormat="0" applyBorder="0" applyProtection="0"/>
    <xf numFmtId="0" fontId="30" fillId="9"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77" fillId="0" borderId="0"/>
    <xf numFmtId="0" fontId="47" fillId="40" borderId="0" applyNumberFormat="0" applyBorder="0" applyAlignment="0" applyProtection="0"/>
    <xf numFmtId="0" fontId="26" fillId="0" borderId="0"/>
    <xf numFmtId="0" fontId="26" fillId="0" borderId="0"/>
    <xf numFmtId="0" fontId="27" fillId="0" borderId="0"/>
    <xf numFmtId="0" fontId="23" fillId="10" borderId="0" applyNumberFormat="0" applyBorder="0" applyProtection="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NumberFormat="0" applyFill="0" applyBorder="0">
      <protection locked="0"/>
    </xf>
    <xf numFmtId="0" fontId="23" fillId="5" borderId="0" applyNumberFormat="0" applyBorder="0" applyProtection="0"/>
    <xf numFmtId="0" fontId="23" fillId="10" borderId="0" applyNumberFormat="0" applyBorder="0" applyProtection="0"/>
    <xf numFmtId="0" fontId="23" fillId="10" borderId="0" applyNumberFormat="0" applyBorder="0" applyProtection="0"/>
    <xf numFmtId="0" fontId="23" fillId="10" borderId="0" applyNumberFormat="0" applyBorder="0" applyProtection="0"/>
    <xf numFmtId="0" fontId="23" fillId="5" borderId="0" applyNumberFormat="0" applyBorder="0" applyProtection="0"/>
    <xf numFmtId="0" fontId="74" fillId="5" borderId="0" applyNumberFormat="0" applyBorder="0" applyAlignment="0" applyProtection="0"/>
    <xf numFmtId="177" fontId="37" fillId="0" borderId="0" applyFont="0" applyFill="0" applyBorder="0" applyAlignment="0" applyProtection="0"/>
    <xf numFmtId="0" fontId="23" fillId="5" borderId="0" applyNumberFormat="0" applyBorder="0" applyProtection="0"/>
    <xf numFmtId="0" fontId="23" fillId="5" borderId="0" applyNumberFormat="0" applyBorder="0" applyProtection="0"/>
    <xf numFmtId="0" fontId="38" fillId="10" borderId="0" applyNumberFormat="0" applyBorder="0" applyProtection="0"/>
    <xf numFmtId="0" fontId="38" fillId="10" borderId="0" applyNumberFormat="0" applyBorder="0" applyProtection="0"/>
    <xf numFmtId="0" fontId="38" fillId="10" borderId="0" applyNumberFormat="0" applyBorder="0" applyProtection="0"/>
    <xf numFmtId="0" fontId="23" fillId="10" borderId="0" applyNumberFormat="0" applyBorder="0" applyProtection="0"/>
    <xf numFmtId="194" fontId="37" fillId="0" borderId="0" applyFont="0" applyFill="0" applyBorder="0" applyAlignment="0" applyProtection="0"/>
    <xf numFmtId="0" fontId="38" fillId="10" borderId="0" applyNumberFormat="0" applyBorder="0" applyProtection="0"/>
    <xf numFmtId="0" fontId="45" fillId="33" borderId="0" applyNumberFormat="0" applyBorder="0" applyProtection="0"/>
    <xf numFmtId="0" fontId="23" fillId="10" borderId="0" applyNumberFormat="0" applyBorder="0" applyProtection="0"/>
    <xf numFmtId="0" fontId="23" fillId="10" borderId="0" applyNumberFormat="0" applyBorder="0" applyProtection="0"/>
    <xf numFmtId="0" fontId="23" fillId="10" borderId="0" applyNumberFormat="0" applyBorder="0" applyProtection="0"/>
    <xf numFmtId="0" fontId="38" fillId="10" borderId="0" applyNumberFormat="0" applyBorder="0" applyProtection="0"/>
    <xf numFmtId="0" fontId="45" fillId="33" borderId="0" applyNumberFormat="0" applyBorder="0" applyProtection="0"/>
    <xf numFmtId="0" fontId="45" fillId="33" borderId="0" applyNumberFormat="0" applyBorder="0" applyProtection="0"/>
    <xf numFmtId="184" fontId="77" fillId="0" borderId="0" applyFont="0" applyFill="0" applyBorder="0" applyProtection="0"/>
    <xf numFmtId="177" fontId="75" fillId="0" borderId="0" applyFont="0" applyFill="0" applyBorder="0" applyAlignment="0" applyProtection="0"/>
    <xf numFmtId="194" fontId="75" fillId="0" borderId="0" applyFont="0" applyFill="0" applyBorder="0" applyAlignment="0" applyProtection="0"/>
    <xf numFmtId="204" fontId="51"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6" fillId="0" borderId="0" applyFont="0" applyFill="0" applyBorder="0" applyAlignment="0" applyProtection="0"/>
    <xf numFmtId="180" fontId="2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0" fontId="76" fillId="0" borderId="0"/>
    <xf numFmtId="0" fontId="47" fillId="41" borderId="0" applyNumberFormat="0" applyBorder="0" applyAlignment="0" applyProtection="0"/>
    <xf numFmtId="205" fontId="70" fillId="0" borderId="0" applyFont="0" applyFill="0" applyBorder="0" applyAlignment="0" applyProtection="0"/>
    <xf numFmtId="40" fontId="48" fillId="0" borderId="0" applyFont="0" applyFill="0" applyBorder="0" applyAlignment="0" applyProtection="0"/>
    <xf numFmtId="0" fontId="11" fillId="0" borderId="9" applyNumberFormat="0"/>
    <xf numFmtId="38" fontId="40" fillId="0" borderId="0" applyFont="0" applyFill="0" applyBorder="0" applyAlignment="0" applyProtection="0"/>
    <xf numFmtId="40" fontId="40" fillId="0" borderId="0" applyFont="0" applyFill="0" applyBorder="0" applyAlignment="0" applyProtection="0"/>
    <xf numFmtId="0" fontId="40" fillId="0" borderId="0" applyFont="0" applyFill="0" applyBorder="0" applyAlignment="0" applyProtection="0"/>
    <xf numFmtId="0" fontId="6" fillId="0" borderId="0"/>
    <xf numFmtId="0" fontId="80" fillId="0" borderId="0"/>
    <xf numFmtId="0" fontId="81" fillId="0" borderId="0" applyNumberFormat="0" applyFill="0" applyBorder="0" applyAlignment="0" applyProtection="0"/>
    <xf numFmtId="0" fontId="80" fillId="0" borderId="0">
      <alignment vertical="center"/>
    </xf>
    <xf numFmtId="0" fontId="14" fillId="0" borderId="0"/>
    <xf numFmtId="0" fontId="80" fillId="0" borderId="0">
      <alignment vertical="center"/>
    </xf>
    <xf numFmtId="0" fontId="80" fillId="0" borderId="0"/>
    <xf numFmtId="0" fontId="85" fillId="0" borderId="0"/>
    <xf numFmtId="0" fontId="80" fillId="0" borderId="0"/>
    <xf numFmtId="0" fontId="77" fillId="0" borderId="0"/>
    <xf numFmtId="0" fontId="77" fillId="0" borderId="0">
      <alignment vertical="center"/>
    </xf>
    <xf numFmtId="0" fontId="53" fillId="0" borderId="0">
      <alignment vertical="center"/>
    </xf>
    <xf numFmtId="0" fontId="80" fillId="0" borderId="0">
      <alignment vertical="center"/>
    </xf>
    <xf numFmtId="0" fontId="80" fillId="0" borderId="0"/>
    <xf numFmtId="0" fontId="86" fillId="0" borderId="0">
      <alignment vertical="center"/>
    </xf>
    <xf numFmtId="180" fontId="80" fillId="0" borderId="0" applyFont="0" applyFill="0" applyBorder="0" applyAlignment="0" applyProtection="0"/>
    <xf numFmtId="0" fontId="80" fillId="0" borderId="0"/>
    <xf numFmtId="9" fontId="80" fillId="0" borderId="0" applyFont="0" applyFill="0" applyBorder="0" applyAlignment="0" applyProtection="0"/>
    <xf numFmtId="0" fontId="27" fillId="0" borderId="0">
      <alignment vertical="center"/>
    </xf>
    <xf numFmtId="181" fontId="11" fillId="0" borderId="0" applyFont="0" applyFill="0" applyBorder="0" applyAlignment="0" applyProtection="0"/>
    <xf numFmtId="0" fontId="80" fillId="0" borderId="0"/>
    <xf numFmtId="180" fontId="11" fillId="0" borderId="0" applyFont="0" applyFill="0" applyBorder="0" applyAlignment="0" applyProtection="0"/>
    <xf numFmtId="0" fontId="14" fillId="0" borderId="0"/>
    <xf numFmtId="0" fontId="80" fillId="0" borderId="0" applyAlignment="0"/>
    <xf numFmtId="0" fontId="11" fillId="0" borderId="0"/>
    <xf numFmtId="207" fontId="87" fillId="0" borderId="0">
      <protection locked="0"/>
    </xf>
    <xf numFmtId="0" fontId="14" fillId="0" borderId="0"/>
    <xf numFmtId="0" fontId="11" fillId="0" borderId="0"/>
    <xf numFmtId="0" fontId="80" fillId="0" borderId="0"/>
    <xf numFmtId="0" fontId="77" fillId="0" borderId="0"/>
    <xf numFmtId="0" fontId="11" fillId="0" borderId="0"/>
    <xf numFmtId="0" fontId="53" fillId="0" borderId="0">
      <alignment vertical="center"/>
    </xf>
    <xf numFmtId="180" fontId="80" fillId="0" borderId="0" applyFont="0" applyFill="0" applyBorder="0" applyAlignment="0" applyProtection="0"/>
    <xf numFmtId="0" fontId="86" fillId="0" borderId="0">
      <alignment vertical="center"/>
    </xf>
    <xf numFmtId="0" fontId="80" fillId="0" borderId="0"/>
    <xf numFmtId="0" fontId="14" fillId="0" borderId="0"/>
    <xf numFmtId="207" fontId="87" fillId="0" borderId="0">
      <protection locked="0"/>
    </xf>
    <xf numFmtId="0" fontId="77" fillId="0" borderId="0"/>
    <xf numFmtId="43" fontId="14" fillId="0" borderId="0" applyFont="0" applyFill="0" applyBorder="0" applyProtection="0"/>
    <xf numFmtId="0" fontId="77" fillId="0" borderId="0"/>
    <xf numFmtId="0" fontId="90" fillId="45" borderId="20" applyNumberFormat="0" applyAlignment="0" applyProtection="0"/>
    <xf numFmtId="0" fontId="39" fillId="0" borderId="0"/>
    <xf numFmtId="41" fontId="27" fillId="0" borderId="0" applyFont="0" applyFill="0" applyBorder="0" applyAlignment="0" applyProtection="0"/>
    <xf numFmtId="9" fontId="14" fillId="0" borderId="0" applyFont="0" applyFill="0" applyBorder="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41" fontId="77" fillId="0" borderId="0" applyFont="0" applyFill="0" applyBorder="0" applyAlignment="0" applyProtection="0"/>
    <xf numFmtId="9" fontId="77" fillId="0" borderId="0" applyFont="0" applyFill="0" applyBorder="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Alignment="0" applyProtection="0"/>
    <xf numFmtId="0" fontId="77" fillId="0" borderId="0"/>
    <xf numFmtId="210" fontId="2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16" fillId="0" borderId="0" applyNumberFormat="0" applyFill="0" applyBorder="0" applyAlignment="0" applyProtection="0"/>
    <xf numFmtId="4" fontId="77" fillId="0" borderId="17">
      <alignment horizontal="right"/>
    </xf>
    <xf numFmtId="0" fontId="16" fillId="0" borderId="0" applyNumberFormat="0" applyFill="0" applyBorder="0" applyAlignment="0" applyProtection="0"/>
    <xf numFmtId="0" fontId="77" fillId="0" borderId="0" applyAlignment="0"/>
    <xf numFmtId="0" fontId="21" fillId="0" borderId="0" applyNumberFormat="0" applyFill="0" applyBorder="0" applyAlignment="0" applyProtection="0"/>
    <xf numFmtId="0" fontId="21" fillId="0" borderId="0" applyNumberFormat="0" applyFill="0" applyBorder="0" applyProtection="0"/>
    <xf numFmtId="0" fontId="77" fillId="0" borderId="0"/>
    <xf numFmtId="207" fontId="87" fillId="0" borderId="0">
      <protection locked="0"/>
    </xf>
    <xf numFmtId="4" fontId="77" fillId="0" borderId="17">
      <alignment horizontal="right"/>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21" fillId="0" borderId="0" applyNumberFormat="0" applyFill="0" applyBorder="0" applyProtection="0"/>
    <xf numFmtId="41" fontId="27" fillId="0" borderId="0" applyFont="0" applyFill="0" applyBorder="0" applyAlignment="0" applyProtection="0"/>
    <xf numFmtId="41" fontId="27" fillId="0" borderId="0" applyFont="0" applyFill="0" applyBorder="0" applyAlignment="0" applyProtection="0"/>
    <xf numFmtId="43" fontId="77" fillId="0" borderId="0" applyFont="0" applyFill="0" applyBorder="0" applyAlignment="0" applyProtection="0"/>
    <xf numFmtId="0" fontId="77" fillId="0" borderId="0"/>
    <xf numFmtId="43" fontId="77" fillId="0" borderId="0" applyFont="0" applyFill="0" applyBorder="0" applyProtection="0"/>
    <xf numFmtId="43" fontId="77" fillId="0" borderId="0" applyFont="0" applyFill="0" applyBorder="0" applyProtection="0"/>
    <xf numFmtId="43" fontId="77" fillId="0" borderId="0" applyFont="0" applyFill="0" applyBorder="0" applyProtection="0"/>
    <xf numFmtId="0" fontId="91" fillId="0" borderId="0"/>
    <xf numFmtId="210" fontId="14" fillId="0" borderId="0" applyFont="0" applyFill="0" applyBorder="0" applyProtection="0"/>
    <xf numFmtId="43" fontId="14" fillId="0" borderId="0" applyFont="0" applyFill="0" applyBorder="0" applyProtection="0"/>
    <xf numFmtId="43" fontId="14"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210"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7" fillId="0" borderId="0" applyFont="0" applyFill="0" applyBorder="0" applyProtection="0"/>
    <xf numFmtId="43" fontId="37" fillId="0" borderId="0" applyFont="0" applyFill="0" applyBorder="0" applyAlignment="0" applyProtection="0"/>
    <xf numFmtId="0" fontId="92" fillId="46" borderId="0" applyNumberFormat="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0" fontId="77" fillId="0" borderId="0" applyAlignment="0"/>
    <xf numFmtId="43" fontId="77" fillId="0" borderId="0" applyFont="0" applyFill="0" applyBorder="0" applyProtection="0"/>
    <xf numFmtId="43" fontId="77" fillId="0" borderId="0" applyFont="0" applyFill="0" applyBorder="0" applyProtection="0"/>
    <xf numFmtId="0" fontId="77" fillId="0" borderId="17" applyAlignment="0"/>
    <xf numFmtId="0" fontId="77" fillId="0" borderId="17" applyAlignment="0"/>
    <xf numFmtId="0" fontId="77" fillId="0" borderId="17" applyAlignment="0"/>
    <xf numFmtId="0" fontId="77" fillId="0" borderId="17" applyAlignment="0"/>
    <xf numFmtId="41" fontId="27"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77" fillId="0" borderId="0" applyAlignment="0"/>
    <xf numFmtId="0" fontId="77" fillId="0" borderId="0" applyAlignment="0"/>
    <xf numFmtId="0" fontId="77" fillId="0" borderId="0"/>
    <xf numFmtId="0" fontId="77" fillId="0" borderId="0"/>
    <xf numFmtId="0" fontId="77" fillId="0" borderId="0"/>
    <xf numFmtId="0" fontId="77" fillId="0" borderId="0" applyAlignment="0"/>
    <xf numFmtId="0" fontId="77" fillId="0" borderId="0" applyAlignment="0"/>
    <xf numFmtId="0" fontId="77" fillId="0" borderId="0"/>
    <xf numFmtId="0" fontId="77" fillId="0" borderId="0"/>
    <xf numFmtId="0" fontId="77" fillId="0" borderId="0"/>
    <xf numFmtId="0" fontId="14" fillId="0" borderId="0"/>
    <xf numFmtId="0" fontId="77" fillId="0" borderId="0"/>
    <xf numFmtId="0" fontId="14" fillId="0" borderId="0"/>
    <xf numFmtId="0" fontId="11" fillId="0" borderId="0"/>
    <xf numFmtId="209" fontId="14" fillId="0" borderId="0"/>
    <xf numFmtId="0" fontId="77" fillId="0" borderId="0"/>
    <xf numFmtId="0" fontId="77" fillId="0" borderId="0"/>
    <xf numFmtId="0" fontId="77" fillId="0" borderId="0"/>
    <xf numFmtId="0" fontId="14" fillId="0" borderId="0"/>
    <xf numFmtId="0" fontId="14" fillId="0" borderId="0"/>
    <xf numFmtId="0" fontId="77" fillId="0" borderId="0" applyAlignment="0"/>
    <xf numFmtId="0" fontId="14" fillId="0" borderId="0"/>
    <xf numFmtId="0" fontId="14" fillId="0" borderId="0"/>
    <xf numFmtId="0" fontId="77" fillId="0" borderId="0"/>
    <xf numFmtId="0" fontId="77" fillId="0" borderId="0">
      <alignment vertical="center"/>
    </xf>
    <xf numFmtId="0" fontId="14" fillId="0" borderId="0"/>
    <xf numFmtId="0" fontId="77" fillId="0" borderId="0"/>
    <xf numFmtId="0" fontId="27" fillId="0" borderId="0"/>
    <xf numFmtId="0" fontId="77" fillId="0" borderId="0"/>
    <xf numFmtId="0" fontId="27" fillId="0" borderId="0"/>
    <xf numFmtId="0" fontId="77" fillId="0" borderId="0"/>
    <xf numFmtId="0" fontId="77" fillId="0" borderId="0">
      <alignment vertical="center"/>
    </xf>
    <xf numFmtId="188" fontId="77" fillId="0" borderId="0" applyFont="0" applyFill="0" applyBorder="0" applyAlignment="0" applyProtection="0"/>
    <xf numFmtId="188" fontId="77" fillId="0" borderId="0" applyFont="0" applyFill="0" applyBorder="0" applyAlignment="0" applyProtection="0"/>
    <xf numFmtId="9" fontId="11" fillId="0" borderId="0" applyFont="0" applyFill="0" applyBorder="0" applyAlignment="0" applyProtection="0"/>
    <xf numFmtId="9" fontId="77" fillId="0" borderId="0" applyFont="0" applyFill="0" applyBorder="0" applyProtection="0"/>
    <xf numFmtId="9" fontId="77" fillId="0" borderId="0" applyFont="0" applyFill="0" applyBorder="0" applyProtection="0"/>
    <xf numFmtId="9" fontId="77" fillId="0" borderId="0" applyFont="0" applyFill="0" applyBorder="0" applyProtection="0"/>
    <xf numFmtId="9" fontId="11" fillId="0" borderId="0" applyFont="0" applyFill="0" applyBorder="0" applyAlignment="0" applyProtection="0"/>
    <xf numFmtId="9" fontId="27" fillId="0" borderId="0" applyFont="0" applyFill="0" applyBorder="0" applyAlignment="0" applyProtection="0"/>
    <xf numFmtId="209" fontId="14" fillId="0" borderId="0"/>
    <xf numFmtId="209" fontId="93" fillId="0" borderId="0"/>
    <xf numFmtId="0" fontId="14" fillId="0" borderId="0"/>
    <xf numFmtId="0" fontId="27" fillId="0" borderId="0"/>
    <xf numFmtId="0" fontId="61" fillId="0" borderId="0">
      <protection locked="0"/>
    </xf>
    <xf numFmtId="0" fontId="11" fillId="0" borderId="0">
      <protection locked="0"/>
    </xf>
    <xf numFmtId="207" fontId="11" fillId="0" borderId="0"/>
    <xf numFmtId="0" fontId="27" fillId="0" borderId="0">
      <alignment vertical="top"/>
    </xf>
    <xf numFmtId="0" fontId="61" fillId="0" borderId="0">
      <protection locked="0"/>
    </xf>
    <xf numFmtId="0" fontId="11" fillId="0" borderId="0">
      <protection locked="0"/>
    </xf>
    <xf numFmtId="0" fontId="77" fillId="0" borderId="0">
      <alignment vertical="center"/>
      <protection locked="0"/>
    </xf>
    <xf numFmtId="0" fontId="11" fillId="0" borderId="0">
      <protection locked="0"/>
    </xf>
    <xf numFmtId="0" fontId="77" fillId="0" borderId="0"/>
    <xf numFmtId="0" fontId="27" fillId="0" borderId="0"/>
    <xf numFmtId="0" fontId="77" fillId="0" borderId="0">
      <alignment vertical="center"/>
    </xf>
    <xf numFmtId="0" fontId="14" fillId="0" borderId="0"/>
    <xf numFmtId="0" fontId="77" fillId="0" borderId="0">
      <alignment vertical="center"/>
    </xf>
    <xf numFmtId="43" fontId="11" fillId="0" borderId="0" applyFont="0" applyFill="0" applyBorder="0" applyAlignment="0" applyProtection="0"/>
    <xf numFmtId="0" fontId="77" fillId="0" borderId="0" applyFont="0" applyFill="0" applyBorder="0" applyProtection="0"/>
    <xf numFmtId="43" fontId="61" fillId="0" borderId="0" applyFont="0" applyAlignment="0" applyProtection="0"/>
    <xf numFmtId="43" fontId="61" fillId="0" borderId="0" applyFont="0" applyAlignment="0" applyProtection="0"/>
    <xf numFmtId="43" fontId="11" fillId="0" borderId="0" applyFont="0" applyFill="0" applyBorder="0" applyAlignment="0" applyProtection="0"/>
    <xf numFmtId="43" fontId="11" fillId="0" borderId="0" applyFont="0" applyFill="0" applyBorder="0" applyAlignment="0" applyProtection="0"/>
    <xf numFmtId="41" fontId="27" fillId="0" borderId="0" applyFont="0" applyFill="0" applyBorder="0" applyAlignment="0" applyProtection="0"/>
    <xf numFmtId="0" fontId="14" fillId="0" borderId="0"/>
    <xf numFmtId="43" fontId="14" fillId="0" borderId="0" applyFont="0" applyFill="0" applyBorder="0" applyProtection="0"/>
    <xf numFmtId="0" fontId="14" fillId="0" borderId="0"/>
    <xf numFmtId="0" fontId="14" fillId="0" borderId="0"/>
    <xf numFmtId="0" fontId="14" fillId="0" borderId="0"/>
    <xf numFmtId="43" fontId="5" fillId="0" borderId="0" applyFont="0" applyFill="0" applyBorder="0" applyProtection="0"/>
    <xf numFmtId="209" fontId="14" fillId="0" borderId="0"/>
    <xf numFmtId="0" fontId="14" fillId="0" borderId="0"/>
    <xf numFmtId="0" fontId="77" fillId="0" borderId="0">
      <alignment vertical="center"/>
    </xf>
    <xf numFmtId="0" fontId="77" fillId="0" borderId="0"/>
    <xf numFmtId="0" fontId="14" fillId="0" borderId="0"/>
    <xf numFmtId="9" fontId="77" fillId="0" borderId="0" applyFont="0" applyFill="0" applyBorder="0" applyProtection="0"/>
    <xf numFmtId="0" fontId="77" fillId="0" borderId="0"/>
    <xf numFmtId="43" fontId="77" fillId="0" borderId="0" applyFont="0" applyFill="0" applyBorder="0" applyProtection="0"/>
    <xf numFmtId="0" fontId="77" fillId="0" borderId="0"/>
    <xf numFmtId="0" fontId="77" fillId="0" borderId="0" applyAlignment="0"/>
    <xf numFmtId="41" fontId="77" fillId="0" borderId="0" applyFont="0" applyFill="0" applyBorder="0" applyAlignment="0" applyProtection="0"/>
    <xf numFmtId="0" fontId="80" fillId="0" borderId="0">
      <alignment vertical="center"/>
    </xf>
    <xf numFmtId="9" fontId="77" fillId="0" borderId="0" applyFont="0" applyFill="0" applyBorder="0" applyAlignment="0" applyProtection="0"/>
    <xf numFmtId="43" fontId="77" fillId="0" borderId="0" applyFont="0" applyFill="0" applyBorder="0" applyProtection="0"/>
    <xf numFmtId="0" fontId="14" fillId="0" borderId="0"/>
    <xf numFmtId="0" fontId="5" fillId="0" borderId="0"/>
    <xf numFmtId="43" fontId="14" fillId="0" borderId="0" applyFont="0" applyFill="0" applyBorder="0" applyProtection="0"/>
    <xf numFmtId="0" fontId="14" fillId="0" borderId="0"/>
    <xf numFmtId="43" fontId="5" fillId="0" borderId="0" applyFont="0" applyFill="0" applyBorder="0" applyProtection="0"/>
    <xf numFmtId="0" fontId="80" fillId="0" borderId="0">
      <alignment vertical="center"/>
    </xf>
    <xf numFmtId="0" fontId="5" fillId="0" borderId="0"/>
    <xf numFmtId="0" fontId="77" fillId="0" borderId="0"/>
    <xf numFmtId="0" fontId="77" fillId="0" borderId="0"/>
    <xf numFmtId="0" fontId="77" fillId="0" borderId="0"/>
    <xf numFmtId="43" fontId="77" fillId="0" borderId="0" applyFont="0" applyFill="0" applyBorder="0" applyProtection="0"/>
    <xf numFmtId="0" fontId="80" fillId="0" borderId="0">
      <alignment vertical="center"/>
    </xf>
    <xf numFmtId="0" fontId="94" fillId="0" borderId="0" applyNumberFormat="0" applyFill="0" applyBorder="0" applyAlignment="0" applyProtection="0">
      <alignment vertical="center"/>
    </xf>
    <xf numFmtId="0" fontId="77" fillId="0" borderId="0"/>
    <xf numFmtId="0" fontId="95" fillId="0" borderId="0"/>
    <xf numFmtId="0" fontId="80" fillId="0" borderId="0">
      <alignment vertical="center"/>
    </xf>
    <xf numFmtId="0" fontId="21" fillId="0" borderId="0" applyNumberFormat="0" applyFill="0" applyBorder="0" applyProtection="0"/>
    <xf numFmtId="0" fontId="89" fillId="0" borderId="0"/>
    <xf numFmtId="0" fontId="17" fillId="6" borderId="21" applyNumberFormat="0" applyProtection="0">
      <alignment horizontal="left" vertical="center" indent="1"/>
    </xf>
    <xf numFmtId="184" fontId="77" fillId="0" borderId="0" applyFont="0" applyFill="0" applyBorder="0" applyProtection="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21" fillId="0" borderId="0" applyNumberForma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0" fontId="17" fillId="9" borderId="21" applyNumberFormat="0" applyProtection="0">
      <alignment horizontal="right" vertical="center"/>
    </xf>
    <xf numFmtId="41" fontId="27" fillId="0" borderId="0" applyFont="0" applyFill="0" applyBorder="0" applyAlignment="0" applyProtection="0"/>
    <xf numFmtId="0" fontId="34" fillId="0" borderId="0" applyNumberFormat="0" applyFill="0" applyBorder="0" applyAlignment="0" applyProtection="0"/>
    <xf numFmtId="0" fontId="17" fillId="14" borderId="21" applyNumberFormat="0" applyProtection="0">
      <alignment horizontal="left" vertical="center" indent="1"/>
    </xf>
    <xf numFmtId="0" fontId="18" fillId="13" borderId="21" applyNumberFormat="0" applyProtection="0">
      <alignment horizontal="left" vertical="center" indent="1"/>
    </xf>
    <xf numFmtId="0" fontId="36" fillId="0" borderId="0" applyNumberFormat="0" applyFill="0" applyBorder="0">
      <protection locked="0"/>
    </xf>
    <xf numFmtId="0" fontId="34" fillId="0" borderId="0" applyNumberFormat="0" applyFill="0" applyBorder="0" applyAlignment="0" applyProtection="0"/>
    <xf numFmtId="0" fontId="11" fillId="16" borderId="21" applyNumberFormat="0" applyProtection="0">
      <alignment horizontal="left" vertical="top" indent="1"/>
    </xf>
    <xf numFmtId="41" fontId="77" fillId="0" borderId="0" applyFont="0" applyFill="0" applyBorder="0" applyAlignment="0" applyProtection="0"/>
    <xf numFmtId="41" fontId="77" fillId="0" borderId="0" applyFont="0" applyFill="0" applyBorder="0" applyAlignment="0" applyProtection="0"/>
    <xf numFmtId="0" fontId="17" fillId="23" borderId="21" applyNumberFormat="0" applyProtection="0">
      <alignment horizontal="right" vertical="center"/>
    </xf>
    <xf numFmtId="43" fontId="77" fillId="0" borderId="0" applyFont="0" applyFill="0" applyBorder="0" applyAlignment="0" applyProtection="0"/>
    <xf numFmtId="0" fontId="11" fillId="21" borderId="21" applyNumberFormat="0" applyProtection="0">
      <alignment horizontal="left" vertical="center" indent="1"/>
    </xf>
    <xf numFmtId="0" fontId="18" fillId="29" borderId="22" applyNumberFormat="0" applyProtection="0">
      <alignment horizontal="left" vertical="center" indent="1"/>
    </xf>
    <xf numFmtId="0" fontId="17" fillId="11" borderId="21" applyNumberFormat="0" applyProtection="0">
      <alignment horizontal="right" vertical="center"/>
    </xf>
    <xf numFmtId="0" fontId="14" fillId="0" borderId="0"/>
    <xf numFmtId="0" fontId="17" fillId="23" borderId="21" applyNumberFormat="0" applyProtection="0">
      <alignment horizontal="right" vertical="center"/>
    </xf>
    <xf numFmtId="0" fontId="17" fillId="16" borderId="21" applyNumberFormat="0" applyProtection="0">
      <alignment horizontal="right" vertical="center"/>
    </xf>
    <xf numFmtId="0" fontId="18" fillId="13" borderId="21" applyNumberFormat="0" applyProtection="0">
      <alignment vertical="center"/>
    </xf>
    <xf numFmtId="0" fontId="17" fillId="30" borderId="21" applyNumberFormat="0" applyProtection="0">
      <alignment horizontal="right" vertical="center"/>
    </xf>
    <xf numFmtId="0" fontId="11" fillId="0" borderId="0"/>
    <xf numFmtId="0" fontId="43" fillId="32" borderId="15" applyNumberFormat="0" applyAlignment="0" applyProtection="0"/>
    <xf numFmtId="0" fontId="11" fillId="16" borderId="21" applyNumberFormat="0" applyProtection="0">
      <alignment horizontal="left" vertical="center" indent="1"/>
    </xf>
    <xf numFmtId="43"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0" fontId="14" fillId="0" borderId="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16" fillId="0" borderId="0" applyNumberForma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49" fillId="0" borderId="0" applyNumberFormat="0" applyFill="0" applyBorder="0">
      <protection locked="0"/>
    </xf>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52" fillId="10" borderId="0" applyNumberFormat="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4" fillId="35" borderId="17"/>
    <xf numFmtId="185" fontId="14" fillId="0" borderId="0" applyFont="0" applyFill="0" applyBorder="0" applyAlignment="0" applyProtection="0"/>
    <xf numFmtId="185" fontId="14" fillId="0" borderId="0" applyFont="0" applyFill="0" applyBorder="0" applyAlignment="0" applyProtection="0"/>
    <xf numFmtId="0" fontId="56" fillId="0" borderId="18" applyNumberFormat="0" applyProtection="0"/>
    <xf numFmtId="0" fontId="14" fillId="0" borderId="0"/>
    <xf numFmtId="43" fontId="27" fillId="0" borderId="0" applyFont="0" applyFill="0" applyBorder="0" applyAlignment="0" applyProtection="0"/>
    <xf numFmtId="0" fontId="54" fillId="6" borderId="17" applyNumberFormat="0" applyBorder="0" applyAlignment="0" applyProtection="0"/>
    <xf numFmtId="0" fontId="17" fillId="28" borderId="21" applyNumberFormat="0" applyProtection="0">
      <alignment horizontal="right" vertical="center"/>
    </xf>
    <xf numFmtId="0" fontId="17" fillId="28" borderId="21" applyNumberFormat="0" applyProtection="0">
      <alignment horizontal="right" vertical="center"/>
    </xf>
    <xf numFmtId="0" fontId="77" fillId="0" borderId="0"/>
    <xf numFmtId="0" fontId="17" fillId="14" borderId="21" applyNumberFormat="0" applyProtection="0">
      <alignment horizontal="left" vertical="top" indent="1"/>
    </xf>
    <xf numFmtId="0" fontId="18" fillId="13" borderId="21" applyNumberFormat="0" applyProtection="0">
      <alignment horizontal="left" vertical="top" indent="1"/>
    </xf>
    <xf numFmtId="0" fontId="39"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7" fillId="0" borderId="0"/>
    <xf numFmtId="0" fontId="14" fillId="0" borderId="0"/>
    <xf numFmtId="0" fontId="14" fillId="0" borderId="0"/>
    <xf numFmtId="43" fontId="77" fillId="0" borderId="0" applyFont="0" applyFill="0" applyBorder="0" applyAlignment="0" applyProtection="0"/>
    <xf numFmtId="0" fontId="11" fillId="0" borderId="0"/>
    <xf numFmtId="0" fontId="14" fillId="0" borderId="0"/>
    <xf numFmtId="0" fontId="39" fillId="0" borderId="0"/>
    <xf numFmtId="0" fontId="14" fillId="0" borderId="0"/>
    <xf numFmtId="0" fontId="14" fillId="0" borderId="0"/>
    <xf numFmtId="0" fontId="54" fillId="7" borderId="17"/>
    <xf numFmtId="9" fontId="77" fillId="0" borderId="0" applyFont="0" applyFill="0" applyBorder="0" applyAlignment="0" applyProtection="0"/>
    <xf numFmtId="0" fontId="17" fillId="16" borderId="21" applyNumberFormat="0" applyProtection="0">
      <alignment horizontal="right" vertical="center"/>
    </xf>
    <xf numFmtId="0" fontId="17" fillId="15" borderId="21" applyNumberFormat="0" applyProtection="0">
      <alignment horizontal="right" vertical="center"/>
    </xf>
    <xf numFmtId="0" fontId="18" fillId="13" borderId="21" applyNumberFormat="0" applyProtection="0">
      <alignment vertical="center"/>
    </xf>
    <xf numFmtId="0" fontId="63" fillId="16" borderId="21" applyNumberFormat="0" applyProtection="0">
      <alignment horizontal="right" vertical="center"/>
    </xf>
    <xf numFmtId="0" fontId="64" fillId="13" borderId="21" applyNumberFormat="0" applyProtection="0">
      <alignment vertical="center"/>
    </xf>
    <xf numFmtId="0" fontId="63" fillId="16" borderId="21" applyNumberFormat="0" applyProtection="0">
      <alignment horizontal="right" vertical="center"/>
    </xf>
    <xf numFmtId="0" fontId="64" fillId="13" borderId="21" applyNumberFormat="0" applyProtection="0">
      <alignment vertical="center"/>
    </xf>
    <xf numFmtId="0" fontId="17" fillId="14" borderId="21" applyNumberFormat="0" applyProtection="0">
      <alignment horizontal="left" vertical="center" indent="1"/>
    </xf>
    <xf numFmtId="0" fontId="18" fillId="13" borderId="21" applyNumberFormat="0" applyProtection="0">
      <alignment horizontal="left" vertical="center" indent="1"/>
    </xf>
    <xf numFmtId="0" fontId="17" fillId="14" borderId="21" applyNumberFormat="0" applyProtection="0">
      <alignment horizontal="left" vertical="top" indent="1"/>
    </xf>
    <xf numFmtId="0" fontId="18" fillId="13" borderId="21" applyNumberFormat="0" applyProtection="0">
      <alignment horizontal="left" vertical="top" indent="1"/>
    </xf>
    <xf numFmtId="0" fontId="17" fillId="9" borderId="21" applyNumberFormat="0" applyProtection="0">
      <alignment horizontal="right" vertical="center"/>
    </xf>
    <xf numFmtId="0" fontId="14" fillId="0" borderId="0"/>
    <xf numFmtId="0" fontId="17" fillId="15" borderId="21" applyNumberFormat="0" applyProtection="0">
      <alignment horizontal="right" vertical="center"/>
    </xf>
    <xf numFmtId="0" fontId="17" fillId="30" borderId="21" applyNumberFormat="0" applyProtection="0">
      <alignment horizontal="right" vertical="center"/>
    </xf>
    <xf numFmtId="0" fontId="17" fillId="6" borderId="21" applyNumberFormat="0" applyProtection="0">
      <alignment horizontal="left" vertical="center" indent="1"/>
    </xf>
    <xf numFmtId="0" fontId="17" fillId="11" borderId="21" applyNumberFormat="0" applyProtection="0">
      <alignment horizontal="right" vertical="center"/>
    </xf>
    <xf numFmtId="0" fontId="17" fillId="36" borderId="21" applyNumberFormat="0" applyProtection="0">
      <alignment horizontal="right" vertical="center"/>
    </xf>
    <xf numFmtId="0" fontId="17" fillId="36" borderId="21" applyNumberFormat="0" applyProtection="0">
      <alignment horizontal="right" vertical="center"/>
    </xf>
    <xf numFmtId="9" fontId="27" fillId="0" borderId="0" applyFont="0" applyFill="0" applyBorder="0" applyAlignment="0" applyProtection="0"/>
    <xf numFmtId="0" fontId="17" fillId="37" borderId="21" applyNumberFormat="0" applyProtection="0">
      <alignment horizontal="right" vertical="center"/>
    </xf>
    <xf numFmtId="0" fontId="17" fillId="37" borderId="21" applyNumberFormat="0" applyProtection="0">
      <alignment horizontal="right" vertical="center"/>
    </xf>
    <xf numFmtId="9" fontId="14" fillId="0" borderId="0" applyFont="0" applyFill="0" applyBorder="0" applyProtection="0"/>
    <xf numFmtId="0" fontId="17" fillId="38" borderId="21" applyNumberFormat="0" applyProtection="0">
      <alignment horizontal="right" vertical="center"/>
    </xf>
    <xf numFmtId="9" fontId="14" fillId="0" borderId="0" applyFont="0" applyFill="0" applyBorder="0" applyProtection="0"/>
    <xf numFmtId="0" fontId="17" fillId="38" borderId="21" applyNumberFormat="0" applyProtection="0">
      <alignment horizontal="right" vertical="center"/>
    </xf>
    <xf numFmtId="0" fontId="18" fillId="29" borderId="22" applyNumberFormat="0" applyProtection="0">
      <alignment horizontal="left" vertical="center" indent="1"/>
    </xf>
    <xf numFmtId="0" fontId="17" fillId="14" borderId="21" applyNumberFormat="0" applyProtection="0">
      <alignment horizontal="right" vertical="center"/>
    </xf>
    <xf numFmtId="0" fontId="17" fillId="14" borderId="21" applyNumberFormat="0" applyProtection="0">
      <alignment horizontal="right" vertical="center"/>
    </xf>
    <xf numFmtId="0" fontId="14" fillId="0" borderId="0"/>
    <xf numFmtId="0" fontId="11" fillId="20" borderId="21" applyNumberFormat="0" applyProtection="0">
      <alignment horizontal="left" vertical="center" indent="1"/>
    </xf>
    <xf numFmtId="0" fontId="11" fillId="20" borderId="21" applyNumberFormat="0" applyProtection="0">
      <alignment horizontal="left" vertical="center" indent="1"/>
    </xf>
    <xf numFmtId="0" fontId="11" fillId="20" borderId="21" applyNumberFormat="0" applyProtection="0">
      <alignment horizontal="left" vertical="top" indent="1"/>
    </xf>
    <xf numFmtId="0" fontId="11" fillId="20" borderId="21" applyNumberFormat="0" applyProtection="0">
      <alignment horizontal="left" vertical="top" indent="1"/>
    </xf>
    <xf numFmtId="43" fontId="77" fillId="0" borderId="0" applyFont="0" applyFill="0" applyBorder="0" applyAlignment="0" applyProtection="0"/>
    <xf numFmtId="0" fontId="11" fillId="14" borderId="21" applyNumberFormat="0" applyProtection="0">
      <alignment horizontal="left" vertical="center" indent="1"/>
    </xf>
    <xf numFmtId="0" fontId="11" fillId="14" borderId="21" applyNumberFormat="0" applyProtection="0">
      <alignment horizontal="left" vertical="center" indent="1"/>
    </xf>
    <xf numFmtId="0" fontId="11" fillId="14" borderId="21" applyNumberFormat="0" applyProtection="0">
      <alignment horizontal="left" vertical="top" indent="1"/>
    </xf>
    <xf numFmtId="0" fontId="11" fillId="14" borderId="21" applyNumberFormat="0" applyProtection="0">
      <alignment horizontal="left" vertical="top" indent="1"/>
    </xf>
    <xf numFmtId="0" fontId="11" fillId="21" borderId="21" applyNumberFormat="0" applyProtection="0">
      <alignment horizontal="left" vertical="center" indent="1"/>
    </xf>
    <xf numFmtId="0" fontId="11" fillId="21" borderId="21" applyNumberFormat="0" applyProtection="0">
      <alignment horizontal="left" vertical="top" indent="1"/>
    </xf>
    <xf numFmtId="0" fontId="11" fillId="21" borderId="21" applyNumberFormat="0" applyProtection="0">
      <alignment horizontal="left" vertical="top" indent="1"/>
    </xf>
    <xf numFmtId="0" fontId="11" fillId="16" borderId="21" applyNumberFormat="0" applyProtection="0">
      <alignment horizontal="left" vertical="center" indent="1"/>
    </xf>
    <xf numFmtId="0" fontId="11" fillId="16" borderId="21" applyNumberFormat="0" applyProtection="0">
      <alignment horizontal="left" vertical="top" indent="1"/>
    </xf>
    <xf numFmtId="0" fontId="17" fillId="6" borderId="21" applyNumberFormat="0" applyProtection="0">
      <alignment vertical="center"/>
    </xf>
    <xf numFmtId="0" fontId="17" fillId="6" borderId="21" applyNumberFormat="0" applyProtection="0">
      <alignment vertical="center"/>
    </xf>
    <xf numFmtId="0" fontId="63" fillId="6" borderId="21" applyNumberFormat="0" applyProtection="0">
      <alignment vertical="center"/>
    </xf>
    <xf numFmtId="0" fontId="63" fillId="6" borderId="21" applyNumberFormat="0" applyProtection="0">
      <alignment vertical="center"/>
    </xf>
    <xf numFmtId="0" fontId="17" fillId="6" borderId="21" applyNumberFormat="0" applyProtection="0">
      <alignment horizontal="left" vertical="top" indent="1"/>
    </xf>
    <xf numFmtId="0" fontId="17" fillId="6" borderId="21" applyNumberFormat="0" applyProtection="0">
      <alignment horizontal="left" vertical="top" indent="1"/>
    </xf>
    <xf numFmtId="43" fontId="14" fillId="0" borderId="0" applyFont="0" applyFill="0" applyBorder="0" applyAlignment="0" applyProtection="0"/>
    <xf numFmtId="0" fontId="20" fillId="16" borderId="21" applyNumberFormat="0" applyProtection="0">
      <alignment horizontal="right" vertical="center"/>
    </xf>
    <xf numFmtId="0" fontId="20" fillId="16" borderId="21" applyNumberFormat="0" applyProtection="0">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applyFont="0" applyFill="0" applyBorder="0" applyAlignment="0" applyProtection="0"/>
    <xf numFmtId="0" fontId="14" fillId="0" borderId="0"/>
    <xf numFmtId="0" fontId="27" fillId="0" borderId="0"/>
    <xf numFmtId="0" fontId="14" fillId="0" borderId="0"/>
    <xf numFmtId="0" fontId="14" fillId="0" borderId="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17" applyNumberFormat="0"/>
    <xf numFmtId="0" fontId="5" fillId="0" borderId="0"/>
    <xf numFmtId="0" fontId="80" fillId="0" borderId="0">
      <alignment vertical="center"/>
    </xf>
    <xf numFmtId="0" fontId="77" fillId="0" borderId="0"/>
    <xf numFmtId="0" fontId="80" fillId="0" borderId="0"/>
    <xf numFmtId="0" fontId="86" fillId="0" borderId="0">
      <alignment vertical="center"/>
    </xf>
    <xf numFmtId="43" fontId="80"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80" fillId="0" borderId="0" applyAlignment="0"/>
    <xf numFmtId="207" fontId="87" fillId="0" borderId="0">
      <protection locked="0"/>
    </xf>
    <xf numFmtId="43" fontId="80" fillId="0" borderId="0" applyFont="0" applyFill="0" applyBorder="0" applyAlignment="0" applyProtection="0"/>
    <xf numFmtId="0" fontId="27" fillId="0" borderId="0"/>
    <xf numFmtId="0" fontId="18" fillId="29" borderId="24" applyNumberFormat="0" applyProtection="0">
      <alignment horizontal="left" vertical="center" indent="1"/>
    </xf>
    <xf numFmtId="0" fontId="56" fillId="0" borderId="23" applyNumberFormat="0" applyProtection="0"/>
    <xf numFmtId="0" fontId="18" fillId="29" borderId="24" applyNumberFormat="0" applyProtection="0">
      <alignment horizontal="left" vertical="center" indent="1"/>
    </xf>
    <xf numFmtId="0" fontId="7" fillId="0" borderId="0"/>
    <xf numFmtId="0" fontId="80" fillId="0" borderId="0"/>
    <xf numFmtId="0" fontId="80" fillId="0" borderId="0"/>
    <xf numFmtId="0" fontId="86" fillId="0" borderId="0">
      <alignment vertical="center"/>
    </xf>
    <xf numFmtId="0" fontId="80" fillId="0" borderId="0"/>
    <xf numFmtId="0" fontId="80" fillId="0" borderId="0"/>
    <xf numFmtId="41" fontId="80" fillId="0" borderId="0" applyFont="0" applyFill="0" applyBorder="0" applyAlignment="0" applyProtection="0"/>
    <xf numFmtId="9" fontId="80" fillId="0" borderId="0" applyFont="0" applyFill="0" applyBorder="0" applyAlignment="0" applyProtection="0"/>
    <xf numFmtId="41" fontId="80" fillId="0" borderId="0" applyFont="0" applyFill="0" applyBorder="0" applyAlignment="0" applyProtection="0"/>
    <xf numFmtId="0" fontId="80" fillId="0" borderId="0">
      <alignment vertical="center"/>
    </xf>
    <xf numFmtId="0" fontId="80" fillId="0" borderId="0"/>
    <xf numFmtId="0" fontId="80" fillId="0" borderId="0">
      <alignment vertical="center"/>
      <protection locked="0"/>
    </xf>
    <xf numFmtId="43" fontId="80" fillId="0" borderId="0" applyFont="0" applyFill="0" applyBorder="0" applyAlignment="0" applyProtection="0"/>
    <xf numFmtId="0" fontId="80" fillId="0" borderId="0" applyFont="0" applyFill="0" applyBorder="0" applyProtection="0"/>
    <xf numFmtId="212" fontId="27" fillId="0" borderId="0" applyFont="0" applyFill="0" applyBorder="0" applyAlignment="0" applyProtection="0"/>
    <xf numFmtId="0" fontId="80" fillId="47" borderId="0" applyNumberFormat="0" applyBorder="0" applyProtection="0"/>
    <xf numFmtId="0" fontId="80" fillId="48" borderId="0" applyNumberFormat="0" applyBorder="0" applyProtection="0"/>
    <xf numFmtId="0" fontId="22" fillId="22" borderId="0" applyNumberFormat="0" applyBorder="0" applyProtection="0"/>
    <xf numFmtId="43" fontId="11" fillId="0" borderId="0" applyFont="0" applyFill="0" applyBorder="0" applyAlignment="0" applyProtection="0"/>
    <xf numFmtId="0" fontId="112" fillId="49" borderId="0" applyNumberFormat="0" applyBorder="0" applyProtection="0"/>
    <xf numFmtId="0" fontId="112" fillId="49" borderId="0" applyNumberFormat="0" applyBorder="0" applyProtection="0"/>
    <xf numFmtId="4" fontId="80" fillId="0" borderId="26">
      <alignment horizontal="right"/>
    </xf>
    <xf numFmtId="4" fontId="80" fillId="0" borderId="26">
      <alignment horizontal="right"/>
    </xf>
    <xf numFmtId="4" fontId="102" fillId="0" borderId="26">
      <alignment horizontal="right" vertical="center"/>
    </xf>
    <xf numFmtId="4" fontId="102" fillId="0" borderId="26">
      <alignment horizontal="right" vertical="center"/>
    </xf>
    <xf numFmtId="4" fontId="80" fillId="0" borderId="26">
      <alignment horizontal="right"/>
    </xf>
    <xf numFmtId="4" fontId="80" fillId="0" borderId="26">
      <alignment horizontal="right"/>
    </xf>
    <xf numFmtId="10" fontId="80" fillId="0" borderId="26" applyAlignment="0"/>
    <xf numFmtId="0" fontId="102" fillId="0" borderId="26">
      <alignment horizontal="right" vertical="center"/>
    </xf>
    <xf numFmtId="0" fontId="102" fillId="0" borderId="26">
      <alignment horizontal="right" vertical="center"/>
    </xf>
    <xf numFmtId="10" fontId="80" fillId="0" borderId="26" applyAlignment="0"/>
    <xf numFmtId="0" fontId="90" fillId="45" borderId="20" applyNumberFormat="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46"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178"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1" fontId="80" fillId="0" borderId="0" applyFont="0" applyFill="0" applyBorder="0" applyAlignment="0" applyProtection="0"/>
    <xf numFmtId="43" fontId="11"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1" fontId="80" fillId="0" borderId="0" applyFont="0" applyFill="0" applyBorder="0" applyAlignment="0" applyProtection="0"/>
    <xf numFmtId="43" fontId="113" fillId="0" borderId="0" applyFont="0" applyAlignment="0" applyProtection="0"/>
    <xf numFmtId="43" fontId="11" fillId="0" borderId="0" applyFont="0" applyFill="0" applyBorder="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11" fillId="0" borderId="0" applyFont="0" applyFill="0" applyBorder="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113"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Alignment="0"/>
    <xf numFmtId="41" fontId="80" fillId="0" borderId="0" applyFont="0" applyFill="0" applyBorder="0" applyAlignment="0" applyProtection="0"/>
    <xf numFmtId="43" fontId="80" fillId="0" borderId="0" applyFont="0" applyFill="0" applyBorder="0" applyAlignment="0" applyProtection="0"/>
    <xf numFmtId="43" fontId="113" fillId="0" borderId="0" applyAlignment="0"/>
    <xf numFmtId="41" fontId="80" fillId="0" borderId="0" applyFont="0" applyFill="0" applyBorder="0" applyAlignment="0" applyProtection="0"/>
    <xf numFmtId="41" fontId="80" fillId="0" borderId="0" applyFont="0" applyFill="0" applyBorder="0" applyAlignment="0" applyProtection="0"/>
    <xf numFmtId="43" fontId="80" fillId="0" borderId="0" applyAlignment="0"/>
    <xf numFmtId="43" fontId="80" fillId="0" borderId="0" applyAlignment="0"/>
    <xf numFmtId="41" fontId="80" fillId="0" borderId="0" applyFont="0" applyFill="0" applyBorder="0" applyAlignment="0" applyProtection="0"/>
    <xf numFmtId="43" fontId="80" fillId="0" borderId="0" applyAlignment="0"/>
    <xf numFmtId="43" fontId="80" fillId="0" borderId="0" applyAlignment="0"/>
    <xf numFmtId="43" fontId="11" fillId="0" borderId="0" applyFont="0" applyFill="0" applyBorder="0" applyAlignment="0" applyProtection="0"/>
    <xf numFmtId="41" fontId="80" fillId="0" borderId="0" applyFont="0" applyFill="0" applyBorder="0" applyAlignment="0" applyProtection="0"/>
    <xf numFmtId="43" fontId="113" fillId="0" borderId="0" applyAlignment="0"/>
    <xf numFmtId="41" fontId="46" fillId="0" borderId="0" applyFont="0" applyFill="0" applyBorder="0" applyAlignment="0" applyProtection="0"/>
    <xf numFmtId="43" fontId="80" fillId="0" borderId="0" applyAlignment="0"/>
    <xf numFmtId="43" fontId="80" fillId="0" borderId="0" applyAlignment="0"/>
    <xf numFmtId="43" fontId="80"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113"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0" fontId="114" fillId="0" borderId="0"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54" fillId="35" borderId="26"/>
    <xf numFmtId="0" fontId="54" fillId="35" borderId="26"/>
    <xf numFmtId="0" fontId="102" fillId="0" borderId="26" applyAlignment="0"/>
    <xf numFmtId="0" fontId="102" fillId="0" borderId="26" applyAlignment="0"/>
    <xf numFmtId="0" fontId="92" fillId="46" borderId="0" applyNumberFormat="0" applyBorder="0" applyAlignment="0" applyProtection="0"/>
    <xf numFmtId="0" fontId="92" fillId="46" borderId="0" applyNumberFormat="0" applyBorder="0" applyProtection="0"/>
    <xf numFmtId="0" fontId="92" fillId="46" borderId="0" applyNumberFormat="0" applyBorder="0" applyProtection="0"/>
    <xf numFmtId="0" fontId="56" fillId="0" borderId="27" applyNumberFormat="0" applyProtection="0"/>
    <xf numFmtId="0" fontId="56" fillId="0" borderId="11">
      <alignment horizontal="left" vertical="center"/>
    </xf>
    <xf numFmtId="0" fontId="115" fillId="50" borderId="26">
      <alignment horizontal="center" vertical="center"/>
    </xf>
    <xf numFmtId="0" fontId="115" fillId="50" borderId="26">
      <alignment horizontal="center" vertical="center"/>
    </xf>
    <xf numFmtId="0" fontId="34"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116" fillId="0" borderId="0" applyNumberFormat="0" applyFill="0" applyBorder="0" applyProtection="0"/>
    <xf numFmtId="0" fontId="21" fillId="0" borderId="0" applyNumberFormat="0" applyFill="0" applyBorder="0" applyAlignment="0" applyProtection="0"/>
    <xf numFmtId="0" fontId="21" fillId="0" borderId="0" applyNumberFormat="0" applyFill="0" applyBorder="0" applyProtection="0"/>
    <xf numFmtId="0" fontId="54" fillId="6" borderId="26" applyNumberFormat="0" applyBorder="0" applyAlignment="0" applyProtection="0"/>
    <xf numFmtId="0" fontId="54" fillId="6" borderId="26" applyNumberFormat="0" applyBorder="0" applyAlignment="0" applyProtection="0"/>
    <xf numFmtId="0" fontId="117" fillId="51" borderId="0" applyNumberFormat="0" applyBorder="0" applyProtection="0"/>
    <xf numFmtId="0" fontId="11" fillId="0" borderId="0"/>
    <xf numFmtId="0" fontId="80" fillId="0" borderId="0"/>
    <xf numFmtId="0" fontId="80" fillId="0" borderId="0"/>
    <xf numFmtId="0" fontId="80" fillId="0" borderId="0" applyAlignment="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applyAlignment="0"/>
    <xf numFmtId="0" fontId="113" fillId="0" borderId="0" applyAlignment="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13" fontId="118" fillId="0" borderId="0" applyAlignment="0">
      <protection locked="0"/>
    </xf>
    <xf numFmtId="0" fontId="80" fillId="0" borderId="0"/>
    <xf numFmtId="0" fontId="39" fillId="0" borderId="0"/>
    <xf numFmtId="0" fontId="80" fillId="0" borderId="0" applyAlignment="0"/>
    <xf numFmtId="0" fontId="14" fillId="0" borderId="0"/>
    <xf numFmtId="0" fontId="14" fillId="0" borderId="0"/>
    <xf numFmtId="0" fontId="80" fillId="0" borderId="0"/>
    <xf numFmtId="0" fontId="80" fillId="0" borderId="0"/>
    <xf numFmtId="0" fontId="113" fillId="0" borderId="0" applyAlignment="0"/>
    <xf numFmtId="0" fontId="80" fillId="0" borderId="0"/>
    <xf numFmtId="0" fontId="7" fillId="0" borderId="0"/>
    <xf numFmtId="0" fontId="80" fillId="0" borderId="0" applyAlignment="0"/>
    <xf numFmtId="0" fontId="80" fillId="0" borderId="0" applyAlignment="0"/>
    <xf numFmtId="0" fontId="80" fillId="0" borderId="0" applyAlignment="0"/>
    <xf numFmtId="0" fontId="80" fillId="0" borderId="0"/>
    <xf numFmtId="0" fontId="80" fillId="0" borderId="0" applyAlignment="0"/>
    <xf numFmtId="0" fontId="113" fillId="0" borderId="0" applyAlignment="0"/>
    <xf numFmtId="0" fontId="80" fillId="0" borderId="0" applyAlignment="0"/>
    <xf numFmtId="0" fontId="7" fillId="0" borderId="0" applyAlignment="0"/>
    <xf numFmtId="0" fontId="80" fillId="0" borderId="0">
      <alignment vertical="center"/>
    </xf>
    <xf numFmtId="0" fontId="80" fillId="0" borderId="0" applyAlignment="0"/>
    <xf numFmtId="0" fontId="113" fillId="0" borderId="0" applyAlignment="0"/>
    <xf numFmtId="0" fontId="80" fillId="0" borderId="0"/>
    <xf numFmtId="0" fontId="80" fillId="0" borderId="0"/>
    <xf numFmtId="0" fontId="119" fillId="0" borderId="0" applyAlignment="0"/>
    <xf numFmtId="0" fontId="80" fillId="0" borderId="0"/>
    <xf numFmtId="0" fontId="80" fillId="0" borderId="0"/>
    <xf numFmtId="0" fontId="80" fillId="0" borderId="0"/>
    <xf numFmtId="0" fontId="80" fillId="0" borderId="0"/>
    <xf numFmtId="0" fontId="80" fillId="0" borderId="0"/>
    <xf numFmtId="213" fontId="80" fillId="0" borderId="0">
      <protection locked="0"/>
    </xf>
    <xf numFmtId="0" fontId="46" fillId="0" borderId="0" applyAlignment="0">
      <protection locked="0"/>
    </xf>
    <xf numFmtId="0" fontId="27" fillId="0" borderId="0"/>
    <xf numFmtId="207" fontId="41" fillId="0" borderId="0">
      <protection locked="0"/>
    </xf>
    <xf numFmtId="9" fontId="80" fillId="0" borderId="0" applyAlignment="0"/>
    <xf numFmtId="0" fontId="46" fillId="0" borderId="0" applyAlignment="0">
      <protection locked="0"/>
    </xf>
    <xf numFmtId="0" fontId="80" fillId="0" borderId="0"/>
    <xf numFmtId="9" fontId="113" fillId="0" borderId="0" applyAlignment="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applyAlignment="0"/>
    <xf numFmtId="43" fontId="61" fillId="0" borderId="0" applyAlignment="0"/>
    <xf numFmtId="0" fontId="113" fillId="0" borderId="0"/>
    <xf numFmtId="0" fontId="80" fillId="0" borderId="0"/>
    <xf numFmtId="0" fontId="80" fillId="0" borderId="0"/>
    <xf numFmtId="0" fontId="80" fillId="0" borderId="0">
      <alignment vertical="center"/>
    </xf>
    <xf numFmtId="188" fontId="80" fillId="0" borderId="0" applyFont="0" applyFill="0" applyBorder="0" applyAlignment="0" applyProtection="0"/>
    <xf numFmtId="9" fontId="80" fillId="0" borderId="0" applyAlignment="0"/>
    <xf numFmtId="188" fontId="80" fillId="0" borderId="0" applyFont="0" applyFill="0" applyBorder="0" applyAlignment="0" applyProtection="0"/>
    <xf numFmtId="9" fontId="11" fillId="0" borderId="0" applyFont="0" applyFill="0" applyBorder="0" applyAlignment="0" applyProtection="0"/>
    <xf numFmtId="188" fontId="80" fillId="0" borderId="0" applyFont="0" applyFill="0" applyBorder="0" applyAlignment="0" applyProtection="0"/>
    <xf numFmtId="188" fontId="80" fillId="0" borderId="0" applyFont="0" applyFill="0" applyBorder="0" applyAlignment="0" applyProtection="0"/>
    <xf numFmtId="9" fontId="27" fillId="0" borderId="0" applyFont="0" applyFill="0" applyBorder="0" applyAlignment="0" applyProtection="0"/>
    <xf numFmtId="9" fontId="80" fillId="0" borderId="0" applyFont="0" applyFill="0" applyBorder="0" applyProtection="0"/>
    <xf numFmtId="188" fontId="80" fillId="0" borderId="0" applyFont="0" applyFill="0" applyBorder="0" applyAlignment="0" applyProtection="0"/>
    <xf numFmtId="188" fontId="80" fillId="0" borderId="0" applyFont="0" applyFill="0" applyBorder="0" applyAlignment="0" applyProtection="0"/>
    <xf numFmtId="9" fontId="113" fillId="0" borderId="0" applyAlignment="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Protection="0"/>
    <xf numFmtId="9" fontId="80" fillId="0" borderId="0" applyFont="0" applyFill="0" applyBorder="0" applyProtection="0"/>
    <xf numFmtId="9" fontId="80" fillId="0" borderId="0" applyFont="0" applyFill="0" applyBorder="0" applyProtection="0"/>
    <xf numFmtId="9" fontId="80" fillId="0" borderId="0" applyFont="0" applyFill="0" applyBorder="0" applyProtection="0"/>
    <xf numFmtId="0" fontId="54" fillId="7" borderId="26"/>
    <xf numFmtId="0" fontId="54" fillId="7" borderId="26"/>
    <xf numFmtId="0" fontId="18" fillId="13" borderId="28" applyNumberFormat="0" applyProtection="0">
      <alignment vertical="center"/>
    </xf>
    <xf numFmtId="0" fontId="18" fillId="13" borderId="28" applyNumberFormat="0" applyProtection="0">
      <alignment vertical="center"/>
    </xf>
    <xf numFmtId="0" fontId="18" fillId="13" borderId="28" applyNumberFormat="0" applyProtection="0">
      <alignment vertical="center"/>
    </xf>
    <xf numFmtId="0" fontId="18"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7" fillId="9" borderId="28" applyNumberFormat="0" applyProtection="0">
      <alignment horizontal="right" vertical="center"/>
    </xf>
    <xf numFmtId="0" fontId="17" fillId="9" borderId="28" applyNumberFormat="0" applyProtection="0">
      <alignment horizontal="right" vertical="center"/>
    </xf>
    <xf numFmtId="0" fontId="17" fillId="9" borderId="28" applyNumberFormat="0" applyProtection="0">
      <alignment horizontal="right" vertical="center"/>
    </xf>
    <xf numFmtId="0" fontId="17" fillId="9"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8" fillId="29" borderId="29" applyNumberFormat="0" applyProtection="0">
      <alignment horizontal="left" vertical="center" indent="1"/>
    </xf>
    <xf numFmtId="0" fontId="17" fillId="14" borderId="28" applyNumberFormat="0" applyProtection="0">
      <alignment horizontal="right" vertical="center"/>
    </xf>
    <xf numFmtId="0" fontId="17" fillId="14" borderId="28" applyNumberFormat="0" applyProtection="0">
      <alignment horizontal="right" vertical="center"/>
    </xf>
    <xf numFmtId="0" fontId="17" fillId="14" borderId="28" applyNumberFormat="0" applyProtection="0">
      <alignment horizontal="right" vertical="center"/>
    </xf>
    <xf numFmtId="0" fontId="17" fillId="14" borderId="28" applyNumberFormat="0" applyProtection="0">
      <alignment horizontal="right" vertical="center"/>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7" fillId="6" borderId="28" applyNumberFormat="0" applyProtection="0">
      <alignment vertical="center"/>
    </xf>
    <xf numFmtId="0" fontId="17" fillId="6" borderId="28" applyNumberFormat="0" applyProtection="0">
      <alignment vertical="center"/>
    </xf>
    <xf numFmtId="0" fontId="17" fillId="6" borderId="28" applyNumberFormat="0" applyProtection="0">
      <alignment vertical="center"/>
    </xf>
    <xf numFmtId="0" fontId="17"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16" borderId="28" applyNumberFormat="0" applyProtection="0">
      <alignment horizontal="right" vertical="center"/>
    </xf>
    <xf numFmtId="0" fontId="17" fillId="16" borderId="28" applyNumberFormat="0" applyProtection="0">
      <alignment horizontal="right" vertical="center"/>
    </xf>
    <xf numFmtId="0" fontId="17" fillId="16" borderId="28" applyNumberFormat="0" applyProtection="0">
      <alignment horizontal="right" vertical="center"/>
    </xf>
    <xf numFmtId="0" fontId="17"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20" fillId="16" borderId="28" applyNumberFormat="0" applyProtection="0">
      <alignment horizontal="right" vertical="center"/>
    </xf>
    <xf numFmtId="0" fontId="20" fillId="16" borderId="28" applyNumberFormat="0" applyProtection="0">
      <alignment horizontal="right" vertical="center"/>
    </xf>
    <xf numFmtId="0" fontId="20" fillId="16" borderId="28" applyNumberFormat="0" applyProtection="0">
      <alignment horizontal="right" vertical="center"/>
    </xf>
    <xf numFmtId="0" fontId="20" fillId="16" borderId="28" applyNumberFormat="0" applyProtection="0">
      <alignment horizontal="right" vertical="center"/>
    </xf>
    <xf numFmtId="9" fontId="61" fillId="0" borderId="0" applyAlignment="0"/>
    <xf numFmtId="9" fontId="80" fillId="0" borderId="0" applyFont="0" applyFill="0" applyBorder="0" applyAlignment="0" applyProtection="0"/>
    <xf numFmtId="9" fontId="14" fillId="0" borderId="0" applyFont="0" applyFill="0" applyBorder="0" applyProtection="0"/>
    <xf numFmtId="0" fontId="80" fillId="0" borderId="0"/>
    <xf numFmtId="0" fontId="80" fillId="0" borderId="0"/>
    <xf numFmtId="0" fontId="61" fillId="0" borderId="0">
      <protection locked="0"/>
    </xf>
    <xf numFmtId="0" fontId="80" fillId="0" borderId="0"/>
    <xf numFmtId="0" fontId="120" fillId="0" borderId="0">
      <alignment vertical="center"/>
    </xf>
    <xf numFmtId="0" fontId="120" fillId="0" borderId="0">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applyAlignment="0"/>
    <xf numFmtId="0" fontId="11" fillId="0" borderId="0">
      <protection locked="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applyNumberFormat="0" applyFill="0" applyBorder="0" applyAlignment="0" applyProtection="0"/>
    <xf numFmtId="0" fontId="80" fillId="0" borderId="0">
      <alignment vertical="center"/>
      <protection locked="0"/>
    </xf>
    <xf numFmtId="43" fontId="11" fillId="0" borderId="0" applyFont="0" applyFill="0" applyBorder="0" applyAlignment="0" applyProtection="0"/>
    <xf numFmtId="43" fontId="80" fillId="0" borderId="0" applyFont="0" applyProtection="0"/>
    <xf numFmtId="43" fontId="80" fillId="0" borderId="0" applyFont="0" applyFill="0" applyBorder="0" applyProtection="0"/>
    <xf numFmtId="43" fontId="80" fillId="0" borderId="0" applyFont="0" applyProtection="0"/>
    <xf numFmtId="43" fontId="11" fillId="0" borderId="0" applyFont="0" applyFill="0" applyBorder="0" applyAlignment="0" applyProtection="0"/>
    <xf numFmtId="43" fontId="80" fillId="0" borderId="0" applyFont="0" applyFill="0" applyBorder="0" applyProtection="0"/>
    <xf numFmtId="43" fontId="80" fillId="0" borderId="0" applyFont="0" applyProtection="0"/>
    <xf numFmtId="43" fontId="80" fillId="0" borderId="0" applyFont="0" applyProtection="0"/>
    <xf numFmtId="43" fontId="61" fillId="0" borderId="0" applyAlignment="0"/>
    <xf numFmtId="43" fontId="61" fillId="0" borderId="0" applyAlignment="0"/>
    <xf numFmtId="43" fontId="11" fillId="0" borderId="0" applyFont="0" applyFill="0" applyBorder="0" applyAlignme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Fill="0" applyBorder="0" applyProtection="0"/>
    <xf numFmtId="43" fontId="80" fillId="0" borderId="0" applyFont="0" applyProtection="0"/>
    <xf numFmtId="43" fontId="80" fillId="0" borderId="0" applyFont="0" applyProtection="0"/>
    <xf numFmtId="43" fontId="80" fillId="0" borderId="0" applyFont="0" applyProtection="0"/>
    <xf numFmtId="43" fontId="80" fillId="0" borderId="0" applyFo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Protection="0"/>
    <xf numFmtId="43" fontId="80" fillId="0" borderId="0" applyFo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0" fontId="31" fillId="13" borderId="0" applyNumberFormat="0" applyBorder="0" applyProtection="0"/>
    <xf numFmtId="0" fontId="31" fillId="52" borderId="0" applyNumberFormat="0" applyBorder="0" applyProtection="0"/>
    <xf numFmtId="0" fontId="31" fillId="52" borderId="0" applyNumberFormat="0" applyBorder="0" applyProtection="0"/>
    <xf numFmtId="0" fontId="31" fillId="15" borderId="0" applyNumberFormat="0" applyBorder="0" applyProtection="0"/>
    <xf numFmtId="0" fontId="31" fillId="13" borderId="0" applyNumberFormat="0" applyBorder="0" applyProtection="0"/>
    <xf numFmtId="0" fontId="31" fillId="17" borderId="0" applyNumberFormat="0" applyBorder="0" applyProtection="0"/>
    <xf numFmtId="0" fontId="11" fillId="0" borderId="26" applyNumberFormat="0"/>
    <xf numFmtId="0" fontId="11" fillId="0" borderId="26" applyNumberFormat="0"/>
    <xf numFmtId="0" fontId="80" fillId="0" borderId="0"/>
    <xf numFmtId="0" fontId="122" fillId="0" borderId="0"/>
    <xf numFmtId="43" fontId="27" fillId="0" borderId="0" applyFont="0" applyFill="0" applyBorder="0" applyAlignment="0" applyProtection="0"/>
    <xf numFmtId="43" fontId="80" fillId="0" borderId="0" applyFont="0" applyFill="0" applyBorder="0" applyAlignment="0" applyProtection="0"/>
    <xf numFmtId="9" fontId="80" fillId="0" borderId="0" applyFont="0" applyFill="0" applyBorder="0" applyAlignment="0" applyProtection="0"/>
    <xf numFmtId="0" fontId="4" fillId="0" borderId="0"/>
    <xf numFmtId="0" fontId="36" fillId="0" borderId="0" applyNumberFormat="0" applyFill="0" applyBorder="0">
      <protection locked="0"/>
    </xf>
    <xf numFmtId="43" fontId="80" fillId="0" borderId="0" applyFont="0" applyFill="0" applyBorder="0" applyAlignment="0" applyProtection="0"/>
    <xf numFmtId="0" fontId="4" fillId="0" borderId="0"/>
    <xf numFmtId="0" fontId="80" fillId="0" borderId="0"/>
    <xf numFmtId="0" fontId="4" fillId="0" borderId="0"/>
    <xf numFmtId="0" fontId="80" fillId="0" borderId="0"/>
    <xf numFmtId="43" fontId="80" fillId="0" borderId="0" applyFont="0" applyFill="0" applyBorder="0" applyAlignment="0" applyProtection="0"/>
    <xf numFmtId="0" fontId="4" fillId="0" borderId="0"/>
    <xf numFmtId="0" fontId="4" fillId="0" borderId="0"/>
    <xf numFmtId="43" fontId="80" fillId="0" borderId="0" applyFont="0" applyFill="0" applyBorder="0" applyAlignment="0" applyProtection="0"/>
    <xf numFmtId="0" fontId="14" fillId="0" borderId="0"/>
    <xf numFmtId="0" fontId="94" fillId="0" borderId="0" applyNumberFormat="0" applyFill="0" applyBorder="0" applyAlignment="0" applyProtection="0"/>
    <xf numFmtId="0" fontId="94" fillId="0" borderId="0" applyNumberFormat="0" applyFill="0" applyBorder="0" applyAlignment="0" applyProtection="0"/>
    <xf numFmtId="0" fontId="18" fillId="13" borderId="30" applyNumberFormat="0" applyProtection="0">
      <alignment vertical="center"/>
    </xf>
    <xf numFmtId="0" fontId="18" fillId="13" borderId="30" applyNumberFormat="0" applyProtection="0">
      <alignment vertical="center"/>
    </xf>
    <xf numFmtId="0" fontId="18" fillId="13" borderId="30" applyNumberFormat="0" applyProtection="0">
      <alignment vertical="center"/>
    </xf>
    <xf numFmtId="0" fontId="18"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7" fillId="9" borderId="30" applyNumberFormat="0" applyProtection="0">
      <alignment horizontal="right" vertical="center"/>
    </xf>
    <xf numFmtId="0" fontId="17" fillId="9" borderId="30" applyNumberFormat="0" applyProtection="0">
      <alignment horizontal="right" vertical="center"/>
    </xf>
    <xf numFmtId="0" fontId="17" fillId="9" borderId="30" applyNumberFormat="0" applyProtection="0">
      <alignment horizontal="right" vertical="center"/>
    </xf>
    <xf numFmtId="0" fontId="17" fillId="9"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7" fillId="6" borderId="30" applyNumberFormat="0" applyProtection="0">
      <alignment vertical="center"/>
    </xf>
    <xf numFmtId="0" fontId="17" fillId="6" borderId="30" applyNumberFormat="0" applyProtection="0">
      <alignment vertical="center"/>
    </xf>
    <xf numFmtId="0" fontId="17" fillId="6" borderId="30" applyNumberFormat="0" applyProtection="0">
      <alignment vertical="center"/>
    </xf>
    <xf numFmtId="0" fontId="17"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16" borderId="30" applyNumberFormat="0" applyProtection="0">
      <alignment horizontal="right" vertical="center"/>
    </xf>
    <xf numFmtId="0" fontId="17" fillId="16" borderId="30" applyNumberFormat="0" applyProtection="0">
      <alignment horizontal="right" vertical="center"/>
    </xf>
    <xf numFmtId="0" fontId="17" fillId="16" borderId="30" applyNumberFormat="0" applyProtection="0">
      <alignment horizontal="right" vertical="center"/>
    </xf>
    <xf numFmtId="0" fontId="17"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20" fillId="16" borderId="30" applyNumberFormat="0" applyProtection="0">
      <alignment horizontal="right" vertical="center"/>
    </xf>
    <xf numFmtId="0" fontId="20" fillId="16" borderId="30" applyNumberFormat="0" applyProtection="0">
      <alignment horizontal="right" vertical="center"/>
    </xf>
    <xf numFmtId="0" fontId="20" fillId="16" borderId="30" applyNumberFormat="0" applyProtection="0">
      <alignment horizontal="right" vertical="center"/>
    </xf>
    <xf numFmtId="0" fontId="20" fillId="16" borderId="30" applyNumberFormat="0" applyProtection="0">
      <alignment horizontal="right" vertical="center"/>
    </xf>
    <xf numFmtId="0" fontId="3" fillId="0" borderId="0">
      <alignment vertical="center"/>
    </xf>
    <xf numFmtId="0" fontId="3" fillId="0" borderId="0"/>
    <xf numFmtId="0" fontId="3" fillId="0" borderId="0"/>
    <xf numFmtId="180" fontId="3" fillId="0" borderId="0" applyFont="0" applyFill="0" applyBorder="0" applyAlignment="0" applyProtection="0"/>
    <xf numFmtId="0" fontId="3" fillId="0" borderId="0"/>
    <xf numFmtId="0" fontId="3" fillId="0" borderId="0">
      <alignment vertical="center"/>
    </xf>
    <xf numFmtId="0" fontId="3" fillId="0" borderId="0"/>
    <xf numFmtId="0" fontId="3" fillId="0" borderId="0"/>
    <xf numFmtId="180" fontId="3" fillId="0" borderId="0" applyFont="0" applyFill="0" applyBorder="0" applyAlignment="0" applyProtection="0"/>
    <xf numFmtId="0" fontId="3" fillId="0" borderId="0" applyAlignment="0"/>
    <xf numFmtId="9" fontId="3" fillId="0" borderId="0" applyFont="0" applyFill="0" applyBorder="0" applyAlignment="0" applyProtection="0"/>
    <xf numFmtId="0" fontId="2" fillId="0" borderId="0"/>
    <xf numFmtId="0" fontId="7" fillId="0" borderId="0"/>
    <xf numFmtId="180" fontId="2" fillId="0" borderId="0" applyFont="0" applyFill="0" applyBorder="0" applyAlignment="0" applyProtection="0"/>
    <xf numFmtId="0" fontId="9" fillId="0" borderId="0"/>
    <xf numFmtId="181" fontId="37" fillId="0" borderId="0" applyFont="0" applyFill="0" applyBorder="0" applyAlignment="0" applyProtection="0"/>
    <xf numFmtId="9" fontId="2" fillId="0" borderId="0" applyFont="0" applyFill="0" applyBorder="0" applyAlignment="0" applyProtection="0"/>
    <xf numFmtId="181" fontId="2" fillId="0" borderId="0" applyFont="0" applyFill="0" applyBorder="0" applyAlignment="0" applyProtection="0"/>
    <xf numFmtId="0" fontId="81" fillId="0" borderId="0" applyNumberFormat="0" applyFill="0" applyBorder="0" applyAlignment="0" applyProtection="0"/>
    <xf numFmtId="180" fontId="11" fillId="0" borderId="0" applyFont="0" applyFill="0" applyBorder="0" applyAlignment="0" applyProtection="0"/>
    <xf numFmtId="0" fontId="11" fillId="0" borderId="0"/>
    <xf numFmtId="0" fontId="2" fillId="0" borderId="0"/>
    <xf numFmtId="0" fontId="134" fillId="0" borderId="0"/>
    <xf numFmtId="0" fontId="135" fillId="0" borderId="0"/>
    <xf numFmtId="180" fontId="134" fillId="0" borderId="0" applyFont="0" applyFill="0" applyBorder="0" applyAlignment="0" applyProtection="0"/>
    <xf numFmtId="0" fontId="135"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0" fontId="1" fillId="0" borderId="0"/>
    <xf numFmtId="0" fontId="1" fillId="0" borderId="0">
      <alignment vertical="center"/>
      <protection locked="0"/>
    </xf>
    <xf numFmtId="43" fontId="1" fillId="0" borderId="0" applyFont="0" applyFill="0" applyBorder="0" applyAlignment="0" applyProtection="0"/>
    <xf numFmtId="0" fontId="1" fillId="0" borderId="0" applyFont="0" applyFill="0" applyBorder="0" applyProtection="0"/>
    <xf numFmtId="0" fontId="1" fillId="47" borderId="0" applyNumberFormat="0" applyBorder="0" applyProtection="0"/>
    <xf numFmtId="0" fontId="1" fillId="48" borderId="0" applyNumberFormat="0" applyBorder="0" applyProtection="0"/>
    <xf numFmtId="4" fontId="1" fillId="0" borderId="33">
      <alignment horizontal="right"/>
    </xf>
    <xf numFmtId="4" fontId="1" fillId="0" borderId="33">
      <alignment horizontal="right"/>
    </xf>
    <xf numFmtId="4" fontId="102" fillId="0" borderId="33">
      <alignment horizontal="right" vertical="center"/>
    </xf>
    <xf numFmtId="4" fontId="102" fillId="0" borderId="33">
      <alignment horizontal="right" vertical="center"/>
    </xf>
    <xf numFmtId="4" fontId="1" fillId="0" borderId="33">
      <alignment horizontal="right"/>
    </xf>
    <xf numFmtId="4" fontId="1" fillId="0" borderId="33">
      <alignment horizontal="right"/>
    </xf>
    <xf numFmtId="10" fontId="1" fillId="0" borderId="33" applyAlignment="0"/>
    <xf numFmtId="0" fontId="102" fillId="0" borderId="33">
      <alignment horizontal="right" vertical="center"/>
    </xf>
    <xf numFmtId="0" fontId="102" fillId="0" borderId="33">
      <alignment horizontal="right" vertical="center"/>
    </xf>
    <xf numFmtId="10" fontId="1" fillId="0" borderId="33" applyAlignment="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54" fillId="35" borderId="33"/>
    <xf numFmtId="0" fontId="54" fillId="35" borderId="33"/>
    <xf numFmtId="0" fontId="102" fillId="0" borderId="33" applyAlignment="0"/>
    <xf numFmtId="0" fontId="102" fillId="0" borderId="33" applyAlignment="0"/>
    <xf numFmtId="0" fontId="115" fillId="50" borderId="33">
      <alignment horizontal="center" vertical="center"/>
    </xf>
    <xf numFmtId="0" fontId="115" fillId="50" borderId="33">
      <alignment horizontal="center" vertical="center"/>
    </xf>
    <xf numFmtId="0" fontId="54" fillId="6" borderId="33" applyNumberFormat="0" applyBorder="0" applyAlignment="0" applyProtection="0"/>
    <xf numFmtId="0" fontId="54" fillId="6" borderId="33" applyNumberFormat="0" applyBorder="0" applyAlignment="0" applyProtection="0"/>
    <xf numFmtId="0" fontId="1" fillId="0" borderId="0" applyAlignment="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applyAlignment="0"/>
    <xf numFmtId="0" fontId="1" fillId="0" borderId="0" applyAlignment="0"/>
    <xf numFmtId="0" fontId="1" fillId="0" borderId="0" applyAlignment="0"/>
    <xf numFmtId="0" fontId="1" fillId="0" borderId="0"/>
    <xf numFmtId="0" fontId="1" fillId="0" borderId="0" applyAlignment="0"/>
    <xf numFmtId="0" fontId="1" fillId="0" borderId="0" applyAlignment="0"/>
    <xf numFmtId="0" fontId="1" fillId="0" borderId="0">
      <alignment vertical="center"/>
    </xf>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 fillId="0" borderId="0">
      <protection locked="0"/>
    </xf>
    <xf numFmtId="9"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88" fontId="1" fillId="0" borderId="0" applyFont="0" applyFill="0" applyBorder="0" applyAlignment="0" applyProtection="0"/>
    <xf numFmtId="9" fontId="1" fillId="0" borderId="0" applyAlignment="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9" fontId="1" fillId="0" borderId="0" applyFont="0" applyFill="0" applyBorder="0" applyProtection="0"/>
    <xf numFmtId="188" fontId="1" fillId="0" borderId="0" applyFont="0" applyFill="0" applyBorder="0" applyAlignment="0" applyProtection="0"/>
    <xf numFmtId="188"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0" fontId="54" fillId="7" borderId="33"/>
    <xf numFmtId="0" fontId="54" fillId="7" borderId="33"/>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8" fillId="29" borderId="34" applyNumberFormat="0" applyProtection="0">
      <alignment horizontal="left" vertical="center" indent="1"/>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33" applyNumberFormat="0"/>
    <xf numFmtId="0" fontId="11" fillId="0" borderId="33" applyNumberFormat="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xf numFmtId="0" fontId="1" fillId="0" borderId="0"/>
    <xf numFmtId="0" fontId="2" fillId="0" borderId="0"/>
    <xf numFmtId="0" fontId="1" fillId="0" borderId="0"/>
    <xf numFmtId="43" fontId="1" fillId="0" borderId="0" applyFont="0" applyFill="0" applyBorder="0" applyAlignment="0" applyProtection="0"/>
    <xf numFmtId="0" fontId="2" fillId="0" borderId="0"/>
    <xf numFmtId="0" fontId="1" fillId="0" borderId="0">
      <alignment vertical="center"/>
    </xf>
    <xf numFmtId="0" fontId="1" fillId="0" borderId="0">
      <alignment vertical="center"/>
    </xf>
    <xf numFmtId="0" fontId="2" fillId="0" borderId="0"/>
    <xf numFmtId="43" fontId="1" fillId="0" borderId="0" applyFont="0" applyFill="0" applyBorder="0" applyAlignment="0" applyProtection="0"/>
    <xf numFmtId="0" fontId="1" fillId="0" borderId="0">
      <alignment vertical="center"/>
    </xf>
    <xf numFmtId="0" fontId="1" fillId="0" borderId="0"/>
    <xf numFmtId="0" fontId="77" fillId="0" borderId="0">
      <alignment vertical="center"/>
    </xf>
    <xf numFmtId="0" fontId="1" fillId="0" borderId="0">
      <alignment vertical="center"/>
    </xf>
    <xf numFmtId="0" fontId="1" fillId="0" borderId="0"/>
    <xf numFmtId="0" fontId="2" fillId="0" borderId="0"/>
    <xf numFmtId="43" fontId="2" fillId="0" borderId="0" applyFont="0" applyFill="0" applyBorder="0" applyAlignment="0" applyProtection="0"/>
    <xf numFmtId="0" fontId="134" fillId="0" borderId="0"/>
    <xf numFmtId="43" fontId="134" fillId="0" borderId="0" applyFont="0" applyFill="0" applyBorder="0" applyAlignment="0" applyProtection="0"/>
    <xf numFmtId="0" fontId="2" fillId="0" borderId="0"/>
    <xf numFmtId="43" fontId="11" fillId="0" borderId="0" applyFont="0" applyFill="0" applyBorder="0" applyAlignment="0" applyProtection="0"/>
    <xf numFmtId="182" fontId="11" fillId="0" borderId="0" applyFont="0" applyFill="0" applyBorder="0" applyAlignment="0" applyProtection="0"/>
    <xf numFmtId="182" fontId="13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7" fillId="0" borderId="0">
      <alignment vertical="top"/>
    </xf>
    <xf numFmtId="0" fontId="134" fillId="0" borderId="0"/>
    <xf numFmtId="43" fontId="2" fillId="0" borderId="0" applyFont="0" applyFill="0" applyBorder="0" applyAlignment="0" applyProtection="0"/>
    <xf numFmtId="0" fontId="2" fillId="0" borderId="0"/>
    <xf numFmtId="194" fontId="41" fillId="0" borderId="0" applyFont="0" applyFill="0" applyBorder="0" applyAlignment="0" applyProtection="0"/>
    <xf numFmtId="0" fontId="11" fillId="0" borderId="0">
      <alignment vertical="top"/>
    </xf>
    <xf numFmtId="194" fontId="41" fillId="0" borderId="0" applyFont="0" applyFill="0" applyBorder="0" applyAlignment="0" applyProtection="0"/>
    <xf numFmtId="0" fontId="2" fillId="0" borderId="0"/>
    <xf numFmtId="182" fontId="2" fillId="0" borderId="0" applyFont="0" applyFill="0" applyBorder="0" applyAlignment="0" applyProtection="0"/>
    <xf numFmtId="0" fontId="135" fillId="0" borderId="0"/>
    <xf numFmtId="0" fontId="135" fillId="0" borderId="0"/>
    <xf numFmtId="43" fontId="2" fillId="0" borderId="0" applyFont="0" applyFill="0" applyBorder="0" applyAlignment="0" applyProtection="0"/>
    <xf numFmtId="0" fontId="7" fillId="0" borderId="0"/>
    <xf numFmtId="43" fontId="7" fillId="0" borderId="0" applyFont="0" applyFill="0" applyBorder="0" applyAlignment="0" applyProtection="0"/>
    <xf numFmtId="182" fontId="7" fillId="0" borderId="0" applyFont="0" applyFill="0" applyBorder="0" applyAlignment="0" applyProtection="0"/>
    <xf numFmtId="9" fontId="7" fillId="0" borderId="0" applyFont="0" applyFill="0" applyBorder="0" applyAlignment="0" applyProtection="0"/>
    <xf numFmtId="0" fontId="11" fillId="0" borderId="0"/>
    <xf numFmtId="182" fontId="7" fillId="0" borderId="0" applyFont="0" applyFill="0" applyBorder="0" applyAlignment="0" applyProtection="0"/>
    <xf numFmtId="0" fontId="140" fillId="0" borderId="0"/>
    <xf numFmtId="0" fontId="2" fillId="0" borderId="0"/>
    <xf numFmtId="0" fontId="134" fillId="0" borderId="0"/>
    <xf numFmtId="0" fontId="141" fillId="0" borderId="0"/>
    <xf numFmtId="0" fontId="127" fillId="0" borderId="0" applyNumberFormat="0" applyFill="0" applyBorder="0" applyAlignment="0" applyProtection="0"/>
    <xf numFmtId="41" fontId="2" fillId="0" borderId="0" applyFont="0" applyFill="0" applyBorder="0" applyAlignment="0" applyProtection="0"/>
    <xf numFmtId="0" fontId="2" fillId="0" borderId="0"/>
    <xf numFmtId="0" fontId="2" fillId="0" borderId="0"/>
    <xf numFmtId="0" fontId="142" fillId="0" borderId="0"/>
    <xf numFmtId="43" fontId="142" fillId="0" borderId="0" applyFont="0" applyFill="0" applyBorder="0" applyAlignment="0" applyProtection="0"/>
    <xf numFmtId="182" fontId="17" fillId="0" borderId="0" applyFont="0" applyFill="0" applyBorder="0" applyAlignment="0" applyProtection="0">
      <alignment vertical="top"/>
    </xf>
    <xf numFmtId="0" fontId="16" fillId="0" borderId="0" applyNumberFormat="0" applyFill="0" applyBorder="0" applyAlignment="0" applyProtection="0">
      <alignment vertical="top"/>
      <protection locked="0"/>
    </xf>
    <xf numFmtId="43" fontId="11" fillId="0" borderId="0" applyFont="0" applyFill="0" applyBorder="0" applyAlignment="0" applyProtection="0"/>
    <xf numFmtId="0" fontId="81" fillId="0" borderId="0" applyNumberFormat="0" applyFill="0" applyBorder="0" applyAlignment="0" applyProtection="0"/>
    <xf numFmtId="0" fontId="9" fillId="0" borderId="0"/>
    <xf numFmtId="0" fontId="113" fillId="0" borderId="0"/>
    <xf numFmtId="0" fontId="81" fillId="0" borderId="0" applyNumberFormat="0" applyFill="0" applyBorder="0" applyAlignment="0" applyProtection="0"/>
    <xf numFmtId="9" fontId="2" fillId="0" borderId="0" applyFont="0" applyFill="0" applyBorder="0" applyAlignment="0" applyProtection="0"/>
    <xf numFmtId="188" fontId="2" fillId="0" borderId="0" applyFont="0" applyFill="0" applyBorder="0" applyAlignment="0" applyProtection="0"/>
    <xf numFmtId="0" fontId="9" fillId="0" borderId="0"/>
    <xf numFmtId="41" fontId="2" fillId="0" borderId="0" applyFont="0" applyFill="0" applyBorder="0" applyAlignment="0" applyProtection="0"/>
    <xf numFmtId="0" fontId="2" fillId="0" borderId="0"/>
    <xf numFmtId="0" fontId="2" fillId="0" borderId="0"/>
    <xf numFmtId="0" fontId="2" fillId="0" borderId="0"/>
    <xf numFmtId="0" fontId="7" fillId="0" borderId="0"/>
    <xf numFmtId="0" fontId="2" fillId="0" borderId="0"/>
    <xf numFmtId="0" fontId="7" fillId="0" borderId="0"/>
    <xf numFmtId="0" fontId="77" fillId="0" borderId="0"/>
    <xf numFmtId="0" fontId="17" fillId="6" borderId="30" applyNumberFormat="0" applyProtection="0">
      <alignment horizontal="left" vertical="center" indent="1"/>
    </xf>
    <xf numFmtId="0" fontId="77" fillId="0" borderId="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0" fontId="77" fillId="0" borderId="0"/>
    <xf numFmtId="43" fontId="77" fillId="0" borderId="0" applyFont="0" applyFill="0" applyBorder="0" applyAlignment="0" applyProtection="0"/>
    <xf numFmtId="0" fontId="17" fillId="9" borderId="30" applyNumberFormat="0" applyProtection="0">
      <alignment horizontal="right" vertical="center"/>
    </xf>
    <xf numFmtId="41" fontId="27" fillId="0" borderId="0" applyFont="0" applyFill="0" applyBorder="0" applyAlignment="0" applyProtection="0"/>
    <xf numFmtId="0" fontId="17" fillId="14" borderId="30" applyNumberFormat="0" applyProtection="0">
      <alignment horizontal="left" vertical="center" indent="1"/>
    </xf>
    <xf numFmtId="0" fontId="18" fillId="13" borderId="30" applyNumberFormat="0" applyProtection="0">
      <alignment horizontal="left" vertical="center" indent="1"/>
    </xf>
    <xf numFmtId="0" fontId="36" fillId="0" borderId="0" applyNumberFormat="0" applyFill="0" applyBorder="0">
      <protection locked="0"/>
    </xf>
    <xf numFmtId="0" fontId="11" fillId="16" borderId="30" applyNumberFormat="0" applyProtection="0">
      <alignment horizontal="left" vertical="top" indent="1"/>
    </xf>
    <xf numFmtId="41" fontId="77" fillId="0" borderId="0" applyFont="0" applyFill="0" applyBorder="0" applyAlignment="0" applyProtection="0"/>
    <xf numFmtId="193" fontId="27" fillId="0" borderId="0" applyFont="0" applyFill="0" applyBorder="0" applyAlignment="0" applyProtection="0"/>
    <xf numFmtId="0" fontId="77" fillId="0" borderId="0"/>
    <xf numFmtId="41" fontId="77" fillId="0" borderId="0" applyFont="0" applyFill="0" applyBorder="0" applyAlignment="0" applyProtection="0"/>
    <xf numFmtId="0" fontId="77" fillId="0" borderId="0"/>
    <xf numFmtId="0" fontId="17" fillId="23" borderId="30" applyNumberFormat="0" applyProtection="0">
      <alignment horizontal="right" vertical="center"/>
    </xf>
    <xf numFmtId="0" fontId="77" fillId="0" borderId="0"/>
    <xf numFmtId="43" fontId="77" fillId="0" borderId="0" applyFont="0" applyFill="0" applyBorder="0" applyAlignment="0" applyProtection="0"/>
    <xf numFmtId="0" fontId="11" fillId="21" borderId="30" applyNumberFormat="0" applyProtection="0">
      <alignment horizontal="left" vertical="center" indent="1"/>
    </xf>
    <xf numFmtId="0" fontId="18" fillId="29" borderId="34" applyNumberFormat="0" applyProtection="0">
      <alignment horizontal="left" vertical="center" indent="1"/>
    </xf>
    <xf numFmtId="0" fontId="17" fillId="11" borderId="30" applyNumberFormat="0" applyProtection="0">
      <alignment horizontal="right" vertical="center"/>
    </xf>
    <xf numFmtId="0" fontId="14" fillId="0" borderId="0"/>
    <xf numFmtId="0" fontId="17" fillId="23" borderId="30" applyNumberFormat="0" applyProtection="0">
      <alignment horizontal="right" vertical="center"/>
    </xf>
    <xf numFmtId="0" fontId="17" fillId="16" borderId="30" applyNumberFormat="0" applyProtection="0">
      <alignment horizontal="right" vertical="center"/>
    </xf>
    <xf numFmtId="0" fontId="18" fillId="13" borderId="30" applyNumberFormat="0" applyProtection="0">
      <alignment vertical="center"/>
    </xf>
    <xf numFmtId="0" fontId="17" fillId="30" borderId="30" applyNumberFormat="0" applyProtection="0">
      <alignment horizontal="right" vertical="center"/>
    </xf>
    <xf numFmtId="0" fontId="18" fillId="29" borderId="37" applyNumberFormat="0" applyProtection="0">
      <alignment horizontal="left" vertical="center" indent="1"/>
    </xf>
    <xf numFmtId="0" fontId="11" fillId="16" borderId="30" applyNumberFormat="0" applyProtection="0">
      <alignment horizontal="left" vertical="center" indent="1"/>
    </xf>
    <xf numFmtId="0" fontId="77" fillId="0" borderId="0"/>
    <xf numFmtId="43" fontId="77" fillId="0" borderId="0" applyFont="0" applyFill="0" applyBorder="0" applyAlignment="0" applyProtection="0"/>
    <xf numFmtId="0" fontId="77" fillId="0" borderId="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77" fillId="0" borderId="0"/>
    <xf numFmtId="41" fontId="77" fillId="0" borderId="0" applyFont="0" applyFill="0" applyBorder="0" applyAlignment="0" applyProtection="0"/>
    <xf numFmtId="0" fontId="77" fillId="0" borderId="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49" fillId="0" borderId="0" applyNumberFormat="0" applyFill="0" applyBorder="0">
      <protection locked="0"/>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3" fillId="0" borderId="0">
      <alignment vertical="center"/>
    </xf>
    <xf numFmtId="0" fontId="54" fillId="35" borderId="9"/>
    <xf numFmtId="0" fontId="56" fillId="0" borderId="35" applyNumberFormat="0" applyProtection="0"/>
    <xf numFmtId="0" fontId="14" fillId="0" borderId="0"/>
    <xf numFmtId="0" fontId="56" fillId="0" borderId="11">
      <alignment horizontal="left" vertical="center"/>
    </xf>
    <xf numFmtId="43" fontId="27" fillId="0" borderId="0" applyFont="0" applyFill="0" applyBorder="0" applyAlignment="0" applyProtection="0"/>
    <xf numFmtId="0" fontId="54" fillId="6" borderId="9" applyNumberFormat="0" applyBorder="0" applyAlignment="0" applyProtection="0"/>
    <xf numFmtId="0" fontId="57" fillId="0" borderId="6"/>
    <xf numFmtId="0" fontId="77" fillId="0" borderId="0"/>
    <xf numFmtId="0" fontId="17" fillId="28" borderId="30" applyNumberFormat="0" applyProtection="0">
      <alignment horizontal="right" vertical="center"/>
    </xf>
    <xf numFmtId="0" fontId="17" fillId="28" borderId="30" applyNumberFormat="0" applyProtection="0">
      <alignment horizontal="right" vertical="center"/>
    </xf>
    <xf numFmtId="0" fontId="77" fillId="0" borderId="0"/>
    <xf numFmtId="0" fontId="77" fillId="0" borderId="0"/>
    <xf numFmtId="0" fontId="77" fillId="0" borderId="0"/>
    <xf numFmtId="0" fontId="77" fillId="0" borderId="0"/>
    <xf numFmtId="0" fontId="77" fillId="0" borderId="0"/>
    <xf numFmtId="0" fontId="17" fillId="14" borderId="30" applyNumberFormat="0" applyProtection="0">
      <alignment horizontal="left" vertical="top" indent="1"/>
    </xf>
    <xf numFmtId="0" fontId="18" fillId="13" borderId="30" applyNumberFormat="0" applyProtection="0">
      <alignment horizontal="left" vertical="top" indent="1"/>
    </xf>
    <xf numFmtId="0" fontId="39" fillId="0" borderId="0"/>
    <xf numFmtId="43" fontId="27" fillId="0" borderId="0" applyFont="0" applyFill="0" applyBorder="0" applyAlignment="0" applyProtection="0"/>
    <xf numFmtId="0" fontId="53" fillId="0" borderId="0">
      <alignment vertical="center"/>
    </xf>
    <xf numFmtId="0" fontId="77" fillId="0" borderId="0"/>
    <xf numFmtId="0" fontId="77" fillId="0" borderId="0"/>
    <xf numFmtId="43" fontId="27" fillId="0" borderId="0" applyFont="0" applyFill="0" applyBorder="0" applyAlignment="0" applyProtection="0"/>
    <xf numFmtId="0" fontId="77" fillId="0" borderId="0"/>
    <xf numFmtId="43" fontId="27" fillId="0" borderId="0" applyFont="0" applyFill="0" applyBorder="0" applyAlignment="0" applyProtection="0"/>
    <xf numFmtId="0" fontId="77" fillId="0" borderId="0"/>
    <xf numFmtId="0" fontId="77" fillId="0" borderId="0"/>
    <xf numFmtId="0" fontId="77" fillId="0" borderId="0" applyAlignment="0"/>
    <xf numFmtId="43" fontId="77" fillId="0" borderId="0" applyFont="0" applyFill="0" applyBorder="0" applyAlignment="0" applyProtection="0"/>
    <xf numFmtId="0" fontId="14" fillId="0" borderId="0"/>
    <xf numFmtId="0" fontId="14" fillId="0" borderId="0"/>
    <xf numFmtId="0" fontId="54" fillId="7" borderId="9"/>
    <xf numFmtId="9" fontId="77" fillId="0" borderId="0" applyFont="0" applyFill="0" applyBorder="0" applyAlignment="0" applyProtection="0"/>
    <xf numFmtId="0" fontId="17" fillId="16" borderId="30" applyNumberFormat="0" applyProtection="0">
      <alignment horizontal="right" vertical="center"/>
    </xf>
    <xf numFmtId="0" fontId="17" fillId="15" borderId="30" applyNumberFormat="0" applyProtection="0">
      <alignment horizontal="right" vertical="center"/>
    </xf>
    <xf numFmtId="0" fontId="18" fillId="13" borderId="30" applyNumberFormat="0" applyProtection="0">
      <alignment vertical="center"/>
    </xf>
    <xf numFmtId="0" fontId="63" fillId="16" borderId="30" applyNumberFormat="0" applyProtection="0">
      <alignment horizontal="right" vertical="center"/>
    </xf>
    <xf numFmtId="0" fontId="64" fillId="13" borderId="30" applyNumberFormat="0" applyProtection="0">
      <alignment vertical="center"/>
    </xf>
    <xf numFmtId="0" fontId="63" fillId="16" borderId="30" applyNumberFormat="0" applyProtection="0">
      <alignment horizontal="right" vertical="center"/>
    </xf>
    <xf numFmtId="0" fontId="64" fillId="13" borderId="30" applyNumberFormat="0" applyProtection="0">
      <alignment vertical="center"/>
    </xf>
    <xf numFmtId="0" fontId="17" fillId="14" borderId="30" applyNumberFormat="0" applyProtection="0">
      <alignment horizontal="left" vertical="center" indent="1"/>
    </xf>
    <xf numFmtId="0" fontId="18" fillId="13" borderId="30" applyNumberFormat="0" applyProtection="0">
      <alignment horizontal="left" vertical="center" indent="1"/>
    </xf>
    <xf numFmtId="0" fontId="17" fillId="14" borderId="30" applyNumberFormat="0" applyProtection="0">
      <alignment horizontal="left" vertical="top" indent="1"/>
    </xf>
    <xf numFmtId="0" fontId="18" fillId="13" borderId="30" applyNumberFormat="0" applyProtection="0">
      <alignment horizontal="left" vertical="top" indent="1"/>
    </xf>
    <xf numFmtId="0" fontId="17" fillId="9" borderId="30" applyNumberFormat="0" applyProtection="0">
      <alignment horizontal="right" vertical="center"/>
    </xf>
    <xf numFmtId="0" fontId="17" fillId="15" borderId="30" applyNumberFormat="0" applyProtection="0">
      <alignment horizontal="right" vertical="center"/>
    </xf>
    <xf numFmtId="0" fontId="17" fillId="30" borderId="30" applyNumberFormat="0" applyProtection="0">
      <alignment horizontal="right" vertical="center"/>
    </xf>
    <xf numFmtId="0" fontId="17" fillId="6" borderId="30" applyNumberFormat="0" applyProtection="0">
      <alignment horizontal="left" vertical="center" indent="1"/>
    </xf>
    <xf numFmtId="0" fontId="17" fillId="11"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9" fontId="14" fillId="0" borderId="0" applyFont="0" applyFill="0" applyBorder="0" applyProtection="0"/>
    <xf numFmtId="0" fontId="17" fillId="38" borderId="30" applyNumberFormat="0" applyProtection="0">
      <alignment horizontal="right" vertical="center"/>
    </xf>
    <xf numFmtId="9" fontId="14" fillId="0" borderId="0" applyFont="0" applyFill="0" applyBorder="0" applyProtection="0"/>
    <xf numFmtId="0" fontId="17" fillId="38" borderId="30" applyNumberFormat="0" applyProtection="0">
      <alignment horizontal="right" vertical="center"/>
    </xf>
    <xf numFmtId="0" fontId="18" fillId="29" borderId="34" applyNumberFormat="0" applyProtection="0">
      <alignment horizontal="left" vertical="center" indent="1"/>
    </xf>
    <xf numFmtId="0" fontId="17" fillId="14" borderId="30" applyNumberFormat="0" applyProtection="0">
      <alignment horizontal="right" vertical="center"/>
    </xf>
    <xf numFmtId="0" fontId="17" fillId="14" borderId="30" applyNumberFormat="0" applyProtection="0">
      <alignment horizontal="right" vertical="center"/>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top" indent="1"/>
    </xf>
    <xf numFmtId="0" fontId="11" fillId="20" borderId="30" applyNumberFormat="0" applyProtection="0">
      <alignment horizontal="left" vertical="top" indent="1"/>
    </xf>
    <xf numFmtId="43" fontId="77" fillId="0" borderId="0" applyFont="0" applyFill="0" applyBorder="0" applyAlignment="0" applyProtection="0"/>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21" borderId="30" applyNumberFormat="0" applyProtection="0">
      <alignment horizontal="left" vertical="center"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16" borderId="30" applyNumberFormat="0" applyProtection="0">
      <alignment horizontal="left" vertical="center" indent="1"/>
    </xf>
    <xf numFmtId="0" fontId="11" fillId="16" borderId="30" applyNumberFormat="0" applyProtection="0">
      <alignment horizontal="left" vertical="top" indent="1"/>
    </xf>
    <xf numFmtId="0" fontId="17" fillId="6" borderId="30" applyNumberFormat="0" applyProtection="0">
      <alignment vertical="center"/>
    </xf>
    <xf numFmtId="0" fontId="17"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17" fillId="6" borderId="30" applyNumberFormat="0" applyProtection="0">
      <alignment horizontal="left" vertical="top" indent="1"/>
    </xf>
    <xf numFmtId="0" fontId="17" fillId="6" borderId="30" applyNumberFormat="0" applyProtection="0">
      <alignment horizontal="left" vertical="top" indent="1"/>
    </xf>
    <xf numFmtId="43" fontId="14" fillId="0" borderId="0" applyFont="0" applyFill="0" applyBorder="0" applyAlignment="0" applyProtection="0"/>
    <xf numFmtId="0" fontId="20" fillId="16" borderId="30" applyNumberFormat="0" applyProtection="0">
      <alignment horizontal="right" vertical="center"/>
    </xf>
    <xf numFmtId="0" fontId="20" fillId="16" borderId="30" applyNumberFormat="0" applyProtection="0">
      <alignment horizontal="right" vertical="center"/>
    </xf>
    <xf numFmtId="43" fontId="54" fillId="0" borderId="16"/>
    <xf numFmtId="43" fontId="54" fillId="0" borderId="16"/>
    <xf numFmtId="43" fontId="54" fillId="0" borderId="16"/>
    <xf numFmtId="43" fontId="54" fillId="0" borderId="16"/>
    <xf numFmtId="9" fontId="77" fillId="0" borderId="0" applyFont="0" applyFill="0" applyBorder="0" applyAlignment="0" applyProtection="0"/>
    <xf numFmtId="43" fontId="27" fillId="0" borderId="0" applyFont="0" applyFill="0" applyBorder="0" applyAlignment="0" applyProtection="0"/>
    <xf numFmtId="0" fontId="77" fillId="0" borderId="0"/>
    <xf numFmtId="0" fontId="14" fillId="0" borderId="0"/>
    <xf numFmtId="0" fontId="14"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9" applyNumberFormat="0"/>
    <xf numFmtId="0" fontId="2" fillId="0" borderId="0"/>
    <xf numFmtId="0" fontId="1" fillId="0" borderId="0"/>
    <xf numFmtId="0" fontId="77" fillId="0" borderId="0"/>
    <xf numFmtId="0" fontId="53" fillId="0" borderId="0">
      <alignment vertical="center"/>
    </xf>
    <xf numFmtId="0" fontId="1" fillId="0" borderId="0">
      <alignment vertical="center"/>
    </xf>
    <xf numFmtId="0" fontId="86" fillId="0" borderId="0">
      <alignment vertical="center"/>
    </xf>
    <xf numFmtId="43" fontId="1" fillId="0" borderId="0" applyFont="0" applyFill="0" applyBorder="0" applyAlignment="0" applyProtection="0"/>
    <xf numFmtId="0" fontId="1" fillId="0" borderId="0"/>
    <xf numFmtId="9" fontId="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 fillId="0" borderId="0" applyAlignment="0"/>
    <xf numFmtId="43" fontId="1" fillId="0" borderId="0" applyFont="0" applyFill="0" applyBorder="0" applyAlignment="0" applyProtection="0"/>
    <xf numFmtId="0" fontId="86" fillId="0" borderId="0">
      <alignment vertical="center"/>
    </xf>
    <xf numFmtId="0" fontId="1" fillId="0" borderId="0"/>
    <xf numFmtId="0" fontId="14" fillId="0" borderId="0"/>
    <xf numFmtId="207" fontId="87" fillId="0" borderId="0">
      <protection locked="0"/>
    </xf>
    <xf numFmtId="0" fontId="77" fillId="0" borderId="0"/>
    <xf numFmtId="43" fontId="14" fillId="0" borderId="0" applyFont="0" applyFill="0" applyBorder="0" applyProtection="0"/>
    <xf numFmtId="0" fontId="77" fillId="0" borderId="0"/>
    <xf numFmtId="0" fontId="39" fillId="0" borderId="0"/>
    <xf numFmtId="41" fontId="27" fillId="0" borderId="0" applyFont="0" applyFill="0" applyBorder="0" applyAlignment="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Alignment="0" applyProtection="0"/>
    <xf numFmtId="0" fontId="77" fillId="0" borderId="0"/>
    <xf numFmtId="210" fontId="2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16" fillId="0" borderId="0" applyNumberFormat="0" applyFill="0" applyBorder="0" applyAlignment="0" applyProtection="0"/>
    <xf numFmtId="4" fontId="77" fillId="0" borderId="9">
      <alignment horizontal="right"/>
    </xf>
    <xf numFmtId="0" fontId="77" fillId="0" borderId="0" applyAlignment="0"/>
    <xf numFmtId="0" fontId="21" fillId="0" borderId="0" applyNumberFormat="0" applyFill="0" applyBorder="0" applyProtection="0"/>
    <xf numFmtId="4" fontId="77" fillId="0" borderId="9">
      <alignment horizontal="right"/>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77" fillId="0" borderId="0" applyFont="0" applyFill="0" applyBorder="0" applyAlignment="0" applyProtection="0"/>
    <xf numFmtId="0" fontId="77" fillId="0" borderId="0"/>
    <xf numFmtId="43" fontId="77" fillId="0" borderId="0" applyFont="0" applyFill="0" applyBorder="0" applyProtection="0"/>
    <xf numFmtId="43" fontId="77" fillId="0" borderId="0" applyFont="0" applyFill="0" applyBorder="0" applyProtection="0"/>
    <xf numFmtId="43" fontId="77" fillId="0" borderId="0" applyFont="0" applyFill="0" applyBorder="0" applyProtection="0"/>
    <xf numFmtId="210" fontId="14" fillId="0" borderId="0" applyFont="0" applyFill="0" applyBorder="0" applyProtection="0"/>
    <xf numFmtId="43" fontId="14" fillId="0" borderId="0" applyFont="0" applyFill="0" applyBorder="0" applyProtection="0"/>
    <xf numFmtId="43" fontId="14"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210"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7" fillId="0" borderId="0" applyFont="0" applyFill="0" applyBorder="0" applyProtection="0"/>
    <xf numFmtId="43" fontId="3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0" fontId="77" fillId="0" borderId="0" applyAlignment="0"/>
    <xf numFmtId="43" fontId="77" fillId="0" borderId="0" applyFont="0" applyFill="0" applyBorder="0" applyProtection="0"/>
    <xf numFmtId="43" fontId="77" fillId="0" borderId="0" applyFont="0" applyFill="0" applyBorder="0" applyProtection="0"/>
    <xf numFmtId="0" fontId="77" fillId="0" borderId="9" applyAlignment="0"/>
    <xf numFmtId="0" fontId="77" fillId="0" borderId="9" applyAlignment="0"/>
    <xf numFmtId="0" fontId="77" fillId="0" borderId="9" applyAlignment="0"/>
    <xf numFmtId="0" fontId="77" fillId="0" borderId="9" applyAlignment="0"/>
    <xf numFmtId="41" fontId="27" fillId="0" borderId="0" applyFont="0" applyFill="0" applyBorder="0" applyAlignment="0" applyProtection="0"/>
    <xf numFmtId="0" fontId="77" fillId="0" borderId="0" applyAlignment="0"/>
    <xf numFmtId="0" fontId="77" fillId="0" borderId="0"/>
    <xf numFmtId="0" fontId="77" fillId="0" borderId="0"/>
    <xf numFmtId="0" fontId="77" fillId="0" borderId="0"/>
    <xf numFmtId="0" fontId="11" fillId="0" borderId="0"/>
    <xf numFmtId="0" fontId="77" fillId="0" borderId="0"/>
    <xf numFmtId="0" fontId="77" fillId="0" borderId="0"/>
    <xf numFmtId="0" fontId="77" fillId="0" borderId="0"/>
    <xf numFmtId="0" fontId="14" fillId="0" borderId="0"/>
    <xf numFmtId="0" fontId="77" fillId="0" borderId="0" applyAlignment="0"/>
    <xf numFmtId="0" fontId="14" fillId="0" borderId="0"/>
    <xf numFmtId="0" fontId="14" fillId="0" borderId="0"/>
    <xf numFmtId="0" fontId="77" fillId="0" borderId="0"/>
    <xf numFmtId="0" fontId="14" fillId="0" borderId="0"/>
    <xf numFmtId="0" fontId="77" fillId="0" borderId="0"/>
    <xf numFmtId="0" fontId="27" fillId="0" borderId="0"/>
    <xf numFmtId="0" fontId="77" fillId="0" borderId="0"/>
    <xf numFmtId="0" fontId="77" fillId="0" borderId="0"/>
    <xf numFmtId="0" fontId="77" fillId="0" borderId="0">
      <alignment vertical="center"/>
    </xf>
    <xf numFmtId="188" fontId="77" fillId="0" borderId="0" applyFont="0" applyFill="0" applyBorder="0" applyAlignment="0" applyProtection="0"/>
    <xf numFmtId="188" fontId="77" fillId="0" borderId="0" applyFont="0" applyFill="0" applyBorder="0" applyAlignment="0" applyProtection="0"/>
    <xf numFmtId="9" fontId="11" fillId="0" borderId="0" applyFont="0" applyFill="0" applyBorder="0" applyAlignment="0" applyProtection="0"/>
    <xf numFmtId="9" fontId="77" fillId="0" borderId="0" applyFont="0" applyFill="0" applyBorder="0" applyProtection="0"/>
    <xf numFmtId="9" fontId="77" fillId="0" borderId="0" applyFont="0" applyFill="0" applyBorder="0" applyProtection="0"/>
    <xf numFmtId="0" fontId="61" fillId="0" borderId="0">
      <protection locked="0"/>
    </xf>
    <xf numFmtId="207" fontId="11" fillId="0" borderId="0"/>
    <xf numFmtId="0" fontId="11" fillId="0" borderId="0">
      <protection locked="0"/>
    </xf>
    <xf numFmtId="0" fontId="77" fillId="0" borderId="0">
      <alignment vertical="center"/>
    </xf>
    <xf numFmtId="43" fontId="11" fillId="0" borderId="0" applyFont="0" applyFill="0" applyBorder="0" applyAlignment="0" applyProtection="0"/>
    <xf numFmtId="0" fontId="77" fillId="0" borderId="0" applyFont="0" applyFill="0" applyBorder="0" applyProtection="0"/>
    <xf numFmtId="43" fontId="61" fillId="0" borderId="0" applyFont="0" applyAlignment="0" applyProtection="0"/>
    <xf numFmtId="43" fontId="61" fillId="0" borderId="0" applyFont="0" applyAlignment="0" applyProtection="0"/>
    <xf numFmtId="43" fontId="11" fillId="0" borderId="0" applyFont="0" applyFill="0" applyBorder="0" applyAlignment="0" applyProtection="0"/>
    <xf numFmtId="43" fontId="11" fillId="0" borderId="0" applyFont="0" applyFill="0" applyBorder="0" applyAlignment="0" applyProtection="0"/>
    <xf numFmtId="41" fontId="27" fillId="0" borderId="0" applyFont="0" applyFill="0" applyBorder="0" applyAlignment="0" applyProtection="0"/>
    <xf numFmtId="0" fontId="14" fillId="0" borderId="0"/>
    <xf numFmtId="43" fontId="14" fillId="0" borderId="0" applyFont="0" applyFill="0" applyBorder="0" applyProtection="0"/>
    <xf numFmtId="0" fontId="14" fillId="0" borderId="0"/>
    <xf numFmtId="0" fontId="14" fillId="0" borderId="0"/>
    <xf numFmtId="43" fontId="2" fillId="0" borderId="0" applyFont="0" applyFill="0" applyBorder="0" applyProtection="0"/>
    <xf numFmtId="209" fontId="14" fillId="0" borderId="0"/>
    <xf numFmtId="43" fontId="77" fillId="0" borderId="0" applyFont="0" applyFill="0" applyBorder="0" applyProtection="0"/>
    <xf numFmtId="0" fontId="77" fillId="0" borderId="0" applyAlignment="0"/>
    <xf numFmtId="41" fontId="77" fillId="0" borderId="0" applyFont="0" applyFill="0" applyBorder="0" applyAlignment="0" applyProtection="0"/>
    <xf numFmtId="0" fontId="1" fillId="0" borderId="0">
      <alignment vertical="center"/>
    </xf>
    <xf numFmtId="43" fontId="77" fillId="0" borderId="0" applyFont="0" applyFill="0" applyBorder="0" applyProtection="0"/>
    <xf numFmtId="0" fontId="14" fillId="0" borderId="0"/>
    <xf numFmtId="0" fontId="2" fillId="0" borderId="0"/>
    <xf numFmtId="43" fontId="14" fillId="0" borderId="0" applyFont="0" applyFill="0" applyBorder="0" applyProtection="0"/>
    <xf numFmtId="43" fontId="2" fillId="0" borderId="0" applyFont="0" applyFill="0" applyBorder="0" applyProtection="0"/>
    <xf numFmtId="0" fontId="1" fillId="0" borderId="0">
      <alignment vertical="center"/>
    </xf>
    <xf numFmtId="0" fontId="2" fillId="0" borderId="0"/>
    <xf numFmtId="0" fontId="77" fillId="0" borderId="0"/>
    <xf numFmtId="0" fontId="77" fillId="0" borderId="0"/>
    <xf numFmtId="43" fontId="77" fillId="0" borderId="0" applyFont="0" applyFill="0" applyBorder="0" applyProtection="0"/>
    <xf numFmtId="0" fontId="1" fillId="0" borderId="0">
      <alignment vertical="center"/>
    </xf>
    <xf numFmtId="0" fontId="1" fillId="0" borderId="0">
      <alignment vertical="center"/>
    </xf>
    <xf numFmtId="0" fontId="77" fillId="0" borderId="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21" fillId="0" borderId="0" applyNumberForma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34" fillId="0" borderId="0" applyNumberFormat="0" applyFill="0" applyBorder="0" applyAlignment="0" applyProtection="0"/>
    <xf numFmtId="0" fontId="36" fillId="0" borderId="0" applyNumberFormat="0" applyFill="0" applyBorder="0">
      <protection locked="0"/>
    </xf>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0" fontId="18" fillId="29" borderId="34" applyNumberFormat="0" applyProtection="0">
      <alignment horizontal="left" vertical="center" indent="1"/>
    </xf>
    <xf numFmtId="0" fontId="14" fillId="0" borderId="0"/>
    <xf numFmtId="0" fontId="11" fillId="0" borderId="0"/>
    <xf numFmtId="0" fontId="43" fillId="32" borderId="15" applyNumberFormat="0" applyAlignment="0" applyProtection="0"/>
    <xf numFmtId="43"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52" fillId="10" borderId="0" applyNumberFormat="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4" fillId="35" borderId="9"/>
    <xf numFmtId="0" fontId="56" fillId="0" borderId="35" applyNumberFormat="0" applyProtection="0"/>
    <xf numFmtId="43" fontId="27" fillId="0" borderId="0" applyFont="0" applyFill="0" applyBorder="0" applyAlignment="0" applyProtection="0"/>
    <xf numFmtId="0" fontId="54" fillId="6" borderId="9" applyNumberFormat="0" applyBorder="0" applyAlignment="0" applyProtection="0"/>
    <xf numFmtId="0" fontId="77" fillId="0" borderId="0"/>
    <xf numFmtId="0" fontId="39"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7" fillId="0" borderId="0"/>
    <xf numFmtId="0" fontId="14" fillId="0" borderId="0"/>
    <xf numFmtId="0" fontId="14" fillId="0" borderId="0"/>
    <xf numFmtId="43" fontId="77" fillId="0" borderId="0" applyFont="0" applyFill="0" applyBorder="0" applyAlignment="0" applyProtection="0"/>
    <xf numFmtId="0" fontId="11" fillId="0" borderId="0"/>
    <xf numFmtId="0" fontId="39" fillId="0" borderId="0"/>
    <xf numFmtId="0" fontId="14" fillId="0" borderId="0"/>
    <xf numFmtId="0" fontId="14" fillId="0" borderId="0"/>
    <xf numFmtId="0" fontId="54" fillId="7" borderId="9"/>
    <xf numFmtId="9" fontId="77" fillId="0" borderId="0" applyFont="0" applyFill="0" applyBorder="0" applyAlignment="0" applyProtection="0"/>
    <xf numFmtId="9" fontId="27" fillId="0" borderId="0" applyFont="0" applyFill="0" applyBorder="0" applyAlignment="0" applyProtection="0"/>
    <xf numFmtId="0" fontId="18" fillId="29" borderId="34" applyNumberFormat="0" applyProtection="0">
      <alignment horizontal="left" vertical="center" indent="1"/>
    </xf>
    <xf numFmtId="0" fontId="14" fillId="0" borderId="0"/>
    <xf numFmtId="0" fontId="18" fillId="29" borderId="37" applyNumberFormat="0" applyProtection="0">
      <alignment horizontal="left" vertical="center" indent="1"/>
    </xf>
    <xf numFmtId="43" fontId="77" fillId="0" borderId="0" applyFont="0" applyFill="0" applyBorder="0" applyAlignment="0" applyProtection="0"/>
    <xf numFmtId="43" fontId="14" fillId="0" borderId="0" applyFont="0" applyFill="0" applyBorder="0" applyAlignment="0" applyProtection="0"/>
    <xf numFmtId="43" fontId="54" fillId="0" borderId="16"/>
    <xf numFmtId="43" fontId="54" fillId="0" borderId="16"/>
    <xf numFmtId="43" fontId="54" fillId="0" borderId="16"/>
    <xf numFmtId="43" fontId="54" fillId="0" borderId="16"/>
    <xf numFmtId="0" fontId="27" fillId="0" borderId="0"/>
    <xf numFmtId="43" fontId="27" fillId="0" borderId="0" applyFont="0" applyFill="0" applyBorder="0" applyAlignment="0" applyProtection="0"/>
    <xf numFmtId="0" fontId="14" fillId="0" borderId="0"/>
    <xf numFmtId="0" fontId="27" fillId="0" borderId="0"/>
    <xf numFmtId="0" fontId="14" fillId="0" borderId="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9" applyNumberFormat="0"/>
    <xf numFmtId="0" fontId="2" fillId="0" borderId="0"/>
    <xf numFmtId="0" fontId="1" fillId="0" borderId="0">
      <alignment vertical="center"/>
    </xf>
    <xf numFmtId="0" fontId="1" fillId="0" borderId="0"/>
    <xf numFmtId="0" fontId="86" fillId="0" borderId="0">
      <alignment vertical="center"/>
    </xf>
    <xf numFmtId="43" fontId="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 fillId="0" borderId="0" applyAlignment="0"/>
    <xf numFmtId="207" fontId="87" fillId="0" borderId="0">
      <protection locked="0"/>
    </xf>
    <xf numFmtId="43" fontId="1" fillId="0" borderId="0" applyFont="0" applyFill="0" applyBorder="0" applyAlignment="0" applyProtection="0"/>
    <xf numFmtId="0" fontId="27" fillId="0" borderId="0"/>
    <xf numFmtId="0" fontId="18" fillId="29" borderId="34" applyNumberFormat="0" applyProtection="0">
      <alignment horizontal="left" vertical="center" indent="1"/>
    </xf>
    <xf numFmtId="0" fontId="56" fillId="0" borderId="36" applyNumberFormat="0" applyProtection="0"/>
    <xf numFmtId="0" fontId="18" fillId="29" borderId="34" applyNumberFormat="0" applyProtection="0">
      <alignment horizontal="left" vertical="center" indent="1"/>
    </xf>
    <xf numFmtId="0" fontId="7"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0" fontId="1" fillId="0" borderId="0"/>
    <xf numFmtId="0" fontId="1" fillId="0" borderId="0">
      <alignment vertical="center"/>
      <protection locked="0"/>
    </xf>
    <xf numFmtId="43" fontId="1" fillId="0" borderId="0" applyFont="0" applyFill="0" applyBorder="0" applyAlignment="0" applyProtection="0"/>
    <xf numFmtId="0" fontId="1" fillId="0" borderId="0" applyFont="0" applyFill="0" applyBorder="0" applyProtection="0"/>
    <xf numFmtId="43" fontId="11" fillId="0" borderId="0" applyFont="0" applyFill="0" applyBorder="0" applyAlignment="0" applyProtection="0"/>
    <xf numFmtId="4" fontId="1" fillId="0" borderId="9">
      <alignment horizontal="right"/>
    </xf>
    <xf numFmtId="4" fontId="1" fillId="0" borderId="9">
      <alignment horizontal="right"/>
    </xf>
    <xf numFmtId="4" fontId="102" fillId="0" borderId="9">
      <alignment horizontal="right" vertical="center"/>
    </xf>
    <xf numFmtId="4" fontId="102" fillId="0" borderId="9">
      <alignment horizontal="right" vertical="center"/>
    </xf>
    <xf numFmtId="4" fontId="1" fillId="0" borderId="9">
      <alignment horizontal="right"/>
    </xf>
    <xf numFmtId="4" fontId="1" fillId="0" borderId="9">
      <alignment horizontal="right"/>
    </xf>
    <xf numFmtId="10" fontId="1" fillId="0" borderId="9" applyAlignment="0"/>
    <xf numFmtId="0" fontId="102" fillId="0" borderId="9">
      <alignment horizontal="right" vertical="center"/>
    </xf>
    <xf numFmtId="0" fontId="102" fillId="0" borderId="9">
      <alignment horizontal="right" vertical="center"/>
    </xf>
    <xf numFmtId="10" fontId="1" fillId="0" borderId="9" applyAlignment="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6"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3" fontId="11" fillId="0" borderId="0" applyFont="0" applyFill="0" applyBorder="0" applyAlignment="0" applyProtection="0"/>
    <xf numFmtId="41" fontId="1" fillId="0" borderId="0" applyFont="0" applyFill="0" applyBorder="0" applyAlignment="0" applyProtection="0"/>
    <xf numFmtId="41" fontId="46" fillId="0" borderId="0" applyFont="0" applyFill="0" applyBorder="0" applyAlignment="0" applyProtection="0"/>
    <xf numFmtId="43" fontId="1" fillId="0" borderId="0" applyAlignment="0"/>
    <xf numFmtId="43" fontId="1" fillId="0" borderId="0" applyAlignment="0"/>
    <xf numFmtId="43" fontId="1"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54" fillId="35" borderId="9"/>
    <xf numFmtId="0" fontId="54" fillId="35" borderId="9"/>
    <xf numFmtId="0" fontId="102" fillId="0" borderId="9" applyAlignment="0"/>
    <xf numFmtId="0" fontId="102" fillId="0" borderId="9" applyAlignment="0"/>
    <xf numFmtId="0" fontId="56" fillId="0" borderId="36" applyNumberFormat="0" applyProtection="0"/>
    <xf numFmtId="0" fontId="56" fillId="0" borderId="11">
      <alignment horizontal="left" vertical="center"/>
    </xf>
    <xf numFmtId="0" fontId="115" fillId="50" borderId="9">
      <alignment horizontal="center" vertical="center"/>
    </xf>
    <xf numFmtId="0" fontId="115" fillId="50" borderId="9">
      <alignment horizontal="center" vertical="center"/>
    </xf>
    <xf numFmtId="0" fontId="34" fillId="0" borderId="0" applyNumberFormat="0" applyFill="0" applyBorder="0" applyAlignment="0" applyProtection="0"/>
    <xf numFmtId="0" fontId="54" fillId="6" borderId="9" applyNumberFormat="0" applyBorder="0" applyAlignment="0" applyProtection="0"/>
    <xf numFmtId="0" fontId="54" fillId="6" borderId="9" applyNumberFormat="0" applyBorder="0" applyAlignment="0" applyProtection="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applyAlignment="0"/>
    <xf numFmtId="0" fontId="1" fillId="0" borderId="0" applyAlignment="0"/>
    <xf numFmtId="0" fontId="1" fillId="0" borderId="0"/>
    <xf numFmtId="0" fontId="1" fillId="0" borderId="0" applyAlignment="0"/>
    <xf numFmtId="0" fontId="1" fillId="0" borderId="0" applyAlignment="0"/>
    <xf numFmtId="0" fontId="1" fillId="0" borderId="0">
      <alignment vertical="center"/>
    </xf>
    <xf numFmtId="0" fontId="1" fillId="0" borderId="0" applyAlignment="0"/>
    <xf numFmtId="0" fontId="1" fillId="0" borderId="0"/>
    <xf numFmtId="0" fontId="1" fillId="0" borderId="0"/>
    <xf numFmtId="0" fontId="1" fillId="0" borderId="0"/>
    <xf numFmtId="0" fontId="1" fillId="0" borderId="0"/>
    <xf numFmtId="0" fontId="1" fillId="0" borderId="0"/>
    <xf numFmtId="9" fontId="1" fillId="0" borderId="0" applyAlignment="0"/>
    <xf numFmtId="0" fontId="1" fillId="0" borderId="0"/>
    <xf numFmtId="0" fontId="1" fillId="0" borderId="0"/>
    <xf numFmtId="0" fontId="1" fillId="0" borderId="0"/>
    <xf numFmtId="0" fontId="1" fillId="0" borderId="0"/>
    <xf numFmtId="0" fontId="1" fillId="0" borderId="0"/>
    <xf numFmtId="43" fontId="61" fillId="0" borderId="0" applyAlignment="0"/>
    <xf numFmtId="43" fontId="61" fillId="0" borderId="0" applyAlignment="0"/>
    <xf numFmtId="0" fontId="1" fillId="0" borderId="0"/>
    <xf numFmtId="0" fontId="1" fillId="0" borderId="0"/>
    <xf numFmtId="0" fontId="1" fillId="0" borderId="0">
      <alignment vertical="center"/>
    </xf>
    <xf numFmtId="188" fontId="1" fillId="0" borderId="0" applyFont="0" applyFill="0" applyBorder="0" applyAlignment="0" applyProtection="0"/>
    <xf numFmtId="9" fontId="1" fillId="0" borderId="0" applyFont="0" applyFill="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Protection="0"/>
    <xf numFmtId="9" fontId="1" fillId="0" borderId="0" applyFont="0" applyFill="0" applyBorder="0" applyProtection="0"/>
    <xf numFmtId="0" fontId="54" fillId="7" borderId="9"/>
    <xf numFmtId="0" fontId="54" fillId="7" borderId="9"/>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8" fillId="29" borderId="34" applyNumberFormat="0" applyProtection="0">
      <alignment horizontal="left" vertical="center" indent="1"/>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alignment vertical="center"/>
      <protection locked="0"/>
    </xf>
    <xf numFmtId="43" fontId="11" fillId="0" borderId="0" applyFont="0" applyFill="0" applyBorder="0" applyAlignment="0" applyProtection="0"/>
    <xf numFmtId="43" fontId="1" fillId="0" borderId="0" applyFont="0" applyProtection="0"/>
    <xf numFmtId="43" fontId="1" fillId="0" borderId="0" applyFont="0" applyFill="0" applyBorder="0" applyProtection="0"/>
    <xf numFmtId="43" fontId="1" fillId="0" borderId="0" applyFont="0" applyProtection="0"/>
    <xf numFmtId="43" fontId="11" fillId="0" borderId="0" applyFont="0" applyFill="0" applyBorder="0" applyAlignment="0" applyProtection="0"/>
    <xf numFmtId="43" fontId="1" fillId="0" borderId="0" applyFont="0" applyFill="0" applyBorder="0" applyProtection="0"/>
    <xf numFmtId="43" fontId="1" fillId="0" borderId="0" applyFont="0" applyProtection="0"/>
    <xf numFmtId="43" fontId="1" fillId="0" borderId="0" applyFont="0" applyProtection="0"/>
    <xf numFmtId="43" fontId="61" fillId="0" borderId="0" applyAlignment="0"/>
    <xf numFmtId="43" fontId="61" fillId="0" borderId="0" applyAlignment="0"/>
    <xf numFmtId="43" fontId="11" fillId="0" borderId="0" applyFont="0" applyFill="0" applyBorder="0" applyAlignment="0" applyProtection="0"/>
    <xf numFmtId="43" fontId="1" fillId="0" borderId="0" applyFont="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9" applyNumberFormat="0"/>
    <xf numFmtId="0" fontId="11" fillId="0" borderId="9" applyNumberFormat="0"/>
    <xf numFmtId="0" fontId="1" fillId="0" borderId="0"/>
    <xf numFmtId="43" fontId="27"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xf numFmtId="0" fontId="1" fillId="0" borderId="0"/>
    <xf numFmtId="0" fontId="2" fillId="0" borderId="0"/>
    <xf numFmtId="0" fontId="1" fillId="0" borderId="0"/>
    <xf numFmtId="43" fontId="1" fillId="0" borderId="0" applyFont="0" applyFill="0" applyBorder="0" applyAlignment="0" applyProtection="0"/>
    <xf numFmtId="0" fontId="2" fillId="0" borderId="0"/>
    <xf numFmtId="0" fontId="2" fillId="0" borderId="0"/>
    <xf numFmtId="43" fontId="1" fillId="0" borderId="0" applyFont="0" applyFill="0" applyBorder="0" applyAlignment="0" applyProtection="0"/>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applyAlignment="0"/>
    <xf numFmtId="9" fontId="1"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43" fontId="11" fillId="0" borderId="0" applyFont="0" applyFill="0" applyBorder="0" applyAlignment="0" applyProtection="0"/>
    <xf numFmtId="43" fontId="134" fillId="0" borderId="0" applyFont="0" applyFill="0" applyBorder="0" applyAlignment="0" applyProtection="0"/>
    <xf numFmtId="0" fontId="18" fillId="29" borderId="37" applyNumberFormat="0" applyProtection="0">
      <alignment horizontal="left" vertical="center" indent="1"/>
    </xf>
    <xf numFmtId="0" fontId="77" fillId="0" borderId="0"/>
    <xf numFmtId="0" fontId="18" fillId="29" borderId="37" applyNumberFormat="0" applyProtection="0">
      <alignment horizontal="left" vertical="center" indent="1"/>
    </xf>
    <xf numFmtId="0" fontId="77" fillId="0" borderId="0"/>
    <xf numFmtId="0" fontId="14" fillId="0" borderId="0"/>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41" fontId="46" fillId="0" borderId="0" applyFont="0" applyFill="0" applyBorder="0" applyAlignment="0" applyProtection="0"/>
    <xf numFmtId="0" fontId="56" fillId="0" borderId="36" applyNumberFormat="0" applyProtection="0"/>
    <xf numFmtId="0" fontId="14" fillId="0" borderId="0"/>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56" fillId="0" borderId="36" applyNumberFormat="0" applyProtection="0"/>
    <xf numFmtId="0" fontId="18" fillId="29" borderId="37" applyNumberFormat="0" applyProtection="0">
      <alignment horizontal="left" vertical="center" indent="1"/>
    </xf>
    <xf numFmtId="41" fontId="46" fillId="0" borderId="0" applyFont="0" applyFill="0" applyBorder="0" applyAlignment="0" applyProtection="0"/>
    <xf numFmtId="0" fontId="18" fillId="29" borderId="37" applyNumberFormat="0" applyProtection="0">
      <alignment horizontal="left" vertical="center" indent="1"/>
    </xf>
    <xf numFmtId="0" fontId="2" fillId="0" borderId="0"/>
    <xf numFmtId="0" fontId="21" fillId="0" borderId="0" applyNumberFormat="0" applyFill="0" applyBorder="0" applyAlignment="0" applyProtection="0"/>
  </cellStyleXfs>
  <cellXfs count="614">
    <xf numFmtId="0" fontId="0" fillId="0" borderId="0" xfId="0"/>
    <xf numFmtId="0" fontId="7" fillId="2" borderId="0" xfId="0" applyFont="1" applyFill="1" applyAlignment="1">
      <alignment vertical="center"/>
    </xf>
    <xf numFmtId="0" fontId="7" fillId="2" borderId="0" xfId="0" applyFont="1" applyFill="1" applyAlignment="1">
      <alignment horizontal="center" vertical="center"/>
    </xf>
    <xf numFmtId="0" fontId="7" fillId="0" borderId="0" xfId="380" applyFont="1" applyAlignment="1" applyProtection="1">
      <alignment vertical="center"/>
      <protection locked="0"/>
    </xf>
    <xf numFmtId="49" fontId="0" fillId="0" borderId="0" xfId="0" applyNumberFormat="1"/>
    <xf numFmtId="0" fontId="8" fillId="2" borderId="0" xfId="0" applyFont="1" applyFill="1" applyAlignment="1">
      <alignment vertical="center"/>
    </xf>
    <xf numFmtId="0" fontId="8" fillId="0" borderId="0" xfId="0" applyFont="1" applyAlignment="1" applyProtection="1">
      <alignment vertical="center"/>
      <protection locked="0"/>
    </xf>
    <xf numFmtId="0" fontId="7" fillId="0" borderId="0" xfId="0" applyFont="1" applyAlignment="1" applyProtection="1">
      <alignment vertical="center"/>
      <protection locked="0"/>
    </xf>
    <xf numFmtId="49" fontId="8" fillId="2" borderId="0" xfId="0" applyNumberFormat="1" applyFont="1" applyFill="1" applyAlignment="1">
      <alignment vertical="center"/>
    </xf>
    <xf numFmtId="0" fontId="8" fillId="0" borderId="0" xfId="446" applyFont="1" applyAlignment="1">
      <alignment vertical="center"/>
    </xf>
    <xf numFmtId="0" fontId="7" fillId="0" borderId="0" xfId="446" applyFont="1" applyAlignment="1">
      <alignment vertical="center"/>
    </xf>
    <xf numFmtId="180" fontId="8" fillId="0" borderId="0" xfId="448" applyFont="1" applyFill="1" applyBorder="1" applyAlignment="1" applyProtection="1">
      <alignment horizontal="left" vertical="center"/>
      <protection locked="0"/>
    </xf>
    <xf numFmtId="180" fontId="8" fillId="0" borderId="0" xfId="452" applyNumberFormat="1" applyFont="1" applyFill="1" applyBorder="1" applyAlignment="1" applyProtection="1">
      <alignment horizontal="right" vertical="center" shrinkToFit="1"/>
      <protection locked="0"/>
    </xf>
    <xf numFmtId="180" fontId="8" fillId="0" borderId="0" xfId="448" applyFont="1" applyFill="1" applyBorder="1" applyAlignment="1">
      <alignment vertical="center"/>
    </xf>
    <xf numFmtId="180" fontId="8" fillId="0" borderId="0" xfId="448" applyFont="1" applyFill="1" applyBorder="1" applyAlignment="1" applyProtection="1">
      <alignment horizontal="right" vertical="center" shrinkToFit="1"/>
      <protection locked="0"/>
    </xf>
    <xf numFmtId="0" fontId="11" fillId="0" borderId="0" xfId="447" applyFont="1" applyAlignment="1">
      <alignment horizontal="left" vertical="center"/>
    </xf>
    <xf numFmtId="0" fontId="15" fillId="0" borderId="0" xfId="447" applyFont="1" applyAlignment="1">
      <alignment horizontal="right" vertical="center"/>
    </xf>
    <xf numFmtId="0" fontId="15" fillId="0" borderId="0" xfId="447" applyFont="1" applyAlignment="1">
      <alignment vertical="center" wrapText="1"/>
    </xf>
    <xf numFmtId="0" fontId="8" fillId="2" borderId="0" xfId="446" applyFont="1" applyFill="1" applyAlignment="1">
      <alignment vertical="center"/>
    </xf>
    <xf numFmtId="0" fontId="7" fillId="2" borderId="0" xfId="446" applyFont="1" applyFill="1" applyAlignment="1">
      <alignment vertical="center"/>
    </xf>
    <xf numFmtId="0" fontId="97" fillId="2" borderId="0" xfId="0" applyFont="1" applyFill="1" applyAlignment="1">
      <alignment vertical="center"/>
    </xf>
    <xf numFmtId="0" fontId="8" fillId="0" borderId="0" xfId="0" applyFont="1" applyAlignment="1">
      <alignment vertical="center"/>
    </xf>
    <xf numFmtId="9" fontId="7" fillId="0" borderId="0" xfId="14" applyFont="1" applyAlignment="1" applyProtection="1">
      <alignment vertical="center"/>
      <protection locked="0"/>
    </xf>
    <xf numFmtId="0" fontId="11" fillId="0" borderId="0" xfId="380" applyFont="1" applyAlignment="1" applyProtection="1">
      <alignment vertical="center"/>
      <protection locked="0"/>
    </xf>
    <xf numFmtId="0" fontId="11" fillId="0" borderId="0" xfId="464" applyFont="1" applyAlignment="1" applyProtection="1">
      <alignment horizontal="center" vertical="center" wrapText="1"/>
      <protection locked="0"/>
    </xf>
    <xf numFmtId="9" fontId="11" fillId="0" borderId="0" xfId="464" applyNumberFormat="1" applyFont="1" applyAlignment="1" applyProtection="1">
      <alignment vertical="center" wrapText="1"/>
      <protection locked="0"/>
    </xf>
    <xf numFmtId="0" fontId="97" fillId="0" borderId="0" xfId="446" applyFont="1" applyAlignment="1">
      <alignment vertical="center"/>
    </xf>
    <xf numFmtId="0" fontId="98" fillId="0" borderId="0" xfId="446" applyFont="1" applyAlignment="1">
      <alignment vertical="center"/>
    </xf>
    <xf numFmtId="0" fontId="8" fillId="0" borderId="0" xfId="446" applyFont="1" applyAlignment="1">
      <alignment horizontal="center" vertical="center"/>
    </xf>
    <xf numFmtId="0" fontId="8" fillId="0" borderId="0" xfId="439" applyFont="1" applyAlignment="1">
      <alignment vertical="center"/>
    </xf>
    <xf numFmtId="0" fontId="19" fillId="0" borderId="0" xfId="451" applyFont="1">
      <alignment vertical="center"/>
    </xf>
    <xf numFmtId="0" fontId="7" fillId="0" borderId="0" xfId="439" applyFont="1" applyAlignment="1">
      <alignment vertical="center"/>
    </xf>
    <xf numFmtId="0" fontId="8" fillId="0" borderId="0" xfId="446" applyFont="1" applyAlignment="1">
      <alignment horizontal="left" vertical="center" shrinkToFit="1"/>
    </xf>
    <xf numFmtId="0" fontId="15" fillId="0" borderId="0" xfId="451" applyFont="1">
      <alignment vertical="center"/>
    </xf>
    <xf numFmtId="0" fontId="97" fillId="2" borderId="0" xfId="446" applyFont="1" applyFill="1" applyAlignment="1">
      <alignment vertical="center"/>
    </xf>
    <xf numFmtId="0" fontId="7" fillId="0" borderId="0" xfId="446" applyFont="1" applyAlignment="1">
      <alignment horizontal="center" vertical="center"/>
    </xf>
    <xf numFmtId="0" fontId="82" fillId="0" borderId="0" xfId="439" applyFont="1" applyAlignment="1" applyProtection="1">
      <alignment horizontal="center" vertical="center"/>
      <protection locked="0"/>
    </xf>
    <xf numFmtId="14" fontId="8" fillId="0" borderId="0" xfId="439" applyNumberFormat="1" applyFont="1" applyAlignment="1" applyProtection="1">
      <alignment horizontal="center" vertical="center"/>
      <protection locked="0"/>
    </xf>
    <xf numFmtId="0" fontId="8" fillId="0" borderId="0" xfId="439" applyFont="1" applyAlignment="1" applyProtection="1">
      <alignment horizontal="center" vertical="center"/>
      <protection locked="0"/>
    </xf>
    <xf numFmtId="0" fontId="8" fillId="2" borderId="0" xfId="446" applyFont="1" applyFill="1" applyAlignment="1">
      <alignment horizontal="center" vertical="center"/>
    </xf>
    <xf numFmtId="0" fontId="11" fillId="0" borderId="0" xfId="439" applyFont="1" applyAlignment="1" applyProtection="1">
      <alignment horizontal="left" vertical="center"/>
      <protection locked="0"/>
    </xf>
    <xf numFmtId="0" fontId="11" fillId="0" borderId="0" xfId="439" applyFont="1" applyAlignment="1" applyProtection="1">
      <alignment horizontal="center" vertical="center"/>
      <protection locked="0"/>
    </xf>
    <xf numFmtId="180" fontId="11" fillId="0" borderId="0" xfId="439" applyNumberFormat="1" applyFont="1" applyAlignment="1" applyProtection="1">
      <alignment horizontal="justify" vertical="center"/>
      <protection locked="0"/>
    </xf>
    <xf numFmtId="0" fontId="8" fillId="0" borderId="0" xfId="0" applyFont="1" applyAlignment="1">
      <alignment horizontal="left" vertical="center"/>
    </xf>
    <xf numFmtId="0" fontId="11" fillId="0" borderId="0" xfId="439" applyFont="1" applyAlignment="1">
      <alignment vertical="center"/>
    </xf>
    <xf numFmtId="0" fontId="8" fillId="0" borderId="0" xfId="249" applyFont="1" applyAlignment="1">
      <alignment vertical="center"/>
    </xf>
    <xf numFmtId="0" fontId="17" fillId="0" borderId="0" xfId="249" applyFont="1" applyAlignment="1">
      <alignment vertical="center"/>
    </xf>
    <xf numFmtId="0" fontId="9" fillId="0" borderId="0" xfId="0" applyFont="1"/>
    <xf numFmtId="189" fontId="17" fillId="0" borderId="0" xfId="249" applyNumberFormat="1" applyFont="1" applyAlignment="1">
      <alignment vertical="center"/>
    </xf>
    <xf numFmtId="0" fontId="8" fillId="0" borderId="0" xfId="439" applyFont="1"/>
    <xf numFmtId="0" fontId="7" fillId="0" borderId="0" xfId="439" applyFont="1"/>
    <xf numFmtId="0" fontId="7" fillId="0" borderId="0" xfId="1787" applyFont="1" applyAlignment="1" applyProtection="1">
      <alignment vertical="center"/>
      <protection locked="0"/>
    </xf>
    <xf numFmtId="0" fontId="7" fillId="55" borderId="0" xfId="1787" applyFont="1" applyFill="1" applyAlignment="1" applyProtection="1">
      <alignment vertical="center"/>
      <protection locked="0"/>
    </xf>
    <xf numFmtId="0" fontId="9" fillId="0" borderId="0" xfId="1787" applyFont="1" applyAlignment="1" applyProtection="1">
      <alignment vertical="center"/>
      <protection locked="0"/>
    </xf>
    <xf numFmtId="0" fontId="130" fillId="0" borderId="0" xfId="1787" applyFont="1" applyAlignment="1" applyProtection="1">
      <alignment vertical="center" wrapText="1"/>
      <protection locked="0"/>
    </xf>
    <xf numFmtId="0" fontId="15" fillId="0" borderId="0" xfId="1787" applyFont="1" applyAlignment="1">
      <alignment vertical="center"/>
    </xf>
    <xf numFmtId="0" fontId="131" fillId="0" borderId="0" xfId="1787" applyFont="1" applyAlignment="1" applyProtection="1">
      <alignment horizontal="left" vertical="center" wrapText="1"/>
      <protection locked="0"/>
    </xf>
    <xf numFmtId="0" fontId="82" fillId="0" borderId="0" xfId="1787" applyFont="1" applyAlignment="1" applyProtection="1">
      <alignment horizontal="center" vertical="center"/>
      <protection locked="0"/>
    </xf>
    <xf numFmtId="0" fontId="7" fillId="0" borderId="0" xfId="1790" applyFont="1" applyAlignment="1" applyProtection="1">
      <alignment vertical="center"/>
      <protection locked="0"/>
    </xf>
    <xf numFmtId="0" fontId="7" fillId="2" borderId="0" xfId="1787" applyFont="1" applyFill="1" applyAlignment="1" applyProtection="1">
      <alignment vertical="center"/>
      <protection locked="0"/>
    </xf>
    <xf numFmtId="0" fontId="12" fillId="0" borderId="0" xfId="1787" applyFont="1" applyAlignment="1" applyProtection="1">
      <alignment vertical="center"/>
      <protection locked="0"/>
    </xf>
    <xf numFmtId="208" fontId="11" fillId="0" borderId="0" xfId="1789" applyNumberFormat="1" applyFont="1" applyFill="1" applyBorder="1" applyAlignment="1" applyProtection="1">
      <alignment vertical="center" wrapText="1"/>
      <protection locked="0"/>
    </xf>
    <xf numFmtId="0" fontId="7" fillId="0" borderId="0" xfId="1787" applyFont="1" applyAlignment="1" applyProtection="1">
      <alignment horizontal="left" vertical="center"/>
      <protection locked="0"/>
    </xf>
    <xf numFmtId="9" fontId="11" fillId="0" borderId="0" xfId="464" applyNumberFormat="1" applyFont="1" applyAlignment="1" applyProtection="1">
      <alignment horizontal="left" vertical="center" wrapText="1"/>
      <protection locked="0"/>
    </xf>
    <xf numFmtId="0" fontId="7" fillId="55" borderId="0" xfId="1787" applyFont="1" applyFill="1" applyAlignment="1" applyProtection="1">
      <alignment horizontal="left" vertical="center"/>
      <protection locked="0"/>
    </xf>
    <xf numFmtId="0" fontId="12" fillId="0" borderId="0" xfId="1787" applyFont="1" applyAlignment="1" applyProtection="1">
      <alignment horizontal="left" vertical="center"/>
      <protection locked="0"/>
    </xf>
    <xf numFmtId="0" fontId="8" fillId="0" borderId="0" xfId="1787" applyFont="1" applyAlignment="1" applyProtection="1">
      <alignment horizontal="center" vertical="center"/>
      <protection locked="0"/>
    </xf>
    <xf numFmtId="0" fontId="97" fillId="0" borderId="0" xfId="1787" applyFont="1" applyAlignment="1" applyProtection="1">
      <alignment horizontal="left" vertical="center"/>
      <protection locked="0"/>
    </xf>
    <xf numFmtId="0" fontId="11" fillId="0" borderId="0" xfId="1787" applyFont="1" applyAlignment="1" applyProtection="1">
      <alignment vertical="center"/>
      <protection locked="0"/>
    </xf>
    <xf numFmtId="208" fontId="7" fillId="0" borderId="0" xfId="1789" applyNumberFormat="1" applyFont="1" applyFill="1" applyAlignment="1" applyProtection="1">
      <alignment vertical="center"/>
      <protection locked="0"/>
    </xf>
    <xf numFmtId="0" fontId="8" fillId="0" borderId="0" xfId="1787" applyFont="1" applyAlignment="1" applyProtection="1">
      <alignment horizontal="left" vertical="center"/>
      <protection locked="0"/>
    </xf>
    <xf numFmtId="0" fontId="97" fillId="0" borderId="0" xfId="1787" applyFont="1" applyAlignment="1" applyProtection="1">
      <alignment vertical="center"/>
      <protection locked="0"/>
    </xf>
    <xf numFmtId="0" fontId="11" fillId="0" borderId="0" xfId="1791" applyNumberFormat="1" applyFont="1" applyFill="1" applyBorder="1" applyAlignment="1" applyProtection="1">
      <alignment horizontal="left" vertical="center"/>
      <protection locked="0"/>
    </xf>
    <xf numFmtId="0" fontId="11" fillId="0" borderId="0" xfId="1792" quotePrefix="1" applyNumberFormat="1" applyFont="1" applyFill="1" applyBorder="1" applyAlignment="1" applyProtection="1">
      <alignment horizontal="left" vertical="center"/>
      <protection locked="0"/>
    </xf>
    <xf numFmtId="181" fontId="11" fillId="0" borderId="0" xfId="1791" applyFont="1" applyFill="1" applyBorder="1" applyAlignment="1" applyProtection="1">
      <alignment vertical="center"/>
      <protection locked="0"/>
    </xf>
    <xf numFmtId="9" fontId="11" fillId="0" borderId="0" xfId="1792" quotePrefix="1" applyFont="1" applyFill="1" applyBorder="1" applyAlignment="1" applyProtection="1">
      <alignment vertical="center"/>
      <protection locked="0"/>
    </xf>
    <xf numFmtId="181" fontId="11" fillId="55" borderId="0" xfId="1791" applyFont="1" applyFill="1" applyBorder="1" applyAlignment="1" applyProtection="1">
      <alignment vertical="center"/>
      <protection locked="0"/>
    </xf>
    <xf numFmtId="9" fontId="11" fillId="55" borderId="0" xfId="1792" quotePrefix="1" applyFont="1" applyFill="1" applyBorder="1" applyAlignment="1" applyProtection="1">
      <alignment vertical="center"/>
      <protection locked="0"/>
    </xf>
    <xf numFmtId="0" fontId="7" fillId="54" borderId="11" xfId="1787" applyFont="1" applyFill="1" applyBorder="1" applyAlignment="1" applyProtection="1">
      <alignment horizontal="centerContinuous" vertical="center"/>
      <protection locked="0"/>
    </xf>
    <xf numFmtId="0" fontId="11" fillId="54" borderId="11" xfId="1787" applyFont="1" applyFill="1" applyBorder="1" applyAlignment="1" applyProtection="1">
      <alignment horizontal="centerContinuous" vertical="center"/>
      <protection locked="0"/>
    </xf>
    <xf numFmtId="49" fontId="133" fillId="0" borderId="0" xfId="1787" applyNumberFormat="1" applyFont="1" applyAlignment="1" applyProtection="1">
      <alignment vertical="center"/>
      <protection locked="0"/>
    </xf>
    <xf numFmtId="0" fontId="16" fillId="0" borderId="0" xfId="1794" applyFont="1" applyFill="1" applyBorder="1" applyAlignment="1" applyProtection="1">
      <alignment horizontal="left" vertical="center"/>
      <protection locked="0"/>
    </xf>
    <xf numFmtId="0" fontId="11" fillId="0" borderId="0" xfId="1794" applyFont="1" applyFill="1" applyBorder="1" applyAlignment="1" applyProtection="1">
      <alignment horizontal="left" vertical="center"/>
      <protection locked="0"/>
    </xf>
    <xf numFmtId="0" fontId="8" fillId="0" borderId="0" xfId="1787" applyFont="1" applyAlignment="1" applyProtection="1">
      <alignment vertical="center"/>
      <protection locked="0"/>
    </xf>
    <xf numFmtId="0" fontId="11" fillId="0" borderId="3" xfId="1794" applyFont="1" applyFill="1" applyBorder="1" applyAlignment="1" applyProtection="1">
      <alignment horizontal="left" vertical="center"/>
      <protection locked="0"/>
    </xf>
    <xf numFmtId="0" fontId="7" fillId="0" borderId="3" xfId="1787" applyFont="1" applyBorder="1" applyAlignment="1" applyProtection="1">
      <alignment vertical="center"/>
      <protection locked="0"/>
    </xf>
    <xf numFmtId="208" fontId="7" fillId="0" borderId="3" xfId="1789" applyNumberFormat="1" applyFont="1" applyFill="1" applyBorder="1" applyAlignment="1" applyProtection="1">
      <alignment vertical="center"/>
      <protection locked="0"/>
    </xf>
    <xf numFmtId="0" fontId="15" fillId="0" borderId="0" xfId="1794" applyFont="1" applyFill="1" applyAlignment="1" applyProtection="1">
      <alignment horizontal="left" vertical="center"/>
      <protection locked="0"/>
    </xf>
    <xf numFmtId="0" fontId="15" fillId="0" borderId="0" xfId="1787" applyFont="1" applyAlignment="1" applyProtection="1">
      <alignment vertical="center" wrapText="1"/>
      <protection locked="0"/>
    </xf>
    <xf numFmtId="0" fontId="15" fillId="0" borderId="3" xfId="1787" applyFont="1" applyBorder="1" applyAlignment="1" applyProtection="1">
      <alignment vertical="center" wrapText="1"/>
      <protection locked="0"/>
    </xf>
    <xf numFmtId="208" fontId="11" fillId="0" borderId="3" xfId="1789" applyNumberFormat="1" applyFont="1" applyFill="1" applyBorder="1" applyAlignment="1" applyProtection="1">
      <alignment vertical="center" wrapText="1"/>
      <protection locked="0"/>
    </xf>
    <xf numFmtId="181" fontId="13" fillId="0" borderId="0" xfId="1787" applyNumberFormat="1" applyFont="1" applyAlignment="1" applyProtection="1">
      <alignment horizontal="center" vertical="center"/>
      <protection locked="0"/>
    </xf>
    <xf numFmtId="181" fontId="8" fillId="0" borderId="0" xfId="1787" applyNumberFormat="1" applyFont="1" applyAlignment="1" applyProtection="1">
      <alignment horizontal="center" vertical="center"/>
      <protection locked="0"/>
    </xf>
    <xf numFmtId="0" fontId="15" fillId="0" borderId="0" xfId="1787" applyFont="1" applyAlignment="1" applyProtection="1">
      <alignment vertical="center"/>
      <protection locked="0"/>
    </xf>
    <xf numFmtId="0" fontId="11" fillId="0" borderId="0" xfId="1794" applyFont="1" applyBorder="1" applyAlignment="1" applyProtection="1">
      <alignment horizontal="left" vertical="center"/>
      <protection locked="0"/>
    </xf>
    <xf numFmtId="181" fontId="8" fillId="0" borderId="0" xfId="1787" applyNumberFormat="1" applyFont="1" applyAlignment="1" applyProtection="1">
      <alignment horizontal="left" vertical="center"/>
      <protection locked="0"/>
    </xf>
    <xf numFmtId="0" fontId="100" fillId="0" borderId="2" xfId="1787" applyFont="1" applyBorder="1" applyAlignment="1">
      <alignment vertical="center"/>
    </xf>
    <xf numFmtId="0" fontId="8" fillId="0" borderId="3" xfId="1787" applyFont="1" applyBorder="1" applyAlignment="1" applyProtection="1">
      <alignment vertical="center"/>
      <protection locked="0"/>
    </xf>
    <xf numFmtId="0" fontId="15" fillId="0" borderId="32" xfId="1787" applyFont="1" applyBorder="1" applyAlignment="1" applyProtection="1">
      <alignment vertical="center"/>
      <protection locked="0"/>
    </xf>
    <xf numFmtId="0" fontId="11" fillId="0" borderId="32" xfId="1787" applyFont="1" applyBorder="1" applyAlignment="1" applyProtection="1">
      <alignment vertical="center"/>
      <protection locked="0"/>
    </xf>
    <xf numFmtId="0" fontId="15" fillId="0" borderId="1" xfId="1787" applyFont="1" applyBorder="1" applyAlignment="1" applyProtection="1">
      <alignment vertical="center"/>
      <protection locked="0"/>
    </xf>
    <xf numFmtId="0" fontId="15" fillId="0" borderId="8" xfId="1787" applyFont="1" applyBorder="1" applyAlignment="1" applyProtection="1">
      <alignment vertical="center"/>
      <protection locked="0"/>
    </xf>
    <xf numFmtId="0" fontId="133" fillId="0" borderId="0" xfId="1787" applyFont="1" applyAlignment="1" applyProtection="1">
      <alignment vertical="center"/>
      <protection locked="0"/>
    </xf>
    <xf numFmtId="0" fontId="7" fillId="54" borderId="3" xfId="1787" applyFont="1" applyFill="1" applyBorder="1" applyAlignment="1" applyProtection="1">
      <alignment horizontal="centerContinuous" vertical="center"/>
      <protection locked="0"/>
    </xf>
    <xf numFmtId="0" fontId="137" fillId="54" borderId="3" xfId="1787" applyFont="1" applyFill="1" applyBorder="1" applyAlignment="1" applyProtection="1">
      <alignment horizontal="centerContinuous" vertical="center"/>
      <protection locked="0"/>
    </xf>
    <xf numFmtId="0" fontId="11" fillId="54" borderId="3" xfId="1787" applyFont="1" applyFill="1" applyBorder="1" applyAlignment="1" applyProtection="1">
      <alignment horizontal="centerContinuous" vertical="center"/>
      <protection locked="0"/>
    </xf>
    <xf numFmtId="0" fontId="11" fillId="54" borderId="7" xfId="1787" applyFont="1" applyFill="1" applyBorder="1" applyAlignment="1" applyProtection="1">
      <alignment horizontal="centerContinuous" vertical="center"/>
      <protection locked="0"/>
    </xf>
    <xf numFmtId="0" fontId="82" fillId="56" borderId="11" xfId="1787" applyFont="1" applyFill="1" applyBorder="1" applyAlignment="1" applyProtection="1">
      <alignment vertical="center" wrapText="1"/>
      <protection locked="0"/>
    </xf>
    <xf numFmtId="0" fontId="137" fillId="0" borderId="0" xfId="1787" applyFont="1" applyAlignment="1" applyProtection="1">
      <alignment horizontal="center" vertical="center"/>
      <protection locked="0"/>
    </xf>
    <xf numFmtId="0" fontId="18" fillId="0" borderId="0" xfId="1787" applyFont="1" applyAlignment="1" applyProtection="1">
      <alignment vertical="center" wrapText="1"/>
      <protection locked="0"/>
    </xf>
    <xf numFmtId="0" fontId="16" fillId="0" borderId="0" xfId="1794" applyFont="1" applyBorder="1" applyAlignment="1" applyProtection="1">
      <alignment vertical="center"/>
      <protection locked="0"/>
    </xf>
    <xf numFmtId="0" fontId="16" fillId="0" borderId="0" xfId="1794" applyFont="1" applyFill="1" applyAlignment="1" applyProtection="1">
      <alignment horizontal="right" vertical="center"/>
      <protection locked="0"/>
    </xf>
    <xf numFmtId="0" fontId="16" fillId="0" borderId="0" xfId="1794" applyFont="1" applyAlignment="1" applyProtection="1">
      <alignment horizontal="right" vertical="center"/>
      <protection locked="0"/>
    </xf>
    <xf numFmtId="0" fontId="11" fillId="0" borderId="0" xfId="1794" applyFont="1" applyFill="1" applyAlignment="1" applyProtection="1">
      <alignment horizontal="right" vertical="center"/>
      <protection locked="0"/>
    </xf>
    <xf numFmtId="0" fontId="138" fillId="0" borderId="0" xfId="1787" applyFont="1" applyAlignment="1" applyProtection="1">
      <alignment horizontal="left" vertical="center" wrapText="1"/>
      <protection locked="0"/>
    </xf>
    <xf numFmtId="0" fontId="15" fillId="0" borderId="1" xfId="1787" applyFont="1" applyBorder="1" applyAlignment="1" applyProtection="1">
      <alignment horizontal="center" vertical="center" wrapText="1"/>
      <protection locked="0"/>
    </xf>
    <xf numFmtId="0" fontId="11" fillId="0" borderId="0" xfId="1787" applyFont="1" applyAlignment="1" applyProtection="1">
      <alignment horizontal="left" vertical="center"/>
      <protection locked="0"/>
    </xf>
    <xf numFmtId="0" fontId="15" fillId="0" borderId="0" xfId="1787" applyFont="1" applyAlignment="1" applyProtection="1">
      <alignment horizontal="left" vertical="center"/>
      <protection locked="0"/>
    </xf>
    <xf numFmtId="37" fontId="7" fillId="0" borderId="0" xfId="1789" applyNumberFormat="1" applyFont="1" applyFill="1" applyAlignment="1" applyProtection="1">
      <alignment vertical="center"/>
      <protection locked="0"/>
    </xf>
    <xf numFmtId="0" fontId="8" fillId="0" borderId="7" xfId="1787" applyFont="1" applyBorder="1" applyAlignment="1" applyProtection="1">
      <alignment vertical="center"/>
      <protection locked="0"/>
    </xf>
    <xf numFmtId="49" fontId="11" fillId="0" borderId="0" xfId="1794" applyNumberFormat="1" applyFont="1" applyFill="1" applyBorder="1" applyAlignment="1" applyProtection="1">
      <alignment horizontal="left" vertical="center"/>
      <protection locked="0"/>
    </xf>
    <xf numFmtId="208" fontId="7" fillId="2" borderId="0" xfId="1789" applyNumberFormat="1" applyFont="1" applyFill="1" applyBorder="1" applyAlignment="1" applyProtection="1">
      <alignment vertical="center"/>
      <protection locked="0"/>
    </xf>
    <xf numFmtId="0" fontId="11" fillId="0" borderId="0" xfId="1787" applyFont="1" applyAlignment="1" applyProtection="1">
      <alignment horizontal="left" vertical="top"/>
      <protection locked="0"/>
    </xf>
    <xf numFmtId="0" fontId="129" fillId="0" borderId="0" xfId="1787" applyFont="1" applyAlignment="1">
      <alignment horizontal="left" vertical="center" wrapText="1"/>
    </xf>
    <xf numFmtId="9" fontId="11" fillId="2" borderId="0" xfId="1788" applyNumberFormat="1" applyFont="1" applyFill="1" applyAlignment="1" applyProtection="1">
      <alignment horizontal="right" vertical="center" wrapText="1"/>
      <protection locked="0"/>
    </xf>
    <xf numFmtId="9" fontId="11" fillId="2" borderId="33" xfId="1788" applyNumberFormat="1" applyFont="1" applyFill="1" applyBorder="1" applyAlignment="1" applyProtection="1">
      <alignment horizontal="right" vertical="center" wrapText="1"/>
      <protection locked="0"/>
    </xf>
    <xf numFmtId="0" fontId="8" fillId="0" borderId="33" xfId="0" applyFont="1" applyBorder="1" applyAlignment="1">
      <alignment horizontal="center" vertical="center"/>
    </xf>
    <xf numFmtId="0" fontId="97" fillId="2" borderId="33" xfId="0" applyFont="1" applyFill="1" applyBorder="1" applyAlignment="1">
      <alignment horizontal="left" vertical="center" wrapText="1"/>
    </xf>
    <xf numFmtId="0" fontId="97" fillId="0" borderId="33" xfId="0" applyFont="1" applyBorder="1" applyAlignment="1">
      <alignment horizontal="left" vertical="center" wrapText="1"/>
    </xf>
    <xf numFmtId="0" fontId="8" fillId="0" borderId="33" xfId="0" applyFont="1" applyBorder="1" applyAlignment="1">
      <alignment horizontal="center" vertical="center" shrinkToFit="1"/>
    </xf>
    <xf numFmtId="0" fontId="8" fillId="2" borderId="33" xfId="0" applyFont="1" applyFill="1" applyBorder="1" applyAlignment="1">
      <alignment horizontal="center" vertical="center" shrinkToFit="1"/>
    </xf>
    <xf numFmtId="0" fontId="7" fillId="2" borderId="33" xfId="0" applyFont="1" applyFill="1" applyBorder="1" applyAlignment="1">
      <alignment horizontal="center" vertical="center"/>
    </xf>
    <xf numFmtId="0" fontId="11" fillId="0" borderId="0" xfId="1787" applyFont="1" applyAlignment="1" applyProtection="1">
      <alignment horizontal="left" vertical="top" wrapText="1"/>
      <protection locked="0"/>
    </xf>
    <xf numFmtId="0" fontId="15" fillId="43" borderId="33" xfId="239" applyFont="1" applyFill="1" applyBorder="1" applyAlignment="1" applyProtection="1">
      <alignment horizontal="center" vertical="center" wrapText="1"/>
      <protection locked="0"/>
    </xf>
    <xf numFmtId="0" fontId="97" fillId="43" borderId="33" xfId="239" applyFont="1" applyFill="1" applyBorder="1" applyAlignment="1" applyProtection="1">
      <alignment horizontal="center" vertical="center"/>
      <protection locked="0"/>
    </xf>
    <xf numFmtId="0" fontId="8" fillId="0" borderId="0" xfId="1787" applyFont="1" applyAlignment="1" applyProtection="1">
      <alignment horizontal="left" vertical="center" wrapText="1"/>
      <protection locked="0"/>
    </xf>
    <xf numFmtId="0" fontId="144" fillId="2" borderId="0" xfId="564" quotePrefix="1" applyFont="1" applyFill="1" applyAlignment="1">
      <alignment vertical="center"/>
    </xf>
    <xf numFmtId="0" fontId="97" fillId="2" borderId="0" xfId="0" applyFont="1" applyFill="1" applyAlignment="1">
      <alignment horizontal="center" vertical="center"/>
    </xf>
    <xf numFmtId="0" fontId="97" fillId="0" borderId="0" xfId="0" applyFont="1" applyAlignment="1">
      <alignment vertical="center"/>
    </xf>
    <xf numFmtId="0" fontId="97" fillId="0" borderId="0" xfId="849" applyFont="1" applyAlignment="1" applyProtection="1">
      <alignment vertical="center"/>
      <protection locked="0"/>
    </xf>
    <xf numFmtId="9" fontId="97" fillId="0" borderId="0" xfId="14" applyFont="1" applyAlignment="1">
      <alignment vertical="center"/>
    </xf>
    <xf numFmtId="0" fontId="15" fillId="0" borderId="33" xfId="0" applyFont="1" applyBorder="1" applyAlignment="1">
      <alignment horizontal="center" vertical="center"/>
    </xf>
    <xf numFmtId="180" fontId="97" fillId="0" borderId="0" xfId="448" applyFont="1" applyFill="1" applyBorder="1" applyAlignment="1">
      <alignment vertical="center"/>
    </xf>
    <xf numFmtId="180" fontId="97" fillId="0" borderId="0" xfId="465" applyFont="1" applyFill="1" applyBorder="1" applyAlignment="1" applyProtection="1">
      <alignment horizontal="right" vertical="center" shrinkToFit="1"/>
      <protection locked="0"/>
    </xf>
    <xf numFmtId="180" fontId="15" fillId="0" borderId="0" xfId="448" applyFont="1" applyFill="1" applyBorder="1" applyAlignment="1" applyProtection="1">
      <alignment horizontal="right" vertical="center" shrinkToFit="1"/>
      <protection locked="0"/>
    </xf>
    <xf numFmtId="180" fontId="15" fillId="0" borderId="0" xfId="448" applyFont="1" applyFill="1" applyBorder="1" applyAlignment="1">
      <alignment vertical="center"/>
    </xf>
    <xf numFmtId="9" fontId="97" fillId="0" borderId="0" xfId="14" applyFont="1" applyAlignment="1" applyProtection="1">
      <alignment vertical="center"/>
      <protection locked="0"/>
    </xf>
    <xf numFmtId="0" fontId="15" fillId="0" borderId="0" xfId="849" applyFont="1" applyAlignment="1" applyProtection="1">
      <alignment vertical="center"/>
      <protection locked="0"/>
    </xf>
    <xf numFmtId="0" fontId="11" fillId="0" borderId="0" xfId="1787" applyFont="1" applyAlignment="1" applyProtection="1">
      <alignment horizontal="left" vertical="center" wrapText="1"/>
      <protection locked="0"/>
    </xf>
    <xf numFmtId="0" fontId="16" fillId="0" borderId="0" xfId="3760" quotePrefix="1" applyFont="1" applyAlignment="1">
      <alignment vertical="center"/>
    </xf>
    <xf numFmtId="0" fontId="16" fillId="0" borderId="0" xfId="3760" quotePrefix="1" applyFont="1" applyAlignment="1" applyProtection="1">
      <alignment vertical="center"/>
      <protection locked="0"/>
    </xf>
    <xf numFmtId="0" fontId="137" fillId="54" borderId="11" xfId="1787" applyFont="1" applyFill="1" applyBorder="1" applyAlignment="1" applyProtection="1">
      <alignment horizontal="centerContinuous" vertical="center"/>
      <protection locked="0"/>
    </xf>
    <xf numFmtId="0" fontId="82" fillId="56" borderId="11" xfId="1787" applyFont="1" applyFill="1" applyBorder="1" applyAlignment="1" applyProtection="1">
      <alignment vertical="center"/>
      <protection locked="0"/>
    </xf>
    <xf numFmtId="180" fontId="15" fillId="0" borderId="0" xfId="448" applyFont="1" applyFill="1" applyBorder="1" applyAlignment="1">
      <alignment vertical="center" wrapText="1"/>
    </xf>
    <xf numFmtId="49" fontId="7" fillId="0" borderId="0" xfId="446" applyNumberFormat="1" applyFont="1" applyAlignment="1">
      <alignment vertical="center"/>
    </xf>
    <xf numFmtId="49" fontId="82" fillId="0" borderId="0" xfId="439" applyNumberFormat="1" applyFont="1" applyAlignment="1">
      <alignment vertical="top" wrapText="1"/>
    </xf>
    <xf numFmtId="0" fontId="15" fillId="42" borderId="33" xfId="1788" applyFont="1" applyFill="1" applyBorder="1" applyAlignment="1">
      <alignment horizontal="left" vertical="center"/>
    </xf>
    <xf numFmtId="0" fontId="99" fillId="0" borderId="12" xfId="219" applyFont="1" applyBorder="1" applyAlignment="1">
      <alignment horizontal="center" vertical="center" shrinkToFit="1"/>
    </xf>
    <xf numFmtId="0" fontId="82" fillId="58" borderId="3" xfId="1787" applyFont="1" applyFill="1" applyBorder="1" applyAlignment="1">
      <alignment horizontal="centerContinuous" vertical="center"/>
    </xf>
    <xf numFmtId="0" fontId="82" fillId="58" borderId="7" xfId="1787" applyFont="1" applyFill="1" applyBorder="1" applyAlignment="1">
      <alignment horizontal="centerContinuous" vertical="center"/>
    </xf>
    <xf numFmtId="0" fontId="15" fillId="42" borderId="2" xfId="1787" applyFont="1" applyFill="1" applyBorder="1" applyAlignment="1" applyProtection="1">
      <alignment vertical="center"/>
      <protection locked="0"/>
    </xf>
    <xf numFmtId="0" fontId="8" fillId="42" borderId="3" xfId="1787" applyFont="1" applyFill="1" applyBorder="1" applyAlignment="1" applyProtection="1">
      <alignment vertical="center"/>
      <protection locked="0"/>
    </xf>
    <xf numFmtId="0" fontId="8" fillId="42" borderId="7" xfId="1787" applyFont="1" applyFill="1" applyBorder="1" applyAlignment="1" applyProtection="1">
      <alignment vertical="center"/>
      <protection locked="0"/>
    </xf>
    <xf numFmtId="0" fontId="100" fillId="0" borderId="0" xfId="1789" applyNumberFormat="1" applyFont="1" applyFill="1" applyAlignment="1" applyProtection="1">
      <alignment vertical="center"/>
      <protection locked="0"/>
    </xf>
    <xf numFmtId="180" fontId="11" fillId="0" borderId="0" xfId="1789" applyFont="1" applyFill="1" applyAlignment="1" applyProtection="1">
      <alignment horizontal="right" vertical="center"/>
      <protection locked="0"/>
    </xf>
    <xf numFmtId="180" fontId="7" fillId="0" borderId="0" xfId="1789" applyFont="1" applyFill="1" applyAlignment="1" applyProtection="1">
      <alignment horizontal="right" vertical="center"/>
      <protection locked="0"/>
    </xf>
    <xf numFmtId="180" fontId="11" fillId="0" borderId="0" xfId="1791" applyNumberFormat="1" applyFont="1" applyFill="1" applyBorder="1" applyAlignment="1" applyProtection="1">
      <alignment horizontal="right" vertical="center"/>
      <protection locked="0"/>
    </xf>
    <xf numFmtId="180" fontId="15" fillId="0" borderId="0" xfId="452" applyNumberFormat="1" applyFont="1" applyFill="1" applyBorder="1" applyAlignment="1" applyProtection="1">
      <alignment vertical="center" shrinkToFit="1"/>
      <protection locked="0"/>
    </xf>
    <xf numFmtId="180" fontId="15" fillId="0" borderId="0" xfId="448" applyFont="1" applyFill="1" applyBorder="1" applyAlignment="1" applyProtection="1">
      <alignment vertical="center" shrinkToFit="1"/>
      <protection locked="0"/>
    </xf>
    <xf numFmtId="0" fontId="15" fillId="0" borderId="44" xfId="0" applyFont="1" applyBorder="1" applyAlignment="1">
      <alignment vertical="center"/>
    </xf>
    <xf numFmtId="0" fontId="15" fillId="0" borderId="11" xfId="0" applyFont="1" applyBorder="1" applyAlignment="1">
      <alignment horizontal="center" vertical="center"/>
    </xf>
    <xf numFmtId="180" fontId="7" fillId="0" borderId="44" xfId="25" applyFont="1" applyFill="1" applyBorder="1" applyAlignment="1">
      <alignment horizontal="right" vertical="center" shrinkToFit="1"/>
    </xf>
    <xf numFmtId="0" fontId="15" fillId="42" borderId="44" xfId="1787" applyFont="1" applyFill="1" applyBorder="1" applyAlignment="1" applyProtection="1">
      <alignment vertical="center"/>
      <protection locked="0"/>
    </xf>
    <xf numFmtId="0" fontId="8" fillId="42" borderId="11" xfId="1787" applyFont="1" applyFill="1" applyBorder="1" applyAlignment="1" applyProtection="1">
      <alignment vertical="center"/>
      <protection locked="0"/>
    </xf>
    <xf numFmtId="0" fontId="15" fillId="42" borderId="44" xfId="1787" applyFont="1" applyFill="1" applyBorder="1" applyAlignment="1">
      <alignment horizontal="centerContinuous" vertical="center"/>
    </xf>
    <xf numFmtId="0" fontId="15" fillId="42" borderId="42" xfId="1787" applyFont="1" applyFill="1" applyBorder="1" applyAlignment="1">
      <alignment horizontal="centerContinuous" vertical="center"/>
    </xf>
    <xf numFmtId="0" fontId="15" fillId="0" borderId="42" xfId="0" applyFont="1" applyBorder="1" applyAlignment="1">
      <alignment vertical="center"/>
    </xf>
    <xf numFmtId="0" fontId="97" fillId="42" borderId="33" xfId="0" applyFont="1" applyFill="1" applyBorder="1" applyAlignment="1">
      <alignment horizontal="center" vertical="center"/>
    </xf>
    <xf numFmtId="0" fontId="97" fillId="3" borderId="33" xfId="0" applyFont="1" applyFill="1" applyBorder="1" applyAlignment="1">
      <alignment horizontal="center" vertical="center"/>
    </xf>
    <xf numFmtId="180" fontId="7" fillId="0" borderId="33" xfId="25" applyFont="1" applyFill="1" applyBorder="1" applyAlignment="1">
      <alignment horizontal="right" vertical="center" shrinkToFit="1"/>
    </xf>
    <xf numFmtId="0" fontId="11" fillId="54" borderId="42" xfId="1787" applyFont="1" applyFill="1" applyBorder="1" applyAlignment="1" applyProtection="1">
      <alignment horizontal="centerContinuous" vertical="center"/>
      <protection locked="0"/>
    </xf>
    <xf numFmtId="0" fontId="82" fillId="56" borderId="42" xfId="1787" applyFont="1" applyFill="1" applyBorder="1" applyAlignment="1" applyProtection="1">
      <alignment vertical="center"/>
      <protection locked="0"/>
    </xf>
    <xf numFmtId="0" fontId="97" fillId="0" borderId="33" xfId="448" applyNumberFormat="1" applyFont="1" applyFill="1" applyBorder="1" applyAlignment="1">
      <alignment vertical="center"/>
    </xf>
    <xf numFmtId="0" fontId="15" fillId="0" borderId="33" xfId="439" applyFont="1" applyBorder="1" applyAlignment="1" applyProtection="1">
      <alignment horizontal="center" vertical="center"/>
      <protection locked="0"/>
    </xf>
    <xf numFmtId="0" fontId="15" fillId="0" borderId="33" xfId="439" applyFont="1" applyBorder="1" applyAlignment="1" applyProtection="1">
      <alignment horizontal="justify" vertical="center"/>
      <protection locked="0"/>
    </xf>
    <xf numFmtId="0" fontId="15" fillId="0" borderId="33" xfId="439" applyFont="1" applyBorder="1" applyAlignment="1" applyProtection="1">
      <alignment horizontal="right" vertical="center"/>
      <protection locked="0"/>
    </xf>
    <xf numFmtId="0" fontId="10" fillId="0" borderId="33" xfId="0" applyFont="1" applyBorder="1" applyAlignment="1">
      <alignment vertical="center"/>
    </xf>
    <xf numFmtId="0" fontId="11" fillId="0" borderId="33" xfId="1787" applyFont="1" applyBorder="1" applyAlignment="1" applyProtection="1">
      <alignment horizontal="center" vertical="center"/>
      <protection locked="0"/>
    </xf>
    <xf numFmtId="0" fontId="8" fillId="42" borderId="42" xfId="1787" applyFont="1" applyFill="1" applyBorder="1" applyAlignment="1" applyProtection="1">
      <alignment vertical="center"/>
      <protection locked="0"/>
    </xf>
    <xf numFmtId="0" fontId="15" fillId="42" borderId="33" xfId="1795" applyNumberFormat="1" applyFont="1" applyFill="1" applyBorder="1" applyAlignment="1" applyProtection="1">
      <alignment horizontal="center" vertical="center" wrapText="1"/>
    </xf>
    <xf numFmtId="0" fontId="15" fillId="42" borderId="33" xfId="1795" applyNumberFormat="1" applyFont="1" applyFill="1" applyBorder="1" applyAlignment="1">
      <alignment horizontal="center" vertical="center" wrapText="1"/>
    </xf>
    <xf numFmtId="0" fontId="15" fillId="42" borderId="33" xfId="1796" applyFont="1" applyFill="1" applyBorder="1" applyAlignment="1">
      <alignment horizontal="center" vertical="center" wrapText="1"/>
    </xf>
    <xf numFmtId="0" fontId="15" fillId="42" borderId="33" xfId="1796" applyFont="1" applyFill="1" applyBorder="1" applyAlignment="1" applyProtection="1">
      <alignment horizontal="center" vertical="center"/>
      <protection locked="0"/>
    </xf>
    <xf numFmtId="0" fontId="15" fillId="42" borderId="33" xfId="1795" applyNumberFormat="1" applyFont="1" applyFill="1" applyBorder="1" applyAlignment="1" applyProtection="1">
      <alignment horizontal="center" vertical="center"/>
      <protection locked="0"/>
    </xf>
    <xf numFmtId="0" fontId="97" fillId="2" borderId="33" xfId="1797" applyFont="1" applyFill="1" applyBorder="1" applyAlignment="1" applyProtection="1">
      <alignment horizontal="center" vertical="center"/>
      <protection locked="0"/>
    </xf>
    <xf numFmtId="0" fontId="82" fillId="56" borderId="42" xfId="1787" applyFont="1" applyFill="1" applyBorder="1" applyAlignment="1" applyProtection="1">
      <alignment vertical="center" wrapText="1"/>
      <protection locked="0"/>
    </xf>
    <xf numFmtId="0" fontId="82" fillId="58" borderId="33" xfId="1787" applyFont="1" applyFill="1" applyBorder="1" applyAlignment="1">
      <alignment horizontal="centerContinuous" vertical="center"/>
    </xf>
    <xf numFmtId="0" fontId="15" fillId="42" borderId="44" xfId="0" applyFont="1" applyFill="1" applyBorder="1" applyAlignment="1">
      <alignment horizontal="centerContinuous" vertical="center"/>
    </xf>
    <xf numFmtId="0" fontId="15" fillId="42" borderId="42" xfId="0" applyFont="1" applyFill="1" applyBorder="1" applyAlignment="1">
      <alignment horizontal="centerContinuous" vertical="center"/>
    </xf>
    <xf numFmtId="0" fontId="8" fillId="0" borderId="45" xfId="0" applyFont="1" applyBorder="1" applyAlignment="1">
      <alignment horizontal="center" vertical="center"/>
    </xf>
    <xf numFmtId="0" fontId="7" fillId="0" borderId="44" xfId="0" applyFont="1" applyBorder="1" applyAlignment="1">
      <alignment vertical="center"/>
    </xf>
    <xf numFmtId="0" fontId="7" fillId="0" borderId="1" xfId="0" applyFont="1" applyBorder="1" applyAlignment="1">
      <alignment vertical="center"/>
    </xf>
    <xf numFmtId="0" fontId="7" fillId="0" borderId="46" xfId="0" applyFont="1" applyBorder="1" applyAlignment="1">
      <alignment vertical="center"/>
    </xf>
    <xf numFmtId="0" fontId="128" fillId="0" borderId="45" xfId="0" applyFont="1" applyBorder="1" applyAlignment="1">
      <alignment horizontal="center" vertical="center"/>
    </xf>
    <xf numFmtId="0" fontId="7" fillId="0" borderId="3" xfId="0" applyFont="1" applyBorder="1" applyAlignment="1">
      <alignment vertical="center"/>
    </xf>
    <xf numFmtId="0" fontId="7" fillId="0" borderId="11" xfId="0" applyFont="1" applyBorder="1" applyAlignment="1">
      <alignment vertical="center"/>
    </xf>
    <xf numFmtId="0" fontId="7" fillId="0" borderId="47" xfId="0" applyFont="1" applyBorder="1" applyAlignment="1">
      <alignment vertical="center"/>
    </xf>
    <xf numFmtId="0" fontId="11" fillId="0" borderId="44" xfId="462" applyFont="1" applyBorder="1" applyAlignment="1">
      <alignment vertical="center"/>
    </xf>
    <xf numFmtId="0" fontId="7" fillId="0" borderId="40" xfId="0" applyFont="1" applyBorder="1" applyAlignment="1">
      <alignment vertical="center"/>
    </xf>
    <xf numFmtId="0" fontId="7" fillId="0" borderId="41" xfId="0" applyFont="1" applyBorder="1" applyAlignment="1">
      <alignment vertical="center"/>
    </xf>
    <xf numFmtId="0" fontId="8" fillId="0" borderId="45" xfId="0" applyFont="1" applyBorder="1" applyAlignment="1" applyProtection="1">
      <alignment horizontal="center" vertical="center"/>
      <protection locked="0"/>
    </xf>
    <xf numFmtId="0" fontId="7" fillId="0" borderId="1" xfId="0" applyFont="1" applyBorder="1" applyAlignment="1" applyProtection="1">
      <alignment vertical="center"/>
      <protection locked="0"/>
    </xf>
    <xf numFmtId="0" fontId="7" fillId="0" borderId="11" xfId="0" applyFont="1" applyBorder="1" applyAlignment="1" applyProtection="1">
      <alignment vertical="center"/>
      <protection locked="0"/>
    </xf>
    <xf numFmtId="0" fontId="7" fillId="0" borderId="47" xfId="0" applyFont="1" applyBorder="1" applyAlignment="1" applyProtection="1">
      <alignment vertical="center"/>
      <protection locked="0"/>
    </xf>
    <xf numFmtId="0" fontId="96" fillId="0" borderId="45" xfId="0" applyFont="1" applyBorder="1" applyAlignment="1">
      <alignment horizontal="center" vertical="center"/>
    </xf>
    <xf numFmtId="0" fontId="7" fillId="0" borderId="48" xfId="0" applyFont="1" applyBorder="1" applyAlignment="1" applyProtection="1">
      <alignment vertical="center"/>
      <protection locked="0"/>
    </xf>
    <xf numFmtId="0" fontId="7" fillId="0" borderId="49" xfId="0" applyFont="1" applyBorder="1" applyAlignment="1" applyProtection="1">
      <alignment vertical="center"/>
      <protection locked="0"/>
    </xf>
    <xf numFmtId="0" fontId="125" fillId="54" borderId="51" xfId="1787" applyFont="1" applyFill="1" applyBorder="1" applyAlignment="1" applyProtection="1">
      <alignment horizontal="centerContinuous" vertical="center"/>
      <protection locked="0"/>
    </xf>
    <xf numFmtId="0" fontId="83" fillId="54" borderId="40" xfId="1787" applyFont="1" applyFill="1" applyBorder="1" applyAlignment="1" applyProtection="1">
      <alignment horizontal="centerContinuous" vertical="center"/>
      <protection locked="0"/>
    </xf>
    <xf numFmtId="0" fontId="126" fillId="53" borderId="52" xfId="1787" applyFont="1" applyFill="1" applyBorder="1" applyAlignment="1" applyProtection="1">
      <alignment horizontal="centerContinuous" vertical="center"/>
      <protection locked="0"/>
    </xf>
    <xf numFmtId="0" fontId="126" fillId="53" borderId="53" xfId="1787" applyFont="1" applyFill="1" applyBorder="1" applyAlignment="1" applyProtection="1">
      <alignment horizontal="centerContinuous" vertical="center"/>
      <protection locked="0"/>
    </xf>
    <xf numFmtId="0" fontId="10" fillId="0" borderId="33" xfId="1787" applyFont="1" applyBorder="1" applyAlignment="1" applyProtection="1">
      <alignment horizontal="left" vertical="center"/>
      <protection locked="0"/>
    </xf>
    <xf numFmtId="0" fontId="8" fillId="0" borderId="38" xfId="0" applyFont="1" applyBorder="1" applyAlignment="1">
      <alignment horizontal="center" vertical="center"/>
    </xf>
    <xf numFmtId="0" fontId="10" fillId="0" borderId="50" xfId="0" applyFont="1" applyBorder="1" applyAlignment="1">
      <alignment vertical="center"/>
    </xf>
    <xf numFmtId="0" fontId="101" fillId="2" borderId="33" xfId="238" applyFont="1" applyFill="1" applyBorder="1" applyAlignment="1">
      <alignment vertical="center"/>
    </xf>
    <xf numFmtId="0" fontId="15" fillId="0" borderId="0" xfId="1787" applyFont="1" applyAlignment="1" applyProtection="1">
      <alignment horizontal="left" vertical="center" wrapText="1"/>
      <protection locked="0"/>
    </xf>
    <xf numFmtId="0" fontId="17" fillId="0" borderId="33" xfId="249" applyFont="1" applyBorder="1" applyAlignment="1">
      <alignment horizontal="center" vertical="center"/>
    </xf>
    <xf numFmtId="0" fontId="7" fillId="0" borderId="33" xfId="868" applyFont="1" applyBorder="1" applyAlignment="1">
      <alignment horizontal="center" vertical="center"/>
    </xf>
    <xf numFmtId="0" fontId="7" fillId="0" borderId="33" xfId="120" applyFont="1" applyBorder="1" applyAlignment="1">
      <alignment horizontal="center" vertical="center"/>
    </xf>
    <xf numFmtId="0" fontId="82" fillId="0" borderId="0" xfId="249" applyFont="1" applyAlignment="1">
      <alignment vertical="center"/>
    </xf>
    <xf numFmtId="0" fontId="15" fillId="2" borderId="0" xfId="1795" applyNumberFormat="1" applyFont="1" applyFill="1" applyBorder="1" applyAlignment="1" applyProtection="1">
      <alignment horizontal="center" vertical="center" wrapText="1"/>
    </xf>
    <xf numFmtId="0" fontId="155" fillId="0" borderId="0" xfId="0" applyFont="1" applyAlignment="1">
      <alignment vertical="center"/>
    </xf>
    <xf numFmtId="0" fontId="84" fillId="2" borderId="0" xfId="3730" applyFont="1" applyFill="1"/>
    <xf numFmtId="0" fontId="83" fillId="2" borderId="0" xfId="3730" applyFont="1" applyFill="1"/>
    <xf numFmtId="0" fontId="157" fillId="2" borderId="0" xfId="3730" applyFont="1" applyFill="1"/>
    <xf numFmtId="0" fontId="157" fillId="44" borderId="0" xfId="249" applyFont="1" applyFill="1" applyAlignment="1">
      <alignment vertical="center"/>
    </xf>
    <xf numFmtId="0" fontId="83" fillId="0" borderId="0" xfId="3730" applyFont="1"/>
    <xf numFmtId="0" fontId="123" fillId="0" borderId="0" xfId="3760" quotePrefix="1" applyFont="1" applyAlignment="1">
      <alignment vertical="center"/>
    </xf>
    <xf numFmtId="0" fontId="125" fillId="54" borderId="44" xfId="1787" applyFont="1" applyFill="1" applyBorder="1" applyAlignment="1" applyProtection="1">
      <alignment horizontal="centerContinuous" vertical="center"/>
      <protection locked="0"/>
    </xf>
    <xf numFmtId="0" fontId="125" fillId="54" borderId="2" xfId="1787" applyFont="1" applyFill="1" applyBorder="1" applyAlignment="1" applyProtection="1">
      <alignment horizontal="centerContinuous" vertical="center"/>
      <protection locked="0"/>
    </xf>
    <xf numFmtId="49" fontId="124" fillId="56" borderId="44" xfId="1787" applyNumberFormat="1" applyFont="1" applyFill="1" applyBorder="1" applyAlignment="1" applyProtection="1">
      <alignment vertical="center"/>
      <protection locked="0"/>
    </xf>
    <xf numFmtId="0" fontId="11" fillId="0" borderId="4" xfId="1787" applyFont="1" applyBorder="1" applyAlignment="1" applyProtection="1">
      <alignment horizontal="left" vertical="center" indent="2"/>
      <protection locked="0"/>
    </xf>
    <xf numFmtId="0" fontId="11" fillId="0" borderId="32" xfId="1787" applyFont="1" applyBorder="1" applyAlignment="1" applyProtection="1">
      <alignment horizontal="left" vertical="center"/>
      <protection locked="0"/>
    </xf>
    <xf numFmtId="0" fontId="11" fillId="0" borderId="31" xfId="1787" applyFont="1" applyBorder="1" applyAlignment="1" applyProtection="1">
      <alignment horizontal="left" vertical="center" indent="2"/>
      <protection locked="0"/>
    </xf>
    <xf numFmtId="0" fontId="11" fillId="0" borderId="1" xfId="1787" applyFont="1" applyBorder="1" applyAlignment="1" applyProtection="1">
      <alignment vertical="center"/>
      <protection locked="0"/>
    </xf>
    <xf numFmtId="0" fontId="11" fillId="0" borderId="8" xfId="1787" applyFont="1" applyBorder="1" applyAlignment="1" applyProtection="1">
      <alignment vertical="center"/>
      <protection locked="0"/>
    </xf>
    <xf numFmtId="0" fontId="124" fillId="56" borderId="44" xfId="1787" applyFont="1" applyFill="1" applyBorder="1" applyAlignment="1" applyProtection="1">
      <alignment vertical="center"/>
      <protection locked="0"/>
    </xf>
    <xf numFmtId="0" fontId="154" fillId="0" borderId="0" xfId="1787" applyFont="1" applyAlignment="1" applyProtection="1">
      <alignment vertical="center"/>
      <protection locked="0"/>
    </xf>
    <xf numFmtId="0" fontId="124" fillId="56" borderId="11" xfId="1787" applyFont="1" applyFill="1" applyBorder="1" applyAlignment="1" applyProtection="1">
      <alignment vertical="center"/>
      <protection locked="0"/>
    </xf>
    <xf numFmtId="0" fontId="124" fillId="56" borderId="42" xfId="1787" applyFont="1" applyFill="1" applyBorder="1" applyAlignment="1" applyProtection="1">
      <alignment vertical="center"/>
      <protection locked="0"/>
    </xf>
    <xf numFmtId="0" fontId="154" fillId="55" borderId="0" xfId="1787" applyFont="1" applyFill="1" applyAlignment="1" applyProtection="1">
      <alignment vertical="center"/>
      <protection locked="0"/>
    </xf>
    <xf numFmtId="0" fontId="141" fillId="0" borderId="0" xfId="439" applyFont="1" applyAlignment="1">
      <alignment vertical="center"/>
    </xf>
    <xf numFmtId="0" fontId="158" fillId="2" borderId="0" xfId="0" applyFont="1" applyFill="1" applyAlignment="1">
      <alignment vertical="center"/>
    </xf>
    <xf numFmtId="0" fontId="124" fillId="57" borderId="31" xfId="0" applyFont="1" applyFill="1" applyBorder="1" applyAlignment="1">
      <alignment vertical="center"/>
    </xf>
    <xf numFmtId="0" fontId="124" fillId="57" borderId="1" xfId="0" applyFont="1" applyFill="1" applyBorder="1" applyAlignment="1">
      <alignment vertical="center"/>
    </xf>
    <xf numFmtId="0" fontId="124" fillId="57" borderId="1" xfId="0" applyFont="1" applyFill="1" applyBorder="1" applyAlignment="1">
      <alignment vertical="center" wrapText="1"/>
    </xf>
    <xf numFmtId="0" fontId="124" fillId="57" borderId="1" xfId="0" applyFont="1" applyFill="1" applyBorder="1" applyAlignment="1">
      <alignment horizontal="left" vertical="center" wrapText="1"/>
    </xf>
    <xf numFmtId="0" fontId="124" fillId="57" borderId="8" xfId="0" applyFont="1" applyFill="1" applyBorder="1" applyAlignment="1">
      <alignment horizontal="left" vertical="center" wrapText="1"/>
    </xf>
    <xf numFmtId="0" fontId="155" fillId="2" borderId="0" xfId="0" applyFont="1" applyFill="1" applyAlignment="1">
      <alignment vertical="center"/>
    </xf>
    <xf numFmtId="0" fontId="155" fillId="2" borderId="0" xfId="0" applyFont="1" applyFill="1" applyAlignment="1">
      <alignment horizontal="center" vertical="center"/>
    </xf>
    <xf numFmtId="0" fontId="155" fillId="0" borderId="0" xfId="849" applyFont="1" applyAlignment="1" applyProtection="1">
      <alignment vertical="center"/>
      <protection locked="0"/>
    </xf>
    <xf numFmtId="9" fontId="155" fillId="0" borderId="0" xfId="14" applyFont="1" applyAlignment="1">
      <alignment vertical="center"/>
    </xf>
    <xf numFmtId="0" fontId="56" fillId="56" borderId="54" xfId="1787" applyFont="1" applyFill="1" applyBorder="1" applyAlignment="1">
      <alignment horizontal="left" vertical="center"/>
    </xf>
    <xf numFmtId="0" fontId="56" fillId="56" borderId="56" xfId="1787" applyFont="1" applyFill="1" applyBorder="1" applyAlignment="1">
      <alignment horizontal="left" vertical="center"/>
    </xf>
    <xf numFmtId="0" fontId="56" fillId="56" borderId="58" xfId="1787" applyFont="1" applyFill="1" applyBorder="1" applyAlignment="1">
      <alignment horizontal="left" vertical="center"/>
    </xf>
    <xf numFmtId="0" fontId="130" fillId="0" borderId="0" xfId="0" applyFont="1" applyAlignment="1">
      <alignment horizontal="left" vertical="center"/>
    </xf>
    <xf numFmtId="0" fontId="7" fillId="0" borderId="33" xfId="1802" applyFont="1" applyBorder="1" applyAlignment="1" applyProtection="1">
      <alignment horizontal="center" vertical="center"/>
      <protection locked="0"/>
    </xf>
    <xf numFmtId="0" fontId="100" fillId="0" borderId="0" xfId="1787" applyFont="1" applyAlignment="1" applyProtection="1">
      <alignment vertical="center"/>
      <protection locked="0"/>
    </xf>
    <xf numFmtId="0" fontId="8" fillId="0" borderId="0" xfId="1787" applyFont="1" applyAlignment="1" applyProtection="1">
      <alignment horizontal="right" vertical="center"/>
      <protection locked="0"/>
    </xf>
    <xf numFmtId="180" fontId="10" fillId="0" borderId="0" xfId="1787" applyNumberFormat="1" applyFont="1" applyAlignment="1" applyProtection="1">
      <alignment horizontal="right" vertical="center" wrapText="1"/>
      <protection locked="0"/>
    </xf>
    <xf numFmtId="188" fontId="7" fillId="0" borderId="0" xfId="1790" applyNumberFormat="1" applyFont="1" applyAlignment="1" applyProtection="1">
      <alignment horizontal="right" vertical="center"/>
      <protection locked="0"/>
    </xf>
    <xf numFmtId="0" fontId="132" fillId="0" borderId="0" xfId="1787" applyFont="1" applyAlignment="1" applyProtection="1">
      <alignment horizontal="center" vertical="center"/>
      <protection locked="0"/>
    </xf>
    <xf numFmtId="208" fontId="97" fillId="0" borderId="0" xfId="1787" applyNumberFormat="1" applyFont="1" applyAlignment="1" applyProtection="1">
      <alignment horizontal="right" vertical="center"/>
      <protection locked="0"/>
    </xf>
    <xf numFmtId="188" fontId="97" fillId="0" borderId="0" xfId="1790" applyNumberFormat="1" applyFont="1" applyAlignment="1" applyProtection="1">
      <alignment horizontal="right" vertical="center"/>
      <protection locked="0"/>
    </xf>
    <xf numFmtId="180" fontId="7" fillId="0" borderId="0" xfId="1787" applyNumberFormat="1" applyFont="1" applyAlignment="1" applyProtection="1">
      <alignment horizontal="right"/>
      <protection locked="0"/>
    </xf>
    <xf numFmtId="180" fontId="7" fillId="0" borderId="0" xfId="1787" applyNumberFormat="1" applyFont="1" applyAlignment="1" applyProtection="1">
      <alignment horizontal="right" vertical="center"/>
      <protection locked="0"/>
    </xf>
    <xf numFmtId="0" fontId="15"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center"/>
    </xf>
    <xf numFmtId="0" fontId="8" fillId="0" borderId="0" xfId="0" applyFont="1" applyAlignment="1">
      <alignment horizontal="center" vertical="center"/>
    </xf>
    <xf numFmtId="0" fontId="15" fillId="0" borderId="0" xfId="0" applyFont="1" applyAlignment="1">
      <alignment horizontal="center" vertical="center"/>
    </xf>
    <xf numFmtId="0" fontId="11" fillId="0" borderId="40" xfId="849" applyFont="1" applyBorder="1" applyAlignment="1" applyProtection="1">
      <alignment horizontal="left" vertical="center"/>
      <protection locked="0"/>
    </xf>
    <xf numFmtId="0" fontId="7" fillId="0" borderId="0" xfId="0" applyFont="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0" fillId="0" borderId="3" xfId="0" applyFont="1" applyBorder="1" applyAlignment="1">
      <alignment vertical="center"/>
    </xf>
    <xf numFmtId="0" fontId="10" fillId="0" borderId="7" xfId="0" applyFont="1" applyBorder="1" applyAlignment="1">
      <alignment vertical="center"/>
    </xf>
    <xf numFmtId="0" fontId="15" fillId="0" borderId="4" xfId="0" applyFont="1" applyBorder="1" applyAlignment="1">
      <alignment vertical="center"/>
    </xf>
    <xf numFmtId="0" fontId="15" fillId="0" borderId="0" xfId="0" applyFont="1" applyAlignment="1">
      <alignment vertical="center"/>
    </xf>
    <xf numFmtId="0" fontId="11" fillId="0" borderId="32" xfId="0" applyFont="1" applyBorder="1" applyAlignment="1">
      <alignment vertical="center"/>
    </xf>
    <xf numFmtId="0" fontId="10" fillId="0" borderId="4" xfId="0" applyFont="1" applyBorder="1" applyAlignment="1">
      <alignment horizontal="left" vertical="center"/>
    </xf>
    <xf numFmtId="0" fontId="10" fillId="0" borderId="0" xfId="0" applyFont="1" applyAlignment="1">
      <alignment horizontal="left" vertical="center"/>
    </xf>
    <xf numFmtId="0" fontId="11" fillId="0" borderId="0" xfId="0" applyFont="1" applyAlignment="1">
      <alignment vertical="center"/>
    </xf>
    <xf numFmtId="0" fontId="11" fillId="0" borderId="0" xfId="0" applyFont="1" applyAlignment="1">
      <alignment horizontal="right" vertical="center"/>
    </xf>
    <xf numFmtId="0" fontId="10" fillId="0" borderId="4" xfId="0" applyFont="1" applyBorder="1" applyAlignment="1">
      <alignment vertical="center"/>
    </xf>
    <xf numFmtId="0" fontId="10" fillId="0" borderId="0" xfId="0" applyFont="1" applyAlignment="1">
      <alignment vertical="center"/>
    </xf>
    <xf numFmtId="211" fontId="11" fillId="0" borderId="39" xfId="0" applyNumberFormat="1" applyFont="1" applyBorder="1" applyAlignment="1">
      <alignment horizontal="right" vertical="center"/>
    </xf>
    <xf numFmtId="211" fontId="11" fillId="0" borderId="0" xfId="0" applyNumberFormat="1" applyFont="1" applyAlignment="1">
      <alignment horizontal="right" vertical="center"/>
    </xf>
    <xf numFmtId="0" fontId="8" fillId="0" borderId="32" xfId="0" applyFont="1" applyBorder="1" applyAlignment="1">
      <alignment vertical="center"/>
    </xf>
    <xf numFmtId="0" fontId="11" fillId="0" borderId="25" xfId="0" applyFont="1" applyBorder="1" applyAlignment="1">
      <alignment horizontal="center" vertical="center"/>
    </xf>
    <xf numFmtId="0" fontId="10" fillId="0" borderId="31" xfId="0" applyFont="1" applyBorder="1" applyAlignment="1">
      <alignment vertical="center"/>
    </xf>
    <xf numFmtId="0" fontId="10" fillId="0" borderId="1" xfId="0" applyFont="1" applyBorder="1" applyAlignment="1">
      <alignment vertical="center"/>
    </xf>
    <xf numFmtId="0" fontId="11" fillId="0" borderId="1" xfId="0" applyFont="1" applyBorder="1" applyAlignment="1">
      <alignment vertical="center"/>
    </xf>
    <xf numFmtId="0" fontId="11" fillId="0" borderId="1" xfId="0" applyFont="1" applyBorder="1" applyAlignment="1">
      <alignment horizontal="left" vertical="center"/>
    </xf>
    <xf numFmtId="0" fontId="11" fillId="0" borderId="8" xfId="0" applyFont="1" applyBorder="1" applyAlignment="1">
      <alignment vertical="center"/>
    </xf>
    <xf numFmtId="49" fontId="11" fillId="0" borderId="33" xfId="439" applyNumberFormat="1" applyFont="1" applyBorder="1" applyAlignment="1" applyProtection="1">
      <alignment horizontal="left" vertical="center" shrinkToFit="1"/>
      <protection locked="0"/>
    </xf>
    <xf numFmtId="49" fontId="11" fillId="0" borderId="33" xfId="439" applyNumberFormat="1" applyFont="1" applyBorder="1" applyAlignment="1" applyProtection="1">
      <alignment horizontal="left" vertical="center" wrapText="1"/>
      <protection locked="0"/>
    </xf>
    <xf numFmtId="10" fontId="11" fillId="0" borderId="33" xfId="450" applyNumberFormat="1" applyFont="1" applyFill="1" applyBorder="1" applyAlignment="1" applyProtection="1">
      <alignment horizontal="right" vertical="center"/>
      <protection locked="0"/>
    </xf>
    <xf numFmtId="0" fontId="11" fillId="0" borderId="33" xfId="439" applyFont="1" applyBorder="1" applyAlignment="1" applyProtection="1">
      <alignment horizontal="left" vertical="center" shrinkToFit="1"/>
      <protection locked="0"/>
    </xf>
    <xf numFmtId="49" fontId="11" fillId="0" borderId="33" xfId="439" applyNumberFormat="1" applyFont="1" applyBorder="1" applyAlignment="1" applyProtection="1">
      <alignment horizontal="left" vertical="center"/>
      <protection locked="0"/>
    </xf>
    <xf numFmtId="0" fontId="11" fillId="0" borderId="33" xfId="439" applyFont="1" applyBorder="1" applyAlignment="1" applyProtection="1">
      <alignment horizontal="left" vertical="center" wrapText="1"/>
      <protection locked="0"/>
    </xf>
    <xf numFmtId="206" fontId="7" fillId="0" borderId="33" xfId="0" applyNumberFormat="1" applyFont="1" applyBorder="1" applyAlignment="1">
      <alignment horizontal="left" vertical="center" shrinkToFit="1"/>
    </xf>
    <xf numFmtId="180" fontId="7" fillId="0" borderId="33" xfId="9" applyFont="1" applyFill="1" applyBorder="1" applyAlignment="1">
      <alignment horizontal="left" vertical="center" shrinkToFit="1"/>
    </xf>
    <xf numFmtId="49" fontId="7" fillId="0" borderId="33" xfId="0" applyNumberFormat="1" applyFont="1" applyBorder="1" applyAlignment="1">
      <alignment horizontal="left" vertical="center" shrinkToFit="1"/>
    </xf>
    <xf numFmtId="0" fontId="7" fillId="0" borderId="33" xfId="0" applyFont="1" applyBorder="1" applyAlignment="1">
      <alignment vertical="center"/>
    </xf>
    <xf numFmtId="208" fontId="11" fillId="0" borderId="33" xfId="1800" applyNumberFormat="1" applyFont="1" applyFill="1" applyBorder="1" applyAlignment="1" applyProtection="1">
      <alignment horizontal="left" vertical="center"/>
      <protection locked="0"/>
    </xf>
    <xf numFmtId="37" fontId="7" fillId="0" borderId="0" xfId="1787" applyNumberFormat="1" applyFont="1" applyAlignment="1" applyProtection="1">
      <alignment vertical="center"/>
      <protection locked="0"/>
    </xf>
    <xf numFmtId="37" fontId="8" fillId="0" borderId="0" xfId="1787" applyNumberFormat="1" applyFont="1" applyAlignment="1" applyProtection="1">
      <alignment horizontal="left" vertical="center"/>
      <protection locked="0"/>
    </xf>
    <xf numFmtId="37" fontId="11" fillId="0" borderId="33" xfId="1787" applyNumberFormat="1" applyFont="1" applyBorder="1" applyAlignment="1" applyProtection="1">
      <alignment horizontal="center" vertical="center"/>
      <protection locked="0"/>
    </xf>
    <xf numFmtId="14" fontId="11" fillId="0" borderId="33" xfId="1790" applyNumberFormat="1" applyFont="1" applyBorder="1" applyAlignment="1" applyProtection="1">
      <alignment horizontal="left" vertical="center"/>
      <protection locked="0"/>
    </xf>
    <xf numFmtId="0" fontId="123" fillId="0" borderId="0" xfId="3760" quotePrefix="1" applyFont="1" applyAlignment="1" applyProtection="1">
      <alignment vertical="center"/>
      <protection locked="0"/>
    </xf>
    <xf numFmtId="49" fontId="15" fillId="0" borderId="0" xfId="446" applyNumberFormat="1" applyFont="1" applyAlignment="1">
      <alignment horizontal="left" vertical="top"/>
    </xf>
    <xf numFmtId="0" fontId="97" fillId="0" borderId="3" xfId="0" applyFont="1" applyBorder="1" applyAlignment="1">
      <alignment vertical="center"/>
    </xf>
    <xf numFmtId="0" fontId="15" fillId="0" borderId="7" xfId="0" applyFont="1" applyBorder="1" applyAlignment="1">
      <alignment vertical="center"/>
    </xf>
    <xf numFmtId="0" fontId="97" fillId="0" borderId="1" xfId="0" applyFont="1" applyBorder="1" applyAlignment="1">
      <alignment vertical="center"/>
    </xf>
    <xf numFmtId="0" fontId="15" fillId="0" borderId="43" xfId="0" applyFont="1" applyBorder="1" applyAlignment="1">
      <alignment horizontal="center" vertical="center"/>
    </xf>
    <xf numFmtId="0" fontId="128" fillId="0" borderId="10" xfId="0" applyFont="1" applyBorder="1" applyAlignment="1">
      <alignment horizontal="center" vertical="center" wrapText="1"/>
    </xf>
    <xf numFmtId="0" fontId="128" fillId="0" borderId="33" xfId="0" applyFont="1" applyBorder="1" applyAlignment="1">
      <alignment horizontal="center" vertical="center" wrapText="1"/>
    </xf>
    <xf numFmtId="0" fontId="8" fillId="0" borderId="33" xfId="0" applyFont="1" applyBorder="1" applyAlignment="1">
      <alignment horizontal="center"/>
    </xf>
    <xf numFmtId="0" fontId="97" fillId="0" borderId="2" xfId="0" applyFont="1" applyBorder="1" applyAlignment="1">
      <alignment vertical="center"/>
    </xf>
    <xf numFmtId="0" fontId="97" fillId="0" borderId="31" xfId="0" applyFont="1" applyBorder="1" applyAlignment="1">
      <alignment vertical="center"/>
    </xf>
    <xf numFmtId="0" fontId="8" fillId="0" borderId="0" xfId="9" applyNumberFormat="1" applyFont="1" applyFill="1" applyBorder="1" applyAlignment="1" applyProtection="1">
      <alignment horizontal="left" vertical="center"/>
      <protection locked="0"/>
    </xf>
    <xf numFmtId="0" fontId="82" fillId="0" borderId="0" xfId="448" applyNumberFormat="1" applyFont="1" applyFill="1" applyBorder="1" applyAlignment="1" applyProtection="1">
      <alignment horizontal="left" vertical="center"/>
      <protection locked="0"/>
    </xf>
    <xf numFmtId="0" fontId="8" fillId="0" borderId="0" xfId="1783" applyFont="1" applyAlignment="1">
      <alignment horizontal="left" vertical="center"/>
    </xf>
    <xf numFmtId="0" fontId="97" fillId="0" borderId="44" xfId="1783" applyFont="1" applyBorder="1" applyAlignment="1">
      <alignment vertical="center"/>
    </xf>
    <xf numFmtId="0" fontId="97" fillId="0" borderId="11" xfId="1783" applyFont="1" applyBorder="1" applyAlignment="1">
      <alignment vertical="center"/>
    </xf>
    <xf numFmtId="0" fontId="97" fillId="0" borderId="11" xfId="1783" applyFont="1" applyBorder="1" applyAlignment="1">
      <alignment horizontal="center" vertical="center"/>
    </xf>
    <xf numFmtId="0" fontId="97" fillId="0" borderId="42" xfId="1783" applyFont="1" applyBorder="1" applyAlignment="1">
      <alignment vertical="center"/>
    </xf>
    <xf numFmtId="0" fontId="8" fillId="0" borderId="0" xfId="1783" applyFont="1" applyAlignment="1">
      <alignment horizontal="right" vertical="center"/>
    </xf>
    <xf numFmtId="0" fontId="15" fillId="0" borderId="44" xfId="1782" applyFont="1" applyBorder="1" applyAlignment="1" applyProtection="1">
      <alignment vertical="center"/>
      <protection locked="0"/>
    </xf>
    <xf numFmtId="0" fontId="15" fillId="0" borderId="11" xfId="1782" applyFont="1" applyBorder="1" applyAlignment="1" applyProtection="1">
      <alignment horizontal="center" vertical="center"/>
      <protection locked="0"/>
    </xf>
    <xf numFmtId="0" fontId="15" fillId="0" borderId="11" xfId="1782" applyFont="1" applyBorder="1" applyAlignment="1" applyProtection="1">
      <alignment vertical="center"/>
      <protection locked="0"/>
    </xf>
    <xf numFmtId="0" fontId="15" fillId="0" borderId="42" xfId="1782" applyFont="1" applyBorder="1" applyAlignment="1" applyProtection="1">
      <alignment vertical="center"/>
      <protection locked="0"/>
    </xf>
    <xf numFmtId="0" fontId="97" fillId="0" borderId="10" xfId="1783" applyFont="1" applyBorder="1" applyAlignment="1">
      <alignment horizontal="center" vertical="center"/>
    </xf>
    <xf numFmtId="0" fontId="97" fillId="0" borderId="10" xfId="1782" applyFont="1" applyBorder="1" applyAlignment="1">
      <alignment horizontal="center" vertical="center"/>
    </xf>
    <xf numFmtId="0" fontId="97" fillId="0" borderId="0" xfId="1782" applyFont="1" applyAlignment="1">
      <alignment horizontal="center" vertical="center"/>
    </xf>
    <xf numFmtId="0" fontId="97" fillId="0" borderId="33" xfId="1783" applyFont="1" applyBorder="1" applyAlignment="1">
      <alignment vertical="center"/>
    </xf>
    <xf numFmtId="0" fontId="7" fillId="0" borderId="0" xfId="3759" applyFont="1" applyAlignment="1" applyProtection="1">
      <alignment vertical="center"/>
      <protection locked="0"/>
    </xf>
    <xf numFmtId="0" fontId="7" fillId="0" borderId="0" xfId="1777" applyFont="1" applyAlignment="1">
      <alignment vertical="center"/>
    </xf>
    <xf numFmtId="49" fontId="15" fillId="0" borderId="0" xfId="439" applyNumberFormat="1" applyFont="1" applyAlignment="1">
      <alignment horizontal="left" vertical="top"/>
    </xf>
    <xf numFmtId="0" fontId="15" fillId="0" borderId="0" xfId="3730" applyFont="1" applyAlignment="1">
      <alignment vertical="center"/>
    </xf>
    <xf numFmtId="0" fontId="11" fillId="0" borderId="0" xfId="3730" applyFont="1" applyAlignment="1">
      <alignment vertical="center"/>
    </xf>
    <xf numFmtId="0" fontId="156" fillId="59" borderId="0" xfId="868" applyFont="1" applyFill="1" applyAlignment="1">
      <alignment vertical="center"/>
    </xf>
    <xf numFmtId="0" fontId="161" fillId="0" borderId="0" xfId="0" applyFont="1" applyAlignment="1">
      <alignment vertical="center"/>
    </xf>
    <xf numFmtId="0" fontId="82" fillId="0" borderId="0" xfId="0" applyFont="1" applyAlignment="1">
      <alignment vertical="center"/>
    </xf>
    <xf numFmtId="0" fontId="161" fillId="60" borderId="0" xfId="0" applyFont="1" applyFill="1" applyAlignment="1">
      <alignment vertical="center"/>
    </xf>
    <xf numFmtId="0" fontId="128" fillId="0" borderId="0" xfId="0" applyFont="1" applyAlignment="1">
      <alignment horizontal="center" vertical="center"/>
    </xf>
    <xf numFmtId="0" fontId="162" fillId="0" borderId="0" xfId="0" applyFont="1" applyAlignment="1">
      <alignment vertical="center"/>
    </xf>
    <xf numFmtId="0" fontId="162" fillId="60" borderId="0" xfId="0" applyFont="1" applyFill="1" applyAlignment="1">
      <alignment vertical="center"/>
    </xf>
    <xf numFmtId="14" fontId="15" fillId="61" borderId="33" xfId="0" applyNumberFormat="1" applyFont="1" applyFill="1" applyBorder="1" applyAlignment="1">
      <alignment horizontal="center" vertical="center"/>
    </xf>
    <xf numFmtId="0" fontId="82" fillId="61" borderId="33" xfId="0" applyFont="1" applyFill="1" applyBorder="1" applyAlignment="1">
      <alignment horizontal="center" vertical="center" wrapText="1"/>
    </xf>
    <xf numFmtId="0" fontId="15" fillId="61" borderId="33" xfId="0" applyFont="1" applyFill="1" applyBorder="1" applyAlignment="1">
      <alignment horizontal="center" vertical="center"/>
    </xf>
    <xf numFmtId="14" fontId="7" fillId="0" borderId="44" xfId="185" applyNumberFormat="1" applyFont="1" applyBorder="1" applyAlignment="1">
      <alignment horizontal="right" vertical="center" shrinkToFit="1"/>
    </xf>
    <xf numFmtId="0" fontId="126" fillId="53" borderId="62" xfId="1787" applyFont="1" applyFill="1" applyBorder="1" applyAlignment="1" applyProtection="1">
      <alignment horizontal="centerContinuous" vertical="center"/>
      <protection locked="0"/>
    </xf>
    <xf numFmtId="0" fontId="124" fillId="56" borderId="63" xfId="1787" applyFont="1" applyFill="1" applyBorder="1" applyAlignment="1" applyProtection="1">
      <alignment vertical="center"/>
      <protection locked="0"/>
    </xf>
    <xf numFmtId="0" fontId="124" fillId="56" borderId="41" xfId="1787" applyFont="1" applyFill="1" applyBorder="1" applyAlignment="1" applyProtection="1">
      <alignment vertical="center" wrapText="1"/>
      <protection locked="0"/>
    </xf>
    <xf numFmtId="0" fontId="124" fillId="56" borderId="64" xfId="1787" applyFont="1" applyFill="1" applyBorder="1" applyAlignment="1" applyProtection="1">
      <alignment vertical="center" wrapText="1"/>
      <protection locked="0"/>
    </xf>
    <xf numFmtId="0" fontId="11" fillId="0" borderId="0" xfId="218" applyAlignment="1" applyProtection="1">
      <alignment vertical="center"/>
      <protection locked="0"/>
    </xf>
    <xf numFmtId="0" fontId="163" fillId="0" borderId="0" xfId="1787" applyFont="1" applyAlignment="1">
      <alignment vertical="center"/>
    </xf>
    <xf numFmtId="0" fontId="15" fillId="61" borderId="65" xfId="0" applyFont="1" applyFill="1" applyBorder="1" applyAlignment="1">
      <alignment horizontal="center" vertical="center" wrapText="1"/>
    </xf>
    <xf numFmtId="0" fontId="15" fillId="61" borderId="66" xfId="0" applyFont="1" applyFill="1" applyBorder="1" applyAlignment="1">
      <alignment horizontal="center" vertical="center" wrapText="1"/>
    </xf>
    <xf numFmtId="0" fontId="8" fillId="61" borderId="66" xfId="0" applyFont="1" applyFill="1" applyBorder="1" applyAlignment="1">
      <alignment vertical="center"/>
    </xf>
    <xf numFmtId="0" fontId="15" fillId="61" borderId="68" xfId="0" applyFont="1" applyFill="1" applyBorder="1" applyAlignment="1">
      <alignment horizontal="center" vertical="center" wrapText="1"/>
    </xf>
    <xf numFmtId="0" fontId="15" fillId="61" borderId="69" xfId="0" applyFont="1" applyFill="1" applyBorder="1" applyAlignment="1">
      <alignment horizontal="center" vertical="center" wrapText="1"/>
    </xf>
    <xf numFmtId="0" fontId="8" fillId="61" borderId="69" xfId="0" applyFont="1" applyFill="1" applyBorder="1" applyAlignment="1">
      <alignment horizontal="center" vertical="center" wrapText="1"/>
    </xf>
    <xf numFmtId="180" fontId="97" fillId="0" borderId="0" xfId="1787" applyNumberFormat="1" applyFont="1" applyAlignment="1" applyProtection="1">
      <alignment horizontal="right" vertical="center"/>
      <protection locked="0"/>
    </xf>
    <xf numFmtId="0" fontId="11" fillId="0" borderId="0" xfId="1792" applyNumberFormat="1" applyFont="1" applyAlignment="1" applyProtection="1">
      <alignment horizontal="left" vertical="center"/>
      <protection locked="0"/>
    </xf>
    <xf numFmtId="0" fontId="164" fillId="0" borderId="0" xfId="1787" applyFont="1" applyAlignment="1" applyProtection="1">
      <alignment horizontal="left" vertical="center"/>
      <protection locked="0"/>
    </xf>
    <xf numFmtId="0" fontId="132" fillId="0" borderId="0" xfId="1787" applyFont="1" applyAlignment="1" applyProtection="1">
      <alignment horizontal="left" vertical="center"/>
      <protection locked="0"/>
    </xf>
    <xf numFmtId="180" fontId="56" fillId="56" borderId="4" xfId="1789" applyFont="1" applyFill="1" applyBorder="1" applyAlignment="1" applyProtection="1">
      <alignment horizontal="right" vertical="center" shrinkToFit="1"/>
      <protection locked="0"/>
    </xf>
    <xf numFmtId="180" fontId="10" fillId="2" borderId="33" xfId="1789" applyFont="1" applyFill="1" applyBorder="1" applyAlignment="1" applyProtection="1">
      <alignment horizontal="right" vertical="center" shrinkToFit="1"/>
      <protection locked="0"/>
    </xf>
    <xf numFmtId="180" fontId="7" fillId="2" borderId="12" xfId="1789" applyFont="1" applyFill="1" applyBorder="1" applyAlignment="1" applyProtection="1">
      <alignment horizontal="right" vertical="center" shrinkToFit="1"/>
      <protection locked="0"/>
    </xf>
    <xf numFmtId="180" fontId="7" fillId="2" borderId="19" xfId="1789" applyFont="1" applyFill="1" applyBorder="1" applyAlignment="1" applyProtection="1">
      <alignment horizontal="right" vertical="center" shrinkToFit="1"/>
      <protection locked="0"/>
    </xf>
    <xf numFmtId="180" fontId="7" fillId="2" borderId="10" xfId="1789" applyFont="1" applyFill="1" applyBorder="1" applyAlignment="1" applyProtection="1">
      <alignment horizontal="right" vertical="center" shrinkToFit="1"/>
      <protection locked="0"/>
    </xf>
    <xf numFmtId="180" fontId="11" fillId="2" borderId="33" xfId="1789" applyFont="1" applyFill="1" applyBorder="1" applyAlignment="1" applyProtection="1">
      <alignment horizontal="right" vertical="center" shrinkToFit="1"/>
    </xf>
    <xf numFmtId="180" fontId="11" fillId="0" borderId="0" xfId="1789" applyFont="1" applyFill="1" applyAlignment="1" applyProtection="1">
      <alignment horizontal="right" vertical="center" shrinkToFit="1"/>
      <protection locked="0"/>
    </xf>
    <xf numFmtId="180" fontId="10" fillId="0" borderId="0" xfId="1787" applyNumberFormat="1" applyFont="1" applyAlignment="1" applyProtection="1">
      <alignment horizontal="right" vertical="center" shrinkToFit="1"/>
      <protection locked="0"/>
    </xf>
    <xf numFmtId="180" fontId="11" fillId="0" borderId="0" xfId="1787" applyNumberFormat="1" applyFont="1" applyAlignment="1" applyProtection="1">
      <alignment horizontal="right" vertical="center" shrinkToFit="1"/>
      <protection locked="0"/>
    </xf>
    <xf numFmtId="180" fontId="7" fillId="0" borderId="0" xfId="1789" applyFont="1" applyFill="1" applyAlignment="1" applyProtection="1">
      <alignment horizontal="right" vertical="center" shrinkToFit="1"/>
      <protection locked="0"/>
    </xf>
    <xf numFmtId="180" fontId="97" fillId="0" borderId="39" xfId="1787" applyNumberFormat="1" applyFont="1" applyBorder="1" applyAlignment="1" applyProtection="1">
      <alignment horizontal="right" vertical="center" shrinkToFit="1"/>
      <protection locked="0"/>
    </xf>
    <xf numFmtId="180" fontId="7" fillId="0" borderId="0" xfId="1787" applyNumberFormat="1" applyFont="1" applyAlignment="1" applyProtection="1">
      <alignment horizontal="right" vertical="center" shrinkToFit="1"/>
      <protection locked="0"/>
    </xf>
    <xf numFmtId="10" fontId="7" fillId="0" borderId="0" xfId="1790" applyNumberFormat="1" applyFont="1" applyAlignment="1" applyProtection="1">
      <alignment horizontal="right" vertical="center" shrinkToFit="1"/>
      <protection locked="0"/>
    </xf>
    <xf numFmtId="10" fontId="97" fillId="0" borderId="39" xfId="1790" applyNumberFormat="1" applyFont="1" applyBorder="1" applyAlignment="1" applyProtection="1">
      <alignment horizontal="right" vertical="center" shrinkToFit="1"/>
      <protection locked="0"/>
    </xf>
    <xf numFmtId="0" fontId="7" fillId="2" borderId="0" xfId="868" applyFont="1" applyFill="1" applyAlignment="1">
      <alignment horizontal="center" vertical="center"/>
    </xf>
    <xf numFmtId="0" fontId="159" fillId="0" borderId="0" xfId="0" applyFont="1" applyAlignment="1">
      <alignment horizontal="left" vertical="center"/>
    </xf>
    <xf numFmtId="17" fontId="165" fillId="0" borderId="33" xfId="3760" applyNumberFormat="1" applyFont="1" applyBorder="1" applyAlignment="1">
      <alignment horizontal="center" vertical="center"/>
    </xf>
    <xf numFmtId="0" fontId="167" fillId="42" borderId="0" xfId="3760" applyFont="1" applyFill="1" applyAlignment="1" applyProtection="1">
      <alignment vertical="center"/>
      <protection locked="0"/>
    </xf>
    <xf numFmtId="0" fontId="7" fillId="0" borderId="33" xfId="0" applyFont="1" applyBorder="1" applyAlignment="1">
      <alignment horizontal="left" vertical="center" wrapText="1"/>
    </xf>
    <xf numFmtId="0" fontId="7" fillId="0" borderId="33" xfId="0" applyFont="1" applyBorder="1" applyAlignment="1">
      <alignment horizontal="left" vertical="center"/>
    </xf>
    <xf numFmtId="0" fontId="7" fillId="2" borderId="33" xfId="0" applyFont="1" applyFill="1" applyBorder="1" applyAlignment="1">
      <alignment horizontal="left" vertical="center" wrapText="1"/>
    </xf>
    <xf numFmtId="0" fontId="7" fillId="2" borderId="42" xfId="0" applyFont="1" applyFill="1" applyBorder="1" applyAlignment="1">
      <alignment horizontal="left" vertical="center" wrapText="1"/>
    </xf>
    <xf numFmtId="184" fontId="7" fillId="2" borderId="33" xfId="0" applyNumberFormat="1" applyFont="1" applyFill="1" applyBorder="1" applyAlignment="1">
      <alignment horizontal="center" vertical="center"/>
    </xf>
    <xf numFmtId="180" fontId="7" fillId="0" borderId="33" xfId="9" applyFont="1" applyFill="1" applyBorder="1" applyAlignment="1">
      <alignment vertical="center" shrinkToFit="1"/>
    </xf>
    <xf numFmtId="10" fontId="7" fillId="0" borderId="33" xfId="14" applyNumberFormat="1" applyFont="1" applyFill="1" applyBorder="1" applyAlignment="1">
      <alignment vertical="center" shrinkToFit="1"/>
    </xf>
    <xf numFmtId="0" fontId="7" fillId="2" borderId="33" xfId="0" applyFont="1" applyFill="1" applyBorder="1" applyAlignment="1">
      <alignment vertical="center"/>
    </xf>
    <xf numFmtId="0" fontId="7" fillId="2" borderId="12" xfId="0" applyFont="1" applyFill="1" applyBorder="1" applyAlignment="1">
      <alignment vertical="center"/>
    </xf>
    <xf numFmtId="43" fontId="97" fillId="0" borderId="42" xfId="9" applyNumberFormat="1" applyFont="1" applyFill="1" applyBorder="1" applyAlignment="1">
      <alignment horizontal="right" vertical="center" shrinkToFit="1"/>
    </xf>
    <xf numFmtId="43" fontId="97" fillId="0" borderId="33" xfId="9" applyNumberFormat="1" applyFont="1" applyFill="1" applyBorder="1" applyAlignment="1">
      <alignment horizontal="right" vertical="center" shrinkToFit="1"/>
    </xf>
    <xf numFmtId="43" fontId="8" fillId="0" borderId="33" xfId="0" applyNumberFormat="1" applyFont="1" applyBorder="1" applyAlignment="1">
      <alignment horizontal="right" vertical="center"/>
    </xf>
    <xf numFmtId="43" fontId="7" fillId="0" borderId="42" xfId="9" applyNumberFormat="1" applyFont="1" applyFill="1" applyBorder="1" applyAlignment="1">
      <alignment horizontal="right" vertical="center" shrinkToFit="1"/>
    </xf>
    <xf numFmtId="43" fontId="7" fillId="0" borderId="33" xfId="9" applyNumberFormat="1" applyFont="1" applyFill="1" applyBorder="1" applyAlignment="1">
      <alignment horizontal="right" vertical="center" shrinkToFit="1"/>
    </xf>
    <xf numFmtId="43" fontId="7" fillId="0" borderId="33" xfId="0" applyNumberFormat="1" applyFont="1" applyBorder="1" applyAlignment="1">
      <alignment horizontal="right" vertical="center"/>
    </xf>
    <xf numFmtId="43" fontId="12" fillId="0" borderId="33" xfId="0" applyNumberFormat="1" applyFont="1" applyBorder="1" applyAlignment="1">
      <alignment horizontal="right" vertical="center"/>
    </xf>
    <xf numFmtId="180" fontId="11" fillId="0" borderId="0" xfId="452" applyNumberFormat="1" applyFont="1" applyFill="1" applyBorder="1" applyAlignment="1" applyProtection="1">
      <alignment vertical="center" shrinkToFit="1"/>
      <protection locked="0"/>
    </xf>
    <xf numFmtId="180" fontId="12" fillId="0" borderId="0" xfId="452" applyNumberFormat="1" applyFont="1" applyFill="1" applyBorder="1" applyAlignment="1" applyProtection="1">
      <alignment vertical="center" shrinkToFit="1"/>
      <protection locked="0"/>
    </xf>
    <xf numFmtId="180" fontId="11" fillId="0" borderId="0" xfId="448" applyFont="1" applyFill="1" applyBorder="1" applyAlignment="1" applyProtection="1">
      <alignment vertical="center" shrinkToFit="1"/>
      <protection locked="0"/>
    </xf>
    <xf numFmtId="180" fontId="11" fillId="0" borderId="0" xfId="448" applyFont="1" applyFill="1" applyBorder="1" applyAlignment="1" applyProtection="1">
      <alignment horizontal="right" vertical="center" shrinkToFit="1"/>
      <protection locked="0"/>
    </xf>
    <xf numFmtId="180" fontId="7" fillId="0" borderId="33" xfId="1784" applyFont="1" applyFill="1" applyBorder="1" applyAlignment="1">
      <alignment vertical="center"/>
    </xf>
    <xf numFmtId="0" fontId="7" fillId="0" borderId="0" xfId="1783" applyFont="1" applyAlignment="1">
      <alignment vertical="center"/>
    </xf>
    <xf numFmtId="0" fontId="7" fillId="0" borderId="0" xfId="1782" applyFont="1" applyAlignment="1">
      <alignment vertical="center"/>
    </xf>
    <xf numFmtId="43" fontId="11" fillId="0" borderId="0" xfId="0" applyNumberFormat="1" applyFont="1" applyAlignment="1">
      <alignment horizontal="right" vertical="center"/>
    </xf>
    <xf numFmtId="0" fontId="11" fillId="0" borderId="33" xfId="1800" applyNumberFormat="1" applyFont="1" applyFill="1" applyBorder="1" applyAlignment="1" applyProtection="1">
      <alignment horizontal="left" vertical="center"/>
      <protection locked="0"/>
    </xf>
    <xf numFmtId="0" fontId="7" fillId="0" borderId="33" xfId="1798" applyFont="1" applyBorder="1" applyAlignment="1" applyProtection="1">
      <alignment horizontal="left" vertical="center"/>
      <protection locked="0"/>
    </xf>
    <xf numFmtId="0" fontId="11" fillId="0" borderId="33" xfId="1798" applyFont="1" applyBorder="1" applyAlignment="1" applyProtection="1">
      <alignment horizontal="left" vertical="center"/>
      <protection locked="0"/>
    </xf>
    <xf numFmtId="0" fontId="11" fillId="0" borderId="33" xfId="1798" applyFont="1" applyBorder="1" applyAlignment="1" applyProtection="1">
      <alignment horizontal="left" vertical="center" wrapText="1"/>
      <protection locked="0"/>
    </xf>
    <xf numFmtId="0" fontId="11" fillId="0" borderId="33" xfId="1799" applyFont="1" applyBorder="1" applyAlignment="1" applyProtection="1">
      <alignment horizontal="left" vertical="center"/>
      <protection locked="0"/>
    </xf>
    <xf numFmtId="0" fontId="11" fillId="0" borderId="33" xfId="1801" applyFont="1" applyBorder="1" applyAlignment="1" applyProtection="1">
      <alignment horizontal="left" vertical="center"/>
      <protection locked="0"/>
    </xf>
    <xf numFmtId="0" fontId="11" fillId="0" borderId="33" xfId="1790" applyFont="1" applyBorder="1" applyAlignment="1" applyProtection="1">
      <alignment horizontal="left" vertical="center"/>
      <protection locked="0"/>
    </xf>
    <xf numFmtId="14" fontId="11" fillId="0" borderId="33" xfId="1789" applyNumberFormat="1" applyFont="1" applyFill="1" applyBorder="1" applyAlignment="1" applyProtection="1">
      <alignment horizontal="right" vertical="center" wrapText="1"/>
      <protection locked="0"/>
    </xf>
    <xf numFmtId="14" fontId="11" fillId="0" borderId="33" xfId="1789" applyNumberFormat="1" applyFont="1" applyFill="1" applyBorder="1" applyAlignment="1" applyProtection="1">
      <alignment horizontal="right" vertical="center"/>
      <protection locked="0"/>
    </xf>
    <xf numFmtId="10" fontId="11" fillId="0" borderId="33" xfId="1800" applyNumberFormat="1" applyFont="1" applyFill="1" applyBorder="1" applyAlignment="1" applyProtection="1">
      <alignment horizontal="right" vertical="center"/>
      <protection locked="0"/>
    </xf>
    <xf numFmtId="0" fontId="169" fillId="0" borderId="0" xfId="0" applyFont="1"/>
    <xf numFmtId="0" fontId="8" fillId="58" borderId="2" xfId="1787" applyFont="1" applyFill="1" applyBorder="1" applyAlignment="1">
      <alignment horizontal="centerContinuous" vertical="center"/>
    </xf>
    <xf numFmtId="0" fontId="11" fillId="0" borderId="33" xfId="1797" applyFont="1" applyBorder="1" applyAlignment="1" applyProtection="1">
      <alignment horizontal="left" vertical="center"/>
      <protection locked="0"/>
    </xf>
    <xf numFmtId="0" fontId="7" fillId="0" borderId="33" xfId="1800" applyNumberFormat="1" applyFont="1" applyFill="1" applyBorder="1" applyAlignment="1" applyProtection="1">
      <alignment horizontal="left" vertical="center"/>
      <protection locked="0"/>
    </xf>
    <xf numFmtId="0" fontId="8" fillId="58" borderId="33" xfId="1787" applyFont="1" applyFill="1" applyBorder="1" applyAlignment="1">
      <alignment horizontal="centerContinuous" vertical="center"/>
    </xf>
    <xf numFmtId="0" fontId="11" fillId="0" borderId="33" xfId="1789" applyNumberFormat="1" applyFont="1" applyFill="1" applyBorder="1" applyAlignment="1" applyProtection="1">
      <alignment horizontal="left" vertical="center"/>
      <protection locked="0"/>
    </xf>
    <xf numFmtId="14" fontId="11" fillId="0" borderId="33" xfId="439" applyNumberFormat="1" applyFont="1" applyBorder="1" applyAlignment="1" applyProtection="1">
      <alignment horizontal="left" vertical="center" shrinkToFit="1"/>
      <protection locked="0"/>
    </xf>
    <xf numFmtId="14" fontId="7" fillId="0" borderId="10" xfId="0" applyNumberFormat="1" applyFont="1" applyBorder="1" applyAlignment="1">
      <alignment horizontal="left" vertical="center"/>
    </xf>
    <xf numFmtId="0" fontId="99" fillId="0" borderId="33" xfId="219" applyFont="1" applyBorder="1" applyAlignment="1">
      <alignment horizontal="center" vertical="center" shrinkToFit="1"/>
    </xf>
    <xf numFmtId="0" fontId="83" fillId="44" borderId="0" xfId="3730" applyFont="1" applyFill="1"/>
    <xf numFmtId="0" fontId="170" fillId="0" borderId="0" xfId="0" applyFont="1"/>
    <xf numFmtId="0" fontId="82" fillId="2" borderId="0" xfId="446" applyFont="1" applyFill="1" applyAlignment="1">
      <alignment vertical="center"/>
    </xf>
    <xf numFmtId="0" fontId="97" fillId="55" borderId="0" xfId="1787" applyFont="1" applyFill="1" applyAlignment="1" applyProtection="1">
      <alignment vertical="center"/>
      <protection locked="0"/>
    </xf>
    <xf numFmtId="0" fontId="15" fillId="0" borderId="33" xfId="439" applyFont="1" applyBorder="1" applyAlignment="1" applyProtection="1">
      <alignment horizontal="center" vertical="center" wrapText="1"/>
      <protection locked="0"/>
    </xf>
    <xf numFmtId="0" fontId="15" fillId="0" borderId="44" xfId="439" applyFont="1" applyBorder="1" applyAlignment="1" applyProtection="1">
      <alignment horizontal="center" vertical="center" wrapText="1"/>
      <protection locked="0"/>
    </xf>
    <xf numFmtId="0" fontId="82" fillId="42" borderId="10" xfId="0" applyFont="1" applyFill="1" applyBorder="1" applyAlignment="1">
      <alignment horizontal="center" vertical="center"/>
    </xf>
    <xf numFmtId="0" fontId="15" fillId="42" borderId="10" xfId="0" applyFont="1" applyFill="1" applyBorder="1" applyAlignment="1">
      <alignment horizontal="center" vertical="center" wrapText="1"/>
    </xf>
    <xf numFmtId="0" fontId="97" fillId="0" borderId="0" xfId="446" applyFont="1" applyAlignment="1">
      <alignment horizontal="center" vertical="center"/>
    </xf>
    <xf numFmtId="0" fontId="97" fillId="0" borderId="33" xfId="0" applyFont="1" applyBorder="1" applyAlignment="1">
      <alignment horizontal="center" vertical="center"/>
    </xf>
    <xf numFmtId="0" fontId="97" fillId="3" borderId="12" xfId="0" applyFont="1" applyFill="1" applyBorder="1" applyAlignment="1">
      <alignment horizontal="center" vertical="center" wrapText="1"/>
    </xf>
    <xf numFmtId="0" fontId="97" fillId="3" borderId="10" xfId="0" applyFont="1" applyFill="1" applyBorder="1" applyAlignment="1">
      <alignment horizontal="center" vertical="center" wrapText="1"/>
    </xf>
    <xf numFmtId="0" fontId="16" fillId="2" borderId="0" xfId="3760" quotePrefix="1" applyFont="1" applyFill="1" applyAlignment="1">
      <alignment horizontal="center" vertical="center"/>
    </xf>
    <xf numFmtId="0" fontId="7" fillId="0" borderId="0" xfId="868" applyFont="1" applyAlignment="1">
      <alignment horizontal="center" vertical="center"/>
    </xf>
    <xf numFmtId="17" fontId="7" fillId="2" borderId="0" xfId="868" applyNumberFormat="1" applyFont="1" applyFill="1" applyAlignment="1">
      <alignment horizontal="center" vertical="center"/>
    </xf>
    <xf numFmtId="0" fontId="171" fillId="2" borderId="0" xfId="868" applyFont="1" applyFill="1" applyAlignment="1">
      <alignment horizontal="center" vertical="center"/>
    </xf>
    <xf numFmtId="0" fontId="172" fillId="0" borderId="0" xfId="3760" applyFont="1" applyAlignment="1">
      <alignment horizontal="left" vertical="center"/>
    </xf>
    <xf numFmtId="0" fontId="11" fillId="0" borderId="33" xfId="34" applyFont="1" applyFill="1" applyBorder="1" applyAlignment="1">
      <alignment horizontal="left" vertical="center" wrapText="1"/>
      <protection locked="0"/>
    </xf>
    <xf numFmtId="0" fontId="7" fillId="0" borderId="33" xfId="868" applyFont="1" applyBorder="1" applyAlignment="1">
      <alignment horizontal="left" vertical="center"/>
    </xf>
    <xf numFmtId="0" fontId="15" fillId="42" borderId="33" xfId="0" applyFont="1" applyFill="1" applyBorder="1" applyAlignment="1">
      <alignment horizontal="center" vertical="center"/>
    </xf>
    <xf numFmtId="0" fontId="15" fillId="42" borderId="12" xfId="0" applyFont="1" applyFill="1" applyBorder="1" applyAlignment="1">
      <alignment horizontal="center" vertical="center"/>
    </xf>
    <xf numFmtId="0" fontId="10" fillId="2" borderId="44" xfId="1787" applyFont="1" applyFill="1" applyBorder="1" applyAlignment="1">
      <alignment horizontal="center" vertical="center"/>
    </xf>
    <xf numFmtId="0" fontId="10" fillId="2" borderId="44" xfId="1787" applyFont="1" applyFill="1" applyBorder="1" applyAlignment="1">
      <alignment horizontal="center" vertical="center" wrapText="1"/>
    </xf>
    <xf numFmtId="14" fontId="56" fillId="56" borderId="4" xfId="1788" applyNumberFormat="1" applyFont="1" applyFill="1" applyBorder="1" applyAlignment="1" applyProtection="1">
      <alignment horizontal="right" vertical="center"/>
      <protection locked="0"/>
    </xf>
    <xf numFmtId="0" fontId="56" fillId="56" borderId="31" xfId="1788" applyFont="1" applyFill="1" applyBorder="1" applyAlignment="1" applyProtection="1">
      <alignment horizontal="right" vertical="center"/>
      <protection locked="0"/>
    </xf>
    <xf numFmtId="0" fontId="130" fillId="0" borderId="0" xfId="0" applyFont="1" applyAlignment="1">
      <alignment horizontal="left" vertical="center" wrapText="1"/>
    </xf>
    <xf numFmtId="0" fontId="97" fillId="2" borderId="12" xfId="0" applyFont="1" applyFill="1" applyBorder="1" applyAlignment="1">
      <alignment horizontal="center" vertical="center"/>
    </xf>
    <xf numFmtId="0" fontId="97" fillId="2" borderId="10" xfId="0" applyFont="1" applyFill="1" applyBorder="1" applyAlignment="1">
      <alignment horizontal="center" vertical="center"/>
    </xf>
    <xf numFmtId="0" fontId="97" fillId="2" borderId="19" xfId="0" applyFont="1" applyFill="1" applyBorder="1" applyAlignment="1">
      <alignment horizontal="center" vertical="center"/>
    </xf>
    <xf numFmtId="0" fontId="100" fillId="0" borderId="0" xfId="1787" applyFont="1" applyAlignment="1" applyProtection="1">
      <alignment horizontal="left" vertical="top" wrapText="1"/>
      <protection locked="0"/>
    </xf>
    <xf numFmtId="0" fontId="11" fillId="0" borderId="0" xfId="1789" applyNumberFormat="1" applyFont="1" applyFill="1" applyAlignment="1" applyProtection="1">
      <alignment horizontal="left" vertical="center"/>
      <protection locked="0"/>
    </xf>
    <xf numFmtId="0" fontId="11" fillId="0" borderId="0" xfId="849" applyFont="1" applyAlignment="1" applyProtection="1">
      <alignment horizontal="left" vertical="center"/>
      <protection locked="0"/>
    </xf>
    <xf numFmtId="0" fontId="11" fillId="0" borderId="48" xfId="849" applyFont="1" applyBorder="1" applyAlignment="1" applyProtection="1">
      <alignment horizontal="left" vertical="center"/>
      <protection locked="0"/>
    </xf>
    <xf numFmtId="0" fontId="11" fillId="0" borderId="49" xfId="849" applyFont="1" applyBorder="1" applyAlignment="1" applyProtection="1">
      <alignment horizontal="left" vertical="center"/>
      <protection locked="0"/>
    </xf>
    <xf numFmtId="0" fontId="11" fillId="0" borderId="51" xfId="849" applyFont="1" applyBorder="1" applyAlignment="1" applyProtection="1">
      <alignment horizontal="left" vertical="center"/>
      <protection locked="0"/>
    </xf>
    <xf numFmtId="0" fontId="11" fillId="0" borderId="40" xfId="0" applyFont="1" applyBorder="1" applyAlignment="1">
      <alignment horizontal="left" vertical="center"/>
    </xf>
    <xf numFmtId="0" fontId="11" fillId="0" borderId="59" xfId="0" applyFont="1" applyBorder="1" applyAlignment="1">
      <alignment horizontal="left" vertical="center"/>
    </xf>
    <xf numFmtId="0" fontId="11" fillId="0" borderId="56" xfId="849" applyFont="1" applyBorder="1" applyAlignment="1" applyProtection="1">
      <alignment horizontal="left" vertical="center"/>
      <protection locked="0"/>
    </xf>
    <xf numFmtId="0" fontId="11" fillId="0" borderId="57" xfId="0" applyFont="1" applyBorder="1" applyAlignment="1">
      <alignment horizontal="left" vertical="center"/>
    </xf>
    <xf numFmtId="0" fontId="11" fillId="0" borderId="60" xfId="849" applyFont="1" applyBorder="1" applyAlignment="1" applyProtection="1">
      <alignment horizontal="left" vertical="center"/>
      <protection locked="0"/>
    </xf>
    <xf numFmtId="180" fontId="11" fillId="0" borderId="33" xfId="1789" applyFont="1" applyFill="1" applyBorder="1" applyAlignment="1" applyProtection="1">
      <alignment horizontal="right" vertical="center" shrinkToFit="1"/>
      <protection locked="0"/>
    </xf>
    <xf numFmtId="180" fontId="11" fillId="0" borderId="33" xfId="1800" applyFont="1" applyFill="1" applyBorder="1" applyAlignment="1" applyProtection="1">
      <alignment horizontal="right" vertical="center" shrinkToFit="1"/>
      <protection locked="0"/>
    </xf>
    <xf numFmtId="180" fontId="7" fillId="0" borderId="0" xfId="1789" applyFont="1" applyFill="1" applyAlignment="1" applyProtection="1">
      <alignment vertical="center"/>
      <protection locked="0"/>
    </xf>
    <xf numFmtId="180" fontId="7" fillId="0" borderId="0" xfId="1789" applyFont="1" applyFill="1" applyBorder="1" applyAlignment="1" applyProtection="1">
      <alignment vertical="center"/>
      <protection locked="0"/>
    </xf>
    <xf numFmtId="180" fontId="11" fillId="0" borderId="0" xfId="1789" applyFont="1" applyFill="1" applyAlignment="1" applyProtection="1">
      <alignment vertical="center" wrapText="1"/>
      <protection locked="0"/>
    </xf>
    <xf numFmtId="180" fontId="7" fillId="0" borderId="3" xfId="1789" applyFont="1" applyFill="1" applyBorder="1" applyAlignment="1" applyProtection="1">
      <alignment vertical="center"/>
      <protection locked="0"/>
    </xf>
    <xf numFmtId="180" fontId="11" fillId="0" borderId="3" xfId="1789" applyFont="1" applyFill="1" applyBorder="1" applyAlignment="1" applyProtection="1">
      <alignment vertical="center" wrapText="1"/>
      <protection locked="0"/>
    </xf>
    <xf numFmtId="180" fontId="7" fillId="0" borderId="33" xfId="1789" applyFont="1" applyFill="1" applyBorder="1" applyAlignment="1" applyProtection="1">
      <alignment horizontal="right" vertical="center" shrinkToFit="1"/>
      <protection locked="0"/>
    </xf>
    <xf numFmtId="180" fontId="7" fillId="0" borderId="33" xfId="1800" applyFont="1" applyFill="1" applyBorder="1" applyAlignment="1" applyProtection="1">
      <alignment horizontal="right" vertical="center" shrinkToFit="1"/>
      <protection locked="0"/>
    </xf>
    <xf numFmtId="0" fontId="11" fillId="0" borderId="33" xfId="1800" applyNumberFormat="1" applyFont="1" applyFill="1" applyBorder="1" applyAlignment="1" applyProtection="1">
      <alignment horizontal="left" vertical="center" wrapText="1"/>
      <protection locked="0"/>
    </xf>
    <xf numFmtId="180" fontId="11" fillId="0" borderId="33" xfId="448" applyFont="1" applyFill="1" applyBorder="1" applyAlignment="1" applyProtection="1">
      <alignment horizontal="right" vertical="center" shrinkToFit="1"/>
      <protection locked="0"/>
    </xf>
    <xf numFmtId="180" fontId="11" fillId="0" borderId="33" xfId="450" applyNumberFormat="1" applyFont="1" applyFill="1" applyBorder="1" applyAlignment="1" applyProtection="1">
      <alignment horizontal="right" vertical="center" shrinkToFit="1"/>
      <protection locked="0"/>
    </xf>
    <xf numFmtId="180" fontId="11" fillId="0" borderId="44" xfId="448" applyFont="1" applyFill="1" applyBorder="1" applyAlignment="1" applyProtection="1">
      <alignment horizontal="right" vertical="center" shrinkToFit="1"/>
      <protection locked="0"/>
    </xf>
    <xf numFmtId="180" fontId="15" fillId="0" borderId="33" xfId="448" applyFont="1" applyBorder="1" applyAlignment="1" applyProtection="1">
      <alignment horizontal="right" vertical="center" shrinkToFit="1"/>
      <protection locked="0"/>
    </xf>
    <xf numFmtId="180" fontId="15" fillId="0" borderId="44" xfId="448" applyFont="1" applyBorder="1" applyAlignment="1" applyProtection="1">
      <alignment horizontal="right" vertical="center" shrinkToFit="1"/>
      <protection locked="0"/>
    </xf>
    <xf numFmtId="180" fontId="7" fillId="0" borderId="10" xfId="25" applyFont="1" applyBorder="1" applyAlignment="1">
      <alignment horizontal="right" vertical="center" shrinkToFit="1"/>
    </xf>
    <xf numFmtId="0" fontId="173" fillId="2" borderId="0" xfId="868" applyFont="1" applyFill="1" applyAlignment="1">
      <alignment horizontal="left" vertical="center"/>
    </xf>
    <xf numFmtId="0" fontId="174" fillId="56" borderId="2" xfId="1788" applyFont="1" applyFill="1" applyBorder="1" applyAlignment="1" applyProtection="1">
      <alignment horizontal="right" vertical="center"/>
      <protection locked="0"/>
    </xf>
    <xf numFmtId="0" fontId="175" fillId="0" borderId="11" xfId="0" applyFont="1" applyBorder="1" applyAlignment="1">
      <alignment horizontal="center" vertical="center"/>
    </xf>
    <xf numFmtId="0" fontId="176" fillId="0" borderId="33" xfId="0" applyFont="1" applyBorder="1" applyAlignment="1">
      <alignment horizontal="left" vertical="center" wrapText="1"/>
    </xf>
    <xf numFmtId="180" fontId="122" fillId="0" borderId="0" xfId="452" applyNumberFormat="1" applyFont="1" applyFill="1" applyBorder="1" applyAlignment="1" applyProtection="1">
      <alignment vertical="center" shrinkToFit="1"/>
      <protection locked="0"/>
    </xf>
    <xf numFmtId="0" fontId="175" fillId="0" borderId="0" xfId="446" applyFont="1" applyAlignment="1">
      <alignment horizontal="center" vertical="center"/>
    </xf>
    <xf numFmtId="0" fontId="11" fillId="2" borderId="0" xfId="446" applyFont="1" applyFill="1" applyAlignment="1">
      <alignment vertical="center"/>
    </xf>
    <xf numFmtId="49" fontId="122" fillId="0" borderId="33" xfId="439" applyNumberFormat="1" applyFont="1" applyBorder="1" applyAlignment="1" applyProtection="1">
      <alignment horizontal="left" vertical="center" wrapText="1"/>
      <protection locked="0"/>
    </xf>
    <xf numFmtId="44" fontId="8" fillId="0" borderId="0" xfId="446" applyNumberFormat="1" applyFont="1" applyAlignment="1">
      <alignment horizontal="center" vertical="center"/>
    </xf>
    <xf numFmtId="4" fontId="97" fillId="0" borderId="0" xfId="0" applyNumberFormat="1" applyFont="1" applyAlignment="1">
      <alignment vertical="center"/>
    </xf>
    <xf numFmtId="43" fontId="97" fillId="0" borderId="0" xfId="0" applyNumberFormat="1" applyFont="1" applyAlignment="1">
      <alignment vertical="center"/>
    </xf>
    <xf numFmtId="0" fontId="10" fillId="0" borderId="33" xfId="868" applyFont="1" applyBorder="1" applyAlignment="1">
      <alignment horizontal="left" vertical="center" wrapText="1"/>
    </xf>
    <xf numFmtId="0" fontId="7" fillId="0" borderId="33" xfId="868" applyFont="1" applyBorder="1" applyAlignment="1">
      <alignment horizontal="left" vertical="center" wrapText="1"/>
    </xf>
    <xf numFmtId="17" fontId="82" fillId="43" borderId="33" xfId="239" applyNumberFormat="1" applyFont="1" applyFill="1" applyBorder="1" applyAlignment="1" applyProtection="1">
      <alignment horizontal="left" vertical="center" wrapText="1"/>
      <protection locked="0"/>
    </xf>
    <xf numFmtId="17" fontId="15" fillId="43" borderId="33" xfId="239" applyNumberFormat="1" applyFont="1" applyFill="1" applyBorder="1" applyAlignment="1" applyProtection="1">
      <alignment horizontal="left" vertical="center" wrapText="1"/>
      <protection locked="0"/>
    </xf>
    <xf numFmtId="49" fontId="7" fillId="0" borderId="33" xfId="868" applyNumberFormat="1" applyFont="1" applyBorder="1" applyAlignment="1">
      <alignment horizontal="left" vertical="center" wrapText="1"/>
    </xf>
    <xf numFmtId="49" fontId="10" fillId="0" borderId="33" xfId="868" applyNumberFormat="1" applyFont="1" applyBorder="1" applyAlignment="1">
      <alignment horizontal="left" vertical="center" wrapText="1"/>
    </xf>
    <xf numFmtId="49" fontId="11" fillId="0" borderId="33" xfId="249" applyNumberFormat="1" applyFont="1" applyBorder="1" applyAlignment="1">
      <alignment horizontal="left" vertical="center" wrapText="1"/>
    </xf>
    <xf numFmtId="0" fontId="124" fillId="56" borderId="54" xfId="1787" applyFont="1" applyFill="1" applyBorder="1" applyAlignment="1">
      <alignment horizontal="left" vertical="center" wrapText="1"/>
    </xf>
    <xf numFmtId="0" fontId="124" fillId="56" borderId="3" xfId="1787" applyFont="1" applyFill="1" applyBorder="1" applyAlignment="1">
      <alignment horizontal="left" vertical="center" wrapText="1"/>
    </xf>
    <xf numFmtId="0" fontId="124" fillId="56" borderId="55" xfId="1787" applyFont="1" applyFill="1" applyBorder="1" applyAlignment="1">
      <alignment horizontal="left" vertical="center" wrapText="1"/>
    </xf>
    <xf numFmtId="0" fontId="124" fillId="56" borderId="56" xfId="1787" applyFont="1" applyFill="1" applyBorder="1" applyAlignment="1">
      <alignment horizontal="left" vertical="center" wrapText="1"/>
    </xf>
    <xf numFmtId="0" fontId="124" fillId="56" borderId="0" xfId="1787" applyFont="1" applyFill="1" applyAlignment="1">
      <alignment horizontal="left" vertical="center" wrapText="1"/>
    </xf>
    <xf numFmtId="0" fontId="124" fillId="56" borderId="57" xfId="1787" applyFont="1" applyFill="1" applyBorder="1" applyAlignment="1">
      <alignment horizontal="left" vertical="center" wrapText="1"/>
    </xf>
    <xf numFmtId="0" fontId="124" fillId="56" borderId="60" xfId="1787" applyFont="1" applyFill="1" applyBorder="1" applyAlignment="1">
      <alignment horizontal="left" vertical="center" wrapText="1"/>
    </xf>
    <xf numFmtId="0" fontId="124" fillId="56" borderId="48" xfId="1787" applyFont="1" applyFill="1" applyBorder="1" applyAlignment="1">
      <alignment horizontal="left" vertical="center" wrapText="1"/>
    </xf>
    <xf numFmtId="0" fontId="124" fillId="56" borderId="49" xfId="1787" applyFont="1" applyFill="1" applyBorder="1" applyAlignment="1">
      <alignment horizontal="left" vertical="center" wrapText="1"/>
    </xf>
    <xf numFmtId="0" fontId="11" fillId="0" borderId="33" xfId="1787" applyFont="1" applyBorder="1" applyAlignment="1" applyProtection="1">
      <alignment horizontal="left" vertical="center" wrapText="1"/>
      <protection locked="0"/>
    </xf>
    <xf numFmtId="0" fontId="130" fillId="60" borderId="2" xfId="0" applyFont="1" applyFill="1" applyBorder="1" applyAlignment="1">
      <alignment horizontal="left" vertical="center" wrapText="1"/>
    </xf>
    <xf numFmtId="0" fontId="130" fillId="60" borderId="3" xfId="0" applyFont="1" applyFill="1" applyBorder="1" applyAlignment="1">
      <alignment horizontal="left" vertical="center" wrapText="1"/>
    </xf>
    <xf numFmtId="0" fontId="130" fillId="60" borderId="7" xfId="0" applyFont="1" applyFill="1" applyBorder="1" applyAlignment="1">
      <alignment horizontal="left" vertical="center" wrapText="1"/>
    </xf>
    <xf numFmtId="0" fontId="130" fillId="60" borderId="4" xfId="0" applyFont="1" applyFill="1" applyBorder="1" applyAlignment="1">
      <alignment horizontal="left" vertical="center" wrapText="1"/>
    </xf>
    <xf numFmtId="0" fontId="130" fillId="60" borderId="0" xfId="0" applyFont="1" applyFill="1" applyAlignment="1">
      <alignment horizontal="left" vertical="center" wrapText="1"/>
    </xf>
    <xf numFmtId="0" fontId="130" fillId="60" borderId="32" xfId="0" applyFont="1" applyFill="1" applyBorder="1" applyAlignment="1">
      <alignment horizontal="left" vertical="center" wrapText="1"/>
    </xf>
    <xf numFmtId="0" fontId="130" fillId="60" borderId="31" xfId="0" applyFont="1" applyFill="1" applyBorder="1" applyAlignment="1">
      <alignment horizontal="left" vertical="center" wrapText="1"/>
    </xf>
    <xf numFmtId="0" fontId="130" fillId="60" borderId="1" xfId="0" applyFont="1" applyFill="1" applyBorder="1" applyAlignment="1">
      <alignment horizontal="left" vertical="center" wrapText="1"/>
    </xf>
    <xf numFmtId="0" fontId="130" fillId="60" borderId="8" xfId="0" applyFont="1" applyFill="1" applyBorder="1" applyAlignment="1">
      <alignment horizontal="left" vertical="center" wrapText="1"/>
    </xf>
    <xf numFmtId="0" fontId="130" fillId="0" borderId="3" xfId="0" applyFont="1" applyBorder="1" applyAlignment="1">
      <alignment horizontal="left" vertical="center" wrapText="1"/>
    </xf>
    <xf numFmtId="0" fontId="130" fillId="0" borderId="0" xfId="0" applyFont="1" applyAlignment="1">
      <alignment horizontal="left" vertical="center" wrapText="1"/>
    </xf>
    <xf numFmtId="0" fontId="15" fillId="58" borderId="44" xfId="0" applyFont="1" applyFill="1" applyBorder="1" applyAlignment="1">
      <alignment horizontal="center" vertical="center"/>
    </xf>
    <xf numFmtId="0" fontId="15" fillId="58" borderId="11" xfId="0" applyFont="1" applyFill="1" applyBorder="1" applyAlignment="1">
      <alignment horizontal="center" vertical="center"/>
    </xf>
    <xf numFmtId="0" fontId="15" fillId="58" borderId="42" xfId="0" applyFont="1" applyFill="1" applyBorder="1" applyAlignment="1">
      <alignment horizontal="center" vertical="center"/>
    </xf>
    <xf numFmtId="0" fontId="82" fillId="61" borderId="2" xfId="0" applyFont="1" applyFill="1" applyBorder="1" applyAlignment="1">
      <alignment horizontal="center" vertical="center"/>
    </xf>
    <xf numFmtId="0" fontId="82" fillId="61" borderId="3" xfId="0" applyFont="1" applyFill="1" applyBorder="1" applyAlignment="1">
      <alignment horizontal="center" vertical="center"/>
    </xf>
    <xf numFmtId="0" fontId="82" fillId="61" borderId="7" xfId="0" applyFont="1" applyFill="1" applyBorder="1" applyAlignment="1">
      <alignment horizontal="center" vertical="center"/>
    </xf>
    <xf numFmtId="14" fontId="15" fillId="61" borderId="61" xfId="0" applyNumberFormat="1" applyFont="1" applyFill="1" applyBorder="1" applyAlignment="1">
      <alignment horizontal="center" vertical="center"/>
    </xf>
    <xf numFmtId="14" fontId="15" fillId="61" borderId="11" xfId="0" applyNumberFormat="1" applyFont="1" applyFill="1" applyBorder="1" applyAlignment="1">
      <alignment horizontal="center" vertical="center"/>
    </xf>
    <xf numFmtId="14" fontId="15" fillId="61" borderId="42" xfId="0" applyNumberFormat="1" applyFont="1" applyFill="1" applyBorder="1" applyAlignment="1">
      <alignment horizontal="center" vertical="center"/>
    </xf>
    <xf numFmtId="0" fontId="15" fillId="61" borderId="44" xfId="0" applyFont="1" applyFill="1" applyBorder="1" applyAlignment="1">
      <alignment horizontal="center" vertical="center"/>
    </xf>
    <xf numFmtId="0" fontId="15" fillId="61" borderId="47" xfId="0" applyFont="1" applyFill="1" applyBorder="1" applyAlignment="1">
      <alignment horizontal="center" vertical="center"/>
    </xf>
    <xf numFmtId="0" fontId="82" fillId="61" borderId="66" xfId="0" applyFont="1" applyFill="1" applyBorder="1" applyAlignment="1">
      <alignment horizontal="center" vertical="center" wrapText="1"/>
    </xf>
    <xf numFmtId="0" fontId="82" fillId="61" borderId="69" xfId="0" applyFont="1" applyFill="1" applyBorder="1" applyAlignment="1">
      <alignment horizontal="center" vertical="center" wrapText="1"/>
    </xf>
    <xf numFmtId="0" fontId="82" fillId="61" borderId="67" xfId="0" applyFont="1" applyFill="1" applyBorder="1" applyAlignment="1">
      <alignment horizontal="center" vertical="center" wrapText="1"/>
    </xf>
    <xf numFmtId="0" fontId="82" fillId="61" borderId="70" xfId="0" applyFont="1" applyFill="1" applyBorder="1" applyAlignment="1">
      <alignment horizontal="center" vertical="center" wrapText="1"/>
    </xf>
    <xf numFmtId="0" fontId="139" fillId="53" borderId="4" xfId="0" applyFont="1" applyFill="1" applyBorder="1" applyAlignment="1">
      <alignment horizontal="center" vertical="center"/>
    </xf>
    <xf numFmtId="0" fontId="139" fillId="53" borderId="0" xfId="0" applyFont="1" applyFill="1" applyAlignment="1">
      <alignment horizontal="center" vertical="center"/>
    </xf>
    <xf numFmtId="0" fontId="139" fillId="53" borderId="32" xfId="0" applyFont="1" applyFill="1" applyBorder="1" applyAlignment="1">
      <alignment horizontal="center" vertical="center"/>
    </xf>
    <xf numFmtId="0" fontId="100" fillId="0" borderId="2" xfId="1787" applyFont="1" applyBorder="1" applyAlignment="1" applyProtection="1">
      <alignment horizontal="left" vertical="center" wrapText="1"/>
      <protection locked="0"/>
    </xf>
    <xf numFmtId="0" fontId="100" fillId="0" borderId="3" xfId="1787" applyFont="1" applyBorder="1" applyAlignment="1" applyProtection="1">
      <alignment horizontal="left" vertical="center" wrapText="1"/>
      <protection locked="0"/>
    </xf>
    <xf numFmtId="0" fontId="100" fillId="0" borderId="7" xfId="1787" applyFont="1" applyBorder="1" applyAlignment="1" applyProtection="1">
      <alignment horizontal="left" vertical="center" wrapText="1"/>
      <protection locked="0"/>
    </xf>
    <xf numFmtId="0" fontId="100" fillId="0" borderId="4" xfId="1787" applyFont="1" applyBorder="1" applyAlignment="1" applyProtection="1">
      <alignment horizontal="left" vertical="center" wrapText="1"/>
      <protection locked="0"/>
    </xf>
    <xf numFmtId="0" fontId="100" fillId="0" borderId="0" xfId="1787" applyFont="1" applyAlignment="1" applyProtection="1">
      <alignment horizontal="left" vertical="center" wrapText="1"/>
      <protection locked="0"/>
    </xf>
    <xf numFmtId="0" fontId="100" fillId="0" borderId="32" xfId="1787" applyFont="1" applyBorder="1" applyAlignment="1" applyProtection="1">
      <alignment horizontal="left" vertical="center" wrapText="1"/>
      <protection locked="0"/>
    </xf>
    <xf numFmtId="0" fontId="100" fillId="0" borderId="31" xfId="1787" applyFont="1" applyBorder="1" applyAlignment="1" applyProtection="1">
      <alignment horizontal="left" vertical="center" wrapText="1"/>
      <protection locked="0"/>
    </xf>
    <xf numFmtId="0" fontId="100" fillId="0" borderId="1" xfId="1787" applyFont="1" applyBorder="1" applyAlignment="1" applyProtection="1">
      <alignment horizontal="left" vertical="center" wrapText="1"/>
      <protection locked="0"/>
    </xf>
    <xf numFmtId="0" fontId="100" fillId="0" borderId="8" xfId="1787" applyFont="1" applyBorder="1" applyAlignment="1" applyProtection="1">
      <alignment horizontal="left" vertical="center" wrapText="1"/>
      <protection locked="0"/>
    </xf>
    <xf numFmtId="0" fontId="100" fillId="0" borderId="2" xfId="233" applyFont="1" applyBorder="1" applyAlignment="1" applyProtection="1">
      <alignment horizontal="left" vertical="center" wrapText="1"/>
      <protection locked="0"/>
    </xf>
    <xf numFmtId="0" fontId="100" fillId="0" borderId="3" xfId="233" applyFont="1" applyBorder="1" applyAlignment="1" applyProtection="1">
      <alignment horizontal="left" vertical="center" wrapText="1"/>
      <protection locked="0"/>
    </xf>
    <xf numFmtId="0" fontId="100" fillId="0" borderId="7" xfId="233" applyFont="1" applyBorder="1" applyAlignment="1" applyProtection="1">
      <alignment horizontal="left" vertical="center" wrapText="1"/>
      <protection locked="0"/>
    </xf>
    <xf numFmtId="0" fontId="100" fillId="0" borderId="4" xfId="233" applyFont="1" applyBorder="1" applyAlignment="1" applyProtection="1">
      <alignment horizontal="left" vertical="center" wrapText="1"/>
      <protection locked="0"/>
    </xf>
    <xf numFmtId="0" fontId="100" fillId="0" borderId="0" xfId="233" applyFont="1" applyAlignment="1" applyProtection="1">
      <alignment horizontal="left" vertical="center" wrapText="1"/>
      <protection locked="0"/>
    </xf>
    <xf numFmtId="0" fontId="100" fillId="0" borderId="32" xfId="233" applyFont="1" applyBorder="1" applyAlignment="1" applyProtection="1">
      <alignment horizontal="left" vertical="center" wrapText="1"/>
      <protection locked="0"/>
    </xf>
    <xf numFmtId="0" fontId="100" fillId="0" borderId="31" xfId="233" applyFont="1" applyBorder="1" applyAlignment="1" applyProtection="1">
      <alignment horizontal="left" vertical="center" wrapText="1"/>
      <protection locked="0"/>
    </xf>
    <xf numFmtId="0" fontId="100" fillId="0" borderId="1" xfId="233" applyFont="1" applyBorder="1" applyAlignment="1" applyProtection="1">
      <alignment horizontal="left" vertical="center" wrapText="1"/>
      <protection locked="0"/>
    </xf>
    <xf numFmtId="0" fontId="100" fillId="0" borderId="8" xfId="233" applyFont="1" applyBorder="1" applyAlignment="1" applyProtection="1">
      <alignment horizontal="left" vertical="center" wrapText="1"/>
      <protection locked="0"/>
    </xf>
    <xf numFmtId="0" fontId="8" fillId="0" borderId="12" xfId="0" applyFont="1" applyBorder="1" applyAlignment="1">
      <alignment horizontal="center" vertical="center"/>
    </xf>
    <xf numFmtId="0" fontId="8" fillId="0" borderId="10" xfId="0" applyFont="1" applyBorder="1" applyAlignment="1">
      <alignment horizontal="center" vertical="center"/>
    </xf>
    <xf numFmtId="0" fontId="97" fillId="0" borderId="12" xfId="0" applyFont="1" applyBorder="1" applyAlignment="1">
      <alignment horizontal="center" vertical="center"/>
    </xf>
    <xf numFmtId="0" fontId="97" fillId="0" borderId="19" xfId="0" applyFont="1" applyBorder="1" applyAlignment="1">
      <alignment horizontal="center" vertical="center"/>
    </xf>
    <xf numFmtId="0" fontId="97" fillId="0" borderId="10" xfId="0" applyFont="1" applyBorder="1" applyAlignment="1">
      <alignment horizontal="center" vertical="center"/>
    </xf>
    <xf numFmtId="0" fontId="97" fillId="2" borderId="12" xfId="0" applyFont="1" applyFill="1" applyBorder="1" applyAlignment="1">
      <alignment horizontal="center" vertical="center"/>
    </xf>
    <xf numFmtId="0" fontId="97" fillId="2" borderId="10" xfId="0" applyFont="1" applyFill="1" applyBorder="1" applyAlignment="1">
      <alignment horizontal="center" vertical="center"/>
    </xf>
    <xf numFmtId="0" fontId="97" fillId="2" borderId="19" xfId="0" applyFont="1" applyFill="1" applyBorder="1" applyAlignment="1">
      <alignment horizontal="center" vertical="center"/>
    </xf>
    <xf numFmtId="49" fontId="157" fillId="44" borderId="0" xfId="439" applyNumberFormat="1" applyFont="1" applyFill="1" applyAlignment="1">
      <alignment horizontal="left" vertical="top" wrapText="1"/>
    </xf>
    <xf numFmtId="49" fontId="111" fillId="0" borderId="0" xfId="439" applyNumberFormat="1" applyFont="1" applyAlignment="1">
      <alignment horizontal="left" vertical="top" wrapText="1"/>
    </xf>
    <xf numFmtId="0" fontId="100" fillId="0" borderId="2" xfId="1787" applyFont="1" applyBorder="1" applyAlignment="1" applyProtection="1">
      <alignment horizontal="left" vertical="top" wrapText="1"/>
      <protection locked="0"/>
    </xf>
    <xf numFmtId="0" fontId="100" fillId="0" borderId="3" xfId="1787" applyFont="1" applyBorder="1" applyAlignment="1" applyProtection="1">
      <alignment horizontal="left" vertical="top" wrapText="1"/>
      <protection locked="0"/>
    </xf>
    <xf numFmtId="0" fontId="100" fillId="0" borderId="7" xfId="1787" applyFont="1" applyBorder="1" applyAlignment="1" applyProtection="1">
      <alignment horizontal="left" vertical="top" wrapText="1"/>
      <protection locked="0"/>
    </xf>
    <xf numFmtId="0" fontId="100" fillId="0" borderId="4" xfId="1787" applyFont="1" applyBorder="1" applyAlignment="1" applyProtection="1">
      <alignment horizontal="left" vertical="top" wrapText="1"/>
      <protection locked="0"/>
    </xf>
    <xf numFmtId="0" fontId="100" fillId="0" borderId="0" xfId="1787" applyFont="1" applyAlignment="1" applyProtection="1">
      <alignment horizontal="left" vertical="top" wrapText="1"/>
      <protection locked="0"/>
    </xf>
    <xf numFmtId="0" fontId="100" fillId="0" borderId="32" xfId="1787" applyFont="1" applyBorder="1" applyAlignment="1" applyProtection="1">
      <alignment horizontal="left" vertical="top" wrapText="1"/>
      <protection locked="0"/>
    </xf>
    <xf numFmtId="0" fontId="100" fillId="0" borderId="31" xfId="1787" applyFont="1" applyBorder="1" applyAlignment="1" applyProtection="1">
      <alignment horizontal="left" vertical="top" wrapText="1"/>
      <protection locked="0"/>
    </xf>
    <xf numFmtId="0" fontId="100" fillId="0" borderId="1" xfId="1787" applyFont="1" applyBorder="1" applyAlignment="1" applyProtection="1">
      <alignment horizontal="left" vertical="top" wrapText="1"/>
      <protection locked="0"/>
    </xf>
    <xf numFmtId="0" fontId="100" fillId="0" borderId="8" xfId="1787" applyFont="1" applyBorder="1" applyAlignment="1" applyProtection="1">
      <alignment horizontal="left" vertical="top" wrapText="1"/>
      <protection locked="0"/>
    </xf>
    <xf numFmtId="49" fontId="111" fillId="0" borderId="0" xfId="439" applyNumberFormat="1" applyFont="1" applyAlignment="1">
      <alignment horizontal="left" vertical="center" wrapText="1"/>
    </xf>
    <xf numFmtId="0" fontId="82" fillId="42" borderId="44" xfId="0" applyFont="1" applyFill="1" applyBorder="1" applyAlignment="1">
      <alignment horizontal="center" vertical="center"/>
    </xf>
    <xf numFmtId="0" fontId="82" fillId="42" borderId="42" xfId="0" applyFont="1" applyFill="1" applyBorder="1" applyAlignment="1">
      <alignment horizontal="center" vertical="center"/>
    </xf>
    <xf numFmtId="0" fontId="8" fillId="42" borderId="44" xfId="0" applyFont="1" applyFill="1" applyBorder="1" applyAlignment="1">
      <alignment horizontal="center" vertical="center"/>
    </xf>
    <xf numFmtId="0" fontId="8" fillId="42" borderId="11" xfId="0" applyFont="1" applyFill="1" applyBorder="1" applyAlignment="1">
      <alignment horizontal="center" vertical="center"/>
    </xf>
    <xf numFmtId="0" fontId="8" fillId="42" borderId="42" xfId="0" applyFont="1" applyFill="1" applyBorder="1" applyAlignment="1">
      <alignment horizontal="center" vertical="center"/>
    </xf>
    <xf numFmtId="0" fontId="153" fillId="44" borderId="0" xfId="439" applyFont="1" applyFill="1" applyAlignment="1">
      <alignment horizontal="left" vertical="center" wrapText="1"/>
    </xf>
    <xf numFmtId="0" fontId="97" fillId="3" borderId="12" xfId="0" applyFont="1" applyFill="1" applyBorder="1" applyAlignment="1">
      <alignment horizontal="center" vertical="center"/>
    </xf>
    <xf numFmtId="0" fontId="97" fillId="3" borderId="10" xfId="0" applyFont="1" applyFill="1" applyBorder="1" applyAlignment="1">
      <alignment horizontal="center" vertical="center"/>
    </xf>
    <xf numFmtId="0" fontId="174" fillId="56" borderId="4" xfId="17" applyNumberFormat="1" applyFont="1" applyFill="1" applyBorder="1" applyAlignment="1" applyProtection="1">
      <alignment horizontal="right" vertical="center"/>
      <protection locked="0"/>
    </xf>
    <xf numFmtId="180" fontId="11" fillId="0" borderId="0" xfId="9" applyFont="1" applyAlignment="1">
      <alignment horizontal="right" vertical="center"/>
    </xf>
    <xf numFmtId="180" fontId="11" fillId="0" borderId="39" xfId="9" applyFont="1" applyBorder="1" applyAlignment="1">
      <alignment horizontal="right" vertical="center"/>
    </xf>
    <xf numFmtId="4" fontId="7" fillId="0" borderId="0" xfId="0" applyNumberFormat="1" applyFont="1" applyAlignment="1">
      <alignment vertical="center"/>
    </xf>
    <xf numFmtId="0" fontId="178" fillId="0" borderId="4" xfId="0" applyFont="1" applyBorder="1" applyAlignment="1">
      <alignment horizontal="left" vertical="center"/>
    </xf>
    <xf numFmtId="0" fontId="122" fillId="0" borderId="2" xfId="1787" applyFont="1" applyBorder="1" applyAlignment="1" applyProtection="1">
      <alignment horizontal="left" vertical="center" wrapText="1"/>
      <protection locked="0"/>
    </xf>
    <xf numFmtId="0" fontId="11" fillId="0" borderId="3" xfId="1787" applyFont="1" applyBorder="1" applyAlignment="1" applyProtection="1">
      <alignment horizontal="left" vertical="center" wrapText="1"/>
      <protection locked="0"/>
    </xf>
    <xf numFmtId="0" fontId="11" fillId="0" borderId="7" xfId="1787" applyFont="1" applyBorder="1" applyAlignment="1" applyProtection="1">
      <alignment horizontal="left" vertical="center" wrapText="1"/>
      <protection locked="0"/>
    </xf>
    <xf numFmtId="0" fontId="11" fillId="0" borderId="4" xfId="1787" applyFont="1" applyBorder="1" applyAlignment="1" applyProtection="1">
      <alignment horizontal="left" vertical="center" wrapText="1"/>
      <protection locked="0"/>
    </xf>
    <xf numFmtId="0" fontId="11" fillId="0" borderId="0" xfId="1787" applyFont="1" applyAlignment="1" applyProtection="1">
      <alignment horizontal="left" vertical="center" wrapText="1"/>
      <protection locked="0"/>
    </xf>
    <xf numFmtId="0" fontId="11" fillId="0" borderId="32" xfId="1787" applyFont="1" applyBorder="1" applyAlignment="1" applyProtection="1">
      <alignment horizontal="left" vertical="center" wrapText="1"/>
      <protection locked="0"/>
    </xf>
    <xf numFmtId="0" fontId="11" fillId="0" borderId="31" xfId="1787" applyFont="1" applyBorder="1" applyAlignment="1" applyProtection="1">
      <alignment horizontal="left" vertical="center" wrapText="1"/>
      <protection locked="0"/>
    </xf>
    <xf numFmtId="0" fontId="11" fillId="0" borderId="1" xfId="1787" applyFont="1" applyBorder="1" applyAlignment="1" applyProtection="1">
      <alignment horizontal="left" vertical="center" wrapText="1"/>
      <protection locked="0"/>
    </xf>
    <xf numFmtId="0" fontId="11" fillId="0" borderId="8" xfId="1787" applyFont="1" applyBorder="1" applyAlignment="1" applyProtection="1">
      <alignment horizontal="left" vertical="center" wrapText="1"/>
      <protection locked="0"/>
    </xf>
    <xf numFmtId="0" fontId="176" fillId="0" borderId="33" xfId="0" applyFont="1" applyBorder="1" applyAlignment="1">
      <alignment vertical="center"/>
    </xf>
  </cellXfs>
  <cellStyles count="3761">
    <cellStyle name="_x000a_mouse.drv=lm" xfId="13" xr:uid="{00000000-0005-0000-0000-000016000000}"/>
    <cellStyle name="?鹎%U龡&amp;H?_x0008__x001c__x001c_?_x0007__x0001__x0001_" xfId="502" xr:uid="{C298B036-92C3-40FF-B947-F65FF1AEDFEE}"/>
    <cellStyle name="0%" xfId="20" xr:uid="{00000000-0005-0000-0000-000026000000}"/>
    <cellStyle name="0.0%" xfId="28" xr:uid="{00000000-0005-0000-0000-000040000000}"/>
    <cellStyle name="0.00%" xfId="41" xr:uid="{00000000-0005-0000-0000-000058000000}"/>
    <cellStyle name="00" xfId="43" xr:uid="{00000000-0005-0000-0000-00005A000000}"/>
    <cellStyle name="00 2" xfId="895" xr:uid="{373B13DF-BD98-4769-8413-43ADEA417211}"/>
    <cellStyle name="00 3" xfId="2476" xr:uid="{FC773392-4127-474B-B4E8-B44563E2C4A2}"/>
    <cellStyle name="20% - Accent1 2" xfId="896" xr:uid="{7D64EB7D-624A-4D7D-937C-7626667C235C}"/>
    <cellStyle name="20% - Accent1 2 2" xfId="1822" xr:uid="{8209424D-499A-493A-B05C-08696468E188}"/>
    <cellStyle name="20% - Accent6 2" xfId="897" xr:uid="{6A7205C5-6536-410D-A2C6-73542EEB016C}"/>
    <cellStyle name="20% - Accent6 2 2" xfId="1823" xr:uid="{63E0873A-5587-466C-8575-D874E49DA084}"/>
    <cellStyle name="Accent1" xfId="47" xr:uid="{00000000-0005-0000-0000-00005E000000}"/>
    <cellStyle name="Accent1 - 20%" xfId="39" xr:uid="{00000000-0005-0000-0000-000056000000}"/>
    <cellStyle name="Accent1 - 40%" xfId="48" xr:uid="{00000000-0005-0000-0000-00005F000000}"/>
    <cellStyle name="Accent1 - 60%" xfId="49" xr:uid="{00000000-0005-0000-0000-000060000000}"/>
    <cellStyle name="Accent1_RESULTS" xfId="2" xr:uid="{00000000-0005-0000-0000-000004000000}"/>
    <cellStyle name="Accent2" xfId="44" xr:uid="{00000000-0005-0000-0000-00005B000000}"/>
    <cellStyle name="Accent2 - 20%" xfId="51" xr:uid="{00000000-0005-0000-0000-000062000000}"/>
    <cellStyle name="Accent2 - 40%" xfId="6" xr:uid="{00000000-0005-0000-0000-00000B000000}"/>
    <cellStyle name="Accent2 - 60%" xfId="11" xr:uid="{00000000-0005-0000-0000-000013000000}"/>
    <cellStyle name="Accent2 2" xfId="898" xr:uid="{3A1688FA-044C-4428-A974-E54A9E8E027F}"/>
    <cellStyle name="Accent2_RESULTS" xfId="54" xr:uid="{00000000-0005-0000-0000-000065000000}"/>
    <cellStyle name="Accent3" xfId="57" xr:uid="{00000000-0005-0000-0000-000068000000}"/>
    <cellStyle name="Accent3 - 20%" xfId="59" xr:uid="{00000000-0005-0000-0000-00006A000000}"/>
    <cellStyle name="Accent3 - 40%" xfId="61" xr:uid="{00000000-0005-0000-0000-00006C000000}"/>
    <cellStyle name="Accent3 - 60%" xfId="62" xr:uid="{00000000-0005-0000-0000-00006D000000}"/>
    <cellStyle name="Accent3_RESULTS" xfId="27" xr:uid="{00000000-0005-0000-0000-00003B000000}"/>
    <cellStyle name="Accent4" xfId="64" xr:uid="{00000000-0005-0000-0000-00006F000000}"/>
    <cellStyle name="Accent4 - 20%" xfId="65" xr:uid="{00000000-0005-0000-0000-000070000000}"/>
    <cellStyle name="Accent4 - 40%" xfId="68" xr:uid="{00000000-0005-0000-0000-000073000000}"/>
    <cellStyle name="Accent4 - 60%" xfId="70" xr:uid="{00000000-0005-0000-0000-000075000000}"/>
    <cellStyle name="Accent4_RESULTS" xfId="72" xr:uid="{00000000-0005-0000-0000-000077000000}"/>
    <cellStyle name="Accent5" xfId="74" xr:uid="{00000000-0005-0000-0000-000079000000}"/>
    <cellStyle name="Accent5 - 20%" xfId="75" xr:uid="{00000000-0005-0000-0000-00007A000000}"/>
    <cellStyle name="Accent5 - 40%" xfId="77" xr:uid="{00000000-0005-0000-0000-00007C000000}"/>
    <cellStyle name="Accent5 - 60%" xfId="78" xr:uid="{00000000-0005-0000-0000-00007D000000}"/>
    <cellStyle name="Accent5_RESULTS" xfId="79" xr:uid="{00000000-0005-0000-0000-00007E000000}"/>
    <cellStyle name="Accent6" xfId="80" xr:uid="{00000000-0005-0000-0000-00007F000000}"/>
    <cellStyle name="Accent6 - 20%" xfId="83" xr:uid="{00000000-0005-0000-0000-000082000000}"/>
    <cellStyle name="Accent6 - 40%" xfId="86" xr:uid="{00000000-0005-0000-0000-000085000000}"/>
    <cellStyle name="Accent6 - 60%" xfId="89" xr:uid="{00000000-0005-0000-0000-000088000000}"/>
    <cellStyle name="Accent6_RESULTS" xfId="91" xr:uid="{00000000-0005-0000-0000-00008A000000}"/>
    <cellStyle name="Bad 2" xfId="900" xr:uid="{82122525-9EA8-4A95-B75F-FC0AE749F2F5}"/>
    <cellStyle name="Bad 3" xfId="901" xr:uid="{33A1EA3A-AC6B-4AD9-B947-C2CD0FC6A4B6}"/>
    <cellStyle name="Calc Currency (0)" xfId="93" xr:uid="{00000000-0005-0000-0000-00008C000000}"/>
    <cellStyle name="category" xfId="95" xr:uid="{00000000-0005-0000-0000-00008E000000}"/>
    <cellStyle name="cellStyleNum" xfId="902" xr:uid="{4D40773F-EE95-4A96-8BA1-25B32C480AF7}"/>
    <cellStyle name="cellStyleNum 2" xfId="503" xr:uid="{7B818058-E9C7-4582-84F0-FA824FE42A24}"/>
    <cellStyle name="cellStyleNum 2 2" xfId="496" xr:uid="{19FF2CD0-60C6-401B-B1F0-67D2BADD127C}"/>
    <cellStyle name="cellStyleNum 2 2 2" xfId="905" xr:uid="{66809261-E67B-4FB2-9501-0431EC5960C9}"/>
    <cellStyle name="cellStyleNum 2 2 2 2" xfId="2977" xr:uid="{9EC27A43-651D-4A2F-A656-23E70C4765BD}"/>
    <cellStyle name="cellStyleNum 2 2 2 3" xfId="1827" xr:uid="{27C1EE32-0676-4C28-A951-72B3B89DA0E3}"/>
    <cellStyle name="cellStyleNum 2 2 3" xfId="904" xr:uid="{05A0C2BF-1A9C-44B1-9615-1C1EF69B6FC2}"/>
    <cellStyle name="cellStyleNum 2 2 3 2" xfId="2976" xr:uid="{004EA742-D2A0-4806-955E-C23DDDA7C13A}"/>
    <cellStyle name="cellStyleNum 2 2 4" xfId="2703" xr:uid="{F5F2B5A1-6D49-4C9F-9078-6A341E4CFBB8}"/>
    <cellStyle name="cellStyleNum 2 2 5" xfId="1826" xr:uid="{0FEAB145-AD92-4DFF-9A9E-52389CF9B34F}"/>
    <cellStyle name="cellStyleNum 2 3" xfId="906" xr:uid="{0A6F73B8-7BF5-4487-A9E4-013C8F72E018}"/>
    <cellStyle name="cellStyleNum 2 3 2" xfId="2978" xr:uid="{EFEE61C2-EE2E-4261-BE78-5992F2A79CB6}"/>
    <cellStyle name="cellStyleNum 2 3 3" xfId="1828" xr:uid="{22C6559A-A887-42E9-902D-25C2E1DAAB81}"/>
    <cellStyle name="cellStyleNum 2 4" xfId="903" xr:uid="{4AB0763A-B7AC-4862-AE1D-9680F153CAEA}"/>
    <cellStyle name="cellStyleNum 2 4 2" xfId="2975" xr:uid="{A07BCC57-B59F-4EE9-A59F-AAA767B34B9D}"/>
    <cellStyle name="cellStyleNum 2 5" xfId="2706" xr:uid="{9227703B-295B-4E68-837E-0ABCB9FF8DFE}"/>
    <cellStyle name="cellStyleNum 2 6" xfId="1825" xr:uid="{2D804F48-7569-4E18-859A-D32699B3DD14}"/>
    <cellStyle name="cellStyleNum 3" xfId="907" xr:uid="{FDCE3897-07AE-4B37-B65A-FA75CB671D97}"/>
    <cellStyle name="cellStyleNum 3 2" xfId="2979" xr:uid="{2DCAB369-B43C-48C1-9137-ADE41552B537}"/>
    <cellStyle name="cellStyleNum 3 3" xfId="1829" xr:uid="{78C621EA-062F-448E-BDC6-52EBD388C8B1}"/>
    <cellStyle name="cellStyleNum 4" xfId="2974" xr:uid="{657E713F-6232-41ED-BD59-4788E59F8E18}"/>
    <cellStyle name="cellStyleNum 5" xfId="1824" xr:uid="{094AED63-302E-402C-92B8-38E806C13941}"/>
    <cellStyle name="cellStylePer" xfId="908" xr:uid="{EA167258-7C06-45F0-99B1-C12A9EF79E3F}"/>
    <cellStyle name="cellStylePer 2" xfId="909" xr:uid="{ACB6DCCA-25F2-4768-9137-3E57BEDDB482}"/>
    <cellStyle name="cellStylePer 2 2" xfId="910" xr:uid="{CA6A1139-4A67-48BA-AF0F-1A3F97196B74}"/>
    <cellStyle name="cellStylePer 2 2 2" xfId="2982" xr:uid="{91ED2F3D-1857-4023-8665-4BE9E17AA7CE}"/>
    <cellStyle name="cellStylePer 2 2 3" xfId="1832" xr:uid="{DADA3781-68B5-4F17-92BB-8DDE454C18D5}"/>
    <cellStyle name="cellStylePer 2 3" xfId="2981" xr:uid="{884FCF41-A3EC-459B-8C70-A4AC86C6E19E}"/>
    <cellStyle name="cellStylePer 2 4" xfId="1831" xr:uid="{BE82E530-37EC-4737-BB5A-6DB3143A245C}"/>
    <cellStyle name="cellStylePer 3" xfId="911" xr:uid="{54D923E8-67F4-44C7-8181-18F5E5AF4EB1}"/>
    <cellStyle name="cellStylePer 3 2" xfId="2983" xr:uid="{5C9786C6-EAD7-4D70-BA80-37132EAA01B9}"/>
    <cellStyle name="cellStylePer 3 3" xfId="1833" xr:uid="{53436332-5A82-4DA9-AE05-ECC1B2981F15}"/>
    <cellStyle name="cellStylePer 4" xfId="2980" xr:uid="{9FD9B600-FD50-4A26-837B-A3817B5BBE01}"/>
    <cellStyle name="cellStylePer 5" xfId="1830" xr:uid="{DB91F092-D486-45C8-9B12-655CEC56FF80}"/>
    <cellStyle name="Check Cell 2" xfId="96" xr:uid="{00000000-0005-0000-0000-00008F000000}"/>
    <cellStyle name="Check Cell 2 2" xfId="697" xr:uid="{AFF85DAF-F62C-44E9-927B-E6B20BA99037}"/>
    <cellStyle name="Check Cell 2 2 2" xfId="912" xr:uid="{D1E77B7B-9BBA-488E-9759-08D2DE480429}"/>
    <cellStyle name="Check Cell 2 2 3" xfId="2837" xr:uid="{D5C778F8-E845-49FC-85A8-D92B4A1B727F}"/>
    <cellStyle name="Check Cell 2 3" xfId="473" xr:uid="{CBEADF6A-15ED-4918-97A7-B598576D4923}"/>
    <cellStyle name="Col Heads" xfId="98" xr:uid="{00000000-0005-0000-0000-000091000000}"/>
    <cellStyle name="Comma  - Style1" xfId="101" xr:uid="{00000000-0005-0000-0000-000094000000}"/>
    <cellStyle name="Comma  - Style2" xfId="58" xr:uid="{00000000-0005-0000-0000-000069000000}"/>
    <cellStyle name="Comma  - Style3" xfId="94" xr:uid="{00000000-0005-0000-0000-00008D000000}"/>
    <cellStyle name="Comma  - Style4" xfId="102" xr:uid="{00000000-0005-0000-0000-000095000000}"/>
    <cellStyle name="Comma  - Style5" xfId="105" xr:uid="{00000000-0005-0000-0000-000098000000}"/>
    <cellStyle name="Comma  - Style6" xfId="107" xr:uid="{00000000-0005-0000-0000-00009A000000}"/>
    <cellStyle name="Comma  - Style7" xfId="108" xr:uid="{00000000-0005-0000-0000-00009B000000}"/>
    <cellStyle name="Comma  - Style8" xfId="110" xr:uid="{00000000-0005-0000-0000-00009D000000}"/>
    <cellStyle name="Comma [0] 2" xfId="112" xr:uid="{00000000-0005-0000-0000-00009F000000}"/>
    <cellStyle name="Comma [0] 2 10" xfId="2496" xr:uid="{C8B1A34D-F50E-416A-A70A-ED5B08429EFF}"/>
    <cellStyle name="Comma [0] 2 11" xfId="1834" xr:uid="{EC6425C4-0107-4121-90C3-1239FEAF863C}"/>
    <cellStyle name="Comma [0] 2 2" xfId="114" xr:uid="{00000000-0005-0000-0000-0000A1000000}"/>
    <cellStyle name="Comma [0] 2 2 2" xfId="115" xr:uid="{00000000-0005-0000-0000-0000A2000000}"/>
    <cellStyle name="Comma [0] 2 2 2 2" xfId="117" xr:uid="{00000000-0005-0000-0000-0000A4000000}"/>
    <cellStyle name="Comma [0] 2 2 2 2 2" xfId="46" xr:uid="{00000000-0005-0000-0000-00005D000000}"/>
    <cellStyle name="Comma [0] 2 2 2 2 2 2" xfId="118" xr:uid="{00000000-0005-0000-0000-0000A5000000}"/>
    <cellStyle name="Comma [0] 2 2 2 2 2 2 2" xfId="705" xr:uid="{629BA240-4850-4FD1-AE24-62B7C6D3602B}"/>
    <cellStyle name="Comma [0] 2 2 2 2 2 2 2 2" xfId="2843" xr:uid="{178CE255-39BE-49A9-95FF-FDD2B9D607C3}"/>
    <cellStyle name="Comma [0] 2 2 2 2 2 2 3" xfId="918" xr:uid="{B087B803-0702-49F5-8C31-B25F24757F0F}"/>
    <cellStyle name="Comma [0] 2 2 2 2 2 2 3 2" xfId="2989" xr:uid="{8F196CA2-C80B-4E19-A34A-C83F93698D5F}"/>
    <cellStyle name="Comma [0] 2 2 2 2 2 2 4" xfId="2500" xr:uid="{22F88232-8354-45EA-BBEA-19F7B05ADC65}"/>
    <cellStyle name="Comma [0] 2 2 2 2 2 2 5" xfId="1839" xr:uid="{D4BEAE3D-0F5C-42FF-A820-6EF63772FF5E}"/>
    <cellStyle name="Comma [0] 2 2 2 2 2 3" xfId="685" xr:uid="{F9AC25A0-1A7B-40FC-BAC4-5C997C985677}"/>
    <cellStyle name="Comma [0] 2 2 2 2 2 3 2" xfId="2832" xr:uid="{F847CCB5-F1AF-42B7-8655-9B261606C00D}"/>
    <cellStyle name="Comma [0] 2 2 2 2 2 4" xfId="505" xr:uid="{09366C23-9D33-4533-84D5-79F9618D111A}"/>
    <cellStyle name="Comma [0] 2 2 2 2 2 4 2" xfId="2708" xr:uid="{8028CA59-6752-4BD9-B6C8-A8C9B0074308}"/>
    <cellStyle name="Comma [0] 2 2 2 2 2 5" xfId="917" xr:uid="{BA3BA65E-815B-406C-92D0-F14E8F13F35F}"/>
    <cellStyle name="Comma [0] 2 2 2 2 2 5 2" xfId="2988" xr:uid="{8D43778C-BD4D-4FCC-B315-C0B94BB22356}"/>
    <cellStyle name="Comma [0] 2 2 2 2 2 6" xfId="2478" xr:uid="{6196755E-DD6B-4A04-9943-DFA07CB9D6BE}"/>
    <cellStyle name="Comma [0] 2 2 2 2 2 7" xfId="1838" xr:uid="{597E077D-B546-4F84-95D3-B54F2CD97C5D}"/>
    <cellStyle name="Comma [0] 2 2 2 2 3" xfId="42" xr:uid="{00000000-0005-0000-0000-000059000000}"/>
    <cellStyle name="Comma [0] 2 2 2 2 3 2" xfId="684" xr:uid="{A4006449-7863-4E26-A6BF-5ED85EF57F20}"/>
    <cellStyle name="Comma [0] 2 2 2 2 3 2 2" xfId="2831" xr:uid="{A8DD85F6-161D-4C3C-8307-0DFC0DC4B435}"/>
    <cellStyle name="Comma [0] 2 2 2 2 3 3" xfId="506" xr:uid="{E86806B1-AFC7-4E32-91C2-5FDF199B3A68}"/>
    <cellStyle name="Comma [0] 2 2 2 2 3 3 2" xfId="2709" xr:uid="{59A53253-A72A-4F8E-AA4D-44699440D239}"/>
    <cellStyle name="Comma [0] 2 2 2 2 3 4" xfId="919" xr:uid="{F879DA5A-6BA7-4C52-9177-14BC4215704B}"/>
    <cellStyle name="Comma [0] 2 2 2 2 3 4 2" xfId="2990" xr:uid="{0AB9470E-4A4A-4536-87D1-BEDED14B42BF}"/>
    <cellStyle name="Comma [0] 2 2 2 2 3 5" xfId="2475" xr:uid="{BF8D2880-E741-4023-B9F3-1E1CB1C3A224}"/>
    <cellStyle name="Comma [0] 2 2 2 2 3 6" xfId="1840" xr:uid="{033896A0-0716-4C6F-80F5-19EAD2997A18}"/>
    <cellStyle name="Comma [0] 2 2 2 2 4" xfId="704" xr:uid="{D758668F-0824-4D97-8E46-C929317B46CC}"/>
    <cellStyle name="Comma [0] 2 2 2 2 4 2" xfId="920" xr:uid="{8CC31BDE-8E23-430F-A913-6DE5D54AC235}"/>
    <cellStyle name="Comma [0] 2 2 2 2 4 2 2" xfId="2991" xr:uid="{B282CE6A-E028-47DF-8DD6-282779C1552A}"/>
    <cellStyle name="Comma [0] 2 2 2 2 4 3" xfId="2842" xr:uid="{894953AA-E070-4E9F-A77A-3E8910FCD917}"/>
    <cellStyle name="Comma [0] 2 2 2 2 4 4" xfId="1841" xr:uid="{8BCDA525-76E3-442A-AF9A-C024139C935D}"/>
    <cellStyle name="Comma [0] 2 2 2 2 5" xfId="484" xr:uid="{24AEB6A4-B4D3-42C5-9EC8-B91C9548F194}"/>
    <cellStyle name="Comma [0] 2 2 2 2 5 2" xfId="921" xr:uid="{AB570DC9-F21A-40DC-ACB4-CBEE75838236}"/>
    <cellStyle name="Comma [0] 2 2 2 2 5 2 2" xfId="2992" xr:uid="{35931573-AA17-4F20-82E5-6954F688F32B}"/>
    <cellStyle name="Comma [0] 2 2 2 2 5 3" xfId="2691" xr:uid="{323FF850-8663-469D-9C39-5D0D35474E01}"/>
    <cellStyle name="Comma [0] 2 2 2 2 5 4" xfId="1842" xr:uid="{51153856-C7B1-4340-A6AF-318578128A0C}"/>
    <cellStyle name="Comma [0] 2 2 2 2 6" xfId="916" xr:uid="{FBAAF075-69B6-4C30-A702-A7BDD722C42C}"/>
    <cellStyle name="Comma [0] 2 2 2 2 6 2" xfId="2987" xr:uid="{5BEC9F82-D71C-453E-B10B-F903F54A28AC}"/>
    <cellStyle name="Comma [0] 2 2 2 2 7" xfId="2499" xr:uid="{1210B59A-44D8-4881-9C64-31165CFD2338}"/>
    <cellStyle name="Comma [0] 2 2 2 2 8" xfId="1837" xr:uid="{54D04BA3-1FCE-4F47-B253-3712BBE66467}"/>
    <cellStyle name="Comma [0] 2 2 2 3" xfId="121" xr:uid="{00000000-0005-0000-0000-0000A8000000}"/>
    <cellStyle name="Comma [0] 2 2 2 3 2" xfId="123" xr:uid="{00000000-0005-0000-0000-0000AA000000}"/>
    <cellStyle name="Comma [0] 2 2 2 3 2 2" xfId="707" xr:uid="{460918B7-ADEA-43D4-B664-CE020B5CFDFB}"/>
    <cellStyle name="Comma [0] 2 2 2 3 2 2 2" xfId="2845" xr:uid="{9D94202F-9B2E-480C-ABA5-3539B2FFB81D}"/>
    <cellStyle name="Comma [0] 2 2 2 3 2 3" xfId="2504" xr:uid="{F93147C5-9F7C-4AF1-950E-567D871CC92C}"/>
    <cellStyle name="Comma [0] 2 2 2 3 3" xfId="706" xr:uid="{88E73CAA-FC66-4FCF-BAD9-1B464C32FB68}"/>
    <cellStyle name="Comma [0] 2 2 2 3 3 2" xfId="2844" xr:uid="{FEFB1AF7-8FDC-4A46-BA53-77A3BA954BC8}"/>
    <cellStyle name="Comma [0] 2 2 2 3 4" xfId="486" xr:uid="{A65B9378-85AD-4D58-B982-197F3401DD32}"/>
    <cellStyle name="Comma [0] 2 2 2 3 4 2" xfId="2693" xr:uid="{41401C6D-8D89-4D94-A08C-E93F4EFF66D2}"/>
    <cellStyle name="Comma [0] 2 2 2 3 5" xfId="922" xr:uid="{85CD1780-9BB8-4879-B306-CA1EB396081B}"/>
    <cellStyle name="Comma [0] 2 2 2 3 5 2" xfId="2993" xr:uid="{8ABE0DC6-EE23-460F-94C2-A649FE71B1F2}"/>
    <cellStyle name="Comma [0] 2 2 2 3 6" xfId="2502" xr:uid="{678A3589-1692-4081-A7E4-7461049D34F3}"/>
    <cellStyle name="Comma [0] 2 2 2 3 7" xfId="1843" xr:uid="{4117DC54-8FF2-40B0-9170-1FFD22E0CA80}"/>
    <cellStyle name="Comma [0] 2 2 2 4" xfId="124" xr:uid="{00000000-0005-0000-0000-0000AB000000}"/>
    <cellStyle name="Comma [0] 2 2 2 4 2" xfId="708" xr:uid="{893B5CF8-A7BE-4B67-866F-2D4620CDE707}"/>
    <cellStyle name="Comma [0] 2 2 2 4 2 2" xfId="2846" xr:uid="{283327C9-972D-4323-8799-8523CD73BC71}"/>
    <cellStyle name="Comma [0] 2 2 2 4 3" xfId="479" xr:uid="{C421BC6C-5F20-48F8-84CB-4C93FA5684C4}"/>
    <cellStyle name="Comma [0] 2 2 2 4 3 2" xfId="2687" xr:uid="{BB8FFC3A-FFE2-4C38-BAE1-398540BB87D3}"/>
    <cellStyle name="Comma [0] 2 2 2 4 4" xfId="923" xr:uid="{E84D71E3-F068-4768-9E0C-7654F8554613}"/>
    <cellStyle name="Comma [0] 2 2 2 4 4 2" xfId="2994" xr:uid="{30F3ED7C-E19C-4114-BAEB-2B6443E637DC}"/>
    <cellStyle name="Comma [0] 2 2 2 4 5" xfId="2505" xr:uid="{E11167B7-CD8F-4EAD-B883-3030BCF80FB5}"/>
    <cellStyle name="Comma [0] 2 2 2 4 6" xfId="1844" xr:uid="{425012AC-66F1-4FF0-A408-57B63A203903}"/>
    <cellStyle name="Comma [0] 2 2 2 5" xfId="702" xr:uid="{94766266-C793-471E-9A50-83454C329016}"/>
    <cellStyle name="Comma [0] 2 2 2 5 2" xfId="924" xr:uid="{FA85170C-85E2-4735-BC7E-BA1A27BE070A}"/>
    <cellStyle name="Comma [0] 2 2 2 5 2 2" xfId="2995" xr:uid="{D935B3E7-8CDC-46D2-B059-6AD6DE370F5C}"/>
    <cellStyle name="Comma [0] 2 2 2 5 3" xfId="2841" xr:uid="{A6F33C28-8E38-4259-8A72-5F4AD372FC59}"/>
    <cellStyle name="Comma [0] 2 2 2 5 4" xfId="1845" xr:uid="{E3743E1A-335E-403B-B573-580CA26B0EEF}"/>
    <cellStyle name="Comma [0] 2 2 2 6" xfId="482" xr:uid="{809DD25E-0B06-4EDF-A9CA-7761F86F3FB8}"/>
    <cellStyle name="Comma [0] 2 2 2 6 2" xfId="2690" xr:uid="{1D7D2644-B620-4056-BEA0-1EF0BE5A59A4}"/>
    <cellStyle name="Comma [0] 2 2 2 7" xfId="915" xr:uid="{0AD354B7-5572-463B-8DBB-5A4359D8341A}"/>
    <cellStyle name="Comma [0] 2 2 2 7 2" xfId="2986" xr:uid="{48B0D338-ACF3-45EC-BF46-04401E316F6E}"/>
    <cellStyle name="Comma [0] 2 2 2 8" xfId="2498" xr:uid="{B07FAA50-63CA-4AD8-8EFB-1417D054DD8F}"/>
    <cellStyle name="Comma [0] 2 2 2 9" xfId="1836" xr:uid="{07BA846B-02DD-4AD1-9FBB-32529BFAA900}"/>
    <cellStyle name="Comma [0] 2 2 3" xfId="125" xr:uid="{00000000-0005-0000-0000-0000AC000000}"/>
    <cellStyle name="Comma [0] 2 2 3 2" xfId="128" xr:uid="{00000000-0005-0000-0000-0000AF000000}"/>
    <cellStyle name="Comma [0] 2 2 3 2 2" xfId="710" xr:uid="{011831CD-64E9-4A12-AC4D-4FEBB874AC90}"/>
    <cellStyle name="Comma [0] 2 2 3 2 2 2" xfId="2848" xr:uid="{ED8917EC-1925-45FB-A44E-D243021530F5}"/>
    <cellStyle name="Comma [0] 2 2 3 2 3" xfId="926" xr:uid="{3693CF6F-5218-4CF4-9B9B-D6DF6F2CAD21}"/>
    <cellStyle name="Comma [0] 2 2 3 2 3 2" xfId="2997" xr:uid="{1919043F-16F8-4D3C-AEC8-D3427A3951CE}"/>
    <cellStyle name="Comma [0] 2 2 3 2 4" xfId="2507" xr:uid="{3DDD8331-E5B0-4225-A7C6-0BA88B43A96B}"/>
    <cellStyle name="Comma [0] 2 2 3 2 5" xfId="1847" xr:uid="{360F2DB2-A2F3-4D87-88E4-269F67B19259}"/>
    <cellStyle name="Comma [0] 2 2 3 3" xfId="709" xr:uid="{BBFE4C68-6BDD-4136-9140-0E15AF003D00}"/>
    <cellStyle name="Comma [0] 2 2 3 3 2" xfId="927" xr:uid="{700A2094-0F9E-42D6-9674-6610AAFACECE}"/>
    <cellStyle name="Comma [0] 2 2 3 3 2 2" xfId="2998" xr:uid="{D4F430B8-3A06-4AA6-AD70-7C168CA4DF73}"/>
    <cellStyle name="Comma [0] 2 2 3 3 3" xfId="2847" xr:uid="{EED0A3D1-9C32-4766-9324-1488FC9D4E9E}"/>
    <cellStyle name="Comma [0] 2 2 3 3 4" xfId="1848" xr:uid="{DFB65E39-3C9A-47BA-9E2D-82FD56FC4D6F}"/>
    <cellStyle name="Comma [0] 2 2 3 4" xfId="487" xr:uid="{A474F069-D6C2-40C6-A9C9-2BC58E71A156}"/>
    <cellStyle name="Comma [0] 2 2 3 4 2" xfId="2694" xr:uid="{09FCDDF4-FDAB-4A51-9B28-A18538C3B6FD}"/>
    <cellStyle name="Comma [0] 2 2 3 5" xfId="925" xr:uid="{46A16230-ED7B-4199-96E1-47FD83DAE3B9}"/>
    <cellStyle name="Comma [0] 2 2 3 5 2" xfId="2996" xr:uid="{C6453A7D-033C-404A-840D-14A80A1ECDE0}"/>
    <cellStyle name="Comma [0] 2 2 3 6" xfId="2506" xr:uid="{1D6EA5BD-1995-4826-9975-060886A9F465}"/>
    <cellStyle name="Comma [0] 2 2 3 7" xfId="1846" xr:uid="{DBB2076B-8EA2-4513-A2E5-219204980BCE}"/>
    <cellStyle name="Comma [0] 2 2 4" xfId="129" xr:uid="{00000000-0005-0000-0000-0000B0000000}"/>
    <cellStyle name="Comma [0] 2 2 4 2" xfId="711" xr:uid="{43251085-D3CE-41F5-B7CB-9933E85AE47E}"/>
    <cellStyle name="Comma [0] 2 2 4 2 2" xfId="929" xr:uid="{AB59E7EE-EC84-4CC3-8192-1E7BEF49BD39}"/>
    <cellStyle name="Comma [0] 2 2 4 2 2 2" xfId="3000" xr:uid="{E85A1518-EE0E-4537-B9D6-CC77C04A7083}"/>
    <cellStyle name="Comma [0] 2 2 4 2 3" xfId="2849" xr:uid="{D162E92E-2B24-43DE-ABE5-7C51FE42D3B5}"/>
    <cellStyle name="Comma [0] 2 2 4 2 4" xfId="1850" xr:uid="{F1B39951-660F-4CE1-9A4E-1CE8D9A87FEE}"/>
    <cellStyle name="Comma [0] 2 2 4 3" xfId="489" xr:uid="{0B7481E9-E64D-4F38-A136-218351E84C02}"/>
    <cellStyle name="Comma [0] 2 2 4 3 2" xfId="930" xr:uid="{F436D0B7-8AE8-40FD-B7E5-F7853C48B0A3}"/>
    <cellStyle name="Comma [0] 2 2 4 3 2 2" xfId="3001" xr:uid="{78A2AADF-279E-4CF2-B768-9BB727F309E7}"/>
    <cellStyle name="Comma [0] 2 2 4 3 3" xfId="2696" xr:uid="{169C6037-D420-4F09-AB26-B760486E7B1C}"/>
    <cellStyle name="Comma [0] 2 2 4 3 4" xfId="1851" xr:uid="{CBF13BCF-F2CD-405C-A6F5-19BBB1456638}"/>
    <cellStyle name="Comma [0] 2 2 4 4" xfId="928" xr:uid="{258DD561-1A5B-414B-BC10-3341B7B3E320}"/>
    <cellStyle name="Comma [0] 2 2 4 4 2" xfId="2999" xr:uid="{17760654-55C1-4906-B40C-711384F24220}"/>
    <cellStyle name="Comma [0] 2 2 4 5" xfId="2508" xr:uid="{E9333C6E-5D22-4EC7-A9F4-97A93D1F56A6}"/>
    <cellStyle name="Comma [0] 2 2 4 6" xfId="1849" xr:uid="{BC511CAC-3B4A-48A5-A9C0-862EC0E0EC9C}"/>
    <cellStyle name="Comma [0] 2 2 5" xfId="701" xr:uid="{AD35414C-6AA6-46BD-95E2-20D46DFD8173}"/>
    <cellStyle name="Comma [0] 2 2 5 2" xfId="931" xr:uid="{8D16B61E-3F58-4E07-B244-301D1C29459A}"/>
    <cellStyle name="Comma [0] 2 2 5 2 2" xfId="3002" xr:uid="{9903D251-7E18-4D36-9966-A3990D6324C3}"/>
    <cellStyle name="Comma [0] 2 2 5 3" xfId="2840" xr:uid="{20526576-810D-4CC5-8EFF-7682F16508B1}"/>
    <cellStyle name="Comma [0] 2 2 5 4" xfId="1852" xr:uid="{72636903-F313-40ED-ACD9-88E26B1B41B7}"/>
    <cellStyle name="Comma [0] 2 2 6" xfId="504" xr:uid="{CCCA82FC-6DEB-4EBB-A258-212BAEB60C73}"/>
    <cellStyle name="Comma [0] 2 2 6 2" xfId="2707" xr:uid="{84C5B026-1451-469F-8758-247C23CB8841}"/>
    <cellStyle name="Comma [0] 2 2 7" xfId="914" xr:uid="{8726318B-FBC8-4EE1-9E19-4ECAE5B526F0}"/>
    <cellStyle name="Comma [0] 2 2 7 2" xfId="2985" xr:uid="{4266A67A-48BF-4599-A536-E3C6D9FEE3E0}"/>
    <cellStyle name="Comma [0] 2 2 8" xfId="2497" xr:uid="{92311F76-C81D-41E9-95C0-D907816984A9}"/>
    <cellStyle name="Comma [0] 2 2 9" xfId="1835" xr:uid="{39CA76CE-8D21-443C-9371-A39A8E701EFB}"/>
    <cellStyle name="Comma [0] 2 3" xfId="130" xr:uid="{00000000-0005-0000-0000-0000B1000000}"/>
    <cellStyle name="Comma [0] 2 3 2" xfId="133" xr:uid="{00000000-0005-0000-0000-0000B4000000}"/>
    <cellStyle name="Comma [0] 2 3 2 2" xfId="715" xr:uid="{A3BB6DC5-DAE0-4320-B5D8-40D0BAD31055}"/>
    <cellStyle name="Comma [0] 2 3 2 2 2" xfId="934" xr:uid="{E71F1329-F503-4104-AC7B-07CAACD73AD8}"/>
    <cellStyle name="Comma [0] 2 3 2 2 2 2" xfId="3005" xr:uid="{1FBA33A4-79D1-4A4E-9552-7DF10ABFF083}"/>
    <cellStyle name="Comma [0] 2 3 2 2 3" xfId="2853" xr:uid="{9715C7FF-0D5C-4E8C-BE98-D5B815A37FCD}"/>
    <cellStyle name="Comma [0] 2 3 2 2 4" xfId="1855" xr:uid="{04430C86-51B9-44DF-94B7-3A9B4D4B79F4}"/>
    <cellStyle name="Comma [0] 2 3 2 3" xfId="508" xr:uid="{6A905E01-9175-4383-92DF-5D7E9EB8CB91}"/>
    <cellStyle name="Comma [0] 2 3 2 3 2" xfId="935" xr:uid="{2682C5BE-54EA-4549-80CB-32D50992BD6E}"/>
    <cellStyle name="Comma [0] 2 3 2 3 2 2" xfId="3006" xr:uid="{A0B37EA1-1AD0-47B6-989B-009361A8E4C5}"/>
    <cellStyle name="Comma [0] 2 3 2 3 3" xfId="2711" xr:uid="{110D527B-415A-41D4-BA5E-9452ADD98D46}"/>
    <cellStyle name="Comma [0] 2 3 2 3 4" xfId="1856" xr:uid="{3C9F83A5-D994-49E2-9352-C2F53386E20E}"/>
    <cellStyle name="Comma [0] 2 3 2 4" xfId="933" xr:uid="{F66C92B2-499B-41B6-93EE-42EA8FDD0466}"/>
    <cellStyle name="Comma [0] 2 3 2 4 2" xfId="3004" xr:uid="{2FE84C3D-514E-4780-BB80-D06E9DF1FBC6}"/>
    <cellStyle name="Comma [0] 2 3 2 5" xfId="2512" xr:uid="{D0A9874C-AF21-4D44-8D61-B88D4415F066}"/>
    <cellStyle name="Comma [0] 2 3 2 6" xfId="1854" xr:uid="{80B5C15B-F381-4222-A81D-44FDF3430BF6}"/>
    <cellStyle name="Comma [0] 2 3 3" xfId="712" xr:uid="{BC13FAF6-6F01-4887-9838-37C457C59588}"/>
    <cellStyle name="Comma [0] 2 3 3 2" xfId="937" xr:uid="{E7E293AD-1934-4340-BB69-5D397FB7A3BA}"/>
    <cellStyle name="Comma [0] 2 3 3 2 2" xfId="3008" xr:uid="{5C6F596A-77F9-4304-B18E-0383307A3B25}"/>
    <cellStyle name="Comma [0] 2 3 3 2 3" xfId="1858" xr:uid="{B9D14520-3C0F-4AE3-8A0D-596637E7D6B4}"/>
    <cellStyle name="Comma [0] 2 3 3 3" xfId="938" xr:uid="{D1D5CCFA-C452-4FC0-820F-57BDE57B2236}"/>
    <cellStyle name="Comma [0] 2 3 3 3 2" xfId="3009" xr:uid="{8F4FF205-7C8A-4D80-AA56-A86FA7568491}"/>
    <cellStyle name="Comma [0] 2 3 3 3 3" xfId="1859" xr:uid="{1CE69C35-5E49-466A-AB69-A4CB2A47AFE7}"/>
    <cellStyle name="Comma [0] 2 3 3 4" xfId="936" xr:uid="{860B3E42-33C6-4E38-B718-ADE7463BCC82}"/>
    <cellStyle name="Comma [0] 2 3 3 4 2" xfId="3007" xr:uid="{EDB6DF5F-7341-4965-9CEC-D90AD7ED1B69}"/>
    <cellStyle name="Comma [0] 2 3 3 5" xfId="2850" xr:uid="{80B8CA39-13FB-4E6D-AF45-C077F443FA16}"/>
    <cellStyle name="Comma [0] 2 3 3 6" xfId="1857" xr:uid="{B753529A-6F64-4175-A322-2C55DA0C5731}"/>
    <cellStyle name="Comma [0] 2 3 4" xfId="477" xr:uid="{10C17375-9BEC-4638-8514-E7299F512D2D}"/>
    <cellStyle name="Comma [0] 2 3 4 2" xfId="939" xr:uid="{2AD5610F-95D3-439A-9C5C-AC0F1B1CD7DF}"/>
    <cellStyle name="Comma [0] 2 3 4 2 2" xfId="3010" xr:uid="{3417D6FB-F423-4F01-B6CF-03AF372332A2}"/>
    <cellStyle name="Comma [0] 2 3 4 3" xfId="2685" xr:uid="{5D9FA6CE-BEF3-4245-9DB7-F1060536EDDC}"/>
    <cellStyle name="Comma [0] 2 3 4 4" xfId="1860" xr:uid="{7C3A0E42-07C7-458C-8DA2-45F3DA6E17FF}"/>
    <cellStyle name="Comma [0] 2 3 5" xfId="940" xr:uid="{9E17450D-C630-44F3-B0D0-1C62438B7FDA}"/>
    <cellStyle name="Comma [0] 2 3 5 2" xfId="3011" xr:uid="{080BAA4D-521C-4BF8-849A-A8F8C6202870}"/>
    <cellStyle name="Comma [0] 2 3 5 3" xfId="1861" xr:uid="{F37EC957-D576-4F1F-8923-2241B78BF68B}"/>
    <cellStyle name="Comma [0] 2 3 6" xfId="932" xr:uid="{22EB2B68-6886-46FF-A74D-583165080533}"/>
    <cellStyle name="Comma [0] 2 3 6 2" xfId="3003" xr:uid="{C6670F7A-1B2C-4E53-ABB3-068DC3E32AB3}"/>
    <cellStyle name="Comma [0] 2 3 7" xfId="2509" xr:uid="{90355E7D-381B-4E56-90CA-82F91FECEDED}"/>
    <cellStyle name="Comma [0] 2 3 8" xfId="1853" xr:uid="{A25907FE-AD1C-4E0E-8C33-67432991DDCF}"/>
    <cellStyle name="Comma [0] 2 4" xfId="134" xr:uid="{00000000-0005-0000-0000-0000B5000000}"/>
    <cellStyle name="Comma [0] 2 4 2" xfId="493" xr:uid="{DE988049-7E23-4BDA-A906-E5386DED1E1A}"/>
    <cellStyle name="Comma [0] 2 4 2 2" xfId="943" xr:uid="{CB1D9BCB-1416-4ECA-8DBA-ED9A3F096337}"/>
    <cellStyle name="Comma [0] 2 4 2 2 2" xfId="3014" xr:uid="{D3ADA6EB-20CC-43AB-AC06-7008D6918FB1}"/>
    <cellStyle name="Comma [0] 2 4 2 2 3" xfId="1864" xr:uid="{D6F07B4A-1AA3-44E5-9A15-646C936F0736}"/>
    <cellStyle name="Comma [0] 2 4 2 3" xfId="942" xr:uid="{903F4BE5-5479-48FC-B34A-FAE60A927E04}"/>
    <cellStyle name="Comma [0] 2 4 2 3 2" xfId="3013" xr:uid="{13A94CD9-653C-402C-B55B-2EE839E5B691}"/>
    <cellStyle name="Comma [0] 2 4 2 4" xfId="2700" xr:uid="{3F42D161-D859-412A-B5AD-AF82FB57D557}"/>
    <cellStyle name="Comma [0] 2 4 2 5" xfId="1863" xr:uid="{008EBEAF-14E1-4F6D-B5F4-9C66A94C61F0}"/>
    <cellStyle name="Comma [0] 2 4 3" xfId="716" xr:uid="{322EC78B-5C83-476D-837F-FE412BAB5CAE}"/>
    <cellStyle name="Comma [0] 2 4 3 2" xfId="944" xr:uid="{2E2F57E9-47AA-410B-A9D7-D3869D3AD552}"/>
    <cellStyle name="Comma [0] 2 4 3 2 2" xfId="3015" xr:uid="{66F89210-A802-4226-B5BB-A735DE4C855D}"/>
    <cellStyle name="Comma [0] 2 4 3 3" xfId="2854" xr:uid="{9E84B386-0346-43A0-9FB7-41348FE53E5C}"/>
    <cellStyle name="Comma [0] 2 4 3 4" xfId="1865" xr:uid="{161E85DF-6C96-49F8-877D-555C3E8B0D11}"/>
    <cellStyle name="Comma [0] 2 4 4" xfId="509" xr:uid="{366DA031-A600-42B5-A3B5-99FC9F251931}"/>
    <cellStyle name="Comma [0] 2 4 4 2" xfId="945" xr:uid="{EBF8E7AB-C713-4C86-929E-FE691635AF12}"/>
    <cellStyle name="Comma [0] 2 4 4 2 2" xfId="3016" xr:uid="{F39F4B7B-DAD2-49D6-918E-8DD25465C935}"/>
    <cellStyle name="Comma [0] 2 4 4 3" xfId="2712" xr:uid="{56C41D51-FB07-425D-BB85-5922E374B6A1}"/>
    <cellStyle name="Comma [0] 2 4 4 4" xfId="1866" xr:uid="{DD0862DA-A7EB-4820-83A6-E4370CA7FDE5}"/>
    <cellStyle name="Comma [0] 2 4 5" xfId="941" xr:uid="{E329D4A9-6C05-442A-ACFE-5E3A644B9CF5}"/>
    <cellStyle name="Comma [0] 2 4 5 2" xfId="3012" xr:uid="{8FA1A641-149A-4AE6-A2DC-B2FED66298D9}"/>
    <cellStyle name="Comma [0] 2 4 6" xfId="2513" xr:uid="{90C37F43-E82E-4412-BDC6-EBAB12C20DC3}"/>
    <cellStyle name="Comma [0] 2 4 7" xfId="1862" xr:uid="{04AAFE18-DB79-476E-BB3B-C4391AA00585}"/>
    <cellStyle name="Comma [0] 2 5" xfId="510" xr:uid="{F4CAEBCD-B8B9-4E5C-9178-6F058B4C5CEA}"/>
    <cellStyle name="Comma [0] 2 5 2" xfId="947" xr:uid="{C8532256-E3E6-4C6B-BA57-C84A909D6ABB}"/>
    <cellStyle name="Comma [0] 2 5 2 2" xfId="3018" xr:uid="{FCAE7A02-ABA1-494C-BBAF-B4609E21D7A2}"/>
    <cellStyle name="Comma [0] 2 5 2 3" xfId="1868" xr:uid="{DFAB082A-0A32-4961-9884-EC6E5CC120D5}"/>
    <cellStyle name="Comma [0] 2 5 3" xfId="948" xr:uid="{3A7BF44A-653C-4277-ADF2-427C2579BBBC}"/>
    <cellStyle name="Comma [0] 2 5 3 2" xfId="3019" xr:uid="{9EFCB5A3-80E8-4929-825F-40D26036783F}"/>
    <cellStyle name="Comma [0] 2 5 3 3" xfId="1869" xr:uid="{8F656990-E40F-483C-B785-F2BE3F22C0BA}"/>
    <cellStyle name="Comma [0] 2 5 4" xfId="946" xr:uid="{426B2077-9107-4B85-B989-780669B4EBDC}"/>
    <cellStyle name="Comma [0] 2 5 4 2" xfId="3017" xr:uid="{C1B7A424-0E04-4471-8381-6CC84FEE98E0}"/>
    <cellStyle name="Comma [0] 2 5 5" xfId="2713" xr:uid="{E0609ADC-E273-44BC-A86C-BCB10143A6E8}"/>
    <cellStyle name="Comma [0] 2 5 6" xfId="1867" xr:uid="{21274BB7-6BF9-4C92-AAE4-2E1D7D132C0A}"/>
    <cellStyle name="Comma [0] 2 6" xfId="700" xr:uid="{73A1A65A-39C6-4A83-93E5-799FC9D18C16}"/>
    <cellStyle name="Comma [0] 2 6 2" xfId="950" xr:uid="{F5A19C4B-1569-4713-92E3-2A255C5E1969}"/>
    <cellStyle name="Comma [0] 2 6 2 2" xfId="3021" xr:uid="{71FA02E1-337D-4CA7-8982-5785CB0FB73E}"/>
    <cellStyle name="Comma [0] 2 6 2 3" xfId="1871" xr:uid="{8C29EE67-02A8-43A0-A5F2-27AFF1F4359C}"/>
    <cellStyle name="Comma [0] 2 6 3" xfId="949" xr:uid="{712037A7-04F0-4F37-BF01-AE8BB485EC69}"/>
    <cellStyle name="Comma [0] 2 6 3 2" xfId="3020" xr:uid="{B253F754-C132-4E16-A05B-5B8896E474FB}"/>
    <cellStyle name="Comma [0] 2 6 4" xfId="2839" xr:uid="{30FF6536-85C7-46AD-93AE-5B5241F9096C}"/>
    <cellStyle name="Comma [0] 2 6 5" xfId="1870" xr:uid="{E735C389-FC81-4ADA-9857-9FD90A7BA3F0}"/>
    <cellStyle name="Comma [0] 2 7" xfId="480" xr:uid="{0F79680E-478D-4774-95CF-85C724279A13}"/>
    <cellStyle name="Comma [0] 2 7 2" xfId="951" xr:uid="{4DA40610-F258-4EE5-9A68-CAE486A6E04A}"/>
    <cellStyle name="Comma [0] 2 7 2 2" xfId="3022" xr:uid="{0AA9EF0B-221E-4B29-85D3-7EAFC3A8221D}"/>
    <cellStyle name="Comma [0] 2 7 3" xfId="2688" xr:uid="{3A6C2D99-1471-4DB1-8EB7-03330EB82102}"/>
    <cellStyle name="Comma [0] 2 8" xfId="913" xr:uid="{854AE2C2-28E8-4C4F-AC61-CA1B5C894D24}"/>
    <cellStyle name="Comma [0] 2 8 2" xfId="2984" xr:uid="{47D27B52-F3CF-4DB7-86DC-2D57CA9515C3}"/>
    <cellStyle name="Comma [0] 2 8 3" xfId="2437" xr:uid="{E523C3EB-D1C1-48C0-9A21-44A0E4CBAE11}"/>
    <cellStyle name="Comma [0] 2 9" xfId="1793" xr:uid="{A86A1F90-31E8-4684-93E2-922ADAD2FF75}"/>
    <cellStyle name="Comma [0] 2 9 2" xfId="3736" xr:uid="{639BC42B-49C2-4F97-8856-85918DCCD640}"/>
    <cellStyle name="Comma [0] 3" xfId="10" xr:uid="{00000000-0005-0000-0000-000011000000}"/>
    <cellStyle name="Comma [0] 3 2" xfId="138" xr:uid="{00000000-0005-0000-0000-0000B9000000}"/>
    <cellStyle name="Comma [0] 3 2 2" xfId="141" xr:uid="{00000000-0005-0000-0000-0000BC000000}"/>
    <cellStyle name="Comma [0] 3 2 2 2" xfId="143" xr:uid="{00000000-0005-0000-0000-0000BE000000}"/>
    <cellStyle name="Comma [0] 3 2 2 2 2" xfId="720" xr:uid="{6549D33F-CFF3-4033-A517-B79DBB62F015}"/>
    <cellStyle name="Comma [0] 3 2 2 2 2 2" xfId="2857" xr:uid="{22632992-9733-4325-877D-282CE59C264A}"/>
    <cellStyle name="Comma [0] 3 2 2 2 3" xfId="2517" xr:uid="{BD7699DD-1AAD-498D-8FD8-EA20ACB16B80}"/>
    <cellStyle name="Comma [0] 3 2 2 3" xfId="719" xr:uid="{9EC9E7AC-342C-4351-A316-88E3C858A330}"/>
    <cellStyle name="Comma [0] 3 2 2 3 2" xfId="2856" xr:uid="{DF3894DD-DD85-4F32-BC5A-F4DDC45E53F6}"/>
    <cellStyle name="Comma [0] 3 2 2 4" xfId="513" xr:uid="{1AA01A40-E6D1-49FA-8C07-C5023B8F11E6}"/>
    <cellStyle name="Comma [0] 3 2 2 4 2" xfId="2715" xr:uid="{5487F8F5-4C92-47D3-827A-BB90225FDB43}"/>
    <cellStyle name="Comma [0] 3 2 2 5" xfId="2516" xr:uid="{CDF858AC-9968-4C7B-8D02-F2EDB30F7801}"/>
    <cellStyle name="Comma [0] 3 2 3" xfId="145" xr:uid="{00000000-0005-0000-0000-0000C0000000}"/>
    <cellStyle name="Comma [0] 3 2 3 2" xfId="721" xr:uid="{88670210-ADDC-4E06-BE79-8B72DE87A736}"/>
    <cellStyle name="Comma [0] 3 2 3 2 2" xfId="2858" xr:uid="{C7DF1C5A-633D-4344-A3AC-D52312F83ECE}"/>
    <cellStyle name="Comma [0] 3 2 3 3" xfId="2518" xr:uid="{9AE8B57D-BFE6-4B5D-8882-7F1F01598101}"/>
    <cellStyle name="Comma [0] 3 2 4" xfId="718" xr:uid="{FA29A0AF-CB5C-4165-AB67-7AA1B69E799B}"/>
    <cellStyle name="Comma [0] 3 2 4 2" xfId="2855" xr:uid="{EEF76209-4C8A-4863-B1C2-5605BED51E32}"/>
    <cellStyle name="Comma [0] 3 2 5" xfId="512" xr:uid="{8E5790CC-E5AC-4C04-AEF6-A644652C8DF6}"/>
    <cellStyle name="Comma [0] 3 2 5 2" xfId="2714" xr:uid="{45CFC3EC-024E-466A-8ABA-68566A2A6A22}"/>
    <cellStyle name="Comma [0] 3 2 6" xfId="2514" xr:uid="{F2F51EC8-EA6A-477F-AD25-8A6C3714F0AB}"/>
    <cellStyle name="Comma [0] 3 3" xfId="147" xr:uid="{00000000-0005-0000-0000-0000C2000000}"/>
    <cellStyle name="Comma [0] 3 3 2" xfId="723" xr:uid="{E833DABA-47CC-4311-BBA5-8F87DFDC0C1B}"/>
    <cellStyle name="Comma [0] 3 3 2 2" xfId="2859" xr:uid="{886056BD-18D0-49E0-8836-FA5D0B8EB83C}"/>
    <cellStyle name="Comma [0] 3 3 3" xfId="952" xr:uid="{0C528FA7-D480-4E1B-9A3E-41255B7F2B27}"/>
    <cellStyle name="Comma [0] 3 3 3 2" xfId="3023" xr:uid="{F6732F9C-1DEF-4B9C-98A8-37CDCA504CFB}"/>
    <cellStyle name="Comma [0] 3 3 4" xfId="2519" xr:uid="{5DA58F38-F1B1-4829-84CE-492DBD9A3540}"/>
    <cellStyle name="Comma [0] 3 3 5" xfId="1872" xr:uid="{66F5B2DD-6B17-4125-8F55-3468B8F49609}"/>
    <cellStyle name="Comma [0] 3 4" xfId="672" xr:uid="{23EC6534-937D-4155-B05C-5F39526A1654}"/>
    <cellStyle name="Comma [0] 3 4 2" xfId="2824" xr:uid="{D9F2F31B-6F60-4C34-AD71-F57448D6D9EA}"/>
    <cellStyle name="Comma [0] 3 5" xfId="475" xr:uid="{D67F99BC-0FA1-4806-A03C-F20F09EEA0ED}"/>
    <cellStyle name="Comma [0] 3 5 2" xfId="2684" xr:uid="{342A4A52-CE94-4567-BC37-2E07811945D5}"/>
    <cellStyle name="Comma [0] 3 6" xfId="887" xr:uid="{41AC263A-C6CA-42D6-BC96-814ACD514F8E}"/>
    <cellStyle name="Comma [0] 3 6 2" xfId="2965" xr:uid="{07DA2524-A8BB-4886-AD26-22A69BFB5C84}"/>
    <cellStyle name="Comma [0] 3 7" xfId="2464" xr:uid="{6C69155D-006D-47A2-A87C-8A4EC7004732}"/>
    <cellStyle name="Comma [0] 3 8" xfId="1813" xr:uid="{EC99A8AA-1395-4F27-B451-4D45656A70FF}"/>
    <cellStyle name="Comma 10" xfId="25" xr:uid="{00000000-0005-0000-0000-000034000000}"/>
    <cellStyle name="Comma 10 2" xfId="104" xr:uid="{00000000-0005-0000-0000-000097000000}"/>
    <cellStyle name="Comma 10 2 10" xfId="1874" xr:uid="{20CD4145-1F82-4251-B240-A7701C88324F}"/>
    <cellStyle name="Comma 10 2 2" xfId="150" xr:uid="{00000000-0005-0000-0000-0000C5000000}"/>
    <cellStyle name="Comma 10 2 2 2" xfId="153" xr:uid="{00000000-0005-0000-0000-0000C8000000}"/>
    <cellStyle name="Comma 10 2 2 2 2" xfId="729" xr:uid="{2606DF8F-AC2F-4A62-9602-1CD691469CCE}"/>
    <cellStyle name="Comma 10 2 2 2 2 2" xfId="2865" xr:uid="{6ABFD4B6-ABF4-41AF-9AA5-545FA1D24184}"/>
    <cellStyle name="Comma 10 2 2 2 3" xfId="2525" xr:uid="{EC7D01EA-DE95-4C2D-A23B-DCBB2BDAB56B}"/>
    <cellStyle name="Comma 10 2 2 3" xfId="726" xr:uid="{499F7D8E-9E9E-4466-B151-A769F38FC6B0}"/>
    <cellStyle name="Comma 10 2 2 3 2" xfId="2862" xr:uid="{814BD92C-99E7-4536-94AA-6AE1F595377F}"/>
    <cellStyle name="Comma 10 2 2 4" xfId="955" xr:uid="{06E28750-3246-4A51-8AC0-76490314B0D7}"/>
    <cellStyle name="Comma 10 2 2 4 2" xfId="3026" xr:uid="{7D35B7D8-F214-4A39-B7C7-0204ACB02F9A}"/>
    <cellStyle name="Comma 10 2 2 5" xfId="2522" xr:uid="{17F7D021-B0C5-4DA4-9C6F-21DB3B502A90}"/>
    <cellStyle name="Comma 10 2 2 6" xfId="1875" xr:uid="{BE54508F-6F6D-4A06-813B-7B99A6EAA273}"/>
    <cellStyle name="Comma 10 2 3" xfId="156" xr:uid="{00000000-0005-0000-0000-0000CB000000}"/>
    <cellStyle name="Comma 10 2 3 2" xfId="732" xr:uid="{E33D9182-3419-4A08-BD85-52934BFDC71D}"/>
    <cellStyle name="Comma 10 2 3 2 2" xfId="2868" xr:uid="{BFB0B94B-5130-4232-B07F-B814D364B4DF}"/>
    <cellStyle name="Comma 10 2 3 3" xfId="956" xr:uid="{FF42E8CB-ACCC-4D7B-AE24-A8244BFEF082}"/>
    <cellStyle name="Comma 10 2 3 3 2" xfId="3027" xr:uid="{648B8645-1175-47E5-B66B-141CB46D881D}"/>
    <cellStyle name="Comma 10 2 3 4" xfId="2528" xr:uid="{ADF6AE15-64CE-4EB2-BA2F-7F13BEA8BCED}"/>
    <cellStyle name="Comma 10 2 3 5" xfId="1876" xr:uid="{6B4395C1-595C-450E-AC5B-620B66CE3172}"/>
    <cellStyle name="Comma 10 2 4" xfId="132" xr:uid="{00000000-0005-0000-0000-0000B3000000}"/>
    <cellStyle name="Comma 10 2 4 2" xfId="714" xr:uid="{FC2A002E-7D38-46A1-9C28-2D395F18932E}"/>
    <cellStyle name="Comma 10 2 4 2 2" xfId="2852" xr:uid="{97AF2695-013C-48BC-A836-A0B319301F81}"/>
    <cellStyle name="Comma 10 2 4 3" xfId="957" xr:uid="{30260AAD-7F59-4607-A5CF-18F830452DA9}"/>
    <cellStyle name="Comma 10 2 4 3 2" xfId="3028" xr:uid="{15898E1E-66E1-4043-A5FC-A78A991B71FE}"/>
    <cellStyle name="Comma 10 2 4 4" xfId="2511" xr:uid="{52B11843-B8D1-49A2-AD16-7F9A9A19BEE5}"/>
    <cellStyle name="Comma 10 2 4 5" xfId="1877" xr:uid="{60F4FB1C-6D83-4086-B7BA-8A618A5447EF}"/>
    <cellStyle name="Comma 10 2 5" xfId="158" xr:uid="{00000000-0005-0000-0000-0000CD000000}"/>
    <cellStyle name="Comma 10 2 5 2" xfId="734" xr:uid="{7694897C-ECDF-44C5-B037-B438FAFE7B6D}"/>
    <cellStyle name="Comma 10 2 5 2 2" xfId="2870" xr:uid="{0554727E-6707-4069-BEAF-062E40E5D82B}"/>
    <cellStyle name="Comma 10 2 5 3" xfId="1640" xr:uid="{296FC201-BF86-442E-987F-BB252F951128}"/>
    <cellStyle name="Comma 10 2 5 3 2" xfId="3593" xr:uid="{26FDE2A6-F437-4669-AE50-FC834343B905}"/>
    <cellStyle name="Comma 10 2 5 4" xfId="2530" xr:uid="{AC948D1F-5DB0-4019-9E19-92A2AB68C1E5}"/>
    <cellStyle name="Comma 10 2 5 5" xfId="2388" xr:uid="{B3900D36-0DEA-4DFF-8E59-9CEFF95818EF}"/>
    <cellStyle name="Comma 10 2 6" xfId="699" xr:uid="{71509BF2-75FD-4E03-9BE9-3AE985AE40A7}"/>
    <cellStyle name="Comma 10 2 6 2" xfId="2838" xr:uid="{AF8A35A1-B2A8-4848-A2AD-EB09003BC5DA}"/>
    <cellStyle name="Comma 10 2 7" xfId="514" xr:uid="{2724CF16-61D1-4927-9E61-125476721480}"/>
    <cellStyle name="Comma 10 2 7 2" xfId="2716" xr:uid="{186935B0-8A9A-4CF8-9286-98C6298BB0DE}"/>
    <cellStyle name="Comma 10 2 8" xfId="954" xr:uid="{0B36E164-6060-467F-AF5F-FEF64AA03E41}"/>
    <cellStyle name="Comma 10 2 8 2" xfId="3025" xr:uid="{0E44BEC7-288B-447B-9E2D-E282ABEE7B9F}"/>
    <cellStyle name="Comma 10 2 9" xfId="2494" xr:uid="{933A7A84-90F0-44DC-89F2-315EAA5918C0}"/>
    <cellStyle name="Comma 10 3" xfId="675" xr:uid="{6BFA3BE9-AFAE-4293-A0A6-C9BCB396088B}"/>
    <cellStyle name="Comma 10 3 2" xfId="959" xr:uid="{63BE84ED-A11F-4027-8553-F03F4492792F}"/>
    <cellStyle name="Comma 10 3 2 2" xfId="3030" xr:uid="{3586EBC2-C305-4764-9F4E-18023FDC0068}"/>
    <cellStyle name="Comma 10 3 2 3" xfId="1879" xr:uid="{42E0D447-5C88-4B8E-B69F-F260E9BD0050}"/>
    <cellStyle name="Comma 10 3 3" xfId="958" xr:uid="{84C55660-BF3E-44A7-B691-6E7CD1FFEA61}"/>
    <cellStyle name="Comma 10 3 3 2" xfId="3029" xr:uid="{5A406F0C-CEEA-4A91-A49A-F051195861FB}"/>
    <cellStyle name="Comma 10 3 4" xfId="2827" xr:uid="{429807AF-DE9B-4B4D-9515-47B230891987}"/>
    <cellStyle name="Comma 10 3 5" xfId="1878" xr:uid="{617F61E0-1351-45B2-BC07-085C575B3246}"/>
    <cellStyle name="Comma 10 4" xfId="488" xr:uid="{2DB9654E-90B5-4469-9620-10672E453640}"/>
    <cellStyle name="Comma 10 4 2" xfId="960" xr:uid="{ED4361BD-1933-441E-B8FF-3E5F009261A5}"/>
    <cellStyle name="Comma 10 4 2 2" xfId="3031" xr:uid="{990BF9AE-4B99-4A4B-82C2-9F2360C7B6D1}"/>
    <cellStyle name="Comma 10 4 3" xfId="2695" xr:uid="{5BC3E34A-FF4B-4686-94C4-5FAAE2BC446C}"/>
    <cellStyle name="Comma 10 4 4" xfId="1880" xr:uid="{1BCFCF7D-5CF2-4732-A98C-7539BA1F9FBB}"/>
    <cellStyle name="Comma 10 5" xfId="953" xr:uid="{C97D40E5-C1AC-4119-BB2A-CE5CC5D0202A}"/>
    <cellStyle name="Comma 10 5 2" xfId="3024" xr:uid="{EB38BDDD-AA2C-4004-8D07-6E96C8EB8E49}"/>
    <cellStyle name="Comma 10 6" xfId="2468" xr:uid="{82E913CD-AD43-40E3-8A11-DF9598F9DA8C}"/>
    <cellStyle name="Comma 10 7" xfId="1873" xr:uid="{7C4C9AE0-5EAB-48BC-971B-EF96D66933CD}"/>
    <cellStyle name="Comma 11" xfId="160" xr:uid="{00000000-0005-0000-0000-0000CF000000}"/>
    <cellStyle name="Comma 11 2" xfId="736" xr:uid="{9623537F-AB34-4CED-BCB6-F8F6BC4DD72B}"/>
    <cellStyle name="Comma 11 2 2" xfId="963" xr:uid="{0664735E-4111-4FF7-B4FF-4B19DE10B200}"/>
    <cellStyle name="Comma 11 2 2 2" xfId="3034" xr:uid="{17D7FA15-0CB8-4E9E-B7A9-3742852CE9B2}"/>
    <cellStyle name="Comma 11 2 2 3" xfId="1883" xr:uid="{ADFD2F4A-BD5E-461F-9CEC-D1F09916B880}"/>
    <cellStyle name="Comma 11 2 3" xfId="962" xr:uid="{05D69197-30D3-4E69-AAA2-FE0957A295B9}"/>
    <cellStyle name="Comma 11 2 3 2" xfId="3033" xr:uid="{F76E4862-3281-4534-B7CC-25074FD04FFE}"/>
    <cellStyle name="Comma 11 2 4" xfId="2872" xr:uid="{F0A8FF20-82F5-4268-A6C6-C99DEBED56CA}"/>
    <cellStyle name="Comma 11 2 5" xfId="1882" xr:uid="{9DCC93B9-6043-46AD-B375-F8E355A649CE}"/>
    <cellStyle name="Comma 11 3" xfId="516" xr:uid="{9801381F-01FF-4026-8DEB-599FA287EBCC}"/>
    <cellStyle name="Comma 11 3 2" xfId="965" xr:uid="{4A98F10F-EF38-4AB0-B4A6-8410DA95942C}"/>
    <cellStyle name="Comma 11 3 2 2" xfId="3036" xr:uid="{5CE7C0F5-A98B-482C-B5EA-0D1541DEA8AF}"/>
    <cellStyle name="Comma 11 3 2 3" xfId="1885" xr:uid="{B23AB3A8-D556-45CC-8F47-20E9AE05A1C6}"/>
    <cellStyle name="Comma 11 3 3" xfId="964" xr:uid="{73D0B098-F849-4825-AC41-7F5895961283}"/>
    <cellStyle name="Comma 11 3 3 2" xfId="3035" xr:uid="{71FDF931-A184-45FB-887D-D9EF7A3590FF}"/>
    <cellStyle name="Comma 11 3 4" xfId="2718" xr:uid="{6E771C39-9407-44E7-AF48-C5B5A08DCE3B}"/>
    <cellStyle name="Comma 11 3 5" xfId="1884" xr:uid="{CF44527F-38D2-45C2-B612-20757AA27B76}"/>
    <cellStyle name="Comma 11 4" xfId="966" xr:uid="{EA6AF42C-B842-4016-9173-F09C2F5FEE7B}"/>
    <cellStyle name="Comma 11 4 2" xfId="3037" xr:uid="{AC350612-D1E6-46EB-9AC3-482ED43FCBC6}"/>
    <cellStyle name="Comma 11 4 3" xfId="1886" xr:uid="{DA4654E7-211D-42CD-A3D5-6D876B8BAA91}"/>
    <cellStyle name="Comma 11 5" xfId="961" xr:uid="{17B68B2D-D4FF-4469-A220-720F9062FE08}"/>
    <cellStyle name="Comma 11 5 2" xfId="3032" xr:uid="{0A272207-F1EF-46D5-9156-20997969E36C}"/>
    <cellStyle name="Comma 11 6" xfId="2532" xr:uid="{756EB383-C695-4F66-82BF-0ED5D416D588}"/>
    <cellStyle name="Comma 11 7" xfId="1881" xr:uid="{7703B795-858B-4AB6-8268-17943A5142C4}"/>
    <cellStyle name="Comma 12" xfId="517" xr:uid="{FF97F990-24D2-4F48-ABAC-E7DDA9F2C22F}"/>
    <cellStyle name="Comma 12 2" xfId="518" xr:uid="{FDA564DB-82FA-4E14-BEFD-4438AD2FC8FC}"/>
    <cellStyle name="Comma 12 2 2" xfId="660" xr:uid="{CD185CC3-8A54-4661-8BFA-BD8574F0B3F7}"/>
    <cellStyle name="Comma 12 2 2 2" xfId="2818" xr:uid="{5F894798-12E1-46BD-B9AC-5E0462C12728}"/>
    <cellStyle name="Comma 12 2 3" xfId="968" xr:uid="{8330C909-964D-45A0-A2E0-1930F2CCCF2D}"/>
    <cellStyle name="Comma 12 2 4" xfId="2720" xr:uid="{CBE39695-4EAA-4424-8659-B122096035EF}"/>
    <cellStyle name="Comma 12 3" xfId="969" xr:uid="{FFF943A6-726E-438B-9F29-CAFADCB649C4}"/>
    <cellStyle name="Comma 12 3 2" xfId="970" xr:uid="{4D2E734F-0BF7-4508-AAF9-21EF3C7E9FF7}"/>
    <cellStyle name="Comma 12 3 2 2" xfId="3040" xr:uid="{06891100-DF22-4855-8722-3F9C760042AF}"/>
    <cellStyle name="Comma 12 3 2 3" xfId="1889" xr:uid="{21F4F902-D962-454D-9FAE-9CF65352428D}"/>
    <cellStyle name="Comma 12 3 3" xfId="3039" xr:uid="{3F2E85B8-3DE9-435E-8918-27FB9B6A6E23}"/>
    <cellStyle name="Comma 12 3 4" xfId="1888" xr:uid="{06109C29-DE7E-4122-9666-9EE0E7546B7B}"/>
    <cellStyle name="Comma 12 4" xfId="971" xr:uid="{B20A2B3D-1E38-46D4-A5D0-BB833855A6F5}"/>
    <cellStyle name="Comma 12 4 2" xfId="972" xr:uid="{96BFB344-05FB-4E75-AC8A-0C173A02AD55}"/>
    <cellStyle name="Comma 12 4 2 2" xfId="3042" xr:uid="{60FB45EC-1B86-4788-B03C-77E02B4ED0BF}"/>
    <cellStyle name="Comma 12 4 2 3" xfId="1891" xr:uid="{A3170476-79F1-4168-849E-D68B77A515D7}"/>
    <cellStyle name="Comma 12 4 3" xfId="3041" xr:uid="{A14191B7-7EE8-4108-80C0-7E1E03ADDBD1}"/>
    <cellStyle name="Comma 12 4 4" xfId="1890" xr:uid="{74C2353F-7247-4D46-B92D-93667CC5468C}"/>
    <cellStyle name="Comma 12 5" xfId="973" xr:uid="{AF275B48-CE0C-4A44-9E8B-C962399A44B3}"/>
    <cellStyle name="Comma 12 5 2" xfId="3043" xr:uid="{54EAB283-CDEC-41AE-84EC-770CA34265ED}"/>
    <cellStyle name="Comma 12 5 3" xfId="1892" xr:uid="{9E8C7E8E-554C-4014-A2BE-32B420735C14}"/>
    <cellStyle name="Comma 12 6" xfId="967" xr:uid="{D49529A6-3FD5-4FB6-A026-D006B0C96637}"/>
    <cellStyle name="Comma 12 6 2" xfId="3038" xr:uid="{66087DD5-8867-4F29-A55F-25ADA2999748}"/>
    <cellStyle name="Comma 12 6 3" xfId="2441" xr:uid="{B62919CD-373B-4DC7-95F2-9716AC0A13B6}"/>
    <cellStyle name="Comma 12 7" xfId="2719" xr:uid="{FDACAAD8-72B2-4635-8FCF-EBF24AA8A070}"/>
    <cellStyle name="Comma 12 8" xfId="1887" xr:uid="{D708CCD4-4C25-4BC2-9F48-7CC49B9461A8}"/>
    <cellStyle name="Comma 13" xfId="520" xr:uid="{2BDE9683-9A17-4A3C-8F4F-D952AFE7B443}"/>
    <cellStyle name="Comma 13 2" xfId="975" xr:uid="{C015ED24-26E6-477E-974E-AAB1F5AB3C91}"/>
    <cellStyle name="Comma 13 2 2" xfId="976" xr:uid="{FBFDF37C-84CC-40F9-972A-0761147EB9E3}"/>
    <cellStyle name="Comma 13 2 2 2" xfId="3046" xr:uid="{6F905BA8-67FA-4E56-84E8-01F763E4CAC2}"/>
    <cellStyle name="Comma 13 2 2 3" xfId="1895" xr:uid="{09723148-FB64-46B4-B308-64B3BFE315F5}"/>
    <cellStyle name="Comma 13 2 3" xfId="3045" xr:uid="{B5777798-630C-4F84-A9C7-BD6D4B508CDB}"/>
    <cellStyle name="Comma 13 2 4" xfId="1894" xr:uid="{3ACB5C6A-C20F-4C5A-9EDC-C56904F867FE}"/>
    <cellStyle name="Comma 13 3" xfId="977" xr:uid="{3BDD2189-20B5-4551-8A65-F5F2C416FDB5}"/>
    <cellStyle name="Comma 13 3 2" xfId="978" xr:uid="{A875B6F3-EAA4-4D7D-BE4D-75A391666755}"/>
    <cellStyle name="Comma 13 3 2 2" xfId="3048" xr:uid="{511816E3-741F-4EEA-A115-A87B845AFE55}"/>
    <cellStyle name="Comma 13 3 2 3" xfId="1897" xr:uid="{1704B1BA-79CD-4E42-A2D7-338FC477920A}"/>
    <cellStyle name="Comma 13 3 3" xfId="3047" xr:uid="{9EE799F5-9EB2-47E6-B3DE-4B12C1117F2B}"/>
    <cellStyle name="Comma 13 3 4" xfId="1896" xr:uid="{30D4370F-3A5F-4A39-804B-CB2EB433E0D1}"/>
    <cellStyle name="Comma 13 4" xfId="979" xr:uid="{D92D6505-583B-4037-95B3-6F21955D0DE4}"/>
    <cellStyle name="Comma 13 4 2" xfId="3049" xr:uid="{F8E418F2-F019-4FDD-85D3-5A16F3DD5566}"/>
    <cellStyle name="Comma 13 4 3" xfId="1898" xr:uid="{D4085E63-30AC-4FD2-B6FC-ED3F87BC32BE}"/>
    <cellStyle name="Comma 13 5" xfId="974" xr:uid="{D2EB5CF0-03D7-49C6-A34D-9924ACCCB9E2}"/>
    <cellStyle name="Comma 13 5 2" xfId="3044" xr:uid="{CD715A5C-CCF3-4FDA-8849-AA30C97FBB3F}"/>
    <cellStyle name="Comma 13 6" xfId="2721" xr:uid="{CA8A37D9-7E65-431C-8936-4410627B7DCA}"/>
    <cellStyle name="Comma 13 7" xfId="1893" xr:uid="{83209218-5059-4549-9CEE-AE2664F79324}"/>
    <cellStyle name="Comma 14" xfId="652" xr:uid="{7676FE03-56BA-4744-8C54-8343AA3EEB58}"/>
    <cellStyle name="Comma 14 2" xfId="981" xr:uid="{AFB017B1-47B1-421B-9A36-19098758129D}"/>
    <cellStyle name="Comma 14 2 2" xfId="982" xr:uid="{02D297EF-88DB-4A20-97FE-0FF311205244}"/>
    <cellStyle name="Comma 14 2 2 2" xfId="3052" xr:uid="{678ADA6F-D510-4150-8EE9-CCCEBA6EBA17}"/>
    <cellStyle name="Comma 14 2 2 3" xfId="1901" xr:uid="{84E74C66-48FB-4AA1-9F5C-5166C4EAEE88}"/>
    <cellStyle name="Comma 14 2 3" xfId="3051" xr:uid="{79E287CA-39AC-44C2-97C8-F61C64C4B0BF}"/>
    <cellStyle name="Comma 14 2 4" xfId="1900" xr:uid="{6F61A9D8-D148-4F8B-9DEE-1E394CB8AB60}"/>
    <cellStyle name="Comma 14 3" xfId="983" xr:uid="{A16D4859-FD89-4D91-B588-3B7C82E38D66}"/>
    <cellStyle name="Comma 14 3 2" xfId="984" xr:uid="{E88D0EDF-EAD9-41A7-8956-2A0D35E1CD03}"/>
    <cellStyle name="Comma 14 3 2 2" xfId="3054" xr:uid="{6D77785A-0475-4845-A3E3-3D4251133706}"/>
    <cellStyle name="Comma 14 3 2 3" xfId="1903" xr:uid="{266D0425-5471-4E1E-A866-F5F709BAB39D}"/>
    <cellStyle name="Comma 14 3 3" xfId="3053" xr:uid="{69A61F23-6719-4103-9DD8-F214026EECFD}"/>
    <cellStyle name="Comma 14 3 4" xfId="1902" xr:uid="{73EA8D0F-7858-42FE-AA81-811AE0C55D2C}"/>
    <cellStyle name="Comma 14 4" xfId="985" xr:uid="{96010C78-235C-4881-9723-142535C6BC58}"/>
    <cellStyle name="Comma 14 4 2" xfId="3055" xr:uid="{1DA2F720-F2F8-43BD-AFBF-710B3448BE83}"/>
    <cellStyle name="Comma 14 4 3" xfId="1904" xr:uid="{C86587F7-6F22-45C4-B183-461FBAAE125A}"/>
    <cellStyle name="Comma 14 5" xfId="980" xr:uid="{0140BDAC-EBB6-4295-B7FE-64E65A885DD3}"/>
    <cellStyle name="Comma 14 5 2" xfId="3050" xr:uid="{F73307C3-350B-4592-A586-4BDBEA73562B}"/>
    <cellStyle name="Comma 14 6" xfId="2812" xr:uid="{724E81D5-376C-4D67-9D23-6CBBCAFF6F96}"/>
    <cellStyle name="Comma 14 7" xfId="1899" xr:uid="{CDC95497-220D-42DB-9CBC-AFAE41489A66}"/>
    <cellStyle name="Comma 15" xfId="986" xr:uid="{F734874D-D2D0-4640-B169-3361B69FFB59}"/>
    <cellStyle name="Comma 15 2" xfId="987" xr:uid="{9ECABCC7-5126-48B5-B9CD-02053F501319}"/>
    <cellStyle name="Comma 15 2 2" xfId="988" xr:uid="{10584042-6BCF-4AAA-B229-0874DD660D3E}"/>
    <cellStyle name="Comma 15 2 2 2" xfId="3058" xr:uid="{95BD21FB-16B0-4F1E-9582-C5C8651DF863}"/>
    <cellStyle name="Comma 15 2 2 3" xfId="1907" xr:uid="{EB45C2B6-B99D-48B6-A0AE-306F0A24B7BE}"/>
    <cellStyle name="Comma 15 2 3" xfId="3057" xr:uid="{3021711E-117F-4D9D-AE79-98D1CD6B967C}"/>
    <cellStyle name="Comma 15 2 4" xfId="1906" xr:uid="{1E5638FA-320D-433B-86A1-F9D8EC517BB8}"/>
    <cellStyle name="Comma 15 3" xfId="989" xr:uid="{7882B3D0-7358-4D67-A7EE-87672B5F3261}"/>
    <cellStyle name="Comma 15 3 2" xfId="990" xr:uid="{199CF2C0-C766-49E6-AA1A-5656985923BF}"/>
    <cellStyle name="Comma 15 3 2 2" xfId="3060" xr:uid="{628635E0-41A4-4B90-80E3-959C517155AD}"/>
    <cellStyle name="Comma 15 3 2 3" xfId="1909" xr:uid="{DA9E2E01-2391-42FD-98E9-4EEEE8041D81}"/>
    <cellStyle name="Comma 15 3 3" xfId="3059" xr:uid="{A5821E18-9CC2-45CF-AD52-F8A938E4A878}"/>
    <cellStyle name="Comma 15 3 4" xfId="1908" xr:uid="{B529CDB9-728C-4468-982D-FD28E2F31C99}"/>
    <cellStyle name="Comma 15 4" xfId="991" xr:uid="{A4AA7B38-CB1E-4347-A8BF-1EDE144C76FE}"/>
    <cellStyle name="Comma 15 4 2" xfId="3061" xr:uid="{0A79FB2A-2966-4219-9144-293D7945824D}"/>
    <cellStyle name="Comma 15 4 3" xfId="1910" xr:uid="{E4033AC6-CFBD-40D4-A150-8E08F807B0F0}"/>
    <cellStyle name="Comma 15 5" xfId="3056" xr:uid="{940A1871-5822-4721-898D-4D8ABD5E4304}"/>
    <cellStyle name="Comma 15 6" xfId="1905" xr:uid="{FD050F0F-275A-4A9D-A880-442C4C56DEC7}"/>
    <cellStyle name="Comma 16" xfId="521" xr:uid="{08818439-ADC6-4E93-9A4F-ACBA1F3E34D3}"/>
    <cellStyle name="Comma 16 2" xfId="993" xr:uid="{5A729144-87EE-4AF5-811C-92E66785A36C}"/>
    <cellStyle name="Comma 16 2 2" xfId="994" xr:uid="{A6A8B55F-06CD-4618-8BB7-E905A6D16E8C}"/>
    <cellStyle name="Comma 16 2 2 2" xfId="995" xr:uid="{7B086587-E55E-445D-BD1D-D673C63C7B8B}"/>
    <cellStyle name="Comma 16 2 2 2 2" xfId="3065" xr:uid="{E0092049-0DBB-455C-961B-16F4BD712E6B}"/>
    <cellStyle name="Comma 16 2 2 2 3" xfId="1914" xr:uid="{A3EE482E-74C6-4DCA-9A9C-8BCA3A5217B8}"/>
    <cellStyle name="Comma 16 2 2 3" xfId="3064" xr:uid="{A447EFF2-880C-45EC-B251-AD18D435484B}"/>
    <cellStyle name="Comma 16 2 2 4" xfId="1913" xr:uid="{B80B5A0C-75E1-4323-AB7A-B314FA4268CE}"/>
    <cellStyle name="Comma 16 2 3" xfId="996" xr:uid="{CF6019C5-407F-4EB2-9053-4337E98D18E7}"/>
    <cellStyle name="Comma 16 2 3 2" xfId="997" xr:uid="{7DC97B95-DF1D-44B0-BB25-58A1596B993E}"/>
    <cellStyle name="Comma 16 2 3 2 2" xfId="3067" xr:uid="{EB63037D-D2B5-40E8-8528-4FFDF6192A95}"/>
    <cellStyle name="Comma 16 2 3 2 3" xfId="1916" xr:uid="{FFC7B064-D96E-4A0C-A2AD-4B0BF338AC84}"/>
    <cellStyle name="Comma 16 2 3 3" xfId="3066" xr:uid="{DE525658-1B7E-47EA-8376-D4D078BCA930}"/>
    <cellStyle name="Comma 16 2 3 4" xfId="1915" xr:uid="{EE63DF52-18DE-4C98-AC7F-1285F08A59F2}"/>
    <cellStyle name="Comma 16 2 4" xfId="998" xr:uid="{7A7FED53-21CF-48D7-87E3-C733AB2832A6}"/>
    <cellStyle name="Comma 16 2 4 2" xfId="3068" xr:uid="{B063C536-8E2C-4A74-A1C6-0B3B97A21B38}"/>
    <cellStyle name="Comma 16 2 4 3" xfId="1917" xr:uid="{03E8324A-9CCB-40C7-BB59-A0C43C4B6D1E}"/>
    <cellStyle name="Comma 16 2 5" xfId="3063" xr:uid="{B52E345A-010D-4830-AD37-190A176FA668}"/>
    <cellStyle name="Comma 16 2 6" xfId="1912" xr:uid="{EA02F88F-3936-413E-8704-858D82D8BDB8}"/>
    <cellStyle name="Comma 16 3" xfId="999" xr:uid="{F8FCC960-315E-450F-9FBB-12019EB7177E}"/>
    <cellStyle name="Comma 16 3 2" xfId="1000" xr:uid="{693C1A81-155C-4357-A237-362E9BA17009}"/>
    <cellStyle name="Comma 16 3 2 2" xfId="1001" xr:uid="{70ACD978-7A24-4C20-AFE8-F43DD34360A5}"/>
    <cellStyle name="Comma 16 3 2 2 2" xfId="3071" xr:uid="{E63A673B-3741-4C67-92CF-B5ACF63ED902}"/>
    <cellStyle name="Comma 16 3 2 2 3" xfId="1920" xr:uid="{1BECD100-2D66-4E8B-A107-DB6A50758181}"/>
    <cellStyle name="Comma 16 3 2 3" xfId="3070" xr:uid="{70F50036-6CB1-47C4-AC88-179CE2844739}"/>
    <cellStyle name="Comma 16 3 2 4" xfId="1919" xr:uid="{13DE8A92-B71F-490F-B5B9-5C98D5FEE9F7}"/>
    <cellStyle name="Comma 16 3 3" xfId="1002" xr:uid="{40045688-2F87-48BF-B685-1DDF6FCAB321}"/>
    <cellStyle name="Comma 16 3 3 2" xfId="1003" xr:uid="{07590805-DB0A-4751-8F8F-82040CD6CAF0}"/>
    <cellStyle name="Comma 16 3 3 2 2" xfId="3073" xr:uid="{DA44D007-A947-440B-B106-92D6445B7C36}"/>
    <cellStyle name="Comma 16 3 3 2 3" xfId="1922" xr:uid="{5AC589AE-8EA3-4346-9B04-DCE50BB2FF28}"/>
    <cellStyle name="Comma 16 3 3 3" xfId="3072" xr:uid="{B91D821A-8CEA-4660-A786-DDA5EA7E9E8E}"/>
    <cellStyle name="Comma 16 3 3 4" xfId="1921" xr:uid="{F2B948AA-9C5B-4D0B-942D-27AB544BE7EA}"/>
    <cellStyle name="Comma 16 3 4" xfId="1004" xr:uid="{91D40533-FCA9-423B-8308-2B5EC7689984}"/>
    <cellStyle name="Comma 16 3 4 2" xfId="3074" xr:uid="{4415D0A7-E060-44AF-B8C3-41A0A7CB0044}"/>
    <cellStyle name="Comma 16 3 4 3" xfId="1923" xr:uid="{B536D565-7420-49E0-A3DF-CD1F7864E254}"/>
    <cellStyle name="Comma 16 3 5" xfId="3069" xr:uid="{23610BBD-6DC0-4862-BBDA-8808E818B20D}"/>
    <cellStyle name="Comma 16 3 6" xfId="1918" xr:uid="{F4F95FCD-0AAD-4608-965B-D0CA5C1E7E0E}"/>
    <cellStyle name="Comma 16 4" xfId="1005" xr:uid="{1C3CF238-503F-4896-B186-382C91D539A6}"/>
    <cellStyle name="Comma 16 4 2" xfId="1006" xr:uid="{CAF11FF6-2811-4868-AAB5-E442935469E8}"/>
    <cellStyle name="Comma 16 4 2 2" xfId="3076" xr:uid="{C22D0474-0AF6-43FF-9F61-9AF373E7E7FE}"/>
    <cellStyle name="Comma 16 4 2 3" xfId="1925" xr:uid="{84284F73-3846-41C3-B63C-A2297D48C276}"/>
    <cellStyle name="Comma 16 4 3" xfId="3075" xr:uid="{14C34261-C3CF-4301-8BD6-67FCE1783A51}"/>
    <cellStyle name="Comma 16 4 4" xfId="1924" xr:uid="{4B5FC0D2-96AC-4F9A-8515-9871A937BF1A}"/>
    <cellStyle name="Comma 16 5" xfId="1007" xr:uid="{809FF953-83D3-4CE4-AC93-A1E5F7CBDEA6}"/>
    <cellStyle name="Comma 16 5 2" xfId="1008" xr:uid="{2CC1A745-8269-428F-A6F3-CC94C87E4E9F}"/>
    <cellStyle name="Comma 16 5 2 2" xfId="3078" xr:uid="{5AF64B00-9822-403F-9320-B0F57C2E0D94}"/>
    <cellStyle name="Comma 16 5 2 3" xfId="1927" xr:uid="{AF48678F-04D8-4269-8C58-31286D565F8F}"/>
    <cellStyle name="Comma 16 5 3" xfId="3077" xr:uid="{23FEE786-02A1-4615-A36B-7E630DBA4CF5}"/>
    <cellStyle name="Comma 16 5 4" xfId="1926" xr:uid="{159376D4-4AC5-403C-B1FC-9D27582BD400}"/>
    <cellStyle name="Comma 16 6" xfId="1009" xr:uid="{9844CCEF-AD31-4F73-8C05-9D2A1DC34C4F}"/>
    <cellStyle name="Comma 16 6 2" xfId="3079" xr:uid="{670C907C-ACED-4356-BCE3-B76D9EF5BA0B}"/>
    <cellStyle name="Comma 16 6 3" xfId="1928" xr:uid="{878D71E7-0A84-4215-A94D-DDE61663EE61}"/>
    <cellStyle name="Comma 16 7" xfId="992" xr:uid="{84D36FE4-320A-44D2-B2E2-78CBFDDD3BF3}"/>
    <cellStyle name="Comma 16 7 2" xfId="3062" xr:uid="{88D5E8D3-0CCF-4554-93F1-EF95F1D2D4DE}"/>
    <cellStyle name="Comma 16 7 3" xfId="2444" xr:uid="{114AC9ED-F8D4-40BD-8ED9-1B6697E2DE05}"/>
    <cellStyle name="Comma 16 8" xfId="2722" xr:uid="{EBBB73BF-9435-40D5-818C-1E9CF5D57495}"/>
    <cellStyle name="Comma 16 9" xfId="1911" xr:uid="{5B09F182-140B-4497-85DB-C83025DDBDE3}"/>
    <cellStyle name="Comma 17" xfId="1010" xr:uid="{8A5A9F69-3D2B-4734-BDBA-5C6D8AA2F984}"/>
    <cellStyle name="Comma 17 2" xfId="1011" xr:uid="{8FC22266-959C-4DD0-B408-9CDCBBEBF6D1}"/>
    <cellStyle name="Comma 17 2 2" xfId="1012" xr:uid="{A6678A1B-8199-481E-AB85-2096185D260A}"/>
    <cellStyle name="Comma 17 2 2 2" xfId="3082" xr:uid="{1F239D69-9E9F-495B-AFE4-1795D33EC5EB}"/>
    <cellStyle name="Comma 17 2 2 3" xfId="1931" xr:uid="{4CF7F488-F013-4D18-8013-6A4624EBCA4D}"/>
    <cellStyle name="Comma 17 2 3" xfId="3081" xr:uid="{EC7F33BE-9AA3-4EA5-A2B1-BDC44E5EAD17}"/>
    <cellStyle name="Comma 17 2 4" xfId="1930" xr:uid="{98731765-ECC6-43BF-9B42-27087B47E7FF}"/>
    <cellStyle name="Comma 17 3" xfId="1013" xr:uid="{E381CE97-BF9B-4EBD-AE89-59F528A88810}"/>
    <cellStyle name="Comma 17 3 2" xfId="1014" xr:uid="{EB0FAF78-7DB3-4E55-8C63-0C295D3BF6BC}"/>
    <cellStyle name="Comma 17 3 2 2" xfId="3084" xr:uid="{1AE7E44F-333D-4DCB-A1D3-7AD148A74413}"/>
    <cellStyle name="Comma 17 3 2 3" xfId="1933" xr:uid="{C5376666-7F1D-4118-AC69-2FA4569CEC83}"/>
    <cellStyle name="Comma 17 3 3" xfId="3083" xr:uid="{0EF37F57-052E-4CBA-82CA-D37440DA1793}"/>
    <cellStyle name="Comma 17 3 4" xfId="1932" xr:uid="{D5EFC6B1-055D-47A3-B5EB-E5E4246FEF0F}"/>
    <cellStyle name="Comma 17 4" xfId="1015" xr:uid="{C1EC5F17-DCD8-4ED1-91CD-C92B3B66545F}"/>
    <cellStyle name="Comma 17 4 2" xfId="3085" xr:uid="{A240EB0C-C80D-43D8-8E56-3AC622814A71}"/>
    <cellStyle name="Comma 17 4 3" xfId="1934" xr:uid="{6A97AF01-C6EB-4692-997A-658E74A42A02}"/>
    <cellStyle name="Comma 17 5" xfId="3080" xr:uid="{A3185138-5E25-4C12-A515-C6FC043BC11F}"/>
    <cellStyle name="Comma 17 6" xfId="1929" xr:uid="{00672996-8999-400D-8A21-29B8E5B3FF09}"/>
    <cellStyle name="Comma 17 8" xfId="2413" xr:uid="{0DDEE096-7F9C-491F-B217-77EBAE4A4EDC}"/>
    <cellStyle name="Comma 18" xfId="1016" xr:uid="{8E5CC0D6-7937-4DC3-AB93-E17A486777CA}"/>
    <cellStyle name="Comma 18 2" xfId="1017" xr:uid="{E140A599-963E-4706-A574-0D8F8EBC1C2C}"/>
    <cellStyle name="Comma 18 2 2" xfId="1018" xr:uid="{ADE0CD88-6EE5-4B06-AB5E-55A2635BEFFA}"/>
    <cellStyle name="Comma 18 2 2 2" xfId="3088" xr:uid="{41D1A452-6A98-48EA-AF86-576BEE07C97B}"/>
    <cellStyle name="Comma 18 2 2 3" xfId="1937" xr:uid="{6BBF40B5-4E5E-4F73-93EC-15AE1FBD7074}"/>
    <cellStyle name="Comma 18 2 3" xfId="3087" xr:uid="{30E6AE58-91B7-4402-AD79-4664C0D61921}"/>
    <cellStyle name="Comma 18 2 4" xfId="1936" xr:uid="{7E25F382-8D9D-4C5D-8ED5-B42645C8663B}"/>
    <cellStyle name="Comma 18 3" xfId="1019" xr:uid="{3ADDF249-3C6A-41E3-9A17-4AB91D5A9393}"/>
    <cellStyle name="Comma 18 3 2" xfId="1020" xr:uid="{89ABCDFF-5A86-4FA9-BB5F-C54021EDF096}"/>
    <cellStyle name="Comma 18 3 2 2" xfId="3090" xr:uid="{321EE439-7243-4F27-AC87-FF633907BA8C}"/>
    <cellStyle name="Comma 18 3 2 3" xfId="1939" xr:uid="{7E3C287B-9802-4A59-8686-26437B097BB1}"/>
    <cellStyle name="Comma 18 3 3" xfId="3089" xr:uid="{9587019C-45A8-4271-A473-00AA049042B2}"/>
    <cellStyle name="Comma 18 3 4" xfId="1938" xr:uid="{63988289-F275-4099-B84A-C76EA7FFCDA3}"/>
    <cellStyle name="Comma 18 4" xfId="1021" xr:uid="{3887DD8B-075C-4A88-BC18-49476498E4CC}"/>
    <cellStyle name="Comma 18 4 2" xfId="3091" xr:uid="{E5116BB3-A06B-4FCF-9E7D-0389B430BED5}"/>
    <cellStyle name="Comma 18 4 3" xfId="1940" xr:uid="{5519CFFD-F00E-48BB-9D9B-789E82FF7A71}"/>
    <cellStyle name="Comma 18 5" xfId="3086" xr:uid="{7EEDFB38-E262-421C-BA53-8B3F58FF4A3D}"/>
    <cellStyle name="Comma 18 6" xfId="1935" xr:uid="{D22741E1-BF2B-48D1-BA18-EEFA4C644F19}"/>
    <cellStyle name="Comma 19" xfId="1022" xr:uid="{E5994599-DD72-4F75-8680-E1F6BF7F6248}"/>
    <cellStyle name="Comma 19 2" xfId="1023" xr:uid="{97AD0BDB-FBDD-42BB-85A6-C74469452C06}"/>
    <cellStyle name="Comma 19 2 2" xfId="1024" xr:uid="{C82DF7D7-C84A-411A-9925-23213338AAC1}"/>
    <cellStyle name="Comma 19 2 2 2" xfId="3094" xr:uid="{07873B0E-47C6-44E1-806D-403F0EB93C1C}"/>
    <cellStyle name="Comma 19 2 2 3" xfId="1943" xr:uid="{625EAD95-AC89-4B5E-8F9D-82747B56B5A8}"/>
    <cellStyle name="Comma 19 2 3" xfId="3093" xr:uid="{389E2C12-55E4-4E47-8203-4F38C8FEEAFA}"/>
    <cellStyle name="Comma 19 2 4" xfId="1942" xr:uid="{63C13C67-1EC2-47A9-84DB-440545EF4F0E}"/>
    <cellStyle name="Comma 19 3" xfId="1025" xr:uid="{24B23D38-7AFD-46EF-A024-AE393EDF3CCF}"/>
    <cellStyle name="Comma 19 3 2" xfId="1026" xr:uid="{C1BE35BF-F598-4D21-9B07-E8191B553E8A}"/>
    <cellStyle name="Comma 19 3 2 2" xfId="3096" xr:uid="{B8384B51-305A-4350-AEC7-21C1889DB2C9}"/>
    <cellStyle name="Comma 19 3 2 3" xfId="1945" xr:uid="{177C17DF-1329-4726-A782-5EB7255B9ED2}"/>
    <cellStyle name="Comma 19 3 3" xfId="3095" xr:uid="{4580EE84-8D90-4D81-A4B0-350FED35A80C}"/>
    <cellStyle name="Comma 19 3 4" xfId="1944" xr:uid="{B523073E-126D-47BA-9343-B5751B2231BD}"/>
    <cellStyle name="Comma 19 4" xfId="1027" xr:uid="{1E01D94B-EA42-4166-A52D-C724F7470613}"/>
    <cellStyle name="Comma 19 4 2" xfId="3097" xr:uid="{558652FE-A80E-4393-80BB-791CBE94119D}"/>
    <cellStyle name="Comma 19 4 3" xfId="1946" xr:uid="{9BCC9DE3-3886-447B-B7E6-9396B406CB9E}"/>
    <cellStyle name="Comma 19 5" xfId="3092" xr:uid="{ED21A653-0791-482B-A5E0-31D0BE1A31E5}"/>
    <cellStyle name="Comma 19 6" xfId="1941" xr:uid="{101FB786-0966-40D2-90A6-43682A858703}"/>
    <cellStyle name="Comma 2" xfId="17" xr:uid="{00000000-0005-0000-0000-00001D000000}"/>
    <cellStyle name="Comma 2 10" xfId="1028" xr:uid="{1CC9AFA1-2A20-4310-8F03-F1FDF86C8AD6}"/>
    <cellStyle name="Comma 2 10 2" xfId="3098" xr:uid="{FB288FA8-1D15-443A-A60F-0F81B3FD1B22}"/>
    <cellStyle name="Comma 2 10 3" xfId="1947" xr:uid="{A3E9EED5-DDD0-40DC-BA56-73A4AA29DA49}"/>
    <cellStyle name="Comma 2 11" xfId="889" xr:uid="{2D1EF170-DA9B-488A-AD9D-7B686FEC8989}"/>
    <cellStyle name="Comma 2 11 2" xfId="2967" xr:uid="{3C2B9092-1296-4F94-B0AA-6D5ECEF24039}"/>
    <cellStyle name="Comma 2 11 3" xfId="1816" xr:uid="{9C21191B-FBDA-408A-86AA-02C0C887BDB4}"/>
    <cellStyle name="Comma 2 12" xfId="1029" xr:uid="{2BCCE361-53B3-4ABC-A444-C5F074C756A5}"/>
    <cellStyle name="Comma 2 12 2" xfId="3099" xr:uid="{4C729168-A9A8-4B64-88BC-641B3044E7E8}"/>
    <cellStyle name="Comma 2 13" xfId="2412" xr:uid="{ECFEF7AF-C612-454C-92A4-03759EA51152}"/>
    <cellStyle name="Comma 2 2" xfId="162" xr:uid="{00000000-0005-0000-0000-0000D1000000}"/>
    <cellStyle name="Comma 2 2 10" xfId="1592" xr:uid="{0083FDE7-A9D7-49E8-9C17-D5FCF5A30978}"/>
    <cellStyle name="Comma 2 2 10 2" xfId="3556" xr:uid="{3CEED20A-7D0C-457F-9E4B-40317F271B00}"/>
    <cellStyle name="Comma 2 2 10 3" xfId="2452" xr:uid="{4E621713-566A-4C89-9890-DC03C1065DDE}"/>
    <cellStyle name="Comma 2 2 11" xfId="2534" xr:uid="{88B918B5-2405-40B7-AD3E-ED37CBD2FD2C}"/>
    <cellStyle name="Comma 2 2 2" xfId="164" xr:uid="{00000000-0005-0000-0000-0000D3000000}"/>
    <cellStyle name="Comma 2 2 2 10" xfId="1948" xr:uid="{2BA95F81-2601-4805-867D-44E98EAC6A42}"/>
    <cellStyle name="Comma 2 2 2 2" xfId="166" xr:uid="{00000000-0005-0000-0000-0000D5000000}"/>
    <cellStyle name="Comma 2 2 2 2 2" xfId="742" xr:uid="{B0FADD92-79DB-450B-975F-A866A3F3B6DC}"/>
    <cellStyle name="Comma 2 2 2 2 2 2" xfId="1033" xr:uid="{4B20ECFC-523B-4C27-995B-E8C0CB74E6DE}"/>
    <cellStyle name="Comma 2 2 2 2 2 2 2" xfId="3103" xr:uid="{8A12E2A1-0B06-4630-9ADA-E48F9C666B51}"/>
    <cellStyle name="Comma 2 2 2 2 2 2 3" xfId="1951" xr:uid="{C0BAB6FE-77A4-4ECE-AA0B-5E56115662FE}"/>
    <cellStyle name="Comma 2 2 2 2 2 3" xfId="1032" xr:uid="{31D6F576-E6B7-400A-85D0-348FA54F3418}"/>
    <cellStyle name="Comma 2 2 2 2 2 3 2" xfId="3102" xr:uid="{D26E71F5-3534-4F2D-9182-45F9876EEDBF}"/>
    <cellStyle name="Comma 2 2 2 2 2 4" xfId="2878" xr:uid="{AFBD24CC-1ED9-4047-BCBF-C14C58F808BC}"/>
    <cellStyle name="Comma 2 2 2 2 2 5" xfId="1950" xr:uid="{8EAA07DA-2BDF-46BE-9E91-EFCB8839E2E5}"/>
    <cellStyle name="Comma 2 2 2 2 3" xfId="1034" xr:uid="{C5CC61B2-B391-41DD-98CA-E136506E313B}"/>
    <cellStyle name="Comma 2 2 2 2 3 2" xfId="3104" xr:uid="{28CC1D85-FBB9-44F3-B738-26D0D42F481F}"/>
    <cellStyle name="Comma 2 2 2 2 3 3" xfId="1952" xr:uid="{704DA856-8165-4367-AC5B-FF72AABA8086}"/>
    <cellStyle name="Comma 2 2 2 2 4" xfId="1035" xr:uid="{BC0C531F-C6D8-40BE-B5D6-1C4460B5A31C}"/>
    <cellStyle name="Comma 2 2 2 2 4 2" xfId="3105" xr:uid="{5C7D50D6-C16C-4DE8-9AF7-EB63C9C6F675}"/>
    <cellStyle name="Comma 2 2 2 2 4 3" xfId="1953" xr:uid="{88915674-B696-4133-8646-D6017E241963}"/>
    <cellStyle name="Comma 2 2 2 2 5" xfId="1036" xr:uid="{93861C74-81EC-472E-B3DE-6C35A612A651}"/>
    <cellStyle name="Comma 2 2 2 2 5 2" xfId="3106" xr:uid="{1E543A9E-ADDD-4DCC-B634-42A1E4123337}"/>
    <cellStyle name="Comma 2 2 2 2 5 3" xfId="1954" xr:uid="{54A2B27C-5572-48C6-A31C-E8745FD29E25}"/>
    <cellStyle name="Comma 2 2 2 2 6" xfId="1031" xr:uid="{3DAF5C95-F742-46FD-95BB-CDD77B431016}"/>
    <cellStyle name="Comma 2 2 2 2 6 2" xfId="3101" xr:uid="{B45EEC38-3A1C-4E63-8EDC-B7AC37B3D3CE}"/>
    <cellStyle name="Comma 2 2 2 2 7" xfId="2538" xr:uid="{ABC7DE9D-DEDB-431C-8370-35533ED73721}"/>
    <cellStyle name="Comma 2 2 2 2 8" xfId="1949" xr:uid="{91865340-9FE4-4DF4-A81A-A7C3D3C0977F}"/>
    <cellStyle name="Comma 2 2 2 2_1" xfId="1037" xr:uid="{055CED00-4AD3-450D-9240-BD0D99C73937}"/>
    <cellStyle name="Comma 2 2 2 3" xfId="740" xr:uid="{5B7EC1AF-E48B-4BD1-9714-13ABB464BCE0}"/>
    <cellStyle name="Comma 2 2 2 3 2" xfId="1039" xr:uid="{73D49421-C536-4834-A0CE-6AD94431EC38}"/>
    <cellStyle name="Comma 2 2 2 3 2 2" xfId="3108" xr:uid="{32628A77-A8EE-4EDE-B26B-7246C4D4A830}"/>
    <cellStyle name="Comma 2 2 2 3 2 3" xfId="1956" xr:uid="{3012B4D0-2466-4D24-BE8D-827ED82FA104}"/>
    <cellStyle name="Comma 2 2 2 3 3" xfId="1038" xr:uid="{4211E792-B31B-433B-BDF5-D7E60ECAC930}"/>
    <cellStyle name="Comma 2 2 2 3 3 2" xfId="3107" xr:uid="{548CA838-5621-475D-BF2B-D1EE387C0622}"/>
    <cellStyle name="Comma 2 2 2 3 4" xfId="2876" xr:uid="{43C9E679-9FEF-44AB-95F9-3F8D7CEC4E80}"/>
    <cellStyle name="Comma 2 2 2 3 5" xfId="1955" xr:uid="{3EEC1C1A-288F-4DFE-8E08-EAC0D94067F7}"/>
    <cellStyle name="Comma 2 2 2 4" xfId="525" xr:uid="{279FEAB5-47A5-4F6E-943A-6DD0A5AE0606}"/>
    <cellStyle name="Comma 2 2 2 4 2" xfId="1040" xr:uid="{AA49FA1E-19AF-4099-9836-FBF13D605E7D}"/>
    <cellStyle name="Comma 2 2 2 4 2 2" xfId="3109" xr:uid="{511A8511-C832-465C-BB21-388A1A0DB95D}"/>
    <cellStyle name="Comma 2 2 2 4 3" xfId="2726" xr:uid="{330DF10D-9921-41AC-B33F-2B01C07BFC54}"/>
    <cellStyle name="Comma 2 2 2 4 4" xfId="1957" xr:uid="{279400C6-5ABC-4ED0-B338-0FBFD2A0932F}"/>
    <cellStyle name="Comma 2 2 2 5" xfId="1041" xr:uid="{583AC366-5EB8-411C-877A-016FE5D3F380}"/>
    <cellStyle name="Comma 2 2 2 5 2" xfId="3110" xr:uid="{4004C816-D9A7-4B4D-B153-D22CB794D058}"/>
    <cellStyle name="Comma 2 2 2 5 3" xfId="1958" xr:uid="{F1D89F3F-8D8C-453E-BF03-0B346EBB8FEF}"/>
    <cellStyle name="Comma 2 2 2 6" xfId="1042" xr:uid="{BDD21C13-65D8-49E7-A08D-A26CE97E800A}"/>
    <cellStyle name="Comma 2 2 2 6 2" xfId="3111" xr:uid="{534A312C-E01F-49EA-98EB-0C01DE7E008D}"/>
    <cellStyle name="Comma 2 2 2 6 3" xfId="1959" xr:uid="{04042877-D67F-46CB-AD28-EDB440DDA84D}"/>
    <cellStyle name="Comma 2 2 2 7" xfId="1043" xr:uid="{704D3216-4D9E-4EAC-B186-F9B37060FCD4}"/>
    <cellStyle name="Comma 2 2 2 7 2" xfId="3112" xr:uid="{E8906FD1-6B25-487E-8556-B0AC945D0D6D}"/>
    <cellStyle name="Comma 2 2 2 7 3" xfId="1960" xr:uid="{544A4AF8-6DAB-45EC-B5D7-1D3D07CEE401}"/>
    <cellStyle name="Comma 2 2 2 8" xfId="1030" xr:uid="{2F6403FB-8CF1-4A83-B04B-584BC17727D1}"/>
    <cellStyle name="Comma 2 2 2 8 2" xfId="3100" xr:uid="{0564EEF6-F246-4C83-9022-451B4B47D7D6}"/>
    <cellStyle name="Comma 2 2 2 9" xfId="2536" xr:uid="{DD3FBACA-E58E-439F-A540-0909A4B1631B}"/>
    <cellStyle name="Comma 2 2 2_1" xfId="1044" xr:uid="{ADDD29D7-C746-4F7B-AEA9-1976698D83FC}"/>
    <cellStyle name="Comma 2 2 3" xfId="168" xr:uid="{00000000-0005-0000-0000-0000D7000000}"/>
    <cellStyle name="Comma 2 2 3 10" xfId="899" xr:uid="{7049013D-11F0-43CB-A52D-19E29280BF02}"/>
    <cellStyle name="Comma 2 2 3 10 2" xfId="2973" xr:uid="{90701ED3-6C2F-4A14-9EF1-0364DC621584}"/>
    <cellStyle name="Comma 2 2 3 11" xfId="2540" xr:uid="{D3A8E762-80DA-4457-A83C-1B0971087B36}"/>
    <cellStyle name="Comma 2 2 3 2" xfId="744" xr:uid="{7F51AA38-C478-42A0-9AC6-478C797AE9DC}"/>
    <cellStyle name="Comma 2 2 3 2 2" xfId="1047" xr:uid="{3B0762AC-88C8-4DD9-8B7A-4F8D38C6EEFE}"/>
    <cellStyle name="Comma 2 2 3 2 2 2" xfId="1048" xr:uid="{5C4EEEF7-77FB-4A9B-9568-26BA72574159}"/>
    <cellStyle name="Comma 2 2 3 2 2 2 2" xfId="1049" xr:uid="{FC77B916-5121-4A29-B270-A8B82803B154}"/>
    <cellStyle name="Comma 2 2 3 2 2 2 2 2" xfId="3117" xr:uid="{DD55FB0B-105F-4231-B2CD-7A8B43D7B9AD}"/>
    <cellStyle name="Comma 2 2 3 2 2 2 2 3" xfId="1964" xr:uid="{2EC95F4A-1504-45C7-8804-B55430410B2C}"/>
    <cellStyle name="Comma 2 2 3 2 2 2 3" xfId="3116" xr:uid="{56E2CF7F-0649-4FEB-988C-93DA07FF04DE}"/>
    <cellStyle name="Comma 2 2 3 2 2 2 4" xfId="1963" xr:uid="{7B349544-1AD7-429C-A9E1-A856CB564402}"/>
    <cellStyle name="Comma 2 2 3 2 2 3" xfId="1050" xr:uid="{A926C1C1-A17E-403D-8380-698D5D3A234F}"/>
    <cellStyle name="Comma 2 2 3 2 2 3 2" xfId="3118" xr:uid="{67055AC4-6BEF-49DA-9D05-A05E0704474E}"/>
    <cellStyle name="Comma 2 2 3 2 2 3 3" xfId="1965" xr:uid="{B047A2EF-9323-4B8F-BD18-D740084158DD}"/>
    <cellStyle name="Comma 2 2 3 2 2 4" xfId="3115" xr:uid="{E9179B34-8711-444F-830A-B9CFCEE96D94}"/>
    <cellStyle name="Comma 2 2 3 2 2 5" xfId="1962" xr:uid="{D5BD415B-D62F-44EF-800C-E3AC559080A7}"/>
    <cellStyle name="Comma 2 2 3 2 2_1" xfId="1051" xr:uid="{3BC1C730-0066-4832-9EAF-63700AE955B4}"/>
    <cellStyle name="Comma 2 2 3 2 3" xfId="1052" xr:uid="{F6E6FF67-9312-4C9E-820E-F54DB0F2A4ED}"/>
    <cellStyle name="Comma 2 2 3 2 3 2" xfId="3119" xr:uid="{83FCFE44-D16C-42CD-85D6-7270868A80CE}"/>
    <cellStyle name="Comma 2 2 3 2 3 3" xfId="1966" xr:uid="{34245D9A-993F-406B-BF83-82BAF2F88005}"/>
    <cellStyle name="Comma 2 2 3 2 4" xfId="1046" xr:uid="{9CEAAC65-8810-401D-88FA-65AA84FBEA64}"/>
    <cellStyle name="Comma 2 2 3 2 4 2" xfId="3114" xr:uid="{DCEFAE5B-4A52-49E6-80E7-81B1AF64B79A}"/>
    <cellStyle name="Comma 2 2 3 2 5" xfId="2880" xr:uid="{DEFAB5DF-DCDE-40BF-82DF-E530C8062A2F}"/>
    <cellStyle name="Comma 2 2 3 2 6" xfId="3748" xr:uid="{C78AF0DA-1540-46E8-826A-D82B951C1863}"/>
    <cellStyle name="Comma 2 2 3 2 7" xfId="3757" xr:uid="{F91035E8-9D58-4000-8034-AD8720BF270B}"/>
    <cellStyle name="Comma 2 2 3 2 8" xfId="1961" xr:uid="{BE02BE65-8554-4854-B747-0C35500FD5AC}"/>
    <cellStyle name="Comma 2 2 3 2_1" xfId="1053" xr:uid="{A0644618-13FC-4A9A-85B8-B61278F96F24}"/>
    <cellStyle name="Comma 2 2 3 3" xfId="527" xr:uid="{D82A87EE-46EB-452F-A88A-F758D9FA8206}"/>
    <cellStyle name="Comma 2 2 3 3 2" xfId="1055" xr:uid="{B121B85B-EF8D-4796-B6C3-B001638B4A9F}"/>
    <cellStyle name="Comma 2 2 3 3 2 2" xfId="1056" xr:uid="{453BEED3-76AD-4B3C-A8DF-7F4565A4B337}"/>
    <cellStyle name="Comma 2 2 3 3 2 2 2" xfId="3122" xr:uid="{C8236B1F-98D5-4BAD-8C3C-7B45BA96C37E}"/>
    <cellStyle name="Comma 2 2 3 3 2 2 3" xfId="1969" xr:uid="{382D7EBB-8C5A-4C69-B515-C58A45048BB8}"/>
    <cellStyle name="Comma 2 2 3 3 2 3" xfId="3121" xr:uid="{A434D79A-889C-4ABF-A705-43C7C2EE5203}"/>
    <cellStyle name="Comma 2 2 3 3 2 4" xfId="1968" xr:uid="{9112E6A2-1FB1-42C3-BBFB-6662BCA0800B}"/>
    <cellStyle name="Comma 2 2 3 3 3" xfId="1057" xr:uid="{30005A8E-4E6A-492A-AF52-DA7EBC15B8EC}"/>
    <cellStyle name="Comma 2 2 3 3 3 2" xfId="3123" xr:uid="{6CFEEEBD-F3FF-4394-A8AA-32A2AFBB02F8}"/>
    <cellStyle name="Comma 2 2 3 3 3 3" xfId="1970" xr:uid="{9DD91481-EBC0-4647-8072-E96428403445}"/>
    <cellStyle name="Comma 2 2 3 3 4" xfId="1054" xr:uid="{4296D93E-CD3D-4F46-9A23-4D2265D90CB7}"/>
    <cellStyle name="Comma 2 2 3 3 4 2" xfId="3120" xr:uid="{F2479A7F-7663-4FD8-8F5C-84770EF3C4A7}"/>
    <cellStyle name="Comma 2 2 3 3 5" xfId="2728" xr:uid="{F640C375-0F6B-4915-AC67-9685572A76BF}"/>
    <cellStyle name="Comma 2 2 3 3 6" xfId="1967" xr:uid="{C1682D2D-4A9F-4D7E-B095-926B546E72DC}"/>
    <cellStyle name="Comma 2 2 3 3_1" xfId="1058" xr:uid="{ABE50329-8703-4C9C-BA1A-968AD21553B0}"/>
    <cellStyle name="Comma 2 2 3 4" xfId="1059" xr:uid="{37F2D663-0C6A-4D33-BF6E-1B8C8D5C297D}"/>
    <cellStyle name="Comma 2 2 3 4 2" xfId="1060" xr:uid="{E4954B69-21AF-4322-82AB-E2C1A1914F6B}"/>
    <cellStyle name="Comma 2 2 3 4 2 2" xfId="3125" xr:uid="{166F0785-7C99-493D-8570-FA43B2F7B675}"/>
    <cellStyle name="Comma 2 2 3 4 2 3" xfId="1972" xr:uid="{0B5B8C48-6FB9-427E-9918-A1733B5C3F6B}"/>
    <cellStyle name="Comma 2 2 3 4 3" xfId="3124" xr:uid="{1087A997-DB37-4F76-894D-1A875445363D}"/>
    <cellStyle name="Comma 2 2 3 4 4" xfId="1971" xr:uid="{E0B1EE84-1EC1-41D5-835D-F80CB98E8ECA}"/>
    <cellStyle name="Comma 2 2 3 5" xfId="1061" xr:uid="{3F32404A-FFD3-4FCB-9343-B9135939636D}"/>
    <cellStyle name="Comma 2 2 3 5 2" xfId="3126" xr:uid="{31246BEA-33F6-401A-A208-7DF1A8B829FB}"/>
    <cellStyle name="Comma 2 2 3 5 3" xfId="1973" xr:uid="{6F559352-22EC-4D1E-AAA5-317E6083657A}"/>
    <cellStyle name="Comma 2 2 3 6" xfId="1062" xr:uid="{6A72E2BC-C0BE-4B35-BB41-CCBC1BEE3CBE}"/>
    <cellStyle name="Comma 2 2 3 6 2" xfId="3127" xr:uid="{87B006B4-67A4-4CC4-859C-EB4B786445BD}"/>
    <cellStyle name="Comma 2 2 3 6 3" xfId="1974" xr:uid="{FF6BF119-4412-4C78-A5A1-31575C8F9314}"/>
    <cellStyle name="Comma 2 2 3 7" xfId="1063" xr:uid="{C0C84BFA-D0AD-49F1-AC4C-6D58226DD8C3}"/>
    <cellStyle name="Comma 2 2 3 7 2" xfId="3128" xr:uid="{40C3CCF4-0B7D-45B8-B632-89B6E08C2E5F}"/>
    <cellStyle name="Comma 2 2 3 7 3" xfId="1975" xr:uid="{285D86D9-D932-42CA-9036-AB9B9AFBD83F}"/>
    <cellStyle name="Comma 2 2 3 8" xfId="1064" xr:uid="{B0F0BC24-ED15-448C-8B14-013389F28591}"/>
    <cellStyle name="Comma 2 2 3 8 2" xfId="3129" xr:uid="{35677B88-DB3D-4582-8E26-35F09F4EC669}"/>
    <cellStyle name="Comma 2 2 3 9" xfId="1045" xr:uid="{2D2DEFFC-1282-4F15-BCF7-F03B9746BA46}"/>
    <cellStyle name="Comma 2 2 3 9 2" xfId="3113" xr:uid="{B146FD2A-AE44-43C9-BF21-177CA1A8B9C1}"/>
    <cellStyle name="Comma 2 2 3_1" xfId="1065" xr:uid="{159D16A3-9A3E-4D3A-88FB-46FBEB71FED0}"/>
    <cellStyle name="Comma 2 2 4" xfId="454" xr:uid="{0486E130-009F-46AD-9B0D-BB5FD5239BC5}"/>
    <cellStyle name="Comma 2 2 4 2" xfId="873" xr:uid="{FD9D3F00-0863-4292-B93B-D7596C67497E}"/>
    <cellStyle name="Comma 2 2 4 2 2" xfId="1067" xr:uid="{C3F7005D-0C55-4E6A-BEB6-9670A130E248}"/>
    <cellStyle name="Comma 2 2 4 2 2 2" xfId="3131" xr:uid="{B229FE3A-0AA2-4D20-8E41-9D89F6215DCA}"/>
    <cellStyle name="Comma 2 2 4 2 2 3" xfId="1977" xr:uid="{3A32E8D7-20F2-4B26-AA33-DAA504EA5CD4}"/>
    <cellStyle name="Comma 2 2 4 2 3" xfId="1066" xr:uid="{7250545C-B103-488C-A0BB-707544BDDACB}"/>
    <cellStyle name="Comma 2 2 4 2 3 2" xfId="3130" xr:uid="{21C08138-FEF9-4610-A3E0-7690942D84D9}"/>
    <cellStyle name="Comma 2 2 4 2 4" xfId="2952" xr:uid="{BA5247A1-6556-4ECD-A1D3-ABCF0D4022BB}"/>
    <cellStyle name="Comma 2 2 4 2 5" xfId="1976" xr:uid="{28F374ED-C790-4FB9-BAB0-EDECA5246883}"/>
    <cellStyle name="Comma 2 2 4 3" xfId="529" xr:uid="{E8737D40-D082-45C6-8C99-83821F57F32B}"/>
    <cellStyle name="Comma 2 2 4 3 2" xfId="1068" xr:uid="{9E1BC00C-6CDC-48FC-AB97-8834116BEE3C}"/>
    <cellStyle name="Comma 2 2 4 3 2 2" xfId="3132" xr:uid="{F97BC5F6-8B9A-4A8C-B65F-386FEB1BDF06}"/>
    <cellStyle name="Comma 2 2 4 3 3" xfId="2730" xr:uid="{C8B7AACD-6780-4F3E-BFB3-13B36E3A409F}"/>
    <cellStyle name="Comma 2 2 4 3 4" xfId="1978" xr:uid="{5E6E687A-40D6-4A39-B284-61995458F291}"/>
    <cellStyle name="Comma 2 2 4 4" xfId="1069" xr:uid="{D385889F-DC9C-439E-9317-FC05EA1D2CF5}"/>
    <cellStyle name="Comma 2 2 4 4 2" xfId="3133" xr:uid="{A3CA2A27-CB08-475B-B3B7-EF048636A5FA}"/>
    <cellStyle name="Comma 2 2 4 4 3" xfId="1979" xr:uid="{6FC006D9-44AB-40E1-B816-6164758E68F6}"/>
    <cellStyle name="Comma 2 2 4 5" xfId="1070" xr:uid="{926715DA-D76A-45BA-A5FE-782B903AC727}"/>
    <cellStyle name="Comma 2 2 4 5 2" xfId="3134" xr:uid="{7F72BF39-50EC-4975-86BE-0739D796E3E7}"/>
    <cellStyle name="Comma 2 2 4 5 3" xfId="1980" xr:uid="{A9023717-A0E9-4401-B484-592C2C31FDB9}"/>
    <cellStyle name="Comma 2 2 4 6" xfId="1071" xr:uid="{359BB7A2-08C0-446A-B2A5-C904E6BFA458}"/>
    <cellStyle name="Comma 2 2 4 6 2" xfId="3135" xr:uid="{89C2F0CB-5CA9-43E0-A2CB-342DB5798DA8}"/>
    <cellStyle name="Comma 2 2 4 7" xfId="2673" xr:uid="{429E6C8F-9799-4D9D-B0F7-D7500A24E8C7}"/>
    <cellStyle name="Comma 2 2 4_1" xfId="1072" xr:uid="{FD1AD761-DA75-4BAA-844F-97CC03F487FB}"/>
    <cellStyle name="Comma 2 2 5" xfId="738" xr:uid="{705E4D88-49AD-40C3-BC94-971E47FB2160}"/>
    <cellStyle name="Comma 2 2 5 2" xfId="1074" xr:uid="{E49E7788-463A-4E3A-8484-1F3F1E53C0BF}"/>
    <cellStyle name="Comma 2 2 5 2 2" xfId="3137" xr:uid="{D26F4D63-651F-43C9-B743-15D5D214C94C}"/>
    <cellStyle name="Comma 2 2 5 2 3" xfId="1982" xr:uid="{7F7AF3EC-CF37-44DF-8C43-8B98892F0969}"/>
    <cellStyle name="Comma 2 2 5 3" xfId="1073" xr:uid="{36A18C2A-F0D2-4115-B363-3CC917A9C1BE}"/>
    <cellStyle name="Comma 2 2 5 3 2" xfId="3136" xr:uid="{42C29C5C-3199-42A5-B105-3E764BA47C6B}"/>
    <cellStyle name="Comma 2 2 5 4" xfId="2874" xr:uid="{56181229-40A2-4D2A-9394-B5BF1F842FA7}"/>
    <cellStyle name="Comma 2 2 5 5" xfId="1981" xr:uid="{D1C09945-5902-49E3-AEDB-02171C0BA97D}"/>
    <cellStyle name="Comma 2 2 6" xfId="523" xr:uid="{B2060A4E-A4FC-41B6-9CFE-9F6CBE06AD9A}"/>
    <cellStyle name="Comma 2 2 6 2" xfId="2724" xr:uid="{255BEB8D-F5FA-4830-BD5F-2958239BB4C6}"/>
    <cellStyle name="Comma 2 2 7" xfId="1075" xr:uid="{38A0835A-C9E9-49FE-83BB-ED7753DCDF42}"/>
    <cellStyle name="Comma 2 2 7 2" xfId="3138" xr:uid="{CD2409DA-057C-48F6-AC73-6F8C06409499}"/>
    <cellStyle name="Comma 2 2 8" xfId="1076" xr:uid="{65F7D5B0-42B6-4475-8F94-1B665A31743C}"/>
    <cellStyle name="Comma 2 2 8 2" xfId="3139" xr:uid="{1BCD0DD9-68F7-42BA-A511-2D0C097C3AE4}"/>
    <cellStyle name="Comma 2 2 8 3" xfId="1983" xr:uid="{F165E389-3D9F-44BE-A296-BF0AE9B75416}"/>
    <cellStyle name="Comma 2 2 9" xfId="1077" xr:uid="{C759A542-8ED7-474B-8B10-CD3803102B42}"/>
    <cellStyle name="Comma 2 2 9 2" xfId="3140" xr:uid="{B66FBE7B-ABD6-49A1-9D75-B3CBE3FAE550}"/>
    <cellStyle name="Comma 2 2_1" xfId="1078" xr:uid="{5A91A592-CC16-452F-BC70-D8A89C05B93F}"/>
    <cellStyle name="Comma 2 3" xfId="149" xr:uid="{00000000-0005-0000-0000-0000C4000000}"/>
    <cellStyle name="Comma 2 3 10" xfId="2521" xr:uid="{A0E8A554-47F5-4CB6-8FBF-2F5B2D01D9E2}"/>
    <cellStyle name="Comma 2 3 11" xfId="1984" xr:uid="{8EFE5348-5E7D-4DC6-AB13-963D4A9A2A36}"/>
    <cellStyle name="Comma 2 3 2" xfId="152" xr:uid="{00000000-0005-0000-0000-0000C7000000}"/>
    <cellStyle name="Comma 2 3 2 2" xfId="728" xr:uid="{9898230B-A0CE-4DF8-B859-04F625BE1F8D}"/>
    <cellStyle name="Comma 2 3 2 2 2" xfId="1082" xr:uid="{AE7CC676-E452-404E-A915-5E2172CC3BC7}"/>
    <cellStyle name="Comma 2 3 2 2 2 2" xfId="3144" xr:uid="{D1EA1B4F-F0F2-4B24-88D6-9F8761483B94}"/>
    <cellStyle name="Comma 2 3 2 2 2 3" xfId="1987" xr:uid="{67CD14BB-153E-46FD-824F-D1ACFC64B756}"/>
    <cellStyle name="Comma 2 3 2 2 3" xfId="1083" xr:uid="{BDB65104-C9FB-41D0-B389-2CADB147E63A}"/>
    <cellStyle name="Comma 2 3 2 2 3 2" xfId="3145" xr:uid="{280B1476-DC82-4BE3-A573-1D84664B8F46}"/>
    <cellStyle name="Comma 2 3 2 2 3 3" xfId="1988" xr:uid="{0CB1BBA4-3043-400A-BFCC-24F2C3752583}"/>
    <cellStyle name="Comma 2 3 2 2 4" xfId="1084" xr:uid="{8B31BA17-89C9-4EEF-8283-0680957931B0}"/>
    <cellStyle name="Comma 2 3 2 2 4 2" xfId="3146" xr:uid="{BCB2F5BE-E083-4339-B62C-82FD179E56C9}"/>
    <cellStyle name="Comma 2 3 2 2 4 3" xfId="1989" xr:uid="{75D533E5-8B61-4602-B702-2CB19D789CE3}"/>
    <cellStyle name="Comma 2 3 2 2 5" xfId="1081" xr:uid="{FF586050-2228-41A4-9E2C-C7677CD33BDC}"/>
    <cellStyle name="Comma 2 3 2 2 5 2" xfId="3143" xr:uid="{E6BDDD14-20C9-433F-8FD9-DA855A6B53F9}"/>
    <cellStyle name="Comma 2 3 2 2 6" xfId="2864" xr:uid="{44287F8D-0C02-4C17-957D-99E52864D81D}"/>
    <cellStyle name="Comma 2 3 2 2 7" xfId="1986" xr:uid="{B7B3111B-293D-4422-BA8C-B821EC13BD01}"/>
    <cellStyle name="Comma 2 3 2 3" xfId="533" xr:uid="{4819610B-D84D-493E-BBE1-FEA0A518DEAA}"/>
    <cellStyle name="Comma 2 3 2 3 2" xfId="1086" xr:uid="{EFBA644C-8383-4AC4-B3C8-952785284794}"/>
    <cellStyle name="Comma 2 3 2 3 2 2" xfId="3148" xr:uid="{F416DE07-ABF4-44FB-9F71-5A5531832D2E}"/>
    <cellStyle name="Comma 2 3 2 3 2 3" xfId="1991" xr:uid="{412E73C6-BA83-4429-8CA7-3D96EB6CF027}"/>
    <cellStyle name="Comma 2 3 2 3 3" xfId="1087" xr:uid="{59B7C967-FAE4-499E-A8DB-A5B5074CD29E}"/>
    <cellStyle name="Comma 2 3 2 3 3 2" xfId="3149" xr:uid="{7DEA7B6D-F756-4901-A024-83A666B626C5}"/>
    <cellStyle name="Comma 2 3 2 3 3 3" xfId="1992" xr:uid="{0A19B20F-00E2-48C2-8EF8-2C3C7E0F7AD7}"/>
    <cellStyle name="Comma 2 3 2 3 4" xfId="1085" xr:uid="{DC24B1B1-7B0D-472B-BFD4-B9BA1837493D}"/>
    <cellStyle name="Comma 2 3 2 3 4 2" xfId="3147" xr:uid="{52083391-2040-453E-93DA-1E19C4891B29}"/>
    <cellStyle name="Comma 2 3 2 3 5" xfId="2734" xr:uid="{D9109BBE-5703-498C-BD0F-9A05EDC2442E}"/>
    <cellStyle name="Comma 2 3 2 3 6" xfId="1990" xr:uid="{1FA82C4B-BFC6-49DB-B696-691E60976F5B}"/>
    <cellStyle name="Comma 2 3 2 4" xfId="1088" xr:uid="{E3BF3B08-1BF4-4267-8F4D-D1736FF4D6CF}"/>
    <cellStyle name="Comma 2 3 2 4 2" xfId="3150" xr:uid="{D218334A-68C6-4F06-A81F-C30A0714B492}"/>
    <cellStyle name="Comma 2 3 2 4 3" xfId="1993" xr:uid="{FD8967C4-2A79-4C5F-8C9E-D1F6B740F1E9}"/>
    <cellStyle name="Comma 2 3 2 5" xfId="1089" xr:uid="{C61F6B0C-A4C9-444C-9257-5FB3545C4D20}"/>
    <cellStyle name="Comma 2 3 2 5 2" xfId="3151" xr:uid="{A47CCD8A-9695-4ECB-BB6D-B59F7EE38C43}"/>
    <cellStyle name="Comma 2 3 2 5 3" xfId="1994" xr:uid="{C59358E6-9208-4B35-A768-854AC952D301}"/>
    <cellStyle name="Comma 2 3 2 6" xfId="1080" xr:uid="{69E36AFB-6D95-4B6D-9201-C7E325C6A374}"/>
    <cellStyle name="Comma 2 3 2 6 2" xfId="3142" xr:uid="{FFFADF80-9EBF-41FD-A789-80B398109088}"/>
    <cellStyle name="Comma 2 3 2 7" xfId="2524" xr:uid="{3BE23D66-7935-407A-8EBE-73905636F2F2}"/>
    <cellStyle name="Comma 2 3 2 8" xfId="1985" xr:uid="{E529AE4A-E05B-42DA-99D2-2E57CD1C7235}"/>
    <cellStyle name="Comma 2 3 2_1" xfId="1090" xr:uid="{0E7FF0F6-53F0-482C-9340-46816C389BEF}"/>
    <cellStyle name="Comma 2 3 3" xfId="725" xr:uid="{F3BEE50A-14EF-4508-AAFD-071D314984E4}"/>
    <cellStyle name="Comma 2 3 3 2" xfId="1092" xr:uid="{67CAACBC-7A19-4C2F-9458-BB8231133480}"/>
    <cellStyle name="Comma 2 3 3 2 2" xfId="1093" xr:uid="{6DFDDB89-AC8F-469E-A8B5-F30B8CC5AAC7}"/>
    <cellStyle name="Comma 2 3 3 2 2 2" xfId="3154" xr:uid="{92A0C0BC-25DC-4A11-BCCF-F919D24843D3}"/>
    <cellStyle name="Comma 2 3 3 2 2 3" xfId="1997" xr:uid="{CED63C12-4FB3-4E70-8381-534E9832E505}"/>
    <cellStyle name="Comma 2 3 3 2 3" xfId="1094" xr:uid="{6DE418E4-10EB-4AF5-9B79-FBFB9D03A895}"/>
    <cellStyle name="Comma 2 3 3 2 3 2" xfId="3155" xr:uid="{B8DC510A-1279-4075-8471-15620DA74060}"/>
    <cellStyle name="Comma 2 3 3 2 3 3" xfId="1998" xr:uid="{8251FC30-F82E-4BCC-844D-5C6CC4FAB71A}"/>
    <cellStyle name="Comma 2 3 3 2 4" xfId="3153" xr:uid="{12A60D41-D402-43A4-8C6D-1BE28FFD1A50}"/>
    <cellStyle name="Comma 2 3 3 2 5" xfId="1996" xr:uid="{B28C2A83-14E8-4E82-ADF3-96C08A816FD3}"/>
    <cellStyle name="Comma 2 3 3 3" xfId="1095" xr:uid="{BEAAF897-7B4D-4A8D-AF61-38B314453969}"/>
    <cellStyle name="Comma 2 3 3 3 2" xfId="1096" xr:uid="{CF710643-BCBA-491D-BA91-069C32A6221A}"/>
    <cellStyle name="Comma 2 3 3 3 2 2" xfId="3157" xr:uid="{83AE3A65-F93E-4943-8913-FB08F605C4CA}"/>
    <cellStyle name="Comma 2 3 3 3 2 3" xfId="2000" xr:uid="{9ED20C5D-AB1E-4BE8-BFD7-EB5BFE844076}"/>
    <cellStyle name="Comma 2 3 3 3 3" xfId="3156" xr:uid="{061754E9-2E2D-47EA-999B-FF4EA930E0B9}"/>
    <cellStyle name="Comma 2 3 3 3 4" xfId="1999" xr:uid="{A958B893-3C80-4457-B080-C4282780C0FE}"/>
    <cellStyle name="Comma 2 3 3 4" xfId="1097" xr:uid="{65B2A528-1786-4E48-A8B5-BAADB12AA7CC}"/>
    <cellStyle name="Comma 2 3 3 4 2" xfId="3158" xr:uid="{2394B1E0-F614-4871-A1DC-EDC02D463770}"/>
    <cellStyle name="Comma 2 3 3 4 3" xfId="2001" xr:uid="{F5FC8EEC-216F-4ED7-AD42-3BDAB56468B9}"/>
    <cellStyle name="Comma 2 3 3 5" xfId="1098" xr:uid="{E50D34C4-7FC8-4520-912D-02AE613529B1}"/>
    <cellStyle name="Comma 2 3 3 5 2" xfId="3159" xr:uid="{333B1E19-0222-4149-A1F7-03C11FEEAE65}"/>
    <cellStyle name="Comma 2 3 3 5 3" xfId="2002" xr:uid="{E2D15F7C-B560-4DA8-9426-72CFB4D74E6E}"/>
    <cellStyle name="Comma 2 3 3 6" xfId="1091" xr:uid="{347E73A5-4526-4A16-9F1A-2FFFECCBE262}"/>
    <cellStyle name="Comma 2 3 3 6 2" xfId="3152" xr:uid="{10699343-25F5-4097-AAB0-0BD42C725C20}"/>
    <cellStyle name="Comma 2 3 3 7" xfId="2861" xr:uid="{25256FDB-40CB-4F3B-8BE7-0784A2328D2B}"/>
    <cellStyle name="Comma 2 3 3 8" xfId="1995" xr:uid="{FC29A9C0-6904-497E-8B4F-4F2536561E6F}"/>
    <cellStyle name="Comma 2 3 4" xfId="531" xr:uid="{B7A03BCD-C073-44C4-B3D6-EBCCE29D4D59}"/>
    <cellStyle name="Comma 2 3 4 2" xfId="1100" xr:uid="{D047FF5C-40E0-4B27-A034-6F251D754200}"/>
    <cellStyle name="Comma 2 3 4 2 2" xfId="3161" xr:uid="{1A3EF9AB-EBAD-4CDF-B67B-15C8CFDB1EB6}"/>
    <cellStyle name="Comma 2 3 4 2 3" xfId="2004" xr:uid="{72585852-3221-462C-B2AA-6630E57AC4D3}"/>
    <cellStyle name="Comma 2 3 4 3" xfId="1101" xr:uid="{AF61E141-9764-47DE-B834-9294E1C0B97A}"/>
    <cellStyle name="Comma 2 3 4 3 2" xfId="3162" xr:uid="{4C003C47-FACB-4E4D-8014-525CEED20111}"/>
    <cellStyle name="Comma 2 3 4 3 3" xfId="2005" xr:uid="{6FB93285-A906-4036-9247-B691A2E35FB0}"/>
    <cellStyle name="Comma 2 3 4 4" xfId="1102" xr:uid="{15011F14-969D-48DC-81D9-E1557C0FD7D2}"/>
    <cellStyle name="Comma 2 3 4 4 2" xfId="3163" xr:uid="{1CA8912A-E969-4A9B-8057-CD4E585BAD9D}"/>
    <cellStyle name="Comma 2 3 4 4 3" xfId="2006" xr:uid="{19C77D68-7934-4F36-8DB3-96ED1B5AE159}"/>
    <cellStyle name="Comma 2 3 4 5" xfId="1099" xr:uid="{8F3EEF70-B066-47F7-9A45-B93054AC4983}"/>
    <cellStyle name="Comma 2 3 4 5 2" xfId="3160" xr:uid="{B31A1B4F-8E34-4E23-B38C-CE9BE821A5FD}"/>
    <cellStyle name="Comma 2 3 4 6" xfId="2732" xr:uid="{CB72237E-117B-40AF-8E09-C9304EC28874}"/>
    <cellStyle name="Comma 2 3 4 7" xfId="2003" xr:uid="{FB61FA8F-3D40-4B10-9157-3DB913147C6F}"/>
    <cellStyle name="Comma 2 3 5" xfId="1103" xr:uid="{D47E0CF0-825B-4BA9-B397-4F59EEBE8593}"/>
    <cellStyle name="Comma 2 3 5 2" xfId="1104" xr:uid="{5EC2BA95-91D3-4F96-AE12-67FC38692E45}"/>
    <cellStyle name="Comma 2 3 5 2 2" xfId="3165" xr:uid="{F026DB66-1437-450B-A12B-2E49D624C2E6}"/>
    <cellStyle name="Comma 2 3 5 2 3" xfId="2008" xr:uid="{428E0753-EE29-4C46-A03E-6DB147AD6957}"/>
    <cellStyle name="Comma 2 3 5 3" xfId="1105" xr:uid="{3F90A634-18C0-4B8A-8271-87F7003CF468}"/>
    <cellStyle name="Comma 2 3 5 3 2" xfId="3166" xr:uid="{97DAB455-15DF-48A3-BED1-0ACC15C8FF60}"/>
    <cellStyle name="Comma 2 3 5 3 3" xfId="2009" xr:uid="{C77AC4CB-D02F-45A4-8842-8B5EB03436E8}"/>
    <cellStyle name="Comma 2 3 5 4" xfId="3164" xr:uid="{7C1FE908-1D6A-4948-B999-90551C1CBA5F}"/>
    <cellStyle name="Comma 2 3 5 5" xfId="2007" xr:uid="{1D3373BA-FCC2-4F67-8BCE-468F66157D0B}"/>
    <cellStyle name="Comma 2 3 6" xfId="1106" xr:uid="{0723BD06-0404-477D-A586-C4A920453F87}"/>
    <cellStyle name="Comma 2 3 6 2" xfId="3167" xr:uid="{52B688DA-1839-4343-B61E-8605B10ECCC1}"/>
    <cellStyle name="Comma 2 3 6 3" xfId="2010" xr:uid="{BC031174-433C-4D56-B022-F77135F30D86}"/>
    <cellStyle name="Comma 2 3 7" xfId="1107" xr:uid="{41B1648C-2103-402D-9601-AC32D5329B3C}"/>
    <cellStyle name="Comma 2 3 7 2" xfId="3168" xr:uid="{EDDCA78A-A702-48EE-83CE-FEAC6FEB5AE4}"/>
    <cellStyle name="Comma 2 3 7 3" xfId="2011" xr:uid="{CEE7F756-3DFC-4A1B-B0AD-29E3CCC851CF}"/>
    <cellStyle name="Comma 2 3 8" xfId="1108" xr:uid="{50FDE1FC-D16A-4ABD-A519-03EE81B09A7F}"/>
    <cellStyle name="Comma 2 3 8 2" xfId="3169" xr:uid="{E714CF80-9C2B-4B0E-AC3F-9F26AD769E9D}"/>
    <cellStyle name="Comma 2 3 8 3" xfId="2012" xr:uid="{90771BFE-0089-4119-83E1-B05588C30846}"/>
    <cellStyle name="Comma 2 3 9" xfId="1079" xr:uid="{45564EFB-7C95-4FBD-973E-842489E86578}"/>
    <cellStyle name="Comma 2 3 9 2" xfId="3141" xr:uid="{7AEC6AD0-176C-4D49-9E7A-1AEC7601B326}"/>
    <cellStyle name="Comma 2 3_1" xfId="1109" xr:uid="{089F4E28-E63D-4FA2-8854-284DE8942572}"/>
    <cellStyle name="Comma 2 4" xfId="155" xr:uid="{00000000-0005-0000-0000-0000CA000000}"/>
    <cellStyle name="Comma 2 4 2" xfId="535" xr:uid="{3C16FDD5-048D-4780-8E08-E3EAAEB189A5}"/>
    <cellStyle name="Comma 2 4 2 2" xfId="1112" xr:uid="{F9D4CB41-84AA-41B0-BCAA-46D111D897AC}"/>
    <cellStyle name="Comma 2 4 2 2 2" xfId="3172" xr:uid="{9F4DDC6F-E480-498E-872C-29ED3F303B3A}"/>
    <cellStyle name="Comma 2 4 2 2 3" xfId="2015" xr:uid="{7F4E728D-5FBF-4C5B-B64C-F8D4A1696A26}"/>
    <cellStyle name="Comma 2 4 2 3" xfId="1113" xr:uid="{11B6D1F7-61CC-4900-8153-3717F10FCDEA}"/>
    <cellStyle name="Comma 2 4 2 3 2" xfId="3173" xr:uid="{0369174B-9D72-43E3-A0AA-B8D102237560}"/>
    <cellStyle name="Comma 2 4 2 3 3" xfId="2016" xr:uid="{F5AF72AF-2C8B-4720-9624-641D8AA8B122}"/>
    <cellStyle name="Comma 2 4 2 4" xfId="1114" xr:uid="{7C6C2839-5316-4CCF-A02D-D90E19F09F4B}"/>
    <cellStyle name="Comma 2 4 2 4 2" xfId="3174" xr:uid="{1E473509-0AEC-4DEF-A860-3DF86AB47205}"/>
    <cellStyle name="Comma 2 4 2 4 3" xfId="2017" xr:uid="{51349B07-7A72-4469-A6DA-945CF29ABC21}"/>
    <cellStyle name="Comma 2 4 2 5" xfId="1111" xr:uid="{7AADB836-D72A-48B5-8DA5-D23B52A44266}"/>
    <cellStyle name="Comma 2 4 2 5 2" xfId="3171" xr:uid="{68DCF92F-530B-498F-8197-39A9ECF46D0D}"/>
    <cellStyle name="Comma 2 4 2 6" xfId="2736" xr:uid="{7A94D96F-78F4-4A23-9D63-093591C19EDF}"/>
    <cellStyle name="Comma 2 4 2 7" xfId="2014" xr:uid="{22DD6851-88FA-47CE-892C-20095CCFD468}"/>
    <cellStyle name="Comma 2 4 3" xfId="731" xr:uid="{E4BF6B90-2094-4A3C-8D5C-AE20A870CEA7}"/>
    <cellStyle name="Comma 2 4 3 2" xfId="1115" xr:uid="{8D39B442-B1C8-4E19-B2AD-C2111BC2120B}"/>
    <cellStyle name="Comma 2 4 3 2 2" xfId="3175" xr:uid="{251F049E-C258-47A6-BF83-51C469145B9F}"/>
    <cellStyle name="Comma 2 4 3 3" xfId="2867" xr:uid="{5607D2A3-38CB-44F6-932E-992A1C73761C}"/>
    <cellStyle name="Comma 2 4 3 4" xfId="2018" xr:uid="{B83714A5-7CCD-49D8-99B1-2895D4F71E15}"/>
    <cellStyle name="Comma 2 4 4" xfId="534" xr:uid="{CAD9C5CE-0387-41DA-A77A-29C704D421E5}"/>
    <cellStyle name="Comma 2 4 4 2" xfId="1116" xr:uid="{3D31592F-58BC-466D-A6D7-4F825F6AC6AF}"/>
    <cellStyle name="Comma 2 4 4 2 2" xfId="3176" xr:uid="{BC98112E-2F82-4881-949F-BD90E0995F17}"/>
    <cellStyle name="Comma 2 4 4 3" xfId="2735" xr:uid="{C604C0DB-0F00-4350-BB8A-008899E4D1FC}"/>
    <cellStyle name="Comma 2 4 4 4" xfId="2019" xr:uid="{D5321C0D-2916-4EFF-9BC7-64AD784A92A5}"/>
    <cellStyle name="Comma 2 4 5" xfId="1117" xr:uid="{C7F73B53-24F1-499A-8317-7A54C82752E8}"/>
    <cellStyle name="Comma 2 4 5 2" xfId="3177" xr:uid="{289BE5AD-4A9A-41BA-8E17-CCD2F34C45BA}"/>
    <cellStyle name="Comma 2 4 6" xfId="1118" xr:uid="{E0DD5A91-58A7-4CCA-BF9B-34D00B6B53B8}"/>
    <cellStyle name="Comma 2 4 6 2" xfId="3178" xr:uid="{8E39D4C5-5D78-4F34-A964-F5241CB7B447}"/>
    <cellStyle name="Comma 2 4 6 3" xfId="2020" xr:uid="{267E6FE8-D734-47BB-A873-358077C051CE}"/>
    <cellStyle name="Comma 2 4 7" xfId="1110" xr:uid="{492F5E09-3EC5-487D-913A-9A778EDF8D27}"/>
    <cellStyle name="Comma 2 4 7 2" xfId="3170" xr:uid="{9EECA510-3363-4FA0-B994-D91AFE9EE61F}"/>
    <cellStyle name="Comma 2 4 8" xfId="2527" xr:uid="{7826CBD5-03BF-4882-B58B-7110973AB56F}"/>
    <cellStyle name="Comma 2 4 9" xfId="2013" xr:uid="{44D4F07E-18E1-4839-B9DD-1707DBED9FEE}"/>
    <cellStyle name="Comma 2 4_1" xfId="1119" xr:uid="{3EC42114-1974-443A-85B6-804C73663218}"/>
    <cellStyle name="Comma 2 5" xfId="507" xr:uid="{367443DE-CC68-41A6-BCC7-588699287A89}"/>
    <cellStyle name="Comma 2 5 2" xfId="1121" xr:uid="{ECF17924-2437-4D99-A1DD-B6D03EE4262D}"/>
    <cellStyle name="Comma 2 5 2 2" xfId="3180" xr:uid="{69910636-9915-4C34-AC54-5CC7A18033D6}"/>
    <cellStyle name="Comma 2 5 2 3" xfId="2021" xr:uid="{34319572-33B0-4FFC-99FB-954334E08BE1}"/>
    <cellStyle name="Comma 2 5 3" xfId="1122" xr:uid="{D89C0B53-9484-4F27-BD83-8D4B0209D895}"/>
    <cellStyle name="Comma 2 5 3 2" xfId="3181" xr:uid="{946D5DAB-49CE-4281-9A19-E4583FA391BA}"/>
    <cellStyle name="Comma 2 5 3 3" xfId="2022" xr:uid="{8B1B2247-F9BD-43ED-B46C-6FB5E23AB85E}"/>
    <cellStyle name="Comma 2 5 4" xfId="1123" xr:uid="{8D42E51E-6C87-461D-ABD1-EA6D6D586536}"/>
    <cellStyle name="Comma 2 5 4 2" xfId="3182" xr:uid="{4135A130-36A0-4419-BAD6-D12CBC09589D}"/>
    <cellStyle name="Comma 2 5 4 3" xfId="2023" xr:uid="{7113DA57-F806-465A-9B77-BF48D763B701}"/>
    <cellStyle name="Comma 2 5 5" xfId="646" xr:uid="{123D11AA-6280-45FB-A2C5-BD5E3864C1B4}"/>
    <cellStyle name="Comma 2 5 5 2" xfId="2807" xr:uid="{B85E2D39-8851-4E3F-A9E8-BBC2C390F634}"/>
    <cellStyle name="Comma 2 5 6" xfId="1120" xr:uid="{C0241FF7-2EF9-4408-935D-780860049528}"/>
    <cellStyle name="Comma 2 5 6 2" xfId="3179" xr:uid="{7AAB63AA-51B3-4B0C-B974-B340DD954CFB}"/>
    <cellStyle name="Comma 2 5 7" xfId="2710" xr:uid="{B4E40182-262F-4962-A6F9-B099071C8C16}"/>
    <cellStyle name="Comma 2 6" xfId="536" xr:uid="{972DE1C4-3C72-4496-8926-3CBC74F8AA9C}"/>
    <cellStyle name="Comma 2 6 2" xfId="1125" xr:uid="{847997F9-12DF-410A-A255-1A719EA95964}"/>
    <cellStyle name="Comma 2 6 2 2" xfId="3184" xr:uid="{8DE1EA10-3CA7-43B9-A8A7-8F43E2FDE84C}"/>
    <cellStyle name="Comma 2 6 3" xfId="1124" xr:uid="{63B31495-414E-4A30-B9A2-A7E89BF045EE}"/>
    <cellStyle name="Comma 2 6 3 2" xfId="3183" xr:uid="{6FE17D50-CA39-4656-86B6-47B44258EAF2}"/>
    <cellStyle name="Comma 2 6 4" xfId="2737" xr:uid="{32AB342D-D036-48F9-8DB4-F05D486DD500}"/>
    <cellStyle name="Comma 2 7" xfId="537" xr:uid="{DAED9BB1-5690-4345-962C-1232D4DC3029}"/>
    <cellStyle name="Comma 2 7 2" xfId="1127" xr:uid="{A4D6536C-A2B9-4A47-8802-49F71795908E}"/>
    <cellStyle name="Comma 2 7 2 2" xfId="3186" xr:uid="{30709F7C-A874-4496-BEE9-E88C529074BD}"/>
    <cellStyle name="Comma 2 7 3" xfId="1126" xr:uid="{08F654E1-8AFA-4AEE-A12D-26D2561B39BB}"/>
    <cellStyle name="Comma 2 7 3 2" xfId="3185" xr:uid="{7D6D4929-645F-421E-ADBD-312E3EC13BCA}"/>
    <cellStyle name="Comma 2 7 4" xfId="2738" xr:uid="{48A1A2F7-28B6-4115-BC77-A06E725E513D}"/>
    <cellStyle name="Comma 2 8" xfId="674" xr:uid="{BC377D21-D54A-471C-8BEB-A1CB1992C9A5}"/>
    <cellStyle name="Comma 2 8 2" xfId="1128" xr:uid="{D8A61470-9BF0-467D-A09E-39572EE47137}"/>
    <cellStyle name="Comma 2 8 2 2" xfId="3187" xr:uid="{C397DC9C-C9EE-43BB-8D8C-0991F5E6854A}"/>
    <cellStyle name="Comma 2 8 3" xfId="2826" xr:uid="{0DD4C02C-504F-4473-B7CC-6B134D0A4C60}"/>
    <cellStyle name="Comma 2 9" xfId="481" xr:uid="{ED9A2A6A-AFE8-4125-A162-E793A6AE7473}"/>
    <cellStyle name="Comma 2 9 2" xfId="1130" xr:uid="{2971D6B1-6E3D-4911-8B05-6E96C51B1E32}"/>
    <cellStyle name="Comma 2 9 2 2" xfId="3189" xr:uid="{3A904ED3-1899-4825-A379-A8A373B85A8E}"/>
    <cellStyle name="Comma 2 9 2 3" xfId="2025" xr:uid="{15956D26-E22F-4263-96B4-53E7D9F3A4FA}"/>
    <cellStyle name="Comma 2 9 3" xfId="1129" xr:uid="{9F7991E9-82D2-44AB-8292-032BA7DBFEAA}"/>
    <cellStyle name="Comma 2 9 3 2" xfId="3188" xr:uid="{9F5B19AD-36A6-4EEA-9A75-F32C23BFA9A1}"/>
    <cellStyle name="Comma 2 9 4" xfId="2689" xr:uid="{7E5FCC43-C9D4-4903-9508-237DC6586688}"/>
    <cellStyle name="Comma 2 9 5" xfId="2024" xr:uid="{BAA83120-2B17-4978-9B81-9992C01EFF17}"/>
    <cellStyle name="Comma 2_1" xfId="1131" xr:uid="{E25EF763-D130-4BB3-AAE4-956C6A33D9FB}"/>
    <cellStyle name="Comma 20" xfId="1132" xr:uid="{E61497FA-EC4A-4650-A569-465B9B5526DC}"/>
    <cellStyle name="Comma 20 2" xfId="1133" xr:uid="{46515A49-3E99-48A3-A695-14D775DB2AD9}"/>
    <cellStyle name="Comma 20 2 2" xfId="1134" xr:uid="{3DDCEDA2-DE89-4249-BEC9-09CD159729BF}"/>
    <cellStyle name="Comma 20 2 2 2" xfId="3192" xr:uid="{E191EF30-6DEB-4D92-AFD2-27857EB1FF8F}"/>
    <cellStyle name="Comma 20 2 2 3" xfId="2028" xr:uid="{1BD1CA48-5D58-416F-8CA4-7B8F8598254B}"/>
    <cellStyle name="Comma 20 2 3" xfId="3191" xr:uid="{9024E6EA-D069-4EC2-82B9-521272685312}"/>
    <cellStyle name="Comma 20 2 4" xfId="2027" xr:uid="{D0515CBE-65AF-4FBF-8E64-DC7E5E54B22F}"/>
    <cellStyle name="Comma 20 3" xfId="1135" xr:uid="{7C503508-3DD2-4707-BDA8-C4125E0948C7}"/>
    <cellStyle name="Comma 20 3 2" xfId="1136" xr:uid="{2831C87D-E486-41EB-9673-D46593E6E3C9}"/>
    <cellStyle name="Comma 20 3 2 2" xfId="3194" xr:uid="{C5950295-58AC-4AE0-B790-C0DDD75D4426}"/>
    <cellStyle name="Comma 20 3 2 3" xfId="2030" xr:uid="{B20BE160-D0C0-4DC7-8506-8A9A41B74F70}"/>
    <cellStyle name="Comma 20 3 3" xfId="3193" xr:uid="{427CFBA0-0997-4927-92F7-2E4C6C889131}"/>
    <cellStyle name="Comma 20 3 4" xfId="2029" xr:uid="{75B341A4-E99A-4204-AB8A-469BBC4954F0}"/>
    <cellStyle name="Comma 20 4" xfId="1137" xr:uid="{B6CD088E-FC30-494C-930F-DF326EC2E3C1}"/>
    <cellStyle name="Comma 20 4 2" xfId="3195" xr:uid="{C95EC339-33DB-4740-9486-2AB45336383F}"/>
    <cellStyle name="Comma 20 4 3" xfId="2031" xr:uid="{6580BD08-1702-4157-BD13-1E0724D2FC79}"/>
    <cellStyle name="Comma 20 5" xfId="3190" xr:uid="{53E7D244-F87F-47F7-935B-610DFABBE18F}"/>
    <cellStyle name="Comma 20 6" xfId="2026" xr:uid="{C99457BA-9033-46C2-9D01-8978E70E7733}"/>
    <cellStyle name="Comma 21" xfId="1138" xr:uid="{97C165BF-5634-471E-AAB9-8C8D6B83170D}"/>
    <cellStyle name="Comma 21 2" xfId="1139" xr:uid="{E180DFF8-52F4-49DA-BF5D-3EF2CB8D6430}"/>
    <cellStyle name="Comma 21 2 2" xfId="1140" xr:uid="{0C6BAE97-7C47-45D2-8630-2EB9660E451D}"/>
    <cellStyle name="Comma 21 2 2 2" xfId="3198" xr:uid="{C00ADBD4-AB85-4F04-ABB3-8DA7D5F1FF87}"/>
    <cellStyle name="Comma 21 2 2 3" xfId="2034" xr:uid="{FFFD825C-320C-496C-B832-D3B14B354EB0}"/>
    <cellStyle name="Comma 21 2 3" xfId="3197" xr:uid="{9E5AD778-146B-4858-8DDC-09990A3304A0}"/>
    <cellStyle name="Comma 21 2 4" xfId="2033" xr:uid="{69A6BD29-194F-417B-814D-C5BEDBCE86FE}"/>
    <cellStyle name="Comma 21 3" xfId="1141" xr:uid="{CE4CC94A-9F2B-47A5-8A89-3F1CC3D8FFBD}"/>
    <cellStyle name="Comma 21 3 2" xfId="1142" xr:uid="{07F50C92-260C-4DAF-958B-FB71E6A9BF9A}"/>
    <cellStyle name="Comma 21 3 2 2" xfId="3200" xr:uid="{EE30F0DF-756C-4A9F-B557-17C8A83750A5}"/>
    <cellStyle name="Comma 21 3 2 3" xfId="2036" xr:uid="{58BCCECD-C11B-4D23-900A-3C21102016F3}"/>
    <cellStyle name="Comma 21 3 3" xfId="3199" xr:uid="{839E0163-CB3A-43F9-8443-7CAB6512DF6F}"/>
    <cellStyle name="Comma 21 3 4" xfId="2035" xr:uid="{FE351C13-2786-4594-BF8F-F1D0BCD3834A}"/>
    <cellStyle name="Comma 21 4" xfId="1143" xr:uid="{D29AE96E-A27E-4FF7-9724-D6FD15D79387}"/>
    <cellStyle name="Comma 21 4 2" xfId="3201" xr:uid="{58044573-2FA0-4914-9FA3-934454C2B733}"/>
    <cellStyle name="Comma 21 4 3" xfId="2037" xr:uid="{1B41E2E6-5CFC-4A4B-9963-47E977A50936}"/>
    <cellStyle name="Comma 21 5" xfId="3196" xr:uid="{A351C0B0-7E49-45C8-89EC-3A7D91CD042F}"/>
    <cellStyle name="Comma 21 6" xfId="2032" xr:uid="{198BD179-100E-4AC8-9055-41A69A05BADD}"/>
    <cellStyle name="Comma 22" xfId="1144" xr:uid="{DFA43113-1478-448E-877E-48DBD0A7A26B}"/>
    <cellStyle name="Comma 22 2" xfId="1145" xr:uid="{570B4494-A4CA-4D87-923C-017FA3815AA9}"/>
    <cellStyle name="Comma 22 2 2" xfId="1146" xr:uid="{BE4DE604-9B22-4CBB-9669-8FDD40DD0659}"/>
    <cellStyle name="Comma 22 2 2 2" xfId="3204" xr:uid="{281E191F-CFEE-4B93-A8DF-56AB0163FEE0}"/>
    <cellStyle name="Comma 22 2 2 3" xfId="2040" xr:uid="{974ECCF3-25CA-468D-AE46-05800968B1CC}"/>
    <cellStyle name="Comma 22 2 3" xfId="3203" xr:uid="{94A70DF2-4D65-4249-A5D6-3163E52344C9}"/>
    <cellStyle name="Comma 22 2 4" xfId="2039" xr:uid="{F3208CCD-03A2-46FD-BC6F-AE305B929512}"/>
    <cellStyle name="Comma 22 3" xfId="1147" xr:uid="{26788381-0457-4E4C-ADF4-DACF2B510C48}"/>
    <cellStyle name="Comma 22 3 2" xfId="1148" xr:uid="{75FBF757-5BC0-438C-A088-3B78F27AE87C}"/>
    <cellStyle name="Comma 22 3 2 2" xfId="3206" xr:uid="{1F243CE9-330F-4998-81EB-51F5AA71A923}"/>
    <cellStyle name="Comma 22 3 2 3" xfId="2042" xr:uid="{B9FAE508-57F0-4565-BB85-F3C77A0A60E5}"/>
    <cellStyle name="Comma 22 3 3" xfId="3205" xr:uid="{309BDD3B-CE7B-4F6C-B968-76E1211AFBF3}"/>
    <cellStyle name="Comma 22 3 4" xfId="2041" xr:uid="{342ABD3B-EA2F-4BA6-BD8C-EA6B57621A5C}"/>
    <cellStyle name="Comma 22 4" xfId="1149" xr:uid="{24C2873F-BED0-444E-9C0F-C71C1842BAC0}"/>
    <cellStyle name="Comma 22 4 2" xfId="3207" xr:uid="{7DF230A1-4BF8-4F94-BBA3-7CE3D0A4AB4D}"/>
    <cellStyle name="Comma 22 4 3" xfId="2043" xr:uid="{001BA286-EBAD-4A3E-979A-2F337880772C}"/>
    <cellStyle name="Comma 22 5" xfId="3202" xr:uid="{D2AC2A86-C25D-4636-90DF-0808CF873A60}"/>
    <cellStyle name="Comma 22 6" xfId="2038" xr:uid="{772A0BBC-EABF-4F9E-BB99-0EA1382C7994}"/>
    <cellStyle name="Comma 23" xfId="1150" xr:uid="{26EE2E6F-D96A-46CC-8F3B-21E6AA5FABBB}"/>
    <cellStyle name="Comma 23 2" xfId="1151" xr:uid="{47DB148E-F158-48A4-9AFD-4E0461DD81BB}"/>
    <cellStyle name="Comma 23 2 2" xfId="1152" xr:uid="{249381F4-97D7-450A-8A52-D7927256F180}"/>
    <cellStyle name="Comma 23 2 2 2" xfId="3210" xr:uid="{5C6498FE-CCC4-4186-BC1C-D2778BAB0126}"/>
    <cellStyle name="Comma 23 2 2 3" xfId="2046" xr:uid="{85DA74A1-64EE-4149-8A9B-0BDF2AD287BD}"/>
    <cellStyle name="Comma 23 2 3" xfId="3209" xr:uid="{1E15F7FB-0D40-454D-B136-295DE5E6CFBD}"/>
    <cellStyle name="Comma 23 2 4" xfId="2045" xr:uid="{AC612CD7-0BC5-44AD-A0A7-70322B0256E4}"/>
    <cellStyle name="Comma 23 3" xfId="1153" xr:uid="{AABFAD1E-6C98-46AB-926C-DACFB5A5A163}"/>
    <cellStyle name="Comma 23 3 2" xfId="1154" xr:uid="{D280EE9D-9C92-4548-8192-ADD07CEA20A9}"/>
    <cellStyle name="Comma 23 3 2 2" xfId="3212" xr:uid="{5B10FCFE-7282-4091-AA5A-D67973808AB1}"/>
    <cellStyle name="Comma 23 3 2 3" xfId="2048" xr:uid="{4CC9EEDE-C1FE-42B8-BA47-6D28B61CCB88}"/>
    <cellStyle name="Comma 23 3 3" xfId="3211" xr:uid="{CD02BBBD-E176-47D2-834D-B38296BC6523}"/>
    <cellStyle name="Comma 23 3 4" xfId="2047" xr:uid="{45B2AC2D-54A2-4185-868E-A9893E785188}"/>
    <cellStyle name="Comma 23 4" xfId="1155" xr:uid="{2C93EDDA-77B5-4424-A870-1420C4C42E3F}"/>
    <cellStyle name="Comma 23 4 2" xfId="3213" xr:uid="{0974270A-75CC-4D50-8A99-C5F4D4D0FBCA}"/>
    <cellStyle name="Comma 23 4 3" xfId="2049" xr:uid="{EA5A47B6-12FE-4E23-9CD3-8BCF7543B36D}"/>
    <cellStyle name="Comma 23 5" xfId="3208" xr:uid="{F7AB595F-890C-47FD-9A1E-A3AC17B75498}"/>
    <cellStyle name="Comma 23 6" xfId="2044" xr:uid="{6EA24FE2-1998-4E13-BB84-1FC2CB7F647E}"/>
    <cellStyle name="Comma 24" xfId="1156" xr:uid="{EAFB3A7A-6FCA-4677-A981-A79845CC1BFC}"/>
    <cellStyle name="Comma 24 2" xfId="1157" xr:uid="{B4E9C858-331D-463C-9B8B-23860BAABCA8}"/>
    <cellStyle name="Comma 24 2 2" xfId="1158" xr:uid="{944F8430-7293-4225-930F-6F325150712A}"/>
    <cellStyle name="Comma 24 2 2 2" xfId="3216" xr:uid="{DB94AAF4-F4B0-4D19-8288-C1259C18EEFB}"/>
    <cellStyle name="Comma 24 2 2 3" xfId="2052" xr:uid="{71ACCD6F-BA12-41AB-AD18-51D9270CD516}"/>
    <cellStyle name="Comma 24 2 3" xfId="3215" xr:uid="{A394138E-B6C1-460B-B433-FDBE86450FA0}"/>
    <cellStyle name="Comma 24 2 4" xfId="2051" xr:uid="{640ECFBE-CE68-43DC-AF15-270049173EA1}"/>
    <cellStyle name="Comma 24 3" xfId="1159" xr:uid="{4EAD88D3-5315-4C71-BFA0-F1E5C34CDC9B}"/>
    <cellStyle name="Comma 24 3 2" xfId="1160" xr:uid="{EBCEB529-9670-444F-A59C-D9393EDA892A}"/>
    <cellStyle name="Comma 24 3 2 2" xfId="3218" xr:uid="{44EA068B-D852-4AA1-A130-00B2801FEAAE}"/>
    <cellStyle name="Comma 24 3 2 3" xfId="2054" xr:uid="{C89169E0-FA55-4007-9FA2-E4FC1A180048}"/>
    <cellStyle name="Comma 24 3 3" xfId="3217" xr:uid="{A6FBA129-F8D2-4F22-B5ED-DEC988CF9748}"/>
    <cellStyle name="Comma 24 3 4" xfId="2053" xr:uid="{574F6AE6-DDA2-428A-91F2-CAE063A22B6D}"/>
    <cellStyle name="Comma 24 4" xfId="1161" xr:uid="{22EC1BDC-CD50-4CF8-A0B0-6F3479D2424D}"/>
    <cellStyle name="Comma 24 4 2" xfId="3219" xr:uid="{AE2E26DB-63AB-4984-BA67-9C3C6289AE00}"/>
    <cellStyle name="Comma 24 4 3" xfId="2055" xr:uid="{FE9DE0C4-4CAF-478E-ABEF-5EBB17F0E1B6}"/>
    <cellStyle name="Comma 24 5" xfId="3214" xr:uid="{7E883578-6EEB-42C8-B2B8-637102009A7C}"/>
    <cellStyle name="Comma 24 6" xfId="2050" xr:uid="{6441FFB1-6E35-4FC4-9DFC-7A6BEFCA8409}"/>
    <cellStyle name="Comma 25" xfId="1162" xr:uid="{E6D6EEB8-CD1A-4B66-9065-D10C5E7DAB61}"/>
    <cellStyle name="Comma 25 2" xfId="1163" xr:uid="{142CDDEC-2007-4CBE-9F3A-A5FC1830EB29}"/>
    <cellStyle name="Comma 25 2 2" xfId="1164" xr:uid="{6127BB8F-06FD-4134-9B8A-AEA387EACA4A}"/>
    <cellStyle name="Comma 25 2 2 2" xfId="3222" xr:uid="{F2C1F1BB-2BD4-4CE7-A157-8CE6CB7C02C9}"/>
    <cellStyle name="Comma 25 2 2 3" xfId="2058" xr:uid="{E63C60C1-3119-4758-A4EA-B05AD660A255}"/>
    <cellStyle name="Comma 25 2 3" xfId="3221" xr:uid="{AF2DD2EF-A4A1-4EB7-B751-A05808ABD267}"/>
    <cellStyle name="Comma 25 2 4" xfId="2057" xr:uid="{7257075C-F196-4503-AFE1-FCD9EF60095F}"/>
    <cellStyle name="Comma 25 3" xfId="1165" xr:uid="{1FF3ABDD-9AAA-4555-914F-8E946D1F6400}"/>
    <cellStyle name="Comma 25 3 2" xfId="1166" xr:uid="{387B43E4-1842-4992-898A-0A89A5F42FA3}"/>
    <cellStyle name="Comma 25 3 2 2" xfId="3224" xr:uid="{272C06DA-B31E-4081-AB3A-DB4894123287}"/>
    <cellStyle name="Comma 25 3 2 3" xfId="2060" xr:uid="{E4226BFA-F3D5-4886-A2CA-3AE814133E72}"/>
    <cellStyle name="Comma 25 3 3" xfId="3223" xr:uid="{3AF22330-EFEF-4642-820D-9CCD4C22AC36}"/>
    <cellStyle name="Comma 25 3 4" xfId="2059" xr:uid="{86E7E3FD-7F25-4546-BB7E-A69BF3135129}"/>
    <cellStyle name="Comma 25 4" xfId="1167" xr:uid="{587B6AC7-837A-4CFB-939F-3EA83048CC17}"/>
    <cellStyle name="Comma 25 4 2" xfId="3225" xr:uid="{ACC4A964-336F-42C7-81D0-E2F227D12757}"/>
    <cellStyle name="Comma 25 4 3" xfId="2061" xr:uid="{6EAF7015-09C3-4920-9B02-19B195E58DF2}"/>
    <cellStyle name="Comma 25 5" xfId="3220" xr:uid="{9A7AAA8A-1388-4632-ABB3-9787978AEF0B}"/>
    <cellStyle name="Comma 25 6" xfId="2056" xr:uid="{8B730B22-CE5C-4C93-9782-2637F77112DE}"/>
    <cellStyle name="Comma 26" xfId="1168" xr:uid="{73B64897-F5F3-4791-8AA5-730A0F06AF9F}"/>
    <cellStyle name="Comma 26 2" xfId="1169" xr:uid="{E36A1AC9-B371-4D81-BDAF-921BED3B01C9}"/>
    <cellStyle name="Comma 26 2 2" xfId="1170" xr:uid="{2F780F7F-EC5C-4EC4-BB22-EA8FB4852D07}"/>
    <cellStyle name="Comma 26 2 2 2" xfId="3228" xr:uid="{7E280438-760C-4473-A2BE-7FC789F078CE}"/>
    <cellStyle name="Comma 26 2 2 3" xfId="2064" xr:uid="{06373E98-38CF-4964-80AC-6E618245E51C}"/>
    <cellStyle name="Comma 26 2 3" xfId="3227" xr:uid="{2E0E307E-931F-4EAD-B0F9-E79D970F3A0F}"/>
    <cellStyle name="Comma 26 2 4" xfId="2063" xr:uid="{3276F75B-E5DE-443C-96E4-6CC74B8FCA4F}"/>
    <cellStyle name="Comma 26 3" xfId="1171" xr:uid="{47C8C58A-FD00-4C94-A531-B96E577E0CD5}"/>
    <cellStyle name="Comma 26 3 2" xfId="1172" xr:uid="{14EAB191-E09D-4968-A89C-370F8DB2E817}"/>
    <cellStyle name="Comma 26 3 2 2" xfId="3230" xr:uid="{D100FF81-768C-46E2-BC54-1DB3CC02F578}"/>
    <cellStyle name="Comma 26 3 2 3" xfId="2066" xr:uid="{5936E1AF-6927-4331-880C-0701CFBE2030}"/>
    <cellStyle name="Comma 26 3 3" xfId="3229" xr:uid="{7EA3A2F7-0BCF-40D6-A43B-F68D46BDB5CF}"/>
    <cellStyle name="Comma 26 3 4" xfId="2065" xr:uid="{B8027077-99FB-4731-8162-C7FC02260083}"/>
    <cellStyle name="Comma 26 4" xfId="1173" xr:uid="{1EC3D54E-794F-4BF7-9301-6512417A7CF2}"/>
    <cellStyle name="Comma 26 4 2" xfId="3231" xr:uid="{20F98964-B229-4CA3-B750-98C740CFCEEE}"/>
    <cellStyle name="Comma 26 4 3" xfId="2067" xr:uid="{07A1002C-6966-43C7-85B6-3E2C0F3E1C8A}"/>
    <cellStyle name="Comma 26 5" xfId="3226" xr:uid="{675FB2C9-244E-4A46-8DAB-A8D3813F3555}"/>
    <cellStyle name="Comma 26 6" xfId="2062" xr:uid="{4CD4212A-CD8D-473F-9D1E-C1FAA05D698C}"/>
    <cellStyle name="Comma 27" xfId="1174" xr:uid="{04E77DF6-18C8-43BB-8081-F88A6D86984F}"/>
    <cellStyle name="Comma 27 2" xfId="1175" xr:uid="{2B02D34F-3C2A-41AD-926E-1B8E89E41064}"/>
    <cellStyle name="Comma 27 2 2" xfId="1176" xr:uid="{2CAFD47F-2538-46B4-9AAA-DE8163403785}"/>
    <cellStyle name="Comma 27 2 2 2" xfId="3234" xr:uid="{DFEA96EC-79E1-4AC4-9361-34A9BC05BB5F}"/>
    <cellStyle name="Comma 27 2 2 3" xfId="2070" xr:uid="{8E3C398D-45D4-4EFC-81CA-8577961A901D}"/>
    <cellStyle name="Comma 27 2 3" xfId="3233" xr:uid="{076282F9-FE3A-4741-A1B4-017F06F6F93B}"/>
    <cellStyle name="Comma 27 2 4" xfId="2069" xr:uid="{9C546CBB-AB9D-4AD6-AE90-0B993B8A971C}"/>
    <cellStyle name="Comma 27 3" xfId="1177" xr:uid="{474289C1-A7BE-4E00-9639-10F873516452}"/>
    <cellStyle name="Comma 27 3 2" xfId="1178" xr:uid="{D4AFE97F-13B4-47EB-9174-2D957A58C30A}"/>
    <cellStyle name="Comma 27 3 2 2" xfId="3236" xr:uid="{2A16A841-E96C-4E5F-9324-2D1D5842CDBC}"/>
    <cellStyle name="Comma 27 3 2 3" xfId="2072" xr:uid="{B67EA17D-3E0C-4A05-8041-FCCD313FEDC9}"/>
    <cellStyle name="Comma 27 3 3" xfId="3235" xr:uid="{45AD554F-A7C1-473D-B123-6899704199F2}"/>
    <cellStyle name="Comma 27 3 4" xfId="2071" xr:uid="{FB8931BE-D23E-4091-B0D1-53A550D35F77}"/>
    <cellStyle name="Comma 27 4" xfId="1179" xr:uid="{A7455D43-6889-48E9-8018-03AB73B99178}"/>
    <cellStyle name="Comma 27 4 2" xfId="3237" xr:uid="{05BE998F-A85E-4694-9652-3B70601D6962}"/>
    <cellStyle name="Comma 27 4 3" xfId="2073" xr:uid="{004BE14A-9562-41DE-B418-E4FDF7A1CC03}"/>
    <cellStyle name="Comma 27 5" xfId="3232" xr:uid="{C96CE1DF-11FE-4C51-B564-0F316F03DE02}"/>
    <cellStyle name="Comma 27 6" xfId="2068" xr:uid="{60787D21-E0B4-41B9-9F8E-591CAFDBC496}"/>
    <cellStyle name="Comma 28" xfId="1180" xr:uid="{301FABD3-9FC5-4D9A-8EBE-A6E497F55C35}"/>
    <cellStyle name="Comma 28 2" xfId="1181" xr:uid="{08FA5AB7-9433-4169-8FDF-0C220DCD7BFE}"/>
    <cellStyle name="Comma 28 2 2" xfId="1182" xr:uid="{10267E89-D4FE-4354-8A15-DBDD2F13588B}"/>
    <cellStyle name="Comma 28 2 2 2" xfId="3240" xr:uid="{8B47F820-6810-4B86-88AD-AEF394E5C373}"/>
    <cellStyle name="Comma 28 2 2 3" xfId="2076" xr:uid="{11A50F32-73F4-47AE-9BB0-BC8F94852EB5}"/>
    <cellStyle name="Comma 28 2 3" xfId="3239" xr:uid="{99C89DEE-DFCE-4EB2-86F6-9B1F26DC9531}"/>
    <cellStyle name="Comma 28 2 4" xfId="2075" xr:uid="{6A44D390-0308-4AF0-B33F-EC7EB4281358}"/>
    <cellStyle name="Comma 28 3" xfId="1183" xr:uid="{872DC3D3-925B-4DE1-BD33-3B73E0938F3E}"/>
    <cellStyle name="Comma 28 3 2" xfId="1184" xr:uid="{ADFC2F46-51C1-45F4-8280-AB2D7EAD8BC5}"/>
    <cellStyle name="Comma 28 3 2 2" xfId="3242" xr:uid="{06A971A0-14EF-4D47-8D03-A52A57D31C52}"/>
    <cellStyle name="Comma 28 3 2 3" xfId="2078" xr:uid="{46176FDA-3936-427C-9AA7-B87C404982E2}"/>
    <cellStyle name="Comma 28 3 3" xfId="3241" xr:uid="{8E933F09-0038-48A1-B35D-60F89E9336D6}"/>
    <cellStyle name="Comma 28 3 4" xfId="2077" xr:uid="{9DA7DE93-0D06-482E-95B9-7FD2F6584512}"/>
    <cellStyle name="Comma 28 4" xfId="1185" xr:uid="{39D884A3-1F7D-4D50-8F9A-CA9E93A0BAF8}"/>
    <cellStyle name="Comma 28 4 2" xfId="3243" xr:uid="{7800A402-A577-42C5-BF33-22A6E05C3585}"/>
    <cellStyle name="Comma 28 4 3" xfId="2079" xr:uid="{F8AA4369-2C30-441B-A420-1A4C3B68DD24}"/>
    <cellStyle name="Comma 28 5" xfId="3238" xr:uid="{E343AFA4-2002-4A84-BD3C-D2CA811CD9D4}"/>
    <cellStyle name="Comma 28 6" xfId="2074" xr:uid="{28C1EEA8-D09F-41D2-AB09-626DDE03837A}"/>
    <cellStyle name="Comma 29" xfId="1186" xr:uid="{D78DDD4F-0F53-45F5-BF30-DD65925BE700}"/>
    <cellStyle name="Comma 29 2" xfId="1187" xr:uid="{CA32BDDC-6DB1-4C95-A867-0F7F41E4E6F9}"/>
    <cellStyle name="Comma 29 2 2" xfId="1188" xr:uid="{9F43E561-AE9E-458C-93F4-4A8BBB6CEF5F}"/>
    <cellStyle name="Comma 29 2 2 2" xfId="3246" xr:uid="{9E148731-4AD6-4EB1-9CC7-FF7D7C70749B}"/>
    <cellStyle name="Comma 29 2 2 3" xfId="2082" xr:uid="{318A5D0F-96E2-48FF-BD31-253A8C15ADF3}"/>
    <cellStyle name="Comma 29 2 3" xfId="3245" xr:uid="{28F8E750-5AB9-464C-968F-0A63D4F3A3E8}"/>
    <cellStyle name="Comma 29 2 4" xfId="2081" xr:uid="{A4C78FC6-ADAE-49FD-B09E-3BB7C40B6230}"/>
    <cellStyle name="Comma 29 3" xfId="1189" xr:uid="{4ECAD4C4-2442-458B-9678-5DA78D1CA131}"/>
    <cellStyle name="Comma 29 3 2" xfId="1190" xr:uid="{D5D6449A-52A3-400B-ADEB-FDC0406CE200}"/>
    <cellStyle name="Comma 29 3 2 2" xfId="3248" xr:uid="{5880229B-2576-4F14-B499-496C90C2B00C}"/>
    <cellStyle name="Comma 29 3 2 3" xfId="2084" xr:uid="{70F49AE2-680F-4BA5-A837-A1554018D009}"/>
    <cellStyle name="Comma 29 3 3" xfId="3247" xr:uid="{402D233D-5BFC-40E0-BFF2-D54401D62079}"/>
    <cellStyle name="Comma 29 3 4" xfId="2083" xr:uid="{CB2A8DB3-05FB-47D7-98F4-EB2ED6C77C11}"/>
    <cellStyle name="Comma 29 4" xfId="1191" xr:uid="{E13E5BA7-F4E4-4032-B2AC-66635D5DDBC2}"/>
    <cellStyle name="Comma 29 4 2" xfId="3249" xr:uid="{EE34A4B9-1DA7-4243-BE36-45CC1FA4EE0A}"/>
    <cellStyle name="Comma 29 4 3" xfId="2085" xr:uid="{908A48DB-60E8-46D6-846F-303C8E982563}"/>
    <cellStyle name="Comma 29 5" xfId="3244" xr:uid="{437352A0-0B04-43E1-A587-9008A2378FEE}"/>
    <cellStyle name="Comma 29 6" xfId="2080" xr:uid="{544C832B-2417-499A-BE5C-50BCD000E09C}"/>
    <cellStyle name="Comma 3" xfId="171" xr:uid="{00000000-0005-0000-0000-0000DA000000}"/>
    <cellStyle name="Comma 3 2" xfId="172" xr:uid="{00000000-0005-0000-0000-0000DB000000}"/>
    <cellStyle name="Comma 3 2 2" xfId="540" xr:uid="{CE814C12-AEE6-4340-990B-D198F65DFFD7}"/>
    <cellStyle name="Comma 3 2 2 2" xfId="1194" xr:uid="{0962D8FA-BDED-42C2-9C28-4AC5807171DD}"/>
    <cellStyle name="Comma 3 2 2 2 2" xfId="3252" xr:uid="{B73B0A2F-1ACA-4576-B779-0DF3B3B8DC08}"/>
    <cellStyle name="Comma 3 2 2 2 3" xfId="2086" xr:uid="{DE891657-D6DF-4E9C-9065-4BC9A6240EE2}"/>
    <cellStyle name="Comma 3 2 2 3" xfId="1195" xr:uid="{A2740C8A-336A-46B5-9B90-B8DBA928C9FA}"/>
    <cellStyle name="Comma 3 2 2 3 2" xfId="3253" xr:uid="{F7E86DA3-50E4-4786-BF30-C4E20A433DD4}"/>
    <cellStyle name="Comma 3 2 2 4" xfId="1193" xr:uid="{D9E8F095-10EC-460F-A414-7613397A13C1}"/>
    <cellStyle name="Comma 3 2 2 4 2" xfId="3251" xr:uid="{C6812BE8-EE2A-4997-BC79-81E5793220AD}"/>
    <cellStyle name="Comma 3 2 2 5" xfId="2741" xr:uid="{E9B5E1D2-FBC9-4AD4-A2B2-3CFF9443757F}"/>
    <cellStyle name="Comma 3 2 3" xfId="635" xr:uid="{3C610FA9-9E51-4AFA-B6E5-38C90533E2ED}"/>
    <cellStyle name="Comma 3 2 3 2" xfId="1197" xr:uid="{77778C9E-8DFA-4178-870D-4B5E69220D51}"/>
    <cellStyle name="Comma 3 2 3 2 2" xfId="3255" xr:uid="{EA504856-EF76-405D-BD7D-18DA8AC65E3D}"/>
    <cellStyle name="Comma 3 2 3 3" xfId="654" xr:uid="{A036F222-E76F-456F-8F3A-6AFEEC366583}"/>
    <cellStyle name="Comma 3 2 3 3 2" xfId="2813" xr:uid="{751E0EAB-4720-449C-8474-E6F9776FDA22}"/>
    <cellStyle name="Comma 3 2 3 4" xfId="1196" xr:uid="{8AD2390B-70B6-4CF8-A9B0-57128240C802}"/>
    <cellStyle name="Comma 3 2 3 4 2" xfId="3254" xr:uid="{D69C6504-B422-4EF3-99E4-E7A620FA6F1E}"/>
    <cellStyle name="Comma 3 2 3 5" xfId="2803" xr:uid="{3B75C188-8B35-4699-AA1F-1CA7252A648B}"/>
    <cellStyle name="Comma 3 2 4" xfId="746" xr:uid="{51CB9B5C-C387-46C9-AE11-7E3FAEF40E18}"/>
    <cellStyle name="Comma 3 2 4 2" xfId="1198" xr:uid="{63FFFCFB-3388-454D-8B59-35041C3BB3B9}"/>
    <cellStyle name="Comma 3 2 4 2 2" xfId="3256" xr:uid="{3130A30A-D7B8-4288-B895-83942EF64023}"/>
    <cellStyle name="Comma 3 2 4 3" xfId="2882" xr:uid="{4B62CAF6-4215-45CB-B7E8-640B27FCA094}"/>
    <cellStyle name="Comma 3 2 4 4" xfId="2087" xr:uid="{58DB4612-1F8C-47FE-86AB-2FCCFD1BAA08}"/>
    <cellStyle name="Comma 3 2 5" xfId="539" xr:uid="{E3F2C25D-98D2-484C-B0D0-C28A729FCF43}"/>
    <cellStyle name="Comma 3 2 5 2" xfId="1199" xr:uid="{045DC380-4A90-4CDE-A48D-53F5CD14B8E1}"/>
    <cellStyle name="Comma 3 2 5 2 2" xfId="3257" xr:uid="{6B3C2A3F-D0BF-4F3E-A2DF-E577DE3E2CAD}"/>
    <cellStyle name="Comma 3 2 5 3" xfId="2740" xr:uid="{20EE69EC-92CE-4A4D-9E7C-A2DA41150BC2}"/>
    <cellStyle name="Comma 3 2 6" xfId="1192" xr:uid="{5242A6DA-992C-4C8B-8B8E-D2092D1529FD}"/>
    <cellStyle name="Comma 3 2 6 2" xfId="3250" xr:uid="{278D26B5-A1B9-4D07-B9B2-47BD2D51777E}"/>
    <cellStyle name="Comma 3 2 7" xfId="2542" xr:uid="{D4107FEB-165E-4136-9DA4-349311767BB5}"/>
    <cellStyle name="Comma 3 3" xfId="452" xr:uid="{42A1A78C-FE48-4A98-B3A8-4781211006B1}"/>
    <cellStyle name="Comma 3 3 2" xfId="872" xr:uid="{551D46B7-2AB6-4D59-8C72-E3AAE425BBC7}"/>
    <cellStyle name="Comma 3 3 2 2" xfId="1200" xr:uid="{715B453B-3B61-44B3-8277-F81E2E6663B2}"/>
    <cellStyle name="Comma 3 3 2 2 2" xfId="3258" xr:uid="{3003C38A-0580-4F90-A459-BE210394D72E}"/>
    <cellStyle name="Comma 3 3 2 3" xfId="2951" xr:uid="{40F814B6-E054-4705-B489-2781D6748E37}"/>
    <cellStyle name="Comma 3 3 3" xfId="541" xr:uid="{BAE892C5-6E83-44A5-A955-2B9FEAB326A0}"/>
    <cellStyle name="Comma 3 3 3 2" xfId="1202" xr:uid="{53EDF879-6E83-44F3-8A08-AA2F9BBEE4D3}"/>
    <cellStyle name="Comma 3 3 3 2 2" xfId="3260" xr:uid="{743E8D7A-9829-4A21-B680-062011143E92}"/>
    <cellStyle name="Comma 3 3 3 3" xfId="1201" xr:uid="{290C7041-230A-401C-975E-053F37BC7793}"/>
    <cellStyle name="Comma 3 3 3 3 2" xfId="3259" xr:uid="{D332D8C9-6BEB-4E3B-A237-1EE9A215E8FC}"/>
    <cellStyle name="Comma 3 3 3 4" xfId="2742" xr:uid="{789523AB-2674-4AF8-80E7-E8F62E23CE66}"/>
    <cellStyle name="Comma 3 3 4" xfId="1203" xr:uid="{73C47F64-2D74-4EA2-8C09-26BA6DA1F1D7}"/>
    <cellStyle name="Comma 3 3 4 2" xfId="3261" xr:uid="{B9DF196B-95F8-4BE8-9734-AC22EDA9423D}"/>
    <cellStyle name="Comma 3 3 4 3" xfId="2088" xr:uid="{EF274DF1-ABA2-49FC-9C6B-7C52DA673300}"/>
    <cellStyle name="Comma 3 3 5" xfId="1204" xr:uid="{238430F8-3109-46FC-87E5-06B95417F54C}"/>
    <cellStyle name="Comma 3 3 5 2" xfId="3262" xr:uid="{FD219E57-1E33-48AB-98C3-0902EF13ACC8}"/>
    <cellStyle name="Comma 3 3 6" xfId="2672" xr:uid="{CB4AB343-75DE-4CD5-863A-822757976B5B}"/>
    <cellStyle name="Comma 3 4" xfId="490" xr:uid="{EF3C9F45-2F0B-4A06-AB97-2995BF2CBDBE}"/>
    <cellStyle name="Comma 3 4 2" xfId="1206" xr:uid="{8705E06E-3F8D-4D5E-81D8-D19F7A4242E7}"/>
    <cellStyle name="Comma 3 4 2 2" xfId="3264" xr:uid="{094C68C7-A9E0-4902-8731-39D3294CC356}"/>
    <cellStyle name="Comma 3 4 2 3" xfId="2089" xr:uid="{8E83ABE5-1223-4711-BE30-120AD6372E21}"/>
    <cellStyle name="Comma 3 4 3" xfId="1207" xr:uid="{62CC934F-59E7-441B-9853-A8C007C6734D}"/>
    <cellStyle name="Comma 3 4 3 2" xfId="3265" xr:uid="{66DE299A-8FEB-4F31-ABEB-CE30BE3F3329}"/>
    <cellStyle name="Comma 3 4 4" xfId="1205" xr:uid="{F3A4DD5F-4178-4D06-8C52-3DDC6F69A6C4}"/>
    <cellStyle name="Comma 3 4 4 2" xfId="3263" xr:uid="{D28CA81B-EA3E-4E17-8C0D-5743E902C211}"/>
    <cellStyle name="Comma 3 4 5" xfId="2697" xr:uid="{2DABA310-BFD5-49A7-A5C2-D92DB3C61962}"/>
    <cellStyle name="Comma 3 5" xfId="492" xr:uid="{C63AA6C7-8787-4B37-B4FD-90D49EE9123B}"/>
    <cellStyle name="Comma 3 5 2" xfId="1209" xr:uid="{85A88374-F938-45E9-B552-33E3D00DB123}"/>
    <cellStyle name="Comma 3 5 2 2" xfId="3267" xr:uid="{47A2238C-876C-476A-881F-0A1DA03CF1B2}"/>
    <cellStyle name="Comma 3 5 3" xfId="1208" xr:uid="{ACA31D66-A046-48DA-B806-C57304E5F7F6}"/>
    <cellStyle name="Comma 3 5 3 2" xfId="3266" xr:uid="{AA948B59-C966-49AF-A8B1-FC2C8ABFE814}"/>
    <cellStyle name="Comma 3 5 4" xfId="2699" xr:uid="{BD24A4BF-6395-4FDE-B8CE-972587556B02}"/>
    <cellStyle name="Comma 3 6" xfId="745" xr:uid="{F1E4F5A0-94B5-45C1-BF21-07328A858E4F}"/>
    <cellStyle name="Comma 3 6 2" xfId="1210" xr:uid="{76EE5209-75C8-4C79-9DD5-E9296F72AFB8}"/>
    <cellStyle name="Comma 3 6 2 2" xfId="3268" xr:uid="{C8BCCDA5-2789-4976-A9FB-3A8C9D019427}"/>
    <cellStyle name="Comma 3 6 3" xfId="2881" xr:uid="{38CE2211-B810-4B0F-B970-04A38DBB9331}"/>
    <cellStyle name="Comma 3 6 4" xfId="2090" xr:uid="{301A6D68-BEB8-4F92-9BD5-DC4DF65A6E51}"/>
    <cellStyle name="Comma 3 7" xfId="538" xr:uid="{419E01C0-CD72-4401-B971-B55DFC0A86DD}"/>
    <cellStyle name="Comma 3 7 2" xfId="1211" xr:uid="{15E36698-DC84-4F0C-AB52-9D24776D857A}"/>
    <cellStyle name="Comma 3 7 2 2" xfId="3269" xr:uid="{063EEB5A-3BBA-408B-AB72-13732EFAF1E2}"/>
    <cellStyle name="Comma 3 7 3" xfId="2739" xr:uid="{16824368-4679-4C01-B327-F54F850CE652}"/>
    <cellStyle name="Comma 3 8" xfId="2416" xr:uid="{AE672B5E-4B67-4DC0-9166-B605D1DCF4C2}"/>
    <cellStyle name="Comma 3 9" xfId="2541" xr:uid="{2267A47D-983B-467C-9AC9-925E6A2A13E6}"/>
    <cellStyle name="Comma 30" xfId="1212" xr:uid="{12A9097C-D759-4D8B-83EB-58C5FA9AF285}"/>
    <cellStyle name="Comma 30 2" xfId="1213" xr:uid="{0DFE73F6-82A1-4C1A-9FCB-0E871964264F}"/>
    <cellStyle name="Comma 30 2 2" xfId="1214" xr:uid="{93820089-32EA-4513-B97A-AB54965D748D}"/>
    <cellStyle name="Comma 30 2 2 2" xfId="3272" xr:uid="{134DCF11-4D33-42AC-9AB0-1F5A237C370D}"/>
    <cellStyle name="Comma 30 2 2 3" xfId="2093" xr:uid="{A652228A-61C6-4495-9877-2622D54BAADF}"/>
    <cellStyle name="Comma 30 2 3" xfId="3271" xr:uid="{9AA7C5C6-1C3E-4D6F-8FDF-9F980C363CC1}"/>
    <cellStyle name="Comma 30 2 4" xfId="2092" xr:uid="{9EDF90BB-85F5-4624-A36C-8C9E887E8661}"/>
    <cellStyle name="Comma 30 3" xfId="1215" xr:uid="{18A62093-21DD-4392-B999-2B699882A9F4}"/>
    <cellStyle name="Comma 30 3 2" xfId="1216" xr:uid="{E334BD02-D625-4954-BCE6-72EDC5332B95}"/>
    <cellStyle name="Comma 30 3 2 2" xfId="3274" xr:uid="{DC7F7C9D-E8A9-45C0-9290-438E46D1E50C}"/>
    <cellStyle name="Comma 30 3 2 3" xfId="2095" xr:uid="{3FA9C622-718D-49CC-AAFD-7BE30214A80D}"/>
    <cellStyle name="Comma 30 3 3" xfId="3273" xr:uid="{DD400C87-37D4-411A-9FFD-1362DC368042}"/>
    <cellStyle name="Comma 30 3 4" xfId="2094" xr:uid="{D4C38251-D59D-41A8-9CF3-E58652FD5AF1}"/>
    <cellStyle name="Comma 30 4" xfId="1217" xr:uid="{39166EAA-1BED-4645-A300-3897377137EA}"/>
    <cellStyle name="Comma 30 4 2" xfId="3275" xr:uid="{B6B296D2-D680-4F36-A265-0D6039FEEE68}"/>
    <cellStyle name="Comma 30 4 3" xfId="2096" xr:uid="{0B836E66-42D4-4B0E-B400-8982D5C33167}"/>
    <cellStyle name="Comma 30 5" xfId="3270" xr:uid="{1455A391-76B2-4A4F-9A4E-9AD12BF8A876}"/>
    <cellStyle name="Comma 30 6" xfId="2091" xr:uid="{EE12AA9B-C5A1-42B6-8046-B50780E9AE85}"/>
    <cellStyle name="Comma 31" xfId="1218" xr:uid="{A7F3D017-1A77-4C9D-8ED0-F076564A7018}"/>
    <cellStyle name="Comma 31 2" xfId="1219" xr:uid="{3EB2E9EC-0595-4DF0-972C-6F80F9907B39}"/>
    <cellStyle name="Comma 31 2 2" xfId="1220" xr:uid="{723AA388-FA69-4019-A272-BFB168B8DAB8}"/>
    <cellStyle name="Comma 31 2 2 2" xfId="3278" xr:uid="{C1D4BCFC-A9E4-4847-8F48-A3B836332AD3}"/>
    <cellStyle name="Comma 31 2 2 3" xfId="2099" xr:uid="{77285713-4411-4AAD-8214-551FE2759DE2}"/>
    <cellStyle name="Comma 31 2 3" xfId="3277" xr:uid="{1969849B-00FB-4112-B5D6-EAF25370DC9A}"/>
    <cellStyle name="Comma 31 2 4" xfId="2098" xr:uid="{D5C3ACFD-5715-492A-BD26-CE9FF1AB09BD}"/>
    <cellStyle name="Comma 31 3" xfId="1221" xr:uid="{0DC5FA89-919A-413D-9DFD-8BCBE1F5C6E7}"/>
    <cellStyle name="Comma 31 3 2" xfId="1222" xr:uid="{952EC0B4-1D8E-456A-B3CE-75A1A077000A}"/>
    <cellStyle name="Comma 31 3 2 2" xfId="3280" xr:uid="{6170CF9F-CDED-4452-B2FD-14983B0D5D48}"/>
    <cellStyle name="Comma 31 3 2 3" xfId="2101" xr:uid="{B8DE5AE6-6FAA-4BB2-B946-6532120CD4B8}"/>
    <cellStyle name="Comma 31 3 3" xfId="3279" xr:uid="{31006EE1-DEF3-430B-9701-C2114FAF04FF}"/>
    <cellStyle name="Comma 31 3 4" xfId="2100" xr:uid="{FFF2782C-DA10-40C5-A73E-E69DFFB775BC}"/>
    <cellStyle name="Comma 31 4" xfId="1223" xr:uid="{01131384-6F4A-49F5-921B-E02580669112}"/>
    <cellStyle name="Comma 31 4 2" xfId="3281" xr:uid="{957886E0-D718-40E9-B724-0D98AE1ACF0D}"/>
    <cellStyle name="Comma 31 4 3" xfId="2102" xr:uid="{A43997F1-1A9F-4809-BD95-301E1F489968}"/>
    <cellStyle name="Comma 31 5" xfId="3276" xr:uid="{E8ADD8A5-F6BF-4741-A819-AAFADE4EB997}"/>
    <cellStyle name="Comma 31 6" xfId="2097" xr:uid="{990D222D-2C9B-4E53-9E8F-C823A9669937}"/>
    <cellStyle name="Comma 32" xfId="1224" xr:uid="{83218378-A126-4BEA-B571-E96CE993E8AA}"/>
    <cellStyle name="Comma 32 2" xfId="1225" xr:uid="{D6185F3B-174C-4474-982F-361BDC008CB8}"/>
    <cellStyle name="Comma 32 2 2" xfId="1226" xr:uid="{DD0325EF-0403-4CD1-9C3B-AB8DDC3CD8CC}"/>
    <cellStyle name="Comma 32 2 2 2" xfId="3284" xr:uid="{688B2F9F-9876-4166-8E53-3FBAE40D30B3}"/>
    <cellStyle name="Comma 32 2 2 3" xfId="2105" xr:uid="{9A9EA65E-56C5-4FD4-A36E-D21931793C88}"/>
    <cellStyle name="Comma 32 2 3" xfId="3283" xr:uid="{0BC6667E-7171-41BD-BBA6-A0623D8E48F0}"/>
    <cellStyle name="Comma 32 2 4" xfId="2104" xr:uid="{237C42F6-2E5B-4E94-BC5E-6F447AC7C85A}"/>
    <cellStyle name="Comma 32 3" xfId="1227" xr:uid="{D6BF9A69-6AF3-4E51-8EE1-9C620131937F}"/>
    <cellStyle name="Comma 32 3 2" xfId="1228" xr:uid="{36402AC5-DA9B-4CDF-9191-595C2DD1B766}"/>
    <cellStyle name="Comma 32 3 2 2" xfId="3286" xr:uid="{A432EEA2-F49D-456D-A872-0BB3A153A644}"/>
    <cellStyle name="Comma 32 3 2 3" xfId="2107" xr:uid="{30112963-B373-4D5E-9921-683F60C0532F}"/>
    <cellStyle name="Comma 32 3 3" xfId="3285" xr:uid="{53960F7A-95D6-469A-B811-3CC78AA16A9F}"/>
    <cellStyle name="Comma 32 3 4" xfId="2106" xr:uid="{2BAD175E-A437-451E-8917-DE47D9B6E36E}"/>
    <cellStyle name="Comma 32 4" xfId="1229" xr:uid="{33284DD0-EC6C-4408-9BA3-1D30225A9ADE}"/>
    <cellStyle name="Comma 32 4 2" xfId="3287" xr:uid="{622F4E38-FC70-4263-82D1-B4A93D97FD50}"/>
    <cellStyle name="Comma 32 4 3" xfId="2108" xr:uid="{032DD87E-63D5-482A-9CEC-24B570A4693A}"/>
    <cellStyle name="Comma 32 5" xfId="3282" xr:uid="{EAE22A45-EEB7-401F-847E-8632AD9B4D7F}"/>
    <cellStyle name="Comma 32 6" xfId="2103" xr:uid="{D91AE688-94F1-4226-B300-01D98D31B45B}"/>
    <cellStyle name="Comma 33" xfId="1230" xr:uid="{875A503E-EFE5-4FE8-B485-C52803A99C92}"/>
    <cellStyle name="Comma 33 2" xfId="1231" xr:uid="{9AE375DD-625C-4732-A934-B329BEED4880}"/>
    <cellStyle name="Comma 33 2 2" xfId="3289" xr:uid="{8BC61B96-10CF-4C5C-8035-E8E68AC42C83}"/>
    <cellStyle name="Comma 33 2 3" xfId="2110" xr:uid="{BC59B1FD-9598-48CD-B316-9E0D0E731B5A}"/>
    <cellStyle name="Comma 33 3" xfId="3288" xr:uid="{28C95894-0807-4D65-9380-F9DA905037C5}"/>
    <cellStyle name="Comma 33 4" xfId="2109" xr:uid="{84AE64F0-B861-4800-8F47-5D3A2101BEB9}"/>
    <cellStyle name="Comma 34" xfId="1232" xr:uid="{2BC4039D-3BE6-4A6E-8F35-123734B76BD7}"/>
    <cellStyle name="Comma 34 2" xfId="1233" xr:uid="{F1DCF5DB-5528-443A-91B9-240203F77BD2}"/>
    <cellStyle name="Comma 34 2 2" xfId="3291" xr:uid="{6492C409-327B-4A45-B94C-FC20BC9CAD9E}"/>
    <cellStyle name="Comma 34 2 3" xfId="2112" xr:uid="{428DB56B-D24B-49AB-917C-12C78FCFE173}"/>
    <cellStyle name="Comma 34 3" xfId="3290" xr:uid="{365E063B-DEE6-4F97-ACEA-7221AAC00024}"/>
    <cellStyle name="Comma 34 4" xfId="2111" xr:uid="{7F4DE58B-2FFE-4FB9-B7A2-171E5325A831}"/>
    <cellStyle name="Comma 35" xfId="1234" xr:uid="{6FD77093-D72D-4DCD-AF9A-2B4F9FE403BE}"/>
    <cellStyle name="Comma 35 2" xfId="1235" xr:uid="{9F7D8E1E-374C-4F87-8DE6-6FCF464FE2CB}"/>
    <cellStyle name="Comma 35 2 2" xfId="3293" xr:uid="{63FF8A14-977B-432A-90F6-D2BE31A678ED}"/>
    <cellStyle name="Comma 35 2 3" xfId="2114" xr:uid="{43853796-DD20-482A-BA4B-2E98EC757A23}"/>
    <cellStyle name="Comma 35 3" xfId="3292" xr:uid="{6B5D6398-48A9-4FF0-A499-F2C9E77A10F7}"/>
    <cellStyle name="Comma 35 4" xfId="2113" xr:uid="{3D9ADB73-5BA0-43DD-A638-69529EB064DF}"/>
    <cellStyle name="Comma 36" xfId="1236" xr:uid="{E6F188E5-C580-4C10-B1D3-23F72EDE40A4}"/>
    <cellStyle name="Comma 36 2" xfId="1237" xr:uid="{72186F7B-5AB3-4451-9AE2-0D0AFCE614C1}"/>
    <cellStyle name="Comma 36 2 2" xfId="3295" xr:uid="{5799B080-C5DD-45C4-98FC-975916ACB89F}"/>
    <cellStyle name="Comma 36 2 3" xfId="2116" xr:uid="{783E48C8-3D18-4BF1-A03E-CEBC8088C90E}"/>
    <cellStyle name="Comma 36 3" xfId="3294" xr:uid="{0F69EC72-B022-42AE-84C6-F68AEBF49D22}"/>
    <cellStyle name="Comma 36 4" xfId="2115" xr:uid="{04B2A1BC-7648-4B8E-B261-748AA6BCACA4}"/>
    <cellStyle name="Comma 37" xfId="1238" xr:uid="{F0540D01-3153-493B-A533-1956ED8E71AC}"/>
    <cellStyle name="Comma 37 2" xfId="3296" xr:uid="{7F65057F-CC72-4C13-983C-9019CD61BB97}"/>
    <cellStyle name="Comma 37 3" xfId="2117" xr:uid="{D735E141-E366-4E88-A2D1-998D7249951F}"/>
    <cellStyle name="Comma 38" xfId="1239" xr:uid="{EB0EE1E9-D63A-4C4A-B691-84A987D837AA}"/>
    <cellStyle name="Comma 38 2" xfId="3297" xr:uid="{B0E6D0DB-2035-45E8-B188-B69DEA9DCD35}"/>
    <cellStyle name="Comma 38 3" xfId="2118" xr:uid="{78916FD0-2DE5-493F-96F7-3847D0722696}"/>
    <cellStyle name="Comma 39" xfId="1635" xr:uid="{375D136E-559C-4AE6-9AA8-1ECD2C2CE44A}"/>
    <cellStyle name="Comma 39 2" xfId="3589" xr:uid="{846B603F-047C-460D-8879-0D14799F4F54}"/>
    <cellStyle name="Comma 4" xfId="174" xr:uid="{00000000-0005-0000-0000-0000DD000000}"/>
    <cellStyle name="Comma 4 2" xfId="175" xr:uid="{00000000-0005-0000-0000-0000DE000000}"/>
    <cellStyle name="Comma 4 2 2" xfId="544" xr:uid="{DFE00670-B85A-4140-84C7-EDC1CEE2B3E9}"/>
    <cellStyle name="Comma 4 2 2 2" xfId="1241" xr:uid="{B4346D33-8CAD-4AAF-B92C-5AECD2A25871}"/>
    <cellStyle name="Comma 4 2 2 2 2" xfId="3299" xr:uid="{AD83D92D-59B0-4569-923A-DA90A41CC99D}"/>
    <cellStyle name="Comma 4 2 2 3" xfId="2745" xr:uid="{145285CE-5CCF-4853-B206-998F639765CE}"/>
    <cellStyle name="Comma 4 2 2 4" xfId="2121" xr:uid="{533A1979-3B93-40EB-A2F6-8140E4CA04A9}"/>
    <cellStyle name="Comma 4 2 3" xfId="748" xr:uid="{B4D9292D-A094-43D4-A83D-1377F18390E8}"/>
    <cellStyle name="Comma 4 2 3 2" xfId="1242" xr:uid="{1308CE65-F1D5-4BC5-A7AE-19AE780F1712}"/>
    <cellStyle name="Comma 4 2 3 2 2" xfId="3300" xr:uid="{AD5A98CD-137F-457B-9175-1E781ECC9B7A}"/>
    <cellStyle name="Comma 4 2 3 3" xfId="2884" xr:uid="{B0C00F4D-5EB4-4318-B0B1-540B9555F97E}"/>
    <cellStyle name="Comma 4 2 3 4" xfId="2122" xr:uid="{1379BE89-5048-4995-A2B2-530808DCB459}"/>
    <cellStyle name="Comma 4 2 4" xfId="543" xr:uid="{B38D96D4-9C51-4E63-B867-0AFCA9DE5BDC}"/>
    <cellStyle name="Comma 4 2 4 2" xfId="2744" xr:uid="{E5661083-21CA-4911-8C9B-A3498906854A}"/>
    <cellStyle name="Comma 4 2 5" xfId="1240" xr:uid="{63AC0B72-D247-4B48-A7F0-2AA9670E0CB0}"/>
    <cellStyle name="Comma 4 2 5 2" xfId="3298" xr:uid="{AB9B2C89-7438-4256-B16F-ED7360515582}"/>
    <cellStyle name="Comma 4 2 6" xfId="2544" xr:uid="{01559E22-44FB-4BBB-ABC2-A043210CE806}"/>
    <cellStyle name="Comma 4 2 7" xfId="2120" xr:uid="{1BAEFC04-F06C-4F28-B9CC-948C4771C405}"/>
    <cellStyle name="Comma 4 3" xfId="545" xr:uid="{C221216D-7592-4783-ABD0-22C64BE8B0B9}"/>
    <cellStyle name="Comma 4 3 2" xfId="1244" xr:uid="{571BA95B-76E7-4893-8C43-5ADA1793708E}"/>
    <cellStyle name="Comma 4 3 2 2" xfId="3302" xr:uid="{E3505981-E1C7-49FA-A572-DAF3F6D58885}"/>
    <cellStyle name="Comma 4 3 2 3" xfId="2124" xr:uid="{C476B6FF-F4DD-424F-821B-2126F3C0CDC7}"/>
    <cellStyle name="Comma 4 3 3" xfId="1245" xr:uid="{F4A7606D-AFC8-4A3D-A3FE-0F783E6BCD61}"/>
    <cellStyle name="Comma 4 3 3 2" xfId="3303" xr:uid="{F1255983-E8EF-420A-9BFE-FEC6F4AB8330}"/>
    <cellStyle name="Comma 4 3 3 3" xfId="2125" xr:uid="{EFE2D1A4-89A2-49DD-9E75-99B4987930D3}"/>
    <cellStyle name="Comma 4 3 4" xfId="1243" xr:uid="{8B30F25B-1E07-4298-960B-8F33FE94032C}"/>
    <cellStyle name="Comma 4 3 4 2" xfId="3301" xr:uid="{726B98CD-E276-4EC4-8B15-C964EAAE9334}"/>
    <cellStyle name="Comma 4 3 4 3" xfId="2409" xr:uid="{ADDD6F4C-4594-4B2E-A471-9CE7AEADF1B6}"/>
    <cellStyle name="Comma 4 3 5" xfId="1795" xr:uid="{EC15915C-9503-40DB-93FE-564B2F56F71C}"/>
    <cellStyle name="Comma 4 3 5 2" xfId="3737" xr:uid="{D208781F-4485-4A17-8125-C83D7B63DC8D}"/>
    <cellStyle name="Comma 4 3 6" xfId="2746" xr:uid="{908039BE-258A-4930-8FE9-8A406F58F2D5}"/>
    <cellStyle name="Comma 4 3 7" xfId="2123" xr:uid="{8D5AB0C3-7C9C-48C3-945C-B834BFAF83B3}"/>
    <cellStyle name="Comma 4 4" xfId="465" xr:uid="{D506E4D8-01BD-4DFA-93E0-5D9EA0EE2D2B}"/>
    <cellStyle name="Comma 4 4 2" xfId="876" xr:uid="{0FAF2E8A-CC78-40E1-AFFD-A640FB1DBC86}"/>
    <cellStyle name="Comma 4 4 2 2" xfId="2955" xr:uid="{7BBFC240-6F07-45F9-B68B-91989528C7CA}"/>
    <cellStyle name="Comma 4 4 3" xfId="546" xr:uid="{E90E5023-6CF9-4DB7-847C-A22D4B613806}"/>
    <cellStyle name="Comma 4 4 3 2" xfId="2747" xr:uid="{033CACB8-B551-44BA-92F1-C2A73F2D4749}"/>
    <cellStyle name="Comma 4 4 4" xfId="2675" xr:uid="{44723466-AEE9-488A-BD58-C0BDCB25064F}"/>
    <cellStyle name="Comma 4 4 5" xfId="2126" xr:uid="{EE313742-E176-4460-AD84-F9B2336BEA28}"/>
    <cellStyle name="Comma 4 5" xfId="747" xr:uid="{638E922C-250D-4222-ADDB-BD38DA87667A}"/>
    <cellStyle name="Comma 4 5 2" xfId="1246" xr:uid="{F508C738-A89C-4E15-914A-019D09D44FE7}"/>
    <cellStyle name="Comma 4 5 2 2" xfId="3304" xr:uid="{81868793-7402-4D62-B15A-A5D4F4498AD5}"/>
    <cellStyle name="Comma 4 5 3" xfId="2883" xr:uid="{03184BA6-6CC8-45AE-9358-4052F8CEA4AC}"/>
    <cellStyle name="Comma 4 5 4" xfId="2127" xr:uid="{4380A3F7-38E6-4AC9-B666-1069B7876836}"/>
    <cellStyle name="Comma 4 6" xfId="542" xr:uid="{16F65ACA-604F-4721-A064-83AF6625CA62}"/>
    <cellStyle name="Comma 4 6 2" xfId="2743" xr:uid="{4AB8B7E3-CFBC-42F2-A503-FDAF83AB36E0}"/>
    <cellStyle name="Comma 4 6 3" xfId="2425" xr:uid="{EAFC9A9D-5B2D-4236-8D2B-14EF0C31A381}"/>
    <cellStyle name="Comma 4 7" xfId="2543" xr:uid="{32217993-4CBE-47F4-82DB-4AABF02BD280}"/>
    <cellStyle name="Comma 4 8" xfId="2119" xr:uid="{12E15C4F-B8AE-4D75-96EE-D6AFA987A7D6}"/>
    <cellStyle name="Comma 40" xfId="1779" xr:uid="{9EC35A58-0731-4083-B96E-3B439894946B}"/>
    <cellStyle name="Comma 40 2" xfId="3728" xr:uid="{18104884-6214-4543-A775-59C6DF72A56B}"/>
    <cellStyle name="Comma 41" xfId="1648" xr:uid="{92B1D3AD-12BD-46E9-BB52-AB3559B1916B}"/>
    <cellStyle name="Comma 41 2" xfId="3601" xr:uid="{A5BBEF93-8F15-4AEB-B1A0-8FAC35AF1D96}"/>
    <cellStyle name="Comma 41 3" xfId="2398" xr:uid="{9373C058-EE51-4EE1-A465-C51587F8D5CE}"/>
    <cellStyle name="Comma 42" xfId="1789" xr:uid="{39230826-2102-4A1F-BE05-13E47ED0B1F2}"/>
    <cellStyle name="Comma 42 2" xfId="3735" xr:uid="{501DB535-0DC4-45C4-B3EA-BE3EC6B4B220}"/>
    <cellStyle name="Comma 5" xfId="176" xr:uid="{00000000-0005-0000-0000-0000DF000000}"/>
    <cellStyle name="Comma 5 2" xfId="178" xr:uid="{00000000-0005-0000-0000-0000E1000000}"/>
    <cellStyle name="Comma 5 2 2" xfId="179" xr:uid="{00000000-0005-0000-0000-0000E2000000}"/>
    <cellStyle name="Comma 5 2 2 2" xfId="181" xr:uid="{00000000-0005-0000-0000-0000E4000000}"/>
    <cellStyle name="Comma 5 2 2 2 2" xfId="752" xr:uid="{379CECB1-AB87-4C7C-A240-A39172544FF1}"/>
    <cellStyle name="Comma 5 2 2 2 2 2" xfId="2888" xr:uid="{595F436F-020E-48A7-9B03-95BE8820904A}"/>
    <cellStyle name="Comma 5 2 2 2 3" xfId="2548" xr:uid="{E3A65BF7-CD44-4D5B-9F18-9B4560662DB3}"/>
    <cellStyle name="Comma 5 2 2 3" xfId="751" xr:uid="{18417777-7247-44E0-8CA2-38A3CAF71B77}"/>
    <cellStyle name="Comma 5 2 2 3 2" xfId="2887" xr:uid="{4B9213D8-E124-4CFF-89A9-8DBD1ABBFABC}"/>
    <cellStyle name="Comma 5 2 2 4" xfId="549" xr:uid="{D4641168-7947-41EE-B727-6065B242810D}"/>
    <cellStyle name="Comma 5 2 2 4 2" xfId="2750" xr:uid="{9952DF5B-E797-42F3-B941-3D78D89E02EE}"/>
    <cellStyle name="Comma 5 2 2 5" xfId="2547" xr:uid="{5D14B3FD-9821-4614-AEE5-7ABA1C496059}"/>
    <cellStyle name="Comma 5 2 3" xfId="182" xr:uid="{00000000-0005-0000-0000-0000E5000000}"/>
    <cellStyle name="Comma 5 2 3 2" xfId="753" xr:uid="{6833ED60-1B6F-44D4-8A1D-7431F6394CC3}"/>
    <cellStyle name="Comma 5 2 3 2 2" xfId="2889" xr:uid="{AB4A699E-8D18-4164-ACA6-2756454B67A6}"/>
    <cellStyle name="Comma 5 2 3 3" xfId="1248" xr:uid="{0B405007-6B53-4951-A6C7-EFA5AF6F7260}"/>
    <cellStyle name="Comma 5 2 3 3 2" xfId="3306" xr:uid="{744D9B55-3900-4BCB-8785-0B1FA3E2FCE4}"/>
    <cellStyle name="Comma 5 2 3 4" xfId="2549" xr:uid="{76A75DB3-ABAB-4593-A95C-13C18AB27BE1}"/>
    <cellStyle name="Comma 5 2 3 5" xfId="2129" xr:uid="{B4E15EE3-F7A5-4398-81B3-DCF8DFFFCAC1}"/>
    <cellStyle name="Comma 5 2 4" xfId="750" xr:uid="{B5B06102-D9DF-4571-A843-66072E292F2F}"/>
    <cellStyle name="Comma 5 2 4 2" xfId="2886" xr:uid="{0DF7E68D-4234-4644-8EE1-37E4FF3A94C0}"/>
    <cellStyle name="Comma 5 2 5" xfId="548" xr:uid="{CCE09193-5CB0-47ED-A254-78E2A362D030}"/>
    <cellStyle name="Comma 5 2 5 2" xfId="2749" xr:uid="{CEFCA8EA-8983-4D27-BEDF-5A7E2AC2A699}"/>
    <cellStyle name="Comma 5 2 6" xfId="1247" xr:uid="{627FCC63-D158-4499-A0EE-258261195962}"/>
    <cellStyle name="Comma 5 2 6 2" xfId="3305" xr:uid="{2C1271B9-8217-4549-BFD3-63DC5602B6FF}"/>
    <cellStyle name="Comma 5 2 7" xfId="2546" xr:uid="{C93BB997-7E6B-4944-B515-E1ADBF262658}"/>
    <cellStyle name="Comma 5 2 8" xfId="2128" xr:uid="{C0263B21-64A5-44A8-B485-DB3621C941EB}"/>
    <cellStyle name="Comma 5 3" xfId="183" xr:uid="{00000000-0005-0000-0000-0000E6000000}"/>
    <cellStyle name="Comma 5 3 2" xfId="754" xr:uid="{22337119-8EFE-411D-97A8-3EA4BDA8BF26}"/>
    <cellStyle name="Comma 5 3 2 2" xfId="2890" xr:uid="{0DBCB065-6D6D-4060-B3B9-B995C3C9DDAD}"/>
    <cellStyle name="Comma 5 3 3" xfId="550" xr:uid="{D4F6EA35-905F-4C8A-B611-D84562E6CB66}"/>
    <cellStyle name="Comma 5 3 3 2" xfId="1250" xr:uid="{1E6409E3-92DB-41C9-B493-E492857D97C6}"/>
    <cellStyle name="Comma 5 3 3 2 2" xfId="3308" xr:uid="{C74A8278-E737-4878-B263-8554AA20CB50}"/>
    <cellStyle name="Comma 5 3 3 3" xfId="2751" xr:uid="{42BA5ABC-BC4A-473D-BDB3-C5A934E68F28}"/>
    <cellStyle name="Comma 5 3 3 4" xfId="2131" xr:uid="{443DB30C-9DDE-4042-9DEE-6DC3AF1E012D}"/>
    <cellStyle name="Comma 5 3 4" xfId="1249" xr:uid="{8A3A8180-AD19-4E4C-88D0-AEC93C3DE158}"/>
    <cellStyle name="Comma 5 3 4 2" xfId="3307" xr:uid="{EE7ACCD1-89D5-4210-8462-5EE02D85F3D0}"/>
    <cellStyle name="Comma 5 3 5" xfId="2550" xr:uid="{BF0E6F85-DFBA-42AC-8353-886BE1B8F851}"/>
    <cellStyle name="Comma 5 3 6" xfId="2130" xr:uid="{6389C0CC-616E-4E4C-AD37-5A3205170918}"/>
    <cellStyle name="Comma 5 4" xfId="749" xr:uid="{F7F8F35D-37D0-4D7B-809D-1DB1F01CB27E}"/>
    <cellStyle name="Comma 5 4 2" xfId="2885" xr:uid="{B26049F2-2EC5-4F3D-8BDB-CEF2C74A2965}"/>
    <cellStyle name="Comma 5 5" xfId="547" xr:uid="{141DB61B-2E0B-493E-88CC-E96EC54C1685}"/>
    <cellStyle name="Comma 5 5 2" xfId="1251" xr:uid="{60C52615-8471-48AD-9D68-69BAD4DB987F}"/>
    <cellStyle name="Comma 5 5 2 2" xfId="3309" xr:uid="{87BB4125-7A68-4D15-96B3-1DBBC719F7BF}"/>
    <cellStyle name="Comma 5 5 3" xfId="2748" xr:uid="{8DD39FA8-CDD1-41DB-B330-05FE55D4E9AE}"/>
    <cellStyle name="Comma 5 5 4" xfId="2132" xr:uid="{17836BC9-538B-4466-8CDA-14FAE8D34CAA}"/>
    <cellStyle name="Comma 5 6" xfId="893" xr:uid="{ADFD4312-B4D5-4B96-9D97-CF48865663FE}"/>
    <cellStyle name="Comma 5 6 2" xfId="2971" xr:uid="{6D99EDB4-EB22-47A4-B2DD-1076CEB9D992}"/>
    <cellStyle name="Comma 5 6 3" xfId="2427" xr:uid="{E419588D-21BC-423E-BFD1-613FEE7A53AF}"/>
    <cellStyle name="Comma 5 7" xfId="2545" xr:uid="{399770A7-E71C-4954-8114-C1930CB2D3AB}"/>
    <cellStyle name="Comma 5 8" xfId="1820" xr:uid="{9E01F64F-93BC-47D5-B287-14ABC1A151AD}"/>
    <cellStyle name="Comma 58" xfId="551" xr:uid="{DBBA597F-5C7F-4A8B-9A66-994E1EA2CAEF}"/>
    <cellStyle name="Comma 58 2" xfId="2752" xr:uid="{E6272DE3-F339-4C02-A73B-4E3BA24B8C3E}"/>
    <cellStyle name="Comma 6" xfId="185" xr:uid="{00000000-0005-0000-0000-0000E8000000}"/>
    <cellStyle name="Comma 6 2" xfId="186" xr:uid="{00000000-0005-0000-0000-0000EA000000}"/>
    <cellStyle name="Comma 6 2 2" xfId="757" xr:uid="{BA3E98F3-3754-48E0-BFB0-9187375AF769}"/>
    <cellStyle name="Comma 6 2 2 2" xfId="1254" xr:uid="{BCA3F999-D5D7-4083-A3ED-759D95F134C4}"/>
    <cellStyle name="Comma 6 2 2 2 2" xfId="3312" xr:uid="{A4820085-158A-4E32-9C8D-1F773A7EA0E0}"/>
    <cellStyle name="Comma 6 2 2 3" xfId="2893" xr:uid="{1553243E-6B90-40A3-A14C-A999F0DF3777}"/>
    <cellStyle name="Comma 6 2 2 4" xfId="2135" xr:uid="{DDD4BA12-C9A8-4880-A582-5C854E10779D}"/>
    <cellStyle name="Comma 6 2 3" xfId="1253" xr:uid="{CD4A4F69-091B-4C40-A4FA-EABC5EA8C01E}"/>
    <cellStyle name="Comma 6 2 3 2" xfId="3311" xr:uid="{D6EE2EB4-DCDC-40A9-982E-1882E9BDC84D}"/>
    <cellStyle name="Comma 6 2 4" xfId="2552" xr:uid="{4DBC5FDA-2A3F-4C6D-B5DB-A47A4C469EB4}"/>
    <cellStyle name="Comma 6 2 5" xfId="2134" xr:uid="{8CACC38B-6D3E-4ACD-9AC0-3267EEBC30DF}"/>
    <cellStyle name="Comma 6 3" xfId="756" xr:uid="{6757D544-3A5F-4ACB-B865-4057BC1044FC}"/>
    <cellStyle name="Comma 6 3 2" xfId="1256" xr:uid="{B93D9D96-BFD7-4098-9D78-740656B9E156}"/>
    <cellStyle name="Comma 6 3 2 2" xfId="3314" xr:uid="{C8623CC4-3E00-47B6-A68D-2CD5B3E3D5FE}"/>
    <cellStyle name="Comma 6 3 2 3" xfId="2137" xr:uid="{B045D9CD-CFC4-4533-8008-41EB2169E456}"/>
    <cellStyle name="Comma 6 3 3" xfId="1255" xr:uid="{8C3A41EA-85E5-48D0-89C8-418E1BD08CBE}"/>
    <cellStyle name="Comma 6 3 3 2" xfId="3313" xr:uid="{89A87622-DAA3-49EE-B6CE-CCCF4079FA7B}"/>
    <cellStyle name="Comma 6 3 4" xfId="2892" xr:uid="{AE4AB2B7-2644-444E-A5FC-28B057584E7F}"/>
    <cellStyle name="Comma 6 3 5" xfId="2136" xr:uid="{7BEDA3F0-9FE8-4E43-9155-114665CC5FB0}"/>
    <cellStyle name="Comma 6 4" xfId="553" xr:uid="{20B55EF8-8D6F-46E1-A01D-C1E5F4BB87BC}"/>
    <cellStyle name="Comma 6 4 2" xfId="1257" xr:uid="{1816CDFD-0FC8-4F63-8847-156E7DAE089C}"/>
    <cellStyle name="Comma 6 4 2 2" xfId="3315" xr:uid="{7BAD346A-9F7F-4535-AE2A-442D893E1A2C}"/>
    <cellStyle name="Comma 6 4 3" xfId="2753" xr:uid="{4E351F60-FA9D-45C8-95AC-D21A1B97D4E2}"/>
    <cellStyle name="Comma 6 4 4" xfId="2138" xr:uid="{74464D97-DEDF-4CC5-A766-013A81760A84}"/>
    <cellStyle name="Comma 6 5" xfId="1258" xr:uid="{138CB97B-4123-41C2-977E-5CFBB687831D}"/>
    <cellStyle name="Comma 6 5 2" xfId="3316" xr:uid="{E8903500-D829-4304-B9EA-BDF6565A7D7E}"/>
    <cellStyle name="Comma 6 5 3" xfId="2139" xr:uid="{46C7BF10-5AB2-40B3-A68F-593462F01427}"/>
    <cellStyle name="Comma 6 6" xfId="1252" xr:uid="{A2E1722F-3048-4145-8C20-39FF9581557D}"/>
    <cellStyle name="Comma 6 6 2" xfId="3310" xr:uid="{AA67F10E-38DB-4C8A-A462-446CCDF6D6AF}"/>
    <cellStyle name="Comma 6 6 3" xfId="2407" xr:uid="{6EAF2B8C-4A44-4101-8DC4-D74D259843F5}"/>
    <cellStyle name="Comma 6 7" xfId="1800" xr:uid="{0D5FF8FC-9617-43D5-92F2-A97EAF814C9B}"/>
    <cellStyle name="Comma 6 7 2" xfId="3738" xr:uid="{BBC4109B-74AE-4FBB-8181-43A2FF446C3D}"/>
    <cellStyle name="Comma 6 8" xfId="2551" xr:uid="{D6D4630A-FC6E-4210-89AC-8461B847A5C7}"/>
    <cellStyle name="Comma 6 9" xfId="2133" xr:uid="{6384510C-5C54-470D-B873-4016D2172D76}"/>
    <cellStyle name="Comma 7" xfId="187" xr:uid="{00000000-0005-0000-0000-0000EB000000}"/>
    <cellStyle name="Comma 7 2" xfId="188" xr:uid="{00000000-0005-0000-0000-0000EC000000}"/>
    <cellStyle name="Comma 7 2 2" xfId="759" xr:uid="{A7ACE533-81F5-4A50-937C-1206B157B0A0}"/>
    <cellStyle name="Comma 7 2 2 2" xfId="1261" xr:uid="{2798DF6E-2CFC-4004-9A50-2FDCC658558F}"/>
    <cellStyle name="Comma 7 2 2 2 2" xfId="3319" xr:uid="{9F578964-FB84-42EE-A5EA-61C7694C5868}"/>
    <cellStyle name="Comma 7 2 2 3" xfId="2895" xr:uid="{212DE85E-A7AC-4FED-B886-E7C1B55128E6}"/>
    <cellStyle name="Comma 7 2 2 4" xfId="2142" xr:uid="{FA02C109-5C49-42E0-B823-F968A700575D}"/>
    <cellStyle name="Comma 7 2 3" xfId="555" xr:uid="{FA4342A3-B715-4DFB-BD69-544B107E3595}"/>
    <cellStyle name="Comma 7 2 3 2" xfId="2755" xr:uid="{898BDF6A-5630-4F46-9F7E-AD5D58473E99}"/>
    <cellStyle name="Comma 7 2 4" xfId="1260" xr:uid="{12CD053D-ACFD-48EF-902B-93AA358858FC}"/>
    <cellStyle name="Comma 7 2 4 2" xfId="3318" xr:uid="{C1673BF1-EEB6-47D6-9F98-9FD3DF58A23B}"/>
    <cellStyle name="Comma 7 2 5" xfId="2554" xr:uid="{3AE24340-5AAE-4481-BF47-8213F01C9C42}"/>
    <cellStyle name="Comma 7 2 6" xfId="2141" xr:uid="{463085F8-CD0C-4FD8-9F32-8A4C1621E128}"/>
    <cellStyle name="Comma 7 3" xfId="758" xr:uid="{B49D7A37-9C44-4BCF-B827-AC5281C3FD55}"/>
    <cellStyle name="Comma 7 3 2" xfId="1263" xr:uid="{3212BF71-58C3-44E4-B0A6-A7546A1C319B}"/>
    <cellStyle name="Comma 7 3 2 2" xfId="3321" xr:uid="{7DEBDC4E-EED6-47DA-9871-62E7889D8C55}"/>
    <cellStyle name="Comma 7 3 2 3" xfId="2144" xr:uid="{A7705136-06AB-49B6-BC95-C8FE09E69505}"/>
    <cellStyle name="Comma 7 3 3" xfId="1262" xr:uid="{EDDD3BA1-BDDA-4E45-8EB6-57BE8E9ABEAE}"/>
    <cellStyle name="Comma 7 3 3 2" xfId="3320" xr:uid="{163CBF79-4683-4DE0-ACB1-88126E900026}"/>
    <cellStyle name="Comma 7 3 4" xfId="2894" xr:uid="{4B3004A5-FB05-43D6-BE79-9318C5428741}"/>
    <cellStyle name="Comma 7 3 5" xfId="2143" xr:uid="{E48696FB-78D3-4897-9AA9-F095F123AC5A}"/>
    <cellStyle name="Comma 7 4" xfId="554" xr:uid="{8C848930-555A-4B59-AB09-6E39EA83B2D3}"/>
    <cellStyle name="Comma 7 4 2" xfId="1264" xr:uid="{35AF65FD-76CB-4A82-9AAE-AC7395B39665}"/>
    <cellStyle name="Comma 7 4 2 2" xfId="3322" xr:uid="{34479B3C-C887-46CD-B1B0-688801ABADFA}"/>
    <cellStyle name="Comma 7 4 3" xfId="2754" xr:uid="{FAE63E88-FE20-42D9-83C6-61996C6B1738}"/>
    <cellStyle name="Comma 7 4 4" xfId="2145" xr:uid="{D8485C1E-1F76-4852-BEDC-F750DFA99D83}"/>
    <cellStyle name="Comma 7 5" xfId="1265" xr:uid="{38C304F4-16FD-4926-AB7F-7C0C36341045}"/>
    <cellStyle name="Comma 7 5 2" xfId="3323" xr:uid="{7B44E994-16B4-45FF-906C-26AD3C6E8495}"/>
    <cellStyle name="Comma 7 5 3" xfId="2146" xr:uid="{1E4D2F50-EB54-4CCB-8F8E-9426E9A34FF9}"/>
    <cellStyle name="Comma 7 6" xfId="1259" xr:uid="{01364E59-7913-48DD-9BA1-4111E6A60034}"/>
    <cellStyle name="Comma 7 6 2" xfId="3317" xr:uid="{2161837F-089D-4AB0-BFF4-3F54F15C5263}"/>
    <cellStyle name="Comma 7 7" xfId="2553" xr:uid="{8211B37F-86D8-4D96-86BD-7FDA0E811417}"/>
    <cellStyle name="Comma 7 8" xfId="2140" xr:uid="{BC21C461-9B7E-49C5-85B3-13E1749911D0}"/>
    <cellStyle name="Comma 8" xfId="190" xr:uid="{00000000-0005-0000-0000-0000EE000000}"/>
    <cellStyle name="Comma 8 2" xfId="71" xr:uid="{00000000-0005-0000-0000-000076000000}"/>
    <cellStyle name="Comma 8 2 2" xfId="687" xr:uid="{EC220410-7951-401C-B30B-F621D9F754DB}"/>
    <cellStyle name="Comma 8 2 2 2" xfId="1268" xr:uid="{1FA7E642-9C02-40CD-8E72-0C3DF9F98022}"/>
    <cellStyle name="Comma 8 2 2 2 2" xfId="3326" xr:uid="{BC877732-3E8B-4D9D-8457-DDCD5FFB079A}"/>
    <cellStyle name="Comma 8 2 2 3" xfId="2833" xr:uid="{BFD5885B-F476-4FDD-ADA0-419C29740C9C}"/>
    <cellStyle name="Comma 8 2 2 4" xfId="2149" xr:uid="{A88AD8A6-109A-4D4A-B190-414723F83879}"/>
    <cellStyle name="Comma 8 2 3" xfId="1267" xr:uid="{7BA583F4-6005-431A-9EEF-9C841085DB47}"/>
    <cellStyle name="Comma 8 2 3 2" xfId="3325" xr:uid="{97D425C3-AE32-42CC-97A3-59761FE9214D}"/>
    <cellStyle name="Comma 8 2 4" xfId="2482" xr:uid="{18E8607F-1D7A-411A-A2E2-7F31BC6A84DD}"/>
    <cellStyle name="Comma 8 2 5" xfId="2148" xr:uid="{B5081BE3-A441-4137-9F72-333A9DB40321}"/>
    <cellStyle name="Comma 8 3" xfId="760" xr:uid="{84A5743C-C1C7-4441-878C-4AE845846385}"/>
    <cellStyle name="Comma 8 3 2" xfId="1270" xr:uid="{6C0E2343-81A3-4E0C-B3C6-82F1EF6B1A4B}"/>
    <cellStyle name="Comma 8 3 2 2" xfId="3328" xr:uid="{C4619C81-8065-47A5-B3F7-CC241B9A57C8}"/>
    <cellStyle name="Comma 8 3 2 3" xfId="2151" xr:uid="{171AD2F3-DE12-493E-B74A-DC0A81BDC2F8}"/>
    <cellStyle name="Comma 8 3 3" xfId="1269" xr:uid="{CB445399-E2EE-4185-8D83-4412B49D6A32}"/>
    <cellStyle name="Comma 8 3 3 2" xfId="3327" xr:uid="{DBF4D5A6-961E-4C76-871C-A883B4A6B189}"/>
    <cellStyle name="Comma 8 3 4" xfId="2896" xr:uid="{A804F23A-9132-4381-BD5D-2A0AEDDDF989}"/>
    <cellStyle name="Comma 8 3 5" xfId="2150" xr:uid="{66BFF6BE-E1F7-4631-B713-63398EF55039}"/>
    <cellStyle name="Comma 8 4" xfId="557" xr:uid="{4B5F77AC-2997-4015-B643-C294A97EB4AD}"/>
    <cellStyle name="Comma 8 4 2" xfId="1271" xr:uid="{F4AEC71B-A147-4451-8D5F-5A91F2BD4953}"/>
    <cellStyle name="Comma 8 4 2 2" xfId="3329" xr:uid="{23DF10F6-531D-4838-9ADB-A4C9C1617BEE}"/>
    <cellStyle name="Comma 8 4 3" xfId="2757" xr:uid="{4CF160A7-ED73-4489-B84F-42848925DC16}"/>
    <cellStyle name="Comma 8 4 4" xfId="2152" xr:uid="{6AA86FDB-471A-41A1-89F0-D51B14653A7E}"/>
    <cellStyle name="Comma 8 5" xfId="1272" xr:uid="{F3928218-430C-409D-B3AF-97DD25738AD0}"/>
    <cellStyle name="Comma 8 5 2" xfId="3330" xr:uid="{BBA3380F-EEA5-404E-9614-1A0226CE0A83}"/>
    <cellStyle name="Comma 8 5 3" xfId="2153" xr:uid="{354A2A74-21E3-4E2A-BDEA-7AD3B41A7FF8}"/>
    <cellStyle name="Comma 8 6" xfId="1266" xr:uid="{78D43D3C-26D9-4BCC-8910-C1583764F071}"/>
    <cellStyle name="Comma 8 6 2" xfId="3324" xr:uid="{12276D40-366B-4940-931A-5407073CD9B5}"/>
    <cellStyle name="Comma 8 7" xfId="2555" xr:uid="{1DBCFD7D-E380-4034-A40E-ED9C7985FDFB}"/>
    <cellStyle name="Comma 8 8" xfId="2147" xr:uid="{EBB94063-33DB-46C5-B55A-73FECCBA65E0}"/>
    <cellStyle name="Comma 84" xfId="1273" xr:uid="{EEFEE4DF-5DDB-43FE-9284-60BCBF36BC05}"/>
    <cellStyle name="Comma 84 2" xfId="1274" xr:uid="{790E9D55-93C9-4067-B8AB-2A2281B3DC79}"/>
    <cellStyle name="Comma 84 2 2" xfId="1275" xr:uid="{72079D5E-6B54-41E2-9D18-363CABF90BB4}"/>
    <cellStyle name="Comma 84 2 2 2" xfId="1276" xr:uid="{AA8748BE-E002-4D19-99A4-A7819FDA5FDE}"/>
    <cellStyle name="Comma 84 2 2 2 2" xfId="3334" xr:uid="{DC438680-6B14-401A-AABC-ECB06376F9C4}"/>
    <cellStyle name="Comma 84 2 2 2 3" xfId="2157" xr:uid="{2375B12C-EEB8-4853-A91A-0D4526B9F666}"/>
    <cellStyle name="Comma 84 2 2 3" xfId="3333" xr:uid="{2635EE04-FD8C-44CC-A70E-9248B60F8481}"/>
    <cellStyle name="Comma 84 2 2 4" xfId="2156" xr:uid="{9830A09B-F76B-4CEF-80EC-0FFF6A720C1C}"/>
    <cellStyle name="Comma 84 2 3" xfId="1277" xr:uid="{0DEC8BBB-75F7-43EF-A4C3-B24E4E390F83}"/>
    <cellStyle name="Comma 84 2 3 2" xfId="1278" xr:uid="{A36211CB-2F8E-497A-BC24-22612552F5D5}"/>
    <cellStyle name="Comma 84 2 3 2 2" xfId="3336" xr:uid="{6EA86A91-0E79-4870-99C1-936449B2C7D0}"/>
    <cellStyle name="Comma 84 2 3 2 3" xfId="2159" xr:uid="{5CBFCDEA-9924-4F97-BAAF-C4D8AE083663}"/>
    <cellStyle name="Comma 84 2 3 3" xfId="3335" xr:uid="{7D2C21CC-AC07-44A7-B089-6D9371C31552}"/>
    <cellStyle name="Comma 84 2 3 4" xfId="2158" xr:uid="{1B74A67D-022E-4EAB-B403-45C8AED9F374}"/>
    <cellStyle name="Comma 84 2 4" xfId="1279" xr:uid="{0E68E5D6-6675-4B24-9031-DB335DDAEE6C}"/>
    <cellStyle name="Comma 84 2 4 2" xfId="3337" xr:uid="{43C7FFCB-12EA-46E1-9659-771EAFB6858F}"/>
    <cellStyle name="Comma 84 2 4 3" xfId="2160" xr:uid="{A13AB178-EE5A-42CB-A58C-0417C51A85D0}"/>
    <cellStyle name="Comma 84 2 5" xfId="3332" xr:uid="{BE618CC6-8FE6-4404-9B41-8AC1F7777CAA}"/>
    <cellStyle name="Comma 84 2 6" xfId="2155" xr:uid="{64CAC17A-52B9-4D6F-98D4-D5768960BEBC}"/>
    <cellStyle name="Comma 84 3" xfId="1280" xr:uid="{66BEB20F-7DD8-4FF4-B942-3072374D617F}"/>
    <cellStyle name="Comma 84 3 2" xfId="1281" xr:uid="{C62FBCBD-1D51-4580-9180-0650BBA17884}"/>
    <cellStyle name="Comma 84 3 2 2" xfId="3339" xr:uid="{7FBBB38B-BFEA-4EC8-965F-9EEB6AC8C945}"/>
    <cellStyle name="Comma 84 3 2 3" xfId="2162" xr:uid="{4987C537-A350-4C0F-80B6-3480542A9012}"/>
    <cellStyle name="Comma 84 3 3" xfId="3338" xr:uid="{8929F407-787E-487A-9124-8C0E09751522}"/>
    <cellStyle name="Comma 84 3 4" xfId="2161" xr:uid="{308CB2AE-B644-4B20-9778-5A78B674B3F8}"/>
    <cellStyle name="Comma 84 4" xfId="1282" xr:uid="{528C2D11-109B-416C-8ECC-09A68FA2000C}"/>
    <cellStyle name="Comma 84 4 2" xfId="3340" xr:uid="{1146AB8B-0709-4D6C-A5B9-4BE61F3EE46C}"/>
    <cellStyle name="Comma 84 4 3" xfId="2163" xr:uid="{BF85A490-28F0-43DB-B231-4CDCE64B94D3}"/>
    <cellStyle name="Comma 84 5" xfId="3331" xr:uid="{FB5338F2-849F-4059-BAEA-AE040D1A3DBB}"/>
    <cellStyle name="Comma 84 6" xfId="2154" xr:uid="{CE6309A3-1669-42D0-BAE0-D66CD9407C91}"/>
    <cellStyle name="Comma 9" xfId="558" xr:uid="{2D2CF3EC-117E-4E80-9866-6765EE77EF0B}"/>
    <cellStyle name="Comma 9 2" xfId="643" xr:uid="{65B1852B-B6EF-4C58-8F2B-B8827DBE159E}"/>
    <cellStyle name="Comma 9 2 2" xfId="1285" xr:uid="{8865D214-F415-4CD7-A08B-7C771A10133B}"/>
    <cellStyle name="Comma 9 2 2 2" xfId="3343" xr:uid="{0773ECCE-D506-4A99-8ED2-E32BDB68C56C}"/>
    <cellStyle name="Comma 9 2 2 3" xfId="2166" xr:uid="{46C455B7-31D4-4267-992E-8258E6CE305E}"/>
    <cellStyle name="Comma 9 2 3" xfId="1284" xr:uid="{C24D0A38-B522-4A9D-900E-81D960AABBA7}"/>
    <cellStyle name="Comma 9 2 3 2" xfId="3342" xr:uid="{0661A710-604F-4D79-A34B-DF13902CF330}"/>
    <cellStyle name="Comma 9 2 4" xfId="2805" xr:uid="{09B1FCF1-66EE-4A7A-A4DD-6EE4138FB5B7}"/>
    <cellStyle name="Comma 9 2 5" xfId="2165" xr:uid="{0CBF2143-A7FF-4CD9-9C03-D5A0CB2A807C}"/>
    <cellStyle name="Comma 9 3" xfId="1286" xr:uid="{B1A7480C-D62E-461B-B173-C8ED3D16DD07}"/>
    <cellStyle name="Comma 9 3 2" xfId="1287" xr:uid="{0AE81012-702A-412E-BDFA-AB5BDD646E20}"/>
    <cellStyle name="Comma 9 3 2 2" xfId="3345" xr:uid="{6C593C60-69A2-490A-B91F-98A7A74BF4B9}"/>
    <cellStyle name="Comma 9 3 2 3" xfId="2168" xr:uid="{D95D1C50-7F22-4C51-98CA-10E4BB8251A9}"/>
    <cellStyle name="Comma 9 3 3" xfId="3344" xr:uid="{A7324F8F-55BB-40EB-B123-99151AC2433B}"/>
    <cellStyle name="Comma 9 3 4" xfId="2167" xr:uid="{3C9B29A2-3F01-481E-8E08-3A19E5D05FC4}"/>
    <cellStyle name="Comma 9 4" xfId="1288" xr:uid="{AF880FB2-496A-4986-8F77-3E19D97E5E6E}"/>
    <cellStyle name="Comma 9 4 2" xfId="3346" xr:uid="{AC940846-2E80-43B9-9216-8D7CEC9D2E5B}"/>
    <cellStyle name="Comma 9 4 3" xfId="2169" xr:uid="{E2FFA0DB-59B7-42C6-91A1-31134705E167}"/>
    <cellStyle name="Comma 9 5" xfId="1283" xr:uid="{3A52F626-4836-4B4E-BDA0-7234B513DCA8}"/>
    <cellStyle name="Comma 9 5 2" xfId="3341" xr:uid="{4A9AF0E3-535C-47BB-A9E9-71F5360BD386}"/>
    <cellStyle name="Comma 9 6" xfId="2758" xr:uid="{E2804F94-25ED-4788-82BE-91C3F186FC02}"/>
    <cellStyle name="Comma 9 7" xfId="2164" xr:uid="{7DCADAF5-05C5-482A-B7E8-2FECF1F6CD0C}"/>
    <cellStyle name="comma zerodec" xfId="53" xr:uid="{00000000-0005-0000-0000-000064000000}"/>
    <cellStyle name="Comma,0" xfId="191" xr:uid="{00000000-0005-0000-0000-0000EF000000}"/>
    <cellStyle name="Comma,1" xfId="193" xr:uid="{00000000-0005-0000-0000-0000F1000000}"/>
    <cellStyle name="Comma,2" xfId="195" xr:uid="{00000000-0005-0000-0000-0000F3000000}"/>
    <cellStyle name="Comma_A 8 2a CAL - Interim 2 2" xfId="1791" xr:uid="{35610F0B-CFEC-4DF5-8DD5-F1B3F08414BF}"/>
    <cellStyle name="consultationStyle" xfId="1289" xr:uid="{9D055094-443F-4E90-8605-04F22A546E3E}"/>
    <cellStyle name="Currency 2" xfId="2420" xr:uid="{3D966A13-9EC5-45F3-872D-92BCA2A117A3}"/>
    <cellStyle name="Currency 2 2" xfId="2410" xr:uid="{F2EC0F57-D5F3-469D-9631-5E3D17419650}"/>
    <cellStyle name="Currency 3" xfId="2418" xr:uid="{7D612F4B-DF94-4737-8B6D-09AC230B1725}"/>
    <cellStyle name="Currency 4" xfId="2422" xr:uid="{E5A019E2-9442-4D5E-8D31-4045B812AC93}"/>
    <cellStyle name="Currency 4 2" xfId="2431" xr:uid="{901B628C-0EC7-4947-AED1-455955853332}"/>
    <cellStyle name="Currency 5" xfId="2428" xr:uid="{54AF950A-C390-4B4A-9429-E0304D10ACF3}"/>
    <cellStyle name="Currency 6" xfId="2411" xr:uid="{3F668F65-AC0E-4556-B4A4-B5190597FBD2}"/>
    <cellStyle name="Currency 9" xfId="2442" xr:uid="{F835E264-99DB-4050-A1FA-030D9850E3A2}"/>
    <cellStyle name="Currency,0" xfId="196" xr:uid="{00000000-0005-0000-0000-0000F4000000}"/>
    <cellStyle name="Currency,2" xfId="197" xr:uid="{00000000-0005-0000-0000-0000F5000000}"/>
    <cellStyle name="Currency1" xfId="198" xr:uid="{00000000-0005-0000-0000-0000F6000000}"/>
    <cellStyle name="dataStyle" xfId="1290" xr:uid="{47FBD66B-EFB4-45ED-8DB7-3F9E1EBAE16F}"/>
    <cellStyle name="dataStyle 2" xfId="559" xr:uid="{F7812999-F59C-4BFB-94C7-9C68962B48DF}"/>
    <cellStyle name="dataStyle 2 2" xfId="560" xr:uid="{CD3DF81D-F4A7-452A-AD5A-4EC61493D5D6}"/>
    <cellStyle name="dataStyle 2 2 2" xfId="1292" xr:uid="{42C991D1-A760-43C3-BC6F-C6E4A380ECAB}"/>
    <cellStyle name="dataStyle 2 2 2 2" xfId="3349" xr:uid="{1390876A-1CF9-4DE6-BC17-E221FBB7616F}"/>
    <cellStyle name="dataStyle 2 2 3" xfId="2760" xr:uid="{EF3EE653-8EF6-4674-B1C1-674DD78A3463}"/>
    <cellStyle name="dataStyle 2 2 4" xfId="2172" xr:uid="{3FEED781-1DAB-4AA4-BCDB-1C854F42D12D}"/>
    <cellStyle name="dataStyle 2 3" xfId="1291" xr:uid="{595251F4-FDC2-4958-BC74-A8411B835C57}"/>
    <cellStyle name="dataStyle 2 3 2" xfId="3348" xr:uid="{F86FACA7-4BCA-4F6D-BEC8-91C7BA946E9F}"/>
    <cellStyle name="dataStyle 2 4" xfId="2759" xr:uid="{94EB002B-2F3D-40B6-8CE9-3C9932B7FDAF}"/>
    <cellStyle name="dataStyle 2 5" xfId="2171" xr:uid="{439F4AC3-9A34-4A6D-800B-A2C635379F05}"/>
    <cellStyle name="dataStyle 3" xfId="561" xr:uid="{3245BDD2-8EF4-4975-8AF0-6E47C09BC0F5}"/>
    <cellStyle name="dataStyle 3 2" xfId="562" xr:uid="{42DEA5DF-8D1F-4604-BCDD-0264BFF761AB}"/>
    <cellStyle name="dataStyle 3 2 2" xfId="1294" xr:uid="{462F5889-8A63-4A63-A110-43AB0A6A8159}"/>
    <cellStyle name="dataStyle 3 2 2 2" xfId="3351" xr:uid="{63E3177D-35DB-4307-8DFF-68D0BD054549}"/>
    <cellStyle name="dataStyle 3 2 3" xfId="2762" xr:uid="{46313693-F84B-4A45-A394-B9487DA52FF5}"/>
    <cellStyle name="dataStyle 3 2 4" xfId="2174" xr:uid="{19C51FEC-1306-44ED-9B95-4D42F930F125}"/>
    <cellStyle name="dataStyle 3 3" xfId="1293" xr:uid="{CFAF9D5C-824E-4506-A92F-008EB02F5ECB}"/>
    <cellStyle name="dataStyle 3 3 2" xfId="3350" xr:uid="{D42CF654-3B12-4688-8474-71BD80886000}"/>
    <cellStyle name="dataStyle 3 4" xfId="2761" xr:uid="{20BC0A80-49B8-40CB-8A57-9517ABA532AD}"/>
    <cellStyle name="dataStyle 3 5" xfId="2173" xr:uid="{BED4C60B-4777-496F-8B19-A05D42C3801B}"/>
    <cellStyle name="dataStyle 4" xfId="1295" xr:uid="{B4DA3301-CD67-4E60-B49F-FCED4E78E165}"/>
    <cellStyle name="dataStyle 4 2" xfId="3352" xr:uid="{F72ADFB5-BC7F-4419-8FF3-66D5637ED368}"/>
    <cellStyle name="dataStyle 4 3" xfId="2175" xr:uid="{D04DE10E-BB4F-436D-81C2-34620DFD6D04}"/>
    <cellStyle name="dataStyle 5" xfId="3347" xr:uid="{9D74AB7F-78A0-4219-AB97-922C10C7A04B}"/>
    <cellStyle name="dataStyle 6" xfId="2170" xr:uid="{8B4AC287-7488-4BD8-8A5D-D23C17D86947}"/>
    <cellStyle name="dateStyle" xfId="1296" xr:uid="{BFD63E60-38E0-4144-8E1B-8DA71DAE0E16}"/>
    <cellStyle name="dateStyle 2" xfId="1297" xr:uid="{7F5EE48F-8F2F-42F2-93C7-6C2D5D7AF845}"/>
    <cellStyle name="dateStyle 2 2" xfId="3354" xr:uid="{1B9841A7-6ECF-4B8E-AC28-D84EEC9087CC}"/>
    <cellStyle name="dateStyle 2 3" xfId="2177" xr:uid="{10488943-8B15-462A-BD71-498D3E51894E}"/>
    <cellStyle name="dateStyle 3" xfId="3353" xr:uid="{C60369F2-33E9-4F49-B191-F25DCF7A5BC1}"/>
    <cellStyle name="dateStyle 4" xfId="2176" xr:uid="{7F47DEFC-785F-4CD5-B812-0D942F97014B}"/>
    <cellStyle name="Dollar (zero dec)" xfId="200" xr:uid="{00000000-0005-0000-0000-0000F8000000}"/>
    <cellStyle name="entry" xfId="16" xr:uid="{00000000-0005-0000-0000-00001A000000}"/>
    <cellStyle name="entry box" xfId="201" xr:uid="{00000000-0005-0000-0000-0000F9000000}"/>
    <cellStyle name="entry box 2" xfId="761" xr:uid="{AF295251-7F53-45C7-8E3D-8B0080FE3134}"/>
    <cellStyle name="entry box 2 2" xfId="1299" xr:uid="{862AAEE9-FE68-4A78-8835-345AA7DD1734}"/>
    <cellStyle name="entry box 2 2 2" xfId="3356" xr:uid="{8BBE7798-CE50-46E1-8089-28770D6FA547}"/>
    <cellStyle name="entry box 2 3" xfId="2897" xr:uid="{136F6380-099C-4F4B-A187-17C49EC735B7}"/>
    <cellStyle name="entry box 2 4" xfId="2179" xr:uid="{A05B173E-D53F-41A9-B27B-4925325A574E}"/>
    <cellStyle name="entry box 3" xfId="1298" xr:uid="{5695C810-611C-4D02-8D10-8A8A5A4E42E2}"/>
    <cellStyle name="entry box 3 2" xfId="3355" xr:uid="{B16C6AE6-F35E-47F7-B73C-C0FC723F0441}"/>
    <cellStyle name="entry box 4" xfId="2557" xr:uid="{276EC1EB-7D50-4E25-AF3C-18D6639DA4D8}"/>
    <cellStyle name="entry box 5" xfId="2178" xr:uid="{C29AD214-982C-4BFE-8141-721D4BA148DC}"/>
    <cellStyle name="Euro" xfId="202" xr:uid="{00000000-0005-0000-0000-0000FA000000}"/>
    <cellStyle name="Euro 2" xfId="203" xr:uid="{00000000-0005-0000-0000-0000FB000000}"/>
    <cellStyle name="Euro 2 2" xfId="763" xr:uid="{2FD832FB-A697-4AE8-BB2F-2778FFE8D0B1}"/>
    <cellStyle name="Euro 3" xfId="762" xr:uid="{47BE0B4E-BE69-491C-91A2-9A56E5F78C7C}"/>
    <cellStyle name="evenStyle" xfId="1300" xr:uid="{85826CD5-6FF4-4D47-A7A2-C703EE966FEF}"/>
    <cellStyle name="evenStyle 2" xfId="1301" xr:uid="{79D1C6CF-9685-4CE2-A535-A6DBA2F6FE95}"/>
    <cellStyle name="evenStyle 2 2" xfId="3358" xr:uid="{7E2A773C-9F6A-4479-AF3A-15F0B84A1355}"/>
    <cellStyle name="evenStyle 2 3" xfId="2181" xr:uid="{B4FCE057-F726-4713-965F-79332FD23EE3}"/>
    <cellStyle name="evenStyle 3" xfId="3357" xr:uid="{337B84BB-0FE0-4B49-AD76-E6DA1A0AE34C}"/>
    <cellStyle name="evenStyle 4" xfId="2180" xr:uid="{5B3E0FFB-6C85-47E0-B653-8D3009E3D344}"/>
    <cellStyle name="Good 2" xfId="184" xr:uid="{00000000-0005-0000-0000-0000E7000000}"/>
    <cellStyle name="Good 2 2" xfId="755" xr:uid="{12892461-A04F-4864-AAEC-1C8692DD48BB}"/>
    <cellStyle name="Good 2 2 2" xfId="1302" xr:uid="{0550E7D2-6C51-4496-B29A-8E1BDCB776DB}"/>
    <cellStyle name="Good 2 2 3" xfId="2891" xr:uid="{061D2258-636B-48F6-9C33-EE3024E8A4E5}"/>
    <cellStyle name="Good 2 3" xfId="552" xr:uid="{6A91233C-2B45-45F8-B02B-C4A431C148C9}"/>
    <cellStyle name="Good 3" xfId="1303" xr:uid="{0CBAC73D-7CB3-4421-BBC9-E78ED9C823D6}"/>
    <cellStyle name="Good 4" xfId="1304" xr:uid="{F6A4E186-4A8D-4913-A273-95CCE2AE15E7}"/>
    <cellStyle name="Grey" xfId="204" xr:uid="{00000000-0005-0000-0000-0000FC000000}"/>
    <cellStyle name="HEADER" xfId="206" xr:uid="{00000000-0005-0000-0000-0000FE000000}"/>
    <cellStyle name="Header1" xfId="208" xr:uid="{00000000-0005-0000-0000-000000010000}"/>
    <cellStyle name="Header1 2" xfId="764" xr:uid="{61C650F6-BF7B-4FE2-92B1-574140CE4E0E}"/>
    <cellStyle name="Header1 2 2" xfId="3749" xr:uid="{1E3339F3-1C2A-400E-85F3-1EE724B898F3}"/>
    <cellStyle name="Header1 2 3" xfId="2898" xr:uid="{822E75B1-5AC6-4D95-9DB6-A8A10E01444D}"/>
    <cellStyle name="Header1 3" xfId="879" xr:uid="{A2761EB9-3692-48F9-AD96-B74A0F4F2E10}"/>
    <cellStyle name="Header1 3 2" xfId="2958" xr:uid="{63A5394B-6D64-407E-AB62-D46C763B0FB1}"/>
    <cellStyle name="Header1 4" xfId="1305" xr:uid="{D084596B-54C3-4B6D-A370-139AA84739C9}"/>
    <cellStyle name="Header1 4 2" xfId="3755" xr:uid="{013DCB30-F6BA-4334-8A86-75169FDCB09D}"/>
    <cellStyle name="Header1 4 3" xfId="3359" xr:uid="{D9775DC1-A080-4FAE-8BFA-18EED680545A}"/>
    <cellStyle name="Header1 5" xfId="2558" xr:uid="{E97BB4B1-0337-4BE9-8C31-70518D050375}"/>
    <cellStyle name="Header2" xfId="210" xr:uid="{00000000-0005-0000-0000-000002010000}"/>
    <cellStyle name="Header2 2" xfId="1306" xr:uid="{D0BB8316-7E66-4BF0-BE6B-AEBA5800BA22}"/>
    <cellStyle name="Header2 2 2" xfId="3360" xr:uid="{47D6AC82-4569-4E7F-9053-4180CCA5CC80}"/>
    <cellStyle name="Header2 3" xfId="2560" xr:uid="{101417D7-D5BA-4F3F-B5EE-43DE5BE20470}"/>
    <cellStyle name="headStyle" xfId="1307" xr:uid="{BF12E4DA-D127-4408-9D25-62EC294EE462}"/>
    <cellStyle name="headStyle 2" xfId="1308" xr:uid="{C587775F-0FBF-438E-8330-98DC7EF6A1CB}"/>
    <cellStyle name="headStyle 2 2" xfId="3362" xr:uid="{AE9AEE67-D8B6-44E1-8983-8B4AD1B65D21}"/>
    <cellStyle name="headStyle 2 3" xfId="2183" xr:uid="{F102F207-5D26-498F-9772-127FAF31B46C}"/>
    <cellStyle name="headStyle 3" xfId="3361" xr:uid="{9389D2EA-8541-4385-852F-B109B711299A}"/>
    <cellStyle name="headStyle 4" xfId="2182" xr:uid="{7AC4CAB1-D7A7-4012-BC98-1BF9ABA6BCD7}"/>
    <cellStyle name="Hyperlink" xfId="3760" xr:uid="{72276D89-D04E-4D60-B925-EE8B6A9B1C73}"/>
    <cellStyle name="Hyperlink 2" xfId="30" xr:uid="{00000000-0005-0000-0000-000043000000}"/>
    <cellStyle name="Hyperlink 2 2" xfId="564" xr:uid="{E58A9E62-1C95-44FA-AB7C-C586875F0F23}"/>
    <cellStyle name="Hyperlink 2 2 2" xfId="1310" xr:uid="{E5B49B11-A61B-42D0-AB77-280CB02F1C24}"/>
    <cellStyle name="Hyperlink 2 2 3" xfId="666" xr:uid="{B199F883-4B6C-4BC6-AA3F-E20D575C4DE7}"/>
    <cellStyle name="Hyperlink 2 2 4" xfId="1311" xr:uid="{1DE426C2-97EF-4466-B594-D1006586F9E7}"/>
    <cellStyle name="Hyperlink 2 2 5" xfId="1309" xr:uid="{863B2284-7526-48C4-BFB4-10D60D9E03C0}"/>
    <cellStyle name="Hyperlink 2 2 5 2" xfId="3363" xr:uid="{67385F6A-D361-4E56-BB73-CCD8CBA3ACC4}"/>
    <cellStyle name="Hyperlink 2 2 5 3" xfId="2443" xr:uid="{74CAE5A6-3D50-4990-A948-CB459F2B3EBC}"/>
    <cellStyle name="Hyperlink 2 3" xfId="678" xr:uid="{B3ED11CC-6FDF-4F7A-9007-B387703B613E}"/>
    <cellStyle name="Hyperlink 2 3 2" xfId="1312" xr:uid="{73FAA00F-EAEF-4C56-A12E-64F0F7B7A2E1}"/>
    <cellStyle name="Hyperlink 2 3 3" xfId="2829" xr:uid="{697200A7-416E-4685-86C0-83AEB00F5BBF}"/>
    <cellStyle name="Hyperlink 2 4" xfId="495" xr:uid="{E3F978A6-C67E-4BE5-B1CC-7A62C74EB458}"/>
    <cellStyle name="Hyperlink 2 4 2" xfId="2702" xr:uid="{CD8E0BF7-C2D5-4F57-8960-D968B0CE5E51}"/>
    <cellStyle name="Hyperlink 2 4 3" xfId="2436" xr:uid="{80826FF1-B452-4A4E-954A-640DBCA40611}"/>
    <cellStyle name="Hyperlink 3" xfId="34" xr:uid="{00000000-0005-0000-0000-000048000000}"/>
    <cellStyle name="Hyperlink 3 2" xfId="681" xr:uid="{25E89C30-3B68-4B46-BD4E-B2BFCB6670AF}"/>
    <cellStyle name="Hyperlink 3 2 2" xfId="2830" xr:uid="{FE046C70-4FB9-4F90-B08E-3FAD4D90723D}"/>
    <cellStyle name="Hyperlink 3 2 3" xfId="2448" xr:uid="{9319070F-DA55-47E7-909C-8DBF66751212}"/>
    <cellStyle name="Hyperlink 3 3" xfId="497" xr:uid="{F29D0AF6-D5D1-4067-89D7-572DE0770C6E}"/>
    <cellStyle name="Hyperlink 3 4" xfId="2473" xr:uid="{1066E7CE-4023-4246-99AC-BE91CA91BE67}"/>
    <cellStyle name="Hyperlink 4" xfId="35" xr:uid="{00000000-0005-0000-0000-00004C000000}"/>
    <cellStyle name="Hyperlink 4 2" xfId="565" xr:uid="{DE14FD8C-59D1-40A2-B87A-6D584C33F7EE}"/>
    <cellStyle name="Hyperlink 4 2 2" xfId="1314" xr:uid="{04820240-9892-4D7B-844F-ACD4AABB2362}"/>
    <cellStyle name="Hyperlink 4 2 3" xfId="1313" xr:uid="{B7D12341-622F-4188-9AE3-A32A2BC22613}"/>
    <cellStyle name="Hyperlink 4 3" xfId="682" xr:uid="{3979A81D-DF8D-4AC5-BE15-6BDB16316D1C}"/>
    <cellStyle name="Hyperlink 4 4" xfId="499" xr:uid="{FFFD4771-9551-479D-8882-836F2C8E4AB1}"/>
    <cellStyle name="Hyperlink 5" xfId="500" xr:uid="{8620B1D3-904F-4AFD-8675-F37266D1EF4D}"/>
    <cellStyle name="Hyperlink 5 2" xfId="1316" xr:uid="{7EEC17E5-AB19-4812-960F-CD70374B9F1F}"/>
    <cellStyle name="Hyperlink 5 3" xfId="1315" xr:uid="{515CB655-556F-4088-BF87-83EBECBAD7FE}"/>
    <cellStyle name="Hyperlink 5 4" xfId="2705" xr:uid="{4A695322-8EB2-4C34-9D1F-303498F38FBA}"/>
    <cellStyle name="Hyperlink 6" xfId="1317" xr:uid="{297ADB92-74FA-4230-82DF-F0A10E09E506}"/>
    <cellStyle name="Hyperlink 7" xfId="1639" xr:uid="{84E9BD95-9342-4F96-9A59-0D50314D2234}"/>
    <cellStyle name="Hyperlink 8" xfId="1650" xr:uid="{31A669FC-3507-4558-95E0-B9C32E8133F5}"/>
    <cellStyle name="Hyperlink 9" xfId="1794" xr:uid="{796E5989-A011-4B99-BB63-7849F4C2ABD9}"/>
    <cellStyle name="Input [yellow]" xfId="212" xr:uid="{00000000-0005-0000-0000-000004010000}"/>
    <cellStyle name="Input [yellow] 2" xfId="767" xr:uid="{5947E293-C930-46DF-A1CC-009F53A554AB}"/>
    <cellStyle name="Input [yellow] 2 2" xfId="1319" xr:uid="{5D5F883B-C43A-42E1-B021-66F99CF87AAE}"/>
    <cellStyle name="Input [yellow] 2 2 2" xfId="3365" xr:uid="{EED67235-FCCC-4BA1-8C53-ABC64A483577}"/>
    <cellStyle name="Input [yellow] 2 3" xfId="2900" xr:uid="{DDFF3841-15C5-43B8-884A-99814252FB04}"/>
    <cellStyle name="Input [yellow] 2 4" xfId="2185" xr:uid="{B4BC5813-C4CC-4534-A84D-7629F9E50D3B}"/>
    <cellStyle name="Input [yellow] 3" xfId="1318" xr:uid="{488BAA56-5EFC-48F1-A4E5-5DABCA09E744}"/>
    <cellStyle name="Input [yellow] 3 2" xfId="3364" xr:uid="{B77128B3-65D8-4FB7-8251-714F0B31646A}"/>
    <cellStyle name="Input [yellow] 4" xfId="2562" xr:uid="{38F720A2-2D3F-4F44-80BC-7B51A2096432}"/>
    <cellStyle name="Input [yellow] 5" xfId="2184" xr:uid="{81C31B4B-2BE3-4334-AE79-7DBE3F48D641}"/>
    <cellStyle name="Model" xfId="213" xr:uid="{00000000-0005-0000-0000-000005010000}"/>
    <cellStyle name="Model 2" xfId="215" xr:uid="{00000000-0005-0000-0000-000007010000}"/>
    <cellStyle name="Model 3" xfId="2563" xr:uid="{51770955-8937-426D-92F0-B149F64E4571}"/>
    <cellStyle name="Neutral 2" xfId="1320" xr:uid="{A803B74B-7C00-4B9E-B6C3-38D2C87B59F9}"/>
    <cellStyle name="Normal - Style1" xfId="216" xr:uid="{00000000-0005-0000-0000-000008010000}"/>
    <cellStyle name="Normal 10" xfId="440" xr:uid="{7AC34841-4F2B-4BE7-B1B0-6723D765BCCE}"/>
    <cellStyle name="Normal 10 10" xfId="218" xr:uid="{00000000-0005-0000-0000-00000A010000}"/>
    <cellStyle name="Normal 10 10 2" xfId="1321" xr:uid="{D34476C7-7847-4371-9545-008956B103B2}"/>
    <cellStyle name="Normal 10 2" xfId="456" xr:uid="{DA9A6B40-B111-45A7-BFEC-FA59454B80AA}"/>
    <cellStyle name="Normal 10 2 2" xfId="874" xr:uid="{42AFE79D-32AF-4958-94F8-B332BDE6327A}"/>
    <cellStyle name="Normal 10 2 2 2" xfId="457" xr:uid="{786940EC-F1AF-4967-AF9F-67DA1091D917}"/>
    <cellStyle name="Normal 10 2 2 3" xfId="1322" xr:uid="{C00A3949-D470-4DFC-A453-8F848387514F}"/>
    <cellStyle name="Normal 10 2 2 3 2" xfId="3366" xr:uid="{F1996B06-9D4E-4CBC-A3A2-D649BB53B0BE}"/>
    <cellStyle name="Normal 10 2 2 4" xfId="2953" xr:uid="{3879F3E6-043C-42D8-B386-AB4A235CEA2D}"/>
    <cellStyle name="Normal 10 2 2 5" xfId="2187" xr:uid="{52832DFB-40AA-428F-AFCC-525D9D8A7A41}"/>
    <cellStyle name="Normal 10 2 3" xfId="567" xr:uid="{A2014084-8A51-46D5-A283-A6418AE22E11}"/>
    <cellStyle name="Normal 10 2 4" xfId="1647" xr:uid="{019FF036-B3E9-46C4-B65B-809C1F33E03E}"/>
    <cellStyle name="Normal 10 2 4 2" xfId="3600" xr:uid="{ADC3882B-E069-4658-A43D-832C4D7A2ECF}"/>
    <cellStyle name="Normal 10 2 5" xfId="1785" xr:uid="{5AF80B7E-A324-4ABC-A1B4-2CC71CB0789E}"/>
    <cellStyle name="Normal 10 2 5 2" xfId="3733" xr:uid="{6781E686-4FAD-4AD4-A350-9C494384D209}"/>
    <cellStyle name="Normal 10 2 6" xfId="2674" xr:uid="{721FD1A3-6A75-454A-9A07-EDEA8B59F8BC}"/>
    <cellStyle name="Normal 10 2 7" xfId="2397" xr:uid="{1267089B-CF47-4120-9F80-4EC116C493B2}"/>
    <cellStyle name="Normal 10 3" xfId="868" xr:uid="{38A3FF0F-64B6-448F-A16F-CEF5ABE06FB4}"/>
    <cellStyle name="Normal 10 4" xfId="566" xr:uid="{512C5DA9-7BC1-4941-B08C-44DEECB30506}"/>
    <cellStyle name="Normal 10 5" xfId="2665" xr:uid="{9FC4517F-3C56-446C-A697-1FC91E86B61F}"/>
    <cellStyle name="Normal 10 6" xfId="2186" xr:uid="{31BE03B7-43D0-44F1-983F-82F8DFAF3257}"/>
    <cellStyle name="Normal 103" xfId="219" xr:uid="{00000000-0005-0000-0000-00000B010000}"/>
    <cellStyle name="Normal 103 2" xfId="446" xr:uid="{9F73644B-556E-4BC9-88E4-5015D308CC32}"/>
    <cellStyle name="Normal 103 2 2" xfId="569" xr:uid="{123E2101-E783-4BB1-B261-6BA57EEA057E}"/>
    <cellStyle name="Normal 103 2 3" xfId="869" xr:uid="{3556E2A5-9BA0-4E01-8936-41156D67EF98}"/>
    <cellStyle name="Normal 103 2 3 2" xfId="2948" xr:uid="{654DCEEE-BAD0-4458-96C7-702D3CBF113D}"/>
    <cellStyle name="Normal 103 2 4" xfId="568" xr:uid="{B351C715-C293-44AC-AB7C-D12F0FEF848E}"/>
    <cellStyle name="Normal 103 2 5" xfId="1783" xr:uid="{50D5CF0F-DD53-4F49-BDFC-427626A4DDBC}"/>
    <cellStyle name="Normal 103 2 5 2" xfId="3731" xr:uid="{A56987B0-F3C1-4A13-8FC9-4514E3C203DF}"/>
    <cellStyle name="Normal 103 2 6" xfId="2188" xr:uid="{F8A271B2-37AF-4A55-A5B6-A8A10E8B21DD}"/>
    <cellStyle name="Normal 103 3" xfId="570" xr:uid="{C6755073-35AD-4E6F-B431-5AB734ECCEF8}"/>
    <cellStyle name="Normal 103 4" xfId="1780" xr:uid="{5E233D14-288E-4546-8F98-F40E99921164}"/>
    <cellStyle name="Normal 103 4 2" xfId="642" xr:uid="{A926A3AC-358B-4E8F-97EA-D0F1EC550966}"/>
    <cellStyle name="Normal 103 4 3" xfId="3729" xr:uid="{E5FBE55E-57A2-4FE6-87DF-5F85E27C3800}"/>
    <cellStyle name="Normal 103 5" xfId="2564" xr:uid="{537C3AA8-AF36-45C3-A2AF-2C2BD78D2D8A}"/>
    <cellStyle name="Normal 103 6" xfId="1803" xr:uid="{396E8213-38A1-4BFF-B3B6-67873CD52A27}"/>
    <cellStyle name="Normal 106 2" xfId="1323" xr:uid="{5E9FE2BF-D9A7-4F2F-9F08-F01C9318FE5C}"/>
    <cellStyle name="Normal 106 2 2" xfId="2189" xr:uid="{554BBA31-5AA6-4569-B5B4-C24D2E19CA90}"/>
    <cellStyle name="Normal 11" xfId="571" xr:uid="{D3042D91-97A4-48D3-A751-83575189B061}"/>
    <cellStyle name="Normal 11 2" xfId="572" xr:uid="{1AC8B95A-4CB3-4999-87FE-0DC45E4C2F67}"/>
    <cellStyle name="Normal 11 3" xfId="1324" xr:uid="{2C54035F-7211-4699-83D3-0AF881C6252C}"/>
    <cellStyle name="Normal 11 3 2" xfId="3367" xr:uid="{FC4174E2-F962-4319-A4A9-12BA59FA7421}"/>
    <cellStyle name="Normal 11 4" xfId="2764" xr:uid="{6453065F-69A1-42C2-982B-B017E90391E7}"/>
    <cellStyle name="Normal 11 5" xfId="2190" xr:uid="{FA06C831-1F24-4114-A335-A41DE0FD7912}"/>
    <cellStyle name="Normal 111 2" xfId="120" xr:uid="{00000000-0005-0000-0000-0000A7000000}"/>
    <cellStyle name="Normal 111 2 2" xfId="122" xr:uid="{00000000-0005-0000-0000-0000A9000000}"/>
    <cellStyle name="Normal 111 2 2 2" xfId="891" xr:uid="{512D5BD9-2AA9-4281-BEC4-6D90B362AA06}"/>
    <cellStyle name="Normal 111 2 2 2 2" xfId="2969" xr:uid="{32103330-AD9C-4FF6-9175-78A29D96F071}"/>
    <cellStyle name="Normal 111 2 2 3" xfId="2503" xr:uid="{707BC48E-8E63-4352-A456-8764A1541935}"/>
    <cellStyle name="Normal 111 2 2 4" xfId="1818" xr:uid="{F587BE2B-526B-43CE-BCBC-90C37CC51C53}"/>
    <cellStyle name="Normal 111 2 3" xfId="453" xr:uid="{DE72FAA3-DAC2-4216-8280-64248C9A434E}"/>
    <cellStyle name="Normal 111 2 3 2" xfId="1325" xr:uid="{7118E6D6-85B2-4EE2-85C7-DDB4A214C104}"/>
    <cellStyle name="Normal 111 2 3 2 2" xfId="2192" xr:uid="{891F13EC-9AE4-47DC-82EF-D5FC2394CA2F}"/>
    <cellStyle name="Normal 111 2 3 3" xfId="2191" xr:uid="{5077E321-4810-4555-B720-2B6176FF8906}"/>
    <cellStyle name="Normal 111 2 4" xfId="2501" xr:uid="{659E3BD2-351C-4F6D-8719-2DD14AB7750A}"/>
    <cellStyle name="Normal 111 2 5" xfId="1814" xr:uid="{B2F1FBC1-D8EE-4729-8359-075AFC9E2B1C}"/>
    <cellStyle name="Normal 118" xfId="461" xr:uid="{CF27BFE8-9A6F-4BCA-8912-B55722EAC074}"/>
    <cellStyle name="Normal 118 2" xfId="1326" xr:uid="{9E816BAF-BD60-4BD1-B236-31CDE0770282}"/>
    <cellStyle name="Normal 118 2 2" xfId="2193" xr:uid="{8CC24D4B-98D8-4D9D-800B-2BE222C777BD}"/>
    <cellStyle name="Normal 118 3" xfId="1778" xr:uid="{8458F975-F278-4547-8420-D4DC7A0719EF}"/>
    <cellStyle name="Normal 118 3 2" xfId="3727" xr:uid="{CABB72A1-EBEE-41A8-A27A-AB7FB08802EC}"/>
    <cellStyle name="Normal 118 3 3" xfId="2439" xr:uid="{6824478C-ABB1-4B3E-87F9-C4262A0FF2BF}"/>
    <cellStyle name="Normal 118 4" xfId="1810" xr:uid="{9743D00E-E4B1-45D9-87A7-5D6414C31EA1}"/>
    <cellStyle name="Normal 12" xfId="472" xr:uid="{AE2A625B-C9C8-46A2-AD74-07EA5AEA06A8}"/>
    <cellStyle name="Normal 12 2" xfId="69" xr:uid="{00000000-0005-0000-0000-000074000000}"/>
    <cellStyle name="Normal 12 2 2" xfId="1633" xr:uid="{C123345C-D635-4127-B021-82C2EB54A477}"/>
    <cellStyle name="Normal 12 2 2 2" xfId="3588" xr:uid="{06B7A092-7141-43CE-AF93-12A57EBDCBD2}"/>
    <cellStyle name="Normal 12 2 2 2 2" xfId="442" xr:uid="{869BCF5F-AF63-46D5-9165-30C969BD1E70}"/>
    <cellStyle name="Normal 12 2 3" xfId="2481" xr:uid="{5776C4E7-7E9E-4CC0-A8C1-8740ECE82173}"/>
    <cellStyle name="Normal 12 2 4" xfId="2383" xr:uid="{78B714B4-A36E-4C24-BBE7-81D7F246086B}"/>
    <cellStyle name="Normal 12 3" xfId="890" xr:uid="{3E056E7D-37CF-481A-B9A5-DD1E463BB4E1}"/>
    <cellStyle name="Normal 12 3 2" xfId="2968" xr:uid="{493D450E-A6F1-4DDC-86C8-54559E8D853B}"/>
    <cellStyle name="Normal 12 4" xfId="2682" xr:uid="{EAEA9EE3-DEA7-40E5-B652-C9D1544454A7}"/>
    <cellStyle name="Normal 12 5" xfId="1817" xr:uid="{22B4D0B7-C23E-4AFA-9B29-C41429571FDA}"/>
    <cellStyle name="Normal 121" xfId="573" xr:uid="{3C5D1D64-601B-4589-A41B-25F0195D23F9}"/>
    <cellStyle name="Normal 121 2" xfId="220" xr:uid="{00000000-0005-0000-0000-00000C010000}"/>
    <cellStyle name="Normal 121 2 2" xfId="221" xr:uid="{00000000-0005-0000-0000-00000D010000}"/>
    <cellStyle name="Normal 121 2 2 2" xfId="224" xr:uid="{00000000-0005-0000-0000-000010010000}"/>
    <cellStyle name="Normal 121 2 2 2 2" xfId="226" xr:uid="{00000000-0005-0000-0000-000012010000}"/>
    <cellStyle name="Normal 121 2 2 2 2 2" xfId="1329" xr:uid="{79E4E425-78A1-4F87-8AA8-F43DD1F75D7D}"/>
    <cellStyle name="Normal 121 2 2 2 2 2 2" xfId="3370" xr:uid="{9009BA5A-1BF8-4906-BEF6-5F084A9F856A}"/>
    <cellStyle name="Normal 121 2 2 2 2 3" xfId="2567" xr:uid="{70A3466D-335B-4445-96FB-8E8FEFBC39B8}"/>
    <cellStyle name="Normal 121 2 2 2 2 4" xfId="2196" xr:uid="{B44892B8-84DA-49B7-B47A-6BD4890F6AD6}"/>
    <cellStyle name="Normal 121 2 2 2 3" xfId="1328" xr:uid="{EFBDE526-E782-48B2-9CDC-1ECE3EA6D401}"/>
    <cellStyle name="Normal 121 2 2 2 3 2" xfId="3369" xr:uid="{5944C454-B031-4B63-AD3D-114DD4DC1C98}"/>
    <cellStyle name="Normal 121 2 2 2 4" xfId="462" xr:uid="{AB9AEBCB-D071-448B-A807-A13DF70F93F4}"/>
    <cellStyle name="Normal 121 2 2 2 5" xfId="2195" xr:uid="{119B6436-2EB0-4979-B982-5FF5D8D33810}"/>
    <cellStyle name="Normal 121 2 2 3" xfId="1330" xr:uid="{86C416D9-530A-4729-A896-86D538BBFCD2}"/>
    <cellStyle name="Normal 121 2 2 3 2" xfId="2197" xr:uid="{03E51F26-B592-4098-834B-2EF60AAC3100}"/>
    <cellStyle name="Normal 121 2 2 4" xfId="886" xr:uid="{78FC4CAB-CB49-49B4-8F78-CD75D5F8274D}"/>
    <cellStyle name="Normal 121 2 2 4 2" xfId="2964" xr:uid="{091A1C6E-FC5A-4252-BB0B-E846AAB523EF}"/>
    <cellStyle name="Normal 121 2 2 5" xfId="1812" xr:uid="{4ED49569-526C-4C9B-8FB5-DC5FED54D93B}"/>
    <cellStyle name="Normal 121 2 3" xfId="227" xr:uid="{00000000-0005-0000-0000-000013010000}"/>
    <cellStyle name="Normal 121 2 3 2" xfId="1332" xr:uid="{D7948226-F06A-4AF6-8D13-5D4B33C755DE}"/>
    <cellStyle name="Normal 121 2 3 2 2" xfId="2199" xr:uid="{3F885424-4268-452F-8B99-65C8E1EA863A}"/>
    <cellStyle name="Normal 121 2 3 3" xfId="1331" xr:uid="{D4D15EF0-4FF9-4FE0-B7E8-F1E28176265C}"/>
    <cellStyle name="Normal 121 2 3 3 2" xfId="3371" xr:uid="{8E8A8C14-B2B1-4359-98C7-6C52743437FE}"/>
    <cellStyle name="Normal 121 2 3 4" xfId="2568" xr:uid="{4A937139-98CC-4E1C-A3A0-ACC4B7B11349}"/>
    <cellStyle name="Normal 121 2 3 5" xfId="2198" xr:uid="{8A3554AD-AF88-4BA9-BEEC-EC324AB4ADFB}"/>
    <cellStyle name="Normal 121 2 4" xfId="60" xr:uid="{00000000-0005-0000-0000-00006B000000}"/>
    <cellStyle name="Normal 121 2 4 2" xfId="1333" xr:uid="{95E8FD07-703E-4B45-B14B-216469C902AE}"/>
    <cellStyle name="Normal 121 2 4 2 2" xfId="3372" xr:uid="{0933A218-940C-4C12-B441-7CFBD4400932}"/>
    <cellStyle name="Normal 121 2 4 3" xfId="2479" xr:uid="{00A3CD7F-3836-45E6-8FD3-74A7023B8171}"/>
    <cellStyle name="Normal 121 2 4 4" xfId="2200" xr:uid="{83FCCACF-0A04-49F1-A479-FED85BAE8FDB}"/>
    <cellStyle name="Normal 121 2 5" xfId="885" xr:uid="{3BD56183-BE9C-482B-B155-548D2F9E5D63}"/>
    <cellStyle name="Normal 121 2 5 2" xfId="2963" xr:uid="{B7FB60F5-07FE-402C-946F-0A5C0C8A12DD}"/>
    <cellStyle name="Normal 121 2 5 3" xfId="2438" xr:uid="{73964790-E4C7-4B80-A1BB-3E4988719096}"/>
    <cellStyle name="Normal 121 2 6" xfId="1809" xr:uid="{E6A329C6-DA72-4B50-974C-2AA31E276E40}"/>
    <cellStyle name="Normal 121 3" xfId="1327" xr:uid="{D72B97EB-1C55-42CC-9489-1419560825E4}"/>
    <cellStyle name="Normal 121 3 2" xfId="3368" xr:uid="{070AAB8E-6568-460A-BD4B-3750E112C3A6}"/>
    <cellStyle name="Normal 121 4" xfId="658" xr:uid="{B2FD9E6B-6302-4863-A8D1-7434CC2E7071}"/>
    <cellStyle name="Normal 121 5" xfId="2194" xr:uid="{0393DD8E-0BC2-44D6-A9BF-4B9EE7F75064}"/>
    <cellStyle name="Normal 124" xfId="1334" xr:uid="{786838E3-0BE4-457F-A319-A229BEB45B49}"/>
    <cellStyle name="Normal 124 2" xfId="1335" xr:uid="{13CA3E16-8BA6-46B7-8E7E-BBFBC64CDEA2}"/>
    <cellStyle name="Normal 124 2 2" xfId="1336" xr:uid="{68A21D54-5B4D-4F58-BD81-D4BEB65FD10D}"/>
    <cellStyle name="Normal 124 2 2 2" xfId="2202" xr:uid="{DB5D727A-F690-427A-A4BC-8F29A75F7D70}"/>
    <cellStyle name="Normal 124 2 3" xfId="2201" xr:uid="{CE8EE147-27DD-4F32-A4B1-09C35114339E}"/>
    <cellStyle name="Normal 125" xfId="491" xr:uid="{5FCE0C57-43C5-4DE1-8830-793F7362D4AE}"/>
    <cellStyle name="Normal 125 2" xfId="574" xr:uid="{389FF6E4-A5C7-4DCC-891E-2D7BF4D6E8F5}"/>
    <cellStyle name="Normal 125 2 2" xfId="1339" xr:uid="{23650D81-9CA9-43AE-88F5-5A912AA1477B}"/>
    <cellStyle name="Normal 125 2 2 2" xfId="2205" xr:uid="{9BDBBFC6-3144-4D18-8944-39BAA8C1A604}"/>
    <cellStyle name="Normal 125 2 3" xfId="1338" xr:uid="{7E9BFD55-90DC-4DA1-8385-85EC7B0438B8}"/>
    <cellStyle name="Normal 125 2 3 2" xfId="3374" xr:uid="{26188454-B825-4BB5-8F95-5BB829E410B9}"/>
    <cellStyle name="Normal 125 2 4" xfId="2765" xr:uid="{84574745-BC15-4BB4-AD52-563334363E02}"/>
    <cellStyle name="Normal 125 2 5" xfId="2204" xr:uid="{D2770725-4F81-41A1-B627-377C222FBEC4}"/>
    <cellStyle name="Normal 125 3" xfId="1340" xr:uid="{66C7C92F-7C10-41EB-9DC5-E83441929D90}"/>
    <cellStyle name="Normal 125 3 2" xfId="2206" xr:uid="{5B461336-14EC-499B-B50B-920412D84E06}"/>
    <cellStyle name="Normal 125 4" xfId="1337" xr:uid="{687401C4-5491-4839-940B-0A65E025ABE1}"/>
    <cellStyle name="Normal 125 4 2" xfId="3373" xr:uid="{A947980C-84AD-4405-95E0-C4213891D5C9}"/>
    <cellStyle name="Normal 125 5" xfId="2698" xr:uid="{D2B92945-B0CD-4442-8EEF-6725A3F9ABB1}"/>
    <cellStyle name="Normal 125 6" xfId="2203" xr:uid="{A35FB6B1-4BC5-443D-BF45-DEC4D7B041BC}"/>
    <cellStyle name="Normal 126" xfId="7" xr:uid="{00000000-0005-0000-0000-00000C000000}"/>
    <cellStyle name="Normal 126 2" xfId="575" xr:uid="{E2A99115-9180-4686-A366-A329463F39E5}"/>
    <cellStyle name="Normal 126 2 2" xfId="1343" xr:uid="{64387AA0-875C-4A39-A51D-C64F23292E10}"/>
    <cellStyle name="Normal 126 2 2 2" xfId="2209" xr:uid="{23B7FE29-87C9-4F33-8371-5E6A2933F8C3}"/>
    <cellStyle name="Normal 126 2 3" xfId="1342" xr:uid="{7A9C07B4-0767-4A7E-813D-252F679B4F39}"/>
    <cellStyle name="Normal 126 2 3 2" xfId="3376" xr:uid="{466B27A9-BEAD-4322-9BA9-6F9FB08F25DA}"/>
    <cellStyle name="Normal 126 2 4" xfId="2766" xr:uid="{69CB6307-C2F9-4439-AFB6-BB1F4F675211}"/>
    <cellStyle name="Normal 126 2 5" xfId="2208" xr:uid="{DCC3A155-1E03-455F-AACD-BCD099165704}"/>
    <cellStyle name="Normal 126 3" xfId="1344" xr:uid="{A4BB8197-14D6-4FD5-9B17-08121835A3F2}"/>
    <cellStyle name="Normal 126 3 2" xfId="2210" xr:uid="{E43F4C9B-3BB8-403E-BC33-51812739EAC1}"/>
    <cellStyle name="Normal 126 4" xfId="1341" xr:uid="{2FDE2DFC-E99C-49EA-92BC-A8484E2BE701}"/>
    <cellStyle name="Normal 126 4 2" xfId="3375" xr:uid="{4DA54A2E-AD5E-4B52-A028-7A1DD5BF5636}"/>
    <cellStyle name="Normal 126 5" xfId="2461" xr:uid="{661E0DD8-B2AB-44C3-B55C-D7190EE638A6}"/>
    <cellStyle name="Normal 126 6" xfId="2207" xr:uid="{4662FD29-0C40-48FB-AAA5-4326FFDFD93A}"/>
    <cellStyle name="Normal 129" xfId="1345" xr:uid="{A572F53D-6F4B-4A75-8BF8-7DE069877ADF}"/>
    <cellStyle name="Normal 129 2" xfId="1346" xr:uid="{4AF05083-570F-4180-AA89-6BD99F06844D}"/>
    <cellStyle name="Normal 129 2 2" xfId="2212" xr:uid="{E99844CB-DF41-4B4F-BAA9-B65AA44A6208}"/>
    <cellStyle name="Normal 129 3" xfId="2211" xr:uid="{A1B9C222-DC95-483C-BC77-C883C2F3922E}"/>
    <cellStyle name="Normal 13" xfId="228" xr:uid="{00000000-0005-0000-0000-000014010000}"/>
    <cellStyle name="Normal 13 2" xfId="770" xr:uid="{17E31AC8-5C91-48F4-9AE2-4C3C35CD3D3E}"/>
    <cellStyle name="Normal 13 2 2" xfId="1644" xr:uid="{FEF0849B-9E38-43EC-A330-748D3C4A05E2}"/>
    <cellStyle name="Normal 13 2 2 2" xfId="3597" xr:uid="{FC27BAFF-D5B6-491D-BD37-7338CE4C0EAA}"/>
    <cellStyle name="Normal 13 2 3" xfId="2901" xr:uid="{5921ABB1-B3ED-481C-BDD2-377A60CE7D90}"/>
    <cellStyle name="Normal 13 2 4" xfId="2392" xr:uid="{7FF6000D-F25D-4506-A4F2-A66070BAF262}"/>
    <cellStyle name="Normal 13 3" xfId="576" xr:uid="{2BE8BFE8-5E44-4832-8474-15307DCF8DD1}"/>
    <cellStyle name="Normal 13 4" xfId="1634" xr:uid="{90CF9155-06E8-423E-9D38-74D6DA6F2B67}"/>
    <cellStyle name="Normal 13 5" xfId="2569" xr:uid="{C572E125-4A67-4661-8B70-7B9E94ABF468}"/>
    <cellStyle name="Normal 14" xfId="650" xr:uid="{B701D71F-1AA8-4C13-A5BF-E8E2B3F6EE78}"/>
    <cellStyle name="Normal 14 2" xfId="638" xr:uid="{B419FA54-FED9-4F01-9BF0-B3687191EBAF}"/>
    <cellStyle name="Normal 14 3" xfId="653" xr:uid="{BA19E255-8225-44ED-93E6-5729DE5C91DC}"/>
    <cellStyle name="Normal 14 4" xfId="1642" xr:uid="{508DAC95-24F2-4B0C-A789-9FCB4A2A4D13}"/>
    <cellStyle name="Normal 14 4 2" xfId="3595" xr:uid="{571597A6-CBB9-445C-8A8F-D443815595D7}"/>
    <cellStyle name="Normal 14 5" xfId="2810" xr:uid="{A4FB56E6-B8B2-437D-80EC-95C2765CCEC8}"/>
    <cellStyle name="Normal 14 6" xfId="2390" xr:uid="{87A721BC-7EA3-40F9-BFC1-F1CE8784E013}"/>
    <cellStyle name="Normal 15" xfId="651" xr:uid="{20AD8A25-1726-45BD-8DED-824EF8FA809C}"/>
    <cellStyle name="Normal 15 2" xfId="656" xr:uid="{11E23A9A-CAB8-4E2D-AA44-DD142DCBE9B4}"/>
    <cellStyle name="Normal 15 2 2" xfId="663" xr:uid="{B2C8C11F-2E41-4B9C-ACD1-7FD82C579DCB}"/>
    <cellStyle name="Normal 15 2 3" xfId="2815" xr:uid="{E5C5AB76-027E-45B7-A199-FDBA89C01407}"/>
    <cellStyle name="Normal 15 3" xfId="2811" xr:uid="{E71F8E97-9286-4503-A8FB-CD07BC865A76}"/>
    <cellStyle name="Normal 16" xfId="655" xr:uid="{85C8AF91-BDE4-4014-BAE6-B16EF7BD1E7D}"/>
    <cellStyle name="Normal 16 2" xfId="661" xr:uid="{72003A63-06DC-4641-A06A-157539E851D4}"/>
    <cellStyle name="Normal 16 2 2" xfId="2819" xr:uid="{9B5A66AA-F7EB-4C47-AC95-D9669235BE61}"/>
    <cellStyle name="Normal 16 3" xfId="2814" xr:uid="{188081EE-5CCD-4765-8290-CB2B72096118}"/>
    <cellStyle name="Normal 17" xfId="664" xr:uid="{EE0EFD74-3125-44D9-9412-30C0585527A7}"/>
    <cellStyle name="Normal 17 2" xfId="3759" xr:uid="{A2F47D20-7A01-47A0-9BDE-1F10A74ED016}"/>
    <cellStyle name="Normal 18" xfId="1777" xr:uid="{99FBBBC4-4B50-4650-9E88-AA5709522D4D}"/>
    <cellStyle name="Normal 18 2" xfId="3726" xr:uid="{5832C297-D333-4F00-B097-4B9BA06C9BDE}"/>
    <cellStyle name="Normal 182" xfId="229" xr:uid="{00000000-0005-0000-0000-000015010000}"/>
    <cellStyle name="Normal 182 2" xfId="230" xr:uid="{00000000-0005-0000-0000-000016010000}"/>
    <cellStyle name="Normal 182 2 2" xfId="1348" xr:uid="{DECC28FE-35E7-4A36-93F3-7C5EA338DCA5}"/>
    <cellStyle name="Normal 182 2 2 2" xfId="3378" xr:uid="{9D0F53CB-AC47-41CE-9B9A-28E2B32508B8}"/>
    <cellStyle name="Normal 182 2 3" xfId="2571" xr:uid="{2D8575A6-76E8-412C-B49A-30CA8CFDD9F2}"/>
    <cellStyle name="Normal 182 2 4" xfId="2214" xr:uid="{7F088606-E734-4A1D-B583-F48C1874C6CA}"/>
    <cellStyle name="Normal 182 3" xfId="1347" xr:uid="{90DA62BC-F1CC-4204-BCCD-8E52BB64DCA5}"/>
    <cellStyle name="Normal 182 3 2" xfId="3377" xr:uid="{B987F9C7-3AF7-4EDD-B5D6-9B6CBF95470E}"/>
    <cellStyle name="Normal 182 4" xfId="2570" xr:uid="{85971AB9-CA15-436D-A2E3-F2195D50DA32}"/>
    <cellStyle name="Normal 182 5" xfId="2213" xr:uid="{9CB3878C-3DD1-420A-A615-56BF5AD8A5B3}"/>
    <cellStyle name="Normal 19" xfId="1787" xr:uid="{7ECD104C-4F6B-419B-B97A-DEB06350ACE1}"/>
    <cellStyle name="Normal 2" xfId="233" xr:uid="{00000000-0005-0000-0000-000019010000}"/>
    <cellStyle name="Normal 2 10" xfId="657" xr:uid="{36BD7270-21EE-4CD0-A1CE-CF053BBAAA7B}"/>
    <cellStyle name="Normal 2 10 2" xfId="460" xr:uid="{C8ACD779-E315-4BEE-BDEF-FAB8F6BA8358}"/>
    <cellStyle name="Normal 2 10 2 2" xfId="1349" xr:uid="{7D0A77DC-5E29-4E23-8AEA-8839CF6914C1}"/>
    <cellStyle name="Normal 2 10 3" xfId="1649" xr:uid="{B3690EA3-DA2A-41F8-91C7-4DB1305BB26D}"/>
    <cellStyle name="Normal 2 10 4" xfId="2816" xr:uid="{63422A02-2263-40A2-9274-8D47C1EC9935}"/>
    <cellStyle name="Normal 2 11" xfId="1790" xr:uid="{D517855C-097F-4396-ACB6-007814D1C249}"/>
    <cellStyle name="Normal 2 12" xfId="2574" xr:uid="{F801F53B-41EE-4953-8776-2E88C0E329C0}"/>
    <cellStyle name="Normal 2 16" xfId="1350" xr:uid="{C54EAFE6-9652-42E4-8275-322FF98D59C8}"/>
    <cellStyle name="Normal 2 18" xfId="1351" xr:uid="{71D2A60F-6C88-4B33-A726-801B4BB18CF7}"/>
    <cellStyle name="Normal 2 2" xfId="235" xr:uid="{00000000-0005-0000-0000-00001B010000}"/>
    <cellStyle name="Normal 2 2 2" xfId="199" xr:uid="{00000000-0005-0000-0000-0000F7000000}"/>
    <cellStyle name="Normal 2 2 2 2" xfId="444" xr:uid="{F3E73E33-839F-44D3-B75F-64D5FF4B9BC0}"/>
    <cellStyle name="Normal 2 2 2 2 2" xfId="466" xr:uid="{97E0B01D-92D1-478F-A63F-9507DF9AD710}"/>
    <cellStyle name="Normal 2 2 2 2 2 2" xfId="2676" xr:uid="{1FF0C7BB-64E2-43C1-B21C-E0A14B4F5A5A}"/>
    <cellStyle name="Normal 2 2 2 2 2 3" xfId="2451" xr:uid="{0D78B341-BF22-4BCA-A7FE-344E135F19EC}"/>
    <cellStyle name="Normal 2 2 2 2 3" xfId="1352" xr:uid="{A53E3ADE-7B30-46F3-9249-31915B6B367A}"/>
    <cellStyle name="Normal 2 2 2 2 3 2" xfId="3379" xr:uid="{6CDB8628-6CD7-46FB-AC5A-8310AD07AFD5}"/>
    <cellStyle name="Normal 2 2 2 2 4" xfId="2666" xr:uid="{DB91A792-4820-4D47-A08E-E1FD395F5173}"/>
    <cellStyle name="Normal 2 2 2 2 5" xfId="2215" xr:uid="{A6CEF102-F68B-4F79-965B-A042D2A31BED}"/>
    <cellStyle name="Normal 2 2 2 3" xfId="579" xr:uid="{CF7A816A-416D-4B68-8C97-AFA61B99E0F9}"/>
    <cellStyle name="Normal 2 2 2 3 2" xfId="2768" xr:uid="{F0DB9978-6047-4640-92C4-C89CD478890B}"/>
    <cellStyle name="Normal 2 2 2 3 3" xfId="2435" xr:uid="{88DA959F-E1F3-435C-B33B-92084445662E}"/>
    <cellStyle name="Normal 2 2 2 4" xfId="2556" xr:uid="{4C7CD294-DE9C-494C-98C0-277FE401ED4A}"/>
    <cellStyle name="Normal 2 2 3" xfId="463" xr:uid="{ACD02C79-CCB1-4E1C-B319-7E501B3CCF32}"/>
    <cellStyle name="Normal 2 2 3 2" xfId="237" xr:uid="{00000000-0005-0000-0000-00001D010000}"/>
    <cellStyle name="Normal 2 2 3 2 2" xfId="884" xr:uid="{9FB2B9D1-AF78-42F4-BEB9-006CD4CDDC31}"/>
    <cellStyle name="Normal 2 2 3 2 3" xfId="2576" xr:uid="{5DBF74D5-BECF-48AB-B8BB-2EE6FED85788}"/>
    <cellStyle name="Normal 2 2 3 3" xfId="1788" xr:uid="{20291464-AAC9-46BA-BB8D-3680731D039A}"/>
    <cellStyle name="Normal 2 2 4" xfId="464" xr:uid="{6AE11B31-A202-4101-AB77-8B27078DB390}"/>
    <cellStyle name="Normal 2 2 5" xfId="2415" xr:uid="{6E821F9D-E6D9-4905-A9BD-12F5BADB5CBD}"/>
    <cellStyle name="Normal 2 2_2" xfId="1353" xr:uid="{CB9F07F1-A612-4212-BE89-A6BC031C6D1F}"/>
    <cellStyle name="Normal 2 24" xfId="238" xr:uid="{00000000-0005-0000-0000-00001E010000}"/>
    <cellStyle name="Normal 2 3" xfId="239" xr:uid="{00000000-0005-0000-0000-00001F010000}"/>
    <cellStyle name="Normal 2 3 2" xfId="240" xr:uid="{00000000-0005-0000-0000-000020010000}"/>
    <cellStyle name="Normal 2 3 2 2" xfId="24" xr:uid="{00000000-0005-0000-0000-000033000000}"/>
    <cellStyle name="Normal 2 3 2 2 2" xfId="103" xr:uid="{00000000-0005-0000-0000-000096000000}"/>
    <cellStyle name="Normal 2 3 2 2 2 2" xfId="467" xr:uid="{50EBF6DF-6A7F-47DF-B853-083FCE91E907}"/>
    <cellStyle name="Normal 2 3 2 2 2 2 2" xfId="2677" xr:uid="{5548D8FA-D9C7-4590-9BA1-BD59A2AB1716}"/>
    <cellStyle name="Normal 2 3 2 2 2 3" xfId="2493" xr:uid="{A779850C-66D7-4C0E-8555-29413B0D8AD1}"/>
    <cellStyle name="Normal 2 3 2 2 2 4" xfId="2217" xr:uid="{86D2B535-79FD-470B-9E52-1B248996DADC}"/>
    <cellStyle name="Normal 2 3 2 2 3" xfId="106" xr:uid="{00000000-0005-0000-0000-000099000000}"/>
    <cellStyle name="Normal 2 3 2 2 3 2" xfId="1354" xr:uid="{4FB7F4F3-0095-466A-92E2-8FEDB5221AA4}"/>
    <cellStyle name="Normal 2 3 2 2 3 2 2" xfId="3380" xr:uid="{596A5157-0A7C-46AA-BA79-3FE2A336F888}"/>
    <cellStyle name="Normal 2 3 2 2 3 3" xfId="2495" xr:uid="{90D0F341-4BFC-4CA1-B822-C29F3EA2F209}"/>
    <cellStyle name="Normal 2 3 2 2 3 4" xfId="2218" xr:uid="{BB4B7334-41C5-4927-BA12-1B19F6D9667E}"/>
    <cellStyle name="Normal 2 3 2 2 4" xfId="449" xr:uid="{D9F61181-D2D8-440D-929A-FBBF3239461D}"/>
    <cellStyle name="Normal 2 3 2 2 4 2" xfId="2670" xr:uid="{F3E5E30B-BFD5-4797-83DE-3D9A87CF7478}"/>
    <cellStyle name="Normal 2 3 2 2 5" xfId="2467" xr:uid="{259350D7-FF3C-4952-93CC-29E2AA907753}"/>
    <cellStyle name="Normal 2 3 2 2 6" xfId="1808" xr:uid="{45816B91-94BE-4937-8A47-6F90BFA6C90D}"/>
    <cellStyle name="Normal 2 3 2 3" xfId="515" xr:uid="{2715361D-5418-40E1-BC73-F013C02368B5}"/>
    <cellStyle name="Normal 2 3 2 3 2" xfId="1355" xr:uid="{4BD3E58F-F39B-4F08-8947-A2EA836D20F6}"/>
    <cellStyle name="Normal 2 3 2 3 2 2" xfId="3381" xr:uid="{308FA366-8A02-438C-B055-B8B707F728B0}"/>
    <cellStyle name="Normal 2 3 2 3 3" xfId="2717" xr:uid="{D53468A1-AE70-4E24-89DE-8B826F829E2A}"/>
    <cellStyle name="Normal 2 3 2 3 4" xfId="2219" xr:uid="{1C6361D3-1A86-45AA-AC9B-7064C21B485A}"/>
    <cellStyle name="Normal 2 3 2 4" xfId="1356" xr:uid="{C9E4C69F-6EC7-432B-A4E6-950E73CEF046}"/>
    <cellStyle name="Normal 2 3 2 4 2" xfId="2220" xr:uid="{BA02103F-CF8A-451A-91CF-EAA8844D586B}"/>
    <cellStyle name="Normal 2 3 2 5" xfId="2578" xr:uid="{305235E6-1267-400C-B1D7-54F4D02EFA98}"/>
    <cellStyle name="Normal 2 3 2 6" xfId="2216" xr:uid="{C7C20FA0-7993-4504-AF3A-DAAB343DCD34}"/>
    <cellStyle name="Normal 2 3 3" xfId="242" xr:uid="{00000000-0005-0000-0000-000022010000}"/>
    <cellStyle name="Normal 2 3 3 2" xfId="244" xr:uid="{00000000-0005-0000-0000-000024010000}"/>
    <cellStyle name="Normal 2 3 3 2 2" xfId="883" xr:uid="{1C0ACBFB-BE77-44C2-B6B7-630A9A888660}"/>
    <cellStyle name="Normal 2 3 3 2 2 2" xfId="2962" xr:uid="{20CE2D85-85AF-4CCB-840C-822C8A86336B}"/>
    <cellStyle name="Normal 2 3 3 2 3" xfId="2582" xr:uid="{EA3F2E66-8038-4EA2-90C3-AB894D51A7B9}"/>
    <cellStyle name="Normal 2 3 3 2 4" xfId="1807" xr:uid="{CECA2561-BF3B-4C9C-A870-5BFC63569BA0}"/>
    <cellStyle name="Normal 2 3 3 3" xfId="882" xr:uid="{B60A196E-D143-4BC9-A3A9-E3E67BB7B086}"/>
    <cellStyle name="Normal 2 3 3 3 2" xfId="2961" xr:uid="{CAC3C2C8-DEB3-497B-80AE-8D0961DCBB1D}"/>
    <cellStyle name="Normal 2 3 3 4" xfId="2580" xr:uid="{E6B38C3B-6214-4A6B-83B5-1B7BBF9029F9}"/>
    <cellStyle name="Normal 2 3 3 5" xfId="1806" xr:uid="{48633E53-A9D2-4A59-9CA0-56CCF83A944A}"/>
    <cellStyle name="Normal 2 3 4" xfId="581" xr:uid="{DA1D8C38-46A0-4E06-B03B-42F5B0BC1855}"/>
    <cellStyle name="Normal 2 3 4 2" xfId="582" xr:uid="{DDF3F327-01C1-4830-9C2F-71D37F21FEF0}"/>
    <cellStyle name="Normal 2 3 4 2 2" xfId="644" xr:uid="{F3C647E7-B42F-467F-A66B-C086B5C3E89C}"/>
    <cellStyle name="Normal 2 3 4 2 3" xfId="1358" xr:uid="{7E1D96D7-0AD3-49F7-B2D3-EDD85224F4AE}"/>
    <cellStyle name="Normal 2 3 4 2 4" xfId="2770" xr:uid="{2C0B54E3-E156-4BA3-908A-358102C50B35}"/>
    <cellStyle name="Normal 2 3 4 3" xfId="1357" xr:uid="{E07D42E7-A570-4F2A-AAB8-640A61352679}"/>
    <cellStyle name="Normal 2 3 4 3 2" xfId="3382" xr:uid="{F89B40A7-F1F6-4240-A10D-83400A379172}"/>
    <cellStyle name="Normal 2 3 4 4" xfId="2769" xr:uid="{A3CEF130-A3D5-47B7-981E-37BAA58A1640}"/>
    <cellStyle name="Normal 2 3 4 5" xfId="2221" xr:uid="{4ED73A9B-1CE2-4B5F-BAD1-F83C1B56C21E}"/>
    <cellStyle name="Normal 2 3 5" xfId="577" xr:uid="{EA1B4AF7-C7F0-4A43-A38C-9F89898D942C}"/>
    <cellStyle name="Normal 2 3 5 2" xfId="639" xr:uid="{A09397E3-9CBC-4CB0-9224-F7917119FA21}"/>
    <cellStyle name="Normal 2 3 5 3" xfId="1359" xr:uid="{B64548F9-24D6-4C42-A781-1ABFC2F585CD}"/>
    <cellStyle name="Normal 2 3 5 3 2" xfId="3383" xr:uid="{413445AF-E9C5-428F-87E1-5447987082A0}"/>
    <cellStyle name="Normal 2 3 5 4" xfId="2767" xr:uid="{7BF0DD91-1A34-4F2C-A077-E80E8BCA980B}"/>
    <cellStyle name="Normal 2 3 5 5" xfId="2222" xr:uid="{D1B4199A-33E8-479B-A102-D776272E3A60}"/>
    <cellStyle name="Normal 2 3 6" xfId="441" xr:uid="{D57DC17D-761B-4842-A44B-750B07212836}"/>
    <cellStyle name="Normal 2 3 6 2" xfId="2400" xr:uid="{DA975F83-516E-4952-AA0E-BC240AE05E57}"/>
    <cellStyle name="Normal 2 3 6 3" xfId="2423" xr:uid="{F3EF1093-EC79-4B8C-B380-770EE113A212}"/>
    <cellStyle name="Normal 2 3 7" xfId="1801" xr:uid="{CC0DF89A-620C-4DF8-95DE-0DBFEC508651}"/>
    <cellStyle name="Normal 2 3 8" xfId="2577" xr:uid="{64F81F0A-5BEA-40C1-A0DA-189C358840EF}"/>
    <cellStyle name="Normal 2 3 9" xfId="1804" xr:uid="{1D1156B7-606F-444B-9BB0-3E836B8DDF4F}"/>
    <cellStyle name="Normal 2 4" xfId="245" xr:uid="{00000000-0005-0000-0000-000025010000}"/>
    <cellStyle name="Normal 2 4 2" xfId="777" xr:uid="{26AFF372-996A-4502-BD13-D34EFEA2E25F}"/>
    <cellStyle name="Normal 2 4 2 2" xfId="1361" xr:uid="{9F695743-2E15-45F4-ACE1-F2E8FBC7D332}"/>
    <cellStyle name="Normal 2 4 2 2 2" xfId="2224" xr:uid="{27F6696F-B910-4050-AE9B-93569789CA7C}"/>
    <cellStyle name="Normal 2 4 2 3" xfId="1360" xr:uid="{B0BB3FA4-8B4D-4437-9EA1-3035736A2119}"/>
    <cellStyle name="Normal 2 4 2 3 2" xfId="3384" xr:uid="{2533566E-2335-49B7-B373-E3B85C4FEDE4}"/>
    <cellStyle name="Normal 2 4 2 4" xfId="2906" xr:uid="{962D926D-F325-4C39-B893-C30EAAB41016}"/>
    <cellStyle name="Normal 2 4 2 5" xfId="2223" xr:uid="{0CC0EB3B-9042-4C01-B97B-CCABC5721F8F}"/>
    <cellStyle name="Normal 2 4 3" xfId="583" xr:uid="{88B8B863-8C91-4A9D-A650-6D815CEF8943}"/>
    <cellStyle name="Normal 2 4 3 2" xfId="1362" xr:uid="{D2D3F170-0151-46B0-98AA-8B363C790BBA}"/>
    <cellStyle name="Normal 2 4 3 3" xfId="2771" xr:uid="{293A1887-CE9B-44BC-AA37-E7E1EFDC22B4}"/>
    <cellStyle name="Normal 2 4 4" xfId="1363" xr:uid="{72DF496B-393E-4C1B-A399-006D5134DB1B}"/>
    <cellStyle name="Normal 2 4 4 2" xfId="2225" xr:uid="{0C9CC581-D8C9-45E0-BF20-5F3042D5F768}"/>
    <cellStyle name="Normal 2 4 5" xfId="2430" xr:uid="{8CBBE9C3-7481-411A-9580-A40932FEF2F5}"/>
    <cellStyle name="Normal 2 5" xfId="447" xr:uid="{50771F5F-E636-4127-95AE-90EC2C22A91A}"/>
    <cellStyle name="Normal 2 5 2" xfId="870" xr:uid="{1D9BBE6F-FC6F-4A43-B117-08B4EFEE3DF2}"/>
    <cellStyle name="Normal 2 5 2 2" xfId="1365" xr:uid="{000BF4A6-CB5C-4CC4-942C-41395E590FA5}"/>
    <cellStyle name="Normal 2 5 2 2 2" xfId="3385" xr:uid="{7BEB526A-67B8-4B4D-B264-FC7B33D5BAA2}"/>
    <cellStyle name="Normal 2 5 2 3" xfId="2949" xr:uid="{25D73D45-520E-4989-8388-C15459C436FA}"/>
    <cellStyle name="Normal 2 5 2 4" xfId="2226" xr:uid="{C1FFEE5E-17A5-40D1-9390-B68EF0399A70}"/>
    <cellStyle name="Normal 2 5 3" xfId="584" xr:uid="{6234758A-4CD6-4DD6-A7FA-9B1239E458BE}"/>
    <cellStyle name="Normal 2 5 4" xfId="1364" xr:uid="{034EC9A3-BCE7-46AC-9B28-D28831B45C43}"/>
    <cellStyle name="Normal 2 5 5" xfId="2668" xr:uid="{19C65CDF-EAC6-4362-9ABA-4A8F7F9E5F29}"/>
    <cellStyle name="Normal 2 6" xfId="773" xr:uid="{C511736C-0069-4A93-BF95-ECD29C68C22D}"/>
    <cellStyle name="Normal 2 6 2" xfId="1366" xr:uid="{D4C8134D-BDC1-43D7-B395-78E55D224B3A}"/>
    <cellStyle name="Normal 2 6 3" xfId="2902" xr:uid="{6F65DBA4-C85D-426B-8A4E-83E5BFCC3981}"/>
    <cellStyle name="Normal 2 7" xfId="578" xr:uid="{C6432D8C-A26C-4652-BA6F-16C1C88927D5}"/>
    <cellStyle name="Normal 2 8" xfId="1367" xr:uid="{864EA500-F08B-4169-88CD-E49F20CC1D79}"/>
    <cellStyle name="Normal 2 9" xfId="1368" xr:uid="{BEEFAAAC-7F33-4138-9F9B-B0B12B3BA91D}"/>
    <cellStyle name="Normal 2 9 2" xfId="1369" xr:uid="{72E35654-84D0-48B8-9319-EC1F03E7305A}"/>
    <cellStyle name="Normal 2 9 2 2" xfId="2228" xr:uid="{4D51AA3C-56B8-4EEA-AE3E-3B413A87CC70}"/>
    <cellStyle name="Normal 2 9 3" xfId="2227" xr:uid="{E68523E1-5227-4402-8ADA-420B2AEB19C2}"/>
    <cellStyle name="Normal 2_1" xfId="1370" xr:uid="{BDE8218D-EC0F-4A4F-A4CF-91C1427D24E8}"/>
    <cellStyle name="Normal 3" xfId="246" xr:uid="{00000000-0005-0000-0000-000026010000}"/>
    <cellStyle name="Normal 3 10" xfId="2453" xr:uid="{D6AAAD9B-E6A5-45FC-9B41-57B5DE3EBBDC}"/>
    <cellStyle name="Normal 3 11" xfId="2583" xr:uid="{D244BF05-338C-40C1-B5C6-354341827368}"/>
    <cellStyle name="Normal 3 12" xfId="2229" xr:uid="{09AF8E99-A274-42D7-8E34-B7794EB8284E}"/>
    <cellStyle name="Normal 3 2" xfId="247" xr:uid="{00000000-0005-0000-0000-000027010000}"/>
    <cellStyle name="Normal 3 2 2" xfId="469" xr:uid="{352AF4BF-6DA8-48F8-849F-11B0F0AF9536}"/>
    <cellStyle name="Normal 3 2 2 2" xfId="1373" xr:uid="{3D12587E-2834-4C4F-849C-CBEB37A93E32}"/>
    <cellStyle name="Normal 3 2 2 2 2" xfId="249" xr:uid="{00000000-0005-0000-0000-000029010000}"/>
    <cellStyle name="Normal 3 2 2 2 3" xfId="3387" xr:uid="{13B6C1BC-2ADC-4865-BFA1-100417B0415B}"/>
    <cellStyle name="Normal 3 2 2 3" xfId="2679" xr:uid="{BFAB82EF-6EB2-4367-8FA5-619CC4943FC0}"/>
    <cellStyle name="Normal 3 2 2 4" xfId="2230" xr:uid="{691E3E03-D179-40BF-849E-28F079A02061}"/>
    <cellStyle name="Normal 3 2 3" xfId="498" xr:uid="{0D58D34B-23E7-480D-A261-32FE2CDC980D}"/>
    <cellStyle name="Normal 3 2 3 2" xfId="1375" xr:uid="{45294934-14FD-40F1-BF30-2552C18879A0}"/>
    <cellStyle name="Normal 3 2 3 2 2" xfId="2232" xr:uid="{EEFCFE50-4501-48CE-B0AD-A726FD20BE20}"/>
    <cellStyle name="Normal 3 2 3 3" xfId="1374" xr:uid="{04161A21-8479-4936-9AAB-6920A5023847}"/>
    <cellStyle name="Normal 3 2 3 3 2" xfId="3388" xr:uid="{A16F8301-5070-494E-BA99-6ADE270DDE62}"/>
    <cellStyle name="Normal 3 2 3 4" xfId="2704" xr:uid="{F99E3D20-5EEC-4975-852F-A0532B7133F3}"/>
    <cellStyle name="Normal 3 2 3 5" xfId="2231" xr:uid="{B325D875-4865-49CC-96BC-DB4C46F54630}"/>
    <cellStyle name="Normal 3 2 4" xfId="632" xr:uid="{00AAC1CE-DE72-4F0F-84A1-9E4AC1E23197}"/>
    <cellStyle name="Normal 3 2 4 2" xfId="1376" xr:uid="{44813F35-965F-494F-A54A-3C902E7AF74D}"/>
    <cellStyle name="Normal 3 2 4 2 2" xfId="3389" xr:uid="{B988ADDF-954C-4B2B-9187-42CBC5AA2DF1}"/>
    <cellStyle name="Normal 3 2 4 3" xfId="2801" xr:uid="{7EC3413E-EFE1-4C83-9E2E-F2AFF045E253}"/>
    <cellStyle name="Normal 3 2 4 4" xfId="2233" xr:uid="{E90B7CF5-1C59-4306-B836-18187B02CA79}"/>
    <cellStyle name="Normal 3 2 5" xfId="585" xr:uid="{38B29BE4-98BD-4107-8395-0E37AA7A9445}"/>
    <cellStyle name="Normal 3 2 5 2" xfId="1377" xr:uid="{780965D6-FA0A-4B1F-A65A-EE8B1B9AE5A1}"/>
    <cellStyle name="Normal 3 2 5 2 2" xfId="3390" xr:uid="{6E19E236-2FAB-495F-B613-5C35C710C77A}"/>
    <cellStyle name="Normal 3 2 5 3" xfId="2772" xr:uid="{23FAAE08-2228-4A0A-9169-BF4B6FEE81EE}"/>
    <cellStyle name="Normal 3 2 5 4" xfId="2234" xr:uid="{E4CE4CAE-E81E-42E0-A5C3-7B11DFD83A62}"/>
    <cellStyle name="Normal 3 2 6" xfId="634" xr:uid="{93FAFCC8-9F37-4823-978B-2E6DB32895F9}"/>
    <cellStyle name="Normal 3 2 6 2" xfId="2802" xr:uid="{776B53F9-A9D9-4D38-81C1-567DF952B752}"/>
    <cellStyle name="Normal 3 2 6 3" xfId="2419" xr:uid="{43E9F111-0E41-4DE1-A55D-6C6BFB711B67}"/>
    <cellStyle name="Normal 3 2 7" xfId="1372" xr:uid="{B1525A09-3303-45A0-899E-92FC42DE7226}"/>
    <cellStyle name="Normal 3 2 8" xfId="2584" xr:uid="{6710744A-DF53-4C71-B271-547E7D12BA52}"/>
    <cellStyle name="Normal 3 2_2" xfId="1378" xr:uid="{B38C5C5D-B225-4760-B5C8-C04B6CE2CC84}"/>
    <cellStyle name="Normal 3 3" xfId="586" xr:uid="{48C5C709-B4C3-44F3-AE06-EAC056C100B2}"/>
    <cellStyle name="Normal 3 3 2" xfId="556" xr:uid="{654BF658-8EAB-4C87-BF98-FD96C696279C}"/>
    <cellStyle name="Normal 3 3 2 2" xfId="1380" xr:uid="{C065275A-156C-4C7D-8B83-5CA6E3A1FF95}"/>
    <cellStyle name="Normal 3 3 2 3" xfId="2756" xr:uid="{99BB7189-1556-45E8-822E-C59CE48FE3EB}"/>
    <cellStyle name="Normal 3 3 3" xfId="1379" xr:uid="{0220ED3A-7537-4877-85D8-F6AE50F2E4CF}"/>
    <cellStyle name="Normal 3 3 3 2" xfId="3391" xr:uid="{645BA5AE-7E0D-433C-B5AB-ADA9BC6D0551}"/>
    <cellStyle name="Normal 3 3 3 3" xfId="2424" xr:uid="{DE778F35-664D-4F35-8652-53EE1016A7C0}"/>
    <cellStyle name="Normal 3 3 4" xfId="2773" xr:uid="{12EFC0FE-681E-439F-8D97-418DDF7626C6}"/>
    <cellStyle name="Normal 3 3 5" xfId="2235" xr:uid="{B76A313A-7C6A-47D9-8E2C-C302D669D9AD}"/>
    <cellStyle name="Normal 3 4" xfId="659" xr:uid="{757E23C6-FEA0-4636-87E3-67B487933665}"/>
    <cellStyle name="Normal 3 4 2" xfId="1381" xr:uid="{5E3F6633-7C16-446D-8665-9BABA2EF5D45}"/>
    <cellStyle name="Normal 3 4 2 2" xfId="3392" xr:uid="{F12C77FF-F27D-4F7C-83F3-A2F20926577C}"/>
    <cellStyle name="Normal 3 4 2 3" xfId="2432" xr:uid="{9A534A31-4B4E-4589-B159-9171A5CC58AB}"/>
    <cellStyle name="Normal 3 4 3" xfId="2817" xr:uid="{08FEFF6E-804E-4620-9F79-696CF8DF5CDF}"/>
    <cellStyle name="Normal 3 4 4" xfId="2236" xr:uid="{1D3177A6-7429-4D49-898D-34B4446AEBE9}"/>
    <cellStyle name="Normal 3 5" xfId="645" xr:uid="{B672584D-6E54-44AB-A914-BEB376C265B8}"/>
    <cellStyle name="Normal 3 5 2" xfId="1382" xr:uid="{82208730-376C-402D-AC69-C7AF78F1D766}"/>
    <cellStyle name="Normal 3 5 2 2" xfId="3393" xr:uid="{50259576-4515-42F6-9D62-FE4CB6E928E1}"/>
    <cellStyle name="Normal 3 5 2 3" xfId="2446" xr:uid="{CEAFD774-38F9-4B3D-B7DC-F8B3EBB4FB64}"/>
    <cellStyle name="Normal 3 5 3" xfId="2806" xr:uid="{03F0C7A4-ED18-4728-81DC-539D8BA0BA63}"/>
    <cellStyle name="Normal 3 5 4" xfId="2237" xr:uid="{5D706148-B5DE-40BF-B556-22A32E938020}"/>
    <cellStyle name="Normal 3 6" xfId="587" xr:uid="{66EBE4C3-8066-4A31-AEC6-A45336375C4D}"/>
    <cellStyle name="Normal 3 6 2" xfId="637" xr:uid="{28C95E25-26F5-491D-9E5A-8CC9BC1219C2}"/>
    <cellStyle name="Normal 3 6 3" xfId="2774" xr:uid="{BCEEBE31-9F9F-428A-AD44-8C461E10B7E6}"/>
    <cellStyle name="Normal 3 6 4" xfId="2408" xr:uid="{A7808A48-FE44-4177-89E2-48694DC6DD1E}"/>
    <cellStyle name="Normal 3 7" xfId="1371" xr:uid="{7A2CA085-5D51-4E92-A1C7-710B3E979295}"/>
    <cellStyle name="Normal 3 7 2" xfId="3386" xr:uid="{E5754146-9881-44AE-A0EC-ECCEAD5F9B37}"/>
    <cellStyle name="Normal 3 7 3" xfId="2454" xr:uid="{EFE63646-0EEA-4077-9CB1-ED9C161A9CD2}"/>
    <cellStyle name="Normal 3 8" xfId="2457" xr:uid="{53C0C9C5-4381-4441-AAE1-135F61B025D0}"/>
    <cellStyle name="Normal 3 9" xfId="2455" xr:uid="{C3CC1989-5DF4-4220-BAFD-DFC8ADCD8F72}"/>
    <cellStyle name="Normal 3_1" xfId="1383" xr:uid="{35B47F90-0A41-4E56-BCFB-712CDF7450E5}"/>
    <cellStyle name="Normal 31" xfId="519" xr:uid="{4556AB03-34F8-456E-8A36-5048AAAE45C2}"/>
    <cellStyle name="Normal 32" xfId="1384" xr:uid="{C7EAE816-8426-4309-9BE1-C77DB1E03D62}"/>
    <cellStyle name="Normal 32 2" xfId="1385" xr:uid="{97D29887-3352-4925-B692-E45974505BE3}"/>
    <cellStyle name="Normal 32 2 2" xfId="2239" xr:uid="{28B16690-EB75-49B3-8BFF-F5BB57F4DEB1}"/>
    <cellStyle name="Normal 32 3" xfId="2238" xr:uid="{90069C55-60D7-4780-AEBF-240EE24374D6}"/>
    <cellStyle name="Normal 4" xfId="252" xr:uid="{00000000-0005-0000-0000-00002C010000}"/>
    <cellStyle name="Normal 4 2" xfId="458" xr:uid="{ED968C84-3DE8-4850-9A84-AF3571E13CBA}"/>
    <cellStyle name="Normal 4 2 2" xfId="589" xr:uid="{13460CA0-C67E-498D-A907-950303C40AF9}"/>
    <cellStyle name="Normal 4 2 2 2" xfId="1386" xr:uid="{8FC88F78-2983-4CED-9C3F-29F8C943C25D}"/>
    <cellStyle name="Normal 4 2 2 3" xfId="2776" xr:uid="{13E76FA7-CFD3-4033-9971-B2067E4DF4C8}"/>
    <cellStyle name="Normal 4 2 3" xfId="875" xr:uid="{25F74164-2ED0-44C1-8C6A-DBFE93C23A5B}"/>
    <cellStyle name="Normal 4 2 3 2" xfId="1387" xr:uid="{D2A6DAD0-257B-4E16-BFAC-6645FE89F764}"/>
    <cellStyle name="Normal 4 2 3 2 2" xfId="3394" xr:uid="{DEB67EF3-45A2-482E-9D5C-1D518F66C301}"/>
    <cellStyle name="Normal 4 2 3 3" xfId="2954" xr:uid="{10A96800-ACE1-48AA-A969-B0F182647780}"/>
    <cellStyle name="Normal 4 2 3 4" xfId="2240" xr:uid="{7CB3D27F-F7B8-471C-924C-302D16838440}"/>
    <cellStyle name="Normal 4 2 4" xfId="588" xr:uid="{F102ACED-9BA6-405F-A7AB-9F35BF15A1CD}"/>
    <cellStyle name="Normal 4 2 4 2" xfId="2775" xr:uid="{A839EFCB-A2A1-43DC-8059-1EBBD29B23D9}"/>
    <cellStyle name="Normal 4 2 4 3" xfId="2433" xr:uid="{C0B47B57-F8DC-4F85-B3D6-A8438142F3C9}"/>
    <cellStyle name="Normal 4 3" xfId="253" xr:uid="{00000000-0005-0000-0000-00002D010000}"/>
    <cellStyle name="Normal 4 3 2" xfId="591" xr:uid="{39DF0F2C-3E20-4876-945C-48EE65E58B0B}"/>
    <cellStyle name="Normal 4 3 2 2" xfId="1388" xr:uid="{D7C7C7B9-7C66-48BD-AFD0-885CAD8F845C}"/>
    <cellStyle name="Normal 4 3 2 2 2" xfId="3395" xr:uid="{13F2FE1D-F16A-47CF-90AC-2A5ABA1F02EA}"/>
    <cellStyle name="Normal 4 3 2 3" xfId="2777" xr:uid="{C5B45DF2-764F-423E-8729-4D9A06229234}"/>
    <cellStyle name="Normal 4 3 2 4" xfId="2241" xr:uid="{EA9D61BE-B301-4587-8E30-96E3D03BABE8}"/>
    <cellStyle name="Normal 4 3 3" xfId="468" xr:uid="{DB5FFCED-9908-45EB-9D86-A008D53C8F70}"/>
    <cellStyle name="Normal 4 3 3 2" xfId="1389" xr:uid="{761C4D0A-17AA-4488-9079-A7C6A797C05B}"/>
    <cellStyle name="Normal 4 3 3 2 2" xfId="3396" xr:uid="{7EC497CA-54C4-4D75-945E-3EAB6E9E0DC6}"/>
    <cellStyle name="Normal 4 3 3 3" xfId="2678" xr:uid="{36415D1D-9A25-43E3-9A54-389EA93D4AB0}"/>
    <cellStyle name="Normal 4 3 3 4" xfId="2242" xr:uid="{A328ECF4-33A9-4322-BBFC-4E9508352921}"/>
    <cellStyle name="Normal 4 3 4" xfId="779" xr:uid="{6363306E-1CE2-495F-B6DA-1F91201ACE42}"/>
    <cellStyle name="Normal 4 3 4 2" xfId="2908" xr:uid="{AA045011-90C0-423F-8BAD-5B51ECE5001E}"/>
    <cellStyle name="Normal 4 3 4 3" xfId="2447" xr:uid="{61F1981D-C45E-469A-8B40-37DD6E22B6F5}"/>
    <cellStyle name="Normal 4 3 5" xfId="590" xr:uid="{E4D25AE8-D900-4807-8C13-DE384518A317}"/>
    <cellStyle name="Normal 4 4" xfId="592" xr:uid="{9775F6C8-5F09-479A-9FF4-49D83FD21EB4}"/>
    <cellStyle name="Normal 4 4 2" xfId="1390" xr:uid="{30BF2487-E903-47A2-B0E1-950CD5EEE187}"/>
    <cellStyle name="Normal 4 4 2 2" xfId="3397" xr:uid="{78674329-C70D-47A4-9584-40A36CC70FC2}"/>
    <cellStyle name="Normal 4 4 3" xfId="2778" xr:uid="{1A938205-E595-439A-A396-7F05E3EBC3BA}"/>
    <cellStyle name="Normal 4 4 4" xfId="2243" xr:uid="{E8EAEB60-301F-4A66-9E69-C10D4DEB00B5}"/>
    <cellStyle name="Normal 4 5" xfId="778" xr:uid="{56B074C8-5AA4-47B8-954D-F1D1D314C4CB}"/>
    <cellStyle name="Normal 4 5 2" xfId="1391" xr:uid="{9017F7C9-A7CD-48FB-94EB-4AD470DF67B1}"/>
    <cellStyle name="Normal 4 5 2 2" xfId="3398" xr:uid="{DFA06E90-9945-4345-BD54-C6E3B1ED8FED}"/>
    <cellStyle name="Normal 4 5 3" xfId="2907" xr:uid="{2D571906-DDAC-47F3-8EB5-573DC280F870}"/>
    <cellStyle name="Normal 4 5 4" xfId="2244" xr:uid="{6D6A7542-E650-42A2-BC99-A4124DF07204}"/>
    <cellStyle name="Normal 4 6" xfId="881" xr:uid="{CFBF05F4-5F49-4DBD-8987-E2E7F9D1A1D5}"/>
    <cellStyle name="Normal 4 6 2" xfId="2960" xr:uid="{5FF20502-1DD4-4A5A-9EE7-FC34426073C9}"/>
    <cellStyle name="Normal 4 6 3" xfId="2417" xr:uid="{8E1FAA54-FA34-4BB7-8C78-E95835FFA9BC}"/>
    <cellStyle name="Normal 5" xfId="255" xr:uid="{00000000-0005-0000-0000-00002F010000}"/>
    <cellStyle name="Normal 5 2" xfId="50" xr:uid="{00000000-0005-0000-0000-000061000000}"/>
    <cellStyle name="Normal 5 2 2" xfId="1392" xr:uid="{67E018D2-73BD-4B5E-A813-C3306B00905B}"/>
    <cellStyle name="Normal 5 2 2 2" xfId="2245" xr:uid="{4EB7854F-93D0-4C96-BC9F-6C283702843E}"/>
    <cellStyle name="Normal 5 2 3" xfId="2434" xr:uid="{CECEA8C6-F248-41F1-972F-B2DE92C248F6}"/>
    <cellStyle name="Normal 5 3" xfId="256" xr:uid="{00000000-0005-0000-0000-000030010000}"/>
    <cellStyle name="Normal 5 3 2" xfId="782" xr:uid="{8F81C377-03F5-463D-8CE3-2D521F788203}"/>
    <cellStyle name="Normal 5 3 3" xfId="1393" xr:uid="{EC9F5F66-A4DA-4179-8A03-98BA8CCF9187}"/>
    <cellStyle name="Normal 5 3 4" xfId="2586" xr:uid="{06BC9774-206A-4C76-B93B-102496F2CB29}"/>
    <cellStyle name="Normal 5 4" xfId="781" xr:uid="{30BEFD5A-3818-4864-92E9-C682E5360E76}"/>
    <cellStyle name="Normal 5 4 2" xfId="1394" xr:uid="{39E413E8-7D81-4326-A887-23969A84CE6C}"/>
    <cellStyle name="Normal 5 4 3" xfId="2910" xr:uid="{DCDD709D-10C8-4800-BA19-67AF1C283BD0}"/>
    <cellStyle name="Normal 5 5" xfId="593" xr:uid="{E6B4F6D6-DA40-4383-B971-DFB06902ECC1}"/>
    <cellStyle name="Normal 5 5 2" xfId="2779" xr:uid="{2AAB5A77-99EF-41D3-BE8A-953D56CC93DD}"/>
    <cellStyle name="Normal 5 5 3" xfId="2421" xr:uid="{B6487671-94AF-4E8A-9D73-97F14CC655E7}"/>
    <cellStyle name="Normal 5 6" xfId="1797" xr:uid="{010FFCA9-92B4-4051-A9D5-6505B5DC7D52}"/>
    <cellStyle name="Normal 55" xfId="2440" xr:uid="{31830F7C-63DC-4E5E-80A8-E831CD472E66}"/>
    <cellStyle name="Normal 56" xfId="1395" xr:uid="{96B5BCF7-D5A4-4BE1-ADFD-41D87DA65C24}"/>
    <cellStyle name="Normal 6" xfId="92" xr:uid="{00000000-0005-0000-0000-00008B000000}"/>
    <cellStyle name="Normal 6 2" xfId="257" xr:uid="{00000000-0005-0000-0000-000031010000}"/>
    <cellStyle name="Normal 6 2 2" xfId="783" xr:uid="{ACF0287C-6240-488F-A08C-64A73707FEB5}"/>
    <cellStyle name="Normal 6 2 2 2" xfId="1396" xr:uid="{9A628F6A-9846-4229-A411-406E80763C20}"/>
    <cellStyle name="Normal 6 2 2 2 2" xfId="3399" xr:uid="{6DDF3C69-E0CE-48D4-9DF5-49AA7AEF0363}"/>
    <cellStyle name="Normal 6 2 2 3" xfId="2911" xr:uid="{64D659EC-EB93-47C3-B60B-2CF9C080DCA8}"/>
    <cellStyle name="Normal 6 2 2 4" xfId="2246" xr:uid="{0C904221-1167-4F0B-A014-CF021A816757}"/>
    <cellStyle name="Normal 6 2 3" xfId="501" xr:uid="{87151B3F-DCE4-4B8C-B1B3-DA9AEAF65F4A}"/>
    <cellStyle name="Normal 6 3" xfId="696" xr:uid="{97C2D49F-FD14-41C1-A1F1-26B8CA927033}"/>
    <cellStyle name="Normal 6 3 2" xfId="1397" xr:uid="{8768DE22-C3D4-44CD-B69F-B5BC9A55FAE7}"/>
    <cellStyle name="Normal 6 3 3" xfId="2836" xr:uid="{347D189A-7F85-4EF5-8FD9-FC1F405B7D18}"/>
    <cellStyle name="Normal 6 4" xfId="594" xr:uid="{9B28C79D-E479-4342-BDEB-7C69A32415B0}"/>
    <cellStyle name="Normal 6 4 2" xfId="1398" xr:uid="{17C1B95E-3A53-4967-8B2D-7453601749D4}"/>
    <cellStyle name="Normal 6 4 2 2" xfId="3400" xr:uid="{F0B506A5-C103-47F0-923A-04B12804E35C}"/>
    <cellStyle name="Normal 6 4 3" xfId="2780" xr:uid="{2AA44D82-BCE7-4399-AB49-645DF770B791}"/>
    <cellStyle name="Normal 6 4 4" xfId="2247" xr:uid="{F54737F6-23AF-4125-A580-B790A66A3A2F}"/>
    <cellStyle name="Normal 6 5" xfId="1799" xr:uid="{5E44AF80-104D-4659-80DA-034C86429846}"/>
    <cellStyle name="Normal 6_3" xfId="1399" xr:uid="{AF3EC3C6-2784-4C7D-A0C6-87E1BA02D567}"/>
    <cellStyle name="Normal 7" xfId="258" xr:uid="{00000000-0005-0000-0000-000032010000}"/>
    <cellStyle name="Normal 7 10" xfId="2458" xr:uid="{996725CC-1BAF-4F6B-8076-20038F234167}"/>
    <cellStyle name="Normal 7 11" xfId="2587" xr:uid="{F9C4DC4D-1865-423F-8510-609EEC447E22}"/>
    <cellStyle name="Normal 7 12" xfId="2248" xr:uid="{1E8FECF8-62A8-4207-B573-59F4FAB104E0}"/>
    <cellStyle name="Normal 7 2" xfId="470" xr:uid="{E5520C0A-9818-42BE-AE50-FA6C3DB52FCF}"/>
    <cellStyle name="Normal 7 2 2" xfId="1402" xr:uid="{E3581890-8C4F-4665-BE1D-AC2BB262CB91}"/>
    <cellStyle name="Normal 7 2 2 2" xfId="1403" xr:uid="{D4233FD2-2EAB-4CAA-8B32-AFA390A1C62C}"/>
    <cellStyle name="Normal 7 2 2 2 2" xfId="2251" xr:uid="{D0E37886-DD55-4BC1-B949-FDF8408EDA81}"/>
    <cellStyle name="Normal 7 2 2 3" xfId="2250" xr:uid="{FC164A36-621A-47B8-AB0E-83B1836CC016}"/>
    <cellStyle name="Normal 7 2 2_1" xfId="1404" xr:uid="{D61666DD-71B1-4A5B-96BC-C0AE8EC1142B}"/>
    <cellStyle name="Normal 7 2 3" xfId="1405" xr:uid="{1F23B223-A21B-4146-984B-5434D9871CA4}"/>
    <cellStyle name="Normal 7 2 3 2" xfId="2252" xr:uid="{737EC8AB-DD70-46F7-8271-951D63FC6D69}"/>
    <cellStyle name="Normal 7 2 4" xfId="1401" xr:uid="{A896084A-5244-4C7B-8C2B-BF751ECB9A92}"/>
    <cellStyle name="Normal 7 2 4 2" xfId="3402" xr:uid="{610ADC78-9E37-4380-A4F7-7765B9DACF69}"/>
    <cellStyle name="Normal 7 2 5" xfId="2680" xr:uid="{6875791C-8423-4FFA-8A04-2090CA08975D}"/>
    <cellStyle name="Normal 7 2 6" xfId="3742" xr:uid="{90391B09-3A82-42D8-88E5-5380097A3186}"/>
    <cellStyle name="Normal 7 2 7" xfId="3740" xr:uid="{F9BFD833-86EA-4F10-8F86-5BFFBA3D3730}"/>
    <cellStyle name="Normal 7 2 8" xfId="2249" xr:uid="{96991EE6-E8F5-4EB4-AEC9-4F7CFE0B5749}"/>
    <cellStyle name="Normal 7 2_1" xfId="1406" xr:uid="{9A362735-869B-4E58-ADB9-1D66737CCAE8}"/>
    <cellStyle name="Normal 7 3" xfId="784" xr:uid="{85C18B39-1795-4E59-8C33-C330E3DDFC07}"/>
    <cellStyle name="Normal 7 3 2" xfId="1408" xr:uid="{598186B2-7E90-43D0-A40B-87EBAD0A25BA}"/>
    <cellStyle name="Normal 7 3 2 2" xfId="2254" xr:uid="{BAAE8631-4FE9-4C38-A15E-E220B7E6CD62}"/>
    <cellStyle name="Normal 7 3 3" xfId="1409" xr:uid="{FE842322-FB8F-4977-B908-E671869960A5}"/>
    <cellStyle name="Normal 7 3 3 2" xfId="1410" xr:uid="{EC6D294F-0D58-4AB1-9177-807A60CB14BA}"/>
    <cellStyle name="Normal 7 3 3 2 2" xfId="2256" xr:uid="{628591E2-5E54-4163-A5F7-40DDA05E0A0D}"/>
    <cellStyle name="Normal 7 3 3 3" xfId="2255" xr:uid="{8B022C1C-B98E-4B71-8FC9-36C13C8BCE21}"/>
    <cellStyle name="Normal 7 3 3_1" xfId="1411" xr:uid="{863F3CD9-5BC1-44F9-9C8B-0E0906727A68}"/>
    <cellStyle name="Normal 7 3 4" xfId="1412" xr:uid="{F11465B8-4DC9-4FCF-8B37-A182F5384318}"/>
    <cellStyle name="Normal 7 3 4 2" xfId="2257" xr:uid="{D7F89986-305F-465D-B63F-8FC93832A1DF}"/>
    <cellStyle name="Normal 7 3 5" xfId="1407" xr:uid="{91CDDDAB-BA84-4CFB-B641-4FB61B7021D6}"/>
    <cellStyle name="Normal 7 3 5 2" xfId="3403" xr:uid="{682D57E8-DDBC-4DDB-B4CF-1675FB041501}"/>
    <cellStyle name="Normal 7 3 6" xfId="2912" xr:uid="{589E17BF-4CA7-4ECC-9E4D-A925BF904E31}"/>
    <cellStyle name="Normal 7 3 7" xfId="3750" xr:uid="{D8E06D87-3B91-4091-A5D3-54E7E6924596}"/>
    <cellStyle name="Normal 7 3 8" xfId="3743" xr:uid="{DEAECD36-38DE-4F33-AC16-3714B1A5D985}"/>
    <cellStyle name="Normal 7 3 9" xfId="2253" xr:uid="{5952C1A8-C19F-45D7-859E-04305F7CB97A}"/>
    <cellStyle name="Normal 7 3_1" xfId="1413" xr:uid="{2D61D456-7808-4A57-8641-A03E51BD5946}"/>
    <cellStyle name="Normal 7 4" xfId="596" xr:uid="{26905D3C-DA55-4D02-87E7-2944AB3E59DB}"/>
    <cellStyle name="Normal 7 4 2" xfId="1414" xr:uid="{0CF2405C-F085-47C5-892F-C981192AFA47}"/>
    <cellStyle name="Normal 7 4 2 2" xfId="3404" xr:uid="{6719F73D-2457-4E1F-9C84-E8BFA6C57183}"/>
    <cellStyle name="Normal 7 4 3" xfId="2781" xr:uid="{236B0CD2-43D1-44EE-B365-9C83B7FCA316}"/>
    <cellStyle name="Normal 7 4 4" xfId="2258" xr:uid="{02595775-F082-4A20-A023-88B32470BF4F}"/>
    <cellStyle name="Normal 7 5" xfId="1415" xr:uid="{DF426EA4-D994-4651-9B5C-FDF8A840F1B9}"/>
    <cellStyle name="Normal 7 5 2" xfId="2259" xr:uid="{62D724D8-BBF0-4BD0-9A22-A34007042DED}"/>
    <cellStyle name="Normal 7 6" xfId="1416" xr:uid="{68165199-60BF-4050-B53D-6F751B653C06}"/>
    <cellStyle name="Normal 7 6 2" xfId="3405" xr:uid="{F36EC3BA-3F9E-4178-A4AF-2F7B473451DF}"/>
    <cellStyle name="Normal 7 7" xfId="1417" xr:uid="{8B2083EB-26B1-4ECA-949B-C6EA2E6A5BAC}"/>
    <cellStyle name="Normal 7 7 2" xfId="3406" xr:uid="{8A21A6D3-77F4-4F01-90E9-EDE08CA6537A}"/>
    <cellStyle name="Normal 7 8" xfId="1400" xr:uid="{4FF7FD73-3FB0-46A6-89DF-DA20FD9413F0}"/>
    <cellStyle name="Normal 7 8 2" xfId="3401" xr:uid="{3E751D9C-9789-484E-A190-9694E70896D8}"/>
    <cellStyle name="Normal 7 8 3" xfId="2426" xr:uid="{AFA37BF3-F595-4E16-89AE-B73DD1841C1E}"/>
    <cellStyle name="Normal 7 9" xfId="2456" xr:uid="{CDC71ACA-556E-40E1-8FDE-60A2AEB627C3}"/>
    <cellStyle name="Normal 7_1" xfId="1418" xr:uid="{FE7B8C6B-EC0B-457E-8C5F-1D437CA7F9F0}"/>
    <cellStyle name="Normal 8" xfId="259" xr:uid="{00000000-0005-0000-0000-000033010000}"/>
    <cellStyle name="Normal 8 2" xfId="209" xr:uid="{00000000-0005-0000-0000-000001010000}"/>
    <cellStyle name="Normal 8 2 2" xfId="765" xr:uid="{EA5A0508-566A-48C7-9F16-5107496DCEF2}"/>
    <cellStyle name="Normal 8 2 3" xfId="1419" xr:uid="{ECAC4D0D-BC31-44D7-B72F-C68E7F3E56B7}"/>
    <cellStyle name="Normal 8 2 3 2" xfId="3407" xr:uid="{E8F9854F-EA44-4888-A3F1-CF7785D571A9}"/>
    <cellStyle name="Normal 8 2 4" xfId="2559" xr:uid="{049D2883-791A-437F-A7AB-820CA23F4CD5}"/>
    <cellStyle name="Normal 8 2 5" xfId="2260" xr:uid="{252B75A5-0D4E-40CD-A0B1-E4865ECB763F}"/>
    <cellStyle name="Normal 8 3" xfId="785" xr:uid="{DB2F9410-F208-4581-A378-1B3C13E5E287}"/>
    <cellStyle name="Normal 8 3 2" xfId="1420" xr:uid="{0F522F4B-0467-418A-A876-7FF79DF9F530}"/>
    <cellStyle name="Normal 8 3 2 2" xfId="3408" xr:uid="{D055A360-14E8-43DF-8FBB-6848E357BC2B}"/>
    <cellStyle name="Normal 8 3 3" xfId="2913" xr:uid="{E63C5A9A-5848-4A10-9551-D082B9C4B7A0}"/>
    <cellStyle name="Normal 8 3 4" xfId="2261" xr:uid="{D880F4F9-D57B-4356-97A7-E3128823C2BB}"/>
    <cellStyle name="Normal 8 4" xfId="597" xr:uid="{4E745D05-5A92-4126-9976-F537E89FEBFB}"/>
    <cellStyle name="Normal 8 4 2" xfId="2782" xr:uid="{62392FA8-F83F-430B-A814-4581A1663C62}"/>
    <cellStyle name="Normal 8 4 3" xfId="2406" xr:uid="{5F4A4EC8-A302-4F4E-AC2D-8767D181C585}"/>
    <cellStyle name="Normal 8 5" xfId="1798" xr:uid="{CE8284E8-BBFC-4204-9F6A-70845782117D}"/>
    <cellStyle name="Normal 9" xfId="260" xr:uid="{00000000-0005-0000-0000-000034010000}"/>
    <cellStyle name="Normal 9 2" xfId="474" xr:uid="{62FE8517-ED68-43E4-BFE1-56F3E475386C}"/>
    <cellStyle name="Normal 9 2 2" xfId="443" xr:uid="{38705B53-4589-449D-A0A8-42291C428F41}"/>
    <cellStyle name="Normal 9 2 3" xfId="1421" xr:uid="{1C4F5744-4D13-4356-A3D7-984C9BF5C4D2}"/>
    <cellStyle name="Normal 9 2 3 2" xfId="3409" xr:uid="{8FE9B381-4B67-4127-BC1F-EDE025EA441D}"/>
    <cellStyle name="Normal 9 2 4" xfId="2683" xr:uid="{94A6AFF6-D54A-445D-9E3E-028C338B8738}"/>
    <cellStyle name="Normal 9 2 5" xfId="2262" xr:uid="{2E220B75-222E-4F36-AC0D-A1C65F621209}"/>
    <cellStyle name="Normal_SHEET" xfId="1796" xr:uid="{F8E0183D-7E27-488E-983B-B9A4BD7C74EF}"/>
    <cellStyle name="Normalny_Arkusz1" xfId="5" xr:uid="{00000000-0005-0000-0000-000009000000}"/>
    <cellStyle name="Percent [2]" xfId="261" xr:uid="{00000000-0005-0000-0000-000035010000}"/>
    <cellStyle name="Percent 2" xfId="264" xr:uid="{00000000-0005-0000-0000-000038010000}"/>
    <cellStyle name="Percent 2 2" xfId="599" xr:uid="{0AD8F39A-8824-4949-BC00-F4C46E5F8276}"/>
    <cellStyle name="Percent 2 2 2" xfId="1423" xr:uid="{531626E9-685D-40A7-88DC-5A973BE32283}"/>
    <cellStyle name="Percent 2 2 2 2" xfId="2264" xr:uid="{4AE72BA7-C149-46E0-B257-A688C536CFBE}"/>
    <cellStyle name="Percent 2 2 3" xfId="1424" xr:uid="{0FE89FC6-A76E-475D-BED0-B3A5FADF7E51}"/>
    <cellStyle name="Percent 2 2 3 2" xfId="2265" xr:uid="{446C4D8F-3C62-462A-A01A-585DF8E28BCE}"/>
    <cellStyle name="Percent 2 2 4" xfId="1422" xr:uid="{741B4B2D-FA52-43D0-964A-83FF9462C82A}"/>
    <cellStyle name="Percent 2 2 4 2" xfId="3410" xr:uid="{19B7049D-B8B3-41B4-8350-A0FBE1656DD9}"/>
    <cellStyle name="Percent 2 2 4 3" xfId="2449" xr:uid="{16C48E92-5F73-4EF3-903E-7F82C8F6339F}"/>
    <cellStyle name="Percent 2 2 5" xfId="2784" xr:uid="{CD12A3F2-D2F3-429D-8685-2087AEBE2DD6}"/>
    <cellStyle name="Percent 2 2 6" xfId="2263" xr:uid="{1CE528A8-A23C-488B-A987-E58A15FC6055}"/>
    <cellStyle name="Percent 2 3" xfId="787" xr:uid="{70375284-0199-4B73-B0E4-05342357E4F6}"/>
    <cellStyle name="Percent 2 3 2" xfId="1426" xr:uid="{00D15E4E-D9C0-4937-BB3A-7D9AEF39E130}"/>
    <cellStyle name="Percent 2 3 2 2" xfId="1427" xr:uid="{BF5DD8A2-FE69-4F01-9989-2766BCAFCBBC}"/>
    <cellStyle name="Percent 2 3 2 2 2" xfId="2267" xr:uid="{6A57AE16-8D2C-4FD2-8107-A6223C4F4E70}"/>
    <cellStyle name="Percent 2 3 2 3" xfId="2266" xr:uid="{F4D330F5-B44A-4FB8-95B1-3D7017AC49B1}"/>
    <cellStyle name="Percent 2 3 3" xfId="1428" xr:uid="{2CF8B684-16BF-4DA3-B1D2-BE476AA9C5A6}"/>
    <cellStyle name="Percent 2 3 4" xfId="1425" xr:uid="{8C0451D7-8060-4397-9035-40B65D7FA688}"/>
    <cellStyle name="Percent 2 3 5" xfId="2915" xr:uid="{CB1DDC3D-D275-4F71-885D-6E23211D9FEA}"/>
    <cellStyle name="Percent 2 4" xfId="598" xr:uid="{6A526529-0E1B-40EC-B0AE-B80BCF0373C5}"/>
    <cellStyle name="Percent 2 4 2" xfId="1429" xr:uid="{E4B139F8-0DA2-4787-9660-0C9C5822FEE8}"/>
    <cellStyle name="Percent 2 4 2 2" xfId="3411" xr:uid="{CAA0ABB1-3B82-4559-9AE8-4B75DB915AC0}"/>
    <cellStyle name="Percent 2 4 3" xfId="2783" xr:uid="{5C66F5A0-4049-4193-8FCF-0F9C9E3413E1}"/>
    <cellStyle name="Percent 2 4 4" xfId="2268" xr:uid="{729C1E71-C881-485F-ADA6-710056A63281}"/>
    <cellStyle name="Percent 2 5" xfId="1430" xr:uid="{1C252CF8-994D-4DEC-9E37-E8D4CF358643}"/>
    <cellStyle name="Percent 2 5 2" xfId="2269" xr:uid="{599F6045-C3C7-4473-8D22-E6CB9557A73F}"/>
    <cellStyle name="Percent 2 6" xfId="1431" xr:uid="{3EB8E25E-6246-45CF-A0F4-9D44EE5427F7}"/>
    <cellStyle name="Percent 2 6 2" xfId="2270" xr:uid="{D6C567D4-B5AD-46C0-8216-FFF567B72E25}"/>
    <cellStyle name="Percent 2 7" xfId="888" xr:uid="{D6410431-D624-4D71-AC31-F9D4CD613BF6}"/>
    <cellStyle name="Percent 2 7 2" xfId="2966" xr:uid="{2DF432C1-5186-4A7D-8D16-411FE78FB1FD}"/>
    <cellStyle name="Percent 2 8" xfId="2589" xr:uid="{EDB9413E-2EF5-475D-8E1C-BA8703FA87A0}"/>
    <cellStyle name="Percent 2 9" xfId="1815" xr:uid="{2B7DED96-0C0A-4EEE-BA0F-D255300618CF}"/>
    <cellStyle name="Percent 2_3" xfId="1432" xr:uid="{98B6F973-2325-4077-998E-A370F9E79751}"/>
    <cellStyle name="Percent 3" xfId="600" xr:uid="{61CA8F48-5DAF-4008-B11A-2E25EE7A9D0B}"/>
    <cellStyle name="Percent 3 2" xfId="485" xr:uid="{844310A3-39FC-4FEB-A2AB-544E71FB428E}"/>
    <cellStyle name="Percent 3 2 2" xfId="1434" xr:uid="{FBE8EAA5-F43B-4C9C-8A68-4F14A3F1FA1E}"/>
    <cellStyle name="Percent 3 2 2 2" xfId="3413" xr:uid="{DB22B844-F5AA-4B36-BABA-8C1282D812F1}"/>
    <cellStyle name="Percent 3 2 3" xfId="2692" xr:uid="{26986DC5-7496-42E7-AB01-DEF65396DF25}"/>
    <cellStyle name="Percent 3 2 4" xfId="2272" xr:uid="{44C97075-8460-4361-B890-E785915AB9F0}"/>
    <cellStyle name="Percent 3 3" xfId="478" xr:uid="{2523A2B8-DCA0-4A7D-9BCE-E82ACB20E58F}"/>
    <cellStyle name="Percent 3 3 2" xfId="2686" xr:uid="{43813A6C-2468-48C7-9442-B5BA3F99CE8B}"/>
    <cellStyle name="Percent 3 3 3" xfId="2429" xr:uid="{2960AF20-DB2D-4B4D-BDF2-D38252F2FFF2}"/>
    <cellStyle name="Percent 3 4" xfId="1433" xr:uid="{D6C3F269-1F53-4AE9-87A5-4630078A8D66}"/>
    <cellStyle name="Percent 3 4 2" xfId="3412" xr:uid="{70C38CCA-9156-4691-B794-EC1F2B9262D1}"/>
    <cellStyle name="Percent 3 5" xfId="2785" xr:uid="{71EFCA01-C0AC-4E2D-B7A4-A62A69904FAC}"/>
    <cellStyle name="Percent 3 6" xfId="2271" xr:uid="{8DED627D-BC21-43D6-AB7C-2407B3B14EAB}"/>
    <cellStyle name="Percent 4" xfId="601" xr:uid="{E77D5043-C651-4B04-AE37-C39DCF6925EC}"/>
    <cellStyle name="Percent 4 2" xfId="1436" xr:uid="{9ECB77C9-2DD0-4377-934C-41D409F84B63}"/>
    <cellStyle name="Percent 4 2 2" xfId="1792" xr:uid="{2276DA95-09BD-41CC-B073-45D1EDE44E12}"/>
    <cellStyle name="Percent 4 2 3" xfId="2274" xr:uid="{C8E27F00-1CAA-42C5-A428-00DEE13AF1BC}"/>
    <cellStyle name="Percent 4 3" xfId="1435" xr:uid="{5622C958-6C63-4572-9B54-329C2576B664}"/>
    <cellStyle name="Percent 4 3 2" xfId="3414" xr:uid="{91EBD6E3-E850-4DDF-BFFF-D7B9D17149D4}"/>
    <cellStyle name="Percent 4 3 3" xfId="2450" xr:uid="{56910803-306F-4C4D-A701-2B8313B2177E}"/>
    <cellStyle name="Percent 4 4" xfId="2786" xr:uid="{EDE7ABC8-B7CF-4ACD-A1BF-5AAD811D709D}"/>
    <cellStyle name="Percent 4 5" xfId="2273" xr:uid="{9986F153-BD15-4CAB-8D1E-7B6BEABAE585}"/>
    <cellStyle name="Percent 5" xfId="602" xr:uid="{FE321698-FF1E-4EA2-A985-FD41949D272F}"/>
    <cellStyle name="Percent 5 2" xfId="603" xr:uid="{7FF2FB66-E748-4683-82F1-D5F3599C3324}"/>
    <cellStyle name="Percent 5 3" xfId="1437" xr:uid="{A8DDD5E3-404A-4EAD-8418-0C602494CFC6}"/>
    <cellStyle name="Percent 5 3 2" xfId="3415" xr:uid="{5ACA9373-6D93-4CF1-B2B3-3A732CE69D64}"/>
    <cellStyle name="Percent 5 4" xfId="2787" xr:uid="{6ACD2AEC-6203-479A-A286-72FBD4CC9B06}"/>
    <cellStyle name="Percent 5 5" xfId="2275" xr:uid="{50C7D9AB-601C-4978-BEE4-79514C86FA23}"/>
    <cellStyle name="Percent 6" xfId="1438" xr:uid="{C2ACACA8-F547-440F-9DC3-F1424912672A}"/>
    <cellStyle name="Percent 6 2" xfId="641" xr:uid="{CA626C56-B9F5-465C-9402-5FFBAE61C8FC}"/>
    <cellStyle name="Percent 6 3" xfId="2276" xr:uid="{EC0EB0DB-7651-43B6-8957-20755C13B4FD}"/>
    <cellStyle name="Prefilled" xfId="263" xr:uid="{00000000-0005-0000-0000-000037010000}"/>
    <cellStyle name="Prefilled 2" xfId="786" xr:uid="{D90742DA-B947-4F47-B8E2-F4D2765C4C71}"/>
    <cellStyle name="Prefilled 2 2" xfId="1440" xr:uid="{146606AA-F415-498D-AD1B-85AC5B51FF8B}"/>
    <cellStyle name="Prefilled 2 2 2" xfId="3417" xr:uid="{264F5B27-1032-4BFA-A997-66E4081B58FE}"/>
    <cellStyle name="Prefilled 2 3" xfId="2914" xr:uid="{799981D1-ED58-4FE5-AA34-2C8DB2E557FC}"/>
    <cellStyle name="Prefilled 2 4" xfId="2278" xr:uid="{F39AA0D8-72C3-4B7F-963E-D8E2F7FE02FA}"/>
    <cellStyle name="Prefilled 3" xfId="1439" xr:uid="{3B053B9E-ED97-4567-9D28-B6222A312898}"/>
    <cellStyle name="Prefilled 3 2" xfId="3416" xr:uid="{8E532C7E-06E0-4D69-B9FC-6DFB502EBD3A}"/>
    <cellStyle name="Prefilled 4" xfId="2588" xr:uid="{7D26A431-6E00-48B7-BA39-4BE5CA576399}"/>
    <cellStyle name="Prefilled 5" xfId="2277" xr:uid="{CB116242-0954-40D4-A014-B5D718E64FD7}"/>
    <cellStyle name="price" xfId="265" xr:uid="{00000000-0005-0000-0000-000039010000}"/>
    <cellStyle name="revised" xfId="267" xr:uid="{00000000-0005-0000-0000-00003B010000}"/>
    <cellStyle name="row_def_array" xfId="268" xr:uid="{00000000-0005-0000-0000-00003C010000}"/>
    <cellStyle name="SAPBEXaggData" xfId="88" xr:uid="{00000000-0005-0000-0000-000087000000}"/>
    <cellStyle name="SAPBEXaggData 2" xfId="271" xr:uid="{00000000-0005-0000-0000-00003F010000}"/>
    <cellStyle name="SAPBEXaggData 2 2" xfId="790" xr:uid="{B9982BFA-4D3E-4015-AF14-11F34C2BB3A2}"/>
    <cellStyle name="SAPBEXaggData 2 2 2" xfId="1443" xr:uid="{D009E647-402D-40C5-8B2C-D2CB8316C8D7}"/>
    <cellStyle name="SAPBEXaggData 2 2 2 2" xfId="3420" xr:uid="{415665D4-0320-4729-A0E0-73794B35103B}"/>
    <cellStyle name="SAPBEXaggData 2 2 3" xfId="1654" xr:uid="{DF56293E-B467-4ABE-A9D3-52D737153F8F}"/>
    <cellStyle name="SAPBEXaggData 2 2 3 2" xfId="3604" xr:uid="{47E1C73B-37B5-4320-A245-975D4E31B0D3}"/>
    <cellStyle name="SAPBEXaggData 2 2 4" xfId="2279" xr:uid="{F18D9D46-5696-4B00-BBC9-3B71A3FEE893}"/>
    <cellStyle name="SAPBEXaggData 2 3" xfId="1442" xr:uid="{CBD98CE6-73AE-4537-BD9A-95B573C19B81}"/>
    <cellStyle name="SAPBEXaggData 2 3 2" xfId="3419" xr:uid="{D369E620-61D2-4ED8-954B-B447B7703465}"/>
    <cellStyle name="SAPBEXaggData 2 4" xfId="1653" xr:uid="{5DBEEC67-DC49-4F0F-943C-38685AE80955}"/>
    <cellStyle name="SAPBEXaggData 2 4 2" xfId="3603" xr:uid="{EC650752-5609-4704-9ACC-B42480C5AD97}"/>
    <cellStyle name="SAPBEXaggData 2 5" xfId="2592" xr:uid="{75F150D6-8578-445E-A72A-404653964B20}"/>
    <cellStyle name="SAPBEXaggData 3" xfId="694" xr:uid="{6C8E9A53-1AC8-4C25-98DF-AEAB28CD2DF7}"/>
    <cellStyle name="SAPBEXaggData 3 2" xfId="1444" xr:uid="{0423F528-5930-4DCF-B8B0-088648DCDEDD}"/>
    <cellStyle name="SAPBEXaggData 3 2 2" xfId="3421" xr:uid="{8185C049-B704-4CC4-B7E2-2327265718F7}"/>
    <cellStyle name="SAPBEXaggData 3 3" xfId="1655" xr:uid="{2EC8DD0D-A8D6-4C3B-B6AD-68E651606D95}"/>
    <cellStyle name="SAPBEXaggData 3 3 2" xfId="3605" xr:uid="{2321D4E5-55C3-4C8E-8A30-45C3D8266F9D}"/>
    <cellStyle name="SAPBEXaggData 3 4" xfId="2280" xr:uid="{53F180EE-C19D-4374-8C9D-4E1812C4F34C}"/>
    <cellStyle name="SAPBEXaggData 4" xfId="1441" xr:uid="{6C85ABA8-E08E-45BF-B666-BD4FC58CDCC9}"/>
    <cellStyle name="SAPBEXaggData 4 2" xfId="3418" xr:uid="{16D2F4CB-019D-48A3-8918-2429A93AB41D}"/>
    <cellStyle name="SAPBEXaggData 5" xfId="1652" xr:uid="{2F976EDE-57F4-4A96-8B23-E91121F5B9BA}"/>
    <cellStyle name="SAPBEXaggData 5 2" xfId="3602" xr:uid="{2BD76C2A-ACC2-4782-9F68-B7D0D0EF60DB}"/>
    <cellStyle name="SAPBEXaggData 6" xfId="2489" xr:uid="{0A6844CF-DA73-4F34-9B42-0FDAE4895C5A}"/>
    <cellStyle name="SAPBEXaggDataEmph" xfId="273" xr:uid="{00000000-0005-0000-0000-000041010000}"/>
    <cellStyle name="SAPBEXaggDataEmph 2" xfId="276" xr:uid="{00000000-0005-0000-0000-000044010000}"/>
    <cellStyle name="SAPBEXaggDataEmph 2 2" xfId="794" xr:uid="{7C42F08E-3039-43D8-8D98-9EDB8E2639F7}"/>
    <cellStyle name="SAPBEXaggDataEmph 2 2 2" xfId="1447" xr:uid="{E28B9CFA-B37C-4D0F-82B4-DCB907CCFC63}"/>
    <cellStyle name="SAPBEXaggDataEmph 2 2 2 2" xfId="3424" xr:uid="{F0B1348B-BFDD-49A1-8FCB-51839210F684}"/>
    <cellStyle name="SAPBEXaggDataEmph 2 2 3" xfId="1658" xr:uid="{36A92F58-8972-417E-B95B-68DF3839E32B}"/>
    <cellStyle name="SAPBEXaggDataEmph 2 2 3 2" xfId="3608" xr:uid="{AE08B447-82ED-4F42-B5D2-82D82F512911}"/>
    <cellStyle name="SAPBEXaggDataEmph 2 2 4" xfId="2281" xr:uid="{DBA456A5-E778-479C-91F5-C61877FE4230}"/>
    <cellStyle name="SAPBEXaggDataEmph 2 3" xfId="1446" xr:uid="{18358F2A-5B6D-448F-AB78-582B2845321C}"/>
    <cellStyle name="SAPBEXaggDataEmph 2 3 2" xfId="3423" xr:uid="{9EACFF02-0491-40F1-810F-43FA79B2837A}"/>
    <cellStyle name="SAPBEXaggDataEmph 2 4" xfId="1657" xr:uid="{9DCF9286-D967-4A81-9884-EC05761E8F86}"/>
    <cellStyle name="SAPBEXaggDataEmph 2 4 2" xfId="3607" xr:uid="{6BA48095-78D0-4CE2-8AB9-646A14FC0352}"/>
    <cellStyle name="SAPBEXaggDataEmph 2 5" xfId="2596" xr:uid="{662228FD-46F9-4C30-9B35-3B1ADF9EF3E2}"/>
    <cellStyle name="SAPBEXaggDataEmph 3" xfId="792" xr:uid="{7C53F3C9-F8CD-4700-A914-F5FA2D464B2C}"/>
    <cellStyle name="SAPBEXaggDataEmph 3 2" xfId="1448" xr:uid="{E3EE66EB-9E22-419B-A8E6-F3CD17F412A3}"/>
    <cellStyle name="SAPBEXaggDataEmph 3 2 2" xfId="3425" xr:uid="{2388D823-BABC-481F-93D9-28ED70A85FB1}"/>
    <cellStyle name="SAPBEXaggDataEmph 3 3" xfId="1659" xr:uid="{3C7B2266-4446-4299-8006-642D91FDA3D6}"/>
    <cellStyle name="SAPBEXaggDataEmph 3 3 2" xfId="3609" xr:uid="{8ECEBFE2-9E4C-4151-AA18-F3FB0F8D454B}"/>
    <cellStyle name="SAPBEXaggDataEmph 3 4" xfId="2282" xr:uid="{DECE9713-E944-470B-95EC-F24DCFDFEACA}"/>
    <cellStyle name="SAPBEXaggDataEmph 4" xfId="1445" xr:uid="{CCA3836C-CD24-4295-B8D6-7F15A7242126}"/>
    <cellStyle name="SAPBEXaggDataEmph 4 2" xfId="3422" xr:uid="{48A63EAF-88C3-48A5-99CC-7BF8AA5D3D9C}"/>
    <cellStyle name="SAPBEXaggDataEmph 5" xfId="1656" xr:uid="{D9F359D4-D52E-4A4E-B91C-1396EAF69F1D}"/>
    <cellStyle name="SAPBEXaggDataEmph 5 2" xfId="3606" xr:uid="{446AEEDD-921B-44F5-9A3D-166A571B4978}"/>
    <cellStyle name="SAPBEXaggDataEmph 6" xfId="2594" xr:uid="{DABD1940-CB91-48C9-88F0-728A28ABC7FA}"/>
    <cellStyle name="SAPBEXaggItem" xfId="33" xr:uid="{00000000-0005-0000-0000-000047000000}"/>
    <cellStyle name="SAPBEXaggItem 2" xfId="278" xr:uid="{00000000-0005-0000-0000-000046010000}"/>
    <cellStyle name="SAPBEXaggItem 2 2" xfId="796" xr:uid="{C3E3156E-6E9C-4012-A884-6510AB9D9BDE}"/>
    <cellStyle name="SAPBEXaggItem 2 2 2" xfId="1451" xr:uid="{2F20746C-7D92-495B-B16E-C6AE560249A6}"/>
    <cellStyle name="SAPBEXaggItem 2 2 2 2" xfId="3428" xr:uid="{17E58BBB-27D4-49EA-B669-030D101E1545}"/>
    <cellStyle name="SAPBEXaggItem 2 2 3" xfId="1662" xr:uid="{457BDA3D-3FF9-4FF7-88C7-EDCA29F8014C}"/>
    <cellStyle name="SAPBEXaggItem 2 2 3 2" xfId="3612" xr:uid="{E0ECB8C2-E2B8-4A44-A0C4-C0215A39E416}"/>
    <cellStyle name="SAPBEXaggItem 2 2 4" xfId="2283" xr:uid="{8114C364-BFB3-4BBF-80F2-253E48B84650}"/>
    <cellStyle name="SAPBEXaggItem 2 3" xfId="1450" xr:uid="{99DADD80-CE0B-4FBF-AFD2-4CD671AAFDFB}"/>
    <cellStyle name="SAPBEXaggItem 2 3 2" xfId="3427" xr:uid="{AF4DC2D1-AB99-49A5-808F-219E98C99154}"/>
    <cellStyle name="SAPBEXaggItem 2 4" xfId="1661" xr:uid="{E41ED444-FF3C-4CBC-B31D-37A1CF32653F}"/>
    <cellStyle name="SAPBEXaggItem 2 4 2" xfId="3611" xr:uid="{852DF6D1-522B-478B-B957-280EF13B2C04}"/>
    <cellStyle name="SAPBEXaggItem 2 5" xfId="2598" xr:uid="{97AEE8E3-0536-4E5F-9084-FE22B8362E33}"/>
    <cellStyle name="SAPBEXaggItem 3" xfId="680" xr:uid="{59491FA2-6D26-4C7E-8A29-4250C518AE1F}"/>
    <cellStyle name="SAPBEXaggItem 3 2" xfId="1452" xr:uid="{15135C5F-93F5-4ED0-9FB9-B08EBD7E37F9}"/>
    <cellStyle name="SAPBEXaggItem 3 2 2" xfId="3429" xr:uid="{DDD12E67-F244-4BB9-A4EF-B4114A37F67C}"/>
    <cellStyle name="SAPBEXaggItem 3 3" xfId="1663" xr:uid="{5607E4C8-7315-4BFC-BF12-CC73D258E84E}"/>
    <cellStyle name="SAPBEXaggItem 3 3 2" xfId="3613" xr:uid="{E19CEEF4-1EED-4158-97E1-466DEE37B39B}"/>
    <cellStyle name="SAPBEXaggItem 3 4" xfId="2284" xr:uid="{1EA91008-CD95-4C95-B1E0-F11FE75B9604}"/>
    <cellStyle name="SAPBEXaggItem 4" xfId="1449" xr:uid="{754C0647-BD2B-496F-BB29-723E751404C3}"/>
    <cellStyle name="SAPBEXaggItem 4 2" xfId="3426" xr:uid="{A3E00FA8-E92E-413B-9BE3-64EFF1C2B624}"/>
    <cellStyle name="SAPBEXaggItem 5" xfId="1660" xr:uid="{372189F6-64BA-44FB-9C65-AF9DC3686D23}"/>
    <cellStyle name="SAPBEXaggItem 5 2" xfId="3610" xr:uid="{28B17249-A12A-4483-86D8-339E57E74AD6}"/>
    <cellStyle name="SAPBEXaggItem 6" xfId="2472" xr:uid="{8676B459-8552-4BED-B5B4-86C290939EF8}"/>
    <cellStyle name="SAPBEXaggItemX" xfId="280" xr:uid="{00000000-0005-0000-0000-000048010000}"/>
    <cellStyle name="SAPBEXaggItemX 2" xfId="232" xr:uid="{00000000-0005-0000-0000-000018010000}"/>
    <cellStyle name="SAPBEXaggItemX 2 2" xfId="772" xr:uid="{82227AA7-8BF1-4B3D-BC1B-42CF8C2BE4B0}"/>
    <cellStyle name="SAPBEXaggItemX 2 2 2" xfId="1455" xr:uid="{6B511300-2283-4CB3-979D-C6D73930379B}"/>
    <cellStyle name="SAPBEXaggItemX 2 2 2 2" xfId="3432" xr:uid="{32FFD02D-8D8A-400C-BD80-003E932B25B0}"/>
    <cellStyle name="SAPBEXaggItemX 2 2 3" xfId="1666" xr:uid="{23B796EA-F2C8-4723-B77F-8A1E5F45B684}"/>
    <cellStyle name="SAPBEXaggItemX 2 2 3 2" xfId="3616" xr:uid="{05222FE6-D559-46B3-ABBD-720BB9E39749}"/>
    <cellStyle name="SAPBEXaggItemX 2 2 4" xfId="2285" xr:uid="{758712E0-7D24-4CCA-83C1-57C7389DFAE5}"/>
    <cellStyle name="SAPBEXaggItemX 2 3" xfId="1454" xr:uid="{340440C7-8959-4541-9080-9DE2862717B6}"/>
    <cellStyle name="SAPBEXaggItemX 2 3 2" xfId="3431" xr:uid="{8FCB7FC1-AFCF-4EB7-97DC-82337CDC12C9}"/>
    <cellStyle name="SAPBEXaggItemX 2 4" xfId="1665" xr:uid="{73CEBCBB-DE04-4137-AE86-3656B764C6E5}"/>
    <cellStyle name="SAPBEXaggItemX 2 4 2" xfId="3615" xr:uid="{8BF01A1E-957B-4940-A8B9-F759075DE859}"/>
    <cellStyle name="SAPBEXaggItemX 2 5" xfId="2573" xr:uid="{9C1E0088-0F4B-42AA-AA3B-B97BC84F97A6}"/>
    <cellStyle name="SAPBEXaggItemX 3" xfId="798" xr:uid="{E7C333A4-DE11-4E48-A38F-4A3D86D54FDD}"/>
    <cellStyle name="SAPBEXaggItemX 3 2" xfId="1456" xr:uid="{13CCBBE8-4E50-4BEE-9006-9182A0AADC27}"/>
    <cellStyle name="SAPBEXaggItemX 3 2 2" xfId="3433" xr:uid="{746AEB0C-63EC-4BCC-B6FE-B9D771A43DDC}"/>
    <cellStyle name="SAPBEXaggItemX 3 3" xfId="1667" xr:uid="{CB76EB05-9B63-4867-B123-F6D5417E08E1}"/>
    <cellStyle name="SAPBEXaggItemX 3 3 2" xfId="3617" xr:uid="{C08B480C-7B2B-4E90-90A9-F02684A92ACA}"/>
    <cellStyle name="SAPBEXaggItemX 3 4" xfId="2286" xr:uid="{5A126B3B-DDEA-4A47-BC97-32C3B7D261C5}"/>
    <cellStyle name="SAPBEXaggItemX 4" xfId="1453" xr:uid="{EF1517CF-DD9D-4A43-B824-691F2E3E2AF9}"/>
    <cellStyle name="SAPBEXaggItemX 4 2" xfId="3430" xr:uid="{B88F93AE-F933-433F-B534-34F9E93BAFF4}"/>
    <cellStyle name="SAPBEXaggItemX 5" xfId="1664" xr:uid="{AC3448A2-02DD-436F-AC43-5A954DF15C41}"/>
    <cellStyle name="SAPBEXaggItemX 5 2" xfId="3614" xr:uid="{3D9B597F-E024-4BCE-89F8-14EB8D52D824}"/>
    <cellStyle name="SAPBEXaggItemX 6" xfId="2600" xr:uid="{32FE635E-906D-45A8-B931-A52A630E032C}"/>
    <cellStyle name="SAPBEXchaText" xfId="281" xr:uid="{00000000-0005-0000-0000-000049010000}"/>
    <cellStyle name="SAPBEXexcBad7" xfId="282" xr:uid="{00000000-0005-0000-0000-00004A010000}"/>
    <cellStyle name="SAPBEXexcBad7 2" xfId="26" xr:uid="{00000000-0005-0000-0000-000037000000}"/>
    <cellStyle name="SAPBEXexcBad7 2 2" xfId="676" xr:uid="{B5ED517B-ED02-4722-B340-0643140840BA}"/>
    <cellStyle name="SAPBEXexcBad7 2 2 2" xfId="1459" xr:uid="{5123DDB5-F42A-470D-B30C-98ED1287059E}"/>
    <cellStyle name="SAPBEXexcBad7 2 2 2 2" xfId="3436" xr:uid="{CE637BE8-D5FB-46EA-9952-0559D115107C}"/>
    <cellStyle name="SAPBEXexcBad7 2 2 3" xfId="1670" xr:uid="{C508AE11-EC62-4E18-B773-D98263DDA33C}"/>
    <cellStyle name="SAPBEXexcBad7 2 2 3 2" xfId="3620" xr:uid="{4E6A9A21-1207-4D53-959D-1D97A39D3F83}"/>
    <cellStyle name="SAPBEXexcBad7 2 2 4" xfId="2287" xr:uid="{6B680E1C-E45F-4CE1-AB94-C14259AD1E6F}"/>
    <cellStyle name="SAPBEXexcBad7 2 3" xfId="1458" xr:uid="{B64FCBA6-2A93-486B-B001-E98524699729}"/>
    <cellStyle name="SAPBEXexcBad7 2 3 2" xfId="3435" xr:uid="{6DB41E9D-A46F-4E6F-9EEC-EA449256FB60}"/>
    <cellStyle name="SAPBEXexcBad7 2 4" xfId="1669" xr:uid="{6FF415E7-62F6-46BD-9319-E2C0E1376A71}"/>
    <cellStyle name="SAPBEXexcBad7 2 4 2" xfId="3619" xr:uid="{30C601F7-E2AB-4063-8F99-4F6FD63BAC24}"/>
    <cellStyle name="SAPBEXexcBad7 2 5" xfId="2469" xr:uid="{AA5B8B0C-3832-4651-A302-ECF8EA63DB88}"/>
    <cellStyle name="SAPBEXexcBad7 3" xfId="799" xr:uid="{89176B71-DC91-4401-8801-D43374CC2065}"/>
    <cellStyle name="SAPBEXexcBad7 3 2" xfId="1460" xr:uid="{29ABDCE1-F6C0-4687-838B-D43405C66FF1}"/>
    <cellStyle name="SAPBEXexcBad7 3 2 2" xfId="3437" xr:uid="{6A67FC1E-D4EA-4364-9223-3FA63CD6F138}"/>
    <cellStyle name="SAPBEXexcBad7 3 3" xfId="1671" xr:uid="{2F8B983E-EEBE-4327-B8F5-C4777D64FC68}"/>
    <cellStyle name="SAPBEXexcBad7 3 3 2" xfId="3621" xr:uid="{16439436-6A25-4DEE-AA47-A363A9151D3A}"/>
    <cellStyle name="SAPBEXexcBad7 3 4" xfId="2288" xr:uid="{F863CDE8-8270-4A01-87BF-361E4F3A86D4}"/>
    <cellStyle name="SAPBEXexcBad7 4" xfId="1457" xr:uid="{72CEF8C8-1981-4294-A249-A3C8BC8A10E2}"/>
    <cellStyle name="SAPBEXexcBad7 4 2" xfId="3434" xr:uid="{983A887B-F9E4-43EB-AF9F-A684E5922B8F}"/>
    <cellStyle name="SAPBEXexcBad7 5" xfId="1668" xr:uid="{3017111D-6D0E-478F-9EDD-3BB89296219A}"/>
    <cellStyle name="SAPBEXexcBad7 5 2" xfId="3618" xr:uid="{5A17EC23-9119-4CF2-A9A3-EC9971B81DDB}"/>
    <cellStyle name="SAPBEXexcBad7 6" xfId="2601" xr:uid="{FF8755B1-8A88-4BFB-9A13-74173BE660A6}"/>
    <cellStyle name="SAPBEXexcBad8" xfId="270" xr:uid="{00000000-0005-0000-0000-00003E010000}"/>
    <cellStyle name="SAPBEXexcBad8 2" xfId="284" xr:uid="{00000000-0005-0000-0000-00004C010000}"/>
    <cellStyle name="SAPBEXexcBad8 2 2" xfId="801" xr:uid="{6C4843A0-15D1-4E63-B6BC-5234805AA08B}"/>
    <cellStyle name="SAPBEXexcBad8 2 2 2" xfId="1463" xr:uid="{FF3E668F-8B6A-4BE3-B42A-51D4C90446AA}"/>
    <cellStyle name="SAPBEXexcBad8 2 2 2 2" xfId="3440" xr:uid="{43AF55DF-8CF7-424B-BCAD-723FE2DB839B}"/>
    <cellStyle name="SAPBEXexcBad8 2 2 3" xfId="1674" xr:uid="{4867FF6C-6177-4436-B0CF-482EED7466CA}"/>
    <cellStyle name="SAPBEXexcBad8 2 2 3 2" xfId="3624" xr:uid="{95E5FB6A-28F9-4B3E-9CDD-99E080FC7E63}"/>
    <cellStyle name="SAPBEXexcBad8 2 2 4" xfId="2289" xr:uid="{EA3C0862-50CE-4B92-BABC-CB23FB4A0D8B}"/>
    <cellStyle name="SAPBEXexcBad8 2 3" xfId="1462" xr:uid="{0F247D61-F99E-48D5-B811-C58E026A7B8B}"/>
    <cellStyle name="SAPBEXexcBad8 2 3 2" xfId="3439" xr:uid="{4F1B067D-4D80-4C1D-BB54-834B0D0FA724}"/>
    <cellStyle name="SAPBEXexcBad8 2 4" xfId="1673" xr:uid="{F7E5B013-A1FE-4BE9-8743-9097915A4DDC}"/>
    <cellStyle name="SAPBEXexcBad8 2 4 2" xfId="3623" xr:uid="{9B10154C-B31B-48A3-96F4-DCB3ABD15AFA}"/>
    <cellStyle name="SAPBEXexcBad8 2 5" xfId="2602" xr:uid="{E75746C2-B963-47DD-989A-F189D6D620A2}"/>
    <cellStyle name="SAPBEXexcBad8 3" xfId="789" xr:uid="{CFCF0AC1-5449-44E3-A7D8-A68BD93110FC}"/>
    <cellStyle name="SAPBEXexcBad8 3 2" xfId="1464" xr:uid="{2336347E-7E15-49E0-911F-A48686618473}"/>
    <cellStyle name="SAPBEXexcBad8 3 2 2" xfId="3441" xr:uid="{1BCD193C-25A9-4B0A-A5CD-879DC5C0B114}"/>
    <cellStyle name="SAPBEXexcBad8 3 3" xfId="1675" xr:uid="{CB9AAFA0-3583-4CCB-B156-F78787E60C3D}"/>
    <cellStyle name="SAPBEXexcBad8 3 3 2" xfId="3625" xr:uid="{CE64C103-152C-4D97-ADAD-E5BBAD26A500}"/>
    <cellStyle name="SAPBEXexcBad8 3 4" xfId="2290" xr:uid="{A5847BE9-2815-4FD1-8087-1FE3F9AF5BDF}"/>
    <cellStyle name="SAPBEXexcBad8 4" xfId="1461" xr:uid="{FA5CC112-FC74-489B-97EF-10211B6E225F}"/>
    <cellStyle name="SAPBEXexcBad8 4 2" xfId="3438" xr:uid="{7D7F16B6-C9CE-4F1F-8E5A-C34F550712AE}"/>
    <cellStyle name="SAPBEXexcBad8 5" xfId="1672" xr:uid="{BCC4C949-D1D8-4157-A8D5-FDD3C08AB18C}"/>
    <cellStyle name="SAPBEXexcBad8 5 2" xfId="3622" xr:uid="{4E1C8EC8-9D6E-444F-87C3-791CB062117C}"/>
    <cellStyle name="SAPBEXexcBad8 6" xfId="2591" xr:uid="{0B0A2140-8F71-4986-86D0-DD7A7CD7F078}"/>
    <cellStyle name="SAPBEXexcBad9" xfId="286" xr:uid="{00000000-0005-0000-0000-00004E010000}"/>
    <cellStyle name="SAPBEXexcBad9 2" xfId="90" xr:uid="{00000000-0005-0000-0000-000089000000}"/>
    <cellStyle name="SAPBEXexcBad9 2 2" xfId="695" xr:uid="{CE1A4FE6-3C11-468C-9E35-6B59EB77ECC0}"/>
    <cellStyle name="SAPBEXexcBad9 2 2 2" xfId="1467" xr:uid="{69921B91-8855-4F63-9F4B-666489379B1D}"/>
    <cellStyle name="SAPBEXexcBad9 2 2 2 2" xfId="3444" xr:uid="{C3AB266A-F484-425C-889F-76F5140214F5}"/>
    <cellStyle name="SAPBEXexcBad9 2 2 3" xfId="1678" xr:uid="{0F415747-2EB1-4215-AD04-EDF19D5D7E1A}"/>
    <cellStyle name="SAPBEXexcBad9 2 2 3 2" xfId="3628" xr:uid="{8965CFD1-2425-4C89-91AD-CA3FDD9691E3}"/>
    <cellStyle name="SAPBEXexcBad9 2 2 4" xfId="2291" xr:uid="{C5687FC2-CE6E-4E5E-8343-BA3807CCBB18}"/>
    <cellStyle name="SAPBEXexcBad9 2 3" xfId="1466" xr:uid="{CDE0D1A5-2711-444A-9EBA-80E4FA278266}"/>
    <cellStyle name="SAPBEXexcBad9 2 3 2" xfId="3443" xr:uid="{7CA20E1A-46AD-49A8-A58D-56113AC207BB}"/>
    <cellStyle name="SAPBEXexcBad9 2 4" xfId="1677" xr:uid="{3A2E37F0-4D9B-42C0-B8FF-3BE16FBC631D}"/>
    <cellStyle name="SAPBEXexcBad9 2 4 2" xfId="3627" xr:uid="{A5FE2223-955B-41CB-BC80-5C29D8AE43B5}"/>
    <cellStyle name="SAPBEXexcBad9 2 5" xfId="2490" xr:uid="{964DE95C-8014-420D-85F2-5781F4CF9D32}"/>
    <cellStyle name="SAPBEXexcBad9 3" xfId="802" xr:uid="{D02C70DF-8A35-4B34-866F-4A25F4006887}"/>
    <cellStyle name="SAPBEXexcBad9 3 2" xfId="1468" xr:uid="{137B9EFC-AE80-4BD0-BFCB-905EF12D247C}"/>
    <cellStyle name="SAPBEXexcBad9 3 2 2" xfId="3445" xr:uid="{DC67F28D-9D6C-4932-B483-9572C01826A6}"/>
    <cellStyle name="SAPBEXexcBad9 3 3" xfId="1679" xr:uid="{3EE415E2-829B-4BE5-A16C-14DAA2C4F0E7}"/>
    <cellStyle name="SAPBEXexcBad9 3 3 2" xfId="3629" xr:uid="{0017E735-F125-4CE7-AEBC-982169945757}"/>
    <cellStyle name="SAPBEXexcBad9 3 4" xfId="2292" xr:uid="{174C81AA-0890-48B0-AC62-CEC15D7BDF1E}"/>
    <cellStyle name="SAPBEXexcBad9 4" xfId="1465" xr:uid="{E96A404C-F1F9-4259-870C-27FD4C350B7D}"/>
    <cellStyle name="SAPBEXexcBad9 4 2" xfId="3442" xr:uid="{5811C445-6E8A-40C8-BA92-5AC28F6A742C}"/>
    <cellStyle name="SAPBEXexcBad9 5" xfId="1676" xr:uid="{671DACA0-013C-476E-92ED-45094678D2DF}"/>
    <cellStyle name="SAPBEXexcBad9 5 2" xfId="3626" xr:uid="{803FC5BB-D2A3-4BD3-8212-0FEC89C20BA4}"/>
    <cellStyle name="SAPBEXexcBad9 6" xfId="2603" xr:uid="{03CADA08-CD25-492C-A66D-662D3170776F}"/>
    <cellStyle name="SAPBEXexcCritical4" xfId="288" xr:uid="{00000000-0005-0000-0000-000050010000}"/>
    <cellStyle name="SAPBEXexcCritical4 2" xfId="82" xr:uid="{00000000-0005-0000-0000-000081000000}"/>
    <cellStyle name="SAPBEXexcCritical4 2 2" xfId="690" xr:uid="{9757ACC9-BB1B-4996-B373-6AC4C278ABCF}"/>
    <cellStyle name="SAPBEXexcCritical4 2 2 2" xfId="1471" xr:uid="{31A2D3C9-0CBA-4592-9B52-596E3B074829}"/>
    <cellStyle name="SAPBEXexcCritical4 2 2 2 2" xfId="3448" xr:uid="{3EABBE18-9136-4DF6-89B4-43F0641E443A}"/>
    <cellStyle name="SAPBEXexcCritical4 2 2 3" xfId="1682" xr:uid="{02BA9744-C150-4AE9-82F9-55D9219AAA9F}"/>
    <cellStyle name="SAPBEXexcCritical4 2 2 3 2" xfId="3632" xr:uid="{42F8998F-0E10-493A-8779-CDB427A3C46C}"/>
    <cellStyle name="SAPBEXexcCritical4 2 2 4" xfId="2293" xr:uid="{DB67F74F-4DAE-48BB-89F3-688D43EB98DF}"/>
    <cellStyle name="SAPBEXexcCritical4 2 3" xfId="1470" xr:uid="{814B260A-3857-4C5B-BA1A-9638ACBEE4FA}"/>
    <cellStyle name="SAPBEXexcCritical4 2 3 2" xfId="3447" xr:uid="{DC656663-6853-42B0-BACC-0C6A8F8FF5E8}"/>
    <cellStyle name="SAPBEXexcCritical4 2 4" xfId="1681" xr:uid="{45B52BEB-2622-4E52-91A7-EB9B4AF00C50}"/>
    <cellStyle name="SAPBEXexcCritical4 2 4 2" xfId="3631" xr:uid="{020D6619-A5BA-462B-A578-FBD7982EEE7E}"/>
    <cellStyle name="SAPBEXexcCritical4 2 5" xfId="2485" xr:uid="{2F39CD0C-024D-432F-B00F-40898FDEA037}"/>
    <cellStyle name="SAPBEXexcCritical4 3" xfId="804" xr:uid="{967DCEF4-E8A0-4797-B2F1-FA12A76401A9}"/>
    <cellStyle name="SAPBEXexcCritical4 3 2" xfId="1472" xr:uid="{B05F7D87-4A53-4B78-90CC-2D84FD0C3374}"/>
    <cellStyle name="SAPBEXexcCritical4 3 2 2" xfId="3449" xr:uid="{FFCE6362-F88F-4FB3-84C3-109A874F4E26}"/>
    <cellStyle name="SAPBEXexcCritical4 3 3" xfId="1683" xr:uid="{DD49C7B6-C58F-4101-A6FF-F6CCBAF93D9B}"/>
    <cellStyle name="SAPBEXexcCritical4 3 3 2" xfId="3633" xr:uid="{7CB9D24D-2800-45FF-9982-249346E7C777}"/>
    <cellStyle name="SAPBEXexcCritical4 3 4" xfId="2294" xr:uid="{096BC8D9-DB78-491F-AE46-FD3EC861E481}"/>
    <cellStyle name="SAPBEXexcCritical4 4" xfId="1469" xr:uid="{2C35F75F-E9A6-4EBA-B7C1-CC95C172998F}"/>
    <cellStyle name="SAPBEXexcCritical4 4 2" xfId="3446" xr:uid="{8A25F03C-CCF6-42C3-87C3-459868DE9621}"/>
    <cellStyle name="SAPBEXexcCritical4 5" xfId="1680" xr:uid="{CD17AD24-F9CE-4E8F-A399-1F779BA82022}"/>
    <cellStyle name="SAPBEXexcCritical4 5 2" xfId="3630" xr:uid="{28199F23-3E8E-4925-9B45-B2310307BFD3}"/>
    <cellStyle name="SAPBEXexcCritical4 6" xfId="2605" xr:uid="{2473A74E-CD17-4929-A457-06D176B5AD6C}"/>
    <cellStyle name="SAPBEXexcCritical5" xfId="223" xr:uid="{00000000-0005-0000-0000-00000F010000}"/>
    <cellStyle name="SAPBEXexcCritical5 2" xfId="225" xr:uid="{00000000-0005-0000-0000-000011010000}"/>
    <cellStyle name="SAPBEXexcCritical5 2 2" xfId="769" xr:uid="{655D342A-E700-46CD-A370-58ED69EF4133}"/>
    <cellStyle name="SAPBEXexcCritical5 2 2 2" xfId="1475" xr:uid="{072748FF-B150-4692-8F2D-2C0351DC08FF}"/>
    <cellStyle name="SAPBEXexcCritical5 2 2 2 2" xfId="3452" xr:uid="{F3B1CB70-0424-4773-960A-7843856AA374}"/>
    <cellStyle name="SAPBEXexcCritical5 2 2 3" xfId="1686" xr:uid="{2247EC1A-F804-448D-9DF8-B8BB9214A1F0}"/>
    <cellStyle name="SAPBEXexcCritical5 2 2 3 2" xfId="3636" xr:uid="{73FD6A3F-13A7-485E-B66D-60E3E02C8F41}"/>
    <cellStyle name="SAPBEXexcCritical5 2 2 4" xfId="2295" xr:uid="{FB73C648-F1AA-4808-B6FC-077F79C687DF}"/>
    <cellStyle name="SAPBEXexcCritical5 2 3" xfId="1474" xr:uid="{86D613DE-01C2-475C-A56C-A3CA94D8ABE7}"/>
    <cellStyle name="SAPBEXexcCritical5 2 3 2" xfId="3451" xr:uid="{6165410B-1D13-4933-90CA-0E0880E51D84}"/>
    <cellStyle name="SAPBEXexcCritical5 2 4" xfId="1685" xr:uid="{8EFBF05A-7F0D-4299-9B22-83B4D5A6C695}"/>
    <cellStyle name="SAPBEXexcCritical5 2 4 2" xfId="3635" xr:uid="{26D1667A-A6F3-4C44-8BB3-F352CF03C531}"/>
    <cellStyle name="SAPBEXexcCritical5 2 5" xfId="2566" xr:uid="{5F65EDCE-D1AB-4CAB-A358-DE50128CF30A}"/>
    <cellStyle name="SAPBEXexcCritical5 3" xfId="768" xr:uid="{832FBECA-789D-4063-BE29-3B5EB6A07B2F}"/>
    <cellStyle name="SAPBEXexcCritical5 3 2" xfId="1476" xr:uid="{8427D934-ADD0-435F-A59D-C8E23C43912C}"/>
    <cellStyle name="SAPBEXexcCritical5 3 2 2" xfId="3453" xr:uid="{BF21AEFD-8CE9-4C04-889A-AB1C066099B6}"/>
    <cellStyle name="SAPBEXexcCritical5 3 3" xfId="1687" xr:uid="{CAEE5CD3-DD88-46E9-98A8-34D52CACA166}"/>
    <cellStyle name="SAPBEXexcCritical5 3 3 2" xfId="3637" xr:uid="{5B219104-C46F-4817-9ADB-0FC95F4A24FF}"/>
    <cellStyle name="SAPBEXexcCritical5 3 4" xfId="2296" xr:uid="{DF85691C-CD7C-4D92-8B17-B2A7CF67E330}"/>
    <cellStyle name="SAPBEXexcCritical5 4" xfId="1473" xr:uid="{57574525-3921-46D7-8CC1-BD8E0D10A91E}"/>
    <cellStyle name="SAPBEXexcCritical5 4 2" xfId="3450" xr:uid="{AB0A47CF-550A-4E67-B405-55FC0A61DC43}"/>
    <cellStyle name="SAPBEXexcCritical5 5" xfId="1684" xr:uid="{0DE4F25E-8D47-45B4-A919-5686146B0866}"/>
    <cellStyle name="SAPBEXexcCritical5 5 2" xfId="3634" xr:uid="{A299A1D9-BC82-448A-8DFE-CF7ACA04A2A0}"/>
    <cellStyle name="SAPBEXexcCritical5 6" xfId="2565" xr:uid="{51AC119A-B6F3-4936-92B1-588CFE887A96}"/>
    <cellStyle name="SAPBEXexcCritical6" xfId="67" xr:uid="{00000000-0005-0000-0000-000072000000}"/>
    <cellStyle name="SAPBEXexcCritical6 2" xfId="85" xr:uid="{00000000-0005-0000-0000-000084000000}"/>
    <cellStyle name="SAPBEXexcCritical6 2 2" xfId="692" xr:uid="{AAEEBA07-1018-4135-B0FC-3FB9D7C37A27}"/>
    <cellStyle name="SAPBEXexcCritical6 2 2 2" xfId="1479" xr:uid="{9A69C8B9-68A6-4302-82F2-72A0E893F471}"/>
    <cellStyle name="SAPBEXexcCritical6 2 2 2 2" xfId="3456" xr:uid="{EA9C4B96-7EA5-4F9A-97C2-FAC7D3B3C764}"/>
    <cellStyle name="SAPBEXexcCritical6 2 2 3" xfId="1690" xr:uid="{3A26E537-57B2-4F91-89B3-A116F39C5E41}"/>
    <cellStyle name="SAPBEXexcCritical6 2 2 3 2" xfId="3640" xr:uid="{A633002C-967A-41C1-BFD3-7E6F83F0DE69}"/>
    <cellStyle name="SAPBEXexcCritical6 2 2 4" xfId="2297" xr:uid="{F2C7B10B-ED12-4D5F-AF82-3049F34AB9A2}"/>
    <cellStyle name="SAPBEXexcCritical6 2 3" xfId="1478" xr:uid="{3FB71A02-9FAC-42BC-9BFF-38934A342A62}"/>
    <cellStyle name="SAPBEXexcCritical6 2 3 2" xfId="3455" xr:uid="{41F443F8-11E0-4449-A105-2FDD6ADD22D8}"/>
    <cellStyle name="SAPBEXexcCritical6 2 4" xfId="1689" xr:uid="{9B7D22C0-576A-448E-814A-16C9643AD565}"/>
    <cellStyle name="SAPBEXexcCritical6 2 4 2" xfId="3639" xr:uid="{DDD3647F-D6A1-4C25-B6EF-C2556C905A99}"/>
    <cellStyle name="SAPBEXexcCritical6 2 5" xfId="2487" xr:uid="{CE1F0BC6-0704-41E9-A483-0D465057DE68}"/>
    <cellStyle name="SAPBEXexcCritical6 3" xfId="686" xr:uid="{23CCED6D-FFC9-4D61-8EBE-40224AD36E1F}"/>
    <cellStyle name="SAPBEXexcCritical6 3 2" xfId="1480" xr:uid="{06D134A8-4F09-4125-8769-0428D06D2817}"/>
    <cellStyle name="SAPBEXexcCritical6 3 2 2" xfId="3457" xr:uid="{1B156003-BDD4-430F-8CE9-A6E3BB33BE41}"/>
    <cellStyle name="SAPBEXexcCritical6 3 3" xfId="1691" xr:uid="{DF48C1E6-C38A-4631-AE1F-61851FF268A0}"/>
    <cellStyle name="SAPBEXexcCritical6 3 3 2" xfId="3641" xr:uid="{0948CB60-7021-4484-B746-F88B78861474}"/>
    <cellStyle name="SAPBEXexcCritical6 3 4" xfId="2298" xr:uid="{CA15B1AC-BD3B-4AD2-AC6A-C7E4132CC25B}"/>
    <cellStyle name="SAPBEXexcCritical6 4" xfId="1477" xr:uid="{C711ED2A-F1A6-42B3-B9A8-44BFCE8275F6}"/>
    <cellStyle name="SAPBEXexcCritical6 4 2" xfId="3454" xr:uid="{9534193A-4033-44B4-BE1E-69E191B7905B}"/>
    <cellStyle name="SAPBEXexcCritical6 5" xfId="1688" xr:uid="{19A77266-4106-4B9C-8C70-FD9D39F53E21}"/>
    <cellStyle name="SAPBEXexcCritical6 5 2" xfId="3638" xr:uid="{13CCBFE4-6015-4692-9442-71D4AA6B3B68}"/>
    <cellStyle name="SAPBEXexcCritical6 6" xfId="2480" xr:uid="{1E8078CF-BF1A-427B-93D7-5BB5097782D2}"/>
    <cellStyle name="SAPBEXexcGood1" xfId="289" xr:uid="{00000000-0005-0000-0000-000051010000}"/>
    <cellStyle name="SAPBEXexcGood1 2" xfId="290" xr:uid="{00000000-0005-0000-0000-000052010000}"/>
    <cellStyle name="SAPBEXexcGood1 2 2" xfId="806" xr:uid="{831B2432-785B-44FC-8F5E-71445F7B9206}"/>
    <cellStyle name="SAPBEXexcGood1 2 2 2" xfId="1483" xr:uid="{C5761F2C-30E2-42A1-B89E-27D6295AF116}"/>
    <cellStyle name="SAPBEXexcGood1 2 2 2 2" xfId="3460" xr:uid="{E921636A-25CE-4C7B-8468-D4013E5501F2}"/>
    <cellStyle name="SAPBEXexcGood1 2 2 3" xfId="1694" xr:uid="{1E0B28DB-CEBB-44D2-B4BD-9A74D1561B51}"/>
    <cellStyle name="SAPBEXexcGood1 2 2 3 2" xfId="3644" xr:uid="{F3D5A38E-121B-45C2-A35D-F542D930FA4A}"/>
    <cellStyle name="SAPBEXexcGood1 2 2 4" xfId="2299" xr:uid="{48711863-4E38-460E-B7A8-8C65F709DD54}"/>
    <cellStyle name="SAPBEXexcGood1 2 3" xfId="1482" xr:uid="{72A03880-3369-423B-B4F1-3C689E8FA643}"/>
    <cellStyle name="SAPBEXexcGood1 2 3 2" xfId="3459" xr:uid="{BBE04BDA-873E-4EC3-BFAB-5215CFD806C0}"/>
    <cellStyle name="SAPBEXexcGood1 2 4" xfId="1693" xr:uid="{9001EAB1-B687-4291-B1A6-C5FBCBF782B8}"/>
    <cellStyle name="SAPBEXexcGood1 2 4 2" xfId="3643" xr:uid="{B2F7B6AF-CB55-4780-B611-7FAFF9269033}"/>
    <cellStyle name="SAPBEXexcGood1 2 5" xfId="2607" xr:uid="{27BED337-22E7-4E15-8775-0478CC24062E}"/>
    <cellStyle name="SAPBEXexcGood1 3" xfId="805" xr:uid="{98C9ACA8-8CAB-48E8-8ED9-4A9B864417AD}"/>
    <cellStyle name="SAPBEXexcGood1 3 2" xfId="1484" xr:uid="{7A903F60-A2DA-4CC9-AAFE-DAC8EF36629B}"/>
    <cellStyle name="SAPBEXexcGood1 3 2 2" xfId="3461" xr:uid="{2043F58D-BF97-452B-B2E3-78D8A9E623A8}"/>
    <cellStyle name="SAPBEXexcGood1 3 3" xfId="1695" xr:uid="{AB28B13D-D999-4B3B-A467-3E3D37202F0A}"/>
    <cellStyle name="SAPBEXexcGood1 3 3 2" xfId="3645" xr:uid="{07FD3566-90E8-4517-B84E-8BFB2C9F7425}"/>
    <cellStyle name="SAPBEXexcGood1 3 4" xfId="2300" xr:uid="{034B087E-2089-4B7A-B973-2F24D6B829B9}"/>
    <cellStyle name="SAPBEXexcGood1 4" xfId="1481" xr:uid="{8B279EB1-B0F6-441E-BED7-4C3F03F0D6B4}"/>
    <cellStyle name="SAPBEXexcGood1 4 2" xfId="3458" xr:uid="{5883A8C4-5E93-4013-AED9-648A1C8231B3}"/>
    <cellStyle name="SAPBEXexcGood1 5" xfId="1692" xr:uid="{158AFECB-D538-4134-8B24-B22FD1973141}"/>
    <cellStyle name="SAPBEXexcGood1 5 2" xfId="3642" xr:uid="{A8AB446C-FD14-4101-9A3D-3DDA61BED7BE}"/>
    <cellStyle name="SAPBEXexcGood1 6" xfId="2606" xr:uid="{3F2A1F71-9C85-4F5D-97AB-FF55626DC56F}"/>
    <cellStyle name="SAPBEXexcGood2" xfId="292" xr:uid="{00000000-0005-0000-0000-000054010000}"/>
    <cellStyle name="SAPBEXexcGood2 2" xfId="293" xr:uid="{00000000-0005-0000-0000-000055010000}"/>
    <cellStyle name="SAPBEXexcGood2 2 2" xfId="809" xr:uid="{3F91327F-9895-46E5-8F72-EBA095589B3F}"/>
    <cellStyle name="SAPBEXexcGood2 2 2 2" xfId="1487" xr:uid="{B0C8F46D-A301-44C7-B216-B4E46F445406}"/>
    <cellStyle name="SAPBEXexcGood2 2 2 2 2" xfId="3464" xr:uid="{9497EA12-B619-4503-BCE2-DF4B48B25D97}"/>
    <cellStyle name="SAPBEXexcGood2 2 2 3" xfId="1698" xr:uid="{7F758D1F-DBF3-4791-AA48-9AC36D36FAE9}"/>
    <cellStyle name="SAPBEXexcGood2 2 2 3 2" xfId="3648" xr:uid="{8BCBB057-45B1-4721-B71E-D683A1984544}"/>
    <cellStyle name="SAPBEXexcGood2 2 2 4" xfId="2301" xr:uid="{2F9AFE03-D94F-409C-A936-83474BDEFDE6}"/>
    <cellStyle name="SAPBEXexcGood2 2 3" xfId="1486" xr:uid="{0B24313F-ED3E-4FBE-A911-4D94BB008157}"/>
    <cellStyle name="SAPBEXexcGood2 2 3 2" xfId="3463" xr:uid="{79515D03-3257-426B-BC37-64A0DAE11667}"/>
    <cellStyle name="SAPBEXexcGood2 2 4" xfId="1697" xr:uid="{2AA3EB92-C1A9-440B-BFED-B8C8E9E25300}"/>
    <cellStyle name="SAPBEXexcGood2 2 4 2" xfId="3647" xr:uid="{64180034-74D3-44F1-81A5-AC1B8E4BA57E}"/>
    <cellStyle name="SAPBEXexcGood2 2 5" xfId="2609" xr:uid="{FAABDB96-C9BA-4738-B350-FDEDF5D98342}"/>
    <cellStyle name="SAPBEXexcGood2 3" xfId="808" xr:uid="{D4F9B75D-0AF4-440E-808E-F4351E6BD0B6}"/>
    <cellStyle name="SAPBEXexcGood2 3 2" xfId="1488" xr:uid="{1181CDE4-93B8-4956-8B93-564097F6DCAF}"/>
    <cellStyle name="SAPBEXexcGood2 3 2 2" xfId="3465" xr:uid="{C50817F7-9787-40E4-8316-74ECCEB5B4C2}"/>
    <cellStyle name="SAPBEXexcGood2 3 3" xfId="1699" xr:uid="{EE3EB7D9-ED37-468E-97D7-85DA7B9AFE65}"/>
    <cellStyle name="SAPBEXexcGood2 3 3 2" xfId="3649" xr:uid="{83F08E49-7BBF-433A-A414-258A714A3359}"/>
    <cellStyle name="SAPBEXexcGood2 3 4" xfId="2302" xr:uid="{F9B11A0D-E79B-4941-83E0-F5D9F469A9B1}"/>
    <cellStyle name="SAPBEXexcGood2 4" xfId="1485" xr:uid="{8B59A93A-1104-4501-8F2F-2C180DEB9AB1}"/>
    <cellStyle name="SAPBEXexcGood2 4 2" xfId="3462" xr:uid="{41DE8DE6-CB70-49DD-AF77-FD66D98F927D}"/>
    <cellStyle name="SAPBEXexcGood2 5" xfId="1696" xr:uid="{D18DA3A1-4EA7-4C25-8828-6A7B406BAB04}"/>
    <cellStyle name="SAPBEXexcGood2 5 2" xfId="3646" xr:uid="{D83A2451-C734-4C1B-9BC8-6ECF44E0A230}"/>
    <cellStyle name="SAPBEXexcGood2 6" xfId="2608" xr:uid="{9D58CB98-A775-407F-A25A-446595DECEC2}"/>
    <cellStyle name="SAPBEXexcGood3" xfId="295" xr:uid="{00000000-0005-0000-0000-000057010000}"/>
    <cellStyle name="SAPBEXexcGood3 2" xfId="297" xr:uid="{00000000-0005-0000-0000-000059010000}"/>
    <cellStyle name="SAPBEXexcGood3 2 2" xfId="813" xr:uid="{ADD7BCC0-70BE-42B7-BFC6-32078FEDA383}"/>
    <cellStyle name="SAPBEXexcGood3 2 2 2" xfId="1491" xr:uid="{9AC92EB8-0763-4396-9021-D3308B4B0638}"/>
    <cellStyle name="SAPBEXexcGood3 2 2 2 2" xfId="3468" xr:uid="{C4F8A481-5CF5-4FCE-A45B-E65F0EF824C8}"/>
    <cellStyle name="SAPBEXexcGood3 2 2 3" xfId="1702" xr:uid="{A7A0BA67-4D89-43E1-96D2-92694D3B8359}"/>
    <cellStyle name="SAPBEXexcGood3 2 2 3 2" xfId="3652" xr:uid="{D25455D9-B3D5-4223-97CB-0C684FF0BFDD}"/>
    <cellStyle name="SAPBEXexcGood3 2 2 4" xfId="2303" xr:uid="{8F9F69FA-5DA2-4F08-BC90-D1CD657A4548}"/>
    <cellStyle name="SAPBEXexcGood3 2 3" xfId="1490" xr:uid="{6D9D686B-2D79-4FD4-9616-E874097860E0}"/>
    <cellStyle name="SAPBEXexcGood3 2 3 2" xfId="3467" xr:uid="{C41226EA-F846-4F5B-9C14-0B764E290F82}"/>
    <cellStyle name="SAPBEXexcGood3 2 4" xfId="1701" xr:uid="{96D68CB0-9818-4D1A-96E7-873B0C756123}"/>
    <cellStyle name="SAPBEXexcGood3 2 4 2" xfId="3651" xr:uid="{C1F98C14-140E-4348-BA0E-2D9EAC6AC225}"/>
    <cellStyle name="SAPBEXexcGood3 2 5" xfId="2613" xr:uid="{D21C3F2B-7634-4D3D-B45C-02CF2F75557F}"/>
    <cellStyle name="SAPBEXexcGood3 3" xfId="811" xr:uid="{89631AE1-AD3E-446E-AB25-96117FE5B83C}"/>
    <cellStyle name="SAPBEXexcGood3 3 2" xfId="1492" xr:uid="{5BA1B952-CA13-4E60-86AF-56A2054FB751}"/>
    <cellStyle name="SAPBEXexcGood3 3 2 2" xfId="3469" xr:uid="{3480637E-97D7-4EF6-82FA-CCB7F7CC6126}"/>
    <cellStyle name="SAPBEXexcGood3 3 3" xfId="1703" xr:uid="{FAC3A7F8-D4EE-4092-9EB7-DDB2339259C7}"/>
    <cellStyle name="SAPBEXexcGood3 3 3 2" xfId="3653" xr:uid="{C3E26DDA-2DDA-4D04-8273-EB96913E1A4F}"/>
    <cellStyle name="SAPBEXexcGood3 3 4" xfId="2304" xr:uid="{577BAED5-3F5B-48E4-A8F3-94295257A63E}"/>
    <cellStyle name="SAPBEXexcGood3 4" xfId="1489" xr:uid="{0DD27B9E-7973-4AAD-87C8-CA79831135E5}"/>
    <cellStyle name="SAPBEXexcGood3 4 2" xfId="3466" xr:uid="{7A09A04B-773E-428A-97F3-6BFEC570A5C9}"/>
    <cellStyle name="SAPBEXexcGood3 5" xfId="1700" xr:uid="{42771F93-01B9-485B-BC2B-C5AE4CCBC728}"/>
    <cellStyle name="SAPBEXexcGood3 5 2" xfId="3650" xr:uid="{0106A608-D89B-4A9F-8805-E276BF4C945F}"/>
    <cellStyle name="SAPBEXexcGood3 6" xfId="2611" xr:uid="{C9116019-3E27-4F71-B646-1E62E19E98A8}"/>
    <cellStyle name="SAPBEXfilterDrill" xfId="81" xr:uid="{00000000-0005-0000-0000-000080000000}"/>
    <cellStyle name="SAPBEXfilterDrill 2" xfId="298" xr:uid="{00000000-0005-0000-0000-00005A010000}"/>
    <cellStyle name="SAPBEXfilterDrill 2 2" xfId="814" xr:uid="{E633A302-FD03-4A3A-AD1D-E184BD44B657}"/>
    <cellStyle name="SAPBEXfilterDrill 2 2 2" xfId="3751" xr:uid="{102E7C48-0ECB-4C0B-AC9B-C8283E42E01E}"/>
    <cellStyle name="SAPBEXfilterDrill 2 2 3" xfId="2491" xr:uid="{1E5973BB-75EE-4657-8EFE-43417893E7E8}"/>
    <cellStyle name="SAPBEXfilterDrill 2 2 4" xfId="2917" xr:uid="{2D1F8A24-D91F-439F-BEDF-21148221151C}"/>
    <cellStyle name="SAPBEXfilterDrill 2 3" xfId="880" xr:uid="{C54D6072-97AF-4B62-955B-B1E83E5A0E01}"/>
    <cellStyle name="SAPBEXfilterDrill 2 3 2" xfId="3753" xr:uid="{A50FE240-632F-4A63-A116-51A46B4A1DF3}"/>
    <cellStyle name="SAPBEXfilterDrill 2 3 3" xfId="3744" xr:uid="{89B1F8D4-79CE-42DC-8FF6-A9961D2038A6}"/>
    <cellStyle name="SAPBEXfilterDrill 2 3 4" xfId="2959" xr:uid="{44E8DCA7-674A-4769-92CD-86C0A7DC8D34}"/>
    <cellStyle name="SAPBEXfilterDrill 2 4" xfId="3739" xr:uid="{6EF273B9-C28A-45B4-AB2A-732E3F2A30D8}"/>
    <cellStyle name="SAPBEXfilterDrill 2 5" xfId="3741" xr:uid="{06C35E3A-5825-48BB-AE02-E4165BE94A94}"/>
    <cellStyle name="SAPBEXfilterDrill 2 6" xfId="2614" xr:uid="{BAE78B94-660D-46B5-BE0E-E00D62133726}"/>
    <cellStyle name="SAPBEXfilterDrill 3" xfId="689" xr:uid="{EDB308C5-C1F3-49E2-A40B-6C9C0851B5CA}"/>
    <cellStyle name="SAPBEXfilterDrill 3 2" xfId="3746" xr:uid="{20AF0BE6-6B4C-46EF-B3F6-83C04C036585}"/>
    <cellStyle name="SAPBEXfilterDrill 3 3" xfId="3745" xr:uid="{115D263E-F1FC-498B-A51C-250505F5A01B}"/>
    <cellStyle name="SAPBEXfilterDrill 3 4" xfId="2834" xr:uid="{863ED174-265A-4CD1-B18E-5B9C9BC6EA39}"/>
    <cellStyle name="SAPBEXfilterDrill 4" xfId="878" xr:uid="{A70773B2-ED54-41B1-A7F3-77A137E8D94C}"/>
    <cellStyle name="SAPBEXfilterDrill 4 2" xfId="3752" xr:uid="{74E626C3-93AE-446B-9E39-2A9EEB034A15}"/>
    <cellStyle name="SAPBEXfilterDrill 4 3" xfId="3756" xr:uid="{1AC9EA50-87B6-4014-B8CB-575589FB7B83}"/>
    <cellStyle name="SAPBEXfilterDrill 4 4" xfId="2957" xr:uid="{F5545BC6-D6A7-44D6-8E76-CA9618A79A47}"/>
    <cellStyle name="SAPBEXfilterDrill 5" xfId="1493" xr:uid="{516F88E3-D863-4E25-BB0C-E9070E807BE1}"/>
    <cellStyle name="SAPBEXfilterDrill 5 2" xfId="3758" xr:uid="{771420E5-6FAB-4188-9C18-6E3A1CD156FB}"/>
    <cellStyle name="SAPBEXfilterDrill 5 3" xfId="3754" xr:uid="{F4ACBF85-C525-4A69-B22C-0A5D62E0BC64}"/>
    <cellStyle name="SAPBEXfilterDrill 5 4" xfId="3470" xr:uid="{E5FCD3ED-E8D6-4682-AABB-65F285734F42}"/>
    <cellStyle name="SAPBEXfilterDrill 6" xfId="2484" xr:uid="{6603CD9A-4B27-491C-9D98-B2C425BB44BA}"/>
    <cellStyle name="SAPBEXfilterDrill 7" xfId="2919" xr:uid="{1659A736-BE77-46E5-88C1-779CDDE2BE92}"/>
    <cellStyle name="SAPBEXfilterDrill 8" xfId="3747" xr:uid="{C0C2D99A-BF04-466E-A92E-C97E156A11FB}"/>
    <cellStyle name="SAPBEXfilterDrill 9" xfId="2305" xr:uid="{1C0160C9-61C9-44D5-80B5-8F48D8EB11C5}"/>
    <cellStyle name="SAPBEXfilterItem" xfId="299" xr:uid="{00000000-0005-0000-0000-00005B010000}"/>
    <cellStyle name="SAPBEXfilterText" xfId="300" xr:uid="{00000000-0005-0000-0000-00005C010000}"/>
    <cellStyle name="SAPBEXformats" xfId="302" xr:uid="{00000000-0005-0000-0000-00005E010000}"/>
    <cellStyle name="SAPBEXformats 2" xfId="303" xr:uid="{00000000-0005-0000-0000-00005F010000}"/>
    <cellStyle name="SAPBEXformats 2 2" xfId="816" xr:uid="{F9498D02-2CB4-4D8F-9362-B4AF40FF8B4B}"/>
    <cellStyle name="SAPBEXformats 2 2 2" xfId="1496" xr:uid="{F83FB3AB-43A0-4646-8F1A-C0C3D768BDCC}"/>
    <cellStyle name="SAPBEXformats 2 2 2 2" xfId="3473" xr:uid="{EF9C7CD1-04BF-4419-B96B-332CF882E890}"/>
    <cellStyle name="SAPBEXformats 2 2 3" xfId="1706" xr:uid="{248D8E86-D8C3-49DD-84C5-B0617E8B1F26}"/>
    <cellStyle name="SAPBEXformats 2 2 3 2" xfId="3656" xr:uid="{05DA24E5-0F19-4617-8E39-FA24EFE24B27}"/>
    <cellStyle name="SAPBEXformats 2 2 4" xfId="2306" xr:uid="{1619FC7D-2805-4CA4-91E7-8C2EBCC6B681}"/>
    <cellStyle name="SAPBEXformats 2 3" xfId="1495" xr:uid="{5D4ADB0A-55D3-4467-8BFF-E3D8D8C8607C}"/>
    <cellStyle name="SAPBEXformats 2 3 2" xfId="3472" xr:uid="{1A125772-233C-4064-B0E6-FF2FB4BA8E43}"/>
    <cellStyle name="SAPBEXformats 2 4" xfId="1705" xr:uid="{38E8D260-849D-4F0E-AC12-F489837B7925}"/>
    <cellStyle name="SAPBEXformats 2 4 2" xfId="3655" xr:uid="{3ABEC9B1-3039-474E-869C-2AE9AB0D2075}"/>
    <cellStyle name="SAPBEXformats 2 5" xfId="2616" xr:uid="{22AAA8D1-A4C6-49D4-83D3-27E747E7EF56}"/>
    <cellStyle name="SAPBEXformats 3" xfId="815" xr:uid="{D7EDA17D-41DC-421F-93F1-FA13F6BB0196}"/>
    <cellStyle name="SAPBEXformats 3 2" xfId="1497" xr:uid="{1074904D-1BA6-46BC-8558-6CD4DB009A92}"/>
    <cellStyle name="SAPBEXformats 3 2 2" xfId="3474" xr:uid="{5C43A624-881B-46CF-8492-75CDA1E972E3}"/>
    <cellStyle name="SAPBEXformats 3 3" xfId="1707" xr:uid="{2DD1B3AA-A87A-48A8-8F99-558796967F23}"/>
    <cellStyle name="SAPBEXformats 3 3 2" xfId="3657" xr:uid="{16C2C974-21DE-420B-95EC-DE9EB2618B43}"/>
    <cellStyle name="SAPBEXformats 3 4" xfId="2307" xr:uid="{D678C613-82A7-4B5C-A4BB-2A9C748351F0}"/>
    <cellStyle name="SAPBEXformats 4" xfId="1494" xr:uid="{132A1E37-D786-4A94-9F66-202BDEA0AB76}"/>
    <cellStyle name="SAPBEXformats 4 2" xfId="3471" xr:uid="{84036D8D-59E0-47DD-969E-5BFF5A4726C5}"/>
    <cellStyle name="SAPBEXformats 5" xfId="1704" xr:uid="{FF8CD8CC-1337-4038-B1C2-7DB32B53406A}"/>
    <cellStyle name="SAPBEXformats 5 2" xfId="3654" xr:uid="{A27F6C1F-6A47-46E8-ABAF-3FC2FBC44D7B}"/>
    <cellStyle name="SAPBEXformats 6" xfId="2615" xr:uid="{767EA086-8FD8-4B06-A8F6-193E1D9DF515}"/>
    <cellStyle name="SAPBEXheaderItem" xfId="305" xr:uid="{00000000-0005-0000-0000-000061010000}"/>
    <cellStyle name="SAPBEXheaderText" xfId="306" xr:uid="{00000000-0005-0000-0000-000062010000}"/>
    <cellStyle name="SAPBEXHLevel0" xfId="307" xr:uid="{00000000-0005-0000-0000-000063010000}"/>
    <cellStyle name="SAPBEXHLevel0 2" xfId="308" xr:uid="{00000000-0005-0000-0000-000064010000}"/>
    <cellStyle name="SAPBEXHLevel0 2 2" xfId="819" xr:uid="{4596DC01-A92E-4E4A-B46E-217FDD6FD585}"/>
    <cellStyle name="SAPBEXHLevel0 2 2 2" xfId="1500" xr:uid="{5CEE2AA9-578E-46C6-9431-67310DB06AC3}"/>
    <cellStyle name="SAPBEXHLevel0 2 2 2 2" xfId="3477" xr:uid="{089705EE-041B-4133-A742-C81D8DA3B862}"/>
    <cellStyle name="SAPBEXHLevel0 2 2 3" xfId="1710" xr:uid="{E8CE7A74-CC6A-4D3C-9C30-51F66E4FDE18}"/>
    <cellStyle name="SAPBEXHLevel0 2 2 3 2" xfId="3660" xr:uid="{1F89FC40-D29A-484A-89E8-48859A718355}"/>
    <cellStyle name="SAPBEXHLevel0 2 2 4" xfId="2308" xr:uid="{EFAFB78D-B64E-462E-8B0D-8C1EF4F8707A}"/>
    <cellStyle name="SAPBEXHLevel0 2 3" xfId="1499" xr:uid="{3C248388-3EF5-4B87-A1E9-D3EBE74829A6}"/>
    <cellStyle name="SAPBEXHLevel0 2 3 2" xfId="3476" xr:uid="{E9E9A8FC-54DB-4F0A-AF0E-530EF0B03619}"/>
    <cellStyle name="SAPBEXHLevel0 2 4" xfId="1709" xr:uid="{AA41A9FE-D692-42E2-96D2-F3063E5F72BA}"/>
    <cellStyle name="SAPBEXHLevel0 2 4 2" xfId="3659" xr:uid="{E36C6EF6-13D5-4D86-B206-1A6AEA9FBBAD}"/>
    <cellStyle name="SAPBEXHLevel0 2 5" xfId="2618" xr:uid="{75774A81-97AD-40B2-B4BE-558CBB5E377F}"/>
    <cellStyle name="SAPBEXHLevel0 3" xfId="818" xr:uid="{613C9F7E-99BE-42F3-8AF7-358AE9AB5EF2}"/>
    <cellStyle name="SAPBEXHLevel0 3 2" xfId="1501" xr:uid="{E597D4E3-7025-4447-9B96-C07D9475A0E8}"/>
    <cellStyle name="SAPBEXHLevel0 3 2 2" xfId="3478" xr:uid="{F36426F1-2310-4DA7-9610-D94ED3731FD8}"/>
    <cellStyle name="SAPBEXHLevel0 3 3" xfId="1711" xr:uid="{818BEB97-D26B-4988-B3B0-E50DA9E7A2A3}"/>
    <cellStyle name="SAPBEXHLevel0 3 3 2" xfId="3661" xr:uid="{4BA59883-C676-423B-8B63-007213B3CB3B}"/>
    <cellStyle name="SAPBEXHLevel0 3 4" xfId="2309" xr:uid="{6A6BCA72-DE95-4379-A888-791862DD64FC}"/>
    <cellStyle name="SAPBEXHLevel0 4" xfId="1498" xr:uid="{2A36DE14-3146-4123-9CD2-C1E4B1494ECA}"/>
    <cellStyle name="SAPBEXHLevel0 4 2" xfId="3475" xr:uid="{82C056B6-2F82-4640-9E01-72AFA8EE88F9}"/>
    <cellStyle name="SAPBEXHLevel0 5" xfId="1708" xr:uid="{2ACEDB59-380B-49E2-A036-E3DAE14AEA81}"/>
    <cellStyle name="SAPBEXHLevel0 5 2" xfId="3658" xr:uid="{635EDD4E-FEA7-423D-B114-D0216CBB2512}"/>
    <cellStyle name="SAPBEXHLevel0 6" xfId="2617" xr:uid="{7FEFE306-438F-45C8-9FCC-F6A897147D3E}"/>
    <cellStyle name="SAPBEXHLevel0X" xfId="309" xr:uid="{00000000-0005-0000-0000-000065010000}"/>
    <cellStyle name="SAPBEXHLevel0X 2" xfId="311" xr:uid="{00000000-0005-0000-0000-000067010000}"/>
    <cellStyle name="SAPBEXHLevel0X 2 2" xfId="821" xr:uid="{0C460A24-84E2-42FF-9140-5A6443240E6B}"/>
    <cellStyle name="SAPBEXHLevel0X 2 2 2" xfId="1504" xr:uid="{92CABEAF-86CA-4D5A-A0A0-086699FE956B}"/>
    <cellStyle name="SAPBEXHLevel0X 2 2 2 2" xfId="3481" xr:uid="{19DF5F8A-5F71-45A9-99BD-EA7F22301602}"/>
    <cellStyle name="SAPBEXHLevel0X 2 2 3" xfId="1714" xr:uid="{B6A91068-DB1C-42D5-B71F-03FA5AD15720}"/>
    <cellStyle name="SAPBEXHLevel0X 2 2 3 2" xfId="3664" xr:uid="{B29DDC3E-FDD8-4B27-BA39-0ADE3585805B}"/>
    <cellStyle name="SAPBEXHLevel0X 2 2 4" xfId="2310" xr:uid="{9AE145FA-2CAF-47C3-8E56-34E063ADAEDC}"/>
    <cellStyle name="SAPBEXHLevel0X 2 3" xfId="1503" xr:uid="{7452FA8D-0410-4A97-89BE-F8C569802BB1}"/>
    <cellStyle name="SAPBEXHLevel0X 2 3 2" xfId="3480" xr:uid="{83449933-5A8D-41F2-8F11-7B6617505CD1}"/>
    <cellStyle name="SAPBEXHLevel0X 2 4" xfId="1713" xr:uid="{9E983966-AAC3-4614-884C-727808A11E88}"/>
    <cellStyle name="SAPBEXHLevel0X 2 4 2" xfId="3663" xr:uid="{A49E2A34-DB57-4BF1-9FE7-876D336AB467}"/>
    <cellStyle name="SAPBEXHLevel0X 2 5" xfId="2620" xr:uid="{3191A886-2BEC-4E89-B3EA-DC19B305A28F}"/>
    <cellStyle name="SAPBEXHLevel0X 3" xfId="820" xr:uid="{4E9672DE-77E3-43E9-A7BE-2A8CB797B378}"/>
    <cellStyle name="SAPBEXHLevel0X 3 2" xfId="1505" xr:uid="{25EA2323-D8C6-4FC8-BC8D-0EE6E0CE0C6F}"/>
    <cellStyle name="SAPBEXHLevel0X 3 2 2" xfId="3482" xr:uid="{B0D9F23D-F28F-4634-BED1-EF287E6883AC}"/>
    <cellStyle name="SAPBEXHLevel0X 3 3" xfId="1715" xr:uid="{88ACF4B4-6D58-4938-854D-5B2F2A3A3109}"/>
    <cellStyle name="SAPBEXHLevel0X 3 3 2" xfId="3665" xr:uid="{77523C46-9988-498B-A460-47CBBBE5FDBA}"/>
    <cellStyle name="SAPBEXHLevel0X 3 4" xfId="2311" xr:uid="{8701BCB5-2E8A-48E7-B39C-59B166706665}"/>
    <cellStyle name="SAPBEXHLevel0X 4" xfId="1502" xr:uid="{0C5F84A2-9B77-4E1B-BA19-FD6E3800A8C6}"/>
    <cellStyle name="SAPBEXHLevel0X 4 2" xfId="3479" xr:uid="{988AEB43-C903-4681-93DD-FA7EB83AAAA3}"/>
    <cellStyle name="SAPBEXHLevel0X 5" xfId="1712" xr:uid="{9B46126D-FFAD-4FB3-982B-99DF8709C6F5}"/>
    <cellStyle name="SAPBEXHLevel0X 5 2" xfId="3662" xr:uid="{A0F03C8C-A975-4921-850A-52882286F8EA}"/>
    <cellStyle name="SAPBEXHLevel0X 6" xfId="2619" xr:uid="{7393DBE6-494F-45EB-A925-27552B4CC260}"/>
    <cellStyle name="SAPBEXHLevel1" xfId="313" xr:uid="{00000000-0005-0000-0000-000069010000}"/>
    <cellStyle name="SAPBEXHLevel1 2" xfId="314" xr:uid="{00000000-0005-0000-0000-00006A010000}"/>
    <cellStyle name="SAPBEXHLevel1 2 2" xfId="824" xr:uid="{727C052E-4489-4CDC-88EB-2F011B729DF5}"/>
    <cellStyle name="SAPBEXHLevel1 2 2 2" xfId="1508" xr:uid="{7FD3538B-D9C8-439F-ADE5-B8BDEAC7B897}"/>
    <cellStyle name="SAPBEXHLevel1 2 2 2 2" xfId="3485" xr:uid="{B118F9BC-E3C4-4F88-9D31-B38E36FC07D4}"/>
    <cellStyle name="SAPBEXHLevel1 2 2 3" xfId="1718" xr:uid="{EBE90B9E-91B6-465D-B6F9-4AD1D70AA31C}"/>
    <cellStyle name="SAPBEXHLevel1 2 2 3 2" xfId="3668" xr:uid="{54D499C8-B111-4CEF-B181-1B65E0854078}"/>
    <cellStyle name="SAPBEXHLevel1 2 2 4" xfId="2312" xr:uid="{C6000AA5-E4FA-4C56-A7E9-425615B5AE58}"/>
    <cellStyle name="SAPBEXHLevel1 2 3" xfId="1507" xr:uid="{2D70F08B-D172-4E3A-AFF3-6A86B5284ABF}"/>
    <cellStyle name="SAPBEXHLevel1 2 3 2" xfId="3484" xr:uid="{0D9AF636-C8CC-467D-A54C-EA703C77C1C9}"/>
    <cellStyle name="SAPBEXHLevel1 2 4" xfId="1717" xr:uid="{AFB6E846-A7D2-4BEE-BEEC-D928DCAB5BC1}"/>
    <cellStyle name="SAPBEXHLevel1 2 4 2" xfId="3667" xr:uid="{31612A39-1EB1-46A4-AF51-38FC66F97B6F}"/>
    <cellStyle name="SAPBEXHLevel1 2 5" xfId="2623" xr:uid="{C90829C9-DE14-4286-BEDB-B9988B7CA5F3}"/>
    <cellStyle name="SAPBEXHLevel1 3" xfId="823" xr:uid="{F78D1105-AF20-4271-AFF9-07D9BC496223}"/>
    <cellStyle name="SAPBEXHLevel1 3 2" xfId="1509" xr:uid="{1FB3A99B-020E-4433-B688-E0D79D382710}"/>
    <cellStyle name="SAPBEXHLevel1 3 2 2" xfId="3486" xr:uid="{0AD33AE2-E3E2-4EC6-BD28-D70142BFEB44}"/>
    <cellStyle name="SAPBEXHLevel1 3 3" xfId="1719" xr:uid="{18ED1258-72A0-4EE2-A2B7-09DF7A69DE5F}"/>
    <cellStyle name="SAPBEXHLevel1 3 3 2" xfId="3669" xr:uid="{6AC7CFBE-DC7B-4F08-9E50-73B2ECFD16CF}"/>
    <cellStyle name="SAPBEXHLevel1 3 4" xfId="2313" xr:uid="{1CB62050-E0C1-4F87-A17C-EF8A9A0AD5B2}"/>
    <cellStyle name="SAPBEXHLevel1 4" xfId="1506" xr:uid="{7E62C578-03AA-4E29-B956-18FD83637384}"/>
    <cellStyle name="SAPBEXHLevel1 4 2" xfId="3483" xr:uid="{399824F5-232D-468E-AFA2-4533E0543854}"/>
    <cellStyle name="SAPBEXHLevel1 5" xfId="1716" xr:uid="{16FE5168-E41A-4D24-9BE3-667691935AEF}"/>
    <cellStyle name="SAPBEXHLevel1 5 2" xfId="3666" xr:uid="{A7660710-6651-45F6-9BAE-4E64A75617A2}"/>
    <cellStyle name="SAPBEXHLevel1 6" xfId="2622" xr:uid="{EE50C9BD-89D1-47EE-BEDA-2069B5FFA506}"/>
    <cellStyle name="SAPBEXHLevel1X" xfId="315" xr:uid="{00000000-0005-0000-0000-00006B010000}"/>
    <cellStyle name="SAPBEXHLevel1X 2" xfId="316" xr:uid="{00000000-0005-0000-0000-00006C010000}"/>
    <cellStyle name="SAPBEXHLevel1X 2 2" xfId="826" xr:uid="{3CD7509C-DB3A-4E65-A9B1-B58E81C621F7}"/>
    <cellStyle name="SAPBEXHLevel1X 2 2 2" xfId="1512" xr:uid="{9C541024-CE84-40D0-BAA2-4A54A8EC91EB}"/>
    <cellStyle name="SAPBEXHLevel1X 2 2 2 2" xfId="3489" xr:uid="{7DF2CB0B-8259-4D83-844F-43B476351417}"/>
    <cellStyle name="SAPBEXHLevel1X 2 2 3" xfId="1722" xr:uid="{83A0CFA4-4F04-4AD1-8C72-E256FD40A3EC}"/>
    <cellStyle name="SAPBEXHLevel1X 2 2 3 2" xfId="3672" xr:uid="{6A60C696-271D-468C-B0B1-040E7C22005D}"/>
    <cellStyle name="SAPBEXHLevel1X 2 2 4" xfId="2314" xr:uid="{831588CB-A09F-478C-B169-4C7EE81665AC}"/>
    <cellStyle name="SAPBEXHLevel1X 2 3" xfId="1511" xr:uid="{0CDEC944-71E6-4B71-B388-66B4EA37C8F5}"/>
    <cellStyle name="SAPBEXHLevel1X 2 3 2" xfId="3488" xr:uid="{84442F7C-AD41-42CA-B5F8-1F34CE6D72D6}"/>
    <cellStyle name="SAPBEXHLevel1X 2 4" xfId="1721" xr:uid="{57E501F3-F61E-41C0-818A-C0028B71C11B}"/>
    <cellStyle name="SAPBEXHLevel1X 2 4 2" xfId="3671" xr:uid="{A56F33B2-960D-4F5B-B02C-A5647CE7526B}"/>
    <cellStyle name="SAPBEXHLevel1X 2 5" xfId="2625" xr:uid="{BC226B6B-C61E-4036-BB04-7E6CD77CBBA8}"/>
    <cellStyle name="SAPBEXHLevel1X 3" xfId="825" xr:uid="{2ACD09E1-B34B-41CD-BC66-F53E3F4C2ABC}"/>
    <cellStyle name="SAPBEXHLevel1X 3 2" xfId="1513" xr:uid="{A5B05BE4-36F3-4A8D-BA5F-23ECDDFD346E}"/>
    <cellStyle name="SAPBEXHLevel1X 3 2 2" xfId="3490" xr:uid="{1DB758A8-525F-486A-9033-5F498F4162C8}"/>
    <cellStyle name="SAPBEXHLevel1X 3 3" xfId="1723" xr:uid="{05435A19-DAD6-4601-A989-BEC177DFBDFD}"/>
    <cellStyle name="SAPBEXHLevel1X 3 3 2" xfId="3673" xr:uid="{7FE49276-51C9-462E-A26C-ABBE72A2B036}"/>
    <cellStyle name="SAPBEXHLevel1X 3 4" xfId="2315" xr:uid="{0822AB60-A205-4F44-9B48-3FDC0B74A14D}"/>
    <cellStyle name="SAPBEXHLevel1X 4" xfId="1510" xr:uid="{CD1446BB-F25D-4C4F-BE61-16971D9473BB}"/>
    <cellStyle name="SAPBEXHLevel1X 4 2" xfId="3487" xr:uid="{EE9B7221-9422-4156-BD6A-A6DF16C78D40}"/>
    <cellStyle name="SAPBEXHLevel1X 5" xfId="1720" xr:uid="{9494181B-7E4B-4AB0-9EEF-7E4E436082EE}"/>
    <cellStyle name="SAPBEXHLevel1X 5 2" xfId="3670" xr:uid="{6B95988B-4AB8-4B3C-AAD7-98B5C538F2BD}"/>
    <cellStyle name="SAPBEXHLevel1X 6" xfId="2624" xr:uid="{4943735B-A65C-4121-BE0E-9E48B37EAECD}"/>
    <cellStyle name="SAPBEXHLevel2" xfId="317" xr:uid="{00000000-0005-0000-0000-00006D010000}"/>
    <cellStyle name="SAPBEXHLevel2 2" xfId="73" xr:uid="{00000000-0005-0000-0000-000078000000}"/>
    <cellStyle name="SAPBEXHLevel2 2 2" xfId="688" xr:uid="{C8B784B1-9DF1-4A10-96B9-99FC910B2A12}"/>
    <cellStyle name="SAPBEXHLevel2 2 2 2" xfId="1516" xr:uid="{160F4D13-D965-4917-B521-6251D6045D36}"/>
    <cellStyle name="SAPBEXHLevel2 2 2 2 2" xfId="3493" xr:uid="{A2158BF7-2B5D-4B14-A338-94754A5F1D71}"/>
    <cellStyle name="SAPBEXHLevel2 2 2 3" xfId="1726" xr:uid="{8C2356E0-7012-4288-8697-3231E528A722}"/>
    <cellStyle name="SAPBEXHLevel2 2 2 3 2" xfId="3676" xr:uid="{6F578B57-5E13-4D3C-9C3A-C1A9BDABDABF}"/>
    <cellStyle name="SAPBEXHLevel2 2 2 4" xfId="2316" xr:uid="{DAAF2445-FAF4-479B-88F8-ECD1423C4013}"/>
    <cellStyle name="SAPBEXHLevel2 2 3" xfId="1515" xr:uid="{FAF20009-186E-4D14-BBE4-472BD237A83A}"/>
    <cellStyle name="SAPBEXHLevel2 2 3 2" xfId="3492" xr:uid="{7F8413EF-D8E5-42C3-A012-E4509C904A2A}"/>
    <cellStyle name="SAPBEXHLevel2 2 4" xfId="1725" xr:uid="{90B50FCA-4BD7-4E1E-8B8E-D306547BCAE2}"/>
    <cellStyle name="SAPBEXHLevel2 2 4 2" xfId="3675" xr:uid="{ACC658F9-F70D-4C05-9CEF-CE69D85931B8}"/>
    <cellStyle name="SAPBEXHLevel2 2 5" xfId="2483" xr:uid="{D5F97DE5-156F-4831-821C-ACD1F8C12225}"/>
    <cellStyle name="SAPBEXHLevel2 3" xfId="827" xr:uid="{ED06C23F-2574-4C40-83A0-A7D95BFD9278}"/>
    <cellStyle name="SAPBEXHLevel2 3 2" xfId="1517" xr:uid="{59117C49-49B8-444D-887C-9A1EE1BFCCA1}"/>
    <cellStyle name="SAPBEXHLevel2 3 2 2" xfId="3494" xr:uid="{790D2E8E-D499-4089-B3EA-BA477C06E4CB}"/>
    <cellStyle name="SAPBEXHLevel2 3 3" xfId="1727" xr:uid="{EAE0ED27-2531-4C86-9FFB-FDC18B7641EB}"/>
    <cellStyle name="SAPBEXHLevel2 3 3 2" xfId="3677" xr:uid="{EB2BFF6D-1672-425C-B85A-9B59745EC214}"/>
    <cellStyle name="SAPBEXHLevel2 3 4" xfId="2317" xr:uid="{C09482F7-14F6-4674-A6B1-D5458294124E}"/>
    <cellStyle name="SAPBEXHLevel2 4" xfId="1514" xr:uid="{2E1CC45D-E8BA-4F29-A72C-6BF1526BB262}"/>
    <cellStyle name="SAPBEXHLevel2 4 2" xfId="3491" xr:uid="{751D167B-CCDD-4C5C-9429-6F9928E441AA}"/>
    <cellStyle name="SAPBEXHLevel2 5" xfId="1724" xr:uid="{8A55B0D4-7FDA-4BB9-9097-66249AB76811}"/>
    <cellStyle name="SAPBEXHLevel2 5 2" xfId="3674" xr:uid="{DEBFC8CC-7898-49A3-9FBA-2FFE744A2DD4}"/>
    <cellStyle name="SAPBEXHLevel2 6" xfId="2626" xr:uid="{7EF7ACE0-C1CB-4198-8331-0F8CFAB0E381}"/>
    <cellStyle name="SAPBEXHLevel2X" xfId="318" xr:uid="{00000000-0005-0000-0000-00006E010000}"/>
    <cellStyle name="SAPBEXHLevel2X 2" xfId="319" xr:uid="{00000000-0005-0000-0000-00006F010000}"/>
    <cellStyle name="SAPBEXHLevel2X 2 2" xfId="829" xr:uid="{8182809E-EB76-48DC-8758-4B0CF8CC6E52}"/>
    <cellStyle name="SAPBEXHLevel2X 2 2 2" xfId="1520" xr:uid="{E5431A6F-7026-4AA4-88AD-228EDF47DE4B}"/>
    <cellStyle name="SAPBEXHLevel2X 2 2 2 2" xfId="3497" xr:uid="{D2A6210F-336B-4F16-9236-27854AAAA342}"/>
    <cellStyle name="SAPBEXHLevel2X 2 2 3" xfId="1730" xr:uid="{BA757CFD-1D5A-4F26-8E8A-435BD75003F0}"/>
    <cellStyle name="SAPBEXHLevel2X 2 2 3 2" xfId="3680" xr:uid="{6930E3E3-E2FF-4C71-A116-ABD136D3A6BF}"/>
    <cellStyle name="SAPBEXHLevel2X 2 2 4" xfId="2318" xr:uid="{A70D2238-A88C-4ABC-9ADD-BDE27083B1BA}"/>
    <cellStyle name="SAPBEXHLevel2X 2 3" xfId="1519" xr:uid="{604EB92E-2623-483F-ACC0-DB1647A9D5F6}"/>
    <cellStyle name="SAPBEXHLevel2X 2 3 2" xfId="3496" xr:uid="{27C8ABE2-FFE6-44B3-8487-776828FCEF27}"/>
    <cellStyle name="SAPBEXHLevel2X 2 4" xfId="1729" xr:uid="{28B6E399-9898-4E17-95FE-AD4419359A2F}"/>
    <cellStyle name="SAPBEXHLevel2X 2 4 2" xfId="3679" xr:uid="{897FF87E-9D32-4CF8-A1A4-1F594637E43D}"/>
    <cellStyle name="SAPBEXHLevel2X 2 5" xfId="2628" xr:uid="{A3A305EC-5D10-4A64-9623-995523A95050}"/>
    <cellStyle name="SAPBEXHLevel2X 3" xfId="828" xr:uid="{005A11E8-CB94-4015-9FEB-E32D7BDF11E1}"/>
    <cellStyle name="SAPBEXHLevel2X 3 2" xfId="1521" xr:uid="{A1D6C96E-FABD-4A9A-B2E3-D85577478F00}"/>
    <cellStyle name="SAPBEXHLevel2X 3 2 2" xfId="3498" xr:uid="{430FB547-FD75-40EC-B145-2AE5FA9D8A32}"/>
    <cellStyle name="SAPBEXHLevel2X 3 3" xfId="1731" xr:uid="{F4697985-3722-42D9-8A39-344BFA150C9A}"/>
    <cellStyle name="SAPBEXHLevel2X 3 3 2" xfId="3681" xr:uid="{2A8792FF-2C76-40A8-93C5-2156481ECAA6}"/>
    <cellStyle name="SAPBEXHLevel2X 3 4" xfId="2319" xr:uid="{ABAE2C59-DF9C-4B7A-8329-A98034991576}"/>
    <cellStyle name="SAPBEXHLevel2X 4" xfId="1518" xr:uid="{A01171D5-706D-4A9E-8CCC-5FB5FF539FD9}"/>
    <cellStyle name="SAPBEXHLevel2X 4 2" xfId="3495" xr:uid="{0614BFA8-C2B3-4033-A09B-C7798A9008F0}"/>
    <cellStyle name="SAPBEXHLevel2X 5" xfId="1728" xr:uid="{DF33B5EC-C6F5-4EEA-8108-69F6BBA8CCF4}"/>
    <cellStyle name="SAPBEXHLevel2X 5 2" xfId="3678" xr:uid="{5FDFB6FA-E243-43B3-8A8A-A87CF80E80E1}"/>
    <cellStyle name="SAPBEXHLevel2X 6" xfId="2627" xr:uid="{B67E71D9-1ED3-49A9-BB1E-D06A8AA785B9}"/>
    <cellStyle name="SAPBEXHLevel3" xfId="321" xr:uid="{00000000-0005-0000-0000-000071010000}"/>
    <cellStyle name="SAPBEXHLevel3 2" xfId="100" xr:uid="{00000000-0005-0000-0000-000093000000}"/>
    <cellStyle name="SAPBEXHLevel3 2 2" xfId="698" xr:uid="{F496FFDD-D461-4C06-8496-B995B80D5D85}"/>
    <cellStyle name="SAPBEXHLevel3 2 2 2" xfId="1524" xr:uid="{192B80D4-700D-474C-873A-3E47AB4864CF}"/>
    <cellStyle name="SAPBEXHLevel3 2 2 2 2" xfId="3501" xr:uid="{4B83A7A5-7182-404A-BA9E-1392080C0949}"/>
    <cellStyle name="SAPBEXHLevel3 2 2 3" xfId="1734" xr:uid="{B567A534-53F1-46DF-B39A-EB748E814C26}"/>
    <cellStyle name="SAPBEXHLevel3 2 2 3 2" xfId="3684" xr:uid="{57358FFC-7666-4449-BB9E-7E7C6EDCD152}"/>
    <cellStyle name="SAPBEXHLevel3 2 2 4" xfId="2320" xr:uid="{0345E708-5816-4C30-BAFC-77FC9B9322B7}"/>
    <cellStyle name="SAPBEXHLevel3 2 3" xfId="1523" xr:uid="{7781AB78-DD54-451B-A199-5748050D955A}"/>
    <cellStyle name="SAPBEXHLevel3 2 3 2" xfId="3500" xr:uid="{B5D17F1A-81E3-44A9-B987-04CACC7BCF0F}"/>
    <cellStyle name="SAPBEXHLevel3 2 4" xfId="1733" xr:uid="{5E240AD2-6395-4717-BA30-568258202395}"/>
    <cellStyle name="SAPBEXHLevel3 2 4 2" xfId="3683" xr:uid="{88E863D1-DA1A-4E39-A6C0-A8D1268E6C95}"/>
    <cellStyle name="SAPBEXHLevel3 2 5" xfId="2492" xr:uid="{A76735E8-E795-4D5F-B67E-95BB6FEF1F6C}"/>
    <cellStyle name="SAPBEXHLevel3 3" xfId="830" xr:uid="{E878BB28-306F-4F0D-A637-3D816319A112}"/>
    <cellStyle name="SAPBEXHLevel3 3 2" xfId="1525" xr:uid="{149BC6DE-DE66-4753-B651-E886D5C9F254}"/>
    <cellStyle name="SAPBEXHLevel3 3 2 2" xfId="3502" xr:uid="{1E4BF032-2328-43FC-A8CD-D26E96B43D90}"/>
    <cellStyle name="SAPBEXHLevel3 3 3" xfId="1735" xr:uid="{367623B3-8EC0-4513-80E6-B9492B4B92A0}"/>
    <cellStyle name="SAPBEXHLevel3 3 3 2" xfId="3685" xr:uid="{6029BF24-6615-4EDA-B767-6E263BF71E30}"/>
    <cellStyle name="SAPBEXHLevel3 3 4" xfId="2321" xr:uid="{CD55E226-ACAD-4C30-BC52-854A9AB0701F}"/>
    <cellStyle name="SAPBEXHLevel3 4" xfId="1522" xr:uid="{0E71CEE7-442D-4C81-A4BD-A449944C3947}"/>
    <cellStyle name="SAPBEXHLevel3 4 2" xfId="3499" xr:uid="{802DDFC4-0F9D-4F64-B96F-404037D87449}"/>
    <cellStyle name="SAPBEXHLevel3 5" xfId="1732" xr:uid="{60E3400E-0A32-4604-A2A9-68B9B02496C4}"/>
    <cellStyle name="SAPBEXHLevel3 5 2" xfId="3682" xr:uid="{5202DCB6-E6AF-4966-95A6-850784D4B42B}"/>
    <cellStyle name="SAPBEXHLevel3 6" xfId="2629" xr:uid="{1BB7798D-37D6-44F5-998F-4502D8B8695D}"/>
    <cellStyle name="SAPBEXHLevel3X" xfId="36" xr:uid="{00000000-0005-0000-0000-00004F000000}"/>
    <cellStyle name="SAPBEXHLevel3X 2" xfId="322" xr:uid="{00000000-0005-0000-0000-000072010000}"/>
    <cellStyle name="SAPBEXHLevel3X 2 2" xfId="831" xr:uid="{DC5CAFAA-4E5E-4102-97CC-63DF7271BC88}"/>
    <cellStyle name="SAPBEXHLevel3X 2 2 2" xfId="1528" xr:uid="{76A4C052-5D9F-44B1-ADBD-D22384403E54}"/>
    <cellStyle name="SAPBEXHLevel3X 2 2 2 2" xfId="3505" xr:uid="{25B2D5A7-3F87-44F6-9D80-D0D7C78D7102}"/>
    <cellStyle name="SAPBEXHLevel3X 2 2 3" xfId="1738" xr:uid="{14200AB4-2120-43BD-92A2-D8733718BC17}"/>
    <cellStyle name="SAPBEXHLevel3X 2 2 3 2" xfId="3688" xr:uid="{0D530D87-5433-4320-88C5-D327DEF4BA78}"/>
    <cellStyle name="SAPBEXHLevel3X 2 2 4" xfId="2322" xr:uid="{468459F6-9CAC-4FD1-85F0-9A8F96F66250}"/>
    <cellStyle name="SAPBEXHLevel3X 2 3" xfId="1527" xr:uid="{837CB494-A047-4958-A2AA-A47B0AEB363A}"/>
    <cellStyle name="SAPBEXHLevel3X 2 3 2" xfId="3504" xr:uid="{87DE8B24-36B7-42CD-A55E-1DDB97DF6E10}"/>
    <cellStyle name="SAPBEXHLevel3X 2 4" xfId="1737" xr:uid="{C480FE73-18AE-4D12-B93C-5DBB88262EBC}"/>
    <cellStyle name="SAPBEXHLevel3X 2 4 2" xfId="3687" xr:uid="{E53DD766-36DC-41EE-A760-17C3C599E170}"/>
    <cellStyle name="SAPBEXHLevel3X 2 5" xfId="2630" xr:uid="{65DECAF9-2BD6-441A-86DE-9E68B25B395F}"/>
    <cellStyle name="SAPBEXHLevel3X 3" xfId="683" xr:uid="{103ED424-E82A-4669-9678-8C1EFA7BFC63}"/>
    <cellStyle name="SAPBEXHLevel3X 3 2" xfId="1529" xr:uid="{0B41A3C1-60BD-439B-89A9-1989981161B5}"/>
    <cellStyle name="SAPBEXHLevel3X 3 2 2" xfId="3506" xr:uid="{C69342BB-6336-46EB-85B0-23F4DE711606}"/>
    <cellStyle name="SAPBEXHLevel3X 3 3" xfId="1739" xr:uid="{12CB92B2-E5E8-451E-B42C-8B2E74F6BEE5}"/>
    <cellStyle name="SAPBEXHLevel3X 3 3 2" xfId="3689" xr:uid="{BFDD4423-BE7D-40AA-B05F-64052301BC6C}"/>
    <cellStyle name="SAPBEXHLevel3X 3 4" xfId="2323" xr:uid="{BBC0CB0B-4229-4498-8849-40D23A675D9C}"/>
    <cellStyle name="SAPBEXHLevel3X 4" xfId="1526" xr:uid="{00417816-9621-402C-89D7-E0AD2B5A50CE}"/>
    <cellStyle name="SAPBEXHLevel3X 4 2" xfId="3503" xr:uid="{8C0AEE51-8201-4667-B198-825E4E2833DA}"/>
    <cellStyle name="SAPBEXHLevel3X 5" xfId="1736" xr:uid="{A9BE40F0-EF07-4CFD-8376-F1AF3A1F7CD9}"/>
    <cellStyle name="SAPBEXHLevel3X 5 2" xfId="3686" xr:uid="{29822C6A-39DC-480C-B985-01145C0E4B33}"/>
    <cellStyle name="SAPBEXHLevel3X 6" xfId="2474" xr:uid="{3A617ADE-884E-4BAA-BE6B-942335616288}"/>
    <cellStyle name="SAPBEXresData" xfId="323" xr:uid="{00000000-0005-0000-0000-000073010000}"/>
    <cellStyle name="SAPBEXresData 2" xfId="325" xr:uid="{00000000-0005-0000-0000-000075010000}"/>
    <cellStyle name="SAPBEXresData 2 2" xfId="833" xr:uid="{7E719940-5E28-465B-9BAC-2C51442367E1}"/>
    <cellStyle name="SAPBEXresData 2 2 2" xfId="1532" xr:uid="{A075EE14-793B-4371-B4CE-683B219B9401}"/>
    <cellStyle name="SAPBEXresData 2 2 2 2" xfId="3509" xr:uid="{B39CF2DF-2125-4AFC-A3D3-4EA817D46A50}"/>
    <cellStyle name="SAPBEXresData 2 2 3" xfId="1742" xr:uid="{E2B2BECD-07AE-4C57-9E30-9D5B4F966355}"/>
    <cellStyle name="SAPBEXresData 2 2 3 2" xfId="3692" xr:uid="{FAD16800-577D-40A1-A245-988C6C7551FE}"/>
    <cellStyle name="SAPBEXresData 2 2 4" xfId="2324" xr:uid="{5FADE605-0330-4DBB-BF51-0989374D5499}"/>
    <cellStyle name="SAPBEXresData 2 3" xfId="1531" xr:uid="{E2D37AD9-8F8B-465A-B35E-982441ABB6A9}"/>
    <cellStyle name="SAPBEXresData 2 3 2" xfId="3508" xr:uid="{3012B5CE-5FE8-47E8-A3E7-555CD4D14E22}"/>
    <cellStyle name="SAPBEXresData 2 4" xfId="1741" xr:uid="{01212DA1-C417-44C3-9DFF-DFE9271FF793}"/>
    <cellStyle name="SAPBEXresData 2 4 2" xfId="3691" xr:uid="{0C264A12-9A64-4DD5-B182-9D72C21AE601}"/>
    <cellStyle name="SAPBEXresData 2 5" xfId="2632" xr:uid="{F482B47C-0932-4F3B-8B37-CA68B6DF2C68}"/>
    <cellStyle name="SAPBEXresData 3" xfId="832" xr:uid="{6958C090-5562-4E39-8792-569AD255F5FE}"/>
    <cellStyle name="SAPBEXresData 3 2" xfId="1533" xr:uid="{F0DFDAF5-AB9A-48CA-B262-04CD866322BC}"/>
    <cellStyle name="SAPBEXresData 3 2 2" xfId="3510" xr:uid="{364494CD-AA4D-4459-B9E1-31DD7665B536}"/>
    <cellStyle name="SAPBEXresData 3 3" xfId="1743" xr:uid="{36D1E465-863F-4036-A7F7-7140DA88C7F7}"/>
    <cellStyle name="SAPBEXresData 3 3 2" xfId="3693" xr:uid="{B070D468-6F41-43DF-AF2C-13940232FDAA}"/>
    <cellStyle name="SAPBEXresData 3 4" xfId="2325" xr:uid="{1ECB49C8-BDBD-4AF2-8369-74F150B46C8F}"/>
    <cellStyle name="SAPBEXresData 4" xfId="1530" xr:uid="{C5868EC8-F3E4-4436-B1B5-58B583098460}"/>
    <cellStyle name="SAPBEXresData 4 2" xfId="3507" xr:uid="{1ED09C7A-6A79-4449-B49F-75A3063039D3}"/>
    <cellStyle name="SAPBEXresData 5" xfId="1740" xr:uid="{3D571C6E-28F0-41E1-88E4-38669212CAB8}"/>
    <cellStyle name="SAPBEXresData 5 2" xfId="3690" xr:uid="{2EB57CB0-5845-4C2D-811F-4797564E63C6}"/>
    <cellStyle name="SAPBEXresData 6" xfId="2631" xr:uid="{E2DC28E3-84A3-4A80-90FF-005F7AAF7984}"/>
    <cellStyle name="SAPBEXresDataEmph" xfId="326" xr:uid="{00000000-0005-0000-0000-000076010000}"/>
    <cellStyle name="SAPBEXresDataEmph 2" xfId="327" xr:uid="{00000000-0005-0000-0000-000077010000}"/>
    <cellStyle name="SAPBEXresDataEmph 2 2" xfId="835" xr:uid="{6DD42A65-9EA1-439F-8288-732E6330864D}"/>
    <cellStyle name="SAPBEXresDataEmph 2 2 2" xfId="1536" xr:uid="{2354F440-B7A0-4C3E-A532-F4746162C72C}"/>
    <cellStyle name="SAPBEXresDataEmph 2 2 2 2" xfId="3513" xr:uid="{E2D13916-F4E0-40D4-8C1F-4BA6844C8AC4}"/>
    <cellStyle name="SAPBEXresDataEmph 2 2 3" xfId="1746" xr:uid="{F9A9F98F-05AD-48E2-9139-D66D55870AFD}"/>
    <cellStyle name="SAPBEXresDataEmph 2 2 3 2" xfId="3696" xr:uid="{A13E3A44-0040-44BF-BD78-15CC2B0C985E}"/>
    <cellStyle name="SAPBEXresDataEmph 2 2 4" xfId="2326" xr:uid="{AD7649A1-2128-4D17-8496-9A9722FF1624}"/>
    <cellStyle name="SAPBEXresDataEmph 2 3" xfId="1535" xr:uid="{DB1A4FB9-DB68-4F3B-A956-AB73FA0A75DF}"/>
    <cellStyle name="SAPBEXresDataEmph 2 3 2" xfId="3512" xr:uid="{8377DFFC-A91F-4744-9510-6677A8D97809}"/>
    <cellStyle name="SAPBEXresDataEmph 2 4" xfId="1745" xr:uid="{0DDE1A3B-5DC3-4352-82EE-476D536389BB}"/>
    <cellStyle name="SAPBEXresDataEmph 2 4 2" xfId="3695" xr:uid="{25145CC0-5929-4F2A-BAAB-06A916C7C87F}"/>
    <cellStyle name="SAPBEXresDataEmph 2 5" xfId="2634" xr:uid="{81F42A26-22B7-40B5-8AEA-816075B2CDC6}"/>
    <cellStyle name="SAPBEXresDataEmph 3" xfId="834" xr:uid="{5F545A4E-16A9-4D29-AD67-444E1A77B2B2}"/>
    <cellStyle name="SAPBEXresDataEmph 3 2" xfId="1537" xr:uid="{04B5A55F-8F1C-4B8E-88B7-6ECDDBA29B4A}"/>
    <cellStyle name="SAPBEXresDataEmph 3 2 2" xfId="3514" xr:uid="{4CDF79B4-2453-4C6B-A328-4238DC73EB45}"/>
    <cellStyle name="SAPBEXresDataEmph 3 3" xfId="1747" xr:uid="{F8FBD29B-29AB-4342-8B91-19A662702533}"/>
    <cellStyle name="SAPBEXresDataEmph 3 3 2" xfId="3697" xr:uid="{683A5BD5-7B49-4FCE-B3B3-6B8958C2E7C4}"/>
    <cellStyle name="SAPBEXresDataEmph 3 4" xfId="2327" xr:uid="{705A9E83-CDDA-425C-851B-FE5624609ABB}"/>
    <cellStyle name="SAPBEXresDataEmph 4" xfId="1534" xr:uid="{A56B5395-4E74-412C-B482-5318416A71B5}"/>
    <cellStyle name="SAPBEXresDataEmph 4 2" xfId="3511" xr:uid="{45010589-F6F6-4161-8F14-88929C3E4B34}"/>
    <cellStyle name="SAPBEXresDataEmph 5" xfId="1744" xr:uid="{0397D73A-FBA1-40E6-99B4-B64DC5F31AD7}"/>
    <cellStyle name="SAPBEXresDataEmph 5 2" xfId="3694" xr:uid="{422E75F8-DEB8-4987-A035-B284CCBBE6F0}"/>
    <cellStyle name="SAPBEXresDataEmph 6" xfId="2633" xr:uid="{CEB6635B-64BA-4A2D-A885-0292C06DE497}"/>
    <cellStyle name="SAPBEXresItem" xfId="4" xr:uid="{00000000-0005-0000-0000-000006000000}"/>
    <cellStyle name="SAPBEXresItem 2" xfId="287" xr:uid="{00000000-0005-0000-0000-00004F010000}"/>
    <cellStyle name="SAPBEXresItem 2 2" xfId="803" xr:uid="{8B42EE27-0F5D-4F1B-9BAA-7382660EE7FF}"/>
    <cellStyle name="SAPBEXresItem 2 2 2" xfId="1540" xr:uid="{DDB03678-781A-44AD-899A-DAAF6C1413BB}"/>
    <cellStyle name="SAPBEXresItem 2 2 2 2" xfId="3517" xr:uid="{95B14F0C-79E2-46FE-AF76-700B920660D2}"/>
    <cellStyle name="SAPBEXresItem 2 2 3" xfId="1750" xr:uid="{4584AF2D-8601-4FA0-A5A2-F09633F030A1}"/>
    <cellStyle name="SAPBEXresItem 2 2 3 2" xfId="3700" xr:uid="{5E7DD2DB-9008-429E-B183-514298E119A5}"/>
    <cellStyle name="SAPBEXresItem 2 2 4" xfId="2328" xr:uid="{E8963F82-B6ED-4D53-BEAA-B4F455508AF0}"/>
    <cellStyle name="SAPBEXresItem 2 3" xfId="1539" xr:uid="{D1AC0C51-6756-4B92-B905-E1286D54C89C}"/>
    <cellStyle name="SAPBEXresItem 2 3 2" xfId="3516" xr:uid="{A8CA8E36-F3C5-4A8B-A1F5-DE63A1980504}"/>
    <cellStyle name="SAPBEXresItem 2 4" xfId="1749" xr:uid="{08612574-6C63-4800-8C4E-52C9D0E959D0}"/>
    <cellStyle name="SAPBEXresItem 2 4 2" xfId="3699" xr:uid="{7DA2C962-C5A9-4246-8B26-5D447D0B97CD}"/>
    <cellStyle name="SAPBEXresItem 2 5" xfId="2604" xr:uid="{1D7B6104-368C-46C9-A472-95C0680DEB30}"/>
    <cellStyle name="SAPBEXresItem 3" xfId="668" xr:uid="{A266BF20-C477-45D1-9722-F27DF0CC28C5}"/>
    <cellStyle name="SAPBEXresItem 3 2" xfId="1541" xr:uid="{40945379-C79B-42B2-AB08-981261F57171}"/>
    <cellStyle name="SAPBEXresItem 3 2 2" xfId="3518" xr:uid="{BFE387EC-763E-4FBB-BF6A-48DCEE13D5E1}"/>
    <cellStyle name="SAPBEXresItem 3 3" xfId="1751" xr:uid="{6B2F0F8C-58AA-4106-9C9D-2100D2A81071}"/>
    <cellStyle name="SAPBEXresItem 3 3 2" xfId="3701" xr:uid="{A4C2BF84-7234-4597-9651-5079D3B0C9A5}"/>
    <cellStyle name="SAPBEXresItem 3 4" xfId="2329" xr:uid="{476E9F40-DC0F-4206-8086-2E2B7E5F4366}"/>
    <cellStyle name="SAPBEXresItem 4" xfId="1538" xr:uid="{DA116A50-7294-47FE-940D-923E762B7B05}"/>
    <cellStyle name="SAPBEXresItem 4 2" xfId="3515" xr:uid="{25B3C430-CBDF-418E-8AE6-C51FE253215D}"/>
    <cellStyle name="SAPBEXresItem 5" xfId="1748" xr:uid="{F4FAB7CF-6C92-4DFA-9F56-18F1B2D83E56}"/>
    <cellStyle name="SAPBEXresItem 5 2" xfId="3698" xr:uid="{024ED410-3041-463D-8845-AECFC1F3F59A}"/>
    <cellStyle name="SAPBEXresItem 6" xfId="2460" xr:uid="{C1F35033-D6E6-4B67-994E-865F4F56CC9D}"/>
    <cellStyle name="SAPBEXresItemX" xfId="328" xr:uid="{00000000-0005-0000-0000-000078010000}"/>
    <cellStyle name="SAPBEXresItemX 2" xfId="329" xr:uid="{00000000-0005-0000-0000-000079010000}"/>
    <cellStyle name="SAPBEXresItemX 2 2" xfId="837" xr:uid="{10EF45EB-5E35-4B2B-A18D-B445B3415098}"/>
    <cellStyle name="SAPBEXresItemX 2 2 2" xfId="1544" xr:uid="{69767028-699C-4400-874B-A3076512C40E}"/>
    <cellStyle name="SAPBEXresItemX 2 2 2 2" xfId="3521" xr:uid="{11A791DA-FA66-42AC-8FAF-FCCC59C82762}"/>
    <cellStyle name="SAPBEXresItemX 2 2 3" xfId="1754" xr:uid="{CF53CA39-2C00-4DAD-B006-872E3F009ED8}"/>
    <cellStyle name="SAPBEXresItemX 2 2 3 2" xfId="3704" xr:uid="{224340D5-1959-42DA-B15E-A60A4D24AE91}"/>
    <cellStyle name="SAPBEXresItemX 2 2 4" xfId="2330" xr:uid="{249F9F0E-CFF9-4B03-98D9-60815F90021D}"/>
    <cellStyle name="SAPBEXresItemX 2 3" xfId="1543" xr:uid="{F52C4AB9-91B0-4B60-A600-93050AC04DEC}"/>
    <cellStyle name="SAPBEXresItemX 2 3 2" xfId="3520" xr:uid="{264EFDA6-3EFE-4FC9-8BFC-E1F203DD636C}"/>
    <cellStyle name="SAPBEXresItemX 2 4" xfId="1753" xr:uid="{299036D8-7765-4A1E-AA24-87B358938EB0}"/>
    <cellStyle name="SAPBEXresItemX 2 4 2" xfId="3703" xr:uid="{31B1F0BD-1CE1-4EAD-8416-4C77C65C9EFE}"/>
    <cellStyle name="SAPBEXresItemX 2 5" xfId="2636" xr:uid="{57A9A762-2E4F-4382-9CAA-211DA813E9FF}"/>
    <cellStyle name="SAPBEXresItemX 3" xfId="836" xr:uid="{D0ECD0F3-59E2-47E7-8A9C-90CA27320690}"/>
    <cellStyle name="SAPBEXresItemX 3 2" xfId="1545" xr:uid="{60B23181-0ED3-4AD1-B571-C21275459E4B}"/>
    <cellStyle name="SAPBEXresItemX 3 2 2" xfId="3522" xr:uid="{8BECA52E-4C8C-46E4-964B-9696631B6F73}"/>
    <cellStyle name="SAPBEXresItemX 3 3" xfId="1755" xr:uid="{55B758C5-D8D1-4670-BD89-81968A142208}"/>
    <cellStyle name="SAPBEXresItemX 3 3 2" xfId="3705" xr:uid="{BF9BE155-4390-4563-A52D-10860FB26235}"/>
    <cellStyle name="SAPBEXresItemX 3 4" xfId="2331" xr:uid="{B62F0E82-1F9B-4757-AEE5-23678F2B3ECB}"/>
    <cellStyle name="SAPBEXresItemX 4" xfId="1542" xr:uid="{DF1905EC-A1DA-41D8-B45E-B15EB336D3D6}"/>
    <cellStyle name="SAPBEXresItemX 4 2" xfId="3519" xr:uid="{265DBBD5-6F9B-4FCA-82E3-5779DDDD43C6}"/>
    <cellStyle name="SAPBEXresItemX 5" xfId="1752" xr:uid="{FC0A6918-16C3-43C3-92F0-7EC4F172B130}"/>
    <cellStyle name="SAPBEXresItemX 5 2" xfId="3702" xr:uid="{69DA5199-C365-4D68-AA05-2DF8112FD3D0}"/>
    <cellStyle name="SAPBEXresItemX 6" xfId="2635" xr:uid="{0BD8C026-F008-4413-8B1A-1AEF37612030}"/>
    <cellStyle name="SAPBEXstdData" xfId="87" xr:uid="{00000000-0005-0000-0000-000086000000}"/>
    <cellStyle name="SAPBEXstdData 2" xfId="269" xr:uid="{00000000-0005-0000-0000-00003D010000}"/>
    <cellStyle name="SAPBEXstdData 2 2" xfId="788" xr:uid="{833F39F1-F2B0-48AA-94E4-BF44F645F25A}"/>
    <cellStyle name="SAPBEXstdData 2 2 2" xfId="1548" xr:uid="{CB396B2F-3D7C-4DF5-BF89-693DD4894C1D}"/>
    <cellStyle name="SAPBEXstdData 2 2 2 2" xfId="3525" xr:uid="{D6E76711-2067-4B69-B5FC-9A368281A1F5}"/>
    <cellStyle name="SAPBEXstdData 2 2 3" xfId="1758" xr:uid="{15564EDF-B6D1-4FE8-A9CE-0EC8333AEBA0}"/>
    <cellStyle name="SAPBEXstdData 2 2 3 2" xfId="3708" xr:uid="{1BBF236A-4B54-4856-8CE9-C427DE881D8E}"/>
    <cellStyle name="SAPBEXstdData 2 2 4" xfId="2332" xr:uid="{0DCD4E01-D31A-4703-AB5B-BE6837F53F7C}"/>
    <cellStyle name="SAPBEXstdData 2 3" xfId="1547" xr:uid="{BC27022E-2C48-43C7-B0AD-F6B88D040C9E}"/>
    <cellStyle name="SAPBEXstdData 2 3 2" xfId="3524" xr:uid="{12310E8E-528D-4370-A699-F4A880EFE629}"/>
    <cellStyle name="SAPBEXstdData 2 4" xfId="1757" xr:uid="{9D1290E6-7FBD-4C70-A808-05CF03BBBD6D}"/>
    <cellStyle name="SAPBEXstdData 2 4 2" xfId="3707" xr:uid="{47547D6A-D709-4548-B028-4A2EA3E322D0}"/>
    <cellStyle name="SAPBEXstdData 2 5" xfId="2590" xr:uid="{8F010F6E-A1E9-4C24-B550-19CFE1C388C0}"/>
    <cellStyle name="SAPBEXstdData 3" xfId="693" xr:uid="{14903D0D-EA27-47A9-BDD3-4B20700FD7C0}"/>
    <cellStyle name="SAPBEXstdData 3 2" xfId="1549" xr:uid="{BEC407F1-3198-474B-A4FD-4F659503BEEB}"/>
    <cellStyle name="SAPBEXstdData 3 2 2" xfId="3526" xr:uid="{EB39A4B9-7C1A-447F-8773-5D174B32C294}"/>
    <cellStyle name="SAPBEXstdData 3 3" xfId="1759" xr:uid="{22D3B018-9AEC-420B-9B59-8A211A23AD2A}"/>
    <cellStyle name="SAPBEXstdData 3 3 2" xfId="3709" xr:uid="{F884F69D-218A-4177-9DFB-6C17562F5FE8}"/>
    <cellStyle name="SAPBEXstdData 3 4" xfId="2333" xr:uid="{83142A39-1C28-40ED-AA41-F6FACE13E189}"/>
    <cellStyle name="SAPBEXstdData 4" xfId="1546" xr:uid="{1E43444A-6600-4B6C-875A-CF2B6EAFF6AB}"/>
    <cellStyle name="SAPBEXstdData 4 2" xfId="3523" xr:uid="{C097972A-B888-496E-A0A1-B364CF54CB0E}"/>
    <cellStyle name="SAPBEXstdData 5" xfId="1756" xr:uid="{993739AF-95DA-44E0-B8EA-47125F78C81D}"/>
    <cellStyle name="SAPBEXstdData 5 2" xfId="3706" xr:uid="{DA9326F3-7FD2-4114-88A9-817A1D3E9739}"/>
    <cellStyle name="SAPBEXstdData 6" xfId="2488" xr:uid="{6EF4DFFC-DB85-420D-BC1F-C06C136EA907}"/>
    <cellStyle name="SAPBEXstdDataEmph" xfId="272" xr:uid="{00000000-0005-0000-0000-000040010000}"/>
    <cellStyle name="SAPBEXstdDataEmph 2" xfId="275" xr:uid="{00000000-0005-0000-0000-000043010000}"/>
    <cellStyle name="SAPBEXstdDataEmph 2 2" xfId="793" xr:uid="{50603117-B5EB-4FD7-8FE2-1CEFA34166C6}"/>
    <cellStyle name="SAPBEXstdDataEmph 2 2 2" xfId="1552" xr:uid="{2A169946-C0BD-4F48-B157-33A2622F5D98}"/>
    <cellStyle name="SAPBEXstdDataEmph 2 2 2 2" xfId="3529" xr:uid="{1EA9D774-D396-47E2-817D-A9E16E652BEB}"/>
    <cellStyle name="SAPBEXstdDataEmph 2 2 3" xfId="1762" xr:uid="{9C01C7DB-093D-409D-9A16-4CE01CBCF9F7}"/>
    <cellStyle name="SAPBEXstdDataEmph 2 2 3 2" xfId="3712" xr:uid="{AFEE58E7-E833-48B5-92D0-E39349215FA2}"/>
    <cellStyle name="SAPBEXstdDataEmph 2 2 4" xfId="2334" xr:uid="{E93CBED9-CA91-47E8-8FD5-5DCC5B24BE1A}"/>
    <cellStyle name="SAPBEXstdDataEmph 2 3" xfId="1551" xr:uid="{E193D505-813E-4F49-89C5-4D0BBDD0D86C}"/>
    <cellStyle name="SAPBEXstdDataEmph 2 3 2" xfId="3528" xr:uid="{2E03219F-1D9D-4BEC-81DF-BC920CCA26A9}"/>
    <cellStyle name="SAPBEXstdDataEmph 2 4" xfId="1761" xr:uid="{9544E349-B058-4EF3-B33F-DE070551BAB8}"/>
    <cellStyle name="SAPBEXstdDataEmph 2 4 2" xfId="3711" xr:uid="{63F471FF-775E-4E95-9E64-B95EA81C305D}"/>
    <cellStyle name="SAPBEXstdDataEmph 2 5" xfId="2595" xr:uid="{53FFAA1E-F428-491B-9100-C519CC0F936A}"/>
    <cellStyle name="SAPBEXstdDataEmph 3" xfId="791" xr:uid="{089AB5A8-BE20-473C-B39A-492CF2D33F8D}"/>
    <cellStyle name="SAPBEXstdDataEmph 3 2" xfId="1553" xr:uid="{92A6C92C-3AFC-41DE-91CB-D58E48DCCA33}"/>
    <cellStyle name="SAPBEXstdDataEmph 3 2 2" xfId="3530" xr:uid="{178154BE-5366-4486-BA1A-9CD7A2E2E731}"/>
    <cellStyle name="SAPBEXstdDataEmph 3 3" xfId="1763" xr:uid="{5A8DE932-CBDB-4190-B6CD-D9359F0D0817}"/>
    <cellStyle name="SAPBEXstdDataEmph 3 3 2" xfId="3713" xr:uid="{8FE79604-3552-48D8-AA8C-9713892213B4}"/>
    <cellStyle name="SAPBEXstdDataEmph 3 4" xfId="2335" xr:uid="{E2445766-F099-4DA0-83A6-4471D4274067}"/>
    <cellStyle name="SAPBEXstdDataEmph 4" xfId="1550" xr:uid="{A8B2F4CC-C278-496E-AEC7-939849CC1097}"/>
    <cellStyle name="SAPBEXstdDataEmph 4 2" xfId="3527" xr:uid="{B8B2F8B8-7691-411C-889D-B0F4984101BC}"/>
    <cellStyle name="SAPBEXstdDataEmph 5" xfId="1760" xr:uid="{17D035D5-1BDF-4995-ABE1-3055F26C96D1}"/>
    <cellStyle name="SAPBEXstdDataEmph 5 2" xfId="3710" xr:uid="{94392C7A-2450-4ACE-966E-BB31446C278B}"/>
    <cellStyle name="SAPBEXstdDataEmph 6" xfId="2593" xr:uid="{4DDA5A3A-39BD-4CCD-A921-E7283566227B}"/>
    <cellStyle name="SAPBEXstdItem" xfId="32" xr:uid="{00000000-0005-0000-0000-000046000000}"/>
    <cellStyle name="SAPBEXstdItem 2" xfId="277" xr:uid="{00000000-0005-0000-0000-000045010000}"/>
    <cellStyle name="SAPBEXstdItem 2 2" xfId="795" xr:uid="{5C697A26-CB1D-457B-95BB-D0BFBAA7CEFD}"/>
    <cellStyle name="SAPBEXstdItem 2 2 2" xfId="1556" xr:uid="{AF7858F3-04F8-43E3-A389-EA2EBCAC652A}"/>
    <cellStyle name="SAPBEXstdItem 2 2 2 2" xfId="3533" xr:uid="{51E57FA8-9D5B-4096-949A-E97ECA0218CD}"/>
    <cellStyle name="SAPBEXstdItem 2 2 3" xfId="1766" xr:uid="{0C628D79-E651-425A-9ED7-952FD137011F}"/>
    <cellStyle name="SAPBEXstdItem 2 2 3 2" xfId="3716" xr:uid="{4342463D-A1CC-4AA5-8CD7-6BEBEF8BBBE1}"/>
    <cellStyle name="SAPBEXstdItem 2 2 4" xfId="2336" xr:uid="{9AA02076-C1E1-4E9A-A9AC-98676BEFDAD4}"/>
    <cellStyle name="SAPBEXstdItem 2 3" xfId="1555" xr:uid="{E4706102-E9B8-4950-B1CA-C3B71701AEB6}"/>
    <cellStyle name="SAPBEXstdItem 2 3 2" xfId="3532" xr:uid="{4764B1E5-3182-4B98-ACA3-6B63C0BE68C2}"/>
    <cellStyle name="SAPBEXstdItem 2 4" xfId="1765" xr:uid="{88BFB271-4663-44F5-80F3-BC713B67BF52}"/>
    <cellStyle name="SAPBEXstdItem 2 4 2" xfId="3715" xr:uid="{18D29EDD-B6A7-464D-96A7-716F9BE3BEEF}"/>
    <cellStyle name="SAPBEXstdItem 2 5" xfId="2597" xr:uid="{DB0FAD9F-9930-4E83-A5BB-B10314796C19}"/>
    <cellStyle name="SAPBEXstdItem 3" xfId="679" xr:uid="{0E121465-840D-48B4-9E68-15F844D1CA9F}"/>
    <cellStyle name="SAPBEXstdItem 3 2" xfId="1557" xr:uid="{EF705904-281E-42E7-AF2B-10D4AD7C8D76}"/>
    <cellStyle name="SAPBEXstdItem 3 2 2" xfId="3534" xr:uid="{2424F293-898F-40A0-83E0-115317394209}"/>
    <cellStyle name="SAPBEXstdItem 3 3" xfId="1767" xr:uid="{0A8F13F9-6399-4367-9FD2-298AE38732B6}"/>
    <cellStyle name="SAPBEXstdItem 3 3 2" xfId="3717" xr:uid="{D488BBC6-8CC3-44FC-83AC-A1DBE1E1849D}"/>
    <cellStyle name="SAPBEXstdItem 3 4" xfId="2337" xr:uid="{DEFC8837-C98C-4C7F-AA1C-650BCC56CD3C}"/>
    <cellStyle name="SAPBEXstdItem 4" xfId="1554" xr:uid="{1B37E4C5-659C-4A33-98FA-239E4E083078}"/>
    <cellStyle name="SAPBEXstdItem 4 2" xfId="3531" xr:uid="{029DF9C3-2308-455E-AD28-BA27C0B11F06}"/>
    <cellStyle name="SAPBEXstdItem 5" xfId="1764" xr:uid="{CB77CEF3-47B2-4234-BE83-1F38597C34C6}"/>
    <cellStyle name="SAPBEXstdItem 5 2" xfId="3714" xr:uid="{49C45E15-89C6-4AEB-BC5A-3E81989A4424}"/>
    <cellStyle name="SAPBEXstdItem 6" xfId="2471" xr:uid="{2B60E2A5-47E0-4DB2-8534-1695A364500C}"/>
    <cellStyle name="SAPBEXstdItemX" xfId="279" xr:uid="{00000000-0005-0000-0000-000047010000}"/>
    <cellStyle name="SAPBEXstdItemX 2" xfId="231" xr:uid="{00000000-0005-0000-0000-000017010000}"/>
    <cellStyle name="SAPBEXstdItemX 2 2" xfId="771" xr:uid="{44ECA833-D027-45DB-80FC-42E1B7D105D6}"/>
    <cellStyle name="SAPBEXstdItemX 2 2 2" xfId="1560" xr:uid="{FC420FFB-0010-498B-A9CB-8A85199638D1}"/>
    <cellStyle name="SAPBEXstdItemX 2 2 2 2" xfId="3537" xr:uid="{426978E3-D1D5-4F07-BC02-11F7A8E1C058}"/>
    <cellStyle name="SAPBEXstdItemX 2 2 3" xfId="1770" xr:uid="{E0806F5E-25C0-496E-AD3F-9B37E0396B85}"/>
    <cellStyle name="SAPBEXstdItemX 2 2 3 2" xfId="3720" xr:uid="{00563889-3BBE-4CF1-B173-FF5B071CFA28}"/>
    <cellStyle name="SAPBEXstdItemX 2 2 4" xfId="2338" xr:uid="{22BFD1DD-A169-47EF-B5A1-6F719467D75F}"/>
    <cellStyle name="SAPBEXstdItemX 2 3" xfId="1559" xr:uid="{61CB52C1-FD8E-41D2-8924-84F0FCCB90BB}"/>
    <cellStyle name="SAPBEXstdItemX 2 3 2" xfId="3536" xr:uid="{3B5877A5-50BE-4306-BEF9-2335230DF584}"/>
    <cellStyle name="SAPBEXstdItemX 2 4" xfId="1769" xr:uid="{C92D17D3-E932-4DF9-990B-EFAE9389692D}"/>
    <cellStyle name="SAPBEXstdItemX 2 4 2" xfId="3719" xr:uid="{A1C322F8-2DE8-4AA1-B9D6-C6737C0CA331}"/>
    <cellStyle name="SAPBEXstdItemX 2 5" xfId="2572" xr:uid="{241577DC-2F5A-448E-8174-5C9F34B936E4}"/>
    <cellStyle name="SAPBEXstdItemX 3" xfId="797" xr:uid="{3D04C565-57AA-4E59-BADC-7405688F2E50}"/>
    <cellStyle name="SAPBEXstdItemX 3 2" xfId="1561" xr:uid="{FF0B6DA5-C50D-4BDB-B05D-EA3ED4B2F856}"/>
    <cellStyle name="SAPBEXstdItemX 3 2 2" xfId="3538" xr:uid="{157F7412-8AB5-44EE-8DD3-58E42B70B738}"/>
    <cellStyle name="SAPBEXstdItemX 3 3" xfId="1771" xr:uid="{EEC37D59-7FE5-4D7E-8305-043009CB9ECB}"/>
    <cellStyle name="SAPBEXstdItemX 3 3 2" xfId="3721" xr:uid="{D1912D10-D968-4353-AD7A-22C47270E4B7}"/>
    <cellStyle name="SAPBEXstdItemX 3 4" xfId="2339" xr:uid="{98CB6C54-4DCB-4946-8001-20264DF454AB}"/>
    <cellStyle name="SAPBEXstdItemX 4" xfId="1558" xr:uid="{0958DC2F-D865-49F8-AA31-1FD7EB9EE48E}"/>
    <cellStyle name="SAPBEXstdItemX 4 2" xfId="3535" xr:uid="{83939AC1-B8E6-4D24-922A-933540AD9F91}"/>
    <cellStyle name="SAPBEXstdItemX 5" xfId="1768" xr:uid="{0D3CB00E-C539-4001-B044-4CD4F05D42A4}"/>
    <cellStyle name="SAPBEXstdItemX 5 2" xfId="3718" xr:uid="{286EF1E3-1567-4EDF-B996-1EAA4705C0EA}"/>
    <cellStyle name="SAPBEXstdItemX 6" xfId="2599" xr:uid="{099AE7CD-F7B2-4A7C-88A4-96BEB7BD15C8}"/>
    <cellStyle name="SAPBEXtitle" xfId="331" xr:uid="{00000000-0005-0000-0000-00007B010000}"/>
    <cellStyle name="SAPBEXundefined" xfId="332" xr:uid="{00000000-0005-0000-0000-00007C010000}"/>
    <cellStyle name="SAPBEXundefined 2" xfId="333" xr:uid="{00000000-0005-0000-0000-00007D010000}"/>
    <cellStyle name="SAPBEXundefined 2 2" xfId="840" xr:uid="{C208FF0C-A90B-4D4E-B4EB-06F5E3089C83}"/>
    <cellStyle name="SAPBEXundefined 2 2 2" xfId="1564" xr:uid="{8357787F-7EBA-4832-859A-184824A05ED2}"/>
    <cellStyle name="SAPBEXundefined 2 2 2 2" xfId="3541" xr:uid="{738230E6-7242-411C-A454-9D6237B6A822}"/>
    <cellStyle name="SAPBEXundefined 2 2 3" xfId="1774" xr:uid="{D06E7A3A-C0AE-40A5-8CF8-D846D03E812C}"/>
    <cellStyle name="SAPBEXundefined 2 2 3 2" xfId="3724" xr:uid="{35E1A2D5-89F2-4A85-B00D-E436CFAFBDA0}"/>
    <cellStyle name="SAPBEXundefined 2 2 4" xfId="2340" xr:uid="{86CB4F08-0095-44B9-B163-AC8EBF6F376C}"/>
    <cellStyle name="SAPBEXundefined 2 3" xfId="1563" xr:uid="{7EECA5AE-F454-42DF-B63B-3C19FD9BBDC4}"/>
    <cellStyle name="SAPBEXundefined 2 3 2" xfId="3540" xr:uid="{C3F438A1-A565-48CC-9472-02F1985802C3}"/>
    <cellStyle name="SAPBEXundefined 2 4" xfId="1773" xr:uid="{95B70296-3ED2-4B60-B0D0-27E09CD0A756}"/>
    <cellStyle name="SAPBEXundefined 2 4 2" xfId="3723" xr:uid="{259C03A8-39C0-496F-A090-7CEE14AE9E51}"/>
    <cellStyle name="SAPBEXundefined 2 5" xfId="2639" xr:uid="{475525E2-5A8F-4787-B029-E902786DFA70}"/>
    <cellStyle name="SAPBEXundefined 3" xfId="839" xr:uid="{C6D66440-9598-4D2B-84B1-3B46D4FCB54C}"/>
    <cellStyle name="SAPBEXundefined 3 2" xfId="1565" xr:uid="{311B3884-FA24-4013-90AC-30977F9640F5}"/>
    <cellStyle name="SAPBEXundefined 3 2 2" xfId="3542" xr:uid="{C757ED3A-68C2-4436-B2C3-76F9C380E49F}"/>
    <cellStyle name="SAPBEXundefined 3 3" xfId="1775" xr:uid="{811D19BD-687C-4999-8ED6-06D6EF66BC07}"/>
    <cellStyle name="SAPBEXundefined 3 3 2" xfId="3725" xr:uid="{FED80934-3CB2-41A5-A59A-7F3D7051E4D3}"/>
    <cellStyle name="SAPBEXundefined 3 4" xfId="2341" xr:uid="{CF6C72D6-10CC-4958-8FC8-D12AB1E3F2AB}"/>
    <cellStyle name="SAPBEXundefined 4" xfId="1562" xr:uid="{18E3CBAE-DC05-430A-A2D5-0A00A86B1653}"/>
    <cellStyle name="SAPBEXundefined 4 2" xfId="3539" xr:uid="{1D3E9845-D3DF-4120-84E1-54F71DCC10C2}"/>
    <cellStyle name="SAPBEXundefined 5" xfId="1772" xr:uid="{50BEC60A-D7F9-477F-800A-2FC8EFAB266F}"/>
    <cellStyle name="SAPBEXundefined 5 2" xfId="3722" xr:uid="{228F926F-6F6B-42E2-813C-93E7E2744D8E}"/>
    <cellStyle name="SAPBEXundefined 6" xfId="2638" xr:uid="{44575B03-92C4-469B-83C4-BB6044C25C8A}"/>
    <cellStyle name="section" xfId="310" xr:uid="{00000000-0005-0000-0000-000066010000}"/>
    <cellStyle name="SOR" xfId="335" xr:uid="{00000000-0005-0000-0000-00007F010000}"/>
    <cellStyle name="SOR 2" xfId="336" xr:uid="{00000000-0005-0000-0000-000080010000}"/>
    <cellStyle name="SOR 2 2" xfId="338" xr:uid="{00000000-0005-0000-0000-000082010000}"/>
    <cellStyle name="SOR 2 2 2" xfId="843" xr:uid="{AC116153-B4DE-4426-A70B-B10B1EFEF5E0}"/>
    <cellStyle name="SOR 2 2 2 2" xfId="2924" xr:uid="{6328E19D-31C0-4251-B0D2-C6CBEFA73FA8}"/>
    <cellStyle name="SOR 2 2 3" xfId="2642" xr:uid="{B0EB7D86-38DC-46A8-8ABF-26C1392E2952}"/>
    <cellStyle name="SOR 2 3" xfId="842" xr:uid="{C44B12E6-1544-4606-A015-100CA619484B}"/>
    <cellStyle name="SOR 2 3 2" xfId="2923" xr:uid="{49C77F48-B0B1-4CCC-84C2-D4AA4F4909E7}"/>
    <cellStyle name="SOR 2 4" xfId="2641" xr:uid="{393EDF41-89CD-4E24-A811-6023D74ADC32}"/>
    <cellStyle name="SOR 3" xfId="339" xr:uid="{00000000-0005-0000-0000-000083010000}"/>
    <cellStyle name="SOR 3 2" xfId="844" xr:uid="{7E034B3D-0FA2-4D26-87C9-D2353730DDAE}"/>
    <cellStyle name="SOR 3 2 2" xfId="2925" xr:uid="{89C97E81-DAAA-472F-A4A1-7C19B61FDF17}"/>
    <cellStyle name="SOR 3 3" xfId="2643" xr:uid="{2B77059E-1948-4B16-82A5-507DA993C2AE}"/>
    <cellStyle name="SOR 4" xfId="841" xr:uid="{5ADACCE8-2C71-4BC3-BC76-C4213D4CA9E6}"/>
    <cellStyle name="SOR 4 2" xfId="2922" xr:uid="{A0AB00E2-FA3A-4525-8A35-898AB9E1328A}"/>
    <cellStyle name="SOR 5" xfId="2640" xr:uid="{44DD37D6-FE64-4660-A7EF-AB611584BA1D}"/>
    <cellStyle name="Style 1 5 4" xfId="2414" xr:uid="{B5984095-340D-47C5-98E0-C2FC6B22C3B4}"/>
    <cellStyle name="subhead" xfId="341" xr:uid="{00000000-0005-0000-0000-000085010000}"/>
    <cellStyle name="title" xfId="343" xr:uid="{00000000-0005-0000-0000-000087010000}"/>
    <cellStyle name="Tusental (0)_pldt" xfId="344" xr:uid="{00000000-0005-0000-0000-000088010000}"/>
    <cellStyle name="Tusental_pldt" xfId="346" xr:uid="{00000000-0005-0000-0000-00008A010000}"/>
    <cellStyle name="Valuta (0)_pldt" xfId="347" xr:uid="{00000000-0005-0000-0000-00008B010000}"/>
    <cellStyle name="Valuta_pldt" xfId="348" xr:uid="{00000000-0005-0000-0000-00008C010000}"/>
    <cellStyle name="パーセント_laroux" xfId="349" xr:uid="{00000000-0005-0000-0000-00008D010000}"/>
    <cellStyle name="_PLDT" xfId="351" xr:uid="{00000000-0005-0000-0000-00008F010000}"/>
    <cellStyle name="_laroux" xfId="248" xr:uid="{00000000-0005-0000-0000-000028010000}"/>
    <cellStyle name="だ[0]_PLDT" xfId="38" xr:uid="{00000000-0005-0000-0000-000053000000}"/>
    <cellStyle name="だ_PLDT" xfId="352" xr:uid="{00000000-0005-0000-0000-000090010000}"/>
    <cellStyle name="だ[0]_Total (2)" xfId="1" xr:uid="{00000000-0005-0000-0000-000001000000}"/>
    <cellStyle name="だ_laroux" xfId="353" xr:uid="{00000000-0005-0000-0000-000091010000}"/>
    <cellStyle name="百分比" xfId="14" builtinId="5"/>
    <cellStyle name="百分比 2" xfId="291" xr:uid="{00000000-0005-0000-0000-000053010000}"/>
    <cellStyle name="百分比 2 2" xfId="807" xr:uid="{BE1C7945-6743-4A80-B416-D38B1CBB3DF3}"/>
    <cellStyle name="百分比 2 2 2" xfId="1566" xr:uid="{86AC97C2-6C9B-4EFE-811A-D0700CF206CF}"/>
    <cellStyle name="百分比 2 2 3" xfId="2916" xr:uid="{075F7351-33AA-4609-A82A-6E5CD3431C09}"/>
    <cellStyle name="百分比 2 3" xfId="604" xr:uid="{9E459A6D-0493-49BB-B461-DC5E9FC83A4F}"/>
    <cellStyle name="百分比 3" xfId="294" xr:uid="{00000000-0005-0000-0000-000056010000}"/>
    <cellStyle name="百分比 3 2" xfId="296" xr:uid="{00000000-0005-0000-0000-000058010000}"/>
    <cellStyle name="百分比 3 2 2" xfId="812" xr:uid="{A399A504-92F1-48C8-AAFC-843BA169C993}"/>
    <cellStyle name="百分比 3 2 3" xfId="1567" xr:uid="{81A8DD31-140E-4E63-AFA7-1801BCE442FE}"/>
    <cellStyle name="百分比 3 2 3 2" xfId="3543" xr:uid="{3460CFA0-736D-40FC-B997-1951013B322E}"/>
    <cellStyle name="百分比 3 2 4" xfId="2612" xr:uid="{2E8776B0-AF70-43E9-8768-4C1F4A5AE754}"/>
    <cellStyle name="百分比 3 2 5" xfId="2342" xr:uid="{78F85EB7-F7E6-43DD-BAE9-13F62501DBB8}"/>
    <cellStyle name="百分比 3 3" xfId="810" xr:uid="{E9DA80D1-2FB3-4D37-BF4E-AAC9AA5AC295}"/>
    <cellStyle name="百分比 3 4" xfId="605" xr:uid="{EEF5A547-6374-4202-97E4-3ACFAA6C12AD}"/>
    <cellStyle name="百分比 3 5" xfId="2610" xr:uid="{724DC4CE-9F3F-451E-BAA0-D05BED192360}"/>
    <cellStyle name="百分比 4" xfId="19" xr:uid="{00000000-0005-0000-0000-000023000000}"/>
    <cellStyle name="百分比 4 2" xfId="354" xr:uid="{00000000-0005-0000-0000-000092010000}"/>
    <cellStyle name="百分比 4 2 2" xfId="1637" xr:uid="{FFF678A3-EB8F-4ADA-9833-B3DBB8113BB6}"/>
    <cellStyle name="百分比 4 2 2 2" xfId="3591" xr:uid="{7D83A79F-C0F3-45DF-8F48-F5A956D75D6A}"/>
    <cellStyle name="百分比 4 2 3" xfId="2644" xr:uid="{4DCB5A66-1B55-49A4-9996-58623FDCA8C0}"/>
    <cellStyle name="百分比 4 2 4" xfId="2386" xr:uid="{A7A7C601-D33B-42BC-A032-8561A9C0D9C8}"/>
    <cellStyle name="百分比 4 3" xfId="648" xr:uid="{D9AA8972-BAB8-4AE9-8EFA-91BEBD2A78C8}"/>
    <cellStyle name="百分比 4 4" xfId="483" xr:uid="{4AC09FD4-1E86-4225-84CB-4DD832E8DF26}"/>
    <cellStyle name="百分比 4 5" xfId="1568" xr:uid="{8583D283-8937-4BB9-85B3-5DB785CFB052}"/>
    <cellStyle name="百分比 4 6" xfId="2466" xr:uid="{5F158F49-1319-4B86-8633-5E362F7AA482}"/>
    <cellStyle name="百分比 5" xfId="450" xr:uid="{F3C0B19C-A35D-4CDA-B0C1-6B9F536D7BAE}"/>
    <cellStyle name="百分比 5 2" xfId="1786" xr:uid="{16573151-1D2C-4081-8030-A6F51156BCB2}"/>
    <cellStyle name="百分比 5 2 2" xfId="3734" xr:uid="{8F78A994-B821-4ECF-9E46-520B9B350E94}"/>
    <cellStyle name="百分比 5 3" xfId="2671" xr:uid="{17414020-1B1C-4BB8-8F71-0C2812157383}"/>
    <cellStyle name="百分比 6" xfId="476" xr:uid="{1B254A50-E6F9-4237-B3DD-6E6D72195172}"/>
    <cellStyle name="百分比 7" xfId="2465" xr:uid="{E6411BD8-0F7A-496B-8F00-31AE45F98232}"/>
    <cellStyle name="百分比 8" xfId="1811" xr:uid="{1326D73D-719D-4F98-9669-D4B48F9C7A2F}"/>
    <cellStyle name="捠壿 [0.00]_PRODUCT DETAIL Q1" xfId="356" xr:uid="{00000000-0005-0000-0000-000094010000}"/>
    <cellStyle name="捠壿_PRODUCT DETAIL Q1" xfId="357" xr:uid="{00000000-0005-0000-0000-000095010000}"/>
    <cellStyle name="标题 5" xfId="170" xr:uid="{00000000-0005-0000-0000-0000D9000000}"/>
    <cellStyle name="標準_１１月価格表" xfId="234" xr:uid="{00000000-0005-0000-0000-00001A010000}"/>
    <cellStyle name="表标题" xfId="301" xr:uid="{00000000-0005-0000-0000-00005D010000}"/>
    <cellStyle name="差_10存货" xfId="251" xr:uid="{00000000-0005-0000-0000-00002B010000}"/>
    <cellStyle name="差_19-无形资产（空白模板）" xfId="358" xr:uid="{00000000-0005-0000-0000-000096010000}"/>
    <cellStyle name="差_2-交易性金融资产（空白模板）" xfId="359" xr:uid="{00000000-0005-0000-0000-000097010000}"/>
    <cellStyle name="差_3-2 进一步审计程序-采购与付款循环" xfId="324" xr:uid="{00000000-0005-0000-0000-000074010000}"/>
    <cellStyle name="差_3-3 进一步审计程序-存货与生产循环" xfId="360" xr:uid="{00000000-0005-0000-0000-000098010000}"/>
    <cellStyle name="差_49-营业收入（空白模板）" xfId="189" xr:uid="{00000000-0005-0000-0000-0000ED000000}"/>
    <cellStyle name="差_4-应收账款（空白模板）" xfId="99" xr:uid="{00000000-0005-0000-0000-000092000000}"/>
    <cellStyle name="差_50-营业成本（空白模板）" xfId="320" xr:uid="{00000000-0005-0000-0000-000070010000}"/>
    <cellStyle name="差_51-营业税金及附加（空白模板）" xfId="362" xr:uid="{00000000-0005-0000-0000-00009A010000}"/>
    <cellStyle name="差_54-财务费用（空白模板）" xfId="363" xr:uid="{00000000-0005-0000-0000-00009B010000}"/>
    <cellStyle name="差_55-资产减值损失（空白模板）" xfId="192" xr:uid="{00000000-0005-0000-0000-0000F0000000}"/>
    <cellStyle name="差_9管理费用" xfId="137" xr:uid="{00000000-0005-0000-0000-0000B8000000}"/>
    <cellStyle name="差_Book2" xfId="23" xr:uid="{00000000-0005-0000-0000-000032000000}"/>
    <cellStyle name="差_dxn底稿目录" xfId="364" xr:uid="{00000000-0005-0000-0000-00009C010000}"/>
    <cellStyle name="差_Sheet1" xfId="365" xr:uid="{00000000-0005-0000-0000-00009D010000}"/>
    <cellStyle name="差_ZA0货币资金审定表 " xfId="66" xr:uid="{00000000-0005-0000-0000-000071000000}"/>
    <cellStyle name="差_存货" xfId="177" xr:uid="{00000000-0005-0000-0000-0000E0000000}"/>
    <cellStyle name="差_大信底稿目录" xfId="340" xr:uid="{00000000-0005-0000-0000-000084010000}"/>
    <cellStyle name="差_底稿设置宏" xfId="366" xr:uid="{00000000-0005-0000-0000-00009E010000}"/>
    <cellStyle name="差_货币资金" xfId="207" xr:uid="{00000000-0005-0000-0000-0000FF000000}"/>
    <cellStyle name="差_货币资金 天职" xfId="367" xr:uid="{00000000-0005-0000-0000-00009F010000}"/>
    <cellStyle name="差_货币资金 岳华" xfId="18" xr:uid="{00000000-0005-0000-0000-000021000000}"/>
    <cellStyle name="差_无形资产" xfId="368" xr:uid="{00000000-0005-0000-0000-0000A0010000}"/>
    <cellStyle name="差_应付职工薪酬" xfId="361" xr:uid="{00000000-0005-0000-0000-000099010000}"/>
    <cellStyle name="差_应收账款" xfId="369" xr:uid="{00000000-0005-0000-0000-0000A1010000}"/>
    <cellStyle name="差_账项明细表" xfId="370" xr:uid="{00000000-0005-0000-0000-0000A2010000}"/>
    <cellStyle name="常规" xfId="0" builtinId="0"/>
    <cellStyle name="常规 10" xfId="371" xr:uid="{00000000-0005-0000-0000-0000A3010000}"/>
    <cellStyle name="常规 10 2" xfId="439" xr:uid="{7C90EA52-DE1D-4EE2-88D0-EB4C3531EC58}"/>
    <cellStyle name="常规 10 2 2" xfId="1782" xr:uid="{719A42A6-6D8E-4DAE-A102-6B00D38FF61B}"/>
    <cellStyle name="常规 10 2 2 2" xfId="3730" xr:uid="{8D8E7377-2E1A-4033-ACBF-99348AE3D1BB}"/>
    <cellStyle name="常规 10 2 3" xfId="2403" xr:uid="{A4628055-7935-4697-9E92-89DE5BD95259}"/>
    <cellStyle name="常规 10 3" xfId="2646" xr:uid="{55C98DA2-5425-46E6-8966-485BAE98518A}"/>
    <cellStyle name="常规 10 4" xfId="2384" xr:uid="{8714F6D7-A333-4387-80BB-514EE855BD32}"/>
    <cellStyle name="常规 10 5" xfId="2401" xr:uid="{20302F84-5A67-43BA-8E99-9E8827F46B5D}"/>
    <cellStyle name="常规 11" xfId="434" xr:uid="{3F4C80E7-9555-49D1-84E2-BEC793762B70}"/>
    <cellStyle name="常规 11 2" xfId="2664" xr:uid="{65CB47C9-E62F-4F48-81CC-2B9B76C24395}"/>
    <cellStyle name="常规 11 3" xfId="2404" xr:uid="{0322914D-8BD7-45C7-992C-2B60FBA98AA3}"/>
    <cellStyle name="常规 12" xfId="437" xr:uid="{431FBAE2-C246-4323-B04F-8A6FC73EC8F7}"/>
    <cellStyle name="常规 13" xfId="667" xr:uid="{D5AE8B2A-E985-4775-88C9-7573F87D5076}"/>
    <cellStyle name="常规 13 2" xfId="2821" xr:uid="{2ACFCD44-70D4-43AF-905E-63BA0F1C6E69}"/>
    <cellStyle name="常规 14" xfId="2459" xr:uid="{0207A583-05CD-4BFC-AAC8-AD281852C4B0}"/>
    <cellStyle name="常规 15" xfId="1802" xr:uid="{D2C8C17C-2F4D-4A92-8376-E86661E22589}"/>
    <cellStyle name="常规 2" xfId="342" xr:uid="{00000000-0005-0000-0000-000086010000}"/>
    <cellStyle name="常规 2- " xfId="607" xr:uid="{3F1EC55B-6E1F-4D03-AFAC-30A351DAAF02}"/>
    <cellStyle name="常规 2 2" xfId="373" xr:uid="{00000000-0005-0000-0000-0000A5010000}"/>
    <cellStyle name="常规 2 2 2" xfId="374" xr:uid="{00000000-0005-0000-0000-0000A6010000}"/>
    <cellStyle name="常规 2 2 2 2" xfId="610" xr:uid="{CD6393EA-97D8-48F5-8636-67036CB6865F}"/>
    <cellStyle name="常规 2 2 2 2 2" xfId="1570" xr:uid="{F2CDCCF4-9843-44D6-B231-9684FC469596}"/>
    <cellStyle name="常规 2 2 2 2 2 2" xfId="2344" xr:uid="{6E96C434-CE4D-404D-924C-B872DB73F7E8}"/>
    <cellStyle name="常规 2 2 2 2 3" xfId="1569" xr:uid="{7F60BF82-6854-450F-AF1C-814179402140}"/>
    <cellStyle name="常规 2 2 2 2 3 2" xfId="3544" xr:uid="{5E85EA01-B5AA-4DB4-BD71-32F54DC20F03}"/>
    <cellStyle name="常规 2 2 2 2 4" xfId="2788" xr:uid="{0A109FE1-54A1-490D-AEDD-D4D4AB0F412D}"/>
    <cellStyle name="常规 2 2 2 2 5" xfId="2343" xr:uid="{69D57281-90C6-4AEE-AFF4-9463548E3A6C}"/>
    <cellStyle name="常规 2 2 2 3" xfId="847" xr:uid="{E6647C70-4E9B-4AE6-AFE4-82E073D5D92F}"/>
    <cellStyle name="常规 2 2 2 3 2" xfId="1571" xr:uid="{B1ACD1AA-52F1-4354-B45F-65CD6A870186}"/>
    <cellStyle name="常规 2 2 2 3 3" xfId="2928" xr:uid="{020DD81A-825F-4E2D-A543-A6711F354EA1}"/>
    <cellStyle name="常规 2 2 2 4" xfId="609" xr:uid="{F5D19E76-11AC-43FC-96AF-56AC43F0FF7E}"/>
    <cellStyle name="常规 2 2 3" xfId="375" xr:uid="{00000000-0005-0000-0000-0000A7010000}"/>
    <cellStyle name="常规 2 2 3 2" xfId="848" xr:uid="{198A12C0-B8BE-461B-AC18-0A5F6D33B26C}"/>
    <cellStyle name="常规 2 2 3 2 2" xfId="1572" xr:uid="{6C34F71D-7EA7-4536-82ED-BFF884D657C6}"/>
    <cellStyle name="常规 2 2 3 2 2 2" xfId="3545" xr:uid="{24A0E37B-6B2C-42FD-B5FF-66FA58126B0C}"/>
    <cellStyle name="常规 2 2 3 2 3" xfId="2929" xr:uid="{A46F5B53-9511-414F-A2A9-7FAA12695945}"/>
    <cellStyle name="常规 2 2 3 2 4" xfId="2345" xr:uid="{F9987958-5907-4CDE-AB6A-A489FB78F120}"/>
    <cellStyle name="常规 2 2 3 3" xfId="377" xr:uid="{00000000-0005-0000-0000-0000A9010000}"/>
    <cellStyle name="常规 2 2 3 3 2" xfId="12" xr:uid="{00000000-0005-0000-0000-000015000000}"/>
    <cellStyle name="常规 2 2 3 4" xfId="611" xr:uid="{B845CD25-8A1C-4BC0-A14C-9C40F2BB8934}"/>
    <cellStyle name="常规 2 2 4" xfId="436" xr:uid="{1D8C7D9F-0172-4472-901E-16E2A3965AFD}"/>
    <cellStyle name="常规 2 2 4 2" xfId="867" xr:uid="{DD0FC2CF-5DEC-4763-8156-CA9DB61D9422}"/>
    <cellStyle name="常规 2 2 4 2 2" xfId="2947" xr:uid="{D2CA25F3-EEAC-495D-B4A0-0ABCD4349F2C}"/>
    <cellStyle name="常规 2 2 4 3" xfId="633" xr:uid="{CC369A20-5078-436F-91A8-7702A1AAA2A9}"/>
    <cellStyle name="常规 2 2 4 4" xfId="2395" xr:uid="{560E016E-8F03-46E5-93DF-6FC183C133DC}"/>
    <cellStyle name="常规 2 2 5" xfId="438" xr:uid="{2553AC88-A670-465D-90F2-40D12458EBF4}"/>
    <cellStyle name="常规 2 2 5 2" xfId="445" xr:uid="{A71277C8-A82E-4608-96E6-10869C1793E9}"/>
    <cellStyle name="常规 2 2 5 2 2" xfId="665" xr:uid="{5CC05BBB-837D-41CF-A539-E68CEAA47FCC}"/>
    <cellStyle name="常规 2 2 5 2 2 2" xfId="2820" xr:uid="{92022F6D-DB68-4C4E-BA81-BFCD7460CEC7}"/>
    <cellStyle name="常规 2 2 5 2 3" xfId="2667" xr:uid="{942A0B3C-2AA0-4BB7-9B73-3088E81B7AB0}"/>
    <cellStyle name="常规 2 2 5 3" xfId="1776" xr:uid="{F7BFB63A-F652-4477-A647-1A8C6232A18B}"/>
    <cellStyle name="常规 2 2 5 3 2" xfId="2402" xr:uid="{AA323D1C-F0A9-4E0E-8E47-062F3C16C5CC}"/>
    <cellStyle name="常规 2 2 5 4" xfId="2396" xr:uid="{F10C580D-AAED-4B82-8BA8-2725AD44C2A4}"/>
    <cellStyle name="常规 2 2 5 5" xfId="1781" xr:uid="{8A1A358C-0383-4257-800B-2703E13B76CC}"/>
    <cellStyle name="常规 2 2 5 5 2" xfId="2399" xr:uid="{8C1EC381-71A2-43F2-AF7B-F5AE06E229FC}"/>
    <cellStyle name="常规 2 2 6" xfId="608" xr:uid="{9C2CA8BB-6384-4A5C-BD1A-14CC5E4FD079}"/>
    <cellStyle name="常规 2 3" xfId="612" xr:uid="{B0A3D60A-E580-41D1-9A03-474274A87F40}"/>
    <cellStyle name="常规 2 3 2" xfId="613" xr:uid="{3B24A0AB-5861-461C-8161-EDBC4BAEE8F1}"/>
    <cellStyle name="常规 2 3 3" xfId="614" xr:uid="{11EE5549-9E6D-4D2A-A5FD-A1A910A153B5}"/>
    <cellStyle name="常规 2 3 4" xfId="2789" xr:uid="{66F06F54-16E9-4344-8D0B-C45808E654E9}"/>
    <cellStyle name="常规 2 4" xfId="636" xr:uid="{016E0A5A-C5C6-4B50-8D45-EB77A3540AB4}"/>
    <cellStyle name="常规 2 4 2" xfId="1573" xr:uid="{C78079A4-67E9-4C08-95C8-D83126C58BCD}"/>
    <cellStyle name="常规 2 4 3" xfId="2804" xr:uid="{48F805E3-CEE5-466C-84DC-AA840B44FB99}"/>
    <cellStyle name="常规 2 5" xfId="845" xr:uid="{2454DA08-D1B8-42BA-A5D4-A33B94A9A885}"/>
    <cellStyle name="常规 2 5 2" xfId="1574" xr:uid="{1A283A97-1C1F-48FE-87EA-FC31D649BEF4}"/>
    <cellStyle name="常规 2 5 3" xfId="2926" xr:uid="{49FED607-D277-4B06-9F56-33D426693D05}"/>
    <cellStyle name="常规 2 6" xfId="877" xr:uid="{8660F4BA-AB49-4BD9-910B-6DB0C7ECBFC5}"/>
    <cellStyle name="常规 2 6 2" xfId="1575" xr:uid="{3BB1ECD8-89E9-4A0E-A544-12226971FE24}"/>
    <cellStyle name="常规 2 6 3" xfId="2956" xr:uid="{11F12AD7-E0FF-4B05-A409-DEE509E8B11C}"/>
    <cellStyle name="常规 2 7" xfId="606" xr:uid="{31B12B63-9B48-45E9-8652-12E254BF1D35}"/>
    <cellStyle name="常规 2 8" xfId="580" xr:uid="{8D523691-E676-4CC5-A7E9-4B11E40A89FC}"/>
    <cellStyle name="常规 2_10存货" xfId="378" xr:uid="{00000000-0005-0000-0000-0000AA010000}"/>
    <cellStyle name="常规 3" xfId="379" xr:uid="{00000000-0005-0000-0000-0000AB010000}"/>
    <cellStyle name="常规 3 2" xfId="380" xr:uid="{00000000-0005-0000-0000-0000AC010000}"/>
    <cellStyle name="常规 3 2 2" xfId="381" xr:uid="{00000000-0005-0000-0000-0000AD010000}"/>
    <cellStyle name="常规 3 2 2 2" xfId="849" xr:uid="{31D523DC-B255-4B54-AF71-4C1F8D7CA7B3}"/>
    <cellStyle name="常规 3 2 2 2 2" xfId="1577" xr:uid="{0378757E-E05F-4F4F-B74B-43EA3F7BC678}"/>
    <cellStyle name="常规 3 2 2 2 2 2" xfId="3547" xr:uid="{B51B5C4A-86A5-456C-845C-D16158B06525}"/>
    <cellStyle name="常规 3 2 2 2 3" xfId="2930" xr:uid="{36C3BBE0-EDA5-4F09-8D1D-BBEE2B4083DA}"/>
    <cellStyle name="常规 3 2 2 2 4" xfId="2347" xr:uid="{9711105F-9150-412F-97A4-6E5D19205646}"/>
    <cellStyle name="常规 3 2 2 3" xfId="616" xr:uid="{386206FC-6B70-45CB-A14C-EA98DBA9FC5B}"/>
    <cellStyle name="常规 3 2 2 4" xfId="1576" xr:uid="{E28C65B5-1421-439D-9E25-F131260E9E44}"/>
    <cellStyle name="常规 3 2 2 4 2" xfId="3546" xr:uid="{CC2623A0-A5E0-419C-9BBF-BF0D61173E59}"/>
    <cellStyle name="常规 3 2 2 5" xfId="2647" xr:uid="{88CB3040-6AD6-480D-B62D-BC5D9CABB153}"/>
    <cellStyle name="常规 3 2 2 6" xfId="2346" xr:uid="{F421F72A-97D0-42B1-8819-44FF0034ECA3}"/>
    <cellStyle name="常规 3 2 3" xfId="455" xr:uid="{11242634-9339-4B82-88B7-146E3AC1B095}"/>
    <cellStyle name="常规 3 2 4" xfId="459" xr:uid="{DFA88B92-9A88-4E2D-8AAB-B9C946BDE8EB}"/>
    <cellStyle name="常规 3 2 4 2" xfId="640" xr:uid="{2BCFEFC5-DF24-4643-88A3-3B88078B9926}"/>
    <cellStyle name="常规 3 2_3" xfId="1578" xr:uid="{FF06ED7F-06ED-4B78-A53C-8C2D6AA15CC5}"/>
    <cellStyle name="常规 3 3" xfId="84" xr:uid="{00000000-0005-0000-0000-000083000000}"/>
    <cellStyle name="常规 3 3 2" xfId="691" xr:uid="{94468A71-A4C8-4F5A-B71B-0005228CB999}"/>
    <cellStyle name="常规 3 3 2 2" xfId="1580" xr:uid="{DC0883F8-1DB1-456A-9403-3616C4BFCA18}"/>
    <cellStyle name="常规 3 3 2 3" xfId="2835" xr:uid="{6DF2DA2A-F32A-4A3D-90E1-4A3A197FD1AB}"/>
    <cellStyle name="常规 3 3 3" xfId="617" xr:uid="{1EF74F24-CDA2-46F0-93A8-3B98A7E138F4}"/>
    <cellStyle name="常规 3 3 4" xfId="1579" xr:uid="{72A4BF68-894A-4C1B-AD23-3D358C341031}"/>
    <cellStyle name="常规 3 3 4 2" xfId="3548" xr:uid="{9CE8A944-4419-40D8-8880-66FA3143B422}"/>
    <cellStyle name="常规 3 3 5" xfId="2486" xr:uid="{572CE6DA-3568-4D47-8A1B-2165B1B6F87E}"/>
    <cellStyle name="常规 3 3 6" xfId="2348" xr:uid="{160262DF-D6CC-4D74-BEC2-FAF69A4FFCBC}"/>
    <cellStyle name="常规 3 4" xfId="615" xr:uid="{E237C709-DFE4-45F2-8E8B-8FE238A2A67F}"/>
    <cellStyle name="常规 3 4 2" xfId="1581" xr:uid="{C0DD9A5A-53C1-4F61-B90D-77E05C481D8D}"/>
    <cellStyle name="常规 3 4 2 2" xfId="3549" xr:uid="{4BF78CE2-FF79-463D-8C78-D4ECF5FF901F}"/>
    <cellStyle name="常规 3 4 3" xfId="2790" xr:uid="{9CDCF6ED-4A2B-45B1-A6C0-7563FE436CC3}"/>
    <cellStyle name="常规 3 4 4" xfId="2349" xr:uid="{18A59BD0-A5F1-4684-B0B9-418357925B92}"/>
    <cellStyle name="常规 3 5" xfId="1582" xr:uid="{7E614E23-E62F-428D-9559-19A9B59FC06B}"/>
    <cellStyle name="常规 3 6" xfId="892" xr:uid="{B4A37980-6BFD-4179-B4F0-D630C2CC2C87}"/>
    <cellStyle name="常规 3 6 2" xfId="2970" xr:uid="{51438B59-C6C3-4146-843D-69CCBB93BB37}"/>
    <cellStyle name="常规 3 7" xfId="1591" xr:uid="{16B6D033-7A62-4E0E-8492-936C4C6F4E77}"/>
    <cellStyle name="常规 3 7 2" xfId="3555" xr:uid="{0B85A00A-A956-4014-BB1C-2A427E5ABE34}"/>
    <cellStyle name="常规 3 8" xfId="1819" xr:uid="{2BB781BA-E9D8-4570-AC5B-5C7A784E6434}"/>
    <cellStyle name="常规 3_1" xfId="1583" xr:uid="{86FFC80A-3A62-404B-AE8B-8769F68A34FC}"/>
    <cellStyle name="常规 4" xfId="283" xr:uid="{00000000-0005-0000-0000-00004B010000}"/>
    <cellStyle name="常规 4 2" xfId="382" xr:uid="{00000000-0005-0000-0000-0000AE010000}"/>
    <cellStyle name="常规 4 2 2" xfId="850" xr:uid="{B1FE5D23-17FD-42F5-AE1C-CF46FAA0D0D7}"/>
    <cellStyle name="常规 4 2 3" xfId="619" xr:uid="{EEB2B47C-FCAB-495D-B3E3-DC77578DF51E}"/>
    <cellStyle name="常规 4 2 4" xfId="1584" xr:uid="{04F02E92-6055-458B-9E3E-FF2202CF730C}"/>
    <cellStyle name="常规 4 2 4 2" xfId="3550" xr:uid="{96EF4A54-D1A9-47E0-AF77-527ED8482D4A}"/>
    <cellStyle name="常规 4 2 5" xfId="2648" xr:uid="{7E67CCC2-6EFF-4949-9AB0-BFC854D874E7}"/>
    <cellStyle name="常规 4 2 6" xfId="2350" xr:uid="{FB03B3F3-8747-4A37-8A6D-493D0CE7230E}"/>
    <cellStyle name="常规 4 3" xfId="620" xr:uid="{C19EA9E3-BA35-42D2-8C00-96C411689F55}"/>
    <cellStyle name="常规 4 3 2" xfId="1585" xr:uid="{9DD1D332-1B24-4E78-80D2-864B6CB41877}"/>
    <cellStyle name="常规 4 3 2 2" xfId="647" xr:uid="{7F2048DD-0719-4369-BA04-BEBC47A47E03}"/>
    <cellStyle name="常规 4 3 2 2 2" xfId="2808" xr:uid="{B881BA0E-E039-49AE-BC8E-BF97F66EA715}"/>
    <cellStyle name="常规 4 3 2 3" xfId="3551" xr:uid="{8DF41BBA-B26E-4BC2-A8E7-6B384E6F4AFF}"/>
    <cellStyle name="常规 4 3 3" xfId="2791" xr:uid="{231B69CC-A832-4867-A2D0-0BD31DF73B28}"/>
    <cellStyle name="常规 4 3 4" xfId="2351" xr:uid="{3B4658A7-406C-4BEF-9299-01C9E4322B1A}"/>
    <cellStyle name="常规 4 4" xfId="800" xr:uid="{794B6BED-C6A3-48A0-A2C5-99D8D3984544}"/>
    <cellStyle name="常规 4 5" xfId="618" xr:uid="{2A7EA26B-A666-4ED5-9961-F1EC08EB5B0E}"/>
    <cellStyle name="常规 5" xfId="383" xr:uid="{00000000-0005-0000-0000-0000AF010000}"/>
    <cellStyle name="常规 5 2" xfId="851" xr:uid="{A60F4AE6-1486-4762-822A-DA090B7F536E}"/>
    <cellStyle name="常规 5 2 2" xfId="1586" xr:uid="{2098C59F-4451-4F30-AA86-44CD23CCA66D}"/>
    <cellStyle name="常规 5 2 2 2" xfId="3552" xr:uid="{A1538171-FF82-4C8F-9680-3D1797BBA045}"/>
    <cellStyle name="常规 5 2 3" xfId="2931" xr:uid="{9C24D1A4-051A-4C59-AEC8-283F12E8F1C3}"/>
    <cellStyle name="常规 5 2 4" xfId="2352" xr:uid="{5B1C13E8-4E4A-48C7-BD97-B2CB1DB65230}"/>
    <cellStyle name="常规 5 3" xfId="621" xr:uid="{9840C9DD-DFF3-4F43-87BB-50706AA4363D}"/>
    <cellStyle name="常规 6" xfId="15" xr:uid="{00000000-0005-0000-0000-000019000000}"/>
    <cellStyle name="常规 6 2" xfId="1587" xr:uid="{BF3B5E5E-4975-4721-839A-9D9BF21548D4}"/>
    <cellStyle name="常规 6 2 2" xfId="2353" xr:uid="{18BC3CD8-A0C5-4C8D-8660-04730C3E8CC9}"/>
    <cellStyle name="常规 7" xfId="304" xr:uid="{00000000-0005-0000-0000-000060010000}"/>
    <cellStyle name="常规 7 2" xfId="817" xr:uid="{F8657AF3-EF41-4E7D-B355-CBD7DC89DD2B}"/>
    <cellStyle name="常规 7 2 2" xfId="1588" xr:uid="{97EA77BE-0D25-443E-9582-0DFCB2D36817}"/>
    <cellStyle name="常规 7 2 2 2" xfId="3553" xr:uid="{F5564371-336B-40C1-812A-9E359E393FE3}"/>
    <cellStyle name="常规 7 2 3" xfId="2918" xr:uid="{BADE1EDE-ACDF-43C0-B3EB-631AC11691D6}"/>
    <cellStyle name="常规 7 2 4" xfId="2354" xr:uid="{8811F4DC-D645-4C3D-A809-2A062B634EFF}"/>
    <cellStyle name="常规 7 3" xfId="622" xr:uid="{CF5BFA55-3343-490B-B5AB-D63D24C7C7D1}"/>
    <cellStyle name="常规 8" xfId="384" xr:uid="{00000000-0005-0000-0000-0000B0010000}"/>
    <cellStyle name="常规 8 2" xfId="630" xr:uid="{FC55C7C4-DF6D-4A96-B23F-01D52512BAC0}"/>
    <cellStyle name="常规 8 2 2" xfId="1589" xr:uid="{6C7F094B-BF27-4762-A52B-AA878F5461CA}"/>
    <cellStyle name="常规 8 2 2 2" xfId="3554" xr:uid="{E5180DF4-49DD-42C5-A04C-405D9B4303D1}"/>
    <cellStyle name="常规 8 2 3" xfId="2799" xr:uid="{40A80E0C-4D7A-4656-A811-4C245F144C32}"/>
    <cellStyle name="常规 8 2 4" xfId="2355" xr:uid="{77D21298-CC31-490B-A7DD-D9FA8293FBA7}"/>
    <cellStyle name="常规 9" xfId="116" xr:uid="{00000000-0005-0000-0000-0000A3000000}"/>
    <cellStyle name="常规 9 2" xfId="45" xr:uid="{00000000-0005-0000-0000-00005C000000}"/>
    <cellStyle name="常规 9 2 2" xfId="1641" xr:uid="{AB064108-6F18-4519-86B1-A4B3055C0350}"/>
    <cellStyle name="常规 9 2 2 2" xfId="3594" xr:uid="{4C10804F-92C7-485E-9050-75B882D7A4EC}"/>
    <cellStyle name="常规 9 2 2 3" xfId="2389" xr:uid="{02EA9D95-9E5B-41DD-A8C1-BA68F7327FB3}"/>
    <cellStyle name="常规 9 2 3" xfId="1643" xr:uid="{4DACD593-B608-4353-9932-BC4D100CADB9}"/>
    <cellStyle name="常规 9 2 3 2" xfId="3596" xr:uid="{65BE4CB0-2452-4563-8604-52899F15B68E}"/>
    <cellStyle name="常规 9 2 3 3" xfId="2391" xr:uid="{086BD67C-5CF0-491B-993C-5AE97EE5C44D}"/>
    <cellStyle name="常规 9 2 4" xfId="1638" xr:uid="{E3638B4D-04E1-4565-AE2F-75D9173A3F25}"/>
    <cellStyle name="常规 9 2 4 2" xfId="3592" xr:uid="{6D3873BD-77B9-4EE6-8FCC-DF6EA23E5F49}"/>
    <cellStyle name="常规 9 2 5" xfId="2477" xr:uid="{4D510802-13D3-430B-B4D0-70669DC4E486}"/>
    <cellStyle name="常规 9 2 6" xfId="2387" xr:uid="{714E4816-C6BE-4D88-BACC-4B41BB37142C}"/>
    <cellStyle name="常规 9 3" xfId="703" xr:uid="{93FD6CBD-D8A4-498A-A8AE-969FB0F6FA1D}"/>
    <cellStyle name="常规_Book1" xfId="451" xr:uid="{C9E0B352-1F28-4686-A5CA-C38359531773}"/>
    <cellStyle name="超级链接_综合类底稿表格" xfId="385" xr:uid="{00000000-0005-0000-0000-0000B1010000}"/>
    <cellStyle name="超連結 2" xfId="435" xr:uid="{6C23E253-AAF1-4DAE-ACF0-C98794FC0F73}"/>
    <cellStyle name="超链接 2" xfId="136" xr:uid="{00000000-0005-0000-0000-0000B7000000}"/>
    <cellStyle name="超链接 2 2" xfId="140" xr:uid="{00000000-0005-0000-0000-0000BB000000}"/>
    <cellStyle name="超链接 2 2 2" xfId="142" xr:uid="{00000000-0005-0000-0000-0000BD000000}"/>
    <cellStyle name="超链接 2 2 3" xfId="1590" xr:uid="{BB647E30-A1CD-4460-A5FC-43E5BC051151}"/>
    <cellStyle name="超链接 2 2 4" xfId="2515" xr:uid="{6391B539-8CF4-43B7-87B1-CC5B5E9707D1}"/>
    <cellStyle name="超链接 2 3" xfId="144" xr:uid="{00000000-0005-0000-0000-0000BF000000}"/>
    <cellStyle name="超链接 2 4" xfId="717" xr:uid="{0E640016-7C6D-435A-B0F3-ACC7C3040BFE}"/>
    <cellStyle name="超链接 2 5" xfId="511" xr:uid="{1268E015-2E5B-4221-8987-4752F5B7A485}"/>
    <cellStyle name="超链接 3" xfId="146" xr:uid="{00000000-0005-0000-0000-0000C1000000}"/>
    <cellStyle name="超链接 3 2" xfId="722" xr:uid="{55312024-00D5-479B-899A-F10D538481E1}"/>
    <cellStyle name="超链接 3 3" xfId="662" xr:uid="{6A4E4DC1-1E55-4F1C-A377-D3236D429E31}"/>
    <cellStyle name="超链接 4" xfId="337" xr:uid="{00000000-0005-0000-0000-000081010000}"/>
    <cellStyle name="超链接 5" xfId="673" xr:uid="{99D1E962-B1A0-41DE-A937-849E30FE8DCA}"/>
    <cellStyle name="超链接 5 2" xfId="2825" xr:uid="{3A87D4BB-85B3-4743-9248-1ABEDECA9C8D}"/>
    <cellStyle name="超链接 5 3" xfId="2445" xr:uid="{6E6B782F-5F19-4DBC-9E6F-3BE64A830663}"/>
    <cellStyle name="超链接 6" xfId="1651" xr:uid="{F1E43605-977D-4152-9D70-2E38F1FC1DE9}"/>
    <cellStyle name="好_10存货" xfId="274" xr:uid="{00000000-0005-0000-0000-000042010000}"/>
    <cellStyle name="好_19-无形资产（空白模板）" xfId="386" xr:uid="{00000000-0005-0000-0000-0000B2010000}"/>
    <cellStyle name="好_1财务费用" xfId="387" xr:uid="{00000000-0005-0000-0000-0000B3010000}"/>
    <cellStyle name="好_1营业收入" xfId="388" xr:uid="{00000000-0005-0000-0000-0000B4010000}"/>
    <cellStyle name="好_1资产减值损失" xfId="389" xr:uid="{00000000-0005-0000-0000-0000B5010000}"/>
    <cellStyle name="好_2-交易性金融资产（空白模板）" xfId="390" xr:uid="{00000000-0005-0000-0000-0000B6010000}"/>
    <cellStyle name="好_3-2 进一步审计程序-采购与付款循环" xfId="391" xr:uid="{00000000-0005-0000-0000-0000B7010000}"/>
    <cellStyle name="好_3-3 进一步审计程序-存货与生产循环" xfId="169" xr:uid="{00000000-0005-0000-0000-0000D8000000}"/>
    <cellStyle name="好_49-营业收入（空白模板）" xfId="3" xr:uid="{00000000-0005-0000-0000-000005000000}"/>
    <cellStyle name="好_4-应收账款（空白模板）" xfId="222" xr:uid="{00000000-0005-0000-0000-00000E010000}"/>
    <cellStyle name="好_50-营业成本（空白模板）" xfId="56" xr:uid="{00000000-0005-0000-0000-000067000000}"/>
    <cellStyle name="好_51-营业税金及附加（空白模板）" xfId="393" xr:uid="{00000000-0005-0000-0000-0000B9010000}"/>
    <cellStyle name="好_54-财务费用（空白模板）" xfId="394" xr:uid="{00000000-0005-0000-0000-0000BA010000}"/>
    <cellStyle name="好_55-资产减值损失（空白模板）" xfId="55" xr:uid="{00000000-0005-0000-0000-000066000000}"/>
    <cellStyle name="好_9管理费用" xfId="250" xr:uid="{00000000-0005-0000-0000-00002A010000}"/>
    <cellStyle name="好_Book2" xfId="395" xr:uid="{00000000-0005-0000-0000-0000BB010000}"/>
    <cellStyle name="好_Sheet1" xfId="135" xr:uid="{00000000-0005-0000-0000-0000B6000000}"/>
    <cellStyle name="好_ZA0货币资金审定表 " xfId="396" xr:uid="{00000000-0005-0000-0000-0000BC010000}"/>
    <cellStyle name="好_财务费用" xfId="398" xr:uid="{00000000-0005-0000-0000-0000BE010000}"/>
    <cellStyle name="好_存货" xfId="285" xr:uid="{00000000-0005-0000-0000-00004D010000}"/>
    <cellStyle name="好_存货 - 复制" xfId="40" xr:uid="{00000000-0005-0000-0000-000057000000}"/>
    <cellStyle name="好_大信底稿目录" xfId="111" xr:uid="{00000000-0005-0000-0000-00009E000000}"/>
    <cellStyle name="好_底稿设置宏" xfId="400" xr:uid="{00000000-0005-0000-0000-0000C0010000}"/>
    <cellStyle name="好_底稿设置宏_大信底稿目录" xfId="401" xr:uid="{00000000-0005-0000-0000-0000C1010000}"/>
    <cellStyle name="好_货币资金" xfId="173" xr:uid="{00000000-0005-0000-0000-0000DC000000}"/>
    <cellStyle name="好_货币资金 天职" xfId="127" xr:uid="{00000000-0005-0000-0000-0000AE000000}"/>
    <cellStyle name="好_货币资金 岳华" xfId="63" xr:uid="{00000000-0005-0000-0000-00006E000000}"/>
    <cellStyle name="好_实收资本(股本)" xfId="402" xr:uid="{00000000-0005-0000-0000-0000C2010000}"/>
    <cellStyle name="好_无形资产" xfId="403" xr:uid="{00000000-0005-0000-0000-0000C3010000}"/>
    <cellStyle name="好_银行函证结果汇总表" xfId="350" xr:uid="{00000000-0005-0000-0000-00008E010000}"/>
    <cellStyle name="好_应付职工薪酬" xfId="217" xr:uid="{00000000-0005-0000-0000-000009010000}"/>
    <cellStyle name="好_应收利息" xfId="404" xr:uid="{00000000-0005-0000-0000-0000C4010000}"/>
    <cellStyle name="好_应收账款" xfId="119" xr:uid="{00000000-0005-0000-0000-0000A6000000}"/>
    <cellStyle name="好_营业收入" xfId="376" xr:uid="{00000000-0005-0000-0000-0000A8010000}"/>
    <cellStyle name="好_账项明细表" xfId="405" xr:uid="{00000000-0005-0000-0000-0000C5010000}"/>
    <cellStyle name="好_资产负债标准底稿" xfId="113" xr:uid="{00000000-0005-0000-0000-0000A0000000}"/>
    <cellStyle name="好_资产负债标准底稿_大信底稿目录" xfId="406" xr:uid="{00000000-0005-0000-0000-0000C6010000}"/>
    <cellStyle name="好_资产负债类底稿模版" xfId="397" xr:uid="{00000000-0005-0000-0000-0000BD010000}"/>
    <cellStyle name="好_资产负债类底稿模版_大信底稿目录" xfId="407" xr:uid="{00000000-0005-0000-0000-0000C7010000}"/>
    <cellStyle name="好_资产减值损失" xfId="22" xr:uid="{00000000-0005-0000-0000-000029000000}"/>
    <cellStyle name="桁区切り [0.00]_１１月価格表" xfId="334" xr:uid="{00000000-0005-0000-0000-00007E010000}"/>
    <cellStyle name="桁区切り_１１月価格表" xfId="21" xr:uid="{00000000-0005-0000-0000-000028000000}"/>
    <cellStyle name="货币 2" xfId="408" xr:uid="{00000000-0005-0000-0000-0000C8010000}"/>
    <cellStyle name="货币 3" xfId="669" xr:uid="{21CDFFB1-EE5F-43DC-A5CC-10F028C71A88}"/>
    <cellStyle name="貨幣 [0]_SGV" xfId="409" xr:uid="{00000000-0005-0000-0000-0000C9010000}"/>
    <cellStyle name="貨幣_SGV" xfId="410" xr:uid="{00000000-0005-0000-0000-0000CA010000}"/>
    <cellStyle name="霓付 [0]_1202" xfId="214" xr:uid="{00000000-0005-0000-0000-000006010000}"/>
    <cellStyle name="霓付_1202" xfId="109" xr:uid="{00000000-0005-0000-0000-00009C000000}"/>
    <cellStyle name="烹拳 [0]_1202" xfId="411" xr:uid="{00000000-0005-0000-0000-0000CB010000}"/>
    <cellStyle name="烹拳_1202" xfId="180" xr:uid="{00000000-0005-0000-0000-0000E3000000}"/>
    <cellStyle name="砯刽 [0]_PLDT" xfId="392" xr:uid="{00000000-0005-0000-0000-0000B8010000}"/>
    <cellStyle name="砯刽_PLDT" xfId="399" xr:uid="{00000000-0005-0000-0000-0000BF010000}"/>
    <cellStyle name="普通_ 白土" xfId="194" xr:uid="{00000000-0005-0000-0000-0000F2000000}"/>
    <cellStyle name="千分位[0]_ 白土" xfId="76" xr:uid="{00000000-0005-0000-0000-00007B000000}"/>
    <cellStyle name="千分位_ 白土" xfId="205" xr:uid="{00000000-0005-0000-0000-0000FD000000}"/>
    <cellStyle name="千位[0]_1995" xfId="37" xr:uid="{00000000-0005-0000-0000-000051000000}"/>
    <cellStyle name="千位_1995" xfId="97" xr:uid="{00000000-0005-0000-0000-000090000000}"/>
    <cellStyle name="千位分隔" xfId="9" builtinId="3"/>
    <cellStyle name="千位分隔 10" xfId="448" xr:uid="{551F417D-CC53-4444-B573-3F308575E807}"/>
    <cellStyle name="千位分隔 10 2" xfId="871" xr:uid="{B8C4C4FB-E892-4CE7-B134-DB18C6BAAD72}"/>
    <cellStyle name="千位分隔 10 2 2" xfId="2950" xr:uid="{D150AD59-8A78-483D-A4F2-8DA6FDC5E7C9}"/>
    <cellStyle name="千位分隔 10 3" xfId="1784" xr:uid="{ECEEB417-8F2A-4B67-BC6D-36B9D23CE5A6}"/>
    <cellStyle name="千位分隔 10 3 2" xfId="3732" xr:uid="{22301D68-9A68-4FDE-BD28-369C8AA96E0D}"/>
    <cellStyle name="千位分隔 10 4" xfId="2669" xr:uid="{32DBA070-0DD7-43FA-BF25-BC81B500644F}"/>
    <cellStyle name="千位分隔 10 5" xfId="2405" xr:uid="{6C5E9B7C-E2BE-4406-85AD-DF2EF06A607F}"/>
    <cellStyle name="千位分隔 11" xfId="671" xr:uid="{8E1CD68C-33B6-47D2-91D5-F4302C7C38AF}"/>
    <cellStyle name="千位分隔 11 2" xfId="2823" xr:uid="{673B3DA2-B6DE-4271-BF16-3097BFC81A2B}"/>
    <cellStyle name="千位分隔 12" xfId="471" xr:uid="{56035A4B-D98E-456C-BBB8-B52C3A3750FE}"/>
    <cellStyle name="千位分隔 12 2" xfId="2681" xr:uid="{4100D09D-5FC9-48BE-9F9E-09B3F183FA63}"/>
    <cellStyle name="千位分隔 13" xfId="2463" xr:uid="{3AED657E-66FF-4D4E-B675-C2530AFE2A68}"/>
    <cellStyle name="千位分隔 14" xfId="1805" xr:uid="{C47898CA-200A-4891-8CE9-CD177AFF6BF9}"/>
    <cellStyle name="千位分隔 2" xfId="412" xr:uid="{00000000-0005-0000-0000-0000CC010000}"/>
    <cellStyle name="千位分隔 2 2" xfId="413" xr:uid="{00000000-0005-0000-0000-0000CD010000}"/>
    <cellStyle name="千位分隔 2 2 2" xfId="211" xr:uid="{00000000-0005-0000-0000-000003010000}"/>
    <cellStyle name="千位分隔 2 2 2 2" xfId="626" xr:uid="{6CF09842-833C-45D8-8D3A-DCED970DFD79}"/>
    <cellStyle name="千位分隔 2 2 2 2 2" xfId="1593" xr:uid="{6D1C6EC6-A251-4306-91A9-CBBC30909F75}"/>
    <cellStyle name="千位分隔 2 2 2 2 2 2" xfId="3557" xr:uid="{5EC3662E-05FA-4F74-95EE-6F744E54FBD5}"/>
    <cellStyle name="千位分隔 2 2 2 2 3" xfId="2795" xr:uid="{F44A894E-2EAF-4EB1-89E0-FB150F8A88DD}"/>
    <cellStyle name="千位分隔 2 2 2 2 4" xfId="2356" xr:uid="{65C12832-9E49-4E9A-91C0-A7C328A440B4}"/>
    <cellStyle name="千位分隔 2 2 2 3" xfId="766" xr:uid="{93E25CCA-4E34-4235-A8B7-091EA4726D70}"/>
    <cellStyle name="千位分隔 2 2 2 3 2" xfId="2899" xr:uid="{9E4F5C14-DCB5-4B91-ABB9-EB04C94BA588}"/>
    <cellStyle name="千位分隔 2 2 2 4" xfId="625" xr:uid="{A8B77C64-0168-45D2-A633-E5F6B7259D95}"/>
    <cellStyle name="千位分隔 2 2 2 4 2" xfId="2794" xr:uid="{2C0A74CD-4146-4762-ADCE-2A20D71C99BD}"/>
    <cellStyle name="千位分隔 2 2 2 5" xfId="2561" xr:uid="{7DC9232C-6D59-4E30-9F40-F8A73C42A17F}"/>
    <cellStyle name="千位分隔 2 2 3" xfId="627" xr:uid="{A8534D0C-CD61-4167-8ADE-D4A38F2DBB77}"/>
    <cellStyle name="千位分隔 2 2 3 2" xfId="1594" xr:uid="{AE3A5D6D-19D9-46D5-B1C6-F5A10A41EE5A}"/>
    <cellStyle name="千位分隔 2 2 3 2 2" xfId="3558" xr:uid="{B36DEFBC-FE7A-4D05-9ACD-713E933740C0}"/>
    <cellStyle name="千位分隔 2 2 3 3" xfId="2796" xr:uid="{272A8A08-1D2D-4DA3-BB02-EB2088928FF8}"/>
    <cellStyle name="千位分隔 2 2 3 4" xfId="2357" xr:uid="{7102F2E1-9E97-4837-9C72-33F85BE367E6}"/>
    <cellStyle name="千位分隔 2 2 4" xfId="853" xr:uid="{A78EDAAC-673F-4C97-9B63-D553F7656440}"/>
    <cellStyle name="千位分隔 2 2 4 2" xfId="1595" xr:uid="{EB84E0FA-780D-4D53-AA13-AFE054D5F887}"/>
    <cellStyle name="千位分隔 2 2 4 2 2" xfId="3559" xr:uid="{74E04492-25D8-4922-995A-E8B2BC7076B8}"/>
    <cellStyle name="千位分隔 2 2 4 3" xfId="2933" xr:uid="{8CD60325-436A-4883-AEED-817619AA7462}"/>
    <cellStyle name="千位分隔 2 2 4 4" xfId="2358" xr:uid="{2DDE65A1-5EB7-4F88-9213-FFB85F15AC11}"/>
    <cellStyle name="千位分隔 2 2 5" xfId="624" xr:uid="{27C7F841-B1B0-49A7-AEE7-046A2ED9EECC}"/>
    <cellStyle name="千位分隔 2 2 5 2" xfId="1596" xr:uid="{6EB5D7BF-50E0-4032-A3B6-3FF8761ABDE3}"/>
    <cellStyle name="千位分隔 2 2 5 2 2" xfId="3560" xr:uid="{5C03A95C-4913-4862-9D21-3982BD585EB8}"/>
    <cellStyle name="千位分隔 2 2 5 3" xfId="2793" xr:uid="{7AD32BA6-167F-4CA0-AC0C-299F4230A52F}"/>
    <cellStyle name="千位分隔 2 2 6" xfId="894" xr:uid="{C6E063B5-2347-419C-81BF-BCA1F7AB828D}"/>
    <cellStyle name="千位分隔 2 2 6 2" xfId="2972" xr:uid="{B2FF1761-8F28-4920-9858-4F217D14601E}"/>
    <cellStyle name="千位分隔 2 2 7" xfId="2650" xr:uid="{CD7C6864-A310-4804-9F90-7B8DD11448E7}"/>
    <cellStyle name="千位分隔 2 2 8" xfId="1821" xr:uid="{B1711112-9DAA-49AC-8267-AB914A1EC806}"/>
    <cellStyle name="千位分隔 2 3" xfId="414" xr:uid="{00000000-0005-0000-0000-0000CE010000}"/>
    <cellStyle name="千位分隔 2 3 2" xfId="854" xr:uid="{738D0D5E-C5C5-4475-95DF-8117AF9503CC}"/>
    <cellStyle name="千位分隔 2 3 2 2" xfId="1598" xr:uid="{974C50A9-2165-4798-BFEB-6F1D8CB598FF}"/>
    <cellStyle name="千位分隔 2 3 2 2 2" xfId="3562" xr:uid="{B044C2BE-B738-4662-9062-A116A7F1C921}"/>
    <cellStyle name="千位分隔 2 3 2 3" xfId="2934" xr:uid="{6E34BB35-180F-4242-8361-4F84795FE562}"/>
    <cellStyle name="千位分隔 2 3 2 4" xfId="2360" xr:uid="{0B060997-6534-419F-88D2-577B2C278B1B}"/>
    <cellStyle name="千位分隔 2 3 3" xfId="628" xr:uid="{C3A24A5F-DD98-43FC-9390-07902EE9EEFF}"/>
    <cellStyle name="千位分隔 2 3 3 2" xfId="1599" xr:uid="{D445A1CA-5C2E-465E-9871-94183D63999B}"/>
    <cellStyle name="千位分隔 2 3 3 2 2" xfId="3563" xr:uid="{DB650D1E-8314-4543-9B29-9BAF93D83743}"/>
    <cellStyle name="千位分隔 2 3 3 3" xfId="2797" xr:uid="{345C964C-C91D-4532-A132-78800E1FD978}"/>
    <cellStyle name="千位分隔 2 3 3 4" xfId="2361" xr:uid="{494EBDDC-3668-44F4-8DEC-37E92FB735B2}"/>
    <cellStyle name="千位分隔 2 3 4" xfId="1597" xr:uid="{B2B05861-7A5E-418C-A842-EAEE8952C918}"/>
    <cellStyle name="千位分隔 2 3 4 2" xfId="3561" xr:uid="{5D8802CB-B3C3-4CB5-AE98-F06C5A289940}"/>
    <cellStyle name="千位分隔 2 3 5" xfId="2651" xr:uid="{B5420502-35CF-4B2C-AE89-AA007F5CB1D2}"/>
    <cellStyle name="千位分隔 2 3 6" xfId="2359" xr:uid="{2084D908-9961-4E72-BFA2-AB02216B308F}"/>
    <cellStyle name="千位分隔 2 4" xfId="852" xr:uid="{87E20277-0E8D-4FEE-975B-EBDF947FF4F1}"/>
    <cellStyle name="千位分隔 2 4 2" xfId="1600" xr:uid="{A620C632-AF84-4FE9-939B-2337647BC738}"/>
    <cellStyle name="千位分隔 2 4 2 2" xfId="3564" xr:uid="{349C8FAD-0E49-4DE1-8476-AFC8A666DB3C}"/>
    <cellStyle name="千位分隔 2 4 3" xfId="2932" xr:uid="{8874C1AA-7A42-42E4-91EB-F12B4DCBC6AA}"/>
    <cellStyle name="千位分隔 2 5" xfId="623" xr:uid="{143F16C5-6CED-478E-A4C7-0E48E21FE25D}"/>
    <cellStyle name="千位分隔 2 5 2" xfId="1601" xr:uid="{B83B3AB6-177A-4CFC-B8EC-FABB3EF579BD}"/>
    <cellStyle name="千位分隔 2 5 2 2" xfId="3565" xr:uid="{8157D963-B5A1-4D08-971A-ED53FC8C995A}"/>
    <cellStyle name="千位分隔 2 5 3" xfId="2792" xr:uid="{3AABE616-21BC-42A4-9A5D-09702AAB6588}"/>
    <cellStyle name="千位分隔 2 6" xfId="1602" xr:uid="{52882153-B503-4039-9DB3-2A4176E5AFB7}"/>
    <cellStyle name="千位分隔 2 6 2" xfId="3566" xr:uid="{462BCCA3-B765-4EB5-99A2-D1008D7E6B6A}"/>
    <cellStyle name="千位分隔 2 7" xfId="2649" xr:uid="{BD5F1190-6B6A-4FB9-874E-60CF766305C9}"/>
    <cellStyle name="千位分隔 2_1" xfId="1603" xr:uid="{D4759BD2-F0A3-4A6D-B913-F09E0421CBC6}"/>
    <cellStyle name="千位分隔 3" xfId="161" xr:uid="{00000000-0005-0000-0000-0000D0000000}"/>
    <cellStyle name="千位分隔 3 2" xfId="163" xr:uid="{00000000-0005-0000-0000-0000D2000000}"/>
    <cellStyle name="千位分隔 3 2 2" xfId="165" xr:uid="{00000000-0005-0000-0000-0000D4000000}"/>
    <cellStyle name="千位分隔 3 2 2 2" xfId="159" xr:uid="{00000000-0005-0000-0000-0000CE000000}"/>
    <cellStyle name="千位分隔 3 2 2 2 2" xfId="735" xr:uid="{A05D89A2-88BF-4DD4-99A7-12EFD3B56E48}"/>
    <cellStyle name="千位分隔 3 2 2 2 2 2" xfId="2871" xr:uid="{0FBB60CF-F95B-4B6B-B19D-0E8501616F6D}"/>
    <cellStyle name="千位分隔 3 2 2 2 3" xfId="2531" xr:uid="{99983D15-3EA4-4CC4-A8EE-E13836675076}"/>
    <cellStyle name="千位分隔 3 2 2 3" xfId="741" xr:uid="{DCED54F4-682F-41EF-A59A-B8FAA5DDC59D}"/>
    <cellStyle name="千位分隔 3 2 2 3 2" xfId="2877" xr:uid="{DDED07C9-7528-4E68-9C94-4C152704FC5F}"/>
    <cellStyle name="千位分隔 3 2 2 4" xfId="1604" xr:uid="{A40C7D3F-BF5F-41F7-8CB9-74B521A3EDE6}"/>
    <cellStyle name="千位分隔 3 2 2 4 2" xfId="3567" xr:uid="{5DCAE251-7118-49DF-A2F1-5356C9C65AF0}"/>
    <cellStyle name="千位分隔 3 2 2 5" xfId="2537" xr:uid="{D815138F-1774-466E-B9D0-C093A0423126}"/>
    <cellStyle name="千位分隔 3 2 2 6" xfId="2362" xr:uid="{97778CAB-21AA-44BF-834F-47ABD9F1B72D}"/>
    <cellStyle name="千位分隔 3 2 3" xfId="415" xr:uid="{00000000-0005-0000-0000-0000CF010000}"/>
    <cellStyle name="千位分隔 3 2 3 2" xfId="855" xr:uid="{185A7BFF-8488-4DD6-AA65-706824CF259A}"/>
    <cellStyle name="千位分隔 3 2 3 2 2" xfId="2935" xr:uid="{8BEBF448-3FF2-452E-BA76-11AEE0F49DD9}"/>
    <cellStyle name="千位分隔 3 2 3 3" xfId="2652" xr:uid="{854DD520-5657-4CAE-9C52-DAC6E10BBD9D}"/>
    <cellStyle name="千位分隔 3 2 4" xfId="739" xr:uid="{983C07B0-D2B1-4EBD-A26D-7DF7630D62C4}"/>
    <cellStyle name="千位分隔 3 2 4 2" xfId="2875" xr:uid="{98EA5717-6B12-487F-A68C-05F91C810CDF}"/>
    <cellStyle name="千位分隔 3 2 5" xfId="524" xr:uid="{F1BC5337-80D5-4AF9-A9C7-87CA1ED19805}"/>
    <cellStyle name="千位分隔 3 2 5 2" xfId="2725" xr:uid="{D7BF54C0-651A-4387-8E7A-97703413FD93}"/>
    <cellStyle name="千位分隔 3 2 6" xfId="2535" xr:uid="{5ED6086F-EB72-4285-AB3D-34C0657D8CAB}"/>
    <cellStyle name="千位分隔 3 3" xfId="167" xr:uid="{00000000-0005-0000-0000-0000D6000000}"/>
    <cellStyle name="千位分隔 3 3 2" xfId="8" xr:uid="{00000000-0005-0000-0000-00000F000000}"/>
    <cellStyle name="千位分隔 3 3 2 2" xfId="670" xr:uid="{0828A9FF-0684-4736-8366-123C521C6C4C}"/>
    <cellStyle name="千位分隔 3 3 2 2 2" xfId="2822" xr:uid="{3DCAE7BD-81FB-468C-A1C7-3377F7F8997F}"/>
    <cellStyle name="千位分隔 3 3 2 3" xfId="2462" xr:uid="{F843562A-A3EC-4F60-BF80-A95804888E97}"/>
    <cellStyle name="千位分隔 3 3 3" xfId="743" xr:uid="{3EA021EC-8427-416A-8BC0-35F90EB8EB62}"/>
    <cellStyle name="千位分隔 3 3 3 2" xfId="2879" xr:uid="{2C845E72-7DA6-4F43-A2FC-07E60B299A44}"/>
    <cellStyle name="千位分隔 3 3 4" xfId="526" xr:uid="{15A8BA33-3BC1-457E-992D-52FA60C66352}"/>
    <cellStyle name="千位分隔 3 3 4 2" xfId="2727" xr:uid="{4D72B029-F415-48F2-9974-0C8F72A3848A}"/>
    <cellStyle name="千位分隔 3 3 5" xfId="1605" xr:uid="{00A7FA04-9D8A-4DAC-8CA0-7D9F71B58A9D}"/>
    <cellStyle name="千位分隔 3 3 5 2" xfId="3568" xr:uid="{2C214EB6-8E8C-4DA6-ACB2-9AE02AD97946}"/>
    <cellStyle name="千位分隔 3 3 6" xfId="2539" xr:uid="{B1418C93-2004-4FC8-BEBD-FD2958D7E023}"/>
    <cellStyle name="千位分隔 3 3 7" xfId="2363" xr:uid="{852CD2DB-A69B-481A-B4E7-769927254B7C}"/>
    <cellStyle name="千位分隔 3 4" xfId="330" xr:uid="{00000000-0005-0000-0000-00007A010000}"/>
    <cellStyle name="千位分隔 3 4 2" xfId="838" xr:uid="{27DDE6CC-1446-4548-AFB3-6B2D9DC24C27}"/>
    <cellStyle name="千位分隔 3 4 2 2" xfId="2921" xr:uid="{0C40BF4D-C8C1-49A3-B478-EBB5DE9A4171}"/>
    <cellStyle name="千位分隔 3 4 3" xfId="649" xr:uid="{1E97AE51-AD9B-4331-9865-B3693107E41F}"/>
    <cellStyle name="千位分隔 3 4 3 2" xfId="2809" xr:uid="{A22A06B9-3039-4E85-92F2-A85034B9F9A8}"/>
    <cellStyle name="千位分隔 3 4 4" xfId="528" xr:uid="{530E44C3-1F73-4556-80DF-B8FEE0367CF5}"/>
    <cellStyle name="千位分隔 3 4 4 2" xfId="2729" xr:uid="{55D16794-57FB-4CE7-B143-4E8C69DE8633}"/>
    <cellStyle name="千位分隔 3 4 5" xfId="1606" xr:uid="{9A1853A1-6442-4D26-A380-CC1FE96593D5}"/>
    <cellStyle name="千位分隔 3 4 5 2" xfId="3569" xr:uid="{FA17AB4E-2A70-42D4-A640-694AFFCFB908}"/>
    <cellStyle name="千位分隔 3 4 6" xfId="2637" xr:uid="{108A57A5-A9B9-4282-B7BF-7B95703B7477}"/>
    <cellStyle name="千位分隔 3 4 7" xfId="2364" xr:uid="{A2A3F7ED-1111-4E77-81FD-4B19868C594A}"/>
    <cellStyle name="千位分隔 3 5" xfId="737" xr:uid="{A18C9ED7-80E0-45AD-85DC-D7D15AF011F8}"/>
    <cellStyle name="千位分隔 3 5 2" xfId="2873" xr:uid="{6FA7104E-3E91-4423-B323-34C29B8CC715}"/>
    <cellStyle name="千位分隔 3 6" xfId="522" xr:uid="{3F8F4889-AB1D-41BC-94BC-8644ADCEED68}"/>
    <cellStyle name="千位分隔 3 6 2" xfId="2723" xr:uid="{B084A77E-133F-4B94-8D11-F8ADBB086A79}"/>
    <cellStyle name="千位分隔 3 7" xfId="2533" xr:uid="{967BA69A-92F0-4B67-A7E9-32B9F0BCDCAB}"/>
    <cellStyle name="千位分隔 4" xfId="148" xr:uid="{00000000-0005-0000-0000-0000C3000000}"/>
    <cellStyle name="千位分隔 4 2" xfId="151" xr:uid="{00000000-0005-0000-0000-0000C6000000}"/>
    <cellStyle name="千位分隔 4 2 2" xfId="236" xr:uid="{00000000-0005-0000-0000-00001C010000}"/>
    <cellStyle name="千位分隔 4 2 2 2" xfId="774" xr:uid="{0E2E04BF-A6DC-4E84-B087-2698F332F2D9}"/>
    <cellStyle name="千位分隔 4 2 2 2 2" xfId="1608" xr:uid="{A16A5FFF-C5EE-476E-A3C7-3D5E6B2622AA}"/>
    <cellStyle name="千位分隔 4 2 2 2 2 2" xfId="3571" xr:uid="{D587921C-BF83-4583-870D-5B42CC44E86D}"/>
    <cellStyle name="千位分隔 4 2 2 2 3" xfId="2903" xr:uid="{1555FD4B-369F-4BC8-8178-F8392700FCB0}"/>
    <cellStyle name="千位分隔 4 2 2 2 4" xfId="2366" xr:uid="{19BD73A9-753A-410D-A56B-9D95FD81EDE4}"/>
    <cellStyle name="千位分隔 4 2 2 3" xfId="1607" xr:uid="{B42E94B7-F19D-46F4-9041-ACA2CDBAA50B}"/>
    <cellStyle name="千位分隔 4 2 2 3 2" xfId="3570" xr:uid="{0EB70F14-EAF8-4D89-9C7E-4F8B8D773058}"/>
    <cellStyle name="千位分隔 4 2 2 4" xfId="2575" xr:uid="{FD412D34-3F03-462A-90C6-2FA7D7EA77BB}"/>
    <cellStyle name="千位分隔 4 2 2 5" xfId="2365" xr:uid="{29C6E090-6F5E-4B03-A2E4-E5DA1E9D8C36}"/>
    <cellStyle name="千位分隔 4 2 3" xfId="727" xr:uid="{37CD14B5-F8A7-4094-BA24-2D9E6031D47E}"/>
    <cellStyle name="千位分隔 4 2 3 2" xfId="1609" xr:uid="{47666DB2-FCFC-4FE1-93FB-D768D37C0047}"/>
    <cellStyle name="千位分隔 4 2 3 2 2" xfId="3572" xr:uid="{C2BCF189-25EF-4E53-B681-DEEF815C4386}"/>
    <cellStyle name="千位分隔 4 2 3 3" xfId="2863" xr:uid="{746B1E38-AF35-4439-9E3D-AE409825C98B}"/>
    <cellStyle name="千位分隔 4 2 3 4" xfId="2367" xr:uid="{9D3023AF-8B05-4D4A-BE2C-70B9C65D50F2}"/>
    <cellStyle name="千位分隔 4 2 4" xfId="532" xr:uid="{8BFD7719-1CA7-440D-90FF-8A66ED99CB39}"/>
    <cellStyle name="千位分隔 4 2 4 2" xfId="1610" xr:uid="{3EE4882A-83EE-4DD3-9ADE-1D27D8AEA63C}"/>
    <cellStyle name="千位分隔 4 2 4 2 2" xfId="3573" xr:uid="{A0A59201-6AA7-4F21-9102-2A71DDF751BD}"/>
    <cellStyle name="千位分隔 4 2 4 3" xfId="2733" xr:uid="{8E270BF6-FD7C-461D-BEF0-23C94A1A8D63}"/>
    <cellStyle name="千位分隔 4 2 4 4" xfId="2368" xr:uid="{DD316235-841C-4185-A92E-F8D5E93E5009}"/>
    <cellStyle name="千位分隔 4 2 5" xfId="2523" xr:uid="{77E66E3A-0E31-4166-9AF8-B924902C239D}"/>
    <cellStyle name="千位分隔 4 2_1" xfId="1611" xr:uid="{9072EBE8-AA9E-4162-AD8C-0A1E09E7A1D8}"/>
    <cellStyle name="千位分隔 4 3" xfId="416" xr:uid="{00000000-0005-0000-0000-0000D0010000}"/>
    <cellStyle name="千位分隔 4 3 2" xfId="856" xr:uid="{D24AD297-FCC5-4126-B990-A0826BCD0C8E}"/>
    <cellStyle name="千位分隔 4 3 2 2" xfId="1613" xr:uid="{E05A085B-B2DE-4D64-9903-41C48C2BA0CB}"/>
    <cellStyle name="千位分隔 4 3 2 2 2" xfId="3575" xr:uid="{F24CCB50-C4B3-4C45-8DFF-9D6E5E7BB291}"/>
    <cellStyle name="千位分隔 4 3 2 3" xfId="2936" xr:uid="{1D436A2E-7B56-4323-BF0B-1C65DA47DD07}"/>
    <cellStyle name="千位分隔 4 3 2 4" xfId="2370" xr:uid="{1EFB268B-F1CC-4090-80D0-28689AB23E56}"/>
    <cellStyle name="千位分隔 4 3 3" xfId="1612" xr:uid="{03F96D51-E4DE-4FCF-A6E2-41E99FA90043}"/>
    <cellStyle name="千位分隔 4 3 3 2" xfId="3574" xr:uid="{F3282A85-2FC5-43B5-894D-A67E44C03C43}"/>
    <cellStyle name="千位分隔 4 3 4" xfId="2653" xr:uid="{69A27A26-B60F-47A6-8123-BB0B525EB4AF}"/>
    <cellStyle name="千位分隔 4 3 5" xfId="2369" xr:uid="{49729F1E-23E7-4228-BCD6-4764A7BA6B11}"/>
    <cellStyle name="千位分隔 4 4" xfId="724" xr:uid="{7FF5ED6A-359F-4BF2-BC58-CA6EC4D22362}"/>
    <cellStyle name="千位分隔 4 4 2" xfId="1614" xr:uid="{8EAFAE70-C34B-423A-AB93-A182F54F6028}"/>
    <cellStyle name="千位分隔 4 4 2 2" xfId="3576" xr:uid="{A1159A6B-B101-48C8-B7EE-BE29599B90A9}"/>
    <cellStyle name="千位分隔 4 4 3" xfId="2860" xr:uid="{4CD40931-F368-46ED-8F13-135049A5EC74}"/>
    <cellStyle name="千位分隔 4 4 4" xfId="2371" xr:uid="{71188206-1285-466E-96C5-55E48DA12FA7}"/>
    <cellStyle name="千位分隔 4 5" xfId="530" xr:uid="{CEC1E430-7B9C-4CE0-88B7-3A0CDAFBE380}"/>
    <cellStyle name="千位分隔 4 5 2" xfId="1615" xr:uid="{0803ECCE-3F88-45F7-A56D-CB3233D919BB}"/>
    <cellStyle name="千位分隔 4 5 2 2" xfId="3577" xr:uid="{04E230F2-58A2-4A45-A504-C09F29A72BFA}"/>
    <cellStyle name="千位分隔 4 5 3" xfId="2731" xr:uid="{860CF043-8610-4D23-944F-11F103635DB0}"/>
    <cellStyle name="千位分隔 4 5 4" xfId="2372" xr:uid="{9F779BCF-E6D4-4C7D-9857-6EE8DE31DD39}"/>
    <cellStyle name="千位分隔 4 6" xfId="2520" xr:uid="{0B5C5A30-9389-4EDD-AFA3-D41647628D0B}"/>
    <cellStyle name="千位分隔 4_1" xfId="1616" xr:uid="{112EBD23-CC8B-401D-8728-56ECFE47182E}"/>
    <cellStyle name="千位分隔 5" xfId="154" xr:uid="{00000000-0005-0000-0000-0000C9000000}"/>
    <cellStyle name="千位分隔 5 2" xfId="241" xr:uid="{00000000-0005-0000-0000-000021010000}"/>
    <cellStyle name="千位分隔 5 2 2" xfId="243" xr:uid="{00000000-0005-0000-0000-000023010000}"/>
    <cellStyle name="千位分隔 5 2 2 2" xfId="776" xr:uid="{2BFCFEDF-6C3F-4516-8AE2-B89BE61CC156}"/>
    <cellStyle name="千位分隔 5 2 2 2 2" xfId="2905" xr:uid="{08B3F1BC-C1E7-4A65-A7EA-71AF5D7B48F4}"/>
    <cellStyle name="千位分隔 5 2 2 3" xfId="2581" xr:uid="{77720882-6590-4894-8D12-9E10E31F7286}"/>
    <cellStyle name="千位分隔 5 2 3" xfId="775" xr:uid="{35B7FE91-96DC-4D06-81B6-E592CEC337AF}"/>
    <cellStyle name="千位分隔 5 2 3 2" xfId="2904" xr:uid="{946B80FB-3549-4137-88A9-DA34755C8B8B}"/>
    <cellStyle name="千位分隔 5 2 4" xfId="1617" xr:uid="{9572E82B-D6A7-467B-8573-E53EEA39A83B}"/>
    <cellStyle name="千位分隔 5 2 4 2" xfId="3578" xr:uid="{C46260A0-65BC-4B98-B9F7-15209D79D9A8}"/>
    <cellStyle name="千位分隔 5 2 5" xfId="2579" xr:uid="{0849DC27-1E44-429D-AA21-173C6373DA87}"/>
    <cellStyle name="千位分隔 5 2 6" xfId="2373" xr:uid="{63299288-1570-400A-B81F-4F4CE7B256EC}"/>
    <cellStyle name="千位分隔 5 3" xfId="355" xr:uid="{00000000-0005-0000-0000-000093010000}"/>
    <cellStyle name="千位分隔 5 3 2" xfId="846" xr:uid="{21DEDEEF-04EE-44D6-B9E3-FAB18807B944}"/>
    <cellStyle name="千位分隔 5 3 2 2" xfId="2927" xr:uid="{37DBCCEC-2311-47BA-8751-C7B1FC2FEB37}"/>
    <cellStyle name="千位分隔 5 3 3" xfId="1618" xr:uid="{A3F2AEDB-B6F7-4B2D-A32D-8FA5FB672F68}"/>
    <cellStyle name="千位分隔 5 3 3 2" xfId="3579" xr:uid="{E87634CE-5395-438D-9AE1-5A1BF5A2350B}"/>
    <cellStyle name="千位分隔 5 3 4" xfId="2645" xr:uid="{5760B99D-E9D5-4035-8D3B-D99F78171C43}"/>
    <cellStyle name="千位分隔 5 3 5" xfId="2374" xr:uid="{47AD63A2-DE99-4048-9B6D-CE98817E0C15}"/>
    <cellStyle name="千位分隔 5 4" xfId="730" xr:uid="{5D0E6D3A-195F-4F9B-8A24-FA75523AD44E}"/>
    <cellStyle name="千位分隔 5 4 2" xfId="2866" xr:uid="{165B86D9-DA9A-4C42-A136-24E9BE81E237}"/>
    <cellStyle name="千位分隔 5 5" xfId="631" xr:uid="{721702BE-7C0C-4ECC-A5F1-F212B5F2391C}"/>
    <cellStyle name="千位分隔 5 5 2" xfId="2800" xr:uid="{46180BDB-EDFB-4B97-9D59-95CE6531E7B7}"/>
    <cellStyle name="千位分隔 5 6" xfId="2526" xr:uid="{47FF407C-0AF5-456E-A315-FCF36E2DE2DC}"/>
    <cellStyle name="千位分隔 6" xfId="131" xr:uid="{00000000-0005-0000-0000-0000B2000000}"/>
    <cellStyle name="千位分隔 6 2" xfId="713" xr:uid="{1EA6D5DC-3BDD-4516-BDA5-133628A0F459}"/>
    <cellStyle name="千位分隔 6 2 2" xfId="1620" xr:uid="{FDA3F95D-11B5-4D1F-807B-5959B6BCD635}"/>
    <cellStyle name="千位分隔 6 2 2 2" xfId="3581" xr:uid="{8F7EF803-0F92-4243-ADC4-5066EA7BA62F}"/>
    <cellStyle name="千位分隔 6 2 3" xfId="2851" xr:uid="{5EE69ED9-52CF-485E-AA13-F949165A1AC3}"/>
    <cellStyle name="千位分隔 6 2 4" xfId="2376" xr:uid="{405618B2-B45E-41B6-BFF7-562175593A82}"/>
    <cellStyle name="千位分隔 6 3" xfId="1619" xr:uid="{1EDC3CE0-7A43-4741-937D-B6A87C24F1BA}"/>
    <cellStyle name="千位分隔 6 3 2" xfId="3580" xr:uid="{C1633720-2C65-476F-9DF2-782835E3010B}"/>
    <cellStyle name="千位分隔 6 4" xfId="2510" xr:uid="{252FE61D-F355-4B82-9617-92396936965E}"/>
    <cellStyle name="千位分隔 6 5" xfId="2375" xr:uid="{17A1A766-1CF4-4EA7-856B-48508B72FBCC}"/>
    <cellStyle name="千位分隔 7" xfId="157" xr:uid="{00000000-0005-0000-0000-0000CC000000}"/>
    <cellStyle name="千位分隔 7 2" xfId="733" xr:uid="{71A82C45-216C-489E-B6E5-C72683AE024F}"/>
    <cellStyle name="千位分隔 7 2 2" xfId="1622" xr:uid="{3CFE90A7-4375-4CC1-A48C-62D5ABC68840}"/>
    <cellStyle name="千位分隔 7 2 2 2" xfId="3583" xr:uid="{535147C3-25DB-4592-B3AB-63A884F4934D}"/>
    <cellStyle name="千位分隔 7 2 3" xfId="2869" xr:uid="{40B24ADE-5102-4D9F-9DBB-392A6B5B3E7A}"/>
    <cellStyle name="千位分隔 7 2 4" xfId="2378" xr:uid="{24C5A720-3DF0-45EF-8BB2-823887A84733}"/>
    <cellStyle name="千位分隔 7 3" xfId="417" xr:uid="{00000000-0005-0000-0000-0000D1010000}"/>
    <cellStyle name="千位分隔 7 3 2" xfId="254" xr:uid="{00000000-0005-0000-0000-00002E010000}"/>
    <cellStyle name="千位分隔 7 3 2 2" xfId="780" xr:uid="{DD842C92-2589-47F3-AF94-B8B1B3AD6E87}"/>
    <cellStyle name="千位分隔 7 3 2 2 2" xfId="2909" xr:uid="{E1D46A6E-B956-472F-BF74-D23E68D74F50}"/>
    <cellStyle name="千位分隔 7 3 2 3" xfId="2585" xr:uid="{BF020824-A0C6-4FDA-B7B8-73A4B24EE5A0}"/>
    <cellStyle name="千位分隔 7 3 3" xfId="857" xr:uid="{F36DBAED-EA02-41FF-A26E-1F1E99856585}"/>
    <cellStyle name="千位分隔 7 3 3 2" xfId="2937" xr:uid="{878818CC-D19F-4414-8510-9648232FEE87}"/>
    <cellStyle name="千位分隔 7 3 4" xfId="1636" xr:uid="{BC2582C4-6324-4348-BBC9-E1D630BB1BB1}"/>
    <cellStyle name="千位分隔 7 3 4 2" xfId="3590" xr:uid="{63B0246B-2988-4FB1-A993-B8B5549D0042}"/>
    <cellStyle name="千位分隔 7 3 5" xfId="2654" xr:uid="{9B3CBDD9-1EBC-4FDA-B4DB-17F95F02E550}"/>
    <cellStyle name="千位分隔 7 3 6" xfId="2385" xr:uid="{20F4CF41-72CE-4748-87F7-43E7612C6969}"/>
    <cellStyle name="千位分隔 7 4" xfId="1621" xr:uid="{D7C8714F-ACDF-4E96-BB9F-83C196DA1DCD}"/>
    <cellStyle name="千位分隔 7 4 2" xfId="3582" xr:uid="{70DDC3F4-13DA-45F5-A8D1-C12365752FE7}"/>
    <cellStyle name="千位分隔 7 5" xfId="2529" xr:uid="{29F34B1A-B70A-4EB7-9B2D-FEB90F32F86C}"/>
    <cellStyle name="千位分隔 7 6" xfId="2377" xr:uid="{7B3356C5-B89B-4A9F-AFBC-F90BC5A687D4}"/>
    <cellStyle name="千位分隔 8" xfId="418" xr:uid="{00000000-0005-0000-0000-0000D2010000}"/>
    <cellStyle name="千位分隔 8 2" xfId="312" xr:uid="{00000000-0005-0000-0000-000068010000}"/>
    <cellStyle name="千位分隔 8 2 2" xfId="822" xr:uid="{CA90C208-2BC3-4552-ABC9-C90D74F3DD45}"/>
    <cellStyle name="千位分隔 8 2 2 2" xfId="2920" xr:uid="{12909E21-41F8-4023-B942-58AD2AAD3684}"/>
    <cellStyle name="千位分隔 8 2 3" xfId="1624" xr:uid="{5BA1EDA3-F5E7-4EB6-939C-4FD4AC5CF458}"/>
    <cellStyle name="千位分隔 8 2 3 2" xfId="3585" xr:uid="{24CA0136-1BAE-45AD-ABEC-8FF67371FE2A}"/>
    <cellStyle name="千位分隔 8 2 4" xfId="2621" xr:uid="{E93938B7-B2E1-4312-A20F-BFB1603A9F2F}"/>
    <cellStyle name="千位分隔 8 2 5" xfId="2380" xr:uid="{C7791D69-5976-42BD-9B55-2E7C26B16349}"/>
    <cellStyle name="千位分隔 8 3" xfId="858" xr:uid="{4F286008-F2F9-4ACD-94E1-147F84F9ACE4}"/>
    <cellStyle name="千位分隔 8 3 2" xfId="2938" xr:uid="{9819A565-9A2A-4D1A-AB58-6E5C2968379D}"/>
    <cellStyle name="千位分隔 8 4" xfId="1623" xr:uid="{AF2ABC65-0DB6-4C96-99D6-0A459EA45FBD}"/>
    <cellStyle name="千位分隔 8 4 2" xfId="3584" xr:uid="{09840E21-1BAD-4325-A861-B32A24D2E957}"/>
    <cellStyle name="千位分隔 8 5" xfId="2655" xr:uid="{2EDEA9B7-A57E-4EDA-9AA4-65A5D988AE5E}"/>
    <cellStyle name="千位分隔 8 6" xfId="2379" xr:uid="{D5210457-D22D-4887-A93D-411D59892162}"/>
    <cellStyle name="千位分隔 9" xfId="419" xr:uid="{00000000-0005-0000-0000-0000D3010000}"/>
    <cellStyle name="千位分隔 9 2" xfId="859" xr:uid="{D4D6205C-DFA9-4632-9C8E-39792126A1C7}"/>
    <cellStyle name="千位分隔 9 2 2" xfId="2939" xr:uid="{6E26815A-0248-49A1-9035-B7D9F3997ECD}"/>
    <cellStyle name="千位分隔 9 3" xfId="1645" xr:uid="{37038F01-7DE6-4B37-A1C4-8BE24E89B42F}"/>
    <cellStyle name="千位分隔 9 3 2" xfId="3598" xr:uid="{ED107AEF-2691-4FF2-B614-E06B68F88F0A}"/>
    <cellStyle name="千位分隔 9 4" xfId="2656" xr:uid="{7BDD1F3C-AAA6-46EC-A20D-96EE0D1B19C3}"/>
    <cellStyle name="千位分隔 9 5" xfId="2393" xr:uid="{995DD265-284C-48C3-98A3-DFBC664A50F0}"/>
    <cellStyle name="千位分隔[0] 2" xfId="29" xr:uid="{00000000-0005-0000-0000-000042000000}"/>
    <cellStyle name="千位分隔[0] 2 2" xfId="420" xr:uid="{00000000-0005-0000-0000-0000D4010000}"/>
    <cellStyle name="千位分隔[0] 2 2 2" xfId="421" xr:uid="{00000000-0005-0000-0000-0000D5010000}"/>
    <cellStyle name="千位分隔[0] 2 2 2 2" xfId="422" xr:uid="{00000000-0005-0000-0000-0000D6010000}"/>
    <cellStyle name="千位分隔[0] 2 2 2 2 2" xfId="862" xr:uid="{17A61A4C-9394-4730-B083-249C3EFB7873}"/>
    <cellStyle name="千位分隔[0] 2 2 2 2 2 2" xfId="2942" xr:uid="{CC767FAD-A49E-4DB5-93CF-F794037E0D5A}"/>
    <cellStyle name="千位分隔[0] 2 2 2 2 3" xfId="2659" xr:uid="{A3C0152D-652E-4579-A2B3-DFA24BCE8495}"/>
    <cellStyle name="千位分隔[0] 2 2 2 3" xfId="861" xr:uid="{865D8EE2-8509-45E5-822E-897D6925A3E0}"/>
    <cellStyle name="千位分隔[0] 2 2 2 3 2" xfId="2941" xr:uid="{C05DC7E8-064E-4B94-B056-4128CD6BA3DF}"/>
    <cellStyle name="千位分隔[0] 2 2 2 4" xfId="629" xr:uid="{1DE6B6F4-E2CF-4856-A8B1-87CE8B03AD0D}"/>
    <cellStyle name="千位分隔[0] 2 2 2 4 2" xfId="2798" xr:uid="{17E4B848-2BD6-4087-8826-32CFB2F64FE0}"/>
    <cellStyle name="千位分隔[0] 2 2 2 5" xfId="2658" xr:uid="{38960690-95A6-4A76-BA0F-57C14CA9AFBB}"/>
    <cellStyle name="千位分隔[0] 2 2 3" xfId="423" xr:uid="{00000000-0005-0000-0000-0000D7010000}"/>
    <cellStyle name="千位分隔[0] 2 2 3 2" xfId="863" xr:uid="{C8D0B69D-B74A-456E-8EF7-8404C09DAD5A}"/>
    <cellStyle name="千位分隔[0] 2 2 3 2 2" xfId="2943" xr:uid="{BC150C9A-7952-4ED9-9CAF-F298F5208073}"/>
    <cellStyle name="千位分隔[0] 2 2 3 3" xfId="2660" xr:uid="{70C98EC0-F145-4692-B27D-D1B6C46B1801}"/>
    <cellStyle name="千位分隔[0] 2 2 4" xfId="860" xr:uid="{2BEF3B91-4B25-4B21-BBCE-4F326D03C598}"/>
    <cellStyle name="千位分隔[0] 2 2 4 2" xfId="2940" xr:uid="{42538FE5-A8F7-41B5-BD4D-9ABD18DE6D70}"/>
    <cellStyle name="千位分隔[0] 2 2 5" xfId="563" xr:uid="{03DECFBC-7BF7-45BA-8EB1-5148C08150F1}"/>
    <cellStyle name="千位分隔[0] 2 2 5 2" xfId="2763" xr:uid="{13F7C2D1-5C99-4DA8-9B73-73A7EB5563D3}"/>
    <cellStyle name="千位分隔[0] 2 2 6" xfId="2657" xr:uid="{EC93A883-9D04-450B-A9CC-CDCEF79548AB}"/>
    <cellStyle name="千位分隔[0] 2 3" xfId="424" xr:uid="{00000000-0005-0000-0000-0000D8010000}"/>
    <cellStyle name="千位分隔[0] 2 3 2" xfId="864" xr:uid="{75D58529-F211-498F-AE45-3561BC385A27}"/>
    <cellStyle name="千位分隔[0] 2 3 2 2" xfId="2944" xr:uid="{B7F2A782-341A-4E22-A0CE-69FC86EFF4F6}"/>
    <cellStyle name="千位分隔[0] 2 3 3" xfId="2661" xr:uid="{5782BD37-8854-4867-B85C-1758C1C74D84}"/>
    <cellStyle name="千位分隔[0] 2 4" xfId="677" xr:uid="{A5488F95-F400-4A74-8779-B53FB38F6AAA}"/>
    <cellStyle name="千位分隔[0] 2 4 2" xfId="2828" xr:uid="{8695349D-E2EB-41A7-9B5F-94D8691BF1E0}"/>
    <cellStyle name="千位分隔[0] 2 5" xfId="494" xr:uid="{4C9FFC9D-F590-4AFF-8F60-52C21C96E3BC}"/>
    <cellStyle name="千位分隔[0] 2 5 2" xfId="2701" xr:uid="{30A535DC-26D9-42A1-AC23-BEF2E93B2C0C}"/>
    <cellStyle name="千位分隔[0] 2 6" xfId="2470" xr:uid="{47CD7670-FED0-4D2E-88B6-1D49908B64F2}"/>
    <cellStyle name="钎霖_(沥焊何巩)岿喊牢盔拌裙" xfId="425" xr:uid="{00000000-0005-0000-0000-0000D9010000}"/>
    <cellStyle name="强调 1" xfId="126" xr:uid="{00000000-0005-0000-0000-0000AD000000}"/>
    <cellStyle name="强调 2" xfId="426" xr:uid="{00000000-0005-0000-0000-0000DA010000}"/>
    <cellStyle name="强调 3" xfId="372" xr:uid="{00000000-0005-0000-0000-0000A4010000}"/>
    <cellStyle name="强调文字颜色 1" xfId="1625" xr:uid="{9DDD081A-C8C0-4B62-86A2-0C5A05147435}"/>
    <cellStyle name="强调文字颜色 2" xfId="1626" xr:uid="{C0F8F5C6-90C7-4AAC-BC67-C5ACA920E5F2}"/>
    <cellStyle name="强调文字颜色 3" xfId="1627" xr:uid="{B4797B4B-36BA-4D7E-BD61-F2B66B8252A1}"/>
    <cellStyle name="强调文字颜色 4" xfId="1628" xr:uid="{00BE54ED-B0C1-43E4-8961-182AFAA37DA2}"/>
    <cellStyle name="强调文字颜色 5" xfId="1629" xr:uid="{D72C8369-9A70-4846-8F6B-1DCB5322B953}"/>
    <cellStyle name="强调文字颜色 6" xfId="1630" xr:uid="{268C12EA-5C9C-4020-B02A-6612A34DE168}"/>
    <cellStyle name="通貨 [0.00]_１１月価格表" xfId="266" xr:uid="{00000000-0005-0000-0000-00003A010000}"/>
    <cellStyle name="通貨_１１月価格表" xfId="427" xr:uid="{00000000-0005-0000-0000-0000DB010000}"/>
    <cellStyle name="样式 1" xfId="262" xr:uid="{00000000-0005-0000-0000-000036010000}"/>
    <cellStyle name="一般 2" xfId="433" xr:uid="{D536A53C-5FB1-4AA2-89D4-703F61A9C559}"/>
    <cellStyle name="一般 2 2" xfId="866" xr:uid="{9D5619D6-8C2E-4CCD-B592-5A0F85F9F18B}"/>
    <cellStyle name="一般 2 2 2" xfId="2946" xr:uid="{65A29BBB-82FF-4789-8576-D07A015B908E}"/>
    <cellStyle name="一般 2 3" xfId="1646" xr:uid="{418D9D58-0C22-43B5-80FF-01C3072C262A}"/>
    <cellStyle name="一般 2 3 2" xfId="3599" xr:uid="{6108155C-2C60-4668-8C4A-78564820DDBB}"/>
    <cellStyle name="一般 2 4" xfId="2663" xr:uid="{32D23E63-EBB0-45D6-B49A-D2E42ADE3ED3}"/>
    <cellStyle name="一般 2 5" xfId="2394" xr:uid="{EE3A3D88-E8D5-4C73-B7BA-616CAA5C1E27}"/>
    <cellStyle name="一般_2008 06CUIT" xfId="595" xr:uid="{B620DA78-494D-4B15-AB99-336BB6D29E38}"/>
    <cellStyle name="昗弨_BOOKSHIP" xfId="31" xr:uid="{00000000-0005-0000-0000-000045000000}"/>
    <cellStyle name="寘嬫愗傝 [0.00]_PRODUCT DETAIL Q1" xfId="428" xr:uid="{00000000-0005-0000-0000-0000DD010000}"/>
    <cellStyle name="寘嬫愗傝_PRODUCT DETAIL Q1" xfId="139" xr:uid="{00000000-0005-0000-0000-0000BA000000}"/>
    <cellStyle name="资产" xfId="429" xr:uid="{00000000-0005-0000-0000-0000DE010000}"/>
    <cellStyle name="资产 2" xfId="865" xr:uid="{4DB35621-CF60-4EA7-A27A-8EA2BCD61AB4}"/>
    <cellStyle name="资产 2 2" xfId="1632" xr:uid="{238B1726-933C-45DD-9811-451581995F67}"/>
    <cellStyle name="资产 2 2 2" xfId="3587" xr:uid="{ACC95512-9F47-490C-9739-DFBC67CD5734}"/>
    <cellStyle name="资产 2 3" xfId="2945" xr:uid="{049CDD05-F7E4-489D-8703-283E2356BBD9}"/>
    <cellStyle name="资产 2 4" xfId="2382" xr:uid="{0A7D5D17-15F1-4912-A331-F70CC7B98CF4}"/>
    <cellStyle name="资产 3" xfId="1631" xr:uid="{D8D5EB4A-0947-49C9-8378-C1E80D472240}"/>
    <cellStyle name="资产 3 2" xfId="3586" xr:uid="{57DFF74C-7107-4871-8A5A-849DCF65BB60}"/>
    <cellStyle name="资产 4" xfId="2662" xr:uid="{80AAEB31-6797-4F88-B642-7B9D868D0A71}"/>
    <cellStyle name="资产 5" xfId="2381" xr:uid="{E4291EEC-050B-405B-BFF8-480E548E9395}"/>
    <cellStyle name="콤마 [0]_BOILER-CO1" xfId="430" xr:uid="{00000000-0005-0000-0000-0000DF010000}"/>
    <cellStyle name="콤마_BOILER-CO1" xfId="431" xr:uid="{00000000-0005-0000-0000-0000E0010000}"/>
    <cellStyle name="통화 [0]_BOILER-CO1" xfId="432" xr:uid="{00000000-0005-0000-0000-0000E1010000}"/>
    <cellStyle name="통화_BOILER-CO1" xfId="52" xr:uid="{00000000-0005-0000-0000-000063000000}"/>
    <cellStyle name="표준_0N-HANDLING " xfId="345" xr:uid="{00000000-0005-0000-0000-000089010000}"/>
  </cellStyles>
  <dxfs count="81">
    <dxf>
      <fill>
        <patternFill>
          <bgColor rgb="FFFFFFCC"/>
        </patternFill>
      </fill>
    </dxf>
    <dxf>
      <font>
        <b/>
        <i val="0"/>
        <strike/>
        <color rgb="FF0000FF"/>
      </font>
    </dxf>
    <dxf>
      <fill>
        <patternFill>
          <bgColor rgb="FFFFFFCC"/>
        </patternFill>
      </fill>
    </dxf>
    <dxf>
      <fill>
        <patternFill>
          <bgColor rgb="FFFFFFCC"/>
        </patternFill>
      </fill>
    </dxf>
    <dxf>
      <fill>
        <patternFill>
          <bgColor rgb="FFFFFFCC"/>
        </patternFill>
      </fill>
    </dxf>
    <dxf>
      <font>
        <b/>
        <i val="0"/>
        <strike/>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4FAD7C96-DB69-472C-B8DB-D61DF4014810}">
      <tableStyleElement type="wholeTable" dxfId="80"/>
      <tableStyleElement type="totalRow" dxfId="79"/>
      <tableStyleElement type="firstRowStripe" dxfId="78"/>
      <tableStyleElement type="secondRowStripe" dxfId="77"/>
      <tableStyleElement type="firstColumnStripe" dxfId="76"/>
      <tableStyleElement type="secondColumnStripe" dxfId="75"/>
    </tableStyle>
    <tableStyle name="MySqlDefault" table="0" count="0" xr9:uid="{E8EB7F37-544E-43AB-9188-0078B2B0491E}"/>
    <tableStyle name="Table Style 1 2" pivot="0" count="6" xr9:uid="{53D58BD8-350D-47D2-BC8B-96AB75D4218B}">
      <tableStyleElement type="wholeTable" dxfId="74"/>
      <tableStyleElement type="totalRow" dxfId="73"/>
      <tableStyleElement type="firstRowStripe" dxfId="72"/>
      <tableStyleElement type="secondRowStripe" dxfId="71"/>
      <tableStyleElement type="firstColumnStripe" dxfId="70"/>
      <tableStyleElement type="secondColumnStripe" dxfId="69"/>
    </tableStyle>
  </tableStyles>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C2%A0%C2%A0%C2%A0%C2%A0%0A(CN)%20L%2DIntangible%20assets%2C%20including%20goodwill%0A%E6%9B%B4%E5%A4%9A%E8%AF%A5%E7%A7%91%E7%9B%AE%E7%9B%B8%E5%85%B3%E5%AE%A1%E8%AE%A1%E4%BC%9A%E8%AE%A1%E7%9F%A5%E8%AF%86%E5%8F%AF%E5%8F%82%E8%80%83%E2%80%9C%E5%A4%A7%E4%B8%AD%E5%8D%8E%E5%8C%BA%E4%BC%9A%E8%AE%A1%E5%AE%A1%E8%AE%A1%E7%9F%A5%E8%AF%86%E5%BA%93%E2%80%9D%C2%A0%C2%A0%C2%A0%C2%A0%0AL1_%E6%97%A0%E5%BD%A2%E8%B5%84%E4%BA%A7%C2%A0%C2%A0%20%C2%A0"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L1_%E6%97%A0%E5%BD%A2%E8%B5%84%E4%BA%A7_202YMMDD_XYZ%E5%85%AC%E5%8F%B8_Read-me-and-Delete-me.aspx#:~:text=L1.02.1%2D%E6%B3%A8%E9%87%8A2,%E5%A4%84%E7%90%86%E6%98%AF%E5%90%A6%E6%AD%A3%E7%A1%AE%E3%80%82" TargetMode="Externa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1_%E6%97%A0%E5%BD%A2%E8%B5%84%E4%BA%A7_202YMMDD_XYZ%E5%85%AC%E5%8F%B8_Read-me-and-Delete-me.aspx#:~:text=%E6%96%B0%E5%A2%9E%E6%B8%85%E5%8D%95%26%E5%A4%84%E7%BD%AE%E6%B8%85%E5%8D%95%2D%E6%B3%A8%E9%87%8A4%EF%BC%9A%E6%97%A0%E5%BD%A2%E8%B5%84%E4%BA%A7%E6%96%B0%E5%A2%9E%E6%B8%85%E5%8D%95%26%E6%97%A0%E5%BD%A2%E8%B5%84%E4%BA%A7%E5%A4%84%E7%BD%AE%E6%B8%85%E5%8D%95"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1_%E6%97%A0%E5%BD%A2%E8%B5%84%E4%BA%A7_202YMMDD_XYZ%E5%85%AC%E5%8F%B8_Read-me-and-Delete-me.aspx#:~:text=%E6%96%B0%E5%A2%9E%E6%B8%85%E5%8D%95%26%E5%A4%84%E7%BD%AE%E6%B8%85%E5%8D%95%2D%E6%B3%A8%E9%87%8A4%EF%BC%9A%E6%97%A0%E5%BD%A2%E8%B5%84%E4%BA%A7%E6%96%B0%E5%A2%9E%E6%B8%85%E5%8D%95%26%E6%97%A0%E5%BD%A2%E8%B5%84%E4%BA%A7%E5%A4%84%E7%BD%AE%E6%B8%85%E5%8D%95"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L1_%E6%97%A0%E5%BD%A2%E8%B5%84%E4%BA%A7_202YMMDD_XYZ%E5%85%AC%E5%8F%B8_Read-me-and-Delete-me.aspx#:~:text=L1.03%2D%E6%B3%A8%E9%87%8A3,%E5%90%88%E7%90%86%E6%91%8A%E9%94%80%E3%80%82" TargetMode="External"/><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L1_%E6%97%A0%E5%BD%A2%E8%B5%84%E4%BA%A7_202YMMDD_XYZ%E5%85%AC%E5%8F%B8_Read-me-and-Delete-me.aspx#:~:text=L1.03%2D%E6%B3%A8%E9%87%8A3,%E5%90%88%E7%90%86%E6%91%8A%E9%94%80%E3%80%82"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579851</xdr:colOff>
      <xdr:row>5</xdr:row>
      <xdr:rowOff>10991</xdr:rowOff>
    </xdr:from>
    <xdr:to>
      <xdr:col>6</xdr:col>
      <xdr:colOff>750666</xdr:colOff>
      <xdr:row>5</xdr:row>
      <xdr:rowOff>225942</xdr:rowOff>
    </xdr:to>
    <xdr:pic>
      <xdr:nvPicPr>
        <xdr:cNvPr id="5" name="Picture 1">
          <a:hlinkClick xmlns:r="http://schemas.openxmlformats.org/officeDocument/2006/relationships" r:id="rId1" tooltip="预审&amp;年审工作注意事项"/>
          <a:extLst>
            <a:ext uri="{FF2B5EF4-FFF2-40B4-BE49-F238E27FC236}">
              <a16:creationId xmlns:a16="http://schemas.microsoft.com/office/drawing/2014/main" id="{2FA76958-9B73-48B3-809E-81D520616E45}"/>
            </a:ext>
          </a:extLst>
        </xdr:cNvPr>
        <xdr:cNvPicPr>
          <a:picLocks noChangeAspect="1"/>
        </xdr:cNvPicPr>
      </xdr:nvPicPr>
      <xdr:blipFill>
        <a:blip xmlns:r="http://schemas.openxmlformats.org/officeDocument/2006/relationships" r:embed="rId2"/>
        <a:stretch>
          <a:fillRect/>
        </a:stretch>
      </xdr:blipFill>
      <xdr:spPr>
        <a:xfrm>
          <a:off x="7941315" y="133455"/>
          <a:ext cx="234950" cy="206696"/>
        </a:xfrm>
        <a:prstGeom prst="rect">
          <a:avLst/>
        </a:prstGeom>
      </xdr:spPr>
    </xdr:pic>
    <xdr:clientData/>
  </xdr:twoCellAnchor>
  <xdr:twoCellAnchor>
    <xdr:from>
      <xdr:col>1</xdr:col>
      <xdr:colOff>1126991</xdr:colOff>
      <xdr:row>5</xdr:row>
      <xdr:rowOff>11767</xdr:rowOff>
    </xdr:from>
    <xdr:to>
      <xdr:col>1</xdr:col>
      <xdr:colOff>1337875</xdr:colOff>
      <xdr:row>5</xdr:row>
      <xdr:rowOff>199572</xdr:rowOff>
    </xdr:to>
    <xdr:pic>
      <xdr:nvPicPr>
        <xdr:cNvPr id="7" name="图片 2">
          <a:hlinkClick xmlns:r="http://schemas.openxmlformats.org/officeDocument/2006/relationships" r:id="rId3" tooltip="Altas PSP 链接"/>
          <a:extLst>
            <a:ext uri="{FF2B5EF4-FFF2-40B4-BE49-F238E27FC236}">
              <a16:creationId xmlns:a16="http://schemas.microsoft.com/office/drawing/2014/main" id="{15A96623-04CE-490A-BAAA-8FC40F171827}"/>
            </a:ext>
          </a:extLst>
        </xdr:cNvPr>
        <xdr:cNvPicPr>
          <a:picLocks noChangeAspect="1"/>
        </xdr:cNvPicPr>
      </xdr:nvPicPr>
      <xdr:blipFill>
        <a:blip xmlns:r="http://schemas.openxmlformats.org/officeDocument/2006/relationships" r:embed="rId2"/>
        <a:stretch>
          <a:fillRect/>
        </a:stretch>
      </xdr:blipFill>
      <xdr:spPr>
        <a:xfrm>
          <a:off x="1326562" y="927981"/>
          <a:ext cx="210884" cy="187805"/>
        </a:xfrm>
        <a:prstGeom prst="rect">
          <a:avLst/>
        </a:prstGeom>
      </xdr:spPr>
    </xdr:pic>
    <xdr:clientData/>
  </xdr:twoCellAnchor>
  <xdr:oneCellAnchor>
    <xdr:from>
      <xdr:col>4</xdr:col>
      <xdr:colOff>1914072</xdr:colOff>
      <xdr:row>5</xdr:row>
      <xdr:rowOff>18143</xdr:rowOff>
    </xdr:from>
    <xdr:ext cx="205343" cy="199303"/>
    <xdr:pic>
      <xdr:nvPicPr>
        <xdr:cNvPr id="6" name="图片 1">
          <a:hlinkClick xmlns:r="http://schemas.openxmlformats.org/officeDocument/2006/relationships" r:id="rId4" tooltip="如需帮助请点击"/>
          <a:extLst>
            <a:ext uri="{FF2B5EF4-FFF2-40B4-BE49-F238E27FC236}">
              <a16:creationId xmlns:a16="http://schemas.microsoft.com/office/drawing/2014/main" id="{0D1897EE-D993-489D-AD65-7753CF221861}"/>
            </a:ext>
          </a:extLst>
        </xdr:cNvPr>
        <xdr:cNvPicPr>
          <a:picLocks noChangeAspect="1"/>
        </xdr:cNvPicPr>
      </xdr:nvPicPr>
      <xdr:blipFill>
        <a:blip xmlns:r="http://schemas.openxmlformats.org/officeDocument/2006/relationships" r:embed="rId2"/>
        <a:stretch>
          <a:fillRect/>
        </a:stretch>
      </xdr:blipFill>
      <xdr:spPr>
        <a:xfrm>
          <a:off x="5034643" y="934357"/>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554551</xdr:colOff>
      <xdr:row>0</xdr:row>
      <xdr:rowOff>580752</xdr:rowOff>
    </xdr:to>
    <xdr:pic>
      <xdr:nvPicPr>
        <xdr:cNvPr id="2" name="Picture 1">
          <a:extLst>
            <a:ext uri="{FF2B5EF4-FFF2-40B4-BE49-F238E27FC236}">
              <a16:creationId xmlns:a16="http://schemas.microsoft.com/office/drawing/2014/main" id="{812D9AF1-DB0C-4483-AF6A-B2110AF362BE}"/>
            </a:ext>
          </a:extLst>
        </xdr:cNvPr>
        <xdr:cNvPicPr>
          <a:picLocks noChangeAspect="1"/>
        </xdr:cNvPicPr>
      </xdr:nvPicPr>
      <xdr:blipFill>
        <a:blip xmlns:r="http://schemas.openxmlformats.org/officeDocument/2006/relationships" r:embed="rId1"/>
        <a:stretch>
          <a:fillRect/>
        </a:stretch>
      </xdr:blipFill>
      <xdr:spPr>
        <a:xfrm>
          <a:off x="285750" y="69396"/>
          <a:ext cx="487876" cy="511356"/>
        </a:xfrm>
        <a:prstGeom prst="rect">
          <a:avLst/>
        </a:prstGeom>
      </xdr:spPr>
    </xdr:pic>
    <xdr:clientData/>
  </xdr:twoCellAnchor>
  <xdr:twoCellAnchor editAs="oneCell">
    <xdr:from>
      <xdr:col>1</xdr:col>
      <xdr:colOff>63500</xdr:colOff>
      <xdr:row>0</xdr:row>
      <xdr:rowOff>66221</xdr:rowOff>
    </xdr:from>
    <xdr:to>
      <xdr:col>1</xdr:col>
      <xdr:colOff>554551</xdr:colOff>
      <xdr:row>0</xdr:row>
      <xdr:rowOff>580752</xdr:rowOff>
    </xdr:to>
    <xdr:pic>
      <xdr:nvPicPr>
        <xdr:cNvPr id="8" name="Picture 1">
          <a:extLst>
            <a:ext uri="{FF2B5EF4-FFF2-40B4-BE49-F238E27FC236}">
              <a16:creationId xmlns:a16="http://schemas.microsoft.com/office/drawing/2014/main" id="{003C33BF-469F-404B-BA3B-09F926BBF86D}"/>
            </a:ext>
          </a:extLst>
        </xdr:cNvPr>
        <xdr:cNvPicPr>
          <a:picLocks noChangeAspect="1"/>
        </xdr:cNvPicPr>
      </xdr:nvPicPr>
      <xdr:blipFill>
        <a:blip xmlns:r="http://schemas.openxmlformats.org/officeDocument/2006/relationships" r:embed="rId1"/>
        <a:stretch>
          <a:fillRect/>
        </a:stretch>
      </xdr:blipFill>
      <xdr:spPr>
        <a:xfrm>
          <a:off x="279400" y="66221"/>
          <a:ext cx="491051" cy="517706"/>
        </a:xfrm>
        <a:prstGeom prst="rect">
          <a:avLst/>
        </a:prstGeom>
      </xdr:spPr>
    </xdr:pic>
    <xdr:clientData/>
  </xdr:twoCellAnchor>
  <xdr:twoCellAnchor>
    <xdr:from>
      <xdr:col>9</xdr:col>
      <xdr:colOff>562428</xdr:colOff>
      <xdr:row>1</xdr:row>
      <xdr:rowOff>136072</xdr:rowOff>
    </xdr:from>
    <xdr:to>
      <xdr:col>13</xdr:col>
      <xdr:colOff>584281</xdr:colOff>
      <xdr:row>7</xdr:row>
      <xdr:rowOff>9072</xdr:rowOff>
    </xdr:to>
    <xdr:sp macro="" textlink="">
      <xdr:nvSpPr>
        <xdr:cNvPr id="5" name="TextBox 5">
          <a:extLst>
            <a:ext uri="{FF2B5EF4-FFF2-40B4-BE49-F238E27FC236}">
              <a16:creationId xmlns:a16="http://schemas.microsoft.com/office/drawing/2014/main" id="{C3630F8B-CBD4-4EEF-AC28-7898211A1E7D}"/>
            </a:ext>
            <a:ext uri="{147F2762-F138-4A5C-976F-8EAC2B608ADB}">
              <a16:predDERef xmlns:a16="http://schemas.microsoft.com/office/drawing/2014/main" pred="{E17EB326-52BF-472C-8FAE-4EB26E157881}"/>
            </a:ext>
          </a:extLst>
        </xdr:cNvPr>
        <xdr:cNvSpPr txBox="1"/>
      </xdr:nvSpPr>
      <xdr:spPr>
        <a:xfrm>
          <a:off x="12482285" y="771072"/>
          <a:ext cx="4294496" cy="1124857"/>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57150</xdr:rowOff>
    </xdr:from>
    <xdr:to>
      <xdr:col>1</xdr:col>
      <xdr:colOff>548201</xdr:colOff>
      <xdr:row>0</xdr:row>
      <xdr:rowOff>571681</xdr:rowOff>
    </xdr:to>
    <xdr:pic>
      <xdr:nvPicPr>
        <xdr:cNvPr id="3" name="Picture 2">
          <a:extLst>
            <a:ext uri="{FF2B5EF4-FFF2-40B4-BE49-F238E27FC236}">
              <a16:creationId xmlns:a16="http://schemas.microsoft.com/office/drawing/2014/main" id="{838ACE2B-5B34-4553-B14C-5848EA39E4D1}"/>
            </a:ext>
          </a:extLst>
        </xdr:cNvPr>
        <xdr:cNvPicPr>
          <a:picLocks noChangeAspect="1"/>
        </xdr:cNvPicPr>
      </xdr:nvPicPr>
      <xdr:blipFill>
        <a:blip xmlns:r="http://schemas.openxmlformats.org/officeDocument/2006/relationships" r:embed="rId1"/>
        <a:stretch>
          <a:fillRect/>
        </a:stretch>
      </xdr:blipFill>
      <xdr:spPr>
        <a:xfrm>
          <a:off x="257175" y="57150"/>
          <a:ext cx="491051" cy="5145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57150</xdr:rowOff>
    </xdr:from>
    <xdr:to>
      <xdr:col>1</xdr:col>
      <xdr:colOff>548201</xdr:colOff>
      <xdr:row>0</xdr:row>
      <xdr:rowOff>571681</xdr:rowOff>
    </xdr:to>
    <xdr:pic>
      <xdr:nvPicPr>
        <xdr:cNvPr id="2" name="Picture 2">
          <a:extLst>
            <a:ext uri="{FF2B5EF4-FFF2-40B4-BE49-F238E27FC236}">
              <a16:creationId xmlns:a16="http://schemas.microsoft.com/office/drawing/2014/main" id="{213FC7F1-ED89-408E-A915-2583A915302A}"/>
            </a:ext>
          </a:extLst>
        </xdr:cNvPr>
        <xdr:cNvPicPr>
          <a:picLocks noChangeAspect="1"/>
        </xdr:cNvPicPr>
      </xdr:nvPicPr>
      <xdr:blipFill>
        <a:blip xmlns:r="http://schemas.openxmlformats.org/officeDocument/2006/relationships" r:embed="rId1"/>
        <a:stretch>
          <a:fillRect/>
        </a:stretch>
      </xdr:blipFill>
      <xdr:spPr>
        <a:xfrm>
          <a:off x="254000" y="57150"/>
          <a:ext cx="491051" cy="5145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558996</xdr:colOff>
      <xdr:row>0</xdr:row>
      <xdr:rowOff>597081</xdr:rowOff>
    </xdr:to>
    <xdr:pic>
      <xdr:nvPicPr>
        <xdr:cNvPr id="2" name="Picture 1">
          <a:extLst>
            <a:ext uri="{FF2B5EF4-FFF2-40B4-BE49-F238E27FC236}">
              <a16:creationId xmlns:a16="http://schemas.microsoft.com/office/drawing/2014/main" id="{B992898C-3AC6-4556-90FD-5E3C190F5782}"/>
            </a:ext>
          </a:extLst>
        </xdr:cNvPr>
        <xdr:cNvPicPr>
          <a:picLocks noChangeAspect="1"/>
        </xdr:cNvPicPr>
      </xdr:nvPicPr>
      <xdr:blipFill>
        <a:blip xmlns:r="http://schemas.openxmlformats.org/officeDocument/2006/relationships" r:embed="rId1"/>
        <a:stretch>
          <a:fillRect/>
        </a:stretch>
      </xdr:blipFill>
      <xdr:spPr>
        <a:xfrm>
          <a:off x="285750" y="66675"/>
          <a:ext cx="495496" cy="533581"/>
        </a:xfrm>
        <a:prstGeom prst="rect">
          <a:avLst/>
        </a:prstGeom>
      </xdr:spPr>
    </xdr:pic>
    <xdr:clientData/>
  </xdr:twoCellAnchor>
  <xdr:twoCellAnchor>
    <xdr:from>
      <xdr:col>18</xdr:col>
      <xdr:colOff>7713</xdr:colOff>
      <xdr:row>30</xdr:row>
      <xdr:rowOff>54428</xdr:rowOff>
    </xdr:from>
    <xdr:to>
      <xdr:col>18</xdr:col>
      <xdr:colOff>323399</xdr:colOff>
      <xdr:row>30</xdr:row>
      <xdr:rowOff>272143</xdr:rowOff>
    </xdr:to>
    <xdr:pic>
      <xdr:nvPicPr>
        <xdr:cNvPr id="4" name="图片 1">
          <a:hlinkClick xmlns:r="http://schemas.openxmlformats.org/officeDocument/2006/relationships" r:id="rId2" tooltip="执行除采购以外的其他新增方式需注意的事项"/>
          <a:extLst>
            <a:ext uri="{FF2B5EF4-FFF2-40B4-BE49-F238E27FC236}">
              <a16:creationId xmlns:a16="http://schemas.microsoft.com/office/drawing/2014/main" id="{0FF278AF-CC9E-459F-AF7B-977E5A9D284A}"/>
            </a:ext>
          </a:extLst>
        </xdr:cNvPr>
        <xdr:cNvPicPr>
          <a:picLocks noChangeAspect="1"/>
        </xdr:cNvPicPr>
      </xdr:nvPicPr>
      <xdr:blipFill>
        <a:blip xmlns:r="http://schemas.openxmlformats.org/officeDocument/2006/relationships" r:embed="rId3"/>
        <a:stretch>
          <a:fillRect/>
        </a:stretch>
      </xdr:blipFill>
      <xdr:spPr>
        <a:xfrm>
          <a:off x="21098784" y="6322785"/>
          <a:ext cx="315686" cy="217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108858</xdr:colOff>
      <xdr:row>2</xdr:row>
      <xdr:rowOff>299358</xdr:rowOff>
    </xdr:from>
    <xdr:to>
      <xdr:col>2</xdr:col>
      <xdr:colOff>424544</xdr:colOff>
      <xdr:row>2</xdr:row>
      <xdr:rowOff>517073</xdr:rowOff>
    </xdr:to>
    <xdr:pic>
      <xdr:nvPicPr>
        <xdr:cNvPr id="2" name="图片 1">
          <a:hlinkClick xmlns:r="http://schemas.openxmlformats.org/officeDocument/2006/relationships" r:id="rId1" tooltip="新增清单"/>
          <a:extLst>
            <a:ext uri="{FF2B5EF4-FFF2-40B4-BE49-F238E27FC236}">
              <a16:creationId xmlns:a16="http://schemas.microsoft.com/office/drawing/2014/main" id="{42DBAD7E-F1D6-4B63-8976-F946062FC071}"/>
            </a:ext>
          </a:extLst>
        </xdr:cNvPr>
        <xdr:cNvPicPr>
          <a:picLocks noChangeAspect="1"/>
        </xdr:cNvPicPr>
      </xdr:nvPicPr>
      <xdr:blipFill>
        <a:blip xmlns:r="http://schemas.openxmlformats.org/officeDocument/2006/relationships" r:embed="rId2"/>
        <a:stretch>
          <a:fillRect/>
        </a:stretch>
      </xdr:blipFill>
      <xdr:spPr>
        <a:xfrm>
          <a:off x="1483179" y="625929"/>
          <a:ext cx="315686" cy="2177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19C1A33E-BB82-4EEC-AA71-8DC4ACEC99C5}"/>
            </a:ext>
          </a:extLst>
        </xdr:cNvPr>
        <xdr:cNvPicPr>
          <a:picLocks noChangeAspect="1"/>
        </xdr:cNvPicPr>
      </xdr:nvPicPr>
      <xdr:blipFill>
        <a:blip xmlns:r="http://schemas.openxmlformats.org/officeDocument/2006/relationships" r:embed="rId1"/>
        <a:stretch>
          <a:fillRect/>
        </a:stretch>
      </xdr:blipFill>
      <xdr:spPr>
        <a:xfrm>
          <a:off x="285750" y="66675"/>
          <a:ext cx="487876" cy="5158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326572</xdr:colOff>
      <xdr:row>3</xdr:row>
      <xdr:rowOff>122464</xdr:rowOff>
    </xdr:from>
    <xdr:to>
      <xdr:col>5</xdr:col>
      <xdr:colOff>642258</xdr:colOff>
      <xdr:row>3</xdr:row>
      <xdr:rowOff>340179</xdr:rowOff>
    </xdr:to>
    <xdr:pic>
      <xdr:nvPicPr>
        <xdr:cNvPr id="2" name="图片 1">
          <a:hlinkClick xmlns:r="http://schemas.openxmlformats.org/officeDocument/2006/relationships" r:id="rId1" tooltip="处置清单"/>
          <a:extLst>
            <a:ext uri="{FF2B5EF4-FFF2-40B4-BE49-F238E27FC236}">
              <a16:creationId xmlns:a16="http://schemas.microsoft.com/office/drawing/2014/main" id="{399A383C-BA70-428D-A70D-3E2DDB9B084E}"/>
            </a:ext>
          </a:extLst>
        </xdr:cNvPr>
        <xdr:cNvPicPr>
          <a:picLocks noChangeAspect="1"/>
        </xdr:cNvPicPr>
      </xdr:nvPicPr>
      <xdr:blipFill>
        <a:blip xmlns:r="http://schemas.openxmlformats.org/officeDocument/2006/relationships" r:embed="rId2"/>
        <a:stretch>
          <a:fillRect/>
        </a:stretch>
      </xdr:blipFill>
      <xdr:spPr>
        <a:xfrm>
          <a:off x="4721679" y="911678"/>
          <a:ext cx="315686" cy="217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55336</xdr:colOff>
      <xdr:row>0</xdr:row>
      <xdr:rowOff>0</xdr:rowOff>
    </xdr:from>
    <xdr:to>
      <xdr:col>1</xdr:col>
      <xdr:colOff>558089</xdr:colOff>
      <xdr:row>0</xdr:row>
      <xdr:rowOff>536756</xdr:rowOff>
    </xdr:to>
    <xdr:pic>
      <xdr:nvPicPr>
        <xdr:cNvPr id="4" name="Picture 1">
          <a:extLst>
            <a:ext uri="{FF2B5EF4-FFF2-40B4-BE49-F238E27FC236}">
              <a16:creationId xmlns:a16="http://schemas.microsoft.com/office/drawing/2014/main" id="{074230D0-9450-4940-83F4-CD6F0EA5F328}"/>
            </a:ext>
            <a:ext uri="{147F2762-F138-4A5C-976F-8EAC2B608ADB}">
              <a16:predDERef xmlns:a16="http://schemas.microsoft.com/office/drawing/2014/main" pred="{8A7F1530-ACE2-40D9-BD67-055E5F36F792}"/>
            </a:ext>
          </a:extLst>
        </xdr:cNvPr>
        <xdr:cNvPicPr>
          <a:picLocks noChangeAspect="1"/>
        </xdr:cNvPicPr>
      </xdr:nvPicPr>
      <xdr:blipFill>
        <a:blip xmlns:r="http://schemas.openxmlformats.org/officeDocument/2006/relationships" r:embed="rId1"/>
        <a:stretch>
          <a:fillRect/>
        </a:stretch>
      </xdr:blipFill>
      <xdr:spPr>
        <a:xfrm>
          <a:off x="259443" y="0"/>
          <a:ext cx="502753" cy="536756"/>
        </a:xfrm>
        <a:prstGeom prst="rect">
          <a:avLst/>
        </a:prstGeom>
      </xdr:spPr>
    </xdr:pic>
    <xdr:clientData/>
  </xdr:twoCellAnchor>
  <xdr:oneCellAnchor>
    <xdr:from>
      <xdr:col>7</xdr:col>
      <xdr:colOff>44477</xdr:colOff>
      <xdr:row>22</xdr:row>
      <xdr:rowOff>34925</xdr:rowOff>
    </xdr:from>
    <xdr:ext cx="308428" cy="299356"/>
    <xdr:pic>
      <xdr:nvPicPr>
        <xdr:cNvPr id="3" name="图片 1">
          <a:hlinkClick xmlns:r="http://schemas.openxmlformats.org/officeDocument/2006/relationships" r:id="rId2" tooltip="分析使用寿命需注意的事项"/>
          <a:extLst>
            <a:ext uri="{FF2B5EF4-FFF2-40B4-BE49-F238E27FC236}">
              <a16:creationId xmlns:a16="http://schemas.microsoft.com/office/drawing/2014/main" id="{304BE06E-A95C-4D59-B3B6-C75A87D1D2C3}"/>
            </a:ext>
            <a:ext uri="{147F2762-F138-4A5C-976F-8EAC2B608ADB}">
              <a16:predDERef xmlns:a16="http://schemas.microsoft.com/office/drawing/2014/main" pred="{074230D0-9450-4940-83F4-CD6F0EA5F328}"/>
            </a:ext>
          </a:extLst>
        </xdr:cNvPr>
        <xdr:cNvPicPr>
          <a:picLocks noChangeAspect="1"/>
        </xdr:cNvPicPr>
      </xdr:nvPicPr>
      <xdr:blipFill>
        <a:blip xmlns:r="http://schemas.openxmlformats.org/officeDocument/2006/relationships" r:embed="rId3"/>
        <a:stretch>
          <a:fillRect/>
        </a:stretch>
      </xdr:blipFill>
      <xdr:spPr>
        <a:xfrm>
          <a:off x="8416952" y="5959475"/>
          <a:ext cx="308428" cy="29935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55336</xdr:colOff>
      <xdr:row>0</xdr:row>
      <xdr:rowOff>0</xdr:rowOff>
    </xdr:from>
    <xdr:to>
      <xdr:col>1</xdr:col>
      <xdr:colOff>558089</xdr:colOff>
      <xdr:row>0</xdr:row>
      <xdr:rowOff>536756</xdr:rowOff>
    </xdr:to>
    <xdr:pic>
      <xdr:nvPicPr>
        <xdr:cNvPr id="2" name="Picture 1">
          <a:extLst>
            <a:ext uri="{FF2B5EF4-FFF2-40B4-BE49-F238E27FC236}">
              <a16:creationId xmlns:a16="http://schemas.microsoft.com/office/drawing/2014/main" id="{AF3EB5D9-478C-4134-B392-613E9075E68C}"/>
            </a:ext>
            <a:ext uri="{147F2762-F138-4A5C-976F-8EAC2B608ADB}">
              <a16:predDERef xmlns:a16="http://schemas.microsoft.com/office/drawing/2014/main" pred="{8A7F1530-ACE2-40D9-BD67-055E5F36F792}"/>
            </a:ext>
          </a:extLst>
        </xdr:cNvPr>
        <xdr:cNvPicPr>
          <a:picLocks noChangeAspect="1"/>
        </xdr:cNvPicPr>
      </xdr:nvPicPr>
      <xdr:blipFill>
        <a:blip xmlns:r="http://schemas.openxmlformats.org/officeDocument/2006/relationships" r:embed="rId1"/>
        <a:stretch>
          <a:fillRect/>
        </a:stretch>
      </xdr:blipFill>
      <xdr:spPr>
        <a:xfrm>
          <a:off x="252186" y="0"/>
          <a:ext cx="502753" cy="536756"/>
        </a:xfrm>
        <a:prstGeom prst="rect">
          <a:avLst/>
        </a:prstGeom>
      </xdr:spPr>
    </xdr:pic>
    <xdr:clientData/>
  </xdr:twoCellAnchor>
  <xdr:oneCellAnchor>
    <xdr:from>
      <xdr:col>7</xdr:col>
      <xdr:colOff>44477</xdr:colOff>
      <xdr:row>27</xdr:row>
      <xdr:rowOff>34925</xdr:rowOff>
    </xdr:from>
    <xdr:ext cx="308428" cy="299356"/>
    <xdr:pic>
      <xdr:nvPicPr>
        <xdr:cNvPr id="3" name="图片 1">
          <a:hlinkClick xmlns:r="http://schemas.openxmlformats.org/officeDocument/2006/relationships" r:id="rId2" tooltip="分析使用寿命需注意的事项"/>
          <a:extLst>
            <a:ext uri="{FF2B5EF4-FFF2-40B4-BE49-F238E27FC236}">
              <a16:creationId xmlns:a16="http://schemas.microsoft.com/office/drawing/2014/main" id="{04AABD2F-6865-4BC3-B552-725FE91B176B}"/>
            </a:ext>
            <a:ext uri="{147F2762-F138-4A5C-976F-8EAC2B608ADB}">
              <a16:predDERef xmlns:a16="http://schemas.microsoft.com/office/drawing/2014/main" pred="{074230D0-9450-4940-83F4-CD6F0EA5F328}"/>
            </a:ext>
          </a:extLst>
        </xdr:cNvPr>
        <xdr:cNvPicPr>
          <a:picLocks noChangeAspect="1"/>
        </xdr:cNvPicPr>
      </xdr:nvPicPr>
      <xdr:blipFill>
        <a:blip xmlns:r="http://schemas.openxmlformats.org/officeDocument/2006/relationships" r:embed="rId3"/>
        <a:stretch>
          <a:fillRect/>
        </a:stretch>
      </xdr:blipFill>
      <xdr:spPr>
        <a:xfrm>
          <a:off x="8401077" y="4664075"/>
          <a:ext cx="308428" cy="29935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24&#24180;&#23457;&#35745;&#25253;&#21578;/&#21672;&#35810;A3A5/&#19996;&#39118;&#40511;&#36828;_A3&amp;A5_&#36164;&#20135;&#36127;&#20538;&#21450;&#25439;&#30410;&#34920;_2025831.xlsx" TargetMode="External"/><Relationship Id="rId1" Type="http://schemas.openxmlformats.org/officeDocument/2006/relationships/externalLinkPath" Target="/sites/DFAM/Shared%20Documents/&#36164;&#31649;%202025/5.%20A3A5&amp;24&#24180;&#23457;&#35745;&#25253;&#21578;/&#21672;&#35810;A3A5/&#19996;&#39118;&#40511;&#36828;_A3&amp;A5_&#36164;&#20135;&#36127;&#20538;&#21450;&#25439;&#30410;&#34920;_20258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ychinamanaged-my.sharepoint.cn/personal/yu_qing_yq_cheng_cn_ey_com/Documents/Documents/WD/&#39033;&#30446;/&#19996;&#39118;/&#19996;&#39118;25/&#36164;&#31649;-&#21672;&#35810;/6&#19996;&#39118;&#40511;&#36828;&#24037;&#31243;&#21672;&#35810;/&#25253;&#34920;/TB%20JE/13&#12289;&#40511;&#36828;&#31185;&#30446;&#20313;&#39069;&#34920;20241231.xlsx" TargetMode="External"/><Relationship Id="rId1" Type="http://schemas.openxmlformats.org/officeDocument/2006/relationships/externalLinkPath" Target="/personal/yu_qing_yq_cheng_cn_ey_com/Documents/Documents/WD/&#39033;&#30446;/&#19996;&#39118;/&#19996;&#39118;25/&#36164;&#31649;-&#21672;&#35810;/6&#19996;&#39118;&#40511;&#36828;&#24037;&#31243;&#21672;&#35810;/&#25253;&#34920;/TB%20JE/13&#12289;&#40511;&#36828;&#31185;&#30446;&#20313;&#39069;&#34920;2024123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ychinamanaged-my.sharepoint.cn/personal/yu_qing_yq_cheng_cn_ey_com/Documents/Documents/WD/&#39033;&#30446;/&#19996;&#39118;/&#19996;&#39118;25/&#36164;&#31649;-&#21672;&#35810;/6&#19996;&#39118;&#40511;&#36828;&#24037;&#31243;&#21672;&#35810;/&#25253;&#34920;/&#31185;&#30446;&#20313;&#39069;&#34920;-2024&#24180;-&#40511;&#36828;&#27494;&#27721;.xlsx" TargetMode="External"/><Relationship Id="rId1" Type="http://schemas.openxmlformats.org/officeDocument/2006/relationships/externalLinkPath" Target="/personal/yu_qing_yq_cheng_cn_ey_com/Documents/Documents/WD/&#39033;&#30446;/&#19996;&#39118;/&#19996;&#39118;25/&#36164;&#31649;-&#21672;&#35810;/6&#19996;&#39118;&#40511;&#36828;&#24037;&#31243;&#21672;&#35810;/&#25253;&#34920;/&#31185;&#30446;&#20313;&#39069;&#34920;-2024&#24180;-&#40511;&#36828;&#27494;&#277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FOR AFS"/>
      <sheetName val="A3"/>
      <sheetName val="A5"/>
      <sheetName val="A5_Adj_sum"/>
      <sheetName val="CFS-主附表"/>
      <sheetName val="CFS-附表"/>
      <sheetName val="现金流量表余额表"/>
      <sheetName val="现金流量表明细"/>
      <sheetName val="本部所得税费用"/>
      <sheetName val="CF-WP"/>
      <sheetName val="CF-主表"/>
      <sheetName val="CF-附注"/>
      <sheetName val="CF-科目明细"/>
      <sheetName val="吸收合并"/>
      <sheetName val="25BPC原报数_资产负债表"/>
      <sheetName val="25BPC原报数_利润表"/>
      <sheetName val="24BPC原报数_资产负债表"/>
      <sheetName val="24BPC原报数_利润表"/>
      <sheetName val="930BS"/>
      <sheetName val="930PL"/>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row r="55">
          <cell r="M55">
            <v>8981521.7100000009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新的工作表"/>
    </sheetNames>
    <sheetDataSet>
      <sheetData sheetId="0">
        <row r="67">
          <cell r="I67" t="str">
            <v>8,736,665.96</v>
          </cell>
        </row>
        <row r="68">
          <cell r="I68" t="str">
            <v>1,473,580.49</v>
          </cell>
        </row>
        <row r="70">
          <cell r="J70" t="str">
            <v>909,748.38</v>
          </cell>
        </row>
        <row r="71">
          <cell r="J71" t="str">
            <v>409,758.84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新的工作表"/>
    </sheetNames>
    <sheetDataSet>
      <sheetData sheetId="0">
        <row r="17">
          <cell r="I17">
            <v>143340.70000000001</v>
          </cell>
        </row>
        <row r="18">
          <cell r="I18">
            <v>52558.22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Relationship Id="rId2" Type="http://schemas.openxmlformats.org/officeDocument/2006/relationships/hyperlink" Target="../../../../../../: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Relationship Id="rId1" Type="http://schemas.openxmlformats.org/officeDocument/2006/relationships/hyperlink" Target="../../../../../../: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E71A-150D-48E5-A723-56B47653B5A7}">
  <dimension ref="A1:L19"/>
  <sheetViews>
    <sheetView showGridLines="0" tabSelected="1" zoomScale="70" zoomScaleNormal="70" workbookViewId="0">
      <selection activeCell="L7" sqref="L7"/>
    </sheetView>
  </sheetViews>
  <sheetFormatPr defaultColWidth="8.58203125" defaultRowHeight="12.75" customHeight="1"/>
  <cols>
    <col min="1" max="1" width="3.6640625" style="393" customWidth="1"/>
    <col min="2" max="2" width="18.83203125" style="393" customWidth="1"/>
    <col min="3" max="3" width="11" style="393" customWidth="1"/>
    <col min="4" max="4" width="8.58203125" style="393"/>
    <col min="5" max="5" width="37.58203125" style="393" customWidth="1"/>
    <col min="6" max="6" width="23.25" style="393" bestFit="1" customWidth="1"/>
    <col min="7" max="7" width="10.83203125" style="393" customWidth="1"/>
    <col min="8" max="8" width="20.58203125" style="393" customWidth="1"/>
    <col min="9" max="16384" width="8.58203125" style="393"/>
  </cols>
  <sheetData>
    <row r="1" spans="1:12" ht="24.5" customHeight="1">
      <c r="A1" s="496" t="s">
        <v>439</v>
      </c>
    </row>
    <row r="2" spans="1:12" ht="16.5" customHeight="1">
      <c r="B2" s="394" t="s">
        <v>0</v>
      </c>
      <c r="E2" s="456" t="s">
        <v>436</v>
      </c>
    </row>
    <row r="3" spans="1:12" ht="16.5" customHeight="1">
      <c r="E3" s="456" t="s">
        <v>437</v>
      </c>
    </row>
    <row r="4" spans="1:12" ht="16.5" customHeight="1">
      <c r="E4" s="456" t="s">
        <v>438</v>
      </c>
    </row>
    <row r="5" spans="1:12" ht="10" customHeight="1">
      <c r="A5" s="452"/>
    </row>
    <row r="6" spans="1:12" ht="19.5" customHeight="1">
      <c r="A6" s="453"/>
      <c r="B6" s="134" t="s">
        <v>1</v>
      </c>
      <c r="C6" s="509" t="s">
        <v>2</v>
      </c>
      <c r="D6" s="510" t="s">
        <v>3</v>
      </c>
      <c r="E6" s="510" t="s">
        <v>3</v>
      </c>
      <c r="F6" s="133" t="s">
        <v>4</v>
      </c>
      <c r="G6" s="133" t="s">
        <v>5</v>
      </c>
      <c r="H6" s="134" t="s">
        <v>6</v>
      </c>
    </row>
    <row r="7" spans="1:12" ht="47.15" customHeight="1">
      <c r="A7" s="453"/>
      <c r="B7" s="227">
        <v>1</v>
      </c>
      <c r="C7" s="511" t="s">
        <v>7</v>
      </c>
      <c r="D7" s="511"/>
      <c r="E7" s="511"/>
      <c r="F7" s="395" t="s">
        <v>8</v>
      </c>
      <c r="G7" s="266" t="s">
        <v>466</v>
      </c>
      <c r="H7" s="457"/>
      <c r="L7" s="454"/>
    </row>
    <row r="8" spans="1:12" ht="15" customHeight="1">
      <c r="A8" s="453"/>
      <c r="B8" s="134" t="s">
        <v>9</v>
      </c>
      <c r="C8" s="510" t="s">
        <v>10</v>
      </c>
      <c r="D8" s="510" t="s">
        <v>11</v>
      </c>
      <c r="E8" s="510" t="s">
        <v>11</v>
      </c>
      <c r="F8" s="133" t="s">
        <v>12</v>
      </c>
      <c r="G8" s="133" t="s">
        <v>5</v>
      </c>
      <c r="H8" s="134" t="s">
        <v>6</v>
      </c>
    </row>
    <row r="9" spans="1:12" ht="29.5" customHeight="1">
      <c r="A9" s="453"/>
      <c r="B9" s="227">
        <v>1</v>
      </c>
      <c r="C9" s="511" t="s">
        <v>13</v>
      </c>
      <c r="D9" s="511"/>
      <c r="E9" s="511"/>
      <c r="F9" s="395" t="s">
        <v>14</v>
      </c>
      <c r="G9" s="266" t="s">
        <v>466</v>
      </c>
      <c r="H9" s="458"/>
    </row>
    <row r="10" spans="1:12" ht="15" customHeight="1">
      <c r="A10" s="453"/>
      <c r="B10" s="134" t="s">
        <v>15</v>
      </c>
      <c r="C10" s="509" t="s">
        <v>16</v>
      </c>
      <c r="D10" s="510"/>
      <c r="E10" s="510"/>
      <c r="F10" s="133" t="s">
        <v>12</v>
      </c>
      <c r="G10" s="133" t="s">
        <v>5</v>
      </c>
      <c r="H10" s="134" t="s">
        <v>6</v>
      </c>
    </row>
    <row r="11" spans="1:12" ht="39.75" customHeight="1">
      <c r="A11" s="453"/>
      <c r="B11" s="226">
        <v>1</v>
      </c>
      <c r="C11" s="507" t="s">
        <v>17</v>
      </c>
      <c r="D11" s="508"/>
      <c r="E11" s="508"/>
      <c r="F11" s="395" t="s">
        <v>18</v>
      </c>
      <c r="G11" s="266"/>
      <c r="H11" s="458"/>
    </row>
    <row r="12" spans="1:12" ht="29.5" customHeight="1">
      <c r="A12" s="453"/>
      <c r="B12" s="226">
        <v>2</v>
      </c>
      <c r="C12" s="513" t="s">
        <v>19</v>
      </c>
      <c r="D12" s="513"/>
      <c r="E12" s="513"/>
      <c r="F12" s="395" t="s">
        <v>20</v>
      </c>
      <c r="G12" s="266"/>
      <c r="H12" s="458"/>
    </row>
    <row r="13" spans="1:12" ht="15" customHeight="1">
      <c r="A13" s="453"/>
      <c r="B13" s="134" t="s">
        <v>21</v>
      </c>
      <c r="C13" s="509" t="s">
        <v>22</v>
      </c>
      <c r="D13" s="510"/>
      <c r="E13" s="510"/>
      <c r="F13" s="133" t="s">
        <v>12</v>
      </c>
      <c r="G13" s="133" t="s">
        <v>5</v>
      </c>
      <c r="H13" s="134" t="s">
        <v>6</v>
      </c>
    </row>
    <row r="14" spans="1:12" ht="36" customHeight="1">
      <c r="A14" s="453"/>
      <c r="B14" s="228">
        <v>1</v>
      </c>
      <c r="C14" s="512" t="s">
        <v>23</v>
      </c>
      <c r="D14" s="511"/>
      <c r="E14" s="511"/>
      <c r="F14" s="395" t="s">
        <v>24</v>
      </c>
      <c r="G14" s="266"/>
      <c r="H14" s="458"/>
    </row>
    <row r="15" spans="1:12" ht="29.5" customHeight="1">
      <c r="A15" s="453"/>
      <c r="B15" s="228">
        <v>2</v>
      </c>
      <c r="C15" s="513" t="s">
        <v>25</v>
      </c>
      <c r="D15" s="513"/>
      <c r="E15" s="513"/>
      <c r="F15" s="395" t="s">
        <v>26</v>
      </c>
      <c r="G15" s="266"/>
      <c r="H15" s="458"/>
    </row>
    <row r="16" spans="1:12" ht="15" customHeight="1">
      <c r="B16" s="134" t="s">
        <v>27</v>
      </c>
      <c r="C16" s="509" t="s">
        <v>28</v>
      </c>
      <c r="D16" s="510" t="s">
        <v>29</v>
      </c>
      <c r="E16" s="510" t="s">
        <v>29</v>
      </c>
      <c r="F16" s="133" t="s">
        <v>12</v>
      </c>
      <c r="G16" s="133" t="s">
        <v>5</v>
      </c>
      <c r="H16" s="134" t="s">
        <v>6</v>
      </c>
    </row>
    <row r="17" spans="2:11" ht="84" customHeight="1">
      <c r="B17" s="227">
        <v>1</v>
      </c>
      <c r="C17" s="511" t="s">
        <v>30</v>
      </c>
      <c r="D17" s="511"/>
      <c r="E17" s="511"/>
      <c r="F17" s="395" t="s">
        <v>31</v>
      </c>
      <c r="G17" s="266"/>
      <c r="H17" s="458"/>
    </row>
    <row r="18" spans="2:11" ht="15" customHeight="1">
      <c r="B18" s="134" t="s">
        <v>32</v>
      </c>
      <c r="C18" s="509" t="s">
        <v>33</v>
      </c>
      <c r="D18" s="510" t="s">
        <v>29</v>
      </c>
      <c r="E18" s="510" t="s">
        <v>29</v>
      </c>
      <c r="F18" s="133" t="s">
        <v>12</v>
      </c>
      <c r="G18" s="133" t="s">
        <v>5</v>
      </c>
      <c r="H18" s="134" t="s">
        <v>6</v>
      </c>
    </row>
    <row r="19" spans="2:11" ht="41.15" customHeight="1">
      <c r="B19" s="227">
        <v>1</v>
      </c>
      <c r="C19" s="512" t="s">
        <v>34</v>
      </c>
      <c r="D19" s="511"/>
      <c r="E19" s="511"/>
      <c r="F19" s="395" t="s">
        <v>35</v>
      </c>
      <c r="G19" s="266"/>
      <c r="H19" s="458"/>
      <c r="K19" s="455"/>
    </row>
  </sheetData>
  <mergeCells count="14">
    <mergeCell ref="C18:E18"/>
    <mergeCell ref="C19:E19"/>
    <mergeCell ref="C17:E17"/>
    <mergeCell ref="C12:E12"/>
    <mergeCell ref="C14:E14"/>
    <mergeCell ref="C16:E16"/>
    <mergeCell ref="C13:E13"/>
    <mergeCell ref="C15:E15"/>
    <mergeCell ref="C11:E11"/>
    <mergeCell ref="C6:E6"/>
    <mergeCell ref="C7:E7"/>
    <mergeCell ref="C9:E9"/>
    <mergeCell ref="C8:E8"/>
    <mergeCell ref="C10:E10"/>
  </mergeCells>
  <phoneticPr fontId="78" type="noConversion"/>
  <conditionalFormatting sqref="F19">
    <cfRule type="containsBlanks" dxfId="68" priority="1">
      <formula>LEN(TRIM(F19))=0</formula>
    </cfRule>
  </conditionalFormatting>
  <conditionalFormatting sqref="G7">
    <cfRule type="containsBlanks" dxfId="67" priority="39">
      <formula>LEN(TRIM(G7))=0</formula>
    </cfRule>
  </conditionalFormatting>
  <conditionalFormatting sqref="G9">
    <cfRule type="containsBlanks" dxfId="66" priority="6">
      <formula>LEN(TRIM(G9))=0</formula>
    </cfRule>
  </conditionalFormatting>
  <conditionalFormatting sqref="G11:G12">
    <cfRule type="containsBlanks" dxfId="65" priority="5">
      <formula>LEN(TRIM(G11))=0</formula>
    </cfRule>
  </conditionalFormatting>
  <conditionalFormatting sqref="G14:G15">
    <cfRule type="containsBlanks" dxfId="64" priority="4">
      <formula>LEN(TRIM(G14))=0</formula>
    </cfRule>
  </conditionalFormatting>
  <conditionalFormatting sqref="G17">
    <cfRule type="containsBlanks" dxfId="63" priority="3">
      <formula>LEN(TRIM(G17))=0</formula>
    </cfRule>
  </conditionalFormatting>
  <conditionalFormatting sqref="G19">
    <cfRule type="containsBlanks" dxfId="62" priority="2">
      <formula>LEN(TRIM(G19))=0</formula>
    </cfRule>
  </conditionalFormatting>
  <conditionalFormatting sqref="H7 H9 H11:H12 H14:H15 H17">
    <cfRule type="expression" dxfId="61" priority="12">
      <formula>SUMPRODUCT((G7="否")*(LEN(H7)=0))</formula>
    </cfRule>
  </conditionalFormatting>
  <conditionalFormatting sqref="H9">
    <cfRule type="expression" dxfId="60" priority="18">
      <formula>SUMPRODUCT((OR(G9="否",#REF!="否"))*(LEN(H9)=0))</formula>
    </cfRule>
  </conditionalFormatting>
  <conditionalFormatting sqref="H11:H12">
    <cfRule type="expression" dxfId="59" priority="16">
      <formula>SUMPRODUCT((OR(G11="否",#REF!="否"))*(LEN(H11)=0))</formula>
    </cfRule>
  </conditionalFormatting>
  <conditionalFormatting sqref="H14:H15">
    <cfRule type="expression" dxfId="58" priority="14">
      <formula>SUMPRODUCT((OR(G14="否",#REF!="否"))*(LEN(H14)=0))</formula>
    </cfRule>
  </conditionalFormatting>
  <conditionalFormatting sqref="H17">
    <cfRule type="expression" dxfId="57" priority="13">
      <formula>SUMPRODUCT((OR(G17="否",#REF!="否"))*(LEN(H17)=0))</formula>
    </cfRule>
  </conditionalFormatting>
  <conditionalFormatting sqref="H19">
    <cfRule type="expression" dxfId="56" priority="10">
      <formula>SUMPRODUCT((G19="否")*(LEN(H19)=0))</formula>
    </cfRule>
    <cfRule type="expression" dxfId="55" priority="11">
      <formula>SUMPRODUCT((OR(G19="否",#REF!="否"))*(LEN(H19)=0))</formula>
    </cfRule>
  </conditionalFormatting>
  <dataValidations count="1">
    <dataValidation type="list" allowBlank="1" showInputMessage="1" showErrorMessage="1" sqref="G11:G12 G9 G7 G17 G14:G15 G19" xr:uid="{9CC69381-8060-4F96-9797-ACD675F21C1B}">
      <formula1>"是,否"</formula1>
    </dataValidation>
  </dataValidations>
  <hyperlinks>
    <hyperlink ref="F7" location="'L1.00 Lead sheet'!$A$1" display="'L1.00 Lead sheet'!$A$1" xr:uid="{826456E6-CAFB-4F8E-8B67-3DDDCC13F68B}"/>
    <hyperlink ref="F9" location="'L1.01.1 Agree SL to GL'!A1" display="L1.01.1 Agree SL to GL" xr:uid="{78F4EC9D-275C-4D10-87B0-010FA6DA7463}"/>
    <hyperlink ref="F17" location="'L1.03 摊销测试'!A1" display="L1.03 摊销测试" xr:uid="{C2BD9785-3EAD-4B63-9033-BD6D4E749C0F}"/>
    <hyperlink ref="F12" location="'L1.02.1 新增测试'!A1" display="L1.02.1 新增测试" xr:uid="{D8D2C895-0150-4556-B84A-8BECDA7C0C03}"/>
    <hyperlink ref="F15" location="'L1.02.2 处置测试'!A1" display="L1.02.2 处置测试" xr:uid="{B2E7D87B-E977-40FF-9748-70FB21583AEE}"/>
    <hyperlink ref="F11" location="'新增清单'!$A$1" display="'新增清单'!$A$1" xr:uid="{63E0C980-1134-4C15-AA93-43191E4C269F}"/>
    <hyperlink ref="F14" location="'处置清单'!$A$1" display="'处置清单'!$A$1" xr:uid="{6961452A-E4B7-4BE5-8A22-F386F256FF0D}"/>
    <hyperlink ref="E2" r:id="rId1"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xr:uid="{A06EF3A0-E8E1-48BF-8A2A-8C9AC8D258A4}"/>
    <hyperlink ref="E3" r:id="rId2"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xr:uid="{BFE069CC-A8C2-4840-B8D5-1716EE190DA6}"/>
    <hyperlink ref="E4" r:id="rId3"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xr:uid="{D3106461-18F4-4375-93E7-B208F4CD068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D5A1-B443-4C4B-BD89-1C7B00C4419D}">
  <sheetPr>
    <pageSetUpPr fitToPage="1"/>
  </sheetPr>
  <dimension ref="A1:R96"/>
  <sheetViews>
    <sheetView showGridLines="0" zoomScale="70" zoomScaleNormal="70" workbookViewId="0">
      <selection activeCell="C2" sqref="C2"/>
    </sheetView>
  </sheetViews>
  <sheetFormatPr defaultColWidth="9.08203125" defaultRowHeight="15" customHeight="1"/>
  <cols>
    <col min="1" max="1" width="2.58203125" style="51" customWidth="1"/>
    <col min="2" max="2" width="23.83203125" style="51" customWidth="1"/>
    <col min="3" max="3" width="22.83203125" style="51" customWidth="1"/>
    <col min="4" max="4" width="20.33203125" style="51" customWidth="1"/>
    <col min="5" max="5" width="24.33203125" style="51" customWidth="1"/>
    <col min="6" max="6" width="14.83203125" style="51" customWidth="1"/>
    <col min="7" max="7" width="15.08203125" style="51" customWidth="1"/>
    <col min="8" max="8" width="15.33203125" style="51" customWidth="1"/>
    <col min="9" max="9" width="17.08203125" style="51" customWidth="1"/>
    <col min="10" max="10" width="22.58203125" style="51" customWidth="1"/>
    <col min="11" max="11" width="13.33203125" style="51" customWidth="1"/>
    <col min="12" max="12" width="11.33203125" style="51" customWidth="1"/>
    <col min="13" max="13" width="8.83203125" style="51" customWidth="1"/>
    <col min="14" max="15" width="17.58203125" style="51" customWidth="1"/>
    <col min="16" max="16" width="2.58203125" style="60" customWidth="1"/>
    <col min="17" max="17" width="1.58203125" style="51" customWidth="1"/>
    <col min="18" max="16384" width="9.08203125" style="51"/>
  </cols>
  <sheetData>
    <row r="1" spans="1:17" ht="50.15" customHeight="1">
      <c r="A1" s="320"/>
      <c r="B1" s="217" t="s">
        <v>36</v>
      </c>
      <c r="C1" s="218"/>
      <c r="D1" s="363"/>
      <c r="E1" s="219"/>
      <c r="F1" s="219"/>
      <c r="G1" s="219"/>
      <c r="H1" s="219"/>
      <c r="I1" s="219"/>
      <c r="J1" s="219"/>
      <c r="K1" s="219"/>
      <c r="L1" s="219"/>
      <c r="M1" s="219"/>
      <c r="N1" s="219"/>
      <c r="O1" s="220"/>
      <c r="P1" s="51"/>
      <c r="Q1" s="52"/>
    </row>
    <row r="2" spans="1:17" s="247" customFormat="1" ht="16.5">
      <c r="B2" s="262" t="s">
        <v>37</v>
      </c>
      <c r="C2" s="497" t="s">
        <v>443</v>
      </c>
      <c r="D2" s="514"/>
      <c r="E2" s="515"/>
      <c r="F2" s="515"/>
      <c r="G2" s="515"/>
      <c r="H2" s="515"/>
      <c r="I2" s="515"/>
      <c r="J2" s="515"/>
      <c r="K2" s="515"/>
      <c r="L2" s="515"/>
      <c r="M2" s="515"/>
      <c r="N2" s="515"/>
      <c r="O2" s="516"/>
      <c r="Q2" s="250"/>
    </row>
    <row r="3" spans="1:17" s="247" customFormat="1" ht="16.5">
      <c r="B3" s="263" t="s">
        <v>38</v>
      </c>
      <c r="C3" s="463">
        <v>45900</v>
      </c>
      <c r="D3" s="517"/>
      <c r="E3" s="518"/>
      <c r="F3" s="518"/>
      <c r="G3" s="518"/>
      <c r="H3" s="518"/>
      <c r="I3" s="518"/>
      <c r="J3" s="518"/>
      <c r="K3" s="518"/>
      <c r="L3" s="518"/>
      <c r="M3" s="518"/>
      <c r="N3" s="518"/>
      <c r="O3" s="519"/>
      <c r="Q3" s="250"/>
    </row>
    <row r="4" spans="1:17" s="247" customFormat="1" ht="16.5">
      <c r="B4" s="263" t="s">
        <v>39</v>
      </c>
      <c r="C4" s="463">
        <v>45917</v>
      </c>
      <c r="D4" s="517"/>
      <c r="E4" s="518"/>
      <c r="F4" s="518"/>
      <c r="G4" s="518"/>
      <c r="H4" s="518"/>
      <c r="I4" s="518"/>
      <c r="J4" s="518"/>
      <c r="K4" s="518"/>
      <c r="L4" s="518"/>
      <c r="M4" s="518"/>
      <c r="N4" s="518"/>
      <c r="O4" s="519"/>
      <c r="Q4" s="250"/>
    </row>
    <row r="5" spans="1:17" s="247" customFormat="1" ht="16.5">
      <c r="B5" s="263" t="s">
        <v>40</v>
      </c>
      <c r="C5" s="379">
        <v>3180000</v>
      </c>
      <c r="D5" s="517"/>
      <c r="E5" s="518"/>
      <c r="F5" s="518"/>
      <c r="G5" s="518"/>
      <c r="H5" s="518"/>
      <c r="I5" s="518"/>
      <c r="J5" s="518"/>
      <c r="K5" s="518"/>
      <c r="L5" s="518"/>
      <c r="M5" s="518"/>
      <c r="N5" s="518"/>
      <c r="O5" s="519"/>
      <c r="Q5" s="250"/>
    </row>
    <row r="6" spans="1:17" s="247" customFormat="1" ht="16.5">
      <c r="B6" s="263" t="s">
        <v>41</v>
      </c>
      <c r="C6" s="379">
        <v>212000</v>
      </c>
      <c r="D6" s="517"/>
      <c r="E6" s="518"/>
      <c r="F6" s="518"/>
      <c r="G6" s="518"/>
      <c r="H6" s="518"/>
      <c r="I6" s="518"/>
      <c r="J6" s="518"/>
      <c r="K6" s="518"/>
      <c r="L6" s="518"/>
      <c r="M6" s="518"/>
      <c r="N6" s="518"/>
      <c r="O6" s="519"/>
      <c r="Q6" s="250"/>
    </row>
    <row r="7" spans="1:17" s="247" customFormat="1" ht="16.5">
      <c r="B7" s="263" t="s">
        <v>42</v>
      </c>
      <c r="C7" s="599" t="s">
        <v>467</v>
      </c>
      <c r="D7" s="517"/>
      <c r="E7" s="518"/>
      <c r="F7" s="518"/>
      <c r="G7" s="518"/>
      <c r="H7" s="518"/>
      <c r="I7" s="518"/>
      <c r="J7" s="518"/>
      <c r="K7" s="518"/>
      <c r="L7" s="518"/>
      <c r="M7" s="518"/>
      <c r="N7" s="518"/>
      <c r="O7" s="519"/>
      <c r="Q7" s="250"/>
    </row>
    <row r="8" spans="1:17" s="247" customFormat="1" ht="16.5">
      <c r="B8" s="264" t="s">
        <v>43</v>
      </c>
      <c r="C8" s="464" t="s">
        <v>444</v>
      </c>
      <c r="D8" s="520"/>
      <c r="E8" s="521"/>
      <c r="F8" s="521"/>
      <c r="G8" s="521"/>
      <c r="H8" s="521"/>
      <c r="I8" s="521"/>
      <c r="J8" s="521"/>
      <c r="K8" s="521"/>
      <c r="L8" s="521"/>
      <c r="M8" s="521"/>
      <c r="N8" s="521"/>
      <c r="O8" s="522"/>
      <c r="Q8" s="250"/>
    </row>
    <row r="9" spans="1:17" s="247" customFormat="1" ht="30" customHeight="1">
      <c r="B9" s="364" t="s">
        <v>44</v>
      </c>
      <c r="C9" s="365"/>
      <c r="D9" s="365"/>
      <c r="E9" s="365"/>
      <c r="F9" s="365"/>
      <c r="G9" s="365"/>
      <c r="H9" s="365"/>
      <c r="I9" s="365"/>
      <c r="J9" s="365"/>
      <c r="K9" s="365"/>
      <c r="L9" s="365"/>
      <c r="M9" s="365"/>
      <c r="N9" s="365"/>
      <c r="O9" s="366"/>
      <c r="Q9" s="250"/>
    </row>
    <row r="10" spans="1:17" ht="15" customHeight="1">
      <c r="P10" s="51"/>
      <c r="Q10" s="52"/>
    </row>
    <row r="11" spans="1:17" ht="15" customHeight="1">
      <c r="B11" s="396" t="s">
        <v>45</v>
      </c>
      <c r="F11" s="121"/>
      <c r="G11" s="121"/>
      <c r="H11" s="121"/>
      <c r="I11" s="121"/>
      <c r="J11" s="121"/>
      <c r="K11" s="121"/>
      <c r="P11" s="51"/>
      <c r="Q11" s="52"/>
    </row>
    <row r="12" spans="1:17" ht="15" customHeight="1">
      <c r="F12" s="121"/>
      <c r="G12" s="121"/>
      <c r="H12" s="121"/>
      <c r="I12" s="121"/>
      <c r="J12" s="121"/>
      <c r="K12" s="121"/>
      <c r="P12" s="51"/>
      <c r="Q12" s="52"/>
    </row>
    <row r="13" spans="1:17" ht="15" customHeight="1">
      <c r="B13" s="7"/>
      <c r="C13" s="7"/>
      <c r="D13" s="197" t="s">
        <v>46</v>
      </c>
      <c r="E13" s="198"/>
      <c r="F13" s="121"/>
      <c r="G13" s="121"/>
      <c r="H13" s="535" t="s">
        <v>47</v>
      </c>
      <c r="I13" s="536"/>
      <c r="J13" s="536"/>
      <c r="K13" s="536"/>
      <c r="L13" s="537"/>
      <c r="P13" s="51"/>
      <c r="Q13" s="52"/>
    </row>
    <row r="14" spans="1:17" ht="15" customHeight="1">
      <c r="B14" s="459" t="s">
        <v>48</v>
      </c>
      <c r="C14" s="459" t="s">
        <v>49</v>
      </c>
      <c r="D14" s="459" t="s">
        <v>50</v>
      </c>
      <c r="E14" s="460" t="s">
        <v>51</v>
      </c>
      <c r="F14" s="121"/>
      <c r="G14" s="121"/>
      <c r="H14" s="199" t="s">
        <v>52</v>
      </c>
      <c r="I14" s="200" t="s">
        <v>53</v>
      </c>
      <c r="J14" s="201"/>
      <c r="K14" s="201"/>
      <c r="L14" s="202"/>
      <c r="P14" s="51"/>
      <c r="Q14" s="52"/>
    </row>
    <row r="15" spans="1:17" ht="15" customHeight="1">
      <c r="B15" s="461" t="s">
        <v>54</v>
      </c>
      <c r="C15" s="221" t="s">
        <v>468</v>
      </c>
      <c r="D15" s="380">
        <f>IF(C15="Minimal",$C$5*100%,IF(C15="Low",$C$5*75%,IF(C15="Moderate",$C$5*50%,IF(C15="High",$C$5*25%,IF(C15="N/A","-",)))))</f>
        <v>1590000</v>
      </c>
      <c r="E15" s="381">
        <f>MIN($D$15:$D$19)</f>
        <v>1590000</v>
      </c>
      <c r="F15" s="121"/>
      <c r="G15" s="121"/>
      <c r="H15" s="203" t="s">
        <v>55</v>
      </c>
      <c r="I15" s="200" t="s">
        <v>56</v>
      </c>
      <c r="J15" s="204"/>
      <c r="K15" s="205"/>
      <c r="L15" s="206"/>
      <c r="P15" s="51"/>
      <c r="Q15" s="52"/>
    </row>
    <row r="16" spans="1:17" ht="15" customHeight="1">
      <c r="B16" s="461" t="s">
        <v>57</v>
      </c>
      <c r="C16" s="221" t="s">
        <v>468</v>
      </c>
      <c r="D16" s="380">
        <f>IF(C16="Minimal",$C$5*100%,IF(C16="Low",$C$5*75%,IF(C16="Moderate",$C$5*50%,IF(C16="High",$C$5*25%,IF(C16="N/A","-",)))))</f>
        <v>1590000</v>
      </c>
      <c r="E16" s="382"/>
      <c r="F16" s="121"/>
      <c r="G16" s="121"/>
      <c r="H16" s="199" t="s">
        <v>58</v>
      </c>
      <c r="I16" s="207" t="s">
        <v>59</v>
      </c>
      <c r="J16" s="208"/>
      <c r="K16" s="205"/>
      <c r="L16" s="206"/>
      <c r="P16" s="51"/>
      <c r="Q16" s="52"/>
    </row>
    <row r="17" spans="2:18" ht="15" customHeight="1">
      <c r="B17" s="461" t="s">
        <v>60</v>
      </c>
      <c r="C17" s="221" t="s">
        <v>468</v>
      </c>
      <c r="D17" s="380">
        <f>IF(C17="Minimal",$C$5*100%,IF(C17="Low",$C$5*75%,IF(C17="Moderate",$C$5*50%,IF(C17="High",$C$5*25%,IF(C17="N/A","-",)))))</f>
        <v>1590000</v>
      </c>
      <c r="E17" s="382"/>
      <c r="F17" s="121"/>
      <c r="G17" s="121"/>
      <c r="H17" s="199" t="s">
        <v>61</v>
      </c>
      <c r="I17" s="207" t="s">
        <v>62</v>
      </c>
      <c r="J17" s="209"/>
      <c r="K17" s="205"/>
      <c r="L17" s="206"/>
      <c r="P17" s="51"/>
      <c r="Q17" s="52"/>
    </row>
    <row r="18" spans="2:18" ht="15" customHeight="1">
      <c r="B18" s="461" t="s">
        <v>63</v>
      </c>
      <c r="C18" s="221" t="s">
        <v>468</v>
      </c>
      <c r="D18" s="380">
        <f>IF(C18="Minimal",$C$5*100%,IF(C18="Low",$C$5*75%,IF(C18="Moderate",$C$5*50%,IF(C18="High",$C$5*25%,IF(C18="N/A","-",)))))</f>
        <v>1590000</v>
      </c>
      <c r="E18" s="382"/>
      <c r="F18" s="121"/>
      <c r="G18" s="121"/>
      <c r="H18" s="210" t="s">
        <v>64</v>
      </c>
      <c r="I18" s="200" t="s">
        <v>65</v>
      </c>
      <c r="J18" s="211"/>
      <c r="K18" s="212"/>
      <c r="L18" s="213"/>
      <c r="P18" s="51"/>
      <c r="Q18" s="52"/>
    </row>
    <row r="19" spans="2:18" ht="15" customHeight="1">
      <c r="B19" s="462" t="s">
        <v>66</v>
      </c>
      <c r="C19" s="221" t="s">
        <v>469</v>
      </c>
      <c r="D19" s="380" t="str">
        <f>IF(C19="Minimal",$C$5*100%,IF(C19="Low",$C$5*75%,IF(C19="Moderate",$C$5*50%,IF(C19="High",$C$5*25%,IF(C19="N/A","-",)))))</f>
        <v>-</v>
      </c>
      <c r="E19" s="383"/>
      <c r="F19" s="121"/>
      <c r="G19" s="121"/>
      <c r="H19" s="214" t="s">
        <v>67</v>
      </c>
      <c r="I19" s="200" t="s">
        <v>68</v>
      </c>
      <c r="J19" s="205"/>
      <c r="K19" s="205"/>
      <c r="L19" s="206"/>
      <c r="P19" s="51"/>
      <c r="Q19" s="52"/>
    </row>
    <row r="20" spans="2:18" ht="15" customHeight="1">
      <c r="B20" s="533" t="s">
        <v>69</v>
      </c>
      <c r="C20" s="533"/>
      <c r="D20" s="533"/>
      <c r="E20" s="533"/>
      <c r="F20" s="123"/>
      <c r="G20" s="123"/>
      <c r="H20" s="199" t="s">
        <v>70</v>
      </c>
      <c r="I20" s="200" t="s">
        <v>71</v>
      </c>
      <c r="J20" s="205"/>
      <c r="K20" s="205"/>
      <c r="L20" s="206"/>
      <c r="P20" s="51"/>
      <c r="Q20" s="52"/>
    </row>
    <row r="21" spans="2:18" ht="18.75" customHeight="1">
      <c r="B21" s="265" t="s">
        <v>72</v>
      </c>
      <c r="C21" s="465"/>
      <c r="D21" s="465"/>
      <c r="E21" s="465"/>
      <c r="F21" s="123"/>
      <c r="G21" s="123"/>
      <c r="H21" s="214" t="s">
        <v>73</v>
      </c>
      <c r="I21" s="200" t="s">
        <v>74</v>
      </c>
      <c r="J21" s="205"/>
      <c r="K21" s="205"/>
      <c r="L21" s="206"/>
      <c r="P21" s="51"/>
      <c r="Q21" s="52"/>
    </row>
    <row r="22" spans="2:18" ht="18.75" customHeight="1">
      <c r="B22" s="265" t="s">
        <v>75</v>
      </c>
      <c r="C22" s="465"/>
      <c r="D22" s="465"/>
      <c r="E22" s="465"/>
      <c r="F22" s="123"/>
      <c r="G22" s="123"/>
      <c r="H22" s="222" t="s">
        <v>76</v>
      </c>
      <c r="I22" s="223" t="s">
        <v>77</v>
      </c>
      <c r="J22" s="215"/>
      <c r="K22" s="215"/>
      <c r="L22" s="216"/>
      <c r="P22" s="51"/>
      <c r="Q22" s="52"/>
    </row>
    <row r="23" spans="2:18" ht="33" customHeight="1">
      <c r="B23" s="534" t="s">
        <v>78</v>
      </c>
      <c r="C23" s="534"/>
      <c r="D23" s="534"/>
      <c r="E23" s="534"/>
      <c r="F23" s="123"/>
      <c r="G23" s="123"/>
      <c r="P23" s="51"/>
      <c r="Q23" s="52"/>
    </row>
    <row r="24" spans="2:18" ht="15" customHeight="1">
      <c r="P24" s="51"/>
      <c r="Q24" s="52"/>
    </row>
    <row r="25" spans="2:18" s="58" customFormat="1" ht="15" customHeight="1">
      <c r="B25" s="55" t="s">
        <v>79</v>
      </c>
      <c r="C25" s="56"/>
      <c r="D25" s="56"/>
      <c r="E25" s="56"/>
      <c r="F25" s="56"/>
      <c r="G25" s="56"/>
      <c r="H25" s="56"/>
      <c r="I25" s="56"/>
      <c r="J25" s="56"/>
      <c r="K25" s="56"/>
      <c r="L25" s="56"/>
      <c r="M25" s="56"/>
      <c r="N25" s="57"/>
      <c r="O25" s="57"/>
      <c r="Q25" s="52"/>
    </row>
    <row r="26" spans="2:18" ht="15" customHeight="1">
      <c r="B26" s="523"/>
      <c r="C26" s="523"/>
      <c r="D26" s="523"/>
      <c r="E26" s="523"/>
      <c r="F26" s="523"/>
      <c r="G26" s="122"/>
      <c r="H26" s="122"/>
      <c r="I26" s="122"/>
      <c r="J26" s="122"/>
      <c r="K26" s="122"/>
      <c r="P26" s="51"/>
      <c r="Q26" s="52"/>
    </row>
    <row r="27" spans="2:18" ht="15" customHeight="1">
      <c r="B27" s="523"/>
      <c r="C27" s="523"/>
      <c r="D27" s="523"/>
      <c r="E27" s="523"/>
      <c r="F27" s="523"/>
      <c r="G27" s="122"/>
      <c r="H27" s="122"/>
      <c r="I27" s="122"/>
      <c r="J27" s="122"/>
      <c r="K27" s="122"/>
      <c r="P27" s="51"/>
      <c r="Q27" s="52"/>
    </row>
    <row r="28" spans="2:18" ht="15" customHeight="1">
      <c r="B28" s="523"/>
      <c r="C28" s="523"/>
      <c r="D28" s="523"/>
      <c r="E28" s="523"/>
      <c r="F28" s="523"/>
      <c r="G28" s="122"/>
      <c r="H28" s="122"/>
      <c r="I28" s="122"/>
      <c r="J28" s="122"/>
      <c r="K28" s="122"/>
      <c r="P28" s="51"/>
      <c r="Q28" s="52"/>
    </row>
    <row r="29" spans="2:18" ht="15" customHeight="1">
      <c r="B29" s="523"/>
      <c r="C29" s="523"/>
      <c r="D29" s="523"/>
      <c r="E29" s="523"/>
      <c r="F29" s="523"/>
      <c r="G29" s="122"/>
      <c r="H29" s="122"/>
      <c r="I29" s="122"/>
      <c r="J29" s="122"/>
      <c r="K29" s="122"/>
      <c r="P29" s="51"/>
      <c r="Q29" s="52"/>
    </row>
    <row r="30" spans="2:18" ht="15" customHeight="1">
      <c r="D30" s="54"/>
      <c r="E30" s="54"/>
      <c r="F30" s="54"/>
      <c r="G30" s="54"/>
      <c r="H30" s="54"/>
      <c r="I30" s="54"/>
      <c r="J30" s="54"/>
      <c r="K30" s="54"/>
      <c r="L30" s="54"/>
      <c r="M30" s="135"/>
      <c r="N30" s="367"/>
      <c r="O30" s="367"/>
      <c r="P30" s="59"/>
      <c r="Q30" s="52"/>
      <c r="R30" s="60"/>
    </row>
    <row r="31" spans="2:18" ht="15" customHeight="1">
      <c r="B31" s="174" t="s">
        <v>80</v>
      </c>
      <c r="C31" s="175"/>
      <c r="D31" s="61"/>
      <c r="E31" s="24"/>
      <c r="F31" s="24"/>
      <c r="G31" s="24"/>
      <c r="H31" s="24"/>
      <c r="I31" s="24"/>
      <c r="J31" s="24"/>
      <c r="K31" s="24"/>
      <c r="L31" s="24"/>
      <c r="M31" s="24"/>
      <c r="N31" s="24"/>
      <c r="O31" s="24"/>
      <c r="P31" s="51"/>
      <c r="Q31" s="52"/>
      <c r="R31" s="60"/>
    </row>
    <row r="32" spans="2:18" ht="15" customHeight="1">
      <c r="B32" s="156" t="str">
        <f>"波动幅度 ("&amp;C8&amp; "):"</f>
        <v>波动幅度 (CNY):</v>
      </c>
      <c r="C32" s="384">
        <f>$E$15</f>
        <v>1590000</v>
      </c>
      <c r="D32" s="25"/>
      <c r="P32" s="51"/>
      <c r="Q32" s="52"/>
      <c r="R32" s="60"/>
    </row>
    <row r="33" spans="2:18" s="62" customFormat="1" ht="15" customHeight="1">
      <c r="B33" s="156" t="s">
        <v>81</v>
      </c>
      <c r="C33" s="125">
        <v>0.1</v>
      </c>
      <c r="D33" s="63"/>
      <c r="Q33" s="64"/>
      <c r="R33" s="65"/>
    </row>
    <row r="34" spans="2:18" s="62" customFormat="1" ht="15" customHeight="1">
      <c r="B34" s="124"/>
      <c r="C34" s="124"/>
      <c r="D34" s="63"/>
      <c r="Q34" s="64"/>
      <c r="R34" s="65"/>
    </row>
    <row r="35" spans="2:18" s="62" customFormat="1" ht="15" customHeight="1">
      <c r="B35" s="368" t="s">
        <v>82</v>
      </c>
      <c r="C35" s="53"/>
      <c r="D35" s="53"/>
      <c r="Q35" s="64"/>
      <c r="R35" s="65"/>
    </row>
    <row r="36" spans="2:18" s="62" customFormat="1" ht="15" customHeight="1">
      <c r="B36" s="368" t="s">
        <v>83</v>
      </c>
      <c r="C36" s="53"/>
      <c r="D36" s="53"/>
      <c r="Q36" s="64"/>
      <c r="R36" s="65"/>
    </row>
    <row r="37" spans="2:18" ht="15" customHeight="1">
      <c r="K37" s="53"/>
      <c r="L37" s="53"/>
      <c r="M37" s="53"/>
      <c r="N37" s="53"/>
      <c r="O37" s="53"/>
      <c r="Q37" s="52"/>
    </row>
    <row r="38" spans="2:18" ht="15" customHeight="1">
      <c r="B38" s="354"/>
      <c r="C38" s="354"/>
      <c r="D38" s="279"/>
      <c r="E38" s="279" t="s">
        <v>84</v>
      </c>
      <c r="F38" s="279"/>
      <c r="G38" s="279"/>
      <c r="H38" s="279"/>
      <c r="I38" s="295"/>
      <c r="J38" s="356" t="s">
        <v>85</v>
      </c>
      <c r="K38" s="353"/>
      <c r="L38" s="353"/>
      <c r="M38" s="353"/>
      <c r="N38" s="355"/>
      <c r="O38" s="355"/>
      <c r="Q38" s="52"/>
    </row>
    <row r="39" spans="2:18" ht="15" customHeight="1">
      <c r="B39" s="295"/>
      <c r="C39" s="295"/>
      <c r="D39" s="295"/>
      <c r="E39" s="538" t="str">
        <f>"货币/单位: "&amp;C8</f>
        <v>货币/单位: CNY</v>
      </c>
      <c r="F39" s="539"/>
      <c r="G39" s="539"/>
      <c r="H39" s="539"/>
      <c r="I39" s="539"/>
      <c r="J39" s="540"/>
      <c r="K39" s="356"/>
      <c r="L39" s="356"/>
      <c r="M39" s="357"/>
      <c r="N39" s="357"/>
      <c r="O39" s="358"/>
      <c r="Q39" s="52"/>
    </row>
    <row r="40" spans="2:18" ht="15" customHeight="1">
      <c r="B40" s="369"/>
      <c r="C40" s="370"/>
      <c r="D40" s="370"/>
      <c r="E40" s="541">
        <f>C3</f>
        <v>45900</v>
      </c>
      <c r="F40" s="542"/>
      <c r="G40" s="542"/>
      <c r="H40" s="542"/>
      <c r="I40" s="543"/>
      <c r="J40" s="359">
        <f>DATE(YEAR($C$3)-1,12,31)</f>
        <v>45657</v>
      </c>
      <c r="K40" s="544" t="s">
        <v>86</v>
      </c>
      <c r="L40" s="545"/>
      <c r="M40" s="371"/>
      <c r="N40" s="546" t="s">
        <v>87</v>
      </c>
      <c r="O40" s="548" t="s">
        <v>88</v>
      </c>
      <c r="Q40" s="52"/>
    </row>
    <row r="41" spans="2:18" ht="15" customHeight="1">
      <c r="B41" s="372" t="s">
        <v>89</v>
      </c>
      <c r="C41" s="373" t="s">
        <v>90</v>
      </c>
      <c r="D41" s="373" t="s">
        <v>91</v>
      </c>
      <c r="E41" s="360" t="s">
        <v>92</v>
      </c>
      <c r="F41" s="361" t="s">
        <v>93</v>
      </c>
      <c r="G41" s="361" t="s">
        <v>94</v>
      </c>
      <c r="H41" s="361" t="s">
        <v>95</v>
      </c>
      <c r="I41" s="360" t="s">
        <v>96</v>
      </c>
      <c r="J41" s="360" t="s">
        <v>97</v>
      </c>
      <c r="K41" s="361" t="s">
        <v>98</v>
      </c>
      <c r="L41" s="361" t="s">
        <v>99</v>
      </c>
      <c r="M41" s="374" t="s">
        <v>100</v>
      </c>
      <c r="N41" s="547"/>
      <c r="O41" s="549"/>
      <c r="Q41" s="52"/>
    </row>
    <row r="42" spans="2:18" ht="15" customHeight="1">
      <c r="B42" s="470">
        <v>1801</v>
      </c>
      <c r="C42" s="377" t="s">
        <v>101</v>
      </c>
      <c r="D42" s="70" t="s">
        <v>102</v>
      </c>
      <c r="E42" s="385">
        <f>'L1.01.1 Agree SL to GL'!T39</f>
        <v>0</v>
      </c>
      <c r="F42" s="386"/>
      <c r="G42" s="385">
        <f>E42+F42</f>
        <v>0</v>
      </c>
      <c r="H42" s="386"/>
      <c r="I42" s="385">
        <f>G42+H42</f>
        <v>0</v>
      </c>
      <c r="J42" s="387">
        <v>10353587.15</v>
      </c>
      <c r="K42" s="388">
        <f>I42-J42</f>
        <v>-10353587.15</v>
      </c>
      <c r="L42" s="391">
        <f>IF(J42&lt;&gt;0,K42/J42,1)</f>
        <v>-1</v>
      </c>
      <c r="M42" s="70" t="s">
        <v>103</v>
      </c>
      <c r="N42" s="378" t="str">
        <f>IF(AND(ABS(K42)&gt;=$C$32,ABS(L42)&gt;=$C$33),"是","否")</f>
        <v>是</v>
      </c>
      <c r="O42" s="378"/>
      <c r="Q42" s="52"/>
    </row>
    <row r="43" spans="2:18" ht="15" customHeight="1">
      <c r="B43" s="470">
        <v>1802</v>
      </c>
      <c r="C43" s="377" t="s">
        <v>104</v>
      </c>
      <c r="D43" s="70" t="s">
        <v>102</v>
      </c>
      <c r="E43" s="385">
        <f>'L1.01.1 Agree SL to GL'!T41</f>
        <v>0</v>
      </c>
      <c r="F43" s="386"/>
      <c r="G43" s="385">
        <f>E43+F43</f>
        <v>0</v>
      </c>
      <c r="H43" s="386"/>
      <c r="I43" s="385">
        <f>G43+H43</f>
        <v>0</v>
      </c>
      <c r="J43" s="385">
        <v>1372065.44</v>
      </c>
      <c r="K43" s="388">
        <f t="shared" ref="K43" si="0">I43-J43</f>
        <v>-1372065.44</v>
      </c>
      <c r="L43" s="391">
        <f t="shared" ref="L43:L44" si="1">IF(J43&lt;&gt;0,K43/J43,1)</f>
        <v>-1</v>
      </c>
      <c r="M43" s="70"/>
      <c r="N43" s="378" t="str">
        <f t="shared" ref="N43:N44" si="2">IF(AND(ABS(K43)&gt;=$C$32,ABS(L43)&gt;=$C$33),"是","否")</f>
        <v>否</v>
      </c>
      <c r="O43" s="378"/>
      <c r="Q43" s="52"/>
    </row>
    <row r="44" spans="2:18" ht="15" customHeight="1">
      <c r="B44" s="470"/>
      <c r="C44" s="377" t="s">
        <v>105</v>
      </c>
      <c r="D44" s="70" t="s">
        <v>102</v>
      </c>
      <c r="E44" s="385">
        <f>'L1.01.1 Agree SL to GL'!T43</f>
        <v>0</v>
      </c>
      <c r="F44" s="386"/>
      <c r="G44" s="385">
        <f>E44+F44</f>
        <v>0</v>
      </c>
      <c r="H44" s="386"/>
      <c r="I44" s="385">
        <f>G44+H44</f>
        <v>0</v>
      </c>
      <c r="J44" s="385">
        <v>0</v>
      </c>
      <c r="K44" s="388">
        <f>I44-J44</f>
        <v>0</v>
      </c>
      <c r="L44" s="391">
        <f t="shared" si="1"/>
        <v>1</v>
      </c>
      <c r="M44" s="70"/>
      <c r="N44" s="378" t="str">
        <f t="shared" si="2"/>
        <v>否</v>
      </c>
      <c r="O44" s="378"/>
      <c r="Q44" s="52"/>
    </row>
    <row r="45" spans="2:18" ht="15" customHeight="1">
      <c r="B45" s="163"/>
      <c r="C45" s="267"/>
      <c r="D45" s="268"/>
      <c r="E45" s="164"/>
      <c r="F45" s="269"/>
      <c r="G45" s="164"/>
      <c r="H45" s="269"/>
      <c r="I45" s="164"/>
      <c r="J45" s="164"/>
      <c r="K45" s="165"/>
      <c r="L45" s="270"/>
      <c r="M45" s="70"/>
      <c r="N45" s="378"/>
      <c r="O45" s="378"/>
      <c r="Q45" s="52"/>
    </row>
    <row r="46" spans="2:18" ht="15" customHeight="1" thickBot="1">
      <c r="C46" s="71" t="s">
        <v>106</v>
      </c>
      <c r="D46" s="71"/>
      <c r="E46" s="389">
        <f t="shared" ref="E46:K46" si="3">E42-E43-E44</f>
        <v>0</v>
      </c>
      <c r="F46" s="389">
        <f t="shared" si="3"/>
        <v>0</v>
      </c>
      <c r="G46" s="389">
        <f t="shared" si="3"/>
        <v>0</v>
      </c>
      <c r="H46" s="389">
        <f t="shared" si="3"/>
        <v>0</v>
      </c>
      <c r="I46" s="389">
        <f t="shared" si="3"/>
        <v>0</v>
      </c>
      <c r="J46" s="389">
        <f>J42-J43-J44</f>
        <v>8981521.7100000009</v>
      </c>
      <c r="K46" s="389">
        <f t="shared" si="3"/>
        <v>-8981521.7100000009</v>
      </c>
      <c r="L46" s="392">
        <f>IF(J46&lt;&gt;0,K46/J46,1)</f>
        <v>-1</v>
      </c>
      <c r="M46" s="70"/>
      <c r="N46" s="378" t="str">
        <f>IF(AND(ABS(K46)&gt;=$C$32,ABS(L46)&gt;=$C$33),"是","否")</f>
        <v>是</v>
      </c>
      <c r="O46" s="378"/>
      <c r="Q46" s="52"/>
    </row>
    <row r="47" spans="2:18" ht="15" customHeight="1" thickTop="1">
      <c r="C47" s="71"/>
      <c r="D47" s="71"/>
      <c r="E47" s="375"/>
      <c r="F47" s="375"/>
      <c r="G47" s="375"/>
      <c r="H47" s="375"/>
      <c r="I47" s="375"/>
      <c r="J47" s="375"/>
      <c r="K47" s="375"/>
      <c r="L47" s="273"/>
      <c r="M47" s="70"/>
      <c r="N47" s="271"/>
      <c r="O47" s="376"/>
      <c r="Q47" s="52"/>
    </row>
    <row r="48" spans="2:18" ht="15" customHeight="1">
      <c r="C48" s="21" t="s">
        <v>107</v>
      </c>
      <c r="D48" s="71"/>
      <c r="E48" s="47"/>
      <c r="F48" s="272"/>
      <c r="G48" s="387"/>
      <c r="H48" s="272"/>
      <c r="I48" s="387"/>
      <c r="J48" s="387">
        <f>[1]A3!$M$55</f>
        <v>8981521.7100000009</v>
      </c>
      <c r="K48" s="272"/>
      <c r="L48" s="273"/>
      <c r="M48" s="70"/>
      <c r="Q48" s="52"/>
    </row>
    <row r="49" spans="1:18" s="62" customFormat="1" ht="15" customHeight="1">
      <c r="A49" s="51"/>
      <c r="C49" s="21" t="s">
        <v>108</v>
      </c>
      <c r="D49" s="72"/>
      <c r="E49" s="47"/>
      <c r="F49" s="275"/>
      <c r="G49" s="390">
        <f>G48-G46</f>
        <v>0</v>
      </c>
      <c r="H49" s="275"/>
      <c r="I49" s="390">
        <f t="shared" ref="I49:J49" si="4">I48-I46</f>
        <v>0</v>
      </c>
      <c r="J49" s="390">
        <f t="shared" si="4"/>
        <v>0</v>
      </c>
      <c r="K49" s="166"/>
      <c r="L49" s="72"/>
      <c r="M49" s="73"/>
      <c r="N49" s="73"/>
      <c r="O49" s="73"/>
      <c r="Q49" s="64"/>
    </row>
    <row r="50" spans="1:18" s="62" customFormat="1" ht="15" customHeight="1">
      <c r="A50" s="51"/>
      <c r="C50" s="21"/>
      <c r="D50" s="72"/>
      <c r="E50" s="47"/>
      <c r="F50" s="275"/>
      <c r="G50" s="274"/>
      <c r="H50" s="275"/>
      <c r="I50" s="274"/>
      <c r="J50" s="274"/>
      <c r="K50" s="166"/>
      <c r="L50" s="72"/>
      <c r="M50" s="73"/>
      <c r="N50" s="73"/>
      <c r="O50" s="73"/>
      <c r="Q50" s="64"/>
    </row>
    <row r="51" spans="1:18" s="62" customFormat="1" ht="15" customHeight="1">
      <c r="A51" s="51"/>
      <c r="B51" s="43" t="s">
        <v>109</v>
      </c>
      <c r="C51" s="354"/>
      <c r="D51" s="354"/>
      <c r="E51" s="354"/>
      <c r="F51" s="354"/>
      <c r="K51" s="72"/>
      <c r="L51" s="72"/>
      <c r="M51" s="72"/>
      <c r="N51" s="73"/>
      <c r="O51" s="73"/>
      <c r="Q51" s="64"/>
    </row>
    <row r="52" spans="1:18" ht="15" customHeight="1">
      <c r="B52" s="524" t="s">
        <v>103</v>
      </c>
      <c r="C52" s="525"/>
      <c r="D52" s="525"/>
      <c r="E52" s="525"/>
      <c r="F52" s="526"/>
      <c r="M52" s="74"/>
      <c r="N52" s="75"/>
      <c r="O52" s="75"/>
      <c r="P52" s="75"/>
      <c r="Q52" s="52"/>
      <c r="R52" s="60"/>
    </row>
    <row r="53" spans="1:18" ht="15" customHeight="1">
      <c r="B53" s="527"/>
      <c r="C53" s="528"/>
      <c r="D53" s="528"/>
      <c r="E53" s="528"/>
      <c r="F53" s="529"/>
      <c r="M53" s="74"/>
      <c r="N53" s="75"/>
      <c r="O53" s="75"/>
      <c r="P53" s="75"/>
      <c r="Q53" s="52"/>
      <c r="R53" s="60"/>
    </row>
    <row r="54" spans="1:18" ht="15" customHeight="1">
      <c r="B54" s="527"/>
      <c r="C54" s="528"/>
      <c r="D54" s="528"/>
      <c r="E54" s="528"/>
      <c r="F54" s="529"/>
      <c r="M54" s="74"/>
      <c r="N54" s="75"/>
      <c r="O54" s="75"/>
      <c r="P54" s="75"/>
      <c r="Q54" s="52"/>
      <c r="R54" s="60"/>
    </row>
    <row r="55" spans="1:18" ht="15" customHeight="1">
      <c r="B55" s="530"/>
      <c r="C55" s="531"/>
      <c r="D55" s="531"/>
      <c r="E55" s="531"/>
      <c r="F55" s="532"/>
      <c r="M55" s="74"/>
      <c r="N55" s="75"/>
      <c r="O55" s="75"/>
      <c r="P55" s="75"/>
      <c r="Q55" s="52"/>
      <c r="R55" s="60"/>
    </row>
    <row r="56" spans="1:18" ht="15" customHeight="1">
      <c r="B56" s="469"/>
      <c r="C56" s="469"/>
      <c r="D56" s="469"/>
      <c r="E56" s="469"/>
      <c r="F56" s="469"/>
      <c r="M56" s="74"/>
      <c r="N56" s="75"/>
      <c r="O56" s="75"/>
      <c r="P56" s="75"/>
      <c r="Q56" s="52"/>
      <c r="R56" s="60"/>
    </row>
    <row r="57" spans="1:18" ht="15" customHeight="1">
      <c r="B57" s="276" t="s">
        <v>110</v>
      </c>
      <c r="C57" s="43"/>
      <c r="D57" s="277"/>
      <c r="E57" s="277"/>
      <c r="F57" s="469"/>
      <c r="M57" s="74"/>
      <c r="N57" s="75"/>
      <c r="O57" s="75"/>
      <c r="P57" s="75"/>
      <c r="Q57" s="52"/>
      <c r="R57" s="60"/>
    </row>
    <row r="58" spans="1:18" ht="15" customHeight="1">
      <c r="B58" s="278" t="s">
        <v>111</v>
      </c>
      <c r="C58" s="279"/>
      <c r="D58" s="279"/>
      <c r="E58" s="280"/>
      <c r="F58" s="280"/>
      <c r="M58" s="74"/>
      <c r="N58" s="75"/>
      <c r="O58" s="75"/>
      <c r="P58" s="75"/>
      <c r="Q58" s="52"/>
      <c r="R58" s="60"/>
    </row>
    <row r="59" spans="1:18" ht="15" customHeight="1">
      <c r="B59" s="474"/>
      <c r="C59" s="281"/>
      <c r="D59" s="281"/>
      <c r="E59" s="475"/>
      <c r="F59" s="476"/>
      <c r="M59" s="74"/>
      <c r="N59" s="75"/>
      <c r="O59" s="75"/>
      <c r="P59" s="75"/>
      <c r="Q59" s="52"/>
      <c r="R59" s="60"/>
    </row>
    <row r="60" spans="1:18" ht="15" customHeight="1">
      <c r="B60" s="477"/>
      <c r="C60" s="471"/>
      <c r="D60" s="471"/>
      <c r="E60" s="278"/>
      <c r="F60" s="478"/>
      <c r="M60" s="74"/>
      <c r="N60" s="75"/>
      <c r="O60" s="75"/>
      <c r="P60" s="75"/>
      <c r="Q60" s="52"/>
      <c r="R60" s="60"/>
    </row>
    <row r="61" spans="1:18" ht="15" customHeight="1">
      <c r="B61" s="477"/>
      <c r="C61" s="471"/>
      <c r="D61" s="471"/>
      <c r="E61" s="278"/>
      <c r="F61" s="478"/>
      <c r="M61" s="74"/>
      <c r="N61" s="75"/>
      <c r="O61" s="75"/>
      <c r="P61" s="75"/>
      <c r="Q61" s="52"/>
      <c r="R61" s="60"/>
    </row>
    <row r="62" spans="1:18" ht="15" customHeight="1">
      <c r="B62" s="479"/>
      <c r="C62" s="472"/>
      <c r="D62" s="472"/>
      <c r="E62" s="472"/>
      <c r="F62" s="473"/>
      <c r="M62" s="74"/>
      <c r="N62" s="75"/>
      <c r="O62" s="75"/>
      <c r="P62" s="75"/>
      <c r="Q62" s="52"/>
      <c r="R62" s="60"/>
    </row>
    <row r="63" spans="1:18" ht="15" customHeight="1">
      <c r="B63" s="469"/>
      <c r="C63" s="469"/>
      <c r="D63" s="469"/>
      <c r="E63" s="469"/>
      <c r="F63" s="469"/>
      <c r="M63" s="74"/>
      <c r="N63" s="75"/>
      <c r="O63" s="75"/>
      <c r="P63" s="75"/>
      <c r="Q63" s="52"/>
      <c r="R63" s="60"/>
    </row>
    <row r="64" spans="1:18" ht="7.5" customHeight="1">
      <c r="A64" s="52"/>
      <c r="B64" s="52"/>
      <c r="C64" s="52"/>
      <c r="D64" s="52"/>
      <c r="E64" s="52"/>
      <c r="F64" s="52"/>
      <c r="G64" s="52"/>
      <c r="H64" s="52"/>
      <c r="I64" s="52"/>
      <c r="J64" s="52"/>
      <c r="K64" s="52"/>
      <c r="L64" s="76"/>
      <c r="M64" s="77"/>
      <c r="N64" s="77"/>
      <c r="O64" s="77"/>
      <c r="P64" s="52"/>
      <c r="Q64" s="52"/>
    </row>
    <row r="65" spans="12:16" ht="15" customHeight="1">
      <c r="L65" s="74"/>
      <c r="M65" s="75"/>
      <c r="N65" s="75"/>
      <c r="O65" s="75"/>
    </row>
    <row r="66" spans="12:16" ht="15" customHeight="1">
      <c r="L66" s="74"/>
      <c r="M66" s="75"/>
      <c r="N66" s="75"/>
      <c r="O66" s="75"/>
    </row>
    <row r="67" spans="12:16" ht="15" customHeight="1">
      <c r="P67" s="51"/>
    </row>
    <row r="68" spans="12:16" ht="15" customHeight="1">
      <c r="P68" s="51"/>
    </row>
    <row r="69" spans="12:16" ht="15" customHeight="1">
      <c r="P69" s="51"/>
    </row>
    <row r="70" spans="12:16" ht="15" customHeight="1">
      <c r="P70" s="51"/>
    </row>
    <row r="71" spans="12:16" ht="15" customHeight="1">
      <c r="P71" s="51"/>
    </row>
    <row r="72" spans="12:16" ht="15" customHeight="1">
      <c r="P72" s="51"/>
    </row>
    <row r="73" spans="12:16" ht="15" customHeight="1">
      <c r="P73" s="51"/>
    </row>
    <row r="74" spans="12:16" ht="15" customHeight="1">
      <c r="P74" s="51"/>
    </row>
    <row r="75" spans="12:16" ht="15" customHeight="1">
      <c r="P75" s="51"/>
    </row>
    <row r="76" spans="12:16" ht="15" customHeight="1">
      <c r="P76" s="51"/>
    </row>
    <row r="77" spans="12:16" ht="15" customHeight="1">
      <c r="P77" s="51"/>
    </row>
    <row r="78" spans="12:16" ht="15" customHeight="1">
      <c r="P78" s="51"/>
    </row>
    <row r="79" spans="12:16" ht="15" customHeight="1">
      <c r="P79" s="51"/>
    </row>
    <row r="80" spans="12:16" ht="15" customHeight="1">
      <c r="P80" s="51"/>
    </row>
    <row r="81" spans="16:16" ht="15" customHeight="1">
      <c r="P81" s="51"/>
    </row>
    <row r="82" spans="16:16" ht="15" customHeight="1">
      <c r="P82" s="51"/>
    </row>
    <row r="83" spans="16:16" ht="15" customHeight="1">
      <c r="P83" s="51"/>
    </row>
    <row r="84" spans="16:16" ht="15" customHeight="1">
      <c r="P84" s="51"/>
    </row>
    <row r="85" spans="16:16" ht="15" customHeight="1">
      <c r="P85" s="51"/>
    </row>
    <row r="86" spans="16:16" ht="15" customHeight="1">
      <c r="P86" s="51"/>
    </row>
    <row r="87" spans="16:16" ht="15" customHeight="1">
      <c r="P87" s="51"/>
    </row>
    <row r="88" spans="16:16" ht="15" customHeight="1">
      <c r="P88" s="51"/>
    </row>
    <row r="89" spans="16:16" ht="15" customHeight="1">
      <c r="P89" s="51"/>
    </row>
    <row r="90" spans="16:16" ht="15" customHeight="1">
      <c r="P90" s="51"/>
    </row>
    <row r="91" spans="16:16" ht="15" customHeight="1">
      <c r="P91" s="51"/>
    </row>
    <row r="92" spans="16:16" ht="15" customHeight="1">
      <c r="P92" s="51"/>
    </row>
    <row r="93" spans="16:16" ht="15" customHeight="1">
      <c r="P93" s="51"/>
    </row>
    <row r="94" spans="16:16" ht="15" customHeight="1">
      <c r="P94" s="51"/>
    </row>
    <row r="95" spans="16:16" ht="15" customHeight="1">
      <c r="P95" s="51"/>
    </row>
    <row r="96" spans="16:16" ht="15" customHeight="1">
      <c r="P96" s="51"/>
    </row>
  </sheetData>
  <sheetProtection formatCells="0" formatColumns="0" formatRows="0" insertColumns="0" insertRows="0" insertHyperlinks="0" deleteColumns="0" deleteRows="0" sort="0" autoFilter="0" pivotTables="0"/>
  <mergeCells count="11">
    <mergeCell ref="D2:O8"/>
    <mergeCell ref="B26:F29"/>
    <mergeCell ref="B52:F55"/>
    <mergeCell ref="B20:E20"/>
    <mergeCell ref="B23:E23"/>
    <mergeCell ref="H13:L13"/>
    <mergeCell ref="E39:J39"/>
    <mergeCell ref="E40:I40"/>
    <mergeCell ref="K40:L40"/>
    <mergeCell ref="N40:N41"/>
    <mergeCell ref="O40:O41"/>
  </mergeCells>
  <phoneticPr fontId="78" type="noConversion"/>
  <conditionalFormatting sqref="B26 B42:E44">
    <cfRule type="containsBlanks" dxfId="54" priority="20">
      <formula>LEN(TRIM(B26))=0</formula>
    </cfRule>
  </conditionalFormatting>
  <conditionalFormatting sqref="B52:F55">
    <cfRule type="containsBlanks" dxfId="53" priority="1">
      <formula>LEN(TRIM(B52))=0</formula>
    </cfRule>
  </conditionalFormatting>
  <conditionalFormatting sqref="B59:F59 C60:F60 B60:B62">
    <cfRule type="containsBlanks" dxfId="52" priority="3">
      <formula>LEN(TRIM(B59))=0</formula>
    </cfRule>
  </conditionalFormatting>
  <conditionalFormatting sqref="C2:C8">
    <cfRule type="containsBlanks" dxfId="51" priority="18">
      <formula>LEN(TRIM(C2))=0</formula>
    </cfRule>
  </conditionalFormatting>
  <conditionalFormatting sqref="C15:C19">
    <cfRule type="containsBlanks" dxfId="50" priority="19">
      <formula>LEN(TRIM(C15))=0</formula>
    </cfRule>
  </conditionalFormatting>
  <conditionalFormatting sqref="C33">
    <cfRule type="containsBlanks" dxfId="49" priority="4">
      <formula>LEN(TRIM(C33))=0</formula>
    </cfRule>
  </conditionalFormatting>
  <conditionalFormatting sqref="C61:F62">
    <cfRule type="containsBlanks" dxfId="48" priority="2">
      <formula>LEN(TRIM(C61))=0</formula>
    </cfRule>
  </conditionalFormatting>
  <conditionalFormatting sqref="G42:G44">
    <cfRule type="containsBlanks" dxfId="47" priority="24">
      <formula>LEN(TRIM(G42))=0</formula>
    </cfRule>
  </conditionalFormatting>
  <conditionalFormatting sqref="G48">
    <cfRule type="containsBlanks" dxfId="46" priority="23">
      <formula>LEN(TRIM(G48))=0</formula>
    </cfRule>
  </conditionalFormatting>
  <conditionalFormatting sqref="I42:J44">
    <cfRule type="containsBlanks" dxfId="45" priority="6">
      <formula>LEN(TRIM(I42))=0</formula>
    </cfRule>
  </conditionalFormatting>
  <conditionalFormatting sqref="I48:J48">
    <cfRule type="containsBlanks" dxfId="44" priority="7">
      <formula>LEN(TRIM(I48))=0</formula>
    </cfRule>
  </conditionalFormatting>
  <conditionalFormatting sqref="O42:O44 O46">
    <cfRule type="containsBlanks" dxfId="43" priority="25">
      <formula>LEN(TRIM(O42))=0</formula>
    </cfRule>
  </conditionalFormatting>
  <dataValidations count="4">
    <dataValidation type="list" allowBlank="1" showInputMessage="1" showErrorMessage="1" sqref="C15:C19" xr:uid="{8F5F375C-88E7-4D8D-BEB1-B714C59CD8B1}">
      <formula1>"Minimal,Low,Moderate,High,N/A"</formula1>
    </dataValidation>
    <dataValidation type="list" allowBlank="1" showInputMessage="1" showErrorMessage="1" sqref="O45" xr:uid="{3B49A81D-F055-45C0-9CBA-6F1B02E2D62E}">
      <formula1>"是,否"</formula1>
    </dataValidation>
    <dataValidation type="list" allowBlank="1" showInputMessage="1" sqref="B59:B62" xr:uid="{E7A5B45D-CB55-419E-91C7-ED6994488580}">
      <formula1>"管理层账表调整(CLA),已更正审计调整(AA/RA/OA),未更正审计调整(SAD)"</formula1>
    </dataValidation>
    <dataValidation type="list" allowBlank="1" showInputMessage="1" sqref="O42:O44 O46" xr:uid="{A5D7D328-9FCF-4364-BDC4-84F18C9BAFBF}">
      <formula1>"是,否"</formula1>
    </dataValidation>
  </dataValidations>
  <hyperlinks>
    <hyperlink ref="B11" location="汇总!A1" display="返回汇总页" xr:uid="{136C6BB9-635F-448B-A980-FE9978EB417A}"/>
  </hyperlinks>
  <pageMargins left="0.70866141732283505" right="0.70866141732283505" top="0.74803149606299202" bottom="0.74803149606299202" header="0.31496062992126" footer="0.31496062992126"/>
  <pageSetup paperSize="9" scale="42" fitToHeight="0" orientation="landscape" horizontalDpi="300" r:id="rId1"/>
  <headerFooter>
    <oddFooter>&amp;LK SWP PPE
(24 June 2025)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11FD-48C1-4F50-B693-742D9E94D42E}">
  <dimension ref="A1:DG136"/>
  <sheetViews>
    <sheetView showGridLines="0" topLeftCell="A64" zoomScale="70" zoomScaleNormal="70" workbookViewId="0">
      <selection activeCell="W32" sqref="W32"/>
    </sheetView>
  </sheetViews>
  <sheetFormatPr defaultColWidth="8.75" defaultRowHeight="12.75" customHeight="1"/>
  <cols>
    <col min="1" max="1" width="2.58203125" style="5" customWidth="1"/>
    <col min="2" max="2" width="10.75" style="1" customWidth="1"/>
    <col min="3" max="3" width="18.75" style="1" customWidth="1"/>
    <col min="4" max="4" width="11.58203125" style="1" bestFit="1" customWidth="1"/>
    <col min="5" max="5" width="13.33203125" style="1" customWidth="1"/>
    <col min="6" max="6" width="16.75" style="1" customWidth="1"/>
    <col min="7" max="7" width="16.83203125" style="1" customWidth="1"/>
    <col min="8" max="8" width="12.83203125" style="1" customWidth="1"/>
    <col min="9" max="9" width="17.08203125" style="1" customWidth="1"/>
    <col min="10" max="10" width="14.08203125" style="1" customWidth="1"/>
    <col min="11" max="11" width="14.25" style="1" customWidth="1"/>
    <col min="12" max="12" width="15" style="1" customWidth="1"/>
    <col min="13" max="13" width="15.83203125" style="1" customWidth="1"/>
    <col min="14" max="14" width="13.83203125" style="1" customWidth="1"/>
    <col min="15" max="15" width="15.83203125" style="1" customWidth="1"/>
    <col min="16" max="16" width="15.08203125" style="1" customWidth="1"/>
    <col min="17" max="17" width="14" style="1" customWidth="1"/>
    <col min="18" max="18" width="15.33203125" style="1" customWidth="1"/>
    <col min="19" max="19" width="16.25" style="1" customWidth="1"/>
    <col min="20" max="20" width="12.75" style="1" customWidth="1"/>
    <col min="21" max="21" width="17.25" style="1" customWidth="1"/>
    <col min="22" max="22" width="12.75" style="1" customWidth="1"/>
    <col min="23" max="23" width="14.75" style="1" customWidth="1"/>
    <col min="24" max="24" width="2.58203125" style="1" customWidth="1"/>
    <col min="25" max="25" width="1.58203125" style="2" customWidth="1"/>
    <col min="26" max="26" width="12.75" style="282" customWidth="1"/>
    <col min="27" max="31" width="12.75" style="1" customWidth="1"/>
    <col min="32" max="80" width="8.75" style="1"/>
    <col min="81" max="81" width="13.08203125" style="3" customWidth="1"/>
    <col min="82" max="82" width="7.33203125" style="3" customWidth="1"/>
    <col min="83" max="92" width="8.75" style="3"/>
    <col min="93" max="93" width="14.33203125" style="3" customWidth="1"/>
    <col min="94" max="99" width="8.75" style="3"/>
    <col min="100" max="100" width="10.33203125" style="3" customWidth="1"/>
    <col min="101" max="104" width="8.75" style="3"/>
    <col min="105" max="105" width="10.08203125" style="3" customWidth="1"/>
    <col min="106" max="106" width="12.33203125" style="3" customWidth="1"/>
    <col min="107" max="107" width="8.75" style="22"/>
    <col min="108" max="108" width="8.75" style="3"/>
    <col min="109" max="109" width="8.75" style="23"/>
    <col min="110" max="16384" width="8.75" style="1"/>
  </cols>
  <sheetData>
    <row r="1" spans="1:111" s="20" customFormat="1" ht="50.15" customHeight="1">
      <c r="A1" s="136"/>
      <c r="B1" s="550" t="s">
        <v>112</v>
      </c>
      <c r="C1" s="551" t="s">
        <v>112</v>
      </c>
      <c r="D1" s="551" t="s">
        <v>112</v>
      </c>
      <c r="E1" s="551" t="s">
        <v>112</v>
      </c>
      <c r="F1" s="551" t="s">
        <v>112</v>
      </c>
      <c r="G1" s="551" t="s">
        <v>112</v>
      </c>
      <c r="H1" s="551" t="s">
        <v>112</v>
      </c>
      <c r="I1" s="551" t="s">
        <v>112</v>
      </c>
      <c r="J1" s="551" t="s">
        <v>112</v>
      </c>
      <c r="K1" s="551" t="s">
        <v>112</v>
      </c>
      <c r="L1" s="551" t="s">
        <v>112</v>
      </c>
      <c r="M1" s="551" t="s">
        <v>112</v>
      </c>
      <c r="N1" s="551" t="s">
        <v>112</v>
      </c>
      <c r="O1" s="551" t="s">
        <v>112</v>
      </c>
      <c r="P1" s="551" t="s">
        <v>112</v>
      </c>
      <c r="Q1" s="551" t="s">
        <v>112</v>
      </c>
      <c r="R1" s="551" t="s">
        <v>112</v>
      </c>
      <c r="S1" s="551" t="s">
        <v>112</v>
      </c>
      <c r="T1" s="551" t="s">
        <v>112</v>
      </c>
      <c r="U1" s="551" t="s">
        <v>112</v>
      </c>
      <c r="V1" s="551" t="s">
        <v>112</v>
      </c>
      <c r="W1" s="552"/>
      <c r="Y1" s="52"/>
      <c r="Z1" s="138"/>
      <c r="AA1" s="137"/>
      <c r="CE1" s="138"/>
      <c r="CF1" s="138"/>
      <c r="CG1" s="138"/>
      <c r="CH1" s="139"/>
      <c r="CI1" s="139"/>
      <c r="CJ1" s="139"/>
      <c r="CK1" s="139"/>
      <c r="CL1" s="139"/>
      <c r="CM1" s="139"/>
      <c r="CN1" s="139"/>
      <c r="CO1" s="139"/>
      <c r="CP1" s="138"/>
      <c r="CQ1" s="139"/>
      <c r="CR1" s="139"/>
      <c r="CS1" s="139"/>
      <c r="CT1" s="139"/>
      <c r="CU1" s="139"/>
      <c r="CV1" s="138"/>
      <c r="CW1" s="138"/>
      <c r="CX1" s="138"/>
      <c r="CY1" s="138"/>
      <c r="CZ1" s="138"/>
      <c r="DA1" s="138"/>
      <c r="DB1" s="138"/>
      <c r="DC1" s="138"/>
      <c r="DD1" s="138"/>
      <c r="DE1" s="140"/>
      <c r="DF1" s="138"/>
      <c r="DG1" s="138"/>
    </row>
    <row r="2" spans="1:111" s="258" customFormat="1" ht="30" customHeight="1">
      <c r="A2" s="252"/>
      <c r="B2" s="253" t="s">
        <v>113</v>
      </c>
      <c r="C2" s="254"/>
      <c r="D2" s="255"/>
      <c r="E2" s="256"/>
      <c r="F2" s="255"/>
      <c r="G2" s="256"/>
      <c r="H2" s="255"/>
      <c r="I2" s="256"/>
      <c r="J2" s="255"/>
      <c r="K2" s="256"/>
      <c r="L2" s="255"/>
      <c r="M2" s="256"/>
      <c r="N2" s="255"/>
      <c r="O2" s="256"/>
      <c r="P2" s="255"/>
      <c r="Q2" s="256"/>
      <c r="R2" s="255"/>
      <c r="S2" s="256"/>
      <c r="T2" s="255"/>
      <c r="U2" s="255"/>
      <c r="V2" s="255"/>
      <c r="W2" s="257"/>
      <c r="Y2" s="250"/>
      <c r="Z2" s="231"/>
      <c r="AA2" s="259"/>
      <c r="CE2" s="231"/>
      <c r="CF2" s="231"/>
      <c r="CG2" s="231"/>
      <c r="CH2" s="260"/>
      <c r="CI2" s="260"/>
      <c r="CJ2" s="260"/>
      <c r="CK2" s="260"/>
      <c r="CL2" s="260"/>
      <c r="CM2" s="260"/>
      <c r="CN2" s="260"/>
      <c r="CO2" s="260"/>
      <c r="CP2" s="231"/>
      <c r="CQ2" s="260"/>
      <c r="CR2" s="260"/>
      <c r="CS2" s="260"/>
      <c r="CT2" s="260"/>
      <c r="CU2" s="260"/>
      <c r="CV2" s="231"/>
      <c r="CW2" s="231"/>
      <c r="CX2" s="231"/>
      <c r="CY2" s="231"/>
      <c r="CZ2" s="231"/>
      <c r="DA2" s="231"/>
      <c r="DB2" s="231"/>
      <c r="DC2" s="231"/>
      <c r="DD2" s="231"/>
      <c r="DE2" s="261"/>
      <c r="DF2" s="231"/>
      <c r="DG2" s="231"/>
    </row>
    <row r="3" spans="1:111" s="20" customFormat="1" ht="12" customHeight="1">
      <c r="A3" s="5"/>
      <c r="B3" s="6"/>
      <c r="Y3" s="52"/>
      <c r="Z3" s="138"/>
      <c r="AA3" s="137"/>
      <c r="CE3" s="138"/>
      <c r="CF3" s="138"/>
      <c r="CG3" s="138"/>
      <c r="CH3" s="139"/>
      <c r="CI3" s="139"/>
      <c r="CJ3" s="139"/>
      <c r="CK3" s="139"/>
      <c r="CL3" s="139"/>
      <c r="CM3" s="139"/>
      <c r="CN3" s="139"/>
      <c r="CO3" s="139"/>
      <c r="CP3" s="138"/>
      <c r="CQ3" s="139"/>
      <c r="CR3" s="139"/>
      <c r="CS3" s="139"/>
      <c r="CT3" s="139"/>
      <c r="CU3" s="139"/>
      <c r="CV3" s="138"/>
      <c r="CW3" s="138"/>
      <c r="CX3" s="138"/>
      <c r="CY3" s="138"/>
      <c r="CZ3" s="138"/>
      <c r="DA3" s="138"/>
      <c r="DB3" s="138"/>
      <c r="DC3" s="138"/>
      <c r="DD3" s="138"/>
      <c r="DE3" s="140"/>
      <c r="DF3" s="138"/>
      <c r="DG3" s="138"/>
    </row>
    <row r="4" spans="1:111" s="20" customFormat="1" ht="12" customHeight="1">
      <c r="A4" s="5"/>
      <c r="B4" s="396" t="s">
        <v>45</v>
      </c>
      <c r="Y4" s="52"/>
      <c r="Z4" s="138"/>
      <c r="AA4" s="137"/>
      <c r="CE4" s="138"/>
      <c r="CF4" s="138"/>
      <c r="CG4" s="138"/>
      <c r="CH4" s="139"/>
      <c r="CI4" s="139"/>
      <c r="CJ4" s="139"/>
      <c r="CK4" s="139"/>
      <c r="CL4" s="139"/>
      <c r="CM4" s="139"/>
      <c r="CN4" s="139"/>
      <c r="CO4" s="139"/>
      <c r="CP4" s="138"/>
      <c r="CQ4" s="139"/>
      <c r="CR4" s="139"/>
      <c r="CS4" s="139"/>
      <c r="CT4" s="139"/>
      <c r="CU4" s="139"/>
      <c r="CV4" s="138"/>
      <c r="CW4" s="138"/>
      <c r="CX4" s="138"/>
      <c r="CY4" s="138"/>
      <c r="CZ4" s="138"/>
      <c r="DA4" s="138"/>
      <c r="DB4" s="138"/>
      <c r="DC4" s="138"/>
      <c r="DD4" s="138"/>
      <c r="DE4" s="140"/>
      <c r="DF4" s="138"/>
      <c r="DG4" s="138"/>
    </row>
    <row r="5" spans="1:111" s="20" customFormat="1" ht="12" customHeight="1">
      <c r="A5" s="5"/>
      <c r="Y5" s="52"/>
      <c r="Z5" s="138"/>
      <c r="AA5" s="137"/>
      <c r="CE5" s="138"/>
      <c r="CF5" s="138"/>
      <c r="CG5" s="138"/>
      <c r="CH5" s="139"/>
      <c r="CI5" s="139"/>
      <c r="CJ5" s="139"/>
      <c r="CK5" s="139"/>
      <c r="CL5" s="139"/>
      <c r="CM5" s="139"/>
      <c r="CN5" s="139"/>
      <c r="CO5" s="139"/>
      <c r="CP5" s="138"/>
      <c r="CQ5" s="139"/>
      <c r="CR5" s="139"/>
      <c r="CS5" s="139"/>
      <c r="CT5" s="139"/>
      <c r="CU5" s="139"/>
      <c r="CV5" s="138"/>
      <c r="CW5" s="138"/>
      <c r="CX5" s="138"/>
      <c r="CY5" s="138"/>
      <c r="CZ5" s="138"/>
      <c r="DA5" s="138"/>
      <c r="DB5" s="138"/>
      <c r="DC5" s="138"/>
      <c r="DD5" s="138"/>
      <c r="DE5" s="140"/>
      <c r="DF5" s="138"/>
      <c r="DG5" s="138"/>
    </row>
    <row r="6" spans="1:111" s="20" customFormat="1" ht="14.5">
      <c r="A6" s="5"/>
      <c r="B6" s="321" t="s">
        <v>114</v>
      </c>
      <c r="C6" s="138"/>
      <c r="D6" s="138"/>
      <c r="E6" s="138"/>
      <c r="F6" s="138"/>
      <c r="G6" s="138"/>
      <c r="H6" s="138"/>
      <c r="I6" s="138"/>
      <c r="J6" s="138"/>
      <c r="K6" s="138"/>
      <c r="L6" s="138"/>
      <c r="Y6" s="52"/>
      <c r="Z6" s="138"/>
      <c r="AA6" s="137"/>
      <c r="CE6" s="138"/>
      <c r="CF6" s="138"/>
      <c r="CG6" s="138"/>
      <c r="CH6" s="139"/>
      <c r="CI6" s="139"/>
      <c r="CJ6" s="139"/>
      <c r="CK6" s="139"/>
      <c r="CL6" s="139"/>
      <c r="CM6" s="139"/>
      <c r="CN6" s="139"/>
      <c r="CO6" s="139"/>
      <c r="CP6" s="138"/>
      <c r="CQ6" s="139"/>
      <c r="CR6" s="139"/>
      <c r="CS6" s="139"/>
      <c r="CT6" s="139"/>
      <c r="CU6" s="139"/>
      <c r="CV6" s="138"/>
      <c r="CW6" s="138"/>
      <c r="CX6" s="138"/>
      <c r="CY6" s="138"/>
      <c r="CZ6" s="138"/>
      <c r="DA6" s="138"/>
      <c r="DB6" s="138"/>
      <c r="DC6" s="138"/>
      <c r="DD6" s="138"/>
      <c r="DE6" s="140"/>
      <c r="DF6" s="138"/>
      <c r="DG6" s="138"/>
    </row>
    <row r="7" spans="1:111" s="20" customFormat="1" ht="14.5">
      <c r="A7" s="5"/>
      <c r="B7" s="321" t="s">
        <v>115</v>
      </c>
      <c r="C7" s="138"/>
      <c r="D7" s="138"/>
      <c r="E7" s="138"/>
      <c r="F7" s="138"/>
      <c r="G7" s="138"/>
      <c r="H7" s="138"/>
      <c r="I7" s="138"/>
      <c r="J7" s="138"/>
      <c r="K7" s="138"/>
      <c r="L7" s="138"/>
      <c r="Y7" s="52"/>
      <c r="Z7" s="138"/>
      <c r="AA7" s="137"/>
      <c r="CE7" s="138"/>
      <c r="CF7" s="138"/>
      <c r="CG7" s="138"/>
      <c r="CH7" s="139"/>
      <c r="CI7" s="139"/>
      <c r="CJ7" s="139"/>
      <c r="CK7" s="139"/>
      <c r="CL7" s="139"/>
      <c r="CM7" s="139"/>
      <c r="CN7" s="139"/>
      <c r="CO7" s="139"/>
      <c r="CP7" s="138"/>
      <c r="CQ7" s="139"/>
      <c r="CR7" s="139"/>
      <c r="CS7" s="139"/>
      <c r="CT7" s="139"/>
      <c r="CU7" s="139"/>
      <c r="CV7" s="138"/>
      <c r="CW7" s="138"/>
      <c r="CX7" s="138"/>
      <c r="CY7" s="138"/>
      <c r="CZ7" s="138"/>
      <c r="DA7" s="138"/>
      <c r="DB7" s="138"/>
      <c r="DC7" s="138"/>
      <c r="DD7" s="138"/>
      <c r="DE7" s="140"/>
      <c r="DF7" s="138"/>
      <c r="DG7" s="138"/>
    </row>
    <row r="8" spans="1:111" s="20" customFormat="1" ht="14.5">
      <c r="A8" s="5"/>
      <c r="B8" s="321" t="s">
        <v>116</v>
      </c>
      <c r="C8" s="138"/>
      <c r="D8" s="138"/>
      <c r="E8" s="138"/>
      <c r="F8" s="138"/>
      <c r="G8" s="138"/>
      <c r="H8" s="138"/>
      <c r="I8" s="138"/>
      <c r="J8" s="138"/>
      <c r="K8" s="138"/>
      <c r="L8" s="138"/>
      <c r="Y8" s="52"/>
      <c r="Z8" s="138"/>
      <c r="AA8" s="137"/>
      <c r="CE8" s="138"/>
      <c r="CF8" s="138"/>
      <c r="CG8" s="138"/>
      <c r="CH8" s="139"/>
      <c r="CI8" s="139"/>
      <c r="CJ8" s="139"/>
      <c r="CK8" s="139"/>
      <c r="CL8" s="139"/>
      <c r="CM8" s="139"/>
      <c r="CN8" s="139"/>
      <c r="CO8" s="139"/>
      <c r="CP8" s="138"/>
      <c r="CQ8" s="139"/>
      <c r="CR8" s="139"/>
      <c r="CS8" s="139"/>
      <c r="CT8" s="139"/>
      <c r="CU8" s="139"/>
      <c r="CV8" s="138"/>
      <c r="CW8" s="138"/>
      <c r="CX8" s="138"/>
      <c r="CY8" s="138"/>
      <c r="CZ8" s="138"/>
      <c r="DA8" s="138"/>
      <c r="DB8" s="138"/>
      <c r="DC8" s="138"/>
      <c r="DD8" s="138"/>
      <c r="DE8" s="140"/>
      <c r="DF8" s="138"/>
      <c r="DG8" s="138"/>
    </row>
    <row r="9" spans="1:111" s="20" customFormat="1" ht="12" customHeight="1">
      <c r="A9" s="5"/>
      <c r="B9" s="5" t="s">
        <v>117</v>
      </c>
      <c r="W9" s="138"/>
      <c r="Y9" s="52"/>
      <c r="Z9" s="138"/>
      <c r="AA9" s="137"/>
      <c r="CE9" s="138"/>
      <c r="CF9" s="138"/>
      <c r="CG9" s="138"/>
      <c r="CH9" s="139"/>
      <c r="CI9" s="139"/>
      <c r="CJ9" s="139"/>
      <c r="CK9" s="139"/>
      <c r="CL9" s="139"/>
      <c r="CM9" s="139"/>
      <c r="CN9" s="139"/>
      <c r="CO9" s="139"/>
      <c r="CP9" s="138"/>
      <c r="CQ9" s="139"/>
      <c r="CR9" s="139"/>
      <c r="CS9" s="139"/>
      <c r="CT9" s="139"/>
      <c r="CU9" s="139"/>
      <c r="CV9" s="138"/>
      <c r="CW9" s="138"/>
      <c r="CX9" s="138"/>
      <c r="CY9" s="138"/>
      <c r="CZ9" s="138"/>
      <c r="DA9" s="138"/>
      <c r="DB9" s="138"/>
      <c r="DC9" s="138"/>
      <c r="DD9" s="138"/>
      <c r="DE9" s="140"/>
      <c r="DF9" s="138"/>
      <c r="DG9" s="138"/>
    </row>
    <row r="10" spans="1:111" s="20" customFormat="1" ht="12.75" customHeight="1">
      <c r="A10" s="5"/>
      <c r="B10" s="329"/>
      <c r="C10" s="322"/>
      <c r="D10" s="323"/>
      <c r="E10" s="169"/>
      <c r="F10" s="170" t="s">
        <v>118</v>
      </c>
      <c r="G10" s="176"/>
      <c r="H10" s="169"/>
      <c r="I10" s="498" t="s">
        <v>445</v>
      </c>
      <c r="J10" s="176"/>
      <c r="K10" s="169"/>
      <c r="L10" s="170" t="s">
        <v>119</v>
      </c>
      <c r="M10" s="176"/>
      <c r="N10" s="169"/>
      <c r="O10" s="170" t="s">
        <v>120</v>
      </c>
      <c r="P10" s="176"/>
      <c r="Q10" s="169"/>
      <c r="R10" s="498" t="s">
        <v>446</v>
      </c>
      <c r="S10" s="176"/>
      <c r="T10" s="169"/>
      <c r="U10" s="170" t="s">
        <v>121</v>
      </c>
      <c r="V10" s="176"/>
      <c r="W10" s="571" t="s">
        <v>122</v>
      </c>
      <c r="Y10" s="52"/>
      <c r="Z10" s="138"/>
    </row>
    <row r="11" spans="1:111" s="20" customFormat="1" ht="12.75" customHeight="1">
      <c r="A11" s="5"/>
      <c r="B11" s="330"/>
      <c r="C11" s="324"/>
      <c r="D11" s="325"/>
      <c r="E11" s="141" t="s">
        <v>123</v>
      </c>
      <c r="F11" s="177" t="s">
        <v>124</v>
      </c>
      <c r="G11" s="141" t="s">
        <v>125</v>
      </c>
      <c r="H11" s="141" t="s">
        <v>123</v>
      </c>
      <c r="I11" s="178" t="s">
        <v>124</v>
      </c>
      <c r="J11" s="141" t="s">
        <v>125</v>
      </c>
      <c r="K11" s="141" t="s">
        <v>123</v>
      </c>
      <c r="L11" s="178" t="s">
        <v>124</v>
      </c>
      <c r="M11" s="141" t="s">
        <v>125</v>
      </c>
      <c r="N11" s="141" t="s">
        <v>123</v>
      </c>
      <c r="O11" s="178" t="s">
        <v>124</v>
      </c>
      <c r="P11" s="141" t="s">
        <v>125</v>
      </c>
      <c r="Q11" s="141" t="s">
        <v>123</v>
      </c>
      <c r="R11" s="178" t="s">
        <v>124</v>
      </c>
      <c r="S11" s="141" t="s">
        <v>125</v>
      </c>
      <c r="T11" s="141" t="s">
        <v>123</v>
      </c>
      <c r="U11" s="178" t="s">
        <v>124</v>
      </c>
      <c r="V11" s="141" t="s">
        <v>125</v>
      </c>
      <c r="W11" s="572"/>
      <c r="Y11" s="52"/>
      <c r="Z11" s="138"/>
    </row>
    <row r="12" spans="1:111" s="20" customFormat="1" ht="12.75" customHeight="1">
      <c r="A12" s="5"/>
      <c r="B12" s="573" t="s">
        <v>126</v>
      </c>
      <c r="C12" s="128" t="s">
        <v>127</v>
      </c>
      <c r="D12" s="326" t="s">
        <v>128</v>
      </c>
      <c r="E12" s="406"/>
      <c r="F12" s="407"/>
      <c r="G12" s="407">
        <f>SUM(E12:F12)</f>
        <v>0</v>
      </c>
      <c r="H12" s="406"/>
      <c r="I12" s="407"/>
      <c r="J12" s="407">
        <f>SUM(H12:I12)</f>
        <v>0</v>
      </c>
      <c r="K12" s="406"/>
      <c r="L12" s="407"/>
      <c r="M12" s="407">
        <f>SUM(K12:L12)</f>
        <v>0</v>
      </c>
      <c r="N12" s="406"/>
      <c r="O12" s="407"/>
      <c r="P12" s="407">
        <f t="shared" ref="P12:P17" si="0">SUM(N12:O12)</f>
        <v>0</v>
      </c>
      <c r="Q12" s="407"/>
      <c r="R12" s="407"/>
      <c r="S12" s="407">
        <f>SUM(Q12:R12)</f>
        <v>0</v>
      </c>
      <c r="T12" s="407">
        <f>SUM(Q12,N12,K12,H12,E12)</f>
        <v>0</v>
      </c>
      <c r="U12" s="407">
        <f>F12+I12+L12+O12+R12</f>
        <v>0</v>
      </c>
      <c r="V12" s="407">
        <f>G12+J12+M12+P12+S12</f>
        <v>0</v>
      </c>
      <c r="W12" s="408">
        <f>V12-'L1.00 Lead sheet'!I42</f>
        <v>0</v>
      </c>
      <c r="Y12" s="52"/>
      <c r="Z12" s="138"/>
    </row>
    <row r="13" spans="1:111" s="20" customFormat="1" ht="12.75" customHeight="1">
      <c r="A13" s="5"/>
      <c r="B13" s="574"/>
      <c r="C13" s="397" t="s">
        <v>129</v>
      </c>
      <c r="D13" s="126" t="s">
        <v>130</v>
      </c>
      <c r="E13" s="409"/>
      <c r="F13" s="410"/>
      <c r="G13" s="410">
        <f>SUM(E13:F13)</f>
        <v>0</v>
      </c>
      <c r="H13" s="409"/>
      <c r="I13" s="410"/>
      <c r="J13" s="410">
        <f>SUM(H13:I13)</f>
        <v>0</v>
      </c>
      <c r="K13" s="409"/>
      <c r="L13" s="410"/>
      <c r="M13" s="410">
        <f t="shared" ref="M13:M17" si="1">SUM(K13:L13)</f>
        <v>0</v>
      </c>
      <c r="N13" s="409"/>
      <c r="O13" s="410"/>
      <c r="P13" s="410">
        <f t="shared" si="0"/>
        <v>0</v>
      </c>
      <c r="Q13" s="410"/>
      <c r="R13" s="410"/>
      <c r="S13" s="410">
        <f t="shared" ref="S13:S17" si="2">SUM(Q13:R13)</f>
        <v>0</v>
      </c>
      <c r="T13" s="410">
        <f t="shared" ref="T13:T17" si="3">SUM(Q13,N13,K13,H13,E13)</f>
        <v>0</v>
      </c>
      <c r="U13" s="410">
        <f t="shared" ref="U13:V31" si="4">F13+I13+L13+O13+R13</f>
        <v>0</v>
      </c>
      <c r="V13" s="410">
        <f t="shared" si="4"/>
        <v>0</v>
      </c>
      <c r="W13" s="412"/>
      <c r="Y13" s="52"/>
      <c r="Z13" s="138"/>
    </row>
    <row r="14" spans="1:111" s="20" customFormat="1" ht="12.75" customHeight="1">
      <c r="A14" s="5"/>
      <c r="B14" s="574"/>
      <c r="C14" s="499" t="s">
        <v>447</v>
      </c>
      <c r="D14" s="126"/>
      <c r="E14" s="409"/>
      <c r="F14" s="410"/>
      <c r="G14" s="410"/>
      <c r="H14" s="409"/>
      <c r="I14" s="410"/>
      <c r="J14" s="410">
        <f>SUM(H14:I14)</f>
        <v>0</v>
      </c>
      <c r="K14" s="409"/>
      <c r="L14" s="410"/>
      <c r="M14" s="410"/>
      <c r="N14" s="409"/>
      <c r="O14" s="410"/>
      <c r="P14" s="410"/>
      <c r="Q14" s="410"/>
      <c r="R14" s="410"/>
      <c r="S14" s="410"/>
      <c r="T14" s="410"/>
      <c r="U14" s="410"/>
      <c r="V14" s="410"/>
      <c r="W14" s="412"/>
      <c r="Y14" s="52"/>
      <c r="Z14" s="138"/>
    </row>
    <row r="15" spans="1:111" s="20" customFormat="1" ht="12.75" customHeight="1">
      <c r="A15" s="5"/>
      <c r="B15" s="574"/>
      <c r="C15" s="398" t="s">
        <v>131</v>
      </c>
      <c r="D15" s="126"/>
      <c r="E15" s="409"/>
      <c r="F15" s="410"/>
      <c r="G15" s="410">
        <f t="shared" ref="G15:G17" si="5">SUM(E15:F15)</f>
        <v>0</v>
      </c>
      <c r="H15" s="409"/>
      <c r="I15" s="410"/>
      <c r="J15" s="410">
        <f t="shared" ref="J15:J17" si="6">SUM(H15:I15)</f>
        <v>0</v>
      </c>
      <c r="K15" s="409"/>
      <c r="L15" s="410"/>
      <c r="M15" s="410">
        <f t="shared" si="1"/>
        <v>0</v>
      </c>
      <c r="N15" s="409"/>
      <c r="O15" s="410"/>
      <c r="P15" s="410">
        <f t="shared" si="0"/>
        <v>0</v>
      </c>
      <c r="Q15" s="410"/>
      <c r="R15" s="410"/>
      <c r="S15" s="410">
        <f t="shared" si="2"/>
        <v>0</v>
      </c>
      <c r="T15" s="410">
        <f t="shared" si="3"/>
        <v>0</v>
      </c>
      <c r="U15" s="410">
        <f t="shared" si="4"/>
        <v>0</v>
      </c>
      <c r="V15" s="410">
        <f t="shared" si="4"/>
        <v>0</v>
      </c>
      <c r="W15" s="412"/>
      <c r="Y15" s="52"/>
      <c r="Z15" s="138"/>
    </row>
    <row r="16" spans="1:111" s="20" customFormat="1" ht="12.75" customHeight="1">
      <c r="A16" s="5"/>
      <c r="B16" s="574"/>
      <c r="C16" s="397" t="s">
        <v>132</v>
      </c>
      <c r="D16" s="126" t="s">
        <v>133</v>
      </c>
      <c r="E16" s="409"/>
      <c r="F16" s="410"/>
      <c r="G16" s="410">
        <f t="shared" si="5"/>
        <v>0</v>
      </c>
      <c r="H16" s="409"/>
      <c r="I16" s="410"/>
      <c r="J16" s="410">
        <f t="shared" si="6"/>
        <v>0</v>
      </c>
      <c r="K16" s="409"/>
      <c r="L16" s="410"/>
      <c r="M16" s="410">
        <f t="shared" si="1"/>
        <v>0</v>
      </c>
      <c r="N16" s="409"/>
      <c r="O16" s="410"/>
      <c r="P16" s="410">
        <f t="shared" si="0"/>
        <v>0</v>
      </c>
      <c r="Q16" s="410"/>
      <c r="R16" s="410"/>
      <c r="S16" s="410">
        <f t="shared" si="2"/>
        <v>0</v>
      </c>
      <c r="T16" s="410">
        <f t="shared" si="3"/>
        <v>0</v>
      </c>
      <c r="U16" s="410">
        <f t="shared" si="4"/>
        <v>0</v>
      </c>
      <c r="V16" s="410">
        <f t="shared" si="4"/>
        <v>0</v>
      </c>
      <c r="W16" s="412"/>
      <c r="Y16" s="52"/>
      <c r="Z16" s="138"/>
    </row>
    <row r="17" spans="1:26" s="20" customFormat="1" ht="12.75" customHeight="1">
      <c r="A17" s="5"/>
      <c r="B17" s="574"/>
      <c r="C17" s="397" t="s">
        <v>134</v>
      </c>
      <c r="D17" s="126"/>
      <c r="E17" s="409"/>
      <c r="F17" s="410"/>
      <c r="G17" s="410">
        <f t="shared" si="5"/>
        <v>0</v>
      </c>
      <c r="H17" s="409"/>
      <c r="I17" s="410"/>
      <c r="J17" s="410">
        <f t="shared" si="6"/>
        <v>0</v>
      </c>
      <c r="K17" s="409"/>
      <c r="L17" s="410"/>
      <c r="M17" s="410">
        <f t="shared" si="1"/>
        <v>0</v>
      </c>
      <c r="N17" s="409"/>
      <c r="O17" s="410"/>
      <c r="P17" s="410">
        <f t="shared" si="0"/>
        <v>0</v>
      </c>
      <c r="Q17" s="410"/>
      <c r="R17" s="410"/>
      <c r="S17" s="410">
        <f t="shared" si="2"/>
        <v>0</v>
      </c>
      <c r="T17" s="410">
        <f t="shared" si="3"/>
        <v>0</v>
      </c>
      <c r="U17" s="410">
        <f t="shared" si="4"/>
        <v>0</v>
      </c>
      <c r="V17" s="410">
        <f t="shared" si="4"/>
        <v>0</v>
      </c>
      <c r="W17" s="412"/>
      <c r="Y17" s="52"/>
      <c r="Z17" s="138"/>
    </row>
    <row r="18" spans="1:26" s="20" customFormat="1" ht="12.75" customHeight="1">
      <c r="A18" s="5"/>
      <c r="B18" s="575"/>
      <c r="C18" s="128" t="s">
        <v>135</v>
      </c>
      <c r="D18" s="129" t="s">
        <v>136</v>
      </c>
      <c r="E18" s="406">
        <f>SUM(E12:E17)</f>
        <v>0</v>
      </c>
      <c r="F18" s="406">
        <f t="shared" ref="F18:V18" si="7">SUM(F12:F17)</f>
        <v>0</v>
      </c>
      <c r="G18" s="406">
        <f t="shared" si="7"/>
        <v>0</v>
      </c>
      <c r="H18" s="406">
        <f>SUM(H12:H17)</f>
        <v>0</v>
      </c>
      <c r="I18" s="406">
        <f t="shared" si="7"/>
        <v>0</v>
      </c>
      <c r="J18" s="406">
        <f t="shared" si="7"/>
        <v>0</v>
      </c>
      <c r="K18" s="406">
        <f t="shared" si="7"/>
        <v>0</v>
      </c>
      <c r="L18" s="406">
        <f t="shared" si="7"/>
        <v>0</v>
      </c>
      <c r="M18" s="406">
        <f t="shared" si="7"/>
        <v>0</v>
      </c>
      <c r="N18" s="406">
        <f t="shared" si="7"/>
        <v>0</v>
      </c>
      <c r="O18" s="406">
        <f t="shared" si="7"/>
        <v>0</v>
      </c>
      <c r="P18" s="406">
        <f t="shared" si="7"/>
        <v>0</v>
      </c>
      <c r="Q18" s="406">
        <f t="shared" si="7"/>
        <v>0</v>
      </c>
      <c r="R18" s="406">
        <f t="shared" si="7"/>
        <v>0</v>
      </c>
      <c r="S18" s="406">
        <f t="shared" si="7"/>
        <v>0</v>
      </c>
      <c r="T18" s="407">
        <f t="shared" si="7"/>
        <v>0</v>
      </c>
      <c r="U18" s="406">
        <f t="shared" si="7"/>
        <v>0</v>
      </c>
      <c r="V18" s="406">
        <f t="shared" si="7"/>
        <v>0</v>
      </c>
      <c r="W18" s="408">
        <f>V18-'L1.00 Lead sheet'!I42</f>
        <v>0</v>
      </c>
      <c r="Y18" s="52"/>
      <c r="Z18" s="138"/>
    </row>
    <row r="19" spans="1:26" s="20" customFormat="1" ht="12.75" customHeight="1">
      <c r="A19" s="5"/>
      <c r="B19" s="466"/>
      <c r="C19" s="128" t="s">
        <v>127</v>
      </c>
      <c r="D19" s="327" t="s">
        <v>128</v>
      </c>
      <c r="E19" s="407"/>
      <c r="F19" s="407"/>
      <c r="G19" s="407">
        <f>SUM(E19:F19)</f>
        <v>0</v>
      </c>
      <c r="H19" s="407"/>
      <c r="I19" s="407"/>
      <c r="J19" s="407">
        <f>SUM(H19:I19)</f>
        <v>0</v>
      </c>
      <c r="K19" s="407"/>
      <c r="L19" s="407"/>
      <c r="M19" s="407">
        <f>SUM(K19:L19)</f>
        <v>0</v>
      </c>
      <c r="N19" s="407"/>
      <c r="O19" s="407"/>
      <c r="P19" s="407">
        <f>SUM(N19:O19)</f>
        <v>0</v>
      </c>
      <c r="Q19" s="407"/>
      <c r="R19" s="407"/>
      <c r="S19" s="407">
        <f>SUM(Q19:R19)</f>
        <v>0</v>
      </c>
      <c r="T19" s="407">
        <f>SUM(Q19,N19,K19,H19,E19)</f>
        <v>0</v>
      </c>
      <c r="U19" s="407">
        <f t="shared" si="4"/>
        <v>0</v>
      </c>
      <c r="V19" s="407">
        <f t="shared" si="4"/>
        <v>0</v>
      </c>
      <c r="W19" s="408">
        <f>V19-'L1.00 Lead sheet'!I43</f>
        <v>0</v>
      </c>
      <c r="Y19" s="52"/>
      <c r="Z19" s="138"/>
    </row>
    <row r="20" spans="1:26" s="20" customFormat="1" ht="12.75" customHeight="1">
      <c r="A20" s="5"/>
      <c r="B20" s="468"/>
      <c r="C20" s="397" t="s">
        <v>137</v>
      </c>
      <c r="D20" s="126" t="s">
        <v>138</v>
      </c>
      <c r="E20" s="410"/>
      <c r="F20" s="410"/>
      <c r="G20" s="410">
        <f>SUM(E20:F20)</f>
        <v>0</v>
      </c>
      <c r="H20" s="410"/>
      <c r="I20" s="410"/>
      <c r="J20" s="410">
        <f>SUM(H20:I20)</f>
        <v>0</v>
      </c>
      <c r="K20" s="410"/>
      <c r="L20" s="410"/>
      <c r="M20" s="410">
        <f>SUM(K20:L20)</f>
        <v>0</v>
      </c>
      <c r="N20" s="410"/>
      <c r="O20" s="410"/>
      <c r="P20" s="410">
        <f>SUM(N20:O20)</f>
        <v>0</v>
      </c>
      <c r="Q20" s="410"/>
      <c r="R20" s="410"/>
      <c r="S20" s="410">
        <f>SUM(Q20:R20)</f>
        <v>0</v>
      </c>
      <c r="T20" s="410">
        <f t="shared" ref="T20:T23" si="8">SUM(Q20,N20,K20,H20,E20)</f>
        <v>0</v>
      </c>
      <c r="U20" s="410">
        <f t="shared" si="4"/>
        <v>0</v>
      </c>
      <c r="V20" s="410">
        <f t="shared" si="4"/>
        <v>0</v>
      </c>
      <c r="W20" s="412">
        <f>V20+'L1.03 摊销测试'!H18</f>
        <v>0</v>
      </c>
      <c r="Y20" s="52"/>
      <c r="Z20" s="138"/>
    </row>
    <row r="21" spans="1:26" s="20" customFormat="1" ht="12.75" customHeight="1">
      <c r="A21" s="5"/>
      <c r="B21" s="468"/>
      <c r="C21" s="499" t="s">
        <v>447</v>
      </c>
      <c r="D21" s="126"/>
      <c r="E21" s="410"/>
      <c r="F21" s="410"/>
      <c r="G21" s="410"/>
      <c r="H21" s="410"/>
      <c r="I21" s="410"/>
      <c r="J21" s="410"/>
      <c r="K21" s="410"/>
      <c r="L21" s="410"/>
      <c r="M21" s="410"/>
      <c r="N21" s="410"/>
      <c r="O21" s="410"/>
      <c r="P21" s="410"/>
      <c r="Q21" s="410"/>
      <c r="R21" s="410"/>
      <c r="S21" s="410"/>
      <c r="T21" s="410"/>
      <c r="U21" s="410"/>
      <c r="V21" s="410"/>
      <c r="W21" s="412"/>
      <c r="Y21" s="52"/>
      <c r="Z21" s="138"/>
    </row>
    <row r="22" spans="1:26" s="20" customFormat="1" ht="12.75" customHeight="1">
      <c r="A22" s="5"/>
      <c r="B22" s="468" t="s">
        <v>139</v>
      </c>
      <c r="C22" s="397" t="s">
        <v>132</v>
      </c>
      <c r="D22" s="126" t="s">
        <v>133</v>
      </c>
      <c r="E22" s="410"/>
      <c r="F22" s="410"/>
      <c r="G22" s="410">
        <f>SUM(E22:F22)</f>
        <v>0</v>
      </c>
      <c r="H22" s="410"/>
      <c r="I22" s="410"/>
      <c r="J22" s="410">
        <f>SUM(H22:I22)</f>
        <v>0</v>
      </c>
      <c r="K22" s="410"/>
      <c r="L22" s="410"/>
      <c r="M22" s="410">
        <f>SUM(K22:L22)</f>
        <v>0</v>
      </c>
      <c r="N22" s="410"/>
      <c r="O22" s="410"/>
      <c r="P22" s="410">
        <f>SUM(N22:O22)</f>
        <v>0</v>
      </c>
      <c r="Q22" s="410"/>
      <c r="R22" s="410"/>
      <c r="S22" s="410">
        <f>SUM(Q22:R22)</f>
        <v>0</v>
      </c>
      <c r="T22" s="410">
        <f t="shared" si="8"/>
        <v>0</v>
      </c>
      <c r="U22" s="410">
        <f t="shared" si="4"/>
        <v>0</v>
      </c>
      <c r="V22" s="410">
        <f t="shared" si="4"/>
        <v>0</v>
      </c>
      <c r="W22" s="412"/>
      <c r="Y22" s="52"/>
      <c r="Z22" s="138"/>
    </row>
    <row r="23" spans="1:26" s="20" customFormat="1" ht="12.75" customHeight="1">
      <c r="A23" s="5"/>
      <c r="B23" s="468"/>
      <c r="C23" s="397" t="s">
        <v>134</v>
      </c>
      <c r="D23" s="126"/>
      <c r="E23" s="410"/>
      <c r="F23" s="410"/>
      <c r="G23" s="410">
        <f>SUM(E23:F23)</f>
        <v>0</v>
      </c>
      <c r="H23" s="410"/>
      <c r="I23" s="410"/>
      <c r="J23" s="410">
        <f>SUM(H23:I23)</f>
        <v>0</v>
      </c>
      <c r="K23" s="410"/>
      <c r="L23" s="410"/>
      <c r="M23" s="410">
        <f>SUM(K23:L23)</f>
        <v>0</v>
      </c>
      <c r="N23" s="410"/>
      <c r="O23" s="410"/>
      <c r="P23" s="410">
        <f>SUM(N23:O23)</f>
        <v>0</v>
      </c>
      <c r="Q23" s="410"/>
      <c r="R23" s="410"/>
      <c r="S23" s="410">
        <f>SUM(Q23:R23)</f>
        <v>0</v>
      </c>
      <c r="T23" s="410">
        <f t="shared" si="8"/>
        <v>0</v>
      </c>
      <c r="U23" s="410">
        <f t="shared" si="4"/>
        <v>0</v>
      </c>
      <c r="V23" s="410">
        <f t="shared" si="4"/>
        <v>0</v>
      </c>
      <c r="W23" s="412"/>
      <c r="Y23" s="52"/>
      <c r="Z23" s="138"/>
    </row>
    <row r="24" spans="1:26" s="20" customFormat="1" ht="12.75" customHeight="1">
      <c r="A24" s="5"/>
      <c r="B24" s="467"/>
      <c r="C24" s="128" t="str">
        <f>C18</f>
        <v>年末余额</v>
      </c>
      <c r="D24" s="129" t="s">
        <v>136</v>
      </c>
      <c r="E24" s="406">
        <f>SUM(E19:E23)</f>
        <v>0</v>
      </c>
      <c r="F24" s="406">
        <f t="shared" ref="F24:V24" si="9">SUM(F19:F23)</f>
        <v>0</v>
      </c>
      <c r="G24" s="406">
        <f t="shared" si="9"/>
        <v>0</v>
      </c>
      <c r="H24" s="406">
        <f t="shared" si="9"/>
        <v>0</v>
      </c>
      <c r="I24" s="406">
        <f t="shared" si="9"/>
        <v>0</v>
      </c>
      <c r="J24" s="406">
        <f t="shared" si="9"/>
        <v>0</v>
      </c>
      <c r="K24" s="406">
        <f t="shared" si="9"/>
        <v>0</v>
      </c>
      <c r="L24" s="406">
        <f t="shared" si="9"/>
        <v>0</v>
      </c>
      <c r="M24" s="406">
        <f t="shared" si="9"/>
        <v>0</v>
      </c>
      <c r="N24" s="406">
        <f t="shared" si="9"/>
        <v>0</v>
      </c>
      <c r="O24" s="406">
        <f t="shared" si="9"/>
        <v>0</v>
      </c>
      <c r="P24" s="406">
        <f t="shared" si="9"/>
        <v>0</v>
      </c>
      <c r="Q24" s="406">
        <f t="shared" si="9"/>
        <v>0</v>
      </c>
      <c r="R24" s="406">
        <f t="shared" si="9"/>
        <v>0</v>
      </c>
      <c r="S24" s="406">
        <f t="shared" si="9"/>
        <v>0</v>
      </c>
      <c r="T24" s="407">
        <f t="shared" si="9"/>
        <v>0</v>
      </c>
      <c r="U24" s="406">
        <f t="shared" si="9"/>
        <v>0</v>
      </c>
      <c r="V24" s="406">
        <f t="shared" si="9"/>
        <v>0</v>
      </c>
      <c r="W24" s="408">
        <f>V24-'L1.00 Lead sheet'!I43</f>
        <v>0</v>
      </c>
      <c r="Y24" s="52"/>
      <c r="Z24" s="138"/>
    </row>
    <row r="25" spans="1:26" s="20" customFormat="1" ht="12.75" customHeight="1">
      <c r="A25" s="5"/>
      <c r="B25" s="466"/>
      <c r="C25" s="128" t="s">
        <v>127</v>
      </c>
      <c r="D25" s="327" t="s">
        <v>128</v>
      </c>
      <c r="E25" s="407"/>
      <c r="F25" s="407"/>
      <c r="G25" s="407">
        <f>SUM(E25:F25)</f>
        <v>0</v>
      </c>
      <c r="H25" s="407"/>
      <c r="I25" s="407"/>
      <c r="J25" s="407">
        <f>SUM(H25:I25)</f>
        <v>0</v>
      </c>
      <c r="K25" s="407"/>
      <c r="L25" s="407"/>
      <c r="M25" s="407">
        <f>SUM(K25:L25)</f>
        <v>0</v>
      </c>
      <c r="N25" s="407"/>
      <c r="O25" s="407"/>
      <c r="P25" s="407">
        <f>SUM(N25:O25)</f>
        <v>0</v>
      </c>
      <c r="Q25" s="407"/>
      <c r="R25" s="407"/>
      <c r="S25" s="407">
        <f>SUM(Q25:R25)</f>
        <v>0</v>
      </c>
      <c r="T25" s="407">
        <f>SUM(Q25,N25,K25,H25,E25)</f>
        <v>0</v>
      </c>
      <c r="U25" s="407">
        <f t="shared" si="4"/>
        <v>0</v>
      </c>
      <c r="V25" s="407">
        <f t="shared" si="4"/>
        <v>0</v>
      </c>
      <c r="W25" s="408">
        <f>V25-'L1.00 Lead sheet'!J44</f>
        <v>0</v>
      </c>
      <c r="Y25" s="52"/>
      <c r="Z25" s="138"/>
    </row>
    <row r="26" spans="1:26" s="20" customFormat="1" ht="12.75" customHeight="1">
      <c r="A26" s="5"/>
      <c r="B26" s="468"/>
      <c r="C26" s="397" t="s">
        <v>137</v>
      </c>
      <c r="D26" s="126" t="s">
        <v>140</v>
      </c>
      <c r="E26" s="410"/>
      <c r="F26" s="410"/>
      <c r="G26" s="410">
        <f>SUM(E26:F26)</f>
        <v>0</v>
      </c>
      <c r="H26" s="410"/>
      <c r="I26" s="410"/>
      <c r="J26" s="410">
        <f>SUM(H26:I26)</f>
        <v>0</v>
      </c>
      <c r="K26" s="410"/>
      <c r="L26" s="410"/>
      <c r="M26" s="410">
        <f>SUM(K26:L26)</f>
        <v>0</v>
      </c>
      <c r="N26" s="410"/>
      <c r="O26" s="410"/>
      <c r="P26" s="410">
        <f>SUM(N26:O26)</f>
        <v>0</v>
      </c>
      <c r="Q26" s="410"/>
      <c r="R26" s="410"/>
      <c r="S26" s="410">
        <f>SUM(Q26:R26)</f>
        <v>0</v>
      </c>
      <c r="T26" s="410">
        <f t="shared" ref="T26:T28" si="10">SUM(Q26,N26,K26,H26,E26)</f>
        <v>0</v>
      </c>
      <c r="U26" s="410">
        <f t="shared" si="4"/>
        <v>0</v>
      </c>
      <c r="V26" s="410">
        <f t="shared" si="4"/>
        <v>0</v>
      </c>
      <c r="W26" s="412"/>
      <c r="Y26" s="52"/>
      <c r="Z26" s="138"/>
    </row>
    <row r="27" spans="1:26" s="20" customFormat="1" ht="12.75" customHeight="1">
      <c r="A27" s="5"/>
      <c r="B27" s="468" t="s">
        <v>141</v>
      </c>
      <c r="C27" s="397" t="s">
        <v>132</v>
      </c>
      <c r="D27" s="126" t="s">
        <v>133</v>
      </c>
      <c r="E27" s="410"/>
      <c r="F27" s="410"/>
      <c r="G27" s="410">
        <f>SUM(E27:F27)</f>
        <v>0</v>
      </c>
      <c r="H27" s="410"/>
      <c r="I27" s="410"/>
      <c r="J27" s="410">
        <f>SUM(H27:I27)</f>
        <v>0</v>
      </c>
      <c r="K27" s="410"/>
      <c r="L27" s="410"/>
      <c r="M27" s="410">
        <f>SUM(K27:L27)</f>
        <v>0</v>
      </c>
      <c r="N27" s="410"/>
      <c r="O27" s="410"/>
      <c r="P27" s="410">
        <f>SUM(N27:O27)</f>
        <v>0</v>
      </c>
      <c r="Q27" s="410"/>
      <c r="R27" s="410"/>
      <c r="S27" s="410">
        <f>SUM(Q27:R27)</f>
        <v>0</v>
      </c>
      <c r="T27" s="410">
        <f t="shared" si="10"/>
        <v>0</v>
      </c>
      <c r="U27" s="410">
        <f t="shared" si="4"/>
        <v>0</v>
      </c>
      <c r="V27" s="410">
        <f t="shared" si="4"/>
        <v>0</v>
      </c>
      <c r="W27" s="412"/>
      <c r="Y27" s="52"/>
      <c r="Z27" s="138"/>
    </row>
    <row r="28" spans="1:26" s="20" customFormat="1" ht="12.75" customHeight="1">
      <c r="A28" s="5"/>
      <c r="B28" s="468"/>
      <c r="C28" s="397" t="s">
        <v>134</v>
      </c>
      <c r="D28" s="328" t="s">
        <v>140</v>
      </c>
      <c r="E28" s="410"/>
      <c r="F28" s="410"/>
      <c r="G28" s="410">
        <f>SUM(E28:F28)</f>
        <v>0</v>
      </c>
      <c r="H28" s="410"/>
      <c r="I28" s="410"/>
      <c r="J28" s="410">
        <f>SUM(H28:I28)</f>
        <v>0</v>
      </c>
      <c r="K28" s="410"/>
      <c r="L28" s="410"/>
      <c r="M28" s="410">
        <f>SUM(K28:L28)</f>
        <v>0</v>
      </c>
      <c r="N28" s="410"/>
      <c r="O28" s="410"/>
      <c r="P28" s="410">
        <f>SUM(N28:O28)</f>
        <v>0</v>
      </c>
      <c r="Q28" s="410"/>
      <c r="R28" s="410"/>
      <c r="S28" s="410">
        <f>SUM(Q28:R28)</f>
        <v>0</v>
      </c>
      <c r="T28" s="410">
        <f t="shared" si="10"/>
        <v>0</v>
      </c>
      <c r="U28" s="410">
        <f t="shared" si="4"/>
        <v>0</v>
      </c>
      <c r="V28" s="410">
        <f t="shared" si="4"/>
        <v>0</v>
      </c>
      <c r="W28" s="412"/>
      <c r="Y28" s="52"/>
      <c r="Z28" s="138"/>
    </row>
    <row r="29" spans="1:26" s="20" customFormat="1" ht="12.75" customHeight="1">
      <c r="A29" s="5"/>
      <c r="B29" s="467"/>
      <c r="C29" s="128" t="str">
        <f>C18</f>
        <v>年末余额</v>
      </c>
      <c r="D29" s="129" t="s">
        <v>136</v>
      </c>
      <c r="E29" s="406">
        <f>SUM(E25:E28)</f>
        <v>0</v>
      </c>
      <c r="F29" s="406">
        <f t="shared" ref="F29:V29" si="11">SUM(F25:F28)</f>
        <v>0</v>
      </c>
      <c r="G29" s="406">
        <f t="shared" si="11"/>
        <v>0</v>
      </c>
      <c r="H29" s="406">
        <f t="shared" si="11"/>
        <v>0</v>
      </c>
      <c r="I29" s="406">
        <f t="shared" si="11"/>
        <v>0</v>
      </c>
      <c r="J29" s="406">
        <f t="shared" si="11"/>
        <v>0</v>
      </c>
      <c r="K29" s="406">
        <f t="shared" si="11"/>
        <v>0</v>
      </c>
      <c r="L29" s="406">
        <f t="shared" si="11"/>
        <v>0</v>
      </c>
      <c r="M29" s="406">
        <f t="shared" si="11"/>
        <v>0</v>
      </c>
      <c r="N29" s="406">
        <f t="shared" si="11"/>
        <v>0</v>
      </c>
      <c r="O29" s="406">
        <f t="shared" si="11"/>
        <v>0</v>
      </c>
      <c r="P29" s="406">
        <f t="shared" si="11"/>
        <v>0</v>
      </c>
      <c r="Q29" s="406">
        <f t="shared" si="11"/>
        <v>0</v>
      </c>
      <c r="R29" s="406">
        <f t="shared" si="11"/>
        <v>0</v>
      </c>
      <c r="S29" s="406">
        <f t="shared" si="11"/>
        <v>0</v>
      </c>
      <c r="T29" s="407">
        <f>SUM(T25:T28)</f>
        <v>0</v>
      </c>
      <c r="U29" s="406">
        <f t="shared" si="11"/>
        <v>0</v>
      </c>
      <c r="V29" s="406">
        <f t="shared" si="11"/>
        <v>0</v>
      </c>
      <c r="W29" s="408">
        <f>V29-'L1.00 Lead sheet'!I44</f>
        <v>0</v>
      </c>
      <c r="Y29" s="52"/>
      <c r="Z29" s="138"/>
    </row>
    <row r="30" spans="1:26" s="138" customFormat="1" ht="12.75" customHeight="1">
      <c r="A30" s="21"/>
      <c r="B30" s="576" t="s">
        <v>142</v>
      </c>
      <c r="C30" s="128" t="str">
        <f>C18</f>
        <v>年末余额</v>
      </c>
      <c r="D30" s="129" t="s">
        <v>136</v>
      </c>
      <c r="E30" s="406">
        <f>E18-E24-E29</f>
        <v>0</v>
      </c>
      <c r="F30" s="406">
        <f>F18-F24-F29</f>
        <v>0</v>
      </c>
      <c r="G30" s="406">
        <f t="shared" ref="G30:S30" si="12">G18-G24-G29</f>
        <v>0</v>
      </c>
      <c r="H30" s="406">
        <f t="shared" si="12"/>
        <v>0</v>
      </c>
      <c r="I30" s="406">
        <f t="shared" si="12"/>
        <v>0</v>
      </c>
      <c r="J30" s="406">
        <f t="shared" si="12"/>
        <v>0</v>
      </c>
      <c r="K30" s="406">
        <f t="shared" si="12"/>
        <v>0</v>
      </c>
      <c r="L30" s="406">
        <f t="shared" si="12"/>
        <v>0</v>
      </c>
      <c r="M30" s="406">
        <f t="shared" si="12"/>
        <v>0</v>
      </c>
      <c r="N30" s="406">
        <f t="shared" si="12"/>
        <v>0</v>
      </c>
      <c r="O30" s="406">
        <f t="shared" si="12"/>
        <v>0</v>
      </c>
      <c r="P30" s="407">
        <f t="shared" si="12"/>
        <v>0</v>
      </c>
      <c r="Q30" s="407">
        <f t="shared" si="12"/>
        <v>0</v>
      </c>
      <c r="R30" s="407">
        <f t="shared" si="12"/>
        <v>0</v>
      </c>
      <c r="S30" s="407">
        <f t="shared" si="12"/>
        <v>0</v>
      </c>
      <c r="T30" s="407">
        <f>SUM(S30,N30,K30,H30,E30)</f>
        <v>0</v>
      </c>
      <c r="U30" s="406">
        <f t="shared" si="4"/>
        <v>0</v>
      </c>
      <c r="V30" s="406">
        <f t="shared" si="4"/>
        <v>0</v>
      </c>
      <c r="W30" s="408">
        <f>V30-'L1.00 Lead sheet'!I48</f>
        <v>0</v>
      </c>
      <c r="Y30" s="52"/>
    </row>
    <row r="31" spans="1:26" s="20" customFormat="1" ht="12.75" customHeight="1">
      <c r="A31" s="5"/>
      <c r="B31" s="577"/>
      <c r="C31" s="127" t="str">
        <f>C12</f>
        <v>年初余额</v>
      </c>
      <c r="D31" s="130" t="s">
        <v>136</v>
      </c>
      <c r="E31" s="406">
        <f t="shared" ref="E31:S31" si="13">E12-E19-E25</f>
        <v>0</v>
      </c>
      <c r="F31" s="406">
        <f t="shared" si="13"/>
        <v>0</v>
      </c>
      <c r="G31" s="406">
        <f t="shared" si="13"/>
        <v>0</v>
      </c>
      <c r="H31" s="406">
        <f t="shared" si="13"/>
        <v>0</v>
      </c>
      <c r="I31" s="406">
        <f t="shared" si="13"/>
        <v>0</v>
      </c>
      <c r="J31" s="406">
        <f t="shared" si="13"/>
        <v>0</v>
      </c>
      <c r="K31" s="406">
        <f t="shared" si="13"/>
        <v>0</v>
      </c>
      <c r="L31" s="406">
        <f t="shared" si="13"/>
        <v>0</v>
      </c>
      <c r="M31" s="406">
        <f t="shared" si="13"/>
        <v>0</v>
      </c>
      <c r="N31" s="406">
        <f t="shared" si="13"/>
        <v>0</v>
      </c>
      <c r="O31" s="406">
        <f t="shared" si="13"/>
        <v>0</v>
      </c>
      <c r="P31" s="406">
        <f t="shared" si="13"/>
        <v>0</v>
      </c>
      <c r="Q31" s="406">
        <f t="shared" si="13"/>
        <v>0</v>
      </c>
      <c r="R31" s="406">
        <f t="shared" si="13"/>
        <v>0</v>
      </c>
      <c r="S31" s="406">
        <f t="shared" si="13"/>
        <v>0</v>
      </c>
      <c r="T31" s="407">
        <f>SUM(S31,N31,K31,H31,E31)</f>
        <v>0</v>
      </c>
      <c r="U31" s="406">
        <f t="shared" si="4"/>
        <v>0</v>
      </c>
      <c r="V31" s="406">
        <f t="shared" si="4"/>
        <v>0</v>
      </c>
      <c r="W31" s="408">
        <f>V31-'L1.00 Lead sheet'!I48</f>
        <v>0</v>
      </c>
      <c r="Y31" s="52"/>
      <c r="Z31" s="138"/>
    </row>
    <row r="32" spans="1:26" s="20" customFormat="1" ht="12.75" customHeight="1">
      <c r="A32" s="5"/>
      <c r="B32" s="576" t="s">
        <v>143</v>
      </c>
      <c r="C32" s="399" t="s">
        <v>144</v>
      </c>
      <c r="D32" s="401" t="s">
        <v>145</v>
      </c>
      <c r="E32" s="409">
        <f>E18-E12</f>
        <v>0</v>
      </c>
      <c r="F32" s="409">
        <f t="shared" ref="F32:U32" si="14">F18-F12</f>
        <v>0</v>
      </c>
      <c r="G32" s="409">
        <f>G18-G12</f>
        <v>0</v>
      </c>
      <c r="H32" s="409">
        <f>H18-H12</f>
        <v>0</v>
      </c>
      <c r="I32" s="409">
        <f t="shared" si="14"/>
        <v>0</v>
      </c>
      <c r="J32" s="409">
        <f>J18-J12</f>
        <v>0</v>
      </c>
      <c r="K32" s="409">
        <f>K18-K12</f>
        <v>0</v>
      </c>
      <c r="L32" s="409">
        <f t="shared" si="14"/>
        <v>0</v>
      </c>
      <c r="M32" s="409">
        <f>M18-M12</f>
        <v>0</v>
      </c>
      <c r="N32" s="409">
        <f>N18-N12</f>
        <v>0</v>
      </c>
      <c r="O32" s="409">
        <f t="shared" si="14"/>
        <v>0</v>
      </c>
      <c r="P32" s="409">
        <f>P18-P12</f>
        <v>0</v>
      </c>
      <c r="Q32" s="409">
        <f>Q18-Q12</f>
        <v>0</v>
      </c>
      <c r="R32" s="410">
        <f t="shared" si="14"/>
        <v>0</v>
      </c>
      <c r="S32" s="410">
        <f>S18-S12</f>
        <v>0</v>
      </c>
      <c r="T32" s="410">
        <f>T18-T12</f>
        <v>0</v>
      </c>
      <c r="U32" s="409">
        <f t="shared" si="14"/>
        <v>0</v>
      </c>
      <c r="V32" s="409">
        <f>V18-V12</f>
        <v>0</v>
      </c>
      <c r="W32" s="411"/>
      <c r="Y32" s="52"/>
      <c r="Z32" s="138"/>
    </row>
    <row r="33" spans="1:31" s="20" customFormat="1" ht="12.75" customHeight="1">
      <c r="A33" s="5"/>
      <c r="B33" s="578"/>
      <c r="C33" s="399" t="s">
        <v>146</v>
      </c>
      <c r="D33" s="131" t="s">
        <v>147</v>
      </c>
      <c r="E33" s="403">
        <f>IFERROR(E32/E12,1)</f>
        <v>1</v>
      </c>
      <c r="F33" s="314"/>
      <c r="G33" s="403">
        <f>IFERROR(G32/G12,1)</f>
        <v>1</v>
      </c>
      <c r="H33" s="403">
        <f>IFERROR(H32/H12,1)</f>
        <v>1</v>
      </c>
      <c r="I33" s="314"/>
      <c r="J33" s="403">
        <f>IFERROR(J32/J12,1)</f>
        <v>1</v>
      </c>
      <c r="K33" s="403">
        <f>IFERROR(K32/K12,1)</f>
        <v>1</v>
      </c>
      <c r="L33" s="314"/>
      <c r="M33" s="403">
        <f>IFERROR(M32/M12,1)</f>
        <v>1</v>
      </c>
      <c r="N33" s="403">
        <f>IFERROR(N32/N12,1)</f>
        <v>1</v>
      </c>
      <c r="O33" s="314"/>
      <c r="P33" s="403">
        <f>IFERROR(P32/P12,1)</f>
        <v>1</v>
      </c>
      <c r="Q33" s="403">
        <f>IFERROR(Q32/Q12,1)</f>
        <v>1</v>
      </c>
      <c r="R33" s="403"/>
      <c r="S33" s="403">
        <f>IFERROR(S32/S12,1)</f>
        <v>1</v>
      </c>
      <c r="T33" s="403">
        <f>IFERROR(T32/T12,1)</f>
        <v>1</v>
      </c>
      <c r="U33" s="314"/>
      <c r="V33" s="403">
        <f>IFERROR(V32/V12,1)</f>
        <v>1</v>
      </c>
      <c r="W33" s="314"/>
      <c r="Y33" s="52"/>
      <c r="Z33" s="138"/>
    </row>
    <row r="34" spans="1:31" s="20" customFormat="1" ht="12.75" customHeight="1">
      <c r="A34" s="5"/>
      <c r="B34" s="578"/>
      <c r="C34" s="399" t="s">
        <v>148</v>
      </c>
      <c r="D34" s="401" t="s">
        <v>145</v>
      </c>
      <c r="E34" s="402">
        <f>E24-E19</f>
        <v>0</v>
      </c>
      <c r="F34" s="402"/>
      <c r="G34" s="402">
        <f>G24-G19</f>
        <v>0</v>
      </c>
      <c r="H34" s="402">
        <f>H24-H19</f>
        <v>0</v>
      </c>
      <c r="I34" s="402"/>
      <c r="J34" s="402">
        <f>J24-J19</f>
        <v>0</v>
      </c>
      <c r="K34" s="402">
        <f>K24-K19</f>
        <v>0</v>
      </c>
      <c r="L34" s="402"/>
      <c r="M34" s="402">
        <f>M24-M19</f>
        <v>0</v>
      </c>
      <c r="N34" s="402">
        <f>N24-N19</f>
        <v>0</v>
      </c>
      <c r="O34" s="402"/>
      <c r="P34" s="402">
        <f>P24-P19</f>
        <v>0</v>
      </c>
      <c r="Q34" s="402">
        <f>Q24-Q19</f>
        <v>0</v>
      </c>
      <c r="R34" s="402"/>
      <c r="S34" s="402">
        <f>S24-S19</f>
        <v>0</v>
      </c>
      <c r="T34" s="402">
        <f>T24-T19</f>
        <v>0</v>
      </c>
      <c r="U34" s="402"/>
      <c r="V34" s="402">
        <f>V24-V19</f>
        <v>0</v>
      </c>
      <c r="W34" s="404"/>
      <c r="Y34" s="52"/>
      <c r="Z34" s="138"/>
    </row>
    <row r="35" spans="1:31" s="20" customFormat="1" ht="12.75" customHeight="1">
      <c r="A35" s="5"/>
      <c r="B35" s="578"/>
      <c r="C35" s="399" t="s">
        <v>149</v>
      </c>
      <c r="D35" s="131" t="s">
        <v>147</v>
      </c>
      <c r="E35" s="403">
        <f>IFERROR(E34/E19,1)</f>
        <v>1</v>
      </c>
      <c r="F35" s="314"/>
      <c r="G35" s="403">
        <f>IFERROR(G34/G19,1)</f>
        <v>1</v>
      </c>
      <c r="H35" s="403">
        <f>IFERROR(H34/H19,1)</f>
        <v>1</v>
      </c>
      <c r="I35" s="314"/>
      <c r="J35" s="403">
        <f>IFERROR(J34/J19,1)</f>
        <v>1</v>
      </c>
      <c r="K35" s="403">
        <f>IFERROR(K34/K19,1)</f>
        <v>1</v>
      </c>
      <c r="L35" s="314"/>
      <c r="M35" s="403">
        <f>IFERROR(M34/M19,1)</f>
        <v>1</v>
      </c>
      <c r="N35" s="403">
        <f>IFERROR(N34/N19,1)</f>
        <v>1</v>
      </c>
      <c r="O35" s="314"/>
      <c r="P35" s="403">
        <f>IFERROR(P34/P19,1)</f>
        <v>1</v>
      </c>
      <c r="Q35" s="403">
        <f>IFERROR(Q34/Q19,1)</f>
        <v>1</v>
      </c>
      <c r="R35" s="403"/>
      <c r="S35" s="403">
        <f>IFERROR(S34/S19,1)</f>
        <v>1</v>
      </c>
      <c r="T35" s="403">
        <f>IFERROR(T34/T19,1)</f>
        <v>1</v>
      </c>
      <c r="U35" s="314"/>
      <c r="V35" s="403">
        <f>IFERROR(V34/V19,1)</f>
        <v>1</v>
      </c>
      <c r="W35" s="404"/>
      <c r="Y35" s="52"/>
      <c r="Z35" s="138"/>
    </row>
    <row r="36" spans="1:31" s="20" customFormat="1" ht="12.75" customHeight="1">
      <c r="A36" s="5"/>
      <c r="B36" s="578"/>
      <c r="C36" s="399" t="s">
        <v>150</v>
      </c>
      <c r="D36" s="131" t="s">
        <v>145</v>
      </c>
      <c r="E36" s="402">
        <f>E29-E25</f>
        <v>0</v>
      </c>
      <c r="F36" s="402"/>
      <c r="G36" s="402">
        <f>G29-G25</f>
        <v>0</v>
      </c>
      <c r="H36" s="402">
        <f>H29-H25</f>
        <v>0</v>
      </c>
      <c r="I36" s="402"/>
      <c r="J36" s="402">
        <f>J29-J25</f>
        <v>0</v>
      </c>
      <c r="K36" s="402">
        <f>K29-K25</f>
        <v>0</v>
      </c>
      <c r="L36" s="402"/>
      <c r="M36" s="402">
        <f>M29-M25</f>
        <v>0</v>
      </c>
      <c r="N36" s="402">
        <f>N29-N25</f>
        <v>0</v>
      </c>
      <c r="O36" s="402"/>
      <c r="P36" s="402">
        <f>P29-P25</f>
        <v>0</v>
      </c>
      <c r="Q36" s="402">
        <f>Q29-Q25</f>
        <v>0</v>
      </c>
      <c r="R36" s="402"/>
      <c r="S36" s="402">
        <f>S29-S25</f>
        <v>0</v>
      </c>
      <c r="T36" s="402">
        <f>T29-T25</f>
        <v>0</v>
      </c>
      <c r="U36" s="402"/>
      <c r="V36" s="402">
        <f>V29-V25</f>
        <v>0</v>
      </c>
      <c r="W36" s="405"/>
      <c r="Y36" s="52"/>
      <c r="Z36" s="138"/>
    </row>
    <row r="37" spans="1:31" s="20" customFormat="1" ht="12.75" customHeight="1">
      <c r="A37" s="5"/>
      <c r="B37" s="577"/>
      <c r="C37" s="400" t="s">
        <v>151</v>
      </c>
      <c r="D37" s="131" t="s">
        <v>147</v>
      </c>
      <c r="E37" s="403">
        <f>IFERROR(E36/E25,1)</f>
        <v>1</v>
      </c>
      <c r="F37" s="314"/>
      <c r="G37" s="403">
        <f>IFERROR(G36/G25,1)</f>
        <v>1</v>
      </c>
      <c r="H37" s="403">
        <f>IFERROR(H36/H25,1)</f>
        <v>1</v>
      </c>
      <c r="I37" s="314"/>
      <c r="J37" s="403">
        <f>IFERROR(J36/J25,1)</f>
        <v>1</v>
      </c>
      <c r="K37" s="403">
        <f>IFERROR(K36/K25,1)</f>
        <v>1</v>
      </c>
      <c r="L37" s="314"/>
      <c r="M37" s="403">
        <f>IFERROR(M36/M25,1)</f>
        <v>1</v>
      </c>
      <c r="N37" s="403">
        <f>IFERROR(N36/N25,1)</f>
        <v>1</v>
      </c>
      <c r="O37" s="314"/>
      <c r="P37" s="403">
        <f>IFERROR(P36/P25,1)</f>
        <v>1</v>
      </c>
      <c r="Q37" s="403">
        <f>IFERROR(Q36/Q25,1)</f>
        <v>1</v>
      </c>
      <c r="R37" s="403"/>
      <c r="S37" s="403">
        <f>IFERROR(S36/S25,1)</f>
        <v>1</v>
      </c>
      <c r="T37" s="403">
        <f>IFERROR(T36/T25,1)</f>
        <v>1</v>
      </c>
      <c r="U37" s="314"/>
      <c r="V37" s="403">
        <f>IFERROR(V36/V25,1)</f>
        <v>1</v>
      </c>
      <c r="W37" s="404"/>
      <c r="Y37" s="52"/>
      <c r="Z37" s="138"/>
    </row>
    <row r="38" spans="1:31" s="20" customFormat="1" ht="12.75" customHeight="1">
      <c r="A38" s="5"/>
      <c r="E38" s="138"/>
      <c r="F38" s="138"/>
      <c r="G38" s="138"/>
      <c r="H38" s="138"/>
      <c r="I38" s="138"/>
      <c r="J38" s="138"/>
      <c r="K38" s="138"/>
      <c r="L38" s="138"/>
      <c r="M38" s="138"/>
      <c r="N38" s="138"/>
      <c r="O38" s="138"/>
      <c r="P38" s="138"/>
      <c r="Q38" s="138"/>
      <c r="R38" s="138"/>
      <c r="S38" s="138"/>
      <c r="T38" s="138"/>
      <c r="U38" s="138"/>
      <c r="V38" s="138"/>
      <c r="Y38" s="52"/>
      <c r="Z38" s="138"/>
    </row>
    <row r="39" spans="1:31" s="26" customFormat="1" ht="14.5">
      <c r="A39" s="9"/>
      <c r="B39" s="331" t="s">
        <v>152</v>
      </c>
      <c r="C39" s="12"/>
      <c r="D39" s="12"/>
      <c r="E39" s="413"/>
      <c r="F39" s="413"/>
      <c r="G39" s="413"/>
      <c r="H39" s="413"/>
      <c r="I39" s="413"/>
      <c r="J39" s="414"/>
      <c r="K39" s="413"/>
      <c r="L39" s="414"/>
      <c r="M39" s="413"/>
      <c r="N39" s="413"/>
      <c r="O39" s="413"/>
      <c r="P39" s="413"/>
      <c r="Q39" s="413"/>
      <c r="R39" s="413"/>
      <c r="S39" s="414"/>
      <c r="T39" s="167">
        <f>E39+H39+K39+N39+Q39</f>
        <v>0</v>
      </c>
      <c r="W39" s="5"/>
      <c r="Y39" s="52"/>
    </row>
    <row r="40" spans="1:31" s="142" customFormat="1" ht="14.5">
      <c r="A40" s="13"/>
      <c r="B40" s="331" t="s">
        <v>153</v>
      </c>
      <c r="C40" s="143"/>
      <c r="D40" s="14"/>
      <c r="E40" s="415">
        <f>E39-E18</f>
        <v>0</v>
      </c>
      <c r="F40" s="415"/>
      <c r="G40" s="415"/>
      <c r="H40" s="415">
        <f>H39-H18</f>
        <v>0</v>
      </c>
      <c r="I40" s="415"/>
      <c r="J40" s="415"/>
      <c r="K40" s="415">
        <f>K39-K18</f>
        <v>0</v>
      </c>
      <c r="L40" s="415"/>
      <c r="M40" s="415"/>
      <c r="N40" s="415">
        <f>N39-N18</f>
        <v>0</v>
      </c>
      <c r="O40" s="415"/>
      <c r="P40" s="415"/>
      <c r="Q40" s="415">
        <f>Q39-Q18</f>
        <v>0</v>
      </c>
      <c r="R40" s="415"/>
      <c r="S40" s="415"/>
      <c r="T40" s="168">
        <f>T39-T18</f>
        <v>0</v>
      </c>
      <c r="U40" s="145"/>
      <c r="V40" s="145"/>
      <c r="W40" s="5"/>
      <c r="X40" s="145"/>
      <c r="Y40" s="52"/>
      <c r="Z40" s="145"/>
      <c r="AA40" s="145"/>
      <c r="AB40" s="145"/>
      <c r="AC40" s="145"/>
      <c r="AD40" s="145"/>
      <c r="AE40" s="145"/>
    </row>
    <row r="41" spans="1:31" s="142" customFormat="1" ht="14.5">
      <c r="A41" s="13"/>
      <c r="B41" s="331" t="s">
        <v>154</v>
      </c>
      <c r="C41" s="143"/>
      <c r="D41" s="14"/>
      <c r="E41" s="413"/>
      <c r="F41" s="413"/>
      <c r="G41" s="413"/>
      <c r="H41" s="413"/>
      <c r="I41" s="413"/>
      <c r="J41" s="414"/>
      <c r="K41" s="413"/>
      <c r="L41" s="414"/>
      <c r="M41" s="413"/>
      <c r="N41" s="413"/>
      <c r="O41" s="413"/>
      <c r="P41" s="413"/>
      <c r="Q41" s="413"/>
      <c r="R41" s="415"/>
      <c r="S41" s="415"/>
      <c r="T41" s="167">
        <f>E41+H41+K41+N41+Q41</f>
        <v>0</v>
      </c>
      <c r="U41" s="145"/>
      <c r="V41" s="145"/>
      <c r="W41" s="5"/>
      <c r="X41" s="145"/>
      <c r="Y41" s="52"/>
      <c r="Z41" s="145"/>
      <c r="AA41" s="145"/>
      <c r="AB41" s="145"/>
      <c r="AC41" s="145"/>
      <c r="AD41" s="145"/>
      <c r="AE41" s="145"/>
    </row>
    <row r="42" spans="1:31" s="142" customFormat="1" ht="14.5">
      <c r="A42" s="13"/>
      <c r="B42" s="331" t="s">
        <v>153</v>
      </c>
      <c r="C42" s="143"/>
      <c r="D42" s="14"/>
      <c r="E42" s="415">
        <f>E41-E24</f>
        <v>0</v>
      </c>
      <c r="F42" s="415"/>
      <c r="G42" s="415"/>
      <c r="H42" s="415">
        <f>H41-H24</f>
        <v>0</v>
      </c>
      <c r="I42" s="415"/>
      <c r="J42" s="415"/>
      <c r="K42" s="415">
        <f>K41-K24</f>
        <v>0</v>
      </c>
      <c r="L42" s="415"/>
      <c r="M42" s="415"/>
      <c r="N42" s="415">
        <f>N41-N24</f>
        <v>0</v>
      </c>
      <c r="O42" s="415"/>
      <c r="P42" s="415"/>
      <c r="Q42" s="415">
        <f>Q41-Q24</f>
        <v>0</v>
      </c>
      <c r="R42" s="415"/>
      <c r="S42" s="415"/>
      <c r="T42" s="168">
        <f>T41-T24</f>
        <v>0</v>
      </c>
      <c r="U42" s="145"/>
      <c r="V42" s="145"/>
      <c r="W42" s="5"/>
      <c r="X42" s="145"/>
      <c r="Y42" s="52"/>
      <c r="Z42" s="145"/>
      <c r="AA42" s="145"/>
      <c r="AB42" s="145"/>
      <c r="AC42" s="145"/>
      <c r="AD42" s="145"/>
      <c r="AE42" s="145"/>
    </row>
    <row r="43" spans="1:31" s="142" customFormat="1" ht="14.5">
      <c r="A43" s="13"/>
      <c r="B43" s="331" t="s">
        <v>155</v>
      </c>
      <c r="C43" s="143"/>
      <c r="D43" s="14"/>
      <c r="E43" s="413"/>
      <c r="F43" s="413"/>
      <c r="G43" s="413"/>
      <c r="H43" s="413"/>
      <c r="I43" s="413"/>
      <c r="J43" s="414"/>
      <c r="K43" s="413"/>
      <c r="L43" s="414"/>
      <c r="M43" s="413"/>
      <c r="N43" s="413"/>
      <c r="O43" s="413"/>
      <c r="P43" s="413"/>
      <c r="Q43" s="413"/>
      <c r="R43" s="415"/>
      <c r="S43" s="415"/>
      <c r="T43" s="167">
        <f>E43+H43+K43+N43+Q43</f>
        <v>0</v>
      </c>
      <c r="U43" s="145"/>
      <c r="V43" s="145"/>
      <c r="W43" s="5"/>
      <c r="X43" s="145"/>
      <c r="Y43" s="52"/>
      <c r="Z43" s="145"/>
      <c r="AA43" s="145"/>
      <c r="AB43" s="145"/>
      <c r="AC43" s="145"/>
      <c r="AD43" s="145"/>
      <c r="AE43" s="145"/>
    </row>
    <row r="44" spans="1:31" s="142" customFormat="1" ht="14.5">
      <c r="A44" s="13"/>
      <c r="B44" s="331" t="s">
        <v>156</v>
      </c>
      <c r="C44" s="143"/>
      <c r="D44" s="14"/>
      <c r="E44" s="415">
        <f>E43-E29</f>
        <v>0</v>
      </c>
      <c r="F44" s="415"/>
      <c r="G44" s="415"/>
      <c r="H44" s="415">
        <f>H43-H29</f>
        <v>0</v>
      </c>
      <c r="I44" s="415"/>
      <c r="J44" s="415"/>
      <c r="K44" s="415">
        <f>K43-K29</f>
        <v>0</v>
      </c>
      <c r="L44" s="415"/>
      <c r="M44" s="415"/>
      <c r="N44" s="415">
        <f>N43-N29</f>
        <v>0</v>
      </c>
      <c r="O44" s="415"/>
      <c r="P44" s="415"/>
      <c r="Q44" s="415">
        <f>Q43-Q29</f>
        <v>0</v>
      </c>
      <c r="R44" s="415"/>
      <c r="S44" s="415"/>
      <c r="T44" s="168">
        <f>T43-T29</f>
        <v>0</v>
      </c>
      <c r="U44" s="145"/>
      <c r="V44" s="145"/>
      <c r="W44" s="5"/>
      <c r="X44" s="145"/>
      <c r="Y44" s="52"/>
      <c r="Z44" s="145"/>
      <c r="AA44" s="145"/>
      <c r="AB44" s="145"/>
      <c r="AC44" s="145"/>
      <c r="AD44" s="145"/>
      <c r="AE44" s="145"/>
    </row>
    <row r="45" spans="1:31" s="142" customFormat="1" ht="14.5">
      <c r="A45" s="13"/>
      <c r="B45" s="331" t="s">
        <v>157</v>
      </c>
      <c r="C45" s="143"/>
      <c r="D45" s="14"/>
      <c r="E45" s="413"/>
      <c r="F45" s="413"/>
      <c r="G45" s="413"/>
      <c r="H45" s="413"/>
      <c r="I45" s="413"/>
      <c r="J45" s="414"/>
      <c r="K45" s="413"/>
      <c r="L45" s="414"/>
      <c r="M45" s="413"/>
      <c r="N45" s="413"/>
      <c r="O45" s="413"/>
      <c r="P45" s="413"/>
      <c r="Q45" s="413"/>
      <c r="R45" s="415"/>
      <c r="S45" s="415"/>
      <c r="T45" s="167">
        <f>E45+H45+K45+N45+Q45</f>
        <v>0</v>
      </c>
      <c r="U45" s="145"/>
      <c r="V45" s="145"/>
      <c r="W45" s="5"/>
      <c r="X45" s="145"/>
      <c r="Y45" s="52"/>
      <c r="Z45" s="145"/>
      <c r="AA45" s="145"/>
      <c r="AB45" s="145"/>
      <c r="AC45" s="145"/>
      <c r="AD45" s="145"/>
      <c r="AE45" s="145"/>
    </row>
    <row r="46" spans="1:31" s="142" customFormat="1" ht="14.5">
      <c r="A46" s="13"/>
      <c r="B46" s="331" t="s">
        <v>156</v>
      </c>
      <c r="C46" s="143"/>
      <c r="D46" s="14"/>
      <c r="E46" s="415">
        <f>E45-E30</f>
        <v>0</v>
      </c>
      <c r="F46" s="415"/>
      <c r="G46" s="415"/>
      <c r="H46" s="415">
        <f>H45-H30</f>
        <v>0</v>
      </c>
      <c r="I46" s="415"/>
      <c r="J46" s="415"/>
      <c r="K46" s="415">
        <f>K45-K30</f>
        <v>0</v>
      </c>
      <c r="L46" s="415"/>
      <c r="M46" s="415"/>
      <c r="N46" s="415">
        <f>N45-N30</f>
        <v>0</v>
      </c>
      <c r="O46" s="415"/>
      <c r="P46" s="415"/>
      <c r="Q46" s="415">
        <f>Q45-Q30</f>
        <v>0</v>
      </c>
      <c r="R46" s="415"/>
      <c r="S46" s="415"/>
      <c r="T46" s="168">
        <f>T45-T30</f>
        <v>0</v>
      </c>
      <c r="U46" s="145"/>
      <c r="V46" s="145"/>
      <c r="W46" s="5"/>
      <c r="X46" s="145"/>
      <c r="Y46" s="52"/>
      <c r="Z46" s="145"/>
      <c r="AA46" s="145"/>
      <c r="AB46" s="145"/>
      <c r="AC46" s="145"/>
      <c r="AD46" s="145"/>
      <c r="AE46" s="145"/>
    </row>
    <row r="47" spans="1:31" s="142" customFormat="1" ht="13">
      <c r="A47" s="13"/>
      <c r="B47" s="11"/>
      <c r="C47" s="143"/>
      <c r="D47" s="14"/>
      <c r="E47" s="416"/>
      <c r="F47" s="416"/>
      <c r="G47" s="416"/>
      <c r="H47" s="416"/>
      <c r="I47" s="416"/>
      <c r="J47" s="416"/>
      <c r="K47" s="416"/>
      <c r="L47" s="416"/>
      <c r="M47" s="416"/>
      <c r="N47" s="416"/>
      <c r="O47" s="416"/>
      <c r="P47" s="416"/>
      <c r="Q47" s="416"/>
      <c r="R47" s="416"/>
      <c r="S47" s="416"/>
      <c r="T47" s="144"/>
      <c r="U47" s="145"/>
      <c r="V47" s="145"/>
      <c r="W47" s="5"/>
      <c r="X47" s="145"/>
      <c r="Y47" s="52"/>
      <c r="Z47" s="145"/>
      <c r="AA47" s="145"/>
      <c r="AB47" s="145"/>
      <c r="AC47" s="145"/>
      <c r="AD47" s="145"/>
      <c r="AE47" s="145"/>
    </row>
    <row r="48" spans="1:31" s="142" customFormat="1" ht="13">
      <c r="A48" s="13"/>
      <c r="C48" s="143"/>
      <c r="D48" s="14"/>
      <c r="E48" s="144"/>
      <c r="F48" s="144"/>
      <c r="G48" s="144"/>
      <c r="H48" s="144"/>
      <c r="I48" s="144"/>
      <c r="J48" s="144"/>
      <c r="K48" s="144"/>
      <c r="L48" s="144"/>
      <c r="M48" s="144"/>
      <c r="N48" s="144"/>
      <c r="O48" s="144"/>
      <c r="P48" s="144"/>
      <c r="Q48" s="144"/>
      <c r="R48" s="144"/>
      <c r="S48" s="144"/>
      <c r="T48" s="144"/>
      <c r="U48" s="145"/>
      <c r="V48" s="145"/>
      <c r="W48" s="5"/>
      <c r="X48" s="145"/>
      <c r="Y48" s="52"/>
      <c r="Z48" s="145"/>
      <c r="AA48" s="145"/>
      <c r="AB48" s="145"/>
      <c r="AC48" s="145"/>
      <c r="AD48" s="145"/>
      <c r="AE48" s="145"/>
    </row>
    <row r="49" spans="1:111" s="20" customFormat="1" ht="12.75" customHeight="1">
      <c r="A49" s="8"/>
      <c r="B49" s="332" t="s">
        <v>158</v>
      </c>
      <c r="C49" s="138"/>
      <c r="D49" s="138"/>
      <c r="E49" s="138"/>
      <c r="F49" s="138"/>
      <c r="G49" s="138"/>
      <c r="H49" s="138"/>
      <c r="I49" s="138"/>
      <c r="J49" s="138"/>
      <c r="K49" s="138"/>
      <c r="L49" s="138"/>
      <c r="Y49" s="52"/>
      <c r="Z49" s="138"/>
      <c r="AA49" s="137"/>
      <c r="CE49" s="139"/>
      <c r="CF49" s="139"/>
      <c r="CG49" s="139"/>
      <c r="CH49" s="139"/>
      <c r="CI49" s="139"/>
      <c r="CJ49" s="139"/>
      <c r="CK49" s="139"/>
      <c r="CL49" s="139"/>
      <c r="CM49" s="139"/>
      <c r="CN49" s="139"/>
      <c r="CO49" s="139"/>
      <c r="CP49" s="139"/>
      <c r="CQ49" s="139"/>
      <c r="CR49" s="139"/>
      <c r="CS49" s="139"/>
      <c r="CT49" s="139"/>
      <c r="CU49" s="139"/>
      <c r="CV49" s="139"/>
      <c r="CW49" s="139"/>
      <c r="CX49" s="139"/>
      <c r="CY49" s="139"/>
      <c r="CZ49" s="139"/>
      <c r="DA49" s="139"/>
      <c r="DB49" s="139"/>
      <c r="DC49" s="139"/>
      <c r="DD49" s="139"/>
      <c r="DE49" s="146"/>
      <c r="DF49" s="139"/>
      <c r="DG49" s="147"/>
    </row>
    <row r="50" spans="1:111" s="20" customFormat="1" ht="12.75" customHeight="1">
      <c r="A50" s="8"/>
      <c r="B50" s="333" t="s">
        <v>159</v>
      </c>
      <c r="C50" s="138"/>
      <c r="D50" s="138"/>
      <c r="E50" s="138"/>
      <c r="F50" s="138"/>
      <c r="G50" s="138"/>
      <c r="H50" s="138"/>
      <c r="I50" s="138"/>
      <c r="J50" s="138"/>
      <c r="K50" s="138"/>
      <c r="L50" s="138"/>
      <c r="Y50" s="52"/>
      <c r="Z50" s="138"/>
      <c r="AA50" s="137"/>
      <c r="CE50" s="139"/>
      <c r="CF50" s="139"/>
      <c r="CG50" s="139"/>
      <c r="CH50" s="139"/>
      <c r="CI50" s="139"/>
      <c r="CJ50" s="139"/>
      <c r="CK50" s="139"/>
      <c r="CL50" s="139"/>
      <c r="CM50" s="139"/>
      <c r="CN50" s="139"/>
      <c r="CO50" s="139"/>
      <c r="CP50" s="139"/>
      <c r="CQ50" s="139"/>
      <c r="CR50" s="139"/>
      <c r="CS50" s="139"/>
      <c r="CT50" s="139"/>
      <c r="CU50" s="139"/>
      <c r="CV50" s="139"/>
      <c r="CW50" s="139"/>
      <c r="CX50" s="139"/>
      <c r="CY50" s="139"/>
      <c r="CZ50" s="139"/>
      <c r="DA50" s="139"/>
      <c r="DB50" s="139"/>
      <c r="DC50" s="139"/>
      <c r="DD50" s="139"/>
      <c r="DE50" s="146"/>
      <c r="DF50" s="139"/>
      <c r="DG50" s="147"/>
    </row>
    <row r="51" spans="1:111" s="20" customFormat="1" ht="12.75" customHeight="1">
      <c r="A51" s="5"/>
      <c r="B51" s="334"/>
      <c r="C51" s="335"/>
      <c r="D51" s="336" t="s">
        <v>160</v>
      </c>
      <c r="E51" s="335"/>
      <c r="F51" s="337"/>
      <c r="G51" s="338" t="s">
        <v>161</v>
      </c>
      <c r="H51" s="339"/>
      <c r="I51" s="340" t="s">
        <v>162</v>
      </c>
      <c r="J51" s="341"/>
      <c r="K51" s="342"/>
      <c r="L51" s="138"/>
      <c r="Y51" s="52"/>
      <c r="Z51" s="138"/>
      <c r="AA51" s="137"/>
      <c r="CE51" s="139"/>
      <c r="CF51" s="139"/>
      <c r="CG51" s="139"/>
      <c r="CH51" s="139"/>
      <c r="CI51" s="139"/>
      <c r="CJ51" s="139"/>
      <c r="CK51" s="139"/>
      <c r="CL51" s="139"/>
      <c r="CM51" s="139"/>
      <c r="CN51" s="139"/>
      <c r="CO51" s="139"/>
      <c r="CP51" s="139"/>
      <c r="CQ51" s="139"/>
      <c r="CR51" s="139"/>
      <c r="CS51" s="139"/>
      <c r="CT51" s="139"/>
      <c r="CU51" s="139"/>
      <c r="CV51" s="139"/>
      <c r="CW51" s="139"/>
      <c r="CX51" s="139"/>
      <c r="CY51" s="139"/>
      <c r="CZ51" s="139"/>
      <c r="DA51" s="139"/>
      <c r="DB51" s="139"/>
      <c r="DC51" s="139"/>
      <c r="DD51" s="139"/>
      <c r="DE51" s="146"/>
      <c r="DF51" s="139"/>
      <c r="DG51" s="147"/>
    </row>
    <row r="52" spans="1:111" s="20" customFormat="1" ht="12.75" customHeight="1">
      <c r="A52" s="5"/>
      <c r="B52" s="343" t="s">
        <v>163</v>
      </c>
      <c r="C52" s="344" t="s">
        <v>126</v>
      </c>
      <c r="D52" s="344" t="s">
        <v>139</v>
      </c>
      <c r="E52" s="344" t="s">
        <v>141</v>
      </c>
      <c r="F52" s="344" t="s">
        <v>164</v>
      </c>
      <c r="G52" s="345"/>
      <c r="H52" s="344" t="s">
        <v>126</v>
      </c>
      <c r="I52" s="344" t="s">
        <v>139</v>
      </c>
      <c r="J52" s="344" t="s">
        <v>141</v>
      </c>
      <c r="K52" s="344" t="s">
        <v>164</v>
      </c>
      <c r="L52" s="138"/>
      <c r="Y52" s="52"/>
      <c r="Z52" s="138"/>
      <c r="AA52" s="137"/>
      <c r="CE52" s="139"/>
      <c r="CF52" s="139"/>
      <c r="CG52" s="139"/>
      <c r="CH52" s="139"/>
      <c r="CI52" s="139"/>
      <c r="CJ52" s="139"/>
      <c r="CK52" s="139"/>
      <c r="CL52" s="139"/>
      <c r="CM52" s="139"/>
      <c r="CN52" s="139"/>
      <c r="CO52" s="139"/>
      <c r="CP52" s="139"/>
      <c r="CQ52" s="139"/>
      <c r="CR52" s="139"/>
      <c r="CS52" s="139"/>
      <c r="CT52" s="139"/>
      <c r="CU52" s="139"/>
      <c r="CV52" s="139"/>
      <c r="CW52" s="139"/>
      <c r="CX52" s="139"/>
      <c r="CY52" s="139"/>
      <c r="CZ52" s="139"/>
      <c r="DA52" s="139"/>
      <c r="DB52" s="139"/>
      <c r="DC52" s="139"/>
      <c r="DD52" s="139"/>
      <c r="DE52" s="146"/>
      <c r="DF52" s="139"/>
      <c r="DG52" s="147"/>
    </row>
    <row r="53" spans="1:111" s="20" customFormat="1" ht="12.75" customHeight="1">
      <c r="A53" s="5"/>
      <c r="B53" s="346" t="str">
        <f>F10</f>
        <v>土地使用权</v>
      </c>
      <c r="C53" s="417">
        <f>SUMIF('L1.03 摊销测试'!$D$12:$D$17,$B53,'L1.03 摊销测试'!$J$12:$J$17)</f>
        <v>0</v>
      </c>
      <c r="D53" s="417">
        <f>SUMIF('L1.03 摊销测试'!$D$12:$D$17,$B53,'L1.03 摊销测试'!$K$12:$K$17)</f>
        <v>0</v>
      </c>
      <c r="E53" s="417">
        <f>SUMIF('L1.03 摊销测试'!$D$12:$D$17,$B53,'L1.03 摊销测试'!$L$12:$L$17)</f>
        <v>0</v>
      </c>
      <c r="F53" s="417">
        <f>SUMIF('L1.03 摊销测试'!$D$12:$D$17,$B53,'L1.03 摊销测试'!$M$12:$M$17)</f>
        <v>0</v>
      </c>
      <c r="G53" s="418"/>
      <c r="H53" s="417">
        <f>C53-E18</f>
        <v>0</v>
      </c>
      <c r="I53" s="417">
        <f>D53-E24</f>
        <v>0</v>
      </c>
      <c r="J53" s="417">
        <f>E53-E29</f>
        <v>0</v>
      </c>
      <c r="K53" s="417">
        <f>F53-E30</f>
        <v>0</v>
      </c>
      <c r="L53" s="138"/>
      <c r="Y53" s="52"/>
      <c r="Z53" s="138"/>
      <c r="AA53" s="137"/>
      <c r="CE53" s="139"/>
      <c r="CF53" s="139"/>
      <c r="CG53" s="139"/>
      <c r="CH53" s="139"/>
      <c r="CI53" s="139"/>
      <c r="CJ53" s="139"/>
      <c r="CK53" s="139"/>
      <c r="CL53" s="139"/>
      <c r="CM53" s="139"/>
      <c r="CN53" s="139"/>
      <c r="CO53" s="139"/>
      <c r="CP53" s="139"/>
      <c r="CQ53" s="139"/>
      <c r="CR53" s="139"/>
      <c r="CS53" s="139"/>
      <c r="CT53" s="139"/>
      <c r="CU53" s="139"/>
      <c r="CV53" s="139"/>
      <c r="CW53" s="139"/>
      <c r="CX53" s="139"/>
      <c r="CY53" s="139"/>
      <c r="CZ53" s="139"/>
      <c r="DA53" s="139"/>
      <c r="DB53" s="139"/>
      <c r="DC53" s="139"/>
      <c r="DD53" s="139"/>
      <c r="DE53" s="146"/>
      <c r="DF53" s="139"/>
      <c r="DG53" s="147"/>
    </row>
    <row r="54" spans="1:111" s="20" customFormat="1" ht="12.75" customHeight="1">
      <c r="A54" s="5"/>
      <c r="B54" s="346" t="str">
        <f>I10</f>
        <v>软件</v>
      </c>
      <c r="C54" s="417">
        <f>SUMIF('L1.03 摊销测试'!$D$12:$D$17,$B54,'L1.03 摊销测试'!$J$12:$J$17)</f>
        <v>0</v>
      </c>
      <c r="D54" s="417">
        <f>SUMIF('L1.03 摊销测试'!$D$12:$D$17,$B54,'L1.03 摊销测试'!$K$12:$K$17)</f>
        <v>0</v>
      </c>
      <c r="E54" s="417">
        <f>SUMIF('L1.03 摊销测试'!$D$12:$D$17,$B54,'L1.03 摊销测试'!$L$12:$L$17)</f>
        <v>0</v>
      </c>
      <c r="F54" s="417">
        <f>SUMIF('L1.03 摊销测试'!$D$12:$D$17,$B54,'L1.03 摊销测试'!$M$12:$M$17)</f>
        <v>0</v>
      </c>
      <c r="G54" s="418"/>
      <c r="H54" s="417">
        <f>C54-H18</f>
        <v>0</v>
      </c>
      <c r="I54" s="417">
        <f>D54-H24</f>
        <v>0</v>
      </c>
      <c r="J54" s="417">
        <f>E54-H29</f>
        <v>0</v>
      </c>
      <c r="K54" s="417">
        <f>F54-H30</f>
        <v>0</v>
      </c>
      <c r="L54" s="138"/>
      <c r="Y54" s="52"/>
      <c r="Z54" s="138"/>
      <c r="AA54" s="137"/>
      <c r="CE54" s="139"/>
      <c r="CF54" s="139"/>
      <c r="CG54" s="139"/>
      <c r="CH54" s="139"/>
      <c r="CI54" s="139"/>
      <c r="CJ54" s="139"/>
      <c r="CK54" s="139"/>
      <c r="CL54" s="139"/>
      <c r="CM54" s="139"/>
      <c r="CN54" s="139"/>
      <c r="CO54" s="139"/>
      <c r="CP54" s="139"/>
      <c r="CQ54" s="139"/>
      <c r="CR54" s="139"/>
      <c r="CS54" s="139"/>
      <c r="CT54" s="139"/>
      <c r="CU54" s="139"/>
      <c r="CV54" s="139"/>
      <c r="CW54" s="139"/>
      <c r="CX54" s="139"/>
      <c r="CY54" s="139"/>
      <c r="CZ54" s="139"/>
      <c r="DA54" s="139"/>
      <c r="DB54" s="139"/>
      <c r="DC54" s="139"/>
      <c r="DD54" s="139"/>
      <c r="DE54" s="146"/>
      <c r="DF54" s="139"/>
      <c r="DG54" s="147"/>
    </row>
    <row r="55" spans="1:111" s="20" customFormat="1" ht="12.75" customHeight="1">
      <c r="A55" s="5"/>
      <c r="B55" s="346" t="str">
        <f>L10</f>
        <v>商标权</v>
      </c>
      <c r="C55" s="417">
        <f>SUMIF('L1.03 摊销测试'!$D$12:$D$17,$B55,'L1.03 摊销测试'!$J$12:$J$17)</f>
        <v>0</v>
      </c>
      <c r="D55" s="417">
        <f>SUMIF('L1.03 摊销测试'!$D$12:$D$17,$B55,'L1.03 摊销测试'!$K$12:$K$17)</f>
        <v>0</v>
      </c>
      <c r="E55" s="417">
        <f>SUMIF('L1.03 摊销测试'!$D$12:$D$17,$B55,'L1.03 摊销测试'!$L$12:$L$17)</f>
        <v>0</v>
      </c>
      <c r="F55" s="417">
        <f>SUMIF('L1.03 摊销测试'!$D$12:$D$17,$B55,'L1.03 摊销测试'!$M$12:$M$17)</f>
        <v>0</v>
      </c>
      <c r="G55" s="418"/>
      <c r="H55" s="417">
        <f>C55-K18</f>
        <v>0</v>
      </c>
      <c r="I55" s="417">
        <f>D55-K24</f>
        <v>0</v>
      </c>
      <c r="J55" s="417">
        <f>E55-K29</f>
        <v>0</v>
      </c>
      <c r="K55" s="417">
        <f>F55-K30</f>
        <v>0</v>
      </c>
      <c r="L55" s="138"/>
      <c r="Y55" s="52"/>
      <c r="Z55" s="138"/>
      <c r="AA55" s="137"/>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46"/>
      <c r="DF55" s="139"/>
      <c r="DG55" s="147"/>
    </row>
    <row r="56" spans="1:111" s="20" customFormat="1" ht="12.75" customHeight="1">
      <c r="A56" s="5"/>
      <c r="B56" s="346" t="str">
        <f>O10</f>
        <v>专利权</v>
      </c>
      <c r="C56" s="417">
        <f>SUMIF('L1.03 摊销测试'!$D$12:$D$17,$B56,'L1.03 摊销测试'!$J$12:$J$17)</f>
        <v>0</v>
      </c>
      <c r="D56" s="417">
        <f>SUMIF('L1.03 摊销测试'!$D$12:$D$17,$B56,'L1.03 摊销测试'!$K$12:$K$17)</f>
        <v>0</v>
      </c>
      <c r="E56" s="417">
        <f>SUMIF('L1.03 摊销测试'!$D$12:$D$17,$B56,'L1.03 摊销测试'!$L$12:$L$17)</f>
        <v>0</v>
      </c>
      <c r="F56" s="417">
        <f>SUMIF('L1.03 摊销测试'!$D$12:$D$17,$B56,'L1.03 摊销测试'!$M$12:$M$17)</f>
        <v>0</v>
      </c>
      <c r="G56" s="418"/>
      <c r="H56" s="417">
        <f>C56-N18</f>
        <v>0</v>
      </c>
      <c r="I56" s="417">
        <f>D56-N24</f>
        <v>0</v>
      </c>
      <c r="J56" s="417">
        <f>E56-N29</f>
        <v>0</v>
      </c>
      <c r="K56" s="417">
        <f>F56-N30</f>
        <v>0</v>
      </c>
      <c r="L56" s="138"/>
      <c r="Y56" s="52"/>
      <c r="Z56" s="138"/>
      <c r="AA56" s="137"/>
      <c r="CE56" s="139"/>
      <c r="CF56" s="139"/>
      <c r="CG56" s="139"/>
      <c r="CH56" s="139"/>
      <c r="CI56" s="139"/>
      <c r="CJ56" s="139"/>
      <c r="CK56" s="139"/>
      <c r="CL56" s="139"/>
      <c r="CM56" s="139"/>
      <c r="CN56" s="139"/>
      <c r="CO56" s="139"/>
      <c r="CP56" s="139"/>
      <c r="CQ56" s="139"/>
      <c r="CR56" s="139"/>
      <c r="CS56" s="139"/>
      <c r="CT56" s="139"/>
      <c r="CU56" s="139"/>
      <c r="CV56" s="139"/>
      <c r="CW56" s="139"/>
      <c r="CX56" s="139"/>
      <c r="CY56" s="139"/>
      <c r="CZ56" s="139"/>
      <c r="DA56" s="139"/>
      <c r="DB56" s="139"/>
      <c r="DC56" s="139"/>
      <c r="DD56" s="139"/>
      <c r="DE56" s="146"/>
      <c r="DF56" s="139"/>
      <c r="DG56" s="147"/>
    </row>
    <row r="57" spans="1:111" s="20" customFormat="1" ht="12.75" customHeight="1">
      <c r="A57" s="5"/>
      <c r="B57" s="346" t="str">
        <f>R10</f>
        <v>特许权</v>
      </c>
      <c r="C57" s="417">
        <f>SUMIF('L1.03 摊销测试'!$D$12:$D$17,$B57,'L1.03 摊销测试'!$J$12:$J$17)</f>
        <v>0</v>
      </c>
      <c r="D57" s="417">
        <f>SUMIF('L1.03 摊销测试'!$D$12:$D$17,$B57,'L1.03 摊销测试'!$K$12:$K$17)</f>
        <v>0</v>
      </c>
      <c r="E57" s="417">
        <f>SUMIF('L1.03 摊销测试'!$D$12:$D$17,$B57,'L1.03 摊销测试'!$L$12:$L$17)</f>
        <v>0</v>
      </c>
      <c r="F57" s="417">
        <f>SUMIF('L1.03 摊销测试'!$D$12:$D$17,$B57,'L1.03 摊销测试'!$M$12:$M$17)</f>
        <v>0</v>
      </c>
      <c r="G57" s="418"/>
      <c r="H57" s="417">
        <f>C57-Q18</f>
        <v>0</v>
      </c>
      <c r="I57" s="417">
        <f>D57-Q24</f>
        <v>0</v>
      </c>
      <c r="J57" s="417">
        <f>E57-Q29</f>
        <v>0</v>
      </c>
      <c r="K57" s="417">
        <f>F57-Q30</f>
        <v>0</v>
      </c>
      <c r="L57" s="138"/>
      <c r="Y57" s="52"/>
      <c r="Z57" s="138"/>
      <c r="AA57" s="137"/>
      <c r="CE57" s="139"/>
      <c r="CF57" s="139"/>
      <c r="CG57" s="139"/>
      <c r="CH57" s="139"/>
      <c r="CI57" s="139"/>
      <c r="CJ57" s="139"/>
      <c r="CK57" s="139"/>
      <c r="CL57" s="139"/>
      <c r="CM57" s="139"/>
      <c r="CN57" s="139"/>
      <c r="CO57" s="139"/>
      <c r="CP57" s="139"/>
      <c r="CQ57" s="139"/>
      <c r="CR57" s="139"/>
      <c r="CS57" s="139"/>
      <c r="CT57" s="139"/>
      <c r="CU57" s="139"/>
      <c r="CV57" s="139"/>
      <c r="CW57" s="139"/>
      <c r="CX57" s="139"/>
      <c r="CY57" s="139"/>
      <c r="CZ57" s="139"/>
      <c r="DA57" s="139"/>
      <c r="DB57" s="139"/>
      <c r="DC57" s="139"/>
      <c r="DD57" s="139"/>
      <c r="DE57" s="146"/>
      <c r="DF57" s="139"/>
      <c r="DG57" s="147"/>
    </row>
    <row r="58" spans="1:111" s="20" customFormat="1" ht="12.75" customHeight="1">
      <c r="A58" s="5"/>
      <c r="B58" s="346" t="s">
        <v>165</v>
      </c>
      <c r="C58" s="417">
        <f>SUM(C53:C57)</f>
        <v>0</v>
      </c>
      <c r="D58" s="417">
        <f>SUMIF('L1.03 摊销测试'!$D$12:$D$17,$B58,'L1.03 摊销测试'!$K$12:$K$17)</f>
        <v>0</v>
      </c>
      <c r="E58" s="417">
        <f>SUMIF('L1.03 摊销测试'!$D$12:$D$17,$B58,'L1.03 摊销测试'!$L$12:$L$17)</f>
        <v>0</v>
      </c>
      <c r="F58" s="417">
        <f>SUMIF('L1.03 摊销测试'!$D$12:$D$17,$B58,'L1.03 摊销测试'!$M$12:$M$17)</f>
        <v>0</v>
      </c>
      <c r="G58" s="419"/>
      <c r="H58" s="417">
        <f>C58-T18</f>
        <v>0</v>
      </c>
      <c r="I58" s="417">
        <f>D58-T24</f>
        <v>0</v>
      </c>
      <c r="J58" s="417">
        <f>E58-T29</f>
        <v>0</v>
      </c>
      <c r="K58" s="417">
        <f>F58-T30</f>
        <v>0</v>
      </c>
      <c r="L58" s="138"/>
      <c r="Y58" s="52"/>
      <c r="Z58" s="138"/>
      <c r="AA58" s="137"/>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46"/>
      <c r="DF58" s="139"/>
      <c r="DG58" s="147"/>
    </row>
    <row r="59" spans="1:111" s="20" customFormat="1" ht="12.75" customHeight="1">
      <c r="A59" s="5"/>
      <c r="B59" s="138"/>
      <c r="C59" s="138"/>
      <c r="D59" s="138"/>
      <c r="E59" s="138"/>
      <c r="F59" s="138"/>
      <c r="G59" s="138"/>
      <c r="H59" s="138"/>
      <c r="I59" s="138"/>
      <c r="J59" s="138"/>
      <c r="K59" s="138"/>
      <c r="L59" s="138"/>
      <c r="Y59" s="52"/>
      <c r="Z59" s="138"/>
      <c r="AA59" s="137"/>
      <c r="CE59" s="139"/>
      <c r="CF59" s="139"/>
      <c r="CG59" s="139"/>
      <c r="CH59" s="139"/>
      <c r="CI59" s="139"/>
      <c r="CJ59" s="139"/>
      <c r="CK59" s="139"/>
      <c r="CL59" s="139"/>
      <c r="CM59" s="139"/>
      <c r="CN59" s="139"/>
      <c r="CO59" s="139"/>
      <c r="CP59" s="139"/>
      <c r="CQ59" s="139"/>
      <c r="CR59" s="139"/>
      <c r="CS59" s="139"/>
      <c r="CT59" s="139"/>
      <c r="CU59" s="139"/>
      <c r="CV59" s="139"/>
      <c r="CW59" s="139"/>
      <c r="CX59" s="139"/>
      <c r="CY59" s="139"/>
      <c r="CZ59" s="139"/>
      <c r="DA59" s="139"/>
      <c r="DB59" s="139"/>
      <c r="DC59" s="139"/>
      <c r="DD59" s="139"/>
      <c r="DE59" s="146"/>
      <c r="DF59" s="139"/>
      <c r="DG59" s="147"/>
    </row>
    <row r="60" spans="1:111" s="20" customFormat="1" ht="12.75" customHeight="1">
      <c r="A60" s="138"/>
      <c r="B60" s="347" t="s">
        <v>166</v>
      </c>
      <c r="C60" s="138"/>
      <c r="D60" s="348"/>
      <c r="E60" s="348"/>
      <c r="F60" s="348"/>
      <c r="G60" s="138"/>
      <c r="H60" s="138"/>
      <c r="I60" s="138"/>
      <c r="J60" s="138"/>
      <c r="K60" s="138"/>
      <c r="L60" s="138"/>
      <c r="Y60" s="52"/>
      <c r="Z60" s="138"/>
      <c r="AA60" s="137"/>
      <c r="CE60" s="139"/>
      <c r="CF60" s="139"/>
      <c r="CG60" s="139"/>
      <c r="CH60" s="139"/>
      <c r="CI60" s="139"/>
      <c r="CJ60" s="139"/>
      <c r="CK60" s="139"/>
      <c r="CL60" s="139"/>
      <c r="CM60" s="139"/>
      <c r="CN60" s="139"/>
      <c r="CO60" s="139"/>
      <c r="CP60" s="139"/>
      <c r="CQ60" s="139"/>
      <c r="CR60" s="139"/>
      <c r="CS60" s="139"/>
      <c r="CT60" s="139"/>
      <c r="CU60" s="139"/>
      <c r="CV60" s="139"/>
      <c r="CW60" s="139"/>
      <c r="CX60" s="139"/>
      <c r="CY60" s="139"/>
      <c r="CZ60" s="139"/>
      <c r="DA60" s="139"/>
      <c r="DB60" s="139"/>
      <c r="DC60" s="139"/>
      <c r="DD60" s="139"/>
      <c r="DE60" s="146"/>
      <c r="DF60" s="139"/>
      <c r="DG60" s="147"/>
    </row>
    <row r="61" spans="1:111" s="20" customFormat="1" ht="12.75" customHeight="1">
      <c r="A61" s="21"/>
      <c r="B61" s="562"/>
      <c r="C61" s="563"/>
      <c r="D61" s="563"/>
      <c r="E61" s="563"/>
      <c r="F61" s="564"/>
      <c r="G61" s="138"/>
      <c r="H61" s="138"/>
      <c r="I61" s="138"/>
      <c r="J61" s="138"/>
      <c r="Y61" s="52"/>
      <c r="Z61" s="138"/>
      <c r="AA61" s="137"/>
      <c r="CE61" s="139"/>
      <c r="CF61" s="139"/>
      <c r="CG61" s="139"/>
      <c r="CH61" s="139"/>
      <c r="CI61" s="139"/>
      <c r="CJ61" s="139"/>
      <c r="CK61" s="139"/>
      <c r="CL61" s="139"/>
      <c r="CM61" s="139"/>
      <c r="CN61" s="139"/>
      <c r="CO61" s="139"/>
      <c r="CP61" s="139"/>
      <c r="CQ61" s="139"/>
      <c r="CR61" s="139"/>
      <c r="CS61" s="139"/>
      <c r="CT61" s="139"/>
      <c r="CU61" s="139"/>
      <c r="CV61" s="139"/>
      <c r="CW61" s="139"/>
      <c r="CX61" s="139"/>
      <c r="CY61" s="139"/>
      <c r="CZ61" s="139"/>
      <c r="DA61" s="139"/>
      <c r="DB61" s="139"/>
      <c r="DC61" s="139"/>
      <c r="DD61" s="139"/>
      <c r="DE61" s="146"/>
      <c r="DF61" s="139"/>
      <c r="DG61" s="147"/>
    </row>
    <row r="62" spans="1:111" s="20" customFormat="1" ht="12.75" customHeight="1">
      <c r="A62" s="21"/>
      <c r="B62" s="565"/>
      <c r="C62" s="566"/>
      <c r="D62" s="566"/>
      <c r="E62" s="566"/>
      <c r="F62" s="567"/>
      <c r="G62" s="138"/>
      <c r="H62" s="138"/>
      <c r="I62" s="138"/>
      <c r="J62" s="138"/>
      <c r="Y62" s="52"/>
      <c r="Z62" s="138"/>
      <c r="AA62" s="137"/>
      <c r="CE62" s="139"/>
      <c r="CF62" s="139"/>
      <c r="CG62" s="139"/>
      <c r="CH62" s="139"/>
      <c r="CI62" s="139"/>
      <c r="CJ62" s="139"/>
      <c r="CK62" s="139"/>
      <c r="CL62" s="139"/>
      <c r="CM62" s="139"/>
      <c r="CN62" s="139"/>
      <c r="CO62" s="139"/>
      <c r="CP62" s="139"/>
      <c r="CQ62" s="139"/>
      <c r="CR62" s="139"/>
      <c r="CS62" s="139"/>
      <c r="CT62" s="139"/>
      <c r="CU62" s="139"/>
      <c r="CV62" s="139"/>
      <c r="CW62" s="139"/>
      <c r="CX62" s="139"/>
      <c r="CY62" s="139"/>
      <c r="CZ62" s="139"/>
      <c r="DA62" s="139"/>
      <c r="DB62" s="139"/>
      <c r="DC62" s="139"/>
      <c r="DD62" s="139"/>
      <c r="DE62" s="146"/>
      <c r="DF62" s="139"/>
      <c r="DG62" s="147"/>
    </row>
    <row r="63" spans="1:111" s="20" customFormat="1" ht="12.75" customHeight="1">
      <c r="A63" s="21"/>
      <c r="B63" s="565"/>
      <c r="C63" s="566"/>
      <c r="D63" s="566"/>
      <c r="E63" s="566"/>
      <c r="F63" s="567"/>
      <c r="G63" s="138"/>
      <c r="H63" s="138"/>
      <c r="I63" s="138"/>
      <c r="J63" s="138"/>
      <c r="Y63" s="52"/>
      <c r="Z63" s="138"/>
      <c r="AA63" s="137"/>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46"/>
      <c r="DF63" s="139"/>
      <c r="DG63" s="147"/>
    </row>
    <row r="64" spans="1:111" s="20" customFormat="1" ht="12.75" customHeight="1">
      <c r="A64" s="21"/>
      <c r="B64" s="568"/>
      <c r="C64" s="569"/>
      <c r="D64" s="569"/>
      <c r="E64" s="569"/>
      <c r="F64" s="570"/>
      <c r="G64" s="138"/>
      <c r="H64" s="138"/>
      <c r="I64" s="138"/>
      <c r="J64" s="138"/>
      <c r="Y64" s="52"/>
      <c r="Z64" s="138"/>
      <c r="AA64" s="137"/>
      <c r="CE64" s="139"/>
      <c r="CF64" s="139"/>
      <c r="CG64" s="139"/>
      <c r="CH64" s="139"/>
      <c r="CI64" s="139"/>
      <c r="CJ64" s="139"/>
      <c r="CK64" s="139"/>
      <c r="CL64" s="139"/>
      <c r="CM64" s="139"/>
      <c r="CN64" s="139"/>
      <c r="CO64" s="139"/>
      <c r="CP64" s="139"/>
      <c r="CQ64" s="139"/>
      <c r="CR64" s="139"/>
      <c r="CS64" s="139"/>
      <c r="CT64" s="139"/>
      <c r="CU64" s="139"/>
      <c r="CV64" s="139"/>
      <c r="CW64" s="139"/>
      <c r="CX64" s="139"/>
      <c r="CY64" s="139"/>
      <c r="CZ64" s="139"/>
      <c r="DA64" s="139"/>
      <c r="DB64" s="139"/>
      <c r="DC64" s="139"/>
      <c r="DD64" s="139"/>
      <c r="DE64" s="146"/>
      <c r="DF64" s="139"/>
      <c r="DG64" s="147"/>
    </row>
    <row r="65" spans="1:111" s="20" customFormat="1" ht="12.75" customHeight="1">
      <c r="A65" s="21"/>
      <c r="B65" s="138"/>
      <c r="C65" s="138"/>
      <c r="D65" s="138"/>
      <c r="E65" s="138"/>
      <c r="F65" s="138"/>
      <c r="G65" s="138"/>
      <c r="H65" s="138"/>
      <c r="I65" s="138"/>
      <c r="J65" s="138"/>
      <c r="Y65" s="52"/>
      <c r="Z65" s="138"/>
      <c r="AA65" s="137"/>
      <c r="CE65" s="139"/>
      <c r="CF65" s="139"/>
      <c r="CG65" s="139"/>
      <c r="CH65" s="139"/>
      <c r="CI65" s="139"/>
      <c r="CJ65" s="139"/>
      <c r="CK65" s="139"/>
      <c r="CL65" s="139"/>
      <c r="CM65" s="139"/>
      <c r="CN65" s="139"/>
      <c r="CO65" s="139"/>
      <c r="CP65" s="139"/>
      <c r="CQ65" s="139"/>
      <c r="CR65" s="139"/>
      <c r="CS65" s="139"/>
      <c r="CT65" s="139"/>
      <c r="CU65" s="139"/>
      <c r="CV65" s="139"/>
      <c r="CW65" s="139"/>
      <c r="CX65" s="139"/>
      <c r="CY65" s="139"/>
      <c r="CZ65" s="139"/>
      <c r="DA65" s="139"/>
      <c r="DB65" s="139"/>
      <c r="DC65" s="139"/>
      <c r="DD65" s="139"/>
      <c r="DE65" s="146"/>
      <c r="DF65" s="139"/>
      <c r="DG65" s="147"/>
    </row>
    <row r="66" spans="1:111" s="20" customFormat="1" ht="12.75" customHeight="1">
      <c r="A66" s="21"/>
      <c r="B66" s="282" t="s">
        <v>167</v>
      </c>
      <c r="C66" s="138"/>
      <c r="D66" s="138"/>
      <c r="E66" s="138"/>
      <c r="F66" s="138"/>
      <c r="G66" s="138"/>
      <c r="H66" s="138"/>
      <c r="I66" s="138"/>
      <c r="J66" s="138"/>
      <c r="Y66" s="52"/>
      <c r="Z66" s="138"/>
      <c r="AA66" s="137"/>
      <c r="CE66" s="139"/>
      <c r="CF66" s="139"/>
      <c r="CG66" s="139"/>
      <c r="CH66" s="139"/>
      <c r="CI66" s="139"/>
      <c r="CJ66" s="139"/>
      <c r="CK66" s="139"/>
      <c r="CL66" s="139"/>
      <c r="CM66" s="139"/>
      <c r="CN66" s="139"/>
      <c r="CO66" s="139"/>
      <c r="CP66" s="139"/>
      <c r="CQ66" s="139"/>
      <c r="CR66" s="139"/>
      <c r="CS66" s="139"/>
      <c r="CT66" s="139"/>
      <c r="CU66" s="139"/>
      <c r="CV66" s="139"/>
      <c r="CW66" s="139"/>
      <c r="CX66" s="139"/>
      <c r="CY66" s="139"/>
      <c r="CZ66" s="139"/>
      <c r="DA66" s="139"/>
      <c r="DB66" s="139"/>
      <c r="DC66" s="139"/>
      <c r="DD66" s="139"/>
      <c r="DE66" s="146"/>
      <c r="DF66" s="139"/>
      <c r="DG66" s="147"/>
    </row>
    <row r="67" spans="1:111" s="20" customFormat="1" ht="12.75" customHeight="1">
      <c r="A67" s="21"/>
      <c r="B67" s="553"/>
      <c r="C67" s="554"/>
      <c r="D67" s="554"/>
      <c r="E67" s="554"/>
      <c r="F67" s="555"/>
      <c r="G67" s="138"/>
      <c r="H67" s="138"/>
      <c r="I67" s="138"/>
      <c r="J67" s="138"/>
      <c r="Y67" s="52"/>
      <c r="Z67" s="138"/>
      <c r="AA67" s="137"/>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46"/>
      <c r="DF67" s="139"/>
      <c r="DG67" s="147"/>
    </row>
    <row r="68" spans="1:111" s="20" customFormat="1" ht="12.75" customHeight="1">
      <c r="A68" s="21"/>
      <c r="B68" s="556"/>
      <c r="C68" s="557"/>
      <c r="D68" s="557"/>
      <c r="E68" s="557"/>
      <c r="F68" s="558"/>
      <c r="G68" s="138"/>
      <c r="H68" s="138"/>
      <c r="I68" s="138"/>
      <c r="J68" s="138"/>
      <c r="Y68" s="52"/>
      <c r="Z68" s="138"/>
      <c r="AA68" s="137"/>
      <c r="CE68" s="139"/>
      <c r="CF68" s="139"/>
      <c r="CG68" s="139"/>
      <c r="CH68" s="139"/>
      <c r="CI68" s="139"/>
      <c r="CJ68" s="139"/>
      <c r="CK68" s="139"/>
      <c r="CL68" s="139"/>
      <c r="CM68" s="139"/>
      <c r="CN68" s="139"/>
      <c r="CO68" s="139"/>
      <c r="CP68" s="139"/>
      <c r="CQ68" s="139"/>
      <c r="CR68" s="139"/>
      <c r="CS68" s="139"/>
      <c r="CT68" s="139"/>
      <c r="CU68" s="139"/>
      <c r="CV68" s="139"/>
      <c r="CW68" s="139"/>
      <c r="CX68" s="139"/>
      <c r="CY68" s="139"/>
      <c r="CZ68" s="139"/>
      <c r="DA68" s="139"/>
      <c r="DB68" s="139"/>
      <c r="DC68" s="139"/>
      <c r="DD68" s="139"/>
      <c r="DE68" s="146"/>
      <c r="DF68" s="139"/>
      <c r="DG68" s="147"/>
    </row>
    <row r="69" spans="1:111" s="20" customFormat="1" ht="12.75" customHeight="1">
      <c r="A69" s="21"/>
      <c r="B69" s="556"/>
      <c r="C69" s="557"/>
      <c r="D69" s="557"/>
      <c r="E69" s="557"/>
      <c r="F69" s="558"/>
      <c r="G69" s="138"/>
      <c r="H69" s="138"/>
      <c r="I69" s="138"/>
      <c r="J69" s="138"/>
      <c r="Y69" s="52"/>
      <c r="Z69" s="138"/>
      <c r="AA69" s="137"/>
      <c r="CE69" s="139"/>
      <c r="CF69" s="139"/>
      <c r="CG69" s="139"/>
      <c r="CH69" s="139"/>
      <c r="CI69" s="139"/>
      <c r="CJ69" s="139"/>
      <c r="CK69" s="139"/>
      <c r="CL69" s="139"/>
      <c r="CM69" s="139"/>
      <c r="CN69" s="139"/>
      <c r="CO69" s="139"/>
      <c r="CP69" s="139"/>
      <c r="CQ69" s="139"/>
      <c r="CR69" s="139"/>
      <c r="CS69" s="139"/>
      <c r="CT69" s="139"/>
      <c r="CU69" s="139"/>
      <c r="CV69" s="139"/>
      <c r="CW69" s="139"/>
      <c r="CX69" s="139"/>
      <c r="CY69" s="139"/>
      <c r="CZ69" s="139"/>
      <c r="DA69" s="139"/>
      <c r="DB69" s="139"/>
      <c r="DC69" s="139"/>
      <c r="DD69" s="139"/>
      <c r="DE69" s="146"/>
      <c r="DF69" s="139"/>
      <c r="DG69" s="147"/>
    </row>
    <row r="70" spans="1:111" s="20" customFormat="1" ht="12.75" customHeight="1">
      <c r="A70" s="21"/>
      <c r="B70" s="559"/>
      <c r="C70" s="560"/>
      <c r="D70" s="560"/>
      <c r="E70" s="560"/>
      <c r="F70" s="561"/>
      <c r="G70" s="138"/>
      <c r="H70" s="138"/>
      <c r="I70" s="138"/>
      <c r="J70" s="138"/>
      <c r="Y70" s="52"/>
      <c r="Z70" s="138"/>
      <c r="AA70" s="137"/>
      <c r="CE70" s="139"/>
      <c r="CF70" s="139"/>
      <c r="CG70" s="139"/>
      <c r="CH70" s="139"/>
      <c r="CI70" s="139"/>
      <c r="CJ70" s="139"/>
      <c r="CK70" s="139"/>
      <c r="CL70" s="139"/>
      <c r="CM70" s="139"/>
      <c r="CN70" s="139"/>
      <c r="CO70" s="139"/>
      <c r="CP70" s="139"/>
      <c r="CQ70" s="139"/>
      <c r="CR70" s="139"/>
      <c r="CS70" s="139"/>
      <c r="CT70" s="139"/>
      <c r="CU70" s="139"/>
      <c r="CV70" s="139"/>
      <c r="CW70" s="139"/>
      <c r="CX70" s="139"/>
      <c r="CY70" s="139"/>
      <c r="CZ70" s="139"/>
      <c r="DA70" s="139"/>
      <c r="DB70" s="139"/>
      <c r="DC70" s="139"/>
      <c r="DD70" s="139"/>
      <c r="DE70" s="146"/>
      <c r="DF70" s="139"/>
      <c r="DG70" s="147"/>
    </row>
    <row r="71" spans="1:111" ht="15" customHeight="1">
      <c r="A71" s="21"/>
      <c r="B71" s="282"/>
      <c r="C71" s="282"/>
      <c r="D71" s="282"/>
      <c r="E71" s="282"/>
      <c r="F71" s="282"/>
      <c r="G71" s="282"/>
      <c r="H71" s="282"/>
      <c r="I71" s="282"/>
      <c r="J71" s="282"/>
      <c r="Y71" s="52"/>
    </row>
    <row r="72" spans="1:111" ht="15" customHeight="1">
      <c r="B72" s="349" t="s">
        <v>168</v>
      </c>
      <c r="C72" s="10"/>
      <c r="D72" s="10"/>
      <c r="E72" s="10"/>
      <c r="F72" s="282"/>
      <c r="G72" s="282"/>
      <c r="H72" s="282"/>
      <c r="I72" s="282"/>
      <c r="J72" s="282"/>
      <c r="Y72" s="52"/>
    </row>
    <row r="73" spans="1:111" ht="15" customHeight="1">
      <c r="A73" s="21"/>
      <c r="B73" s="21" t="s">
        <v>169</v>
      </c>
      <c r="C73" s="282"/>
      <c r="D73" s="282"/>
      <c r="E73" s="282"/>
      <c r="F73" s="282"/>
      <c r="G73" s="10"/>
      <c r="H73" s="282"/>
      <c r="I73" s="282"/>
      <c r="J73" s="282"/>
      <c r="K73" s="282"/>
      <c r="Y73" s="52"/>
    </row>
    <row r="74" spans="1:111" ht="15" customHeight="1">
      <c r="A74" s="21"/>
      <c r="B74" s="283" t="s">
        <v>170</v>
      </c>
      <c r="C74" s="284"/>
      <c r="D74" s="284"/>
      <c r="E74" s="285"/>
      <c r="F74" s="285"/>
      <c r="G74" s="286"/>
      <c r="H74" s="282"/>
      <c r="I74" s="282"/>
      <c r="J74" s="282"/>
      <c r="K74" s="282"/>
      <c r="Y74" s="52"/>
    </row>
    <row r="75" spans="1:111" ht="15" customHeight="1">
      <c r="A75" s="21"/>
      <c r="B75" s="287" t="s">
        <v>171</v>
      </c>
      <c r="C75" s="288" t="s">
        <v>172</v>
      </c>
      <c r="D75" s="288" t="s">
        <v>173</v>
      </c>
      <c r="E75" s="288" t="s">
        <v>90</v>
      </c>
      <c r="F75" s="280" t="s">
        <v>174</v>
      </c>
      <c r="G75" s="289"/>
      <c r="H75" s="282"/>
      <c r="I75" s="282"/>
      <c r="J75" s="282"/>
      <c r="K75" s="282"/>
      <c r="Y75" s="52"/>
    </row>
    <row r="76" spans="1:111" ht="15" customHeight="1">
      <c r="A76" s="21"/>
      <c r="B76" s="290"/>
      <c r="C76" s="291"/>
      <c r="D76" s="278"/>
      <c r="E76" s="292" t="s">
        <v>175</v>
      </c>
      <c r="F76" s="420"/>
      <c r="G76" s="289"/>
      <c r="H76" s="282"/>
      <c r="I76" s="282"/>
      <c r="J76" s="282"/>
      <c r="K76" s="282"/>
      <c r="Y76" s="52"/>
    </row>
    <row r="77" spans="1:111" ht="15" customHeight="1">
      <c r="A77" s="21"/>
      <c r="B77" s="290"/>
      <c r="C77" s="291"/>
      <c r="D77" s="278"/>
      <c r="E77" s="292" t="s">
        <v>176</v>
      </c>
      <c r="F77" s="420"/>
      <c r="G77" s="289"/>
      <c r="H77" s="282"/>
      <c r="I77" s="282"/>
      <c r="J77" s="282"/>
      <c r="K77" s="282"/>
      <c r="Y77" s="52"/>
    </row>
    <row r="78" spans="1:111" ht="15" customHeight="1">
      <c r="A78" s="21"/>
      <c r="B78" s="290"/>
      <c r="C78" s="291"/>
      <c r="D78" s="278"/>
      <c r="E78" s="292" t="s">
        <v>177</v>
      </c>
      <c r="F78" s="420"/>
      <c r="G78" s="289"/>
      <c r="H78" s="282"/>
      <c r="I78" s="282"/>
      <c r="J78" s="282"/>
      <c r="K78" s="282"/>
      <c r="Y78" s="52"/>
    </row>
    <row r="79" spans="1:111" ht="15" customHeight="1">
      <c r="A79" s="21"/>
      <c r="B79" s="290"/>
      <c r="C79" s="291"/>
      <c r="D79" s="278"/>
      <c r="E79" s="292" t="s">
        <v>178</v>
      </c>
      <c r="F79" s="420"/>
      <c r="G79" s="289"/>
      <c r="H79" s="282"/>
      <c r="I79" s="282"/>
      <c r="J79" s="282"/>
      <c r="K79" s="282"/>
      <c r="Y79" s="52"/>
    </row>
    <row r="80" spans="1:111" ht="15" customHeight="1">
      <c r="A80" s="21"/>
      <c r="B80" s="290"/>
      <c r="C80" s="291"/>
      <c r="D80" s="278"/>
      <c r="E80" s="292" t="s">
        <v>179</v>
      </c>
      <c r="F80" s="420"/>
      <c r="G80" s="289"/>
      <c r="H80" s="282"/>
      <c r="I80" s="282"/>
      <c r="J80" s="282"/>
      <c r="K80" s="282"/>
      <c r="Y80" s="52"/>
    </row>
    <row r="81" spans="1:25" ht="15" customHeight="1" thickBot="1">
      <c r="A81" s="21"/>
      <c r="B81" s="294"/>
      <c r="C81" s="295"/>
      <c r="D81" s="295"/>
      <c r="E81" s="292" t="s">
        <v>180</v>
      </c>
      <c r="F81" s="296">
        <f>SUM(F76:F80)</f>
        <v>0</v>
      </c>
      <c r="G81" s="289"/>
      <c r="H81" s="282"/>
      <c r="I81" s="282"/>
      <c r="J81" s="282"/>
      <c r="K81" s="282"/>
      <c r="Y81" s="52"/>
    </row>
    <row r="82" spans="1:25" ht="15" customHeight="1" thickTop="1">
      <c r="A82" s="21"/>
      <c r="B82" s="294"/>
      <c r="C82" s="295"/>
      <c r="D82" s="295"/>
      <c r="E82" s="292"/>
      <c r="F82" s="277"/>
      <c r="G82" s="289"/>
      <c r="H82" s="282"/>
      <c r="I82" s="282"/>
      <c r="J82" s="282"/>
      <c r="K82" s="282"/>
      <c r="Y82" s="52"/>
    </row>
    <row r="83" spans="1:25" ht="15" customHeight="1">
      <c r="A83" s="21"/>
      <c r="B83" s="294"/>
      <c r="C83" s="295"/>
      <c r="D83" s="295"/>
      <c r="E83" s="293" t="s">
        <v>181</v>
      </c>
      <c r="F83" s="297">
        <f>T20</f>
        <v>0</v>
      </c>
      <c r="G83" s="289"/>
      <c r="H83" s="282"/>
      <c r="I83" s="282"/>
      <c r="J83" s="282"/>
      <c r="K83" s="282"/>
      <c r="Y83" s="52"/>
    </row>
    <row r="84" spans="1:25" ht="15" customHeight="1" thickBot="1">
      <c r="A84" s="21"/>
      <c r="B84" s="294"/>
      <c r="C84" s="295"/>
      <c r="D84" s="295"/>
      <c r="E84" s="292" t="s">
        <v>182</v>
      </c>
      <c r="F84" s="296">
        <f>F81-F83</f>
        <v>0</v>
      </c>
      <c r="G84" s="298"/>
      <c r="H84" s="282"/>
      <c r="I84" s="282"/>
      <c r="J84" s="282"/>
      <c r="K84" s="282"/>
      <c r="Y84" s="52"/>
    </row>
    <row r="85" spans="1:25" ht="15" customHeight="1" thickTop="1">
      <c r="A85" s="21"/>
      <c r="B85" s="294"/>
      <c r="C85" s="295"/>
      <c r="D85" s="295"/>
      <c r="E85" s="292"/>
      <c r="F85" s="299"/>
      <c r="G85" s="289"/>
      <c r="H85" s="282"/>
      <c r="I85" s="282"/>
      <c r="J85" s="282"/>
      <c r="K85" s="282"/>
      <c r="Y85" s="52"/>
    </row>
    <row r="86" spans="1:25" ht="15" customHeight="1">
      <c r="A86" s="21"/>
      <c r="B86" s="300"/>
      <c r="C86" s="301"/>
      <c r="D86" s="301"/>
      <c r="E86" s="302"/>
      <c r="F86" s="303"/>
      <c r="G86" s="304"/>
      <c r="H86" s="282"/>
      <c r="I86" s="282"/>
      <c r="J86" s="282"/>
      <c r="K86" s="282"/>
      <c r="Y86" s="52"/>
    </row>
    <row r="87" spans="1:25" ht="15" customHeight="1">
      <c r="Y87" s="52"/>
    </row>
    <row r="88" spans="1:25" ht="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row>
    <row r="96" spans="1:25" ht="12.75" customHeight="1">
      <c r="A96" s="8"/>
    </row>
    <row r="97" spans="1:1" ht="12.75" customHeight="1">
      <c r="A97" s="8"/>
    </row>
    <row r="98" spans="1:1" ht="12.75" customHeight="1">
      <c r="A98" s="8"/>
    </row>
    <row r="99" spans="1:1" ht="12.75" customHeight="1">
      <c r="A99" s="8"/>
    </row>
    <row r="100" spans="1:1" ht="12.75" customHeight="1">
      <c r="A100" s="8"/>
    </row>
    <row r="101" spans="1:1" ht="12.75" customHeight="1">
      <c r="A101" s="8"/>
    </row>
    <row r="102" spans="1:1" ht="12.75" customHeight="1">
      <c r="A102" s="8"/>
    </row>
    <row r="103" spans="1:1" ht="12.75" customHeight="1">
      <c r="A103" s="8"/>
    </row>
    <row r="104" spans="1:1" ht="12.75" customHeight="1">
      <c r="A104" s="8"/>
    </row>
    <row r="105" spans="1:1" ht="12.75" customHeight="1">
      <c r="A105" s="8"/>
    </row>
    <row r="106" spans="1:1" ht="12.75" customHeight="1">
      <c r="A106" s="8"/>
    </row>
    <row r="107" spans="1:1" ht="12.75" customHeight="1">
      <c r="A107" s="8"/>
    </row>
    <row r="108" spans="1:1" ht="12.75" customHeight="1">
      <c r="A108" s="8"/>
    </row>
    <row r="109" spans="1:1" ht="12.75" customHeight="1">
      <c r="A109" s="8"/>
    </row>
    <row r="110" spans="1:1" ht="12.75" customHeight="1">
      <c r="A110" s="8"/>
    </row>
    <row r="111" spans="1:1" ht="12.75" customHeight="1">
      <c r="A111" s="8"/>
    </row>
    <row r="112" spans="1:1" ht="12.75" customHeight="1">
      <c r="A112" s="8"/>
    </row>
    <row r="113" spans="1:1" ht="12.75" customHeight="1">
      <c r="A113" s="8"/>
    </row>
    <row r="114" spans="1:1" ht="12.75" customHeight="1">
      <c r="A114" s="8"/>
    </row>
    <row r="115" spans="1:1" ht="12.75" customHeight="1">
      <c r="A115" s="8"/>
    </row>
    <row r="116" spans="1:1" ht="12.75" customHeight="1">
      <c r="A116" s="8"/>
    </row>
    <row r="117" spans="1:1" ht="12.75" customHeight="1">
      <c r="A117" s="8"/>
    </row>
    <row r="118" spans="1:1" ht="12.75" customHeight="1">
      <c r="A118" s="8"/>
    </row>
    <row r="119" spans="1:1" ht="12.75" customHeight="1">
      <c r="A119" s="8"/>
    </row>
    <row r="120" spans="1:1" ht="12.75" customHeight="1">
      <c r="A120" s="8"/>
    </row>
    <row r="121" spans="1:1" ht="12.75" customHeight="1">
      <c r="A121" s="8"/>
    </row>
    <row r="122" spans="1:1" ht="12.75" customHeight="1">
      <c r="A122" s="8"/>
    </row>
    <row r="123" spans="1:1" ht="12.75" customHeight="1">
      <c r="A123" s="8"/>
    </row>
    <row r="124" spans="1:1" ht="12.75" customHeight="1">
      <c r="A124" s="8"/>
    </row>
    <row r="125" spans="1:1" ht="12.75" customHeight="1">
      <c r="A125" s="8"/>
    </row>
    <row r="126" spans="1:1" ht="12.75" customHeight="1">
      <c r="A126" s="8"/>
    </row>
    <row r="127" spans="1:1" ht="12.75" customHeight="1">
      <c r="A127" s="8"/>
    </row>
    <row r="128" spans="1:1" ht="12.75" customHeight="1">
      <c r="A128" s="8"/>
    </row>
    <row r="129" spans="1:1" ht="12.75" customHeight="1">
      <c r="A129" s="8"/>
    </row>
    <row r="130" spans="1:1" ht="12.75" customHeight="1">
      <c r="A130" s="8"/>
    </row>
    <row r="131" spans="1:1" ht="12.75" customHeight="1">
      <c r="A131" s="8"/>
    </row>
    <row r="132" spans="1:1" ht="12.75" customHeight="1">
      <c r="A132" s="8"/>
    </row>
    <row r="133" spans="1:1" ht="12.75" customHeight="1">
      <c r="A133" s="8"/>
    </row>
    <row r="134" spans="1:1" ht="12.75" customHeight="1">
      <c r="A134" s="8"/>
    </row>
    <row r="135" spans="1:1" ht="12.75" customHeight="1">
      <c r="A135" s="8"/>
    </row>
    <row r="136" spans="1:1" ht="12.75" customHeight="1">
      <c r="A136" s="8"/>
    </row>
  </sheetData>
  <mergeCells count="7">
    <mergeCell ref="B1:W1"/>
    <mergeCell ref="B67:F70"/>
    <mergeCell ref="B61:F64"/>
    <mergeCell ref="W10:W11"/>
    <mergeCell ref="B12:B18"/>
    <mergeCell ref="B30:B31"/>
    <mergeCell ref="B32:B37"/>
  </mergeCells>
  <phoneticPr fontId="78" type="noConversion"/>
  <conditionalFormatting sqref="B61">
    <cfRule type="containsBlanks" dxfId="42" priority="3">
      <formula>LEN(TRIM(B61))=0</formula>
    </cfRule>
  </conditionalFormatting>
  <conditionalFormatting sqref="B76:D80 E80">
    <cfRule type="containsBlanks" dxfId="41" priority="2">
      <formula>LEN(TRIM(B76))=0</formula>
    </cfRule>
  </conditionalFormatting>
  <conditionalFormatting sqref="B67:F70">
    <cfRule type="containsBlanks" dxfId="40" priority="4">
      <formula>LEN(TRIM(B67))=0</formula>
    </cfRule>
  </conditionalFormatting>
  <conditionalFormatting sqref="E12:E17 H12:H17 K12:K17 N12:N17 Q12:Q17 E19:E23 H19:H23 K19:K23 N19:N23 Q19:Q23 E25:E28 H25:H28 K25:K28 N25:N28 Q25:Q28 E39 H39 K39 N39 Q39 T39">
    <cfRule type="containsBlanks" dxfId="39" priority="13">
      <formula>LEN(TRIM(E12))=0</formula>
    </cfRule>
  </conditionalFormatting>
  <conditionalFormatting sqref="E41 H41 K41 N41 Q41">
    <cfRule type="containsBlanks" dxfId="38" priority="14">
      <formula>LEN(TRIM(E41))=0</formula>
    </cfRule>
  </conditionalFormatting>
  <conditionalFormatting sqref="E43 H43 K43 N43 Q43">
    <cfRule type="containsBlanks" dxfId="37" priority="15">
      <formula>LEN(TRIM(E43))=0</formula>
    </cfRule>
  </conditionalFormatting>
  <conditionalFormatting sqref="E45 H45 K45 N45 Q45">
    <cfRule type="containsBlanks" dxfId="36" priority="16">
      <formula>LEN(TRIM(E45))=0</formula>
    </cfRule>
  </conditionalFormatting>
  <conditionalFormatting sqref="F10 I10 L10 O10 R10">
    <cfRule type="containsBlanks" dxfId="35" priority="11">
      <formula>LEN(TRIM(F10))=0</formula>
    </cfRule>
  </conditionalFormatting>
  <conditionalFormatting sqref="F76:F80">
    <cfRule type="containsBlanks" dxfId="34" priority="1">
      <formula>LEN(TRIM(F76))=0</formula>
    </cfRule>
  </conditionalFormatting>
  <conditionalFormatting sqref="T41">
    <cfRule type="containsBlanks" dxfId="33" priority="10">
      <formula>LEN(TRIM(T41))=0</formula>
    </cfRule>
  </conditionalFormatting>
  <conditionalFormatting sqref="T43">
    <cfRule type="containsBlanks" dxfId="32" priority="9">
      <formula>LEN(TRIM(T43))=0</formula>
    </cfRule>
  </conditionalFormatting>
  <conditionalFormatting sqref="T45">
    <cfRule type="containsBlanks" dxfId="31" priority="8">
      <formula>LEN(TRIM(T45))=0</formula>
    </cfRule>
  </conditionalFormatting>
  <hyperlinks>
    <hyperlink ref="B4" location="汇总!A1" display="返回汇总页" xr:uid="{957E07D2-A980-45C6-AF94-BBA8A1C9722C}"/>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AB5A-092E-4AC6-BD50-2B192E1DEAD8}">
  <dimension ref="A1:DG136"/>
  <sheetViews>
    <sheetView showGridLines="0" zoomScale="70" zoomScaleNormal="70" workbookViewId="0">
      <selection activeCell="J43" sqref="J43"/>
    </sheetView>
  </sheetViews>
  <sheetFormatPr defaultColWidth="8.75" defaultRowHeight="12.75" customHeight="1"/>
  <cols>
    <col min="1" max="1" width="2.58203125" style="5" customWidth="1"/>
    <col min="2" max="2" width="10.75" style="1" customWidth="1"/>
    <col min="3" max="3" width="18.75" style="1" customWidth="1"/>
    <col min="4" max="4" width="14.9140625" style="1" customWidth="1"/>
    <col min="5" max="5" width="13.33203125" style="1" customWidth="1"/>
    <col min="6" max="6" width="16.75" style="1" customWidth="1"/>
    <col min="7" max="7" width="16.83203125" style="1" customWidth="1"/>
    <col min="8" max="8" width="14.58203125" style="1" customWidth="1"/>
    <col min="9" max="9" width="17.08203125" style="1" customWidth="1"/>
    <col min="10" max="10" width="14.08203125" style="1" customWidth="1"/>
    <col min="11" max="11" width="14.25" style="1" customWidth="1"/>
    <col min="12" max="12" width="15" style="1" customWidth="1"/>
    <col min="13" max="13" width="15.83203125" style="1" customWidth="1"/>
    <col min="14" max="14" width="13.83203125" style="1" customWidth="1"/>
    <col min="15" max="15" width="15.83203125" style="1" customWidth="1"/>
    <col min="16" max="16" width="15.08203125" style="1" customWidth="1"/>
    <col min="17" max="17" width="14" style="1" customWidth="1"/>
    <col min="18" max="18" width="15.33203125" style="1" customWidth="1"/>
    <col min="19" max="19" width="16.25" style="1" customWidth="1"/>
    <col min="20" max="20" width="12.75" style="1" customWidth="1"/>
    <col min="21" max="21" width="17.25" style="1" customWidth="1"/>
    <col min="22" max="22" width="12.75" style="1" customWidth="1"/>
    <col min="23" max="23" width="14.9140625" style="1" customWidth="1"/>
    <col min="24" max="24" width="2.58203125" style="1" customWidth="1"/>
    <col min="25" max="25" width="1.58203125" style="2" customWidth="1"/>
    <col min="26" max="26" width="12.75" style="282" customWidth="1"/>
    <col min="27" max="31" width="12.75" style="1" customWidth="1"/>
    <col min="32" max="80" width="8.75" style="1"/>
    <col min="81" max="81" width="13.08203125" style="3" customWidth="1"/>
    <col min="82" max="82" width="7.33203125" style="3" customWidth="1"/>
    <col min="83" max="92" width="8.75" style="3"/>
    <col min="93" max="93" width="14.33203125" style="3" customWidth="1"/>
    <col min="94" max="99" width="8.75" style="3"/>
    <col min="100" max="100" width="10.33203125" style="3" customWidth="1"/>
    <col min="101" max="104" width="8.75" style="3"/>
    <col min="105" max="105" width="10.08203125" style="3" customWidth="1"/>
    <col min="106" max="106" width="12.33203125" style="3" customWidth="1"/>
    <col min="107" max="107" width="8.75" style="22"/>
    <col min="108" max="108" width="8.75" style="3"/>
    <col min="109" max="109" width="8.75" style="23"/>
    <col min="110" max="16384" width="8.75" style="1"/>
  </cols>
  <sheetData>
    <row r="1" spans="1:111" s="20" customFormat="1" ht="50.15" customHeight="1">
      <c r="A1" s="136"/>
      <c r="B1" s="550" t="s">
        <v>112</v>
      </c>
      <c r="C1" s="551" t="s">
        <v>112</v>
      </c>
      <c r="D1" s="551" t="s">
        <v>112</v>
      </c>
      <c r="E1" s="551" t="s">
        <v>112</v>
      </c>
      <c r="F1" s="551" t="s">
        <v>112</v>
      </c>
      <c r="G1" s="551" t="s">
        <v>112</v>
      </c>
      <c r="H1" s="551" t="s">
        <v>112</v>
      </c>
      <c r="I1" s="551" t="s">
        <v>112</v>
      </c>
      <c r="J1" s="551" t="s">
        <v>112</v>
      </c>
      <c r="K1" s="551" t="s">
        <v>112</v>
      </c>
      <c r="L1" s="551" t="s">
        <v>112</v>
      </c>
      <c r="M1" s="551" t="s">
        <v>112</v>
      </c>
      <c r="N1" s="551" t="s">
        <v>112</v>
      </c>
      <c r="O1" s="551" t="s">
        <v>112</v>
      </c>
      <c r="P1" s="551" t="s">
        <v>112</v>
      </c>
      <c r="Q1" s="551" t="s">
        <v>112</v>
      </c>
      <c r="R1" s="551" t="s">
        <v>112</v>
      </c>
      <c r="S1" s="551" t="s">
        <v>112</v>
      </c>
      <c r="T1" s="551" t="s">
        <v>112</v>
      </c>
      <c r="U1" s="551" t="s">
        <v>112</v>
      </c>
      <c r="V1" s="551" t="s">
        <v>112</v>
      </c>
      <c r="W1" s="552"/>
      <c r="Y1" s="52"/>
      <c r="Z1" s="138"/>
      <c r="AA1" s="137"/>
      <c r="CE1" s="138"/>
      <c r="CF1" s="138"/>
      <c r="CG1" s="138"/>
      <c r="CH1" s="139"/>
      <c r="CI1" s="139"/>
      <c r="CJ1" s="139"/>
      <c r="CK1" s="139"/>
      <c r="CL1" s="139"/>
      <c r="CM1" s="139"/>
      <c r="CN1" s="139"/>
      <c r="CO1" s="139"/>
      <c r="CP1" s="138"/>
      <c r="CQ1" s="139"/>
      <c r="CR1" s="139"/>
      <c r="CS1" s="139"/>
      <c r="CT1" s="139"/>
      <c r="CU1" s="139"/>
      <c r="CV1" s="138"/>
      <c r="CW1" s="138"/>
      <c r="CX1" s="138"/>
      <c r="CY1" s="138"/>
      <c r="CZ1" s="138"/>
      <c r="DA1" s="138"/>
      <c r="DB1" s="138"/>
      <c r="DC1" s="138"/>
      <c r="DD1" s="138"/>
      <c r="DE1" s="140"/>
      <c r="DF1" s="138"/>
      <c r="DG1" s="138"/>
    </row>
    <row r="2" spans="1:111" s="258" customFormat="1" ht="30" customHeight="1">
      <c r="A2" s="252"/>
      <c r="B2" s="253" t="s">
        <v>113</v>
      </c>
      <c r="C2" s="254"/>
      <c r="D2" s="255"/>
      <c r="E2" s="256"/>
      <c r="F2" s="255"/>
      <c r="G2" s="256"/>
      <c r="H2" s="255"/>
      <c r="I2" s="256"/>
      <c r="J2" s="255"/>
      <c r="K2" s="256"/>
      <c r="L2" s="255"/>
      <c r="M2" s="256"/>
      <c r="N2" s="255"/>
      <c r="O2" s="256"/>
      <c r="P2" s="255"/>
      <c r="Q2" s="256"/>
      <c r="R2" s="255"/>
      <c r="S2" s="256"/>
      <c r="T2" s="255"/>
      <c r="U2" s="255"/>
      <c r="V2" s="255"/>
      <c r="W2" s="257"/>
      <c r="Y2" s="250"/>
      <c r="Z2" s="231"/>
      <c r="AA2" s="259"/>
      <c r="CE2" s="231"/>
      <c r="CF2" s="231"/>
      <c r="CG2" s="231"/>
      <c r="CH2" s="260"/>
      <c r="CI2" s="260"/>
      <c r="CJ2" s="260"/>
      <c r="CK2" s="260"/>
      <c r="CL2" s="260"/>
      <c r="CM2" s="260"/>
      <c r="CN2" s="260"/>
      <c r="CO2" s="260"/>
      <c r="CP2" s="231"/>
      <c r="CQ2" s="260"/>
      <c r="CR2" s="260"/>
      <c r="CS2" s="260"/>
      <c r="CT2" s="260"/>
      <c r="CU2" s="260"/>
      <c r="CV2" s="231"/>
      <c r="CW2" s="231"/>
      <c r="CX2" s="231"/>
      <c r="CY2" s="231"/>
      <c r="CZ2" s="231"/>
      <c r="DA2" s="231"/>
      <c r="DB2" s="231"/>
      <c r="DC2" s="231"/>
      <c r="DD2" s="231"/>
      <c r="DE2" s="261"/>
      <c r="DF2" s="231"/>
      <c r="DG2" s="231"/>
    </row>
    <row r="3" spans="1:111" s="20" customFormat="1" ht="12" customHeight="1">
      <c r="A3" s="5"/>
      <c r="B3" s="6"/>
      <c r="Y3" s="52"/>
      <c r="Z3" s="138"/>
      <c r="AA3" s="137"/>
      <c r="CE3" s="138"/>
      <c r="CF3" s="138"/>
      <c r="CG3" s="138"/>
      <c r="CH3" s="139"/>
      <c r="CI3" s="139"/>
      <c r="CJ3" s="139"/>
      <c r="CK3" s="139"/>
      <c r="CL3" s="139"/>
      <c r="CM3" s="139"/>
      <c r="CN3" s="139"/>
      <c r="CO3" s="139"/>
      <c r="CP3" s="138"/>
      <c r="CQ3" s="139"/>
      <c r="CR3" s="139"/>
      <c r="CS3" s="139"/>
      <c r="CT3" s="139"/>
      <c r="CU3" s="139"/>
      <c r="CV3" s="138"/>
      <c r="CW3" s="138"/>
      <c r="CX3" s="138"/>
      <c r="CY3" s="138"/>
      <c r="CZ3" s="138"/>
      <c r="DA3" s="138"/>
      <c r="DB3" s="138"/>
      <c r="DC3" s="138"/>
      <c r="DD3" s="138"/>
      <c r="DE3" s="140"/>
      <c r="DF3" s="138"/>
      <c r="DG3" s="138"/>
    </row>
    <row r="4" spans="1:111" s="20" customFormat="1" ht="12" customHeight="1">
      <c r="A4" s="5"/>
      <c r="B4" s="396" t="s">
        <v>45</v>
      </c>
      <c r="Y4" s="52"/>
      <c r="Z4" s="138"/>
      <c r="AA4" s="137"/>
      <c r="CE4" s="138"/>
      <c r="CF4" s="138"/>
      <c r="CG4" s="138"/>
      <c r="CH4" s="139"/>
      <c r="CI4" s="139"/>
      <c r="CJ4" s="139"/>
      <c r="CK4" s="139"/>
      <c r="CL4" s="139"/>
      <c r="CM4" s="139"/>
      <c r="CN4" s="139"/>
      <c r="CO4" s="139"/>
      <c r="CP4" s="138"/>
      <c r="CQ4" s="139"/>
      <c r="CR4" s="139"/>
      <c r="CS4" s="139"/>
      <c r="CT4" s="139"/>
      <c r="CU4" s="139"/>
      <c r="CV4" s="138"/>
      <c r="CW4" s="138"/>
      <c r="CX4" s="138"/>
      <c r="CY4" s="138"/>
      <c r="CZ4" s="138"/>
      <c r="DA4" s="138"/>
      <c r="DB4" s="138"/>
      <c r="DC4" s="138"/>
      <c r="DD4" s="138"/>
      <c r="DE4" s="140"/>
      <c r="DF4" s="138"/>
      <c r="DG4" s="138"/>
    </row>
    <row r="5" spans="1:111" s="20" customFormat="1" ht="12" customHeight="1">
      <c r="A5" s="5"/>
      <c r="Y5" s="52"/>
      <c r="Z5" s="138"/>
      <c r="AA5" s="137"/>
      <c r="CE5" s="138"/>
      <c r="CF5" s="138"/>
      <c r="CG5" s="138"/>
      <c r="CH5" s="139"/>
      <c r="CI5" s="139"/>
      <c r="CJ5" s="139"/>
      <c r="CK5" s="139"/>
      <c r="CL5" s="139"/>
      <c r="CM5" s="139"/>
      <c r="CN5" s="139"/>
      <c r="CO5" s="139"/>
      <c r="CP5" s="138"/>
      <c r="CQ5" s="139"/>
      <c r="CR5" s="139"/>
      <c r="CS5" s="139"/>
      <c r="CT5" s="139"/>
      <c r="CU5" s="139"/>
      <c r="CV5" s="138"/>
      <c r="CW5" s="138"/>
      <c r="CX5" s="138"/>
      <c r="CY5" s="138"/>
      <c r="CZ5" s="138"/>
      <c r="DA5" s="138"/>
      <c r="DB5" s="138"/>
      <c r="DC5" s="138"/>
      <c r="DD5" s="138"/>
      <c r="DE5" s="140"/>
      <c r="DF5" s="138"/>
      <c r="DG5" s="138"/>
    </row>
    <row r="6" spans="1:111" s="20" customFormat="1" ht="14.5">
      <c r="A6" s="5"/>
      <c r="B6" s="321" t="s">
        <v>114</v>
      </c>
      <c r="C6" s="138"/>
      <c r="D6" s="138"/>
      <c r="E6" s="138"/>
      <c r="F6" s="138"/>
      <c r="G6" s="138"/>
      <c r="H6" s="138"/>
      <c r="I6" s="138"/>
      <c r="J6" s="138"/>
      <c r="K6" s="138"/>
      <c r="L6" s="138"/>
      <c r="Y6" s="52"/>
      <c r="Z6" s="138"/>
      <c r="AA6" s="137"/>
      <c r="CE6" s="138"/>
      <c r="CF6" s="138"/>
      <c r="CG6" s="138"/>
      <c r="CH6" s="139"/>
      <c r="CI6" s="139"/>
      <c r="CJ6" s="139"/>
      <c r="CK6" s="139"/>
      <c r="CL6" s="139"/>
      <c r="CM6" s="139"/>
      <c r="CN6" s="139"/>
      <c r="CO6" s="139"/>
      <c r="CP6" s="138"/>
      <c r="CQ6" s="139"/>
      <c r="CR6" s="139"/>
      <c r="CS6" s="139"/>
      <c r="CT6" s="139"/>
      <c r="CU6" s="139"/>
      <c r="CV6" s="138"/>
      <c r="CW6" s="138"/>
      <c r="CX6" s="138"/>
      <c r="CY6" s="138"/>
      <c r="CZ6" s="138"/>
      <c r="DA6" s="138"/>
      <c r="DB6" s="138"/>
      <c r="DC6" s="138"/>
      <c r="DD6" s="138"/>
      <c r="DE6" s="140"/>
      <c r="DF6" s="138"/>
      <c r="DG6" s="138"/>
    </row>
    <row r="7" spans="1:111" s="20" customFormat="1" ht="14.5">
      <c r="A7" s="5"/>
      <c r="B7" s="321" t="s">
        <v>115</v>
      </c>
      <c r="C7" s="138"/>
      <c r="D7" s="138"/>
      <c r="E7" s="138"/>
      <c r="F7" s="138"/>
      <c r="G7" s="138"/>
      <c r="H7" s="138"/>
      <c r="I7" s="138"/>
      <c r="J7" s="138"/>
      <c r="K7" s="138"/>
      <c r="L7" s="138"/>
      <c r="Y7" s="52"/>
      <c r="Z7" s="138"/>
      <c r="AA7" s="137"/>
      <c r="CE7" s="138"/>
      <c r="CF7" s="138"/>
      <c r="CG7" s="138"/>
      <c r="CH7" s="139"/>
      <c r="CI7" s="139"/>
      <c r="CJ7" s="139"/>
      <c r="CK7" s="139"/>
      <c r="CL7" s="139"/>
      <c r="CM7" s="139"/>
      <c r="CN7" s="139"/>
      <c r="CO7" s="139"/>
      <c r="CP7" s="138"/>
      <c r="CQ7" s="139"/>
      <c r="CR7" s="139"/>
      <c r="CS7" s="139"/>
      <c r="CT7" s="139"/>
      <c r="CU7" s="139"/>
      <c r="CV7" s="138"/>
      <c r="CW7" s="138"/>
      <c r="CX7" s="138"/>
      <c r="CY7" s="138"/>
      <c r="CZ7" s="138"/>
      <c r="DA7" s="138"/>
      <c r="DB7" s="138"/>
      <c r="DC7" s="138"/>
      <c r="DD7" s="138"/>
      <c r="DE7" s="140"/>
      <c r="DF7" s="138"/>
      <c r="DG7" s="138"/>
    </row>
    <row r="8" spans="1:111" s="20" customFormat="1" ht="14.5">
      <c r="A8" s="5"/>
      <c r="B8" s="321" t="s">
        <v>116</v>
      </c>
      <c r="C8" s="138"/>
      <c r="D8" s="138"/>
      <c r="E8" s="138"/>
      <c r="F8" s="138"/>
      <c r="G8" s="138"/>
      <c r="H8" s="138"/>
      <c r="I8" s="138"/>
      <c r="J8" s="138"/>
      <c r="K8" s="138"/>
      <c r="L8" s="138"/>
      <c r="Y8" s="52"/>
      <c r="Z8" s="138"/>
      <c r="AA8" s="137"/>
      <c r="CE8" s="138"/>
      <c r="CF8" s="138"/>
      <c r="CG8" s="138"/>
      <c r="CH8" s="139"/>
      <c r="CI8" s="139"/>
      <c r="CJ8" s="139"/>
      <c r="CK8" s="139"/>
      <c r="CL8" s="139"/>
      <c r="CM8" s="139"/>
      <c r="CN8" s="139"/>
      <c r="CO8" s="139"/>
      <c r="CP8" s="138"/>
      <c r="CQ8" s="139"/>
      <c r="CR8" s="139"/>
      <c r="CS8" s="139"/>
      <c r="CT8" s="139"/>
      <c r="CU8" s="139"/>
      <c r="CV8" s="138"/>
      <c r="CW8" s="138"/>
      <c r="CX8" s="138"/>
      <c r="CY8" s="138"/>
      <c r="CZ8" s="138"/>
      <c r="DA8" s="138"/>
      <c r="DB8" s="138"/>
      <c r="DC8" s="138"/>
      <c r="DD8" s="138"/>
      <c r="DE8" s="140"/>
      <c r="DF8" s="138"/>
      <c r="DG8" s="138"/>
    </row>
    <row r="9" spans="1:111" s="20" customFormat="1" ht="12" customHeight="1">
      <c r="A9" s="5"/>
      <c r="B9" s="5" t="s">
        <v>117</v>
      </c>
      <c r="H9" s="505"/>
      <c r="I9" s="506"/>
      <c r="W9" s="138"/>
      <c r="Y9" s="52"/>
      <c r="Z9" s="138"/>
      <c r="AA9" s="137"/>
      <c r="CE9" s="138"/>
      <c r="CF9" s="138"/>
      <c r="CG9" s="138"/>
      <c r="CH9" s="139"/>
      <c r="CI9" s="139"/>
      <c r="CJ9" s="139"/>
      <c r="CK9" s="139"/>
      <c r="CL9" s="139"/>
      <c r="CM9" s="139"/>
      <c r="CN9" s="139"/>
      <c r="CO9" s="139"/>
      <c r="CP9" s="138"/>
      <c r="CQ9" s="139"/>
      <c r="CR9" s="139"/>
      <c r="CS9" s="139"/>
      <c r="CT9" s="139"/>
      <c r="CU9" s="139"/>
      <c r="CV9" s="138"/>
      <c r="CW9" s="138"/>
      <c r="CX9" s="138"/>
      <c r="CY9" s="138"/>
      <c r="CZ9" s="138"/>
      <c r="DA9" s="138"/>
      <c r="DB9" s="138"/>
      <c r="DC9" s="138"/>
      <c r="DD9" s="138"/>
      <c r="DE9" s="140"/>
      <c r="DF9" s="138"/>
      <c r="DG9" s="138"/>
    </row>
    <row r="10" spans="1:111" s="20" customFormat="1" ht="12.75" customHeight="1">
      <c r="A10" s="5"/>
      <c r="B10" s="329"/>
      <c r="C10" s="322"/>
      <c r="D10" s="323"/>
      <c r="E10" s="169"/>
      <c r="F10" s="170" t="s">
        <v>118</v>
      </c>
      <c r="G10" s="176"/>
      <c r="H10" s="169"/>
      <c r="I10" s="498" t="s">
        <v>445</v>
      </c>
      <c r="J10" s="176"/>
      <c r="K10" s="169"/>
      <c r="L10" s="170" t="s">
        <v>119</v>
      </c>
      <c r="M10" s="176"/>
      <c r="N10" s="169"/>
      <c r="O10" s="170" t="s">
        <v>120</v>
      </c>
      <c r="P10" s="176"/>
      <c r="Q10" s="169"/>
      <c r="R10" s="498" t="s">
        <v>446</v>
      </c>
      <c r="S10" s="176"/>
      <c r="T10" s="169"/>
      <c r="U10" s="170" t="s">
        <v>121</v>
      </c>
      <c r="V10" s="176"/>
      <c r="W10" s="571" t="s">
        <v>122</v>
      </c>
      <c r="Y10" s="52"/>
      <c r="Z10" s="138"/>
    </row>
    <row r="11" spans="1:111" s="20" customFormat="1" ht="12.75" customHeight="1">
      <c r="A11" s="5"/>
      <c r="B11" s="330"/>
      <c r="C11" s="324"/>
      <c r="D11" s="325"/>
      <c r="E11" s="141" t="s">
        <v>123</v>
      </c>
      <c r="F11" s="177" t="s">
        <v>124</v>
      </c>
      <c r="G11" s="141" t="s">
        <v>125</v>
      </c>
      <c r="H11" s="141" t="s">
        <v>123</v>
      </c>
      <c r="I11" s="178" t="s">
        <v>124</v>
      </c>
      <c r="J11" s="141" t="s">
        <v>125</v>
      </c>
      <c r="K11" s="141" t="s">
        <v>123</v>
      </c>
      <c r="L11" s="178" t="s">
        <v>124</v>
      </c>
      <c r="M11" s="141" t="s">
        <v>125</v>
      </c>
      <c r="N11" s="141" t="s">
        <v>123</v>
      </c>
      <c r="O11" s="178" t="s">
        <v>124</v>
      </c>
      <c r="P11" s="141" t="s">
        <v>125</v>
      </c>
      <c r="Q11" s="141" t="s">
        <v>123</v>
      </c>
      <c r="R11" s="178" t="s">
        <v>124</v>
      </c>
      <c r="S11" s="141" t="s">
        <v>125</v>
      </c>
      <c r="T11" s="141" t="s">
        <v>123</v>
      </c>
      <c r="U11" s="178" t="s">
        <v>124</v>
      </c>
      <c r="V11" s="141" t="s">
        <v>125</v>
      </c>
      <c r="W11" s="572"/>
      <c r="Y11" s="52"/>
      <c r="Z11" s="138"/>
    </row>
    <row r="12" spans="1:111" s="20" customFormat="1" ht="12.75" customHeight="1">
      <c r="A12" s="5"/>
      <c r="B12" s="573" t="s">
        <v>126</v>
      </c>
      <c r="C12" s="128" t="s">
        <v>127</v>
      </c>
      <c r="D12" s="326" t="s">
        <v>128</v>
      </c>
      <c r="E12" s="406">
        <v>0</v>
      </c>
      <c r="F12" s="407"/>
      <c r="G12" s="407">
        <f>SUM(E12:F12)</f>
        <v>0</v>
      </c>
      <c r="H12" s="406">
        <v>0</v>
      </c>
      <c r="I12" s="407"/>
      <c r="J12" s="407">
        <f>SUM(H12:I12)</f>
        <v>0</v>
      </c>
      <c r="K12" s="406">
        <v>0</v>
      </c>
      <c r="L12" s="407"/>
      <c r="M12" s="407">
        <f>SUM(K12:L12)</f>
        <v>0</v>
      </c>
      <c r="N12" s="406">
        <v>0</v>
      </c>
      <c r="O12" s="407"/>
      <c r="P12" s="407">
        <f t="shared" ref="P12:P17" si="0">SUM(N12:O12)</f>
        <v>0</v>
      </c>
      <c r="Q12" s="407">
        <v>0</v>
      </c>
      <c r="R12" s="407"/>
      <c r="S12" s="407">
        <f>SUM(Q12:R12)</f>
        <v>0</v>
      </c>
      <c r="T12" s="407">
        <f>SUM(Q12,N12,K12,H12,E12)</f>
        <v>0</v>
      </c>
      <c r="U12" s="407">
        <f>F12+I12+L12+O12+R12</f>
        <v>0</v>
      </c>
      <c r="V12" s="407">
        <f>G12+J12+M12+P12+S12</f>
        <v>0</v>
      </c>
      <c r="W12" s="408"/>
      <c r="Y12" s="52"/>
      <c r="Z12" s="138"/>
    </row>
    <row r="13" spans="1:111" s="20" customFormat="1" ht="12.75" customHeight="1">
      <c r="A13" s="5"/>
      <c r="B13" s="574"/>
      <c r="C13" s="397" t="s">
        <v>129</v>
      </c>
      <c r="D13" s="126" t="s">
        <v>130</v>
      </c>
      <c r="E13" s="409">
        <v>0</v>
      </c>
      <c r="F13" s="410"/>
      <c r="G13" s="410">
        <f>SUM(E13:F13)</f>
        <v>0</v>
      </c>
      <c r="H13" s="409">
        <v>184955.76</v>
      </c>
      <c r="I13" s="410"/>
      <c r="J13" s="410">
        <f>SUM(H13:I13)</f>
        <v>184955.76</v>
      </c>
      <c r="K13" s="409">
        <v>0</v>
      </c>
      <c r="L13" s="410"/>
      <c r="M13" s="410">
        <f t="shared" ref="M13:M17" si="1">SUM(K13:L13)</f>
        <v>0</v>
      </c>
      <c r="N13" s="409">
        <v>0</v>
      </c>
      <c r="O13" s="410"/>
      <c r="P13" s="410">
        <f t="shared" si="0"/>
        <v>0</v>
      </c>
      <c r="Q13" s="410">
        <v>0</v>
      </c>
      <c r="R13" s="410"/>
      <c r="S13" s="410">
        <f t="shared" ref="S13:S17" si="2">SUM(Q13:R13)</f>
        <v>0</v>
      </c>
      <c r="T13" s="410">
        <f t="shared" ref="T13:T17" si="3">SUM(Q13,N13,K13,H13,E13)</f>
        <v>184955.76</v>
      </c>
      <c r="U13" s="410">
        <f t="shared" ref="U13:V31" si="4">F13+I13+L13+O13+R13</f>
        <v>0</v>
      </c>
      <c r="V13" s="410">
        <f t="shared" si="4"/>
        <v>184955.76</v>
      </c>
      <c r="W13" s="412"/>
      <c r="Y13" s="52"/>
      <c r="Z13" s="138"/>
    </row>
    <row r="14" spans="1:111" s="20" customFormat="1" ht="12.75" customHeight="1">
      <c r="A14" s="5"/>
      <c r="B14" s="574"/>
      <c r="C14" s="499" t="s">
        <v>447</v>
      </c>
      <c r="D14" s="126"/>
      <c r="E14" s="409">
        <v>8736665.9600000009</v>
      </c>
      <c r="F14" s="410"/>
      <c r="G14" s="410">
        <f>SUM(E14:F14)</f>
        <v>8736665.9600000009</v>
      </c>
      <c r="H14" s="409">
        <v>1431965.43</v>
      </c>
      <c r="I14" s="410"/>
      <c r="J14" s="410">
        <f>SUM(H14:I14)</f>
        <v>1431965.43</v>
      </c>
      <c r="K14" s="409">
        <v>0</v>
      </c>
      <c r="L14" s="410"/>
      <c r="M14" s="410"/>
      <c r="N14" s="409">
        <v>0</v>
      </c>
      <c r="O14" s="410"/>
      <c r="P14" s="410"/>
      <c r="Q14" s="410">
        <v>0</v>
      </c>
      <c r="R14" s="410"/>
      <c r="S14" s="410"/>
      <c r="T14" s="410">
        <f t="shared" si="3"/>
        <v>10168631.390000001</v>
      </c>
      <c r="U14" s="410"/>
      <c r="V14" s="410">
        <f>G14+J14+M14+P14+S14</f>
        <v>10168631.390000001</v>
      </c>
      <c r="W14" s="412"/>
      <c r="Y14" s="52"/>
      <c r="Z14" s="138"/>
    </row>
    <row r="15" spans="1:111" s="20" customFormat="1" ht="12.75" customHeight="1">
      <c r="A15" s="5"/>
      <c r="B15" s="574"/>
      <c r="C15" s="398" t="s">
        <v>131</v>
      </c>
      <c r="D15" s="126"/>
      <c r="E15" s="409">
        <v>0</v>
      </c>
      <c r="F15" s="410"/>
      <c r="G15" s="410">
        <f t="shared" ref="G15:G17" si="5">SUM(E15:F15)</f>
        <v>0</v>
      </c>
      <c r="H15" s="409">
        <v>0</v>
      </c>
      <c r="I15" s="410"/>
      <c r="J15" s="410">
        <f t="shared" ref="J15:J17" si="6">SUM(H15:I15)</f>
        <v>0</v>
      </c>
      <c r="K15" s="409">
        <v>0</v>
      </c>
      <c r="L15" s="410"/>
      <c r="M15" s="410">
        <f t="shared" si="1"/>
        <v>0</v>
      </c>
      <c r="N15" s="409">
        <v>0</v>
      </c>
      <c r="O15" s="410"/>
      <c r="P15" s="410">
        <f t="shared" si="0"/>
        <v>0</v>
      </c>
      <c r="Q15" s="410">
        <v>0</v>
      </c>
      <c r="R15" s="410"/>
      <c r="S15" s="410">
        <f t="shared" si="2"/>
        <v>0</v>
      </c>
      <c r="T15" s="410">
        <f t="shared" si="3"/>
        <v>0</v>
      </c>
      <c r="U15" s="410">
        <f t="shared" si="4"/>
        <v>0</v>
      </c>
      <c r="V15" s="410">
        <f t="shared" si="4"/>
        <v>0</v>
      </c>
      <c r="W15" s="412"/>
      <c r="Y15" s="52"/>
      <c r="Z15" s="138"/>
    </row>
    <row r="16" spans="1:111" s="20" customFormat="1" ht="12.75" customHeight="1">
      <c r="A16" s="5"/>
      <c r="B16" s="574"/>
      <c r="C16" s="397" t="s">
        <v>132</v>
      </c>
      <c r="D16" s="126" t="s">
        <v>133</v>
      </c>
      <c r="E16" s="409">
        <v>0</v>
      </c>
      <c r="F16" s="410"/>
      <c r="G16" s="410">
        <f t="shared" si="5"/>
        <v>0</v>
      </c>
      <c r="H16" s="409">
        <v>0</v>
      </c>
      <c r="I16" s="410"/>
      <c r="J16" s="410">
        <f t="shared" si="6"/>
        <v>0</v>
      </c>
      <c r="K16" s="409">
        <v>0</v>
      </c>
      <c r="L16" s="410"/>
      <c r="M16" s="410">
        <f t="shared" si="1"/>
        <v>0</v>
      </c>
      <c r="N16" s="409">
        <v>0</v>
      </c>
      <c r="O16" s="410"/>
      <c r="P16" s="410">
        <f t="shared" si="0"/>
        <v>0</v>
      </c>
      <c r="Q16" s="410">
        <v>0</v>
      </c>
      <c r="R16" s="410"/>
      <c r="S16" s="410">
        <f t="shared" si="2"/>
        <v>0</v>
      </c>
      <c r="T16" s="410">
        <f t="shared" si="3"/>
        <v>0</v>
      </c>
      <c r="U16" s="410">
        <f t="shared" si="4"/>
        <v>0</v>
      </c>
      <c r="V16" s="410">
        <f t="shared" si="4"/>
        <v>0</v>
      </c>
      <c r="W16" s="412"/>
      <c r="Y16" s="52"/>
      <c r="Z16" s="138"/>
    </row>
    <row r="17" spans="1:26" s="20" customFormat="1" ht="12.75" customHeight="1">
      <c r="A17" s="5"/>
      <c r="B17" s="574"/>
      <c r="C17" s="397" t="s">
        <v>134</v>
      </c>
      <c r="D17" s="126"/>
      <c r="E17" s="409">
        <v>0</v>
      </c>
      <c r="F17" s="410"/>
      <c r="G17" s="410">
        <f t="shared" si="5"/>
        <v>0</v>
      </c>
      <c r="H17" s="409">
        <v>0</v>
      </c>
      <c r="I17" s="410"/>
      <c r="J17" s="410">
        <f t="shared" si="6"/>
        <v>0</v>
      </c>
      <c r="K17" s="409">
        <v>0</v>
      </c>
      <c r="L17" s="410"/>
      <c r="M17" s="410">
        <f t="shared" si="1"/>
        <v>0</v>
      </c>
      <c r="N17" s="409">
        <v>0</v>
      </c>
      <c r="O17" s="410"/>
      <c r="P17" s="410">
        <f t="shared" si="0"/>
        <v>0</v>
      </c>
      <c r="Q17" s="410">
        <v>0</v>
      </c>
      <c r="R17" s="410"/>
      <c r="S17" s="410">
        <f t="shared" si="2"/>
        <v>0</v>
      </c>
      <c r="T17" s="410">
        <f t="shared" si="3"/>
        <v>0</v>
      </c>
      <c r="U17" s="410">
        <f t="shared" si="4"/>
        <v>0</v>
      </c>
      <c r="V17" s="410">
        <f t="shared" si="4"/>
        <v>0</v>
      </c>
      <c r="W17" s="412"/>
      <c r="Y17" s="52"/>
      <c r="Z17" s="138"/>
    </row>
    <row r="18" spans="1:26" s="20" customFormat="1" ht="12.75" customHeight="1">
      <c r="A18" s="5"/>
      <c r="B18" s="575"/>
      <c r="C18" s="128" t="s">
        <v>135</v>
      </c>
      <c r="D18" s="129" t="s">
        <v>136</v>
      </c>
      <c r="E18" s="406">
        <f>SUM(E12:E17)</f>
        <v>8736665.9600000009</v>
      </c>
      <c r="F18" s="406">
        <f t="shared" ref="F18:V18" si="7">SUM(F12:F17)</f>
        <v>0</v>
      </c>
      <c r="G18" s="406">
        <f t="shared" si="7"/>
        <v>8736665.9600000009</v>
      </c>
      <c r="H18" s="406">
        <f>SUM(H12:H17)</f>
        <v>1616921.19</v>
      </c>
      <c r="I18" s="406">
        <f t="shared" si="7"/>
        <v>0</v>
      </c>
      <c r="J18" s="406">
        <f t="shared" si="7"/>
        <v>1616921.19</v>
      </c>
      <c r="K18" s="406">
        <f t="shared" si="7"/>
        <v>0</v>
      </c>
      <c r="L18" s="406">
        <f t="shared" si="7"/>
        <v>0</v>
      </c>
      <c r="M18" s="406">
        <f t="shared" si="7"/>
        <v>0</v>
      </c>
      <c r="N18" s="406">
        <f t="shared" si="7"/>
        <v>0</v>
      </c>
      <c r="O18" s="406">
        <f t="shared" si="7"/>
        <v>0</v>
      </c>
      <c r="P18" s="406">
        <f t="shared" si="7"/>
        <v>0</v>
      </c>
      <c r="Q18" s="406">
        <f t="shared" si="7"/>
        <v>0</v>
      </c>
      <c r="R18" s="406">
        <f t="shared" si="7"/>
        <v>0</v>
      </c>
      <c r="S18" s="406">
        <f t="shared" si="7"/>
        <v>0</v>
      </c>
      <c r="T18" s="407">
        <f t="shared" si="7"/>
        <v>10353587.15</v>
      </c>
      <c r="U18" s="406">
        <f t="shared" si="7"/>
        <v>0</v>
      </c>
      <c r="V18" s="406">
        <f>SUM(V12:V17)</f>
        <v>10353587.15</v>
      </c>
      <c r="W18" s="408">
        <f>V18-'L1.00 Lead sheet'!J42</f>
        <v>0</v>
      </c>
      <c r="Y18" s="52"/>
      <c r="Z18" s="138"/>
    </row>
    <row r="19" spans="1:26" s="20" customFormat="1" ht="12.75" customHeight="1">
      <c r="A19" s="5"/>
      <c r="B19" s="466"/>
      <c r="C19" s="128" t="s">
        <v>127</v>
      </c>
      <c r="D19" s="327" t="s">
        <v>128</v>
      </c>
      <c r="E19" s="407">
        <v>0</v>
      </c>
      <c r="F19" s="407"/>
      <c r="G19" s="407">
        <f>SUM(E19:F19)</f>
        <v>0</v>
      </c>
      <c r="H19" s="407">
        <v>0</v>
      </c>
      <c r="I19" s="407"/>
      <c r="J19" s="407">
        <f>SUM(H19:I19)</f>
        <v>0</v>
      </c>
      <c r="K19" s="407">
        <v>0</v>
      </c>
      <c r="L19" s="407"/>
      <c r="M19" s="407">
        <f>SUM(K19:L19)</f>
        <v>0</v>
      </c>
      <c r="N19" s="407">
        <v>0</v>
      </c>
      <c r="O19" s="407"/>
      <c r="P19" s="407">
        <f>SUM(N19:O19)</f>
        <v>0</v>
      </c>
      <c r="Q19" s="407">
        <v>0</v>
      </c>
      <c r="R19" s="407"/>
      <c r="S19" s="407">
        <f>SUM(Q19:R19)</f>
        <v>0</v>
      </c>
      <c r="T19" s="407">
        <f>SUM(Q19,N19,K19,H19,E19)</f>
        <v>0</v>
      </c>
      <c r="U19" s="407">
        <f t="shared" si="4"/>
        <v>0</v>
      </c>
      <c r="V19" s="407">
        <f t="shared" si="4"/>
        <v>0</v>
      </c>
      <c r="W19" s="408"/>
      <c r="Y19" s="52"/>
      <c r="Z19" s="138"/>
    </row>
    <row r="20" spans="1:26" s="20" customFormat="1" ht="12.75" customHeight="1">
      <c r="A20" s="5"/>
      <c r="B20" s="468"/>
      <c r="C20" s="397" t="s">
        <v>137</v>
      </c>
      <c r="D20" s="126" t="s">
        <v>138</v>
      </c>
      <c r="E20" s="410">
        <v>218416.68</v>
      </c>
      <c r="F20" s="410"/>
      <c r="G20" s="410">
        <f>SUM(E20:F20)</f>
        <v>218416.68</v>
      </c>
      <c r="H20" s="410">
        <v>179240.11</v>
      </c>
      <c r="I20" s="410"/>
      <c r="J20" s="410">
        <f>SUM(H20:I20)</f>
        <v>179240.11</v>
      </c>
      <c r="K20" s="410">
        <v>0</v>
      </c>
      <c r="L20" s="410"/>
      <c r="M20" s="410">
        <f>SUM(K20:L20)</f>
        <v>0</v>
      </c>
      <c r="N20" s="410">
        <v>0</v>
      </c>
      <c r="O20" s="410"/>
      <c r="P20" s="410">
        <f>SUM(N20:O20)</f>
        <v>0</v>
      </c>
      <c r="Q20" s="410">
        <v>0</v>
      </c>
      <c r="R20" s="410"/>
      <c r="S20" s="410">
        <f>SUM(Q20:R20)</f>
        <v>0</v>
      </c>
      <c r="T20" s="410">
        <f t="shared" ref="T20:T23" si="8">SUM(Q20,N20,K20,H20,E20)</f>
        <v>397656.79</v>
      </c>
      <c r="U20" s="410">
        <f t="shared" si="4"/>
        <v>0</v>
      </c>
      <c r="V20" s="410">
        <f t="shared" si="4"/>
        <v>397656.79</v>
      </c>
      <c r="W20" s="412"/>
      <c r="Y20" s="52"/>
      <c r="Z20" s="138"/>
    </row>
    <row r="21" spans="1:26" s="20" customFormat="1" ht="12.75" customHeight="1">
      <c r="A21" s="5"/>
      <c r="B21" s="468"/>
      <c r="C21" s="499" t="s">
        <v>447</v>
      </c>
      <c r="D21" s="126"/>
      <c r="E21" s="410">
        <v>691331.7</v>
      </c>
      <c r="F21" s="410"/>
      <c r="G21" s="410">
        <f t="shared" ref="G21:G22" si="9">SUM(E21:F21)</f>
        <v>691331.7</v>
      </c>
      <c r="H21" s="410">
        <v>283076.95</v>
      </c>
      <c r="I21" s="410"/>
      <c r="J21" s="410">
        <f t="shared" ref="J21:J22" si="10">SUM(H21:I21)</f>
        <v>283076.95</v>
      </c>
      <c r="K21" s="410">
        <v>0</v>
      </c>
      <c r="L21" s="410"/>
      <c r="M21" s="410">
        <f>SUM(K21:L21)</f>
        <v>0</v>
      </c>
      <c r="N21" s="410">
        <v>0</v>
      </c>
      <c r="O21" s="410"/>
      <c r="P21" s="410">
        <f>SUM(N21:O21)</f>
        <v>0</v>
      </c>
      <c r="Q21" s="410">
        <v>0</v>
      </c>
      <c r="R21" s="410"/>
      <c r="S21" s="410">
        <f>SUM(Q21:R21)</f>
        <v>0</v>
      </c>
      <c r="T21" s="410">
        <f t="shared" si="8"/>
        <v>974408.64999999991</v>
      </c>
      <c r="U21" s="410">
        <f t="shared" si="4"/>
        <v>0</v>
      </c>
      <c r="V21" s="410">
        <f>G21+J21+M21+P21+S21</f>
        <v>974408.64999999991</v>
      </c>
      <c r="W21" s="412"/>
      <c r="Y21" s="52"/>
      <c r="Z21" s="138"/>
    </row>
    <row r="22" spans="1:26" s="20" customFormat="1" ht="12.75" customHeight="1">
      <c r="A22" s="5"/>
      <c r="B22" s="468" t="s">
        <v>139</v>
      </c>
      <c r="C22" s="397" t="s">
        <v>132</v>
      </c>
      <c r="D22" s="126" t="s">
        <v>133</v>
      </c>
      <c r="E22" s="410">
        <v>0</v>
      </c>
      <c r="F22" s="410"/>
      <c r="G22" s="410">
        <f t="shared" si="9"/>
        <v>0</v>
      </c>
      <c r="H22" s="410">
        <v>0</v>
      </c>
      <c r="I22" s="410"/>
      <c r="J22" s="410">
        <f t="shared" si="10"/>
        <v>0</v>
      </c>
      <c r="K22" s="410">
        <v>0</v>
      </c>
      <c r="L22" s="410"/>
      <c r="M22" s="410">
        <f>SUM(K22:L22)</f>
        <v>0</v>
      </c>
      <c r="N22" s="410">
        <v>0</v>
      </c>
      <c r="O22" s="410"/>
      <c r="P22" s="410">
        <f>SUM(N22:O22)</f>
        <v>0</v>
      </c>
      <c r="Q22" s="410">
        <v>0</v>
      </c>
      <c r="R22" s="410"/>
      <c r="S22" s="410">
        <f>SUM(Q22:R22)</f>
        <v>0</v>
      </c>
      <c r="T22" s="410">
        <f t="shared" si="8"/>
        <v>0</v>
      </c>
      <c r="U22" s="410">
        <f t="shared" si="4"/>
        <v>0</v>
      </c>
      <c r="V22" s="410">
        <f t="shared" si="4"/>
        <v>0</v>
      </c>
      <c r="W22" s="412">
        <f>V22+'L1.03 摊销测试'!H20</f>
        <v>0</v>
      </c>
      <c r="Y22" s="52"/>
      <c r="Z22" s="138"/>
    </row>
    <row r="23" spans="1:26" s="20" customFormat="1" ht="12.75" customHeight="1">
      <c r="A23" s="5"/>
      <c r="B23" s="468"/>
      <c r="C23" s="397" t="s">
        <v>134</v>
      </c>
      <c r="D23" s="126"/>
      <c r="E23" s="410">
        <v>0</v>
      </c>
      <c r="F23" s="410"/>
      <c r="G23" s="410">
        <f>SUM(E23:F23)</f>
        <v>0</v>
      </c>
      <c r="H23" s="410">
        <v>0</v>
      </c>
      <c r="I23" s="410"/>
      <c r="J23" s="410">
        <f>SUM(H23:I23)</f>
        <v>0</v>
      </c>
      <c r="K23" s="410">
        <v>0</v>
      </c>
      <c r="L23" s="410"/>
      <c r="M23" s="410">
        <f>SUM(K23:L23)</f>
        <v>0</v>
      </c>
      <c r="N23" s="410">
        <v>0</v>
      </c>
      <c r="O23" s="410"/>
      <c r="P23" s="410">
        <f>SUM(N23:O23)</f>
        <v>0</v>
      </c>
      <c r="Q23" s="410">
        <v>0</v>
      </c>
      <c r="R23" s="410"/>
      <c r="S23" s="410">
        <f>SUM(Q23:R23)</f>
        <v>0</v>
      </c>
      <c r="T23" s="410">
        <f t="shared" si="8"/>
        <v>0</v>
      </c>
      <c r="U23" s="410">
        <f t="shared" si="4"/>
        <v>0</v>
      </c>
      <c r="V23" s="410">
        <f t="shared" si="4"/>
        <v>0</v>
      </c>
      <c r="W23" s="412"/>
      <c r="Y23" s="52"/>
      <c r="Z23" s="138"/>
    </row>
    <row r="24" spans="1:26" s="20" customFormat="1" ht="12.75" customHeight="1">
      <c r="A24" s="5"/>
      <c r="B24" s="467"/>
      <c r="C24" s="128" t="str">
        <f>C18</f>
        <v>年末余额</v>
      </c>
      <c r="D24" s="129" t="s">
        <v>136</v>
      </c>
      <c r="E24" s="406">
        <f>SUM(E19:E23)</f>
        <v>909748.37999999989</v>
      </c>
      <c r="F24" s="406">
        <f t="shared" ref="F24:V24" si="11">SUM(F19:F23)</f>
        <v>0</v>
      </c>
      <c r="G24" s="406">
        <f t="shared" si="11"/>
        <v>909748.37999999989</v>
      </c>
      <c r="H24" s="406">
        <f t="shared" si="11"/>
        <v>462317.06</v>
      </c>
      <c r="I24" s="406">
        <f t="shared" si="11"/>
        <v>0</v>
      </c>
      <c r="J24" s="406">
        <f t="shared" si="11"/>
        <v>462317.06</v>
      </c>
      <c r="K24" s="406">
        <f t="shared" si="11"/>
        <v>0</v>
      </c>
      <c r="L24" s="406">
        <f t="shared" si="11"/>
        <v>0</v>
      </c>
      <c r="M24" s="406">
        <f t="shared" si="11"/>
        <v>0</v>
      </c>
      <c r="N24" s="406">
        <f t="shared" si="11"/>
        <v>0</v>
      </c>
      <c r="O24" s="406">
        <f t="shared" si="11"/>
        <v>0</v>
      </c>
      <c r="P24" s="406">
        <f t="shared" si="11"/>
        <v>0</v>
      </c>
      <c r="Q24" s="406">
        <f t="shared" si="11"/>
        <v>0</v>
      </c>
      <c r="R24" s="406">
        <f t="shared" si="11"/>
        <v>0</v>
      </c>
      <c r="S24" s="406">
        <f t="shared" si="11"/>
        <v>0</v>
      </c>
      <c r="T24" s="407">
        <f t="shared" si="11"/>
        <v>1372065.44</v>
      </c>
      <c r="U24" s="406">
        <f t="shared" si="11"/>
        <v>0</v>
      </c>
      <c r="V24" s="406">
        <f t="shared" si="11"/>
        <v>1372065.44</v>
      </c>
      <c r="W24" s="408">
        <f>V24-'L1.00 Lead sheet'!J43</f>
        <v>0</v>
      </c>
      <c r="Y24" s="52"/>
      <c r="Z24" s="138"/>
    </row>
    <row r="25" spans="1:26" s="20" customFormat="1" ht="12.75" customHeight="1">
      <c r="A25" s="5"/>
      <c r="B25" s="466"/>
      <c r="C25" s="128" t="s">
        <v>127</v>
      </c>
      <c r="D25" s="327" t="s">
        <v>128</v>
      </c>
      <c r="E25" s="407">
        <v>0</v>
      </c>
      <c r="F25" s="407"/>
      <c r="G25" s="407">
        <f>SUM(E25:F25)</f>
        <v>0</v>
      </c>
      <c r="H25" s="407">
        <v>0</v>
      </c>
      <c r="I25" s="407"/>
      <c r="J25" s="407">
        <f>SUM(H25:I25)</f>
        <v>0</v>
      </c>
      <c r="K25" s="407">
        <v>0</v>
      </c>
      <c r="L25" s="407"/>
      <c r="M25" s="407">
        <f>SUM(K25:L25)</f>
        <v>0</v>
      </c>
      <c r="N25" s="407">
        <v>0</v>
      </c>
      <c r="O25" s="407"/>
      <c r="P25" s="407">
        <f>SUM(N25:O25)</f>
        <v>0</v>
      </c>
      <c r="Q25" s="407">
        <v>0</v>
      </c>
      <c r="R25" s="407"/>
      <c r="S25" s="407">
        <f>SUM(Q25:R25)</f>
        <v>0</v>
      </c>
      <c r="T25" s="407">
        <f>SUM(Q25,N25,K25,H25,E25)</f>
        <v>0</v>
      </c>
      <c r="U25" s="407">
        <f t="shared" si="4"/>
        <v>0</v>
      </c>
      <c r="V25" s="407">
        <f t="shared" si="4"/>
        <v>0</v>
      </c>
      <c r="W25" s="408">
        <f>V25-'L1.00 Lead sheet'!J44</f>
        <v>0</v>
      </c>
      <c r="Y25" s="52"/>
      <c r="Z25" s="138"/>
    </row>
    <row r="26" spans="1:26" s="20" customFormat="1" ht="12.75" customHeight="1">
      <c r="A26" s="5"/>
      <c r="B26" s="468"/>
      <c r="C26" s="397" t="s">
        <v>137</v>
      </c>
      <c r="D26" s="126" t="s">
        <v>140</v>
      </c>
      <c r="E26" s="410">
        <v>0</v>
      </c>
      <c r="F26" s="410"/>
      <c r="G26" s="410">
        <f>SUM(E26:F26)</f>
        <v>0</v>
      </c>
      <c r="H26" s="410">
        <v>0</v>
      </c>
      <c r="I26" s="410"/>
      <c r="J26" s="410">
        <f>SUM(H26:I26)</f>
        <v>0</v>
      </c>
      <c r="K26" s="410">
        <v>0</v>
      </c>
      <c r="L26" s="410"/>
      <c r="M26" s="410">
        <f>SUM(K26:L26)</f>
        <v>0</v>
      </c>
      <c r="N26" s="410">
        <v>0</v>
      </c>
      <c r="O26" s="410"/>
      <c r="P26" s="410">
        <f>SUM(N26:O26)</f>
        <v>0</v>
      </c>
      <c r="Q26" s="410">
        <v>0</v>
      </c>
      <c r="R26" s="410"/>
      <c r="S26" s="410">
        <f>SUM(Q26:R26)</f>
        <v>0</v>
      </c>
      <c r="T26" s="410">
        <f t="shared" ref="T26:T28" si="12">SUM(Q26,N26,K26,H26,E26)</f>
        <v>0</v>
      </c>
      <c r="U26" s="410">
        <f t="shared" si="4"/>
        <v>0</v>
      </c>
      <c r="V26" s="410">
        <f t="shared" si="4"/>
        <v>0</v>
      </c>
      <c r="W26" s="412"/>
      <c r="Y26" s="52"/>
      <c r="Z26" s="138"/>
    </row>
    <row r="27" spans="1:26" s="20" customFormat="1" ht="12.75" customHeight="1">
      <c r="A27" s="5"/>
      <c r="B27" s="468" t="s">
        <v>141</v>
      </c>
      <c r="C27" s="397" t="s">
        <v>132</v>
      </c>
      <c r="D27" s="126" t="s">
        <v>133</v>
      </c>
      <c r="E27" s="410">
        <v>0</v>
      </c>
      <c r="F27" s="410"/>
      <c r="G27" s="410">
        <f>SUM(E27:F27)</f>
        <v>0</v>
      </c>
      <c r="H27" s="410">
        <v>0</v>
      </c>
      <c r="I27" s="410"/>
      <c r="J27" s="410">
        <f>SUM(H27:I27)</f>
        <v>0</v>
      </c>
      <c r="K27" s="410">
        <v>0</v>
      </c>
      <c r="L27" s="410"/>
      <c r="M27" s="410">
        <f>SUM(K27:L27)</f>
        <v>0</v>
      </c>
      <c r="N27" s="410">
        <v>0</v>
      </c>
      <c r="O27" s="410"/>
      <c r="P27" s="410">
        <f>SUM(N27:O27)</f>
        <v>0</v>
      </c>
      <c r="Q27" s="410">
        <v>0</v>
      </c>
      <c r="R27" s="410"/>
      <c r="S27" s="410">
        <f>SUM(Q27:R27)</f>
        <v>0</v>
      </c>
      <c r="T27" s="410">
        <f t="shared" si="12"/>
        <v>0</v>
      </c>
      <c r="U27" s="410">
        <f t="shared" si="4"/>
        <v>0</v>
      </c>
      <c r="V27" s="410">
        <f t="shared" si="4"/>
        <v>0</v>
      </c>
      <c r="W27" s="412"/>
      <c r="Y27" s="52"/>
      <c r="Z27" s="138"/>
    </row>
    <row r="28" spans="1:26" s="20" customFormat="1" ht="12.75" customHeight="1">
      <c r="A28" s="5"/>
      <c r="B28" s="468"/>
      <c r="C28" s="397" t="s">
        <v>134</v>
      </c>
      <c r="D28" s="328" t="s">
        <v>140</v>
      </c>
      <c r="E28" s="410">
        <v>0</v>
      </c>
      <c r="F28" s="410"/>
      <c r="G28" s="410">
        <f>SUM(E28:F28)</f>
        <v>0</v>
      </c>
      <c r="H28" s="410">
        <v>0</v>
      </c>
      <c r="I28" s="410"/>
      <c r="J28" s="410">
        <f>SUM(H28:I28)</f>
        <v>0</v>
      </c>
      <c r="K28" s="410">
        <v>0</v>
      </c>
      <c r="L28" s="410"/>
      <c r="M28" s="410">
        <f>SUM(K28:L28)</f>
        <v>0</v>
      </c>
      <c r="N28" s="410">
        <v>0</v>
      </c>
      <c r="O28" s="410"/>
      <c r="P28" s="410">
        <f>SUM(N28:O28)</f>
        <v>0</v>
      </c>
      <c r="Q28" s="410">
        <v>0</v>
      </c>
      <c r="R28" s="410"/>
      <c r="S28" s="410">
        <f>SUM(Q28:R28)</f>
        <v>0</v>
      </c>
      <c r="T28" s="410">
        <f t="shared" si="12"/>
        <v>0</v>
      </c>
      <c r="U28" s="410">
        <f t="shared" si="4"/>
        <v>0</v>
      </c>
      <c r="V28" s="410">
        <f t="shared" si="4"/>
        <v>0</v>
      </c>
      <c r="W28" s="412"/>
      <c r="Y28" s="52"/>
      <c r="Z28" s="138"/>
    </row>
    <row r="29" spans="1:26" s="20" customFormat="1" ht="12.75" customHeight="1">
      <c r="A29" s="5"/>
      <c r="B29" s="467"/>
      <c r="C29" s="128" t="str">
        <f>C18</f>
        <v>年末余额</v>
      </c>
      <c r="D29" s="129" t="s">
        <v>136</v>
      </c>
      <c r="E29" s="406">
        <f>SUM(E25:E28)</f>
        <v>0</v>
      </c>
      <c r="F29" s="406">
        <f t="shared" ref="F29:V29" si="13">SUM(F25:F28)</f>
        <v>0</v>
      </c>
      <c r="G29" s="406">
        <f t="shared" si="13"/>
        <v>0</v>
      </c>
      <c r="H29" s="406">
        <f t="shared" si="13"/>
        <v>0</v>
      </c>
      <c r="I29" s="406">
        <f t="shared" si="13"/>
        <v>0</v>
      </c>
      <c r="J29" s="406">
        <f t="shared" si="13"/>
        <v>0</v>
      </c>
      <c r="K29" s="406">
        <f t="shared" si="13"/>
        <v>0</v>
      </c>
      <c r="L29" s="406">
        <f t="shared" si="13"/>
        <v>0</v>
      </c>
      <c r="M29" s="406">
        <f t="shared" si="13"/>
        <v>0</v>
      </c>
      <c r="N29" s="406">
        <f t="shared" si="13"/>
        <v>0</v>
      </c>
      <c r="O29" s="406">
        <f t="shared" si="13"/>
        <v>0</v>
      </c>
      <c r="P29" s="406">
        <f t="shared" si="13"/>
        <v>0</v>
      </c>
      <c r="Q29" s="406">
        <f t="shared" si="13"/>
        <v>0</v>
      </c>
      <c r="R29" s="406">
        <f t="shared" si="13"/>
        <v>0</v>
      </c>
      <c r="S29" s="406">
        <f t="shared" si="13"/>
        <v>0</v>
      </c>
      <c r="T29" s="407">
        <f>SUM(T25:T28)</f>
        <v>0</v>
      </c>
      <c r="U29" s="406">
        <f t="shared" si="13"/>
        <v>0</v>
      </c>
      <c r="V29" s="406">
        <f t="shared" si="13"/>
        <v>0</v>
      </c>
      <c r="W29" s="408">
        <f>V29-'L1.00 Lead sheet'!I44</f>
        <v>0</v>
      </c>
      <c r="Y29" s="52"/>
      <c r="Z29" s="138"/>
    </row>
    <row r="30" spans="1:26" s="138" customFormat="1" ht="12.75" customHeight="1">
      <c r="A30" s="21"/>
      <c r="B30" s="576" t="s">
        <v>142</v>
      </c>
      <c r="C30" s="128" t="str">
        <f>C18</f>
        <v>年末余额</v>
      </c>
      <c r="D30" s="129" t="s">
        <v>136</v>
      </c>
      <c r="E30" s="406">
        <f>E18-E24-E29</f>
        <v>7826917.580000001</v>
      </c>
      <c r="F30" s="406">
        <f>F18-F24-F29</f>
        <v>0</v>
      </c>
      <c r="G30" s="406">
        <f t="shared" ref="G30:S30" si="14">G18-G24-G29</f>
        <v>7826917.580000001</v>
      </c>
      <c r="H30" s="406">
        <f t="shared" si="14"/>
        <v>1154604.1299999999</v>
      </c>
      <c r="I30" s="406">
        <f t="shared" si="14"/>
        <v>0</v>
      </c>
      <c r="J30" s="406">
        <f t="shared" si="14"/>
        <v>1154604.1299999999</v>
      </c>
      <c r="K30" s="406">
        <f t="shared" si="14"/>
        <v>0</v>
      </c>
      <c r="L30" s="406">
        <f t="shared" si="14"/>
        <v>0</v>
      </c>
      <c r="M30" s="406">
        <f t="shared" si="14"/>
        <v>0</v>
      </c>
      <c r="N30" s="406">
        <f t="shared" si="14"/>
        <v>0</v>
      </c>
      <c r="O30" s="406">
        <f t="shared" si="14"/>
        <v>0</v>
      </c>
      <c r="P30" s="407">
        <f t="shared" si="14"/>
        <v>0</v>
      </c>
      <c r="Q30" s="407">
        <f t="shared" si="14"/>
        <v>0</v>
      </c>
      <c r="R30" s="407">
        <f t="shared" si="14"/>
        <v>0</v>
      </c>
      <c r="S30" s="407">
        <f t="shared" si="14"/>
        <v>0</v>
      </c>
      <c r="T30" s="407">
        <f>SUM(S30,N30,K30,H30,E30)</f>
        <v>8981521.7100000009</v>
      </c>
      <c r="U30" s="406">
        <f t="shared" si="4"/>
        <v>0</v>
      </c>
      <c r="V30" s="406">
        <f t="shared" si="4"/>
        <v>8981521.7100000009</v>
      </c>
      <c r="W30" s="408">
        <f>V30-'L1.00 Lead sheet'!J46</f>
        <v>0</v>
      </c>
      <c r="Y30" s="52"/>
    </row>
    <row r="31" spans="1:26" s="20" customFormat="1" ht="12.75" customHeight="1">
      <c r="A31" s="5"/>
      <c r="B31" s="577"/>
      <c r="C31" s="127" t="str">
        <f>C12</f>
        <v>年初余额</v>
      </c>
      <c r="D31" s="130" t="s">
        <v>136</v>
      </c>
      <c r="E31" s="406">
        <f t="shared" ref="E31:S31" si="15">E12-E19-E25</f>
        <v>0</v>
      </c>
      <c r="F31" s="406">
        <f t="shared" si="15"/>
        <v>0</v>
      </c>
      <c r="G31" s="406">
        <f t="shared" si="15"/>
        <v>0</v>
      </c>
      <c r="H31" s="406">
        <f t="shared" si="15"/>
        <v>0</v>
      </c>
      <c r="I31" s="406">
        <f t="shared" si="15"/>
        <v>0</v>
      </c>
      <c r="J31" s="406">
        <f t="shared" si="15"/>
        <v>0</v>
      </c>
      <c r="K31" s="406">
        <f t="shared" si="15"/>
        <v>0</v>
      </c>
      <c r="L31" s="406">
        <f t="shared" si="15"/>
        <v>0</v>
      </c>
      <c r="M31" s="406">
        <f t="shared" si="15"/>
        <v>0</v>
      </c>
      <c r="N31" s="406">
        <f t="shared" si="15"/>
        <v>0</v>
      </c>
      <c r="O31" s="406">
        <f t="shared" si="15"/>
        <v>0</v>
      </c>
      <c r="P31" s="406">
        <f t="shared" si="15"/>
        <v>0</v>
      </c>
      <c r="Q31" s="406">
        <f t="shared" si="15"/>
        <v>0</v>
      </c>
      <c r="R31" s="406">
        <f t="shared" si="15"/>
        <v>0</v>
      </c>
      <c r="S31" s="406">
        <f t="shared" si="15"/>
        <v>0</v>
      </c>
      <c r="T31" s="407">
        <f>SUM(S31,N31,K31,H31,E31)</f>
        <v>0</v>
      </c>
      <c r="U31" s="406">
        <f t="shared" si="4"/>
        <v>0</v>
      </c>
      <c r="V31" s="406">
        <f t="shared" si="4"/>
        <v>0</v>
      </c>
      <c r="W31" s="408"/>
      <c r="Y31" s="52"/>
      <c r="Z31" s="138"/>
    </row>
    <row r="32" spans="1:26" s="20" customFormat="1" ht="12.75" customHeight="1">
      <c r="A32" s="5"/>
      <c r="B32" s="576" t="s">
        <v>143</v>
      </c>
      <c r="C32" s="399" t="s">
        <v>144</v>
      </c>
      <c r="D32" s="401" t="s">
        <v>145</v>
      </c>
      <c r="E32" s="409">
        <f>E18-E12</f>
        <v>8736665.9600000009</v>
      </c>
      <c r="F32" s="409">
        <f t="shared" ref="F32:U32" si="16">F18-F12</f>
        <v>0</v>
      </c>
      <c r="G32" s="409">
        <f>G18-G12</f>
        <v>8736665.9600000009</v>
      </c>
      <c r="H32" s="409">
        <f>H18-H12</f>
        <v>1616921.19</v>
      </c>
      <c r="I32" s="409">
        <f t="shared" si="16"/>
        <v>0</v>
      </c>
      <c r="J32" s="409">
        <f>J18-J12</f>
        <v>1616921.19</v>
      </c>
      <c r="K32" s="409">
        <f>K18-K12</f>
        <v>0</v>
      </c>
      <c r="L32" s="409">
        <f t="shared" si="16"/>
        <v>0</v>
      </c>
      <c r="M32" s="409">
        <f>M18-M12</f>
        <v>0</v>
      </c>
      <c r="N32" s="409">
        <f>N18-N12</f>
        <v>0</v>
      </c>
      <c r="O32" s="409">
        <f t="shared" si="16"/>
        <v>0</v>
      </c>
      <c r="P32" s="409">
        <f>P18-P12</f>
        <v>0</v>
      </c>
      <c r="Q32" s="409">
        <f>Q18-Q12</f>
        <v>0</v>
      </c>
      <c r="R32" s="410">
        <f t="shared" si="16"/>
        <v>0</v>
      </c>
      <c r="S32" s="410">
        <f>S18-S12</f>
        <v>0</v>
      </c>
      <c r="T32" s="410">
        <f>T18-T12</f>
        <v>10353587.15</v>
      </c>
      <c r="U32" s="409">
        <f t="shared" si="16"/>
        <v>0</v>
      </c>
      <c r="V32" s="409">
        <f>V18-V12</f>
        <v>10353587.15</v>
      </c>
      <c r="W32" s="411"/>
      <c r="Y32" s="52"/>
      <c r="Z32" s="138"/>
    </row>
    <row r="33" spans="1:31" s="20" customFormat="1" ht="12.75" customHeight="1">
      <c r="A33" s="5"/>
      <c r="B33" s="578"/>
      <c r="C33" s="399" t="s">
        <v>146</v>
      </c>
      <c r="D33" s="131" t="s">
        <v>147</v>
      </c>
      <c r="E33" s="403">
        <f>IFERROR(E32/E12,1)</f>
        <v>1</v>
      </c>
      <c r="F33" s="314"/>
      <c r="G33" s="403">
        <f>IFERROR(G32/G12,1)</f>
        <v>1</v>
      </c>
      <c r="H33" s="403">
        <f>IFERROR(H32/H12,1)</f>
        <v>1</v>
      </c>
      <c r="I33" s="314"/>
      <c r="J33" s="403">
        <f>IFERROR(J32/J12,1)</f>
        <v>1</v>
      </c>
      <c r="K33" s="403">
        <f>IFERROR(K32/K12,1)</f>
        <v>1</v>
      </c>
      <c r="L33" s="314"/>
      <c r="M33" s="403">
        <f>IFERROR(M32/M12,1)</f>
        <v>1</v>
      </c>
      <c r="N33" s="403">
        <f>IFERROR(N32/N12,1)</f>
        <v>1</v>
      </c>
      <c r="O33" s="314"/>
      <c r="P33" s="403">
        <f>IFERROR(P32/P12,1)</f>
        <v>1</v>
      </c>
      <c r="Q33" s="403">
        <f>IFERROR(Q32/Q12,1)</f>
        <v>1</v>
      </c>
      <c r="R33" s="403"/>
      <c r="S33" s="403">
        <f>IFERROR(S32/S12,1)</f>
        <v>1</v>
      </c>
      <c r="T33" s="403">
        <f>IFERROR(T32/T12,1)</f>
        <v>1</v>
      </c>
      <c r="U33" s="314"/>
      <c r="V33" s="403">
        <f>IFERROR(V32/V12,1)</f>
        <v>1</v>
      </c>
      <c r="W33" s="314"/>
      <c r="Y33" s="52"/>
      <c r="Z33" s="138"/>
    </row>
    <row r="34" spans="1:31" s="20" customFormat="1" ht="12.75" customHeight="1">
      <c r="A34" s="5"/>
      <c r="B34" s="578"/>
      <c r="C34" s="399" t="s">
        <v>148</v>
      </c>
      <c r="D34" s="401" t="s">
        <v>145</v>
      </c>
      <c r="E34" s="402">
        <f>E24-E19</f>
        <v>909748.37999999989</v>
      </c>
      <c r="F34" s="402"/>
      <c r="G34" s="402">
        <f>G24-G19</f>
        <v>909748.37999999989</v>
      </c>
      <c r="H34" s="402">
        <f>H24-H19</f>
        <v>462317.06</v>
      </c>
      <c r="I34" s="402"/>
      <c r="J34" s="402">
        <f>J24-J19</f>
        <v>462317.06</v>
      </c>
      <c r="K34" s="402">
        <f>K24-K19</f>
        <v>0</v>
      </c>
      <c r="L34" s="402"/>
      <c r="M34" s="402">
        <f>M24-M19</f>
        <v>0</v>
      </c>
      <c r="N34" s="402">
        <f>N24-N19</f>
        <v>0</v>
      </c>
      <c r="O34" s="402"/>
      <c r="P34" s="402">
        <f>P24-P19</f>
        <v>0</v>
      </c>
      <c r="Q34" s="402">
        <f>Q24-Q19</f>
        <v>0</v>
      </c>
      <c r="R34" s="402"/>
      <c r="S34" s="402">
        <f>S24-S19</f>
        <v>0</v>
      </c>
      <c r="T34" s="402">
        <f>T24-T19</f>
        <v>1372065.44</v>
      </c>
      <c r="U34" s="402"/>
      <c r="V34" s="402">
        <f>V24-V19</f>
        <v>1372065.44</v>
      </c>
      <c r="W34" s="404"/>
      <c r="Y34" s="52"/>
      <c r="Z34" s="138"/>
    </row>
    <row r="35" spans="1:31" s="20" customFormat="1" ht="12.75" customHeight="1">
      <c r="A35" s="5"/>
      <c r="B35" s="578"/>
      <c r="C35" s="399" t="s">
        <v>149</v>
      </c>
      <c r="D35" s="131" t="s">
        <v>147</v>
      </c>
      <c r="E35" s="403">
        <f>IFERROR(E34/E19,1)</f>
        <v>1</v>
      </c>
      <c r="F35" s="314"/>
      <c r="G35" s="403">
        <f>IFERROR(G34/G19,1)</f>
        <v>1</v>
      </c>
      <c r="H35" s="403">
        <f>IFERROR(H34/H19,1)</f>
        <v>1</v>
      </c>
      <c r="I35" s="314"/>
      <c r="J35" s="403">
        <f>IFERROR(J34/J19,1)</f>
        <v>1</v>
      </c>
      <c r="K35" s="403">
        <f>IFERROR(K34/K19,1)</f>
        <v>1</v>
      </c>
      <c r="L35" s="314"/>
      <c r="M35" s="403">
        <f>IFERROR(M34/M19,1)</f>
        <v>1</v>
      </c>
      <c r="N35" s="403">
        <f>IFERROR(N34/N19,1)</f>
        <v>1</v>
      </c>
      <c r="O35" s="314"/>
      <c r="P35" s="403">
        <f>IFERROR(P34/P19,1)</f>
        <v>1</v>
      </c>
      <c r="Q35" s="403">
        <f>IFERROR(Q34/Q19,1)</f>
        <v>1</v>
      </c>
      <c r="R35" s="403"/>
      <c r="S35" s="403">
        <f>IFERROR(S34/S19,1)</f>
        <v>1</v>
      </c>
      <c r="T35" s="403">
        <f>IFERROR(T34/T19,1)</f>
        <v>1</v>
      </c>
      <c r="U35" s="314"/>
      <c r="V35" s="403">
        <f>IFERROR(V34/V19,1)</f>
        <v>1</v>
      </c>
      <c r="W35" s="404"/>
      <c r="Y35" s="52"/>
      <c r="Z35" s="138"/>
    </row>
    <row r="36" spans="1:31" s="20" customFormat="1" ht="12.75" customHeight="1">
      <c r="A36" s="5"/>
      <c r="B36" s="578"/>
      <c r="C36" s="399" t="s">
        <v>150</v>
      </c>
      <c r="D36" s="131" t="s">
        <v>145</v>
      </c>
      <c r="E36" s="402">
        <f>E29-E25</f>
        <v>0</v>
      </c>
      <c r="F36" s="402"/>
      <c r="G36" s="402">
        <f>G29-G25</f>
        <v>0</v>
      </c>
      <c r="H36" s="402">
        <f>H29-H25</f>
        <v>0</v>
      </c>
      <c r="I36" s="402"/>
      <c r="J36" s="402">
        <f>J29-J25</f>
        <v>0</v>
      </c>
      <c r="K36" s="402">
        <f>K29-K25</f>
        <v>0</v>
      </c>
      <c r="L36" s="402"/>
      <c r="M36" s="402">
        <f>M29-M25</f>
        <v>0</v>
      </c>
      <c r="N36" s="402">
        <f>N29-N25</f>
        <v>0</v>
      </c>
      <c r="O36" s="402"/>
      <c r="P36" s="402">
        <f>P29-P25</f>
        <v>0</v>
      </c>
      <c r="Q36" s="402">
        <f>Q29-Q25</f>
        <v>0</v>
      </c>
      <c r="R36" s="402"/>
      <c r="S36" s="402">
        <f>S29-S25</f>
        <v>0</v>
      </c>
      <c r="T36" s="402">
        <f>T29-T25</f>
        <v>0</v>
      </c>
      <c r="U36" s="402"/>
      <c r="V36" s="402">
        <f>V29-V25</f>
        <v>0</v>
      </c>
      <c r="W36" s="405"/>
      <c r="Y36" s="52"/>
      <c r="Z36" s="138"/>
    </row>
    <row r="37" spans="1:31" s="20" customFormat="1" ht="12.75" customHeight="1">
      <c r="A37" s="5"/>
      <c r="B37" s="577"/>
      <c r="C37" s="400" t="s">
        <v>151</v>
      </c>
      <c r="D37" s="131" t="s">
        <v>147</v>
      </c>
      <c r="E37" s="403">
        <f>IFERROR(E36/E25,1)</f>
        <v>1</v>
      </c>
      <c r="F37" s="314"/>
      <c r="G37" s="403">
        <f>IFERROR(G36/G25,1)</f>
        <v>1</v>
      </c>
      <c r="H37" s="403">
        <f>IFERROR(H36/H25,1)</f>
        <v>1</v>
      </c>
      <c r="I37" s="314"/>
      <c r="J37" s="403">
        <f>IFERROR(J36/J25,1)</f>
        <v>1</v>
      </c>
      <c r="K37" s="403">
        <f>IFERROR(K36/K25,1)</f>
        <v>1</v>
      </c>
      <c r="L37" s="314"/>
      <c r="M37" s="403">
        <f>IFERROR(M36/M25,1)</f>
        <v>1</v>
      </c>
      <c r="N37" s="403">
        <f>IFERROR(N36/N25,1)</f>
        <v>1</v>
      </c>
      <c r="O37" s="314"/>
      <c r="P37" s="403">
        <f>IFERROR(P36/P25,1)</f>
        <v>1</v>
      </c>
      <c r="Q37" s="403">
        <f>IFERROR(Q36/Q25,1)</f>
        <v>1</v>
      </c>
      <c r="R37" s="403"/>
      <c r="S37" s="403">
        <f>IFERROR(S36/S25,1)</f>
        <v>1</v>
      </c>
      <c r="T37" s="403">
        <f>IFERROR(T36/T25,1)</f>
        <v>1</v>
      </c>
      <c r="U37" s="314"/>
      <c r="V37" s="403">
        <f>IFERROR(V36/V25,1)</f>
        <v>1</v>
      </c>
      <c r="W37" s="404"/>
      <c r="Y37" s="52"/>
      <c r="Z37" s="138"/>
    </row>
    <row r="38" spans="1:31" s="20" customFormat="1" ht="12.75" customHeight="1">
      <c r="A38" s="5"/>
      <c r="E38" s="138"/>
      <c r="F38" s="138"/>
      <c r="G38" s="138"/>
      <c r="H38" s="138"/>
      <c r="I38" s="138"/>
      <c r="J38" s="138"/>
      <c r="K38" s="138"/>
      <c r="L38" s="138"/>
      <c r="M38" s="138"/>
      <c r="N38" s="138"/>
      <c r="O38" s="138"/>
      <c r="P38" s="138"/>
      <c r="Q38" s="138"/>
      <c r="R38" s="138"/>
      <c r="S38" s="138"/>
      <c r="T38" s="138"/>
      <c r="U38" s="138"/>
      <c r="V38" s="138"/>
      <c r="Y38" s="52"/>
      <c r="Z38" s="138"/>
    </row>
    <row r="39" spans="1:31" s="26" customFormat="1" ht="14.5">
      <c r="A39" s="9"/>
      <c r="B39" s="331" t="s">
        <v>152</v>
      </c>
      <c r="C39" s="12"/>
      <c r="D39" s="12"/>
      <c r="E39" s="413" t="str">
        <f>[2]新的工作表!$I$67</f>
        <v>8,736,665.96</v>
      </c>
      <c r="F39" s="413"/>
      <c r="G39" s="413"/>
      <c r="H39" s="413">
        <f>[2]新的工作表!$I$68+[3]新的工作表!$I$17</f>
        <v>1616921.19</v>
      </c>
      <c r="I39" s="500" t="s">
        <v>448</v>
      </c>
      <c r="J39" s="414"/>
      <c r="K39" s="413">
        <v>0</v>
      </c>
      <c r="L39" s="414"/>
      <c r="M39" s="413"/>
      <c r="N39" s="413">
        <v>0</v>
      </c>
      <c r="O39" s="413"/>
      <c r="P39" s="413"/>
      <c r="Q39" s="413">
        <v>0</v>
      </c>
      <c r="R39" s="413"/>
      <c r="S39" s="414"/>
      <c r="T39" s="167">
        <f>E39+H39+K39+N39+Q39</f>
        <v>10353587.15</v>
      </c>
      <c r="W39" s="5"/>
      <c r="Y39" s="52"/>
    </row>
    <row r="40" spans="1:31" s="142" customFormat="1" ht="14.5">
      <c r="A40" s="13"/>
      <c r="B40" s="331" t="s">
        <v>153</v>
      </c>
      <c r="C40" s="143"/>
      <c r="D40" s="14"/>
      <c r="E40" s="415">
        <f>E39-E18</f>
        <v>0</v>
      </c>
      <c r="F40" s="415"/>
      <c r="G40" s="415"/>
      <c r="H40" s="415">
        <f>H39-H18</f>
        <v>0</v>
      </c>
      <c r="I40" s="415"/>
      <c r="J40" s="415"/>
      <c r="K40" s="415">
        <f>K39-K18</f>
        <v>0</v>
      </c>
      <c r="L40" s="415"/>
      <c r="M40" s="415"/>
      <c r="N40" s="415">
        <f>N39-N18</f>
        <v>0</v>
      </c>
      <c r="O40" s="415"/>
      <c r="P40" s="415"/>
      <c r="Q40" s="415">
        <f>Q39-Q18</f>
        <v>0</v>
      </c>
      <c r="R40" s="415"/>
      <c r="S40" s="415"/>
      <c r="T40" s="168">
        <f>T39-T18</f>
        <v>0</v>
      </c>
      <c r="U40" s="145"/>
      <c r="V40" s="145"/>
      <c r="W40" s="5"/>
      <c r="X40" s="145"/>
      <c r="Y40" s="52"/>
      <c r="Z40" s="145"/>
      <c r="AA40" s="145"/>
      <c r="AB40" s="145"/>
      <c r="AC40" s="145"/>
      <c r="AD40" s="145"/>
      <c r="AE40" s="145"/>
    </row>
    <row r="41" spans="1:31" s="142" customFormat="1" ht="14.5">
      <c r="A41" s="13"/>
      <c r="B41" s="331" t="s">
        <v>154</v>
      </c>
      <c r="C41" s="143"/>
      <c r="D41" s="14"/>
      <c r="E41" s="413" t="str">
        <f>[2]新的工作表!$J$70</f>
        <v>909,748.38</v>
      </c>
      <c r="F41" s="413"/>
      <c r="G41" s="413"/>
      <c r="H41" s="413">
        <f>[2]新的工作表!$J$71+[3]新的工作表!$I$18</f>
        <v>462317.06000000006</v>
      </c>
      <c r="I41" s="413"/>
      <c r="J41" s="414"/>
      <c r="K41" s="413">
        <v>0</v>
      </c>
      <c r="L41" s="414"/>
      <c r="M41" s="413"/>
      <c r="N41" s="413">
        <v>0</v>
      </c>
      <c r="O41" s="413"/>
      <c r="P41" s="413"/>
      <c r="Q41" s="413">
        <v>0</v>
      </c>
      <c r="R41" s="415"/>
      <c r="S41" s="415"/>
      <c r="T41" s="167">
        <f>E41+H41+K41+N41+Q41</f>
        <v>1372065.44</v>
      </c>
      <c r="U41" s="145"/>
      <c r="V41" s="145"/>
      <c r="W41" s="5"/>
      <c r="X41" s="145"/>
      <c r="Y41" s="52"/>
      <c r="Z41" s="145"/>
      <c r="AA41" s="145"/>
      <c r="AB41" s="145"/>
      <c r="AC41" s="145"/>
      <c r="AD41" s="145"/>
      <c r="AE41" s="145"/>
    </row>
    <row r="42" spans="1:31" s="142" customFormat="1" ht="14.5">
      <c r="A42" s="13"/>
      <c r="B42" s="331" t="s">
        <v>153</v>
      </c>
      <c r="C42" s="143"/>
      <c r="D42" s="14"/>
      <c r="E42" s="415">
        <f>E41-E24</f>
        <v>0</v>
      </c>
      <c r="F42" s="415"/>
      <c r="G42" s="415"/>
      <c r="H42" s="415">
        <f>H41-H24</f>
        <v>0</v>
      </c>
      <c r="I42" s="415"/>
      <c r="J42" s="415"/>
      <c r="K42" s="415">
        <f>K41-K24</f>
        <v>0</v>
      </c>
      <c r="L42" s="415"/>
      <c r="M42" s="415"/>
      <c r="N42" s="415">
        <f>N41-N24</f>
        <v>0</v>
      </c>
      <c r="O42" s="415"/>
      <c r="P42" s="415"/>
      <c r="Q42" s="415">
        <f>Q41-Q24</f>
        <v>0</v>
      </c>
      <c r="R42" s="415"/>
      <c r="S42" s="415"/>
      <c r="T42" s="168">
        <f>T41-T24</f>
        <v>0</v>
      </c>
      <c r="U42" s="145"/>
      <c r="V42" s="145"/>
      <c r="W42" s="5"/>
      <c r="X42" s="145"/>
      <c r="Y42" s="52"/>
      <c r="Z42" s="145"/>
      <c r="AA42" s="145"/>
      <c r="AB42" s="145"/>
      <c r="AC42" s="145"/>
      <c r="AD42" s="145"/>
      <c r="AE42" s="145"/>
    </row>
    <row r="43" spans="1:31" s="142" customFormat="1" ht="14.5">
      <c r="A43" s="13"/>
      <c r="B43" s="331" t="s">
        <v>155</v>
      </c>
      <c r="C43" s="143"/>
      <c r="D43" s="14"/>
      <c r="E43" s="413">
        <v>0</v>
      </c>
      <c r="F43" s="413"/>
      <c r="G43" s="413"/>
      <c r="H43" s="413">
        <v>0</v>
      </c>
      <c r="I43" s="413"/>
      <c r="J43" s="414"/>
      <c r="K43" s="413">
        <v>0</v>
      </c>
      <c r="L43" s="414"/>
      <c r="M43" s="413"/>
      <c r="N43" s="413">
        <v>0</v>
      </c>
      <c r="O43" s="413"/>
      <c r="P43" s="413"/>
      <c r="Q43" s="413">
        <v>0</v>
      </c>
      <c r="R43" s="415"/>
      <c r="S43" s="415"/>
      <c r="T43" s="167">
        <f>E43+H43+K43+N43+Q43</f>
        <v>0</v>
      </c>
      <c r="U43" s="145"/>
      <c r="V43" s="145"/>
      <c r="W43" s="5"/>
      <c r="X43" s="145"/>
      <c r="Y43" s="52"/>
      <c r="Z43" s="145"/>
      <c r="AA43" s="145"/>
      <c r="AB43" s="145"/>
      <c r="AC43" s="145"/>
      <c r="AD43" s="145"/>
      <c r="AE43" s="145"/>
    </row>
    <row r="44" spans="1:31" s="142" customFormat="1" ht="14.5">
      <c r="A44" s="13"/>
      <c r="B44" s="331" t="s">
        <v>156</v>
      </c>
      <c r="C44" s="143"/>
      <c r="D44" s="14"/>
      <c r="E44" s="415">
        <f>E43-E29</f>
        <v>0</v>
      </c>
      <c r="F44" s="415"/>
      <c r="G44" s="415"/>
      <c r="H44" s="415">
        <f>H43-H29</f>
        <v>0</v>
      </c>
      <c r="I44" s="415"/>
      <c r="J44" s="415"/>
      <c r="K44" s="415">
        <f>K43-K29</f>
        <v>0</v>
      </c>
      <c r="L44" s="415"/>
      <c r="M44" s="415"/>
      <c r="N44" s="415">
        <f>N43-N29</f>
        <v>0</v>
      </c>
      <c r="O44" s="415"/>
      <c r="P44" s="415"/>
      <c r="Q44" s="415">
        <f>Q43-Q29</f>
        <v>0</v>
      </c>
      <c r="R44" s="415"/>
      <c r="S44" s="415"/>
      <c r="T44" s="168">
        <f>T43-T29</f>
        <v>0</v>
      </c>
      <c r="U44" s="145"/>
      <c r="V44" s="145"/>
      <c r="W44" s="5"/>
      <c r="X44" s="145"/>
      <c r="Y44" s="52"/>
      <c r="Z44" s="145"/>
      <c r="AA44" s="145"/>
      <c r="AB44" s="145"/>
      <c r="AC44" s="145"/>
      <c r="AD44" s="145"/>
      <c r="AE44" s="145"/>
    </row>
    <row r="45" spans="1:31" s="142" customFormat="1" ht="14.5">
      <c r="A45" s="13"/>
      <c r="B45" s="331" t="s">
        <v>157</v>
      </c>
      <c r="C45" s="143"/>
      <c r="D45" s="14"/>
      <c r="E45" s="413">
        <f>[2]新的工作表!$I$67-[2]新的工作表!$J$70</f>
        <v>7826917.580000001</v>
      </c>
      <c r="F45" s="413"/>
      <c r="G45" s="413"/>
      <c r="H45" s="413">
        <f>H39-H41</f>
        <v>1154604.1299999999</v>
      </c>
      <c r="I45" s="413"/>
      <c r="J45" s="414"/>
      <c r="K45" s="413">
        <v>0</v>
      </c>
      <c r="L45" s="414"/>
      <c r="M45" s="413"/>
      <c r="N45" s="413">
        <v>0</v>
      </c>
      <c r="O45" s="413"/>
      <c r="P45" s="413"/>
      <c r="Q45" s="413">
        <v>0</v>
      </c>
      <c r="R45" s="415"/>
      <c r="S45" s="415"/>
      <c r="T45" s="167">
        <f>E45+H45+K45+N45+Q45</f>
        <v>8981521.7100000009</v>
      </c>
      <c r="U45" s="145"/>
      <c r="V45" s="145"/>
      <c r="W45" s="5"/>
      <c r="X45" s="145"/>
      <c r="Y45" s="52"/>
      <c r="Z45" s="145"/>
      <c r="AA45" s="145"/>
      <c r="AB45" s="145"/>
      <c r="AC45" s="145"/>
      <c r="AD45" s="145"/>
      <c r="AE45" s="145"/>
    </row>
    <row r="46" spans="1:31" s="142" customFormat="1" ht="14.5">
      <c r="A46" s="13"/>
      <c r="B46" s="331" t="s">
        <v>156</v>
      </c>
      <c r="C46" s="143"/>
      <c r="D46" s="14"/>
      <c r="E46" s="415">
        <f>E45-E30</f>
        <v>0</v>
      </c>
      <c r="F46" s="415"/>
      <c r="G46" s="415"/>
      <c r="H46" s="415">
        <f>H45-H30</f>
        <v>0</v>
      </c>
      <c r="I46" s="415"/>
      <c r="J46" s="415"/>
      <c r="K46" s="415">
        <f>K45-K30</f>
        <v>0</v>
      </c>
      <c r="L46" s="415"/>
      <c r="M46" s="415"/>
      <c r="N46" s="415">
        <f>N45-N30</f>
        <v>0</v>
      </c>
      <c r="O46" s="415"/>
      <c r="P46" s="415"/>
      <c r="Q46" s="415">
        <f>Q45-Q30</f>
        <v>0</v>
      </c>
      <c r="R46" s="415"/>
      <c r="S46" s="415"/>
      <c r="T46" s="168">
        <f>T45-T30</f>
        <v>0</v>
      </c>
      <c r="U46" s="145"/>
      <c r="V46" s="145"/>
      <c r="W46" s="5"/>
      <c r="X46" s="145"/>
      <c r="Y46" s="52"/>
      <c r="Z46" s="145"/>
      <c r="AA46" s="145"/>
      <c r="AB46" s="145"/>
      <c r="AC46" s="145"/>
      <c r="AD46" s="145"/>
      <c r="AE46" s="145"/>
    </row>
    <row r="47" spans="1:31" s="142" customFormat="1" ht="13">
      <c r="A47" s="13"/>
      <c r="B47" s="11"/>
      <c r="C47" s="143"/>
      <c r="D47" s="14"/>
      <c r="E47" s="416"/>
      <c r="F47" s="416"/>
      <c r="G47" s="416"/>
      <c r="H47" s="416"/>
      <c r="I47" s="416"/>
      <c r="J47" s="416"/>
      <c r="K47" s="416"/>
      <c r="L47" s="416"/>
      <c r="M47" s="416"/>
      <c r="N47" s="416"/>
      <c r="O47" s="416"/>
      <c r="P47" s="416"/>
      <c r="Q47" s="416"/>
      <c r="R47" s="416"/>
      <c r="S47" s="416"/>
      <c r="T47" s="144"/>
      <c r="U47" s="145"/>
      <c r="V47" s="145"/>
      <c r="W47" s="5"/>
      <c r="X47" s="145"/>
      <c r="Y47" s="52"/>
      <c r="Z47" s="145"/>
      <c r="AA47" s="145"/>
      <c r="AB47" s="145"/>
      <c r="AC47" s="145"/>
      <c r="AD47" s="145"/>
      <c r="AE47" s="145"/>
    </row>
    <row r="48" spans="1:31" s="142" customFormat="1" ht="13">
      <c r="A48" s="13"/>
      <c r="C48" s="143"/>
      <c r="D48" s="14"/>
      <c r="E48" s="144"/>
      <c r="F48" s="144"/>
      <c r="G48" s="144"/>
      <c r="H48" s="144"/>
      <c r="I48" s="144"/>
      <c r="J48" s="144"/>
      <c r="K48" s="144"/>
      <c r="L48" s="144"/>
      <c r="M48" s="144"/>
      <c r="N48" s="144"/>
      <c r="O48" s="144"/>
      <c r="P48" s="144"/>
      <c r="Q48" s="144"/>
      <c r="R48" s="144"/>
      <c r="S48" s="144"/>
      <c r="T48" s="144"/>
      <c r="U48" s="145"/>
      <c r="V48" s="145"/>
      <c r="W48" s="5"/>
      <c r="X48" s="145"/>
      <c r="Y48" s="52"/>
      <c r="Z48" s="145"/>
      <c r="AA48" s="145"/>
      <c r="AB48" s="145"/>
      <c r="AC48" s="145"/>
      <c r="AD48" s="145"/>
      <c r="AE48" s="145"/>
    </row>
    <row r="49" spans="1:111" s="20" customFormat="1" ht="12.75" customHeight="1">
      <c r="A49" s="8"/>
      <c r="B49" s="332" t="s">
        <v>158</v>
      </c>
      <c r="C49" s="138"/>
      <c r="D49" s="138"/>
      <c r="E49" s="138"/>
      <c r="F49" s="138"/>
      <c r="G49" s="138"/>
      <c r="H49" s="138"/>
      <c r="I49" s="138"/>
      <c r="J49" s="138"/>
      <c r="K49" s="138"/>
      <c r="L49" s="138"/>
      <c r="Y49" s="52"/>
      <c r="Z49" s="138"/>
      <c r="AA49" s="137"/>
      <c r="CE49" s="139"/>
      <c r="CF49" s="139"/>
      <c r="CG49" s="139"/>
      <c r="CH49" s="139"/>
      <c r="CI49" s="139"/>
      <c r="CJ49" s="139"/>
      <c r="CK49" s="139"/>
      <c r="CL49" s="139"/>
      <c r="CM49" s="139"/>
      <c r="CN49" s="139"/>
      <c r="CO49" s="139"/>
      <c r="CP49" s="139"/>
      <c r="CQ49" s="139"/>
      <c r="CR49" s="139"/>
      <c r="CS49" s="139"/>
      <c r="CT49" s="139"/>
      <c r="CU49" s="139"/>
      <c r="CV49" s="139"/>
      <c r="CW49" s="139"/>
      <c r="CX49" s="139"/>
      <c r="CY49" s="139"/>
      <c r="CZ49" s="139"/>
      <c r="DA49" s="139"/>
      <c r="DB49" s="139"/>
      <c r="DC49" s="139"/>
      <c r="DD49" s="139"/>
      <c r="DE49" s="146"/>
      <c r="DF49" s="139"/>
      <c r="DG49" s="147"/>
    </row>
    <row r="50" spans="1:111" s="20" customFormat="1" ht="12.75" customHeight="1">
      <c r="A50" s="8"/>
      <c r="B50" s="333" t="s">
        <v>159</v>
      </c>
      <c r="C50" s="138"/>
      <c r="D50" s="138"/>
      <c r="E50" s="138"/>
      <c r="F50" s="138"/>
      <c r="G50" s="138"/>
      <c r="H50" s="138"/>
      <c r="I50" s="138"/>
      <c r="J50" s="138"/>
      <c r="K50" s="138"/>
      <c r="L50" s="138"/>
      <c r="Y50" s="52"/>
      <c r="Z50" s="138"/>
      <c r="AA50" s="137"/>
      <c r="CE50" s="139"/>
      <c r="CF50" s="139"/>
      <c r="CG50" s="139"/>
      <c r="CH50" s="139"/>
      <c r="CI50" s="139"/>
      <c r="CJ50" s="139"/>
      <c r="CK50" s="139"/>
      <c r="CL50" s="139"/>
      <c r="CM50" s="139"/>
      <c r="CN50" s="139"/>
      <c r="CO50" s="139"/>
      <c r="CP50" s="139"/>
      <c r="CQ50" s="139"/>
      <c r="CR50" s="139"/>
      <c r="CS50" s="139"/>
      <c r="CT50" s="139"/>
      <c r="CU50" s="139"/>
      <c r="CV50" s="139"/>
      <c r="CW50" s="139"/>
      <c r="CX50" s="139"/>
      <c r="CY50" s="139"/>
      <c r="CZ50" s="139"/>
      <c r="DA50" s="139"/>
      <c r="DB50" s="139"/>
      <c r="DC50" s="139"/>
      <c r="DD50" s="139"/>
      <c r="DE50" s="146"/>
      <c r="DF50" s="139"/>
      <c r="DG50" s="147"/>
    </row>
    <row r="51" spans="1:111" s="20" customFormat="1" ht="12.75" customHeight="1">
      <c r="A51" s="5"/>
      <c r="B51" s="334"/>
      <c r="C51" s="335"/>
      <c r="D51" s="336" t="s">
        <v>160</v>
      </c>
      <c r="E51" s="335"/>
      <c r="F51" s="337"/>
      <c r="G51" s="338" t="s">
        <v>161</v>
      </c>
      <c r="H51" s="339"/>
      <c r="I51" s="340" t="s">
        <v>162</v>
      </c>
      <c r="J51" s="341"/>
      <c r="K51" s="342"/>
      <c r="L51" s="138"/>
      <c r="Y51" s="52"/>
      <c r="Z51" s="138"/>
      <c r="AA51" s="137"/>
      <c r="CE51" s="139"/>
      <c r="CF51" s="139"/>
      <c r="CG51" s="139"/>
      <c r="CH51" s="139"/>
      <c r="CI51" s="139"/>
      <c r="CJ51" s="139"/>
      <c r="CK51" s="139"/>
      <c r="CL51" s="139"/>
      <c r="CM51" s="139"/>
      <c r="CN51" s="139"/>
      <c r="CO51" s="139"/>
      <c r="CP51" s="139"/>
      <c r="CQ51" s="139"/>
      <c r="CR51" s="139"/>
      <c r="CS51" s="139"/>
      <c r="CT51" s="139"/>
      <c r="CU51" s="139"/>
      <c r="CV51" s="139"/>
      <c r="CW51" s="139"/>
      <c r="CX51" s="139"/>
      <c r="CY51" s="139"/>
      <c r="CZ51" s="139"/>
      <c r="DA51" s="139"/>
      <c r="DB51" s="139"/>
      <c r="DC51" s="139"/>
      <c r="DD51" s="139"/>
      <c r="DE51" s="146"/>
      <c r="DF51" s="139"/>
      <c r="DG51" s="147"/>
    </row>
    <row r="52" spans="1:111" s="20" customFormat="1" ht="12.75" customHeight="1">
      <c r="A52" s="5"/>
      <c r="B52" s="343" t="s">
        <v>163</v>
      </c>
      <c r="C52" s="344" t="s">
        <v>126</v>
      </c>
      <c r="D52" s="344" t="s">
        <v>139</v>
      </c>
      <c r="E52" s="344" t="s">
        <v>141</v>
      </c>
      <c r="F52" s="344" t="s">
        <v>164</v>
      </c>
      <c r="G52" s="345"/>
      <c r="H52" s="344" t="s">
        <v>126</v>
      </c>
      <c r="I52" s="344" t="s">
        <v>139</v>
      </c>
      <c r="J52" s="344" t="s">
        <v>141</v>
      </c>
      <c r="K52" s="344" t="s">
        <v>164</v>
      </c>
      <c r="L52" s="138"/>
      <c r="Y52" s="52"/>
      <c r="Z52" s="138"/>
      <c r="AA52" s="137"/>
      <c r="CE52" s="139"/>
      <c r="CF52" s="139"/>
      <c r="CG52" s="139"/>
      <c r="CH52" s="139"/>
      <c r="CI52" s="139"/>
      <c r="CJ52" s="139"/>
      <c r="CK52" s="139"/>
      <c r="CL52" s="139"/>
      <c r="CM52" s="139"/>
      <c r="CN52" s="139"/>
      <c r="CO52" s="139"/>
      <c r="CP52" s="139"/>
      <c r="CQ52" s="139"/>
      <c r="CR52" s="139"/>
      <c r="CS52" s="139"/>
      <c r="CT52" s="139"/>
      <c r="CU52" s="139"/>
      <c r="CV52" s="139"/>
      <c r="CW52" s="139"/>
      <c r="CX52" s="139"/>
      <c r="CY52" s="139"/>
      <c r="CZ52" s="139"/>
      <c r="DA52" s="139"/>
      <c r="DB52" s="139"/>
      <c r="DC52" s="139"/>
      <c r="DD52" s="139"/>
      <c r="DE52" s="146"/>
      <c r="DF52" s="139"/>
      <c r="DG52" s="147"/>
    </row>
    <row r="53" spans="1:111" s="20" customFormat="1" ht="12.75" customHeight="1">
      <c r="A53" s="5"/>
      <c r="B53" s="346" t="str">
        <f>F10</f>
        <v>土地使用权</v>
      </c>
      <c r="C53" s="417">
        <v>8736665.9600000009</v>
      </c>
      <c r="D53" s="417">
        <v>909748.38</v>
      </c>
      <c r="E53" s="417">
        <f>SUMIF('L1.03 摊销测试'!$D$12:$D$17,$B53,'L1.03 摊销测试'!$L$12:$L$17)</f>
        <v>0</v>
      </c>
      <c r="F53" s="417">
        <f>C53-D53-E53</f>
        <v>7826917.580000001</v>
      </c>
      <c r="G53" s="418"/>
      <c r="H53" s="417">
        <f>C53-E18</f>
        <v>0</v>
      </c>
      <c r="I53" s="417">
        <f>D53-E24</f>
        <v>0</v>
      </c>
      <c r="J53" s="417">
        <f>E53-E29</f>
        <v>0</v>
      </c>
      <c r="K53" s="417">
        <f>F53-E30</f>
        <v>0</v>
      </c>
      <c r="L53" s="138"/>
      <c r="Y53" s="52"/>
      <c r="Z53" s="138"/>
      <c r="AA53" s="137"/>
      <c r="CE53" s="139"/>
      <c r="CF53" s="139"/>
      <c r="CG53" s="139"/>
      <c r="CH53" s="139"/>
      <c r="CI53" s="139"/>
      <c r="CJ53" s="139"/>
      <c r="CK53" s="139"/>
      <c r="CL53" s="139"/>
      <c r="CM53" s="139"/>
      <c r="CN53" s="139"/>
      <c r="CO53" s="139"/>
      <c r="CP53" s="139"/>
      <c r="CQ53" s="139"/>
      <c r="CR53" s="139"/>
      <c r="CS53" s="139"/>
      <c r="CT53" s="139"/>
      <c r="CU53" s="139"/>
      <c r="CV53" s="139"/>
      <c r="CW53" s="139"/>
      <c r="CX53" s="139"/>
      <c r="CY53" s="139"/>
      <c r="CZ53" s="139"/>
      <c r="DA53" s="139"/>
      <c r="DB53" s="139"/>
      <c r="DC53" s="139"/>
      <c r="DD53" s="139"/>
      <c r="DE53" s="146"/>
      <c r="DF53" s="139"/>
      <c r="DG53" s="147"/>
    </row>
    <row r="54" spans="1:111" s="20" customFormat="1" ht="12.75" customHeight="1">
      <c r="A54" s="5"/>
      <c r="B54" s="346" t="str">
        <f>I10</f>
        <v>软件</v>
      </c>
      <c r="C54" s="417">
        <v>1616921.19</v>
      </c>
      <c r="D54" s="417">
        <v>462317.06000000006</v>
      </c>
      <c r="E54" s="417">
        <f>SUMIF('L1.03 摊销测试'!$D$12:$D$17,$B54,'L1.03 摊销测试'!$L$12:$L$17)</f>
        <v>0</v>
      </c>
      <c r="F54" s="417">
        <f>C54-D54-E54</f>
        <v>1154604.1299999999</v>
      </c>
      <c r="G54" s="418"/>
      <c r="H54" s="417">
        <f>C54-H18</f>
        <v>0</v>
      </c>
      <c r="I54" s="417">
        <f>D54-H24</f>
        <v>0</v>
      </c>
      <c r="J54" s="417">
        <f>E54-H29</f>
        <v>0</v>
      </c>
      <c r="K54" s="417">
        <f>F54-H30</f>
        <v>0</v>
      </c>
      <c r="L54" s="138"/>
      <c r="Y54" s="52"/>
      <c r="Z54" s="138"/>
      <c r="AA54" s="137"/>
      <c r="CE54" s="139"/>
      <c r="CF54" s="139"/>
      <c r="CG54" s="139"/>
      <c r="CH54" s="139"/>
      <c r="CI54" s="139"/>
      <c r="CJ54" s="139"/>
      <c r="CK54" s="139"/>
      <c r="CL54" s="139"/>
      <c r="CM54" s="139"/>
      <c r="CN54" s="139"/>
      <c r="CO54" s="139"/>
      <c r="CP54" s="139"/>
      <c r="CQ54" s="139"/>
      <c r="CR54" s="139"/>
      <c r="CS54" s="139"/>
      <c r="CT54" s="139"/>
      <c r="CU54" s="139"/>
      <c r="CV54" s="139"/>
      <c r="CW54" s="139"/>
      <c r="CX54" s="139"/>
      <c r="CY54" s="139"/>
      <c r="CZ54" s="139"/>
      <c r="DA54" s="139"/>
      <c r="DB54" s="139"/>
      <c r="DC54" s="139"/>
      <c r="DD54" s="139"/>
      <c r="DE54" s="146"/>
      <c r="DF54" s="139"/>
      <c r="DG54" s="147"/>
    </row>
    <row r="55" spans="1:111" s="20" customFormat="1" ht="12.75" customHeight="1">
      <c r="A55" s="5"/>
      <c r="B55" s="346" t="str">
        <f>L10</f>
        <v>商标权</v>
      </c>
      <c r="C55" s="417">
        <f>SUMIF('L1.03 摊销测试'!$D$12:$D$17,$B55,'L1.03 摊销测试'!$J$12:$J$17)</f>
        <v>0</v>
      </c>
      <c r="D55" s="417">
        <f>SUMIF('L1.03 摊销测试'!$D$12:$D$17,$B55,'L1.03 摊销测试'!$K$12:$K$17)</f>
        <v>0</v>
      </c>
      <c r="E55" s="417">
        <f>SUMIF('L1.03 摊销测试'!$D$12:$D$17,$B55,'L1.03 摊销测试'!$L$12:$L$17)</f>
        <v>0</v>
      </c>
      <c r="F55" s="417">
        <f>SUMIF('L1.03 摊销测试'!$D$12:$D$17,$B55,'L1.03 摊销测试'!$M$12:$M$17)</f>
        <v>0</v>
      </c>
      <c r="G55" s="418"/>
      <c r="H55" s="417">
        <f>C55-K18</f>
        <v>0</v>
      </c>
      <c r="I55" s="417">
        <f>D55-K24</f>
        <v>0</v>
      </c>
      <c r="J55" s="417">
        <f>E55-K29</f>
        <v>0</v>
      </c>
      <c r="K55" s="417">
        <f>F55-K30</f>
        <v>0</v>
      </c>
      <c r="L55" s="138"/>
      <c r="Y55" s="52"/>
      <c r="Z55" s="138"/>
      <c r="AA55" s="137"/>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46"/>
      <c r="DF55" s="139"/>
      <c r="DG55" s="147"/>
    </row>
    <row r="56" spans="1:111" s="20" customFormat="1" ht="12.75" customHeight="1">
      <c r="A56" s="5"/>
      <c r="B56" s="346" t="str">
        <f>O10</f>
        <v>专利权</v>
      </c>
      <c r="C56" s="417">
        <f>SUMIF('L1.03 摊销测试'!$D$12:$D$17,$B56,'L1.03 摊销测试'!$J$12:$J$17)</f>
        <v>0</v>
      </c>
      <c r="D56" s="417">
        <f>SUMIF('L1.03 摊销测试'!$D$12:$D$17,$B56,'L1.03 摊销测试'!$K$12:$K$17)</f>
        <v>0</v>
      </c>
      <c r="E56" s="417">
        <f>SUMIF('L1.03 摊销测试'!$D$12:$D$17,$B56,'L1.03 摊销测试'!$L$12:$L$17)</f>
        <v>0</v>
      </c>
      <c r="F56" s="417">
        <f>SUMIF('L1.03 摊销测试'!$D$12:$D$17,$B56,'L1.03 摊销测试'!$M$12:$M$17)</f>
        <v>0</v>
      </c>
      <c r="G56" s="418"/>
      <c r="H56" s="417">
        <f>C56-N18</f>
        <v>0</v>
      </c>
      <c r="I56" s="417">
        <f>D56-N24</f>
        <v>0</v>
      </c>
      <c r="J56" s="417">
        <f>E56-N29</f>
        <v>0</v>
      </c>
      <c r="K56" s="417">
        <f>F56-N30</f>
        <v>0</v>
      </c>
      <c r="L56" s="138"/>
      <c r="Y56" s="52"/>
      <c r="Z56" s="138"/>
      <c r="AA56" s="137"/>
      <c r="CE56" s="139"/>
      <c r="CF56" s="139"/>
      <c r="CG56" s="139"/>
      <c r="CH56" s="139"/>
      <c r="CI56" s="139"/>
      <c r="CJ56" s="139"/>
      <c r="CK56" s="139"/>
      <c r="CL56" s="139"/>
      <c r="CM56" s="139"/>
      <c r="CN56" s="139"/>
      <c r="CO56" s="139"/>
      <c r="CP56" s="139"/>
      <c r="CQ56" s="139"/>
      <c r="CR56" s="139"/>
      <c r="CS56" s="139"/>
      <c r="CT56" s="139"/>
      <c r="CU56" s="139"/>
      <c r="CV56" s="139"/>
      <c r="CW56" s="139"/>
      <c r="CX56" s="139"/>
      <c r="CY56" s="139"/>
      <c r="CZ56" s="139"/>
      <c r="DA56" s="139"/>
      <c r="DB56" s="139"/>
      <c r="DC56" s="139"/>
      <c r="DD56" s="139"/>
      <c r="DE56" s="146"/>
      <c r="DF56" s="139"/>
      <c r="DG56" s="147"/>
    </row>
    <row r="57" spans="1:111" s="20" customFormat="1" ht="12.75" customHeight="1">
      <c r="A57" s="5"/>
      <c r="B57" s="346" t="str">
        <f>R10</f>
        <v>特许权</v>
      </c>
      <c r="C57" s="417">
        <f>SUMIF('L1.03 摊销测试'!$D$12:$D$17,$B57,'L1.03 摊销测试'!$J$12:$J$17)</f>
        <v>0</v>
      </c>
      <c r="D57" s="417">
        <f>SUMIF('L1.03 摊销测试'!$D$12:$D$17,$B57,'L1.03 摊销测试'!$K$12:$K$17)</f>
        <v>0</v>
      </c>
      <c r="E57" s="417">
        <f>SUMIF('L1.03 摊销测试'!$D$12:$D$17,$B57,'L1.03 摊销测试'!$L$12:$L$17)</f>
        <v>0</v>
      </c>
      <c r="F57" s="417">
        <f>SUMIF('L1.03 摊销测试'!$D$12:$D$17,$B57,'L1.03 摊销测试'!$M$12:$M$17)</f>
        <v>0</v>
      </c>
      <c r="G57" s="418"/>
      <c r="H57" s="417">
        <f>C57-Q18</f>
        <v>0</v>
      </c>
      <c r="I57" s="417">
        <f>D57-Q24</f>
        <v>0</v>
      </c>
      <c r="J57" s="417">
        <f>E57-Q29</f>
        <v>0</v>
      </c>
      <c r="K57" s="417">
        <f>F57-Q30</f>
        <v>0</v>
      </c>
      <c r="L57" s="138"/>
      <c r="Y57" s="52"/>
      <c r="Z57" s="138"/>
      <c r="AA57" s="137"/>
      <c r="CE57" s="139"/>
      <c r="CF57" s="139"/>
      <c r="CG57" s="139"/>
      <c r="CH57" s="139"/>
      <c r="CI57" s="139"/>
      <c r="CJ57" s="139"/>
      <c r="CK57" s="139"/>
      <c r="CL57" s="139"/>
      <c r="CM57" s="139"/>
      <c r="CN57" s="139"/>
      <c r="CO57" s="139"/>
      <c r="CP57" s="139"/>
      <c r="CQ57" s="139"/>
      <c r="CR57" s="139"/>
      <c r="CS57" s="139"/>
      <c r="CT57" s="139"/>
      <c r="CU57" s="139"/>
      <c r="CV57" s="139"/>
      <c r="CW57" s="139"/>
      <c r="CX57" s="139"/>
      <c r="CY57" s="139"/>
      <c r="CZ57" s="139"/>
      <c r="DA57" s="139"/>
      <c r="DB57" s="139"/>
      <c r="DC57" s="139"/>
      <c r="DD57" s="139"/>
      <c r="DE57" s="146"/>
      <c r="DF57" s="139"/>
      <c r="DG57" s="147"/>
    </row>
    <row r="58" spans="1:111" s="20" customFormat="1" ht="12.75" customHeight="1">
      <c r="A58" s="5"/>
      <c r="B58" s="346" t="s">
        <v>165</v>
      </c>
      <c r="C58" s="417">
        <f>SUM(C53:C57)</f>
        <v>10353587.15</v>
      </c>
      <c r="D58" s="417">
        <f>SUM(D53:D57)</f>
        <v>1372065.44</v>
      </c>
      <c r="E58" s="417">
        <f>SUM(E53:E57)</f>
        <v>0</v>
      </c>
      <c r="F58" s="417">
        <f>SUM(F53:F57)</f>
        <v>8981521.7100000009</v>
      </c>
      <c r="G58" s="419"/>
      <c r="H58" s="417">
        <f>C58-T18</f>
        <v>0</v>
      </c>
      <c r="I58" s="417">
        <f>D58-T24</f>
        <v>0</v>
      </c>
      <c r="J58" s="417">
        <f>E58-T29</f>
        <v>0</v>
      </c>
      <c r="K58" s="417">
        <f>F58-T30</f>
        <v>0</v>
      </c>
      <c r="L58" s="138"/>
      <c r="Y58" s="52"/>
      <c r="Z58" s="138"/>
      <c r="AA58" s="137"/>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46"/>
      <c r="DF58" s="139"/>
      <c r="DG58" s="147"/>
    </row>
    <row r="59" spans="1:111" s="20" customFormat="1" ht="12.75" customHeight="1">
      <c r="A59" s="5"/>
      <c r="B59" s="138"/>
      <c r="C59" s="138"/>
      <c r="D59" s="138"/>
      <c r="E59" s="138"/>
      <c r="F59" s="138"/>
      <c r="G59" s="138"/>
      <c r="H59" s="138"/>
      <c r="I59" s="138"/>
      <c r="J59" s="138"/>
      <c r="K59" s="138"/>
      <c r="L59" s="138"/>
      <c r="Y59" s="52"/>
      <c r="Z59" s="138"/>
      <c r="AA59" s="137"/>
      <c r="CE59" s="139"/>
      <c r="CF59" s="139"/>
      <c r="CG59" s="139"/>
      <c r="CH59" s="139"/>
      <c r="CI59" s="139"/>
      <c r="CJ59" s="139"/>
      <c r="CK59" s="139"/>
      <c r="CL59" s="139"/>
      <c r="CM59" s="139"/>
      <c r="CN59" s="139"/>
      <c r="CO59" s="139"/>
      <c r="CP59" s="139"/>
      <c r="CQ59" s="139"/>
      <c r="CR59" s="139"/>
      <c r="CS59" s="139"/>
      <c r="CT59" s="139"/>
      <c r="CU59" s="139"/>
      <c r="CV59" s="139"/>
      <c r="CW59" s="139"/>
      <c r="CX59" s="139"/>
      <c r="CY59" s="139"/>
      <c r="CZ59" s="139"/>
      <c r="DA59" s="139"/>
      <c r="DB59" s="139"/>
      <c r="DC59" s="139"/>
      <c r="DD59" s="139"/>
      <c r="DE59" s="146"/>
      <c r="DF59" s="139"/>
      <c r="DG59" s="147"/>
    </row>
    <row r="60" spans="1:111" s="20" customFormat="1" ht="12.75" customHeight="1">
      <c r="A60" s="138"/>
      <c r="B60" s="347" t="s">
        <v>166</v>
      </c>
      <c r="C60" s="138"/>
      <c r="D60" s="348"/>
      <c r="E60" s="348"/>
      <c r="F60" s="348"/>
      <c r="G60" s="138"/>
      <c r="H60" s="138"/>
      <c r="I60" s="138"/>
      <c r="J60" s="138"/>
      <c r="K60" s="138"/>
      <c r="L60" s="138"/>
      <c r="Y60" s="52"/>
      <c r="Z60" s="138"/>
      <c r="AA60" s="137"/>
      <c r="CE60" s="139"/>
      <c r="CF60" s="139"/>
      <c r="CG60" s="139"/>
      <c r="CH60" s="139"/>
      <c r="CI60" s="139"/>
      <c r="CJ60" s="139"/>
      <c r="CK60" s="139"/>
      <c r="CL60" s="139"/>
      <c r="CM60" s="139"/>
      <c r="CN60" s="139"/>
      <c r="CO60" s="139"/>
      <c r="CP60" s="139"/>
      <c r="CQ60" s="139"/>
      <c r="CR60" s="139"/>
      <c r="CS60" s="139"/>
      <c r="CT60" s="139"/>
      <c r="CU60" s="139"/>
      <c r="CV60" s="139"/>
      <c r="CW60" s="139"/>
      <c r="CX60" s="139"/>
      <c r="CY60" s="139"/>
      <c r="CZ60" s="139"/>
      <c r="DA60" s="139"/>
      <c r="DB60" s="139"/>
      <c r="DC60" s="139"/>
      <c r="DD60" s="139"/>
      <c r="DE60" s="146"/>
      <c r="DF60" s="139"/>
      <c r="DG60" s="147"/>
    </row>
    <row r="61" spans="1:111" s="20" customFormat="1" ht="12.75" customHeight="1">
      <c r="A61" s="21"/>
      <c r="B61" s="562"/>
      <c r="C61" s="563"/>
      <c r="D61" s="563"/>
      <c r="E61" s="563"/>
      <c r="F61" s="564"/>
      <c r="G61" s="138"/>
      <c r="H61" s="138"/>
      <c r="I61" s="138"/>
      <c r="J61" s="138"/>
      <c r="Y61" s="52"/>
      <c r="Z61" s="138"/>
      <c r="AA61" s="137"/>
      <c r="CE61" s="139"/>
      <c r="CF61" s="139"/>
      <c r="CG61" s="139"/>
      <c r="CH61" s="139"/>
      <c r="CI61" s="139"/>
      <c r="CJ61" s="139"/>
      <c r="CK61" s="139"/>
      <c r="CL61" s="139"/>
      <c r="CM61" s="139"/>
      <c r="CN61" s="139"/>
      <c r="CO61" s="139"/>
      <c r="CP61" s="139"/>
      <c r="CQ61" s="139"/>
      <c r="CR61" s="139"/>
      <c r="CS61" s="139"/>
      <c r="CT61" s="139"/>
      <c r="CU61" s="139"/>
      <c r="CV61" s="139"/>
      <c r="CW61" s="139"/>
      <c r="CX61" s="139"/>
      <c r="CY61" s="139"/>
      <c r="CZ61" s="139"/>
      <c r="DA61" s="139"/>
      <c r="DB61" s="139"/>
      <c r="DC61" s="139"/>
      <c r="DD61" s="139"/>
      <c r="DE61" s="146"/>
      <c r="DF61" s="139"/>
      <c r="DG61" s="147"/>
    </row>
    <row r="62" spans="1:111" s="20" customFormat="1" ht="12.75" customHeight="1">
      <c r="A62" s="21"/>
      <c r="B62" s="565"/>
      <c r="C62" s="566"/>
      <c r="D62" s="566"/>
      <c r="E62" s="566"/>
      <c r="F62" s="567"/>
      <c r="G62" s="138"/>
      <c r="H62" s="138"/>
      <c r="I62" s="138"/>
      <c r="J62" s="138"/>
      <c r="Y62" s="52"/>
      <c r="Z62" s="138"/>
      <c r="AA62" s="137"/>
      <c r="CE62" s="139"/>
      <c r="CF62" s="139"/>
      <c r="CG62" s="139"/>
      <c r="CH62" s="139"/>
      <c r="CI62" s="139"/>
      <c r="CJ62" s="139"/>
      <c r="CK62" s="139"/>
      <c r="CL62" s="139"/>
      <c r="CM62" s="139"/>
      <c r="CN62" s="139"/>
      <c r="CO62" s="139"/>
      <c r="CP62" s="139"/>
      <c r="CQ62" s="139"/>
      <c r="CR62" s="139"/>
      <c r="CS62" s="139"/>
      <c r="CT62" s="139"/>
      <c r="CU62" s="139"/>
      <c r="CV62" s="139"/>
      <c r="CW62" s="139"/>
      <c r="CX62" s="139"/>
      <c r="CY62" s="139"/>
      <c r="CZ62" s="139"/>
      <c r="DA62" s="139"/>
      <c r="DB62" s="139"/>
      <c r="DC62" s="139"/>
      <c r="DD62" s="139"/>
      <c r="DE62" s="146"/>
      <c r="DF62" s="139"/>
      <c r="DG62" s="147"/>
    </row>
    <row r="63" spans="1:111" s="20" customFormat="1" ht="12.75" customHeight="1">
      <c r="A63" s="21"/>
      <c r="B63" s="565"/>
      <c r="C63" s="566"/>
      <c r="D63" s="566"/>
      <c r="E63" s="566"/>
      <c r="F63" s="567"/>
      <c r="G63" s="138"/>
      <c r="H63" s="138"/>
      <c r="I63" s="138"/>
      <c r="J63" s="138"/>
      <c r="Y63" s="52"/>
      <c r="Z63" s="138"/>
      <c r="AA63" s="137"/>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46"/>
      <c r="DF63" s="139"/>
      <c r="DG63" s="147"/>
    </row>
    <row r="64" spans="1:111" s="20" customFormat="1" ht="12.75" customHeight="1">
      <c r="A64" s="21"/>
      <c r="B64" s="568"/>
      <c r="C64" s="569"/>
      <c r="D64" s="569"/>
      <c r="E64" s="569"/>
      <c r="F64" s="570"/>
      <c r="G64" s="138"/>
      <c r="H64" s="138"/>
      <c r="I64" s="138"/>
      <c r="J64" s="138"/>
      <c r="Y64" s="52"/>
      <c r="Z64" s="138"/>
      <c r="AA64" s="137"/>
      <c r="CE64" s="139"/>
      <c r="CF64" s="139"/>
      <c r="CG64" s="139"/>
      <c r="CH64" s="139"/>
      <c r="CI64" s="139"/>
      <c r="CJ64" s="139"/>
      <c r="CK64" s="139"/>
      <c r="CL64" s="139"/>
      <c r="CM64" s="139"/>
      <c r="CN64" s="139"/>
      <c r="CO64" s="139"/>
      <c r="CP64" s="139"/>
      <c r="CQ64" s="139"/>
      <c r="CR64" s="139"/>
      <c r="CS64" s="139"/>
      <c r="CT64" s="139"/>
      <c r="CU64" s="139"/>
      <c r="CV64" s="139"/>
      <c r="CW64" s="139"/>
      <c r="CX64" s="139"/>
      <c r="CY64" s="139"/>
      <c r="CZ64" s="139"/>
      <c r="DA64" s="139"/>
      <c r="DB64" s="139"/>
      <c r="DC64" s="139"/>
      <c r="DD64" s="139"/>
      <c r="DE64" s="146"/>
      <c r="DF64" s="139"/>
      <c r="DG64" s="147"/>
    </row>
    <row r="65" spans="1:111" s="20" customFormat="1" ht="12.75" customHeight="1">
      <c r="A65" s="21"/>
      <c r="B65" s="138"/>
      <c r="C65" s="138"/>
      <c r="D65" s="138"/>
      <c r="E65" s="138"/>
      <c r="F65" s="138"/>
      <c r="G65" s="138"/>
      <c r="H65" s="138"/>
      <c r="I65" s="138"/>
      <c r="J65" s="138"/>
      <c r="Y65" s="52"/>
      <c r="Z65" s="138"/>
      <c r="AA65" s="137"/>
      <c r="CE65" s="139"/>
      <c r="CF65" s="139"/>
      <c r="CG65" s="139"/>
      <c r="CH65" s="139"/>
      <c r="CI65" s="139"/>
      <c r="CJ65" s="139"/>
      <c r="CK65" s="139"/>
      <c r="CL65" s="139"/>
      <c r="CM65" s="139"/>
      <c r="CN65" s="139"/>
      <c r="CO65" s="139"/>
      <c r="CP65" s="139"/>
      <c r="CQ65" s="139"/>
      <c r="CR65" s="139"/>
      <c r="CS65" s="139"/>
      <c r="CT65" s="139"/>
      <c r="CU65" s="139"/>
      <c r="CV65" s="139"/>
      <c r="CW65" s="139"/>
      <c r="CX65" s="139"/>
      <c r="CY65" s="139"/>
      <c r="CZ65" s="139"/>
      <c r="DA65" s="139"/>
      <c r="DB65" s="139"/>
      <c r="DC65" s="139"/>
      <c r="DD65" s="139"/>
      <c r="DE65" s="146"/>
      <c r="DF65" s="139"/>
      <c r="DG65" s="147"/>
    </row>
    <row r="66" spans="1:111" s="20" customFormat="1" ht="12.75" customHeight="1">
      <c r="A66" s="21"/>
      <c r="B66" s="282" t="s">
        <v>167</v>
      </c>
      <c r="C66" s="138"/>
      <c r="D66" s="138"/>
      <c r="E66" s="138"/>
      <c r="F66" s="138"/>
      <c r="G66" s="138"/>
      <c r="H66" s="138"/>
      <c r="I66" s="138"/>
      <c r="J66" s="138"/>
      <c r="Y66" s="52"/>
      <c r="Z66" s="138"/>
      <c r="AA66" s="137"/>
      <c r="CE66" s="139"/>
      <c r="CF66" s="139"/>
      <c r="CG66" s="139"/>
      <c r="CH66" s="139"/>
      <c r="CI66" s="139"/>
      <c r="CJ66" s="139"/>
      <c r="CK66" s="139"/>
      <c r="CL66" s="139"/>
      <c r="CM66" s="139"/>
      <c r="CN66" s="139"/>
      <c r="CO66" s="139"/>
      <c r="CP66" s="139"/>
      <c r="CQ66" s="139"/>
      <c r="CR66" s="139"/>
      <c r="CS66" s="139"/>
      <c r="CT66" s="139"/>
      <c r="CU66" s="139"/>
      <c r="CV66" s="139"/>
      <c r="CW66" s="139"/>
      <c r="CX66" s="139"/>
      <c r="CY66" s="139"/>
      <c r="CZ66" s="139"/>
      <c r="DA66" s="139"/>
      <c r="DB66" s="139"/>
      <c r="DC66" s="139"/>
      <c r="DD66" s="139"/>
      <c r="DE66" s="146"/>
      <c r="DF66" s="139"/>
      <c r="DG66" s="147"/>
    </row>
    <row r="67" spans="1:111" s="20" customFormat="1" ht="12.75" customHeight="1">
      <c r="A67" s="21"/>
      <c r="B67" s="604" t="s">
        <v>472</v>
      </c>
      <c r="C67" s="605"/>
      <c r="D67" s="605"/>
      <c r="E67" s="605"/>
      <c r="F67" s="606"/>
      <c r="G67" s="138"/>
      <c r="H67" s="138"/>
      <c r="I67" s="138"/>
      <c r="J67" s="138"/>
      <c r="Y67" s="52"/>
      <c r="Z67" s="138"/>
      <c r="AA67" s="137"/>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46"/>
      <c r="DF67" s="139"/>
      <c r="DG67" s="147"/>
    </row>
    <row r="68" spans="1:111" s="20" customFormat="1" ht="12.75" customHeight="1">
      <c r="A68" s="21"/>
      <c r="B68" s="607"/>
      <c r="C68" s="608"/>
      <c r="D68" s="608"/>
      <c r="E68" s="608"/>
      <c r="F68" s="609"/>
      <c r="G68" s="138"/>
      <c r="H68" s="138"/>
      <c r="I68" s="138"/>
      <c r="J68" s="138"/>
      <c r="Y68" s="52"/>
      <c r="Z68" s="138"/>
      <c r="AA68" s="137"/>
      <c r="CE68" s="139"/>
      <c r="CF68" s="139"/>
      <c r="CG68" s="139"/>
      <c r="CH68" s="139"/>
      <c r="CI68" s="139"/>
      <c r="CJ68" s="139"/>
      <c r="CK68" s="139"/>
      <c r="CL68" s="139"/>
      <c r="CM68" s="139"/>
      <c r="CN68" s="139"/>
      <c r="CO68" s="139"/>
      <c r="CP68" s="139"/>
      <c r="CQ68" s="139"/>
      <c r="CR68" s="139"/>
      <c r="CS68" s="139"/>
      <c r="CT68" s="139"/>
      <c r="CU68" s="139"/>
      <c r="CV68" s="139"/>
      <c r="CW68" s="139"/>
      <c r="CX68" s="139"/>
      <c r="CY68" s="139"/>
      <c r="CZ68" s="139"/>
      <c r="DA68" s="139"/>
      <c r="DB68" s="139"/>
      <c r="DC68" s="139"/>
      <c r="DD68" s="139"/>
      <c r="DE68" s="146"/>
      <c r="DF68" s="139"/>
      <c r="DG68" s="147"/>
    </row>
    <row r="69" spans="1:111" s="20" customFormat="1" ht="12.75" customHeight="1">
      <c r="A69" s="21"/>
      <c r="B69" s="607"/>
      <c r="C69" s="608"/>
      <c r="D69" s="608"/>
      <c r="E69" s="608"/>
      <c r="F69" s="609"/>
      <c r="G69" s="138"/>
      <c r="H69" s="138"/>
      <c r="I69" s="138"/>
      <c r="J69" s="138"/>
      <c r="Y69" s="52"/>
      <c r="Z69" s="138"/>
      <c r="AA69" s="137"/>
      <c r="CE69" s="139"/>
      <c r="CF69" s="139"/>
      <c r="CG69" s="139"/>
      <c r="CH69" s="139"/>
      <c r="CI69" s="139"/>
      <c r="CJ69" s="139"/>
      <c r="CK69" s="139"/>
      <c r="CL69" s="139"/>
      <c r="CM69" s="139"/>
      <c r="CN69" s="139"/>
      <c r="CO69" s="139"/>
      <c r="CP69" s="139"/>
      <c r="CQ69" s="139"/>
      <c r="CR69" s="139"/>
      <c r="CS69" s="139"/>
      <c r="CT69" s="139"/>
      <c r="CU69" s="139"/>
      <c r="CV69" s="139"/>
      <c r="CW69" s="139"/>
      <c r="CX69" s="139"/>
      <c r="CY69" s="139"/>
      <c r="CZ69" s="139"/>
      <c r="DA69" s="139"/>
      <c r="DB69" s="139"/>
      <c r="DC69" s="139"/>
      <c r="DD69" s="139"/>
      <c r="DE69" s="146"/>
      <c r="DF69" s="139"/>
      <c r="DG69" s="147"/>
    </row>
    <row r="70" spans="1:111" s="20" customFormat="1" ht="12.75" customHeight="1">
      <c r="A70" s="21"/>
      <c r="B70" s="610"/>
      <c r="C70" s="611"/>
      <c r="D70" s="611"/>
      <c r="E70" s="611"/>
      <c r="F70" s="612"/>
      <c r="G70" s="138"/>
      <c r="H70" s="138"/>
      <c r="I70" s="138"/>
      <c r="J70" s="138"/>
      <c r="Y70" s="52"/>
      <c r="Z70" s="138"/>
      <c r="AA70" s="137"/>
      <c r="CE70" s="139"/>
      <c r="CF70" s="139"/>
      <c r="CG70" s="139"/>
      <c r="CH70" s="139"/>
      <c r="CI70" s="139"/>
      <c r="CJ70" s="139"/>
      <c r="CK70" s="139"/>
      <c r="CL70" s="139"/>
      <c r="CM70" s="139"/>
      <c r="CN70" s="139"/>
      <c r="CO70" s="139"/>
      <c r="CP70" s="139"/>
      <c r="CQ70" s="139"/>
      <c r="CR70" s="139"/>
      <c r="CS70" s="139"/>
      <c r="CT70" s="139"/>
      <c r="CU70" s="139"/>
      <c r="CV70" s="139"/>
      <c r="CW70" s="139"/>
      <c r="CX70" s="139"/>
      <c r="CY70" s="139"/>
      <c r="CZ70" s="139"/>
      <c r="DA70" s="139"/>
      <c r="DB70" s="139"/>
      <c r="DC70" s="139"/>
      <c r="DD70" s="139"/>
      <c r="DE70" s="146"/>
      <c r="DF70" s="139"/>
      <c r="DG70" s="147"/>
    </row>
    <row r="71" spans="1:111" ht="15" customHeight="1">
      <c r="A71" s="21"/>
      <c r="B71" s="282"/>
      <c r="C71" s="282"/>
      <c r="D71" s="282"/>
      <c r="E71" s="282"/>
      <c r="F71" s="282"/>
      <c r="G71" s="282"/>
      <c r="H71" s="282"/>
      <c r="I71" s="282"/>
      <c r="J71" s="282"/>
      <c r="Y71" s="52"/>
    </row>
    <row r="72" spans="1:111" ht="15" customHeight="1">
      <c r="B72" s="349" t="s">
        <v>168</v>
      </c>
      <c r="C72" s="10"/>
      <c r="D72" s="10"/>
      <c r="E72" s="10"/>
      <c r="F72" s="282"/>
      <c r="G72" s="282"/>
      <c r="H72" s="282"/>
      <c r="I72" s="282"/>
      <c r="J72" s="282"/>
      <c r="Y72" s="52"/>
    </row>
    <row r="73" spans="1:111" ht="15" customHeight="1">
      <c r="A73" s="21"/>
      <c r="B73" s="21" t="s">
        <v>169</v>
      </c>
      <c r="C73" s="282"/>
      <c r="D73" s="282"/>
      <c r="E73" s="282"/>
      <c r="F73" s="282"/>
      <c r="G73" s="10"/>
      <c r="H73" s="282"/>
      <c r="I73" s="282"/>
      <c r="J73" s="282"/>
      <c r="K73" s="282"/>
      <c r="Y73" s="52"/>
    </row>
    <row r="74" spans="1:111" ht="15" customHeight="1">
      <c r="A74" s="21"/>
      <c r="B74" s="283" t="s">
        <v>170</v>
      </c>
      <c r="C74" s="284"/>
      <c r="D74" s="284"/>
      <c r="E74" s="285"/>
      <c r="F74" s="285"/>
      <c r="G74" s="286"/>
      <c r="H74" s="282"/>
      <c r="I74" s="282"/>
      <c r="J74" s="282"/>
      <c r="K74" s="282"/>
      <c r="Y74" s="52"/>
    </row>
    <row r="75" spans="1:111" ht="15" customHeight="1">
      <c r="A75" s="21"/>
      <c r="B75" s="287" t="s">
        <v>171</v>
      </c>
      <c r="C75" s="288" t="s">
        <v>172</v>
      </c>
      <c r="D75" s="288" t="s">
        <v>173</v>
      </c>
      <c r="E75" s="288" t="s">
        <v>90</v>
      </c>
      <c r="F75" s="280" t="s">
        <v>174</v>
      </c>
      <c r="G75" s="289"/>
      <c r="H75" s="282"/>
      <c r="I75" s="282"/>
      <c r="J75" s="282"/>
      <c r="K75" s="282"/>
      <c r="Y75" s="52"/>
    </row>
    <row r="76" spans="1:111" ht="15" customHeight="1">
      <c r="A76" s="21"/>
      <c r="B76" s="290"/>
      <c r="C76" s="291"/>
      <c r="D76" s="278"/>
      <c r="E76" s="292" t="s">
        <v>175</v>
      </c>
      <c r="F76" s="420"/>
      <c r="G76" s="289"/>
      <c r="H76" s="282"/>
      <c r="I76" s="282"/>
      <c r="J76" s="282"/>
      <c r="K76" s="282"/>
      <c r="Y76" s="52"/>
    </row>
    <row r="77" spans="1:111" ht="15" customHeight="1">
      <c r="A77" s="21"/>
      <c r="B77" s="603" t="s">
        <v>471</v>
      </c>
      <c r="C77" s="291" t="s">
        <v>442</v>
      </c>
      <c r="D77" s="278">
        <v>55004</v>
      </c>
      <c r="E77" s="292" t="s">
        <v>176</v>
      </c>
      <c r="F77" s="420">
        <v>356599.31</v>
      </c>
      <c r="G77" s="289"/>
      <c r="H77" s="282"/>
      <c r="I77" s="602"/>
      <c r="J77" s="282"/>
      <c r="K77" s="282"/>
      <c r="Y77" s="52"/>
    </row>
    <row r="78" spans="1:111" ht="15" customHeight="1">
      <c r="A78" s="21"/>
      <c r="B78" s="290"/>
      <c r="C78" s="291"/>
      <c r="D78" s="278"/>
      <c r="E78" s="292" t="s">
        <v>177</v>
      </c>
      <c r="F78" s="420"/>
      <c r="G78" s="289"/>
      <c r="H78" s="282"/>
      <c r="I78" s="602"/>
      <c r="J78" s="282"/>
      <c r="K78" s="282"/>
      <c r="Y78" s="52"/>
    </row>
    <row r="79" spans="1:111" ht="15" customHeight="1">
      <c r="A79" s="21"/>
      <c r="B79" s="290"/>
      <c r="C79" s="291"/>
      <c r="D79" s="278"/>
      <c r="E79" s="292" t="s">
        <v>178</v>
      </c>
      <c r="F79" s="420"/>
      <c r="G79" s="289"/>
      <c r="H79" s="282"/>
      <c r="I79" s="282"/>
      <c r="J79" s="282"/>
      <c r="K79" s="282"/>
      <c r="Y79" s="52"/>
    </row>
    <row r="80" spans="1:111" ht="15" customHeight="1">
      <c r="A80" s="21"/>
      <c r="B80" s="290"/>
      <c r="C80" s="291"/>
      <c r="D80" s="278"/>
      <c r="E80" s="292" t="s">
        <v>179</v>
      </c>
      <c r="F80" s="420"/>
      <c r="G80" s="289"/>
      <c r="H80" s="282"/>
      <c r="I80" s="282"/>
      <c r="J80" s="282"/>
      <c r="K80" s="282"/>
      <c r="Y80" s="52"/>
    </row>
    <row r="81" spans="1:25" ht="15" customHeight="1" thickBot="1">
      <c r="A81" s="21"/>
      <c r="B81" s="294"/>
      <c r="C81" s="295"/>
      <c r="D81" s="295"/>
      <c r="E81" s="292" t="s">
        <v>180</v>
      </c>
      <c r="F81" s="601">
        <f>SUM(F76:F80)</f>
        <v>356599.31</v>
      </c>
      <c r="G81" s="289"/>
      <c r="H81" s="282"/>
      <c r="I81" s="282"/>
      <c r="J81" s="282"/>
      <c r="K81" s="282"/>
      <c r="Y81" s="52"/>
    </row>
    <row r="82" spans="1:25" ht="15" customHeight="1" thickTop="1">
      <c r="A82" s="21"/>
      <c r="B82" s="294"/>
      <c r="C82" s="295"/>
      <c r="D82" s="295"/>
      <c r="E82" s="292"/>
      <c r="F82" s="277"/>
      <c r="G82" s="289"/>
      <c r="H82" s="282"/>
      <c r="I82" s="282"/>
      <c r="J82" s="282"/>
      <c r="K82" s="282"/>
      <c r="Y82" s="52"/>
    </row>
    <row r="83" spans="1:25" ht="15" customHeight="1">
      <c r="A83" s="21"/>
      <c r="B83" s="294"/>
      <c r="C83" s="295"/>
      <c r="D83" s="295"/>
      <c r="E83" s="293" t="s">
        <v>181</v>
      </c>
      <c r="F83" s="600">
        <f>T20</f>
        <v>397656.79</v>
      </c>
      <c r="G83" s="289"/>
      <c r="H83" s="282"/>
      <c r="I83" s="282"/>
      <c r="J83" s="282"/>
      <c r="K83" s="282"/>
      <c r="Y83" s="52"/>
    </row>
    <row r="84" spans="1:25" ht="15" customHeight="1" thickBot="1">
      <c r="A84" s="21"/>
      <c r="B84" s="294"/>
      <c r="C84" s="295"/>
      <c r="D84" s="295"/>
      <c r="E84" s="292" t="s">
        <v>182</v>
      </c>
      <c r="F84" s="601">
        <f>F81-F83</f>
        <v>-41057.479999999981</v>
      </c>
      <c r="G84" s="298"/>
      <c r="H84" s="282"/>
      <c r="I84" s="282"/>
      <c r="J84" s="282"/>
      <c r="K84" s="282"/>
      <c r="Y84" s="52"/>
    </row>
    <row r="85" spans="1:25" ht="15" customHeight="1" thickTop="1">
      <c r="A85" s="21"/>
      <c r="B85" s="294"/>
      <c r="C85" s="295"/>
      <c r="D85" s="295"/>
      <c r="E85" s="292"/>
      <c r="F85" s="299"/>
      <c r="G85" s="289"/>
      <c r="H85" s="282"/>
      <c r="I85" s="282"/>
      <c r="J85" s="282"/>
      <c r="K85" s="282"/>
      <c r="Y85" s="52"/>
    </row>
    <row r="86" spans="1:25" ht="15" customHeight="1">
      <c r="A86" s="21"/>
      <c r="B86" s="300"/>
      <c r="C86" s="301"/>
      <c r="D86" s="301"/>
      <c r="E86" s="302"/>
      <c r="F86" s="303"/>
      <c r="G86" s="304"/>
      <c r="H86" s="282"/>
      <c r="I86" s="282"/>
      <c r="J86" s="282"/>
      <c r="K86" s="282"/>
      <c r="Y86" s="52"/>
    </row>
    <row r="87" spans="1:25" ht="15" customHeight="1">
      <c r="Y87" s="52"/>
    </row>
    <row r="88" spans="1:25" ht="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row>
    <row r="96" spans="1:25" ht="12.75" customHeight="1">
      <c r="A96" s="8"/>
    </row>
    <row r="97" spans="1:1" ht="12.75" customHeight="1">
      <c r="A97" s="8"/>
    </row>
    <row r="98" spans="1:1" ht="12.75" customHeight="1">
      <c r="A98" s="8"/>
    </row>
    <row r="99" spans="1:1" ht="12.75" customHeight="1">
      <c r="A99" s="8"/>
    </row>
    <row r="100" spans="1:1" ht="12.75" customHeight="1">
      <c r="A100" s="8"/>
    </row>
    <row r="101" spans="1:1" ht="12.75" customHeight="1">
      <c r="A101" s="8"/>
    </row>
    <row r="102" spans="1:1" ht="12.75" customHeight="1">
      <c r="A102" s="8"/>
    </row>
    <row r="103" spans="1:1" ht="12.75" customHeight="1">
      <c r="A103" s="8"/>
    </row>
    <row r="104" spans="1:1" ht="12.75" customHeight="1">
      <c r="A104" s="8"/>
    </row>
    <row r="105" spans="1:1" ht="12.75" customHeight="1">
      <c r="A105" s="8"/>
    </row>
    <row r="106" spans="1:1" ht="12.75" customHeight="1">
      <c r="A106" s="8"/>
    </row>
    <row r="107" spans="1:1" ht="12.75" customHeight="1">
      <c r="A107" s="8"/>
    </row>
    <row r="108" spans="1:1" ht="12.75" customHeight="1">
      <c r="A108" s="8"/>
    </row>
    <row r="109" spans="1:1" ht="12.75" customHeight="1">
      <c r="A109" s="8"/>
    </row>
    <row r="110" spans="1:1" ht="12.75" customHeight="1">
      <c r="A110" s="8"/>
    </row>
    <row r="111" spans="1:1" ht="12.75" customHeight="1">
      <c r="A111" s="8"/>
    </row>
    <row r="112" spans="1:1" ht="12.75" customHeight="1">
      <c r="A112" s="8"/>
    </row>
    <row r="113" spans="1:1" ht="12.75" customHeight="1">
      <c r="A113" s="8"/>
    </row>
    <row r="114" spans="1:1" ht="12.75" customHeight="1">
      <c r="A114" s="8"/>
    </row>
    <row r="115" spans="1:1" ht="12.75" customHeight="1">
      <c r="A115" s="8"/>
    </row>
    <row r="116" spans="1:1" ht="12.75" customHeight="1">
      <c r="A116" s="8"/>
    </row>
    <row r="117" spans="1:1" ht="12.75" customHeight="1">
      <c r="A117" s="8"/>
    </row>
    <row r="118" spans="1:1" ht="12.75" customHeight="1">
      <c r="A118" s="8"/>
    </row>
    <row r="119" spans="1:1" ht="12.75" customHeight="1">
      <c r="A119" s="8"/>
    </row>
    <row r="120" spans="1:1" ht="12.75" customHeight="1">
      <c r="A120" s="8"/>
    </row>
    <row r="121" spans="1:1" ht="12.75" customHeight="1">
      <c r="A121" s="8"/>
    </row>
    <row r="122" spans="1:1" ht="12.75" customHeight="1">
      <c r="A122" s="8"/>
    </row>
    <row r="123" spans="1:1" ht="12.75" customHeight="1">
      <c r="A123" s="8"/>
    </row>
    <row r="124" spans="1:1" ht="12.75" customHeight="1">
      <c r="A124" s="8"/>
    </row>
    <row r="125" spans="1:1" ht="12.75" customHeight="1">
      <c r="A125" s="8"/>
    </row>
    <row r="126" spans="1:1" ht="12.75" customHeight="1">
      <c r="A126" s="8"/>
    </row>
    <row r="127" spans="1:1" ht="12.75" customHeight="1">
      <c r="A127" s="8"/>
    </row>
    <row r="128" spans="1:1" ht="12.75" customHeight="1">
      <c r="A128" s="8"/>
    </row>
    <row r="129" spans="1:1" ht="12.75" customHeight="1">
      <c r="A129" s="8"/>
    </row>
    <row r="130" spans="1:1" ht="12.75" customHeight="1">
      <c r="A130" s="8"/>
    </row>
    <row r="131" spans="1:1" ht="12.75" customHeight="1">
      <c r="A131" s="8"/>
    </row>
    <row r="132" spans="1:1" ht="12.75" customHeight="1">
      <c r="A132" s="8"/>
    </row>
    <row r="133" spans="1:1" ht="12.75" customHeight="1">
      <c r="A133" s="8"/>
    </row>
    <row r="134" spans="1:1" ht="12.75" customHeight="1">
      <c r="A134" s="8"/>
    </row>
    <row r="135" spans="1:1" ht="12.75" customHeight="1">
      <c r="A135" s="8"/>
    </row>
    <row r="136" spans="1:1" ht="12.75" customHeight="1">
      <c r="A136" s="8"/>
    </row>
  </sheetData>
  <mergeCells count="7">
    <mergeCell ref="B67:F70"/>
    <mergeCell ref="B1:W1"/>
    <mergeCell ref="W10:W11"/>
    <mergeCell ref="B12:B18"/>
    <mergeCell ref="B30:B31"/>
    <mergeCell ref="B32:B37"/>
    <mergeCell ref="B61:F64"/>
  </mergeCells>
  <phoneticPr fontId="78" type="noConversion"/>
  <conditionalFormatting sqref="B61">
    <cfRule type="containsBlanks" dxfId="30" priority="3">
      <formula>LEN(TRIM(B61))=0</formula>
    </cfRule>
  </conditionalFormatting>
  <conditionalFormatting sqref="B76:D80 E80">
    <cfRule type="containsBlanks" dxfId="29" priority="2">
      <formula>LEN(TRIM(B76))=0</formula>
    </cfRule>
  </conditionalFormatting>
  <conditionalFormatting sqref="B67:F70">
    <cfRule type="containsBlanks" dxfId="28" priority="4">
      <formula>LEN(TRIM(B67))=0</formula>
    </cfRule>
  </conditionalFormatting>
  <conditionalFormatting sqref="E12:E17 H12:H17 K12:K17 N12:N17 Q12:Q17 E19:E23 H19:H23 K19:K23 N19:N23 Q19:Q23 E25:E28 H25:H28 K25:K28 N25:N28 Q25:Q28 E39 H39 K39 N39 Q39 T39">
    <cfRule type="containsBlanks" dxfId="27" priority="9">
      <formula>LEN(TRIM(E12))=0</formula>
    </cfRule>
  </conditionalFormatting>
  <conditionalFormatting sqref="E41 H41 K41 N41 Q41">
    <cfRule type="containsBlanks" dxfId="26" priority="10">
      <formula>LEN(TRIM(E41))=0</formula>
    </cfRule>
  </conditionalFormatting>
  <conditionalFormatting sqref="E43 H43 K43 N43 Q43">
    <cfRule type="containsBlanks" dxfId="25" priority="11">
      <formula>LEN(TRIM(E43))=0</formula>
    </cfRule>
  </conditionalFormatting>
  <conditionalFormatting sqref="E45 H45 K45 N45 Q45">
    <cfRule type="containsBlanks" dxfId="24" priority="12">
      <formula>LEN(TRIM(E45))=0</formula>
    </cfRule>
  </conditionalFormatting>
  <conditionalFormatting sqref="F10 I10 L10 O10 R10">
    <cfRule type="containsBlanks" dxfId="23" priority="8">
      <formula>LEN(TRIM(F10))=0</formula>
    </cfRule>
  </conditionalFormatting>
  <conditionalFormatting sqref="F76:F80">
    <cfRule type="containsBlanks" dxfId="22" priority="1">
      <formula>LEN(TRIM(F76))=0</formula>
    </cfRule>
  </conditionalFormatting>
  <conditionalFormatting sqref="T41">
    <cfRule type="containsBlanks" dxfId="21" priority="7">
      <formula>LEN(TRIM(T41))=0</formula>
    </cfRule>
  </conditionalFormatting>
  <conditionalFormatting sqref="T43">
    <cfRule type="containsBlanks" dxfId="20" priority="6">
      <formula>LEN(TRIM(T43))=0</formula>
    </cfRule>
  </conditionalFormatting>
  <conditionalFormatting sqref="T45">
    <cfRule type="containsBlanks" dxfId="19" priority="5">
      <formula>LEN(TRIM(T45))=0</formula>
    </cfRule>
  </conditionalFormatting>
  <hyperlinks>
    <hyperlink ref="B4" location="汇总!A1" display="返回汇总页" xr:uid="{3A6C17BC-C7F2-4EF3-8C7D-9D32BBB7B2E5}"/>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C9B8-11FB-4984-B062-7928BCE1B319}">
  <dimension ref="A1:U45"/>
  <sheetViews>
    <sheetView showGridLines="0" zoomScale="70" zoomScaleNormal="70" workbookViewId="0">
      <selection activeCell="O26" sqref="O26"/>
    </sheetView>
  </sheetViews>
  <sheetFormatPr defaultColWidth="8.83203125" defaultRowHeight="12.5"/>
  <cols>
    <col min="1" max="1" width="2.58203125" style="51" customWidth="1"/>
    <col min="2" max="2" width="15.83203125" style="51" customWidth="1"/>
    <col min="3" max="3" width="25.83203125" style="51" customWidth="1"/>
    <col min="4" max="8" width="15.83203125" style="51" customWidth="1"/>
    <col min="9" max="9" width="20.83203125" style="51" customWidth="1"/>
    <col min="10" max="12" width="15.83203125" style="51" customWidth="1"/>
    <col min="13" max="13" width="20.83203125" style="51" customWidth="1"/>
    <col min="14" max="14" width="25.83203125" style="51" customWidth="1"/>
    <col min="15" max="15" width="20.83203125" style="51" customWidth="1"/>
    <col min="16" max="19" width="5.83203125" style="51" customWidth="1"/>
    <col min="20" max="20" width="2.58203125" style="51" customWidth="1"/>
    <col min="21" max="21" width="1.58203125" style="51" customWidth="1"/>
    <col min="22" max="16384" width="8.83203125" style="51"/>
  </cols>
  <sheetData>
    <row r="1" spans="1:21" ht="50.15" customHeight="1">
      <c r="A1" s="150"/>
      <c r="B1" s="238" t="s">
        <v>183</v>
      </c>
      <c r="C1" s="78"/>
      <c r="D1" s="151"/>
      <c r="E1" s="151"/>
      <c r="F1" s="151"/>
      <c r="G1" s="151"/>
      <c r="H1" s="151"/>
      <c r="I1" s="151"/>
      <c r="J1" s="151"/>
      <c r="K1" s="151"/>
      <c r="L1" s="151"/>
      <c r="M1" s="151"/>
      <c r="N1" s="78"/>
      <c r="O1" s="78"/>
      <c r="P1" s="79"/>
      <c r="Q1" s="79"/>
      <c r="R1" s="79"/>
      <c r="S1" s="180"/>
      <c r="U1" s="52"/>
    </row>
    <row r="2" spans="1:21" ht="30" customHeight="1">
      <c r="B2" s="246" t="s">
        <v>184</v>
      </c>
      <c r="C2" s="152"/>
      <c r="D2" s="152"/>
      <c r="E2" s="152"/>
      <c r="F2" s="152"/>
      <c r="G2" s="152"/>
      <c r="H2" s="152"/>
      <c r="I2" s="152"/>
      <c r="J2" s="152"/>
      <c r="K2" s="152"/>
      <c r="L2" s="152"/>
      <c r="M2" s="152"/>
      <c r="N2" s="152"/>
      <c r="O2" s="152"/>
      <c r="P2" s="152"/>
      <c r="Q2" s="152"/>
      <c r="R2" s="152"/>
      <c r="S2" s="181"/>
      <c r="U2" s="52"/>
    </row>
    <row r="3" spans="1:21" ht="13" customHeight="1">
      <c r="B3" s="109"/>
      <c r="C3" s="109"/>
      <c r="D3" s="109"/>
      <c r="E3" s="109"/>
      <c r="F3" s="109"/>
      <c r="G3" s="109"/>
      <c r="H3" s="109"/>
      <c r="I3" s="109"/>
      <c r="J3" s="109"/>
      <c r="K3" s="109"/>
      <c r="L3" s="109"/>
      <c r="M3" s="109"/>
      <c r="N3" s="109"/>
      <c r="O3" s="109"/>
      <c r="P3" s="109"/>
      <c r="Q3" s="109"/>
      <c r="U3" s="52"/>
    </row>
    <row r="4" spans="1:21" ht="13" customHeight="1">
      <c r="B4" s="396" t="s">
        <v>45</v>
      </c>
      <c r="C4" s="109"/>
      <c r="D4" s="109"/>
      <c r="E4" s="109"/>
      <c r="F4" s="109"/>
      <c r="G4" s="109"/>
      <c r="H4" s="109"/>
      <c r="I4" s="109"/>
      <c r="J4" s="109"/>
      <c r="K4" s="109"/>
      <c r="L4" s="109"/>
      <c r="M4" s="109"/>
      <c r="N4" s="109"/>
      <c r="O4" s="109"/>
      <c r="P4" s="109"/>
      <c r="Q4" s="109"/>
      <c r="U4" s="52"/>
    </row>
    <row r="5" spans="1:21" ht="13" customHeight="1">
      <c r="B5" s="109"/>
      <c r="C5" s="109"/>
      <c r="D5" s="109"/>
      <c r="E5" s="109"/>
      <c r="F5" s="109"/>
      <c r="G5" s="109"/>
      <c r="H5" s="109"/>
      <c r="I5" s="109"/>
      <c r="J5" s="109"/>
      <c r="K5" s="109"/>
      <c r="L5" s="109"/>
      <c r="M5" s="109"/>
      <c r="N5" s="109"/>
      <c r="O5" s="109"/>
      <c r="P5" s="109"/>
      <c r="Q5" s="109"/>
      <c r="U5" s="52"/>
    </row>
    <row r="6" spans="1:21" ht="15" customHeight="1">
      <c r="B6" s="102" t="s">
        <v>185</v>
      </c>
      <c r="C6" s="102"/>
      <c r="D6" s="102"/>
      <c r="E6" s="102"/>
      <c r="F6" s="102"/>
      <c r="G6" s="102"/>
      <c r="H6" s="102"/>
      <c r="I6" s="102"/>
      <c r="J6" s="102"/>
      <c r="K6" s="102"/>
      <c r="L6" s="102"/>
      <c r="M6" s="102"/>
      <c r="N6" s="102"/>
      <c r="O6" s="102"/>
      <c r="P6" s="102"/>
      <c r="Q6" s="80"/>
      <c r="R6" s="80"/>
      <c r="S6" s="80"/>
      <c r="U6" s="52"/>
    </row>
    <row r="7" spans="1:21" ht="15" customHeight="1">
      <c r="B7" s="553"/>
      <c r="C7" s="554"/>
      <c r="D7" s="554"/>
      <c r="E7" s="554"/>
      <c r="F7" s="555"/>
      <c r="G7" s="132"/>
      <c r="H7" s="132"/>
      <c r="I7" s="132"/>
      <c r="J7" s="132"/>
      <c r="K7" s="132"/>
      <c r="L7" s="132"/>
      <c r="M7" s="132"/>
      <c r="U7" s="52"/>
    </row>
    <row r="8" spans="1:21" ht="15" customHeight="1">
      <c r="B8" s="556"/>
      <c r="C8" s="557"/>
      <c r="D8" s="557"/>
      <c r="E8" s="557"/>
      <c r="F8" s="558"/>
      <c r="G8" s="132"/>
      <c r="H8" s="132"/>
      <c r="I8" s="132"/>
      <c r="J8" s="132"/>
      <c r="K8" s="132"/>
      <c r="L8" s="132"/>
      <c r="M8" s="132"/>
      <c r="U8" s="52"/>
    </row>
    <row r="9" spans="1:21" ht="15" customHeight="1">
      <c r="B9" s="556"/>
      <c r="C9" s="557"/>
      <c r="D9" s="557"/>
      <c r="E9" s="557"/>
      <c r="F9" s="558"/>
      <c r="G9" s="132"/>
      <c r="H9" s="132"/>
      <c r="I9" s="132"/>
      <c r="J9" s="132"/>
      <c r="K9" s="132"/>
      <c r="L9" s="132"/>
      <c r="M9" s="132"/>
      <c r="U9" s="52"/>
    </row>
    <row r="10" spans="1:21" ht="15" customHeight="1">
      <c r="B10" s="559"/>
      <c r="C10" s="560"/>
      <c r="D10" s="560"/>
      <c r="E10" s="560"/>
      <c r="F10" s="561"/>
      <c r="G10" s="132"/>
      <c r="H10" s="132"/>
      <c r="I10" s="132"/>
      <c r="J10" s="132"/>
      <c r="K10" s="132"/>
      <c r="L10" s="132"/>
      <c r="M10" s="132"/>
      <c r="U10" s="52"/>
    </row>
    <row r="11" spans="1:21" ht="15" customHeight="1">
      <c r="B11" s="81"/>
      <c r="C11" s="81"/>
      <c r="U11" s="52"/>
    </row>
    <row r="12" spans="1:21" ht="15" customHeight="1">
      <c r="B12" s="82" t="s">
        <v>186</v>
      </c>
      <c r="C12" s="82"/>
      <c r="E12" s="165"/>
      <c r="U12" s="52"/>
    </row>
    <row r="13" spans="1:21" ht="15" customHeight="1">
      <c r="B13" s="82" t="s">
        <v>187</v>
      </c>
      <c r="C13" s="82"/>
      <c r="E13" s="69">
        <f>'L1.01.1 Agree SL to GL'!T13</f>
        <v>0</v>
      </c>
      <c r="F13" s="83" t="s">
        <v>188</v>
      </c>
      <c r="U13" s="52"/>
    </row>
    <row r="14" spans="1:21" ht="15" customHeight="1">
      <c r="B14" s="84" t="s">
        <v>182</v>
      </c>
      <c r="C14" s="84"/>
      <c r="D14" s="85"/>
      <c r="E14" s="86">
        <f>E12-E13</f>
        <v>0</v>
      </c>
      <c r="F14" s="70" t="s">
        <v>70</v>
      </c>
      <c r="G14" s="87" t="s">
        <v>189</v>
      </c>
      <c r="J14" s="187" t="str">
        <f>IF(ABS(E14)&gt;'L1.00 Lead sheet'!$C$6, "Yes", "No")</f>
        <v>No</v>
      </c>
      <c r="U14" s="52"/>
    </row>
    <row r="15" spans="1:21" ht="15" customHeight="1">
      <c r="B15" s="82"/>
      <c r="C15" s="82"/>
      <c r="E15" s="69"/>
      <c r="U15" s="52"/>
    </row>
    <row r="16" spans="1:21" ht="15" customHeight="1">
      <c r="B16" s="68" t="s">
        <v>190</v>
      </c>
      <c r="C16" s="68"/>
      <c r="D16" s="88"/>
      <c r="E16" s="165"/>
      <c r="G16" s="88"/>
      <c r="H16" s="88"/>
      <c r="K16" s="88"/>
      <c r="U16" s="52"/>
    </row>
    <row r="17" spans="2:21" ht="15" customHeight="1">
      <c r="B17" s="84" t="s">
        <v>191</v>
      </c>
      <c r="C17" s="84"/>
      <c r="D17" s="89"/>
      <c r="E17" s="90">
        <f>E12-E16</f>
        <v>0</v>
      </c>
      <c r="G17" s="91"/>
      <c r="H17" s="92"/>
      <c r="K17" s="71"/>
      <c r="U17" s="52"/>
    </row>
    <row r="18" spans="2:21" ht="15" customHeight="1">
      <c r="B18" s="88"/>
      <c r="C18" s="88"/>
      <c r="D18" s="88"/>
      <c r="E18" s="88"/>
      <c r="F18" s="88"/>
      <c r="G18" s="88"/>
      <c r="H18" s="88"/>
      <c r="I18" s="88"/>
      <c r="J18" s="88"/>
      <c r="K18" s="88"/>
      <c r="U18" s="52"/>
    </row>
    <row r="19" spans="2:21" ht="15" customHeight="1">
      <c r="B19" s="229" t="s">
        <v>192</v>
      </c>
      <c r="C19" s="93"/>
      <c r="D19" s="88"/>
      <c r="E19" s="88"/>
      <c r="F19" s="88"/>
      <c r="G19" s="88"/>
      <c r="H19" s="88"/>
      <c r="I19" s="88"/>
      <c r="J19" s="88"/>
      <c r="K19" s="88"/>
      <c r="U19" s="52"/>
    </row>
    <row r="20" spans="2:21" ht="15" customHeight="1">
      <c r="B20" s="553"/>
      <c r="C20" s="554"/>
      <c r="D20" s="554"/>
      <c r="E20" s="554"/>
      <c r="F20" s="555"/>
      <c r="G20" s="132"/>
      <c r="H20" s="132"/>
      <c r="I20" s="132"/>
      <c r="J20" s="132"/>
      <c r="K20" s="132"/>
      <c r="L20" s="132"/>
      <c r="M20" s="132"/>
      <c r="U20" s="52"/>
    </row>
    <row r="21" spans="2:21" ht="15" customHeight="1">
      <c r="B21" s="556"/>
      <c r="C21" s="557"/>
      <c r="D21" s="557"/>
      <c r="E21" s="557"/>
      <c r="F21" s="558"/>
      <c r="G21" s="132"/>
      <c r="H21" s="132"/>
      <c r="I21" s="132"/>
      <c r="J21" s="132"/>
      <c r="K21" s="132"/>
      <c r="L21" s="132"/>
      <c r="M21" s="132"/>
      <c r="U21" s="52"/>
    </row>
    <row r="22" spans="2:21" ht="15" customHeight="1">
      <c r="B22" s="556"/>
      <c r="C22" s="557"/>
      <c r="D22" s="557"/>
      <c r="E22" s="557"/>
      <c r="F22" s="558"/>
      <c r="G22" s="132"/>
      <c r="H22" s="132"/>
      <c r="I22" s="132"/>
      <c r="J22" s="132"/>
      <c r="K22" s="132"/>
      <c r="L22" s="132"/>
      <c r="M22" s="132"/>
      <c r="U22" s="52"/>
    </row>
    <row r="23" spans="2:21" ht="15" customHeight="1">
      <c r="B23" s="559"/>
      <c r="C23" s="560"/>
      <c r="D23" s="560"/>
      <c r="E23" s="560"/>
      <c r="F23" s="561"/>
      <c r="G23" s="132"/>
      <c r="H23" s="132"/>
      <c r="I23" s="132"/>
      <c r="J23" s="132"/>
      <c r="K23" s="132"/>
      <c r="L23" s="132"/>
      <c r="M23" s="132"/>
      <c r="U23" s="52"/>
    </row>
    <row r="24" spans="2:21" ht="15" customHeight="1">
      <c r="B24" s="94"/>
      <c r="C24" s="94"/>
      <c r="D24" s="95"/>
      <c r="E24" s="95"/>
      <c r="G24" s="132"/>
      <c r="H24" s="132"/>
      <c r="I24" s="132"/>
      <c r="J24" s="132"/>
      <c r="K24" s="132"/>
      <c r="L24" s="132"/>
      <c r="M24" s="132"/>
      <c r="U24" s="52"/>
    </row>
    <row r="25" spans="2:21" ht="15" customHeight="1">
      <c r="B25" s="172" t="s">
        <v>193</v>
      </c>
      <c r="C25" s="173"/>
      <c r="D25" s="173"/>
      <c r="E25" s="173"/>
      <c r="F25" s="188"/>
      <c r="G25" s="132"/>
      <c r="H25" s="132"/>
      <c r="I25" s="132"/>
      <c r="J25" s="132"/>
      <c r="K25" s="132"/>
      <c r="L25" s="132"/>
      <c r="M25" s="132"/>
      <c r="U25" s="52"/>
    </row>
    <row r="26" spans="2:21" ht="15" customHeight="1">
      <c r="B26" s="96" t="s">
        <v>194</v>
      </c>
      <c r="C26" s="97"/>
      <c r="D26" s="97"/>
      <c r="E26" s="97"/>
      <c r="F26" s="119"/>
      <c r="G26" s="132"/>
      <c r="H26" s="132"/>
      <c r="I26" s="132"/>
      <c r="J26" s="132"/>
      <c r="K26" s="132"/>
      <c r="L26" s="132"/>
      <c r="M26" s="132"/>
      <c r="U26" s="52"/>
    </row>
    <row r="27" spans="2:21" ht="15" customHeight="1">
      <c r="B27" s="241" t="s">
        <v>195</v>
      </c>
      <c r="C27" s="93"/>
      <c r="D27" s="93"/>
      <c r="E27" s="93"/>
      <c r="F27" s="98"/>
      <c r="G27" s="132"/>
      <c r="H27" s="132"/>
      <c r="I27" s="132"/>
      <c r="J27" s="132"/>
      <c r="K27" s="132"/>
      <c r="L27" s="132"/>
      <c r="M27" s="132"/>
      <c r="N27" s="93"/>
      <c r="O27" s="93"/>
      <c r="P27" s="93"/>
      <c r="Q27" s="93"/>
      <c r="R27" s="93"/>
      <c r="U27" s="52"/>
    </row>
    <row r="28" spans="2:21" ht="15" customHeight="1">
      <c r="B28" s="241" t="s">
        <v>196</v>
      </c>
      <c r="C28" s="93"/>
      <c r="D28" s="93"/>
      <c r="E28" s="93"/>
      <c r="F28" s="98"/>
      <c r="G28" s="132"/>
      <c r="H28" s="132"/>
      <c r="I28" s="132"/>
      <c r="J28" s="132"/>
      <c r="K28" s="132"/>
      <c r="L28" s="132"/>
      <c r="M28" s="132"/>
      <c r="N28" s="93"/>
      <c r="O28" s="93"/>
      <c r="P28" s="93"/>
      <c r="Q28" s="93"/>
      <c r="R28" s="93"/>
      <c r="U28" s="52"/>
    </row>
    <row r="29" spans="2:21" ht="15" customHeight="1">
      <c r="B29" s="241" t="s">
        <v>197</v>
      </c>
      <c r="C29" s="68"/>
      <c r="D29" s="68"/>
      <c r="E29" s="68"/>
      <c r="F29" s="99"/>
      <c r="G29" s="132"/>
      <c r="H29" s="132"/>
      <c r="I29" s="132"/>
      <c r="J29" s="132"/>
      <c r="K29" s="132"/>
      <c r="L29" s="132"/>
      <c r="M29" s="132"/>
      <c r="N29" s="93"/>
      <c r="O29" s="93"/>
      <c r="P29" s="93"/>
      <c r="Q29" s="93"/>
      <c r="R29" s="93"/>
      <c r="U29" s="52"/>
    </row>
    <row r="30" spans="2:21" ht="15" customHeight="1">
      <c r="B30" s="243" t="s">
        <v>198</v>
      </c>
      <c r="C30" s="100"/>
      <c r="D30" s="100"/>
      <c r="E30" s="100"/>
      <c r="F30" s="101"/>
      <c r="G30" s="132"/>
      <c r="H30" s="132"/>
      <c r="I30" s="132"/>
      <c r="J30" s="132"/>
      <c r="K30" s="132"/>
      <c r="L30" s="132"/>
      <c r="M30" s="132"/>
      <c r="N30" s="93"/>
      <c r="O30" s="93"/>
      <c r="P30" s="93"/>
      <c r="Q30" s="93"/>
      <c r="R30" s="93"/>
      <c r="U30" s="52"/>
    </row>
    <row r="31" spans="2:21" ht="23.15" customHeight="1">
      <c r="O31" s="66" t="s">
        <v>199</v>
      </c>
      <c r="P31" s="432" t="s">
        <v>200</v>
      </c>
      <c r="Q31" s="158"/>
      <c r="R31" s="158"/>
      <c r="S31" s="159"/>
      <c r="U31" s="52"/>
    </row>
    <row r="32" spans="2:21" ht="60" customHeight="1">
      <c r="B32" s="189" t="s">
        <v>201</v>
      </c>
      <c r="C32" s="189" t="s">
        <v>202</v>
      </c>
      <c r="D32" s="189" t="s">
        <v>203</v>
      </c>
      <c r="E32" s="190" t="s">
        <v>204</v>
      </c>
      <c r="F32" s="189" t="s">
        <v>205</v>
      </c>
      <c r="G32" s="189" t="s">
        <v>206</v>
      </c>
      <c r="H32" s="189" t="s">
        <v>207</v>
      </c>
      <c r="I32" s="191" t="s">
        <v>208</v>
      </c>
      <c r="J32" s="190" t="s">
        <v>209</v>
      </c>
      <c r="K32" s="190" t="s">
        <v>210</v>
      </c>
      <c r="L32" s="189" t="s">
        <v>211</v>
      </c>
      <c r="M32" s="191" t="s">
        <v>212</v>
      </c>
      <c r="N32" s="191" t="s">
        <v>213</v>
      </c>
      <c r="O32" s="191" t="s">
        <v>214</v>
      </c>
      <c r="P32" s="192">
        <v>1</v>
      </c>
      <c r="Q32" s="193">
        <v>2</v>
      </c>
      <c r="R32" s="193">
        <v>3</v>
      </c>
      <c r="S32" s="193">
        <v>4</v>
      </c>
      <c r="U32" s="52"/>
    </row>
    <row r="33" spans="1:21" ht="15" customHeight="1">
      <c r="A33" s="59"/>
      <c r="B33" s="194">
        <v>1</v>
      </c>
      <c r="C33" s="422"/>
      <c r="D33" s="423"/>
      <c r="E33" s="423"/>
      <c r="F33" s="424"/>
      <c r="G33" s="425"/>
      <c r="H33" s="480"/>
      <c r="I33" s="428"/>
      <c r="J33" s="427"/>
      <c r="K33" s="430"/>
      <c r="L33" s="421"/>
      <c r="M33" s="481"/>
      <c r="N33" s="421"/>
      <c r="O33" s="315">
        <f>M33-H33</f>
        <v>0</v>
      </c>
      <c r="P33" s="436"/>
      <c r="Q33" s="436"/>
      <c r="R33" s="436"/>
      <c r="S33" s="436"/>
      <c r="U33" s="52"/>
    </row>
    <row r="34" spans="1:21" ht="15" customHeight="1">
      <c r="A34" s="59"/>
      <c r="B34" s="194">
        <v>2</v>
      </c>
      <c r="C34" s="422"/>
      <c r="D34" s="423"/>
      <c r="E34" s="423"/>
      <c r="F34" s="423"/>
      <c r="G34" s="425"/>
      <c r="H34" s="480"/>
      <c r="I34" s="429"/>
      <c r="J34" s="426"/>
      <c r="K34" s="430"/>
      <c r="L34" s="421"/>
      <c r="M34" s="481"/>
      <c r="N34" s="421"/>
      <c r="O34" s="315">
        <f>M34-H34</f>
        <v>0</v>
      </c>
      <c r="P34" s="436"/>
      <c r="Q34" s="436"/>
      <c r="R34" s="436"/>
      <c r="S34" s="436"/>
      <c r="U34" s="52"/>
    </row>
    <row r="35" spans="1:21" ht="15" customHeight="1">
      <c r="A35" s="59"/>
      <c r="B35" s="194">
        <v>3</v>
      </c>
      <c r="C35" s="422"/>
      <c r="D35" s="423"/>
      <c r="E35" s="423"/>
      <c r="F35" s="423"/>
      <c r="G35" s="425"/>
      <c r="H35" s="480"/>
      <c r="I35" s="429"/>
      <c r="J35" s="426"/>
      <c r="K35" s="430"/>
      <c r="L35" s="421"/>
      <c r="M35" s="481"/>
      <c r="N35" s="421"/>
      <c r="O35" s="315">
        <f t="shared" ref="O35:O37" si="0">M35-H35</f>
        <v>0</v>
      </c>
      <c r="P35" s="436"/>
      <c r="Q35" s="436"/>
      <c r="R35" s="436"/>
      <c r="S35" s="436"/>
      <c r="U35" s="52"/>
    </row>
    <row r="36" spans="1:21" ht="15" customHeight="1">
      <c r="A36" s="59"/>
      <c r="B36" s="194">
        <v>4</v>
      </c>
      <c r="C36" s="422"/>
      <c r="D36" s="423"/>
      <c r="E36" s="423"/>
      <c r="F36" s="423"/>
      <c r="G36" s="425"/>
      <c r="H36" s="480"/>
      <c r="I36" s="429"/>
      <c r="J36" s="427"/>
      <c r="K36" s="430"/>
      <c r="L36" s="421"/>
      <c r="M36" s="481"/>
      <c r="N36" s="421"/>
      <c r="O36" s="315">
        <f t="shared" si="0"/>
        <v>0</v>
      </c>
      <c r="P36" s="436"/>
      <c r="Q36" s="436"/>
      <c r="R36" s="436"/>
      <c r="S36" s="436"/>
      <c r="U36" s="52"/>
    </row>
    <row r="37" spans="1:21" ht="15" customHeight="1">
      <c r="A37" s="59"/>
      <c r="B37" s="194">
        <v>5</v>
      </c>
      <c r="C37" s="422"/>
      <c r="D37" s="426"/>
      <c r="E37" s="426"/>
      <c r="F37" s="426"/>
      <c r="G37" s="425"/>
      <c r="H37" s="480"/>
      <c r="I37" s="429"/>
      <c r="J37" s="427"/>
      <c r="K37" s="430"/>
      <c r="L37" s="421"/>
      <c r="M37" s="481"/>
      <c r="N37" s="421"/>
      <c r="O37" s="315">
        <f t="shared" si="0"/>
        <v>0</v>
      </c>
      <c r="P37" s="436"/>
      <c r="Q37" s="436"/>
      <c r="R37" s="436"/>
      <c r="S37" s="436"/>
      <c r="U37" s="52"/>
    </row>
    <row r="38" spans="1:21" ht="15" customHeight="1">
      <c r="B38" s="68"/>
      <c r="C38" s="68"/>
      <c r="D38" s="68"/>
      <c r="E38" s="68"/>
      <c r="F38" s="68"/>
      <c r="G38" s="68"/>
      <c r="H38" s="68"/>
      <c r="I38" s="68"/>
      <c r="J38" s="68"/>
      <c r="K38" s="68"/>
      <c r="L38" s="68"/>
      <c r="M38" s="68"/>
      <c r="N38" s="68"/>
      <c r="O38" s="68"/>
      <c r="P38" s="68"/>
      <c r="Q38" s="68"/>
      <c r="R38" s="68"/>
      <c r="U38" s="52"/>
    </row>
    <row r="39" spans="1:21" ht="15.65" customHeight="1">
      <c r="B39" s="431" t="s">
        <v>215</v>
      </c>
      <c r="U39" s="52"/>
    </row>
    <row r="40" spans="1:21" ht="15" customHeight="1">
      <c r="B40" s="553"/>
      <c r="C40" s="554"/>
      <c r="D40" s="554"/>
      <c r="E40" s="554"/>
      <c r="F40" s="555"/>
      <c r="U40" s="52"/>
    </row>
    <row r="41" spans="1:21" ht="15" customHeight="1">
      <c r="B41" s="556"/>
      <c r="C41" s="557"/>
      <c r="D41" s="557"/>
      <c r="E41" s="557"/>
      <c r="F41" s="558"/>
      <c r="U41" s="52"/>
    </row>
    <row r="42" spans="1:21" ht="15" customHeight="1">
      <c r="B42" s="556"/>
      <c r="C42" s="557"/>
      <c r="D42" s="557"/>
      <c r="E42" s="557"/>
      <c r="F42" s="558"/>
      <c r="U42" s="52"/>
    </row>
    <row r="43" spans="1:21" ht="15" customHeight="1">
      <c r="B43" s="559"/>
      <c r="C43" s="560"/>
      <c r="D43" s="560"/>
      <c r="E43" s="560"/>
      <c r="F43" s="561"/>
      <c r="U43" s="52"/>
    </row>
    <row r="44" spans="1:21" ht="15" customHeight="1">
      <c r="U44" s="52"/>
    </row>
    <row r="45" spans="1:21" ht="7.5" customHeight="1">
      <c r="A45" s="52"/>
      <c r="B45" s="52"/>
      <c r="C45" s="52"/>
      <c r="D45" s="52"/>
      <c r="E45" s="52"/>
      <c r="F45" s="52"/>
      <c r="G45" s="52"/>
      <c r="H45" s="52"/>
      <c r="I45" s="52"/>
      <c r="J45" s="52"/>
      <c r="K45" s="52"/>
      <c r="L45" s="52"/>
      <c r="M45" s="52"/>
      <c r="N45" s="52"/>
      <c r="O45" s="52"/>
      <c r="P45" s="52"/>
      <c r="Q45" s="52"/>
      <c r="R45" s="52"/>
      <c r="S45" s="52"/>
      <c r="T45" s="52"/>
      <c r="U45" s="52"/>
    </row>
  </sheetData>
  <sheetProtection formatCells="0" formatColumns="0" formatRows="0" insertColumns="0" insertRows="0" insertHyperlinks="0" deleteColumns="0" deleteRows="0" sort="0" autoFilter="0" pivotTables="0"/>
  <mergeCells count="3">
    <mergeCell ref="B7:F10"/>
    <mergeCell ref="B20:F23"/>
    <mergeCell ref="B40:F43"/>
  </mergeCells>
  <phoneticPr fontId="78" type="noConversion"/>
  <conditionalFormatting sqref="B7:F10">
    <cfRule type="containsBlanks" dxfId="18" priority="8">
      <formula>LEN(TRIM(B7))=0</formula>
    </cfRule>
  </conditionalFormatting>
  <conditionalFormatting sqref="B20:F23">
    <cfRule type="containsBlanks" dxfId="17" priority="7">
      <formula>LEN(TRIM(B20))=0</formula>
    </cfRule>
  </conditionalFormatting>
  <conditionalFormatting sqref="B40:F43">
    <cfRule type="containsBlanks" dxfId="16" priority="6">
      <formula>LEN(TRIM(B40))=0</formula>
    </cfRule>
  </conditionalFormatting>
  <conditionalFormatting sqref="B33:S37">
    <cfRule type="containsBlanks" dxfId="15" priority="2">
      <formula>LEN(TRIM(B33))=0</formula>
    </cfRule>
  </conditionalFormatting>
  <conditionalFormatting sqref="E12:E13 E16">
    <cfRule type="containsBlanks" dxfId="14" priority="1">
      <formula>LEN(TRIM(E12))=0</formula>
    </cfRule>
  </conditionalFormatting>
  <dataValidations count="2">
    <dataValidation type="list" allowBlank="1" showInputMessage="1" sqref="P33:S37" xr:uid="{4A516B62-68DB-44AD-B15E-24490F00A205}">
      <formula1>"Y,N"</formula1>
    </dataValidation>
    <dataValidation type="list" allowBlank="1" showInputMessage="1" sqref="C33:C37" xr:uid="{3B05B46C-74D7-4FA1-9F87-1E332E5C54E0}">
      <formula1>"关键项,代表性样本"</formula1>
    </dataValidation>
  </dataValidations>
  <hyperlinks>
    <hyperlink ref="B4" location="汇总!A1" display="返回汇总页" xr:uid="{11840967-8AEE-4E1E-8B5A-82B4D5CCA7F6}"/>
  </hyperlinks>
  <pageMargins left="0.70866141732283505" right="0.70866141732283505" top="0.74803149606299202" bottom="0.74803149606299202" header="0.31496062992126" footer="0.31496062992126"/>
  <pageSetup paperSize="9" scale="57" orientation="landscape" horizontalDpi="300" verticalDpi="300" r:id="rId1"/>
  <headerFooter>
    <oddFooter>&amp;LK SWP PPE
(24 June 2025)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CA03-A65F-4DAB-B314-6596450DD41F}">
  <dimension ref="A1:N6"/>
  <sheetViews>
    <sheetView zoomScale="70" zoomScaleNormal="70" workbookViewId="0">
      <selection activeCell="O26" sqref="O26"/>
    </sheetView>
  </sheetViews>
  <sheetFormatPr defaultColWidth="8.58203125" defaultRowHeight="18"/>
  <cols>
    <col min="1" max="1" width="2.75" style="234" customWidth="1"/>
    <col min="2" max="10" width="8.58203125" style="233"/>
    <col min="11" max="11" width="2.58203125" style="233" customWidth="1"/>
    <col min="12" max="12" width="1.58203125" style="233" customWidth="1"/>
    <col min="13" max="16384" width="8.58203125" style="233"/>
  </cols>
  <sheetData>
    <row r="1" spans="1:14" ht="17.5">
      <c r="A1" s="232"/>
      <c r="L1" s="352"/>
    </row>
    <row r="2" spans="1:14" ht="20">
      <c r="B2" s="235" t="s">
        <v>216</v>
      </c>
      <c r="C2" s="235"/>
      <c r="D2" s="235"/>
      <c r="E2" s="235"/>
      <c r="F2" s="235"/>
      <c r="G2" s="235"/>
      <c r="H2" s="235"/>
      <c r="I2" s="235"/>
      <c r="J2" s="440"/>
      <c r="L2" s="352"/>
      <c r="N2" s="396" t="s">
        <v>45</v>
      </c>
    </row>
    <row r="3" spans="1:14" ht="15" customHeight="1">
      <c r="L3" s="352"/>
    </row>
    <row r="4" spans="1:14" ht="7.5" customHeight="1">
      <c r="A4" s="352"/>
      <c r="B4" s="352"/>
      <c r="C4" s="352"/>
      <c r="D4" s="352"/>
      <c r="E4" s="352"/>
      <c r="F4" s="352"/>
      <c r="G4" s="352"/>
      <c r="H4" s="352"/>
      <c r="I4" s="352"/>
      <c r="J4" s="352"/>
      <c r="K4" s="352"/>
      <c r="L4" s="352"/>
    </row>
    <row r="6" spans="1:14">
      <c r="C6" s="236"/>
    </row>
  </sheetData>
  <phoneticPr fontId="78" type="noConversion"/>
  <hyperlinks>
    <hyperlink ref="N2" location="汇总!A1" display="返回汇总页" xr:uid="{AFB325D2-78A1-4E6B-8E06-951C16B9E03B}"/>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0D042-34DF-44BD-9823-A6AFB01AB0B0}">
  <dimension ref="A1:AA7"/>
  <sheetViews>
    <sheetView showGridLines="0" zoomScale="70" zoomScaleNormal="70" workbookViewId="0">
      <selection activeCell="D20" sqref="D20"/>
    </sheetView>
  </sheetViews>
  <sheetFormatPr defaultColWidth="8.08203125" defaultRowHeight="13"/>
  <cols>
    <col min="1" max="1" width="2.58203125" style="49" customWidth="1"/>
    <col min="2" max="2" width="15.33203125" style="50" bestFit="1" customWidth="1"/>
    <col min="3" max="5" width="16" style="50" customWidth="1"/>
    <col min="6" max="8" width="18.58203125" style="50" customWidth="1"/>
    <col min="9" max="11" width="14.75" style="50" customWidth="1"/>
    <col min="12" max="12" width="2.58203125" style="50" customWidth="1"/>
    <col min="13" max="13" width="1.58203125" style="50" customWidth="1"/>
    <col min="14" max="14" width="8.08203125" style="50"/>
    <col min="15" max="15" width="10" style="50" customWidth="1"/>
    <col min="16" max="16384" width="8.08203125" style="50"/>
  </cols>
  <sheetData>
    <row r="1" spans="1:27" s="10" customFormat="1" ht="12.75" customHeight="1">
      <c r="A1" s="237"/>
      <c r="B1" s="15"/>
      <c r="C1" s="15"/>
      <c r="D1" s="16"/>
      <c r="E1" s="153"/>
      <c r="F1" s="17"/>
      <c r="G1" s="17"/>
      <c r="H1" s="17"/>
      <c r="I1" s="154"/>
      <c r="J1" s="154"/>
      <c r="K1" s="154"/>
      <c r="L1" s="154"/>
      <c r="M1" s="52"/>
      <c r="N1" s="154"/>
      <c r="O1" s="154"/>
      <c r="P1" s="154"/>
      <c r="Q1" s="154"/>
      <c r="R1" s="154"/>
      <c r="S1" s="154"/>
      <c r="T1" s="154"/>
      <c r="U1" s="154"/>
      <c r="V1" s="154"/>
      <c r="W1" s="154"/>
      <c r="X1" s="154"/>
      <c r="Y1" s="154"/>
      <c r="Z1" s="154"/>
      <c r="AA1" s="154"/>
    </row>
    <row r="2" spans="1:27" s="46" customFormat="1" ht="13" customHeight="1">
      <c r="A2" s="45"/>
      <c r="G2" s="48"/>
      <c r="M2" s="52"/>
      <c r="O2" s="396" t="s">
        <v>45</v>
      </c>
    </row>
    <row r="3" spans="1:27" s="46" customFormat="1" ht="42" customHeight="1">
      <c r="A3" s="45"/>
      <c r="B3" s="580" t="s">
        <v>217</v>
      </c>
      <c r="C3" s="580"/>
      <c r="D3" s="580"/>
      <c r="E3" s="580"/>
      <c r="F3" s="580"/>
      <c r="G3" s="580"/>
      <c r="H3" s="580"/>
      <c r="I3" s="580"/>
      <c r="J3" s="580"/>
      <c r="K3" s="580"/>
      <c r="M3" s="52"/>
    </row>
    <row r="4" spans="1:27" s="46" customFormat="1">
      <c r="A4" s="45"/>
      <c r="G4" s="48"/>
      <c r="M4" s="52"/>
    </row>
    <row r="5" spans="1:27" s="31" customFormat="1" ht="42.75" customHeight="1">
      <c r="A5" s="29"/>
      <c r="B5" s="579" t="s">
        <v>218</v>
      </c>
      <c r="C5" s="579"/>
      <c r="D5" s="579"/>
      <c r="E5" s="579"/>
      <c r="F5" s="579"/>
      <c r="G5" s="579"/>
      <c r="H5" s="579"/>
      <c r="I5" s="579"/>
      <c r="J5" s="579"/>
      <c r="K5" s="579"/>
      <c r="M5" s="52"/>
    </row>
    <row r="6" spans="1:27" ht="15" customHeight="1">
      <c r="A6" s="50"/>
      <c r="B6" s="230"/>
      <c r="C6" s="230"/>
      <c r="D6" s="230"/>
      <c r="M6" s="52"/>
    </row>
    <row r="7" spans="1:27" ht="7.5" customHeight="1">
      <c r="A7" s="52"/>
      <c r="B7" s="52"/>
      <c r="C7" s="52"/>
      <c r="D7" s="52"/>
      <c r="E7" s="52"/>
      <c r="F7" s="52"/>
      <c r="G7" s="52"/>
      <c r="H7" s="52"/>
      <c r="I7" s="52"/>
      <c r="J7" s="52"/>
      <c r="K7" s="52"/>
      <c r="L7" s="52"/>
      <c r="M7" s="52"/>
    </row>
  </sheetData>
  <mergeCells count="2">
    <mergeCell ref="B5:K5"/>
    <mergeCell ref="B3:K3"/>
  </mergeCells>
  <phoneticPr fontId="78" type="noConversion"/>
  <hyperlinks>
    <hyperlink ref="O2" location="汇总!A1" display="返回汇总页" xr:uid="{9CD66905-9A4B-44EF-8A83-04CD0F2CE579}"/>
  </hyperlink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74D4-08F5-4CD3-94CE-1C93622B0609}">
  <dimension ref="A1:W48"/>
  <sheetViews>
    <sheetView showGridLines="0" zoomScale="70" zoomScaleNormal="70" workbookViewId="0">
      <selection activeCell="H28" sqref="H28"/>
    </sheetView>
  </sheetViews>
  <sheetFormatPr defaultColWidth="8.83203125" defaultRowHeight="15" customHeight="1"/>
  <cols>
    <col min="1" max="1" width="2.58203125" style="51" customWidth="1"/>
    <col min="2" max="2" width="15.83203125" style="51" customWidth="1"/>
    <col min="3" max="3" width="23" style="51" customWidth="1"/>
    <col min="4" max="4" width="22.58203125" style="51" customWidth="1"/>
    <col min="5" max="5" width="22.08203125" style="51" customWidth="1"/>
    <col min="6" max="6" width="26.83203125" style="51" customWidth="1"/>
    <col min="7" max="16" width="15.83203125" style="51" customWidth="1"/>
    <col min="17" max="17" width="17.83203125" style="51" customWidth="1"/>
    <col min="18" max="18" width="25.83203125" style="51" customWidth="1"/>
    <col min="19" max="21" width="5.83203125" style="51" customWidth="1"/>
    <col min="22" max="22" width="2.58203125" style="51" customWidth="1"/>
    <col min="23" max="23" width="1.58203125" style="51" customWidth="1"/>
    <col min="24" max="16384" width="8.83203125" style="51"/>
  </cols>
  <sheetData>
    <row r="1" spans="1:23" ht="50.15" customHeight="1">
      <c r="A1" s="150"/>
      <c r="B1" s="239" t="s">
        <v>36</v>
      </c>
      <c r="C1" s="103"/>
      <c r="D1" s="104"/>
      <c r="E1" s="104"/>
      <c r="F1" s="104"/>
      <c r="G1" s="104"/>
      <c r="H1" s="104"/>
      <c r="I1" s="104"/>
      <c r="J1" s="104"/>
      <c r="K1" s="104"/>
      <c r="L1" s="104"/>
      <c r="M1" s="103"/>
      <c r="N1" s="103"/>
      <c r="O1" s="105"/>
      <c r="P1" s="105"/>
      <c r="Q1" s="105"/>
      <c r="R1" s="105"/>
      <c r="S1" s="105"/>
      <c r="T1" s="105"/>
      <c r="U1" s="106"/>
      <c r="W1" s="52"/>
    </row>
    <row r="2" spans="1:23" ht="30" customHeight="1">
      <c r="B2" s="240" t="s">
        <v>219</v>
      </c>
      <c r="C2" s="107"/>
      <c r="D2" s="107"/>
      <c r="E2" s="107"/>
      <c r="F2" s="107"/>
      <c r="G2" s="107"/>
      <c r="H2" s="107"/>
      <c r="I2" s="107"/>
      <c r="J2" s="107"/>
      <c r="K2" s="107"/>
      <c r="L2" s="107"/>
      <c r="M2" s="107"/>
      <c r="N2" s="107"/>
      <c r="O2" s="107"/>
      <c r="P2" s="107"/>
      <c r="Q2" s="107"/>
      <c r="R2" s="107"/>
      <c r="S2" s="107"/>
      <c r="T2" s="107"/>
      <c r="U2" s="195"/>
      <c r="V2" s="108"/>
      <c r="W2" s="52"/>
    </row>
    <row r="3" spans="1:23" ht="13" customHeight="1">
      <c r="A3" s="83"/>
      <c r="B3" s="109"/>
      <c r="V3" s="110"/>
      <c r="W3" s="52"/>
    </row>
    <row r="4" spans="1:23" ht="13" customHeight="1">
      <c r="A4" s="83"/>
      <c r="B4" s="396" t="s">
        <v>45</v>
      </c>
      <c r="V4" s="110"/>
      <c r="W4" s="52"/>
    </row>
    <row r="5" spans="1:23" ht="13" customHeight="1">
      <c r="A5" s="83"/>
      <c r="B5" s="109"/>
      <c r="V5" s="110"/>
      <c r="W5" s="52"/>
    </row>
    <row r="6" spans="1:23" ht="15" customHeight="1">
      <c r="A6" s="83"/>
      <c r="B6" s="102" t="s">
        <v>220</v>
      </c>
      <c r="C6" s="102"/>
      <c r="D6" s="102"/>
      <c r="E6" s="102"/>
      <c r="F6" s="102"/>
      <c r="G6" s="102"/>
      <c r="H6" s="102"/>
      <c r="I6" s="102"/>
      <c r="J6" s="102"/>
      <c r="K6" s="102"/>
      <c r="N6" s="111"/>
      <c r="W6" s="52"/>
    </row>
    <row r="7" spans="1:23" ht="15" customHeight="1">
      <c r="A7" s="83"/>
      <c r="B7" s="581"/>
      <c r="C7" s="582"/>
      <c r="D7" s="582"/>
      <c r="E7" s="582"/>
      <c r="F7" s="583"/>
      <c r="G7" s="148"/>
      <c r="H7" s="148"/>
      <c r="I7" s="148"/>
      <c r="J7" s="148"/>
      <c r="K7" s="148"/>
      <c r="Q7" s="112"/>
      <c r="R7" s="112"/>
      <c r="S7" s="112"/>
      <c r="T7" s="112"/>
      <c r="U7" s="112"/>
      <c r="V7" s="112"/>
      <c r="W7" s="52"/>
    </row>
    <row r="8" spans="1:23" ht="15" customHeight="1">
      <c r="A8" s="83"/>
      <c r="B8" s="584"/>
      <c r="C8" s="585"/>
      <c r="D8" s="585"/>
      <c r="E8" s="585"/>
      <c r="F8" s="586"/>
      <c r="G8" s="148"/>
      <c r="H8" s="148"/>
      <c r="I8" s="148"/>
      <c r="J8" s="148"/>
      <c r="K8" s="148"/>
      <c r="Q8" s="112"/>
      <c r="R8" s="112"/>
      <c r="S8" s="112"/>
      <c r="T8" s="112"/>
      <c r="U8" s="112"/>
      <c r="V8" s="112"/>
      <c r="W8" s="52"/>
    </row>
    <row r="9" spans="1:23" ht="15" customHeight="1">
      <c r="A9" s="83"/>
      <c r="B9" s="584"/>
      <c r="C9" s="585"/>
      <c r="D9" s="585"/>
      <c r="E9" s="585"/>
      <c r="F9" s="586"/>
      <c r="G9" s="148"/>
      <c r="H9" s="148"/>
      <c r="I9" s="148"/>
      <c r="J9" s="148"/>
      <c r="K9" s="148"/>
      <c r="Q9" s="112"/>
      <c r="R9" s="112"/>
      <c r="S9" s="112"/>
      <c r="T9" s="112"/>
      <c r="U9" s="112"/>
      <c r="V9" s="112"/>
      <c r="W9" s="52"/>
    </row>
    <row r="10" spans="1:23" ht="15" customHeight="1">
      <c r="A10" s="83"/>
      <c r="B10" s="587"/>
      <c r="C10" s="588"/>
      <c r="D10" s="588"/>
      <c r="E10" s="588"/>
      <c r="F10" s="589"/>
      <c r="G10" s="148"/>
      <c r="H10" s="148"/>
      <c r="I10" s="148"/>
      <c r="J10" s="148"/>
      <c r="K10" s="148"/>
      <c r="Q10" s="112"/>
      <c r="R10" s="112"/>
      <c r="S10" s="112"/>
      <c r="T10" s="112"/>
      <c r="U10" s="112"/>
      <c r="V10" s="112"/>
      <c r="W10" s="52"/>
    </row>
    <row r="11" spans="1:23" ht="15" customHeight="1">
      <c r="A11" s="83"/>
      <c r="B11" s="132"/>
      <c r="C11" s="132"/>
      <c r="D11" s="132"/>
      <c r="E11" s="132"/>
      <c r="F11" s="132"/>
      <c r="G11" s="132"/>
      <c r="H11" s="132"/>
      <c r="I11" s="132"/>
      <c r="J11" s="132"/>
      <c r="K11" s="132"/>
      <c r="L11" s="132"/>
      <c r="M11" s="132"/>
      <c r="N11" s="113"/>
      <c r="O11" s="112"/>
      <c r="P11" s="112"/>
      <c r="Q11" s="112"/>
      <c r="R11" s="112"/>
      <c r="S11" s="112"/>
      <c r="T11" s="112"/>
      <c r="U11" s="112"/>
      <c r="V11" s="112"/>
      <c r="W11" s="52"/>
    </row>
    <row r="12" spans="1:23" ht="15" customHeight="1">
      <c r="A12" s="83"/>
      <c r="B12" s="132"/>
      <c r="C12" s="132"/>
      <c r="D12" s="132"/>
      <c r="E12" s="66" t="s">
        <v>199</v>
      </c>
      <c r="F12" s="132"/>
      <c r="G12" s="132"/>
      <c r="H12" s="132"/>
      <c r="I12" s="132"/>
      <c r="J12" s="132"/>
      <c r="K12" s="132"/>
      <c r="L12" s="132"/>
      <c r="M12" s="132"/>
      <c r="N12" s="113"/>
      <c r="O12" s="112"/>
      <c r="P12" s="112"/>
      <c r="Q12" s="112"/>
      <c r="R12" s="112"/>
      <c r="S12" s="112"/>
      <c r="T12" s="112"/>
      <c r="U12" s="112"/>
      <c r="V12" s="112"/>
      <c r="W12" s="52"/>
    </row>
    <row r="13" spans="1:23" ht="30" customHeight="1">
      <c r="C13" s="81"/>
      <c r="D13" s="114"/>
      <c r="E13" s="115" t="s">
        <v>221</v>
      </c>
      <c r="F13" s="116"/>
      <c r="G13" s="115" t="s">
        <v>222</v>
      </c>
      <c r="H13" s="225"/>
      <c r="I13" s="115" t="s">
        <v>223</v>
      </c>
      <c r="J13" s="62"/>
      <c r="K13" s="115" t="s">
        <v>224</v>
      </c>
      <c r="L13" s="62"/>
      <c r="M13" s="62"/>
      <c r="W13" s="52"/>
    </row>
    <row r="14" spans="1:23" ht="15" customHeight="1">
      <c r="B14" s="120" t="s">
        <v>225</v>
      </c>
      <c r="C14" s="82"/>
      <c r="E14" s="482">
        <f>G14-I14-K14</f>
        <v>0</v>
      </c>
      <c r="F14" s="316"/>
      <c r="G14" s="483"/>
      <c r="H14" s="316"/>
      <c r="I14" s="484"/>
      <c r="K14" s="484"/>
      <c r="M14" s="62"/>
      <c r="W14" s="52"/>
    </row>
    <row r="15" spans="1:23" ht="15" customHeight="1">
      <c r="B15" s="120" t="s">
        <v>226</v>
      </c>
      <c r="C15" s="82"/>
      <c r="E15" s="482">
        <f>G15-I15-K15</f>
        <v>0</v>
      </c>
      <c r="F15" s="70" t="s">
        <v>188</v>
      </c>
      <c r="G15" s="482">
        <f>-('L1.01.1 Agree SL to GL'!T16)</f>
        <v>0</v>
      </c>
      <c r="H15" s="83" t="s">
        <v>188</v>
      </c>
      <c r="I15" s="482">
        <f>-('L1.01.1 Agree SL to GL'!T22)</f>
        <v>0</v>
      </c>
      <c r="J15" s="83" t="s">
        <v>188</v>
      </c>
      <c r="K15" s="482">
        <f>-('L1.01.1 Agree SL to GL'!T27)</f>
        <v>0</v>
      </c>
      <c r="L15" s="83" t="s">
        <v>188</v>
      </c>
      <c r="M15" s="62"/>
      <c r="W15" s="52"/>
    </row>
    <row r="16" spans="1:23" ht="15" customHeight="1">
      <c r="B16" s="84" t="s">
        <v>182</v>
      </c>
      <c r="C16" s="84"/>
      <c r="D16" s="85"/>
      <c r="E16" s="485">
        <f>E14-E15</f>
        <v>0</v>
      </c>
      <c r="F16" s="317" t="s">
        <v>70</v>
      </c>
      <c r="G16" s="485">
        <f>G14-G15</f>
        <v>0</v>
      </c>
      <c r="H16" s="317" t="s">
        <v>70</v>
      </c>
      <c r="I16" s="485">
        <f>I14-I15</f>
        <v>0</v>
      </c>
      <c r="J16" s="70" t="s">
        <v>70</v>
      </c>
      <c r="K16" s="485">
        <f>K14-K15</f>
        <v>0</v>
      </c>
      <c r="L16" s="70" t="s">
        <v>70</v>
      </c>
      <c r="M16" s="62"/>
      <c r="W16" s="52"/>
    </row>
    <row r="17" spans="2:23" ht="15" customHeight="1">
      <c r="B17" s="117" t="s">
        <v>189</v>
      </c>
      <c r="C17" s="82"/>
      <c r="E17" s="318" t="str">
        <f>IF(ABS(E16)&gt;'L1.00 Lead sheet'!$C$6, "Yes", "No")</f>
        <v>No</v>
      </c>
      <c r="F17" s="316"/>
      <c r="G17" s="318" t="str">
        <f>IF(ABS(G16)&gt;'L1.00 Lead sheet'!$C$6, "Yes", "No")</f>
        <v>No</v>
      </c>
      <c r="H17" s="316"/>
      <c r="I17" s="318" t="str">
        <f>IF(ABS(I16)&gt;'L1.00 Lead sheet'!$C$6, "Yes", "No")</f>
        <v>No</v>
      </c>
      <c r="K17" s="318" t="str">
        <f>IF(ABS(K16)&gt;'L1.00 Lead sheet'!$C$6, "Yes", "No")</f>
        <v>No</v>
      </c>
      <c r="M17" s="62"/>
      <c r="W17" s="52"/>
    </row>
    <row r="18" spans="2:23" ht="15" customHeight="1">
      <c r="B18" s="67"/>
      <c r="C18" s="82"/>
      <c r="E18" s="118"/>
      <c r="F18" s="316"/>
      <c r="G18" s="316"/>
      <c r="H18" s="316"/>
      <c r="I18" s="316"/>
      <c r="W18" s="52"/>
    </row>
    <row r="19" spans="2:23" ht="15" customHeight="1">
      <c r="B19" s="68" t="s">
        <v>190</v>
      </c>
      <c r="C19" s="88"/>
      <c r="D19" s="88"/>
      <c r="E19" s="484"/>
      <c r="F19" s="316"/>
      <c r="G19" s="316"/>
      <c r="H19" s="316"/>
      <c r="I19" s="316"/>
      <c r="W19" s="52"/>
    </row>
    <row r="20" spans="2:23" ht="15" customHeight="1">
      <c r="B20" s="84" t="s">
        <v>191</v>
      </c>
      <c r="C20" s="84"/>
      <c r="D20" s="89"/>
      <c r="E20" s="486">
        <f>E14-E19</f>
        <v>0</v>
      </c>
      <c r="W20" s="52"/>
    </row>
    <row r="21" spans="2:23" ht="15" customHeight="1">
      <c r="C21" s="82"/>
      <c r="D21" s="95"/>
      <c r="W21" s="52"/>
    </row>
    <row r="22" spans="2:23" ht="15" customHeight="1">
      <c r="B22" s="229" t="s">
        <v>192</v>
      </c>
      <c r="C22" s="93"/>
      <c r="D22" s="88"/>
      <c r="E22" s="88"/>
      <c r="F22" s="88"/>
      <c r="W22" s="52"/>
    </row>
    <row r="23" spans="2:23" ht="15" customHeight="1">
      <c r="B23" s="553"/>
      <c r="C23" s="554"/>
      <c r="D23" s="554"/>
      <c r="E23" s="554"/>
      <c r="F23" s="555"/>
      <c r="G23" s="132"/>
      <c r="H23" s="132"/>
      <c r="I23" s="132"/>
      <c r="J23" s="132"/>
      <c r="K23" s="132"/>
      <c r="W23" s="52"/>
    </row>
    <row r="24" spans="2:23" ht="15" customHeight="1">
      <c r="B24" s="556"/>
      <c r="C24" s="557"/>
      <c r="D24" s="557"/>
      <c r="E24" s="557"/>
      <c r="F24" s="558"/>
      <c r="G24" s="132"/>
      <c r="H24" s="132"/>
      <c r="I24" s="132"/>
      <c r="J24" s="132"/>
      <c r="K24" s="132"/>
      <c r="W24" s="52"/>
    </row>
    <row r="25" spans="2:23" ht="15" customHeight="1">
      <c r="B25" s="556"/>
      <c r="C25" s="557"/>
      <c r="D25" s="557"/>
      <c r="E25" s="557"/>
      <c r="F25" s="558"/>
      <c r="G25" s="132"/>
      <c r="H25" s="132"/>
      <c r="I25" s="132"/>
      <c r="J25" s="132"/>
      <c r="K25" s="132"/>
      <c r="W25" s="52"/>
    </row>
    <row r="26" spans="2:23" ht="15" customHeight="1">
      <c r="B26" s="559"/>
      <c r="C26" s="560"/>
      <c r="D26" s="560"/>
      <c r="E26" s="560"/>
      <c r="F26" s="561"/>
      <c r="G26" s="132"/>
      <c r="H26" s="132"/>
      <c r="I26" s="132"/>
      <c r="J26" s="132"/>
      <c r="K26" s="132"/>
      <c r="W26" s="52"/>
    </row>
    <row r="27" spans="2:23" ht="15" customHeight="1">
      <c r="B27" s="132"/>
      <c r="C27" s="132"/>
      <c r="D27" s="132"/>
      <c r="E27" s="132"/>
      <c r="F27" s="132"/>
      <c r="G27" s="132"/>
      <c r="H27" s="132"/>
      <c r="I27" s="132"/>
      <c r="J27" s="132"/>
      <c r="K27" s="132"/>
      <c r="W27" s="52"/>
    </row>
    <row r="28" spans="2:23" ht="15" customHeight="1">
      <c r="B28" s="160" t="s">
        <v>193</v>
      </c>
      <c r="C28" s="161"/>
      <c r="D28" s="161"/>
      <c r="E28" s="161"/>
      <c r="F28" s="162"/>
      <c r="G28" s="132"/>
      <c r="H28" s="132"/>
      <c r="I28" s="132"/>
      <c r="W28" s="52"/>
    </row>
    <row r="29" spans="2:23" ht="15" customHeight="1">
      <c r="B29" s="96" t="s">
        <v>194</v>
      </c>
      <c r="C29" s="97"/>
      <c r="D29" s="97"/>
      <c r="E29" s="97"/>
      <c r="F29" s="119"/>
      <c r="G29" s="132"/>
      <c r="H29" s="132"/>
      <c r="I29" s="132"/>
      <c r="P29" s="83"/>
      <c r="W29" s="52"/>
    </row>
    <row r="30" spans="2:23" ht="15" customHeight="1">
      <c r="B30" s="241" t="s">
        <v>227</v>
      </c>
      <c r="C30" s="116"/>
      <c r="D30" s="116"/>
      <c r="E30" s="116"/>
      <c r="F30" s="242"/>
      <c r="G30" s="132"/>
      <c r="H30" s="132"/>
      <c r="I30" s="132"/>
      <c r="P30" s="93"/>
      <c r="Q30" s="93"/>
      <c r="R30" s="93"/>
      <c r="S30" s="93"/>
      <c r="W30" s="52"/>
    </row>
    <row r="31" spans="2:23" ht="12.75" customHeight="1">
      <c r="B31" s="241" t="s">
        <v>228</v>
      </c>
      <c r="C31" s="68"/>
      <c r="D31" s="68"/>
      <c r="E31" s="68"/>
      <c r="F31" s="99"/>
      <c r="G31" s="132"/>
      <c r="H31" s="132"/>
      <c r="I31" s="132"/>
      <c r="P31" s="88"/>
      <c r="Q31" s="88"/>
      <c r="R31" s="88"/>
      <c r="S31" s="88"/>
      <c r="W31" s="52"/>
    </row>
    <row r="32" spans="2:23" ht="14.5">
      <c r="B32" s="243" t="s">
        <v>229</v>
      </c>
      <c r="C32" s="244"/>
      <c r="D32" s="244"/>
      <c r="E32" s="244"/>
      <c r="F32" s="245"/>
      <c r="G32" s="132"/>
      <c r="H32" s="132"/>
      <c r="I32" s="132"/>
      <c r="P32" s="93"/>
      <c r="Q32" s="93"/>
      <c r="R32" s="93"/>
      <c r="S32" s="93"/>
      <c r="W32" s="52"/>
    </row>
    <row r="33" spans="1:23" ht="15" customHeight="1">
      <c r="W33" s="52"/>
    </row>
    <row r="34" spans="1:23" ht="15" customHeight="1">
      <c r="L34" s="66" t="s">
        <v>199</v>
      </c>
      <c r="O34" s="66" t="s">
        <v>199</v>
      </c>
      <c r="P34" s="66"/>
      <c r="Q34" s="66" t="s">
        <v>199</v>
      </c>
      <c r="S34" s="435" t="s">
        <v>200</v>
      </c>
      <c r="T34" s="196"/>
      <c r="U34" s="196"/>
      <c r="W34" s="52"/>
    </row>
    <row r="35" spans="1:23" ht="60" customHeight="1">
      <c r="B35" s="189" t="s">
        <v>230</v>
      </c>
      <c r="C35" s="189" t="s">
        <v>202</v>
      </c>
      <c r="D35" s="189" t="s">
        <v>203</v>
      </c>
      <c r="E35" s="190" t="s">
        <v>231</v>
      </c>
      <c r="F35" s="189" t="s">
        <v>205</v>
      </c>
      <c r="G35" s="189" t="s">
        <v>206</v>
      </c>
      <c r="H35" s="189" t="s">
        <v>232</v>
      </c>
      <c r="I35" s="189" t="s">
        <v>222</v>
      </c>
      <c r="J35" s="189" t="s">
        <v>223</v>
      </c>
      <c r="K35" s="189" t="s">
        <v>224</v>
      </c>
      <c r="L35" s="191" t="s">
        <v>233</v>
      </c>
      <c r="M35" s="191" t="s">
        <v>234</v>
      </c>
      <c r="N35" s="191" t="s">
        <v>235</v>
      </c>
      <c r="O35" s="191" t="s">
        <v>236</v>
      </c>
      <c r="P35" s="191" t="s">
        <v>237</v>
      </c>
      <c r="Q35" s="191" t="s">
        <v>238</v>
      </c>
      <c r="R35" s="191" t="s">
        <v>239</v>
      </c>
      <c r="S35" s="192">
        <v>1</v>
      </c>
      <c r="T35" s="193">
        <v>2</v>
      </c>
      <c r="U35" s="193">
        <v>3</v>
      </c>
      <c r="W35" s="52"/>
    </row>
    <row r="36" spans="1:23" ht="15" customHeight="1">
      <c r="B36" s="194">
        <v>1</v>
      </c>
      <c r="C36" s="422"/>
      <c r="D36" s="423"/>
      <c r="E36" s="423"/>
      <c r="F36" s="427"/>
      <c r="G36" s="433"/>
      <c r="H36" s="319"/>
      <c r="I36" s="480"/>
      <c r="J36" s="480"/>
      <c r="K36" s="480"/>
      <c r="L36" s="480">
        <f>SUM(I36:K36)</f>
        <v>0</v>
      </c>
      <c r="M36" s="480"/>
      <c r="N36" s="489"/>
      <c r="O36" s="487">
        <f>M36-L36</f>
        <v>0</v>
      </c>
      <c r="P36" s="487"/>
      <c r="Q36" s="488">
        <f>P36-M36</f>
        <v>0</v>
      </c>
      <c r="R36" s="434"/>
      <c r="S36" s="436"/>
      <c r="T36" s="436"/>
      <c r="U36" s="436"/>
      <c r="W36" s="52"/>
    </row>
    <row r="37" spans="1:23" ht="15" customHeight="1">
      <c r="B37" s="194">
        <v>2</v>
      </c>
      <c r="C37" s="422"/>
      <c r="D37" s="423"/>
      <c r="E37" s="423"/>
      <c r="F37" s="427"/>
      <c r="G37" s="433"/>
      <c r="H37" s="319"/>
      <c r="I37" s="480"/>
      <c r="J37" s="480"/>
      <c r="K37" s="480"/>
      <c r="L37" s="480">
        <f t="shared" ref="L37:L40" si="0">SUM(I37:K37)</f>
        <v>0</v>
      </c>
      <c r="M37" s="480"/>
      <c r="N37" s="489"/>
      <c r="O37" s="487">
        <f t="shared" ref="O37:O40" si="1">M37-L37</f>
        <v>0</v>
      </c>
      <c r="P37" s="487"/>
      <c r="Q37" s="488">
        <f t="shared" ref="Q37:Q40" si="2">P37-M37</f>
        <v>0</v>
      </c>
      <c r="R37" s="434"/>
      <c r="S37" s="436"/>
      <c r="T37" s="436"/>
      <c r="U37" s="436"/>
      <c r="W37" s="52"/>
    </row>
    <row r="38" spans="1:23" ht="15" customHeight="1">
      <c r="B38" s="194">
        <v>3</v>
      </c>
      <c r="C38" s="422"/>
      <c r="D38" s="423"/>
      <c r="E38" s="423"/>
      <c r="F38" s="427"/>
      <c r="G38" s="433"/>
      <c r="H38" s="319"/>
      <c r="I38" s="480"/>
      <c r="J38" s="480"/>
      <c r="K38" s="480"/>
      <c r="L38" s="480">
        <f t="shared" si="0"/>
        <v>0</v>
      </c>
      <c r="M38" s="480"/>
      <c r="N38" s="489"/>
      <c r="O38" s="487">
        <f t="shared" si="1"/>
        <v>0</v>
      </c>
      <c r="P38" s="487"/>
      <c r="Q38" s="488">
        <f t="shared" si="2"/>
        <v>0</v>
      </c>
      <c r="R38" s="434"/>
      <c r="S38" s="436"/>
      <c r="T38" s="436"/>
      <c r="U38" s="436"/>
      <c r="W38" s="52"/>
    </row>
    <row r="39" spans="1:23" ht="15" customHeight="1">
      <c r="B39" s="194">
        <v>4</v>
      </c>
      <c r="C39" s="422"/>
      <c r="D39" s="423"/>
      <c r="E39" s="423"/>
      <c r="F39" s="427"/>
      <c r="G39" s="433"/>
      <c r="H39" s="319"/>
      <c r="I39" s="480"/>
      <c r="J39" s="480"/>
      <c r="K39" s="480"/>
      <c r="L39" s="480">
        <f t="shared" si="0"/>
        <v>0</v>
      </c>
      <c r="M39" s="480"/>
      <c r="N39" s="489"/>
      <c r="O39" s="487">
        <f t="shared" si="1"/>
        <v>0</v>
      </c>
      <c r="P39" s="487"/>
      <c r="Q39" s="488">
        <f t="shared" si="2"/>
        <v>0</v>
      </c>
      <c r="R39" s="434"/>
      <c r="S39" s="436"/>
      <c r="T39" s="436"/>
      <c r="U39" s="436"/>
      <c r="W39" s="52"/>
    </row>
    <row r="40" spans="1:23" ht="15" customHeight="1">
      <c r="B40" s="194">
        <v>5</v>
      </c>
      <c r="C40" s="422"/>
      <c r="D40" s="423"/>
      <c r="E40" s="423"/>
      <c r="F40" s="427"/>
      <c r="G40" s="433"/>
      <c r="H40" s="319"/>
      <c r="I40" s="480"/>
      <c r="J40" s="480"/>
      <c r="K40" s="480"/>
      <c r="L40" s="480">
        <f t="shared" si="0"/>
        <v>0</v>
      </c>
      <c r="M40" s="480"/>
      <c r="N40" s="489"/>
      <c r="O40" s="487">
        <f t="shared" si="1"/>
        <v>0</v>
      </c>
      <c r="P40" s="487"/>
      <c r="Q40" s="488">
        <f t="shared" si="2"/>
        <v>0</v>
      </c>
      <c r="R40" s="434"/>
      <c r="S40" s="436"/>
      <c r="T40" s="436"/>
      <c r="U40" s="436"/>
      <c r="W40" s="52"/>
    </row>
    <row r="41" spans="1:23" ht="15" customHeight="1">
      <c r="W41" s="52"/>
    </row>
    <row r="42" spans="1:23" ht="15" customHeight="1">
      <c r="B42" s="431" t="s">
        <v>215</v>
      </c>
      <c r="W42" s="52"/>
    </row>
    <row r="43" spans="1:23" ht="15" customHeight="1">
      <c r="B43" s="553"/>
      <c r="C43" s="554"/>
      <c r="D43" s="554"/>
      <c r="E43" s="554"/>
      <c r="F43" s="555"/>
      <c r="W43" s="52"/>
    </row>
    <row r="44" spans="1:23" ht="15" customHeight="1">
      <c r="B44" s="556"/>
      <c r="C44" s="557"/>
      <c r="D44" s="557"/>
      <c r="E44" s="557"/>
      <c r="F44" s="558"/>
      <c r="W44" s="52"/>
    </row>
    <row r="45" spans="1:23" ht="15" customHeight="1">
      <c r="B45" s="556"/>
      <c r="C45" s="557"/>
      <c r="D45" s="557"/>
      <c r="E45" s="557"/>
      <c r="F45" s="558"/>
      <c r="W45" s="52"/>
    </row>
    <row r="46" spans="1:23" ht="15" customHeight="1">
      <c r="B46" s="559"/>
      <c r="C46" s="560"/>
      <c r="D46" s="560"/>
      <c r="E46" s="560"/>
      <c r="F46" s="561"/>
      <c r="W46" s="52"/>
    </row>
    <row r="47" spans="1:23" ht="15" customHeight="1">
      <c r="W47" s="52"/>
    </row>
    <row r="48" spans="1:23" ht="7.5" customHeight="1">
      <c r="A48" s="52"/>
      <c r="B48" s="52"/>
      <c r="C48" s="52"/>
      <c r="D48" s="52"/>
      <c r="E48" s="52"/>
      <c r="F48" s="52"/>
      <c r="G48" s="52"/>
      <c r="H48" s="52"/>
      <c r="I48" s="52"/>
      <c r="J48" s="52"/>
      <c r="K48" s="52"/>
      <c r="L48" s="52"/>
      <c r="M48" s="52"/>
      <c r="N48" s="52"/>
      <c r="O48" s="52"/>
      <c r="P48" s="52"/>
      <c r="Q48" s="52"/>
      <c r="R48" s="52"/>
      <c r="S48" s="52"/>
      <c r="T48" s="52"/>
      <c r="U48" s="52"/>
      <c r="V48" s="52"/>
      <c r="W48" s="52"/>
    </row>
  </sheetData>
  <sheetProtection formatCells="0" formatColumns="0" formatRows="0" insertColumns="0" insertRows="0" insertHyperlinks="0" deleteColumns="0" deleteRows="0" sort="0" autoFilter="0" pivotTables="0"/>
  <mergeCells count="3">
    <mergeCell ref="B23:F26"/>
    <mergeCell ref="B43:F46"/>
    <mergeCell ref="B7:F10"/>
  </mergeCells>
  <phoneticPr fontId="78" type="noConversion"/>
  <conditionalFormatting sqref="B7:F10">
    <cfRule type="containsBlanks" dxfId="13" priority="11">
      <formula>LEN(TRIM(B7))=0</formula>
    </cfRule>
  </conditionalFormatting>
  <conditionalFormatting sqref="B23:F26">
    <cfRule type="containsBlanks" dxfId="12" priority="13">
      <formula>LEN(TRIM(B23))=0</formula>
    </cfRule>
  </conditionalFormatting>
  <conditionalFormatting sqref="B43:F46">
    <cfRule type="containsBlanks" dxfId="11" priority="12">
      <formula>LEN(TRIM(B43))=0</formula>
    </cfRule>
  </conditionalFormatting>
  <conditionalFormatting sqref="B36:U40">
    <cfRule type="containsBlanks" dxfId="10" priority="2">
      <formula>LEN(TRIM(B36))=0</formula>
    </cfRule>
  </conditionalFormatting>
  <conditionalFormatting sqref="G14 I14 K14 E14:E15 E19">
    <cfRule type="containsBlanks" dxfId="9" priority="1">
      <formula>LEN(TRIM(E14))=0</formula>
    </cfRule>
  </conditionalFormatting>
  <dataValidations count="2">
    <dataValidation type="list" allowBlank="1" showInputMessage="1" showErrorMessage="1" sqref="S36:U40" xr:uid="{7169F9F1-4E4D-446A-A8AF-95B486239DD2}">
      <formula1>"Y,N"</formula1>
    </dataValidation>
    <dataValidation type="list" allowBlank="1" showInputMessage="1" sqref="C36:C40" xr:uid="{5C714AA1-8582-49F8-B7A0-7BFD97E82FF0}">
      <formula1>"关键项,代表性样本"</formula1>
    </dataValidation>
  </dataValidations>
  <hyperlinks>
    <hyperlink ref="B4" location="汇总!A1" display="返回汇总页" xr:uid="{E3F1B853-1F2D-49C1-A34C-D11205FF35AA}"/>
  </hyperlinks>
  <pageMargins left="0.70866141732283505" right="0.70866141732283505" top="0.74803149606299202" bottom="0.74803149606299202" header="0.31496062992126" footer="0.31496062992126"/>
  <pageSetup paperSize="9" scale="60" fitToHeight="0" orientation="landscape" horizontalDpi="300" r:id="rId1"/>
  <headerFooter>
    <oddFooter>&amp;LK SWP PPE
(24 June 2025)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81E5-11DF-4FBF-BAFF-734D03F82E23}">
  <dimension ref="A1:AH9"/>
  <sheetViews>
    <sheetView showGridLines="0" zoomScale="70" zoomScaleNormal="70" workbookViewId="0">
      <selection activeCell="H21" sqref="H21"/>
    </sheetView>
  </sheetViews>
  <sheetFormatPr defaultColWidth="8.08203125" defaultRowHeight="13"/>
  <cols>
    <col min="1" max="1" width="2.58203125" style="49" customWidth="1"/>
    <col min="2" max="2" width="10.08203125" style="50" customWidth="1"/>
    <col min="3" max="3" width="15.83203125" style="50" customWidth="1"/>
    <col min="4" max="9" width="14.33203125" style="50" customWidth="1"/>
    <col min="10" max="10" width="19.33203125" style="50" customWidth="1"/>
    <col min="11" max="11" width="2.58203125" style="50" customWidth="1"/>
    <col min="12" max="12" width="1.58203125" style="50" customWidth="1"/>
    <col min="13" max="13" width="8.08203125" style="50"/>
    <col min="14" max="14" width="9.75" style="50" customWidth="1"/>
    <col min="15" max="18" width="8.08203125" style="50"/>
    <col min="19" max="19" width="1.33203125" style="50" customWidth="1"/>
    <col min="20" max="16384" width="8.08203125" style="50"/>
  </cols>
  <sheetData>
    <row r="1" spans="1:34" s="10" customFormat="1" ht="12.75" customHeight="1">
      <c r="A1" s="237"/>
      <c r="B1" s="15"/>
      <c r="C1" s="15"/>
      <c r="D1" s="16"/>
      <c r="E1" s="153"/>
      <c r="F1" s="17"/>
      <c r="G1" s="17"/>
      <c r="H1" s="17"/>
      <c r="I1" s="154"/>
      <c r="J1" s="154"/>
      <c r="K1" s="154"/>
      <c r="L1" s="52"/>
      <c r="M1" s="154"/>
      <c r="N1" s="154"/>
      <c r="O1" s="154"/>
      <c r="P1" s="154"/>
      <c r="Q1" s="154"/>
      <c r="R1" s="154"/>
      <c r="S1" s="154"/>
      <c r="T1" s="154"/>
      <c r="U1" s="154"/>
      <c r="V1" s="154"/>
      <c r="W1" s="154"/>
      <c r="X1" s="154"/>
      <c r="Y1" s="154"/>
      <c r="Z1" s="154"/>
      <c r="AA1" s="154"/>
      <c r="AB1" s="154"/>
      <c r="AC1" s="154"/>
      <c r="AD1" s="154"/>
      <c r="AE1" s="154"/>
      <c r="AF1" s="154"/>
      <c r="AG1" s="154"/>
      <c r="AH1" s="154"/>
    </row>
    <row r="2" spans="1:34" ht="14.5">
      <c r="L2" s="52"/>
      <c r="N2" s="396" t="s">
        <v>45</v>
      </c>
    </row>
    <row r="3" spans="1:34" ht="33" customHeight="1">
      <c r="B3" s="590" t="s">
        <v>241</v>
      </c>
      <c r="C3" s="590"/>
      <c r="D3" s="590"/>
      <c r="E3" s="590"/>
      <c r="F3" s="590"/>
      <c r="G3" s="590"/>
      <c r="H3" s="590"/>
      <c r="I3" s="590"/>
      <c r="J3" s="590"/>
      <c r="L3" s="52"/>
    </row>
    <row r="4" spans="1:34" ht="33" customHeight="1">
      <c r="B4" s="590"/>
      <c r="C4" s="590"/>
      <c r="D4" s="590"/>
      <c r="E4" s="590"/>
      <c r="F4" s="590"/>
      <c r="G4" s="590"/>
      <c r="H4" s="590"/>
      <c r="I4" s="590"/>
      <c r="J4" s="590"/>
      <c r="L4" s="52"/>
    </row>
    <row r="5" spans="1:34">
      <c r="B5" s="155"/>
      <c r="C5" s="155"/>
      <c r="D5" s="155"/>
      <c r="E5" s="155"/>
      <c r="F5" s="155"/>
      <c r="G5" s="155"/>
      <c r="H5" s="155"/>
      <c r="I5" s="155"/>
      <c r="J5" s="155"/>
      <c r="L5" s="52"/>
    </row>
    <row r="6" spans="1:34" s="31" customFormat="1" ht="23.25" customHeight="1">
      <c r="A6" s="29"/>
      <c r="B6" s="579" t="s">
        <v>242</v>
      </c>
      <c r="C6" s="579"/>
      <c r="D6" s="579"/>
      <c r="E6" s="579"/>
      <c r="F6" s="579"/>
      <c r="G6" s="579"/>
      <c r="H6" s="579"/>
      <c r="I6" s="579"/>
      <c r="J6" s="579"/>
      <c r="L6" s="52"/>
    </row>
    <row r="7" spans="1:34" s="31" customFormat="1" ht="23.25" customHeight="1">
      <c r="A7" s="29"/>
      <c r="B7" s="579"/>
      <c r="C7" s="579"/>
      <c r="D7" s="579"/>
      <c r="E7" s="579"/>
      <c r="F7" s="579"/>
      <c r="G7" s="579"/>
      <c r="H7" s="579"/>
      <c r="I7" s="579"/>
      <c r="J7" s="579"/>
      <c r="L7" s="52"/>
    </row>
    <row r="8" spans="1:34" ht="15" customHeight="1">
      <c r="L8" s="52"/>
    </row>
    <row r="9" spans="1:34" ht="7.5" customHeight="1">
      <c r="A9" s="52"/>
      <c r="B9" s="52"/>
      <c r="C9" s="52"/>
      <c r="D9" s="52"/>
      <c r="E9" s="52"/>
      <c r="F9" s="52"/>
      <c r="G9" s="52"/>
      <c r="H9" s="52"/>
      <c r="I9" s="52"/>
      <c r="J9" s="52"/>
      <c r="K9" s="52"/>
      <c r="L9" s="52"/>
    </row>
  </sheetData>
  <mergeCells count="2">
    <mergeCell ref="B6:J7"/>
    <mergeCell ref="B3:J4"/>
  </mergeCells>
  <phoneticPr fontId="78" type="noConversion"/>
  <hyperlinks>
    <hyperlink ref="N2" location="'汇总'!$A$1" display="'汇总'!$A$1" xr:uid="{D7F0B42D-3985-4D58-A265-02F9F679F27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B21C-E74B-4AC1-87C0-CB5703A774C8}">
  <dimension ref="A1:N4"/>
  <sheetViews>
    <sheetView zoomScale="70" zoomScaleNormal="70" workbookViewId="0">
      <selection activeCell="I11" sqref="I11"/>
    </sheetView>
  </sheetViews>
  <sheetFormatPr defaultColWidth="8.58203125" defaultRowHeight="18"/>
  <cols>
    <col min="1" max="1" width="2.75" style="234" customWidth="1"/>
    <col min="2" max="10" width="8.58203125" style="233"/>
    <col min="11" max="11" width="2.58203125" style="233" customWidth="1"/>
    <col min="12" max="12" width="1.58203125" style="233" customWidth="1"/>
    <col min="13" max="13" width="8.58203125" style="233"/>
    <col min="14" max="14" width="11.08203125" style="233" customWidth="1"/>
    <col min="15" max="16384" width="8.58203125" style="233"/>
  </cols>
  <sheetData>
    <row r="1" spans="1:14" ht="17.5">
      <c r="A1" s="232"/>
      <c r="L1" s="352"/>
    </row>
    <row r="2" spans="1:14" ht="20">
      <c r="B2" s="235" t="s">
        <v>240</v>
      </c>
      <c r="C2" s="235"/>
      <c r="D2" s="235"/>
      <c r="E2" s="235"/>
      <c r="F2" s="235"/>
      <c r="G2" s="235"/>
      <c r="H2" s="235"/>
      <c r="I2" s="235"/>
      <c r="J2" s="440"/>
      <c r="L2" s="352"/>
      <c r="N2" s="396" t="s">
        <v>45</v>
      </c>
    </row>
    <row r="3" spans="1:14" ht="15" customHeight="1">
      <c r="L3" s="352"/>
    </row>
    <row r="4" spans="1:14" ht="7.5" customHeight="1">
      <c r="A4" s="352"/>
      <c r="B4" s="352"/>
      <c r="C4" s="352"/>
      <c r="D4" s="352"/>
      <c r="E4" s="352"/>
      <c r="F4" s="352"/>
      <c r="G4" s="352"/>
      <c r="H4" s="352"/>
      <c r="I4" s="352"/>
      <c r="J4" s="352"/>
      <c r="K4" s="352"/>
      <c r="L4" s="352"/>
    </row>
  </sheetData>
  <phoneticPr fontId="78" type="noConversion"/>
  <hyperlinks>
    <hyperlink ref="N2" location="汇总!A1" display="返回汇总页" xr:uid="{498F48CF-1491-4723-9CD4-5F4DB757758D}"/>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0F3F-A7E6-4BE4-AAA4-916453254C1F}">
  <dimension ref="A1:Z31"/>
  <sheetViews>
    <sheetView showGridLines="0" zoomScale="70" zoomScaleNormal="70" zoomScaleSheetLayoutView="70" workbookViewId="0">
      <selection activeCell="B14" sqref="B14"/>
    </sheetView>
  </sheetViews>
  <sheetFormatPr defaultColWidth="7.33203125" defaultRowHeight="12.75" customHeight="1"/>
  <cols>
    <col min="1" max="1" width="2.58203125" style="29" customWidth="1"/>
    <col min="2" max="2" width="16.58203125" style="44" customWidth="1"/>
    <col min="3" max="3" width="18.75" style="44" bestFit="1" customWidth="1"/>
    <col min="4" max="4" width="16.08203125" style="44" customWidth="1"/>
    <col min="5" max="5" width="26.33203125" style="44" bestFit="1" customWidth="1"/>
    <col min="6" max="6" width="16" style="44" bestFit="1" customWidth="1"/>
    <col min="7" max="7" width="13.33203125" style="44" bestFit="1" customWidth="1"/>
    <col min="8" max="8" width="13.75" style="44" customWidth="1"/>
    <col min="9" max="9" width="17" style="44" customWidth="1"/>
    <col min="10" max="10" width="12.08203125" style="44" customWidth="1"/>
    <col min="11" max="11" width="13.58203125" style="44" customWidth="1"/>
    <col min="12" max="12" width="13.33203125" style="44" bestFit="1" customWidth="1"/>
    <col min="13" max="13" width="11.33203125" style="44" customWidth="1"/>
    <col min="14" max="14" width="10.75" style="44" customWidth="1"/>
    <col min="15" max="16" width="13.33203125" style="44" bestFit="1" customWidth="1"/>
    <col min="17" max="17" width="15.58203125" style="44" bestFit="1" customWidth="1"/>
    <col min="18" max="18" width="23.33203125" style="44" bestFit="1" customWidth="1"/>
    <col min="19" max="19" width="13.33203125" style="44" bestFit="1" customWidth="1"/>
    <col min="20" max="20" width="5.58203125" style="44" bestFit="1" customWidth="1"/>
    <col min="21" max="21" width="2.58203125" style="44" customWidth="1"/>
    <col min="22" max="22" width="1.58203125" style="44" customWidth="1"/>
    <col min="23" max="23" width="19.58203125" style="44" customWidth="1"/>
    <col min="24" max="24" width="13" style="44" customWidth="1"/>
    <col min="25" max="25" width="10.33203125" style="44" customWidth="1"/>
    <col min="26" max="16384" width="7.33203125" style="44"/>
  </cols>
  <sheetData>
    <row r="1" spans="1:26" ht="50.15" customHeight="1">
      <c r="A1" s="150"/>
      <c r="B1" s="238" t="s">
        <v>183</v>
      </c>
      <c r="C1" s="78"/>
      <c r="D1" s="151"/>
      <c r="E1" s="151"/>
      <c r="F1" s="151"/>
      <c r="G1" s="151"/>
      <c r="H1" s="151"/>
      <c r="I1" s="151"/>
      <c r="J1" s="151"/>
      <c r="K1" s="151"/>
      <c r="L1" s="151"/>
      <c r="M1" s="151"/>
      <c r="N1" s="78"/>
      <c r="O1" s="78"/>
      <c r="P1" s="79"/>
      <c r="Q1" s="79"/>
      <c r="R1" s="79"/>
      <c r="S1" s="79"/>
      <c r="T1" s="180"/>
      <c r="U1" s="51"/>
      <c r="V1" s="52"/>
      <c r="W1" s="51"/>
      <c r="X1" s="51"/>
      <c r="Y1" s="51"/>
      <c r="Z1" s="51"/>
    </row>
    <row r="2" spans="1:26" s="251" customFormat="1" ht="30" customHeight="1">
      <c r="A2" s="247"/>
      <c r="B2" s="246" t="s">
        <v>243</v>
      </c>
      <c r="C2" s="248"/>
      <c r="D2" s="248"/>
      <c r="E2" s="248"/>
      <c r="F2" s="248"/>
      <c r="G2" s="248"/>
      <c r="H2" s="248"/>
      <c r="I2" s="248"/>
      <c r="J2" s="248"/>
      <c r="K2" s="248"/>
      <c r="L2" s="248"/>
      <c r="M2" s="248"/>
      <c r="N2" s="248"/>
      <c r="O2" s="248"/>
      <c r="P2" s="248"/>
      <c r="Q2" s="248"/>
      <c r="R2" s="248"/>
      <c r="S2" s="248"/>
      <c r="T2" s="249"/>
      <c r="U2" s="247"/>
      <c r="V2" s="250"/>
      <c r="W2" s="247"/>
      <c r="X2" s="247"/>
      <c r="Y2" s="247"/>
      <c r="Z2" s="247"/>
    </row>
    <row r="3" spans="1:26" ht="12.75" customHeight="1">
      <c r="A3" s="149"/>
      <c r="V3" s="52"/>
    </row>
    <row r="4" spans="1:26" s="10" customFormat="1" ht="17.5">
      <c r="A4" s="18"/>
      <c r="B4" s="596" t="s">
        <v>244</v>
      </c>
      <c r="C4" s="596"/>
      <c r="D4" s="596"/>
      <c r="E4" s="596"/>
      <c r="F4" s="596"/>
      <c r="G4" s="596"/>
      <c r="H4" s="596"/>
      <c r="I4" s="596"/>
      <c r="J4" s="596"/>
      <c r="K4" s="596"/>
      <c r="L4" s="596"/>
      <c r="M4" s="596"/>
      <c r="N4" s="27"/>
      <c r="V4" s="52"/>
    </row>
    <row r="5" spans="1:26" s="31" customFormat="1" ht="17.5">
      <c r="A5" s="29"/>
      <c r="B5" s="596" t="s">
        <v>245</v>
      </c>
      <c r="C5" s="596"/>
      <c r="D5" s="596"/>
      <c r="E5" s="596"/>
      <c r="F5" s="596"/>
      <c r="G5" s="596"/>
      <c r="H5" s="596"/>
      <c r="I5" s="596"/>
      <c r="J5" s="596"/>
      <c r="K5" s="596"/>
      <c r="L5" s="596"/>
      <c r="M5" s="596"/>
      <c r="N5" s="27"/>
      <c r="O5" s="10"/>
      <c r="P5" s="30"/>
      <c r="Q5" s="30"/>
      <c r="R5" s="19"/>
      <c r="S5" s="19"/>
      <c r="T5" s="19"/>
      <c r="U5" s="19"/>
      <c r="V5" s="52"/>
      <c r="W5" s="10"/>
      <c r="X5" s="19"/>
      <c r="Y5" s="19"/>
    </row>
    <row r="6" spans="1:26" s="10" customFormat="1" ht="13" customHeight="1">
      <c r="A6" s="32"/>
      <c r="N6" s="27"/>
      <c r="P6" s="33"/>
      <c r="Q6" s="33"/>
      <c r="R6" s="34"/>
      <c r="S6" s="34"/>
      <c r="T6" s="34"/>
      <c r="U6" s="34"/>
      <c r="V6" s="52"/>
      <c r="W6" s="26"/>
      <c r="X6" s="34"/>
      <c r="Y6" s="34"/>
    </row>
    <row r="7" spans="1:26" s="10" customFormat="1" ht="13" customHeight="1">
      <c r="A7" s="32"/>
      <c r="B7" s="396" t="s">
        <v>45</v>
      </c>
      <c r="N7" s="27"/>
      <c r="P7" s="33"/>
      <c r="Q7" s="33"/>
      <c r="R7" s="34"/>
      <c r="S7" s="34"/>
      <c r="T7" s="34"/>
      <c r="U7" s="34"/>
      <c r="V7" s="52"/>
      <c r="W7" s="26"/>
      <c r="X7" s="34"/>
      <c r="Y7" s="34"/>
    </row>
    <row r="8" spans="1:26" s="10" customFormat="1" ht="13" customHeight="1">
      <c r="A8" s="32"/>
      <c r="N8" s="27"/>
      <c r="P8" s="33"/>
      <c r="Q8" s="33"/>
      <c r="R8" s="34"/>
      <c r="S8" s="34"/>
      <c r="T8" s="34"/>
      <c r="U8" s="34"/>
      <c r="V8" s="52"/>
      <c r="W8" s="26"/>
      <c r="X8" s="34"/>
      <c r="Y8" s="34"/>
    </row>
    <row r="9" spans="1:26" s="19" customFormat="1" ht="14.5">
      <c r="A9" s="18"/>
      <c r="B9" s="26" t="s">
        <v>246</v>
      </c>
      <c r="C9" s="30"/>
      <c r="D9" s="30"/>
      <c r="E9" s="30"/>
      <c r="F9" s="30"/>
      <c r="G9" s="30"/>
      <c r="H9" s="30"/>
      <c r="I9" s="30"/>
      <c r="J9" s="30"/>
      <c r="K9" s="30"/>
      <c r="V9" s="52"/>
      <c r="W9" s="10"/>
    </row>
    <row r="10" spans="1:26" s="34" customFormat="1" ht="20.149999999999999" customHeight="1">
      <c r="A10" s="18"/>
      <c r="B10" s="30" t="s">
        <v>247</v>
      </c>
      <c r="C10" s="33"/>
      <c r="D10" s="33"/>
      <c r="E10" s="33"/>
      <c r="F10" s="33"/>
      <c r="G10" s="33"/>
      <c r="H10" s="33"/>
      <c r="I10" s="33"/>
      <c r="J10" s="33"/>
      <c r="K10" s="33"/>
      <c r="L10" s="35"/>
      <c r="M10" s="35"/>
      <c r="N10" s="35"/>
      <c r="P10" s="28"/>
      <c r="Q10" s="28"/>
      <c r="R10" s="28"/>
      <c r="S10" s="28"/>
      <c r="T10" s="35"/>
      <c r="V10" s="52"/>
      <c r="W10" s="26"/>
    </row>
    <row r="11" spans="1:26" s="34" customFormat="1" ht="15">
      <c r="A11" s="18"/>
      <c r="B11" s="441" t="s">
        <v>248</v>
      </c>
      <c r="C11" s="33"/>
      <c r="D11" s="36"/>
      <c r="E11" s="37"/>
      <c r="F11" s="38"/>
      <c r="G11" s="37"/>
      <c r="H11" s="39"/>
      <c r="I11" s="442"/>
      <c r="J11" s="28"/>
      <c r="N11" s="591" t="s">
        <v>249</v>
      </c>
      <c r="O11" s="592"/>
      <c r="P11" s="593" t="s">
        <v>250</v>
      </c>
      <c r="Q11" s="594"/>
      <c r="R11" s="594"/>
      <c r="S11" s="594"/>
      <c r="T11" s="595"/>
      <c r="V11" s="443"/>
      <c r="W11" s="26"/>
    </row>
    <row r="12" spans="1:26" s="448" customFormat="1" ht="14.5">
      <c r="A12" s="28"/>
      <c r="B12" s="183" t="s">
        <v>251</v>
      </c>
      <c r="C12" s="183" t="s">
        <v>252</v>
      </c>
      <c r="D12" s="183" t="s">
        <v>253</v>
      </c>
      <c r="E12" s="183" t="s">
        <v>254</v>
      </c>
      <c r="F12" s="444" t="s">
        <v>255</v>
      </c>
      <c r="G12" s="183" t="s">
        <v>256</v>
      </c>
      <c r="H12" s="444" t="s">
        <v>257</v>
      </c>
      <c r="I12" s="444" t="s">
        <v>258</v>
      </c>
      <c r="J12" s="183" t="s">
        <v>259</v>
      </c>
      <c r="K12" s="183" t="s">
        <v>260</v>
      </c>
      <c r="L12" s="183" t="s">
        <v>261</v>
      </c>
      <c r="M12" s="445" t="s">
        <v>262</v>
      </c>
      <c r="N12" s="446" t="s">
        <v>263</v>
      </c>
      <c r="O12" s="446" t="s">
        <v>264</v>
      </c>
      <c r="P12" s="446" t="s">
        <v>265</v>
      </c>
      <c r="Q12" s="446" t="s">
        <v>266</v>
      </c>
      <c r="R12" s="446" t="s">
        <v>267</v>
      </c>
      <c r="S12" s="446" t="s">
        <v>268</v>
      </c>
      <c r="T12" s="447" t="s">
        <v>269</v>
      </c>
      <c r="U12" s="34"/>
      <c r="V12" s="443"/>
      <c r="W12" s="26"/>
      <c r="X12" s="34"/>
      <c r="Y12" s="34"/>
    </row>
    <row r="13" spans="1:26" s="19" customFormat="1" ht="12.75" customHeight="1">
      <c r="A13" s="18"/>
      <c r="B13" s="398"/>
      <c r="C13" s="305"/>
      <c r="D13" s="306"/>
      <c r="E13" s="437"/>
      <c r="F13" s="307"/>
      <c r="G13" s="308"/>
      <c r="H13" s="490"/>
      <c r="I13" s="491"/>
      <c r="J13" s="490"/>
      <c r="K13" s="490"/>
      <c r="L13" s="490"/>
      <c r="M13" s="492"/>
      <c r="N13" s="438"/>
      <c r="O13" s="495"/>
      <c r="P13" s="362" t="str">
        <f>IFERROR(EOMONTH(E13,G13-MONTH(1)),"")</f>
        <v/>
      </c>
      <c r="Q13" s="171" cm="1">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0</v>
      </c>
      <c r="R13" s="179">
        <f>-(IFERROR(IF(J13=0,(O13*(1-F13))/G13*Q13,(J13*(1-F13))/G13*Q13),0))</f>
        <v>0</v>
      </c>
      <c r="S13" s="171">
        <f>R13-H13</f>
        <v>0</v>
      </c>
      <c r="T13" s="157" t="str">
        <f>IF(ABS(S13)&gt;'L1.00 Lead sheet'!$C$6,"Note","w")</f>
        <v>w</v>
      </c>
      <c r="V13" s="52"/>
      <c r="W13" s="10"/>
    </row>
    <row r="14" spans="1:26" s="19" customFormat="1" ht="13">
      <c r="A14" s="18"/>
      <c r="B14" s="309"/>
      <c r="C14" s="305"/>
      <c r="D14" s="306"/>
      <c r="E14" s="437"/>
      <c r="F14" s="307"/>
      <c r="G14" s="308"/>
      <c r="H14" s="490"/>
      <c r="I14" s="491"/>
      <c r="J14" s="490"/>
      <c r="K14" s="490"/>
      <c r="L14" s="490"/>
      <c r="M14" s="492"/>
      <c r="N14" s="438"/>
      <c r="O14" s="495"/>
      <c r="P14" s="362" t="str">
        <f>IFERROR(EOMONTH(E14,G14-MONTH(1)),"")</f>
        <v/>
      </c>
      <c r="Q14" s="171" cm="1">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0</v>
      </c>
      <c r="R14" s="179">
        <f>-(IFERROR(IF(J14=0,(O14*(1-F14))/G14*Q14,(J14*(1-F14))/G14*Q14),0))</f>
        <v>0</v>
      </c>
      <c r="S14" s="179">
        <f>R14-H14</f>
        <v>0</v>
      </c>
      <c r="T14" s="157" t="str">
        <f>IF(ABS(S14)&gt;'L1.00 Lead sheet'!$C$6,"Note","w")</f>
        <v>w</v>
      </c>
      <c r="V14" s="52"/>
      <c r="W14" s="10"/>
    </row>
    <row r="15" spans="1:26" s="19" customFormat="1" ht="13">
      <c r="A15" s="18"/>
      <c r="B15" s="309"/>
      <c r="C15" s="305"/>
      <c r="D15" s="306"/>
      <c r="E15" s="437"/>
      <c r="F15" s="307"/>
      <c r="G15" s="308"/>
      <c r="H15" s="490"/>
      <c r="I15" s="491"/>
      <c r="J15" s="490"/>
      <c r="K15" s="490"/>
      <c r="L15" s="490"/>
      <c r="M15" s="492"/>
      <c r="N15" s="438"/>
      <c r="O15" s="495"/>
      <c r="P15" s="362" t="str">
        <f>IFERROR(EOMONTH(E15,G15-MONTH(1)),"")</f>
        <v/>
      </c>
      <c r="Q15" s="171" cm="1">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0</v>
      </c>
      <c r="R15" s="179">
        <f>-(IFERROR(IF(J15=0,(O15*(1-F15))/G15*Q15,(J15*(1-F15))/G15*Q15),0))</f>
        <v>0</v>
      </c>
      <c r="S15" s="179">
        <f>R15-H15</f>
        <v>0</v>
      </c>
      <c r="T15" s="157" t="str">
        <f>IF(ABS(S15)&gt;'L1.00 Lead sheet'!$C$6,"Note","w")</f>
        <v>w</v>
      </c>
      <c r="V15" s="52"/>
      <c r="W15" s="10"/>
    </row>
    <row r="16" spans="1:26" s="19" customFormat="1" ht="13">
      <c r="A16" s="18"/>
      <c r="B16" s="309"/>
      <c r="C16" s="308"/>
      <c r="D16" s="310"/>
      <c r="E16" s="437"/>
      <c r="F16" s="307"/>
      <c r="G16" s="308"/>
      <c r="H16" s="490"/>
      <c r="I16" s="491"/>
      <c r="J16" s="490"/>
      <c r="K16" s="490"/>
      <c r="L16" s="490"/>
      <c r="M16" s="492"/>
      <c r="N16" s="438"/>
      <c r="O16" s="495"/>
      <c r="P16" s="362" t="str">
        <f>IFERROR(EOMONTH(E16,G16-MONTH(1)),"")</f>
        <v/>
      </c>
      <c r="Q16" s="171" cm="1">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0</v>
      </c>
      <c r="R16" s="179">
        <f>-(IFERROR(IF(J16=0,(O16*(1-F16))/G16*Q16,(J16*(1-F16))/G16*Q16),0))</f>
        <v>0</v>
      </c>
      <c r="S16" s="179">
        <f>R16-H16</f>
        <v>0</v>
      </c>
      <c r="T16" s="157" t="str">
        <f>IF(ABS(S16)&gt;'L1.00 Lead sheet'!$C$6,"Note","w")</f>
        <v>w</v>
      </c>
      <c r="V16" s="52"/>
      <c r="W16" s="10"/>
    </row>
    <row r="17" spans="1:25" s="19" customFormat="1" ht="13">
      <c r="A17" s="18"/>
      <c r="B17" s="309"/>
      <c r="C17" s="308"/>
      <c r="D17" s="310"/>
      <c r="E17" s="437"/>
      <c r="F17" s="307"/>
      <c r="G17" s="308"/>
      <c r="H17" s="490"/>
      <c r="I17" s="491"/>
      <c r="J17" s="490"/>
      <c r="K17" s="490"/>
      <c r="L17" s="490"/>
      <c r="M17" s="492"/>
      <c r="N17" s="438"/>
      <c r="O17" s="495"/>
      <c r="P17" s="362" t="str">
        <f>IFERROR(EOMONTH(E17,G17-MONTH(1)),"")</f>
        <v/>
      </c>
      <c r="Q17" s="171" cm="1">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0</v>
      </c>
      <c r="R17" s="179">
        <f>-(IFERROR(IF(J17=0,(O17*(1-F17))/G17*Q17,(J17*(1-F17))/G17*Q17),0))</f>
        <v>0</v>
      </c>
      <c r="S17" s="179">
        <f>R17-H17</f>
        <v>0</v>
      </c>
      <c r="T17" s="157" t="str">
        <f>IF(ABS(S17)&gt;'L1.00 Lead sheet'!$C$6,"Note","w")</f>
        <v>w</v>
      </c>
      <c r="V17" s="52"/>
      <c r="W17" s="10"/>
    </row>
    <row r="18" spans="1:25" s="19" customFormat="1" ht="14.5">
      <c r="A18" s="18"/>
      <c r="B18" s="182"/>
      <c r="C18" s="183"/>
      <c r="D18" s="184" t="s">
        <v>270</v>
      </c>
      <c r="E18" s="183"/>
      <c r="F18" s="185"/>
      <c r="G18" s="183"/>
      <c r="H18" s="493">
        <f t="shared" ref="H18:O18" si="0">SUM(H12:H17)</f>
        <v>0</v>
      </c>
      <c r="I18" s="493">
        <f t="shared" si="0"/>
        <v>0</v>
      </c>
      <c r="J18" s="493">
        <f t="shared" si="0"/>
        <v>0</v>
      </c>
      <c r="K18" s="493">
        <f t="shared" si="0"/>
        <v>0</v>
      </c>
      <c r="L18" s="493">
        <f t="shared" si="0"/>
        <v>0</v>
      </c>
      <c r="M18" s="494">
        <f t="shared" si="0"/>
        <v>0</v>
      </c>
      <c r="N18" s="186"/>
      <c r="O18" s="494">
        <f t="shared" si="0"/>
        <v>0</v>
      </c>
      <c r="P18" s="126"/>
      <c r="Q18" s="126"/>
      <c r="R18" s="494">
        <f t="shared" ref="R18:S18" si="1">SUM(R12:R17)</f>
        <v>0</v>
      </c>
      <c r="S18" s="494">
        <f t="shared" si="1"/>
        <v>0</v>
      </c>
      <c r="T18" s="439" t="str">
        <f>IF(ABS(S18)&gt;'L1.00 Lead sheet'!$C$6,"Note","w")</f>
        <v>w</v>
      </c>
      <c r="U18" s="10"/>
      <c r="V18" s="52"/>
      <c r="W18" s="10"/>
      <c r="X18" s="10"/>
      <c r="Y18" s="10"/>
    </row>
    <row r="19" spans="1:25" s="10" customFormat="1" ht="13">
      <c r="A19" s="9"/>
      <c r="B19" s="40"/>
      <c r="C19" s="41"/>
      <c r="D19" s="41"/>
      <c r="E19" s="40"/>
      <c r="F19" s="42"/>
      <c r="G19" s="40"/>
      <c r="H19" s="28" t="s">
        <v>136</v>
      </c>
      <c r="I19" s="28" t="s">
        <v>136</v>
      </c>
      <c r="J19" s="28" t="s">
        <v>136</v>
      </c>
      <c r="K19" s="28" t="s">
        <v>136</v>
      </c>
      <c r="L19" s="28" t="s">
        <v>136</v>
      </c>
      <c r="M19" s="28" t="s">
        <v>136</v>
      </c>
      <c r="O19" s="28" t="s">
        <v>136</v>
      </c>
      <c r="R19" s="28" t="s">
        <v>136</v>
      </c>
      <c r="S19" s="28"/>
      <c r="V19" s="52"/>
    </row>
    <row r="20" spans="1:25" s="10" customFormat="1" ht="13">
      <c r="A20" s="9"/>
      <c r="B20" s="40"/>
      <c r="C20" s="41"/>
      <c r="D20" s="41"/>
      <c r="E20" s="40"/>
      <c r="F20" s="42"/>
      <c r="G20" s="40"/>
      <c r="H20" s="28"/>
      <c r="I20" s="28"/>
      <c r="J20" s="28"/>
      <c r="K20" s="28"/>
      <c r="L20" s="28"/>
      <c r="M20" s="28"/>
      <c r="V20" s="52"/>
    </row>
    <row r="21" spans="1:25" s="10" customFormat="1" ht="14.5">
      <c r="A21" s="9"/>
      <c r="B21" s="350" t="s">
        <v>271</v>
      </c>
      <c r="C21" s="351"/>
      <c r="D21" s="351"/>
      <c r="E21" s="351"/>
      <c r="F21" s="351"/>
      <c r="G21" s="351"/>
      <c r="H21" s="28"/>
      <c r="I21" s="28"/>
      <c r="J21" s="28"/>
      <c r="K21" s="28"/>
      <c r="L21" s="28"/>
      <c r="M21" s="28"/>
      <c r="V21" s="52"/>
    </row>
    <row r="22" spans="1:25" s="10" customFormat="1" ht="14.5">
      <c r="A22" s="9"/>
      <c r="B22" s="5" t="s">
        <v>272</v>
      </c>
      <c r="C22" s="138"/>
      <c r="D22" s="1"/>
      <c r="E22" s="1"/>
      <c r="F22" s="1"/>
      <c r="G22" s="1"/>
      <c r="H22" s="28"/>
      <c r="I22" s="28"/>
      <c r="J22" s="28"/>
      <c r="K22" s="28"/>
      <c r="L22" s="28"/>
      <c r="M22" s="28"/>
      <c r="V22" s="52"/>
    </row>
    <row r="23" spans="1:25" s="10" customFormat="1" ht="14.5">
      <c r="A23" s="9"/>
      <c r="B23" s="573" t="s">
        <v>273</v>
      </c>
      <c r="C23" s="449" t="str">
        <f>YEAR('L1.00 Lead sheet'!C3)&amp;"年度"</f>
        <v>2025年度</v>
      </c>
      <c r="D23" s="449" t="str">
        <f>YEAR('L1.00 Lead sheet'!C3)-1&amp;"年度"</f>
        <v>2024年度</v>
      </c>
      <c r="E23" s="597" t="s">
        <v>274</v>
      </c>
      <c r="F23" s="597" t="s">
        <v>275</v>
      </c>
      <c r="G23" s="450" t="s">
        <v>276</v>
      </c>
      <c r="H23" s="28"/>
      <c r="I23" s="28"/>
      <c r="J23" s="28"/>
      <c r="K23" s="28"/>
      <c r="L23" s="28"/>
      <c r="M23" s="28"/>
      <c r="V23" s="52"/>
    </row>
    <row r="24" spans="1:25" s="10" customFormat="1" ht="14.5">
      <c r="A24" s="9"/>
      <c r="B24" s="575"/>
      <c r="C24" s="177" t="s">
        <v>277</v>
      </c>
      <c r="D24" s="177" t="s">
        <v>277</v>
      </c>
      <c r="E24" s="598"/>
      <c r="F24" s="598"/>
      <c r="G24" s="451" t="s">
        <v>278</v>
      </c>
      <c r="H24" s="28"/>
      <c r="I24" s="28"/>
      <c r="J24" s="28"/>
      <c r="K24" s="28"/>
      <c r="L24" s="28"/>
      <c r="M24" s="28"/>
      <c r="V24" s="52"/>
    </row>
    <row r="25" spans="1:25" s="10" customFormat="1" ht="13">
      <c r="A25" s="9"/>
      <c r="B25" s="224" t="str">
        <f>'L1.01.1 Agree SL to GL'!F10</f>
        <v>土地使用权</v>
      </c>
      <c r="C25" s="311"/>
      <c r="D25" s="311"/>
      <c r="E25" s="312" t="b">
        <f>C25=D25</f>
        <v>1</v>
      </c>
      <c r="F25" s="313"/>
      <c r="G25" s="314"/>
      <c r="H25" s="28"/>
      <c r="I25" s="28"/>
      <c r="J25" s="28"/>
      <c r="K25" s="28"/>
      <c r="L25" s="28"/>
      <c r="M25" s="28"/>
      <c r="V25" s="52"/>
    </row>
    <row r="26" spans="1:25" s="10" customFormat="1" ht="13">
      <c r="A26" s="9"/>
      <c r="B26" s="224" t="str">
        <f>'L1.01.1 Agree SL to GL'!I10</f>
        <v>软件</v>
      </c>
      <c r="C26" s="311"/>
      <c r="D26" s="311"/>
      <c r="E26" s="312" t="b">
        <f>C26=D26</f>
        <v>1</v>
      </c>
      <c r="F26" s="313"/>
      <c r="G26" s="314"/>
      <c r="H26" s="28"/>
      <c r="I26" s="28"/>
      <c r="J26" s="28"/>
      <c r="K26" s="28"/>
      <c r="L26" s="28"/>
      <c r="M26" s="28"/>
      <c r="V26" s="52"/>
    </row>
    <row r="27" spans="1:25" s="10" customFormat="1" ht="13">
      <c r="A27" s="9"/>
      <c r="B27" s="224" t="str">
        <f>'L1.01.1 Agree SL to GL'!L10</f>
        <v>商标权</v>
      </c>
      <c r="C27" s="311"/>
      <c r="D27" s="311"/>
      <c r="E27" s="312" t="b">
        <f t="shared" ref="E27:E29" si="2">C27=D27</f>
        <v>1</v>
      </c>
      <c r="F27" s="313"/>
      <c r="G27" s="314"/>
      <c r="H27" s="28"/>
      <c r="I27" s="28"/>
      <c r="J27" s="28"/>
      <c r="K27" s="28"/>
      <c r="L27" s="28"/>
      <c r="M27" s="28"/>
      <c r="V27" s="52"/>
    </row>
    <row r="28" spans="1:25" s="10" customFormat="1" ht="13">
      <c r="A28" s="9"/>
      <c r="B28" s="224" t="str">
        <f>'L1.01.1 Agree SL to GL'!O10</f>
        <v>专利权</v>
      </c>
      <c r="C28" s="311"/>
      <c r="D28" s="311"/>
      <c r="E28" s="312" t="b">
        <f t="shared" si="2"/>
        <v>1</v>
      </c>
      <c r="F28" s="313"/>
      <c r="G28" s="314"/>
      <c r="H28" s="28"/>
      <c r="I28" s="28"/>
      <c r="J28" s="28"/>
      <c r="K28" s="28"/>
      <c r="L28" s="28"/>
      <c r="M28" s="28"/>
      <c r="V28" s="52"/>
    </row>
    <row r="29" spans="1:25" s="10" customFormat="1" ht="13">
      <c r="A29" s="9"/>
      <c r="B29" s="224" t="str">
        <f>'L1.01.1 Agree SL to GL'!R10</f>
        <v>特许权</v>
      </c>
      <c r="C29" s="313"/>
      <c r="D29" s="313"/>
      <c r="E29" s="312" t="b">
        <f t="shared" si="2"/>
        <v>1</v>
      </c>
      <c r="F29" s="313"/>
      <c r="G29" s="314"/>
      <c r="H29" s="28"/>
      <c r="I29" s="28"/>
      <c r="J29" s="28"/>
      <c r="K29" s="28"/>
      <c r="L29" s="28"/>
      <c r="M29" s="28"/>
      <c r="V29" s="52"/>
    </row>
    <row r="30" spans="1:25" ht="15" customHeight="1">
      <c r="V30" s="52"/>
    </row>
    <row r="31" spans="1:25" ht="7.5" customHeight="1">
      <c r="A31" s="52"/>
      <c r="B31" s="52"/>
      <c r="C31" s="52"/>
      <c r="D31" s="52"/>
      <c r="E31" s="52"/>
      <c r="F31" s="52"/>
      <c r="G31" s="52"/>
      <c r="H31" s="52"/>
      <c r="I31" s="52"/>
      <c r="J31" s="52"/>
      <c r="K31" s="52"/>
      <c r="L31" s="52"/>
      <c r="M31" s="52"/>
      <c r="N31" s="52"/>
      <c r="O31" s="52"/>
      <c r="P31" s="52"/>
      <c r="Q31" s="52"/>
      <c r="R31" s="52"/>
      <c r="S31" s="52"/>
      <c r="T31" s="52"/>
      <c r="U31" s="52"/>
      <c r="V31" s="52"/>
    </row>
  </sheetData>
  <mergeCells count="7">
    <mergeCell ref="N11:O11"/>
    <mergeCell ref="P11:T11"/>
    <mergeCell ref="B4:M4"/>
    <mergeCell ref="B5:M5"/>
    <mergeCell ref="B23:B24"/>
    <mergeCell ref="E23:E24"/>
    <mergeCell ref="F23:F24"/>
  </mergeCells>
  <phoneticPr fontId="78" type="noConversion"/>
  <conditionalFormatting sqref="B25:D29">
    <cfRule type="containsBlanks" dxfId="8" priority="3">
      <formula>LEN(TRIM(B25))=0</formula>
    </cfRule>
  </conditionalFormatting>
  <conditionalFormatting sqref="B13:T17">
    <cfRule type="containsBlanks" dxfId="7" priority="2">
      <formula>LEN(TRIM(B13))=0</formula>
    </cfRule>
  </conditionalFormatting>
  <conditionalFormatting sqref="F25:G29">
    <cfRule type="containsBlanks" dxfId="6" priority="4">
      <formula>LEN(TRIM(F25))=0</formula>
    </cfRule>
  </conditionalFormatting>
  <conditionalFormatting sqref="T13:T18">
    <cfRule type="cellIs" dxfId="5" priority="21" operator="equal">
      <formula>"m"</formula>
    </cfRule>
  </conditionalFormatting>
  <conditionalFormatting sqref="T18">
    <cfRule type="containsBlanks" dxfId="4" priority="1">
      <formula>LEN(TRIM(T18))=0</formula>
    </cfRule>
  </conditionalFormatting>
  <hyperlinks>
    <hyperlink ref="B7" location="汇总!A1" display="返回汇总页" xr:uid="{493A75F6-3F9D-445C-9040-23ABCA986EC9}"/>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3570-D8F2-472D-A108-5DD6DEAFDBD7}">
  <dimension ref="A1:Z36"/>
  <sheetViews>
    <sheetView showGridLines="0" topLeftCell="A2" zoomScale="70" zoomScaleNormal="70" zoomScaleSheetLayoutView="70" workbookViewId="0">
      <selection activeCell="W15" sqref="W15"/>
    </sheetView>
  </sheetViews>
  <sheetFormatPr defaultColWidth="7.33203125" defaultRowHeight="12.75" customHeight="1"/>
  <cols>
    <col min="1" max="1" width="13.6640625" style="29" customWidth="1"/>
    <col min="2" max="2" width="16.58203125" style="44" customWidth="1"/>
    <col min="3" max="3" width="18.75" style="44" bestFit="1" customWidth="1"/>
    <col min="4" max="4" width="16.08203125" style="44" customWidth="1"/>
    <col min="5" max="5" width="26.33203125" style="44" bestFit="1" customWidth="1"/>
    <col min="6" max="6" width="16" style="44" bestFit="1" customWidth="1"/>
    <col min="7" max="7" width="13.33203125" style="44" bestFit="1" customWidth="1"/>
    <col min="8" max="8" width="13.75" style="44" customWidth="1"/>
    <col min="9" max="9" width="17" style="44" customWidth="1"/>
    <col min="10" max="10" width="12.08203125" style="44" customWidth="1"/>
    <col min="11" max="11" width="13.58203125" style="44" customWidth="1"/>
    <col min="12" max="12" width="13.33203125" style="44" bestFit="1" customWidth="1"/>
    <col min="13" max="13" width="11.33203125" style="44" customWidth="1"/>
    <col min="14" max="14" width="10.75" style="44" customWidth="1"/>
    <col min="15" max="16" width="13.33203125" style="44" bestFit="1" customWidth="1"/>
    <col min="17" max="17" width="15.58203125" style="44" bestFit="1" customWidth="1"/>
    <col min="18" max="18" width="23.33203125" style="44" bestFit="1" customWidth="1"/>
    <col min="19" max="19" width="13.33203125" style="44" bestFit="1" customWidth="1"/>
    <col min="20" max="20" width="5.58203125" style="44" bestFit="1" customWidth="1"/>
    <col min="21" max="21" width="2.58203125" style="44" customWidth="1"/>
    <col min="22" max="22" width="1.58203125" style="44" customWidth="1"/>
    <col min="23" max="23" width="19.58203125" style="44" customWidth="1"/>
    <col min="24" max="24" width="13" style="44" customWidth="1"/>
    <col min="25" max="25" width="10.33203125" style="44" customWidth="1"/>
    <col min="26" max="16384" width="7.33203125" style="44"/>
  </cols>
  <sheetData>
    <row r="1" spans="1:26" ht="50.15" customHeight="1">
      <c r="A1" s="150"/>
      <c r="B1" s="238" t="s">
        <v>183</v>
      </c>
      <c r="C1" s="78"/>
      <c r="D1" s="151"/>
      <c r="E1" s="151"/>
      <c r="F1" s="151"/>
      <c r="G1" s="151"/>
      <c r="H1" s="151"/>
      <c r="I1" s="151"/>
      <c r="J1" s="151"/>
      <c r="K1" s="151"/>
      <c r="L1" s="151"/>
      <c r="M1" s="151"/>
      <c r="N1" s="78"/>
      <c r="O1" s="78"/>
      <c r="P1" s="79"/>
      <c r="Q1" s="79"/>
      <c r="R1" s="79"/>
      <c r="S1" s="79"/>
      <c r="T1" s="180"/>
      <c r="U1" s="51"/>
      <c r="V1" s="52"/>
      <c r="W1" s="51"/>
      <c r="X1" s="51"/>
      <c r="Y1" s="51"/>
      <c r="Z1" s="51"/>
    </row>
    <row r="2" spans="1:26" s="251" customFormat="1" ht="30" customHeight="1">
      <c r="A2" s="247"/>
      <c r="B2" s="246" t="s">
        <v>243</v>
      </c>
      <c r="C2" s="248"/>
      <c r="D2" s="248"/>
      <c r="E2" s="248"/>
      <c r="F2" s="248"/>
      <c r="G2" s="248"/>
      <c r="H2" s="248"/>
      <c r="I2" s="248"/>
      <c r="J2" s="248"/>
      <c r="K2" s="248"/>
      <c r="L2" s="248"/>
      <c r="M2" s="248"/>
      <c r="N2" s="248"/>
      <c r="O2" s="248"/>
      <c r="P2" s="248"/>
      <c r="Q2" s="248"/>
      <c r="R2" s="248"/>
      <c r="S2" s="248"/>
      <c r="T2" s="249"/>
      <c r="U2" s="247"/>
      <c r="V2" s="250"/>
      <c r="W2" s="247"/>
      <c r="X2" s="247"/>
      <c r="Y2" s="247"/>
      <c r="Z2" s="247"/>
    </row>
    <row r="3" spans="1:26" ht="12.75" customHeight="1">
      <c r="A3" s="149"/>
      <c r="V3" s="52"/>
    </row>
    <row r="4" spans="1:26" s="10" customFormat="1" ht="17.5">
      <c r="A4" s="18"/>
      <c r="B4" s="596" t="s">
        <v>244</v>
      </c>
      <c r="C4" s="596"/>
      <c r="D4" s="596"/>
      <c r="E4" s="596"/>
      <c r="F4" s="596"/>
      <c r="G4" s="596"/>
      <c r="H4" s="596"/>
      <c r="I4" s="596"/>
      <c r="J4" s="596"/>
      <c r="K4" s="596"/>
      <c r="L4" s="596"/>
      <c r="M4" s="596"/>
      <c r="N4" s="27"/>
      <c r="V4" s="52"/>
    </row>
    <row r="5" spans="1:26" s="31" customFormat="1" ht="17.5">
      <c r="A5" s="29"/>
      <c r="B5" s="596" t="s">
        <v>245</v>
      </c>
      <c r="C5" s="596"/>
      <c r="D5" s="596"/>
      <c r="E5" s="596"/>
      <c r="F5" s="596"/>
      <c r="G5" s="596"/>
      <c r="H5" s="596"/>
      <c r="I5" s="596"/>
      <c r="J5" s="596"/>
      <c r="K5" s="596"/>
      <c r="L5" s="596"/>
      <c r="M5" s="596"/>
      <c r="N5" s="27"/>
      <c r="O5" s="10"/>
      <c r="P5" s="30"/>
      <c r="Q5" s="30"/>
      <c r="R5" s="19"/>
      <c r="S5" s="19"/>
      <c r="T5" s="19"/>
      <c r="U5" s="19"/>
      <c r="V5" s="52"/>
      <c r="W5" s="10"/>
      <c r="X5" s="19"/>
      <c r="Y5" s="19"/>
    </row>
    <row r="6" spans="1:26" s="10" customFormat="1" ht="13" customHeight="1">
      <c r="A6" s="32"/>
      <c r="N6" s="27"/>
      <c r="P6" s="33"/>
      <c r="Q6" s="33"/>
      <c r="R6" s="34"/>
      <c r="S6" s="34"/>
      <c r="T6" s="34"/>
      <c r="U6" s="34"/>
      <c r="V6" s="52"/>
      <c r="W6" s="26"/>
      <c r="X6" s="34"/>
      <c r="Y6" s="34"/>
    </row>
    <row r="7" spans="1:26" s="10" customFormat="1" ht="13" customHeight="1">
      <c r="A7" s="32"/>
      <c r="B7" s="396" t="s">
        <v>45</v>
      </c>
      <c r="N7" s="27"/>
      <c r="P7" s="33"/>
      <c r="Q7" s="33"/>
      <c r="R7" s="34"/>
      <c r="S7" s="34"/>
      <c r="T7" s="34"/>
      <c r="U7" s="34"/>
      <c r="V7" s="52"/>
      <c r="W7" s="26"/>
      <c r="X7" s="34"/>
      <c r="Y7" s="34"/>
    </row>
    <row r="8" spans="1:26" s="10" customFormat="1" ht="13" customHeight="1">
      <c r="A8" s="32"/>
      <c r="N8" s="27"/>
      <c r="P8" s="33"/>
      <c r="Q8" s="33"/>
      <c r="R8" s="34"/>
      <c r="S8" s="34"/>
      <c r="T8" s="34"/>
      <c r="U8" s="34"/>
      <c r="V8" s="52"/>
      <c r="W8" s="26"/>
      <c r="X8" s="34"/>
      <c r="Y8" s="34"/>
    </row>
    <row r="9" spans="1:26" s="19" customFormat="1" ht="14.5">
      <c r="A9" s="18"/>
      <c r="B9" s="26" t="s">
        <v>246</v>
      </c>
      <c r="C9" s="30"/>
      <c r="D9" s="30"/>
      <c r="E9" s="30"/>
      <c r="F9" s="30"/>
      <c r="G9" s="30"/>
      <c r="H9" s="30"/>
      <c r="I9" s="30"/>
      <c r="J9" s="30"/>
      <c r="K9" s="30"/>
      <c r="V9" s="52"/>
      <c r="W9" s="10"/>
    </row>
    <row r="10" spans="1:26" s="34" customFormat="1" ht="20.149999999999999" customHeight="1">
      <c r="A10" s="18"/>
      <c r="B10" s="30" t="s">
        <v>247</v>
      </c>
      <c r="C10" s="33"/>
      <c r="D10" s="33"/>
      <c r="E10" s="33"/>
      <c r="F10" s="33"/>
      <c r="G10" s="33"/>
      <c r="H10" s="33"/>
      <c r="I10" s="33"/>
      <c r="J10" s="33"/>
      <c r="K10" s="33"/>
      <c r="L10" s="35"/>
      <c r="M10" s="35"/>
      <c r="N10" s="35"/>
      <c r="P10" s="28"/>
      <c r="Q10" s="28"/>
      <c r="R10" s="28"/>
      <c r="S10" s="28"/>
      <c r="T10" s="35"/>
      <c r="V10" s="52"/>
      <c r="W10" s="26"/>
    </row>
    <row r="11" spans="1:26" s="34" customFormat="1" ht="15">
      <c r="A11" s="18"/>
      <c r="B11" s="441" t="s">
        <v>248</v>
      </c>
      <c r="C11" s="33"/>
      <c r="D11" s="36"/>
      <c r="E11" s="37"/>
      <c r="F11" s="38"/>
      <c r="G11" s="37"/>
      <c r="H11" s="39"/>
      <c r="I11" s="442"/>
      <c r="J11" s="28"/>
      <c r="N11" s="591" t="s">
        <v>249</v>
      </c>
      <c r="O11" s="592"/>
      <c r="P11" s="593" t="s">
        <v>250</v>
      </c>
      <c r="Q11" s="594"/>
      <c r="R11" s="594"/>
      <c r="S11" s="594"/>
      <c r="T11" s="595"/>
      <c r="V11" s="443"/>
      <c r="W11" s="26"/>
    </row>
    <row r="12" spans="1:26" s="448" customFormat="1" ht="14.5">
      <c r="A12" s="501" t="s">
        <v>449</v>
      </c>
      <c r="B12" s="183" t="s">
        <v>251</v>
      </c>
      <c r="C12" s="183" t="s">
        <v>252</v>
      </c>
      <c r="D12" s="183" t="s">
        <v>253</v>
      </c>
      <c r="E12" s="183" t="s">
        <v>254</v>
      </c>
      <c r="F12" s="444" t="s">
        <v>255</v>
      </c>
      <c r="G12" s="183" t="s">
        <v>256</v>
      </c>
      <c r="H12" s="444" t="s">
        <v>257</v>
      </c>
      <c r="I12" s="444" t="s">
        <v>258</v>
      </c>
      <c r="J12" s="183" t="s">
        <v>259</v>
      </c>
      <c r="K12" s="183" t="s">
        <v>260</v>
      </c>
      <c r="L12" s="183" t="s">
        <v>261</v>
      </c>
      <c r="M12" s="445" t="s">
        <v>262</v>
      </c>
      <c r="N12" s="446" t="s">
        <v>263</v>
      </c>
      <c r="O12" s="446" t="s">
        <v>264</v>
      </c>
      <c r="P12" s="446" t="s">
        <v>265</v>
      </c>
      <c r="Q12" s="446" t="s">
        <v>266</v>
      </c>
      <c r="R12" s="446" t="s">
        <v>267</v>
      </c>
      <c r="S12" s="446" t="s">
        <v>268</v>
      </c>
      <c r="T12" s="447" t="s">
        <v>269</v>
      </c>
      <c r="U12" s="34"/>
      <c r="V12" s="443"/>
      <c r="W12" s="26"/>
      <c r="X12" s="34"/>
      <c r="Y12" s="34"/>
    </row>
    <row r="13" spans="1:26" s="19" customFormat="1" ht="12.75" customHeight="1">
      <c r="A13" s="502" t="s">
        <v>442</v>
      </c>
      <c r="B13" s="398" t="s">
        <v>450</v>
      </c>
      <c r="C13" s="305" t="s">
        <v>456</v>
      </c>
      <c r="D13" s="503" t="s">
        <v>462</v>
      </c>
      <c r="E13" s="437">
        <v>44113</v>
      </c>
      <c r="F13" s="307">
        <v>0</v>
      </c>
      <c r="G13" s="308">
        <v>480</v>
      </c>
      <c r="H13" s="490">
        <v>145611.12</v>
      </c>
      <c r="I13" s="491">
        <v>0</v>
      </c>
      <c r="J13" s="490">
        <v>8736665.9600000009</v>
      </c>
      <c r="K13" s="490">
        <v>1055359.5</v>
      </c>
      <c r="L13" s="490">
        <v>0</v>
      </c>
      <c r="M13" s="492">
        <f>J13-K13-L13</f>
        <v>7681306.4600000009</v>
      </c>
      <c r="N13" s="438" t="s">
        <v>465</v>
      </c>
      <c r="O13" s="438" t="s">
        <v>465</v>
      </c>
      <c r="P13" s="362">
        <f>IFERROR(EOMONTH(E13,G13-MONTH(1)),"")</f>
        <v>58714</v>
      </c>
      <c r="Q13" s="171">
        <v>8</v>
      </c>
      <c r="R13" s="179">
        <f>-(IFERROR(IF(J13=0,(O13*(1-F13))/G13*Q13,(J13*(1-F13))/G13*Q13),0))</f>
        <v>-145611.09933333335</v>
      </c>
      <c r="S13" s="171">
        <f>R13+H13</f>
        <v>2.0666666649049148E-2</v>
      </c>
      <c r="T13" s="157" t="str">
        <f>IF(ABS(S13)&gt;'L1.00 Lead sheet'!$C$6,"Note","w")</f>
        <v>w</v>
      </c>
      <c r="V13" s="52"/>
      <c r="W13" s="10"/>
    </row>
    <row r="14" spans="1:26" s="19" customFormat="1" ht="13">
      <c r="A14" s="502" t="s">
        <v>442</v>
      </c>
      <c r="B14" s="309" t="s">
        <v>451</v>
      </c>
      <c r="C14" s="305" t="s">
        <v>457</v>
      </c>
      <c r="D14" s="503" t="s">
        <v>445</v>
      </c>
      <c r="E14" s="437">
        <v>43175</v>
      </c>
      <c r="F14" s="307">
        <v>0</v>
      </c>
      <c r="G14" s="308">
        <v>60</v>
      </c>
      <c r="H14" s="490">
        <v>0</v>
      </c>
      <c r="I14" s="491">
        <v>0</v>
      </c>
      <c r="J14" s="490">
        <v>50943.4</v>
      </c>
      <c r="K14" s="490">
        <v>50943.4</v>
      </c>
      <c r="L14" s="490">
        <v>0</v>
      </c>
      <c r="M14" s="492">
        <f t="shared" ref="M14:M19" si="0">J14-K14-L14</f>
        <v>0</v>
      </c>
      <c r="N14" s="438" t="s">
        <v>465</v>
      </c>
      <c r="O14" s="438" t="s">
        <v>465</v>
      </c>
      <c r="P14" s="362">
        <f>IFERROR(EOMONTH(E14,G14-MONTH(1)),"")</f>
        <v>44985</v>
      </c>
      <c r="Q14" s="171" cm="1">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0</v>
      </c>
      <c r="R14" s="179">
        <f>-(IFERROR(IF(J14=0,(O14*(1-F14))/G14*Q14,(J14*(1-F14))/G14*Q14),0))</f>
        <v>0</v>
      </c>
      <c r="S14" s="179">
        <f>R14-H14</f>
        <v>0</v>
      </c>
      <c r="T14" s="157" t="str">
        <f>IF(ABS(S14)&gt;'L1.00 Lead sheet'!$C$6,"Note","w")</f>
        <v>w</v>
      </c>
      <c r="V14" s="52"/>
      <c r="W14" s="10"/>
    </row>
    <row r="15" spans="1:26" s="19" customFormat="1" ht="13">
      <c r="A15" s="502" t="s">
        <v>442</v>
      </c>
      <c r="B15" s="309" t="s">
        <v>452</v>
      </c>
      <c r="C15" s="305" t="s">
        <v>458</v>
      </c>
      <c r="D15" s="503" t="s">
        <v>445</v>
      </c>
      <c r="E15" s="437">
        <v>43255</v>
      </c>
      <c r="F15" s="307">
        <v>0</v>
      </c>
      <c r="G15" s="308">
        <v>60</v>
      </c>
      <c r="H15" s="490">
        <v>0</v>
      </c>
      <c r="I15" s="491">
        <v>0</v>
      </c>
      <c r="J15" s="490">
        <v>21551.72</v>
      </c>
      <c r="K15" s="490">
        <v>21551.72</v>
      </c>
      <c r="L15" s="490">
        <v>0</v>
      </c>
      <c r="M15" s="492">
        <f t="shared" si="0"/>
        <v>0</v>
      </c>
      <c r="N15" s="438" t="s">
        <v>465</v>
      </c>
      <c r="O15" s="438" t="s">
        <v>465</v>
      </c>
      <c r="P15" s="362">
        <f t="shared" ref="P15:P19" si="1">IFERROR(EOMONTH(E15,G15-MONTH(1)),"")</f>
        <v>45077</v>
      </c>
      <c r="Q15" s="171" cm="1">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0</v>
      </c>
      <c r="R15" s="179">
        <f t="shared" ref="R15:R19" si="2">-(IFERROR(IF(J15=0,(O15*(1-F15))/G15*Q15,(J15*(1-F15))/G15*Q15),0))</f>
        <v>0</v>
      </c>
      <c r="S15" s="179">
        <f t="shared" ref="S15" si="3">R15-H15</f>
        <v>0</v>
      </c>
      <c r="T15" s="157" t="str">
        <f>IF(ABS(S15)&gt;'L1.00 Lead sheet'!$C$6,"Note","w")</f>
        <v>w</v>
      </c>
      <c r="V15" s="52"/>
      <c r="W15" s="10"/>
    </row>
    <row r="16" spans="1:26" s="19" customFormat="1" ht="13">
      <c r="A16" s="502" t="s">
        <v>442</v>
      </c>
      <c r="B16" s="309" t="s">
        <v>453</v>
      </c>
      <c r="C16" s="305" t="s">
        <v>459</v>
      </c>
      <c r="D16" s="503" t="s">
        <v>445</v>
      </c>
      <c r="E16" s="437">
        <v>44575</v>
      </c>
      <c r="F16" s="307">
        <v>0</v>
      </c>
      <c r="G16" s="308">
        <v>120</v>
      </c>
      <c r="H16" s="490">
        <v>88014</v>
      </c>
      <c r="I16" s="491">
        <v>0</v>
      </c>
      <c r="J16" s="490">
        <v>1251527.8400000001</v>
      </c>
      <c r="K16" s="490">
        <v>404392.79</v>
      </c>
      <c r="L16" s="490">
        <v>0</v>
      </c>
      <c r="M16" s="492">
        <f t="shared" si="0"/>
        <v>847135.05</v>
      </c>
      <c r="N16" s="438" t="s">
        <v>465</v>
      </c>
      <c r="O16" s="438" t="s">
        <v>465</v>
      </c>
      <c r="P16" s="362">
        <f>IFERROR(EOMONTH(E16,G16-MONTH(1)),"")</f>
        <v>48213</v>
      </c>
      <c r="Q16" s="171">
        <v>8</v>
      </c>
      <c r="R16" s="179">
        <f t="shared" si="2"/>
        <v>-83435.189333333343</v>
      </c>
      <c r="S16" s="179">
        <f>R16+H16</f>
        <v>4578.8106666666572</v>
      </c>
      <c r="T16" s="157" t="str">
        <f>IF(ABS(S16)&gt;'L1.00 Lead sheet'!$C$6,"Note","w")</f>
        <v>w</v>
      </c>
      <c r="V16" s="52"/>
      <c r="W16" s="10"/>
    </row>
    <row r="17" spans="1:25" s="19" customFormat="1" ht="13">
      <c r="A17" s="502" t="s">
        <v>442</v>
      </c>
      <c r="B17" s="309" t="s">
        <v>454</v>
      </c>
      <c r="C17" s="305" t="s">
        <v>460</v>
      </c>
      <c r="D17" s="503" t="s">
        <v>445</v>
      </c>
      <c r="E17" s="437">
        <v>45302</v>
      </c>
      <c r="F17" s="307">
        <v>0</v>
      </c>
      <c r="G17" s="308">
        <v>60</v>
      </c>
      <c r="H17" s="490">
        <v>12389.36</v>
      </c>
      <c r="I17" s="491">
        <v>0</v>
      </c>
      <c r="J17" s="490">
        <v>92920.36</v>
      </c>
      <c r="K17" s="490">
        <v>24778.720000000001</v>
      </c>
      <c r="L17" s="490">
        <v>0</v>
      </c>
      <c r="M17" s="492">
        <f t="shared" si="0"/>
        <v>68141.64</v>
      </c>
      <c r="N17" s="438" t="s">
        <v>465</v>
      </c>
      <c r="O17" s="438" t="s">
        <v>465</v>
      </c>
      <c r="P17" s="362">
        <f t="shared" si="1"/>
        <v>47118</v>
      </c>
      <c r="Q17" s="171">
        <v>8</v>
      </c>
      <c r="R17" s="179">
        <f t="shared" si="2"/>
        <v>-12389.381333333333</v>
      </c>
      <c r="S17" s="179">
        <f t="shared" ref="S17:S19" si="4">R17+H17</f>
        <v>-2.1333333332222537E-2</v>
      </c>
      <c r="T17" s="157" t="str">
        <f>IF(ABS(S17)&gt;'L1.00 Lead sheet'!$C$6,"Note","w")</f>
        <v>w</v>
      </c>
      <c r="V17" s="52"/>
      <c r="W17" s="10"/>
    </row>
    <row r="18" spans="1:25" s="19" customFormat="1" ht="13">
      <c r="A18" s="502" t="s">
        <v>442</v>
      </c>
      <c r="B18" s="309" t="s">
        <v>455</v>
      </c>
      <c r="C18" s="305" t="s">
        <v>461</v>
      </c>
      <c r="D18" s="503" t="s">
        <v>445</v>
      </c>
      <c r="E18" s="437">
        <v>45392</v>
      </c>
      <c r="F18" s="307">
        <v>0</v>
      </c>
      <c r="G18" s="308">
        <v>60</v>
      </c>
      <c r="H18" s="490">
        <v>7551.6</v>
      </c>
      <c r="I18" s="491">
        <v>0</v>
      </c>
      <c r="J18" s="490">
        <v>56637.17</v>
      </c>
      <c r="K18" s="490">
        <v>16047.17</v>
      </c>
      <c r="L18" s="490">
        <v>0</v>
      </c>
      <c r="M18" s="492">
        <f t="shared" si="0"/>
        <v>40590</v>
      </c>
      <c r="N18" s="438" t="s">
        <v>465</v>
      </c>
      <c r="O18" s="438" t="s">
        <v>465</v>
      </c>
      <c r="P18" s="362">
        <f t="shared" si="1"/>
        <v>47208</v>
      </c>
      <c r="Q18" s="171">
        <v>8</v>
      </c>
      <c r="R18" s="179">
        <f t="shared" si="2"/>
        <v>-7551.6226666666662</v>
      </c>
      <c r="S18" s="179">
        <f t="shared" si="4"/>
        <v>-2.2666666665827506E-2</v>
      </c>
      <c r="T18" s="157" t="str">
        <f>IF(ABS(S18)&gt;'L1.00 Lead sheet'!$C$6,"Note","w")</f>
        <v>w</v>
      </c>
      <c r="V18" s="52"/>
      <c r="W18" s="10"/>
    </row>
    <row r="19" spans="1:25" s="19" customFormat="1" ht="13">
      <c r="A19" s="502" t="s">
        <v>463</v>
      </c>
      <c r="B19" s="309" t="s">
        <v>474</v>
      </c>
      <c r="C19" s="305" t="s">
        <v>473</v>
      </c>
      <c r="D19" s="306" t="s">
        <v>464</v>
      </c>
      <c r="E19" s="437">
        <v>44958</v>
      </c>
      <c r="F19" s="307">
        <v>0</v>
      </c>
      <c r="G19" s="308">
        <v>60</v>
      </c>
      <c r="H19" s="490">
        <v>28668.12</v>
      </c>
      <c r="I19" s="491">
        <v>0</v>
      </c>
      <c r="J19" s="490">
        <v>143340.70000000001</v>
      </c>
      <c r="K19" s="490">
        <v>52558.22</v>
      </c>
      <c r="L19" s="490">
        <v>0</v>
      </c>
      <c r="M19" s="492">
        <f t="shared" si="0"/>
        <v>90782.48000000001</v>
      </c>
      <c r="N19" s="438" t="s">
        <v>465</v>
      </c>
      <c r="O19" s="438" t="s">
        <v>465</v>
      </c>
      <c r="P19" s="362">
        <f t="shared" si="1"/>
        <v>46783</v>
      </c>
      <c r="Q19" s="171">
        <v>12</v>
      </c>
      <c r="R19" s="179">
        <f t="shared" si="2"/>
        <v>-28668.14</v>
      </c>
      <c r="S19" s="179">
        <f t="shared" si="4"/>
        <v>-2.0000000000436557E-2</v>
      </c>
      <c r="T19" s="157" t="str">
        <f>IF(ABS(S19)&gt;'L1.00 Lead sheet'!$C$6,"Note","w")</f>
        <v>w</v>
      </c>
      <c r="V19" s="52"/>
      <c r="W19" s="10"/>
    </row>
    <row r="20" spans="1:25" s="19" customFormat="1" ht="12.5">
      <c r="A20" s="502"/>
      <c r="B20" s="309"/>
      <c r="C20" s="305"/>
      <c r="D20" s="306"/>
      <c r="E20" s="437"/>
      <c r="F20" s="307"/>
      <c r="G20" s="308"/>
      <c r="H20" s="490"/>
      <c r="I20" s="491"/>
      <c r="J20" s="490"/>
      <c r="K20" s="490"/>
      <c r="L20" s="490"/>
      <c r="M20" s="492"/>
      <c r="N20" s="438"/>
      <c r="O20" s="495"/>
      <c r="P20" s="362" t="str">
        <f>IFERROR(EOMONTH(E20,G20-MONTH(1)),"")</f>
        <v/>
      </c>
      <c r="Q20" s="171" cm="1">
        <f t="array" ref="Q20">IFERROR(IF(N20="",_xlfn.IFS(YEAR(E20)&lt;YEAR('L1.00 Lead sheet'!$C$3),_xlfn.IFS(YEAR(P20)&gt;YEAR('L1.00 Lead sheet'!$C$3),MONTH('L1.00 Lead sheet'!$C$3),YEAR(P20)=YEAR('L1.00 Lead sheet'!$C$3),IF(MONTH(P20)&gt;=MONTH('L1.00 Lead sheet'!$C$3),MONTH('L1.00 Lead sheet'!$C$3),MONTH(P20)),YEAR(P20)&lt;YEAR('L1.00 Lead sheet'!$C$3),0),(YEAR(E20)=YEAR('L1.00 Lead sheet'!$C$3)),MONTH('L1.00 Lead sheet'!$C$3)+1-(MONTH(E20)),YEAR(E20)&gt;YEAR('L1.00 Lead sheet'!$C$3),0),_xlfn.IFS(EOMONTH(E20,G20-1)&lt;DATE(YEAR('L1.00 Lead sheet'!$C$3),1,1),0,AND(DATE(YEAR('L1.00 Lead sheet'!$C$3),1,1)&lt;EOMONTH(E20,G20-1),EOMONTH(E20,G20-1)&lt;DATE(YEAR('L1.00 Lead sheet'!$C$3),MONTH('L1.00 Lead sheet'!$C$3),DAY('L1.00 Lead sheet'!$C$3))),IF(DATE(YEAR(N20),MONTH(N20),DAY(N20))&lt;EOMONTH(E20,G20-1),MONTH(N20)-1,MONTH(EOMONTH(E20,G20-1))),EOMONTH(E20,G20-1)=DATE(YEAR('L1.00 Lead sheet'!$C$3),MONTH('L1.00 Lead sheet'!$C$3),DAY('L1.00 Lead sheet'!$C$3)),IF(DATE(YEAR(N20),MONTH(N20),DAY(N20))&gt;EOMONTH(E20,G20-1),MONTH(EOMONTH(E20,G20-1)),MONTH(N20)-1),EOMONTH(E20,G20-1)&gt;DATE(YEAR('L1.00 Lead sheet'!$C$3),MONTH('L1.00 Lead sheet'!$C$3),DAY('L1.00 Lead sheet'!$C$3)),IF(YEAR(E20)&gt;YEAR('L1.00 Lead sheet'!$C$3),0,IF(YEAR(E20)=YEAR('L1.00 Lead sheet'!$C$3),IF(YEAR(N20)&gt;YEAR('L1.00 Lead sheet'!$C$3),MONTH('L1.00 Lead sheet'!$C$3)-MONTH(E20)+1,MONTH(N20)-MONTH(E20)+1),_xlfn.IFS(YEAR(N20)&gt;YEAR('L1.00 Lead sheet'!$C$3),MONTH('L1.00 Lead sheet'!$C$3),YEAR(N20)=YEAR('L1.00 Lead sheet'!$C$3),MONTH(N20)-1,YEAR(N20)&lt;YEAR('L1.00 Lead sheet'!$C$3),0))))),0)</f>
        <v>0</v>
      </c>
      <c r="R20" s="179">
        <f>-(IFERROR(IF(J20=0,(O20*(1-F20))/G20*Q20,(J20*(1-F20))/G20*Q20),0))</f>
        <v>0</v>
      </c>
      <c r="S20" s="179">
        <f>R20-H20</f>
        <v>0</v>
      </c>
      <c r="T20" s="157" t="str">
        <f>IF(ABS(S20)&gt;'L1.00 Lead sheet'!$C$6,"Note","w")</f>
        <v>w</v>
      </c>
      <c r="V20" s="52"/>
      <c r="W20" s="10"/>
    </row>
    <row r="21" spans="1:25" s="19" customFormat="1" ht="12.5">
      <c r="A21" s="502"/>
      <c r="B21" s="309"/>
      <c r="C21" s="308"/>
      <c r="D21" s="310"/>
      <c r="E21" s="437"/>
      <c r="F21" s="307"/>
      <c r="G21" s="308"/>
      <c r="H21" s="490"/>
      <c r="I21" s="491"/>
      <c r="J21" s="490"/>
      <c r="K21" s="490"/>
      <c r="L21" s="490"/>
      <c r="M21" s="492"/>
      <c r="N21" s="438"/>
      <c r="O21" s="495"/>
      <c r="P21" s="362" t="str">
        <f>IFERROR(EOMONTH(E21,G21-MONTH(1)),"")</f>
        <v/>
      </c>
      <c r="Q21" s="171" cm="1">
        <f t="array" ref="Q21">IFERROR(IF(N21="",_xlfn.IFS(YEAR(E21)&lt;YEAR('L1.00 Lead sheet'!$C$3),_xlfn.IFS(YEAR(P21)&gt;YEAR('L1.00 Lead sheet'!$C$3),MONTH('L1.00 Lead sheet'!$C$3),YEAR(P21)=YEAR('L1.00 Lead sheet'!$C$3),IF(MONTH(P21)&gt;=MONTH('L1.00 Lead sheet'!$C$3),MONTH('L1.00 Lead sheet'!$C$3),MONTH(P21)),YEAR(P21)&lt;YEAR('L1.00 Lead sheet'!$C$3),0),(YEAR(E21)=YEAR('L1.00 Lead sheet'!$C$3)),MONTH('L1.00 Lead sheet'!$C$3)+1-(MONTH(E21)),YEAR(E21)&gt;YEAR('L1.00 Lead sheet'!$C$3),0),_xlfn.IFS(EOMONTH(E21,G21-1)&lt;DATE(YEAR('L1.00 Lead sheet'!$C$3),1,1),0,AND(DATE(YEAR('L1.00 Lead sheet'!$C$3),1,1)&lt;EOMONTH(E21,G21-1),EOMONTH(E21,G21-1)&lt;DATE(YEAR('L1.00 Lead sheet'!$C$3),MONTH('L1.00 Lead sheet'!$C$3),DAY('L1.00 Lead sheet'!$C$3))),IF(DATE(YEAR(N21),MONTH(N21),DAY(N21))&lt;EOMONTH(E21,G21-1),MONTH(N21)-1,MONTH(EOMONTH(E21,G21-1))),EOMONTH(E21,G21-1)=DATE(YEAR('L1.00 Lead sheet'!$C$3),MONTH('L1.00 Lead sheet'!$C$3),DAY('L1.00 Lead sheet'!$C$3)),IF(DATE(YEAR(N21),MONTH(N21),DAY(N21))&gt;EOMONTH(E21,G21-1),MONTH(EOMONTH(E21,G21-1)),MONTH(N21)-1),EOMONTH(E21,G21-1)&gt;DATE(YEAR('L1.00 Lead sheet'!$C$3),MONTH('L1.00 Lead sheet'!$C$3),DAY('L1.00 Lead sheet'!$C$3)),IF(YEAR(E21)&gt;YEAR('L1.00 Lead sheet'!$C$3),0,IF(YEAR(E21)=YEAR('L1.00 Lead sheet'!$C$3),IF(YEAR(N21)&gt;YEAR('L1.00 Lead sheet'!$C$3),MONTH('L1.00 Lead sheet'!$C$3)-MONTH(E21)+1,MONTH(N21)-MONTH(E21)+1),_xlfn.IFS(YEAR(N21)&gt;YEAR('L1.00 Lead sheet'!$C$3),MONTH('L1.00 Lead sheet'!$C$3),YEAR(N21)=YEAR('L1.00 Lead sheet'!$C$3),MONTH(N21)-1,YEAR(N21)&lt;YEAR('L1.00 Lead sheet'!$C$3),0))))),0)</f>
        <v>0</v>
      </c>
      <c r="R21" s="179">
        <f>-(IFERROR(IF(J21=0,(O21*(1-F21))/G21*Q21,(J21*(1-F21))/G21*Q21),0))</f>
        <v>0</v>
      </c>
      <c r="S21" s="179">
        <f>R21-H21</f>
        <v>0</v>
      </c>
      <c r="T21" s="157" t="str">
        <f>IF(ABS(S21)&gt;'L1.00 Lead sheet'!$C$6,"Note","w")</f>
        <v>w</v>
      </c>
      <c r="V21" s="52"/>
      <c r="W21" s="10"/>
    </row>
    <row r="22" spans="1:25" s="19" customFormat="1" ht="12.5">
      <c r="A22" s="502"/>
      <c r="B22" s="309"/>
      <c r="C22" s="308"/>
      <c r="D22" s="310"/>
      <c r="E22" s="437"/>
      <c r="F22" s="307"/>
      <c r="G22" s="308"/>
      <c r="H22" s="490"/>
      <c r="I22" s="491"/>
      <c r="J22" s="490"/>
      <c r="K22" s="490"/>
      <c r="L22" s="490"/>
      <c r="M22" s="492"/>
      <c r="N22" s="438"/>
      <c r="O22" s="495"/>
      <c r="P22" s="362" t="str">
        <f>IFERROR(EOMONTH(E22,G22-MONTH(1)),"")</f>
        <v/>
      </c>
      <c r="Q22" s="171" cm="1">
        <f t="array" ref="Q22">IFERROR(IF(N22="",_xlfn.IFS(YEAR(E22)&lt;YEAR('L1.00 Lead sheet'!$C$3),_xlfn.IFS(YEAR(P22)&gt;YEAR('L1.00 Lead sheet'!$C$3),MONTH('L1.00 Lead sheet'!$C$3),YEAR(P22)=YEAR('L1.00 Lead sheet'!$C$3),IF(MONTH(P22)&gt;=MONTH('L1.00 Lead sheet'!$C$3),MONTH('L1.00 Lead sheet'!$C$3),MONTH(P22)),YEAR(P22)&lt;YEAR('L1.00 Lead sheet'!$C$3),0),(YEAR(E22)=YEAR('L1.00 Lead sheet'!$C$3)),MONTH('L1.00 Lead sheet'!$C$3)+1-(MONTH(E22)),YEAR(E22)&gt;YEAR('L1.00 Lead sheet'!$C$3),0),_xlfn.IFS(EOMONTH(E22,G22-1)&lt;DATE(YEAR('L1.00 Lead sheet'!$C$3),1,1),0,AND(DATE(YEAR('L1.00 Lead sheet'!$C$3),1,1)&lt;EOMONTH(E22,G22-1),EOMONTH(E22,G22-1)&lt;DATE(YEAR('L1.00 Lead sheet'!$C$3),MONTH('L1.00 Lead sheet'!$C$3),DAY('L1.00 Lead sheet'!$C$3))),IF(DATE(YEAR(N22),MONTH(N22),DAY(N22))&lt;EOMONTH(E22,G22-1),MONTH(N22)-1,MONTH(EOMONTH(E22,G22-1))),EOMONTH(E22,G22-1)=DATE(YEAR('L1.00 Lead sheet'!$C$3),MONTH('L1.00 Lead sheet'!$C$3),DAY('L1.00 Lead sheet'!$C$3)),IF(DATE(YEAR(N22),MONTH(N22),DAY(N22))&gt;EOMONTH(E22,G22-1),MONTH(EOMONTH(E22,G22-1)),MONTH(N22)-1),EOMONTH(E22,G22-1)&gt;DATE(YEAR('L1.00 Lead sheet'!$C$3),MONTH('L1.00 Lead sheet'!$C$3),DAY('L1.00 Lead sheet'!$C$3)),IF(YEAR(E22)&gt;YEAR('L1.00 Lead sheet'!$C$3),0,IF(YEAR(E22)=YEAR('L1.00 Lead sheet'!$C$3),IF(YEAR(N22)&gt;YEAR('L1.00 Lead sheet'!$C$3),MONTH('L1.00 Lead sheet'!$C$3)-MONTH(E22)+1,MONTH(N22)-MONTH(E22)+1),_xlfn.IFS(YEAR(N22)&gt;YEAR('L1.00 Lead sheet'!$C$3),MONTH('L1.00 Lead sheet'!$C$3),YEAR(N22)=YEAR('L1.00 Lead sheet'!$C$3),MONTH(N22)-1,YEAR(N22)&lt;YEAR('L1.00 Lead sheet'!$C$3),0))))),0)</f>
        <v>0</v>
      </c>
      <c r="R22" s="179">
        <f>-(IFERROR(IF(J22=0,(O22*(1-F22))/G22*Q22,(J22*(1-F22))/G22*Q22),0))</f>
        <v>0</v>
      </c>
      <c r="S22" s="179">
        <f>R22-H22</f>
        <v>0</v>
      </c>
      <c r="T22" s="157" t="str">
        <f>IF(ABS(S22)&gt;'L1.00 Lead sheet'!$C$6,"Note","w")</f>
        <v>w</v>
      </c>
      <c r="V22" s="52"/>
      <c r="W22" s="10"/>
    </row>
    <row r="23" spans="1:25" s="19" customFormat="1" ht="14.5">
      <c r="A23" s="502"/>
      <c r="B23" s="182"/>
      <c r="C23" s="183"/>
      <c r="D23" s="184" t="s">
        <v>270</v>
      </c>
      <c r="E23" s="183"/>
      <c r="F23" s="185"/>
      <c r="G23" s="183"/>
      <c r="H23" s="493">
        <f t="shared" ref="H23:M23" si="5">SUM(H12:H22)</f>
        <v>282234.2</v>
      </c>
      <c r="I23" s="493">
        <f t="shared" si="5"/>
        <v>0</v>
      </c>
      <c r="J23" s="493">
        <f t="shared" si="5"/>
        <v>10353587.15</v>
      </c>
      <c r="K23" s="493">
        <f t="shared" si="5"/>
        <v>1625631.5199999998</v>
      </c>
      <c r="L23" s="493">
        <f t="shared" si="5"/>
        <v>0</v>
      </c>
      <c r="M23" s="494">
        <f t="shared" si="5"/>
        <v>8727955.6300000027</v>
      </c>
      <c r="N23" s="186"/>
      <c r="O23" s="494">
        <f>SUM(O12:O22)</f>
        <v>0</v>
      </c>
      <c r="P23" s="126"/>
      <c r="Q23" s="126"/>
      <c r="R23" s="494">
        <f>SUM(R12:R22)</f>
        <v>-277655.43266666669</v>
      </c>
      <c r="S23" s="494">
        <f>SUM(S12:S22)</f>
        <v>4578.7673333333078</v>
      </c>
      <c r="T23" s="439" t="str">
        <f>IF(ABS(S23)&gt;'L1.00 Lead sheet'!$C$6,"Note","w")</f>
        <v>w</v>
      </c>
      <c r="U23" s="10"/>
      <c r="V23" s="52"/>
      <c r="W23" s="10"/>
      <c r="X23" s="10"/>
      <c r="Y23" s="10"/>
    </row>
    <row r="24" spans="1:25" s="10" customFormat="1" ht="13">
      <c r="A24" s="9"/>
      <c r="B24" s="40"/>
      <c r="C24" s="41"/>
      <c r="D24" s="41"/>
      <c r="E24" s="40"/>
      <c r="F24" s="42"/>
      <c r="G24" s="40"/>
      <c r="H24" s="28" t="s">
        <v>136</v>
      </c>
      <c r="I24" s="28" t="s">
        <v>136</v>
      </c>
      <c r="J24" s="28" t="s">
        <v>136</v>
      </c>
      <c r="K24" s="28" t="s">
        <v>136</v>
      </c>
      <c r="L24" s="28" t="s">
        <v>136</v>
      </c>
      <c r="M24" s="28" t="s">
        <v>136</v>
      </c>
      <c r="O24" s="28" t="s">
        <v>136</v>
      </c>
      <c r="R24" s="28" t="s">
        <v>136</v>
      </c>
      <c r="S24" s="28"/>
      <c r="V24" s="52"/>
    </row>
    <row r="25" spans="1:25" s="10" customFormat="1" ht="13">
      <c r="A25" s="9"/>
      <c r="B25" s="40"/>
      <c r="C25" s="41"/>
      <c r="D25" s="41"/>
      <c r="E25" s="40"/>
      <c r="F25" s="42"/>
      <c r="G25" s="40"/>
      <c r="H25" s="28"/>
      <c r="I25" s="28"/>
      <c r="J25" s="28"/>
      <c r="K25" s="28"/>
      <c r="L25" s="28"/>
      <c r="M25" s="28"/>
      <c r="V25" s="52"/>
    </row>
    <row r="26" spans="1:25" s="10" customFormat="1" ht="14.5">
      <c r="A26" s="9"/>
      <c r="B26" s="350" t="s">
        <v>271</v>
      </c>
      <c r="C26" s="351"/>
      <c r="D26" s="351"/>
      <c r="E26" s="351"/>
      <c r="F26" s="351"/>
      <c r="G26" s="351"/>
      <c r="H26" s="28"/>
      <c r="I26" s="28"/>
      <c r="J26" s="28"/>
      <c r="K26" s="28"/>
      <c r="L26" s="28"/>
      <c r="M26" s="28"/>
      <c r="V26" s="52"/>
    </row>
    <row r="27" spans="1:25" s="10" customFormat="1" ht="14.5">
      <c r="A27" s="9"/>
      <c r="B27" s="5" t="s">
        <v>272</v>
      </c>
      <c r="C27" s="138"/>
      <c r="D27" s="1"/>
      <c r="E27" s="1"/>
      <c r="F27" s="1"/>
      <c r="G27" s="1"/>
      <c r="H27" s="28"/>
      <c r="I27" s="504"/>
      <c r="J27" s="28"/>
      <c r="K27" s="504"/>
      <c r="L27" s="28"/>
      <c r="M27" s="28"/>
      <c r="V27" s="52"/>
    </row>
    <row r="28" spans="1:25" s="10" customFormat="1" ht="14.5">
      <c r="A28" s="9"/>
      <c r="B28" s="573" t="s">
        <v>273</v>
      </c>
      <c r="C28" s="449" t="str">
        <f>YEAR('L1.00 Lead sheet'!C3)-1&amp;"年度"</f>
        <v>2024年度</v>
      </c>
      <c r="D28" s="449" t="str">
        <f>YEAR('L1.00 Lead sheet'!C3)-1-1&amp;"年度"</f>
        <v>2023年度</v>
      </c>
      <c r="E28" s="597" t="s">
        <v>274</v>
      </c>
      <c r="F28" s="597" t="s">
        <v>275</v>
      </c>
      <c r="G28" s="450" t="s">
        <v>276</v>
      </c>
      <c r="H28" s="28"/>
      <c r="I28" s="28"/>
      <c r="J28" s="28"/>
      <c r="K28" s="504"/>
      <c r="L28" s="28"/>
      <c r="M28" s="28"/>
      <c r="V28" s="52"/>
    </row>
    <row r="29" spans="1:25" s="10" customFormat="1" ht="14.5">
      <c r="A29" s="9"/>
      <c r="B29" s="575"/>
      <c r="C29" s="177" t="s">
        <v>277</v>
      </c>
      <c r="D29" s="177" t="s">
        <v>277</v>
      </c>
      <c r="E29" s="598"/>
      <c r="F29" s="598"/>
      <c r="G29" s="451" t="s">
        <v>278</v>
      </c>
      <c r="H29" s="28"/>
      <c r="I29" s="28"/>
      <c r="J29" s="28"/>
      <c r="K29" s="504"/>
      <c r="L29" s="28"/>
      <c r="M29" s="28"/>
      <c r="V29" s="52"/>
    </row>
    <row r="30" spans="1:25" s="10" customFormat="1" ht="13">
      <c r="A30" s="9"/>
      <c r="B30" s="224" t="str">
        <f>'L1.01.1 Agree SL to GL'!F10</f>
        <v>土地使用权</v>
      </c>
      <c r="C30" s="311" t="s">
        <v>475</v>
      </c>
      <c r="D30" s="311" t="s">
        <v>475</v>
      </c>
      <c r="E30" s="312" t="b">
        <f>C30=D30</f>
        <v>1</v>
      </c>
      <c r="F30" s="313" t="s">
        <v>465</v>
      </c>
      <c r="G30" s="613" t="s">
        <v>477</v>
      </c>
      <c r="H30" s="28"/>
      <c r="I30" s="28"/>
      <c r="J30" s="28"/>
      <c r="K30" s="28"/>
      <c r="L30" s="28"/>
      <c r="M30" s="28"/>
      <c r="V30" s="52"/>
    </row>
    <row r="31" spans="1:25" s="10" customFormat="1" ht="13">
      <c r="A31" s="9"/>
      <c r="B31" s="224" t="str">
        <f>'L1.01.1 Agree SL to GL'!I10</f>
        <v>软件</v>
      </c>
      <c r="C31" s="311" t="s">
        <v>476</v>
      </c>
      <c r="D31" s="311" t="s">
        <v>476</v>
      </c>
      <c r="E31" s="312" t="b">
        <f>C31=D31</f>
        <v>1</v>
      </c>
      <c r="F31" s="313" t="s">
        <v>465</v>
      </c>
      <c r="G31" s="613" t="s">
        <v>477</v>
      </c>
      <c r="H31" s="28"/>
      <c r="I31" s="28"/>
      <c r="J31" s="28"/>
      <c r="K31" s="504"/>
      <c r="L31" s="28"/>
      <c r="M31" s="28"/>
      <c r="V31" s="52"/>
    </row>
    <row r="32" spans="1:25" s="10" customFormat="1" ht="13">
      <c r="A32" s="9"/>
      <c r="B32" s="224" t="str">
        <f>'L1.01.1 Agree SL to GL'!L10</f>
        <v>商标权</v>
      </c>
      <c r="C32" s="311" t="s">
        <v>465</v>
      </c>
      <c r="D32" s="311" t="s">
        <v>465</v>
      </c>
      <c r="E32" s="312" t="b">
        <f t="shared" ref="E32:E34" si="6">C32=D32</f>
        <v>1</v>
      </c>
      <c r="F32" s="313" t="s">
        <v>465</v>
      </c>
      <c r="G32" s="314" t="s">
        <v>465</v>
      </c>
      <c r="H32" s="28"/>
      <c r="I32" s="28"/>
      <c r="J32" s="28"/>
      <c r="K32" s="28"/>
      <c r="L32" s="28"/>
      <c r="M32" s="28"/>
      <c r="V32" s="52"/>
    </row>
    <row r="33" spans="1:22" s="10" customFormat="1" ht="13">
      <c r="A33" s="9"/>
      <c r="B33" s="224" t="str">
        <f>'L1.01.1 Agree SL to GL'!O10</f>
        <v>专利权</v>
      </c>
      <c r="C33" s="311" t="s">
        <v>465</v>
      </c>
      <c r="D33" s="311" t="s">
        <v>465</v>
      </c>
      <c r="E33" s="312" t="b">
        <f t="shared" si="6"/>
        <v>1</v>
      </c>
      <c r="F33" s="313" t="s">
        <v>465</v>
      </c>
      <c r="G33" s="314" t="s">
        <v>465</v>
      </c>
      <c r="H33" s="28"/>
      <c r="I33" s="28"/>
      <c r="J33" s="28"/>
      <c r="K33" s="28"/>
      <c r="L33" s="28"/>
      <c r="M33" s="28"/>
      <c r="V33" s="52"/>
    </row>
    <row r="34" spans="1:22" s="10" customFormat="1" ht="13">
      <c r="A34" s="9"/>
      <c r="B34" s="224" t="str">
        <f>'L1.01.1 Agree SL to GL'!R10</f>
        <v>特许权</v>
      </c>
      <c r="C34" s="313" t="s">
        <v>465</v>
      </c>
      <c r="D34" s="313" t="s">
        <v>465</v>
      </c>
      <c r="E34" s="312" t="b">
        <f t="shared" si="6"/>
        <v>1</v>
      </c>
      <c r="F34" s="313" t="s">
        <v>465</v>
      </c>
      <c r="G34" s="314" t="s">
        <v>465</v>
      </c>
      <c r="H34" s="28"/>
      <c r="I34" s="28"/>
      <c r="J34" s="28"/>
      <c r="K34" s="28"/>
      <c r="L34" s="28"/>
      <c r="M34" s="28"/>
      <c r="V34" s="52"/>
    </row>
    <row r="35" spans="1:22" ht="15" customHeight="1">
      <c r="V35" s="52"/>
    </row>
    <row r="36" spans="1:22" ht="7.5" customHeight="1">
      <c r="A36" s="52"/>
      <c r="B36" s="52"/>
      <c r="C36" s="52"/>
      <c r="D36" s="52"/>
      <c r="E36" s="52"/>
      <c r="F36" s="52"/>
      <c r="G36" s="52"/>
      <c r="H36" s="52"/>
      <c r="I36" s="52"/>
      <c r="J36" s="52"/>
      <c r="K36" s="52"/>
      <c r="L36" s="52"/>
      <c r="M36" s="52"/>
      <c r="N36" s="52"/>
      <c r="O36" s="52"/>
      <c r="P36" s="52"/>
      <c r="Q36" s="52"/>
      <c r="R36" s="52"/>
      <c r="S36" s="52"/>
      <c r="T36" s="52"/>
      <c r="U36" s="52"/>
      <c r="V36" s="52"/>
    </row>
  </sheetData>
  <mergeCells count="7">
    <mergeCell ref="B4:M4"/>
    <mergeCell ref="B5:M5"/>
    <mergeCell ref="N11:O11"/>
    <mergeCell ref="P11:T11"/>
    <mergeCell ref="B28:B29"/>
    <mergeCell ref="E28:E29"/>
    <mergeCell ref="F28:F29"/>
  </mergeCells>
  <phoneticPr fontId="78" type="noConversion"/>
  <conditionalFormatting sqref="B13:T22 B30:D34">
    <cfRule type="containsBlanks" dxfId="3" priority="3">
      <formula>LEN(TRIM(B13))=0</formula>
    </cfRule>
  </conditionalFormatting>
  <conditionalFormatting sqref="F30:G34">
    <cfRule type="containsBlanks" dxfId="2" priority="4">
      <formula>LEN(TRIM(F30))=0</formula>
    </cfRule>
  </conditionalFormatting>
  <conditionalFormatting sqref="T13:T23">
    <cfRule type="cellIs" dxfId="1" priority="5" operator="equal">
      <formula>"m"</formula>
    </cfRule>
  </conditionalFormatting>
  <conditionalFormatting sqref="T23">
    <cfRule type="containsBlanks" dxfId="0" priority="1">
      <formula>LEN(TRIM(T23))=0</formula>
    </cfRule>
  </conditionalFormatting>
  <hyperlinks>
    <hyperlink ref="B7" location="汇总!A1" display="返回汇总页" xr:uid="{2C93810D-ED0A-4B75-89F9-8B688121287D}"/>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D44"/>
  <sheetViews>
    <sheetView workbookViewId="0"/>
  </sheetViews>
  <sheetFormatPr defaultColWidth="9" defaultRowHeight="14"/>
  <cols>
    <col min="1" max="1" width="8.203125E-2" customWidth="1"/>
  </cols>
  <sheetData>
    <row r="1" spans="1:82">
      <c r="A1" t="s">
        <v>279</v>
      </c>
    </row>
    <row r="6" spans="1:82">
      <c r="E6" t="s">
        <v>470</v>
      </c>
      <c r="Y6" t="s">
        <v>280</v>
      </c>
      <c r="Z6" t="s">
        <v>281</v>
      </c>
      <c r="AA6" t="s">
        <v>282</v>
      </c>
      <c r="AB6" t="s">
        <v>283</v>
      </c>
      <c r="AC6" t="s">
        <v>284</v>
      </c>
      <c r="AD6" t="s">
        <v>285</v>
      </c>
      <c r="AE6" t="s">
        <v>286</v>
      </c>
      <c r="AF6" t="s">
        <v>287</v>
      </c>
      <c r="AG6" t="s">
        <v>288</v>
      </c>
      <c r="AH6" t="s">
        <v>289</v>
      </c>
      <c r="AI6" t="s">
        <v>290</v>
      </c>
      <c r="AJ6" t="s">
        <v>291</v>
      </c>
      <c r="AK6" t="s">
        <v>292</v>
      </c>
      <c r="AL6" t="s">
        <v>293</v>
      </c>
      <c r="AM6" t="s">
        <v>294</v>
      </c>
      <c r="AN6" t="s">
        <v>295</v>
      </c>
      <c r="AO6" t="s">
        <v>296</v>
      </c>
      <c r="AP6" t="s">
        <v>297</v>
      </c>
      <c r="AQ6" t="s">
        <v>298</v>
      </c>
      <c r="AR6" t="s">
        <v>299</v>
      </c>
      <c r="AS6" t="s">
        <v>300</v>
      </c>
      <c r="AT6" t="s">
        <v>301</v>
      </c>
      <c r="AU6" t="s">
        <v>302</v>
      </c>
      <c r="AV6" t="s">
        <v>303</v>
      </c>
      <c r="AW6" t="s">
        <v>304</v>
      </c>
      <c r="AX6" t="s">
        <v>305</v>
      </c>
      <c r="AY6" t="s">
        <v>306</v>
      </c>
      <c r="AZ6" t="s">
        <v>307</v>
      </c>
      <c r="BA6" t="s">
        <v>308</v>
      </c>
      <c r="BB6" t="s">
        <v>309</v>
      </c>
      <c r="BC6" t="s">
        <v>310</v>
      </c>
      <c r="BD6" t="s">
        <v>311</v>
      </c>
      <c r="BE6" t="s">
        <v>312</v>
      </c>
      <c r="BF6" t="s">
        <v>313</v>
      </c>
      <c r="BG6" t="s">
        <v>314</v>
      </c>
      <c r="BH6" t="s">
        <v>315</v>
      </c>
      <c r="BI6" t="s">
        <v>316</v>
      </c>
      <c r="BJ6" t="s">
        <v>317</v>
      </c>
      <c r="BK6" t="s">
        <v>318</v>
      </c>
      <c r="BL6" t="s">
        <v>319</v>
      </c>
      <c r="BM6" t="s">
        <v>320</v>
      </c>
      <c r="BN6" t="s">
        <v>321</v>
      </c>
      <c r="BO6" t="s">
        <v>322</v>
      </c>
      <c r="BP6" t="s">
        <v>323</v>
      </c>
      <c r="BQ6" t="s">
        <v>324</v>
      </c>
      <c r="BR6" t="s">
        <v>325</v>
      </c>
      <c r="BS6" t="s">
        <v>326</v>
      </c>
      <c r="BT6" t="s">
        <v>327</v>
      </c>
      <c r="BU6" t="s">
        <v>328</v>
      </c>
      <c r="BV6" t="s">
        <v>329</v>
      </c>
      <c r="BW6" t="s">
        <v>330</v>
      </c>
      <c r="BX6" t="s">
        <v>331</v>
      </c>
      <c r="BY6" t="s">
        <v>332</v>
      </c>
      <c r="BZ6" t="s">
        <v>333</v>
      </c>
      <c r="CA6" t="s">
        <v>334</v>
      </c>
      <c r="CB6" t="s">
        <v>335</v>
      </c>
      <c r="CC6" t="s">
        <v>336</v>
      </c>
      <c r="CD6" t="s">
        <v>337</v>
      </c>
    </row>
    <row r="9" spans="1:82">
      <c r="A9" t="s">
        <v>338</v>
      </c>
    </row>
    <row r="10" spans="1:82">
      <c r="F10" t="e">
        <f>#REF!</f>
        <v>#REF!</v>
      </c>
      <c r="G10" t="s">
        <v>339</v>
      </c>
      <c r="H10" t="e">
        <f>#REF!</f>
        <v>#REF!</v>
      </c>
      <c r="I10" t="s">
        <v>340</v>
      </c>
    </row>
    <row r="11" spans="1:82">
      <c r="A11" s="4">
        <v>44</v>
      </c>
      <c r="F11" t="e">
        <f>#REF!</f>
        <v>#REF!</v>
      </c>
      <c r="G11" t="s">
        <v>341</v>
      </c>
      <c r="H11" t="e">
        <f>#REF!</f>
        <v>#REF!</v>
      </c>
      <c r="I11" t="s">
        <v>342</v>
      </c>
    </row>
    <row r="12" spans="1:82">
      <c r="A12" s="4">
        <v>16</v>
      </c>
      <c r="F12" t="e">
        <f>#REF!</f>
        <v>#REF!</v>
      </c>
      <c r="G12" t="s">
        <v>343</v>
      </c>
      <c r="H12" t="e">
        <f>#REF!</f>
        <v>#REF!</v>
      </c>
      <c r="I12" t="s">
        <v>344</v>
      </c>
    </row>
    <row r="13" spans="1:82">
      <c r="F13" t="e">
        <f>#REF!</f>
        <v>#REF!</v>
      </c>
      <c r="G13" t="s">
        <v>345</v>
      </c>
      <c r="H13" t="e">
        <f>#REF!</f>
        <v>#REF!</v>
      </c>
      <c r="I13" t="s">
        <v>346</v>
      </c>
    </row>
    <row r="14" spans="1:82">
      <c r="F14" t="e">
        <f>#REF!</f>
        <v>#REF!</v>
      </c>
      <c r="G14" t="s">
        <v>347</v>
      </c>
      <c r="H14" t="e">
        <f>#REF!</f>
        <v>#REF!</v>
      </c>
      <c r="I14" t="s">
        <v>348</v>
      </c>
    </row>
    <row r="15" spans="1:82">
      <c r="A15" s="4">
        <v>34</v>
      </c>
      <c r="F15" t="e">
        <f>#REF!</f>
        <v>#REF!</v>
      </c>
      <c r="G15" t="s">
        <v>349</v>
      </c>
      <c r="H15" t="e">
        <f>#REF!</f>
        <v>#REF!</v>
      </c>
      <c r="I15" t="s">
        <v>350</v>
      </c>
      <c r="R15" t="e">
        <f>#REF!</f>
        <v>#REF!</v>
      </c>
      <c r="S15" t="s">
        <v>351</v>
      </c>
    </row>
    <row r="16" spans="1:82">
      <c r="F16" t="e">
        <f>#REF!</f>
        <v>#REF!</v>
      </c>
      <c r="G16" t="s">
        <v>352</v>
      </c>
      <c r="H16" t="e">
        <f>#REF!</f>
        <v>#REF!</v>
      </c>
      <c r="I16" t="s">
        <v>353</v>
      </c>
      <c r="R16" t="e">
        <f>#REF!</f>
        <v>#REF!</v>
      </c>
      <c r="S16" t="s">
        <v>354</v>
      </c>
    </row>
    <row r="17" spans="6:19">
      <c r="F17" t="e">
        <f>#REF!</f>
        <v>#REF!</v>
      </c>
      <c r="G17" t="s">
        <v>355</v>
      </c>
      <c r="R17" t="e">
        <f>#REF!</f>
        <v>#REF!</v>
      </c>
      <c r="S17" t="s">
        <v>356</v>
      </c>
    </row>
    <row r="18" spans="6:19">
      <c r="F18" t="e">
        <f>#REF!</f>
        <v>#REF!</v>
      </c>
      <c r="G18" t="s">
        <v>357</v>
      </c>
      <c r="R18" t="e">
        <f>#REF!</f>
        <v>#REF!</v>
      </c>
      <c r="S18" t="s">
        <v>358</v>
      </c>
    </row>
    <row r="19" spans="6:19">
      <c r="F19" t="e">
        <f>#REF!</f>
        <v>#REF!</v>
      </c>
      <c r="G19" t="s">
        <v>359</v>
      </c>
      <c r="R19" t="e">
        <f>#REF!</f>
        <v>#REF!</v>
      </c>
      <c r="S19" t="s">
        <v>360</v>
      </c>
    </row>
    <row r="20" spans="6:19">
      <c r="F20" t="e">
        <f>#REF!</f>
        <v>#REF!</v>
      </c>
      <c r="G20" t="s">
        <v>361</v>
      </c>
      <c r="R20" t="e">
        <f>#REF!</f>
        <v>#REF!</v>
      </c>
      <c r="S20" t="s">
        <v>362</v>
      </c>
    </row>
    <row r="21" spans="6:19">
      <c r="F21" t="e">
        <f>#REF!</f>
        <v>#REF!</v>
      </c>
      <c r="G21" t="s">
        <v>363</v>
      </c>
      <c r="R21" t="e">
        <f>#REF!</f>
        <v>#REF!</v>
      </c>
      <c r="S21" t="s">
        <v>364</v>
      </c>
    </row>
    <row r="22" spans="6:19">
      <c r="F22" t="e">
        <f>#REF!</f>
        <v>#REF!</v>
      </c>
      <c r="G22" t="s">
        <v>365</v>
      </c>
      <c r="R22" s="4" t="e">
        <f>#REF!</f>
        <v>#REF!</v>
      </c>
      <c r="S22" t="s">
        <v>366</v>
      </c>
    </row>
    <row r="23" spans="6:19">
      <c r="F23" t="e">
        <f>#REF!</f>
        <v>#REF!</v>
      </c>
      <c r="G23" t="s">
        <v>367</v>
      </c>
      <c r="R23" t="e">
        <f>#REF!</f>
        <v>#REF!</v>
      </c>
      <c r="S23" t="s">
        <v>368</v>
      </c>
    </row>
    <row r="24" spans="6:19">
      <c r="F24" t="e">
        <f>#REF!</f>
        <v>#REF!</v>
      </c>
      <c r="G24" t="s">
        <v>369</v>
      </c>
      <c r="R24" t="e">
        <f>#REF!</f>
        <v>#REF!</v>
      </c>
      <c r="S24" t="s">
        <v>370</v>
      </c>
    </row>
    <row r="25" spans="6:19">
      <c r="F25" t="e">
        <f>#REF!</f>
        <v>#REF!</v>
      </c>
      <c r="G25" t="s">
        <v>371</v>
      </c>
      <c r="R25" t="e">
        <f>#REF!</f>
        <v>#REF!</v>
      </c>
      <c r="S25" t="s">
        <v>372</v>
      </c>
    </row>
    <row r="26" spans="6:19">
      <c r="F26" t="e">
        <f>#REF!</f>
        <v>#REF!</v>
      </c>
      <c r="G26" t="s">
        <v>373</v>
      </c>
      <c r="R26" s="4" t="e">
        <f>#REF!</f>
        <v>#REF!</v>
      </c>
      <c r="S26" t="s">
        <v>374</v>
      </c>
    </row>
    <row r="27" spans="6:19">
      <c r="F27" t="e">
        <f>#REF!</f>
        <v>#REF!</v>
      </c>
      <c r="G27" t="s">
        <v>375</v>
      </c>
      <c r="R27" t="e">
        <f>#REF!</f>
        <v>#REF!</v>
      </c>
      <c r="S27" t="s">
        <v>376</v>
      </c>
    </row>
    <row r="28" spans="6:19">
      <c r="F28" t="e">
        <f>#REF!</f>
        <v>#REF!</v>
      </c>
      <c r="G28" t="s">
        <v>377</v>
      </c>
      <c r="R28" t="e">
        <f>#REF!</f>
        <v>#REF!</v>
      </c>
      <c r="S28" t="s">
        <v>378</v>
      </c>
    </row>
    <row r="29" spans="6:19">
      <c r="F29" t="e">
        <f>#REF!</f>
        <v>#REF!</v>
      </c>
      <c r="G29" t="s">
        <v>379</v>
      </c>
      <c r="R29" t="e">
        <f>#REF!</f>
        <v>#REF!</v>
      </c>
      <c r="S29" t="s">
        <v>380</v>
      </c>
    </row>
    <row r="30" spans="6:19">
      <c r="F30" t="e">
        <f>#REF!</f>
        <v>#REF!</v>
      </c>
      <c r="G30" t="s">
        <v>381</v>
      </c>
      <c r="R30" s="4" t="e">
        <f>#REF!</f>
        <v>#REF!</v>
      </c>
      <c r="S30" t="s">
        <v>382</v>
      </c>
    </row>
    <row r="31" spans="6:19">
      <c r="F31" t="e">
        <f>#REF!</f>
        <v>#REF!</v>
      </c>
      <c r="G31" t="s">
        <v>383</v>
      </c>
      <c r="R31" t="e">
        <f>#REF!</f>
        <v>#REF!</v>
      </c>
      <c r="S31" t="s">
        <v>384</v>
      </c>
    </row>
    <row r="32" spans="6:19">
      <c r="F32" t="e">
        <f>#REF!</f>
        <v>#REF!</v>
      </c>
      <c r="G32" t="s">
        <v>385</v>
      </c>
      <c r="R32" s="4" t="e">
        <f>#REF!</f>
        <v>#REF!</v>
      </c>
      <c r="S32" t="s">
        <v>386</v>
      </c>
    </row>
    <row r="33" spans="6:19">
      <c r="F33" t="e">
        <f>#REF!</f>
        <v>#REF!</v>
      </c>
      <c r="G33" t="s">
        <v>387</v>
      </c>
      <c r="R33" t="e">
        <f>#REF!</f>
        <v>#REF!</v>
      </c>
      <c r="S33" t="s">
        <v>388</v>
      </c>
    </row>
    <row r="34" spans="6:19">
      <c r="F34" t="e">
        <f>#REF!</f>
        <v>#REF!</v>
      </c>
      <c r="G34" t="s">
        <v>389</v>
      </c>
      <c r="R34" t="e">
        <f>#REF!</f>
        <v>#REF!</v>
      </c>
      <c r="S34" t="s">
        <v>390</v>
      </c>
    </row>
    <row r="35" spans="6:19">
      <c r="F35" t="e">
        <f>#REF!</f>
        <v>#REF!</v>
      </c>
      <c r="G35" t="s">
        <v>391</v>
      </c>
    </row>
    <row r="36" spans="6:19">
      <c r="F36" t="e">
        <f>#REF!</f>
        <v>#REF!</v>
      </c>
      <c r="G36" t="s">
        <v>392</v>
      </c>
    </row>
    <row r="37" spans="6:19">
      <c r="F37" t="e">
        <f>#REF!</f>
        <v>#REF!</v>
      </c>
      <c r="G37" t="s">
        <v>393</v>
      </c>
    </row>
    <row r="38" spans="6:19">
      <c r="F38" t="e">
        <f>#REF!</f>
        <v>#REF!</v>
      </c>
      <c r="G38" t="s">
        <v>394</v>
      </c>
    </row>
    <row r="39" spans="6:19">
      <c r="F39" t="e">
        <f>#REF!</f>
        <v>#REF!</v>
      </c>
      <c r="G39" t="s">
        <v>395</v>
      </c>
    </row>
    <row r="40" spans="6:19">
      <c r="F40" t="e">
        <f>#REF!</f>
        <v>#REF!</v>
      </c>
      <c r="G40" t="s">
        <v>396</v>
      </c>
    </row>
    <row r="41" spans="6:19">
      <c r="F41" t="e">
        <f>#REF!</f>
        <v>#REF!</v>
      </c>
      <c r="G41" t="s">
        <v>397</v>
      </c>
    </row>
    <row r="42" spans="6:19">
      <c r="F42" t="e">
        <f>#REF!</f>
        <v>#REF!</v>
      </c>
      <c r="G42" t="s">
        <v>398</v>
      </c>
    </row>
    <row r="43" spans="6:19">
      <c r="F43" t="e">
        <f>#REF!</f>
        <v>#REF!</v>
      </c>
      <c r="G43" t="s">
        <v>399</v>
      </c>
    </row>
    <row r="44" spans="6:19">
      <c r="F44" t="e">
        <f>#REF!</f>
        <v>#REF!</v>
      </c>
      <c r="G44" t="s">
        <v>400</v>
      </c>
    </row>
  </sheetData>
  <phoneticPr fontId="78"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1668-E27F-4217-A667-6BA8C29E9706}">
  <dimension ref="A1:AV8"/>
  <sheetViews>
    <sheetView workbookViewId="0"/>
  </sheetViews>
  <sheetFormatPr defaultRowHeight="14"/>
  <cols>
    <col min="9" max="9" width="13" bestFit="1" customWidth="1"/>
    <col min="12" max="12" width="8.75" bestFit="1" customWidth="1"/>
    <col min="17" max="17" width="13" bestFit="1" customWidth="1"/>
    <col min="20" max="20" width="9.08203125" bestFit="1" customWidth="1"/>
  </cols>
  <sheetData>
    <row r="1" spans="1:48">
      <c r="A1">
        <v>1748585924066</v>
      </c>
      <c r="B1" t="s">
        <v>401</v>
      </c>
      <c r="C1" t="s">
        <v>402</v>
      </c>
      <c r="D1">
        <v>7</v>
      </c>
      <c r="E1">
        <v>1750225878056</v>
      </c>
      <c r="F1" t="s">
        <v>403</v>
      </c>
      <c r="G1" t="s">
        <v>404</v>
      </c>
      <c r="H1">
        <v>0</v>
      </c>
      <c r="I1">
        <v>1751270085855</v>
      </c>
      <c r="J1" t="s">
        <v>405</v>
      </c>
      <c r="K1" t="s">
        <v>406</v>
      </c>
      <c r="L1">
        <v>0</v>
      </c>
      <c r="M1">
        <v>1751276571411</v>
      </c>
      <c r="N1" t="s">
        <v>407</v>
      </c>
      <c r="O1" t="s">
        <v>408</v>
      </c>
      <c r="P1">
        <v>0</v>
      </c>
      <c r="Q1">
        <v>1751510171001</v>
      </c>
      <c r="R1" t="s">
        <v>409</v>
      </c>
      <c r="S1" t="s">
        <v>410</v>
      </c>
      <c r="T1">
        <v>0</v>
      </c>
      <c r="U1">
        <v>1753347864412</v>
      </c>
      <c r="V1" t="s">
        <v>411</v>
      </c>
      <c r="W1" t="s">
        <v>412</v>
      </c>
      <c r="X1">
        <v>0</v>
      </c>
      <c r="Y1">
        <v>1754467380507</v>
      </c>
      <c r="Z1" t="s">
        <v>413</v>
      </c>
      <c r="AA1" t="s">
        <v>414</v>
      </c>
      <c r="AB1">
        <v>0</v>
      </c>
      <c r="AC1">
        <v>1755496104370</v>
      </c>
      <c r="AD1" t="s">
        <v>415</v>
      </c>
      <c r="AE1" t="s">
        <v>416</v>
      </c>
      <c r="AF1">
        <v>0</v>
      </c>
      <c r="AG1">
        <v>1755671227920</v>
      </c>
      <c r="AH1" t="s">
        <v>417</v>
      </c>
      <c r="AI1" t="s">
        <v>418</v>
      </c>
      <c r="AJ1">
        <v>0</v>
      </c>
      <c r="AK1">
        <v>1755765316345</v>
      </c>
      <c r="AL1" t="s">
        <v>419</v>
      </c>
      <c r="AM1" t="s">
        <v>420</v>
      </c>
      <c r="AN1">
        <v>0</v>
      </c>
      <c r="AO1">
        <v>1756440465897</v>
      </c>
      <c r="AP1" t="s">
        <v>434</v>
      </c>
      <c r="AQ1" t="s">
        <v>435</v>
      </c>
      <c r="AR1">
        <v>0</v>
      </c>
      <c r="AS1">
        <v>1758012429878</v>
      </c>
      <c r="AT1" t="s">
        <v>440</v>
      </c>
      <c r="AU1" t="s">
        <v>441</v>
      </c>
      <c r="AV1">
        <v>0</v>
      </c>
    </row>
    <row r="2" spans="1:48">
      <c r="A2">
        <v>1748585924439</v>
      </c>
      <c r="B2" t="s">
        <v>421</v>
      </c>
      <c r="C2" t="s">
        <v>422</v>
      </c>
      <c r="D2" t="s">
        <v>423</v>
      </c>
    </row>
    <row r="3" spans="1:48">
      <c r="A3">
        <v>1748585924439</v>
      </c>
      <c r="B3" t="s">
        <v>421</v>
      </c>
      <c r="C3" t="s">
        <v>424</v>
      </c>
      <c r="D3" t="s">
        <v>425</v>
      </c>
    </row>
    <row r="4" spans="1:48">
      <c r="A4">
        <v>1748585924439</v>
      </c>
      <c r="B4" t="s">
        <v>421</v>
      </c>
      <c r="C4" t="s">
        <v>426</v>
      </c>
      <c r="D4" t="s">
        <v>427</v>
      </c>
    </row>
    <row r="5" spans="1:48">
      <c r="A5">
        <v>1748585924439</v>
      </c>
      <c r="B5" t="s">
        <v>421</v>
      </c>
      <c r="C5" t="s">
        <v>428</v>
      </c>
      <c r="D5" t="s">
        <v>429</v>
      </c>
    </row>
    <row r="6" spans="1:48">
      <c r="A6">
        <v>1748585924439</v>
      </c>
      <c r="B6" t="s">
        <v>421</v>
      </c>
      <c r="C6" t="s">
        <v>430</v>
      </c>
      <c r="D6" t="s">
        <v>431</v>
      </c>
    </row>
    <row r="7" spans="1:48">
      <c r="A7">
        <v>1748585924447</v>
      </c>
      <c r="B7" t="s">
        <v>421</v>
      </c>
      <c r="C7" t="s">
        <v>422</v>
      </c>
      <c r="D7" t="s">
        <v>432</v>
      </c>
    </row>
    <row r="8" spans="1:48">
      <c r="A8">
        <v>1748585924448</v>
      </c>
      <c r="B8" t="s">
        <v>421</v>
      </c>
      <c r="C8" t="s">
        <v>426</v>
      </c>
      <c r="D8" t="s">
        <v>433</v>
      </c>
    </row>
  </sheetData>
  <phoneticPr fontId="7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3944-A8F9-4F99-8BE3-E37E85E51C1F}">
  <dimension ref="A1:AV1"/>
  <sheetViews>
    <sheetView workbookViewId="0"/>
  </sheetViews>
  <sheetFormatPr defaultRowHeight="14"/>
  <cols>
    <col min="9" max="9" width="13" bestFit="1" customWidth="1"/>
    <col min="12" max="12" width="8.75" bestFit="1" customWidth="1"/>
    <col min="17" max="17" width="13" bestFit="1" customWidth="1"/>
    <col min="20" max="20" width="9.08203125" bestFit="1" customWidth="1"/>
  </cols>
  <sheetData>
    <row r="1" spans="1:48">
      <c r="A1">
        <v>1748585924161</v>
      </c>
      <c r="B1" t="s">
        <v>401</v>
      </c>
      <c r="C1" t="s">
        <v>402</v>
      </c>
      <c r="D1">
        <v>0</v>
      </c>
      <c r="E1">
        <v>1750225878072</v>
      </c>
      <c r="F1" t="s">
        <v>403</v>
      </c>
      <c r="G1" t="s">
        <v>404</v>
      </c>
      <c r="H1">
        <v>0</v>
      </c>
      <c r="I1">
        <v>1751270086878</v>
      </c>
      <c r="J1" t="s">
        <v>405</v>
      </c>
      <c r="K1" t="s">
        <v>406</v>
      </c>
      <c r="L1">
        <v>0</v>
      </c>
      <c r="M1">
        <v>1751276572617</v>
      </c>
      <c r="N1" t="s">
        <v>407</v>
      </c>
      <c r="O1" t="s">
        <v>408</v>
      </c>
      <c r="P1">
        <v>0</v>
      </c>
      <c r="Q1">
        <v>1751510171269</v>
      </c>
      <c r="R1" t="s">
        <v>409</v>
      </c>
      <c r="S1" t="s">
        <v>410</v>
      </c>
      <c r="T1">
        <v>0</v>
      </c>
      <c r="U1">
        <v>1753347864427</v>
      </c>
      <c r="V1" t="s">
        <v>411</v>
      </c>
      <c r="W1" t="s">
        <v>412</v>
      </c>
      <c r="X1">
        <v>0</v>
      </c>
      <c r="Y1">
        <v>1754467380539</v>
      </c>
      <c r="Z1" t="s">
        <v>413</v>
      </c>
      <c r="AA1" t="s">
        <v>414</v>
      </c>
      <c r="AB1">
        <v>0</v>
      </c>
      <c r="AC1">
        <v>1755496104387</v>
      </c>
      <c r="AD1" t="s">
        <v>415</v>
      </c>
      <c r="AE1" t="s">
        <v>416</v>
      </c>
      <c r="AF1">
        <v>0</v>
      </c>
      <c r="AG1">
        <v>1755671229260</v>
      </c>
      <c r="AH1" t="s">
        <v>417</v>
      </c>
      <c r="AI1" t="s">
        <v>418</v>
      </c>
      <c r="AJ1">
        <v>0</v>
      </c>
      <c r="AK1">
        <v>1755765316489</v>
      </c>
      <c r="AL1" t="s">
        <v>419</v>
      </c>
      <c r="AM1" t="s">
        <v>420</v>
      </c>
      <c r="AN1">
        <v>0</v>
      </c>
      <c r="AO1">
        <v>1756440466678</v>
      </c>
      <c r="AP1" t="s">
        <v>434</v>
      </c>
      <c r="AQ1" t="s">
        <v>435</v>
      </c>
      <c r="AR1">
        <v>0</v>
      </c>
      <c r="AS1">
        <v>1758012430073</v>
      </c>
      <c r="AT1" t="s">
        <v>440</v>
      </c>
      <c r="AU1" t="s">
        <v>441</v>
      </c>
      <c r="AV1">
        <v>0</v>
      </c>
    </row>
  </sheetData>
  <phoneticPr fontId="7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6AC5-C139-4CFD-ADBB-470DD0939D6C}">
  <dimension ref="A1:AV1"/>
  <sheetViews>
    <sheetView workbookViewId="0"/>
  </sheetViews>
  <sheetFormatPr defaultRowHeight="14"/>
  <cols>
    <col min="9" max="9" width="13" bestFit="1" customWidth="1"/>
    <col min="12" max="12" width="8.75" bestFit="1" customWidth="1"/>
    <col min="17" max="17" width="13" bestFit="1" customWidth="1"/>
    <col min="20" max="20" width="9.08203125" bestFit="1" customWidth="1"/>
  </cols>
  <sheetData>
    <row r="1" spans="1:48">
      <c r="A1">
        <v>1748585924240</v>
      </c>
      <c r="B1" t="s">
        <v>401</v>
      </c>
      <c r="C1" t="s">
        <v>402</v>
      </c>
      <c r="D1">
        <v>0</v>
      </c>
      <c r="E1">
        <v>1750225878072</v>
      </c>
      <c r="F1" t="s">
        <v>403</v>
      </c>
      <c r="G1" t="s">
        <v>404</v>
      </c>
      <c r="H1">
        <v>0</v>
      </c>
      <c r="I1">
        <v>1751270086900</v>
      </c>
      <c r="J1" t="s">
        <v>405</v>
      </c>
      <c r="K1" t="s">
        <v>406</v>
      </c>
      <c r="L1">
        <v>0</v>
      </c>
      <c r="M1">
        <v>1751276572647</v>
      </c>
      <c r="N1" t="s">
        <v>407</v>
      </c>
      <c r="O1" t="s">
        <v>408</v>
      </c>
      <c r="P1">
        <v>0</v>
      </c>
      <c r="Q1">
        <v>1751510171292</v>
      </c>
      <c r="R1" t="s">
        <v>409</v>
      </c>
      <c r="S1" t="s">
        <v>410</v>
      </c>
      <c r="T1">
        <v>0</v>
      </c>
      <c r="U1">
        <v>1753347864431</v>
      </c>
      <c r="V1" t="s">
        <v>411</v>
      </c>
      <c r="W1" t="s">
        <v>412</v>
      </c>
      <c r="X1">
        <v>0</v>
      </c>
      <c r="Y1">
        <v>1754467380603</v>
      </c>
      <c r="Z1" t="s">
        <v>413</v>
      </c>
      <c r="AA1" t="s">
        <v>414</v>
      </c>
      <c r="AB1">
        <v>0</v>
      </c>
      <c r="AC1">
        <v>1755496104399</v>
      </c>
      <c r="AD1" t="s">
        <v>415</v>
      </c>
      <c r="AE1" t="s">
        <v>416</v>
      </c>
      <c r="AF1">
        <v>0</v>
      </c>
      <c r="AG1">
        <v>1755671229291</v>
      </c>
      <c r="AH1" t="s">
        <v>417</v>
      </c>
      <c r="AI1" t="s">
        <v>418</v>
      </c>
      <c r="AJ1">
        <v>0</v>
      </c>
      <c r="AK1">
        <v>1755765316502</v>
      </c>
      <c r="AL1" t="s">
        <v>419</v>
      </c>
      <c r="AM1" t="s">
        <v>420</v>
      </c>
      <c r="AN1">
        <v>0</v>
      </c>
      <c r="AO1">
        <v>1756440466692</v>
      </c>
      <c r="AP1" t="s">
        <v>434</v>
      </c>
      <c r="AQ1" t="s">
        <v>435</v>
      </c>
      <c r="AR1">
        <v>0</v>
      </c>
      <c r="AS1">
        <v>1758012430088</v>
      </c>
      <c r="AT1" t="s">
        <v>440</v>
      </c>
      <c r="AU1" t="s">
        <v>441</v>
      </c>
      <c r="AV1">
        <v>0</v>
      </c>
    </row>
  </sheetData>
  <phoneticPr fontId="7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149E-F8AE-4A0F-84A6-3B1C7AC505F9}">
  <dimension ref="A1:AV1"/>
  <sheetViews>
    <sheetView workbookViewId="0"/>
  </sheetViews>
  <sheetFormatPr defaultRowHeight="14"/>
  <cols>
    <col min="9" max="9" width="13" bestFit="1" customWidth="1"/>
    <col min="12" max="12" width="8.75" bestFit="1" customWidth="1"/>
    <col min="17" max="17" width="13" bestFit="1" customWidth="1"/>
    <col min="20" max="20" width="9.08203125" bestFit="1" customWidth="1"/>
  </cols>
  <sheetData>
    <row r="1" spans="1:48">
      <c r="A1">
        <v>1748585924367</v>
      </c>
      <c r="B1" t="s">
        <v>401</v>
      </c>
      <c r="C1" t="s">
        <v>402</v>
      </c>
      <c r="D1">
        <v>0</v>
      </c>
      <c r="E1">
        <v>1750225878072</v>
      </c>
      <c r="F1" t="s">
        <v>403</v>
      </c>
      <c r="G1" t="s">
        <v>404</v>
      </c>
      <c r="H1">
        <v>0</v>
      </c>
      <c r="I1">
        <v>1751270086916</v>
      </c>
      <c r="J1" t="s">
        <v>405</v>
      </c>
      <c r="K1" t="s">
        <v>406</v>
      </c>
      <c r="L1">
        <v>0</v>
      </c>
      <c r="M1">
        <v>1751276572673</v>
      </c>
      <c r="N1" t="s">
        <v>407</v>
      </c>
      <c r="O1" t="s">
        <v>408</v>
      </c>
      <c r="P1">
        <v>0</v>
      </c>
      <c r="Q1">
        <v>1751510171307</v>
      </c>
      <c r="R1" t="s">
        <v>409</v>
      </c>
      <c r="S1" t="s">
        <v>410</v>
      </c>
      <c r="T1">
        <v>0</v>
      </c>
      <c r="U1">
        <v>1753347864436</v>
      </c>
      <c r="V1" t="s">
        <v>411</v>
      </c>
      <c r="W1" t="s">
        <v>412</v>
      </c>
      <c r="X1">
        <v>0</v>
      </c>
      <c r="Y1">
        <v>1754467380713</v>
      </c>
      <c r="Z1" t="s">
        <v>413</v>
      </c>
      <c r="AA1" t="s">
        <v>414</v>
      </c>
      <c r="AB1">
        <v>0</v>
      </c>
      <c r="AC1">
        <v>1755496104403</v>
      </c>
      <c r="AD1" t="s">
        <v>415</v>
      </c>
      <c r="AE1" t="s">
        <v>416</v>
      </c>
      <c r="AF1">
        <v>0</v>
      </c>
      <c r="AG1">
        <v>1755671229307</v>
      </c>
      <c r="AH1" t="s">
        <v>417</v>
      </c>
      <c r="AI1" t="s">
        <v>418</v>
      </c>
      <c r="AJ1">
        <v>0</v>
      </c>
      <c r="AK1">
        <v>1755765316521</v>
      </c>
      <c r="AL1" t="s">
        <v>419</v>
      </c>
      <c r="AM1" t="s">
        <v>420</v>
      </c>
      <c r="AN1">
        <v>0</v>
      </c>
      <c r="AO1">
        <v>1756440466716</v>
      </c>
      <c r="AP1" t="s">
        <v>434</v>
      </c>
      <c r="AQ1" t="s">
        <v>435</v>
      </c>
      <c r="AR1">
        <v>0</v>
      </c>
      <c r="AS1">
        <v>1758012430103</v>
      </c>
      <c r="AT1" t="s">
        <v>440</v>
      </c>
      <c r="AU1" t="s">
        <v>441</v>
      </c>
      <c r="AV1">
        <v>0</v>
      </c>
    </row>
  </sheetData>
  <phoneticPr fontId="7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datasnipper xmlns="http://datasnipperlegacy" workbookId="4db264c2-19c2-425e-945a-2e3233cb0f67" dataSnipperSheetDeleted="false" guid="01229d7d-a616-44a4-96be-e91d071cae9a" revision="2">
  <settings xmlns="" guid="ff113283-2b2c-4cba-9459-cee0862a7494">
    <setting type="boolean" value="True" name="embed-documents" guid="50d16f08-b23a-453d-a5e7-fb739a6c0d7c"/>
  </settings>
</datasnipper>
</file>

<file path=customXml/item3.xml><?xml version="1.0" encoding="utf-8"?>
<p:properties xmlns:p="http://schemas.microsoft.com/office/2006/metadata/properties" xmlns:xsi="http://www.w3.org/2001/XMLSchema-instance" xmlns:pc="http://schemas.microsoft.com/office/infopath/2007/PartnerControls">
  <documentManagement>
    <SharedWithUsers xmlns="200d2cec-77de-4108-98a5-960fad86d843">
      <UserInfo>
        <DisplayName/>
        <AccountId xsi:nil="true"/>
        <AccountType/>
      </UserInfo>
    </SharedWithUsers>
  </documentManagement>
</p:properties>
</file>

<file path=customXml/item4.xml><?xml version="1.0" encoding="utf-8"?>
<datasnipper xmlns="http://datasnipper" xmlMigrated="true" guid="b7a61fc9-3292-4d29-9702-855128f42c09" revision="3"/>
</file>

<file path=customXml/item5.xml><?xml version="1.0" encoding="utf-8"?>
<ct:contentTypeSchema xmlns:ct="http://schemas.microsoft.com/office/2006/metadata/contentType" xmlns:ma="http://schemas.microsoft.com/office/2006/metadata/properties/metaAttributes" ct:_="" ma:_="" ma:contentTypeName="文档" ma:contentTypeID="0x010100DF3550D7BF13514F98E371620A139941" ma:contentTypeVersion="2" ma:contentTypeDescription="新建文档。" ma:contentTypeScope="" ma:versionID="d23de8b404dd05bc5ea1d342134eb8f0">
  <xsd:schema xmlns:xsd="http://www.w3.org/2001/XMLSchema" xmlns:xs="http://www.w3.org/2001/XMLSchema" xmlns:p="http://schemas.microsoft.com/office/2006/metadata/properties" xmlns:ns2="200d2cec-77de-4108-98a5-960fad86d843" targetNamespace="http://schemas.microsoft.com/office/2006/metadata/properties" ma:root="true" ma:fieldsID="6b1d5cb3a138c737942bbc941dd5d05c" ns2:_="">
    <xsd:import namespace="200d2cec-77de-4108-98a5-960fad86d84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d2cec-77de-4108-98a5-960fad86d84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0807D3-CF77-4B70-89CA-2E0E49FB20B6}">
  <ds:schemaRefs>
    <ds:schemaRef ds:uri="http://schemas.microsoft.com/sharepoint/v3/contenttype/forms"/>
  </ds:schemaRefs>
</ds:datastoreItem>
</file>

<file path=customXml/itemProps2.xml><?xml version="1.0" encoding="utf-8"?>
<ds:datastoreItem xmlns:ds="http://schemas.openxmlformats.org/officeDocument/2006/customXml" ds:itemID="{F59FAC34-7A5F-4327-9FB8-36A9DB4C9F2C}">
  <ds:schemaRefs>
    <ds:schemaRef ds:uri="http://datasnipperlegacy"/>
    <ds:schemaRef ds:uri=""/>
  </ds:schemaRefs>
</ds:datastoreItem>
</file>

<file path=customXml/itemProps3.xml><?xml version="1.0" encoding="utf-8"?>
<ds:datastoreItem xmlns:ds="http://schemas.openxmlformats.org/officeDocument/2006/customXml" ds:itemID="{2A22997E-B019-406D-9D0E-72956CBD169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200d2cec-77de-4108-98a5-960fad86d843"/>
    <ds:schemaRef ds:uri="http://www.w3.org/XML/1998/namespace"/>
    <ds:schemaRef ds:uri="http://purl.org/dc/dcmitype/"/>
  </ds:schemaRefs>
</ds:datastoreItem>
</file>

<file path=customXml/itemProps4.xml><?xml version="1.0" encoding="utf-8"?>
<ds:datastoreItem xmlns:ds="http://schemas.openxmlformats.org/officeDocument/2006/customXml" ds:itemID="{03024801-397C-4595-90DD-2E3CAB2665E9}">
  <ds:schemaRefs>
    <ds:schemaRef ds:uri="http://datasnipper"/>
  </ds:schemaRefs>
</ds:datastoreItem>
</file>

<file path=customXml/itemProps5.xml><?xml version="1.0" encoding="utf-8"?>
<ds:datastoreItem xmlns:ds="http://schemas.openxmlformats.org/officeDocument/2006/customXml" ds:itemID="{410360A5-B3C8-448F-B59F-108E04A48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d2cec-77de-4108-98a5-960fad86d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汇总</vt:lpstr>
      <vt:lpstr>L1.00 Lead sheet</vt:lpstr>
      <vt:lpstr>L1.01.1 Agree SL to GL</vt:lpstr>
      <vt:lpstr>L1.01.1 Agree SL to GL(241231)</vt:lpstr>
      <vt:lpstr>L1.02.1 新增测试</vt:lpstr>
      <vt:lpstr>L1.02.1a 选样输出</vt:lpstr>
      <vt:lpstr>新增清单</vt:lpstr>
      <vt:lpstr>L1.02.2 处置测试</vt:lpstr>
      <vt:lpstr>处置清单</vt:lpstr>
      <vt:lpstr>L1.02.2a 选样输出</vt:lpstr>
      <vt:lpstr>L1.03 摊销测试</vt:lpstr>
      <vt:lpstr>L1.03 摊销测试 (20241231)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Skywind_L1_无形资产_20191231_好孩子项目测试.xlsx</dc:title>
  <dc:subject/>
  <dc:creator>Shi Qi SQ Zhang</dc:creator>
  <cp:keywords>Final Audit.V6.L1.0901</cp:keywords>
  <dc:description>6C1C492D-4556-479B-A95F-20CE065E7E37</dc:description>
  <cp:lastModifiedBy>Yu Qing YQ Cheng</cp:lastModifiedBy>
  <cp:revision/>
  <dcterms:created xsi:type="dcterms:W3CDTF">2015-06-05T18:17:00Z</dcterms:created>
  <dcterms:modified xsi:type="dcterms:W3CDTF">2025-09-19T06:16:04Z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0x010100DF3550D7BF13514F98E371620A139941</vt:lpwstr>
  </property>
  <property fmtid="{D5CDD505-2E9C-101B-9397-08002B2CF9AE}" pid="3" name="ICV">
    <vt:lpwstr>F1DE68158D454F66AA3F7509B138C858</vt:lpwstr>
  </property>
  <property fmtid="{D5CDD505-2E9C-101B-9397-08002B2CF9AE}" pid="4" name="KSOProductBuildVer">
    <vt:lpwstr>2052-11.1.0.12358</vt:lpwstr>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y fmtid="{D5CDD505-2E9C-101B-9397-08002B2CF9AE}" pid="7" name="Order">
    <vt:r8>316200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
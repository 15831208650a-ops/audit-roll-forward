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0">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3" formatCode="yyyy/mm/dd"/>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24">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93" fontId="47" fillId="44" borderId="3" applyAlignment="1" pivotButton="0" quotePrefix="0" xfId="0">
      <alignment horizontal="right" vertical="center"/>
    </xf>
    <xf numFmtId="193"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93" fontId="9" fillId="50" borderId="63" applyAlignment="1" applyProtection="1" pivotButton="0" quotePrefix="0" xfId="0">
      <alignment horizontal="center" vertical="center"/>
      <protection locked="0" hidden="0"/>
    </xf>
    <xf numFmtId="193" fontId="9" fillId="50" borderId="37"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193" fontId="7" fillId="0" borderId="48" applyAlignment="1" applyProtection="1" pivotButton="0" quotePrefix="0" xfId="7">
      <alignment horizontal="center" vertical="center"/>
      <protection locked="0" hidden="0"/>
    </xf>
    <xf numFmtId="43" fontId="9" fillId="42" borderId="0" applyAlignment="1" applyProtection="1" pivotButton="0" quotePrefix="0" xfId="7">
      <alignment vertical="center"/>
      <protection locked="0" hidden="0"/>
    </xf>
    <xf numFmtId="193" fontId="7" fillId="0" borderId="0" applyAlignment="1" applyProtection="1" pivotButton="0" quotePrefix="0" xfId="7">
      <alignment horizontal="center"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602" t="n">
        <v>46387</v>
      </c>
      <c r="D3" s="376" t="n"/>
      <c r="O3" s="601" t="n"/>
      <c r="Q3" s="141" t="n"/>
    </row>
    <row r="4" ht="16.5" customFormat="1" customHeight="1" s="140">
      <c r="B4" s="142" t="inlineStr">
        <is>
          <t>分析日期</t>
        </is>
      </c>
      <c r="C4" s="603" t="n">
        <v>46168.70883012997</v>
      </c>
      <c r="D4" s="376" t="n"/>
      <c r="O4" s="601" t="n"/>
      <c r="Q4" s="141" t="n"/>
    </row>
    <row r="5" ht="16.5" customFormat="1" customHeight="1" s="140">
      <c r="B5" s="142" t="inlineStr">
        <is>
          <t>可容忍误差(TE）</t>
        </is>
      </c>
      <c r="C5" s="604" t="n"/>
      <c r="D5" s="376" t="n"/>
      <c r="O5" s="601" t="n"/>
      <c r="Q5" s="141" t="n"/>
    </row>
    <row r="6" ht="16.5" customFormat="1" customHeight="1" s="140">
      <c r="B6" s="142" t="inlineStr">
        <is>
          <t>名义金额（SAD）</t>
        </is>
      </c>
      <c r="C6" s="604" t="n"/>
      <c r="D6" s="376" t="n"/>
      <c r="O6" s="601" t="n"/>
      <c r="Q6" s="141" t="n"/>
    </row>
    <row r="7" ht="16.5" customFormat="1" customHeight="1" s="140">
      <c r="B7" s="142" t="inlineStr">
        <is>
          <t>适用会计准则</t>
        </is>
      </c>
      <c r="C7" s="370" t="inlineStr">
        <is>
          <t>PRC</t>
        </is>
      </c>
      <c r="D7" s="376" t="n"/>
      <c r="O7" s="601" t="n"/>
      <c r="Q7" s="141" t="n"/>
    </row>
    <row r="8" ht="16.5" customFormat="1" customHeight="1" s="140">
      <c r="B8" s="143" t="inlineStr">
        <is>
          <t>记账本位币</t>
        </is>
      </c>
      <c r="C8" s="374" t="inlineStr">
        <is>
          <t>CNY</t>
        </is>
      </c>
      <c r="D8" s="377" t="n"/>
      <c r="E8" s="605" t="n"/>
      <c r="F8" s="605" t="n"/>
      <c r="G8" s="605" t="n"/>
      <c r="H8" s="605" t="n"/>
      <c r="I8" s="605" t="n"/>
      <c r="J8" s="605" t="n"/>
      <c r="K8" s="605" t="n"/>
      <c r="L8" s="605" t="n"/>
      <c r="M8" s="605" t="n"/>
      <c r="N8" s="605" t="n"/>
      <c r="O8" s="606"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7" t="inlineStr">
        <is>
          <t>安永标记</t>
        </is>
      </c>
      <c r="I14" s="608" t="n"/>
      <c r="J14" s="608" t="n"/>
      <c r="K14" s="608" t="n"/>
      <c r="L14" s="609"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10">
        <f>IF(C16="Minimal",$C$5*100%,IF(C16="Low",$C$5*75%,IF(C16="Moderate",$C$5*50%,IF(C16="High",$C$5*25%,IF(C16="N/A","-",)))))</f>
        <v/>
      </c>
      <c r="E16" s="611">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10">
        <f>IF(C17="Minimal",$C$5*100%,IF(C17="Low",$C$5*75%,IF(C17="Moderate",$C$5*50%,IF(C17="High",$C$5*25%,IF(C17="N/A","-",)))))</f>
        <v/>
      </c>
      <c r="E17" s="612"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10">
        <f>IF(C18="Minimal",$C$5*100%,IF(C18="Low",$C$5*75%,IF(C18="Moderate",$C$5*50%,IF(C18="High",$C$5*25%,IF(C18="N/A","-",)))))</f>
        <v/>
      </c>
      <c r="E18" s="612"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10">
        <f>IF(C19="Minimal",$C$5*100%,IF(C19="Low",$C$5*75%,IF(C19="Moderate",$C$5*50%,IF(C19="High",$C$5*25%,IF(C19="N/A","-",)))))</f>
        <v/>
      </c>
      <c r="E19" s="612"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10">
        <f>IF(C20="Minimal",$C$5*100%,IF(C20="Low",$C$5*75%,IF(C20="Moderate",$C$5*50%,IF(C20="High",$C$5*25%,IF(C20="N/A","-",)))))</f>
        <v/>
      </c>
      <c r="E20" s="613"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4"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5"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5"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6">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7">
        <f>$C$3</f>
        <v/>
      </c>
      <c r="F43" s="592" t="n"/>
      <c r="G43" s="592" t="n"/>
      <c r="H43" s="592" t="n"/>
      <c r="I43" s="593" t="n"/>
      <c r="J43" s="618">
        <f>DATE(YEAR($C$3)-1,12,31)</f>
        <v/>
      </c>
      <c r="K43" s="619" t="inlineStr">
        <is>
          <t>本期和上期期末余额</t>
        </is>
      </c>
      <c r="L43" s="620" t="n"/>
      <c r="M43" s="275" t="n"/>
      <c r="N43" s="482" t="inlineStr">
        <is>
          <t>基于波动幅度判断，是否进一步调查？</t>
        </is>
      </c>
      <c r="O43" s="621"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22" t="n"/>
      <c r="O44" s="623" t="n"/>
      <c r="Q44" s="52" t="n"/>
      <c r="R44" s="51" t="n"/>
    </row>
    <row r="45" ht="15" customFormat="1" customHeight="1" s="624">
      <c r="B45" s="326" t="n">
        <v>1604</v>
      </c>
      <c r="C45" s="326" t="inlineStr">
        <is>
          <t>在建工程-原值</t>
        </is>
      </c>
      <c r="D45" s="421" t="inlineStr">
        <is>
          <t>J.01 Agree SL to GL</t>
        </is>
      </c>
      <c r="E45" s="625" t="n"/>
      <c r="F45" s="625" t="n"/>
      <c r="G45" s="625" t="n"/>
      <c r="H45" s="625" t="n"/>
      <c r="I45" s="625" t="n"/>
      <c r="J45" s="625">
        <f>'J.01 Agree SL to GL'!K13</f>
        <v/>
      </c>
      <c r="K45" s="626">
        <f>I45-J45</f>
        <v/>
      </c>
      <c r="L45" s="348">
        <f>IF(J45&lt;&gt;0,K45/J45,1)</f>
        <v/>
      </c>
      <c r="M45" s="335" t="inlineStr">
        <is>
          <t>[A]</t>
        </is>
      </c>
      <c r="N45" s="627">
        <f>IF(AND(ABS(K45)&gt;=$C$33,ABS(L45)&gt;=$C$34),"是","否")</f>
        <v/>
      </c>
      <c r="O45" s="524" t="n"/>
      <c r="Q45" s="628" t="n"/>
    </row>
    <row r="46" ht="15" customFormat="1" customHeight="1" s="624">
      <c r="B46" s="326" t="n"/>
      <c r="C46" s="326" t="inlineStr">
        <is>
          <t>在建工程减值准备</t>
        </is>
      </c>
      <c r="D46" s="421" t="inlineStr">
        <is>
          <t>J.01 Agree SL to GL</t>
        </is>
      </c>
      <c r="E46" s="625" t="n"/>
      <c r="F46" s="625" t="n"/>
      <c r="G46" s="625" t="n"/>
      <c r="H46" s="625" t="n"/>
      <c r="I46" s="625" t="n"/>
      <c r="J46" s="625">
        <f>'J.01 Agree SL to GL'!K19</f>
        <v/>
      </c>
      <c r="K46" s="626">
        <f>I46-J46</f>
        <v/>
      </c>
      <c r="L46" s="348">
        <f>IF(J46&lt;&gt;0,K46/J46,1)</f>
        <v/>
      </c>
      <c r="M46" s="335" t="n"/>
      <c r="N46" s="629">
        <f>IF(AND(ABS(K46)&gt;=$C$33,ABS(L46)&gt;=$C$34),"是","否")</f>
        <v/>
      </c>
      <c r="O46" s="524" t="n"/>
      <c r="Q46" s="628" t="n"/>
    </row>
    <row r="47" ht="15" customHeight="1" s="588">
      <c r="B47" s="333" t="n"/>
      <c r="E47" s="630" t="n"/>
      <c r="F47" s="630" t="n"/>
      <c r="G47" s="630" t="n"/>
      <c r="H47" s="630" t="n"/>
      <c r="I47" s="630" t="n"/>
      <c r="J47" s="630" t="n"/>
      <c r="K47" s="631" t="n"/>
      <c r="L47" s="341" t="n"/>
      <c r="M47" s="58" t="n"/>
      <c r="N47" s="66" t="n"/>
      <c r="O47" s="422" t="n"/>
      <c r="Q47" s="52" t="n"/>
      <c r="R47" s="51" t="n"/>
    </row>
    <row r="48" ht="15" customHeight="1" s="588" thickBot="1">
      <c r="C48" s="67" t="inlineStr">
        <is>
          <t>净值</t>
        </is>
      </c>
      <c r="E48" s="632" t="n"/>
      <c r="F48" s="632" t="n"/>
      <c r="G48" s="632" t="n"/>
      <c r="H48" s="632" t="n"/>
      <c r="I48" s="632" t="n"/>
      <c r="J48" s="632">
        <f>J45-J46</f>
        <v/>
      </c>
      <c r="K48" s="632">
        <f>K45-K46</f>
        <v/>
      </c>
      <c r="L48" s="419">
        <f>IF(J48&lt;&gt;0,K48/J48,1)</f>
        <v/>
      </c>
      <c r="M48" s="65" t="n"/>
      <c r="N48" s="629">
        <f>IF(AND(ABS(K48)&gt;=$C$33,ABS(L48)&gt;=$C$34),"是","否")</f>
        <v/>
      </c>
      <c r="O48" s="524" t="n"/>
      <c r="Q48" s="52" t="n"/>
      <c r="R48" s="51" t="n"/>
    </row>
    <row r="49" ht="15" customHeight="1" s="588" thickTop="1">
      <c r="C49" s="67" t="n"/>
      <c r="E49" s="633" t="inlineStr">
        <is>
          <t>Rx</t>
        </is>
      </c>
      <c r="F49" s="633" t="inlineStr">
        <is>
          <t>Rx</t>
        </is>
      </c>
      <c r="G49" s="633" t="inlineStr">
        <is>
          <t>Rx</t>
        </is>
      </c>
      <c r="H49" s="633" t="inlineStr">
        <is>
          <t>Rx</t>
        </is>
      </c>
      <c r="I49" s="633" t="inlineStr">
        <is>
          <t>Rx</t>
        </is>
      </c>
      <c r="J49" s="633" t="inlineStr">
        <is>
          <t>Rx</t>
        </is>
      </c>
      <c r="K49" s="634" t="n"/>
      <c r="L49" s="635" t="n"/>
      <c r="M49" s="65" t="n"/>
      <c r="N49" s="66" t="n"/>
      <c r="O49" s="635" t="n"/>
      <c r="Q49" s="52" t="n"/>
      <c r="R49" s="51" t="n"/>
    </row>
    <row r="50" ht="15" customHeight="1" s="588">
      <c r="C50" s="67" t="n"/>
      <c r="E50" s="633" t="n"/>
      <c r="F50" s="634" t="n"/>
      <c r="G50" s="634" t="n"/>
      <c r="H50" s="634" t="n"/>
      <c r="I50" s="634" t="n"/>
      <c r="J50" s="634" t="n"/>
      <c r="K50" s="634" t="n"/>
      <c r="L50" s="635" t="n"/>
      <c r="M50" s="65" t="n"/>
      <c r="N50" s="66" t="n"/>
      <c r="O50" s="635" t="n"/>
      <c r="Q50" s="52" t="n"/>
      <c r="R50" s="51" t="n"/>
    </row>
    <row r="51" ht="15" customHeight="1" s="588">
      <c r="C51" s="135" t="inlineStr">
        <is>
          <t>check with A3</t>
        </is>
      </c>
      <c r="E51" s="342" t="n"/>
      <c r="F51" s="634" t="n"/>
      <c r="G51" s="636" t="n"/>
      <c r="H51" s="634" t="n"/>
      <c r="I51" s="636" t="n"/>
      <c r="J51" s="636" t="n"/>
      <c r="K51" s="634" t="n"/>
      <c r="L51" s="635" t="n"/>
      <c r="M51" s="65" t="n"/>
      <c r="N51" s="66" t="n"/>
      <c r="O51" s="107" t="n"/>
      <c r="Q51" s="52" t="n"/>
      <c r="R51" s="51" t="n"/>
    </row>
    <row r="52" ht="15" customHeight="1" s="588">
      <c r="C52" s="135" t="inlineStr">
        <is>
          <t>Diff</t>
        </is>
      </c>
      <c r="D52" s="63" t="n"/>
      <c r="E52" s="342" t="n"/>
      <c r="F52" s="637" t="n"/>
      <c r="G52" s="637">
        <f>G48-G51</f>
        <v/>
      </c>
      <c r="H52" s="638" t="n"/>
      <c r="I52" s="637">
        <f>I48-I51</f>
        <v/>
      </c>
      <c r="J52" s="637">
        <f>J48-J51</f>
        <v/>
      </c>
      <c r="L52" s="634" t="n"/>
      <c r="M52" s="635" t="n"/>
      <c r="N52" s="65" t="n"/>
      <c r="O52" s="66" t="n"/>
      <c r="P52" s="107" t="n"/>
      <c r="Q52" s="52" t="n"/>
    </row>
    <row r="53" ht="15" customHeight="1" s="588">
      <c r="B53" s="281" t="inlineStr">
        <is>
          <t>波动说明</t>
        </is>
      </c>
      <c r="C53" s="271" t="n"/>
      <c r="D53" s="271" t="n"/>
      <c r="E53" s="271" t="n"/>
      <c r="F53" s="271" t="n"/>
      <c r="G53" s="639" t="n"/>
      <c r="H53" s="639" t="n"/>
      <c r="I53" s="639" t="n"/>
      <c r="J53" s="639" t="n"/>
      <c r="K53" s="635" t="n"/>
      <c r="L53" s="65" t="n"/>
      <c r="M53" s="66" t="n"/>
      <c r="N53" s="635" t="n"/>
      <c r="O53" s="107" t="n"/>
      <c r="P53" s="58" t="n"/>
      <c r="Q53" s="52" t="n"/>
      <c r="R53" s="51" t="n"/>
    </row>
    <row r="54" ht="15" customFormat="1" customHeight="1" s="60">
      <c r="B54" s="640" t="inlineStr">
        <is>
          <t>[A]</t>
        </is>
      </c>
      <c r="C54" s="641" t="n"/>
      <c r="D54" s="641" t="n"/>
      <c r="E54" s="641" t="n"/>
      <c r="F54" s="642" t="n"/>
      <c r="J54" s="68" t="n"/>
      <c r="K54" s="68" t="n"/>
      <c r="L54" s="68" t="n"/>
      <c r="M54" s="69" t="n"/>
      <c r="N54" s="69" t="n"/>
      <c r="O54" s="69" t="n"/>
      <c r="Q54" s="61" t="n"/>
    </row>
    <row r="55" ht="15" customHeight="1" s="588">
      <c r="B55" s="643" t="n"/>
      <c r="C55" s="527" t="n"/>
      <c r="D55" s="527" t="n"/>
      <c r="E55" s="527" t="n"/>
      <c r="F55" s="644" t="n"/>
      <c r="I55" s="78" t="n"/>
      <c r="K55" s="645" t="n"/>
      <c r="L55" s="73" t="n"/>
      <c r="M55" s="73" t="n"/>
      <c r="N55" s="73" t="n"/>
      <c r="O55" s="73" t="n"/>
      <c r="Q55" s="52" t="n"/>
      <c r="R55" s="51" t="n"/>
    </row>
    <row r="56" ht="15" customHeight="1" s="588">
      <c r="B56" s="643" t="n"/>
      <c r="C56" s="527" t="n"/>
      <c r="D56" s="527" t="n"/>
      <c r="E56" s="527" t="n"/>
      <c r="F56" s="644" t="n"/>
      <c r="K56" s="645" t="n"/>
      <c r="L56" s="73" t="n"/>
      <c r="M56" s="73" t="n"/>
      <c r="N56" s="73" t="n"/>
      <c r="O56" s="73" t="n"/>
      <c r="Q56" s="52" t="n"/>
      <c r="R56" s="51" t="n"/>
    </row>
    <row r="57" ht="15" customHeight="1" s="588">
      <c r="B57" s="646" t="n"/>
      <c r="C57" s="647" t="n"/>
      <c r="D57" s="647" t="n"/>
      <c r="E57" s="647" t="n"/>
      <c r="F57" s="648" t="n"/>
      <c r="K57" s="645" t="n"/>
      <c r="L57" s="73" t="n"/>
      <c r="M57" s="73" t="n"/>
      <c r="N57" s="73" t="n"/>
      <c r="O57" s="73" t="n"/>
      <c r="Q57" s="52" t="n"/>
      <c r="R57" s="51" t="n"/>
    </row>
    <row r="58" ht="15" customHeight="1" s="588">
      <c r="B58" s="649" t="n"/>
      <c r="L58" s="645" t="n"/>
      <c r="M58" s="73" t="n"/>
      <c r="N58" s="73" t="n"/>
      <c r="O58" s="73" t="n"/>
      <c r="P58" s="73" t="n"/>
      <c r="Q58" s="52" t="n"/>
    </row>
    <row r="59" ht="14.5" customFormat="1" customHeight="1" s="124">
      <c r="A59" s="120" t="n"/>
      <c r="B59" s="179" t="inlineStr">
        <is>
          <t>调整汇总表（如不适用请删除）</t>
        </is>
      </c>
      <c r="C59" s="121" t="n"/>
      <c r="D59" s="121" t="n"/>
      <c r="E59" s="122" t="n"/>
      <c r="F59" s="554" t="n"/>
      <c r="G59" s="650" t="n"/>
      <c r="H59" s="650" t="n"/>
      <c r="I59" s="650" t="n"/>
      <c r="Q59" s="52" t="n"/>
    </row>
    <row r="60" ht="14.25" customFormat="1" customHeight="1" s="124">
      <c r="A60" s="120" t="n"/>
      <c r="B60" s="651" t="inlineStr">
        <is>
          <t>调整类型</t>
        </is>
      </c>
      <c r="C60" s="173" t="n"/>
      <c r="D60" s="173" t="n"/>
      <c r="E60" s="174" t="n"/>
      <c r="F60" s="174" t="n"/>
      <c r="G60" s="650" t="n"/>
      <c r="H60" s="650" t="n"/>
      <c r="I60" s="650" t="n"/>
      <c r="Q60" s="52" t="n"/>
    </row>
    <row r="61" ht="14.25" customFormat="1" customHeight="1" s="124">
      <c r="A61" s="120" t="n"/>
      <c r="B61" s="175" t="n"/>
      <c r="C61" s="176" t="n"/>
      <c r="D61" s="176" t="n"/>
      <c r="E61" s="411" t="n"/>
      <c r="F61" s="412" t="n"/>
      <c r="G61" s="650" t="n"/>
      <c r="H61" s="650" t="n"/>
      <c r="I61" s="650" t="n"/>
      <c r="Q61" s="52" t="n"/>
    </row>
    <row r="62" ht="14.25" customFormat="1" customHeight="1" s="124">
      <c r="A62" s="125" t="n"/>
      <c r="B62" s="177" t="n"/>
      <c r="C62" s="413" t="n"/>
      <c r="D62" s="413" t="n"/>
      <c r="E62" s="414" t="n"/>
      <c r="F62" s="415" t="n"/>
      <c r="G62" s="650" t="n"/>
      <c r="H62" s="650" t="n"/>
      <c r="I62" s="650" t="n"/>
      <c r="Q62" s="52" t="n"/>
    </row>
    <row r="63" ht="15" customFormat="1" customHeight="1" s="60">
      <c r="B63" s="178" t="n"/>
      <c r="C63" s="416" t="n"/>
      <c r="D63" s="416" t="n"/>
      <c r="E63" s="417" t="n"/>
      <c r="F63" s="418" t="n"/>
      <c r="M63" s="652" t="n"/>
      <c r="N63" s="70" t="n"/>
      <c r="O63" s="70" t="n"/>
      <c r="P63" s="70" t="n"/>
      <c r="Q63" s="61" t="n"/>
      <c r="R63" s="62" t="n"/>
    </row>
    <row r="64" ht="15" customFormat="1" customHeight="1" s="60">
      <c r="B64" s="650" t="n"/>
      <c r="C64" s="650" t="n"/>
      <c r="D64" s="650" t="n"/>
      <c r="E64" s="650" t="n"/>
      <c r="F64" s="650" t="n"/>
      <c r="M64" s="652"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53" t="n"/>
      <c r="N65" s="76" t="n"/>
      <c r="O65" s="76" t="n"/>
      <c r="P65" s="76" t="n"/>
      <c r="Q65" s="52" t="n"/>
    </row>
    <row r="66" ht="15" customHeight="1" s="588">
      <c r="M66" s="645" t="n"/>
      <c r="N66" s="73" t="n"/>
      <c r="O66" s="73" t="n"/>
      <c r="P66" s="73" t="n"/>
    </row>
    <row r="67" ht="15" customHeight="1" s="588">
      <c r="M67" s="645"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54" t="n">
        <v>279741.81</v>
      </c>
      <c r="F13" s="655" t="n"/>
      <c r="G13" s="654" t="n">
        <v>0</v>
      </c>
      <c r="H13" s="655" t="n"/>
      <c r="I13" s="654" t="n">
        <v>-279741.81</v>
      </c>
      <c r="J13" s="656" t="n"/>
      <c r="K13" s="656">
        <f>E13+G13+I13</f>
        <v/>
      </c>
      <c r="M13" s="52" t="n"/>
    </row>
    <row r="14" ht="14.5" customHeight="1" s="588">
      <c r="B14" s="527" t="n"/>
      <c r="C14" s="269" t="inlineStr">
        <is>
          <t>本期新增</t>
        </is>
      </c>
      <c r="D14" s="186" t="inlineStr">
        <is>
          <t>J.02.1/</t>
        </is>
      </c>
      <c r="E14" s="654" t="n"/>
      <c r="F14" s="655" t="n"/>
      <c r="G14" s="654" t="n"/>
      <c r="H14" s="655" t="n"/>
      <c r="I14" s="654" t="n"/>
      <c r="J14" s="656" t="n"/>
      <c r="K14" s="656">
        <f>E14+G14+I14</f>
        <v/>
      </c>
      <c r="M14" s="52" t="n"/>
    </row>
    <row r="15" ht="14.5" customHeight="1" s="588">
      <c r="B15" s="527" t="n"/>
      <c r="C15" s="269" t="inlineStr">
        <is>
          <t>本期转入固定资产</t>
        </is>
      </c>
      <c r="D15" s="186" t="inlineStr">
        <is>
          <t>J.02.2/</t>
        </is>
      </c>
      <c r="E15" s="654" t="n"/>
      <c r="F15" s="655" t="n"/>
      <c r="G15" s="654" t="n"/>
      <c r="H15" s="655" t="n"/>
      <c r="I15" s="654" t="n"/>
      <c r="J15" s="656" t="n"/>
      <c r="K15" s="656">
        <f>E15+G15+I15</f>
        <v/>
      </c>
      <c r="M15" s="52" t="n"/>
    </row>
    <row r="16" ht="14.5" customHeight="1" s="588">
      <c r="B16" s="527" t="n"/>
      <c r="C16" s="269" t="inlineStr">
        <is>
          <t>其他减少</t>
        </is>
      </c>
      <c r="D16" s="186" t="inlineStr">
        <is>
          <t>J.02.2/</t>
        </is>
      </c>
      <c r="E16" s="654" t="n"/>
      <c r="F16" s="655" t="n"/>
      <c r="G16" s="654" t="n"/>
      <c r="H16" s="655" t="n"/>
      <c r="I16" s="654" t="n"/>
      <c r="J16" s="656" t="n"/>
      <c r="K16" s="656">
        <f>E16+G16+I16</f>
        <v/>
      </c>
      <c r="M16" s="52" t="n"/>
    </row>
    <row r="17" ht="14.5" customHeight="1" s="588">
      <c r="B17" s="527" t="n"/>
      <c r="C17" s="269" t="inlineStr">
        <is>
          <t>期末余额</t>
        </is>
      </c>
      <c r="D17" s="186" t="n"/>
      <c r="E17" s="657">
        <f>E13+E14-E15-E16</f>
        <v/>
      </c>
      <c r="F17" s="656" t="n"/>
      <c r="G17" s="657">
        <f>G13+G14-G15-G16</f>
        <v/>
      </c>
      <c r="H17" s="656" t="n"/>
      <c r="I17" s="657">
        <f>I13+I14-I15-I16</f>
        <v/>
      </c>
      <c r="J17" s="656" t="n"/>
      <c r="K17" s="657">
        <f>K13+K14-K15-K16</f>
        <v/>
      </c>
      <c r="M17" s="52" t="n"/>
    </row>
    <row r="18" ht="12.5" customHeight="1" s="588">
      <c r="C18" s="269" t="n"/>
      <c r="E18" s="658" t="n"/>
      <c r="F18" s="656" t="n"/>
      <c r="G18" s="658" t="n"/>
      <c r="H18" s="656" t="n"/>
      <c r="I18" s="658" t="n"/>
      <c r="J18" s="656" t="n"/>
      <c r="K18" s="656" t="n"/>
      <c r="M18" s="52" t="n"/>
    </row>
    <row r="19" ht="14.5" customHeight="1" s="588">
      <c r="B19" s="524" t="inlineStr">
        <is>
          <t>在建工程-减值准备</t>
        </is>
      </c>
      <c r="C19" s="269" t="inlineStr">
        <is>
          <t>期初余额</t>
        </is>
      </c>
      <c r="D19" s="186" t="inlineStr">
        <is>
          <t>SWP 减值</t>
        </is>
      </c>
      <c r="E19" s="654" t="n">
        <v>0</v>
      </c>
      <c r="F19" s="655" t="n"/>
      <c r="G19" s="654" t="n">
        <v>0</v>
      </c>
      <c r="H19" s="655" t="n"/>
      <c r="I19" s="654" t="n">
        <v>0</v>
      </c>
      <c r="J19" s="656" t="n"/>
      <c r="K19" s="656">
        <f>E19+G19+I19</f>
        <v/>
      </c>
      <c r="M19" s="52" t="n"/>
    </row>
    <row r="20" ht="14.5" customHeight="1" s="588">
      <c r="B20" s="527" t="n"/>
      <c r="C20" s="269" t="inlineStr">
        <is>
          <t>本期新增</t>
        </is>
      </c>
      <c r="D20" s="186" t="inlineStr">
        <is>
          <t>SWP 减值</t>
        </is>
      </c>
      <c r="E20" s="654" t="n"/>
      <c r="F20" s="655" t="n"/>
      <c r="G20" s="654" t="n"/>
      <c r="H20" s="655" t="n"/>
      <c r="I20" s="654" t="n"/>
      <c r="J20" s="656" t="n"/>
      <c r="K20" s="656">
        <f>E20+G20+I20</f>
        <v/>
      </c>
      <c r="M20" s="52" t="n"/>
    </row>
    <row r="21" ht="14.5" customHeight="1" s="588">
      <c r="B21" s="527" t="n"/>
      <c r="C21" s="269" t="inlineStr">
        <is>
          <t>本期减少</t>
        </is>
      </c>
      <c r="D21" s="186" t="inlineStr">
        <is>
          <t>SWP 减值</t>
        </is>
      </c>
      <c r="E21" s="654" t="n"/>
      <c r="F21" s="655" t="n"/>
      <c r="G21" s="654" t="n"/>
      <c r="H21" s="655" t="n"/>
      <c r="I21" s="654" t="n"/>
      <c r="J21" s="656" t="n"/>
      <c r="K21" s="656">
        <f>E21+G21+I21</f>
        <v/>
      </c>
      <c r="M21" s="52" t="n"/>
    </row>
    <row r="22" ht="14.5" customHeight="1" s="588">
      <c r="B22" s="527" t="n"/>
      <c r="C22" s="269" t="inlineStr">
        <is>
          <t>期末余额</t>
        </is>
      </c>
      <c r="D22" s="186" t="n"/>
      <c r="E22" s="659">
        <f>E19+E20-E21</f>
        <v/>
      </c>
      <c r="F22" s="656" t="n"/>
      <c r="G22" s="659">
        <f>G19+G20-G21</f>
        <v/>
      </c>
      <c r="H22" s="658" t="n"/>
      <c r="I22" s="659">
        <f>I19+I20-I21</f>
        <v/>
      </c>
      <c r="J22" s="658" t="n"/>
      <c r="K22" s="659">
        <f>K19+K20-K21</f>
        <v/>
      </c>
      <c r="M22" s="52" t="n"/>
    </row>
    <row r="23" ht="13" customHeight="1" s="588">
      <c r="B23" s="333" t="n"/>
      <c r="C23" s="269" t="n"/>
      <c r="D23" s="186" t="n"/>
      <c r="E23" s="656" t="n"/>
      <c r="F23" s="656" t="n"/>
      <c r="G23" s="656" t="n"/>
      <c r="H23" s="656" t="n"/>
      <c r="I23" s="656" t="n"/>
      <c r="J23" s="658" t="n"/>
      <c r="K23" s="656" t="n"/>
      <c r="M23" s="52" t="n"/>
    </row>
    <row r="24" ht="14.5" customHeight="1" s="588">
      <c r="B24" s="333" t="n"/>
      <c r="C24" s="269" t="inlineStr">
        <is>
          <t>期末价值</t>
        </is>
      </c>
      <c r="D24" s="186" t="n"/>
      <c r="E24" s="660">
        <f>E17-E22</f>
        <v/>
      </c>
      <c r="F24" s="656" t="n"/>
      <c r="G24" s="660">
        <f>G17-G22</f>
        <v/>
      </c>
      <c r="H24" s="658" t="n"/>
      <c r="I24" s="660">
        <f>I17-I22</f>
        <v/>
      </c>
      <c r="J24" s="658" t="n"/>
      <c r="K24" s="660">
        <f>K17-K22</f>
        <v/>
      </c>
      <c r="M24" s="52" t="n"/>
    </row>
    <row r="25" ht="13.5" customHeight="1" s="588" thickTop="1">
      <c r="E25" s="187" t="inlineStr">
        <is>
          <t>Rx</t>
        </is>
      </c>
      <c r="G25" s="661" t="inlineStr">
        <is>
          <t>Rx</t>
        </is>
      </c>
      <c r="H25" s="662" t="n"/>
      <c r="I25" s="661" t="inlineStr">
        <is>
          <t>Rx</t>
        </is>
      </c>
      <c r="J25" s="662" t="n"/>
      <c r="K25" s="661" t="inlineStr">
        <is>
          <t>Rx</t>
        </is>
      </c>
      <c r="M25" s="52" t="n"/>
    </row>
    <row r="26" ht="14.5" customHeight="1" s="588">
      <c r="C26" s="190" t="inlineStr">
        <is>
          <t>TB-期末账面余额</t>
        </is>
      </c>
      <c r="D26" s="191" t="n"/>
      <c r="E26" s="663" t="n"/>
      <c r="F26" s="191" t="n"/>
      <c r="G26" s="664" t="n"/>
      <c r="H26" s="191" t="n"/>
      <c r="I26" s="191" t="n"/>
      <c r="J26" s="191" t="n"/>
      <c r="K26" s="664" t="n"/>
      <c r="M26" s="52" t="n"/>
    </row>
    <row r="27" ht="14.5" customHeight="1" s="588">
      <c r="C27" s="190" t="inlineStr">
        <is>
          <t>差异</t>
        </is>
      </c>
      <c r="D27" s="191" t="n"/>
      <c r="E27" s="663">
        <f>E17-E26</f>
        <v/>
      </c>
      <c r="F27" s="43" t="inlineStr">
        <is>
          <t>Rx</t>
        </is>
      </c>
      <c r="G27" s="43" t="n"/>
      <c r="H27" s="191" t="n"/>
      <c r="I27" s="191" t="n"/>
      <c r="J27" s="191" t="n"/>
      <c r="K27" s="193" t="n"/>
      <c r="M27" s="52" t="n"/>
    </row>
    <row r="28" ht="14.5" customHeight="1" s="588">
      <c r="C28" s="190" t="inlineStr">
        <is>
          <t>TB-期末净值</t>
        </is>
      </c>
      <c r="D28" s="191" t="n"/>
      <c r="E28" s="663" t="n"/>
      <c r="F28" s="43" t="n"/>
      <c r="G28" s="193" t="n"/>
      <c r="H28" s="191" t="n"/>
      <c r="I28" s="191" t="n"/>
      <c r="J28" s="191" t="n"/>
      <c r="K28" s="193" t="n"/>
      <c r="M28" s="52" t="n"/>
    </row>
    <row r="29" ht="14.5" customHeight="1" s="588">
      <c r="C29" s="190" t="inlineStr">
        <is>
          <t>差异</t>
        </is>
      </c>
      <c r="E29" s="663">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5" t="n"/>
      <c r="M32" s="52" t="n"/>
    </row>
    <row r="33" ht="14.5" customHeight="1" s="588">
      <c r="A33" s="78" t="n"/>
      <c r="B33" s="431" t="n"/>
      <c r="C33" s="432" t="inlineStr">
        <is>
          <t>CIP List 余额</t>
        </is>
      </c>
      <c r="D33" s="433" t="n"/>
      <c r="E33" s="666" t="n"/>
      <c r="F33" s="435" t="n"/>
      <c r="G33" s="667" t="n"/>
      <c r="H33" s="435" t="n"/>
      <c r="I33" s="435" t="n"/>
      <c r="J33" s="435" t="n"/>
      <c r="K33" s="437" t="n"/>
      <c r="M33" s="52" t="n"/>
    </row>
    <row r="34" ht="14.5" customHeight="1" s="588">
      <c r="B34" s="195" t="n"/>
      <c r="C34" s="196" t="inlineStr">
        <is>
          <t>与表1核对</t>
        </is>
      </c>
      <c r="D34" s="197" t="n"/>
      <c r="E34" s="668">
        <f>E33-E17</f>
        <v/>
      </c>
      <c r="F34" s="183" t="inlineStr">
        <is>
          <t>Rx</t>
        </is>
      </c>
      <c r="G34" s="100" t="n"/>
      <c r="H34" s="197" t="n"/>
      <c r="I34" s="198" t="n"/>
      <c r="J34" s="197" t="n"/>
      <c r="K34" s="199" t="n"/>
      <c r="M34" s="52" t="n"/>
    </row>
    <row r="35" ht="13" customHeight="1" s="588">
      <c r="C35" s="190" t="n"/>
      <c r="E35" s="190" t="n"/>
      <c r="G35" s="665" t="n"/>
      <c r="M35" s="52" t="n"/>
    </row>
    <row r="36" ht="13" customHeight="1" s="588">
      <c r="C36" s="190" t="n"/>
      <c r="E36" s="190" t="n"/>
      <c r="G36" s="665"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9" t="n"/>
      <c r="C39" s="641" t="n"/>
      <c r="D39" s="641" t="n"/>
      <c r="E39" s="641" t="n"/>
      <c r="F39" s="641" t="n"/>
      <c r="G39" s="641" t="n"/>
      <c r="H39" s="641" t="n"/>
      <c r="I39" s="641" t="n"/>
      <c r="J39" s="641" t="n"/>
      <c r="K39" s="642" t="n"/>
      <c r="M39" s="52" t="n"/>
    </row>
    <row r="40" ht="12.75" customHeight="1" s="588">
      <c r="B40" s="643" t="n"/>
      <c r="C40" s="527" t="n"/>
      <c r="D40" s="527" t="n"/>
      <c r="E40" s="527" t="n"/>
      <c r="F40" s="527" t="n"/>
      <c r="G40" s="527" t="n"/>
      <c r="H40" s="527" t="n"/>
      <c r="I40" s="527" t="n"/>
      <c r="J40" s="527" t="n"/>
      <c r="K40" s="644" t="n"/>
      <c r="M40" s="52" t="n"/>
    </row>
    <row r="41" ht="12.75" customHeight="1" s="588">
      <c r="B41" s="643" t="n"/>
      <c r="C41" s="527" t="n"/>
      <c r="D41" s="527" t="n"/>
      <c r="E41" s="527" t="n"/>
      <c r="F41" s="527" t="n"/>
      <c r="G41" s="527" t="n"/>
      <c r="H41" s="527" t="n"/>
      <c r="I41" s="527" t="n"/>
      <c r="J41" s="527" t="n"/>
      <c r="K41" s="644" t="n"/>
      <c r="M41" s="52" t="n"/>
    </row>
    <row r="42" ht="12.65" customHeight="1" s="588">
      <c r="B42" s="646" t="n"/>
      <c r="C42" s="647" t="n"/>
      <c r="D42" s="647" t="n"/>
      <c r="E42" s="647" t="n"/>
      <c r="F42" s="647" t="n"/>
      <c r="G42" s="647" t="n"/>
      <c r="H42" s="647" t="n"/>
      <c r="I42" s="647" t="n"/>
      <c r="J42" s="647" t="n"/>
      <c r="K42" s="648"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70" t="n"/>
      <c r="G2" s="670"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71" t="n"/>
      <c r="I3" s="671" t="n"/>
      <c r="J3" s="671" t="n"/>
      <c r="K3" s="670"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72" t="n"/>
      <c r="O5" s="92" t="n"/>
      <c r="P5" s="626" t="n"/>
      <c r="Q5" s="626" t="n"/>
      <c r="T5" s="202" t="n"/>
      <c r="U5" s="626"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72" t="n"/>
      <c r="O6" s="92" t="n"/>
      <c r="P6" s="626" t="n"/>
      <c r="Q6" s="626" t="n"/>
      <c r="T6" s="202" t="n"/>
      <c r="U6" s="626" t="n"/>
    </row>
    <row r="7" ht="13" customFormat="1" customHeight="1" s="205">
      <c r="A7" s="208" t="n"/>
      <c r="B7" s="673" t="n"/>
      <c r="C7" s="674" t="n"/>
      <c r="D7" s="674" t="n"/>
      <c r="E7" s="674" t="n"/>
      <c r="F7" s="675" t="n"/>
      <c r="O7" s="92" t="n"/>
    </row>
    <row r="8" ht="13" customFormat="1" customHeight="1" s="205">
      <c r="A8" s="208" t="n"/>
      <c r="B8" s="676" t="n"/>
      <c r="F8" s="677" t="n"/>
      <c r="O8" s="92" t="n"/>
    </row>
    <row r="9" ht="13" customFormat="1" customHeight="1" s="205">
      <c r="A9" s="208" t="n"/>
      <c r="B9" s="676" t="n"/>
      <c r="F9" s="677" t="n"/>
      <c r="O9" s="92" t="n"/>
    </row>
    <row r="10" ht="13" customFormat="1" customHeight="1" s="205">
      <c r="A10" s="208" t="n"/>
      <c r="B10" s="678" t="n"/>
      <c r="C10" s="679" t="n"/>
      <c r="D10" s="679" t="n"/>
      <c r="E10" s="679" t="n"/>
      <c r="F10" s="680" t="n"/>
      <c r="O10" s="92" t="n"/>
    </row>
    <row r="11" ht="14" customFormat="1" customHeight="1" s="185">
      <c r="J11" s="205" t="n"/>
      <c r="K11" s="205" t="n"/>
      <c r="L11" s="205" t="n"/>
      <c r="O11" s="92" t="n"/>
    </row>
    <row r="12" ht="14.5" customFormat="1" customHeight="1" s="209">
      <c r="B12" s="114" t="inlineStr">
        <is>
          <t>新增明细清单金额</t>
        </is>
      </c>
      <c r="C12" s="681" t="n"/>
      <c r="D12" s="1" t="inlineStr">
        <is>
          <t>新增清单</t>
        </is>
      </c>
      <c r="E12" s="3" t="n"/>
      <c r="F12" s="3" t="n"/>
      <c r="J12" s="205" t="n"/>
      <c r="K12" s="205" t="n"/>
      <c r="L12" s="205" t="n"/>
      <c r="O12" s="92" t="n"/>
    </row>
    <row r="13" ht="14.5" customFormat="1" customHeight="1" s="209">
      <c r="B13" s="114" t="inlineStr">
        <is>
          <t>新增总额</t>
        </is>
      </c>
      <c r="C13" s="681">
        <f>'J.01 Agree SL to GL'!E14</f>
        <v/>
      </c>
      <c r="D13" s="16" t="inlineStr">
        <is>
          <t xml:space="preserve">J1.01 </t>
        </is>
      </c>
      <c r="E13" s="3" t="n"/>
      <c r="F13" s="3" t="n"/>
      <c r="J13" s="205" t="n"/>
      <c r="K13" s="205" t="n"/>
      <c r="L13" s="205" t="n"/>
      <c r="O13" s="92" t="n"/>
    </row>
    <row r="14" ht="14.5" customFormat="1" customHeight="1" s="209">
      <c r="B14" s="441" t="inlineStr">
        <is>
          <t>差异</t>
        </is>
      </c>
      <c r="C14" s="682">
        <f>C12-C13</f>
        <v/>
      </c>
      <c r="D14" s="16" t="inlineStr">
        <is>
          <t>Rx</t>
        </is>
      </c>
      <c r="E14" s="3" t="inlineStr">
        <is>
          <t>差异是否需要进一步调查？</t>
        </is>
      </c>
      <c r="F14" s="294">
        <f>IF(ABS($C$14)&gt;'J.00  Lead Sheet'!$C$6, "Yes", "No")</f>
        <v/>
      </c>
      <c r="O14" s="92" t="n"/>
    </row>
    <row r="15" ht="12.5" customFormat="1" customHeight="1" s="209">
      <c r="B15" s="114" t="n"/>
      <c r="C15" s="683" t="n"/>
      <c r="D15" s="3" t="n"/>
      <c r="E15" s="3" t="n"/>
      <c r="F15" s="3" t="n"/>
      <c r="O15" s="92" t="n"/>
    </row>
    <row r="16" ht="14.5" customFormat="1" customHeight="1" s="209">
      <c r="B16" s="250" t="inlineStr">
        <is>
          <t>减：已测试的关键性样本</t>
        </is>
      </c>
      <c r="C16" s="684" t="n"/>
      <c r="D16" s="115" t="n"/>
      <c r="E16" s="3" t="n"/>
      <c r="F16" s="3" t="n"/>
      <c r="O16" s="92" t="n"/>
    </row>
    <row r="17" ht="14.5" customFormat="1" customHeight="1" s="209">
      <c r="B17" s="441" t="inlineStr">
        <is>
          <t>剩余代表性样本抽样总体</t>
        </is>
      </c>
      <c r="C17" s="685">
        <f>C12-C16</f>
        <v/>
      </c>
      <c r="D17" s="686"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7" t="n"/>
      <c r="O19" s="92" t="n"/>
    </row>
    <row r="20" ht="14" customFormat="1" customHeight="1" s="205">
      <c r="A20" s="208" t="n"/>
      <c r="B20" s="688" t="n"/>
      <c r="C20" s="674" t="n"/>
      <c r="D20" s="674" t="n"/>
      <c r="E20" s="674" t="n"/>
      <c r="F20" s="675" t="n"/>
      <c r="G20" s="185" t="n"/>
      <c r="H20" s="185" t="n"/>
      <c r="I20" s="185" t="n"/>
      <c r="J20" s="185" t="n"/>
      <c r="K20" s="185" t="n"/>
      <c r="O20" s="92" t="n"/>
    </row>
    <row r="21" ht="14" customFormat="1" customHeight="1" s="205">
      <c r="A21" s="208" t="n"/>
      <c r="B21" s="676" t="n"/>
      <c r="F21" s="677" t="n"/>
      <c r="G21" s="185" t="n"/>
      <c r="H21" s="185" t="n"/>
      <c r="I21" s="185" t="n"/>
      <c r="J21" s="185" t="n"/>
      <c r="K21" s="185" t="n"/>
      <c r="O21" s="92" t="n"/>
    </row>
    <row r="22" ht="14" customFormat="1" customHeight="1" s="205">
      <c r="A22" s="208" t="n"/>
      <c r="B22" s="676" t="n"/>
      <c r="F22" s="677" t="n"/>
      <c r="G22" s="185" t="n"/>
      <c r="H22" s="185" t="n"/>
      <c r="I22" s="185" t="n"/>
      <c r="J22" s="185" t="n"/>
      <c r="K22" s="185" t="n"/>
      <c r="O22" s="92" t="n"/>
    </row>
    <row r="23" ht="14" customFormat="1" customHeight="1" s="205">
      <c r="A23" s="208" t="n"/>
      <c r="B23" s="678" t="n"/>
      <c r="C23" s="679" t="n"/>
      <c r="D23" s="679" t="n"/>
      <c r="E23" s="679" t="n"/>
      <c r="F23" s="680"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9" t="inlineStr">
        <is>
          <t>EY 测试属性解释:</t>
        </is>
      </c>
      <c r="C25" s="590" t="n"/>
      <c r="D25" s="590" t="n"/>
      <c r="E25" s="590" t="n"/>
      <c r="F25" s="591" t="n"/>
      <c r="G25" s="185" t="n"/>
      <c r="H25" s="185" t="n"/>
      <c r="I25" s="185" t="n"/>
      <c r="J25" s="185" t="n"/>
      <c r="K25" s="185" t="n"/>
      <c r="L25" s="690" t="n"/>
      <c r="M25" s="690" t="n"/>
      <c r="N25" s="626" t="n"/>
      <c r="O25" s="92" t="n"/>
      <c r="P25" s="204" t="n"/>
    </row>
    <row r="26" ht="14.5" customFormat="1" customHeight="1" s="204">
      <c r="A26" s="202" t="n"/>
      <c r="B26" s="691" t="inlineStr">
        <is>
          <t>对于选择进行测试的每个项目，我们检查了相关的第三方证据（如发票和/或合同、进度账单、人工和间接费用），并确定：</t>
        </is>
      </c>
      <c r="C26" s="641" t="n"/>
      <c r="D26" s="641" t="n"/>
      <c r="E26" s="641" t="n"/>
      <c r="F26" s="692" t="n"/>
      <c r="G26" s="185" t="n"/>
      <c r="H26" s="185" t="n"/>
      <c r="I26" s="185" t="n"/>
      <c r="J26" s="185" t="n"/>
      <c r="K26" s="185" t="n"/>
      <c r="L26" s="693" t="n"/>
      <c r="M26" s="693" t="n"/>
      <c r="N26" s="693" t="n"/>
      <c r="O26" s="92" t="n"/>
    </row>
    <row r="27" ht="14.5" customFormat="1" customHeight="1" s="204">
      <c r="A27" s="202" t="n"/>
      <c r="B27" s="694" t="inlineStr">
        <is>
          <t>1）选定的该项资产符合资本化条件，而不是计入费用。</t>
        </is>
      </c>
      <c r="C27" s="527" t="n"/>
      <c r="D27" s="527" t="n"/>
      <c r="E27" s="527" t="n"/>
      <c r="F27" s="644" t="n"/>
      <c r="G27" s="185" t="n"/>
      <c r="H27" s="185" t="n"/>
      <c r="I27" s="185" t="n"/>
      <c r="J27" s="185" t="n"/>
      <c r="K27" s="185" t="n"/>
      <c r="L27" s="690" t="n"/>
      <c r="M27" s="690" t="n"/>
      <c r="N27" s="626" t="n"/>
      <c r="O27" s="92" t="n"/>
    </row>
    <row r="28" ht="16.5" customFormat="1" customHeight="1" s="204">
      <c r="A28" s="202" t="n"/>
      <c r="B28" s="695" t="inlineStr">
        <is>
          <t>2）资产记录的金额和相关的财务报告框架一致。</t>
        </is>
      </c>
      <c r="C28" s="647" t="n"/>
      <c r="D28" s="647" t="n"/>
      <c r="E28" s="647" t="n"/>
      <c r="F28" s="648" t="n"/>
      <c r="G28" s="185" t="n"/>
      <c r="H28" s="185" t="n"/>
      <c r="I28" s="185" t="n"/>
      <c r="J28" s="185" t="n"/>
      <c r="K28" s="185" t="n"/>
      <c r="L28" s="690" t="n"/>
      <c r="M28" s="690" t="n"/>
      <c r="N28" s="626" t="n"/>
      <c r="O28" s="92" t="n"/>
    </row>
    <row r="29" ht="13" customFormat="1" customHeight="1" s="204">
      <c r="A29" s="202" t="n"/>
      <c r="C29" s="215" t="n"/>
      <c r="D29" s="216" t="n"/>
      <c r="E29" s="696" t="n"/>
      <c r="F29" s="697" t="n"/>
      <c r="G29" s="697" t="n"/>
      <c r="H29" s="697" t="n"/>
      <c r="I29" s="698" t="n"/>
      <c r="J29" s="698" t="n"/>
      <c r="K29" s="697" t="n"/>
      <c r="N29" s="672" t="n"/>
      <c r="O29" s="92" t="n"/>
      <c r="P29" s="626" t="n"/>
      <c r="Q29" s="626" t="n"/>
      <c r="T29" s="202" t="n"/>
      <c r="U29" s="626" t="n"/>
    </row>
    <row r="30" ht="15" customFormat="1" customHeight="1" s="3">
      <c r="K30" s="14" t="inlineStr">
        <is>
          <t>|------- Rx -------|</t>
        </is>
      </c>
      <c r="L30" s="699"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700" t="n"/>
      <c r="H32" s="347" t="n"/>
      <c r="I32" s="701" t="n"/>
      <c r="J32" s="312" t="n"/>
      <c r="K32" s="701">
        <f>I32-G32</f>
        <v/>
      </c>
      <c r="L32" s="345" t="n"/>
      <c r="M32" s="345" t="n"/>
      <c r="O32" s="92" t="n"/>
    </row>
    <row r="33" ht="15" customFormat="1" customHeight="1" s="3">
      <c r="B33" s="347" t="n"/>
      <c r="C33" s="347" t="n"/>
      <c r="D33" s="344" t="n"/>
      <c r="E33" s="347" t="n"/>
      <c r="F33" s="347" t="n"/>
      <c r="G33" s="700" t="n"/>
      <c r="H33" s="347" t="n"/>
      <c r="I33" s="701" t="n"/>
      <c r="J33" s="312" t="n"/>
      <c r="K33" s="701">
        <f>I33-G33</f>
        <v/>
      </c>
      <c r="L33" s="345" t="n"/>
      <c r="M33" s="345" t="n"/>
      <c r="O33" s="92" t="n"/>
    </row>
    <row r="34" ht="15" customFormat="1" customHeight="1" s="3">
      <c r="B34" s="347" t="n"/>
      <c r="C34" s="347" t="n"/>
      <c r="D34" s="344" t="n"/>
      <c r="E34" s="347" t="n"/>
      <c r="F34" s="347" t="n"/>
      <c r="G34" s="700" t="n"/>
      <c r="H34" s="347" t="n"/>
      <c r="I34" s="701" t="n"/>
      <c r="J34" s="312" t="n"/>
      <c r="K34" s="701">
        <f>I34-G34</f>
        <v/>
      </c>
      <c r="L34" s="345" t="n"/>
      <c r="M34" s="345" t="n"/>
      <c r="O34" s="92" t="n"/>
    </row>
    <row r="35" ht="15" customFormat="1" customHeight="1" s="3">
      <c r="B35" s="347" t="n"/>
      <c r="C35" s="347" t="n"/>
      <c r="D35" s="344" t="n"/>
      <c r="E35" s="347" t="n"/>
      <c r="F35" s="347" t="n"/>
      <c r="G35" s="700" t="n"/>
      <c r="H35" s="347" t="n"/>
      <c r="I35" s="701" t="n"/>
      <c r="J35" s="312" t="n"/>
      <c r="K35" s="701">
        <f>I35-G35</f>
        <v/>
      </c>
      <c r="L35" s="345" t="n"/>
      <c r="M35" s="345" t="n"/>
      <c r="O35" s="92" t="n"/>
    </row>
    <row r="36" ht="15" customFormat="1" customHeight="1" s="3">
      <c r="B36" s="347" t="n"/>
      <c r="C36" s="347" t="n"/>
      <c r="D36" s="344" t="n"/>
      <c r="E36" s="347" t="n"/>
      <c r="F36" s="347" t="n"/>
      <c r="G36" s="700" t="n"/>
      <c r="H36" s="347" t="n"/>
      <c r="I36" s="701" t="n"/>
      <c r="J36" s="347" t="n"/>
      <c r="K36" s="701">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8" t="n"/>
      <c r="C39" s="674" t="n"/>
      <c r="D39" s="674" t="n"/>
      <c r="E39" s="674" t="n"/>
      <c r="F39" s="675" t="n"/>
      <c r="O39" s="92" t="n"/>
    </row>
    <row r="40" ht="12.75" customHeight="1" s="588">
      <c r="B40" s="676" t="n"/>
      <c r="F40" s="677" t="n"/>
      <c r="O40" s="92" t="n"/>
    </row>
    <row r="41" ht="12.75" customHeight="1" s="588">
      <c r="B41" s="676" t="n"/>
      <c r="F41" s="677" t="n"/>
      <c r="O41" s="92" t="n"/>
    </row>
    <row r="42" ht="12.75" customHeight="1" s="588">
      <c r="B42" s="678" t="n"/>
      <c r="C42" s="679" t="n"/>
      <c r="D42" s="679" t="n"/>
      <c r="E42" s="679" t="n"/>
      <c r="F42" s="680"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72" t="n"/>
      <c r="O3" s="672" t="n"/>
      <c r="P3" s="3" t="n"/>
      <c r="Q3" s="92" t="n"/>
      <c r="R3" s="626" t="n"/>
      <c r="S3" s="626" t="n"/>
      <c r="T3" s="626" t="n"/>
      <c r="U3" s="626" t="n"/>
      <c r="X3" s="202" t="n"/>
      <c r="Y3" s="626" t="n"/>
    </row>
    <row r="4" ht="15" customFormat="1" customHeight="1" s="204">
      <c r="A4" s="202" t="n"/>
      <c r="B4" s="131" t="inlineStr">
        <is>
          <t>返回汇总页</t>
        </is>
      </c>
      <c r="C4" s="203" t="n"/>
      <c r="D4" s="185" t="n"/>
      <c r="E4" s="185" t="n"/>
      <c r="F4" s="185" t="n"/>
      <c r="G4" s="203" t="n"/>
      <c r="H4" s="203" t="n"/>
      <c r="I4" s="203" t="n"/>
      <c r="J4" s="203" t="n"/>
      <c r="K4" s="203" t="n"/>
      <c r="L4" s="203" t="n"/>
      <c r="N4" s="672" t="n"/>
      <c r="O4" s="672" t="n"/>
      <c r="P4" s="3" t="n"/>
      <c r="Q4" s="92" t="n"/>
      <c r="R4" s="626" t="n"/>
      <c r="S4" s="626" t="n"/>
      <c r="T4" s="626" t="n"/>
      <c r="U4" s="626" t="n"/>
      <c r="X4" s="202" t="n"/>
      <c r="Y4" s="626" t="n"/>
    </row>
    <row r="5" ht="15" customFormat="1" customHeight="1" s="204">
      <c r="A5" s="202" t="n"/>
      <c r="B5" s="203" t="n"/>
      <c r="C5" s="203" t="n"/>
      <c r="D5" s="185" t="n"/>
      <c r="E5" s="185" t="n"/>
      <c r="F5" s="185" t="n"/>
      <c r="G5" s="203" t="n"/>
      <c r="H5" s="203" t="n"/>
      <c r="I5" s="203" t="n"/>
      <c r="J5" s="203" t="n"/>
      <c r="K5" s="203" t="n"/>
      <c r="L5" s="203" t="n"/>
      <c r="N5" s="672" t="n"/>
      <c r="O5" s="672" t="n"/>
      <c r="P5" s="3" t="n"/>
      <c r="Q5" s="92" t="n"/>
      <c r="R5" s="626" t="n"/>
      <c r="S5" s="626" t="n"/>
      <c r="T5" s="626" t="n"/>
      <c r="U5" s="626" t="n"/>
      <c r="X5" s="202" t="n"/>
      <c r="Y5" s="626"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72" t="n"/>
      <c r="O6" s="672" t="n"/>
      <c r="P6" s="3" t="n"/>
      <c r="Q6" s="92" t="n"/>
      <c r="R6" s="626" t="n"/>
      <c r="S6" s="626" t="n"/>
      <c r="T6" s="626" t="n"/>
      <c r="U6" s="626" t="n"/>
      <c r="X6" s="202" t="n"/>
      <c r="Y6" s="626" t="n"/>
    </row>
    <row r="7" ht="14" customFormat="1" customHeight="1" s="185">
      <c r="B7" s="688" t="n"/>
      <c r="C7" s="674" t="n"/>
      <c r="D7" s="674" t="n"/>
      <c r="E7" s="674" t="n"/>
      <c r="F7" s="675" t="n"/>
      <c r="G7" s="282" t="n"/>
      <c r="H7" s="282" t="n"/>
      <c r="I7" s="282" t="n"/>
      <c r="J7" s="282" t="n"/>
      <c r="K7" s="282" t="n"/>
      <c r="L7" s="282" t="n"/>
      <c r="M7" s="222" t="n"/>
      <c r="N7" s="222" t="n"/>
      <c r="Q7" s="92" t="n"/>
    </row>
    <row r="8" ht="14" customFormat="1" customHeight="1" s="185">
      <c r="B8" s="676" t="n"/>
      <c r="F8" s="677" t="n"/>
      <c r="G8" s="282" t="n"/>
      <c r="H8" s="282" t="n"/>
      <c r="I8" s="282" t="n"/>
      <c r="J8" s="282" t="n"/>
      <c r="K8" s="282" t="n"/>
      <c r="L8" s="282" t="n"/>
      <c r="M8" s="222" t="n"/>
      <c r="N8" s="222" t="n"/>
      <c r="Q8" s="92" t="n"/>
    </row>
    <row r="9" ht="14" customFormat="1" customHeight="1" s="185">
      <c r="B9" s="676" t="n"/>
      <c r="F9" s="677" t="n"/>
      <c r="G9" s="282" t="n"/>
      <c r="H9" s="282" t="n"/>
      <c r="I9" s="282" t="n"/>
      <c r="J9" s="282" t="n"/>
      <c r="K9" s="282" t="n"/>
      <c r="L9" s="282" t="n"/>
      <c r="M9" s="222" t="n"/>
      <c r="N9" s="222" t="n"/>
      <c r="Q9" s="92" t="n"/>
    </row>
    <row r="10" ht="14" customFormat="1" customHeight="1" s="185">
      <c r="B10" s="678" t="n"/>
      <c r="C10" s="679" t="n"/>
      <c r="D10" s="679" t="n"/>
      <c r="E10" s="679" t="n"/>
      <c r="F10" s="680"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81" t="n"/>
      <c r="E12" s="223" t="inlineStr">
        <is>
          <t>转出清单</t>
        </is>
      </c>
      <c r="F12" s="3" t="n"/>
      <c r="G12" s="3" t="n"/>
      <c r="Q12" s="92" t="n"/>
    </row>
    <row r="13" ht="14.5" customFormat="1" customHeight="1" s="185">
      <c r="B13" s="114" t="inlineStr">
        <is>
          <t>转出总额</t>
        </is>
      </c>
      <c r="C13" s="224" t="n"/>
      <c r="D13" s="684">
        <f>'J.01 Agree SL to GL'!E15+'J.01 Agree SL to GL'!E16</f>
        <v/>
      </c>
      <c r="E13" s="16" t="inlineStr">
        <is>
          <t xml:space="preserve">J1.01 </t>
        </is>
      </c>
      <c r="F13" s="3" t="n"/>
      <c r="G13" s="3" t="n"/>
      <c r="Q13" s="92" t="n"/>
    </row>
    <row r="14" ht="14.5" customFormat="1" customHeight="1" s="185">
      <c r="B14" s="441" t="inlineStr">
        <is>
          <t>差异</t>
        </is>
      </c>
      <c r="D14" s="702">
        <f>D12-D13</f>
        <v/>
      </c>
      <c r="E14" s="16" t="inlineStr">
        <is>
          <t>Rx</t>
        </is>
      </c>
      <c r="G14" s="3" t="inlineStr">
        <is>
          <t>差异是否需要进一步调查？</t>
        </is>
      </c>
      <c r="H14" s="294">
        <f>IF(ABS($D$14)&gt;'J.00  Lead Sheet'!$C$6, "Yes", "No")</f>
        <v/>
      </c>
      <c r="Q14" s="92" t="n"/>
    </row>
    <row r="15" ht="14" customFormat="1" customHeight="1" s="185">
      <c r="D15" s="703" t="n"/>
      <c r="E15" s="3" t="n"/>
      <c r="F15" s="3" t="n"/>
      <c r="G15" s="3" t="n"/>
      <c r="Q15" s="92" t="n"/>
    </row>
    <row r="16" ht="14.5" customFormat="1" customHeight="1" s="185">
      <c r="B16" s="250" t="inlineStr">
        <is>
          <t>减：已测试的关键性样本</t>
        </is>
      </c>
      <c r="C16" s="224" t="n"/>
      <c r="D16" s="684" t="n"/>
      <c r="E16" s="115" t="n"/>
      <c r="F16" s="3" t="n"/>
      <c r="G16" s="3" t="n"/>
      <c r="Q16" s="92" t="n"/>
    </row>
    <row r="17" ht="14.5" customFormat="1" customHeight="1" s="185">
      <c r="B17" s="441" t="inlineStr">
        <is>
          <t>剩余代表性样本抽样总体</t>
        </is>
      </c>
      <c r="D17" s="685">
        <f>D13-D16</f>
        <v/>
      </c>
      <c r="E17" s="686"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7" t="n"/>
      <c r="Q19" s="92" t="n"/>
    </row>
    <row r="20" ht="13" customFormat="1" customHeight="1" s="213">
      <c r="A20" s="202" t="n"/>
      <c r="B20" s="688" t="n"/>
      <c r="C20" s="674" t="n"/>
      <c r="D20" s="674" t="n"/>
      <c r="E20" s="674" t="n"/>
      <c r="F20" s="675" t="n"/>
      <c r="G20" s="282" t="n"/>
      <c r="H20" s="282" t="n"/>
      <c r="I20" s="282" t="n"/>
      <c r="J20" s="282" t="n"/>
      <c r="K20" s="282" t="n"/>
      <c r="L20" s="282" t="n"/>
      <c r="M20" s="282" t="n"/>
      <c r="N20" s="704" t="n"/>
      <c r="O20" s="705" t="n"/>
      <c r="P20" s="690" t="n"/>
      <c r="Q20" s="92" t="n"/>
      <c r="R20" s="626" t="n"/>
      <c r="U20" s="13" t="n"/>
      <c r="V20" s="706" t="n"/>
    </row>
    <row r="21" ht="13" customFormat="1" customHeight="1" s="213">
      <c r="A21" s="202" t="n"/>
      <c r="B21" s="676" t="n"/>
      <c r="F21" s="677" t="n"/>
      <c r="G21" s="282" t="n"/>
      <c r="H21" s="282" t="n"/>
      <c r="I21" s="282" t="n"/>
      <c r="J21" s="282" t="n"/>
      <c r="K21" s="282" t="n"/>
      <c r="L21" s="282" t="n"/>
      <c r="M21" s="282" t="n"/>
      <c r="N21" s="704" t="n"/>
      <c r="O21" s="705" t="n"/>
      <c r="P21" s="690" t="n"/>
      <c r="Q21" s="92" t="n"/>
      <c r="R21" s="626" t="n"/>
      <c r="U21" s="13" t="n"/>
      <c r="V21" s="706" t="n"/>
    </row>
    <row r="22" ht="13" customFormat="1" customHeight="1" s="213">
      <c r="A22" s="202" t="n"/>
      <c r="B22" s="676" t="n"/>
      <c r="F22" s="677" t="n"/>
      <c r="G22" s="282" t="n"/>
      <c r="H22" s="282" t="n"/>
      <c r="I22" s="282" t="n"/>
      <c r="J22" s="282" t="n"/>
      <c r="K22" s="282" t="n"/>
      <c r="L22" s="282" t="n"/>
      <c r="M22" s="282" t="n"/>
      <c r="N22" s="704" t="n"/>
      <c r="O22" s="705" t="n"/>
      <c r="P22" s="690" t="n"/>
      <c r="Q22" s="92" t="n"/>
      <c r="R22" s="626" t="n"/>
      <c r="U22" s="13" t="n"/>
      <c r="V22" s="706" t="n"/>
    </row>
    <row r="23" ht="13" customFormat="1" customHeight="1" s="213">
      <c r="A23" s="202" t="n"/>
      <c r="B23" s="678" t="n"/>
      <c r="C23" s="679" t="n"/>
      <c r="D23" s="679" t="n"/>
      <c r="E23" s="679" t="n"/>
      <c r="F23" s="680" t="n"/>
      <c r="G23" s="282" t="n"/>
      <c r="H23" s="282" t="n"/>
      <c r="I23" s="282" t="n"/>
      <c r="J23" s="282" t="n"/>
      <c r="K23" s="282" t="n"/>
      <c r="L23" s="282" t="n"/>
      <c r="M23" s="282" t="n"/>
      <c r="N23" s="704" t="n"/>
      <c r="O23" s="705" t="n"/>
      <c r="P23" s="690" t="n"/>
      <c r="Q23" s="92" t="n"/>
      <c r="R23" s="626" t="n"/>
      <c r="U23" s="13" t="n"/>
      <c r="V23" s="706" t="n"/>
    </row>
    <row r="24" ht="14" customFormat="1" customHeight="1" s="213">
      <c r="A24" s="202" t="n"/>
      <c r="B24" s="282" t="n"/>
      <c r="C24" s="282" t="n"/>
      <c r="D24" s="282" t="n"/>
      <c r="E24" s="282" t="n"/>
      <c r="F24" s="282" t="n"/>
      <c r="G24" s="185" t="n"/>
      <c r="H24" s="185" t="n"/>
      <c r="I24" s="185" t="n"/>
      <c r="J24" s="185" t="n"/>
      <c r="K24" s="282" t="n"/>
      <c r="L24" s="282" t="n"/>
      <c r="M24" s="282" t="n"/>
      <c r="N24" s="704" t="n"/>
      <c r="O24" s="705" t="n"/>
      <c r="P24" s="690" t="n"/>
      <c r="Q24" s="92" t="n"/>
      <c r="R24" s="626" t="n"/>
      <c r="U24" s="13" t="n"/>
      <c r="V24" s="706"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9"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7" t="n"/>
      <c r="G33" s="707" t="n"/>
      <c r="H33" s="388" t="n"/>
      <c r="I33" s="242" t="n"/>
      <c r="J33" s="346" t="n"/>
      <c r="K33" s="316" t="n"/>
      <c r="L33" s="701">
        <f>G33-F33</f>
        <v/>
      </c>
      <c r="M33" s="347" t="n"/>
      <c r="N33" s="347" t="n"/>
      <c r="O33" s="347" t="n"/>
      <c r="Q33" s="92" t="n"/>
      <c r="R33" s="185" t="n"/>
    </row>
    <row r="34" ht="15" customFormat="1" customHeight="1" s="3">
      <c r="B34" s="347" t="n"/>
      <c r="C34" s="347" t="n"/>
      <c r="D34" s="347" t="n"/>
      <c r="E34" s="241" t="n"/>
      <c r="F34" s="707" t="n"/>
      <c r="G34" s="707" t="n"/>
      <c r="H34" s="388" t="n"/>
      <c r="I34" s="243" t="n"/>
      <c r="J34" s="346" t="n"/>
      <c r="K34" s="316" t="n"/>
      <c r="L34" s="701">
        <f>G34-F34</f>
        <v/>
      </c>
      <c r="M34" s="347" t="n"/>
      <c r="N34" s="347" t="n"/>
      <c r="O34" s="347" t="n"/>
      <c r="Q34" s="92" t="n"/>
      <c r="R34" s="185" t="n"/>
    </row>
    <row r="35" ht="15" customFormat="1" customHeight="1" s="3">
      <c r="B35" s="347" t="n"/>
      <c r="C35" s="347" t="n"/>
      <c r="D35" s="347" t="n"/>
      <c r="E35" s="241" t="n"/>
      <c r="F35" s="707" t="n"/>
      <c r="G35" s="707" t="n"/>
      <c r="H35" s="388" t="n"/>
      <c r="I35" s="243" t="n"/>
      <c r="J35" s="346" t="n"/>
      <c r="K35" s="316" t="n"/>
      <c r="L35" s="701">
        <f>G35-F35</f>
        <v/>
      </c>
      <c r="M35" s="347" t="n"/>
      <c r="N35" s="347" t="n"/>
      <c r="O35" s="347" t="n"/>
      <c r="Q35" s="92" t="n"/>
      <c r="R35" s="185" t="n"/>
    </row>
    <row r="36" ht="15" customFormat="1" customHeight="1" s="3">
      <c r="B36" s="347" t="n"/>
      <c r="C36" s="347" t="n"/>
      <c r="D36" s="347" t="n"/>
      <c r="E36" s="347" t="n"/>
      <c r="F36" s="700" t="n"/>
      <c r="G36" s="700" t="n"/>
      <c r="H36" s="344" t="n"/>
      <c r="I36" s="242" t="n"/>
      <c r="J36" s="347" t="n"/>
      <c r="K36" s="316" t="n"/>
      <c r="L36" s="701">
        <f>G36-F36</f>
        <v/>
      </c>
      <c r="M36" s="347" t="n"/>
      <c r="N36" s="347" t="n"/>
      <c r="O36" s="347" t="n"/>
      <c r="Q36" s="92" t="n"/>
      <c r="R36" s="185" t="n"/>
    </row>
    <row r="37" ht="15" customFormat="1" customHeight="1" s="3">
      <c r="B37" s="347" t="n"/>
      <c r="C37" s="347" t="n"/>
      <c r="D37" s="347" t="n"/>
      <c r="E37" s="347" t="n"/>
      <c r="F37" s="700" t="n"/>
      <c r="G37" s="700" t="n"/>
      <c r="H37" s="344" t="n"/>
      <c r="I37" s="243" t="n"/>
      <c r="J37" s="347" t="n"/>
      <c r="K37" s="316" t="n"/>
      <c r="L37" s="701">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8" t="n"/>
      <c r="C40" s="674" t="n"/>
      <c r="D40" s="674" t="n"/>
      <c r="E40" s="674" t="n"/>
      <c r="F40" s="674" t="n"/>
      <c r="G40" s="675" t="n"/>
      <c r="P40" s="3" t="n"/>
      <c r="Q40" s="92" t="n"/>
    </row>
    <row r="41" ht="12.75" customHeight="1" s="588">
      <c r="B41" s="676" t="n"/>
      <c r="G41" s="677" t="n"/>
      <c r="P41" s="3" t="n"/>
      <c r="Q41" s="92" t="n"/>
    </row>
    <row r="42" ht="12.75" customHeight="1" s="588">
      <c r="B42" s="676" t="n"/>
      <c r="G42" s="677" t="n"/>
      <c r="P42" s="3" t="n"/>
      <c r="Q42" s="92" t="n"/>
    </row>
    <row r="43" ht="12.75" customHeight="1" s="588">
      <c r="B43" s="678" t="n"/>
      <c r="C43" s="679" t="n"/>
      <c r="D43" s="679" t="n"/>
      <c r="E43" s="679" t="n"/>
      <c r="F43" s="679" t="n"/>
      <c r="G43" s="680"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8" t="inlineStr">
        <is>
          <t>合计</t>
        </is>
      </c>
      <c r="G47" s="95" t="n"/>
      <c r="I47" s="3" t="n"/>
      <c r="J47" s="3" t="n"/>
      <c r="P47" s="3" t="n"/>
      <c r="Q47" s="92" t="n"/>
    </row>
    <row r="48" ht="12.75" customHeight="1" s="588">
      <c r="B48" s="244" t="n"/>
      <c r="C48" s="245" t="n"/>
      <c r="D48" s="1" t="n"/>
      <c r="E48" s="3" t="inlineStr">
        <is>
          <t>转入固定资产</t>
        </is>
      </c>
      <c r="F48" s="709" t="n"/>
      <c r="G48" s="95" t="n"/>
      <c r="I48" s="3" t="n"/>
      <c r="J48" s="3" t="n"/>
      <c r="P48" s="3" t="n"/>
      <c r="Q48" s="92" t="n"/>
    </row>
    <row r="49" ht="12.75" customHeight="1" s="588">
      <c r="B49" s="244" t="n"/>
      <c r="C49" s="245" t="n"/>
      <c r="D49" s="16" t="inlineStr">
        <is>
          <t>K.01</t>
        </is>
      </c>
      <c r="E49" s="3" t="inlineStr">
        <is>
          <t>固定资产-在建工程转入</t>
        </is>
      </c>
      <c r="F49" s="709" t="n"/>
      <c r="G49" s="97" t="inlineStr">
        <is>
          <t>K.01</t>
        </is>
      </c>
      <c r="I49" s="3" t="n"/>
      <c r="J49" s="3" t="n"/>
      <c r="P49" s="3" t="n"/>
      <c r="Q49" s="92" t="n"/>
    </row>
    <row r="50" ht="12.75" customHeight="1" s="588">
      <c r="B50" s="96" t="n"/>
      <c r="C50" s="3" t="n"/>
      <c r="D50" s="1" t="n"/>
      <c r="E50" s="3" t="inlineStr">
        <is>
          <t>差异</t>
        </is>
      </c>
      <c r="F50" s="710">
        <f>F48-F49</f>
        <v/>
      </c>
      <c r="G50" s="95" t="n"/>
      <c r="I50" s="3" t="n"/>
      <c r="J50" s="3" t="n"/>
      <c r="P50" s="3" t="n"/>
      <c r="Q50" s="92" t="n"/>
    </row>
    <row r="51" ht="12.75" customHeight="1" s="588">
      <c r="B51" s="96" t="n"/>
      <c r="C51" s="3" t="n"/>
      <c r="D51" s="1" t="n"/>
      <c r="E51" s="3" t="n"/>
      <c r="F51" s="710" t="n"/>
      <c r="G51" s="95" t="n"/>
      <c r="I51" s="3" t="n"/>
      <c r="J51" s="3" t="n"/>
      <c r="P51" s="3" t="n"/>
      <c r="Q51" s="92" t="n"/>
    </row>
    <row r="52" ht="12.75" customHeight="1" s="588">
      <c r="B52" s="244" t="n"/>
      <c r="C52" s="245" t="n"/>
      <c r="D52" s="3" t="n"/>
      <c r="E52" s="3" t="inlineStr">
        <is>
          <t>转入无形资产</t>
        </is>
      </c>
      <c r="F52" s="709" t="n"/>
      <c r="G52" s="95" t="n"/>
      <c r="I52" s="3" t="n"/>
      <c r="J52" s="3" t="n"/>
      <c r="P52" s="3" t="n"/>
      <c r="Q52" s="92" t="n"/>
    </row>
    <row r="53" ht="12.75" customHeight="1" s="588">
      <c r="B53" s="244" t="n"/>
      <c r="C53" s="245" t="n"/>
      <c r="D53" s="16" t="inlineStr">
        <is>
          <t>L1.01</t>
        </is>
      </c>
      <c r="E53" s="3" t="inlineStr">
        <is>
          <t>无形资产-在建工程转入</t>
        </is>
      </c>
      <c r="F53" s="709" t="n"/>
      <c r="G53" s="97" t="inlineStr">
        <is>
          <t>L1.01</t>
        </is>
      </c>
      <c r="I53" s="3" t="n"/>
      <c r="J53" s="3" t="n"/>
      <c r="P53" s="3" t="n"/>
      <c r="Q53" s="92" t="n"/>
    </row>
    <row r="54" ht="12.75" customHeight="1" s="588">
      <c r="B54" s="96" t="n"/>
      <c r="C54" s="3" t="n"/>
      <c r="E54" s="3" t="inlineStr">
        <is>
          <t>差异</t>
        </is>
      </c>
      <c r="F54" s="710">
        <f>F52-F53</f>
        <v/>
      </c>
      <c r="G54" s="95" t="n"/>
      <c r="I54" s="3" t="n"/>
      <c r="J54" s="3" t="n"/>
      <c r="P54" s="3" t="n"/>
      <c r="Q54" s="92" t="n"/>
    </row>
    <row r="55" ht="12.75" customHeight="1" s="588">
      <c r="B55" s="96" t="n"/>
      <c r="C55" s="3" t="n"/>
      <c r="E55" s="3" t="n"/>
      <c r="F55" s="710" t="n"/>
      <c r="G55" s="95" t="n"/>
      <c r="I55" s="3" t="n"/>
      <c r="J55" s="3" t="n"/>
      <c r="P55" s="3" t="n"/>
      <c r="Q55" s="92" t="n"/>
    </row>
    <row r="56" ht="12.75" customHeight="1" s="588">
      <c r="B56" s="244" t="n"/>
      <c r="C56" s="245" t="n"/>
      <c r="E56" s="3" t="inlineStr">
        <is>
          <t>转入长期待摊费用</t>
        </is>
      </c>
      <c r="F56" s="709" t="n"/>
      <c r="G56" s="95" t="n"/>
      <c r="I56" s="3" t="n"/>
      <c r="J56" s="3" t="n"/>
      <c r="P56" s="3" t="n"/>
      <c r="Q56" s="92" t="n"/>
    </row>
    <row r="57" ht="12.75" customHeight="1" s="588">
      <c r="B57" s="244" t="n"/>
      <c r="C57" s="245" t="n"/>
      <c r="D57" s="16" t="inlineStr">
        <is>
          <t>L2.01</t>
        </is>
      </c>
      <c r="E57" s="3" t="inlineStr">
        <is>
          <t>长期待摊费用-在建工程转入</t>
        </is>
      </c>
      <c r="F57" s="709" t="n"/>
      <c r="G57" s="97" t="inlineStr">
        <is>
          <t>L2.01</t>
        </is>
      </c>
      <c r="I57" s="3" t="n"/>
      <c r="J57" s="3" t="n"/>
      <c r="P57" s="3" t="n"/>
      <c r="Q57" s="92" t="n"/>
    </row>
    <row r="58" ht="12.75" customHeight="1" s="588">
      <c r="B58" s="96" t="n"/>
      <c r="C58" s="3" t="n"/>
      <c r="D58" s="3" t="n"/>
      <c r="E58" s="3" t="inlineStr">
        <is>
          <t>差异</t>
        </is>
      </c>
      <c r="F58" s="710">
        <f>F56-F57</f>
        <v/>
      </c>
      <c r="G58" s="95" t="n"/>
      <c r="I58" s="3" t="n"/>
      <c r="J58" s="3" t="n"/>
      <c r="P58" s="3" t="n"/>
      <c r="Q58" s="92" t="n"/>
    </row>
    <row r="59" ht="12.75" customHeight="1" s="588">
      <c r="B59" s="96" t="n"/>
      <c r="C59" s="3" t="n"/>
      <c r="D59" s="3" t="n"/>
      <c r="E59" s="3" t="n"/>
      <c r="F59" s="710" t="n"/>
      <c r="G59" s="95" t="n"/>
      <c r="I59" s="3" t="n"/>
      <c r="J59" s="3" t="n"/>
      <c r="P59" s="3" t="n"/>
      <c r="Q59" s="92" t="n"/>
    </row>
    <row r="60" ht="12.75" customHeight="1" s="588">
      <c r="B60" s="244" t="n"/>
      <c r="C60" s="245" t="n"/>
      <c r="D60" s="3" t="n"/>
      <c r="E60" s="3" t="inlineStr">
        <is>
          <t>【...】</t>
        </is>
      </c>
      <c r="F60" s="709" t="n"/>
      <c r="G60" s="95" t="n"/>
      <c r="I60" s="3" t="n"/>
      <c r="J60" s="3" t="n"/>
      <c r="P60" s="3" t="n"/>
      <c r="Q60" s="92" t="n"/>
    </row>
    <row r="61" ht="12.75" customHeight="1" s="588">
      <c r="B61" s="244" t="n"/>
      <c r="C61" s="245" t="n"/>
      <c r="D61" s="3" t="n"/>
      <c r="E61" s="3" t="inlineStr">
        <is>
          <t>【...】</t>
        </is>
      </c>
      <c r="F61" s="709" t="n"/>
      <c r="G61" s="95" t="n"/>
      <c r="P61" s="3" t="n"/>
      <c r="Q61" s="92" t="n"/>
    </row>
    <row r="62" ht="12.75" customHeight="1" s="588">
      <c r="B62" s="96" t="n"/>
      <c r="C62" s="3" t="n"/>
      <c r="D62" s="3" t="n"/>
      <c r="E62" s="3" t="inlineStr">
        <is>
          <t>差异</t>
        </is>
      </c>
      <c r="F62" s="710">
        <f>F60-F61</f>
        <v/>
      </c>
      <c r="G62" s="95" t="n"/>
      <c r="P62" s="3" t="n"/>
      <c r="Q62" s="92" t="n"/>
    </row>
    <row r="63" ht="12.75" customHeight="1" s="588">
      <c r="B63" s="96" t="n"/>
      <c r="C63" s="3" t="n"/>
      <c r="D63" s="3" t="n"/>
      <c r="E63" s="3" t="n"/>
      <c r="F63" s="710" t="n"/>
      <c r="G63" s="95" t="n"/>
      <c r="P63" s="3" t="n"/>
      <c r="Q63" s="92" t="n"/>
    </row>
    <row r="64" ht="12.75" customHeight="1" s="588">
      <c r="B64" s="96" t="n"/>
      <c r="C64" s="3" t="n"/>
      <c r="D64" s="3" t="n"/>
      <c r="E64" s="3" t="inlineStr">
        <is>
          <t>转入资产合计</t>
        </is>
      </c>
      <c r="F64" s="711">
        <f>F49+F53+F57+F61</f>
        <v/>
      </c>
      <c r="G64" s="95" t="n"/>
      <c r="P64" s="3" t="n"/>
      <c r="Q64" s="92" t="n"/>
    </row>
    <row r="65" ht="12.75" customHeight="1" s="588" thickBot="1">
      <c r="B65" s="96" t="n"/>
      <c r="C65" s="3" t="n"/>
      <c r="D65" s="3" t="n"/>
      <c r="E65" s="3" t="inlineStr">
        <is>
          <t>在建工程转出合计</t>
        </is>
      </c>
      <c r="F65" s="712">
        <f>D13</f>
        <v/>
      </c>
      <c r="G65" s="95" t="n"/>
      <c r="P65" s="3" t="n"/>
      <c r="Q65" s="92" t="n"/>
    </row>
    <row r="66" ht="12.75" customHeight="1" s="588" thickTop="1">
      <c r="B66" s="96" t="n"/>
      <c r="C66" s="3" t="n"/>
      <c r="D66" s="3" t="n"/>
      <c r="E66" s="3" t="inlineStr">
        <is>
          <t>差异</t>
        </is>
      </c>
      <c r="F66" s="711">
        <f>F64-F65</f>
        <v/>
      </c>
      <c r="G66" s="98" t="n"/>
      <c r="P66" s="3" t="n"/>
      <c r="Q66" s="92" t="n"/>
    </row>
    <row r="67" ht="12.75" customHeight="1" s="588">
      <c r="B67" s="99" t="n"/>
      <c r="C67" s="100" t="n"/>
      <c r="D67" s="100" t="n"/>
      <c r="E67" s="713" t="n"/>
      <c r="F67" s="100" t="n"/>
      <c r="G67" s="102" t="n"/>
      <c r="P67" s="3" t="n"/>
      <c r="Q67" s="92" t="n"/>
    </row>
    <row r="68" ht="12.75" customHeight="1" s="588">
      <c r="B68" s="3" t="n"/>
      <c r="C68" s="3" t="n"/>
      <c r="D68" s="3" t="n"/>
      <c r="E68" s="710"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14" t="n"/>
      <c r="C70" s="715" t="n"/>
      <c r="D70" s="715" t="n"/>
      <c r="E70" s="715" t="n"/>
      <c r="F70" s="716" t="n"/>
      <c r="G70" s="247" t="n"/>
      <c r="H70" s="247" t="n"/>
      <c r="I70" s="247" t="n"/>
      <c r="J70" s="247" t="n"/>
      <c r="K70" s="247" t="n"/>
      <c r="P70" s="3" t="n"/>
      <c r="Q70" s="92" t="n"/>
    </row>
    <row r="71" ht="12.75" customHeight="1" s="588">
      <c r="B71" s="717" t="n"/>
      <c r="F71" s="601" t="n"/>
      <c r="G71" s="247" t="n"/>
      <c r="H71" s="247" t="n"/>
      <c r="I71" s="247" t="n"/>
      <c r="J71" s="247" t="n"/>
      <c r="K71" s="247" t="n"/>
      <c r="P71" s="3" t="n"/>
      <c r="Q71" s="92" t="n"/>
    </row>
    <row r="72" ht="12.75" customHeight="1" s="588">
      <c r="B72" s="717" t="n"/>
      <c r="F72" s="601" t="n"/>
      <c r="G72" s="247" t="n"/>
      <c r="H72" s="247" t="n"/>
      <c r="I72" s="247" t="n"/>
      <c r="J72" s="247" t="n"/>
      <c r="K72" s="247" t="n"/>
      <c r="P72" s="3" t="n"/>
      <c r="Q72" s="92" t="n"/>
    </row>
    <row r="73" ht="12.75" customHeight="1" s="588">
      <c r="B73" s="718" t="n"/>
      <c r="C73" s="605" t="n"/>
      <c r="D73" s="605" t="n"/>
      <c r="E73" s="605" t="n"/>
      <c r="F73" s="606"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9" t="n"/>
      <c r="C7" s="674" t="n"/>
      <c r="D7" s="674" t="n"/>
      <c r="E7" s="674" t="n"/>
      <c r="F7" s="675" t="n"/>
      <c r="G7" s="282" t="n"/>
      <c r="H7" s="282" t="n"/>
      <c r="I7" s="282" t="n"/>
      <c r="K7" s="42" t="n"/>
    </row>
    <row r="8" ht="15" customHeight="1" s="588">
      <c r="B8" s="676" t="n"/>
      <c r="F8" s="677" t="n"/>
      <c r="G8" s="282" t="n"/>
      <c r="H8" s="282" t="n"/>
      <c r="I8" s="282" t="n"/>
      <c r="K8" s="42" t="n"/>
    </row>
    <row r="9" ht="15" customHeight="1" s="588">
      <c r="B9" s="676" t="n"/>
      <c r="F9" s="677" t="n"/>
      <c r="G9" s="282" t="n"/>
      <c r="H9" s="282" t="n"/>
      <c r="I9" s="282" t="n"/>
      <c r="K9" s="42" t="n"/>
    </row>
    <row r="10" ht="15" customHeight="1" s="588">
      <c r="B10" s="678" t="n"/>
      <c r="C10" s="679" t="n"/>
      <c r="D10" s="679" t="n"/>
      <c r="E10" s="679" t="n"/>
      <c r="F10" s="680" t="n"/>
      <c r="G10" s="282" t="n"/>
      <c r="H10" s="282" t="n"/>
      <c r="I10" s="282" t="n"/>
      <c r="K10" s="42" t="n"/>
    </row>
    <row r="11" ht="15" customHeight="1" s="588">
      <c r="B11" s="46" t="n"/>
      <c r="C11" s="46" t="n"/>
      <c r="D11" s="720" t="n"/>
      <c r="F11" s="721" t="n"/>
      <c r="G11" s="282" t="n"/>
      <c r="H11" s="282" t="n"/>
      <c r="I11" s="282" t="n"/>
      <c r="K11" s="42" t="n"/>
    </row>
    <row r="12" ht="15" customHeight="1" s="588">
      <c r="A12" s="251" t="n"/>
      <c r="B12" s="722"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23"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7" t="n"/>
      <c r="D14" s="647" t="n"/>
      <c r="E14" s="647" t="n"/>
      <c r="F14" s="648"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701" t="n"/>
      <c r="G18" s="347" t="n"/>
      <c r="H18" s="347" t="n"/>
      <c r="I18" s="347" t="n"/>
      <c r="K18" s="42" t="n"/>
    </row>
    <row r="19" ht="15" customHeight="1" s="588">
      <c r="B19" s="318" t="n">
        <v>2</v>
      </c>
      <c r="C19" s="344" t="n"/>
      <c r="D19" s="347" t="n"/>
      <c r="E19" s="347" t="n"/>
      <c r="F19" s="701" t="n"/>
      <c r="G19" s="347" t="n"/>
      <c r="H19" s="347" t="n"/>
      <c r="I19" s="347" t="n"/>
      <c r="K19" s="42" t="n"/>
    </row>
    <row r="20" ht="15" customHeight="1" s="588">
      <c r="B20" s="318" t="n">
        <v>3</v>
      </c>
      <c r="C20" s="344" t="n"/>
      <c r="D20" s="347" t="n"/>
      <c r="E20" s="347" t="n"/>
      <c r="F20" s="701" t="n"/>
      <c r="G20" s="347" t="n"/>
      <c r="H20" s="347" t="n"/>
      <c r="I20" s="347" t="n"/>
      <c r="K20" s="42" t="n"/>
    </row>
    <row r="21" ht="15" customHeight="1" s="588">
      <c r="B21" s="318" t="n">
        <v>4</v>
      </c>
      <c r="C21" s="344" t="n"/>
      <c r="D21" s="347" t="n"/>
      <c r="E21" s="347" t="n"/>
      <c r="F21" s="701" t="n"/>
      <c r="G21" s="347" t="n"/>
      <c r="H21" s="347" t="n"/>
      <c r="I21" s="347" t="n"/>
      <c r="K21" s="42" t="n"/>
    </row>
    <row r="22" ht="15" customHeight="1" s="588">
      <c r="B22" s="318" t="n">
        <v>5</v>
      </c>
      <c r="C22" s="344" t="n"/>
      <c r="D22" s="347" t="n"/>
      <c r="E22" s="347" t="n"/>
      <c r="F22" s="701"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8" t="n"/>
      <c r="C25" s="674" t="n"/>
      <c r="D25" s="674" t="n"/>
      <c r="E25" s="674" t="n"/>
      <c r="F25" s="675" t="n"/>
      <c r="G25" s="129" t="n"/>
      <c r="H25" s="129" t="n"/>
      <c r="I25" s="50" t="n"/>
      <c r="K25" s="42" t="n"/>
    </row>
    <row r="26" ht="15" customHeight="1" s="588">
      <c r="B26" s="676" t="n"/>
      <c r="F26" s="677" t="n"/>
      <c r="G26" s="129" t="n"/>
      <c r="H26" s="129" t="n"/>
      <c r="I26" s="50" t="n"/>
      <c r="K26" s="42" t="n"/>
    </row>
    <row r="27" ht="15" customHeight="1" s="588">
      <c r="B27" s="676" t="n"/>
      <c r="F27" s="677" t="n"/>
      <c r="G27" s="129" t="n"/>
      <c r="H27" s="129" t="n"/>
      <c r="I27" s="50" t="n"/>
      <c r="K27" s="42" t="n"/>
    </row>
    <row r="28" ht="15" customHeight="1" s="588">
      <c r="B28" s="678" t="n"/>
      <c r="C28" s="679" t="n"/>
      <c r="D28" s="679" t="n"/>
      <c r="E28" s="679" t="n"/>
      <c r="F28" s="680"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2026-05-26T09:00:42Z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
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六六六有限公司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2026-05-19</t>
        </is>
      </c>
      <c r="D4" s="725" t="n"/>
      <c r="O4" s="726" t="n"/>
      <c r="Q4" s="123" t="n"/>
    </row>
    <row r="5" ht="21.75" customFormat="1" customHeight="1" s="48">
      <c r="B5" s="305" t="inlineStr">
        <is>
          <t>可容忍误差（TE）</t>
        </is>
      </c>
      <c r="C5" s="727" t="n">
        <v>2475000</v>
      </c>
      <c r="D5" s="725" t="n"/>
      <c r="O5" s="726" t="n"/>
      <c r="Q5" s="123" t="n"/>
    </row>
    <row r="6" ht="21.75" customFormat="1" customHeight="1" s="48">
      <c r="B6" s="305" t="inlineStr">
        <is>
          <t>名义金额（SAD）</t>
        </is>
      </c>
      <c r="C6" s="727" t="n">
        <v>165000</v>
      </c>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inlineStr">
        <is>
          <t>已与科目余额表核对无误</t>
        </is>
      </c>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inlineStr">
        <is>
          <t>与上年最终审定数核对一致</t>
        </is>
      </c>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inlineStr">
        <is>
          <t>与未审数、审定数核对一致</t>
        </is>
      </c>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inlineStr">
        <is>
          <t>与审计调整核对一致</t>
        </is>
      </c>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inlineStr">
        <is>
          <t>与FS.0x与财务报表核对无误</t>
        </is>
      </c>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inlineStr">
        <is>
          <t>低于SAD的金额——放弃进一步调查</t>
        </is>
      </c>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inlineStr">
        <is>
          <t>重新计算，无异常</t>
        </is>
      </c>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inlineStr">
        <is>
          <t>余额/活动不符合测试范围–无需进一步调查</t>
        </is>
      </c>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inlineStr">
        <is>
          <t>已与明细账核对无误</t>
        </is>
      </c>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f>G49+H49</f>
        <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f>G50+H50</f>
        <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f>G51+H51</f>
        <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f>I49-I50-I51</f>
        <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f>[1]A3_合并审定报表汇总!$DJ$53</f>
        <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f>I53-I55</f>
        <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审定数</t>
        </is>
      </c>
      <c r="I11" s="469" t="inlineStr">
        <is>
          <t>账表调整/审计调整</t>
        </is>
      </c>
      <c r="J11" s="468" t="inlineStr">
        <is>
          <t>审定数</t>
        </is>
      </c>
      <c r="K11" s="468" t="inlineStr">
        <is>
          <t>审定数</t>
        </is>
      </c>
      <c r="L11" s="469" t="inlineStr">
        <is>
          <t>账表调整/审计调整</t>
        </is>
      </c>
      <c r="M11" s="468" t="inlineStr">
        <is>
          <t>审定数</t>
        </is>
      </c>
      <c r="N11" s="468" t="inlineStr">
        <is>
          <t>审定数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c r="F12" s="768" t="n"/>
      <c r="G12" s="768">
        <f>SUM(E12:F12)</f>
        <v/>
      </c>
      <c r="H12" s="768">
        <f>SUM(E12:F12)</f>
        <v/>
      </c>
      <c r="I12" s="768" t="n"/>
      <c r="J12" s="768">
        <f>SUM(H12:I12)</f>
        <v/>
      </c>
      <c r="K12" s="768">
        <f>SUM(H12:I12)</f>
        <v/>
      </c>
      <c r="L12" s="768" t="n"/>
      <c r="M12" s="768">
        <f>SUM(K12:L12)</f>
        <v/>
      </c>
      <c r="N12" s="768">
        <f>SUM(K12:L12)</f>
        <v/>
      </c>
      <c r="O12" s="768" t="n"/>
      <c r="P12" s="768">
        <f>SUM(N12:O12)</f>
        <v/>
      </c>
      <c r="Q12" s="768" t="n"/>
      <c r="R12" s="768" t="n"/>
      <c r="S12" s="768">
        <f>SUM(Q12:R12)</f>
        <v/>
      </c>
      <c r="T12" s="768" t="n"/>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f>SUM(E13:F13)</f>
        <v/>
      </c>
      <c r="I13" s="768" t="n"/>
      <c r="J13" s="768">
        <f>SUM(H13:I13)</f>
        <v/>
      </c>
      <c r="K13" s="768">
        <f>SUM(H13:I13)</f>
        <v/>
      </c>
      <c r="L13" s="768" t="n"/>
      <c r="M13" s="768">
        <f>SUM(K13:L13)</f>
        <v/>
      </c>
      <c r="N13" s="768">
        <f>SUM(K13:L13)</f>
        <v/>
      </c>
      <c r="O13" s="768" t="n"/>
      <c r="P13" s="768">
        <f>SUM(N13:O13)</f>
        <v/>
      </c>
      <c r="Q13" s="768" t="n"/>
      <c r="R13" s="768" t="n"/>
      <c r="S13" s="768">
        <f>SUM(Q13:R13)</f>
        <v/>
      </c>
      <c r="T13" s="768" t="n"/>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f>SUM(E14:F14)</f>
        <v/>
      </c>
      <c r="I14" s="768" t="n"/>
      <c r="J14" s="768">
        <f>SUM(H14:I14)</f>
        <v/>
      </c>
      <c r="K14" s="768">
        <f>SUM(H14:I14)</f>
        <v/>
      </c>
      <c r="L14" s="768" t="n"/>
      <c r="M14" s="768">
        <f>SUM(K14:L14)</f>
        <v/>
      </c>
      <c r="N14" s="768">
        <f>SUM(K14:L14)</f>
        <v/>
      </c>
      <c r="O14" s="768" t="n"/>
      <c r="P14" s="768">
        <f>SUM(N14:O14)</f>
        <v/>
      </c>
      <c r="Q14" s="768" t="n"/>
      <c r="R14" s="768" t="n"/>
      <c r="S14" s="768">
        <f>SUM(Q14:R14)</f>
        <v/>
      </c>
      <c r="T14" s="768" t="n"/>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f>SUM(E15:F15)</f>
        <v/>
      </c>
      <c r="I15" s="768" t="n"/>
      <c r="J15" s="768">
        <f>SUM(H15:I15)</f>
        <v/>
      </c>
      <c r="K15" s="768">
        <f>SUM(H15:I15)</f>
        <v/>
      </c>
      <c r="L15" s="768" t="n"/>
      <c r="M15" s="768">
        <f>SUM(K15:L15)</f>
        <v/>
      </c>
      <c r="N15" s="768">
        <f>SUM(K15:L15)</f>
        <v/>
      </c>
      <c r="O15" s="768" t="n"/>
      <c r="P15" s="768">
        <f>SUM(N15:O15)</f>
        <v/>
      </c>
      <c r="Q15" s="768" t="n"/>
      <c r="R15" s="768" t="n"/>
      <c r="S15" s="768">
        <f>SUM(Q15:R15)</f>
        <v/>
      </c>
      <c r="T15" s="768" t="n"/>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f>SUM(E16:F16)</f>
        <v/>
      </c>
      <c r="I16" s="768" t="n"/>
      <c r="J16" s="768">
        <f>SUM(H16:I16)</f>
        <v/>
      </c>
      <c r="K16" s="768">
        <f>SUM(H16:I16)</f>
        <v/>
      </c>
      <c r="L16" s="768" t="n"/>
      <c r="M16" s="768">
        <f>SUM(K16:L16)</f>
        <v/>
      </c>
      <c r="N16" s="768">
        <f>SUM(K16:L16)</f>
        <v/>
      </c>
      <c r="O16" s="768" t="n"/>
      <c r="P16" s="768">
        <f>SUM(N16:O16)</f>
        <v/>
      </c>
      <c r="Q16" s="768" t="n"/>
      <c r="R16" s="768" t="n"/>
      <c r="S16" s="768">
        <f>SUM(Q16:R16)</f>
        <v/>
      </c>
      <c r="T16" s="768" t="n"/>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f>SUM(E17:F17)</f>
        <v/>
      </c>
      <c r="I17" s="768" t="n"/>
      <c r="J17" s="768">
        <f>SUM(H17:I17)</f>
        <v/>
      </c>
      <c r="K17" s="768">
        <f>SUM(H17:I17)</f>
        <v/>
      </c>
      <c r="L17" s="768" t="n"/>
      <c r="M17" s="768">
        <f>SUM(K17:L17)</f>
        <v/>
      </c>
      <c r="N17" s="768">
        <f>SUM(K17:L17)</f>
        <v/>
      </c>
      <c r="O17" s="768" t="n"/>
      <c r="P17" s="768">
        <f>SUM(N17:O17)</f>
        <v/>
      </c>
      <c r="Q17" s="768" t="n"/>
      <c r="R17" s="768" t="n"/>
      <c r="S17" s="768">
        <f>SUM(Q17:R17)</f>
        <v/>
      </c>
      <c r="T17" s="768" t="n"/>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f>SUM(E18:F18)</f>
        <v/>
      </c>
      <c r="I18" s="771">
        <f>I12+I13+I14+I15+I16+I17</f>
        <v/>
      </c>
      <c r="J18" s="771">
        <f>J12+J13+J14+J15+J16+J17</f>
        <v/>
      </c>
      <c r="K18" s="771">
        <f>SUM(H18:I18)</f>
        <v/>
      </c>
      <c r="L18" s="771">
        <f>L12+L13+L14+L15+L16+L17</f>
        <v/>
      </c>
      <c r="M18" s="771">
        <f>M12+M13+M14+M15+M16+M17</f>
        <v/>
      </c>
      <c r="N18" s="771">
        <f>SUM(K18:L18)</f>
        <v/>
      </c>
      <c r="O18" s="771">
        <f>O12+O13+O14+O15+O16+O17</f>
        <v/>
      </c>
      <c r="P18" s="771">
        <f>P12+P13+P14+P15+P16+P17</f>
        <v/>
      </c>
      <c r="Q18" s="771">
        <f>Q12+Q13+Q14+Q15+Q16+Q17</f>
        <v/>
      </c>
      <c r="R18" s="771">
        <f>R12+R13+R14+R15+R16+R17</f>
        <v/>
      </c>
      <c r="S18" s="771">
        <f>S12+S13+S14+S15+S16+S17</f>
        <v/>
      </c>
      <c r="T18" s="771">
        <f>T12+T13+T14+T15+T16+T17</f>
        <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f>G12+G13+G14+G15+G16+G17+G18</f>
        <v/>
      </c>
      <c r="I19" s="768" t="n"/>
      <c r="J19" s="768">
        <f>SUM(H19:I19)</f>
        <v/>
      </c>
      <c r="K19" s="768">
        <f>J12+J13+J14+J15+J16+J17+J18</f>
        <v/>
      </c>
      <c r="L19" s="768" t="n"/>
      <c r="M19" s="768">
        <f>SUM(K19:L19)</f>
        <v/>
      </c>
      <c r="N19" s="768">
        <f>M12+M13+M14+M15+M16+M17+M18</f>
        <v/>
      </c>
      <c r="O19" s="768" t="n"/>
      <c r="P19" s="768">
        <f>SUM(N19:O19)</f>
        <v/>
      </c>
      <c r="Q19" s="768" t="n"/>
      <c r="R19" s="768" t="n"/>
      <c r="S19" s="768">
        <f>SUM(Q19:R19)</f>
        <v/>
      </c>
      <c r="T19" s="768" t="n"/>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f>SUM(E20:F20)</f>
        <v/>
      </c>
      <c r="I20" s="768" t="n"/>
      <c r="J20" s="768">
        <f>SUM(H20:I20)</f>
        <v/>
      </c>
      <c r="K20" s="768">
        <f>SUM(H20:I20)</f>
        <v/>
      </c>
      <c r="L20" s="768" t="n"/>
      <c r="M20" s="768">
        <f>SUM(K20:L20)</f>
        <v/>
      </c>
      <c r="N20" s="768">
        <f>SUM(K20:L20)</f>
        <v/>
      </c>
      <c r="O20" s="768" t="n"/>
      <c r="P20" s="768">
        <f>SUM(N20:O20)</f>
        <v/>
      </c>
      <c r="Q20" s="768" t="n"/>
      <c r="R20" s="768" t="n"/>
      <c r="S20" s="768">
        <f>SUM(Q20:R20)</f>
        <v/>
      </c>
      <c r="T20" s="768" t="n"/>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f>SUM(E21:F21)</f>
        <v/>
      </c>
      <c r="I21" s="768" t="n"/>
      <c r="J21" s="768">
        <f>SUM(H21:I21)</f>
        <v/>
      </c>
      <c r="K21" s="768">
        <f>SUM(H21:I21)</f>
        <v/>
      </c>
      <c r="L21" s="768" t="n"/>
      <c r="M21" s="768">
        <f>SUM(K21:L21)</f>
        <v/>
      </c>
      <c r="N21" s="768">
        <f>SUM(K21:L21)</f>
        <v/>
      </c>
      <c r="O21" s="768" t="n"/>
      <c r="P21" s="768">
        <f>SUM(N21:O21)</f>
        <v/>
      </c>
      <c r="Q21" s="768" t="n"/>
      <c r="R21" s="768" t="n"/>
      <c r="S21" s="768">
        <f>SUM(Q21:R21)</f>
        <v/>
      </c>
      <c r="T21" s="768" t="n"/>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f>SUM(E22:F22)</f>
        <v/>
      </c>
      <c r="I22" s="768" t="n"/>
      <c r="J22" s="768">
        <f>SUM(H22:I22)</f>
        <v/>
      </c>
      <c r="K22" s="768">
        <f>SUM(H22:I22)</f>
        <v/>
      </c>
      <c r="L22" s="768" t="n"/>
      <c r="M22" s="768">
        <f>SUM(K22:L22)</f>
        <v/>
      </c>
      <c r="N22" s="768">
        <f>SUM(K22:L22)</f>
        <v/>
      </c>
      <c r="O22" s="768" t="n"/>
      <c r="P22" s="768">
        <f>SUM(N22:O22)</f>
        <v/>
      </c>
      <c r="Q22" s="768" t="n"/>
      <c r="R22" s="768" t="n"/>
      <c r="S22" s="768">
        <f>SUM(Q22:R22)</f>
        <v/>
      </c>
      <c r="T22" s="768" t="n"/>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f>SUM(E23:F23)</f>
        <v/>
      </c>
      <c r="I23" s="768" t="n"/>
      <c r="J23" s="768">
        <f>SUM(H23:I23)</f>
        <v/>
      </c>
      <c r="K23" s="768">
        <f>SUM(H23:I23)</f>
        <v/>
      </c>
      <c r="L23" s="768" t="n"/>
      <c r="M23" s="768">
        <f>SUM(K23:L23)</f>
        <v/>
      </c>
      <c r="N23" s="768">
        <f>SUM(K23:L23)</f>
        <v/>
      </c>
      <c r="O23" s="768" t="n"/>
      <c r="P23" s="768">
        <f>SUM(N23:O23)</f>
        <v/>
      </c>
      <c r="Q23" s="768" t="n"/>
      <c r="R23" s="768" t="n"/>
      <c r="S23" s="768">
        <f>SUM(Q23:R23)</f>
        <v/>
      </c>
      <c r="T23" s="768" t="n"/>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f>SUM(E24:F24)</f>
        <v/>
      </c>
      <c r="I24" s="771">
        <f>I19+I20+I21+I22+I23</f>
        <v/>
      </c>
      <c r="J24" s="771">
        <f>J19+J20+J21+J22+J23</f>
        <v/>
      </c>
      <c r="K24" s="771">
        <f>SUM(H24:I24)</f>
        <v/>
      </c>
      <c r="L24" s="771">
        <f>L19+L20+L21+L22+L23</f>
        <v/>
      </c>
      <c r="M24" s="771">
        <f>M19+M20+M21+M22+M23</f>
        <v/>
      </c>
      <c r="N24" s="771">
        <f>SUM(K24:L24)</f>
        <v/>
      </c>
      <c r="O24" s="771">
        <f>O19+O20+O21+O22+O23</f>
        <v/>
      </c>
      <c r="P24" s="771">
        <f>P19+P20+P21+P22+P23</f>
        <v/>
      </c>
      <c r="Q24" s="771">
        <f>Q19+Q20+Q21+Q22+Q23</f>
        <v/>
      </c>
      <c r="R24" s="771">
        <f>R19+R20+R21+R22+R23</f>
        <v/>
      </c>
      <c r="S24" s="771">
        <f>S19+S20+S21+S22+S23</f>
        <v/>
      </c>
      <c r="T24" s="771">
        <f>T19+T20+T21+T22+T23</f>
        <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f>G20+G21+G22+G23+G24</f>
        <v/>
      </c>
      <c r="I25" s="768" t="n"/>
      <c r="J25" s="768">
        <f>SUM(H25:I25)</f>
        <v/>
      </c>
      <c r="K25" s="768">
        <f>J20+J21+J22+J23+J24</f>
        <v/>
      </c>
      <c r="L25" s="768" t="n"/>
      <c r="M25" s="768">
        <f>SUM(K25:L25)</f>
        <v/>
      </c>
      <c r="N25" s="768">
        <f>M20+M21+M22+M23+M24</f>
        <v/>
      </c>
      <c r="O25" s="768" t="n"/>
      <c r="P25" s="768">
        <f>SUM(N25:O25)</f>
        <v/>
      </c>
      <c r="Q25" s="768" t="n"/>
      <c r="R25" s="768" t="n"/>
      <c r="S25" s="768">
        <f>SUM(Q25:R25)</f>
        <v/>
      </c>
      <c r="T25" s="768" t="n"/>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f>SUM(E26:F26)</f>
        <v/>
      </c>
      <c r="I26" s="768" t="n"/>
      <c r="J26" s="768">
        <f>SUM(H26:I26)</f>
        <v/>
      </c>
      <c r="K26" s="768">
        <f>SUM(H26:I26)</f>
        <v/>
      </c>
      <c r="L26" s="768" t="n"/>
      <c r="M26" s="768">
        <f>SUM(K26:L26)</f>
        <v/>
      </c>
      <c r="N26" s="768">
        <f>SUM(K26:L26)</f>
        <v/>
      </c>
      <c r="O26" s="768" t="n"/>
      <c r="P26" s="768">
        <f>SUM(N26:O26)</f>
        <v/>
      </c>
      <c r="Q26" s="768" t="n"/>
      <c r="R26" s="768" t="n"/>
      <c r="S26" s="768">
        <f>SUM(Q26:R26)</f>
        <v/>
      </c>
      <c r="T26" s="768" t="n"/>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f>SUM(E27:F27)</f>
        <v/>
      </c>
      <c r="I27" s="768" t="n"/>
      <c r="J27" s="768">
        <f>SUM(H27:I27)</f>
        <v/>
      </c>
      <c r="K27" s="768">
        <f>SUM(H27:I27)</f>
        <v/>
      </c>
      <c r="L27" s="768" t="n"/>
      <c r="M27" s="768">
        <f>SUM(K27:L27)</f>
        <v/>
      </c>
      <c r="N27" s="768">
        <f>SUM(K27:L27)</f>
        <v/>
      </c>
      <c r="O27" s="768" t="n"/>
      <c r="P27" s="768">
        <f>SUM(N27:O27)</f>
        <v/>
      </c>
      <c r="Q27" s="768" t="n"/>
      <c r="R27" s="768" t="n"/>
      <c r="S27" s="768">
        <f>SUM(Q27:R27)</f>
        <v/>
      </c>
      <c r="T27" s="768" t="n"/>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f>SUM(E28:F28)</f>
        <v/>
      </c>
      <c r="I28" s="768" t="n"/>
      <c r="J28" s="768">
        <f>SUM(H28:I28)</f>
        <v/>
      </c>
      <c r="K28" s="768">
        <f>SUM(H28:I28)</f>
        <v/>
      </c>
      <c r="L28" s="768" t="n"/>
      <c r="M28" s="768">
        <f>SUM(K28:L28)</f>
        <v/>
      </c>
      <c r="N28" s="768">
        <f>SUM(K28:L28)</f>
        <v/>
      </c>
      <c r="O28" s="768" t="n"/>
      <c r="P28" s="768">
        <f>SUM(N28:O28)</f>
        <v/>
      </c>
      <c r="Q28" s="768" t="n"/>
      <c r="R28" s="768" t="n"/>
      <c r="S28" s="768">
        <f>SUM(Q28:R28)</f>
        <v/>
      </c>
      <c r="T28" s="768" t="n"/>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f>SUM(E29:F29)</f>
        <v/>
      </c>
      <c r="I29" s="768" t="n"/>
      <c r="J29" s="768">
        <f>SUM(H29:I29)</f>
        <v/>
      </c>
      <c r="K29" s="768">
        <f>SUM(H29:I29)</f>
        <v/>
      </c>
      <c r="L29" s="768" t="n"/>
      <c r="M29" s="768">
        <f>SUM(K29:L29)</f>
        <v/>
      </c>
      <c r="N29" s="768">
        <f>SUM(K29:L29)</f>
        <v/>
      </c>
      <c r="O29" s="768" t="n"/>
      <c r="P29" s="768">
        <f>SUM(N29:O29)</f>
        <v/>
      </c>
      <c r="Q29" s="768" t="n"/>
      <c r="R29" s="768" t="n"/>
      <c r="S29" s="768">
        <f>SUM(Q29:R29)</f>
        <v/>
      </c>
      <c r="T29" s="768" t="n"/>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f>SUM(E30:F30)</f>
        <v/>
      </c>
      <c r="I30" s="771">
        <f>I25+I26+I27+I28+I29</f>
        <v/>
      </c>
      <c r="J30" s="771">
        <f>J25+J26+J27+J28+J29</f>
        <v/>
      </c>
      <c r="K30" s="771">
        <f>SUM(H30:I30)</f>
        <v/>
      </c>
      <c r="L30" s="771">
        <f>L25+L26+L27+L28+L29</f>
        <v/>
      </c>
      <c r="M30" s="771">
        <f>M25+M26+M27+M28+M29</f>
        <v/>
      </c>
      <c r="N30" s="771">
        <f>SUM(K30:L30)</f>
        <v/>
      </c>
      <c r="O30" s="771">
        <f>O25+O26+O27+O28+O29</f>
        <v/>
      </c>
      <c r="P30" s="771">
        <f>P25+P26+P27+P28+P29</f>
        <v/>
      </c>
      <c r="Q30" s="771">
        <f>Q25+Q26+Q27+Q28+Q29</f>
        <v/>
      </c>
      <c r="R30" s="771">
        <f>R25+R26+R27+R28+R29</f>
        <v/>
      </c>
      <c r="S30" s="771">
        <f>S25+S26+S27+S28+S29</f>
        <v/>
      </c>
      <c r="T30" s="771">
        <f>T25+T26+T27+T28+T29</f>
        <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f>G26+G27+G28+G29+G30</f>
        <v/>
      </c>
      <c r="I31" s="768">
        <f>I12-I19-I25</f>
        <v/>
      </c>
      <c r="J31" s="768">
        <f>J12-J19-J25</f>
        <v/>
      </c>
      <c r="K31" s="768">
        <f>J26+J27+J28+J29+J30</f>
        <v/>
      </c>
      <c r="L31" s="768">
        <f>L12-L19-L25</f>
        <v/>
      </c>
      <c r="M31" s="768">
        <f>M12-M19-M25</f>
        <v/>
      </c>
      <c r="N31" s="768">
        <f>M26+M27+M28+M29+M30</f>
        <v/>
      </c>
      <c r="O31" s="768">
        <f>O12-O19-O25</f>
        <v/>
      </c>
      <c r="P31" s="768">
        <f>P12-P19-P25</f>
        <v/>
      </c>
      <c r="Q31" s="768">
        <f>Q12-Q19-Q25</f>
        <v/>
      </c>
      <c r="R31" s="768">
        <f>R12-R19-R25</f>
        <v/>
      </c>
      <c r="S31" s="768">
        <f>S12-S19-S25</f>
        <v/>
      </c>
      <c r="T31" s="768">
        <f>T12-T19-T25</f>
        <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f>G12-G20-G26</f>
        <v/>
      </c>
      <c r="I32" s="771">
        <f>I18-I24-I30</f>
        <v/>
      </c>
      <c r="J32" s="771">
        <f>J18-J24-J30</f>
        <v/>
      </c>
      <c r="K32" s="771">
        <f>J12-J20-J26</f>
        <v/>
      </c>
      <c r="L32" s="771">
        <f>L18-L24-L30</f>
        <v/>
      </c>
      <c r="M32" s="771">
        <f>M18-M24-M30</f>
        <v/>
      </c>
      <c r="N32" s="771">
        <f>M12-M20-M26</f>
        <v/>
      </c>
      <c r="O32" s="771">
        <f>O18-O24-O30</f>
        <v/>
      </c>
      <c r="P32" s="771">
        <f>P18-P24-P30</f>
        <v/>
      </c>
      <c r="Q32" s="771">
        <f>Q18-Q24-Q30</f>
        <v/>
      </c>
      <c r="R32" s="771">
        <f>R18-R24-R30</f>
        <v/>
      </c>
      <c r="S32" s="771">
        <f>S18-S24-S30</f>
        <v/>
      </c>
      <c r="T32" s="771">
        <f>T18-T24-T30</f>
        <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f>G19-G25-G31</f>
        <v/>
      </c>
      <c r="I33" s="768" t="n"/>
      <c r="J33" s="768">
        <f>J18-J12</f>
        <v/>
      </c>
      <c r="K33" s="768">
        <f>J19-J25-J31</f>
        <v/>
      </c>
      <c r="L33" s="768" t="n"/>
      <c r="M33" s="768">
        <f>M18-M12</f>
        <v/>
      </c>
      <c r="N33" s="768">
        <f>M19-M25-M31</f>
        <v/>
      </c>
      <c r="O33" s="768" t="n"/>
      <c r="P33" s="768">
        <f>P18-P12</f>
        <v/>
      </c>
      <c r="Q33" s="768">
        <f>Q18-Q12</f>
        <v/>
      </c>
      <c r="R33" s="768" t="n"/>
      <c r="S33" s="768">
        <f>S18-S12</f>
        <v/>
      </c>
      <c r="T33" s="768">
        <f>T18-T12</f>
        <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G19-G12</f>
        <v/>
      </c>
      <c r="I34" s="485" t="n"/>
      <c r="J34" s="485">
        <f>IFERROR(J33/J12,1)</f>
        <v/>
      </c>
      <c r="K34" s="485">
        <f>J19-J12</f>
        <v/>
      </c>
      <c r="L34" s="485" t="n"/>
      <c r="M34" s="485">
        <f>IFERROR(M33/M12,1)</f>
        <v/>
      </c>
      <c r="N34" s="485">
        <f>M19-M12</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f>IFERROR(G34/G12,1)</f>
        <v/>
      </c>
      <c r="I35" s="776" t="n"/>
      <c r="J35" s="776">
        <f>J24-J19</f>
        <v/>
      </c>
      <c r="K35" s="776">
        <f>IFERROR(J34/J12,1)</f>
        <v/>
      </c>
      <c r="L35" s="776" t="n"/>
      <c r="M35" s="776">
        <f>M24-M19</f>
        <v/>
      </c>
      <c r="N35" s="776">
        <f>IFERROR(M34/M12,1)</f>
        <v/>
      </c>
      <c r="O35" s="776" t="n"/>
      <c r="P35" s="776">
        <f>P24-P19</f>
        <v/>
      </c>
      <c r="Q35" s="776">
        <f>Q24-Q19</f>
        <v/>
      </c>
      <c r="R35" s="776" t="n"/>
      <c r="S35" s="776">
        <f>S24-S19</f>
        <v/>
      </c>
      <c r="T35" s="776">
        <f>T24-T19</f>
        <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G25-G20</f>
        <v/>
      </c>
      <c r="I36" s="485" t="n"/>
      <c r="J36" s="485">
        <f>IFERROR(J35/J19,1)</f>
        <v/>
      </c>
      <c r="K36" s="485">
        <f>J25-J20</f>
        <v/>
      </c>
      <c r="L36" s="485" t="n"/>
      <c r="M36" s="485">
        <f>IFERROR(M35/M19,1)</f>
        <v/>
      </c>
      <c r="N36" s="485">
        <f>M25-M20</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f>IFERROR(G36/G20,1)</f>
        <v/>
      </c>
      <c r="I37" s="776" t="n"/>
      <c r="J37" s="776">
        <f>J30-J25</f>
        <v/>
      </c>
      <c r="K37" s="776">
        <f>IFERROR(J36/J20,1)</f>
        <v/>
      </c>
      <c r="L37" s="776" t="n"/>
      <c r="M37" s="776">
        <f>M30-M25</f>
        <v/>
      </c>
      <c r="N37" s="776">
        <f>IFERROR(M36/M20,1)</f>
        <v/>
      </c>
      <c r="O37" s="776" t="n"/>
      <c r="P37" s="776">
        <f>P30-P25</f>
        <v/>
      </c>
      <c r="Q37" s="776">
        <f>Q30-Q25</f>
        <v/>
      </c>
      <c r="R37" s="776" t="n"/>
      <c r="S37" s="776">
        <f>S30-S25</f>
        <v/>
      </c>
      <c r="T37" s="776">
        <f>T30-T25</f>
        <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G31-G26</f>
        <v/>
      </c>
      <c r="I38" s="485" t="n"/>
      <c r="J38" s="485">
        <f>IFERROR(J37/J25,1)</f>
        <v/>
      </c>
      <c r="K38" s="485">
        <f>J31-J26</f>
        <v/>
      </c>
      <c r="L38" s="485" t="n"/>
      <c r="M38" s="485">
        <f>IFERROR(M37/M25,1)</f>
        <v/>
      </c>
      <c r="N38" s="485">
        <f>M31-M26</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f>IFERROR(G38/G26,1)</f>
        <v/>
      </c>
      <c r="I39" s="776" t="n"/>
      <c r="J39" s="776">
        <f>J32-J31</f>
        <v/>
      </c>
      <c r="K39" s="776">
        <f>IFERROR(J38/J26,1)</f>
        <v/>
      </c>
      <c r="L39" s="776" t="n"/>
      <c r="M39" s="776">
        <f>M32-M31</f>
        <v/>
      </c>
      <c r="N39" s="776">
        <f>IFERROR(M38/M26,1)</f>
        <v/>
      </c>
      <c r="O39" s="776" t="n"/>
      <c r="P39" s="776">
        <f>P32-P31</f>
        <v/>
      </c>
      <c r="Q39" s="776">
        <f>Q32-Q31</f>
        <v/>
      </c>
      <c r="R39" s="776" t="n"/>
      <c r="S39" s="776">
        <f>S32-S31</f>
        <v/>
      </c>
      <c r="T39" s="776">
        <f>T32-T31</f>
        <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G33-G32</f>
        <v/>
      </c>
      <c r="I40" s="485" t="n"/>
      <c r="J40" s="485">
        <f>IFERROR(J39/J31,1)</f>
        <v/>
      </c>
      <c r="K40" s="485">
        <f>J33-J32</f>
        <v/>
      </c>
      <c r="L40" s="485" t="n"/>
      <c r="M40" s="485">
        <f>IFERROR(M39/M31,1)</f>
        <v/>
      </c>
      <c r="N40" s="485">
        <f>M33-M32</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f>IFERROR(G40/G32,1)</f>
        <v/>
      </c>
      <c r="I41" s="166" t="n"/>
      <c r="J41" s="166" t="n"/>
      <c r="K41" s="166">
        <f>IFERROR(J40/J32,1)</f>
        <v/>
      </c>
      <c r="L41" s="166" t="n"/>
      <c r="M41" s="166" t="n"/>
      <c r="N41" s="166">
        <f>IFERROR(M40/M32,1)</f>
        <v/>
      </c>
      <c r="O41" s="166" t="n"/>
      <c r="P41" s="166" t="n"/>
      <c r="Q41" s="166" t="n"/>
      <c r="R41" s="166" t="n"/>
      <c r="S41" s="166" t="n"/>
      <c r="T41" s="166" t="n"/>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t="inlineStr">
        <is>
          <t>减值准备</t>
        </is>
      </c>
      <c r="M55" s="27" t="n"/>
      <c r="AE55" s="111" t="n"/>
    </row>
    <row r="56" ht="15.75" customFormat="1" customHeight="1" s="13">
      <c r="A56" s="30" t="n"/>
      <c r="B56" s="489">
        <f>I10</f>
        <v/>
      </c>
      <c r="C56" s="800" t="n"/>
      <c r="D56" s="800" t="n"/>
      <c r="E56" s="800" t="n"/>
      <c r="F56" s="800" t="n"/>
      <c r="H56" s="801">
        <f>C56-H18</f>
        <v/>
      </c>
      <c r="I56" s="801">
        <f>D56-H24</f>
        <v/>
      </c>
      <c r="J56" s="801">
        <f>E56-H30</f>
        <v/>
      </c>
      <c r="K56" s="801">
        <f>E56-E31</f>
        <v/>
      </c>
      <c r="M56" s="27" t="n"/>
      <c r="AE56" s="111" t="n"/>
    </row>
    <row r="57" ht="15.75" customFormat="1" customHeight="1" s="13">
      <c r="A57" s="30" t="n"/>
      <c r="B57" s="489">
        <f>L10</f>
        <v/>
      </c>
      <c r="C57" s="800" t="n"/>
      <c r="D57" s="800" t="n"/>
      <c r="E57" s="800" t="n"/>
      <c r="F57" s="800" t="n"/>
      <c r="H57" s="801">
        <f>C57-K18</f>
        <v/>
      </c>
      <c r="I57" s="801">
        <f>D57-K24</f>
        <v/>
      </c>
      <c r="J57" s="801">
        <f>E57-K30</f>
        <v/>
      </c>
      <c r="K57" s="801">
        <f>E57-H31</f>
        <v/>
      </c>
      <c r="M57" s="27" t="n"/>
      <c r="AE57" s="111" t="n"/>
    </row>
    <row r="58" ht="15.75" customFormat="1" customHeight="1" s="13">
      <c r="A58" s="30" t="n"/>
      <c r="B58" s="489">
        <f>O10</f>
        <v/>
      </c>
      <c r="C58" s="800" t="n"/>
      <c r="D58" s="800" t="n"/>
      <c r="E58" s="800" t="n"/>
      <c r="F58" s="800" t="n"/>
      <c r="H58" s="801">
        <f>C58-N18</f>
        <v/>
      </c>
      <c r="I58" s="801">
        <f>D58-N24</f>
        <v/>
      </c>
      <c r="J58" s="801">
        <f>E58-N30</f>
        <v/>
      </c>
      <c r="K58" s="801">
        <f>E58-K31</f>
        <v/>
      </c>
      <c r="M58" s="27" t="n"/>
      <c r="AE58" s="111" t="n"/>
    </row>
    <row r="59" ht="15.75" customFormat="1" customHeight="1" s="13">
      <c r="A59" s="30" t="n"/>
      <c r="B59" s="489">
        <f>R10</f>
        <v/>
      </c>
      <c r="C59" s="800" t="n"/>
      <c r="D59" s="800" t="n"/>
      <c r="E59" s="800" t="n"/>
      <c r="F59" s="800" t="n"/>
      <c r="H59" s="801">
        <f>C59-Q18</f>
        <v/>
      </c>
      <c r="I59" s="801">
        <f>D59-Q24</f>
        <v/>
      </c>
      <c r="J59" s="801">
        <f>E59-Q30</f>
        <v/>
      </c>
      <c r="K59" s="801">
        <f>E59-N31</f>
        <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f>E62-Q31</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2"/>
    <row r="93"/>
    <row r="94" ht="12.75" customHeight="1">
      <c r="F94" s="65" t="n"/>
    </row>
    <row r="95"/>
    <row r="96"/>
    <row r="97"/>
    <row r="98"/>
    <row r="99"/>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11"/>
    <row r="112"/>
    <row r="113"/>
    <row r="114"/>
    <row r="115"/>
    <row r="116"/>
    <row r="117"/>
    <row r="118"/>
    <row r="119"/>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2026-05-19T11:51:46Z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
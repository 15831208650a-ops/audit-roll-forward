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1500" tabRatio="836" firstSheet="0" activeTab="0" autoFilterDateGrouping="1"/>
  </bookViews>
  <sheets>
    <sheet name="汇总" sheetId="1" state="visible" r:id="rId1"/>
    <sheet name="M.00 Lead" sheetId="2" state="visible" r:id="rId2"/>
    <sheet name="M.01 银承BKD" sheetId="3" state="visible" r:id="rId3"/>
    <sheet name="M.02 商承BKD" sheetId="4" state="visible" r:id="rId4"/>
    <sheet name="M.01.01&amp;02.01明细账" sheetId="5" state="visible" r:id="rId5"/>
    <sheet name="SkywindSettingSheet" sheetId="6" state="veryHidden" r:id="rId6"/>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 hidden="1">#REF!</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ew" hidden="1">{#N/A,#N/A,FALSE,"Jan"}</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15wrn.²Ä1­Ó¤ë1_Ü20¤H." localSheetId="4" hidden="1">{#N/A,#N/A,FALSE,"²Ä1­Ó¤ë"}</definedName>
    <definedName name="_16wrn.²Ä1­Ó¤ë1_Ü20¤H." localSheetId="4" hidden="1">{#N/A,#N/A,FALSE,"²Ä1­Ó¤ë"}</definedName>
    <definedName name="_dod1" localSheetId="4" hidden="1">{#N/A,#N/A,TRUE,"CPRD";#N/A,#N/A,TRUE,"BCCPDR";#N/A,#N/A,TRUE,"EWRD";#N/A,#N/A,TRUE,"5100";#N/A,#N/A,TRUE,"5110"}</definedName>
    <definedName name="_dog1" localSheetId="4" hidden="1">{#N/A,#N/A,TRUE,"CPRD";#N/A,#N/A,TRUE,"BCCPDR";#N/A,#N/A,TRUE,"EWRD";#N/A,#N/A,TRUE,"5100";#N/A,#N/A,TRUE,"5110"}</definedName>
    <definedName name="_O1" localSheetId="4" hidden="1">{#N/A,#N/A,FALSE,"970301";#N/A,#N/A,FALSE,"970302";#N/A,#N/A,FALSE,"970303";#N/A,#N/A,FALSE,"970304";#N/A,#N/A,FALSE,"COM1";#N/A,#N/A,FALSE,"COM2"}</definedName>
    <definedName name="aavbrdf" localSheetId="4" hidden="1">{#N/A,#N/A,FALSE,"OffAdvance";#N/A,#N/A,FALSE,"OffExpRprt";#N/A,#N/A,FALSE,"Travelling";#N/A,#N/A,FALSE,"Entertmnt";#N/A,#N/A,FALSE,"Promotion"}</definedName>
    <definedName name="aaz" localSheetId="4" hidden="1">{#N/A,#N/A,FALSE,"资产负债表";#N/A,#N/A,FALSE,"资产负债表"}</definedName>
    <definedName name="ada" localSheetId="4" hidden="1">{#N/A,#N/A,FALSE,"资产负债表";#N/A,#N/A,FALSE,"资产负债表"}</definedName>
    <definedName name="adaf" localSheetId="4" hidden="1">{#N/A,#N/A,FALSE,"资产负债表";#N/A,#N/A,FALSE,"资产负债表"}</definedName>
    <definedName name="adas" localSheetId="4" hidden="1">{"M1Print",#N/A,TRUE,"M1";"M2Print",#N/A,TRUE,"M2";"M1sPrint",#N/A,TRUE,"M1s";"M2aPrint",#N/A,TRUE,"M2a";"M4Print",#N/A,TRUE,"M4";"M5Print",#N/A,TRUE,"M5";"M6Print",#N/A,TRUE,"M6";"M6_1Print",#N/A,TRUE,"M6_1";"M6_2Print",#N/A,TRUE,"M6_2";"M7_1Print",#N/A,TRUE,"M7_1";"M7_2Print",#N/A,TRUE,"M7_2"}</definedName>
    <definedName name="adf" localSheetId="4" hidden="1">{"toptrial",#N/A,TRUE,"toptrial";"adjustment",#N/A,TRUE,"toptrial";"voucher",#N/A,TRUE,"toptrial"}</definedName>
    <definedName name="afhai" localSheetId="4" hidden="1">{#N/A,#N/A,FALSE,"资产负债表";#N/A,#N/A,FALSE,"资产负债表"}</definedName>
    <definedName name="AGEDDATABASE" localSheetId="4" hidden="1">{#N/A,#N/A,FALSE,"970301";#N/A,#N/A,FALSE,"970302";#N/A,#N/A,FALSE,"970303";#N/A,#N/A,FALSE,"970304";#N/A,#N/A,FALSE,"COM1";#N/A,#N/A,FALSE,"COM2"}</definedName>
    <definedName name="aidhaif" localSheetId="4" hidden="1">{#N/A,#N/A,FALSE,"资产负债表";#N/A,#N/A,FALSE,"资产负债表"}</definedName>
    <definedName name="anakf" localSheetId="4" hidden="1">{#N/A,#N/A,FALSE,"资产负债表";#N/A,#N/A,FALSE,"资产负债表"}</definedName>
    <definedName name="asdas" localSheetId="4" hidden="1">{#N/A,#N/A,FALSE,"Marketing";#N/A,#N/A,FALSE,"Selling";#N/A,#N/A,FALSE,"Promotional";#N/A,#N/A,FALSE,"Advertising"}</definedName>
    <definedName name="asdg" localSheetId="4" hidden="1">{#N/A,#N/A,FALSE,"资产负债表";#N/A,#N/A,FALSE,"资产负债表"}</definedName>
    <definedName name="ass" localSheetId="4" hidden="1">{#N/A,#N/A,TRUE,"CPRD";#N/A,#N/A,TRUE,"BCCPDR";#N/A,#N/A,TRUE,"EWRD";#N/A,#N/A,TRUE,"5100";#N/A,#N/A,TRUE,"5110"}</definedName>
    <definedName name="book" localSheetId="4" hidden="1">{#N/A,#N/A,FALSE,"OffAdvance";#N/A,#N/A,FALSE,"OffExpRprt";#N/A,#N/A,FALSE,"Entertmnt";#N/A,#N/A,FALSE,"Promotion";#N/A,#N/A,FALSE,"Travelling"}</definedName>
    <definedName name="book.2" localSheetId="4" hidden="1">{#N/A,#N/A,FALSE,"OffAdvance";#N/A,#N/A,FALSE,"OffExpRprt";#N/A,#N/A,FALSE,"Travelling";#N/A,#N/A,FALSE,"Entertmnt";#N/A,#N/A,FALSE,"Promotion"}</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bx" localSheetId="4" hidden="1">{#N/A,#N/A,FALSE,"M1s Board";#N/A,#N/A,FALSE,"M3 Board";#N/A,#N/A,FALSE,"M6 Board";#N/A,#N/A,FALSE,"M7";#N/A,#N/A,FALSE,"M7B";#N/A,#N/A,FALSE,"M8";#N/A,#N/A,FALSE,"M8A Board";#N/A,#N/A,FALSE,"AF1 Board"}</definedName>
    <definedName name="cccvb" localSheetId="4" hidden="1">{#N/A,#N/A,FALSE,"资产负债表";#N/A,#N/A,FALSE,"资产负债表"}</definedName>
    <definedName name="CFVVHH" localSheetId="4" hidden="1">{#N/A,#N/A,FALSE,"资产负债表";#N/A,#N/A,FALSE,"资产负债表"}</definedName>
    <definedName name="cfyik" localSheetId="4" hidden="1">{#N/A,#N/A,FALSE,"资产负债表";#N/A,#N/A,FALSE,"资产负债表"}</definedName>
    <definedName name="cgul" localSheetId="4" hidden="1">{#N/A,#N/A,FALSE,"资产负债表";#N/A,#N/A,FALSE,"资产负债表"}</definedName>
    <definedName name="cguocnbnl" localSheetId="4" hidden="1">{#N/A,#N/A,FALSE,"资产负债表";#N/A,#N/A,FALSE,"资产负债表"}</definedName>
    <definedName name="Coll" localSheetId="4" hidden="1">{#N/A,#N/A,FALSE,"970301";#N/A,#N/A,FALSE,"970302";#N/A,#N/A,FALSE,"970303";#N/A,#N/A,FALSE,"970304";#N/A,#N/A,FALSE,"COM1";#N/A,#N/A,FALSE,"COM2"}</definedName>
    <definedName name="dcca" localSheetId="4" hidden="1">{#N/A,#N/A,FALSE,"资产负债表";#N/A,#N/A,FALSE,"资产负债表"}</definedName>
    <definedName name="dfgdafsg" localSheetId="4" hidden="1">{#N/A,#N/A,FALSE,"OffAdvance";#N/A,#N/A,FALSE,"OffExpRprt";#N/A,#N/A,FALSE,"Travelling";#N/A,#N/A,FALSE,"Entertmnt";#N/A,#N/A,FALSE,"Promotion"}</definedName>
    <definedName name="dfv" localSheetId="4" hidden="1">{"M1Print",#N/A,TRUE,"M1";"M2Print",#N/A,TRUE,"M2";"M1sPrint",#N/A,TRUE,"M1s";"M2aPrint",#N/A,TRUE,"M2a";"M4Print",#N/A,TRUE,"M4";"M5Print",#N/A,TRUE,"M5";"M6Print",#N/A,TRUE,"M6";"M6_1Print",#N/A,TRUE,"M6_1";"M6_2Print",#N/A,TRUE,"M6_2";"M7_1Print",#N/A,TRUE,"M7_1";"M7_2Print",#N/A,TRUE,"M7_2"}</definedName>
    <definedName name="dh" localSheetId="4" hidden="1">{"M4Print",#N/A,FALSE,"M4"}</definedName>
    <definedName name="dlf" localSheetId="4" hidden="1">{"M4Print",#N/A,FALSE,"M4"}</definedName>
    <definedName name="doddd" localSheetId="4" hidden="1">{#N/A,#N/A,TRUE,"CPRD";#N/A,#N/A,TRUE,"BCCPDR";#N/A,#N/A,TRUE,"EWRD";#N/A,#N/A,TRUE,"5100";#N/A,#N/A,TRUE,"5110"}</definedName>
    <definedName name="dog" localSheetId="4" hidden="1">{#N/A,#N/A,TRUE,"CPRD";#N/A,#N/A,TRUE,"BCCPDR";#N/A,#N/A,TRUE,"EWRD";#N/A,#N/A,TRUE,"5100";#N/A,#N/A,TRUE,"5110"}</definedName>
    <definedName name="dvbm" localSheetId="4" hidden="1">{#N/A,#N/A,FALSE,"资产负债表";#N/A,#N/A,FALSE,"资产负债表"}</definedName>
    <definedName name="ehdg" localSheetId="4" hidden="1">{#N/A,#N/A,FALSE,"Jan"}</definedName>
    <definedName name="erf" localSheetId="4" hidden="1">{#N/A,#N/A,FALSE,"970301";#N/A,#N/A,FALSE,"970302";#N/A,#N/A,FALSE,"970303";#N/A,#N/A,FALSE,"970304";#N/A,#N/A,FALSE,"COM1";#N/A,#N/A,FALSE,"COM2"}</definedName>
    <definedName name="eryj" localSheetId="4" hidden="1">{#N/A,#N/A,FALSE,"资产负债表";#N/A,#N/A,FALSE,"资产负债表"}</definedName>
    <definedName name="ExpenseUpload" localSheetId="4" hidden="1">{#N/A,#N/A,TRUE,"CPRD";#N/A,#N/A,TRUE,"BCCPDR";#N/A,#N/A,TRUE,"EWRD";#N/A,#N/A,TRUE,"5100";#N/A,#N/A,TRUE,"5110"}</definedName>
    <definedName name="faif" localSheetId="4" hidden="1">{#N/A,#N/A,FALSE,"资产负债表";#N/A,#N/A,FALSE,"资产负债表"}</definedName>
    <definedName name="fd" localSheetId="4" hidden="1">{"M1sPrint",#N/A,FALSE,"M1s"}</definedName>
    <definedName name="feedback" localSheetId="4" hidden="1">{#N/A,#N/A,TRUE,"CPRD";#N/A,#N/A,TRUE,"BCCPDR";#N/A,#N/A,TRUE,"EWRD";#N/A,#N/A,TRUE,"5100";#N/A,#N/A,TRUE,"5110"}</definedName>
    <definedName name="fgdg" localSheetId="4" hidden="1">{"M1Print",#N/A,TRUE,"M1";"M2Print",#N/A,TRUE,"M2";"M1sPrint",#N/A,TRUE,"M1s";"M2aPrint",#N/A,TRUE,"M2a";"M4Print",#N/A,TRUE,"M4";"M5Print",#N/A,TRUE,"M5";"M6Print",#N/A,TRUE,"M6";"M6_1Print",#N/A,TRUE,"M6_1";"M6_2Print",#N/A,TRUE,"M6_2";"M7_1Print",#N/A,TRUE,"M7_1";"M7_2Print",#N/A,TRUE,"M7_2"}</definedName>
    <definedName name="fvb" localSheetId="4" hidden="1">{#N/A,#N/A,FALSE,"资产负债表";#N/A,#N/A,FALSE,"资产负债表"}</definedName>
    <definedName name="G9IJGF" localSheetId="4" hidden="1">{#N/A,#N/A,FALSE,"资产负债表";#N/A,#N/A,FALSE,"资产负债表"}</definedName>
    <definedName name="hadiah" localSheetId="4" hidden="1">{#N/A,#N/A,FALSE,"资产负债表";#N/A,#N/A,FALSE,"资产负债表"}</definedName>
    <definedName name="HdctTrnd" localSheetId="4" hidden="1">{#N/A,#N/A,TRUE,"CPRD";#N/A,#N/A,TRUE,"BCCPDR";#N/A,#N/A,TRUE,"EWRD";#N/A,#N/A,TRUE,"5100";#N/A,#N/A,TRUE,"5110"}</definedName>
    <definedName name="HTL_Cotrol1" localSheetId="4" hidden="1">{"'Sheet3'!$A$47:$M$47"}</definedName>
    <definedName name="HTML_Control" localSheetId="4" hidden="1">{"'Vxxe_times_J750 (2)'!$A$3:$E$14"}</definedName>
    <definedName name="hueoa" localSheetId="4" hidden="1">{#N/A,#N/A,FALSE,"资产负债表";#N/A,#N/A,FALSE,"资产负债表"}</definedName>
    <definedName name="ieji" localSheetId="4" hidden="1">{#N/A,#N/A,FALSE,"970301";#N/A,#N/A,FALSE,"970302";#N/A,#N/A,FALSE,"970303";#N/A,#N/A,FALSE,"970304";#N/A,#N/A,FALSE,"COM1";#N/A,#N/A,FALSE,"COM2"}</definedName>
    <definedName name="jdda" localSheetId="4" hidden="1">{"M4Print",#N/A,FALSE,"M4"}</definedName>
    <definedName name="jdfslsajdflasdkjpf" localSheetId="4" hidden="1">{#N/A,#N/A,FALSE,"OffAdvance";#N/A,#N/A,FALSE,"OffExpRprt";#N/A,#N/A,FALSE,"Entertmnt";#N/A,#N/A,FALSE,"Promotion";#N/A,#N/A,FALSE,"Travelling"}</definedName>
    <definedName name="jfgh" localSheetId="4" hidden="1">{"M1sPrint",#N/A,FALSE,"M1s"}</definedName>
    <definedName name="jgfhfg" localSheetId="4" hidden="1">{"M1sPrint",#N/A,FALSE,"M1s"}</definedName>
    <definedName name="jlj" localSheetId="4" hidden="1">{"M2aPrint",#N/A,FALSE,"M2a"}</definedName>
    <definedName name="jughn" localSheetId="4" hidden="1">{"M7_1Print",#N/A,TRUE,"M7_1";"M7_2Print",#N/A,TRUE,"M7_2"}</definedName>
    <definedName name="jytj" localSheetId="4" hidden="1">{"M7_1Print",#N/A,TRUE,"M7_1";"M7_2Print",#N/A,TRUE,"M7_2"}</definedName>
    <definedName name="kljik" localSheetId="4" hidden="1">{#N/A,#N/A,FALSE,"OffAdvance";#N/A,#N/A,FALSE,"OffExpRprt";#N/A,#N/A,FALSE,"Entertmnt";#N/A,#N/A,FALSE,"Promotion";#N/A,#N/A,FALSE,"Travelling"}</definedName>
    <definedName name="kuj" localSheetId="4" hidden="1">{"M6Print",#N/A,FALSE,"M6";"M6_1Print",#N/A,FALSE,"M6_1";"M6_2Print",#N/A,FALSE,"M6_2"}</definedName>
    <definedName name="lu" localSheetId="4" hidden="1">{"M1sPrint",#N/A,FALSE,"M1s"}</definedName>
    <definedName name="n" localSheetId="4" hidden="1">{"M2Print",#N/A,FALSE,"M2"}</definedName>
    <definedName name="ngn" localSheetId="4" hidden="1">{"M1Print",#N/A,TRUE,"M1";"M2Print",#N/A,TRUE,"M2";"M1sPrint",#N/A,TRUE,"M1s";"M2aPrint",#N/A,TRUE,"M2a";"M4Print",#N/A,TRUE,"M4";"M5Print",#N/A,TRUE,"M5";"M6Print",#N/A,TRUE,"M6";"M6_1Print",#N/A,TRUE,"M6_1";"M6_2Print",#N/A,TRUE,"M6_2";"M7_1Print",#N/A,TRUE,"M7_1";"M7_2Print",#N/A,TRUE,"M7_2"}</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RJE" localSheetId="4" hidden="1">{"toptrial",#N/A,TRUE,"toptrial";"adjustment",#N/A,TRUE,"toptrial";"voucher",#N/A,TRUE,"toptrial"}</definedName>
    <definedName name="sdfs" localSheetId="4" hidden="1">{"M1sPrint",#N/A,FALSE,"M1s"}</definedName>
    <definedName name="sssz" localSheetId="4" hidden="1">{#N/A,#N/A,FALSE,"资产负债表";#N/A,#N/A,FALSE,"资产负债表"}</definedName>
    <definedName name="terh" localSheetId="4" hidden="1">{#N/A,#N/A,FALSE,"OffAdvance";#N/A,#N/A,FALSE,"OffExpRprt";#N/A,#N/A,FALSE,"Entertmnt";#N/A,#N/A,FALSE,"Promotion";#N/A,#N/A,FALSE,"Travelling"}</definedName>
    <definedName name="tfhg" localSheetId="4" hidden="1">{"M1Print",#N/A,FALSE,"M1"}</definedName>
    <definedName name="the" localSheetId="4" hidden="1">{#N/A,#N/A,FALSE,"Marketing";#N/A,#N/A,FALSE,"Selling";#N/A,#N/A,FALSE,"Promotional";#N/A,#N/A,FALSE,"Advertising"}</definedName>
    <definedName name="ulead" localSheetId="4" hidden="1">{#N/A,#N/A,FALSE,"970301";#N/A,#N/A,FALSE,"970302";#N/A,#N/A,FALSE,"970303";#N/A,#N/A,FALSE,"970304";#N/A,#N/A,FALSE,"COM1";#N/A,#N/A,FALSE,"COM2"}</definedName>
    <definedName name="uygh" localSheetId="4" hidden="1">{"M6Print",#N/A,FALSE,"M6";"M6_1Print",#N/A,FALSE,"M6_1";"M6_2Print",#N/A,FALSE,"M6_2"}</definedName>
    <definedName name="vhvkb" localSheetId="4" hidden="1">{#N/A,#N/A,FALSE,"资产负债表";#N/A,#N/A,FALSE,"资产负债表"}</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d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ERNST." localSheetId="4" hidden="1">{#N/A,#N/A,FALSE,"YTCHAN";#N/A,#N/A,FALSE,"TOMMY";#N/A,#N/A,FALSE,"REP.OFFICE";#N/A,#N/A,FALSE,"E&amp;Y_CONSULTANT";#N/A,#N/A,FALSE,"BT &amp; CIT"}</definedName>
    <definedName name="wrn.Financial._.Report." localSheetId="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4" hidden="1">{#N/A,#N/A,FALSE,"OffAdvance";#N/A,#N/A,FALSE,"OffExpRprt";#N/A,#N/A,FALSE,"Entertmnt";#N/A,#N/A,FALSE,"Promotion";#N/A,#N/A,FALSE,"Travelling"}</definedName>
    <definedName name="wrn.gb." localSheetId="4" hidden="1">{#N/A,#N/A,FALSE,"资产负债表";#N/A,#N/A,FALSE,"资产负债表"}</definedName>
    <definedName name="wrn.Input._.Data." localSheetId="4" hidden="1">{"Input_Fin",#N/A,FALSE,"By Code";"Input_Opt",#N/A,FALSE,"By Code"}</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Operation._.Report." localSheetId="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sunmicro." localSheetId="4" hidden="1">{#N/A,#N/A,FALSE,"FREEMAN";#N/A,#N/A,FALSE,"STEPHEN";#N/A,#N/A,FALSE,"VICTOR"}</definedName>
    <definedName name="wrn.test1." localSheetId="4" hidden="1">{#N/A,#N/A,FALSE,"Earn'gs &amp; Val'n";#N/A,#N/A,FALSE,"Interim"}</definedName>
    <definedName name="wrn.tope" localSheetId="4" hidden="1">{"toptrial",#N/A,TRUE,"toptrial";"adjustment",#N/A,TRUE,"toptrial";"voucher",#N/A,TRUE,"toptrial"}</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100.gb" localSheetId="4" hidden="1">{#N/A,#N/A,FALSE,"资产负债表";#N/A,#N/A,FALSE,"资产负债表"}</definedName>
    <definedName name="wrnn.all." localSheetId="4" hidden="1">{#N/A,#N/A,FALSE,"SUM";#N/A,#N/A,FALSE,"SK_TOT";#N/A,#N/A,FALSE,"YM";#N/A,#N/A,FALSE,"TSMC";#N/A,#N/A,FALSE,"ICW";#N/A,#N/A,FALSE,"Sheet1"}</definedName>
    <definedName name="wtr" localSheetId="4" hidden="1">{#N/A,#N/A,FALSE,"资产负债表";#N/A,#N/A,FALSE,"资产负债表"}</definedName>
    <definedName name="xzxsfd" localSheetId="4" hidden="1">{"M1Print",#N/A,FALSE,"M1"}</definedName>
    <definedName name="y" localSheetId="4" hidden="1">{#N/A,#N/A,FALSE,"970301";#N/A,#N/A,FALSE,"970302";#N/A,#N/A,FALSE,"970303";#N/A,#N/A,FALSE,"970304";#N/A,#N/A,FALSE,"COM1";#N/A,#N/A,FALSE,"COM2"}</definedName>
    <definedName name="zdry" localSheetId="4" hidden="1">{#N/A,#N/A,FALSE,"资产负债表";#N/A,#N/A,FALSE,"资产负债表"}</definedName>
    <definedName name="zerey" localSheetId="4" hidden="1">{#N/A,#N/A,FALSE,"资产负债表";#N/A,#N/A,FALSE,"资产负债表"}</definedName>
    <definedName name="啊" localSheetId="4" hidden="1">{#N/A,#N/A,FALSE,"970301";#N/A,#N/A,FALSE,"970302";#N/A,#N/A,FALSE,"970303";#N/A,#N/A,FALSE,"970304";#N/A,#N/A,FALSE,"COM1";#N/A,#N/A,FALSE,"COM2"}</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已05" localSheetId="4" hidden="1">{"M1Print",#N/A,TRUE,"M1";"M2Print",#N/A,TRUE,"M2";"M1sPrint",#N/A,TRUE,"M1s";"M2aPrint",#N/A,TRUE,"M2a";"M4Print",#N/A,TRUE,"M4";"M5Print",#N/A,TRUE,"M5";"M6Print",#N/A,TRUE,"M6";"M6_1Print",#N/A,TRUE,"M6_1";"M6_2Print",#N/A,TRUE,"M6_2";"M7_1Print",#N/A,TRUE,"M7_1";"M7_2Print",#N/A,TRUE,"M7_2"}</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9">
    <numFmt numFmtId="164" formatCode="#,##0;\(#,##0\);0"/>
    <numFmt numFmtId="165" formatCode="#,##0;\(#,##0\);\-#,##0"/>
    <numFmt numFmtId="166" formatCode="_(* #,##0_);_(* \(#,##0\);_(* &quot;-&quot;??_);_(@_)"/>
    <numFmt numFmtId="167" formatCode="_(\¥* #,##0.00_);_(\¥* \(#,##0.00\);_(\¥* &quot;-&quot;??_);_(@_)"/>
    <numFmt numFmtId="168" formatCode="_ * #,##0.00_ ;_ * \-#,##0.00_ ;_ * &quot;-&quot;??_ ;_ @_ "/>
    <numFmt numFmtId="169" formatCode="0_);\(0\)"/>
    <numFmt numFmtId="170" formatCode="0.0%"/>
    <numFmt numFmtId="171" formatCode="_([$€-2]* #,##0.00000_);_([$€-2]* \(#,##0.00000\);_([$€-2]* &quot;-&quot;??_)"/>
    <numFmt numFmtId="172" formatCode="yyyy/mm/dd"/>
  </numFmts>
  <fonts count="88">
    <font>
      <name val="等线"/>
      <charset val="134"/>
      <color theme="1"/>
      <sz val="11"/>
      <scheme val="minor"/>
    </font>
    <font>
      <name val="等线"/>
      <charset val="134"/>
      <family val="2"/>
      <color theme="1"/>
      <sz val="11"/>
      <scheme val="minor"/>
    </font>
    <font>
      <name val="Arial"/>
      <family val="2"/>
      <color rgb="FF000000"/>
      <sz val="10"/>
    </font>
    <font>
      <name val="Arial"/>
      <family val="2"/>
      <sz val="10"/>
    </font>
    <font>
      <name val="Arial"/>
      <family val="2"/>
      <color rgb="FFFF0000"/>
      <sz val="10"/>
      <u val="single"/>
    </font>
    <font>
      <name val="Arial"/>
      <family val="2"/>
      <color theme="1"/>
      <sz val="10"/>
    </font>
    <font>
      <name val="Arial"/>
      <family val="2"/>
      <b val="1"/>
      <color rgb="FFFF0000"/>
      <sz val="10"/>
    </font>
    <font>
      <name val="Arial"/>
      <family val="2"/>
      <b val="1"/>
      <color indexed="10"/>
      <sz val="10"/>
    </font>
    <font>
      <name val="Arial"/>
      <family val="2"/>
      <b val="1"/>
      <sz val="10"/>
    </font>
    <font>
      <name val="Arial"/>
      <family val="2"/>
      <b val="1"/>
      <color theme="1"/>
      <sz val="10"/>
    </font>
    <font>
      <name val="Arial"/>
      <family val="2"/>
      <b val="1"/>
      <color rgb="FF000000"/>
      <sz val="10"/>
    </font>
    <font>
      <name val="Arial"/>
      <family val="2"/>
      <color rgb="FFFF0000"/>
      <sz val="10"/>
    </font>
    <font>
      <name val="Arial"/>
      <family val="2"/>
      <b val="1"/>
      <color indexed="10"/>
      <sz val="10"/>
      <u val="single"/>
    </font>
    <font>
      <name val="Arial"/>
      <family val="2"/>
      <color theme="10"/>
      <sz val="10"/>
      <u val="single"/>
    </font>
    <font>
      <name val="Arial"/>
      <family val="2"/>
      <b val="1"/>
      <color rgb="FF0000FF"/>
      <sz val="10"/>
    </font>
    <font>
      <name val="等线"/>
      <charset val="134"/>
      <family val="3"/>
      <color theme="10"/>
      <sz val="11"/>
      <u val="single"/>
      <scheme val="minor"/>
    </font>
    <font>
      <name val="宋体"/>
      <charset val="134"/>
      <family val="3"/>
      <sz val="12"/>
    </font>
    <font>
      <name val="等线"/>
      <charset val="134"/>
      <family val="3"/>
      <b val="1"/>
      <color theme="0"/>
      <sz val="11"/>
      <scheme val="minor"/>
    </font>
    <font>
      <name val="Calibri"/>
      <family val="2"/>
      <color rgb="FF000000"/>
      <sz val="11"/>
    </font>
    <font>
      <name val="等线"/>
      <charset val="134"/>
      <family val="3"/>
      <color rgb="FF006100"/>
      <sz val="11"/>
      <scheme val="minor"/>
    </font>
    <font>
      <name val="EYInterstate Light"/>
      <sz val="8"/>
    </font>
    <font>
      <name val="宋体"/>
      <charset val="134"/>
      <family val="3"/>
      <sz val="10"/>
    </font>
    <font>
      <name val="Arial"/>
      <family val="2"/>
      <strike val="1"/>
      <sz val="10"/>
    </font>
    <font>
      <name val="等线"/>
      <charset val="134"/>
      <family val="3"/>
      <sz val="10"/>
      <scheme val="minor"/>
    </font>
    <font>
      <name val="Calibri"/>
      <family val="2"/>
      <color indexed="8"/>
      <sz val="11"/>
    </font>
    <font>
      <name val="楷体"/>
      <charset val="134"/>
      <family val="3"/>
      <sz val="12"/>
    </font>
    <font>
      <name val="微软雅黑"/>
      <charset val="134"/>
      <family val="2"/>
      <color rgb="FFFF0000"/>
      <sz val="10"/>
      <u val="single"/>
    </font>
    <font>
      <name val="微软雅黑"/>
      <charset val="134"/>
      <family val="2"/>
      <color rgb="FF000000"/>
      <sz val="10"/>
    </font>
    <font>
      <name val="微软雅黑"/>
      <charset val="134"/>
      <family val="2"/>
      <color theme="1"/>
      <sz val="10"/>
    </font>
    <font>
      <name val="微软雅黑"/>
      <charset val="134"/>
      <family val="2"/>
      <sz val="10"/>
    </font>
    <font>
      <name val="微软雅黑"/>
      <charset val="134"/>
      <family val="2"/>
      <b val="1"/>
      <color rgb="FFFF0000"/>
      <sz val="10"/>
    </font>
    <font>
      <name val="微软雅黑"/>
      <charset val="134"/>
      <family val="2"/>
      <b val="1"/>
      <sz val="10"/>
    </font>
    <font>
      <name val="微软雅黑"/>
      <charset val="134"/>
      <family val="2"/>
      <b val="1"/>
      <color rgb="FF000000"/>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微软雅黑"/>
      <charset val="134"/>
      <family val="2"/>
      <b val="1"/>
      <color rgb="FFFF0000"/>
      <sz val="14"/>
    </font>
    <font>
      <name val="Arial"/>
      <family val="2"/>
      <b val="1"/>
      <color rgb="FFFF0000"/>
      <sz val="14"/>
    </font>
    <font>
      <name val="宋体"/>
      <charset val="134"/>
      <family val="3"/>
      <color indexed="12"/>
      <sz val="10"/>
      <u val="single"/>
    </font>
    <font>
      <name val="等线"/>
      <charset val="134"/>
      <family val="2"/>
      <sz val="9"/>
      <scheme val="minor"/>
    </font>
    <font>
      <name val="Arial"/>
      <family val="2"/>
      <color theme="4" tint="-0.249977111117893"/>
      <sz val="10"/>
    </font>
    <font>
      <name val="Arial"/>
      <family val="2"/>
      <b val="1"/>
      <color theme="1"/>
      <sz val="14"/>
    </font>
    <font>
      <name val="微软雅黑"/>
      <charset val="134"/>
      <family val="2"/>
      <b val="1"/>
      <color theme="1"/>
      <sz val="14"/>
    </font>
    <font>
      <name val="Arial"/>
      <family val="2"/>
      <b val="1"/>
      <sz val="14"/>
    </font>
    <font>
      <name val="微软雅黑"/>
      <charset val="134"/>
      <family val="2"/>
      <b val="1"/>
      <sz val="14"/>
    </font>
    <font>
      <name val="微软雅黑"/>
      <charset val="134"/>
      <family val="2"/>
      <b val="1"/>
      <sz val="14"/>
      <u val="single"/>
    </font>
    <font>
      <name val="微软雅黑"/>
      <charset val="134"/>
      <family val="2"/>
      <color theme="1"/>
      <sz val="14"/>
    </font>
    <font>
      <name val="Arial"/>
      <family val="2"/>
      <b val="1"/>
      <sz val="14"/>
      <u val="single"/>
    </font>
    <font>
      <name val="Arial"/>
      <family val="2"/>
      <color theme="1"/>
      <sz val="14"/>
    </font>
    <font>
      <name val="Arial"/>
      <family val="2"/>
      <sz val="14"/>
    </font>
    <font>
      <name val="微软雅黑"/>
      <charset val="134"/>
      <family val="2"/>
      <i val="1"/>
      <sz val="10"/>
    </font>
    <font>
      <name val="微软雅黑"/>
      <charset val="134"/>
      <family val="2"/>
      <b val="1"/>
      <color indexed="8"/>
      <sz val="14"/>
      <u val="single"/>
    </font>
    <font>
      <name val="Arial"/>
      <family val="2"/>
      <b val="1"/>
      <color indexed="8"/>
      <sz val="14"/>
      <u val="single"/>
    </font>
    <font>
      <name val="Arial"/>
      <family val="2"/>
      <color rgb="FF000000"/>
      <sz val="14"/>
    </font>
    <font>
      <name val="微软雅黑"/>
      <charset val="134"/>
      <family val="2"/>
      <color rgb="FF000000"/>
      <sz val="14"/>
    </font>
    <font>
      <name val="Arial"/>
      <family val="2"/>
      <color theme="0"/>
      <sz val="10"/>
    </font>
    <font>
      <name val="微软雅黑"/>
      <charset val="134"/>
      <family val="2"/>
      <color theme="0"/>
      <sz val="10"/>
    </font>
    <font>
      <name val="Arial"/>
      <family val="2"/>
      <b val="1"/>
      <color rgb="FFFFFFFF"/>
      <sz val="10"/>
    </font>
    <font>
      <name val="微软雅黑"/>
      <charset val="134"/>
      <family val="2"/>
      <sz val="14"/>
    </font>
    <font>
      <name val="Arial"/>
      <family val="2"/>
      <color theme="1"/>
      <sz val="11"/>
    </font>
    <font>
      <name val="Arial"/>
      <family val="2"/>
      <i val="1"/>
      <sz val="10"/>
    </font>
    <font>
      <name val="微软雅黑"/>
      <charset val="134"/>
      <family val="2"/>
      <b val="1"/>
      <color theme="1"/>
      <sz val="10"/>
    </font>
    <font>
      <name val="等线"/>
      <family val="2"/>
      <color theme="1"/>
      <sz val="11"/>
      <scheme val="minor"/>
    </font>
    <font>
      <name val="等线"/>
      <family val="2"/>
      <sz val="8"/>
      <scheme val="minor"/>
    </font>
    <font>
      <name val="Arial"/>
      <family val="2"/>
      <b val="1"/>
      <strike val="1"/>
      <color rgb="FF0000FF"/>
      <sz val="10"/>
    </font>
    <font>
      <name val="Arial"/>
      <family val="2"/>
      <b val="1"/>
      <color rgb="FFFF0000"/>
      <sz val="10"/>
      <u val="single"/>
    </font>
    <font>
      <name val="微软雅黑"/>
      <family val="2"/>
      <sz val="10"/>
    </font>
    <font>
      <name val="Arial"/>
      <family val="2"/>
      <b val="1"/>
      <i val="1"/>
      <color rgb="FFFF0000"/>
      <sz val="10"/>
    </font>
    <font>
      <name val="微软雅黑"/>
      <charset val="134"/>
      <family val="2"/>
      <b val="1"/>
      <color rgb="FFFFFFFF"/>
      <sz val="10"/>
    </font>
    <font>
      <name val="微软雅黑"/>
      <charset val="134"/>
      <family val="2"/>
      <b val="1"/>
      <i val="1"/>
      <color rgb="FFFF0000"/>
      <sz val="10"/>
    </font>
    <font>
      <name val="微软雅黑"/>
      <charset val="134"/>
      <family val="2"/>
      <b val="1"/>
      <i val="1"/>
      <sz val="10"/>
    </font>
    <font>
      <name val="Arial"/>
      <family val="2"/>
      <color indexed="10"/>
      <sz val="10"/>
    </font>
    <font>
      <name val="Arial"/>
      <family val="2"/>
      <b val="1"/>
      <color theme="1"/>
      <sz val="11"/>
    </font>
    <font>
      <name val="Arial"/>
      <family val="2"/>
      <b val="1"/>
      <color indexed="8"/>
      <sz val="10"/>
    </font>
    <font>
      <name val="微软雅黑"/>
      <charset val="134"/>
      <family val="2"/>
      <color rgb="FFFFFFFF"/>
      <sz val="10"/>
    </font>
    <font>
      <name val="微软雅黑"/>
      <charset val="134"/>
      <family val="2"/>
      <b val="1"/>
      <i val="1"/>
      <color rgb="FFFFFFFF"/>
      <sz val="10"/>
    </font>
    <font>
      <name val="微软雅黑"/>
      <charset val="134"/>
      <family val="2"/>
      <b val="1"/>
      <i val="1"/>
      <color rgb="FF000000"/>
      <sz val="10"/>
    </font>
    <font>
      <name val="微软雅黑"/>
      <charset val="134"/>
      <family val="2"/>
      <b val="1"/>
      <color indexed="8"/>
      <sz val="10"/>
    </font>
    <font>
      <name val="Arial"/>
      <family val="2"/>
      <b val="1"/>
      <color rgb="FFFF0000"/>
      <sz val="10"/>
      <vertAlign val="superscript"/>
    </font>
    <font>
      <name val="Arial"/>
      <family val="2"/>
      <b val="1"/>
      <i val="1"/>
      <color rgb="FFFF0000"/>
      <sz val="9"/>
    </font>
    <font>
      <name val="微软雅黑"/>
      <charset val="134"/>
      <family val="2"/>
      <b val="1"/>
      <i val="1"/>
      <color rgb="FFFF0000"/>
      <sz val="9"/>
    </font>
    <font>
      <name val="Arial"/>
      <charset val="134"/>
      <family val="2"/>
      <b val="1"/>
      <color theme="10"/>
      <sz val="10"/>
      <u val="single"/>
    </font>
    <font>
      <name val="微软雅黑"/>
      <charset val="134"/>
      <family val="2"/>
      <b val="1"/>
      <color theme="10"/>
      <sz val="10"/>
      <u val="single"/>
    </font>
    <font>
      <name val="Arial"/>
      <family val="2"/>
      <b val="1"/>
      <color theme="10"/>
      <sz val="10"/>
      <u val="single"/>
    </font>
    <font>
      <name val="等线"/>
      <charset val="134"/>
      <family val="2"/>
      <color rgb="FF000000"/>
      <sz val="10"/>
    </font>
    <font>
      <name val="微软雅黑"/>
      <family val="2"/>
      <b val="1"/>
      <color rgb="FF000000"/>
      <sz val="10"/>
    </font>
    <font>
      <name val="微软雅黑"/>
      <family val="2"/>
      <b val="1"/>
      <color rgb="FFFF0000"/>
      <sz val="10"/>
    </font>
    <font>
      <name val="Arial"/>
      <family val="2"/>
      <b val="1"/>
      <color rgb="FFFF0000"/>
      <sz val="16"/>
    </font>
  </fonts>
  <fills count="15">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rgb="FFFFFFFF"/>
        <bgColor indexed="64"/>
      </patternFill>
    </fill>
    <fill>
      <patternFill patternType="solid">
        <fgColor theme="0" tint="-0.3499862666707358"/>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4"/>
        <bgColor indexed="64"/>
      </patternFill>
    </fill>
    <fill>
      <patternFill patternType="solid">
        <fgColor theme="6"/>
        <bgColor indexed="64"/>
      </patternFill>
    </fill>
    <fill>
      <patternFill patternType="solid">
        <fgColor rgb="FFFFFFFF"/>
        <bgColor rgb="FF000000"/>
      </patternFill>
    </fill>
    <fill>
      <patternFill patternType="solid">
        <fgColor rgb="FFA6A6A6"/>
        <bgColor rgb="FF000000"/>
      </patternFill>
    </fill>
    <fill>
      <patternFill patternType="solid">
        <fgColor theme="0" tint="-0.0499893185216834"/>
        <bgColor indexed="64"/>
      </patternFill>
    </fill>
    <fill>
      <patternFill patternType="solid">
        <fgColor theme="0" tint="-0.3499862666707358"/>
        <bgColor rgb="FF000000"/>
      </patternFill>
    </fill>
    <fill>
      <patternFill patternType="solid">
        <fgColor rgb="FF333399"/>
        <bgColor rgb="FF000000"/>
      </patternFill>
    </fill>
  </fills>
  <borders count="134">
    <border>
      <left/>
      <right/>
      <top/>
      <bottom/>
      <diagonal/>
    </border>
    <border>
      <left/>
      <right/>
      <top style="thin">
        <color auto="1"/>
      </top>
      <bottom/>
      <diagonal/>
    </border>
    <border>
      <left style="thin">
        <color auto="1"/>
      </left>
      <right/>
      <top/>
      <bottom/>
      <diagonal/>
    </border>
    <border>
      <left/>
      <right/>
      <top/>
      <bottom style="thin">
        <color auto="1"/>
      </bottom>
      <diagonal/>
    </border>
    <border>
      <left/>
      <right/>
      <top/>
      <bottom style="medium">
        <color auto="1"/>
      </bottom>
      <diagonal/>
    </border>
    <border>
      <left style="medium">
        <color auto="1"/>
      </left>
      <right/>
      <top/>
      <bottom/>
      <diagonal/>
    </border>
    <border>
      <left style="medium">
        <color auto="1"/>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top style="thin">
        <color auto="1"/>
      </top>
      <bottom style="thin">
        <color auto="1"/>
      </bottom>
      <diagonal/>
    </border>
    <border>
      <left/>
      <right/>
      <top style="thin">
        <color auto="1"/>
      </top>
      <bottom style="double">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thin">
        <color auto="1"/>
      </top>
      <bottom style="medium">
        <color auto="1"/>
      </bottom>
      <diagonal/>
    </border>
    <border>
      <left style="double">
        <color rgb="FF3F3F3F"/>
      </left>
      <right style="double">
        <color rgb="FF3F3F3F"/>
      </right>
      <top style="double">
        <color rgb="FF3F3F3F"/>
      </top>
      <bottom style="double">
        <color rgb="FF3F3F3F"/>
      </bottom>
      <diagonal/>
    </border>
    <border>
      <left style="thin">
        <color auto="1"/>
      </left>
      <right/>
      <top/>
      <bottom style="medium">
        <color indexed="64"/>
      </bottom>
      <diagonal/>
    </border>
    <border>
      <left style="medium">
        <color auto="1"/>
      </left>
      <right/>
      <top style="thin">
        <color auto="1"/>
      </top>
      <bottom/>
      <diagonal/>
    </border>
    <border>
      <left/>
      <right style="medium">
        <color auto="1"/>
      </right>
      <top style="thin">
        <color auto="1"/>
      </top>
      <bottom/>
      <diagonal/>
    </border>
    <border>
      <left style="medium">
        <color rgb="FF000000"/>
      </left>
      <right/>
      <top style="medium">
        <color rgb="FF000000"/>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top style="thin">
        <color auto="1"/>
      </top>
      <bottom/>
      <diagonal/>
    </border>
    <border>
      <left/>
      <right style="medium">
        <color rgb="FF000000"/>
      </right>
      <top style="thin">
        <color auto="1"/>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auto="1"/>
      </top>
      <bottom style="thin">
        <color auto="1"/>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top style="medium">
        <color indexed="64"/>
      </top>
      <bottom style="thin">
        <color auto="1"/>
      </bottom>
      <diagonal/>
    </border>
    <border>
      <left style="thin">
        <color auto="1"/>
      </left>
      <right/>
      <top/>
      <bottom style="thin">
        <color auto="1"/>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indexed="64"/>
      </right>
      <top style="medium">
        <color indexed="64"/>
      </top>
      <bottom style="thin">
        <color auto="1"/>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top style="medium">
        <color indexed="64"/>
      </top>
      <bottom/>
      <diagonal/>
    </border>
    <border>
      <left/>
      <right style="medium">
        <color indexed="64"/>
      </right>
      <top/>
      <bottom style="thin">
        <color auto="1"/>
      </bottom>
      <diagonal/>
    </border>
    <border>
      <left/>
      <right style="thin">
        <color indexed="64"/>
      </right>
      <top style="thin">
        <color indexed="64"/>
      </top>
      <bottom style="medium">
        <color indexed="64"/>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right style="thin">
        <color rgb="FF000000"/>
      </right>
      <top style="medium">
        <color indexed="64"/>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auto="1"/>
      </left>
      <right style="thin">
        <color auto="1"/>
      </right>
      <top/>
      <bottom style="thin">
        <color rgb="FF000000"/>
      </bottom>
      <diagonal/>
    </border>
    <border>
      <left style="thin">
        <color auto="1"/>
      </left>
      <right style="thin">
        <color rgb="FF000000"/>
      </right>
      <top style="thin">
        <color rgb="FF000000"/>
      </top>
      <bottom/>
      <diagonal/>
    </border>
    <border>
      <left style="thin">
        <color auto="1"/>
      </left>
      <right style="thin">
        <color rgb="FF000000"/>
      </right>
      <top/>
      <bottom style="thin">
        <color auto="1"/>
      </bottom>
      <diagonal/>
    </border>
    <border>
      <left/>
      <right style="medium">
        <color indexed="64"/>
      </right>
      <top style="thin">
        <color auto="1"/>
      </top>
      <bottom style="thin">
        <color auto="1"/>
      </bottom>
      <diagonal/>
    </border>
    <border>
      <left style="medium">
        <color indexed="64"/>
      </left>
      <right style="thin">
        <color rgb="FF000000"/>
      </right>
      <top style="thin">
        <color rgb="FF000000"/>
      </top>
      <bottom style="medium">
        <color indexed="64"/>
      </bottom>
      <diagonal/>
    </border>
    <border>
      <left style="thin">
        <color rgb="FF000000"/>
      </left>
      <right/>
      <top style="thin">
        <color indexed="64"/>
      </top>
      <bottom style="medium">
        <color indexed="64"/>
      </bottom>
      <diagonal/>
    </border>
    <border>
      <left style="thin">
        <color auto="1"/>
      </left>
      <right style="medium">
        <color auto="1"/>
      </right>
      <top/>
      <bottom style="thin">
        <color auto="1"/>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style="thin">
        <color auto="1"/>
      </right>
      <top/>
      <bottom style="medium">
        <color auto="1"/>
      </bottom>
      <diagonal/>
    </border>
    <border>
      <left style="medium">
        <color auto="1"/>
      </left>
      <right style="thin">
        <color auto="1"/>
      </right>
      <top style="thin">
        <color auto="1"/>
      </top>
      <bottom/>
      <diagonal/>
    </border>
    <border>
      <left style="thin">
        <color auto="1"/>
      </left>
      <right style="medium">
        <color indexed="64"/>
      </right>
      <top style="medium">
        <color indexed="64"/>
      </top>
      <bottom/>
      <diagonal/>
    </border>
    <border>
      <left style="thin">
        <color auto="1"/>
      </left>
      <right style="medium">
        <color indexed="64"/>
      </right>
      <top style="thin">
        <color auto="1"/>
      </top>
      <bottom/>
      <diagonal/>
    </border>
    <border>
      <left style="thin">
        <color indexed="64"/>
      </left>
      <right style="medium">
        <color indexed="64"/>
      </right>
      <top/>
      <bottom/>
      <diagonal/>
    </border>
    <border>
      <left style="thin">
        <color auto="1"/>
      </left>
      <right style="medium">
        <color indexed="64"/>
      </right>
      <top/>
      <bottom style="medium">
        <color indexed="64"/>
      </bottom>
      <diagonal/>
    </border>
    <border>
      <left style="medium">
        <color indexed="64"/>
      </left>
      <right/>
      <top style="thin">
        <color auto="1"/>
      </top>
      <bottom style="thin">
        <color auto="1"/>
      </bottom>
      <diagonal/>
    </border>
    <border>
      <left style="medium">
        <color rgb="FF000000"/>
      </left>
      <right style="thin">
        <color auto="1"/>
      </right>
      <top style="medium">
        <color rgb="FF000000"/>
      </top>
      <bottom/>
      <diagonal/>
    </border>
    <border>
      <left style="thin">
        <color auto="1"/>
      </left>
      <right style="thin">
        <color auto="1"/>
      </right>
      <top style="medium">
        <color rgb="FF000000"/>
      </top>
      <bottom/>
      <diagonal/>
    </border>
    <border>
      <left style="thin">
        <color indexed="64"/>
      </left>
      <right/>
      <top style="medium">
        <color rgb="FF000000"/>
      </top>
      <bottom/>
      <diagonal/>
    </border>
    <border>
      <left style="thin">
        <color auto="1"/>
      </left>
      <right style="medium">
        <color rgb="FF000000"/>
      </right>
      <top style="medium">
        <color rgb="FF000000"/>
      </top>
      <bottom/>
      <diagonal/>
    </border>
    <border>
      <left style="medium">
        <color rgb="FF000000"/>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right style="thin">
        <color indexed="64"/>
      </right>
      <top style="thin">
        <color indexed="64"/>
      </top>
      <bottom style="medium">
        <color rgb="FF000000"/>
      </bottom>
      <diagonal/>
    </border>
    <border>
      <left style="thin">
        <color auto="1"/>
      </left>
      <right style="medium">
        <color rgb="FF000000"/>
      </right>
      <top style="thin">
        <color auto="1"/>
      </top>
      <bottom style="medium">
        <color rgb="FF000000"/>
      </bottom>
      <diagonal/>
    </border>
    <border>
      <left style="thin">
        <color auto="1"/>
      </left>
      <right style="thin">
        <color auto="1"/>
      </right>
      <top/>
      <bottom/>
      <diagonal/>
    </border>
    <border>
      <left style="thin">
        <color auto="1"/>
      </left>
      <right style="medium">
        <color auto="1"/>
      </right>
      <top/>
      <bottom style="medium">
        <color indexed="64"/>
      </bottom>
      <diagonal/>
    </border>
    <border>
      <left/>
      <right/>
      <top/>
      <bottom style="medium">
        <color indexed="64"/>
      </bottom>
      <diagonal/>
    </border>
    <border>
      <left/>
      <right style="medium">
        <color auto="1"/>
      </right>
      <top/>
      <bottom style="medium">
        <color indexed="64"/>
      </bottom>
      <diagonal/>
    </border>
    <border>
      <left style="medium">
        <color auto="1"/>
      </left>
      <right style="medium">
        <color auto="1"/>
      </right>
      <top style="medium">
        <color auto="1"/>
      </top>
      <bottom style="thin">
        <color auto="1"/>
      </bottom>
      <diagonal/>
    </border>
    <border>
      <left/>
      <right style="thin">
        <color auto="1"/>
      </right>
      <top style="medium">
        <color auto="1"/>
      </top>
      <bottom/>
      <diagonal/>
    </border>
    <border>
      <left style="thin">
        <color auto="1"/>
      </left>
      <right style="medium">
        <color auto="1"/>
      </right>
      <top/>
      <bottom/>
      <diagonal/>
    </border>
    <border>
      <left style="medium">
        <color auto="1"/>
      </left>
      <right style="thin">
        <color auto="1"/>
      </right>
      <top/>
      <bottom/>
      <diagonal/>
    </border>
    <border>
      <left style="medium">
        <color auto="1"/>
      </left>
      <right style="medium">
        <color auto="1"/>
      </right>
      <top style="medium">
        <color auto="1"/>
      </top>
      <bottom style="medium">
        <color auto="1"/>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rgb="FF000000"/>
      </bottom>
      <diagonal/>
    </border>
    <border>
      <left style="medium">
        <color indexed="64"/>
      </left>
      <right/>
      <top/>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indexed="64"/>
      </right>
      <top/>
      <bottom/>
      <diagonal/>
    </border>
    <border>
      <left style="thin">
        <color rgb="FF000000"/>
      </left>
      <right style="medium">
        <color indexed="64"/>
      </right>
      <top/>
      <bottom style="thin">
        <color rgb="FF000000"/>
      </bottom>
      <diagonal/>
    </border>
    <border>
      <left style="thin">
        <color auto="1"/>
      </left>
      <right style="thin">
        <color rgb="FF000000"/>
      </right>
      <top style="thin">
        <color rgb="FF000000"/>
      </top>
      <bottom style="thin">
        <color auto="1"/>
      </bottom>
      <diagonal/>
    </border>
    <border>
      <left style="thin">
        <color auto="1"/>
      </left>
      <right style="thin">
        <color rgb="FF000000"/>
      </right>
      <top/>
      <bottom/>
      <diagonal/>
    </border>
    <border>
      <left/>
      <right style="thin">
        <color auto="1"/>
      </right>
      <top style="medium">
        <color auto="1"/>
      </top>
      <bottom style="thin">
        <color auto="1"/>
      </bottom>
      <diagonal/>
    </border>
    <border>
      <left style="thin">
        <color indexed="64"/>
      </left>
      <right style="thin">
        <color rgb="FF000000"/>
      </right>
      <top style="medium">
        <color indexed="64"/>
      </top>
      <bottom/>
      <diagonal/>
    </border>
    <border>
      <left/>
      <right/>
      <top style="medium">
        <color indexed="64"/>
      </top>
      <bottom/>
      <diagonal/>
    </border>
    <border>
      <left style="thin">
        <color auto="1"/>
      </left>
      <right style="thin">
        <color auto="1"/>
      </right>
      <top style="thin">
        <color auto="1"/>
      </top>
      <bottom style="thin">
        <color rgb="FF000000"/>
      </bottom>
      <diagonal/>
    </border>
    <border>
      <left/>
      <right style="medium">
        <color auto="1"/>
      </right>
      <top/>
      <bottom style="thin">
        <color auto="1"/>
      </bottom>
      <diagonal/>
    </border>
    <border>
      <left style="medium">
        <color auto="1"/>
      </left>
      <right style="thin">
        <color indexed="64"/>
      </right>
      <top style="medium">
        <color auto="1"/>
      </top>
      <bottom style="thin">
        <color auto="1"/>
      </bottom>
      <diagonal/>
    </border>
    <border>
      <left/>
      <right style="thin">
        <color indexed="64"/>
      </right>
      <top style="medium">
        <color auto="1"/>
      </top>
      <bottom/>
      <diagonal/>
    </border>
    <border>
      <left/>
      <right style="thin">
        <color indexed="64"/>
      </right>
      <top style="medium">
        <color auto="1"/>
      </top>
      <bottom style="thin">
        <color auto="1"/>
      </bottom>
      <diagonal/>
    </border>
  </borders>
  <cellStyleXfs count="177">
    <xf numFmtId="0" fontId="0" fillId="0" borderId="0" applyAlignment="1">
      <alignment vertical="center"/>
    </xf>
    <xf numFmtId="167" fontId="33" fillId="0" borderId="0"/>
    <xf numFmtId="0" fontId="33" fillId="0" borderId="0"/>
    <xf numFmtId="43" fontId="33" fillId="0" borderId="0"/>
    <xf numFmtId="0" fontId="15" fillId="0" borderId="0"/>
    <xf numFmtId="41" fontId="16" fillId="0" borderId="0"/>
    <xf numFmtId="0" fontId="17" fillId="6" borderId="31"/>
    <xf numFmtId="9" fontId="33" fillId="0" borderId="0"/>
    <xf numFmtId="41" fontId="33" fillId="0" borderId="0"/>
    <xf numFmtId="41" fontId="33" fillId="0" borderId="0"/>
    <xf numFmtId="41" fontId="33" fillId="0" borderId="0"/>
    <xf numFmtId="41" fontId="33" fillId="0" borderId="0"/>
    <xf numFmtId="41" fontId="33" fillId="0" borderId="0"/>
    <xf numFmtId="41" fontId="33" fillId="0" borderId="0"/>
    <xf numFmtId="0" fontId="33" fillId="0" borderId="0"/>
    <xf numFmtId="0" fontId="33" fillId="0" borderId="0"/>
    <xf numFmtId="41" fontId="16" fillId="0" borderId="0"/>
    <xf numFmtId="0" fontId="15" fillId="0" borderId="0"/>
    <xf numFmtId="0" fontId="15" fillId="0" borderId="0"/>
    <xf numFmtId="4" fontId="33" fillId="0" borderId="18" applyAlignment="1">
      <alignment horizontal="right"/>
    </xf>
    <xf numFmtId="0" fontId="33" fillId="0" borderId="0"/>
    <xf numFmtId="0" fontId="17" fillId="6" borderId="31"/>
    <xf numFmtId="43" fontId="33" fillId="0" borderId="0"/>
    <xf numFmtId="41" fontId="33" fillId="0" borderId="0"/>
    <xf numFmtId="41" fontId="33" fillId="0" borderId="0"/>
    <xf numFmtId="41" fontId="33" fillId="0" borderId="0"/>
    <xf numFmtId="0" fontId="33" fillId="0" borderId="0"/>
    <xf numFmtId="43" fontId="33" fillId="0" borderId="0"/>
    <xf numFmtId="43" fontId="33" fillId="0" borderId="0"/>
    <xf numFmtId="41" fontId="33" fillId="0" borderId="0"/>
    <xf numFmtId="43" fontId="33" fillId="0" borderId="0"/>
    <xf numFmtId="41" fontId="33" fillId="0" borderId="0"/>
    <xf numFmtId="43" fontId="3" fillId="0" borderId="0"/>
    <xf numFmtId="43" fontId="18" fillId="0" borderId="0"/>
    <xf numFmtId="43" fontId="33" fillId="0" borderId="0"/>
    <xf numFmtId="43" fontId="33" fillId="0" borderId="0"/>
    <xf numFmtId="43" fontId="16" fillId="0" borderId="0"/>
    <xf numFmtId="0" fontId="33" fillId="0" borderId="18"/>
    <xf numFmtId="0" fontId="33" fillId="0" borderId="18"/>
    <xf numFmtId="0" fontId="19" fillId="7" borderId="0"/>
    <xf numFmtId="0" fontId="19" fillId="7" borderId="0"/>
    <xf numFmtId="0" fontId="15" fillId="0" borderId="0"/>
    <xf numFmtId="0" fontId="15" fillId="0" borderId="0"/>
    <xf numFmtId="0" fontId="33" fillId="0" borderId="0"/>
    <xf numFmtId="0" fontId="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Protection="1">
      <protection locked="0" hidden="0"/>
    </xf>
    <xf numFmtId="0" fontId="33" fillId="0" borderId="0" applyProtection="1">
      <protection locked="0" hidden="0"/>
    </xf>
    <xf numFmtId="0" fontId="33" fillId="0" borderId="0"/>
    <xf numFmtId="0" fontId="33" fillId="0" borderId="0"/>
    <xf numFmtId="0" fontId="3" fillId="0" borderId="0"/>
    <xf numFmtId="0" fontId="20" fillId="0" borderId="0" applyAlignment="1">
      <alignment vertical="center"/>
    </xf>
    <xf numFmtId="0" fontId="20" fillId="0" borderId="0" applyAlignment="1">
      <alignment vertical="center"/>
    </xf>
    <xf numFmtId="0" fontId="20" fillId="0" borderId="0" applyAlignment="1">
      <alignment vertical="center"/>
    </xf>
    <xf numFmtId="0" fontId="18"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5" fillId="0" borderId="0"/>
    <xf numFmtId="0" fontId="16" fillId="0" borderId="0"/>
    <xf numFmtId="0" fontId="33" fillId="0" borderId="0"/>
    <xf numFmtId="0" fontId="33" fillId="0" borderId="0"/>
    <xf numFmtId="0" fontId="21" fillId="0" borderId="0"/>
    <xf numFmtId="0" fontId="33" fillId="0" borderId="0" applyAlignment="1">
      <alignment vertical="center"/>
    </xf>
    <xf numFmtId="9" fontId="16" fillId="0" borderId="0"/>
    <xf numFmtId="0" fontId="22" fillId="0" borderId="0"/>
    <xf numFmtId="170" fontId="33" fillId="0" borderId="0"/>
    <xf numFmtId="170" fontId="33" fillId="0" borderId="0"/>
    <xf numFmtId="9" fontId="33" fillId="0" borderId="0"/>
    <xf numFmtId="9" fontId="33" fillId="0" borderId="0"/>
    <xf numFmtId="9" fontId="3" fillId="0" borderId="0"/>
    <xf numFmtId="9" fontId="33" fillId="0" borderId="0"/>
    <xf numFmtId="9" fontId="33" fillId="0" borderId="0"/>
    <xf numFmtId="171" fontId="21" fillId="0" borderId="0"/>
    <xf numFmtId="171" fontId="23" fillId="0" borderId="0"/>
    <xf numFmtId="171" fontId="23" fillId="0" borderId="0"/>
    <xf numFmtId="0" fontId="3" fillId="0" borderId="0" applyProtection="1">
      <protection locked="0" hidden="0"/>
    </xf>
    <xf numFmtId="0" fontId="24" fillId="0" borderId="0" applyProtection="1">
      <protection locked="0" hidden="0"/>
    </xf>
    <xf numFmtId="0" fontId="33" fillId="0" borderId="0"/>
    <xf numFmtId="0" fontId="24" fillId="0" borderId="0" applyProtection="1">
      <protection locked="0" hidden="0"/>
    </xf>
    <xf numFmtId="0" fontId="24" fillId="0" borderId="0" applyProtection="1">
      <protection locked="0" hidden="0"/>
    </xf>
    <xf numFmtId="0" fontId="16" fillId="0" borderId="0"/>
    <xf numFmtId="0" fontId="24" fillId="0" borderId="0" applyProtection="1">
      <protection locked="0" hidden="0"/>
    </xf>
    <xf numFmtId="0" fontId="3" fillId="0" borderId="0" applyProtection="1">
      <protection locked="0" hidden="0"/>
    </xf>
    <xf numFmtId="0" fontId="21" fillId="0" borderId="0"/>
    <xf numFmtId="0" fontId="33" fillId="0" borderId="0"/>
    <xf numFmtId="0" fontId="33" fillId="0" borderId="0"/>
    <xf numFmtId="0" fontId="15" fillId="0" borderId="0"/>
    <xf numFmtId="0" fontId="25" fillId="0" borderId="0"/>
    <xf numFmtId="43" fontId="3" fillId="0" borderId="0"/>
    <xf numFmtId="43" fontId="3" fillId="0" borderId="0"/>
    <xf numFmtId="43" fontId="24" fillId="0" borderId="0"/>
    <xf numFmtId="43" fontId="33" fillId="0" borderId="0"/>
    <xf numFmtId="43" fontId="33" fillId="0" borderId="0"/>
    <xf numFmtId="43" fontId="16" fillId="0" borderId="0"/>
    <xf numFmtId="43" fontId="33" fillId="0" borderId="0"/>
    <xf numFmtId="43" fontId="35" fillId="0" borderId="0"/>
    <xf numFmtId="0" fontId="21" fillId="0" borderId="0"/>
    <xf numFmtId="0" fontId="21" fillId="0" borderId="0"/>
    <xf numFmtId="0" fontId="35" fillId="0" borderId="0" applyAlignment="1">
      <alignment vertical="center"/>
    </xf>
    <xf numFmtId="0" fontId="38" fillId="0" borderId="0" applyProtection="1">
      <protection locked="0" hidden="0"/>
    </xf>
    <xf numFmtId="0" fontId="35" fillId="0" borderId="0" applyAlignment="1">
      <alignment vertical="center"/>
    </xf>
    <xf numFmtId="43" fontId="33" fillId="0" borderId="0"/>
    <xf numFmtId="41" fontId="16" fillId="0" borderId="0"/>
    <xf numFmtId="41" fontId="33" fillId="0" borderId="0"/>
    <xf numFmtId="41" fontId="33" fillId="0" borderId="0"/>
    <xf numFmtId="41" fontId="33" fillId="0" borderId="0"/>
    <xf numFmtId="41" fontId="33" fillId="0" borderId="0"/>
    <xf numFmtId="41" fontId="33" fillId="0" borderId="0"/>
    <xf numFmtId="41" fontId="33" fillId="0" borderId="0"/>
    <xf numFmtId="41" fontId="16" fillId="0" borderId="0"/>
    <xf numFmtId="43" fontId="33" fillId="0" borderId="0"/>
    <xf numFmtId="41" fontId="33" fillId="0" borderId="0"/>
    <xf numFmtId="41" fontId="33" fillId="0" borderId="0"/>
    <xf numFmtId="41" fontId="33" fillId="0" borderId="0"/>
    <xf numFmtId="43" fontId="33" fillId="0" borderId="0"/>
    <xf numFmtId="43" fontId="33" fillId="0" borderId="0"/>
    <xf numFmtId="41" fontId="33" fillId="0" borderId="0"/>
    <xf numFmtId="43" fontId="33" fillId="0" borderId="0"/>
    <xf numFmtId="41" fontId="33" fillId="0" borderId="0"/>
    <xf numFmtId="43" fontId="3" fillId="0" borderId="0"/>
    <xf numFmtId="43" fontId="33" fillId="0" borderId="0"/>
    <xf numFmtId="43" fontId="33" fillId="0" borderId="0"/>
    <xf numFmtId="43" fontId="16" fillId="0" borderId="0"/>
    <xf numFmtId="43" fontId="3" fillId="0" borderId="0"/>
    <xf numFmtId="43" fontId="3" fillId="0" borderId="0"/>
    <xf numFmtId="43" fontId="24" fillId="0" borderId="0"/>
    <xf numFmtId="43" fontId="33" fillId="0" borderId="0"/>
    <xf numFmtId="43" fontId="33" fillId="0" borderId="0"/>
    <xf numFmtId="43" fontId="16" fillId="0" borderId="0"/>
    <xf numFmtId="43" fontId="33" fillId="0" borderId="0"/>
    <xf numFmtId="43" fontId="35" fillId="0" borderId="0"/>
    <xf numFmtId="0" fontId="33" fillId="0" borderId="0" applyAlignment="1">
      <alignment vertical="center"/>
    </xf>
    <xf numFmtId="0" fontId="33" fillId="0" borderId="0" applyAlignment="1">
      <alignment vertical="center"/>
    </xf>
    <xf numFmtId="0" fontId="33" fillId="0" borderId="0" applyAlignment="1">
      <alignment vertical="center"/>
    </xf>
    <xf numFmtId="0" fontId="33" fillId="0" borderId="0"/>
    <xf numFmtId="0" fontId="33" fillId="0" borderId="0"/>
    <xf numFmtId="0" fontId="35" fillId="0" borderId="0"/>
    <xf numFmtId="0" fontId="33" fillId="0" borderId="0"/>
    <xf numFmtId="0" fontId="33" fillId="0" borderId="0" applyAlignment="1">
      <alignment vertical="center"/>
    </xf>
    <xf numFmtId="0" fontId="35" fillId="0" borderId="0" applyAlignment="1">
      <alignment vertical="center"/>
    </xf>
    <xf numFmtId="0" fontId="33" fillId="0" borderId="0"/>
    <xf numFmtId="0" fontId="33" fillId="0" borderId="0" applyAlignment="1">
      <alignment vertical="center"/>
    </xf>
    <xf numFmtId="0" fontId="20" fillId="0" borderId="0" applyAlignment="1">
      <alignment vertical="center"/>
    </xf>
    <xf numFmtId="0" fontId="35" fillId="0" borderId="0" applyAlignment="1">
      <alignment vertical="center"/>
    </xf>
    <xf numFmtId="0" fontId="3" fillId="0" borderId="0"/>
    <xf numFmtId="0" fontId="20" fillId="0" borderId="0" applyAlignment="1">
      <alignment vertical="center"/>
    </xf>
    <xf numFmtId="0" fontId="15" fillId="0" borderId="0"/>
    <xf numFmtId="0" fontId="33" fillId="0" borderId="0" applyAlignment="1">
      <alignment vertical="center"/>
    </xf>
    <xf numFmtId="9" fontId="33" fillId="0" borderId="0"/>
    <xf numFmtId="0" fontId="33" fillId="0" borderId="0" applyAlignment="1">
      <alignment vertical="center"/>
    </xf>
    <xf numFmtId="0" fontId="33" fillId="0" borderId="0"/>
    <xf numFmtId="0" fontId="62" fillId="0" borderId="0"/>
    <xf numFmtId="0" fontId="62" fillId="0" borderId="0"/>
    <xf numFmtId="0" fontId="35" fillId="0" borderId="0"/>
    <xf numFmtId="43" fontId="62" fillId="0" borderId="0"/>
    <xf numFmtId="0" fontId="59" fillId="0" borderId="0"/>
    <xf numFmtId="0" fontId="35" fillId="0" borderId="0" applyAlignment="1">
      <alignment vertical="center"/>
    </xf>
    <xf numFmtId="0" fontId="35" fillId="0" borderId="0" applyAlignment="1">
      <alignment vertical="center"/>
    </xf>
    <xf numFmtId="0" fontId="62" fillId="0" borderId="0"/>
  </cellStyleXfs>
  <cellXfs count="760">
    <xf numFmtId="0" fontId="0" fillId="0" borderId="0" applyAlignment="1" pivotButton="0" quotePrefix="0" xfId="0">
      <alignment vertical="center"/>
    </xf>
    <xf numFmtId="49" fontId="0" fillId="0" borderId="0" applyAlignment="1" pivotButton="0" quotePrefix="0" xfId="0">
      <alignment vertical="center"/>
    </xf>
    <xf numFmtId="43" fontId="5" fillId="0" borderId="0" applyAlignment="1" pivotButton="0" quotePrefix="0" xfId="35">
      <alignment horizontal="right" vertical="center" shrinkToFit="1"/>
    </xf>
    <xf numFmtId="0" fontId="5" fillId="0" borderId="0" applyAlignment="1" pivotButton="0" quotePrefix="0" xfId="0">
      <alignment vertical="center"/>
    </xf>
    <xf numFmtId="0" fontId="5" fillId="0" borderId="0" applyAlignment="1" pivotButton="0" quotePrefix="0" xfId="0">
      <alignment vertical="center" wrapText="1"/>
    </xf>
    <xf numFmtId="0" fontId="6" fillId="0" borderId="0" applyAlignment="1" pivotButton="0" quotePrefix="0" xfId="0">
      <alignment horizontal="left" vertical="center"/>
    </xf>
    <xf numFmtId="0" fontId="13" fillId="0" borderId="0" applyAlignment="1" pivotButton="0" quotePrefix="0" xfId="4">
      <alignment horizontal="center" vertical="center"/>
    </xf>
    <xf numFmtId="0" fontId="2" fillId="0" borderId="0" applyAlignment="1" pivotButton="0" quotePrefix="0" xfId="0">
      <alignment horizontal="left" vertical="center"/>
    </xf>
    <xf numFmtId="0" fontId="6" fillId="0" borderId="0" applyAlignment="1" pivotButton="0" quotePrefix="0" xfId="0">
      <alignment vertical="center"/>
    </xf>
    <xf numFmtId="0" fontId="5" fillId="3" borderId="9" applyAlignment="1" pivotButton="0" quotePrefix="0" xfId="0">
      <alignment vertical="center"/>
    </xf>
    <xf numFmtId="0" fontId="5" fillId="3" borderId="10" applyAlignment="1" pivotButton="0" quotePrefix="0" xfId="0">
      <alignment vertical="center"/>
    </xf>
    <xf numFmtId="0" fontId="5" fillId="3" borderId="10" applyAlignment="1" pivotButton="0" quotePrefix="0" xfId="0">
      <alignment vertical="center" wrapText="1"/>
    </xf>
    <xf numFmtId="0" fontId="5" fillId="3" borderId="11" applyAlignment="1" pivotButton="0" quotePrefix="0" xfId="0">
      <alignment vertical="center"/>
    </xf>
    <xf numFmtId="0" fontId="5" fillId="0" borderId="0" pivotButton="0" quotePrefix="0" xfId="0"/>
    <xf numFmtId="0" fontId="13" fillId="0" borderId="0" pivotButton="0" quotePrefix="0" xfId="4"/>
    <xf numFmtId="0" fontId="5" fillId="2" borderId="5" applyAlignment="1" pivotButton="0" quotePrefix="0" xfId="0">
      <alignment horizontal="left" vertical="center"/>
    </xf>
    <xf numFmtId="49" fontId="5" fillId="4" borderId="0" applyAlignment="1" pivotButton="0" quotePrefix="0" xfId="0">
      <alignment horizontal="center" vertical="center" shrinkToFit="1"/>
    </xf>
    <xf numFmtId="0" fontId="5" fillId="3" borderId="0" applyAlignment="1" pivotButton="0" quotePrefix="0" xfId="0">
      <alignment vertical="center" wrapText="1"/>
    </xf>
    <xf numFmtId="0" fontId="5" fillId="2" borderId="0" applyAlignment="1" pivotButton="0" quotePrefix="0" xfId="0">
      <alignment horizontal="left" vertical="center"/>
    </xf>
    <xf numFmtId="43" fontId="5" fillId="2" borderId="7" applyAlignment="1" pivotButton="0" quotePrefix="0" xfId="0">
      <alignment horizontal="right" vertical="center" shrinkToFit="1"/>
    </xf>
    <xf numFmtId="0" fontId="5" fillId="3" borderId="5" applyAlignment="1" pivotButton="0" quotePrefix="0" xfId="0">
      <alignment vertical="center"/>
    </xf>
    <xf numFmtId="0" fontId="5" fillId="3" borderId="0" applyAlignment="1" pivotButton="0" quotePrefix="0" xfId="0">
      <alignment vertical="center"/>
    </xf>
    <xf numFmtId="0" fontId="5" fillId="3" borderId="0" applyAlignment="1" pivotButton="0" quotePrefix="0" xfId="0">
      <alignment horizontal="left" vertical="center"/>
    </xf>
    <xf numFmtId="43" fontId="5" fillId="3" borderId="7" applyAlignment="1" pivotButton="0" quotePrefix="0" xfId="0">
      <alignment horizontal="right" vertical="center" shrinkToFit="1"/>
    </xf>
    <xf numFmtId="14" fontId="5" fillId="4" borderId="0" applyAlignment="1" pivotButton="0" quotePrefix="0" xfId="0">
      <alignment horizontal="center" vertical="center" shrinkToFit="1"/>
    </xf>
    <xf numFmtId="0" fontId="11" fillId="0" borderId="0" applyAlignment="1" pivotButton="0" quotePrefix="0" xfId="0">
      <alignment vertical="top"/>
    </xf>
    <xf numFmtId="0" fontId="2" fillId="0" borderId="0" applyAlignment="1" pivotButton="0" quotePrefix="0" xfId="0">
      <alignment vertical="center" wrapText="1"/>
    </xf>
    <xf numFmtId="0" fontId="13" fillId="0" borderId="0" applyAlignment="1" pivotButton="0" quotePrefix="0" xfId="4">
      <alignment vertical="center" wrapText="1"/>
    </xf>
    <xf numFmtId="0" fontId="11" fillId="3" borderId="0" applyAlignment="1" pivotButton="0" quotePrefix="0" xfId="0">
      <alignment vertical="center"/>
    </xf>
    <xf numFmtId="0" fontId="2" fillId="0" borderId="0" pivotButton="0" quotePrefix="0" xfId="0"/>
    <xf numFmtId="0" fontId="5" fillId="3" borderId="6" applyAlignment="1" pivotButton="0" quotePrefix="0" xfId="0">
      <alignment vertical="center"/>
    </xf>
    <xf numFmtId="0" fontId="5" fillId="3" borderId="4" applyAlignment="1" pivotButton="0" quotePrefix="0" xfId="0">
      <alignment vertical="center"/>
    </xf>
    <xf numFmtId="0" fontId="5" fillId="3" borderId="4" applyAlignment="1" pivotButton="0" quotePrefix="0" xfId="0">
      <alignment vertical="center" wrapText="1"/>
    </xf>
    <xf numFmtId="0" fontId="5" fillId="3" borderId="8" applyAlignment="1" pivotButton="0" quotePrefix="0" xfId="0">
      <alignment vertical="center"/>
    </xf>
    <xf numFmtId="0" fontId="3" fillId="0" borderId="0" applyAlignment="1" pivotButton="0" quotePrefix="0" xfId="0">
      <alignment vertical="center" wrapText="1"/>
    </xf>
    <xf numFmtId="0" fontId="5" fillId="2" borderId="0" applyAlignment="1" pivotButton="0" quotePrefix="0" xfId="0">
      <alignment vertical="center"/>
    </xf>
    <xf numFmtId="0" fontId="6" fillId="2" borderId="0" applyAlignment="1" pivotButton="0" quotePrefix="0" xfId="0">
      <alignment vertical="center"/>
    </xf>
    <xf numFmtId="0" fontId="5" fillId="2" borderId="16" applyAlignment="1" pivotButton="0" quotePrefix="0" xfId="0">
      <alignment horizontal="center" vertical="center"/>
    </xf>
    <xf numFmtId="0" fontId="3" fillId="2" borderId="19" applyAlignment="1" pivotButton="0" quotePrefix="0" xfId="0">
      <alignment horizontal="center" vertical="center"/>
    </xf>
    <xf numFmtId="0" fontId="5" fillId="9" borderId="10" applyAlignment="1" pivotButton="0" quotePrefix="0" xfId="153">
      <alignment vertical="center"/>
    </xf>
    <xf numFmtId="0" fontId="6" fillId="9" borderId="10" applyAlignment="1" pivotButton="0" quotePrefix="0" xfId="153">
      <alignment vertical="center"/>
    </xf>
    <xf numFmtId="0" fontId="5" fillId="9" borderId="11" applyAlignment="1" pivotButton="0" quotePrefix="0" xfId="153">
      <alignment vertical="center"/>
    </xf>
    <xf numFmtId="0" fontId="10" fillId="0" borderId="5" applyAlignment="1" pivotButton="0" quotePrefix="0" xfId="153">
      <alignment horizontal="left" vertical="center"/>
    </xf>
    <xf numFmtId="0" fontId="5" fillId="0" borderId="0" applyAlignment="1" pivotButton="0" quotePrefix="0" xfId="153">
      <alignment vertical="center"/>
    </xf>
    <xf numFmtId="0" fontId="6" fillId="0" borderId="0" applyAlignment="1" pivotButton="0" quotePrefix="0" xfId="153">
      <alignment vertical="center"/>
    </xf>
    <xf numFmtId="0" fontId="5" fillId="0" borderId="7" applyAlignment="1" pivotButton="0" quotePrefix="0" xfId="153">
      <alignment vertical="center"/>
    </xf>
    <xf numFmtId="0" fontId="3" fillId="0" borderId="0" applyAlignment="1" pivotButton="0" quotePrefix="0" xfId="0">
      <alignment horizontal="left" vertical="top" wrapText="1"/>
    </xf>
    <xf numFmtId="0" fontId="4" fillId="3" borderId="0" applyAlignment="1" pivotButton="0" quotePrefix="0" xfId="4">
      <alignment vertical="center"/>
    </xf>
    <xf numFmtId="0" fontId="47" fillId="0" borderId="9" applyAlignment="1" pivotButton="0" quotePrefix="0" xfId="0">
      <alignment vertical="center"/>
    </xf>
    <xf numFmtId="0" fontId="48" fillId="0" borderId="10" applyAlignment="1" pivotButton="0" quotePrefix="0" xfId="49">
      <alignment vertical="center"/>
    </xf>
    <xf numFmtId="0" fontId="48" fillId="2" borderId="11" applyAlignment="1" pivotButton="0" quotePrefix="0" xfId="0">
      <alignment vertical="center"/>
    </xf>
    <xf numFmtId="0" fontId="48" fillId="0" borderId="5" applyAlignment="1" pivotButton="0" quotePrefix="0" xfId="0">
      <alignment vertical="center"/>
    </xf>
    <xf numFmtId="0" fontId="48" fillId="0" borderId="0" applyAlignment="1" pivotButton="0" quotePrefix="0" xfId="49">
      <alignment vertical="center"/>
    </xf>
    <xf numFmtId="0" fontId="48" fillId="2" borderId="7" applyAlignment="1" pivotButton="0" quotePrefix="0" xfId="0">
      <alignment vertical="center"/>
    </xf>
    <xf numFmtId="0" fontId="3" fillId="2" borderId="0" applyAlignment="1" pivotButton="0" quotePrefix="0" xfId="0">
      <alignment vertical="center"/>
    </xf>
    <xf numFmtId="0" fontId="49" fillId="0" borderId="5" applyAlignment="1" pivotButton="0" quotePrefix="0" xfId="0">
      <alignment vertical="center"/>
    </xf>
    <xf numFmtId="17" fontId="49" fillId="0" borderId="0" applyAlignment="1" pivotButton="0" quotePrefix="0" xfId="0">
      <alignment horizontal="center" vertical="center"/>
    </xf>
    <xf numFmtId="0" fontId="43" fillId="0" borderId="0" applyAlignment="1" pivotButton="0" quotePrefix="0" xfId="0">
      <alignment vertical="center"/>
    </xf>
    <xf numFmtId="0" fontId="12" fillId="2" borderId="0" applyAlignment="1" pivotButton="0" quotePrefix="0" xfId="0">
      <alignment horizontal="left" vertical="center"/>
    </xf>
    <xf numFmtId="0" fontId="41" fillId="8" borderId="16" applyAlignment="1" pivotButton="0" quotePrefix="0" xfId="0">
      <alignment vertical="center"/>
    </xf>
    <xf numFmtId="0" fontId="43" fillId="8" borderId="18" applyAlignment="1" pivotButton="0" quotePrefix="0" xfId="154">
      <alignment horizontal="left" vertical="center" wrapText="1"/>
    </xf>
    <xf numFmtId="0" fontId="41" fillId="8" borderId="22" applyAlignment="1" pivotButton="0" quotePrefix="0" xfId="154">
      <alignment vertical="center"/>
    </xf>
    <xf numFmtId="0" fontId="49" fillId="0" borderId="16" applyAlignment="1" pivotButton="0" quotePrefix="0" xfId="0">
      <alignment horizontal="left" vertical="center"/>
    </xf>
    <xf numFmtId="0" fontId="48" fillId="2" borderId="22" applyAlignment="1" pivotButton="0" quotePrefix="0" xfId="0">
      <alignment vertical="center"/>
    </xf>
    <xf numFmtId="0" fontId="48" fillId="0" borderId="16" applyAlignment="1" pivotButton="0" quotePrefix="0" xfId="0">
      <alignment horizontal="left" vertical="center"/>
    </xf>
    <xf numFmtId="17" fontId="49" fillId="0" borderId="6" applyAlignment="1" pivotButton="0" quotePrefix="0" xfId="0">
      <alignment horizontal="center" vertical="center"/>
    </xf>
    <xf numFmtId="17" fontId="49" fillId="0" borderId="4" applyAlignment="1" pivotButton="0" quotePrefix="0" xfId="0">
      <alignment horizontal="center" vertical="center"/>
    </xf>
    <xf numFmtId="0" fontId="43" fillId="0" borderId="4" applyAlignment="1" pivotButton="0" quotePrefix="0" xfId="0">
      <alignment vertical="center"/>
    </xf>
    <xf numFmtId="0" fontId="49" fillId="2" borderId="8" applyAlignment="1" pivotButton="0" quotePrefix="0" xfId="0">
      <alignment vertical="center"/>
    </xf>
    <xf numFmtId="164" fontId="3" fillId="2" borderId="0" applyAlignment="1" pivotButton="0" quotePrefix="0" xfId="49">
      <alignment vertical="center" wrapText="1"/>
    </xf>
    <xf numFmtId="0" fontId="6" fillId="2" borderId="0" applyAlignment="1" pivotButton="0" quotePrefix="0" xfId="0">
      <alignment horizontal="center" vertical="center"/>
    </xf>
    <xf numFmtId="0" fontId="6" fillId="0" borderId="0" applyAlignment="1" pivotButton="0" quotePrefix="0" xfId="58">
      <alignment vertical="center"/>
    </xf>
    <xf numFmtId="0" fontId="6" fillId="0" borderId="0" applyAlignment="1" pivotButton="0" quotePrefix="0" xfId="0">
      <alignment horizontal="center" vertical="center"/>
    </xf>
    <xf numFmtId="165" fontId="8" fillId="0" borderId="0" applyAlignment="1" pivotButton="0" quotePrefix="0" xfId="82">
      <alignment vertical="center" wrapText="1"/>
    </xf>
    <xf numFmtId="0" fontId="11" fillId="2" borderId="0" applyAlignment="1" pivotButton="0" quotePrefix="0" xfId="0">
      <alignment vertical="center"/>
    </xf>
    <xf numFmtId="41" fontId="11" fillId="2" borderId="0" applyAlignment="1" pivotButton="0" quotePrefix="0" xfId="0">
      <alignment vertical="center"/>
    </xf>
    <xf numFmtId="0" fontId="6" fillId="0" borderId="0" applyAlignment="1" pivotButton="0" quotePrefix="0" xfId="101">
      <alignment horizontal="left" vertical="center"/>
    </xf>
    <xf numFmtId="0" fontId="3" fillId="0" borderId="0" applyAlignment="1" pivotButton="0" quotePrefix="0" xfId="101">
      <alignment horizontal="center" vertical="center"/>
    </xf>
    <xf numFmtId="0" fontId="5" fillId="2" borderId="0" applyAlignment="1" pivotButton="0" quotePrefix="0" xfId="0">
      <alignment horizontal="center" vertical="center"/>
    </xf>
    <xf numFmtId="0" fontId="9" fillId="0" borderId="0" applyAlignment="1" pivotButton="0" quotePrefix="0" xfId="64">
      <alignment vertical="center"/>
    </xf>
    <xf numFmtId="0" fontId="5" fillId="0" borderId="0" applyAlignment="1" pivotButton="0" quotePrefix="0" xfId="101">
      <alignment vertical="center"/>
    </xf>
    <xf numFmtId="9" fontId="5" fillId="0" borderId="0" applyAlignment="1" pivotButton="0" quotePrefix="0" xfId="101">
      <alignment vertical="center"/>
    </xf>
    <xf numFmtId="9" fontId="5" fillId="0" borderId="0" applyAlignment="1" pivotButton="0" quotePrefix="0" xfId="7">
      <alignment vertical="center"/>
    </xf>
    <xf numFmtId="0" fontId="3" fillId="0" borderId="0" applyAlignment="1" pivotButton="0" quotePrefix="0" xfId="101">
      <alignment vertical="center"/>
    </xf>
    <xf numFmtId="0" fontId="48" fillId="0" borderId="22" applyAlignment="1" pivotButton="0" quotePrefix="0" xfId="0">
      <alignment vertical="center"/>
    </xf>
    <xf numFmtId="0" fontId="5" fillId="2" borderId="0" applyAlignment="1" pivotButton="0" quotePrefix="0" xfId="101">
      <alignment vertical="center"/>
    </xf>
    <xf numFmtId="43" fontId="7" fillId="0" borderId="0" applyAlignment="1" pivotButton="0" quotePrefix="0" xfId="101">
      <alignment horizontal="center" vertical="center" shrinkToFit="1"/>
    </xf>
    <xf numFmtId="0" fontId="3" fillId="2" borderId="0" applyAlignment="1" pivotButton="0" quotePrefix="0" xfId="79">
      <alignment vertical="center"/>
    </xf>
    <xf numFmtId="0" fontId="5" fillId="0" borderId="0" applyAlignment="1" pivotButton="0" quotePrefix="0" xfId="79">
      <alignment vertical="center"/>
    </xf>
    <xf numFmtId="0" fontId="5" fillId="0" borderId="0" applyAlignment="1" pivotButton="0" quotePrefix="0" xfId="79">
      <alignment horizontal="left" vertical="center" wrapText="1"/>
    </xf>
    <xf numFmtId="0" fontId="5" fillId="0" borderId="0" applyAlignment="1" pivotButton="0" quotePrefix="0" xfId="79">
      <alignment horizontal="left" vertical="center"/>
    </xf>
    <xf numFmtId="9" fontId="5" fillId="0" borderId="0" applyAlignment="1" pivotButton="0" quotePrefix="0" xfId="79">
      <alignment horizontal="left" vertical="center"/>
    </xf>
    <xf numFmtId="9" fontId="5" fillId="0" borderId="0" applyAlignment="1" pivotButton="0" quotePrefix="0" xfId="81">
      <alignment vertical="center"/>
    </xf>
    <xf numFmtId="0" fontId="6" fillId="2" borderId="0" applyAlignment="1" pivotButton="0" quotePrefix="0" xfId="79">
      <alignment vertical="center"/>
    </xf>
    <xf numFmtId="0" fontId="3" fillId="2" borderId="0" applyAlignment="1" pivotButton="0" quotePrefix="0" xfId="79">
      <alignment horizontal="left" vertical="center" wrapText="1"/>
    </xf>
    <xf numFmtId="0" fontId="43" fillId="0" borderId="9" applyAlignment="1" pivotButton="0" quotePrefix="0" xfId="79">
      <alignment vertical="center"/>
    </xf>
    <xf numFmtId="0" fontId="43" fillId="0" borderId="10" applyAlignment="1" pivotButton="0" quotePrefix="0" xfId="79">
      <alignment vertical="center"/>
    </xf>
    <xf numFmtId="0" fontId="49" fillId="2" borderId="11" applyAlignment="1" pivotButton="0" quotePrefix="0" xfId="79">
      <alignment horizontal="left" vertical="center" wrapText="1"/>
    </xf>
    <xf numFmtId="0" fontId="5" fillId="2" borderId="0" applyAlignment="1" pivotButton="0" quotePrefix="0" xfId="79">
      <alignment vertical="center"/>
    </xf>
    <xf numFmtId="0" fontId="43" fillId="0" borderId="0" applyAlignment="1" pivotButton="0" quotePrefix="0" xfId="79">
      <alignment vertical="center"/>
    </xf>
    <xf numFmtId="0" fontId="49" fillId="2" borderId="7" applyAlignment="1" pivotButton="0" quotePrefix="0" xfId="79">
      <alignment horizontal="left" vertical="center" wrapText="1"/>
    </xf>
    <xf numFmtId="43" fontId="5" fillId="2" borderId="0" applyAlignment="1" pivotButton="0" quotePrefix="0" xfId="79">
      <alignment vertical="center" shrinkToFit="1"/>
    </xf>
    <xf numFmtId="9" fontId="5" fillId="2" borderId="0" applyAlignment="1" pivotButton="0" quotePrefix="0" xfId="81">
      <alignment vertical="center"/>
    </xf>
    <xf numFmtId="0" fontId="43" fillId="0" borderId="5" applyAlignment="1" pivotButton="0" quotePrefix="0" xfId="79">
      <alignment vertical="center"/>
    </xf>
    <xf numFmtId="9" fontId="5" fillId="2" borderId="0" applyAlignment="1" pivotButton="0" quotePrefix="0" xfId="81">
      <alignment vertical="center" shrinkToFit="1"/>
    </xf>
    <xf numFmtId="0" fontId="5" fillId="2" borderId="0" applyAlignment="1" pivotButton="0" quotePrefix="0" xfId="79">
      <alignment vertical="center" shrinkToFit="1"/>
    </xf>
    <xf numFmtId="0" fontId="5" fillId="2" borderId="0" applyAlignment="1" pivotButton="0" quotePrefix="0" xfId="73">
      <alignment vertical="center"/>
    </xf>
    <xf numFmtId="0" fontId="49" fillId="0" borderId="16" applyAlignment="1" pivotButton="0" quotePrefix="0" xfId="79">
      <alignment horizontal="left" vertical="center"/>
    </xf>
    <xf numFmtId="0" fontId="5" fillId="2" borderId="0" applyAlignment="1" pivotButton="0" quotePrefix="0" xfId="79">
      <alignment horizontal="left" vertical="center" wrapText="1"/>
    </xf>
    <xf numFmtId="0" fontId="3" fillId="2" borderId="0" applyAlignment="1" pivotButton="0" quotePrefix="0" xfId="79">
      <alignment vertical="center" shrinkToFit="1"/>
    </xf>
    <xf numFmtId="0" fontId="49" fillId="0" borderId="16" applyAlignment="1" pivotButton="0" quotePrefix="0" xfId="79">
      <alignment horizontal="left" vertical="center" wrapText="1"/>
    </xf>
    <xf numFmtId="43" fontId="3" fillId="2" borderId="0" applyAlignment="1" pivotButton="0" quotePrefix="0" xfId="79">
      <alignment vertical="center" shrinkToFit="1"/>
    </xf>
    <xf numFmtId="0" fontId="53" fillId="0" borderId="16" applyAlignment="1" pivotButton="0" quotePrefix="0" xfId="79">
      <alignment horizontal="left" vertical="center" wrapText="1"/>
    </xf>
    <xf numFmtId="0" fontId="3" fillId="2" borderId="0" applyAlignment="1" pivotButton="0" quotePrefix="0" xfId="73">
      <alignment vertical="center"/>
    </xf>
    <xf numFmtId="0" fontId="53" fillId="0" borderId="30" applyAlignment="1" pivotButton="0" quotePrefix="0" xfId="79">
      <alignment vertical="center"/>
    </xf>
    <xf numFmtId="0" fontId="43" fillId="0" borderId="28" applyAlignment="1" pivotButton="0" quotePrefix="0" xfId="79">
      <alignment vertical="center"/>
    </xf>
    <xf numFmtId="0" fontId="49" fillId="2" borderId="29" applyAlignment="1" pivotButton="0" quotePrefix="0" xfId="79">
      <alignment horizontal="left" vertical="center" wrapText="1"/>
    </xf>
    <xf numFmtId="0" fontId="8" fillId="2" borderId="0" applyAlignment="1" pivotButton="0" quotePrefix="0" xfId="79">
      <alignment vertical="center"/>
    </xf>
    <xf numFmtId="0" fontId="3" fillId="0" borderId="0" applyAlignment="1" pivotButton="0" quotePrefix="0" xfId="98">
      <alignment vertical="center"/>
    </xf>
    <xf numFmtId="0" fontId="8" fillId="0" borderId="0" applyAlignment="1" pivotButton="0" quotePrefix="0" xfId="73">
      <alignment vertical="center"/>
    </xf>
    <xf numFmtId="43" fontId="5" fillId="0" borderId="0" applyAlignment="1" pivotButton="0" quotePrefix="0" xfId="36">
      <alignment vertical="center" shrinkToFit="1"/>
    </xf>
    <xf numFmtId="9" fontId="5" fillId="0" borderId="0" applyAlignment="1" pivotButton="0" quotePrefix="0" xfId="81">
      <alignment vertical="center"/>
    </xf>
    <xf numFmtId="0" fontId="3" fillId="0" borderId="0" applyAlignment="1" pivotButton="0" quotePrefix="0" xfId="79">
      <alignment vertical="center"/>
    </xf>
    <xf numFmtId="0" fontId="3" fillId="2" borderId="18" applyAlignment="1" pivotButton="0" quotePrefix="0" xfId="79">
      <alignment horizontal="left" vertical="center" shrinkToFit="1"/>
    </xf>
    <xf numFmtId="43" fontId="3" fillId="0" borderId="18" applyAlignment="1" pivotButton="0" quotePrefix="0" xfId="3">
      <alignment horizontal="right" vertical="center" shrinkToFit="1"/>
    </xf>
    <xf numFmtId="0" fontId="5" fillId="0" borderId="0" applyAlignment="1" pivotButton="0" quotePrefix="0" xfId="101">
      <alignment vertical="center" shrinkToFit="1"/>
    </xf>
    <xf numFmtId="9" fontId="5" fillId="0" borderId="0" applyAlignment="1" pivotButton="0" quotePrefix="0" xfId="81">
      <alignment vertical="center" shrinkToFit="1"/>
    </xf>
    <xf numFmtId="0" fontId="3" fillId="0" borderId="0" applyAlignment="1" pivotButton="0" quotePrefix="0" xfId="101">
      <alignment vertical="center" shrinkToFit="1"/>
    </xf>
    <xf numFmtId="43" fontId="3" fillId="2" borderId="0" applyAlignment="1" pivotButton="0" quotePrefix="0" xfId="79">
      <alignment horizontal="right" vertical="center" shrinkToFit="1"/>
    </xf>
    <xf numFmtId="0" fontId="8" fillId="0" borderId="0" applyAlignment="1" pivotButton="0" quotePrefix="0" xfId="79">
      <alignment vertical="center"/>
    </xf>
    <xf numFmtId="43" fontId="3" fillId="2" borderId="0" applyAlignment="1" pivotButton="0" quotePrefix="0" xfId="3">
      <alignment horizontal="right" vertical="center" shrinkToFit="1"/>
    </xf>
    <xf numFmtId="43" fontId="11" fillId="0" borderId="0" pivotButton="0" quotePrefix="0" xfId="3"/>
    <xf numFmtId="43" fontId="3" fillId="2" borderId="18" applyAlignment="1" pivotButton="0" quotePrefix="0" xfId="101">
      <alignment horizontal="right" vertical="center" shrinkToFit="1"/>
    </xf>
    <xf numFmtId="0" fontId="8" fillId="3" borderId="50" applyAlignment="1" pivotButton="0" quotePrefix="0" xfId="0">
      <alignment horizontal="center" vertical="center" wrapText="1"/>
    </xf>
    <xf numFmtId="0" fontId="8" fillId="3" borderId="47" applyAlignment="1" pivotButton="0" quotePrefix="0" xfId="0">
      <alignment horizontal="center" vertical="center" wrapText="1"/>
    </xf>
    <xf numFmtId="164" fontId="6" fillId="2" borderId="0" applyAlignment="1" pivotButton="0" quotePrefix="0" xfId="49">
      <alignment horizontal="center" vertical="center" wrapText="1"/>
    </xf>
    <xf numFmtId="0" fontId="6" fillId="2" borderId="0" applyAlignment="1" pivotButton="0" quotePrefix="0" xfId="0">
      <alignment horizontal="right" vertical="center"/>
    </xf>
    <xf numFmtId="0" fontId="14" fillId="0" borderId="0" applyAlignment="1" pivotButton="0" quotePrefix="0" xfId="0">
      <alignment horizontal="center" vertical="center"/>
    </xf>
    <xf numFmtId="0" fontId="57" fillId="2" borderId="0" applyAlignment="1" pivotButton="0" quotePrefix="0" xfId="0">
      <alignment vertical="center"/>
    </xf>
    <xf numFmtId="49" fontId="3" fillId="0" borderId="18" applyAlignment="1" pivotButton="0" quotePrefix="0" xfId="101">
      <alignment horizontal="left" vertical="center" shrinkToFit="1"/>
    </xf>
    <xf numFmtId="0" fontId="8" fillId="0" borderId="0" applyAlignment="1" applyProtection="1" pivotButton="0" quotePrefix="0" xfId="101">
      <alignment horizontal="left" vertical="center"/>
      <protection locked="0" hidden="0"/>
    </xf>
    <xf numFmtId="164" fontId="3" fillId="0" borderId="0" applyAlignment="1" pivotButton="0" quotePrefix="0" xfId="49">
      <alignment vertical="center" wrapText="1"/>
    </xf>
    <xf numFmtId="0" fontId="8" fillId="0" borderId="0" applyAlignment="1" pivotButton="0" quotePrefix="0" xfId="0">
      <alignment horizontal="center" vertical="center"/>
    </xf>
    <xf numFmtId="9" fontId="8" fillId="0" borderId="0" applyAlignment="1" pivotButton="0" quotePrefix="0" xfId="7">
      <alignment horizontal="center" vertical="center"/>
    </xf>
    <xf numFmtId="0" fontId="3" fillId="0" borderId="0" applyAlignment="1" applyProtection="1" pivotButton="0" quotePrefix="0" xfId="0">
      <alignment vertical="center"/>
      <protection locked="0" hidden="0"/>
    </xf>
    <xf numFmtId="0" fontId="10" fillId="5" borderId="53" applyAlignment="1" pivotButton="0" quotePrefix="0" xfId="0">
      <alignment horizontal="center" vertical="center" wrapText="1"/>
    </xf>
    <xf numFmtId="0" fontId="3" fillId="2" borderId="18" applyAlignment="1" pivotButton="0" quotePrefix="0" xfId="0">
      <alignment horizontal="left" vertical="center"/>
    </xf>
    <xf numFmtId="0" fontId="5" fillId="2" borderId="18" applyAlignment="1" pivotButton="0" quotePrefix="0" xfId="0">
      <alignment horizontal="center" vertical="center"/>
    </xf>
    <xf numFmtId="0" fontId="5" fillId="0" borderId="18" applyAlignment="1" pivotButton="0" quotePrefix="0" xfId="0">
      <alignment horizontal="left" vertical="center" wrapText="1"/>
    </xf>
    <xf numFmtId="0" fontId="5" fillId="0" borderId="18" applyAlignment="1" pivotButton="0" quotePrefix="0" xfId="0">
      <alignment horizontal="center" vertical="center"/>
    </xf>
    <xf numFmtId="0" fontId="5" fillId="2" borderId="21" applyAlignment="1" pivotButton="0" quotePrefix="0" xfId="0">
      <alignment vertical="center" wrapText="1"/>
    </xf>
    <xf numFmtId="0" fontId="3" fillId="2" borderId="20" applyAlignment="1" pivotButton="0" quotePrefix="0" xfId="0">
      <alignment horizontal="left" vertical="center"/>
    </xf>
    <xf numFmtId="0" fontId="5" fillId="2" borderId="20" applyAlignment="1" pivotButton="0" quotePrefix="0" xfId="0">
      <alignment vertical="center" wrapText="1"/>
    </xf>
    <xf numFmtId="0" fontId="5" fillId="2" borderId="20" applyAlignment="1" pivotButton="0" quotePrefix="0" xfId="0">
      <alignment horizontal="center" vertical="center"/>
    </xf>
    <xf numFmtId="0" fontId="5" fillId="0" borderId="20" applyAlignment="1" pivotButton="0" quotePrefix="0" xfId="0">
      <alignment horizontal="left" vertical="center" wrapText="1"/>
    </xf>
    <xf numFmtId="0" fontId="5" fillId="0" borderId="20" applyAlignment="1" pivotButton="0" quotePrefix="0" xfId="0">
      <alignment horizontal="center" vertical="center"/>
    </xf>
    <xf numFmtId="0" fontId="10" fillId="9" borderId="9" applyAlignment="1" pivotButton="0" quotePrefix="0" xfId="153">
      <alignment horizontal="left" vertical="center"/>
    </xf>
    <xf numFmtId="0" fontId="6" fillId="10" borderId="0" applyAlignment="1" pivotButton="0" quotePrefix="0" xfId="0">
      <alignment horizontal="center" vertical="center"/>
    </xf>
    <xf numFmtId="0" fontId="5" fillId="5" borderId="5" applyAlignment="1" pivotButton="0" quotePrefix="0" xfId="0">
      <alignment horizontal="left" vertical="center"/>
    </xf>
    <xf numFmtId="49" fontId="5" fillId="5" borderId="0" applyAlignment="1" pivotButton="0" quotePrefix="0" xfId="0">
      <alignment horizontal="center" vertical="center" shrinkToFit="1"/>
    </xf>
    <xf numFmtId="0" fontId="5" fillId="5" borderId="0" applyAlignment="1" pivotButton="0" quotePrefix="0" xfId="0">
      <alignment horizontal="left" vertical="center"/>
    </xf>
    <xf numFmtId="43" fontId="5" fillId="5" borderId="7" applyAlignment="1" pivotButton="0" quotePrefix="0" xfId="0">
      <alignment horizontal="right" vertical="center" shrinkToFit="1"/>
    </xf>
    <xf numFmtId="0" fontId="7" fillId="2" borderId="0" applyAlignment="1" pivotButton="0" quotePrefix="0" xfId="0">
      <alignment vertical="center"/>
    </xf>
    <xf numFmtId="0" fontId="7" fillId="2" borderId="0" applyAlignment="1" pivotButton="0" quotePrefix="0" xfId="79">
      <alignment vertical="center"/>
    </xf>
    <xf numFmtId="0" fontId="7" fillId="0" borderId="0" applyAlignment="1" pivotButton="0" quotePrefix="0" xfId="98">
      <alignment vertical="center"/>
    </xf>
    <xf numFmtId="0" fontId="7" fillId="2" borderId="0" applyAlignment="1" pivotButton="0" quotePrefix="0" xfId="79">
      <alignment vertical="center" shrinkToFit="1"/>
    </xf>
    <xf numFmtId="0" fontId="59" fillId="0" borderId="0" applyAlignment="1" pivotButton="0" quotePrefix="0" xfId="0">
      <alignment vertical="center"/>
    </xf>
    <xf numFmtId="0" fontId="2" fillId="10" borderId="5" applyAlignment="1" pivotButton="0" quotePrefix="0" xfId="0">
      <alignment horizontal="left" vertical="center"/>
    </xf>
    <xf numFmtId="0" fontId="53" fillId="0" borderId="5" applyAlignment="1" pivotButton="0" quotePrefix="0" xfId="79">
      <alignment vertical="center"/>
    </xf>
    <xf numFmtId="0" fontId="8" fillId="5" borderId="46" applyAlignment="1" applyProtection="1" pivotButton="0" quotePrefix="0" xfId="0">
      <alignment vertical="center"/>
      <protection locked="0" hidden="0"/>
    </xf>
    <xf numFmtId="0" fontId="6" fillId="5" borderId="45" applyAlignment="1" applyProtection="1" pivotButton="0" quotePrefix="0" xfId="0">
      <alignment vertical="center"/>
      <protection locked="0" hidden="0"/>
    </xf>
    <xf numFmtId="0" fontId="5" fillId="5" borderId="49" applyAlignment="1" applyProtection="1" pivotButton="0" quotePrefix="0" xfId="0">
      <alignment vertical="center"/>
      <protection locked="0" hidden="0"/>
    </xf>
    <xf numFmtId="0" fontId="60" fillId="0" borderId="33" applyAlignment="1" pivotButton="0" quotePrefix="0" xfId="0">
      <alignment vertical="center"/>
    </xf>
    <xf numFmtId="0" fontId="6" fillId="0" borderId="1" applyAlignment="1" applyProtection="1" pivotButton="0" quotePrefix="0" xfId="0">
      <alignment vertical="center"/>
      <protection locked="0" hidden="0"/>
    </xf>
    <xf numFmtId="0" fontId="5" fillId="0" borderId="34" applyAlignment="1" applyProtection="1" pivotButton="0" quotePrefix="0" xfId="0">
      <alignment vertical="center"/>
      <protection locked="0" hidden="0"/>
    </xf>
    <xf numFmtId="0" fontId="3" fillId="0" borderId="7" applyAlignment="1" applyProtection="1" pivotButton="0" quotePrefix="0" xfId="0">
      <alignment vertical="center" wrapText="1"/>
      <protection locked="0" hidden="0"/>
    </xf>
    <xf numFmtId="0" fontId="3" fillId="0" borderId="0" applyAlignment="1" applyProtection="1" pivotButton="0" quotePrefix="0" xfId="0">
      <alignment horizontal="left" vertical="center" wrapText="1" indent="2"/>
      <protection locked="0" hidden="0"/>
    </xf>
    <xf numFmtId="0" fontId="3" fillId="0" borderId="6" applyAlignment="1" applyProtection="1" pivotButton="0" quotePrefix="0" xfId="0">
      <alignment horizontal="left" vertical="center" indent="2"/>
      <protection locked="0" hidden="0"/>
    </xf>
    <xf numFmtId="0" fontId="3" fillId="0" borderId="0" applyAlignment="1" applyProtection="1" pivotButton="0" quotePrefix="0" xfId="0">
      <alignment horizontal="left" vertical="center" indent="2"/>
      <protection locked="0" hidden="0"/>
    </xf>
    <xf numFmtId="0" fontId="8" fillId="5" borderId="35" applyAlignment="1" applyProtection="1" pivotButton="0" quotePrefix="0" xfId="0">
      <alignment vertical="center"/>
      <protection locked="0" hidden="0"/>
    </xf>
    <xf numFmtId="0" fontId="6" fillId="5" borderId="36" applyAlignment="1" applyProtection="1" pivotButton="0" quotePrefix="0" xfId="0">
      <alignment vertical="center"/>
      <protection locked="0" hidden="0"/>
    </xf>
    <xf numFmtId="0" fontId="5" fillId="5" borderId="37" applyAlignment="1" applyProtection="1" pivotButton="0" quotePrefix="0" xfId="0">
      <alignment vertical="center"/>
      <protection locked="0" hidden="0"/>
    </xf>
    <xf numFmtId="0" fontId="60" fillId="0" borderId="38" applyAlignment="1" pivotButton="0" quotePrefix="0" xfId="0">
      <alignment vertical="center"/>
    </xf>
    <xf numFmtId="0" fontId="5" fillId="0" borderId="39" applyAlignment="1" applyProtection="1" pivotButton="0" quotePrefix="0" xfId="0">
      <alignment vertical="center"/>
      <protection locked="0" hidden="0"/>
    </xf>
    <xf numFmtId="0" fontId="3" fillId="0" borderId="41" applyAlignment="1" applyProtection="1" pivotButton="0" quotePrefix="0" xfId="0">
      <alignment vertical="center"/>
      <protection locked="0" hidden="0"/>
    </xf>
    <xf numFmtId="0" fontId="3" fillId="0" borderId="41" applyAlignment="1" applyProtection="1" pivotButton="0" quotePrefix="0" xfId="0">
      <alignment horizontal="left" vertical="center" wrapText="1" indent="2"/>
      <protection locked="0" hidden="0"/>
    </xf>
    <xf numFmtId="0" fontId="3" fillId="0" borderId="43" applyAlignment="1" applyProtection="1" pivotButton="0" quotePrefix="0" xfId="0">
      <alignment horizontal="left" vertical="center" wrapText="1" indent="2"/>
      <protection locked="0" hidden="0"/>
    </xf>
    <xf numFmtId="0" fontId="3" fillId="0" borderId="44" applyAlignment="1" applyProtection="1" pivotButton="0" quotePrefix="0" xfId="0">
      <alignment horizontal="left" vertical="center" wrapText="1" indent="2"/>
      <protection locked="0" hidden="0"/>
    </xf>
    <xf numFmtId="0" fontId="55" fillId="2" borderId="0" applyAlignment="1" pivotButton="0" quotePrefix="0" xfId="79">
      <alignment horizontal="left" vertical="center"/>
    </xf>
    <xf numFmtId="0" fontId="3" fillId="2" borderId="16" applyAlignment="1" applyProtection="1" pivotButton="0" quotePrefix="0" xfId="61">
      <alignment horizontal="center" vertical="top"/>
      <protection locked="0" hidden="0"/>
    </xf>
    <xf numFmtId="0" fontId="3" fillId="2" borderId="19" applyAlignment="1" applyProtection="1" pivotButton="0" quotePrefix="0" xfId="61">
      <alignment horizontal="center" vertical="top"/>
      <protection locked="0" hidden="0"/>
    </xf>
    <xf numFmtId="43" fontId="3" fillId="0" borderId="18" applyAlignment="1" pivotButton="0" quotePrefix="0" xfId="3">
      <alignment vertical="center" shrinkToFit="1"/>
    </xf>
    <xf numFmtId="0" fontId="5" fillId="0" borderId="0" applyAlignment="1" applyProtection="1" pivotButton="0" quotePrefix="0" xfId="171">
      <alignment vertical="center"/>
      <protection locked="0" hidden="0"/>
    </xf>
    <xf numFmtId="0" fontId="3" fillId="0" borderId="0" applyAlignment="1" pivotButton="0" quotePrefix="0" xfId="79">
      <alignment horizontal="left" vertical="center" wrapText="1"/>
    </xf>
    <xf numFmtId="0" fontId="6" fillId="0" borderId="0" applyAlignment="1" applyProtection="1" pivotButton="0" quotePrefix="0" xfId="171">
      <alignment horizontal="center" vertical="center"/>
      <protection locked="0" hidden="0"/>
    </xf>
    <xf numFmtId="0" fontId="3" fillId="0" borderId="18" applyAlignment="1" pivotButton="0" quotePrefix="0" xfId="3">
      <alignment horizontal="left" vertical="center" shrinkToFit="1"/>
    </xf>
    <xf numFmtId="0" fontId="6" fillId="0" borderId="18" applyAlignment="1" applyProtection="1" pivotButton="0" quotePrefix="0" xfId="172">
      <alignment horizontal="left" vertical="center"/>
      <protection locked="0" hidden="0"/>
    </xf>
    <xf numFmtId="166" fontId="9" fillId="0" borderId="27" applyAlignment="1" applyProtection="1" pivotButton="0" quotePrefix="0" xfId="171">
      <alignment horizontal="right" vertical="center"/>
      <protection locked="0" hidden="0"/>
    </xf>
    <xf numFmtId="0" fontId="9" fillId="0" borderId="27" applyAlignment="1" applyProtection="1" pivotButton="0" quotePrefix="0" xfId="171">
      <alignment horizontal="left" vertical="center"/>
      <protection locked="0" hidden="0"/>
    </xf>
    <xf numFmtId="0" fontId="55" fillId="0" borderId="0" applyAlignment="1" pivotButton="0" quotePrefix="0" xfId="79">
      <alignment horizontal="left" vertical="center"/>
    </xf>
    <xf numFmtId="0" fontId="7" fillId="0" borderId="0" applyAlignment="1" pivotButton="0" quotePrefix="0" xfId="79">
      <alignment vertical="center"/>
    </xf>
    <xf numFmtId="0" fontId="5" fillId="0" borderId="24" applyAlignment="1" pivotButton="0" quotePrefix="0" xfId="151">
      <alignment vertical="center"/>
    </xf>
    <xf numFmtId="0" fontId="5" fillId="0" borderId="3" applyAlignment="1" pivotButton="0" quotePrefix="0" xfId="151">
      <alignment vertical="center"/>
    </xf>
    <xf numFmtId="0" fontId="5" fillId="0" borderId="1" applyAlignment="1" pivotButton="0" quotePrefix="0" xfId="151">
      <alignment vertical="center"/>
    </xf>
    <xf numFmtId="0" fontId="5" fillId="0" borderId="26" applyAlignment="1" pivotButton="0" quotePrefix="0" xfId="151">
      <alignment vertical="center"/>
    </xf>
    <xf numFmtId="0" fontId="3" fillId="0" borderId="24" applyAlignment="1" pivotButton="0" quotePrefix="0" xfId="168">
      <alignment vertical="center"/>
    </xf>
    <xf numFmtId="0" fontId="5" fillId="0" borderId="56" applyAlignment="1" pivotButton="0" quotePrefix="0" xfId="151">
      <alignment vertical="center"/>
    </xf>
    <xf numFmtId="0" fontId="5" fillId="0" borderId="67" applyAlignment="1" pivotButton="0" quotePrefix="0" xfId="151">
      <alignment vertical="center"/>
    </xf>
    <xf numFmtId="0" fontId="5" fillId="0" borderId="3" applyAlignment="1" applyProtection="1" pivotButton="0" quotePrefix="0" xfId="151">
      <alignment vertical="center"/>
      <protection locked="0" hidden="0"/>
    </xf>
    <xf numFmtId="0" fontId="5" fillId="0" borderId="26" applyAlignment="1" applyProtection="1" pivotButton="0" quotePrefix="0" xfId="151">
      <alignment vertical="center"/>
      <protection locked="0" hidden="0"/>
    </xf>
    <xf numFmtId="43" fontId="3" fillId="2" borderId="20" applyAlignment="1" pivotButton="0" quotePrefix="0" xfId="101">
      <alignment horizontal="right" vertical="center" shrinkToFit="1"/>
    </xf>
    <xf numFmtId="9" fontId="5" fillId="0" borderId="18" applyAlignment="1" applyProtection="1" pivotButton="0" quotePrefix="0" xfId="173">
      <alignment horizontal="center" vertical="center"/>
      <protection locked="0" hidden="0"/>
    </xf>
    <xf numFmtId="9" fontId="5" fillId="0" borderId="20" applyAlignment="1" applyProtection="1" pivotButton="0" quotePrefix="0" xfId="173">
      <alignment horizontal="center" vertical="center"/>
      <protection locked="0" hidden="0"/>
    </xf>
    <xf numFmtId="0" fontId="6" fillId="5" borderId="10" applyAlignment="1" pivotButton="0" quotePrefix="0" xfId="0">
      <alignment vertical="center"/>
    </xf>
    <xf numFmtId="0" fontId="6" fillId="5" borderId="3" applyAlignment="1" pivotButton="0" quotePrefix="0" xfId="0">
      <alignment horizontal="center" vertical="top"/>
    </xf>
    <xf numFmtId="49" fontId="3" fillId="2" borderId="26" applyAlignment="1" pivotButton="0" quotePrefix="0" xfId="0">
      <alignment horizontal="left" vertical="center" shrinkToFit="1"/>
    </xf>
    <xf numFmtId="49" fontId="3" fillId="2" borderId="28" applyAlignment="1" pivotButton="0" quotePrefix="0" xfId="0">
      <alignment horizontal="left" vertical="center" shrinkToFit="1"/>
    </xf>
    <xf numFmtId="10" fontId="3" fillId="2" borderId="18" applyAlignment="1" pivotButton="0" quotePrefix="0" xfId="86">
      <alignment horizontal="center" vertical="center" shrinkToFit="1"/>
    </xf>
    <xf numFmtId="10" fontId="3" fillId="2" borderId="20" applyAlignment="1" pivotButton="0" quotePrefix="0" xfId="86">
      <alignment horizontal="center" vertical="center" shrinkToFit="1"/>
    </xf>
    <xf numFmtId="43" fontId="3" fillId="0" borderId="18" pivotButton="0" quotePrefix="0" xfId="3"/>
    <xf numFmtId="0" fontId="6" fillId="5" borderId="51" applyAlignment="1" pivotButton="0" quotePrefix="0" xfId="79">
      <alignment horizontal="centerContinuous" vertical="center"/>
    </xf>
    <xf numFmtId="0" fontId="6" fillId="5" borderId="10" applyAlignment="1" pivotButton="0" quotePrefix="0" xfId="79">
      <alignment horizontal="centerContinuous" vertical="center"/>
    </xf>
    <xf numFmtId="0" fontId="3" fillId="0" borderId="16" applyAlignment="1" pivotButton="0" quotePrefix="0" xfId="3">
      <alignment horizontal="left" vertical="center" shrinkToFit="1"/>
    </xf>
    <xf numFmtId="0" fontId="3" fillId="0" borderId="22" applyAlignment="1" pivotButton="0" quotePrefix="0" xfId="3">
      <alignment horizontal="left" vertical="center" shrinkToFit="1"/>
    </xf>
    <xf numFmtId="0" fontId="3" fillId="0" borderId="19" applyAlignment="1" pivotButton="0" quotePrefix="0" xfId="3">
      <alignment horizontal="left" vertical="center" shrinkToFit="1"/>
    </xf>
    <xf numFmtId="43" fontId="3" fillId="0" borderId="20" pivotButton="0" quotePrefix="0" xfId="3"/>
    <xf numFmtId="0" fontId="3" fillId="0" borderId="23" applyAlignment="1" pivotButton="0" quotePrefix="0" xfId="3">
      <alignment horizontal="left" vertical="center" shrinkToFit="1"/>
    </xf>
    <xf numFmtId="0" fontId="3" fillId="0" borderId="20" applyAlignment="1" pivotButton="0" quotePrefix="0" xfId="3">
      <alignment horizontal="left" vertical="center" shrinkToFit="1"/>
    </xf>
    <xf numFmtId="0" fontId="3" fillId="2" borderId="75" applyAlignment="1" pivotButton="0" quotePrefix="0" xfId="79">
      <alignment horizontal="left" vertical="center"/>
    </xf>
    <xf numFmtId="0" fontId="3" fillId="2" borderId="79" applyAlignment="1" pivotButton="0" quotePrefix="0" xfId="79">
      <alignment horizontal="left" vertical="center"/>
    </xf>
    <xf numFmtId="0" fontId="6" fillId="5" borderId="45" applyAlignment="1" pivotButton="0" quotePrefix="0" xfId="98">
      <alignment horizontal="centerContinuous" vertical="center"/>
    </xf>
    <xf numFmtId="43" fontId="3" fillId="0" borderId="20" applyAlignment="1" pivotButton="0" quotePrefix="0" xfId="3">
      <alignment vertical="center" shrinkToFit="1"/>
    </xf>
    <xf numFmtId="0" fontId="66" fillId="0" borderId="0" applyAlignment="1" pivotButton="0" quotePrefix="0" xfId="101">
      <alignment horizontal="left" vertical="center"/>
    </xf>
    <xf numFmtId="0" fontId="3" fillId="0" borderId="0" applyAlignment="1" pivotButton="0" quotePrefix="0" xfId="101">
      <alignment vertical="center" wrapText="1"/>
    </xf>
    <xf numFmtId="0" fontId="2" fillId="0" borderId="0" applyAlignment="1" pivotButton="0" quotePrefix="0" xfId="0">
      <alignment vertical="center"/>
    </xf>
    <xf numFmtId="0" fontId="3" fillId="0" borderId="40" applyAlignment="1" applyProtection="1" pivotButton="0" quotePrefix="0" xfId="0">
      <alignment horizontal="left" vertical="center" indent="2"/>
      <protection locked="0" hidden="0"/>
    </xf>
    <xf numFmtId="0" fontId="3" fillId="0" borderId="42" applyAlignment="1" applyProtection="1" pivotButton="0" quotePrefix="0" xfId="0">
      <alignment horizontal="left" vertical="center" indent="2"/>
      <protection locked="0" hidden="0"/>
    </xf>
    <xf numFmtId="0" fontId="3" fillId="0" borderId="5" applyAlignment="1" applyProtection="1" pivotButton="0" quotePrefix="0" xfId="0">
      <alignment horizontal="left" vertical="center" indent="2"/>
      <protection locked="0" hidden="0"/>
    </xf>
    <xf numFmtId="0" fontId="6" fillId="0" borderId="16" applyAlignment="1" pivotButton="0" quotePrefix="0" xfId="151">
      <alignment horizontal="center" vertical="center"/>
    </xf>
    <xf numFmtId="0" fontId="5" fillId="0" borderId="69" applyAlignment="1" pivotButton="0" quotePrefix="0" xfId="151">
      <alignment vertical="center"/>
    </xf>
    <xf numFmtId="0" fontId="14" fillId="0" borderId="16" applyAlignment="1" pivotButton="0" quotePrefix="0" xfId="151">
      <alignment horizontal="center" vertical="center"/>
    </xf>
    <xf numFmtId="0" fontId="5" fillId="0" borderId="83" applyAlignment="1" pivotButton="0" quotePrefix="0" xfId="151">
      <alignment vertical="center"/>
    </xf>
    <xf numFmtId="0" fontId="6" fillId="0" borderId="16" applyAlignment="1" applyProtection="1" pivotButton="0" quotePrefix="0" xfId="151">
      <alignment horizontal="center" vertical="center"/>
      <protection locked="0" hidden="0"/>
    </xf>
    <xf numFmtId="0" fontId="5" fillId="0" borderId="83" applyAlignment="1" applyProtection="1" pivotButton="0" quotePrefix="0" xfId="151">
      <alignment vertical="center"/>
      <protection locked="0" hidden="0"/>
    </xf>
    <xf numFmtId="0" fontId="64" fillId="0" borderId="16" applyAlignment="1" pivotButton="0" quotePrefix="0" xfId="151">
      <alignment horizontal="center" vertical="center"/>
    </xf>
    <xf numFmtId="0" fontId="6" fillId="0" borderId="84" applyAlignment="1" pivotButton="0" quotePrefix="0" xfId="151">
      <alignment horizontal="center" vertical="center"/>
    </xf>
    <xf numFmtId="0" fontId="2" fillId="0" borderId="85" applyAlignment="1" pivotButton="0" quotePrefix="0" xfId="151">
      <alignment vertical="center"/>
    </xf>
    <xf numFmtId="0" fontId="5" fillId="0" borderId="4" applyAlignment="1" applyProtection="1" pivotButton="0" quotePrefix="0" xfId="151">
      <alignment vertical="center"/>
      <protection locked="0" hidden="0"/>
    </xf>
    <xf numFmtId="0" fontId="5" fillId="0" borderId="8" applyAlignment="1" applyProtection="1" pivotButton="0" quotePrefix="0" xfId="151">
      <alignment vertical="center"/>
      <protection locked="0" hidden="0"/>
    </xf>
    <xf numFmtId="0" fontId="26" fillId="3" borderId="0" applyAlignment="1" pivotButton="0" quotePrefix="0" xfId="4">
      <alignment vertical="center"/>
    </xf>
    <xf numFmtId="0" fontId="9" fillId="0" borderId="0" applyAlignment="1" applyProtection="1" pivotButton="0" quotePrefix="0" xfId="171">
      <alignment vertical="center"/>
      <protection locked="0" hidden="0"/>
    </xf>
    <xf numFmtId="0" fontId="9" fillId="0" borderId="0" applyAlignment="1" applyProtection="1" pivotButton="0" quotePrefix="0" xfId="171">
      <alignment horizontal="center" vertical="center"/>
      <protection locked="0" hidden="0"/>
    </xf>
    <xf numFmtId="0" fontId="8" fillId="0" borderId="0" applyAlignment="1" applyProtection="1" pivotButton="0" quotePrefix="0" xfId="0">
      <alignment vertical="center"/>
      <protection locked="0" hidden="0"/>
    </xf>
    <xf numFmtId="0" fontId="11" fillId="0" borderId="0" applyAlignment="1" pivotButton="0" quotePrefix="0" xfId="101">
      <alignment horizontal="left" vertical="center" shrinkToFit="1"/>
    </xf>
    <xf numFmtId="0" fontId="7" fillId="2" borderId="0" applyAlignment="1" pivotButton="0" quotePrefix="0" xfId="79">
      <alignment vertical="center" wrapText="1"/>
    </xf>
    <xf numFmtId="0" fontId="3" fillId="2" borderId="0" applyAlignment="1" pivotButton="0" quotePrefix="0" xfId="79">
      <alignment vertical="center" wrapText="1"/>
    </xf>
    <xf numFmtId="0" fontId="5" fillId="0" borderId="0" applyAlignment="1" pivotButton="0" quotePrefix="0" xfId="101">
      <alignment vertical="center" wrapText="1"/>
    </xf>
    <xf numFmtId="9" fontId="5" fillId="0" borderId="0" applyAlignment="1" pivotButton="0" quotePrefix="0" xfId="81">
      <alignment vertical="center" wrapText="1"/>
    </xf>
    <xf numFmtId="0" fontId="9" fillId="2" borderId="0" applyAlignment="1" pivotButton="0" quotePrefix="0" xfId="79">
      <alignment vertical="center"/>
    </xf>
    <xf numFmtId="0" fontId="9" fillId="0" borderId="0" applyAlignment="1" pivotButton="0" quotePrefix="0" xfId="79">
      <alignment vertical="center"/>
    </xf>
    <xf numFmtId="0" fontId="6" fillId="0" borderId="0" applyAlignment="1" pivotButton="0" quotePrefix="0" xfId="79">
      <alignment horizontal="center" vertical="center"/>
    </xf>
    <xf numFmtId="0" fontId="30" fillId="0" borderId="0" applyAlignment="1" pivotButton="0" quotePrefix="0" xfId="101">
      <alignment horizontal="left" vertical="center"/>
    </xf>
    <xf numFmtId="0" fontId="31" fillId="0" borderId="0" applyAlignment="1" pivotButton="0" quotePrefix="0" xfId="101">
      <alignment horizontal="left" vertical="center"/>
    </xf>
    <xf numFmtId="0" fontId="8" fillId="5" borderId="14" applyAlignment="1" pivotButton="0" quotePrefix="0" xfId="162">
      <alignment horizontal="left" vertical="center"/>
    </xf>
    <xf numFmtId="166" fontId="3" fillId="0" borderId="86" applyAlignment="1" applyProtection="1" pivotButton="0" quotePrefix="0" xfId="3">
      <alignment vertical="center" wrapText="1"/>
      <protection locked="0" hidden="0"/>
    </xf>
    <xf numFmtId="0" fontId="71" fillId="2" borderId="0" applyAlignment="1" pivotButton="0" quotePrefix="0" xfId="79">
      <alignment vertical="center"/>
    </xf>
    <xf numFmtId="0" fontId="71" fillId="2" borderId="0" applyAlignment="1" pivotButton="0" quotePrefix="0" xfId="79">
      <alignment vertical="center" wrapText="1"/>
    </xf>
    <xf numFmtId="43" fontId="71" fillId="0" borderId="0" applyAlignment="1" pivotButton="0" quotePrefix="0" xfId="101">
      <alignment horizontal="center" vertical="center" shrinkToFit="1"/>
    </xf>
    <xf numFmtId="43" fontId="8" fillId="2" borderId="0" applyAlignment="1" pivotButton="0" quotePrefix="0" xfId="79">
      <alignment horizontal="right" vertical="center" shrinkToFit="1"/>
    </xf>
    <xf numFmtId="0" fontId="9" fillId="0" borderId="0" applyAlignment="1" pivotButton="0" quotePrefix="0" xfId="101">
      <alignment vertical="center"/>
    </xf>
    <xf numFmtId="9" fontId="9" fillId="0" borderId="0" applyAlignment="1" pivotButton="0" quotePrefix="0" xfId="81">
      <alignment vertical="center"/>
    </xf>
    <xf numFmtId="0" fontId="8" fillId="0" borderId="0" applyAlignment="1" pivotButton="0" quotePrefix="0" xfId="101">
      <alignment vertical="center"/>
    </xf>
    <xf numFmtId="0" fontId="9" fillId="5" borderId="18" applyAlignment="1" pivotButton="0" quotePrefix="0" xfId="79">
      <alignment horizontal="center" vertical="center" wrapText="1"/>
    </xf>
    <xf numFmtId="0" fontId="8" fillId="13" borderId="18" applyAlignment="1" pivotButton="0" quotePrefix="0" xfId="0">
      <alignment horizontal="center" vertical="center" wrapText="1"/>
    </xf>
    <xf numFmtId="0" fontId="6" fillId="0" borderId="0" applyAlignment="1" pivotButton="0" quotePrefix="0" xfId="79">
      <alignment horizontal="center" vertical="center" wrapText="1"/>
    </xf>
    <xf numFmtId="0" fontId="8" fillId="2" borderId="0" applyAlignment="1" pivotButton="0" quotePrefix="0" xfId="79">
      <alignment vertical="center" wrapText="1"/>
    </xf>
    <xf numFmtId="0" fontId="9" fillId="0" borderId="0" applyAlignment="1" pivotButton="0" quotePrefix="0" xfId="101">
      <alignment vertical="center" wrapText="1"/>
    </xf>
    <xf numFmtId="9" fontId="9" fillId="0" borderId="0" applyAlignment="1" pivotButton="0" quotePrefix="0" xfId="81">
      <alignment vertical="center" wrapText="1"/>
    </xf>
    <xf numFmtId="0" fontId="8" fillId="0" borderId="0" applyAlignment="1" pivotButton="0" quotePrefix="0" xfId="101">
      <alignment vertical="center" wrapText="1"/>
    </xf>
    <xf numFmtId="0" fontId="6" fillId="5" borderId="18" applyAlignment="1" pivotButton="0" quotePrefix="0" xfId="79">
      <alignment horizontal="center" vertical="center"/>
    </xf>
    <xf numFmtId="0" fontId="6" fillId="5" borderId="18" applyAlignment="1" pivotButton="0" quotePrefix="0" xfId="0">
      <alignment horizontal="center" vertical="center"/>
    </xf>
    <xf numFmtId="43" fontId="6" fillId="0" borderId="0" pivotButton="0" quotePrefix="0" xfId="3"/>
    <xf numFmtId="0" fontId="8" fillId="5" borderId="50" applyAlignment="1" pivotButton="0" quotePrefix="0" xfId="79">
      <alignment horizontal="center" vertical="center"/>
    </xf>
    <xf numFmtId="0" fontId="72" fillId="5" borderId="47" applyAlignment="1" pivotButton="0" quotePrefix="0" xfId="0">
      <alignment horizontal="center" vertical="center"/>
    </xf>
    <xf numFmtId="0" fontId="8" fillId="5" borderId="47" applyAlignment="1" pivotButton="0" quotePrefix="0" xfId="79">
      <alignment horizontal="center" vertical="center"/>
    </xf>
    <xf numFmtId="0" fontId="8" fillId="5" borderId="48" applyAlignment="1" pivotButton="0" quotePrefix="0" xfId="79">
      <alignment horizontal="center" vertical="center"/>
    </xf>
    <xf numFmtId="0" fontId="73" fillId="5" borderId="12" applyAlignment="1" pivotButton="0" quotePrefix="0" xfId="101">
      <alignment vertical="center"/>
    </xf>
    <xf numFmtId="0" fontId="73" fillId="5" borderId="13" applyAlignment="1" pivotButton="0" quotePrefix="0" xfId="101">
      <alignment vertical="center"/>
    </xf>
    <xf numFmtId="0" fontId="8" fillId="5" borderId="13" applyAlignment="1" pivotButton="0" quotePrefix="0" xfId="79">
      <alignment vertical="center"/>
    </xf>
    <xf numFmtId="0" fontId="8" fillId="5" borderId="13" applyAlignment="1" pivotButton="0" quotePrefix="0" xfId="79">
      <alignment vertical="center" wrapText="1"/>
    </xf>
    <xf numFmtId="0" fontId="8" fillId="5" borderId="14" applyAlignment="1" pivotButton="0" quotePrefix="0" xfId="101">
      <alignment horizontal="center" vertical="top"/>
    </xf>
    <xf numFmtId="0" fontId="8" fillId="5" borderId="15" applyAlignment="1" pivotButton="0" quotePrefix="0" xfId="101">
      <alignment horizontal="center" vertical="top"/>
    </xf>
    <xf numFmtId="0" fontId="8" fillId="5" borderId="15" applyAlignment="1" pivotButton="0" quotePrefix="0" xfId="79">
      <alignment horizontal="center" vertical="top"/>
    </xf>
    <xf numFmtId="0" fontId="8" fillId="5" borderId="15" applyAlignment="1" pivotButton="0" quotePrefix="0" xfId="79">
      <alignment horizontal="center" vertical="top" wrapText="1"/>
    </xf>
    <xf numFmtId="0" fontId="8" fillId="11" borderId="15" applyAlignment="1" pivotButton="0" quotePrefix="0" xfId="0">
      <alignment horizontal="center" vertical="top" wrapText="1"/>
    </xf>
    <xf numFmtId="0" fontId="9" fillId="5" borderId="15" applyAlignment="1" pivotButton="0" quotePrefix="0" xfId="79">
      <alignment horizontal="center" vertical="top" wrapText="1"/>
    </xf>
    <xf numFmtId="0" fontId="8" fillId="5" borderId="17" applyAlignment="1" pivotButton="0" quotePrefix="0" xfId="79">
      <alignment horizontal="center" vertical="center" wrapText="1"/>
    </xf>
    <xf numFmtId="0" fontId="5" fillId="0" borderId="0" applyAlignment="1" pivotButton="0" quotePrefix="0" xfId="101">
      <alignment horizontal="center" vertical="center" shrinkToFit="1"/>
    </xf>
    <xf numFmtId="0" fontId="8" fillId="5" borderId="18" applyAlignment="1" pivotButton="0" quotePrefix="0" xfId="79">
      <alignment horizontal="center" vertical="center"/>
    </xf>
    <xf numFmtId="0" fontId="8" fillId="5" borderId="18" applyAlignment="1" pivotButton="0" quotePrefix="0" xfId="79">
      <alignment horizontal="center" vertical="center" wrapText="1"/>
    </xf>
    <xf numFmtId="0" fontId="3" fillId="0" borderId="0" applyAlignment="1" applyProtection="1" pivotButton="0" quotePrefix="0" xfId="0">
      <alignment vertical="center" wrapText="1"/>
      <protection locked="0" hidden="0"/>
    </xf>
    <xf numFmtId="0" fontId="3" fillId="0" borderId="4" applyAlignment="1" applyProtection="1" pivotButton="0" quotePrefix="0" xfId="0">
      <alignment horizontal="left" vertical="center" wrapText="1" indent="2"/>
      <protection locked="0" hidden="0"/>
    </xf>
    <xf numFmtId="0" fontId="3" fillId="0" borderId="8" applyAlignment="1" applyProtection="1" pivotButton="0" quotePrefix="0" xfId="0">
      <alignment horizontal="left" vertical="center" wrapText="1" indent="2"/>
      <protection locked="0" hidden="0"/>
    </xf>
    <xf numFmtId="0" fontId="8" fillId="5" borderId="68" applyAlignment="1" pivotButton="0" quotePrefix="0" xfId="79">
      <alignment vertical="center" wrapText="1"/>
    </xf>
    <xf numFmtId="167" fontId="8" fillId="5" borderId="68" applyAlignment="1" pivotButton="0" quotePrefix="0" xfId="1">
      <alignment horizontal="center" vertical="center" wrapText="1"/>
    </xf>
    <xf numFmtId="0" fontId="8" fillId="5" borderId="16" applyAlignment="1" pivotButton="0" quotePrefix="0" xfId="171">
      <alignment horizontal="center" vertical="center"/>
    </xf>
    <xf numFmtId="0" fontId="27" fillId="14" borderId="0" applyAlignment="1" pivotButton="0" quotePrefix="0" xfId="0">
      <alignment vertical="center"/>
    </xf>
    <xf numFmtId="0" fontId="26" fillId="0" borderId="0" applyAlignment="1" pivotButton="0" quotePrefix="0" xfId="4">
      <alignment vertical="center"/>
    </xf>
    <xf numFmtId="0" fontId="27" fillId="0" borderId="0" applyAlignment="1" pivotButton="0" quotePrefix="0" xfId="169">
      <alignment vertical="center"/>
    </xf>
    <xf numFmtId="0" fontId="27" fillId="0" borderId="0" pivotButton="0" quotePrefix="0" xfId="169"/>
    <xf numFmtId="0" fontId="74" fillId="0" borderId="0" pivotButton="0" quotePrefix="0" xfId="169"/>
    <xf numFmtId="0" fontId="29" fillId="0" borderId="0" pivotButton="0" quotePrefix="0" xfId="169"/>
    <xf numFmtId="0" fontId="28" fillId="0" borderId="0" pivotButton="0" quotePrefix="0" xfId="169"/>
    <xf numFmtId="0" fontId="28" fillId="0" borderId="0" applyAlignment="1" pivotButton="0" quotePrefix="0" xfId="169">
      <alignment vertical="center"/>
    </xf>
    <xf numFmtId="0" fontId="32" fillId="12" borderId="24" applyAlignment="1" pivotButton="0" quotePrefix="0" xfId="169">
      <alignment vertical="center"/>
    </xf>
    <xf numFmtId="0" fontId="32" fillId="12" borderId="26" applyAlignment="1" pivotButton="0" quotePrefix="0" xfId="169">
      <alignment vertical="center"/>
    </xf>
    <xf numFmtId="0" fontId="32" fillId="12" borderId="17" applyAlignment="1" pivotButton="0" quotePrefix="0" xfId="169">
      <alignment vertical="center"/>
    </xf>
    <xf numFmtId="0" fontId="29" fillId="0" borderId="19" applyAlignment="1" pivotButton="0" quotePrefix="0" xfId="82">
      <alignment horizontal="left" vertical="center"/>
    </xf>
    <xf numFmtId="0" fontId="65" fillId="0" borderId="65" applyAlignment="1" pivotButton="0" quotePrefix="1" xfId="4">
      <alignment horizontal="center"/>
    </xf>
    <xf numFmtId="0" fontId="5" fillId="0" borderId="89" applyAlignment="1" pivotButton="0" quotePrefix="1" xfId="4">
      <alignment horizontal="center" vertical="center" wrapText="1"/>
    </xf>
    <xf numFmtId="0" fontId="29" fillId="0" borderId="18" applyAlignment="1" pivotButton="0" quotePrefix="0" xfId="82">
      <alignment horizontal="left" vertical="center"/>
    </xf>
    <xf numFmtId="0" fontId="5" fillId="2" borderId="7" applyAlignment="1" pivotButton="0" quotePrefix="0" xfId="0">
      <alignment vertical="center"/>
    </xf>
    <xf numFmtId="0" fontId="29" fillId="0" borderId="21" applyAlignment="1" pivotButton="0" quotePrefix="0" xfId="82">
      <alignment horizontal="left" vertical="center"/>
    </xf>
    <xf numFmtId="0" fontId="6" fillId="0" borderId="10" applyAlignment="1" pivotButton="0" quotePrefix="0" xfId="0">
      <alignment horizontal="center" vertical="center"/>
    </xf>
    <xf numFmtId="14" fontId="73" fillId="0" borderId="51" applyAlignment="1" pivotButton="0" quotePrefix="0" xfId="101">
      <alignment vertical="center" wrapText="1"/>
    </xf>
    <xf numFmtId="14" fontId="73" fillId="0" borderId="45" applyAlignment="1" pivotButton="0" quotePrefix="0" xfId="101">
      <alignment vertical="center" wrapText="1"/>
    </xf>
    <xf numFmtId="14" fontId="73" fillId="0" borderId="45" applyAlignment="1" pivotButton="0" quotePrefix="0" xfId="101">
      <alignment horizontal="center" vertical="center" wrapText="1"/>
    </xf>
    <xf numFmtId="0" fontId="10" fillId="0" borderId="64" applyAlignment="1" pivotButton="0" quotePrefix="0" xfId="0">
      <alignment horizontal="center" vertical="center" wrapText="1"/>
    </xf>
    <xf numFmtId="14" fontId="73" fillId="0" borderId="47" applyAlignment="1" pivotButton="0" quotePrefix="0" xfId="101">
      <alignment horizontal="center" vertical="center" wrapText="1"/>
    </xf>
    <xf numFmtId="0" fontId="10" fillId="2" borderId="51" applyAlignment="1" pivotButton="0" quotePrefix="0" xfId="101">
      <alignment horizontal="right" vertical="center" shrinkToFit="1"/>
    </xf>
    <xf numFmtId="0" fontId="73" fillId="2" borderId="64" applyAlignment="1" pivotButton="0" quotePrefix="0" xfId="101">
      <alignment vertical="center" shrinkToFit="1"/>
    </xf>
    <xf numFmtId="0" fontId="73" fillId="4" borderId="18" applyAlignment="1" pivotButton="0" quotePrefix="0" xfId="101">
      <alignment horizontal="center" vertical="center" wrapText="1"/>
    </xf>
    <xf numFmtId="0" fontId="32" fillId="5" borderId="18" applyAlignment="1" pivotButton="0" quotePrefix="0" xfId="101">
      <alignment horizontal="center" vertical="center" wrapText="1"/>
    </xf>
    <xf numFmtId="0" fontId="73" fillId="2" borderId="18" applyAlignment="1" pivotButton="0" quotePrefix="0" xfId="101">
      <alignment horizontal="center" vertical="center" wrapText="1"/>
    </xf>
    <xf numFmtId="0" fontId="10" fillId="10" borderId="15" applyAlignment="1" pivotButton="0" quotePrefix="0" xfId="0">
      <alignment horizontal="center" vertical="center" wrapText="1"/>
    </xf>
    <xf numFmtId="0" fontId="8" fillId="2" borderId="18" applyAlignment="1" pivotButton="0" quotePrefix="0" xfId="101">
      <alignment horizontal="center" vertical="center"/>
    </xf>
    <xf numFmtId="49" fontId="6" fillId="2" borderId="26" applyAlignment="1" pivotButton="0" quotePrefix="0" xfId="0">
      <alignment horizontal="left" vertical="center" shrinkToFit="1"/>
    </xf>
    <xf numFmtId="0" fontId="10" fillId="5" borderId="19" applyAlignment="1" pivotButton="0" quotePrefix="0" xfId="162">
      <alignment horizontal="left" vertical="center"/>
    </xf>
    <xf numFmtId="0" fontId="3" fillId="0" borderId="0" applyAlignment="1" pivotButton="0" quotePrefix="0" xfId="44">
      <alignment horizontal="right"/>
    </xf>
    <xf numFmtId="0" fontId="3" fillId="0" borderId="0" applyAlignment="1" pivotButton="0" quotePrefix="0" xfId="44">
      <alignment horizontal="left" vertical="top"/>
    </xf>
    <xf numFmtId="0" fontId="3" fillId="0" borderId="0" applyAlignment="1" pivotButton="0" quotePrefix="0" xfId="44">
      <alignment horizontal="left" vertical="top" wrapText="1"/>
    </xf>
    <xf numFmtId="0" fontId="3" fillId="2" borderId="22" applyAlignment="1" pivotButton="0" quotePrefix="0" xfId="0">
      <alignment horizontal="left" vertical="center" wrapText="1"/>
    </xf>
    <xf numFmtId="0" fontId="5" fillId="2" borderId="23" applyAlignment="1" pivotButton="0" quotePrefix="0" xfId="0">
      <alignment horizontal="left" vertical="center"/>
    </xf>
    <xf numFmtId="0" fontId="3" fillId="2" borderId="20" applyAlignment="1" pivotButton="0" quotePrefix="0" xfId="79">
      <alignment horizontal="left" vertical="center" shrinkToFit="1"/>
    </xf>
    <xf numFmtId="0" fontId="5" fillId="0" borderId="0" applyAlignment="1" applyProtection="1" pivotButton="0" quotePrefix="0" xfId="0">
      <alignment horizontal="center" vertical="center"/>
      <protection locked="0" hidden="0"/>
    </xf>
    <xf numFmtId="0" fontId="79" fillId="0" borderId="0" applyAlignment="1" pivotButton="0" quotePrefix="0" xfId="0">
      <alignment horizontal="left" vertical="center"/>
    </xf>
    <xf numFmtId="0" fontId="8" fillId="5" borderId="13" applyAlignment="1" pivotButton="0" quotePrefix="0" xfId="171">
      <alignment horizontal="center" vertical="center" wrapText="1"/>
    </xf>
    <xf numFmtId="0" fontId="8" fillId="5" borderId="11" applyAlignment="1" pivotButton="0" quotePrefix="0" xfId="171">
      <alignment horizontal="center" vertical="center" wrapText="1"/>
    </xf>
    <xf numFmtId="0" fontId="8" fillId="5" borderId="12" applyAlignment="1" pivotButton="0" quotePrefix="0" xfId="171">
      <alignment horizontal="center" vertical="center" wrapText="1"/>
    </xf>
    <xf numFmtId="0" fontId="8" fillId="5" borderId="68" applyAlignment="1" pivotButton="0" quotePrefix="0" xfId="171">
      <alignment horizontal="center" vertical="center" wrapText="1"/>
    </xf>
    <xf numFmtId="0" fontId="81" fillId="0" borderId="18" applyAlignment="1" pivotButton="0" quotePrefix="1" xfId="4">
      <alignment horizontal="center" vertical="center"/>
    </xf>
    <xf numFmtId="0" fontId="81" fillId="0" borderId="20" applyAlignment="1" pivotButton="0" quotePrefix="1" xfId="4">
      <alignment horizontal="center" vertical="center"/>
    </xf>
    <xf numFmtId="0" fontId="8" fillId="5" borderId="50" applyAlignment="1" pivotButton="0" quotePrefix="0" xfId="0">
      <alignment horizontal="center" vertical="center"/>
    </xf>
    <xf numFmtId="0" fontId="2" fillId="2" borderId="16" applyAlignment="1" pivotButton="0" quotePrefix="0" xfId="0">
      <alignment horizontal="center" vertical="center"/>
    </xf>
    <xf numFmtId="166" fontId="5" fillId="0" borderId="92" applyAlignment="1" applyProtection="1" pivotButton="0" quotePrefix="0" xfId="3">
      <alignment vertical="center"/>
      <protection locked="0" hidden="0"/>
    </xf>
    <xf numFmtId="0" fontId="59" fillId="0" borderId="16" applyAlignment="1" pivotButton="0" quotePrefix="0" xfId="0">
      <alignment horizontal="center" vertical="center"/>
    </xf>
    <xf numFmtId="166" fontId="5" fillId="0" borderId="93" applyAlignment="1" applyProtection="1" pivotButton="0" quotePrefix="0" xfId="3">
      <alignment vertical="center"/>
      <protection locked="0" hidden="0"/>
    </xf>
    <xf numFmtId="0" fontId="2" fillId="2" borderId="19" applyAlignment="1" pivotButton="0" quotePrefix="0" xfId="0">
      <alignment horizontal="center" vertical="center" wrapText="1"/>
    </xf>
    <xf numFmtId="166" fontId="5" fillId="0" borderId="94" applyAlignment="1" applyProtection="1" pivotButton="0" quotePrefix="0" xfId="3">
      <alignment vertical="center"/>
      <protection locked="0" hidden="0"/>
    </xf>
    <xf numFmtId="0" fontId="8" fillId="5" borderId="51" applyAlignment="1" pivotButton="0" quotePrefix="0" xfId="0">
      <alignment horizontal="center" vertical="center"/>
    </xf>
    <xf numFmtId="0" fontId="2" fillId="0" borderId="24" applyAlignment="1" pivotButton="0" quotePrefix="0" xfId="0">
      <alignment horizontal="center" vertical="center"/>
    </xf>
    <xf numFmtId="0" fontId="2" fillId="0" borderId="25" applyAlignment="1" pivotButton="0" quotePrefix="0" xfId="0">
      <alignment horizontal="center" vertical="center"/>
    </xf>
    <xf numFmtId="166" fontId="2" fillId="0" borderId="95" applyAlignment="1" applyProtection="1" pivotButton="0" quotePrefix="0" xfId="3">
      <alignment horizontal="right" vertical="center"/>
      <protection locked="0" hidden="0"/>
    </xf>
    <xf numFmtId="166" fontId="2" fillId="0" borderId="30" applyAlignment="1" applyProtection="1" pivotButton="0" quotePrefix="0" xfId="3">
      <alignment horizontal="right" vertical="center"/>
      <protection locked="0" hidden="0"/>
    </xf>
    <xf numFmtId="168" fontId="5" fillId="0" borderId="0" applyAlignment="1" applyProtection="1" pivotButton="0" quotePrefix="0" xfId="171">
      <alignment vertical="center"/>
      <protection locked="0" hidden="0"/>
    </xf>
    <xf numFmtId="168" fontId="9" fillId="0" borderId="27" applyAlignment="1" applyProtection="1" pivotButton="0" quotePrefix="0" xfId="171">
      <alignment horizontal="right" vertical="center"/>
      <protection locked="0" hidden="0"/>
    </xf>
    <xf numFmtId="168" fontId="3" fillId="0" borderId="22" applyAlignment="1" applyProtection="1" pivotButton="0" quotePrefix="0" xfId="172">
      <alignment horizontal="right" vertical="center"/>
      <protection locked="0" hidden="0"/>
    </xf>
    <xf numFmtId="168" fontId="3" fillId="0" borderId="23" applyAlignment="1" applyProtection="1" pivotButton="0" quotePrefix="0" xfId="172">
      <alignment horizontal="right" vertical="center"/>
      <protection locked="0" hidden="0"/>
    </xf>
    <xf numFmtId="43" fontId="5" fillId="0" borderId="0" applyProtection="1" pivotButton="0" quotePrefix="0" xfId="3">
      <protection locked="0" hidden="0"/>
    </xf>
    <xf numFmtId="43" fontId="9" fillId="0" borderId="27" applyProtection="1" pivotButton="0" quotePrefix="0" xfId="3">
      <protection locked="0" hidden="0"/>
    </xf>
    <xf numFmtId="0" fontId="6" fillId="0" borderId="54" applyAlignment="1" pivotButton="0" quotePrefix="0" xfId="36">
      <alignment horizontal="left" vertical="center"/>
    </xf>
    <xf numFmtId="43" fontId="6" fillId="0" borderId="77" applyAlignment="1" pivotButton="0" quotePrefix="0" xfId="36">
      <alignment horizontal="left" vertical="center"/>
    </xf>
    <xf numFmtId="0" fontId="3" fillId="0" borderId="16" applyAlignment="1" pivotButton="0" quotePrefix="0" xfId="79">
      <alignment vertical="center" shrinkToFit="1"/>
    </xf>
    <xf numFmtId="0" fontId="3" fillId="0" borderId="18" applyAlignment="1" pivotButton="0" quotePrefix="0" xfId="79">
      <alignment vertical="center" shrinkToFit="1"/>
    </xf>
    <xf numFmtId="0" fontId="6" fillId="0" borderId="18" applyAlignment="1" pivotButton="0" quotePrefix="0" xfId="79">
      <alignment horizontal="left" vertical="center" shrinkToFit="1"/>
    </xf>
    <xf numFmtId="0" fontId="3" fillId="0" borderId="22" applyAlignment="1" pivotButton="0" quotePrefix="0" xfId="79">
      <alignment vertical="center" shrinkToFit="1"/>
    </xf>
    <xf numFmtId="0" fontId="3" fillId="0" borderId="19" applyAlignment="1" pivotButton="0" quotePrefix="0" xfId="79">
      <alignment vertical="center" shrinkToFit="1"/>
    </xf>
    <xf numFmtId="0" fontId="3" fillId="0" borderId="20" applyAlignment="1" pivotButton="0" quotePrefix="0" xfId="79">
      <alignment vertical="center" shrinkToFit="1"/>
    </xf>
    <xf numFmtId="0" fontId="3" fillId="0" borderId="23" applyAlignment="1" pivotButton="0" quotePrefix="0" xfId="79">
      <alignment vertical="center" shrinkToFit="1"/>
    </xf>
    <xf numFmtId="168" fontId="3" fillId="0" borderId="17" applyAlignment="1" pivotButton="0" quotePrefix="0" xfId="0">
      <alignment horizontal="right" vertical="center"/>
    </xf>
    <xf numFmtId="168" fontId="3" fillId="0" borderId="70" applyAlignment="1" pivotButton="0" quotePrefix="0" xfId="0">
      <alignment horizontal="right" vertical="center"/>
    </xf>
    <xf numFmtId="0" fontId="5" fillId="0" borderId="16" applyAlignment="1" pivotButton="0" quotePrefix="0" xfId="101">
      <alignment horizontal="center" vertical="center" shrinkToFit="1"/>
    </xf>
    <xf numFmtId="14" fontId="3" fillId="0" borderId="18" applyAlignment="1" pivotButton="0" quotePrefix="0" xfId="79">
      <alignment horizontal="left" vertical="center" shrinkToFit="1"/>
    </xf>
    <xf numFmtId="10" fontId="3" fillId="0" borderId="24" applyAlignment="1" pivotButton="0" quotePrefix="0" xfId="98">
      <alignment horizontal="center" vertical="center" shrinkToFit="1"/>
    </xf>
    <xf numFmtId="0" fontId="3" fillId="0" borderId="18" applyAlignment="1" pivotButton="0" quotePrefix="0" xfId="79">
      <alignment horizontal="left" vertical="center" shrinkToFit="1"/>
    </xf>
    <xf numFmtId="10" fontId="3" fillId="0" borderId="24" applyAlignment="1" pivotButton="0" quotePrefix="0" xfId="98">
      <alignment horizontal="right" vertical="center" shrinkToFit="1"/>
    </xf>
    <xf numFmtId="0" fontId="5" fillId="0" borderId="19" applyAlignment="1" pivotButton="0" quotePrefix="0" xfId="101">
      <alignment horizontal="center" vertical="center" shrinkToFit="1"/>
    </xf>
    <xf numFmtId="169" fontId="3" fillId="0" borderId="20" applyAlignment="1" pivotButton="0" quotePrefix="0" xfId="101">
      <alignment horizontal="left" vertical="center" shrinkToFit="1"/>
    </xf>
    <xf numFmtId="14" fontId="3" fillId="0" borderId="20" applyAlignment="1" pivotButton="0" quotePrefix="0" xfId="79">
      <alignment horizontal="left" vertical="center" shrinkToFit="1"/>
    </xf>
    <xf numFmtId="0" fontId="3" fillId="0" borderId="25" applyAlignment="1" pivotButton="0" quotePrefix="0" xfId="79">
      <alignment vertical="center" shrinkToFit="1"/>
    </xf>
    <xf numFmtId="0" fontId="37" fillId="0" borderId="18" applyAlignment="1" pivotButton="0" quotePrefix="0" xfId="0">
      <alignment vertical="center"/>
    </xf>
    <xf numFmtId="0" fontId="49" fillId="0" borderId="18" applyAlignment="1" pivotButton="0" quotePrefix="0" xfId="58">
      <alignment horizontal="left" vertical="center" wrapText="1"/>
    </xf>
    <xf numFmtId="0" fontId="37" fillId="0" borderId="18" applyAlignment="1" pivotButton="0" quotePrefix="0" xfId="79">
      <alignment vertical="center" wrapText="1"/>
    </xf>
    <xf numFmtId="0" fontId="3" fillId="0" borderId="16" applyAlignment="1" pivotButton="0" quotePrefix="0" xfId="101">
      <alignment horizontal="left" vertical="center" shrinkToFit="1"/>
    </xf>
    <xf numFmtId="43" fontId="3" fillId="0" borderId="54" applyAlignment="1" pivotButton="0" quotePrefix="0" xfId="79">
      <alignment horizontal="right" vertical="center" shrinkToFit="1"/>
    </xf>
    <xf numFmtId="0" fontId="3" fillId="0" borderId="19" applyAlignment="1" pivotButton="0" quotePrefix="0" xfId="101">
      <alignment horizontal="left" vertical="center" shrinkToFit="1"/>
    </xf>
    <xf numFmtId="0" fontId="3" fillId="0" borderId="77" applyAlignment="1" pivotButton="0" quotePrefix="0" xfId="36">
      <alignment horizontal="left" vertical="center"/>
    </xf>
    <xf numFmtId="43" fontId="3" fillId="0" borderId="77" applyAlignment="1" pivotButton="0" quotePrefix="0" xfId="36">
      <alignment horizontal="right" vertical="center" shrinkToFit="1"/>
    </xf>
    <xf numFmtId="43" fontId="3" fillId="0" borderId="54" applyAlignment="1" pivotButton="0" quotePrefix="0" xfId="7">
      <alignment horizontal="right" vertical="center" shrinkToFit="1"/>
    </xf>
    <xf numFmtId="10" fontId="3" fillId="0" borderId="66" applyAlignment="1" pivotButton="0" quotePrefix="0" xfId="7">
      <alignment horizontal="left" vertical="center" shrinkToFit="1"/>
    </xf>
    <xf numFmtId="43" fontId="3" fillId="0" borderId="18" applyAlignment="1" pivotButton="0" quotePrefix="0" xfId="79">
      <alignment horizontal="right" vertical="center" shrinkToFit="1"/>
    </xf>
    <xf numFmtId="43" fontId="3" fillId="0" borderId="24" applyAlignment="1" pivotButton="0" quotePrefix="0" xfId="3">
      <alignment horizontal="right" vertical="center" shrinkToFit="1"/>
    </xf>
    <xf numFmtId="0" fontId="3" fillId="0" borderId="18" applyAlignment="1" pivotButton="0" quotePrefix="0" xfId="79">
      <alignment horizontal="left" vertical="center"/>
    </xf>
    <xf numFmtId="10" fontId="3" fillId="0" borderId="54" applyAlignment="1" pivotButton="0" quotePrefix="0" xfId="7">
      <alignment horizontal="left" vertical="center" shrinkToFit="1"/>
    </xf>
    <xf numFmtId="43" fontId="3" fillId="0" borderId="63" applyAlignment="1" pivotButton="0" quotePrefix="0" xfId="79">
      <alignment horizontal="right" vertical="center" shrinkToFit="1"/>
    </xf>
    <xf numFmtId="43" fontId="3" fillId="0" borderId="60" applyAlignment="1" pivotButton="0" quotePrefix="0" xfId="79">
      <alignment horizontal="right" vertical="center" shrinkToFit="1"/>
    </xf>
    <xf numFmtId="43" fontId="3" fillId="0" borderId="52" applyAlignment="1" pivotButton="0" quotePrefix="0" xfId="3">
      <alignment horizontal="right" vertical="center" shrinkToFit="1"/>
    </xf>
    <xf numFmtId="43" fontId="3" fillId="0" borderId="66" applyAlignment="1" pivotButton="0" quotePrefix="0" xfId="79">
      <alignment horizontal="right" vertical="center" shrinkToFit="1"/>
    </xf>
    <xf numFmtId="0" fontId="3" fillId="0" borderId="20" applyAlignment="1" pivotButton="0" quotePrefix="0" xfId="79">
      <alignment horizontal="left" vertical="center" shrinkToFit="1"/>
    </xf>
    <xf numFmtId="43" fontId="3" fillId="0" borderId="77" applyAlignment="1" pivotButton="0" quotePrefix="0" xfId="7">
      <alignment horizontal="right" vertical="center" shrinkToFit="1"/>
    </xf>
    <xf numFmtId="10" fontId="3" fillId="0" borderId="77" applyAlignment="1" pivotButton="0" quotePrefix="0" xfId="7">
      <alignment horizontal="left" vertical="center" shrinkToFit="1"/>
    </xf>
    <xf numFmtId="43" fontId="3" fillId="0" borderId="77" applyAlignment="1" pivotButton="0" quotePrefix="0" xfId="79">
      <alignment horizontal="right" vertical="center" shrinkToFit="1"/>
    </xf>
    <xf numFmtId="43" fontId="3" fillId="0" borderId="78" applyAlignment="1" pivotButton="0" quotePrefix="0" xfId="79">
      <alignment horizontal="right" vertical="center" shrinkToFit="1"/>
    </xf>
    <xf numFmtId="43" fontId="3" fillId="0" borderId="25" applyAlignment="1" pivotButton="0" quotePrefix="0" xfId="3">
      <alignment horizontal="right" vertical="center" shrinkToFit="1"/>
    </xf>
    <xf numFmtId="0" fontId="3" fillId="0" borderId="20" applyAlignment="1" pivotButton="0" quotePrefix="0" xfId="79">
      <alignment horizontal="left" vertical="center"/>
    </xf>
    <xf numFmtId="0" fontId="3" fillId="0" borderId="54" applyAlignment="1" pivotButton="0" quotePrefix="0" xfId="79">
      <alignment horizontal="left" vertical="center"/>
    </xf>
    <xf numFmtId="0" fontId="3" fillId="0" borderId="76" applyAlignment="1" pivotButton="0" quotePrefix="0" xfId="79">
      <alignment horizontal="left" vertical="center"/>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0" fontId="3" fillId="0" borderId="18" applyAlignment="1" pivotButton="0" quotePrefix="0" xfId="79">
      <alignment horizontal="center" vertical="center" shrinkToFit="1"/>
    </xf>
    <xf numFmtId="0" fontId="3" fillId="0" borderId="20" applyAlignment="1" pivotButton="0" quotePrefix="0" xfId="79">
      <alignment horizontal="center" vertical="center" shrinkToFit="1"/>
    </xf>
    <xf numFmtId="168" fontId="3" fillId="0" borderId="18" applyAlignment="1" applyProtection="1" pivotButton="0" quotePrefix="0" xfId="172">
      <alignment horizontal="right" vertical="center"/>
      <protection locked="0" hidden="0"/>
    </xf>
    <xf numFmtId="168" fontId="3" fillId="0" borderId="20" applyAlignment="1" applyProtection="1" pivotButton="0" quotePrefix="0" xfId="172">
      <alignment horizontal="right" vertical="center"/>
      <protection locked="0" hidden="0"/>
    </xf>
    <xf numFmtId="0" fontId="3" fillId="0" borderId="18" applyAlignment="1" pivotButton="0" quotePrefix="0" xfId="101">
      <alignment horizontal="left" vertical="center" shrinkToFit="1"/>
    </xf>
    <xf numFmtId="0" fontId="3" fillId="0" borderId="20" applyAlignment="1" pivotButton="0" quotePrefix="0" xfId="101">
      <alignment horizontal="left" vertical="center" shrinkToFit="1"/>
    </xf>
    <xf numFmtId="0" fontId="5" fillId="0" borderId="0" applyAlignment="1" applyProtection="1" pivotButton="0" quotePrefix="0" xfId="171">
      <alignment horizontal="left" vertical="center"/>
      <protection locked="0" hidden="0"/>
    </xf>
    <xf numFmtId="0" fontId="3" fillId="2" borderId="22" applyAlignment="1" pivotButton="0" quotePrefix="0" xfId="98">
      <alignment horizontal="left" vertical="center"/>
    </xf>
    <xf numFmtId="0" fontId="3" fillId="2" borderId="23" applyAlignment="1" pivotButton="0" quotePrefix="0" xfId="98">
      <alignment horizontal="left" vertical="center"/>
    </xf>
    <xf numFmtId="0" fontId="68" fillId="0" borderId="55" applyAlignment="1" pivotButton="0" quotePrefix="0" xfId="169">
      <alignment horizontal="left"/>
    </xf>
    <xf numFmtId="0" fontId="68" fillId="0" borderId="56" applyAlignment="1" pivotButton="0" quotePrefix="0" xfId="169">
      <alignment horizontal="left"/>
    </xf>
    <xf numFmtId="0" fontId="32" fillId="0" borderId="56" applyAlignment="1" pivotButton="0" quotePrefix="0" xfId="169">
      <alignment horizontal="left"/>
    </xf>
    <xf numFmtId="0" fontId="31" fillId="0" borderId="56" applyAlignment="1" pivotButton="0" quotePrefix="0" xfId="169">
      <alignment horizontal="left"/>
    </xf>
    <xf numFmtId="0" fontId="32" fillId="0" borderId="57" applyAlignment="1" pivotButton="0" quotePrefix="0" xfId="169">
      <alignment horizontal="left"/>
    </xf>
    <xf numFmtId="0" fontId="75" fillId="0" borderId="58" applyAlignment="1" pivotButton="0" quotePrefix="0" xfId="169">
      <alignment horizontal="left"/>
    </xf>
    <xf numFmtId="0" fontId="75" fillId="0" borderId="0" applyAlignment="1" pivotButton="0" quotePrefix="0" xfId="169">
      <alignment horizontal="left"/>
    </xf>
    <xf numFmtId="0" fontId="76" fillId="0" borderId="0" applyAlignment="1" pivotButton="0" quotePrefix="0" xfId="169">
      <alignment horizontal="left"/>
    </xf>
    <xf numFmtId="0" fontId="70" fillId="0" borderId="0" applyAlignment="1" pivotButton="0" quotePrefix="0" xfId="169">
      <alignment horizontal="left"/>
    </xf>
    <xf numFmtId="0" fontId="76" fillId="0" borderId="59" applyAlignment="1" pivotButton="0" quotePrefix="0" xfId="169">
      <alignment horizontal="left"/>
    </xf>
    <xf numFmtId="0" fontId="69" fillId="0" borderId="58" applyAlignment="1" pivotButton="0" quotePrefix="0" xfId="151">
      <alignment horizontal="left" vertical="center" wrapText="1"/>
    </xf>
    <xf numFmtId="0" fontId="76" fillId="0" borderId="58" applyAlignment="1" pivotButton="0" quotePrefix="0" xfId="169">
      <alignment horizontal="left"/>
    </xf>
    <xf numFmtId="0" fontId="32" fillId="0" borderId="58" applyAlignment="1" pivotButton="0" quotePrefix="0" xfId="169">
      <alignment horizontal="left"/>
    </xf>
    <xf numFmtId="0" fontId="32" fillId="0" borderId="0" applyAlignment="1" pivotButton="0" quotePrefix="0" xfId="169">
      <alignment horizontal="left"/>
    </xf>
    <xf numFmtId="0" fontId="32" fillId="0" borderId="59" applyAlignment="1" pivotButton="0" quotePrefix="0" xfId="169">
      <alignment horizontal="left"/>
    </xf>
    <xf numFmtId="0" fontId="32" fillId="0" borderId="60" applyAlignment="1" pivotButton="0" quotePrefix="0" xfId="169">
      <alignment horizontal="left"/>
    </xf>
    <xf numFmtId="0" fontId="32" fillId="0" borderId="61" applyAlignment="1" pivotButton="0" quotePrefix="0" xfId="169">
      <alignment horizontal="left"/>
    </xf>
    <xf numFmtId="0" fontId="32" fillId="0" borderId="62" applyAlignment="1" pivotButton="0" quotePrefix="0" xfId="169">
      <alignment horizontal="left"/>
    </xf>
    <xf numFmtId="0" fontId="11" fillId="0" borderId="18" applyAlignment="1" pivotButton="0" quotePrefix="0" xfId="79">
      <alignment horizontal="center" vertical="center"/>
    </xf>
    <xf numFmtId="0" fontId="3" fillId="0" borderId="19" applyAlignment="1" pivotButton="0" quotePrefix="0" xfId="101">
      <alignment horizontal="center" vertical="center" shrinkToFit="1"/>
    </xf>
    <xf numFmtId="0" fontId="11" fillId="0" borderId="20" applyAlignment="1" pivotButton="0" quotePrefix="0" xfId="79">
      <alignment horizontal="center" vertical="center"/>
    </xf>
    <xf numFmtId="0" fontId="29" fillId="0" borderId="17" applyAlignment="1" pivotButton="0" quotePrefix="0" xfId="82">
      <alignment horizontal="left" vertical="center"/>
    </xf>
    <xf numFmtId="43" fontId="3" fillId="0" borderId="17" applyAlignment="1" pivotButton="0" quotePrefix="0" xfId="101">
      <alignment horizontal="right" vertical="center" shrinkToFit="1"/>
    </xf>
    <xf numFmtId="43" fontId="3" fillId="0" borderId="18" applyAlignment="1" pivotButton="0" quotePrefix="0" xfId="101">
      <alignment horizontal="right" vertical="center" shrinkToFit="1"/>
    </xf>
    <xf numFmtId="9" fontId="3" fillId="0" borderId="23" applyAlignment="1" applyProtection="1" pivotButton="0" quotePrefix="0" xfId="163">
      <alignment vertical="center" wrapText="1"/>
      <protection locked="0" hidden="0"/>
    </xf>
    <xf numFmtId="43" fontId="3" fillId="0" borderId="0" applyAlignment="1" pivotButton="0" quotePrefix="0" xfId="58">
      <alignment horizontal="right" vertical="center" shrinkToFit="1"/>
    </xf>
    <xf numFmtId="0" fontId="3" fillId="0" borderId="9" applyAlignment="1" pivotButton="0" quotePrefix="0" xfId="101">
      <alignment vertical="center" wrapText="1"/>
    </xf>
    <xf numFmtId="0" fontId="3" fillId="0" borderId="10" applyAlignment="1" pivotButton="0" quotePrefix="0" xfId="101">
      <alignment vertical="center" wrapText="1"/>
    </xf>
    <xf numFmtId="0" fontId="3" fillId="0" borderId="11" applyAlignment="1" pivotButton="0" quotePrefix="0" xfId="101">
      <alignment vertical="center" wrapText="1"/>
    </xf>
    <xf numFmtId="0" fontId="3" fillId="0" borderId="5" applyAlignment="1" pivotButton="0" quotePrefix="0" xfId="101">
      <alignment vertical="center" wrapText="1"/>
    </xf>
    <xf numFmtId="0" fontId="3" fillId="0" borderId="7" applyAlignment="1" pivotButton="0" quotePrefix="0" xfId="101">
      <alignment vertical="center" wrapText="1"/>
    </xf>
    <xf numFmtId="0" fontId="3" fillId="0" borderId="6" applyAlignment="1" pivotButton="0" quotePrefix="0" xfId="101">
      <alignment vertical="center" wrapText="1"/>
    </xf>
    <xf numFmtId="0" fontId="3" fillId="0" borderId="4" applyAlignment="1" pivotButton="0" quotePrefix="0" xfId="101">
      <alignment vertical="center" wrapText="1"/>
    </xf>
    <xf numFmtId="0" fontId="3" fillId="0" borderId="8" applyAlignment="1" pivotButton="0" quotePrefix="0" xfId="101">
      <alignment vertical="center" wrapText="1"/>
    </xf>
    <xf numFmtId="0" fontId="2" fillId="0" borderId="22" applyAlignment="1" pivotButton="0" quotePrefix="0" xfId="151">
      <alignment horizontal="left" vertical="center"/>
    </xf>
    <xf numFmtId="0" fontId="2" fillId="0" borderId="23" applyAlignment="1" pivotButton="0" quotePrefix="0" xfId="151">
      <alignment horizontal="left" vertical="center"/>
    </xf>
    <xf numFmtId="0" fontId="8" fillId="5" borderId="96" applyAlignment="1" pivotButton="0" quotePrefix="0" xfId="171">
      <alignment horizontal="center" vertical="center" wrapText="1"/>
    </xf>
    <xf numFmtId="0" fontId="8" fillId="5" borderId="97" applyAlignment="1" pivotButton="0" quotePrefix="0" xfId="171">
      <alignment horizontal="center" vertical="center" wrapText="1"/>
    </xf>
    <xf numFmtId="0" fontId="8" fillId="5" borderId="98" applyAlignment="1" pivotButton="0" quotePrefix="0" xfId="171">
      <alignment horizontal="center" vertical="center" wrapText="1"/>
    </xf>
    <xf numFmtId="0" fontId="8" fillId="5" borderId="99" applyAlignment="1" pivotButton="0" quotePrefix="0" xfId="176">
      <alignment horizontal="center" vertical="center" wrapText="1"/>
    </xf>
    <xf numFmtId="0" fontId="3" fillId="0" borderId="100" applyAlignment="1" pivotButton="0" quotePrefix="0" xfId="3">
      <alignment horizontal="left" vertical="center" shrinkToFit="1"/>
    </xf>
    <xf numFmtId="43" fontId="3" fillId="0" borderId="101" applyProtection="1" pivotButton="0" quotePrefix="0" xfId="3">
      <protection locked="0" hidden="0"/>
    </xf>
    <xf numFmtId="43" fontId="3" fillId="0" borderId="101" applyProtection="1" pivotButton="0" quotePrefix="0" xfId="3">
      <protection locked="0" hidden="0"/>
    </xf>
    <xf numFmtId="0" fontId="3" fillId="0" borderId="102" applyAlignment="1" pivotButton="0" quotePrefix="0" xfId="3">
      <alignment horizontal="left" vertical="center" shrinkToFit="1"/>
    </xf>
    <xf numFmtId="0" fontId="3" fillId="0" borderId="103" applyAlignment="1" pivotButton="0" quotePrefix="0" xfId="3">
      <alignment horizontal="left" vertical="center" shrinkToFit="1"/>
    </xf>
    <xf numFmtId="168" fontId="3" fillId="0" borderId="103" applyAlignment="1" applyProtection="1" pivotButton="0" quotePrefix="0" xfId="172">
      <alignment horizontal="right" vertical="center"/>
      <protection locked="0" hidden="0"/>
    </xf>
    <xf numFmtId="49" fontId="3" fillId="0" borderId="103" applyAlignment="1" pivotButton="0" quotePrefix="0" xfId="101">
      <alignment horizontal="left" vertical="center" shrinkToFit="1"/>
    </xf>
    <xf numFmtId="168" fontId="3" fillId="0" borderId="104" applyAlignment="1" pivotButton="0" quotePrefix="0" xfId="0">
      <alignment horizontal="right" vertical="center"/>
    </xf>
    <xf numFmtId="43" fontId="3" fillId="0" borderId="105" applyProtection="1" pivotButton="0" quotePrefix="0" xfId="3">
      <protection locked="0" hidden="0"/>
    </xf>
    <xf numFmtId="0" fontId="5" fillId="0" borderId="16" applyAlignment="1" pivotButton="0" quotePrefix="0" xfId="101">
      <alignment horizontal="center" vertical="center" wrapText="1" shrinkToFit="1"/>
    </xf>
    <xf numFmtId="0" fontId="5" fillId="0" borderId="18" applyAlignment="1" pivotButton="0" quotePrefix="0" xfId="101">
      <alignment horizontal="left" vertical="center" shrinkToFit="1"/>
    </xf>
    <xf numFmtId="49" fontId="3" fillId="0" borderId="18" applyAlignment="1" pivotButton="0" quotePrefix="0" xfId="3">
      <alignment horizontal="left" vertical="center" shrinkToFit="1"/>
    </xf>
    <xf numFmtId="49" fontId="3" fillId="0" borderId="20" applyAlignment="1" pivotButton="0" quotePrefix="0" xfId="3">
      <alignment horizontal="left" vertical="center" shrinkToFit="1"/>
    </xf>
    <xf numFmtId="0" fontId="3" fillId="2" borderId="18" applyAlignment="1" pivotButton="0" quotePrefix="0" xfId="98">
      <alignment horizontal="left" vertical="center" shrinkToFit="1"/>
    </xf>
    <xf numFmtId="0" fontId="3" fillId="0" borderId="15" applyAlignment="1" pivotButton="0" quotePrefix="0" xfId="98">
      <alignment horizontal="left" vertical="center" shrinkToFit="1"/>
    </xf>
    <xf numFmtId="0" fontId="3" fillId="0" borderId="22" applyAlignment="1" pivotButton="0" quotePrefix="0" xfId="98">
      <alignment horizontal="left" vertical="center" shrinkToFit="1"/>
    </xf>
    <xf numFmtId="0" fontId="3" fillId="0" borderId="18" applyAlignment="1" pivotButton="0" quotePrefix="0" xfId="98">
      <alignment horizontal="left" vertical="center" shrinkToFit="1"/>
    </xf>
    <xf numFmtId="0" fontId="3" fillId="0" borderId="23" applyAlignment="1" pivotButton="0" quotePrefix="0" xfId="79">
      <alignment horizontal="left" vertical="center" shrinkToFit="1"/>
    </xf>
    <xf numFmtId="0" fontId="3" fillId="0" borderId="65" applyAlignment="1" pivotButton="0" quotePrefix="0" xfId="79">
      <alignment horizontal="left"/>
    </xf>
    <xf numFmtId="14" fontId="3" fillId="0" borderId="18" applyAlignment="1" pivotButton="0" quotePrefix="0" xfId="79">
      <alignment horizontal="left" vertical="center"/>
    </xf>
    <xf numFmtId="49" fontId="3" fillId="0" borderId="24" applyAlignment="1" pivotButton="0" quotePrefix="0" xfId="3">
      <alignment horizontal="left" vertical="center"/>
    </xf>
    <xf numFmtId="49" fontId="3" fillId="0" borderId="24" applyAlignment="1" pivotButton="0" quotePrefix="0" xfId="3">
      <alignment horizontal="left" vertical="center" shrinkToFit="1"/>
    </xf>
    <xf numFmtId="14" fontId="3" fillId="0" borderId="20" applyAlignment="1" pivotButton="0" quotePrefix="0" xfId="79">
      <alignment horizontal="left" vertical="center"/>
    </xf>
    <xf numFmtId="49" fontId="3" fillId="0" borderId="25" applyAlignment="1" pivotButton="0" quotePrefix="0" xfId="3">
      <alignment horizontal="left" vertical="center"/>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10" fontId="3" fillId="0" borderId="24" applyAlignment="1" pivotButton="0" quotePrefix="0" xfId="98">
      <alignment horizontal="right" vertical="center"/>
    </xf>
    <xf numFmtId="10" fontId="3" fillId="0" borderId="25" applyAlignment="1" pivotButton="0" quotePrefix="0" xfId="79">
      <alignment horizontal="right" vertical="center"/>
    </xf>
    <xf numFmtId="0" fontId="8" fillId="5" borderId="91" applyAlignment="1" pivotButton="0" quotePrefix="0" xfId="0">
      <alignment horizontal="center" vertical="center"/>
    </xf>
    <xf numFmtId="0" fontId="79" fillId="0" borderId="0" applyAlignment="1" pivotButton="0" quotePrefix="0" xfId="0">
      <alignment horizontal="left" vertical="center" wrapText="1"/>
    </xf>
    <xf numFmtId="0" fontId="5" fillId="2" borderId="21" applyAlignment="1" pivotButton="0" quotePrefix="0" xfId="0">
      <alignment horizontal="left" vertical="center" wrapText="1"/>
    </xf>
    <xf numFmtId="0" fontId="5" fillId="2" borderId="15" applyAlignment="1" pivotButton="0" quotePrefix="0" xfId="0">
      <alignment horizontal="left" vertical="center" wrapText="1"/>
    </xf>
    <xf numFmtId="0" fontId="3" fillId="0" borderId="32" applyAlignment="1" pivotButton="0" quotePrefix="0" xfId="0">
      <alignment horizontal="left" vertical="top" wrapText="1"/>
    </xf>
    <xf numFmtId="0" fontId="3" fillId="0" borderId="4" applyAlignment="1" pivotButton="0" quotePrefix="0" xfId="0">
      <alignment horizontal="left" vertical="top" wrapText="1"/>
    </xf>
    <xf numFmtId="0" fontId="3" fillId="0" borderId="8" applyAlignment="1" pivotButton="0" quotePrefix="0" xfId="0">
      <alignment horizontal="left" vertical="top" wrapText="1"/>
    </xf>
    <xf numFmtId="0" fontId="8" fillId="13" borderId="46" applyAlignment="1" pivotButton="0" quotePrefix="0" xfId="151">
      <alignment horizontal="center" vertical="center"/>
    </xf>
    <xf numFmtId="0" fontId="8" fillId="13" borderId="45" applyAlignment="1" pivotButton="0" quotePrefix="0" xfId="151">
      <alignment horizontal="center" vertical="center"/>
    </xf>
    <xf numFmtId="0" fontId="8" fillId="13" borderId="49" applyAlignment="1" pivotButton="0" quotePrefix="0" xfId="151">
      <alignment horizontal="center" vertical="center"/>
    </xf>
    <xf numFmtId="0" fontId="8" fillId="5" borderId="12" applyAlignment="1" pivotButton="0" quotePrefix="0" xfId="0">
      <alignment horizontal="center" vertical="center"/>
    </xf>
    <xf numFmtId="0" fontId="8" fillId="5" borderId="91" applyAlignment="1" pivotButton="0" quotePrefix="0" xfId="0">
      <alignment horizontal="center" vertical="center"/>
    </xf>
    <xf numFmtId="0" fontId="79" fillId="0" borderId="0" applyAlignment="1" pivotButton="0" quotePrefix="0" xfId="0">
      <alignment horizontal="left" vertical="center" wrapText="1"/>
    </xf>
    <xf numFmtId="0" fontId="5" fillId="0" borderId="2" applyAlignment="1" pivotButton="0" quotePrefix="0" xfId="0">
      <alignment horizontal="left" vertical="top" wrapText="1"/>
    </xf>
    <xf numFmtId="0" fontId="40" fillId="0" borderId="0" applyAlignment="1" pivotButton="0" quotePrefix="0" xfId="0">
      <alignment horizontal="left" vertical="top" wrapText="1"/>
    </xf>
    <xf numFmtId="0" fontId="40" fillId="0" borderId="7" applyAlignment="1" pivotButton="0" quotePrefix="0" xfId="0">
      <alignment horizontal="left" vertical="top" wrapText="1"/>
    </xf>
    <xf numFmtId="0" fontId="3" fillId="2" borderId="90" applyAlignment="1" pivotButton="0" quotePrefix="0" xfId="0">
      <alignment horizontal="center" vertical="center"/>
    </xf>
    <xf numFmtId="0" fontId="3" fillId="2" borderId="14" applyAlignment="1" pivotButton="0" quotePrefix="0" xfId="0">
      <alignment horizontal="center" vertical="center"/>
    </xf>
    <xf numFmtId="0" fontId="3" fillId="2" borderId="21" applyAlignment="1" pivotButton="0" quotePrefix="0" xfId="0">
      <alignment horizontal="left" vertical="center"/>
    </xf>
    <xf numFmtId="0" fontId="3" fillId="2" borderId="15" applyAlignment="1" pivotButton="0" quotePrefix="0" xfId="0">
      <alignment horizontal="left" vertical="center"/>
    </xf>
    <xf numFmtId="0" fontId="2" fillId="2" borderId="21" applyAlignment="1" pivotButton="0" quotePrefix="0" xfId="0">
      <alignment horizontal="left" vertical="center" wrapText="1"/>
    </xf>
    <xf numFmtId="0" fontId="2" fillId="2" borderId="15" applyAlignment="1" pivotButton="0" quotePrefix="0" xfId="0">
      <alignment horizontal="left" vertical="center" wrapText="1"/>
    </xf>
    <xf numFmtId="0" fontId="5" fillId="2" borderId="21" applyAlignment="1" pivotButton="0" quotePrefix="0" xfId="0">
      <alignment horizontal="center" vertical="center"/>
    </xf>
    <xf numFmtId="0" fontId="5" fillId="2" borderId="15" applyAlignment="1" pivotButton="0" quotePrefix="0" xfId="0">
      <alignment horizontal="center" vertical="center"/>
    </xf>
    <xf numFmtId="0" fontId="5" fillId="0" borderId="21" applyAlignment="1" pivotButton="0" quotePrefix="0" xfId="0">
      <alignment horizontal="left" vertical="center" wrapText="1"/>
    </xf>
    <xf numFmtId="0" fontId="5" fillId="0" borderId="15" applyAlignment="1" pivotButton="0" quotePrefix="0" xfId="0">
      <alignment horizontal="left" vertical="center" wrapText="1"/>
    </xf>
    <xf numFmtId="0" fontId="10" fillId="0" borderId="47" applyAlignment="1" pivotButton="0" quotePrefix="0" xfId="151">
      <alignment horizontal="center" vertical="center" wrapText="1"/>
    </xf>
    <xf numFmtId="0" fontId="10" fillId="0" borderId="18" applyAlignment="1" pivotButton="0" quotePrefix="0" xfId="151">
      <alignment horizontal="center" vertical="center" wrapText="1"/>
    </xf>
    <xf numFmtId="0" fontId="10" fillId="0" borderId="48" applyAlignment="1" pivotButton="0" quotePrefix="0" xfId="151">
      <alignment horizontal="center" vertical="center" wrapText="1"/>
    </xf>
    <xf numFmtId="0" fontId="10" fillId="0" borderId="22" applyAlignment="1" pivotButton="0" quotePrefix="0" xfId="151">
      <alignment horizontal="center" vertical="center" wrapText="1"/>
    </xf>
    <xf numFmtId="0" fontId="67" fillId="0" borderId="9" applyAlignment="1" pivotButton="0" quotePrefix="0" xfId="0">
      <alignment horizontal="left" vertical="center" wrapText="1"/>
    </xf>
    <xf numFmtId="0" fontId="67" fillId="0" borderId="10" applyAlignment="1" pivotButton="0" quotePrefix="0" xfId="0">
      <alignment horizontal="left" vertical="center" wrapText="1"/>
    </xf>
    <xf numFmtId="0" fontId="67" fillId="0" borderId="11" applyAlignment="1" pivotButton="0" quotePrefix="0" xfId="0">
      <alignment horizontal="left" vertical="center" wrapText="1"/>
    </xf>
    <xf numFmtId="0" fontId="67" fillId="0" borderId="5" applyAlignment="1" pivotButton="0" quotePrefix="0" xfId="0">
      <alignment horizontal="left" vertical="center" wrapText="1"/>
    </xf>
    <xf numFmtId="0" fontId="67" fillId="0" borderId="0" applyAlignment="1" pivotButton="0" quotePrefix="0" xfId="0">
      <alignment horizontal="left" vertical="center" wrapText="1"/>
    </xf>
    <xf numFmtId="0" fontId="67" fillId="0" borderId="7" applyAlignment="1" pivotButton="0" quotePrefix="0" xfId="0">
      <alignment horizontal="left" vertical="center" wrapText="1"/>
    </xf>
    <xf numFmtId="0" fontId="67" fillId="0" borderId="6" applyAlignment="1" pivotButton="0" quotePrefix="0" xfId="0">
      <alignment horizontal="left" vertical="center" wrapText="1"/>
    </xf>
    <xf numFmtId="0" fontId="67" fillId="0" borderId="4" applyAlignment="1" pivotButton="0" quotePrefix="0" xfId="0">
      <alignment horizontal="left" vertical="center" wrapText="1"/>
    </xf>
    <xf numFmtId="0" fontId="67" fillId="0" borderId="8" applyAlignment="1" pivotButton="0" quotePrefix="0" xfId="0">
      <alignment horizontal="left" vertical="center" wrapText="1"/>
    </xf>
    <xf numFmtId="0" fontId="43" fillId="8" borderId="24" applyAlignment="1" pivotButton="0" quotePrefix="0" xfId="0">
      <alignment horizontal="left" vertical="center"/>
    </xf>
    <xf numFmtId="0" fontId="43" fillId="8" borderId="26" applyAlignment="1" pivotButton="0" quotePrefix="0" xfId="0">
      <alignment horizontal="left" vertical="center"/>
    </xf>
    <xf numFmtId="0" fontId="43" fillId="8" borderId="17" applyAlignment="1" pivotButton="0" quotePrefix="0" xfId="0">
      <alignment horizontal="left" vertical="center"/>
    </xf>
    <xf numFmtId="0" fontId="48" fillId="0" borderId="24" applyAlignment="1" pivotButton="0" quotePrefix="0" xfId="0">
      <alignment vertical="center" wrapText="1"/>
    </xf>
    <xf numFmtId="0" fontId="48" fillId="0" borderId="26" applyAlignment="1" pivotButton="0" quotePrefix="0" xfId="0">
      <alignment vertical="center" wrapText="1"/>
    </xf>
    <xf numFmtId="0" fontId="48" fillId="0" borderId="17" applyAlignment="1" pivotButton="0" quotePrefix="0" xfId="0">
      <alignment vertical="center" wrapText="1"/>
    </xf>
    <xf numFmtId="0" fontId="3" fillId="0" borderId="9" applyAlignment="1" applyProtection="1" pivotButton="0" quotePrefix="0" xfId="101">
      <alignment horizontal="left" vertical="center" wrapText="1"/>
      <protection locked="0" hidden="0"/>
    </xf>
    <xf numFmtId="0" fontId="3" fillId="0" borderId="10" applyAlignment="1" applyProtection="1" pivotButton="0" quotePrefix="0" xfId="101">
      <alignment horizontal="left" vertical="center" wrapText="1"/>
      <protection locked="0" hidden="0"/>
    </xf>
    <xf numFmtId="0" fontId="3" fillId="0" borderId="11" applyAlignment="1" applyProtection="1" pivotButton="0" quotePrefix="0" xfId="101">
      <alignment horizontal="left" vertical="center" wrapText="1"/>
      <protection locked="0" hidden="0"/>
    </xf>
    <xf numFmtId="0" fontId="3" fillId="0" borderId="5" applyAlignment="1" applyProtection="1" pivotButton="0" quotePrefix="0" xfId="101">
      <alignment horizontal="left" vertical="center" wrapText="1"/>
      <protection locked="0" hidden="0"/>
    </xf>
    <xf numFmtId="0" fontId="3" fillId="0" borderId="0" applyAlignment="1" applyProtection="1" pivotButton="0" quotePrefix="0" xfId="101">
      <alignment horizontal="left" vertical="center" wrapText="1"/>
      <protection locked="0" hidden="0"/>
    </xf>
    <xf numFmtId="0" fontId="3" fillId="0" borderId="7" applyAlignment="1" applyProtection="1" pivotButton="0" quotePrefix="0" xfId="101">
      <alignment horizontal="left" vertical="center" wrapText="1"/>
      <protection locked="0" hidden="0"/>
    </xf>
    <xf numFmtId="0" fontId="3" fillId="0" borderId="6" applyAlignment="1" applyProtection="1" pivotButton="0" quotePrefix="0" xfId="101">
      <alignment horizontal="left" vertical="center" wrapText="1"/>
      <protection locked="0" hidden="0"/>
    </xf>
    <xf numFmtId="0" fontId="3" fillId="0" borderId="4" applyAlignment="1" applyProtection="1" pivotButton="0" quotePrefix="0" xfId="101">
      <alignment horizontal="left" vertical="center" wrapText="1"/>
      <protection locked="0" hidden="0"/>
    </xf>
    <xf numFmtId="0" fontId="3" fillId="0" borderId="8" applyAlignment="1" applyProtection="1" pivotButton="0" quotePrefix="0" xfId="101">
      <alignment horizontal="left" vertical="center" wrapText="1"/>
      <protection locked="0" hidden="0"/>
    </xf>
    <xf numFmtId="0" fontId="31" fillId="0" borderId="12" applyAlignment="1" pivotButton="0" quotePrefix="0" xfId="101">
      <alignment horizontal="center" vertical="center"/>
    </xf>
    <xf numFmtId="0" fontId="31" fillId="0" borderId="14" applyAlignment="1" pivotButton="0" quotePrefix="0" xfId="101">
      <alignment horizontal="center" vertical="center"/>
    </xf>
    <xf numFmtId="0" fontId="10" fillId="0" borderId="13" applyAlignment="1" pivotButton="0" quotePrefix="0" xfId="101">
      <alignment horizontal="center" vertical="center" wrapText="1"/>
    </xf>
    <xf numFmtId="0" fontId="10" fillId="0" borderId="80" applyAlignment="1" pivotButton="0" quotePrefix="0" xfId="101">
      <alignment horizontal="center" vertical="center" wrapText="1"/>
    </xf>
    <xf numFmtId="164" fontId="31" fillId="5" borderId="46" applyAlignment="1" pivotButton="0" quotePrefix="0" xfId="49">
      <alignment horizontal="center" vertical="center" wrapText="1"/>
    </xf>
    <xf numFmtId="164" fontId="31" fillId="5" borderId="49" applyAlignment="1" pivotButton="0" quotePrefix="0" xfId="49">
      <alignment horizontal="center" vertical="center" wrapText="1"/>
    </xf>
    <xf numFmtId="0" fontId="31" fillId="0" borderId="13" applyAlignment="1" pivotButton="0" quotePrefix="0" xfId="101">
      <alignment horizontal="center" vertical="center"/>
    </xf>
    <xf numFmtId="0" fontId="31" fillId="0" borderId="15" applyAlignment="1" pivotButton="0" quotePrefix="0" xfId="101">
      <alignment horizontal="center" vertical="center"/>
    </xf>
    <xf numFmtId="0" fontId="53" fillId="0" borderId="18" applyAlignment="1" pivotButton="0" quotePrefix="0" xfId="151">
      <alignment vertical="center" wrapText="1"/>
    </xf>
    <xf numFmtId="0" fontId="84" fillId="0" borderId="9" applyAlignment="1" pivotButton="0" quotePrefix="0" xfId="101">
      <alignment horizontal="left" vertical="center" wrapText="1" shrinkToFit="1"/>
    </xf>
    <xf numFmtId="0" fontId="2" fillId="0" borderId="10" applyAlignment="1" pivotButton="0" quotePrefix="0" xfId="101">
      <alignment horizontal="left" vertical="center" shrinkToFit="1"/>
    </xf>
    <xf numFmtId="0" fontId="2" fillId="0" borderId="11" applyAlignment="1" pivotButton="0" quotePrefix="0" xfId="101">
      <alignment horizontal="left" vertical="center" shrinkToFit="1"/>
    </xf>
    <xf numFmtId="0" fontId="2" fillId="0" borderId="5" applyAlignment="1" pivotButton="0" quotePrefix="0" xfId="101">
      <alignment horizontal="left" vertical="center" wrapText="1" shrinkToFit="1"/>
    </xf>
    <xf numFmtId="0" fontId="2" fillId="0" borderId="0" applyAlignment="1" pivotButton="0" quotePrefix="0" xfId="101">
      <alignment horizontal="left" vertical="center" shrinkToFit="1"/>
    </xf>
    <xf numFmtId="0" fontId="2" fillId="0" borderId="7" applyAlignment="1" pivotButton="0" quotePrefix="0" xfId="101">
      <alignment horizontal="left" vertical="center" shrinkToFit="1"/>
    </xf>
    <xf numFmtId="0" fontId="2" fillId="0" borderId="6" applyAlignment="1" pivotButton="0" quotePrefix="0" xfId="101">
      <alignment horizontal="left" vertical="center" shrinkToFit="1"/>
    </xf>
    <xf numFmtId="0" fontId="2" fillId="0" borderId="4" applyAlignment="1" pivotButton="0" quotePrefix="0" xfId="101">
      <alignment horizontal="left" vertical="center" shrinkToFit="1"/>
    </xf>
    <xf numFmtId="0" fontId="2" fillId="0" borderId="8" applyAlignment="1" pivotButton="0" quotePrefix="0" xfId="101">
      <alignment horizontal="left" vertical="center" shrinkToFit="1"/>
    </xf>
    <xf numFmtId="0" fontId="3" fillId="0" borderId="9" applyAlignment="1" pivotButton="0" quotePrefix="0" xfId="0">
      <alignment horizontal="left" vertical="center" wrapText="1"/>
    </xf>
    <xf numFmtId="0" fontId="3" fillId="0" borderId="10" applyAlignment="1" pivotButton="0" quotePrefix="0" xfId="0">
      <alignment horizontal="left" vertical="center" wrapText="1"/>
    </xf>
    <xf numFmtId="0" fontId="3" fillId="0" borderId="11" applyAlignment="1" pivotButton="0" quotePrefix="0" xfId="0">
      <alignment horizontal="left" vertical="center" wrapText="1"/>
    </xf>
    <xf numFmtId="0" fontId="3" fillId="0" borderId="5" applyAlignment="1" pivotButton="0" quotePrefix="0" xfId="0">
      <alignment horizontal="left" vertical="center" wrapText="1"/>
    </xf>
    <xf numFmtId="0" fontId="3" fillId="0" borderId="0" applyAlignment="1" pivotButton="0" quotePrefix="0" xfId="0">
      <alignment horizontal="left" vertical="center" wrapText="1"/>
    </xf>
    <xf numFmtId="0" fontId="3" fillId="0" borderId="7" applyAlignment="1" pivotButton="0" quotePrefix="0" xfId="0">
      <alignment horizontal="left" vertical="center" wrapText="1"/>
    </xf>
    <xf numFmtId="0" fontId="3" fillId="0" borderId="6" applyAlignment="1" pivotButton="0" quotePrefix="0" xfId="0">
      <alignment horizontal="left" vertical="center" wrapText="1"/>
    </xf>
    <xf numFmtId="0" fontId="3" fillId="0" borderId="4" applyAlignment="1" pivotButton="0" quotePrefix="0" xfId="0">
      <alignment horizontal="left" vertical="center" wrapText="1"/>
    </xf>
    <xf numFmtId="0" fontId="3" fillId="0" borderId="8" applyAlignment="1" pivotButton="0" quotePrefix="0" xfId="0">
      <alignment horizontal="left" vertical="center" wrapText="1"/>
    </xf>
    <xf numFmtId="167" fontId="8" fillId="5" borderId="11" applyAlignment="1" pivotButton="0" quotePrefix="0" xfId="1">
      <alignment horizontal="center" vertical="center" wrapText="1"/>
    </xf>
    <xf numFmtId="167" fontId="8" fillId="5" borderId="69" applyAlignment="1" pivotButton="0" quotePrefix="0" xfId="1">
      <alignment horizontal="center" vertical="center" wrapText="1"/>
    </xf>
    <xf numFmtId="167" fontId="8" fillId="5" borderId="51" applyAlignment="1" pivotButton="0" quotePrefix="0" xfId="1">
      <alignment horizontal="center" vertical="center" wrapText="1"/>
    </xf>
    <xf numFmtId="167" fontId="8" fillId="5" borderId="24" applyAlignment="1" pivotButton="0" quotePrefix="0" xfId="1">
      <alignment horizontal="center" vertical="center" wrapText="1"/>
    </xf>
    <xf numFmtId="0" fontId="31" fillId="5" borderId="13" applyAlignment="1" pivotButton="0" quotePrefix="0" xfId="1">
      <alignment horizontal="center" vertical="center" wrapText="1"/>
    </xf>
    <xf numFmtId="0" fontId="8" fillId="5" borderId="15" applyAlignment="1" pivotButton="0" quotePrefix="0" xfId="1">
      <alignment horizontal="center" vertical="center" wrapText="1"/>
    </xf>
    <xf numFmtId="0" fontId="8" fillId="5" borderId="87" applyAlignment="1" pivotButton="0" quotePrefix="0" xfId="79">
      <alignment horizontal="center" vertical="center" wrapText="1"/>
    </xf>
    <xf numFmtId="0" fontId="8" fillId="5" borderId="88" applyAlignment="1" pivotButton="0" quotePrefix="0" xfId="79">
      <alignment horizontal="center" vertical="center" wrapText="1"/>
    </xf>
    <xf numFmtId="0" fontId="8" fillId="5" borderId="72" applyAlignment="1" pivotButton="0" quotePrefix="0" xfId="79">
      <alignment horizontal="center" vertical="center" wrapText="1"/>
    </xf>
    <xf numFmtId="0" fontId="8" fillId="5" borderId="54" applyAlignment="1" pivotButton="0" quotePrefix="0" xfId="79">
      <alignment horizontal="center" vertical="center" wrapText="1"/>
    </xf>
    <xf numFmtId="0" fontId="9" fillId="5" borderId="74" applyAlignment="1" pivotButton="0" quotePrefix="0" xfId="79">
      <alignment horizontal="center" vertical="center" wrapText="1"/>
    </xf>
    <xf numFmtId="0" fontId="9" fillId="5" borderId="75" applyAlignment="1" pivotButton="0" quotePrefix="0" xfId="79">
      <alignment horizontal="center" vertical="center" wrapText="1"/>
    </xf>
    <xf numFmtId="0" fontId="9" fillId="5" borderId="81" applyAlignment="1" pivotButton="0" quotePrefix="0" xfId="79">
      <alignment horizontal="center" vertical="center" wrapText="1"/>
    </xf>
    <xf numFmtId="0" fontId="9" fillId="5" borderId="82" applyAlignment="1" pivotButton="0" quotePrefix="0" xfId="79">
      <alignment horizontal="center" vertical="center" wrapText="1"/>
    </xf>
    <xf numFmtId="0" fontId="9" fillId="5" borderId="47" applyAlignment="1" pivotButton="0" quotePrefix="0" xfId="79">
      <alignment horizontal="center" vertical="center"/>
    </xf>
    <xf numFmtId="0" fontId="8" fillId="13" borderId="21" applyAlignment="1" pivotButton="0" quotePrefix="0" xfId="0">
      <alignment horizontal="center" vertical="center" wrapText="1"/>
    </xf>
    <xf numFmtId="0" fontId="8" fillId="13" borderId="15" applyAlignment="1" pivotButton="0" quotePrefix="0" xfId="0">
      <alignment horizontal="center" vertical="center" wrapText="1"/>
    </xf>
    <xf numFmtId="0" fontId="6" fillId="5" borderId="68" applyAlignment="1" pivotButton="0" quotePrefix="0" xfId="79">
      <alignment horizontal="center" vertical="center" wrapText="1"/>
    </xf>
    <xf numFmtId="0" fontId="6" fillId="5" borderId="73" applyAlignment="1" pivotButton="0" quotePrefix="0" xfId="79">
      <alignment horizontal="center" vertical="center" wrapText="1"/>
    </xf>
    <xf numFmtId="0" fontId="8" fillId="5" borderId="71" applyAlignment="1" pivotButton="0" quotePrefix="0" xfId="79">
      <alignment horizontal="center" vertical="center" wrapText="1"/>
    </xf>
    <xf numFmtId="0" fontId="8" fillId="5" borderId="65" applyAlignment="1" pivotButton="0" quotePrefix="0" xfId="79">
      <alignment horizontal="center" vertical="center" wrapText="1"/>
    </xf>
    <xf numFmtId="0" fontId="9" fillId="5" borderId="47" applyAlignment="1" pivotButton="0" quotePrefix="0" xfId="79">
      <alignment horizontal="center" vertical="center" wrapText="1"/>
    </xf>
    <xf numFmtId="0" fontId="9" fillId="5" borderId="18" applyAlignment="1" pivotButton="0" quotePrefix="0" xfId="79">
      <alignment horizontal="center" vertical="center"/>
    </xf>
    <xf numFmtId="0" fontId="9" fillId="5" borderId="21" applyAlignment="1" pivotButton="0" quotePrefix="0" xfId="79">
      <alignment horizontal="center" vertical="center" wrapText="1"/>
    </xf>
    <xf numFmtId="0" fontId="9" fillId="5" borderId="80" applyAlignment="1" pivotButton="0" quotePrefix="0" xfId="79">
      <alignment horizontal="center" vertical="center" wrapText="1"/>
    </xf>
    <xf numFmtId="0" fontId="49" fillId="0" borderId="18" applyAlignment="1" pivotButton="0" quotePrefix="0" xfId="79">
      <alignment vertical="center" wrapText="1"/>
    </xf>
    <xf numFmtId="0" fontId="8" fillId="5" borderId="47" applyAlignment="1" pivotButton="0" quotePrefix="0" xfId="171">
      <alignment horizontal="center" vertical="center" wrapText="1"/>
    </xf>
    <xf numFmtId="0" fontId="8" fillId="5" borderId="18" applyAlignment="1" pivotButton="0" quotePrefix="0" xfId="171">
      <alignment horizontal="center" vertical="center" wrapText="1"/>
    </xf>
    <xf numFmtId="0" fontId="3" fillId="0" borderId="9" applyAlignment="1" pivotButton="0" quotePrefix="0" xfId="101">
      <alignment horizontal="left" vertical="center" wrapText="1" shrinkToFit="1"/>
    </xf>
    <xf numFmtId="0" fontId="3" fillId="0" borderId="10" applyAlignment="1" pivotButton="0" quotePrefix="0" xfId="101">
      <alignment horizontal="left" vertical="center" shrinkToFit="1"/>
    </xf>
    <xf numFmtId="0" fontId="3" fillId="0" borderId="11" applyAlignment="1" pivotButton="0" quotePrefix="0" xfId="101">
      <alignment horizontal="left" vertical="center" shrinkToFit="1"/>
    </xf>
    <xf numFmtId="0" fontId="3" fillId="0" borderId="5" applyAlignment="1" pivotButton="0" quotePrefix="0" xfId="101">
      <alignment horizontal="left" vertical="center" shrinkToFit="1"/>
    </xf>
    <xf numFmtId="0" fontId="3" fillId="0" borderId="0" applyAlignment="1" pivotButton="0" quotePrefix="0" xfId="101">
      <alignment horizontal="left" vertical="center" shrinkToFit="1"/>
    </xf>
    <xf numFmtId="0" fontId="3" fillId="0" borderId="7" applyAlignment="1" pivotButton="0" quotePrefix="0" xfId="101">
      <alignment horizontal="left" vertical="center" shrinkToFit="1"/>
    </xf>
    <xf numFmtId="0" fontId="3" fillId="0" borderId="6" applyAlignment="1" pivotButton="0" quotePrefix="0" xfId="101">
      <alignment horizontal="left" vertical="center" shrinkToFit="1"/>
    </xf>
    <xf numFmtId="0" fontId="3" fillId="0" borderId="4" applyAlignment="1" pivotButton="0" quotePrefix="0" xfId="101">
      <alignment horizontal="left" vertical="center" shrinkToFit="1"/>
    </xf>
    <xf numFmtId="0" fontId="3" fillId="0" borderId="8" applyAlignment="1" pivotButton="0" quotePrefix="0" xfId="101">
      <alignment horizontal="left" vertical="center" shrinkToFit="1"/>
    </xf>
    <xf numFmtId="0" fontId="8" fillId="5" borderId="48" applyAlignment="1" pivotButton="0" quotePrefix="0" xfId="1">
      <alignment horizontal="center" vertical="center" wrapText="1"/>
    </xf>
    <xf numFmtId="0" fontId="8" fillId="5" borderId="22" applyAlignment="1" pivotButton="0" quotePrefix="0" xfId="1">
      <alignment horizontal="center" vertical="center" wrapText="1"/>
    </xf>
    <xf numFmtId="0" fontId="3" fillId="2" borderId="0" applyAlignment="1" pivotButton="0" quotePrefix="0" xfId="79">
      <alignment horizontal="center" vertical="center"/>
    </xf>
    <xf numFmtId="0" fontId="8" fillId="5" borderId="48" applyAlignment="1" pivotButton="0" quotePrefix="0" xfId="171">
      <alignment horizontal="center" vertical="center" wrapText="1"/>
    </xf>
    <xf numFmtId="0" fontId="8" fillId="5" borderId="22" applyAlignment="1" pivotButton="0" quotePrefix="0" xfId="171">
      <alignment horizontal="center" vertical="center" wrapText="1"/>
    </xf>
    <xf numFmtId="0" fontId="10" fillId="5" borderId="46" applyAlignment="1" pivotButton="0" quotePrefix="0" xfId="79">
      <alignment horizontal="center" vertical="center"/>
    </xf>
    <xf numFmtId="0" fontId="10" fillId="5" borderId="45" applyAlignment="1" pivotButton="0" quotePrefix="0" xfId="79">
      <alignment horizontal="center" vertical="center"/>
    </xf>
    <xf numFmtId="0" fontId="10" fillId="5" borderId="64" applyAlignment="1" pivotButton="0" quotePrefix="0" xfId="79">
      <alignment horizontal="center" vertical="center"/>
    </xf>
    <xf numFmtId="0" fontId="87" fillId="0" borderId="0" applyAlignment="1" pivotButton="0" quotePrefix="0" xfId="0">
      <alignment vertical="center"/>
    </xf>
    <xf numFmtId="0" fontId="0" fillId="0" borderId="0" pivotButton="0" quotePrefix="0" xfId="0"/>
    <xf numFmtId="43" fontId="5" fillId="2" borderId="7" applyAlignment="1" pivotButton="0" quotePrefix="0" xfId="0">
      <alignment horizontal="right" vertical="center" shrinkToFit="1"/>
    </xf>
    <xf numFmtId="43" fontId="5" fillId="3" borderId="7" applyAlignment="1" pivotButton="0" quotePrefix="0" xfId="0">
      <alignment horizontal="right" vertical="center" shrinkToFit="1"/>
    </xf>
    <xf numFmtId="172" fontId="5" fillId="4" borderId="0" applyAlignment="1" pivotButton="0" quotePrefix="0" xfId="0">
      <alignment horizontal="center" vertical="center" shrinkToFit="1"/>
    </xf>
    <xf numFmtId="43" fontId="5" fillId="5" borderId="7" applyAlignment="1" pivotButton="0" quotePrefix="0" xfId="0">
      <alignment horizontal="right" vertical="center" shrinkToFit="1"/>
    </xf>
    <xf numFmtId="0" fontId="0" fillId="0" borderId="111" pivotButton="0" quotePrefix="0" xfId="0"/>
    <xf numFmtId="166" fontId="2" fillId="0" borderId="95" applyAlignment="1" applyProtection="1" pivotButton="0" quotePrefix="0" xfId="3">
      <alignment horizontal="right" vertical="center"/>
      <protection locked="0" hidden="0"/>
    </xf>
    <xf numFmtId="166" fontId="5" fillId="0" borderId="92" applyAlignment="1" applyProtection="1" pivotButton="0" quotePrefix="0" xfId="3">
      <alignment vertical="center"/>
      <protection locked="0" hidden="0"/>
    </xf>
    <xf numFmtId="166" fontId="5" fillId="0" borderId="93" applyAlignment="1" applyProtection="1" pivotButton="0" quotePrefix="0" xfId="3">
      <alignment vertical="center"/>
      <protection locked="0" hidden="0"/>
    </xf>
    <xf numFmtId="166" fontId="2" fillId="0" borderId="30" applyAlignment="1" applyProtection="1" pivotButton="0" quotePrefix="0" xfId="3">
      <alignment horizontal="right" vertical="center"/>
      <protection locked="0" hidden="0"/>
    </xf>
    <xf numFmtId="166" fontId="5" fillId="0" borderId="94" applyAlignment="1" applyProtection="1" pivotButton="0" quotePrefix="0" xfId="3">
      <alignment vertical="center"/>
      <protection locked="0" hidden="0"/>
    </xf>
    <xf numFmtId="0" fontId="3" fillId="2" borderId="16" applyAlignment="1" pivotButton="0" quotePrefix="0" xfId="0">
      <alignment horizontal="center" vertical="center"/>
    </xf>
    <xf numFmtId="0" fontId="2" fillId="2" borderId="18" applyAlignment="1" pivotButton="0" quotePrefix="0" xfId="0">
      <alignment horizontal="left" vertical="center" wrapText="1"/>
    </xf>
    <xf numFmtId="0" fontId="5" fillId="2" borderId="18" applyAlignment="1" pivotButton="0" quotePrefix="0" xfId="0">
      <alignment horizontal="left" vertical="center" wrapText="1"/>
    </xf>
    <xf numFmtId="0" fontId="0" fillId="0" borderId="14" pivotButton="0" quotePrefix="0" xfId="0"/>
    <xf numFmtId="0" fontId="0" fillId="0" borderId="15" pivotButton="0" quotePrefix="0" xfId="0"/>
    <xf numFmtId="0" fontId="5" fillId="0" borderId="112" applyAlignment="1" pivotButton="0" quotePrefix="0" xfId="0">
      <alignment horizontal="left" vertical="top" wrapText="1"/>
    </xf>
    <xf numFmtId="0" fontId="0" fillId="0" borderId="7" pivotButton="0" quotePrefix="0" xfId="0"/>
    <xf numFmtId="0" fontId="3" fillId="0" borderId="107" applyAlignment="1" pivotButton="0" quotePrefix="0" xfId="0">
      <alignment horizontal="left" vertical="top" wrapText="1"/>
    </xf>
    <xf numFmtId="0" fontId="0" fillId="0" borderId="108" pivotButton="0" quotePrefix="0" xfId="0"/>
    <xf numFmtId="0" fontId="0" fillId="0" borderId="109" pivotButton="0" quotePrefix="0" xfId="0"/>
    <xf numFmtId="0" fontId="8" fillId="13" borderId="110" applyAlignment="1" pivotButton="0" quotePrefix="0" xfId="151">
      <alignment horizontal="center" vertical="center"/>
    </xf>
    <xf numFmtId="0" fontId="0" fillId="0" borderId="45" pivotButton="0" quotePrefix="0" xfId="0"/>
    <xf numFmtId="0" fontId="0" fillId="0" borderId="49" pivotButton="0" quotePrefix="0" xfId="0"/>
    <xf numFmtId="0" fontId="43" fillId="8" borderId="18" applyAlignment="1" pivotButton="0" quotePrefix="0" xfId="0">
      <alignment horizontal="left" vertical="center"/>
    </xf>
    <xf numFmtId="0" fontId="0" fillId="0" borderId="26" pivotButton="0" quotePrefix="0" xfId="0"/>
    <xf numFmtId="0" fontId="0" fillId="0" borderId="17" pivotButton="0" quotePrefix="0" xfId="0"/>
    <xf numFmtId="0" fontId="48" fillId="0" borderId="18" applyAlignment="1" pivotButton="0" quotePrefix="0" xfId="0">
      <alignment vertical="center" wrapText="1"/>
    </xf>
    <xf numFmtId="164" fontId="3" fillId="2" borderId="0" applyAlignment="1" pivotButton="0" quotePrefix="0" xfId="49">
      <alignment vertical="center" wrapText="1"/>
    </xf>
    <xf numFmtId="164" fontId="3" fillId="0" borderId="0" applyAlignment="1" pivotButton="0" quotePrefix="0" xfId="49">
      <alignment vertical="center" wrapText="1"/>
    </xf>
    <xf numFmtId="0" fontId="3" fillId="0" borderId="114" applyAlignment="1" applyProtection="1" pivotButton="0" quotePrefix="0" xfId="101">
      <alignment horizontal="left"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5"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6" applyProtection="1" pivotButton="0" quotePrefix="0" xfId="0">
      <protection locked="0" hidden="0"/>
    </xf>
    <xf numFmtId="0" fontId="0" fillId="0" borderId="4" applyProtection="1" pivotButton="0" quotePrefix="0" xfId="0">
      <protection locked="0" hidden="0"/>
    </xf>
    <xf numFmtId="0" fontId="0" fillId="0" borderId="8" applyProtection="1" pivotButton="0" quotePrefix="0" xfId="0">
      <protection locked="0" hidden="0"/>
    </xf>
    <xf numFmtId="164" fontId="31" fillId="5" borderId="110" applyAlignment="1" pivotButton="0" quotePrefix="0" xfId="49">
      <alignment horizontal="center" vertical="center" wrapText="1"/>
    </xf>
    <xf numFmtId="166" fontId="3" fillId="0" borderId="86" applyAlignment="1" applyProtection="1" pivotButton="0" quotePrefix="0" xfId="3">
      <alignment vertical="center" wrapText="1"/>
      <protection locked="0" hidden="0"/>
    </xf>
    <xf numFmtId="164" fontId="6" fillId="2" borderId="0" applyAlignment="1" pivotButton="0" quotePrefix="0" xfId="49">
      <alignment horizontal="center" vertical="center" wrapText="1"/>
    </xf>
    <xf numFmtId="0" fontId="31" fillId="0" borderId="116" applyAlignment="1" pivotButton="0" quotePrefix="0" xfId="101">
      <alignment horizontal="center" vertical="center"/>
    </xf>
    <xf numFmtId="0" fontId="31" fillId="0" borderId="47" applyAlignment="1" pivotButton="0" quotePrefix="0" xfId="101">
      <alignment horizontal="center" vertical="center"/>
    </xf>
    <xf numFmtId="0" fontId="10" fillId="0" borderId="117" applyAlignment="1" pivotButton="0" quotePrefix="0" xfId="101">
      <alignment horizontal="center" vertical="center" wrapText="1"/>
    </xf>
    <xf numFmtId="172" fontId="73" fillId="0" borderId="45" applyAlignment="1" pivotButton="0" quotePrefix="0" xfId="101">
      <alignment horizontal="center" vertical="center" wrapText="1"/>
    </xf>
    <xf numFmtId="172" fontId="73" fillId="0" borderId="47" applyAlignment="1" pivotButton="0" quotePrefix="0" xfId="101">
      <alignment horizontal="center" vertical="center" wrapText="1"/>
    </xf>
    <xf numFmtId="0" fontId="0" fillId="0" borderId="80" pivotButton="0" quotePrefix="0" xfId="0"/>
    <xf numFmtId="0" fontId="0" fillId="0" borderId="86" pivotButton="0" quotePrefix="0" xfId="0"/>
    <xf numFmtId="43" fontId="3" fillId="0" borderId="17" applyAlignment="1" pivotButton="0" quotePrefix="0" xfId="101">
      <alignment horizontal="right" vertical="center" shrinkToFit="1"/>
    </xf>
    <xf numFmtId="43" fontId="3" fillId="2" borderId="18" applyAlignment="1" pivotButton="0" quotePrefix="0" xfId="101">
      <alignment horizontal="right" vertical="center" shrinkToFit="1"/>
    </xf>
    <xf numFmtId="43" fontId="3" fillId="0" borderId="18" applyAlignment="1" pivotButton="0" quotePrefix="0" xfId="101">
      <alignment horizontal="right" vertical="center" shrinkToFit="1"/>
    </xf>
    <xf numFmtId="43" fontId="3" fillId="2" borderId="20" applyAlignment="1" pivotButton="0" quotePrefix="0" xfId="101">
      <alignment horizontal="right" vertical="center" shrinkToFit="1"/>
    </xf>
    <xf numFmtId="43" fontId="7" fillId="0" borderId="0" applyAlignment="1" pivotButton="0" quotePrefix="0" xfId="101">
      <alignment horizontal="center" vertical="center" shrinkToFit="1"/>
    </xf>
    <xf numFmtId="165" fontId="8" fillId="0" borderId="0" applyAlignment="1" pivotButton="0" quotePrefix="0" xfId="82">
      <alignment vertical="center" wrapText="1"/>
    </xf>
    <xf numFmtId="43" fontId="3" fillId="0" borderId="0" applyAlignment="1" pivotButton="0" quotePrefix="0" xfId="58">
      <alignment horizontal="right" vertical="center" shrinkToFit="1"/>
    </xf>
    <xf numFmtId="43" fontId="5" fillId="0" borderId="0" applyAlignment="1" pivotButton="0" quotePrefix="0" xfId="35">
      <alignment horizontal="right" vertical="center" shrinkToFit="1"/>
    </xf>
    <xf numFmtId="0" fontId="67" fillId="0" borderId="114" applyAlignment="1" pivotButton="0" quotePrefix="0" xfId="0">
      <alignment horizontal="left" vertical="center" wrapText="1"/>
    </xf>
    <xf numFmtId="0" fontId="0" fillId="0" borderId="10" pivotButton="0" quotePrefix="0" xfId="0"/>
    <xf numFmtId="0" fontId="0" fillId="0" borderId="11" pivotButton="0" quotePrefix="0" xfId="0"/>
    <xf numFmtId="0" fontId="0" fillId="0" borderId="5" pivotButton="0" quotePrefix="0" xfId="0"/>
    <xf numFmtId="0" fontId="0" fillId="0" borderId="6" pivotButton="0" quotePrefix="0" xfId="0"/>
    <xf numFmtId="0" fontId="0" fillId="0" borderId="4" pivotButton="0" quotePrefix="0" xfId="0"/>
    <xf numFmtId="0" fontId="0" fillId="0" borderId="8" pivotButton="0" quotePrefix="0" xfId="0"/>
    <xf numFmtId="41" fontId="11" fillId="2" borderId="0" applyAlignment="1" pivotButton="0" quotePrefix="0" xfId="0">
      <alignment vertical="center"/>
    </xf>
    <xf numFmtId="43" fontId="5" fillId="2" borderId="0" applyAlignment="1" pivotButton="0" quotePrefix="0" xfId="79">
      <alignment vertical="center" shrinkToFit="1"/>
    </xf>
    <xf numFmtId="43" fontId="3" fillId="2" borderId="0" applyAlignment="1" pivotButton="0" quotePrefix="0" xfId="79">
      <alignment vertical="center" shrinkToFit="1"/>
    </xf>
    <xf numFmtId="168" fontId="3" fillId="0" borderId="18" applyAlignment="1" applyProtection="1" pivotButton="0" quotePrefix="0" xfId="172">
      <alignment horizontal="right" vertical="center"/>
      <protection locked="0" hidden="0"/>
    </xf>
    <xf numFmtId="168" fontId="3" fillId="0" borderId="17" applyAlignment="1" pivotButton="0" quotePrefix="0" xfId="0">
      <alignment horizontal="right" vertical="center"/>
    </xf>
    <xf numFmtId="43" fontId="3" fillId="0" borderId="101" applyProtection="1" pivotButton="0" quotePrefix="0" xfId="3">
      <protection locked="0" hidden="0"/>
    </xf>
    <xf numFmtId="168" fontId="3" fillId="0" borderId="103" applyAlignment="1" applyProtection="1" pivotButton="0" quotePrefix="0" xfId="172">
      <alignment horizontal="right" vertical="center"/>
      <protection locked="0" hidden="0"/>
    </xf>
    <xf numFmtId="168" fontId="3" fillId="0" borderId="104" applyAlignment="1" pivotButton="0" quotePrefix="0" xfId="0">
      <alignment horizontal="right" vertical="center"/>
    </xf>
    <xf numFmtId="43" fontId="3" fillId="0" borderId="105" applyProtection="1" pivotButton="0" quotePrefix="0" xfId="3">
      <protection locked="0" hidden="0"/>
    </xf>
    <xf numFmtId="168" fontId="5" fillId="0" borderId="0" applyAlignment="1" applyProtection="1" pivotButton="0" quotePrefix="0" xfId="171">
      <alignment vertical="center"/>
      <protection locked="0" hidden="0"/>
    </xf>
    <xf numFmtId="43" fontId="5" fillId="0" borderId="0" applyProtection="1" pivotButton="0" quotePrefix="0" xfId="3">
      <protection locked="0" hidden="0"/>
    </xf>
    <xf numFmtId="168" fontId="9" fillId="0" borderId="27" applyAlignment="1" applyProtection="1" pivotButton="0" quotePrefix="0" xfId="171">
      <alignment horizontal="right" vertical="center"/>
      <protection locked="0" hidden="0"/>
    </xf>
    <xf numFmtId="43" fontId="9" fillId="0" borderId="27" applyProtection="1" pivotButton="0" quotePrefix="0" xfId="3">
      <protection locked="0" hidden="0"/>
    </xf>
    <xf numFmtId="0" fontId="3" fillId="0" borderId="114" applyAlignment="1" pivotButton="0" quotePrefix="0" xfId="0">
      <alignment horizontal="left" vertical="center" wrapText="1"/>
    </xf>
    <xf numFmtId="43" fontId="5" fillId="0" borderId="0" applyAlignment="1" pivotButton="0" quotePrefix="0" xfId="36">
      <alignment vertical="center" shrinkToFit="1"/>
    </xf>
    <xf numFmtId="0" fontId="84" fillId="0" borderId="114" applyAlignment="1" pivotButton="0" quotePrefix="0" xfId="101">
      <alignment horizontal="left" vertical="center" wrapText="1" shrinkToFit="1"/>
    </xf>
    <xf numFmtId="167" fontId="8" fillId="5" borderId="51" applyAlignment="1" pivotButton="0" quotePrefix="0" xfId="1">
      <alignment horizontal="center" vertical="center" wrapText="1"/>
    </xf>
    <xf numFmtId="0" fontId="31" fillId="5" borderId="47" applyAlignment="1" pivotButton="0" quotePrefix="0" xfId="1">
      <alignment horizontal="center" vertical="center" wrapText="1"/>
    </xf>
    <xf numFmtId="167" fontId="8" fillId="5" borderId="49" applyAlignment="1" pivotButton="0" quotePrefix="0" xfId="1">
      <alignment horizontal="center" vertical="center" wrapText="1"/>
    </xf>
    <xf numFmtId="0" fontId="0" fillId="0" borderId="52" pivotButton="0" quotePrefix="0" xfId="0"/>
    <xf numFmtId="0" fontId="0" fillId="0" borderId="130" pivotButton="0" quotePrefix="0" xfId="0"/>
    <xf numFmtId="43" fontId="3" fillId="0" borderId="18" applyAlignment="1" pivotButton="0" quotePrefix="0" xfId="3">
      <alignment vertical="center" shrinkToFit="1"/>
    </xf>
    <xf numFmtId="43" fontId="3" fillId="0" borderId="18" applyAlignment="1" pivotButton="0" quotePrefix="0" xfId="3">
      <alignment horizontal="right" vertical="center" shrinkToFit="1"/>
    </xf>
    <xf numFmtId="169" fontId="3" fillId="0" borderId="20" applyAlignment="1" pivotButton="0" quotePrefix="0" xfId="101">
      <alignment horizontal="left" vertical="center" shrinkToFit="1"/>
    </xf>
    <xf numFmtId="43" fontId="3" fillId="0" borderId="20" applyAlignment="1" pivotButton="0" quotePrefix="0" xfId="3">
      <alignment vertical="center" shrinkToFit="1"/>
    </xf>
    <xf numFmtId="43" fontId="3" fillId="2" borderId="0" applyAlignment="1" pivotButton="0" quotePrefix="0" xfId="79">
      <alignment horizontal="right" vertical="center" shrinkToFit="1"/>
    </xf>
    <xf numFmtId="43" fontId="71" fillId="0" borderId="0" applyAlignment="1" pivotButton="0" quotePrefix="0" xfId="101">
      <alignment horizontal="center" vertical="center" shrinkToFit="1"/>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0" fontId="0" fillId="0" borderId="126" pivotButton="0" quotePrefix="0" xfId="0"/>
    <xf numFmtId="0" fontId="6" fillId="5" borderId="127" applyAlignment="1" pivotButton="0" quotePrefix="0" xfId="79">
      <alignment horizontal="center" vertical="center" wrapText="1"/>
    </xf>
    <xf numFmtId="0" fontId="0" fillId="0" borderId="73" pivotButton="0" quotePrefix="0" xfId="0"/>
    <xf numFmtId="43" fontId="8" fillId="2" borderId="0" applyAlignment="1" pivotButton="0" quotePrefix="0" xfId="79">
      <alignment horizontal="right" vertical="center" shrinkToFit="1"/>
    </xf>
    <xf numFmtId="0" fontId="0" fillId="0" borderId="119" pivotButton="0" quotePrefix="0" xfId="0"/>
    <xf numFmtId="0" fontId="0" fillId="0" borderId="59" pivotButton="0" quotePrefix="0" xfId="0"/>
    <xf numFmtId="0" fontId="0" fillId="0" borderId="121" pivotButton="0" quotePrefix="0" xfId="0"/>
    <xf numFmtId="0" fontId="0" fillId="0" borderId="106" pivotButton="0" quotePrefix="0" xfId="0"/>
    <xf numFmtId="0" fontId="9" fillId="5" borderId="129" applyAlignment="1" pivotButton="0" quotePrefix="0" xfId="79">
      <alignment horizontal="center" vertical="center" wrapText="1"/>
    </xf>
    <xf numFmtId="0" fontId="9" fillId="5" borderId="124" applyAlignment="1" pivotButton="0" quotePrefix="0" xfId="79">
      <alignment horizontal="center" vertical="center" wrapText="1"/>
    </xf>
    <xf numFmtId="0" fontId="0" fillId="0" borderId="122" pivotButton="0" quotePrefix="0" xfId="0"/>
    <xf numFmtId="0" fontId="0" fillId="0" borderId="120" pivotButton="0" quotePrefix="0" xfId="0"/>
    <xf numFmtId="0" fontId="0" fillId="0" borderId="62" pivotButton="0" quotePrefix="0" xfId="0"/>
    <xf numFmtId="0" fontId="0" fillId="0" borderId="63" pivotButton="0" quotePrefix="0" xfId="0"/>
    <xf numFmtId="0" fontId="0" fillId="0" borderId="82" pivotButton="0" quotePrefix="0" xfId="0"/>
    <xf numFmtId="0" fontId="0" fillId="0" borderId="123" pivotButton="0" quotePrefix="0" xfId="0"/>
    <xf numFmtId="43" fontId="6" fillId="0" borderId="0" pivotButton="0" quotePrefix="0" xfId="3"/>
    <xf numFmtId="43" fontId="3" fillId="0" borderId="54" applyAlignment="1" pivotButton="0" quotePrefix="0" xfId="79">
      <alignment horizontal="right" vertical="center" shrinkToFit="1"/>
    </xf>
    <xf numFmtId="43" fontId="3" fillId="0" borderId="54" applyAlignment="1" pivotButton="0" quotePrefix="0" xfId="7">
      <alignment horizontal="right" vertical="center" shrinkToFit="1"/>
    </xf>
    <xf numFmtId="43" fontId="3" fillId="0" borderId="18" applyAlignment="1" pivotButton="0" quotePrefix="0" xfId="79">
      <alignment horizontal="right" vertical="center" shrinkToFit="1"/>
    </xf>
    <xf numFmtId="43" fontId="3" fillId="0" borderId="24" applyAlignment="1" pivotButton="0" quotePrefix="0" xfId="3">
      <alignment horizontal="right" vertical="center" shrinkToFit="1"/>
    </xf>
    <xf numFmtId="43" fontId="11" fillId="0" borderId="0" pivotButton="0" quotePrefix="0" xfId="3"/>
    <xf numFmtId="43" fontId="3" fillId="0" borderId="63" applyAlignment="1" pivotButton="0" quotePrefix="0" xfId="79">
      <alignment horizontal="right" vertical="center" shrinkToFit="1"/>
    </xf>
    <xf numFmtId="43" fontId="3" fillId="0" borderId="60" applyAlignment="1" pivotButton="0" quotePrefix="0" xfId="79">
      <alignment horizontal="right" vertical="center" shrinkToFit="1"/>
    </xf>
    <xf numFmtId="43" fontId="3" fillId="0" borderId="52" applyAlignment="1" pivotButton="0" quotePrefix="0" xfId="3">
      <alignment horizontal="right" vertical="center" shrinkToFit="1"/>
    </xf>
    <xf numFmtId="43" fontId="3" fillId="0" borderId="66" applyAlignment="1" pivotButton="0" quotePrefix="0" xfId="79">
      <alignment horizontal="right" vertical="center" shrinkToFit="1"/>
    </xf>
    <xf numFmtId="43" fontId="3" fillId="0" borderId="77" applyAlignment="1" pivotButton="0" quotePrefix="0" xfId="36">
      <alignment horizontal="right" vertical="center" shrinkToFit="1"/>
    </xf>
    <xf numFmtId="43" fontId="6" fillId="0" borderId="77" applyAlignment="1" pivotButton="0" quotePrefix="0" xfId="36">
      <alignment horizontal="left" vertical="center"/>
    </xf>
    <xf numFmtId="43" fontId="3" fillId="0" borderId="77" applyAlignment="1" pivotButton="0" quotePrefix="0" xfId="7">
      <alignment horizontal="right" vertical="center" shrinkToFit="1"/>
    </xf>
    <xf numFmtId="43" fontId="3" fillId="0" borderId="77" applyAlignment="1" pivotButton="0" quotePrefix="0" xfId="79">
      <alignment horizontal="right" vertical="center" shrinkToFit="1"/>
    </xf>
    <xf numFmtId="43" fontId="3" fillId="0" borderId="78" applyAlignment="1" pivotButton="0" quotePrefix="0" xfId="79">
      <alignment horizontal="right" vertical="center" shrinkToFit="1"/>
    </xf>
    <xf numFmtId="43" fontId="3" fillId="0" borderId="25" applyAlignment="1" pivotButton="0" quotePrefix="0" xfId="3">
      <alignment horizontal="right" vertical="center" shrinkToFit="1"/>
    </xf>
    <xf numFmtId="168" fontId="3" fillId="0" borderId="22" applyAlignment="1" applyProtection="1" pivotButton="0" quotePrefix="0" xfId="172">
      <alignment horizontal="right" vertical="center"/>
      <protection locked="0" hidden="0"/>
    </xf>
    <xf numFmtId="168" fontId="3" fillId="0" borderId="20" applyAlignment="1" applyProtection="1" pivotButton="0" quotePrefix="0" xfId="172">
      <alignment horizontal="right" vertical="center"/>
      <protection locked="0" hidden="0"/>
    </xf>
    <xf numFmtId="168" fontId="3" fillId="0" borderId="70" applyAlignment="1" pivotButton="0" quotePrefix="0" xfId="0">
      <alignment horizontal="right" vertical="center"/>
    </xf>
    <xf numFmtId="168" fontId="3" fillId="0" borderId="23" applyAlignment="1" applyProtection="1" pivotButton="0" quotePrefix="0" xfId="172">
      <alignment horizontal="right" vertical="center"/>
      <protection locked="0" hidden="0"/>
    </xf>
    <xf numFmtId="166" fontId="9" fillId="0" borderId="27" applyAlignment="1" applyProtection="1" pivotButton="0" quotePrefix="0" xfId="171">
      <alignment horizontal="right" vertical="center"/>
      <protection locked="0" hidden="0"/>
    </xf>
    <xf numFmtId="0" fontId="10" fillId="5" borderId="131" applyAlignment="1" pivotButton="0" quotePrefix="0" xfId="79">
      <alignment horizontal="center" vertical="center"/>
    </xf>
    <xf numFmtId="0" fontId="0" fillId="0" borderId="133" pivotButton="0" quotePrefix="0" xfId="0"/>
    <xf numFmtId="43" fontId="3" fillId="0" borderId="18" pivotButton="0" quotePrefix="0" xfId="3"/>
    <xf numFmtId="43" fontId="3" fillId="0" borderId="20" pivotButton="0" quotePrefix="0" xfId="3"/>
    <xf numFmtId="0" fontId="3" fillId="0" borderId="114" applyAlignment="1" pivotButton="0" quotePrefix="0" xfId="101">
      <alignment horizontal="left" vertical="center" wrapText="1" shrinkToFit="1"/>
    </xf>
    <xf numFmtId="167" fontId="8" fillId="5" borderId="68" applyAlignment="1" pivotButton="0" quotePrefix="0" xfId="1">
      <alignment horizontal="center" vertical="center" wrapText="1"/>
    </xf>
    <xf numFmtId="43" fontId="3" fillId="2" borderId="0" applyAlignment="1" pivotButton="0" quotePrefix="0" xfId="3">
      <alignment horizontal="right" vertical="center" shrinkToFit="1"/>
    </xf>
  </cellXfs>
  <cellStyles count="177">
    <cellStyle name="常规" xfId="0" builtinId="0"/>
    <cellStyle name="货币" xfId="1" builtinId="4"/>
    <cellStyle name="Normal 126" xfId="2"/>
    <cellStyle name="千位分隔" xfId="3" builtinId="3"/>
    <cellStyle name="超链接" xfId="4" builtinId="8"/>
    <cellStyle name="Comma [0] 3" xfId="5"/>
    <cellStyle name="Check Cell 2" xfId="6"/>
    <cellStyle name="百分比" xfId="7" builtinId="5"/>
    <cellStyle name="Comma [0] 2 3" xfId="8"/>
    <cellStyle name="Comma 2" xfId="9"/>
    <cellStyle name="Comma [0] 2" xfId="10"/>
    <cellStyle name="Comma [0] 2 2 2" xfId="11"/>
    <cellStyle name="Comma [0] 2 2 2 2" xfId="12"/>
    <cellStyle name="Comma [0] 2 2 3" xfId="13"/>
    <cellStyle name="Normal 2 3 2 2" xfId="14"/>
    <cellStyle name="Normal 125" xfId="15"/>
    <cellStyle name="千位分隔[0] 2" xfId="16"/>
    <cellStyle name="Hyperlink 2" xfId="17"/>
    <cellStyle name="Hyperlink 4" xfId="18"/>
    <cellStyle name="cellStyleNum 2" xfId="19"/>
    <cellStyle name="Normal 12 2" xfId="20"/>
    <cellStyle name="Check Cell 2 2" xfId="21"/>
    <cellStyle name="千位分隔 3" xfId="22"/>
    <cellStyle name="Comma 2 2" xfId="23"/>
    <cellStyle name="Comma [0] 2 2" xfId="24"/>
    <cellStyle name="Comma [0] 2 4" xfId="25"/>
    <cellStyle name="Normal 2 3 2 4" xfId="26"/>
    <cellStyle name="Comma 12" xfId="27"/>
    <cellStyle name="Comma 15" xfId="28"/>
    <cellStyle name="Comma 2 2 2" xfId="29"/>
    <cellStyle name="千位分隔 4" xfId="30"/>
    <cellStyle name="Comma 2 3" xfId="31"/>
    <cellStyle name="Comma 2 4" xfId="32"/>
    <cellStyle name="Comma 2_1" xfId="33"/>
    <cellStyle name="Comma 3" xfId="34"/>
    <cellStyle name="Comma 4" xfId="35"/>
    <cellStyle name="Comma 5" xfId="36"/>
    <cellStyle name="dataStyle 2" xfId="37"/>
    <cellStyle name="dataStyle 3" xfId="38"/>
    <cellStyle name="Good 2" xfId="39"/>
    <cellStyle name="Good 2 2" xfId="40"/>
    <cellStyle name="Hyperlink 2 2" xfId="41"/>
    <cellStyle name="Hyperlink 4 2" xfId="42"/>
    <cellStyle name="Normal 10" xfId="43"/>
    <cellStyle name="Normal 10 10" xfId="44"/>
    <cellStyle name="Normal 103" xfId="45"/>
    <cellStyle name="Normal 103 2" xfId="46"/>
    <cellStyle name="Normal 103 3" xfId="47"/>
    <cellStyle name="Normal 11" xfId="48"/>
    <cellStyle name="Normal 121 2" xfId="49"/>
    <cellStyle name="Normal 121 2 2" xfId="50"/>
    <cellStyle name="Normal 121 2 2 2" xfId="51"/>
    <cellStyle name="Normal 121 2 3" xfId="52"/>
    <cellStyle name="Normal 125 2" xfId="53"/>
    <cellStyle name="Normal 126 2" xfId="54"/>
    <cellStyle name="Normal 13" xfId="55"/>
    <cellStyle name="Normal 13 2" xfId="56"/>
    <cellStyle name="Normal 2 3 5" xfId="57"/>
    <cellStyle name="Normal 2" xfId="58"/>
    <cellStyle name="Normal 2 10 2" xfId="59"/>
    <cellStyle name="Normal 2 2" xfId="60"/>
    <cellStyle name="Normal 2 2 2" xfId="61"/>
    <cellStyle name="Normal 2 2 3 2" xfId="62"/>
    <cellStyle name="Normal 2 2_1" xfId="63"/>
    <cellStyle name="Normal 2 3" xfId="64"/>
    <cellStyle name="Normal 2 3 2" xfId="65"/>
    <cellStyle name="Normal 2 3 2 2 3" xfId="66"/>
    <cellStyle name="Normal 2 3 3" xfId="67"/>
    <cellStyle name="Normal 2 3 3 2" xfId="68"/>
    <cellStyle name="Normal 2 3 4" xfId="69"/>
    <cellStyle name="Normal 2 4" xfId="70"/>
    <cellStyle name="Normal 3" xfId="71"/>
    <cellStyle name="Normal 3 2" xfId="72"/>
    <cellStyle name="Normal 3 3" xfId="73"/>
    <cellStyle name="Normal 4" xfId="74"/>
    <cellStyle name="Normal 4 3" xfId="75"/>
    <cellStyle name="Normal 5" xfId="76"/>
    <cellStyle name="Normal 6" xfId="77"/>
    <cellStyle name="Normal 7" xfId="78"/>
    <cellStyle name="Normal 8" xfId="79"/>
    <cellStyle name="Normal 9" xfId="80"/>
    <cellStyle name="Percent 5" xfId="81"/>
    <cellStyle name="Normal_Sheet2" xfId="82"/>
    <cellStyle name="Percent 2" xfId="83"/>
    <cellStyle name="Percent 2 2" xfId="84"/>
    <cellStyle name="Percent 3" xfId="85"/>
    <cellStyle name="Percent 4" xfId="86"/>
    <cellStyle name="百分比 2" xfId="87"/>
    <cellStyle name="百分比 2 2" xfId="88"/>
    <cellStyle name="百分比 3" xfId="89"/>
    <cellStyle name="常规 2" xfId="90"/>
    <cellStyle name="常规 2- " xfId="91"/>
    <cellStyle name="常规 2-  2" xfId="92"/>
    <cellStyle name="常规 2 2" xfId="93"/>
    <cellStyle name="常规 2 2 2" xfId="94"/>
    <cellStyle name="常规 2 2 2 2" xfId="95"/>
    <cellStyle name="常规 2 2 2 3" xfId="96"/>
    <cellStyle name="常规 2 2 2 3 2" xfId="97"/>
    <cellStyle name="常规 2 2 3" xfId="98"/>
    <cellStyle name="常规 2 3" xfId="99"/>
    <cellStyle name="常规 3" xfId="100"/>
    <cellStyle name="常规 3 2" xfId="101"/>
    <cellStyle name="常规 3 2 2" xfId="102"/>
    <cellStyle name="常规 4" xfId="103"/>
    <cellStyle name="超链接 2" xfId="104"/>
    <cellStyle name="普通_附23_PBC4" xfId="105"/>
    <cellStyle name="千位分隔 2" xfId="106"/>
    <cellStyle name="千位分隔 2 2" xfId="107"/>
    <cellStyle name="千位分隔 2 2 2" xfId="108"/>
    <cellStyle name="千位分隔 2 2 3" xfId="109"/>
    <cellStyle name="千位分隔 2 3" xfId="110"/>
    <cellStyle name="千位分隔 2 7" xfId="111"/>
    <cellStyle name="千位分隔 3 4" xfId="112"/>
    <cellStyle name="Comma 7" xfId="113"/>
    <cellStyle name="Normal 14" xfId="114"/>
    <cellStyle name="常规 3 2 3" xfId="115"/>
    <cellStyle name="常规 2 4" xfId="116"/>
    <cellStyle name="超链接 3" xfId="117"/>
    <cellStyle name="常规 2 2 5" xfId="118"/>
    <cellStyle name="千位分隔 5" xfId="119"/>
    <cellStyle name="Comma [0] 3 2" xfId="120"/>
    <cellStyle name="Comma [0] 2 3 2" xfId="121"/>
    <cellStyle name="Comma 2 5" xfId="122"/>
    <cellStyle name="Comma [0] 2 5" xfId="123"/>
    <cellStyle name="Comma [0] 2 2 2 3" xfId="124"/>
    <cellStyle name="Comma [0] 2 2 2 2 2" xfId="125"/>
    <cellStyle name="Comma [0] 2 2 3 2" xfId="126"/>
    <cellStyle name="千位分隔[0] 2 2" xfId="127"/>
    <cellStyle name="千位分隔 3 2" xfId="128"/>
    <cellStyle name="Comma 2 2 3" xfId="129"/>
    <cellStyle name="Comma [0] 2 2 4" xfId="130"/>
    <cellStyle name="Comma [0] 2 4 2" xfId="131"/>
    <cellStyle name="Comma 12 2" xfId="132"/>
    <cellStyle name="Comma 15 2" xfId="133"/>
    <cellStyle name="Comma 2 2 2 2" xfId="134"/>
    <cellStyle name="千位分隔 4 2" xfId="135"/>
    <cellStyle name="Comma 2 3 2" xfId="136"/>
    <cellStyle name="Comma 2 4 2" xfId="137"/>
    <cellStyle name="Comma 3 2" xfId="138"/>
    <cellStyle name="Comma 4 2" xfId="139"/>
    <cellStyle name="Comma 5 2" xfId="140"/>
    <cellStyle name="千位分隔 2 4" xfId="141"/>
    <cellStyle name="千位分隔 2 2 4" xfId="142"/>
    <cellStyle name="千位分隔 2 2 2 2" xfId="143"/>
    <cellStyle name="千位分隔 2 2 3 2" xfId="144"/>
    <cellStyle name="千位分隔 2 3 2" xfId="145"/>
    <cellStyle name="千位分隔 2 7 2" xfId="146"/>
    <cellStyle name="千位分隔 3 4 2" xfId="147"/>
    <cellStyle name="Comma 7 2" xfId="148"/>
    <cellStyle name="Normal 12" xfId="149"/>
    <cellStyle name="常规 5" xfId="150"/>
    <cellStyle name="常规 10" xfId="151"/>
    <cellStyle name="Normal 2 3 2 2 4" xfId="152"/>
    <cellStyle name="Normal 121 4" xfId="153"/>
    <cellStyle name="Normal 2 3 6" xfId="154"/>
    <cellStyle name="Normal 12 2 3" xfId="155"/>
    <cellStyle name="Normal 16" xfId="156"/>
    <cellStyle name="常规 2 2 5 2" xfId="157"/>
    <cellStyle name="Normal 12 2 2 2 2" xfId="158"/>
    <cellStyle name="Normal 9 2 2" xfId="159"/>
    <cellStyle name="Normal 2 2 2 2" xfId="160"/>
    <cellStyle name="常规 2 2 5 2 2" xfId="161"/>
    <cellStyle name="Normal 2 2 3" xfId="162"/>
    <cellStyle name="Normal 2 2 4" xfId="163"/>
    <cellStyle name="Hyperlink 2 2 3" xfId="164"/>
    <cellStyle name="常规 7" xfId="165"/>
    <cellStyle name="百分比 4" xfId="166"/>
    <cellStyle name="Normal 12 5" xfId="167"/>
    <cellStyle name="Normal 121 2 2 2 4" xfId="168"/>
    <cellStyle name="Normal 17" xfId="169"/>
    <cellStyle name="常规 11" xfId="170"/>
    <cellStyle name="常规 6 3" xfId="171"/>
    <cellStyle name="千位分隔 7" xfId="172"/>
    <cellStyle name="Normal 2 6" xfId="173"/>
    <cellStyle name="常规 2 2 5 3" xfId="174"/>
    <cellStyle name="常规 2 2 5 3 2" xfId="175"/>
    <cellStyle name="常规 6" xfId="176"/>
  </cellStyles>
  <dxfs count="37">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BL47"/>
  <sheetViews>
    <sheetView showGridLines="0" tabSelected="1" zoomScale="70" zoomScaleNormal="70" workbookViewId="0">
      <selection activeCell="H22" sqref="H22"/>
    </sheetView>
  </sheetViews>
  <sheetFormatPr baseColWidth="8" defaultColWidth="9.08203125" defaultRowHeight="13.15" customHeight="1"/>
  <cols>
    <col width="2.33203125" customWidth="1" style="8" min="1" max="1"/>
    <col width="5.33203125" customWidth="1" style="3" min="2" max="2"/>
    <col width="16.75" customWidth="1" style="3" min="3" max="3"/>
    <col width="22.33203125" customWidth="1" style="3" min="4" max="4"/>
    <col width="23.33203125" customWidth="1" style="4" min="5" max="5"/>
    <col width="13.75" customWidth="1" style="3" min="6" max="6"/>
    <col width="18" customWidth="1" style="3" min="7" max="7"/>
    <col width="57.08203125" customWidth="1" style="3" min="8" max="8"/>
    <col width="10.08203125" customWidth="1" style="3" min="9" max="9"/>
    <col width="25.33203125" customWidth="1" style="3" min="10" max="10"/>
    <col width="21.75" customWidth="1" style="3" min="11" max="11"/>
    <col width="9.08203125" customWidth="1" style="3" min="12" max="59"/>
    <col width="51.33203125" customWidth="1" style="3" min="60" max="60"/>
    <col width="11.75" customWidth="1" style="3" min="61" max="61"/>
    <col width="9.08203125" customWidth="1" style="3" min="62" max="62"/>
    <col width="61.75" customWidth="1" style="3" min="63" max="63"/>
    <col width="9.08203125" customWidth="1" style="3" min="64" max="16384"/>
  </cols>
  <sheetData>
    <row r="1" ht="21.5" customHeight="1" s="623">
      <c r="A1" s="622" t="inlineStr">
        <is>
          <t>V6 SWP</t>
        </is>
      </c>
      <c r="BA1" s="13" t="n"/>
      <c r="BH1" s="5" t="n"/>
      <c r="BK1" s="6" t="n"/>
      <c r="BL1" s="7" t="n"/>
    </row>
    <row r="2" ht="13.15" customHeight="1" s="623">
      <c r="C2" s="9" t="n"/>
      <c r="D2" s="10" t="n"/>
      <c r="E2" s="11" t="n"/>
      <c r="F2" s="10" t="n"/>
      <c r="G2" s="12" t="n"/>
      <c r="I2" s="166" t="n"/>
      <c r="AY2" s="13" t="n"/>
      <c r="BA2" s="13" t="n"/>
      <c r="BB2" s="14" t="n"/>
      <c r="BC2" s="7" t="n"/>
    </row>
    <row r="3" ht="13.15" customHeight="1" s="623">
      <c r="C3" s="15" t="inlineStr">
        <is>
          <t>客户名称</t>
        </is>
      </c>
      <c r="D3" s="16" t="inlineStr">
        <is>
          <t>东风鸿远工程咨询有限公司</t>
        </is>
      </c>
      <c r="E3" s="17" t="n"/>
      <c r="F3" s="18" t="inlineStr">
        <is>
          <t>重要性水平(PM)</t>
        </is>
      </c>
      <c r="G3" s="624" t="n"/>
      <c r="I3" s="338" t="n"/>
      <c r="AY3" s="13" t="n"/>
      <c r="BA3" s="13" t="n"/>
      <c r="BB3" s="14" t="n"/>
      <c r="BC3" s="7" t="n"/>
    </row>
    <row r="4" ht="13.15" customHeight="1" s="623">
      <c r="C4" s="20" t="n"/>
      <c r="D4" s="21" t="n"/>
      <c r="E4" s="17" t="n"/>
      <c r="F4" s="22" t="n"/>
      <c r="G4" s="625" t="n"/>
      <c r="AY4" s="13" t="n"/>
      <c r="BA4" s="13" t="n"/>
      <c r="BB4" s="14" t="n"/>
      <c r="BC4" s="7" t="n"/>
    </row>
    <row r="5" ht="13.15" customHeight="1" s="623">
      <c r="C5" s="167" t="inlineStr">
        <is>
          <t>期末</t>
        </is>
      </c>
      <c r="D5" s="626" t="n">
        <v>46387</v>
      </c>
      <c r="E5" s="17" t="n"/>
      <c r="F5" s="18" t="inlineStr">
        <is>
          <t>可容忍误差(TE)</t>
        </is>
      </c>
      <c r="G5" s="624" t="n"/>
      <c r="H5" s="25" t="n"/>
      <c r="AY5" s="26" t="n"/>
      <c r="BA5" s="13" t="n"/>
      <c r="BB5" s="27" t="n"/>
      <c r="BC5" s="7" t="n"/>
    </row>
    <row r="6" ht="13.15" customHeight="1" s="623">
      <c r="C6" s="20" t="n"/>
      <c r="D6" s="28" t="n"/>
      <c r="E6" s="17" t="n"/>
      <c r="F6" s="22" t="n"/>
      <c r="G6" s="625" t="n"/>
      <c r="AY6" s="29" t="n"/>
      <c r="BA6" s="13" t="n"/>
      <c r="BB6" s="14" t="n"/>
      <c r="BC6" s="7" t="n"/>
    </row>
    <row r="7" ht="13.15" customHeight="1" s="623">
      <c r="C7" s="15" t="inlineStr">
        <is>
          <t>记账本位币</t>
        </is>
      </c>
      <c r="D7" s="16" t="inlineStr">
        <is>
          <t>CNY</t>
        </is>
      </c>
      <c r="E7" s="17" t="n"/>
      <c r="F7" s="18" t="inlineStr">
        <is>
          <t>名义金额(SAD)</t>
        </is>
      </c>
      <c r="G7" s="624" t="n"/>
      <c r="AY7" s="13" t="n"/>
      <c r="BA7" s="13" t="n"/>
      <c r="BB7" s="14" t="n"/>
      <c r="BC7" s="7" t="n"/>
    </row>
    <row r="8" ht="13.15" customHeight="1" s="623">
      <c r="C8" s="158" t="n"/>
      <c r="D8" s="159" t="n"/>
      <c r="E8" s="17" t="n"/>
      <c r="F8" s="160" t="n"/>
      <c r="G8" s="627" t="n"/>
      <c r="AY8" s="13" t="n"/>
      <c r="BA8" s="13" t="n"/>
      <c r="BB8" s="14" t="n"/>
      <c r="BC8" s="7" t="n"/>
    </row>
    <row r="9" ht="13.15" customHeight="1" s="623">
      <c r="C9" s="167" t="inlineStr">
        <is>
          <t>适用会计准则</t>
        </is>
      </c>
      <c r="D9" s="16" t="inlineStr">
        <is>
          <t>PRC</t>
        </is>
      </c>
      <c r="E9" s="17" t="n"/>
      <c r="F9" s="160" t="n"/>
      <c r="G9" s="627" t="n"/>
      <c r="AY9" s="13" t="n"/>
      <c r="BA9" s="13" t="n"/>
      <c r="BB9" s="14" t="n"/>
      <c r="BC9" s="7" t="n"/>
    </row>
    <row r="10" ht="13.15" customHeight="1" s="623">
      <c r="C10" s="30" t="n"/>
      <c r="D10" s="31" t="n"/>
      <c r="E10" s="32" t="n"/>
      <c r="F10" s="31" t="n"/>
      <c r="G10" s="33" t="n"/>
      <c r="AY10" s="29" t="n"/>
      <c r="BA10" s="13" t="n"/>
      <c r="BB10" s="14" t="n"/>
      <c r="BC10" s="7" t="n"/>
    </row>
    <row r="11" ht="13" customHeight="1" s="623">
      <c r="C11" s="34" t="n"/>
      <c r="E11" s="3" t="n"/>
      <c r="AY11" s="29" t="n"/>
      <c r="BA11" s="13" t="n"/>
      <c r="BB11" s="14" t="n"/>
      <c r="BC11" s="7" t="n"/>
    </row>
    <row r="12" ht="13.5" customHeight="1" s="623" thickBot="1">
      <c r="C12" s="34" t="n"/>
      <c r="E12" s="3" t="n"/>
      <c r="AY12" s="29" t="n"/>
      <c r="BA12" s="13" t="n"/>
      <c r="BB12" s="14" t="n"/>
      <c r="BC12" s="7" t="n"/>
    </row>
    <row r="13" ht="13.5" customHeight="1" s="623" thickBot="1">
      <c r="C13" s="344" t="n"/>
      <c r="D13" s="344" t="n"/>
      <c r="E13" s="506" t="inlineStr">
        <is>
          <t>Threshold(s)</t>
        </is>
      </c>
      <c r="F13" s="628" t="n"/>
      <c r="AY13" s="29" t="n"/>
      <c r="BA13" s="13" t="n"/>
      <c r="BB13" s="14" t="n"/>
      <c r="BC13" s="7" t="n"/>
    </row>
    <row r="14" ht="15" customHeight="1" s="623">
      <c r="C14" s="352" t="inlineStr">
        <is>
          <t>认定</t>
        </is>
      </c>
      <c r="D14" s="359" t="inlineStr">
        <is>
          <t>CRA</t>
        </is>
      </c>
      <c r="E14" s="352" t="inlineStr">
        <is>
          <t>各项认定1</t>
        </is>
      </c>
      <c r="F14" s="507" t="inlineStr">
        <is>
          <t>所有相关认定 2</t>
        </is>
      </c>
      <c r="G14" s="72" t="n"/>
      <c r="J14" s="142" t="n"/>
      <c r="AZ14" s="29" t="n"/>
      <c r="BB14" s="13" t="n"/>
      <c r="BC14" s="14" t="n"/>
      <c r="BD14" s="7" t="n"/>
    </row>
    <row r="15" ht="14.5" customHeight="1" s="623">
      <c r="C15" s="353" t="inlineStr">
        <is>
          <t>完整性 (C)</t>
        </is>
      </c>
      <c r="D15" s="360" t="n"/>
      <c r="E15" s="629">
        <f>IF(D15="Minimal",$G$5*50%,IF(D15="Low",$G$5*25%,IF(D15="Moderate",$G$5*15%,IF(D15="High",$G$5*10%,IF(D15="N/A","-",)))))</f>
        <v/>
      </c>
      <c r="F15" s="630">
        <f>MIN($E$15:$E$19)</f>
        <v/>
      </c>
      <c r="G15" s="72" t="n"/>
      <c r="J15" s="143" t="n"/>
      <c r="AZ15" s="29" t="n"/>
      <c r="BB15" s="13" t="n"/>
      <c r="BC15" s="14" t="n"/>
      <c r="BD15" s="7" t="n"/>
    </row>
    <row r="16" ht="14.5" customHeight="1" s="623">
      <c r="C16" s="355" t="inlineStr">
        <is>
          <t>存在性 (E)</t>
        </is>
      </c>
      <c r="D16" s="360" t="n"/>
      <c r="E16" s="629">
        <f>IF(D16="Minimal",$G$5*100%,IF(D16="Low",$G$5*75%,IF(D16="Moderate",$G$5*50%,IF(D16="High",$G$5*25%,IF(D16="N/A","-",)))))</f>
        <v/>
      </c>
      <c r="F16" s="631" t="n"/>
      <c r="G16" s="72" t="n"/>
      <c r="J16" s="143" t="n"/>
      <c r="AZ16" s="29" t="n"/>
      <c r="BB16" s="13" t="n"/>
      <c r="BC16" s="14" t="n"/>
      <c r="BD16" s="7" t="n"/>
    </row>
    <row r="17" ht="14.5" customHeight="1" s="623">
      <c r="C17" s="353" t="inlineStr">
        <is>
          <t>计价(V)</t>
        </is>
      </c>
      <c r="D17" s="360" t="n"/>
      <c r="E17" s="629">
        <f>IF(D17="Minimal",$G$5*100%,IF(D17="Low",$G$5*75%,IF(D17="Moderate",$G$5*50%,IF(D17="High",$G$5*25%,IF(D17="N/A","-",)))))</f>
        <v/>
      </c>
      <c r="F17" s="631" t="n"/>
      <c r="G17" s="72" t="n"/>
      <c r="J17" s="143" t="n"/>
      <c r="AZ17" s="29" t="n"/>
      <c r="BB17" s="13" t="n"/>
      <c r="BC17" s="14" t="n"/>
      <c r="BD17" s="7" t="n"/>
    </row>
    <row r="18" ht="14.5" customHeight="1" s="623">
      <c r="C18" s="353" t="inlineStr">
        <is>
          <t>权利和义务 (R&amp;O)</t>
        </is>
      </c>
      <c r="D18" s="360" t="n"/>
      <c r="E18" s="629">
        <f>IF(D18="Minimal",$G$5*100%,IF(D18="Low",$G$5*75%,IF(D18="Moderate",$G$5*50%,IF(D18="High",$G$5*25%,IF(D18="N/A","-",)))))</f>
        <v/>
      </c>
      <c r="F18" s="631" t="n"/>
      <c r="G18" s="72" t="n"/>
      <c r="J18" s="143" t="n"/>
      <c r="AZ18" s="29" t="n"/>
      <c r="BB18" s="13" t="n"/>
      <c r="BC18" s="14" t="n"/>
      <c r="BD18" s="7" t="n"/>
    </row>
    <row r="19" ht="15" customHeight="1" s="623" thickBot="1">
      <c r="C19" s="357" t="inlineStr">
        <is>
          <t>列报和披露 (P&amp;D)</t>
        </is>
      </c>
      <c r="D19" s="361" t="n"/>
      <c r="E19" s="632">
        <f>IF(D19="Minimal",$G$5*100%,IF(D19="Low",$G$5*75%,IF(D19="Moderate",$G$5*50%,IF(D19="High",$G$5*25%,IF(D19="N/A","-",)))))</f>
        <v/>
      </c>
      <c r="F19" s="633" t="n"/>
      <c r="G19" s="72" t="n"/>
      <c r="J19" s="142" t="n"/>
      <c r="AZ19" s="29" t="n"/>
      <c r="BB19" s="13" t="n"/>
      <c r="BC19" s="14" t="n"/>
      <c r="BD19" s="7" t="n"/>
    </row>
    <row r="20" ht="13" customHeight="1" s="623">
      <c r="C20" s="508" t="inlineStr">
        <is>
          <t xml:space="preserve">1 各项认定的测试阈值，是根据EY GAM SUBSTANTIVE DESIGN 2.2.1 </t>
        </is>
      </c>
      <c r="G20" s="72" t="n"/>
      <c r="J20" s="142" t="n"/>
      <c r="AZ20" s="29" t="n"/>
      <c r="BB20" s="13" t="n"/>
      <c r="BC20" s="14" t="n"/>
      <c r="BD20" s="7" t="n"/>
    </row>
    <row r="21" ht="12.75" customHeight="1" s="623">
      <c r="C21" s="345" t="inlineStr">
        <is>
          <t>中的示例测试阈值（用占TE的百分比表示）在相应风险等级（CRA）区间的上限计算得出的。</t>
        </is>
      </c>
      <c r="D21" s="508" t="n"/>
      <c r="E21" s="508" t="n"/>
      <c r="F21" s="508" t="n"/>
      <c r="G21" s="72" t="n"/>
      <c r="J21" s="142" t="n"/>
      <c r="AZ21" s="29" t="n"/>
      <c r="BB21" s="13" t="n"/>
      <c r="BC21" s="14" t="n"/>
      <c r="BD21" s="7" t="n"/>
    </row>
    <row r="22" ht="13.5" customHeight="1" s="623">
      <c r="C22" s="345" t="inlineStr">
        <is>
          <t>除负债/费用类别账户的完整性认定应当使用负债/费用账户表之外，其他类别账户和认定均可使用资产/收入账户表。</t>
        </is>
      </c>
      <c r="D22" s="508" t="n"/>
      <c r="E22" s="508" t="n"/>
      <c r="F22" s="508" t="n"/>
      <c r="G22" s="72" t="n"/>
      <c r="J22" s="142" t="n"/>
      <c r="AZ22" s="29" t="n"/>
      <c r="BB22" s="13" t="n"/>
      <c r="BC22" s="14" t="n"/>
      <c r="BD22" s="7" t="n"/>
    </row>
    <row r="23" ht="47.25" customHeight="1" s="623">
      <c r="C23" s="508" t="inlineStr">
        <is>
          <t>2 所有相关认定的测试阈值，是所有有效认定对应之测试阈值的最小值。我们在 Lead中使用该测试阈值：（a）作为选取总账账户进行测试的起点；（b）作为（需要进一步调查的）金额波动范围的起点。</t>
        </is>
      </c>
      <c r="G23" s="72" t="n"/>
      <c r="J23" s="144" t="n"/>
      <c r="AZ23" s="29" t="n"/>
      <c r="BB23" s="13" t="n"/>
      <c r="BC23" s="14" t="n"/>
      <c r="BD23" s="7" t="n"/>
    </row>
    <row r="24" ht="16.5" customHeight="1" s="623" thickBot="1">
      <c r="C24" s="339" t="n"/>
      <c r="D24" s="340" t="n"/>
      <c r="E24" s="340" t="n"/>
      <c r="J24" s="35" t="n"/>
    </row>
    <row r="25" ht="55.5" customFormat="1" customHeight="1" s="35">
      <c r="A25" s="36" t="inlineStr">
        <is>
          <t>P1</t>
        </is>
      </c>
      <c r="C25" s="133" t="inlineStr">
        <is>
          <t>序号</t>
        </is>
      </c>
      <c r="D25" s="134" t="inlineStr">
        <is>
          <t>报表科目</t>
        </is>
      </c>
      <c r="E25" s="134" t="inlineStr">
        <is>
          <t>执行实质性程序</t>
        </is>
      </c>
      <c r="F25" s="134" t="inlineStr">
        <is>
          <t>实质性程序类型</t>
        </is>
      </c>
      <c r="G25" s="134" t="inlineStr">
        <is>
          <t>认定</t>
        </is>
      </c>
      <c r="H25" s="134" t="inlineStr">
        <is>
          <t>程序描述</t>
        </is>
      </c>
      <c r="I25" s="134" t="inlineStr">
        <is>
          <t>执行</t>
        </is>
      </c>
      <c r="J25" s="134" t="inlineStr">
        <is>
          <t>索引</t>
        </is>
      </c>
      <c r="K25" s="145" t="inlineStr">
        <is>
          <t>如不执行PSP，原因需记录文字多于5个文字</t>
        </is>
      </c>
    </row>
    <row r="26" ht="25.5" customFormat="1" customHeight="1" s="35">
      <c r="A26" s="36" t="n"/>
      <c r="C26" s="634" t="n">
        <v>1</v>
      </c>
      <c r="D26" s="146" t="inlineStr">
        <is>
          <t>应付票据</t>
        </is>
      </c>
      <c r="E26" s="635" t="inlineStr">
        <is>
          <t>M-01-GL: 将明细账与总账核对一致</t>
        </is>
      </c>
      <c r="F26" s="147" t="inlineStr">
        <is>
          <t>PSP</t>
        </is>
      </c>
      <c r="G26" s="148" t="inlineStr">
        <is>
          <t>BS: E, C</t>
        </is>
      </c>
      <c r="H26" s="636" t="inlineStr">
        <is>
          <t>通过执行分析和调查两期的应付票据科目重大变动来确定应付票据余额是否合理。</t>
        </is>
      </c>
      <c r="I26" s="149" t="n"/>
      <c r="J26" s="350" t="inlineStr">
        <is>
          <t>M.00 Lead</t>
        </is>
      </c>
      <c r="K26" s="341" t="n"/>
    </row>
    <row r="27" ht="25.5" customFormat="1" customHeight="1" s="35">
      <c r="A27" s="36" t="n"/>
      <c r="C27" s="637" t="n"/>
      <c r="D27" s="638" t="n"/>
      <c r="E27" s="638" t="n"/>
      <c r="F27" s="638" t="n"/>
      <c r="G27" s="638" t="n"/>
      <c r="H27" s="638" t="n"/>
      <c r="I27" s="149" t="n"/>
      <c r="J27" s="350" t="inlineStr">
        <is>
          <t>M.01.01&amp;02.01明细账</t>
        </is>
      </c>
      <c r="K27" s="341" t="n"/>
    </row>
    <row r="28" ht="69.65000000000001" customFormat="1" customHeight="1" s="35">
      <c r="A28" s="36" t="n"/>
      <c r="C28" s="37" t="n">
        <v>2</v>
      </c>
      <c r="D28" s="146" t="inlineStr">
        <is>
          <t>应付票据_银行承兑汇票</t>
        </is>
      </c>
      <c r="E28" s="150" t="inlineStr">
        <is>
          <t>M-01-GL: 将应付票据明细账与总账核对一致，检查合同及其条款的合规性。</t>
        </is>
      </c>
      <c r="F28" s="147" t="inlineStr">
        <is>
          <t>PSP</t>
        </is>
      </c>
      <c r="G28" s="148" t="inlineStr">
        <is>
          <t>BS: E, C</t>
        </is>
      </c>
      <c r="H28" s="150" t="inlineStr">
        <is>
          <t>获取应付票据_银行承兑汇票明细账，将余额与相应的总分类账核对一致。检查应付票据_银行承兑汇票开票条件及存续状态等情况，对银行承兑汇票进行函证；检查银行承兑汇票保证合理性。</t>
        </is>
      </c>
      <c r="I28" s="149" t="n"/>
      <c r="J28" s="350" t="inlineStr">
        <is>
          <t>M.01 银承BKD</t>
        </is>
      </c>
      <c r="K28" s="341" t="n"/>
    </row>
    <row r="29" ht="58.5" customFormat="1" customHeight="1" s="35">
      <c r="A29" s="36" t="inlineStr">
        <is>
          <t>/P1</t>
        </is>
      </c>
      <c r="C29" s="38" t="n">
        <v>3</v>
      </c>
      <c r="D29" s="151" t="inlineStr">
        <is>
          <t>应付票据_商业承兑汇票</t>
        </is>
      </c>
      <c r="E29" s="152" t="inlineStr">
        <is>
          <t>M-01-GL: 将应付票据明细账与总账核对一致，检查合同及其条款的合规性。</t>
        </is>
      </c>
      <c r="F29" s="153" t="inlineStr">
        <is>
          <t>PSP</t>
        </is>
      </c>
      <c r="G29" s="154" t="inlineStr">
        <is>
          <t>BS: E, C</t>
        </is>
      </c>
      <c r="H29" s="152" t="inlineStr">
        <is>
          <t>获取应付票据_商业承兑汇票明细账，将余额与相应的总分类账核对一致。检查应付票据_商业承兑汇票开票条件及存续状态等情况；必要时，对商业承兑汇票进行函证。</t>
        </is>
      </c>
      <c r="I29" s="155" t="n"/>
      <c r="J29" s="351" t="inlineStr">
        <is>
          <t>M.02 商承BKD</t>
        </is>
      </c>
      <c r="K29" s="342" t="n"/>
    </row>
    <row r="30" ht="13" customHeight="1" s="623"/>
    <row r="32" ht="12.75" customHeight="1" s="623">
      <c r="C32" s="156" t="inlineStr">
        <is>
          <t>应付票据账户总结陈述</t>
        </is>
      </c>
      <c r="D32" s="39" t="n"/>
      <c r="E32" s="40" t="n"/>
      <c r="F32" s="39" t="n"/>
      <c r="G32" s="41" t="n"/>
    </row>
    <row r="33" ht="12.75" customHeight="1" s="623">
      <c r="C33" s="42" t="inlineStr">
        <is>
          <t>通过执行审计程序：</t>
        </is>
      </c>
      <c r="D33" s="43" t="n"/>
      <c r="E33" s="44" t="n"/>
      <c r="F33" s="43" t="n"/>
      <c r="G33" s="45" t="n"/>
    </row>
    <row r="34" ht="13" customHeight="1" s="623">
      <c r="C34" s="189" t="n"/>
      <c r="D34" s="639" t="inlineStr">
        <is>
          <t>我们没有发现任何超过SAD的错报</t>
        </is>
      </c>
      <c r="G34" s="640" t="n"/>
    </row>
    <row r="35" ht="41.25" customHeight="1" s="623">
      <c r="C35" s="190" t="n"/>
      <c r="D35" s="641" t="inlineStr">
        <is>
          <t>我们已经完成了于该些科目相关的细节测试，并发现了一个或多个超过SAD的错报，我们已经将这些错报记录于审计差异汇总（SAD template)中, 并将该审计差异汇总表放入Canvas。</t>
        </is>
      </c>
      <c r="E35" s="642" t="n"/>
      <c r="F35" s="642" t="n"/>
      <c r="G35" s="643" t="n"/>
    </row>
    <row r="36" ht="13" customHeight="1" s="623">
      <c r="C36" s="46" t="n"/>
      <c r="E36" s="3" t="n"/>
      <c r="G36" s="46" t="n"/>
    </row>
    <row r="38" ht="15" customHeight="1" s="623">
      <c r="C38" s="644" t="inlineStr">
        <is>
          <t>安永标记</t>
        </is>
      </c>
      <c r="D38" s="645" t="n"/>
      <c r="E38" s="645" t="n"/>
      <c r="F38" s="645" t="n"/>
      <c r="G38" s="646" t="n"/>
    </row>
    <row r="39" ht="15" customHeight="1" s="623">
      <c r="C39" s="238" t="inlineStr">
        <is>
          <t>TB</t>
        </is>
      </c>
      <c r="D39" s="201" t="inlineStr">
        <is>
          <t>已与科目余额表核对无误</t>
        </is>
      </c>
      <c r="E39" s="202" t="n"/>
      <c r="F39" s="202" t="n"/>
      <c r="G39" s="239" t="n"/>
    </row>
    <row r="40" ht="15" customHeight="1" s="623">
      <c r="C40" s="240" t="inlineStr">
        <is>
          <t>PY</t>
        </is>
      </c>
      <c r="D40" s="201" t="inlineStr">
        <is>
          <t>与上年最终审定数核对一致</t>
        </is>
      </c>
      <c r="E40" s="203" t="n"/>
      <c r="F40" s="204" t="n"/>
      <c r="G40" s="241" t="n"/>
    </row>
    <row r="41" ht="15" customHeight="1" s="623">
      <c r="C41" s="238" t="inlineStr">
        <is>
          <t>A3</t>
        </is>
      </c>
      <c r="D41" s="205" t="inlineStr">
        <is>
          <t>与未审数、审定数核对一致</t>
        </is>
      </c>
      <c r="E41" s="206" t="n"/>
      <c r="F41" s="204" t="n"/>
      <c r="G41" s="241" t="n"/>
    </row>
    <row r="42" ht="15" customHeight="1" s="623">
      <c r="C42" s="238" t="inlineStr">
        <is>
          <t>A5</t>
        </is>
      </c>
      <c r="D42" s="205" t="inlineStr">
        <is>
          <t>与审计调整核对一致</t>
        </is>
      </c>
      <c r="E42" s="207" t="n"/>
      <c r="F42" s="204" t="n"/>
      <c r="G42" s="241" t="n"/>
    </row>
    <row r="43" ht="15" customHeight="1" s="623">
      <c r="C43" s="242" t="inlineStr">
        <is>
          <t>FS</t>
        </is>
      </c>
      <c r="D43" s="201" t="inlineStr">
        <is>
          <t>与FS.0x与财务报表核对无误</t>
        </is>
      </c>
      <c r="E43" s="208" t="n"/>
      <c r="F43" s="209" t="n"/>
      <c r="G43" s="243" t="n"/>
    </row>
    <row r="44" ht="15" customHeight="1" s="623">
      <c r="C44" s="244" t="inlineStr">
        <is>
          <t>w</t>
        </is>
      </c>
      <c r="D44" s="201" t="inlineStr">
        <is>
          <t>低于SAD的金额——放弃进一步调查</t>
        </is>
      </c>
      <c r="E44" s="204" t="n"/>
      <c r="F44" s="204" t="n"/>
      <c r="G44" s="241" t="n"/>
    </row>
    <row r="45" ht="15" customHeight="1" s="623">
      <c r="C45" s="238" t="inlineStr">
        <is>
          <t>Rx</t>
        </is>
      </c>
      <c r="D45" s="201" t="inlineStr">
        <is>
          <t>重新计算，无异常</t>
        </is>
      </c>
      <c r="E45" s="204" t="n"/>
      <c r="F45" s="204" t="n"/>
      <c r="G45" s="241" t="n"/>
    </row>
    <row r="46" ht="15" customHeight="1" s="623">
      <c r="C46" s="244" t="inlineStr">
        <is>
          <t>m</t>
        </is>
      </c>
      <c r="D46" s="201" t="inlineStr">
        <is>
          <t>余额/活动不符合测试范围–无需进一步调查</t>
        </is>
      </c>
      <c r="E46" s="204" t="n"/>
      <c r="F46" s="204" t="n"/>
      <c r="G46" s="241" t="n"/>
    </row>
    <row r="47" ht="15" customHeight="1" s="623">
      <c r="C47" s="245" t="inlineStr">
        <is>
          <t>SL</t>
        </is>
      </c>
      <c r="D47" s="246" t="inlineStr">
        <is>
          <t>已与明细账核对无误</t>
        </is>
      </c>
      <c r="E47" s="247" t="n"/>
      <c r="F47" s="247" t="n"/>
      <c r="G47" s="248" t="n"/>
    </row>
  </sheetData>
  <mergeCells count="12">
    <mergeCell ref="H26:H27"/>
    <mergeCell ref="C23:F23"/>
    <mergeCell ref="D35:G35"/>
    <mergeCell ref="C38:G38"/>
    <mergeCell ref="D26:D27"/>
    <mergeCell ref="C20:F20"/>
    <mergeCell ref="F26:F27"/>
    <mergeCell ref="E13:F13"/>
    <mergeCell ref="D34:G34"/>
    <mergeCell ref="E26:E27"/>
    <mergeCell ref="C26:C27"/>
    <mergeCell ref="G26:G27"/>
  </mergeCells>
  <conditionalFormatting sqref="C34">
    <cfRule type="expression" priority="2" dxfId="1">
      <formula>C35="√"</formula>
    </cfRule>
  </conditionalFormatting>
  <conditionalFormatting sqref="C34:C35">
    <cfRule type="containsBlanks" priority="4" dxfId="0">
      <formula>LEN(TRIM(C34))=0</formula>
    </cfRule>
  </conditionalFormatting>
  <conditionalFormatting sqref="C35">
    <cfRule type="expression" priority="1" dxfId="1">
      <formula>C34="√"</formula>
    </cfRule>
    <cfRule type="expression" priority="3" dxfId="1">
      <formula>"if($C$46=""√"","""")"</formula>
    </cfRule>
  </conditionalFormatting>
  <conditionalFormatting sqref="D3 D5 D7 D9 D15:D20 G3 G5 G7 I26:I29">
    <cfRule type="containsBlanks" priority="6" dxfId="0">
      <formula>LEN(TRIM(D3))=0</formula>
    </cfRule>
  </conditionalFormatting>
  <conditionalFormatting sqref="K26:K29">
    <cfRule type="expression" priority="36" dxfId="31">
      <formula>SUMPRODUCT((I26="No")*(LEN(K26)=0))</formula>
    </cfRule>
  </conditionalFormatting>
  <dataValidations count="3">
    <dataValidation sqref="C34:C35" showDropDown="0" showInputMessage="1" showErrorMessage="0" allowBlank="1" type="list">
      <formula1>"√,"</formula1>
    </dataValidation>
    <dataValidation sqref="I26:I29" showDropDown="0" showInputMessage="1" showErrorMessage="0" allowBlank="1" type="list">
      <formula1>" ,Yes, No"</formula1>
    </dataValidation>
    <dataValidation sqref="D15:D22" showDropDown="0" showInputMessage="1" showErrorMessage="0" allowBlank="1" type="list">
      <formula1>"Minimal,Low,Moderate,High,N/A"</formula1>
    </dataValidation>
  </dataValidations>
  <hyperlinks>
    <hyperlink ref="J26" location="'M.00 Lead'!A1" display="'M.00 Lead'!A1"/>
    <hyperlink ref="J27" location="'M.01.01&amp;02.01明细账'!A1" display="M.01.01&amp;02.01明细账"/>
    <hyperlink ref="J28" location="'M.01 银承BKD'!A1" display="M.01 银承BKD"/>
    <hyperlink ref="J29" location="'M.02 商承BKD'!A1" display="M.02 商承BKD"/>
  </hyperlinks>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codeName="Sheet3">
    <outlinePr summaryBelow="1" summaryRight="1"/>
    <pageSetUpPr/>
  </sheetPr>
  <dimension ref="A1:W63"/>
  <sheetViews>
    <sheetView showGridLines="0" zoomScale="70" zoomScaleNormal="70" workbookViewId="0">
      <selection activeCell="M47" sqref="M47"/>
    </sheetView>
  </sheetViews>
  <sheetFormatPr baseColWidth="8" defaultColWidth="8.75" defaultRowHeight="12.75" customHeight="1" outlineLevelRow="1"/>
  <cols>
    <col width="2.33203125" customWidth="1" style="162" min="1" max="1"/>
    <col width="5.33203125" customWidth="1" style="35" min="2" max="2"/>
    <col width="16.33203125" customWidth="1" style="35" min="3" max="3"/>
    <col width="24.5" customWidth="1" style="35" min="4" max="4"/>
    <col width="15.25" customWidth="1" style="35" min="5" max="5"/>
    <col width="16.08203125" customWidth="1" style="35" min="6" max="6"/>
    <col width="15" customWidth="1" style="35" min="7" max="9"/>
    <col width="15.83203125" customWidth="1" style="35" min="10" max="10"/>
    <col width="14.25" customWidth="1" style="35" min="11" max="11"/>
    <col width="13.08203125" customWidth="1" style="35" min="12" max="12"/>
    <col width="11.33203125" customWidth="1" style="35" min="13" max="14"/>
    <col width="17.58203125" customWidth="1" style="35" min="15" max="17"/>
    <col width="9.33203125" customWidth="1" style="35" min="18" max="18"/>
    <col width="12.5" customWidth="1" style="35" min="19" max="19"/>
    <col width="11.08203125" customWidth="1" style="35" min="20" max="20"/>
    <col width="12.75" customWidth="1" style="35" min="21" max="21"/>
    <col width="8.75" customWidth="1" style="35" min="22" max="16384"/>
  </cols>
  <sheetData>
    <row r="1" ht="12.75" customHeight="1" s="623">
      <c r="A1" s="138" t="inlineStr">
        <is>
          <t>03878ede-ea5b-4f95-861a-b27c211af73e</t>
        </is>
      </c>
    </row>
    <row r="2" ht="12.75" customHeight="1" s="623">
      <c r="J2" s="47" t="inlineStr">
        <is>
          <t>返回汇总页</t>
        </is>
      </c>
    </row>
    <row r="3"/>
    <row r="4" ht="20" customHeight="1" s="623">
      <c r="C4" s="48" t="inlineStr">
        <is>
          <t>目标</t>
        </is>
      </c>
      <c r="D4" s="49" t="n"/>
      <c r="E4" s="49" t="n"/>
      <c r="F4" s="49" t="n"/>
      <c r="G4" s="49" t="n"/>
      <c r="H4" s="49" t="n"/>
      <c r="I4" s="49" t="n"/>
      <c r="J4" s="50" t="n"/>
    </row>
    <row r="5" ht="20.15" customHeight="1" s="623">
      <c r="C5" s="51" t="inlineStr">
        <is>
          <t>通过执行分析和调查两期的应付票据科目重大变动来确定应付票据余额是否合理。</t>
        </is>
      </c>
      <c r="D5" s="52" t="n"/>
      <c r="E5" s="52" t="n"/>
      <c r="F5" s="52" t="n"/>
      <c r="G5" s="52" t="n"/>
      <c r="H5" s="52" t="n"/>
      <c r="I5" s="52" t="n"/>
      <c r="J5" s="53" t="n"/>
    </row>
    <row r="6" ht="20.15" customHeight="1" s="623">
      <c r="C6" s="51" t="n"/>
      <c r="D6" s="52" t="n"/>
      <c r="E6" s="52" t="n"/>
      <c r="F6" s="52" t="n"/>
      <c r="G6" s="52" t="n"/>
      <c r="H6" s="52" t="n"/>
      <c r="I6" s="52" t="n"/>
      <c r="J6" s="53" t="n"/>
    </row>
    <row r="7" ht="18" customHeight="1" s="623">
      <c r="B7" s="54" t="n"/>
      <c r="C7" s="55" t="n"/>
      <c r="D7" s="56" t="n"/>
      <c r="E7" s="56" t="n"/>
      <c r="F7" s="56" t="n"/>
      <c r="G7" s="57" t="n"/>
      <c r="H7" s="57" t="n"/>
      <c r="I7" s="57" t="n"/>
      <c r="J7" s="53" t="n"/>
    </row>
    <row r="8" ht="20" customHeight="1" s="623">
      <c r="A8" s="58" t="n"/>
      <c r="B8" s="58" t="n"/>
      <c r="C8" s="59" t="inlineStr">
        <is>
          <t>序号</t>
        </is>
      </c>
      <c r="D8" s="647" t="inlineStr">
        <is>
          <t>执行的程序</t>
        </is>
      </c>
      <c r="E8" s="648" t="n"/>
      <c r="F8" s="649" t="n"/>
      <c r="G8" s="60" t="inlineStr">
        <is>
          <t>程序表</t>
        </is>
      </c>
      <c r="H8" s="60" t="inlineStr">
        <is>
          <t>预审完成</t>
        </is>
      </c>
      <c r="I8" s="60" t="inlineStr">
        <is>
          <t>年审完成</t>
        </is>
      </c>
      <c r="J8" s="61" t="inlineStr">
        <is>
          <t>执行注意事项</t>
        </is>
      </c>
    </row>
    <row r="9" outlineLevel="1" ht="47.15" customHeight="1" s="623">
      <c r="B9" s="54" t="n"/>
      <c r="C9" s="62" t="n">
        <v>1</v>
      </c>
      <c r="D9" s="650" t="inlineStr">
        <is>
          <t>我们获取应付票据科目余额表本期金额以及上年审定数。</t>
        </is>
      </c>
      <c r="E9" s="648" t="n"/>
      <c r="F9" s="649" t="n"/>
      <c r="G9" s="390" t="inlineStr">
        <is>
          <t>表2</t>
        </is>
      </c>
      <c r="H9" s="391" t="n"/>
      <c r="I9" s="391" t="n"/>
      <c r="J9" s="63" t="n"/>
    </row>
    <row r="10" outlineLevel="1" ht="64.15000000000001" customHeight="1" s="623">
      <c r="B10" s="54" t="n"/>
      <c r="C10" s="64" t="n">
        <v>2</v>
      </c>
      <c r="D10" s="650" t="inlineStr">
        <is>
          <t>我们将两期审定金额进行比对，对那些变动大于范围的事项，获得管理层解释并对解释是否合理进行调查。</t>
        </is>
      </c>
      <c r="E10" s="648" t="n"/>
      <c r="F10" s="649" t="n"/>
      <c r="G10" s="390" t="inlineStr">
        <is>
          <t>表2</t>
        </is>
      </c>
      <c r="H10" s="391" t="n"/>
      <c r="I10" s="391" t="n"/>
      <c r="J10" s="63" t="n"/>
    </row>
    <row r="11" ht="18" customHeight="1" s="623">
      <c r="B11" s="54" t="n"/>
      <c r="C11" s="65" t="n"/>
      <c r="D11" s="66" t="n"/>
      <c r="E11" s="66" t="n"/>
      <c r="F11" s="66" t="n"/>
      <c r="G11" s="67" t="n"/>
      <c r="H11" s="67" t="n"/>
      <c r="I11" s="67" t="n"/>
      <c r="J11" s="68" t="n"/>
      <c r="K11" s="54" t="n"/>
      <c r="L11" s="54" t="n"/>
    </row>
    <row r="12" ht="12.75" customHeight="1" s="623">
      <c r="B12" s="54" t="n"/>
      <c r="C12" s="651" t="n"/>
      <c r="D12" s="651" t="n"/>
      <c r="E12" s="651" t="n"/>
      <c r="F12" s="651" t="n"/>
      <c r="G12" s="651" t="n"/>
      <c r="H12" s="54" t="n"/>
      <c r="I12" s="54" t="n"/>
      <c r="M12" s="70" t="n"/>
      <c r="N12" s="70" t="n"/>
    </row>
    <row r="13" ht="12.75" customHeight="1" s="623">
      <c r="B13" s="54" t="n"/>
      <c r="C13" s="140" t="inlineStr">
        <is>
          <t>在下文中描述我们当期对应付余额和相关波动的预期，以及这些预期的依据和理由。</t>
        </is>
      </c>
      <c r="D13" s="652" t="n"/>
      <c r="E13" s="652" t="n"/>
      <c r="F13" s="652" t="n"/>
      <c r="G13" s="652" t="n"/>
      <c r="H13" s="54" t="n"/>
      <c r="I13" s="54" t="n"/>
      <c r="M13" s="70" t="n"/>
      <c r="N13" s="70" t="n"/>
    </row>
    <row r="14" ht="12.75" customHeight="1" s="623">
      <c r="B14" s="54" t="n"/>
      <c r="C14" s="653" t="n"/>
      <c r="D14" s="654" t="n"/>
      <c r="E14" s="654" t="n"/>
      <c r="F14" s="654" t="n"/>
      <c r="G14" s="655" t="n"/>
      <c r="H14" s="54" t="n"/>
      <c r="I14" s="54" t="n"/>
      <c r="M14" s="70" t="n"/>
      <c r="N14" s="70" t="n"/>
    </row>
    <row r="15" ht="12.75" customHeight="1" s="623">
      <c r="B15" s="54" t="n"/>
      <c r="C15" s="656" t="n"/>
      <c r="D15" s="657" t="n"/>
      <c r="E15" s="657" t="n"/>
      <c r="F15" s="657" t="n"/>
      <c r="G15" s="658" t="n"/>
      <c r="H15" s="54" t="n"/>
      <c r="I15" s="54" t="n"/>
      <c r="M15" s="70" t="n"/>
      <c r="N15" s="70" t="n"/>
    </row>
    <row r="16" ht="12.75" customHeight="1" s="623">
      <c r="B16" s="54" t="n"/>
      <c r="C16" s="656" t="n"/>
      <c r="D16" s="657" t="n"/>
      <c r="E16" s="657" t="n"/>
      <c r="F16" s="657" t="n"/>
      <c r="G16" s="658" t="n"/>
      <c r="H16" s="54" t="n"/>
      <c r="I16" s="54" t="n"/>
      <c r="M16" s="70" t="n"/>
      <c r="N16" s="70" t="n"/>
    </row>
    <row r="17" ht="12.75" customHeight="1" s="623">
      <c r="B17" s="54" t="n"/>
      <c r="C17" s="659" t="n"/>
      <c r="D17" s="660" t="n"/>
      <c r="E17" s="660" t="n"/>
      <c r="F17" s="660" t="n"/>
      <c r="G17" s="661" t="n"/>
      <c r="H17" s="54" t="n"/>
      <c r="I17" s="54" t="n"/>
      <c r="M17" s="70" t="n"/>
      <c r="N17" s="70" t="n"/>
    </row>
    <row r="18" ht="12.65" customHeight="1" s="623" thickBot="1">
      <c r="B18" s="54" t="n"/>
      <c r="C18" s="651" t="n"/>
      <c r="D18" s="651" t="n"/>
      <c r="E18" s="651" t="n"/>
      <c r="F18" s="651" t="n"/>
      <c r="G18" s="651" t="n"/>
      <c r="H18" s="54" t="n"/>
      <c r="I18" s="54" t="n"/>
      <c r="M18" s="70" t="n"/>
      <c r="N18" s="70" t="n"/>
    </row>
    <row r="19" ht="12.65" customHeight="1" s="623">
      <c r="B19" s="54" t="n"/>
      <c r="C19" s="662" t="inlineStr">
        <is>
          <t>波动范围</t>
        </is>
      </c>
      <c r="D19" s="646" t="n"/>
      <c r="E19" s="651" t="n"/>
      <c r="F19" s="651" t="n"/>
      <c r="G19" s="651" t="n"/>
      <c r="H19" s="54" t="n"/>
      <c r="I19" s="54" t="n"/>
      <c r="M19" s="70" t="n"/>
      <c r="N19" s="70" t="n"/>
    </row>
    <row r="20" ht="12.65" customHeight="1" s="623">
      <c r="B20" s="54" t="n"/>
      <c r="C20" s="263">
        <f>"波动幅度 ("&amp;汇总!D11&amp; "):"</f>
        <v/>
      </c>
      <c r="D20" s="663">
        <f>汇总!$F$15</f>
        <v/>
      </c>
      <c r="E20" s="651" t="n"/>
      <c r="F20" s="651" t="n"/>
      <c r="G20" s="651" t="n"/>
      <c r="H20" s="54" t="n"/>
      <c r="I20" s="54" t="n"/>
      <c r="M20" s="70" t="n"/>
      <c r="N20" s="70" t="n"/>
    </row>
    <row r="21" ht="12.65" customHeight="1" s="623">
      <c r="B21" s="54" t="n"/>
      <c r="C21" s="337" t="inlineStr">
        <is>
          <t>波动幅度 (%):</t>
        </is>
      </c>
      <c r="D21" s="452" t="n">
        <v>0.1</v>
      </c>
      <c r="E21" s="651" t="n"/>
      <c r="F21" s="651" t="n"/>
      <c r="G21" s="651" t="n"/>
      <c r="H21" s="54" t="n"/>
      <c r="I21" s="54" t="n"/>
      <c r="J21" s="54" t="n"/>
      <c r="N21" s="70" t="n"/>
      <c r="O21" s="70" t="n"/>
    </row>
    <row r="22" ht="12.65" customHeight="1" s="623">
      <c r="B22" s="54" t="n"/>
      <c r="C22" s="651" t="n"/>
      <c r="D22" s="651" t="n"/>
      <c r="E22" s="651" t="n"/>
      <c r="F22" s="72" t="inlineStr">
        <is>
          <t>|------- TB -------|</t>
        </is>
      </c>
      <c r="G22" s="664" t="n"/>
      <c r="H22" s="70" t="n"/>
      <c r="I22" s="70" t="n"/>
      <c r="J22" s="157" t="n"/>
      <c r="K22" s="137" t="inlineStr">
        <is>
          <t>|------- PY -------|</t>
        </is>
      </c>
      <c r="L22" s="70" t="n"/>
      <c r="M22" s="70" t="n"/>
      <c r="N22" s="70" t="n"/>
      <c r="O22" s="70" t="n"/>
    </row>
    <row r="23" ht="12.75" customHeight="1" s="623">
      <c r="B23" s="71" t="inlineStr">
        <is>
          <t>表2</t>
        </is>
      </c>
      <c r="C23" s="665" t="inlineStr">
        <is>
          <t>账套名称/账套编码</t>
        </is>
      </c>
      <c r="D23" s="666" t="inlineStr">
        <is>
          <t>科目名称</t>
        </is>
      </c>
      <c r="E23" s="667" t="inlineStr">
        <is>
          <t>索引号</t>
        </is>
      </c>
      <c r="F23" s="324" t="n"/>
      <c r="G23" s="325" t="n"/>
      <c r="H23" s="668">
        <f>汇总!D5</f>
        <v/>
      </c>
      <c r="I23" s="325" t="n"/>
      <c r="J23" s="327" t="inlineStr">
        <is>
          <t> </t>
        </is>
      </c>
      <c r="K23" s="669">
        <f>DATE(YEAR($H$23)-1,12,31)</f>
        <v/>
      </c>
      <c r="L23" s="329" t="inlineStr">
        <is>
          <t>变动</t>
        </is>
      </c>
      <c r="M23" s="330" t="n"/>
      <c r="N23" s="213" t="n"/>
      <c r="O23" s="522" t="inlineStr">
        <is>
          <t>基于波动幅度判断，是否进一步调查？</t>
        </is>
      </c>
      <c r="P23" s="524" t="inlineStr">
        <is>
          <t>基于定性考虑判断，是否进一步调查？</t>
        </is>
      </c>
      <c r="Q23" s="3" t="n"/>
      <c r="R23" s="25" t="n"/>
    </row>
    <row r="24" ht="24.65" customHeight="1" s="623">
      <c r="C24" s="637" t="n"/>
      <c r="D24" s="638" t="n"/>
      <c r="E24" s="670" t="n"/>
      <c r="F24" s="331" t="inlineStr">
        <is>
          <t>期末账面数</t>
        </is>
      </c>
      <c r="G24" s="332" t="inlineStr">
        <is>
          <t>账表调整数</t>
        </is>
      </c>
      <c r="H24" s="333" t="inlineStr">
        <is>
          <t>期末未审数</t>
        </is>
      </c>
      <c r="I24" s="332" t="inlineStr">
        <is>
          <t>审计调整数</t>
        </is>
      </c>
      <c r="J24" s="334" t="inlineStr">
        <is>
          <t>期末审定数</t>
        </is>
      </c>
      <c r="K24" s="333" t="inlineStr">
        <is>
          <t>上期末审定数</t>
        </is>
      </c>
      <c r="L24" s="335" t="inlineStr">
        <is>
          <t>金额</t>
        </is>
      </c>
      <c r="M24" s="333" t="inlineStr">
        <is>
          <t>%</t>
        </is>
      </c>
      <c r="N24" s="214" t="inlineStr">
        <is>
          <t>Notes</t>
        </is>
      </c>
      <c r="O24" s="638" t="n"/>
      <c r="P24" s="671" t="n"/>
      <c r="Q24" s="3" t="n"/>
      <c r="R24" s="25" t="n"/>
    </row>
    <row r="25" ht="14.5" customHeight="1" s="623">
      <c r="B25" s="321" t="n"/>
      <c r="C25" s="449" t="inlineStr">
        <is>
          <t>DPCA</t>
        </is>
      </c>
      <c r="D25" s="320" t="inlineStr">
        <is>
          <t>银行承兑汇票</t>
        </is>
      </c>
      <c r="E25" s="318" t="inlineStr">
        <is>
          <t>M.01/</t>
        </is>
      </c>
      <c r="F25" s="672" t="n"/>
      <c r="G25" s="673" t="n"/>
      <c r="H25" s="673">
        <f>F25+G25</f>
        <v/>
      </c>
      <c r="I25" s="673" t="n"/>
      <c r="J25" s="673">
        <f>H25+I25</f>
        <v/>
      </c>
      <c r="K25" s="674" t="n">
        <v>50570211.17</v>
      </c>
      <c r="L25" s="673">
        <f>J25-K25</f>
        <v/>
      </c>
      <c r="M25" s="217">
        <f>IFERROR(L25/K25,1)</f>
        <v/>
      </c>
      <c r="N25" s="336" t="inlineStr">
        <is>
          <t>[A]</t>
        </is>
      </c>
      <c r="O25" s="211">
        <f>IF(AND(L25&lt;&gt;0,ABS(L25)&gt;=$D$20,OR(M25="N/A",ABS(IFERROR(L25/K25,0))&gt;=$D$21)),"是","否")</f>
        <v/>
      </c>
      <c r="P25" s="462" t="n"/>
      <c r="Q25" s="3" t="n"/>
      <c r="R25" s="25" t="n"/>
    </row>
    <row r="26" ht="14.5" customHeight="1" s="623">
      <c r="B26" s="321" t="n"/>
      <c r="C26" s="449" t="inlineStr">
        <is>
          <t>DPCC</t>
        </is>
      </c>
      <c r="D26" s="320" t="inlineStr">
        <is>
          <t>银行承兑汇票</t>
        </is>
      </c>
      <c r="E26" s="318" t="n"/>
      <c r="F26" s="672" t="n"/>
      <c r="G26" s="673" t="n"/>
      <c r="H26" s="673">
        <f>F26+G26</f>
        <v/>
      </c>
      <c r="I26" s="673" t="n"/>
      <c r="J26" s="673">
        <f>H26+I26</f>
        <v/>
      </c>
      <c r="K26" s="674" t="n">
        <v>11616668.49</v>
      </c>
      <c r="L26" s="673">
        <f>J26-K26</f>
        <v/>
      </c>
      <c r="M26" s="217">
        <f>IFERROR(L26/K26,1)</f>
        <v/>
      </c>
      <c r="N26" s="215" t="n"/>
      <c r="O26" s="211">
        <f>IF(AND(L26&lt;&gt;0,ABS(L26)&gt;=$D$20,OR(M26="N/A",ABS(IFERROR(L26/K26,0))&gt;=$D$21)),"是","否")</f>
        <v/>
      </c>
      <c r="P26" s="462" t="n"/>
      <c r="Q26" s="3" t="n"/>
      <c r="R26" s="25" t="n"/>
    </row>
    <row r="27" ht="14.5" customHeight="1" s="623">
      <c r="B27" s="321" t="n"/>
      <c r="C27" s="449" t="inlineStr">
        <is>
          <t>DPCA</t>
        </is>
      </c>
      <c r="D27" s="320" t="inlineStr">
        <is>
          <t>商业承兑汇票</t>
        </is>
      </c>
      <c r="E27" s="318" t="inlineStr">
        <is>
          <t>M.02/</t>
        </is>
      </c>
      <c r="F27" s="672" t="n"/>
      <c r="G27" s="673" t="n"/>
      <c r="H27" s="673">
        <f>F27+G27</f>
        <v/>
      </c>
      <c r="I27" s="673" t="n"/>
      <c r="J27" s="673">
        <f>H27+I27</f>
        <v/>
      </c>
      <c r="K27" s="674" t="n">
        <v>0</v>
      </c>
      <c r="L27" s="673">
        <f>J27-K27</f>
        <v/>
      </c>
      <c r="M27" s="217">
        <f>IFERROR(L27/K27,1)</f>
        <v/>
      </c>
      <c r="N27" s="215" t="n"/>
      <c r="O27" s="211">
        <f>IF(AND(L27&lt;&gt;0,ABS(L27)&gt;=$D$20,OR(M27="N/A",ABS(IFERROR(L27/K27,0))&gt;=$D$21)),"是","否")</f>
        <v/>
      </c>
      <c r="P27" s="462" t="n"/>
      <c r="Q27" s="3" t="n"/>
      <c r="R27" s="25" t="n"/>
    </row>
    <row r="28" ht="14.5" customHeight="1" s="623">
      <c r="B28" s="321" t="n"/>
      <c r="C28" s="449" t="inlineStr">
        <is>
          <t>DPCC</t>
        </is>
      </c>
      <c r="D28" s="320" t="inlineStr">
        <is>
          <t>商业承兑汇票</t>
        </is>
      </c>
      <c r="E28" s="318" t="inlineStr">
        <is>
          <t>M.02/</t>
        </is>
      </c>
      <c r="F28" s="672" t="n"/>
      <c r="G28" s="673" t="n"/>
      <c r="H28" s="673">
        <f>F28+G28</f>
        <v/>
      </c>
      <c r="I28" s="673" t="n"/>
      <c r="J28" s="673">
        <f>H28+I28</f>
        <v/>
      </c>
      <c r="K28" s="674" t="n">
        <v>0</v>
      </c>
      <c r="L28" s="673">
        <f>J28-K28</f>
        <v/>
      </c>
      <c r="M28" s="217">
        <f>IFERROR(L28/K28,1)</f>
        <v/>
      </c>
      <c r="N28" s="215" t="n"/>
      <c r="O28" s="211">
        <f>IF(AND(L28&lt;&gt;0,ABS(L28)&gt;=$D$20,OR(M28="N/A",ABS(IFERROR(L28/K28,0))&gt;=$D$21)),"是","否")</f>
        <v/>
      </c>
      <c r="P28" s="462" t="n"/>
      <c r="Q28" s="3" t="n"/>
      <c r="R28" s="25" t="n"/>
    </row>
    <row r="29" ht="12.75" customHeight="1" s="623">
      <c r="B29" s="321" t="n"/>
      <c r="C29" s="317" t="n"/>
      <c r="D29" s="322" t="n"/>
      <c r="E29" s="319" t="inlineStr">
        <is>
          <t>合计</t>
        </is>
      </c>
      <c r="F29" s="675">
        <f>SUM(F25:F28)</f>
        <v/>
      </c>
      <c r="G29" s="675">
        <f>SUM(G25:G28)</f>
        <v/>
      </c>
      <c r="H29" s="675">
        <f>F29+G29</f>
        <v/>
      </c>
      <c r="I29" s="675">
        <f>SUM(I25:I28)</f>
        <v/>
      </c>
      <c r="J29" s="675">
        <f>H29+I29</f>
        <v/>
      </c>
      <c r="K29" s="675">
        <f>SUM(K25:K28)</f>
        <v/>
      </c>
      <c r="L29" s="675">
        <f>J29-K29</f>
        <v/>
      </c>
      <c r="M29" s="218">
        <f>IFERROR(L29/K29,1)</f>
        <v/>
      </c>
      <c r="N29" s="216" t="n"/>
      <c r="O29" s="212">
        <f>IF(AND(L29&lt;&gt;0,ABS(L29)&gt;=$D$20,OR(M29="N/A",ABS(IFERROR(L29/K29,0))&gt;=$D$21)),"是","否")</f>
        <v/>
      </c>
      <c r="P29" s="463" t="n"/>
      <c r="Q29" s="3" t="n"/>
      <c r="R29" s="25" t="n"/>
    </row>
    <row r="30" ht="12.75" customHeight="1" s="623">
      <c r="C30" s="72" t="n"/>
      <c r="D30" s="323" t="n"/>
      <c r="E30" s="72" t="n"/>
      <c r="F30" s="72" t="inlineStr">
        <is>
          <t>RX</t>
        </is>
      </c>
      <c r="G30" s="72" t="inlineStr">
        <is>
          <t>RX</t>
        </is>
      </c>
      <c r="H30" s="72" t="n"/>
      <c r="I30" s="72" t="inlineStr">
        <is>
          <t>RX</t>
        </is>
      </c>
      <c r="J30" s="72" t="n"/>
      <c r="K30" s="72" t="inlineStr">
        <is>
          <t>RX</t>
        </is>
      </c>
      <c r="L30" s="72" t="n"/>
      <c r="M30" s="72" t="n"/>
      <c r="N30" s="72" t="n"/>
      <c r="O30" s="72" t="n"/>
      <c r="P30" s="72" t="n"/>
      <c r="Q30" s="72" t="n"/>
      <c r="R30" s="72" t="n"/>
      <c r="S30" s="72" t="n"/>
      <c r="T30" s="72" t="n"/>
      <c r="U30" s="72" t="n"/>
      <c r="V30" s="3" t="n"/>
      <c r="W30" s="25" t="n"/>
    </row>
    <row r="31" ht="12.75" customHeight="1" s="623">
      <c r="C31" s="72" t="n"/>
      <c r="D31" s="72" t="n"/>
      <c r="E31" s="676" t="n"/>
      <c r="F31" s="677" t="n"/>
      <c r="G31" s="676" t="inlineStr">
        <is>
          <t>A3</t>
        </is>
      </c>
      <c r="H31" s="678" t="n"/>
      <c r="I31" s="677" t="n"/>
      <c r="J31" s="678" t="n"/>
      <c r="K31" s="678" t="n"/>
      <c r="L31" s="72" t="n"/>
      <c r="M31" s="72" t="n"/>
      <c r="N31" s="72" t="n"/>
      <c r="O31" s="72" t="n"/>
      <c r="P31" s="72" t="n"/>
      <c r="Q31" s="72" t="n"/>
      <c r="R31" s="72" t="n"/>
      <c r="S31" s="72" t="n"/>
      <c r="T31" s="72" t="n"/>
      <c r="U31" s="72" t="n"/>
      <c r="V31" s="3" t="n"/>
      <c r="W31" s="25" t="n"/>
    </row>
    <row r="32" ht="12.75" customHeight="1" s="623" thickBot="1">
      <c r="C32" s="72" t="n"/>
      <c r="D32" s="72" t="n"/>
      <c r="E32" s="676" t="n"/>
      <c r="F32" s="677" t="n"/>
      <c r="G32" s="676" t="inlineStr">
        <is>
          <t>Diff</t>
        </is>
      </c>
      <c r="H32" s="679">
        <f>H29-H31</f>
        <v/>
      </c>
      <c r="I32" s="677" t="n"/>
      <c r="J32" s="679">
        <f>J29-J31</f>
        <v/>
      </c>
      <c r="K32" s="679">
        <f>K29-K31</f>
        <v/>
      </c>
      <c r="L32" s="72" t="n"/>
      <c r="M32" s="72" t="n"/>
      <c r="N32" s="72" t="n"/>
      <c r="O32" s="72" t="n"/>
      <c r="P32" s="72" t="n"/>
      <c r="Q32" s="72" t="n"/>
      <c r="R32" s="72" t="n"/>
      <c r="S32" s="72" t="n"/>
      <c r="T32" s="72" t="n"/>
      <c r="U32" s="72" t="n"/>
      <c r="V32" s="3" t="n"/>
      <c r="W32" s="25" t="n"/>
    </row>
    <row r="33" ht="14.15" customHeight="1" s="623">
      <c r="C33" s="72" t="n"/>
      <c r="D33" s="72" t="n"/>
      <c r="E33" s="72" t="n"/>
      <c r="F33" s="677" t="n"/>
      <c r="G33" s="72" t="n"/>
      <c r="H33" s="677" t="n"/>
      <c r="I33" s="677" t="n"/>
      <c r="J33" s="677" t="n"/>
      <c r="K33" s="72" t="n"/>
      <c r="L33" s="72" t="n"/>
      <c r="M33" s="72" t="n"/>
      <c r="N33" s="72" t="n"/>
      <c r="O33" s="72" t="n"/>
      <c r="P33" s="72" t="n"/>
      <c r="Q33" s="72" t="n"/>
      <c r="R33" s="72" t="n"/>
      <c r="S33" s="72" t="n"/>
      <c r="T33" s="72" t="n"/>
      <c r="U33" s="72" t="n"/>
      <c r="V33" s="3" t="n"/>
      <c r="W33" s="25" t="n"/>
    </row>
    <row r="34" ht="14.15" customHeight="1" s="623">
      <c r="B34" s="136" t="n"/>
      <c r="C34" s="5" t="inlineStr">
        <is>
          <t>波动说明</t>
        </is>
      </c>
      <c r="D34" s="72" t="n"/>
      <c r="E34" s="72" t="n"/>
      <c r="F34" s="677" t="n"/>
      <c r="G34" s="72" t="n"/>
      <c r="H34" s="677" t="n"/>
      <c r="I34" s="677" t="n"/>
      <c r="J34" s="72" t="n"/>
      <c r="K34" s="72" t="n"/>
      <c r="L34" s="72" t="n"/>
      <c r="M34" s="72" t="n"/>
      <c r="N34" s="72" t="n"/>
      <c r="O34" s="72" t="n"/>
      <c r="P34" s="72" t="n"/>
      <c r="Q34" s="72" t="n"/>
      <c r="R34" s="72" t="n"/>
      <c r="S34" s="72" t="n"/>
      <c r="T34" s="72" t="n"/>
      <c r="U34" s="3" t="n"/>
      <c r="V34" s="25" t="n"/>
    </row>
    <row r="35" ht="12.75" customHeight="1" s="623">
      <c r="C35" s="680" t="inlineStr">
        <is>
          <t>[A]</t>
        </is>
      </c>
      <c r="D35" s="681" t="n"/>
      <c r="E35" s="681" t="n"/>
      <c r="F35" s="681" t="n"/>
      <c r="G35" s="682" t="n"/>
      <c r="H35" s="677" t="n"/>
      <c r="I35" s="677" t="n"/>
      <c r="J35" s="72" t="n"/>
      <c r="K35" s="72" t="n"/>
      <c r="L35" s="72" t="n"/>
      <c r="M35" s="72" t="n"/>
      <c r="N35" s="72" t="n"/>
      <c r="O35" s="72" t="n"/>
      <c r="P35" s="72" t="n"/>
      <c r="Q35" s="72" t="n"/>
      <c r="R35" s="72" t="n"/>
      <c r="S35" s="72" t="n"/>
      <c r="T35" s="72" t="n"/>
      <c r="U35" s="72" t="n"/>
      <c r="V35" s="3" t="n"/>
      <c r="W35" s="25" t="n"/>
    </row>
    <row r="36" ht="12.75" customHeight="1" s="623">
      <c r="C36" s="683" t="n"/>
      <c r="G36" s="640" t="n"/>
      <c r="H36" s="677" t="n"/>
      <c r="I36" s="677" t="n"/>
      <c r="J36" s="72" t="n"/>
      <c r="K36" s="72" t="n"/>
      <c r="L36" s="72" t="n"/>
      <c r="M36" s="72" t="n"/>
      <c r="N36" s="72" t="n"/>
      <c r="O36" s="72" t="n"/>
      <c r="P36" s="72" t="n"/>
      <c r="Q36" s="72" t="n"/>
      <c r="R36" s="72" t="n"/>
      <c r="S36" s="72" t="n"/>
      <c r="T36" s="72" t="n"/>
      <c r="U36" s="3" t="n"/>
      <c r="V36" s="25" t="n"/>
    </row>
    <row r="37" ht="12.75" customHeight="1" s="623">
      <c r="C37" s="683" t="n"/>
      <c r="G37" s="640" t="n"/>
      <c r="H37" s="677" t="n"/>
      <c r="I37" s="677" t="n"/>
      <c r="J37" s="72" t="n"/>
      <c r="K37" s="72" t="n"/>
      <c r="L37" s="72" t="n"/>
      <c r="M37" s="72" t="n"/>
      <c r="N37" s="72" t="n"/>
      <c r="O37" s="72" t="n"/>
      <c r="P37" s="72" t="n"/>
      <c r="Q37" s="72" t="n"/>
      <c r="R37" s="72" t="n"/>
      <c r="S37" s="72" t="n"/>
      <c r="T37" s="72" t="n"/>
      <c r="U37" s="3" t="n"/>
      <c r="V37" s="25" t="n"/>
    </row>
    <row r="38" ht="12.75" customHeight="1" s="623">
      <c r="C38" s="684" t="n"/>
      <c r="D38" s="685" t="n"/>
      <c r="E38" s="685" t="n"/>
      <c r="F38" s="685" t="n"/>
      <c r="G38" s="686" t="n"/>
      <c r="H38" s="677" t="n"/>
      <c r="I38" s="677" t="n"/>
      <c r="J38" s="72" t="n"/>
      <c r="K38" s="72" t="n"/>
      <c r="L38" s="72" t="n"/>
      <c r="M38" s="72" t="n"/>
      <c r="N38" s="72" t="n"/>
      <c r="O38" s="72" t="n"/>
      <c r="P38" s="72" t="n"/>
      <c r="Q38" s="72" t="n"/>
      <c r="R38" s="72" t="n"/>
      <c r="S38" s="72" t="n"/>
      <c r="T38" s="72" t="n"/>
      <c r="U38" s="3" t="n"/>
      <c r="V38" s="25" t="n"/>
    </row>
    <row r="39" ht="12.75" customHeight="1" s="623">
      <c r="C39" s="74" t="n"/>
      <c r="D39" s="687" t="n"/>
      <c r="E39" s="687" t="n"/>
      <c r="F39" s="687" t="n"/>
      <c r="G39" s="687" t="n"/>
      <c r="H39" s="677" t="n"/>
      <c r="I39" s="677" t="n"/>
      <c r="J39" s="72" t="n"/>
      <c r="K39" s="72" t="n"/>
      <c r="L39" s="72" t="n"/>
      <c r="M39" s="72" t="n"/>
      <c r="N39" s="72" t="n"/>
      <c r="O39" s="72" t="n"/>
      <c r="P39" s="72" t="n"/>
      <c r="Q39" s="72" t="n"/>
      <c r="R39" s="72" t="n"/>
      <c r="S39" s="72" t="n"/>
      <c r="T39" s="72" t="n"/>
      <c r="U39" s="3" t="n"/>
      <c r="V39" s="25" t="n"/>
    </row>
    <row r="40" ht="12.75" customHeight="1" s="623">
      <c r="C40" s="74" t="n"/>
      <c r="D40" s="687" t="n"/>
      <c r="E40" s="687" t="n"/>
      <c r="F40" s="687" t="n"/>
      <c r="G40" s="687" t="n"/>
      <c r="H40" s="677" t="n"/>
      <c r="I40" s="677" t="n"/>
      <c r="J40" s="72" t="n"/>
      <c r="K40" s="72" t="n"/>
      <c r="L40" s="72" t="n"/>
      <c r="M40" s="72" t="n"/>
      <c r="N40" s="72" t="n"/>
      <c r="O40" s="72" t="n"/>
      <c r="P40" s="72" t="n"/>
      <c r="Q40" s="72" t="n"/>
      <c r="R40" s="72" t="n"/>
      <c r="S40" s="72" t="n"/>
      <c r="T40" s="72" t="n"/>
      <c r="U40" s="3" t="n"/>
      <c r="V40" s="25" t="n"/>
    </row>
    <row r="41" ht="12.75" customHeight="1" s="623">
      <c r="C41" s="262" t="inlineStr">
        <is>
          <t>调整汇总表（如不适用请删除）</t>
        </is>
      </c>
      <c r="D41" s="261" t="n"/>
      <c r="E41" s="77" t="n"/>
      <c r="F41" s="687" t="n"/>
      <c r="G41" s="687" t="n"/>
      <c r="H41" s="677" t="n"/>
      <c r="I41" s="677" t="n"/>
      <c r="J41" s="72" t="n"/>
      <c r="K41" s="72" t="n"/>
      <c r="L41" s="72" t="n"/>
      <c r="M41" s="72" t="n"/>
      <c r="N41" s="72" t="n"/>
      <c r="O41" s="72" t="n"/>
      <c r="P41" s="72" t="n"/>
      <c r="Q41" s="72" t="n"/>
      <c r="R41" s="72" t="n"/>
      <c r="S41" s="72" t="n"/>
      <c r="T41" s="72" t="n"/>
      <c r="U41" s="3" t="n"/>
      <c r="V41" s="25" t="n"/>
    </row>
    <row r="42" ht="12.75" customHeight="1" s="623">
      <c r="C42" s="232" t="inlineStr">
        <is>
          <t>调整类型</t>
        </is>
      </c>
      <c r="D42" s="76" t="n"/>
      <c r="E42" s="77" t="n"/>
      <c r="F42" s="687" t="n"/>
      <c r="G42" s="687" t="n"/>
      <c r="H42" s="677" t="n"/>
      <c r="I42" s="677" t="n"/>
      <c r="J42" s="72" t="n"/>
      <c r="K42" s="72" t="n"/>
      <c r="L42" s="72" t="n"/>
      <c r="M42" s="72" t="n"/>
      <c r="N42" s="72" t="n"/>
      <c r="O42" s="72" t="n"/>
      <c r="P42" s="72" t="n"/>
      <c r="Q42" s="72" t="n"/>
      <c r="R42" s="72" t="n"/>
      <c r="S42" s="72" t="n"/>
      <c r="T42" s="72" t="n"/>
      <c r="U42" s="3" t="n"/>
      <c r="V42" s="25" t="n"/>
    </row>
    <row r="43" ht="12.75" customHeight="1" s="623">
      <c r="C43" s="454" t="n"/>
      <c r="D43" s="455" t="n"/>
      <c r="E43" s="455" t="n"/>
      <c r="F43" s="456" t="n"/>
      <c r="G43" s="687" t="n"/>
      <c r="H43" s="677" t="n"/>
      <c r="I43" s="677" t="n"/>
      <c r="J43" s="72" t="n"/>
      <c r="K43" s="72" t="n"/>
      <c r="L43" s="72" t="n"/>
      <c r="M43" s="72" t="n"/>
      <c r="N43" s="72" t="n"/>
      <c r="O43" s="72" t="n"/>
      <c r="P43" s="72" t="n"/>
      <c r="Q43" s="72" t="n"/>
      <c r="R43" s="72" t="n"/>
      <c r="S43" s="72" t="n"/>
      <c r="T43" s="72" t="n"/>
      <c r="U43" s="3" t="n"/>
      <c r="V43" s="25" t="n"/>
    </row>
    <row r="44" ht="12.75" customHeight="1" s="623">
      <c r="C44" s="457" t="n"/>
      <c r="D44" s="233" t="n"/>
      <c r="E44" s="233" t="n"/>
      <c r="F44" s="458" t="n"/>
      <c r="G44" s="687" t="n"/>
      <c r="H44" s="677" t="n"/>
      <c r="I44" s="677" t="n"/>
      <c r="J44" s="72" t="n"/>
      <c r="K44" s="72" t="n"/>
      <c r="L44" s="72" t="n"/>
      <c r="M44" s="72" t="n"/>
      <c r="N44" s="72" t="n"/>
      <c r="O44" s="72" t="n"/>
      <c r="P44" s="72" t="n"/>
      <c r="Q44" s="72" t="n"/>
      <c r="R44" s="72" t="n"/>
      <c r="S44" s="72" t="n"/>
      <c r="T44" s="72" t="n"/>
      <c r="U44" s="3" t="n"/>
      <c r="V44" s="25" t="n"/>
    </row>
    <row r="45" ht="12.75" customHeight="1" s="623">
      <c r="C45" s="457" t="n"/>
      <c r="D45" s="233" t="n"/>
      <c r="E45" s="233" t="n"/>
      <c r="F45" s="458" t="n"/>
      <c r="G45" s="74" t="n"/>
      <c r="H45" s="677" t="n"/>
      <c r="I45" s="677" t="n"/>
      <c r="J45" s="72" t="n"/>
      <c r="K45" s="72" t="n"/>
      <c r="L45" s="72" t="n"/>
      <c r="M45" s="72" t="n"/>
      <c r="N45" s="72" t="n"/>
      <c r="O45" s="72" t="n"/>
      <c r="P45" s="72" t="n"/>
      <c r="Q45" s="72" t="n"/>
      <c r="R45" s="72" t="n"/>
      <c r="S45" s="72" t="n"/>
      <c r="T45" s="72" t="n"/>
      <c r="U45" s="3" t="n"/>
      <c r="V45" s="25" t="n"/>
    </row>
    <row r="46" ht="12.75" customHeight="1" s="623">
      <c r="C46" s="459" t="n"/>
      <c r="D46" s="460" t="n"/>
      <c r="E46" s="460" t="n"/>
      <c r="F46" s="461" t="n"/>
      <c r="G46" s="74" t="n"/>
      <c r="H46" s="677" t="n"/>
      <c r="I46" s="677" t="n"/>
      <c r="J46" s="72" t="n"/>
      <c r="K46" s="72" t="n"/>
      <c r="L46" s="72" t="n"/>
      <c r="M46" s="72" t="n"/>
      <c r="N46" s="72" t="n"/>
      <c r="O46" s="72" t="n"/>
      <c r="P46" s="72" t="n"/>
      <c r="Q46" s="72" t="n"/>
      <c r="R46" s="72" t="n"/>
      <c r="S46" s="72" t="n"/>
      <c r="T46" s="72" t="n"/>
      <c r="U46" s="3" t="n"/>
      <c r="V46" s="25" t="n"/>
    </row>
    <row r="47" ht="12.75" customHeight="1" s="623">
      <c r="C47" s="74" t="n"/>
      <c r="D47" s="687" t="n"/>
      <c r="E47" s="687" t="n"/>
      <c r="F47" s="74" t="n"/>
      <c r="G47" s="74" t="n"/>
      <c r="H47" s="677" t="n"/>
      <c r="I47" s="677" t="n"/>
      <c r="J47" s="72" t="n"/>
      <c r="K47" s="72" t="n"/>
      <c r="L47" s="72" t="n"/>
      <c r="M47" s="72" t="n"/>
      <c r="N47" s="72" t="n"/>
      <c r="O47" s="72" t="n"/>
      <c r="P47" s="72" t="n"/>
      <c r="Q47" s="72" t="n"/>
      <c r="R47" s="72" t="n"/>
      <c r="S47" s="72" t="n"/>
      <c r="T47" s="72" t="n"/>
      <c r="U47" s="3" t="n"/>
      <c r="V47" s="25" t="n"/>
    </row>
    <row r="48" ht="43.5" customHeight="1" s="623">
      <c r="C48" s="74" t="n"/>
      <c r="D48" s="687" t="n"/>
      <c r="E48" s="687" t="n"/>
      <c r="F48" s="74" t="n"/>
      <c r="G48" s="74" t="n"/>
      <c r="H48" s="677" t="n"/>
      <c r="I48" s="677" t="n"/>
      <c r="J48" s="72" t="n"/>
      <c r="K48" s="72" t="n"/>
      <c r="L48" s="72" t="n"/>
      <c r="M48" s="72" t="n"/>
      <c r="N48" s="72" t="n"/>
      <c r="O48" s="72" t="n"/>
      <c r="P48" s="72" t="n"/>
      <c r="Q48" s="72" t="n"/>
      <c r="R48" s="72" t="n"/>
      <c r="S48" s="72" t="n"/>
      <c r="T48" s="72" t="n"/>
      <c r="U48" s="3" t="n"/>
      <c r="V48" s="25" t="n"/>
    </row>
    <row r="49" ht="12.75" customHeight="1" s="623">
      <c r="C49" s="74" t="n"/>
      <c r="D49" s="687" t="n"/>
      <c r="E49" s="74" t="n"/>
      <c r="F49" s="74" t="n"/>
      <c r="G49" s="74" t="n"/>
      <c r="H49" s="677" t="n"/>
      <c r="I49" s="677" t="n"/>
      <c r="J49" s="72" t="n"/>
      <c r="K49" s="72" t="n"/>
      <c r="L49" s="72" t="n"/>
      <c r="M49" s="72" t="n"/>
      <c r="N49" s="72" t="n"/>
      <c r="O49" s="72" t="n"/>
      <c r="P49" s="72" t="n"/>
      <c r="Q49" s="72" t="n"/>
      <c r="R49" s="72" t="n"/>
      <c r="S49" s="72" t="n"/>
      <c r="T49" s="72" t="n"/>
      <c r="U49" s="3" t="n"/>
      <c r="V49" s="25" t="n"/>
    </row>
    <row r="50" ht="12.75" customHeight="1" s="623">
      <c r="C50" s="74" t="n"/>
      <c r="D50" s="687" t="n"/>
      <c r="E50" s="74" t="n"/>
      <c r="F50" s="74" t="n"/>
      <c r="G50" s="74" t="n"/>
      <c r="H50" s="677" t="n"/>
      <c r="I50" s="677" t="n"/>
      <c r="J50" s="72" t="n"/>
      <c r="K50" s="72" t="n"/>
      <c r="L50" s="72" t="n"/>
      <c r="M50" s="72" t="n"/>
      <c r="N50" s="72" t="n"/>
      <c r="O50" s="72" t="n"/>
      <c r="P50" s="72" t="n"/>
      <c r="Q50" s="72" t="n"/>
      <c r="R50" s="72" t="n"/>
      <c r="S50" s="72" t="n"/>
      <c r="T50" s="72" t="n"/>
      <c r="U50" s="3" t="n"/>
      <c r="V50" s="25" t="n"/>
    </row>
    <row r="51" ht="12.75" customHeight="1" s="623">
      <c r="C51" s="74" t="n"/>
      <c r="D51" s="687" t="n"/>
      <c r="E51" s="74" t="n"/>
      <c r="F51" s="78" t="n"/>
      <c r="H51" s="677" t="n"/>
      <c r="I51" s="677" t="n"/>
      <c r="J51" s="72" t="n"/>
      <c r="K51" s="72" t="n"/>
      <c r="L51" s="72" t="n"/>
      <c r="M51" s="72" t="n"/>
      <c r="N51" s="72" t="n"/>
      <c r="O51" s="72" t="n"/>
      <c r="P51" s="72" t="n"/>
      <c r="Q51" s="72" t="n"/>
      <c r="R51" s="72" t="n"/>
      <c r="S51" s="72" t="n"/>
      <c r="T51" s="72" t="n"/>
      <c r="U51" s="3" t="n"/>
      <c r="V51" s="25" t="n"/>
    </row>
    <row r="52" ht="12.75" customHeight="1" s="623">
      <c r="C52" s="74" t="n"/>
      <c r="D52" s="687" t="n"/>
      <c r="E52" s="74" t="n"/>
      <c r="F52" s="78" t="n"/>
      <c r="H52" s="677" t="n"/>
      <c r="I52" s="677" t="n"/>
      <c r="J52" s="72" t="n"/>
      <c r="K52" s="72" t="n"/>
      <c r="L52" s="72" t="n"/>
      <c r="M52" s="72" t="n"/>
      <c r="N52" s="72" t="n"/>
      <c r="O52" s="72" t="n"/>
      <c r="P52" s="72" t="n"/>
      <c r="Q52" s="72" t="n"/>
      <c r="R52" s="72" t="n"/>
      <c r="S52" s="72" t="n"/>
      <c r="T52" s="72" t="n"/>
      <c r="U52" s="3" t="n"/>
      <c r="V52" s="25" t="n"/>
    </row>
    <row r="53" ht="12.75" customHeight="1" s="623">
      <c r="C53" s="74" t="n"/>
      <c r="D53" s="687" t="n"/>
      <c r="E53" s="74" t="n"/>
      <c r="H53" s="677" t="n"/>
      <c r="I53" s="677" t="n"/>
      <c r="J53" s="72" t="n"/>
      <c r="K53" s="72" t="n"/>
      <c r="L53" s="72" t="n"/>
      <c r="M53" s="72" t="n"/>
      <c r="N53" s="72" t="n"/>
      <c r="O53" s="72" t="n"/>
      <c r="P53" s="72" t="n"/>
      <c r="Q53" s="72" t="n"/>
      <c r="R53" s="72" t="n"/>
      <c r="S53" s="72" t="n"/>
      <c r="T53" s="72" t="n"/>
      <c r="U53" s="3" t="n"/>
      <c r="V53" s="25" t="n"/>
    </row>
    <row r="54" ht="12.75" customHeight="1" s="623">
      <c r="C54" s="74" t="n"/>
      <c r="D54" s="687" t="n"/>
      <c r="E54" s="74" t="n"/>
    </row>
    <row r="55" ht="30" customHeight="1" s="623">
      <c r="C55" s="74" t="n"/>
      <c r="D55" s="687" t="n"/>
      <c r="E55" s="74" t="n"/>
    </row>
    <row r="56" ht="12.75" customHeight="1" s="623">
      <c r="C56" s="74" t="n"/>
      <c r="D56" s="687" t="n"/>
      <c r="E56" s="74" t="n"/>
    </row>
    <row r="57" ht="12.75" customHeight="1" s="623">
      <c r="C57" s="74" t="n"/>
      <c r="D57" s="687" t="n"/>
      <c r="E57" s="74" t="n"/>
    </row>
    <row r="58" ht="12.75" customHeight="1" s="623">
      <c r="C58" s="74" t="n"/>
      <c r="D58" s="687" t="n"/>
      <c r="E58" s="74" t="n"/>
    </row>
    <row r="59" ht="12.75" customHeight="1" s="623">
      <c r="C59" s="74" t="n"/>
      <c r="D59" s="687" t="n"/>
      <c r="E59" s="74" t="n"/>
    </row>
    <row r="60" ht="12.75" customHeight="1" s="623">
      <c r="C60" s="74" t="n"/>
      <c r="D60" s="687" t="n"/>
    </row>
    <row r="61" ht="12.75" customHeight="1" s="623">
      <c r="C61" s="74" t="n"/>
      <c r="D61" s="687" t="n"/>
    </row>
    <row r="62">
      <c r="C62" s="74" t="n"/>
      <c r="D62" s="687" t="n"/>
    </row>
    <row r="63">
      <c r="C63" s="74" t="n"/>
      <c r="D63" s="687" t="n"/>
    </row>
  </sheetData>
  <mergeCells count="11">
    <mergeCell ref="C23:C24"/>
    <mergeCell ref="C35:G38"/>
    <mergeCell ref="P23:P24"/>
    <mergeCell ref="C19:D19"/>
    <mergeCell ref="D23:D24"/>
    <mergeCell ref="D9:F9"/>
    <mergeCell ref="E23:E24"/>
    <mergeCell ref="C14:G17"/>
    <mergeCell ref="D8:F8"/>
    <mergeCell ref="O23:O24"/>
    <mergeCell ref="D10:F10"/>
  </mergeCells>
  <conditionalFormatting sqref="C25:C26">
    <cfRule type="containsBlanks" priority="1" dxfId="0">
      <formula>LEN(TRIM(C25))=0</formula>
    </cfRule>
  </conditionalFormatting>
  <conditionalFormatting sqref="F25:F26 K25:K26">
    <cfRule type="containsBlanks" priority="2" dxfId="0">
      <formula>LEN(TRIM(F25))=0</formula>
    </cfRule>
  </conditionalFormatting>
  <conditionalFormatting sqref="C14:G17 C33:G36 C41:F44 D21 G9:I10 H29 J29:K29">
    <cfRule type="containsBlanks" priority="4" dxfId="0">
      <formula>LEN(TRIM(C9))=0</formula>
    </cfRule>
  </conditionalFormatting>
  <conditionalFormatting sqref="P25:P27">
    <cfRule type="containsBlanks" priority="3" dxfId="0">
      <formula>LEN(TRIM(P25))=0</formula>
    </cfRule>
  </conditionalFormatting>
  <dataValidations count="3">
    <dataValidation sqref="H9:H10 P25:P27" showDropDown="0" showInputMessage="1" showErrorMessage="0" allowBlank="1" type="list">
      <formula1>"是,否"</formula1>
    </dataValidation>
    <dataValidation sqref="I9:I10" showDropDown="0" showInputMessage="1" showErrorMessage="0" allowBlank="1" type="list">
      <formula1>"是,不适用"</formula1>
    </dataValidation>
    <dataValidation sqref="C41:C44" showDropDown="0" showInputMessage="1" showErrorMessage="0" allowBlank="1" type="list">
      <formula1>"管理层账表调整(CLA),已更正审计调整(AA/RA/OA),未更正审计调整(SAD)"</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codeName="Sheet1">
    <outlinePr summaryBelow="1" summaryRight="1"/>
    <pageSetUpPr/>
  </sheetPr>
  <dimension ref="A1:EB68"/>
  <sheetViews>
    <sheetView showGridLines="0" zoomScale="70" zoomScaleNormal="70" workbookViewId="0">
      <selection activeCell="Q71" sqref="Q71"/>
    </sheetView>
  </sheetViews>
  <sheetFormatPr baseColWidth="8" defaultColWidth="7.33203125" defaultRowHeight="12.75" customHeight="1" outlineLevelRow="1"/>
  <cols>
    <col width="2.33203125" customWidth="1" style="163" min="1" max="1"/>
    <col width="17.75" customWidth="1" style="87" min="2" max="2"/>
    <col width="20.75" customWidth="1" style="87" min="3" max="3"/>
    <col width="21" customWidth="1" style="87" min="4" max="4"/>
    <col width="23.5" customWidth="1" style="87" min="5" max="5"/>
    <col width="29.75" customWidth="1" style="87" min="6" max="6"/>
    <col width="16.75" customWidth="1" style="87" min="7" max="7"/>
    <col width="18.08203125" customWidth="1" style="87" min="8" max="9"/>
    <col width="18.33203125" customWidth="1" style="87" min="10" max="14"/>
    <col width="13.75" customWidth="1" style="87" min="15" max="17"/>
    <col width="18.25" customWidth="1" style="87" min="18" max="18"/>
    <col width="13.5" customWidth="1" style="87" min="19" max="19"/>
    <col width="12.75" customWidth="1" style="87" min="20" max="20"/>
    <col width="10.75" customWidth="1" style="87" min="21" max="21"/>
    <col width="13.33203125" customWidth="1" style="87" min="22" max="24"/>
    <col width="7.33203125" customWidth="1" style="87" min="25" max="35"/>
    <col width="7.33203125" customWidth="1" style="87" min="36" max="93"/>
    <col width="13.08203125" customWidth="1" style="80" min="94" max="94"/>
    <col width="7.33203125" customWidth="1" style="80" min="95" max="105"/>
    <col width="14.33203125" customWidth="1" style="80" min="106" max="106"/>
    <col width="7.33203125" customWidth="1" style="80" min="107" max="112"/>
    <col width="10.33203125" customWidth="1" style="80" min="113" max="113"/>
    <col width="7.33203125" customWidth="1" style="80" min="114" max="117"/>
    <col width="10.08203125" customWidth="1" style="80" min="118" max="118"/>
    <col width="12.33203125" customWidth="1" style="80" min="119" max="119"/>
    <col width="7.33203125" customWidth="1" style="121" min="120" max="120"/>
    <col width="7.33203125" customWidth="1" style="80" min="121" max="121"/>
    <col width="7.33203125" customWidth="1" style="83" min="122" max="122"/>
    <col width="7.33203125" customWidth="1" style="87" min="123" max="16384"/>
  </cols>
  <sheetData>
    <row r="1" ht="12.75" customFormat="1" customHeight="1" s="35">
      <c r="A1" s="138" t="inlineStr">
        <is>
          <t>777ea5b4-12a4-4b4f-bd5a-60b7ed0d4f78</t>
        </is>
      </c>
      <c r="CG1" s="80" t="n"/>
      <c r="CH1" s="80" t="n"/>
      <c r="CI1" s="80" t="n"/>
      <c r="CJ1" s="80" t="n"/>
      <c r="CK1" s="80" t="n"/>
      <c r="CL1" s="80" t="n"/>
      <c r="CM1" s="80" t="n"/>
      <c r="CN1" s="80" t="n"/>
      <c r="CO1" s="80" t="n"/>
      <c r="CP1" s="80" t="n"/>
      <c r="CQ1" s="80" t="n"/>
      <c r="CR1" s="80" t="n"/>
      <c r="CS1" s="80" t="n"/>
      <c r="CT1" s="80" t="n"/>
      <c r="CU1" s="80" t="n"/>
      <c r="CV1" s="80" t="n"/>
      <c r="CW1" s="80" t="n"/>
      <c r="CX1" s="80" t="n"/>
      <c r="CY1" s="80" t="n"/>
      <c r="CZ1" s="80" t="n"/>
      <c r="DA1" s="80" t="n"/>
      <c r="DB1" s="80" t="n"/>
      <c r="DC1" s="80" t="n"/>
      <c r="DD1" s="80" t="n"/>
      <c r="DE1" s="80" t="n"/>
      <c r="DF1" s="80" t="n"/>
      <c r="DG1" s="82" t="n"/>
      <c r="DH1" s="80" t="n"/>
      <c r="DI1" s="83" t="n"/>
    </row>
    <row r="2" ht="12.75" customFormat="1" customHeight="1" s="35">
      <c r="A2" s="162" t="n"/>
      <c r="I2" s="47" t="inlineStr">
        <is>
          <t>返回汇总页</t>
        </is>
      </c>
      <c r="CI2" s="80" t="n"/>
      <c r="CJ2" s="80" t="n"/>
      <c r="CK2" s="80" t="n"/>
      <c r="CL2" s="80" t="n"/>
      <c r="CM2" s="80" t="n"/>
      <c r="CN2" s="80" t="n"/>
      <c r="CO2" s="80" t="n"/>
      <c r="CP2" s="80" t="n"/>
      <c r="CQ2" s="80" t="n"/>
      <c r="CR2" s="80" t="n"/>
      <c r="CS2" s="80" t="n"/>
      <c r="CT2" s="80" t="n"/>
      <c r="CU2" s="80" t="n"/>
      <c r="CV2" s="80" t="n"/>
      <c r="CW2" s="80" t="n"/>
      <c r="CX2" s="80" t="n"/>
      <c r="CY2" s="80" t="n"/>
      <c r="CZ2" s="80" t="n"/>
      <c r="DA2" s="80" t="n"/>
      <c r="DB2" s="80" t="n"/>
      <c r="DC2" s="80" t="n"/>
      <c r="DD2" s="80" t="n"/>
      <c r="DE2" s="80" t="n"/>
      <c r="DF2" s="80" t="n"/>
      <c r="DG2" s="80" t="n"/>
      <c r="DH2" s="80" t="n"/>
      <c r="DI2" s="82" t="n"/>
      <c r="DJ2" s="80" t="n"/>
      <c r="DK2" s="83" t="n"/>
    </row>
    <row r="3" ht="12.75" customHeight="1" s="623" thickBot="1">
      <c r="CP3" s="79" t="n"/>
      <c r="CQ3" s="88" t="n"/>
      <c r="CR3" s="88" t="n"/>
      <c r="DA3" s="88" t="n"/>
      <c r="DH3" s="88" t="n"/>
      <c r="DI3" s="89" t="n"/>
      <c r="DJ3" s="90" t="n"/>
      <c r="DK3" s="91" t="n"/>
      <c r="DL3" s="91" t="n"/>
      <c r="DM3" s="88" t="n"/>
      <c r="DO3" s="81" t="n"/>
    </row>
    <row r="4" ht="20" customHeight="1" s="623">
      <c r="B4" s="95" t="inlineStr">
        <is>
          <t xml:space="preserve">目标 </t>
        </is>
      </c>
      <c r="C4" s="96" t="n"/>
      <c r="D4" s="96" t="n"/>
      <c r="E4" s="96" t="n"/>
      <c r="F4" s="96" t="n"/>
      <c r="G4" s="96" t="n"/>
      <c r="H4" s="96" t="n"/>
      <c r="I4" s="97" t="n"/>
      <c r="J4" s="94" t="n"/>
      <c r="K4" s="94" t="n"/>
      <c r="L4" s="94" t="n"/>
      <c r="M4" s="94" t="n"/>
      <c r="N4" s="94" t="n"/>
      <c r="O4" s="94" t="n"/>
      <c r="P4" s="98" t="n"/>
      <c r="Q4" s="98" t="n"/>
      <c r="R4" s="94" t="n"/>
      <c r="S4" s="94" t="n"/>
      <c r="T4" s="94" t="n"/>
      <c r="CP4" s="87" t="n"/>
      <c r="CQ4" s="87" t="n"/>
      <c r="CR4" s="87" t="n"/>
      <c r="CS4" s="88" t="n"/>
      <c r="CT4" s="88" t="n"/>
      <c r="CU4" s="88" t="n"/>
      <c r="DD4" s="88" t="n"/>
      <c r="DJ4" s="88" t="n"/>
      <c r="DK4" s="88" t="n"/>
      <c r="DL4" s="88" t="n"/>
      <c r="DM4" s="88" t="n"/>
      <c r="DN4" s="88" t="n"/>
      <c r="DO4" s="88" t="n"/>
      <c r="DP4" s="88" t="n"/>
      <c r="DQ4" s="88" t="n"/>
      <c r="DR4" s="88" t="n"/>
      <c r="DS4" s="121" t="n"/>
      <c r="DT4" s="88" t="n"/>
      <c r="DU4" s="88" t="n"/>
    </row>
    <row r="5" ht="20.15" customHeight="1" s="623">
      <c r="B5" s="168" t="inlineStr">
        <is>
          <t>复核应付票据_银行承兑汇票金额、期限、担保品等支持性文件，并执行函证程序。</t>
        </is>
      </c>
      <c r="C5" s="99" t="n"/>
      <c r="D5" s="99" t="n"/>
      <c r="E5" s="99" t="n"/>
      <c r="F5" s="99" t="n"/>
      <c r="G5" s="99" t="n"/>
      <c r="H5" s="99" t="n"/>
      <c r="I5" s="100" t="n"/>
      <c r="J5" s="94" t="n"/>
      <c r="K5" s="94" t="n"/>
      <c r="L5" s="94" t="n"/>
      <c r="M5" s="94" t="n"/>
      <c r="N5" s="94" t="n"/>
      <c r="O5" s="94" t="n"/>
      <c r="P5" s="98" t="n"/>
      <c r="Q5" s="98" t="n"/>
      <c r="R5" s="94" t="n"/>
      <c r="S5" s="94" t="n"/>
      <c r="T5" s="94" t="n"/>
      <c r="CP5" s="87" t="n"/>
      <c r="CQ5" s="87" t="n"/>
      <c r="CR5" s="87" t="n"/>
      <c r="CS5" s="98" t="n"/>
      <c r="CT5" s="98" t="n"/>
      <c r="CU5" s="688" t="n"/>
      <c r="CV5" s="85" t="n"/>
      <c r="CW5" s="85" t="n"/>
      <c r="CX5" s="85" t="n"/>
      <c r="CY5" s="85" t="n"/>
      <c r="CZ5" s="85" t="n"/>
      <c r="DA5" s="85" t="n"/>
      <c r="DB5" s="85" t="n"/>
      <c r="DC5" s="85" t="n"/>
      <c r="DD5" s="98" t="n"/>
      <c r="DE5" s="85" t="n"/>
      <c r="DF5" s="85" t="n"/>
      <c r="DG5" s="85" t="n"/>
      <c r="DH5" s="85" t="n"/>
      <c r="DI5" s="85" t="n"/>
      <c r="DJ5" s="98" t="n"/>
      <c r="DK5" s="98" t="n"/>
      <c r="DL5" s="98" t="n"/>
      <c r="DM5" s="98" t="n"/>
      <c r="DN5" s="98" t="n"/>
      <c r="DO5" s="98" t="n"/>
      <c r="DP5" s="98" t="n"/>
      <c r="DQ5" s="98" t="n"/>
      <c r="DR5" s="98" t="n"/>
      <c r="DS5" s="102" t="n"/>
      <c r="DT5" s="98" t="n"/>
      <c r="DU5" s="98" t="n"/>
    </row>
    <row r="6" ht="12.75" customHeight="1" s="623">
      <c r="B6" s="103" t="n"/>
      <c r="C6" s="99" t="n"/>
      <c r="D6" s="99" t="n"/>
      <c r="E6" s="99" t="n"/>
      <c r="F6" s="99" t="n"/>
      <c r="G6" s="99" t="n"/>
      <c r="H6" s="99" t="n"/>
      <c r="I6" s="100" t="n"/>
      <c r="J6" s="94" t="n"/>
      <c r="K6" s="94" t="n"/>
      <c r="L6" s="94" t="n"/>
      <c r="M6" s="94" t="n"/>
      <c r="N6" s="94" t="n"/>
      <c r="O6" s="94" t="n"/>
      <c r="P6" s="98" t="n"/>
      <c r="Q6" s="98" t="n"/>
      <c r="R6" s="94" t="n"/>
      <c r="S6" s="94" t="n"/>
      <c r="T6" s="94" t="n"/>
      <c r="CP6" s="87" t="n"/>
      <c r="CQ6" s="87" t="n"/>
      <c r="CR6" s="87" t="n"/>
      <c r="CS6" s="98" t="n"/>
      <c r="CT6" s="688" t="n"/>
      <c r="CU6" s="688" t="n"/>
      <c r="CV6" s="85" t="n"/>
      <c r="CW6" s="85" t="n"/>
      <c r="CX6" s="85" t="n"/>
      <c r="CY6" s="85" t="n"/>
      <c r="CZ6" s="85" t="n"/>
      <c r="DA6" s="85" t="n"/>
      <c r="DB6" s="85" t="n"/>
      <c r="DC6" s="85" t="n"/>
      <c r="DD6" s="688" t="n"/>
      <c r="DE6" s="85" t="n"/>
      <c r="DF6" s="85" t="n"/>
      <c r="DG6" s="85" t="n"/>
      <c r="DH6" s="85" t="n"/>
      <c r="DI6" s="85" t="n"/>
      <c r="DJ6" s="688" t="n"/>
      <c r="DK6" s="98" t="n"/>
      <c r="DL6" s="98" t="n"/>
      <c r="DM6" s="98" t="n"/>
      <c r="DN6" s="98" t="n"/>
      <c r="DO6" s="98" t="n"/>
      <c r="DP6" s="688" t="n"/>
      <c r="DQ6" s="688" t="n"/>
      <c r="DR6" s="688" t="n"/>
      <c r="DS6" s="104" t="n"/>
      <c r="DT6" s="98" t="n"/>
      <c r="DU6" s="98" t="n"/>
    </row>
    <row r="7" ht="20" customHeight="1" s="623">
      <c r="B7" s="59" t="inlineStr">
        <is>
          <t>序号</t>
        </is>
      </c>
      <c r="C7" s="647" t="inlineStr">
        <is>
          <t>执行的程序</t>
        </is>
      </c>
      <c r="D7" s="648" t="n"/>
      <c r="E7" s="649" t="n"/>
      <c r="F7" s="60" t="inlineStr">
        <is>
          <t>程序表</t>
        </is>
      </c>
      <c r="G7" s="60" t="inlineStr">
        <is>
          <t>预审完成</t>
        </is>
      </c>
      <c r="H7" s="60" t="inlineStr">
        <is>
          <t>年审完成</t>
        </is>
      </c>
      <c r="I7" s="61" t="inlineStr">
        <is>
          <t>执行注意事项</t>
        </is>
      </c>
      <c r="J7" s="94" t="n"/>
      <c r="K7" s="94" t="n"/>
      <c r="L7" s="94" t="n"/>
      <c r="M7" s="94" t="n"/>
      <c r="N7" s="94" t="n"/>
      <c r="O7" s="94" t="n"/>
      <c r="P7" s="98" t="n"/>
      <c r="Q7" s="98" t="n"/>
      <c r="R7" s="94" t="n"/>
      <c r="S7" s="94" t="n"/>
      <c r="T7" s="94" t="n"/>
      <c r="CP7" s="87" t="n"/>
      <c r="CQ7" s="87" t="n"/>
      <c r="CR7" s="87" t="n"/>
      <c r="CS7" s="105" t="n"/>
      <c r="CT7" s="688" t="n"/>
      <c r="CU7" s="106" t="n"/>
      <c r="CV7" s="85" t="n"/>
      <c r="CW7" s="85" t="n"/>
      <c r="CX7" s="85" t="n"/>
      <c r="CY7" s="85" t="n"/>
      <c r="CZ7" s="85" t="n"/>
      <c r="DA7" s="85" t="n"/>
      <c r="DB7" s="85" t="n"/>
      <c r="DC7" s="85" t="n"/>
      <c r="DD7" s="688" t="n"/>
      <c r="DE7" s="85" t="n"/>
      <c r="DF7" s="85" t="n"/>
      <c r="DG7" s="85" t="n"/>
      <c r="DH7" s="85" t="n"/>
      <c r="DI7" s="85" t="n"/>
      <c r="DJ7" s="688" t="n"/>
      <c r="DK7" s="105" t="n"/>
      <c r="DL7" s="105" t="n"/>
      <c r="DM7" s="105" t="n"/>
      <c r="DN7" s="105" t="n"/>
      <c r="DO7" s="105" t="n"/>
      <c r="DP7" s="688" t="n"/>
      <c r="DQ7" s="688" t="n"/>
      <c r="DR7" s="688" t="n"/>
      <c r="DS7" s="104" t="n"/>
      <c r="DT7" s="105" t="n"/>
      <c r="DU7" s="105" t="n"/>
    </row>
    <row r="8" outlineLevel="1" ht="83.15000000000001" customHeight="1" s="623">
      <c r="B8" s="107" t="n">
        <v>1</v>
      </c>
      <c r="C8" s="558" t="inlineStr">
        <is>
          <t>获取银行承兑汇票（含财务公司承兑汇票）明细表，将明细表期末总金额与银行承兑汇票总账核对一致。复核利息费用和应付利息计算的合理性（如适用）。</t>
        </is>
      </c>
      <c r="D8" s="648" t="n"/>
      <c r="E8" s="649" t="n"/>
      <c r="F8" s="390" t="inlineStr">
        <is>
          <t>M.01&amp;02.01明细账及表1</t>
        </is>
      </c>
      <c r="G8" s="391" t="n"/>
      <c r="H8" s="391" t="n"/>
      <c r="I8" s="84" t="n"/>
      <c r="J8" s="94" t="n"/>
      <c r="K8" s="94" t="n"/>
      <c r="L8" s="94" t="n"/>
      <c r="M8" s="94" t="n"/>
      <c r="N8" s="108" t="n"/>
      <c r="O8" s="108" t="n"/>
      <c r="P8" s="94" t="n"/>
      <c r="Q8" s="94" t="n"/>
      <c r="R8" s="94" t="n"/>
      <c r="S8" s="94" t="n"/>
      <c r="CP8" s="87" t="n"/>
      <c r="CQ8" s="105" t="n"/>
      <c r="CR8" s="106" t="n"/>
      <c r="CS8" s="106" t="n"/>
      <c r="CT8" s="85" t="n"/>
      <c r="CU8" s="85" t="n"/>
      <c r="CV8" s="85" t="n"/>
      <c r="CW8" s="85" t="n"/>
      <c r="CX8" s="85" t="n"/>
      <c r="CY8" s="85" t="n"/>
      <c r="CZ8" s="85" t="n"/>
      <c r="DA8" s="85" t="n"/>
      <c r="DB8" s="106" t="n"/>
      <c r="DC8" s="85" t="n"/>
      <c r="DD8" s="85" t="n"/>
      <c r="DE8" s="85" t="n"/>
      <c r="DF8" s="85" t="n"/>
      <c r="DG8" s="85" t="n"/>
      <c r="DH8" s="106" t="n"/>
      <c r="DI8" s="688" t="n"/>
      <c r="DJ8" s="688" t="n"/>
      <c r="DK8" s="688" t="n"/>
      <c r="DL8" s="688" t="n"/>
      <c r="DM8" s="688" t="n"/>
      <c r="DN8" s="106" t="n"/>
      <c r="DO8" s="106" t="n"/>
      <c r="DP8" s="106" t="n"/>
      <c r="DQ8" s="102" t="n"/>
      <c r="DR8" s="105" t="n"/>
      <c r="DS8" s="109" t="n"/>
    </row>
    <row r="9" outlineLevel="1" ht="83.15000000000001" customHeight="1" s="623">
      <c r="B9" s="110" t="n">
        <v>2</v>
      </c>
      <c r="C9" s="558" t="inlineStr">
        <is>
          <t>检查银行承兑汇票协议或其他短期借款安排的文件，以确认银行承兑汇票的条款、限制、循环信用额和其他相关规定，选择需要进行函证的银行承兑汇票进行函证，并核对银行回函金额与账面金额一致。</t>
        </is>
      </c>
      <c r="D9" s="648" t="n"/>
      <c r="E9" s="649" t="n"/>
      <c r="F9" s="392" t="inlineStr">
        <is>
          <t>表2.1、表2.2及表2.3</t>
        </is>
      </c>
      <c r="G9" s="391" t="n"/>
      <c r="H9" s="391" t="n"/>
      <c r="I9" s="84" t="n"/>
      <c r="J9" s="94" t="n"/>
      <c r="K9" s="94" t="n"/>
      <c r="L9" s="94" t="n"/>
      <c r="M9" s="94" t="n"/>
      <c r="N9" s="108" t="n"/>
      <c r="O9" s="108" t="n"/>
      <c r="P9" s="94" t="n"/>
      <c r="Q9" s="94" t="n"/>
      <c r="R9" s="94" t="n"/>
      <c r="S9" s="94" t="n"/>
      <c r="CP9" s="87" t="n"/>
      <c r="CQ9" s="688" t="n"/>
      <c r="CR9" s="106" t="n"/>
      <c r="CS9" s="106" t="n"/>
      <c r="CT9" s="85" t="n"/>
      <c r="CU9" s="85" t="n"/>
      <c r="CV9" s="85" t="n"/>
      <c r="CW9" s="85" t="n"/>
      <c r="CX9" s="85" t="n"/>
      <c r="CY9" s="85" t="n"/>
      <c r="CZ9" s="85" t="n"/>
      <c r="DA9" s="85" t="n"/>
      <c r="DB9" s="106" t="n"/>
      <c r="DC9" s="85" t="n"/>
      <c r="DD9" s="85" t="n"/>
      <c r="DE9" s="85" t="n"/>
      <c r="DF9" s="85" t="n"/>
      <c r="DG9" s="85" t="n"/>
      <c r="DH9" s="106" t="n"/>
      <c r="DI9" s="106" t="n"/>
      <c r="DJ9" s="106" t="n"/>
      <c r="DK9" s="106" t="n"/>
      <c r="DL9" s="106" t="n"/>
      <c r="DM9" s="106" t="n"/>
      <c r="DN9" s="106" t="n"/>
      <c r="DO9" s="106" t="n"/>
      <c r="DP9" s="106" t="n"/>
      <c r="DQ9" s="102" t="n"/>
      <c r="DR9" s="688" t="n"/>
      <c r="DS9" s="689" t="n"/>
    </row>
    <row r="10" outlineLevel="1" ht="73" customHeight="1" s="623">
      <c r="B10" s="110" t="n">
        <v>3</v>
      </c>
      <c r="C10" s="558" t="inlineStr">
        <is>
          <t>根据银行承兑汇票明细表，获取逾期银行承兑汇票的信息，对逾期银行承兑汇票未支付事项选取样本进行调查，查看逾期未支付的银行承兑汇票是否应当转入短期借款。（如适用）</t>
        </is>
      </c>
      <c r="D10" s="648" t="n"/>
      <c r="E10" s="649" t="n"/>
      <c r="F10" s="392" t="inlineStr">
        <is>
          <t>表2.1及表2.2</t>
        </is>
      </c>
      <c r="G10" s="391" t="n"/>
      <c r="H10" s="391" t="n"/>
      <c r="I10" s="84" t="n"/>
      <c r="J10" s="94" t="n"/>
      <c r="K10" s="94" t="n"/>
      <c r="L10" s="94" t="n"/>
      <c r="M10" s="94" t="n"/>
      <c r="N10" s="108" t="n"/>
      <c r="O10" s="108" t="n"/>
      <c r="P10" s="94" t="n"/>
      <c r="Q10" s="94" t="n"/>
      <c r="R10" s="94" t="n"/>
      <c r="S10" s="94" t="n"/>
      <c r="CP10" s="87" t="n"/>
      <c r="CQ10" s="106" t="n"/>
      <c r="CR10" s="106" t="n"/>
      <c r="CS10" s="106" t="n"/>
      <c r="CT10" s="85" t="n"/>
      <c r="CU10" s="85" t="n"/>
      <c r="CV10" s="85" t="n"/>
      <c r="CW10" s="85" t="n"/>
      <c r="CX10" s="85" t="n"/>
      <c r="CY10" s="85" t="n"/>
      <c r="CZ10" s="85" t="n"/>
      <c r="DA10" s="85" t="n"/>
      <c r="DB10" s="106" t="n"/>
      <c r="DC10" s="85" t="n"/>
      <c r="DD10" s="85" t="n"/>
      <c r="DE10" s="85" t="n"/>
      <c r="DF10" s="85" t="n"/>
      <c r="DG10" s="85" t="n"/>
      <c r="DH10" s="106" t="n"/>
      <c r="DI10" s="106" t="n"/>
      <c r="DJ10" s="106" t="n"/>
      <c r="DK10" s="106" t="n"/>
      <c r="DL10" s="106" t="n"/>
      <c r="DM10" s="106" t="n"/>
      <c r="DN10" s="106" t="n"/>
      <c r="DO10" s="106" t="n"/>
      <c r="DP10" s="106" t="n"/>
      <c r="DQ10" s="102" t="n"/>
      <c r="DR10" s="106" t="n"/>
      <c r="DS10" s="113" t="n"/>
    </row>
    <row r="11" outlineLevel="1" ht="75" customHeight="1" s="623">
      <c r="B11" s="112" t="n">
        <v>4</v>
      </c>
      <c r="C11" s="558" t="inlineStr">
        <is>
          <t>将银行承兑汇票金额与授信额度或担保金额、银承保证金、结构性存款、理财产品等开票担保品账面价值进行核对，选取样本验证银行承兑汇票期末余额合理性（如适用）。</t>
        </is>
      </c>
      <c r="D11" s="648" t="n"/>
      <c r="E11" s="649" t="n"/>
      <c r="F11" s="392" t="inlineStr">
        <is>
          <t>表2.1及表2.4</t>
        </is>
      </c>
      <c r="G11" s="391" t="n"/>
      <c r="H11" s="391" t="n"/>
      <c r="I11" s="84" t="n"/>
      <c r="J11" s="94" t="n"/>
      <c r="K11" s="94" t="n"/>
      <c r="L11" s="94" t="n"/>
      <c r="M11" s="94" t="n"/>
      <c r="N11" s="108" t="n"/>
      <c r="O11" s="108" t="n"/>
      <c r="P11" s="94" t="n"/>
      <c r="Q11" s="94" t="n"/>
      <c r="R11" s="94" t="n"/>
      <c r="S11" s="94" t="n"/>
      <c r="CP11" s="87" t="n"/>
      <c r="CQ11" s="688" t="n"/>
      <c r="CR11" s="106" t="n"/>
      <c r="CS11" s="106" t="n"/>
      <c r="CT11" s="85" t="n"/>
      <c r="CU11" s="85" t="n"/>
      <c r="CV11" s="85" t="n"/>
      <c r="CW11" s="85" t="n"/>
      <c r="CX11" s="85" t="n"/>
      <c r="CY11" s="85" t="n"/>
      <c r="CZ11" s="85" t="n"/>
      <c r="DA11" s="85" t="n"/>
      <c r="DB11" s="106" t="n"/>
      <c r="DC11" s="85" t="n"/>
      <c r="DD11" s="85" t="n"/>
      <c r="DE11" s="85" t="n"/>
      <c r="DF11" s="85" t="n"/>
      <c r="DG11" s="85" t="n"/>
      <c r="DH11" s="106" t="n"/>
      <c r="DI11" s="106" t="n"/>
      <c r="DJ11" s="106" t="n"/>
      <c r="DK11" s="106" t="n"/>
      <c r="DL11" s="106" t="n"/>
      <c r="DM11" s="106" t="n"/>
      <c r="DN11" s="106" t="n"/>
      <c r="DO11" s="106" t="n"/>
      <c r="DP11" s="106" t="n"/>
      <c r="DQ11" s="102" t="n"/>
      <c r="DR11" s="688" t="n"/>
      <c r="DS11" s="689" t="n"/>
    </row>
    <row r="12" ht="12.75" customHeight="1" s="623" thickBot="1">
      <c r="B12" s="114" t="n"/>
      <c r="C12" s="115" t="n"/>
      <c r="D12" s="115" t="n"/>
      <c r="E12" s="115" t="n"/>
      <c r="F12" s="115" t="n"/>
      <c r="G12" s="115" t="n"/>
      <c r="H12" s="115" t="n"/>
      <c r="I12" s="116" t="n"/>
      <c r="J12" s="94" t="n"/>
      <c r="K12" s="94" t="n"/>
      <c r="L12" s="94" t="n"/>
      <c r="M12" s="94" t="n"/>
      <c r="N12" s="94" t="n"/>
      <c r="O12" s="94" t="n"/>
      <c r="P12" s="94" t="n"/>
      <c r="Q12" s="94" t="n"/>
      <c r="R12" s="94" t="n"/>
      <c r="S12" s="94" t="n"/>
      <c r="T12" s="94" t="n"/>
      <c r="U12" s="94" t="n"/>
      <c r="V12" s="94" t="n"/>
      <c r="W12" s="94" t="n"/>
      <c r="X12" s="94" t="n"/>
      <c r="Y12" s="94" t="n"/>
      <c r="Z12" s="94" t="n"/>
      <c r="AA12" s="94" t="n"/>
      <c r="AB12" s="94" t="n"/>
      <c r="AC12" s="94" t="n"/>
      <c r="CP12" s="87" t="n"/>
      <c r="CQ12" s="87" t="n"/>
      <c r="CR12" s="87" t="n"/>
      <c r="CS12" s="106" t="n"/>
      <c r="CT12" s="98" t="n"/>
      <c r="CU12" s="98" t="n"/>
      <c r="CV12" s="85" t="n"/>
      <c r="CW12" s="85" t="n"/>
      <c r="CX12" s="85" t="n"/>
      <c r="CY12" s="85" t="n"/>
      <c r="CZ12" s="85" t="n"/>
      <c r="DA12" s="85" t="n"/>
      <c r="DB12" s="85" t="n"/>
      <c r="DC12" s="85" t="n"/>
      <c r="DD12" s="98" t="n"/>
      <c r="DE12" s="85" t="n"/>
      <c r="DF12" s="85" t="n"/>
      <c r="DG12" s="85" t="n"/>
      <c r="DH12" s="85" t="n"/>
      <c r="DI12" s="85" t="n"/>
      <c r="DJ12" s="98" t="n"/>
      <c r="DK12" s="98" t="n"/>
      <c r="DL12" s="98" t="n"/>
      <c r="DM12" s="98" t="n"/>
      <c r="DN12" s="98" t="n"/>
      <c r="DO12" s="98" t="n"/>
      <c r="DP12" s="98" t="n"/>
      <c r="DQ12" s="98" t="n"/>
      <c r="DR12" s="98" t="n"/>
      <c r="DS12" s="102" t="n"/>
      <c r="DT12" s="106" t="n"/>
      <c r="DU12" s="113" t="n"/>
    </row>
    <row r="13" ht="12.75" customHeight="1" s="623">
      <c r="B13" s="8" t="n"/>
      <c r="C13" s="117" t="n"/>
      <c r="D13" s="117" t="n"/>
      <c r="E13" s="117" t="n"/>
      <c r="F13" s="117" t="n"/>
      <c r="G13" s="94" t="n"/>
      <c r="H13" s="94" t="n"/>
      <c r="I13" s="94" t="n"/>
      <c r="J13" s="94" t="n"/>
      <c r="K13" s="94" t="n"/>
      <c r="L13" s="94" t="n"/>
      <c r="M13" s="94" t="n"/>
      <c r="N13" s="94" t="n"/>
      <c r="O13" s="94" t="n"/>
      <c r="P13" s="94" t="n"/>
      <c r="Q13" s="94" t="n"/>
      <c r="R13" s="94" t="n"/>
      <c r="S13" s="94" t="n"/>
      <c r="T13" s="94" t="n"/>
      <c r="U13" s="94" t="n"/>
      <c r="V13" s="94" t="n"/>
      <c r="W13" s="94" t="n"/>
      <c r="X13" s="94" t="n"/>
      <c r="Y13" s="94" t="n"/>
      <c r="Z13" s="94" t="n"/>
      <c r="CP13" s="87" t="n"/>
      <c r="CQ13" s="98" t="n"/>
      <c r="CR13" s="98" t="n"/>
      <c r="CS13" s="98" t="n"/>
      <c r="CT13" s="85" t="n"/>
      <c r="CU13" s="85" t="n"/>
      <c r="CV13" s="85" t="n"/>
      <c r="CW13" s="85" t="n"/>
      <c r="CX13" s="85" t="n"/>
      <c r="CY13" s="85" t="n"/>
      <c r="CZ13" s="85" t="n"/>
      <c r="DA13" s="85" t="n"/>
      <c r="DB13" s="98" t="n"/>
      <c r="DC13" s="85" t="n"/>
      <c r="DD13" s="85" t="n"/>
      <c r="DE13" s="85" t="n"/>
      <c r="DF13" s="85" t="n"/>
      <c r="DG13" s="85" t="n"/>
      <c r="DH13" s="98" t="n"/>
      <c r="DI13" s="98" t="n"/>
      <c r="DJ13" s="98" t="n"/>
      <c r="DK13" s="98" t="n"/>
      <c r="DL13" s="98" t="n"/>
      <c r="DM13" s="98" t="n"/>
      <c r="DN13" s="98" t="n"/>
      <c r="DO13" s="98" t="n"/>
      <c r="DP13" s="98" t="n"/>
      <c r="DQ13" s="102" t="n"/>
      <c r="DR13" s="98" t="n"/>
      <c r="DS13" s="98" t="n"/>
    </row>
    <row r="14" ht="15" customFormat="1" customHeight="1" s="192" thickBot="1">
      <c r="B14" s="250" t="inlineStr">
        <is>
          <t>表1 将明细账与总账核对一致</t>
        </is>
      </c>
      <c r="G14" s="194" t="n"/>
      <c r="H14" s="194" t="n"/>
      <c r="I14" s="194" t="n"/>
      <c r="J14" s="194" t="n"/>
      <c r="K14" s="194" t="n"/>
      <c r="L14" s="194" t="n"/>
      <c r="M14" s="194" t="n"/>
      <c r="N14" s="194" t="n"/>
      <c r="O14" s="194" t="n"/>
      <c r="P14" s="94" t="n"/>
      <c r="Q14" s="94" t="n"/>
      <c r="R14" s="94" t="n"/>
      <c r="S14" s="94" t="n"/>
    </row>
    <row r="15" ht="32.15" customFormat="1" customHeight="1" s="192">
      <c r="B15" s="464" t="inlineStr">
        <is>
          <t xml:space="preserve">账套名称/账套编码 </t>
        </is>
      </c>
      <c r="C15" s="465" t="inlineStr">
        <is>
          <t>科目名称</t>
        </is>
      </c>
      <c r="D15" s="466" t="inlineStr">
        <is>
          <t>Lead页余额</t>
        </is>
      </c>
      <c r="E15" s="465" t="inlineStr">
        <is>
          <t>索引号</t>
        </is>
      </c>
      <c r="F15" s="465" t="inlineStr">
        <is>
          <t>明细账余额</t>
        </is>
      </c>
      <c r="G15" s="465" t="inlineStr">
        <is>
          <t>明细账索引</t>
        </is>
      </c>
      <c r="H15" s="467" t="inlineStr">
        <is>
          <t>差异重新计算
（Note1）</t>
        </is>
      </c>
      <c r="I15" s="194" t="n"/>
      <c r="J15" s="87" t="n"/>
      <c r="K15" s="87" t="n"/>
      <c r="L15" s="87" t="n"/>
      <c r="M15" s="87" t="n"/>
      <c r="N15" s="87" t="n"/>
      <c r="P15" s="94" t="n"/>
      <c r="Q15" s="94" t="n"/>
      <c r="R15" s="94" t="n"/>
      <c r="S15" s="94" t="n"/>
    </row>
    <row r="16" ht="15" customFormat="1" customHeight="1" s="192">
      <c r="B16" s="468" t="n"/>
      <c r="C16" s="195" t="n"/>
      <c r="D16" s="690">
        <f>'M.00 Lead'!F25</f>
        <v/>
      </c>
      <c r="E16" s="196" t="inlineStr">
        <is>
          <t xml:space="preserve">/M.00 </t>
        </is>
      </c>
      <c r="F16" s="691" t="n"/>
      <c r="G16" s="196" t="inlineStr">
        <is>
          <t>/M.01&amp;02.01明细账</t>
        </is>
      </c>
      <c r="H16" s="692">
        <f>D16-F16</f>
        <v/>
      </c>
      <c r="I16" s="194" t="n"/>
      <c r="J16" s="87" t="n"/>
      <c r="K16" s="87" t="n"/>
      <c r="L16" s="87" t="n"/>
      <c r="M16" s="87" t="n"/>
      <c r="N16" s="87" t="n"/>
      <c r="P16" s="94" t="n"/>
      <c r="Q16" s="94" t="n"/>
      <c r="R16" s="94" t="n"/>
      <c r="S16" s="94" t="n"/>
    </row>
    <row r="17" ht="15" customFormat="1" customHeight="1" s="192">
      <c r="B17" s="468" t="n"/>
      <c r="C17" s="195" t="n"/>
      <c r="D17" s="690" t="n"/>
      <c r="E17" s="139" t="n"/>
      <c r="F17" s="691" t="n"/>
      <c r="G17" s="139" t="n"/>
      <c r="H17" s="692">
        <f>D17-F17</f>
        <v/>
      </c>
      <c r="I17" s="194" t="n"/>
      <c r="J17" s="87" t="n"/>
      <c r="K17" s="87" t="n"/>
      <c r="L17" s="87" t="n"/>
      <c r="M17" s="87" t="n"/>
      <c r="N17" s="87" t="n"/>
      <c r="P17" s="94" t="n"/>
      <c r="Q17" s="94" t="n"/>
      <c r="R17" s="94" t="n"/>
      <c r="S17" s="94" t="n"/>
    </row>
    <row r="18" ht="15" customFormat="1" customHeight="1" s="192" thickBot="1">
      <c r="B18" s="471" t="n"/>
      <c r="C18" s="472" t="n"/>
      <c r="D18" s="693" t="n"/>
      <c r="E18" s="474" t="n"/>
      <c r="F18" s="694" t="n"/>
      <c r="G18" s="474" t="n"/>
      <c r="H18" s="695">
        <f>D18-F18</f>
        <v/>
      </c>
      <c r="I18" s="194" t="n"/>
      <c r="J18" s="87" t="n"/>
      <c r="K18" s="87" t="n"/>
      <c r="L18" s="87" t="n"/>
      <c r="M18" s="87" t="n"/>
      <c r="N18" s="87" t="n"/>
      <c r="P18" s="94" t="n"/>
      <c r="Q18" s="94" t="n"/>
      <c r="R18" s="94" t="n"/>
      <c r="S18" s="94" t="n"/>
    </row>
    <row r="19" ht="15" customFormat="1" customHeight="1" s="192">
      <c r="D19" s="696" t="n"/>
      <c r="F19" s="696" t="n"/>
      <c r="H19" s="697" t="n"/>
      <c r="I19" s="194" t="n"/>
      <c r="O19" s="87" t="n"/>
      <c r="P19" s="94" t="n"/>
      <c r="Q19" s="94" t="n"/>
      <c r="R19" s="94" t="n"/>
      <c r="S19" s="94" t="n"/>
    </row>
    <row r="20" ht="15" customFormat="1" customHeight="1" s="192" thickBot="1">
      <c r="C20" s="251" t="inlineStr">
        <is>
          <t>合计</t>
        </is>
      </c>
      <c r="D20" s="698">
        <f>SUM(D16:D18)</f>
        <v/>
      </c>
      <c r="E20" s="0" t="n"/>
      <c r="F20" s="698">
        <f>SUM(F16:F18)</f>
        <v/>
      </c>
      <c r="G20" s="0" t="n"/>
      <c r="H20" s="699">
        <f>SUM(H16:H18)</f>
        <v/>
      </c>
      <c r="I20" s="194" t="n"/>
      <c r="O20" s="87" t="n"/>
      <c r="P20" s="94" t="n"/>
      <c r="Q20" s="94" t="n"/>
      <c r="R20" s="94" t="n"/>
      <c r="S20" s="94" t="n"/>
    </row>
    <row r="21" ht="15" customFormat="1" customHeight="1" s="192" thickTop="1">
      <c r="C21" s="251" t="n"/>
      <c r="D21" s="194" t="inlineStr">
        <is>
          <t>RX</t>
        </is>
      </c>
      <c r="E21" s="194" t="n"/>
      <c r="F21" s="194" t="inlineStr">
        <is>
          <t>RX</t>
        </is>
      </c>
      <c r="G21" s="194" t="n"/>
      <c r="H21" s="194" t="inlineStr">
        <is>
          <t>RX</t>
        </is>
      </c>
      <c r="I21" s="194" t="n"/>
      <c r="O21" s="87" t="n"/>
      <c r="P21" s="94" t="n"/>
      <c r="Q21" s="94" t="n"/>
      <c r="R21" s="94" t="n"/>
      <c r="S21" s="94" t="n"/>
    </row>
    <row r="22" ht="12.75" customHeight="1" s="623">
      <c r="B22" s="117" t="n"/>
      <c r="C22" s="117" t="n"/>
      <c r="D22" s="117" t="n"/>
      <c r="E22" s="117" t="n"/>
      <c r="F22" s="117" t="n"/>
      <c r="G22" s="94" t="n"/>
      <c r="H22" s="94" t="n"/>
      <c r="I22" s="94" t="n"/>
      <c r="J22" s="94" t="n"/>
      <c r="K22" s="94" t="n"/>
      <c r="L22" s="94" t="n"/>
      <c r="M22" s="94" t="n"/>
      <c r="N22" s="94" t="n"/>
      <c r="O22" s="94" t="n"/>
      <c r="P22" s="94" t="n"/>
      <c r="Q22" s="94" t="n"/>
      <c r="R22" s="94" t="n"/>
      <c r="S22" s="94" t="n"/>
      <c r="T22" s="94" t="n"/>
      <c r="U22" s="94" t="n"/>
      <c r="V22" s="94" t="n"/>
      <c r="W22" s="94" t="n"/>
      <c r="X22" s="94" t="n"/>
      <c r="Y22" s="94" t="n"/>
      <c r="Z22" s="94" t="n"/>
      <c r="CP22" s="87" t="n"/>
      <c r="CQ22" s="98" t="n"/>
      <c r="CR22" s="98" t="n"/>
      <c r="CS22" s="98" t="n"/>
      <c r="CT22" s="85" t="n"/>
      <c r="CU22" s="85" t="n"/>
      <c r="CV22" s="85" t="n"/>
      <c r="CW22" s="85" t="n"/>
      <c r="CX22" s="85" t="n"/>
      <c r="CY22" s="85" t="n"/>
      <c r="CZ22" s="85" t="n"/>
      <c r="DA22" s="85" t="n"/>
      <c r="DB22" s="98" t="n"/>
      <c r="DC22" s="85" t="n"/>
      <c r="DD22" s="85" t="n"/>
      <c r="DE22" s="85" t="n"/>
      <c r="DF22" s="85" t="n"/>
      <c r="DG22" s="85" t="n"/>
      <c r="DH22" s="98" t="n"/>
      <c r="DI22" s="98" t="n"/>
      <c r="DJ22" s="98" t="n"/>
      <c r="DK22" s="98" t="n"/>
      <c r="DL22" s="98" t="n"/>
      <c r="DM22" s="98" t="n"/>
      <c r="DN22" s="98" t="n"/>
      <c r="DO22" s="98" t="n"/>
      <c r="DP22" s="98" t="n"/>
      <c r="DQ22" s="102" t="n"/>
      <c r="DR22" s="98" t="n"/>
      <c r="DS22" s="98" t="n"/>
    </row>
    <row r="23" ht="12.75" customHeight="1" s="623" thickBot="1">
      <c r="B23" s="8" t="inlineStr">
        <is>
          <t>Note1：如果总账和明细账差异金额大于SAD请在以下解释差异并执行相应的程序：针对金额大于测试阈值及性质异常的项目我们需进一步进行测试。(如不适用请删除）</t>
        </is>
      </c>
      <c r="C23" s="234" t="n"/>
      <c r="D23" s="234" t="n"/>
      <c r="E23" s="234" t="n"/>
      <c r="F23" s="234" t="n"/>
      <c r="G23" s="94" t="n"/>
      <c r="H23" s="94" t="n"/>
      <c r="I23" s="94" t="n"/>
      <c r="J23" s="94" t="n"/>
      <c r="K23" s="94" t="n"/>
      <c r="L23" s="94" t="n"/>
      <c r="M23" s="94" t="n"/>
      <c r="N23" s="94" t="n"/>
      <c r="O23" s="94" t="n"/>
      <c r="P23" s="94" t="n"/>
      <c r="Q23" s="94" t="n"/>
      <c r="R23" s="94" t="n"/>
      <c r="S23" s="94" t="n"/>
      <c r="T23" s="94" t="n"/>
      <c r="U23" s="94" t="n"/>
      <c r="V23" s="94" t="n"/>
      <c r="W23" s="94" t="n"/>
      <c r="X23" s="94" t="n"/>
      <c r="Y23" s="94" t="n"/>
      <c r="Z23" s="94" t="n"/>
      <c r="CP23" s="87" t="n"/>
      <c r="CQ23" s="98" t="n"/>
      <c r="CR23" s="98" t="n"/>
      <c r="CS23" s="98" t="n"/>
      <c r="CT23" s="85" t="n"/>
      <c r="CU23" s="85" t="n"/>
      <c r="CV23" s="85" t="n"/>
      <c r="CW23" s="85" t="n"/>
      <c r="CX23" s="85" t="n"/>
      <c r="CY23" s="85" t="n"/>
      <c r="CZ23" s="85" t="n"/>
      <c r="DA23" s="85" t="n"/>
      <c r="DB23" s="98" t="n"/>
      <c r="DC23" s="85" t="n"/>
      <c r="DD23" s="85" t="n"/>
      <c r="DE23" s="85" t="n"/>
      <c r="DF23" s="85" t="n"/>
      <c r="DG23" s="85" t="n"/>
      <c r="DH23" s="98" t="n"/>
      <c r="DI23" s="98" t="n"/>
      <c r="DJ23" s="98" t="n"/>
      <c r="DK23" s="98" t="n"/>
      <c r="DL23" s="98" t="n"/>
      <c r="DM23" s="98" t="n"/>
      <c r="DN23" s="98" t="n"/>
      <c r="DO23" s="98" t="n"/>
      <c r="DP23" s="98" t="n"/>
      <c r="DQ23" s="102" t="n"/>
      <c r="DR23" s="98" t="n"/>
      <c r="DS23" s="98" t="n"/>
    </row>
    <row r="24" ht="12.75" customHeight="1" s="623">
      <c r="B24" s="700" t="n"/>
      <c r="C24" s="681" t="n"/>
      <c r="D24" s="681" t="n"/>
      <c r="E24" s="681" t="n"/>
      <c r="F24" s="682" t="n"/>
      <c r="G24" s="94" t="n"/>
      <c r="H24" s="94" t="n"/>
      <c r="I24" s="94" t="n"/>
      <c r="J24" s="94" t="n"/>
      <c r="K24" s="94" t="n"/>
      <c r="L24" s="94" t="n"/>
      <c r="M24" s="94" t="n"/>
      <c r="N24" s="94" t="n"/>
      <c r="O24" s="94" t="n"/>
      <c r="P24" s="94" t="n"/>
      <c r="Q24" s="94" t="n"/>
      <c r="R24" s="94" t="n"/>
      <c r="S24" s="94" t="n"/>
      <c r="T24" s="94" t="n"/>
      <c r="U24" s="94" t="n"/>
      <c r="V24" s="94" t="n"/>
      <c r="W24" s="94" t="n"/>
      <c r="X24" s="94" t="n"/>
      <c r="Y24" s="94" t="n"/>
      <c r="Z24" s="94" t="n"/>
      <c r="CP24" s="87" t="n"/>
      <c r="CQ24" s="98" t="n"/>
      <c r="CR24" s="98" t="n"/>
      <c r="CS24" s="98" t="n"/>
      <c r="CT24" s="85" t="n"/>
      <c r="CU24" s="85" t="n"/>
      <c r="CV24" s="85" t="n"/>
      <c r="CW24" s="85" t="n"/>
      <c r="CX24" s="85" t="n"/>
      <c r="CY24" s="85" t="n"/>
      <c r="CZ24" s="85" t="n"/>
      <c r="DA24" s="85" t="n"/>
      <c r="DB24" s="98" t="n"/>
      <c r="DC24" s="85" t="n"/>
      <c r="DD24" s="85" t="n"/>
      <c r="DE24" s="85" t="n"/>
      <c r="DF24" s="85" t="n"/>
      <c r="DG24" s="85" t="n"/>
      <c r="DH24" s="98" t="n"/>
      <c r="DI24" s="98" t="n"/>
      <c r="DJ24" s="98" t="n"/>
      <c r="DK24" s="98" t="n"/>
      <c r="DL24" s="98" t="n"/>
      <c r="DM24" s="98" t="n"/>
      <c r="DN24" s="98" t="n"/>
      <c r="DO24" s="98" t="n"/>
      <c r="DP24" s="98" t="n"/>
      <c r="DQ24" s="102" t="n"/>
      <c r="DR24" s="98" t="n"/>
      <c r="DS24" s="98" t="n"/>
    </row>
    <row r="25" ht="12.75" customHeight="1" s="623">
      <c r="B25" s="683" t="n"/>
      <c r="F25" s="640" t="n"/>
      <c r="G25" s="94" t="n"/>
      <c r="H25" s="94" t="n"/>
      <c r="I25" s="94" t="n"/>
      <c r="J25" s="94" t="n"/>
      <c r="K25" s="94" t="n"/>
      <c r="L25" s="94" t="n"/>
      <c r="M25" s="94" t="n"/>
      <c r="N25" s="94" t="n"/>
      <c r="O25" s="94" t="n"/>
      <c r="P25" s="94" t="n"/>
      <c r="Q25" s="94" t="n"/>
      <c r="R25" s="94" t="n"/>
      <c r="S25" s="94" t="n"/>
      <c r="T25" s="94" t="n"/>
      <c r="U25" s="94" t="n"/>
      <c r="V25" s="94" t="n"/>
      <c r="W25" s="94" t="n"/>
      <c r="X25" s="94" t="n"/>
      <c r="Y25" s="94" t="n"/>
      <c r="Z25" s="94" t="n"/>
      <c r="CP25" s="87" t="n"/>
      <c r="CQ25" s="98" t="n"/>
      <c r="CR25" s="98" t="n"/>
      <c r="CS25" s="98" t="n"/>
      <c r="CT25" s="85" t="n"/>
      <c r="CU25" s="85" t="n"/>
      <c r="CV25" s="85" t="n"/>
      <c r="CW25" s="85" t="n"/>
      <c r="CX25" s="85" t="n"/>
      <c r="CY25" s="85" t="n"/>
      <c r="CZ25" s="85" t="n"/>
      <c r="DA25" s="85" t="n"/>
      <c r="DB25" s="98" t="n"/>
      <c r="DC25" s="85" t="n"/>
      <c r="DD25" s="85" t="n"/>
      <c r="DE25" s="85" t="n"/>
      <c r="DF25" s="85" t="n"/>
      <c r="DG25" s="85" t="n"/>
      <c r="DH25" s="98" t="n"/>
      <c r="DI25" s="98" t="n"/>
      <c r="DJ25" s="98" t="n"/>
      <c r="DK25" s="98" t="n"/>
      <c r="DL25" s="98" t="n"/>
      <c r="DM25" s="98" t="n"/>
      <c r="DN25" s="98" t="n"/>
      <c r="DO25" s="98" t="n"/>
      <c r="DP25" s="98" t="n"/>
      <c r="DQ25" s="102" t="n"/>
      <c r="DR25" s="98" t="n"/>
      <c r="DS25" s="98" t="n"/>
    </row>
    <row r="26" ht="12.75" customHeight="1" s="623">
      <c r="B26" s="684" t="n"/>
      <c r="C26" s="685" t="n"/>
      <c r="D26" s="685" t="n"/>
      <c r="E26" s="685" t="n"/>
      <c r="F26" s="686" t="n"/>
      <c r="G26" s="94" t="n"/>
      <c r="H26" s="94" t="n"/>
      <c r="I26" s="94" t="n"/>
      <c r="J26" s="94" t="n"/>
      <c r="K26" s="94" t="n"/>
      <c r="L26" s="94" t="n"/>
      <c r="M26" s="94" t="n"/>
      <c r="N26" s="94" t="n"/>
      <c r="O26" s="94" t="n"/>
      <c r="P26" s="94" t="n"/>
      <c r="Q26" s="94" t="n"/>
      <c r="R26" s="94" t="n"/>
      <c r="S26" s="94" t="n"/>
      <c r="T26" s="94" t="n"/>
      <c r="U26" s="94" t="n"/>
      <c r="V26" s="94" t="n"/>
      <c r="W26" s="94" t="n"/>
      <c r="X26" s="94" t="n"/>
      <c r="Y26" s="94" t="n"/>
      <c r="Z26" s="94" t="n"/>
      <c r="CP26" s="87" t="n"/>
      <c r="CQ26" s="98" t="n"/>
      <c r="CR26" s="98" t="n"/>
      <c r="CS26" s="98" t="n"/>
      <c r="CT26" s="85" t="n"/>
      <c r="CU26" s="85" t="n"/>
      <c r="CV26" s="85" t="n"/>
      <c r="CW26" s="85" t="n"/>
      <c r="CX26" s="85" t="n"/>
      <c r="CY26" s="85" t="n"/>
      <c r="CZ26" s="85" t="n"/>
      <c r="DA26" s="85" t="n"/>
      <c r="DB26" s="98" t="n"/>
      <c r="DC26" s="85" t="n"/>
      <c r="DD26" s="85" t="n"/>
      <c r="DE26" s="85" t="n"/>
      <c r="DF26" s="85" t="n"/>
      <c r="DG26" s="85" t="n"/>
      <c r="DH26" s="98" t="n"/>
      <c r="DI26" s="98" t="n"/>
      <c r="DJ26" s="98" t="n"/>
      <c r="DK26" s="98" t="n"/>
      <c r="DL26" s="98" t="n"/>
      <c r="DM26" s="98" t="n"/>
      <c r="DN26" s="98" t="n"/>
      <c r="DO26" s="98" t="n"/>
      <c r="DP26" s="98" t="n"/>
      <c r="DQ26" s="102" t="n"/>
      <c r="DR26" s="98" t="n"/>
      <c r="DS26" s="98" t="n"/>
    </row>
    <row r="27" ht="12.75" customFormat="1" customHeight="1" s="88" thickBot="1">
      <c r="A27" s="164" t="n"/>
      <c r="B27" s="119" t="n"/>
      <c r="C27" s="119" t="n"/>
      <c r="D27" s="119" t="n"/>
      <c r="E27" s="119" t="n"/>
      <c r="F27" s="119" t="n"/>
      <c r="G27" s="701" t="n"/>
      <c r="H27" s="701" t="n"/>
      <c r="I27" s="701" t="n"/>
      <c r="J27" s="701" t="n"/>
      <c r="K27" s="701" t="n"/>
      <c r="L27" s="701" t="n"/>
      <c r="M27" s="701" t="n"/>
      <c r="N27" s="701" t="n"/>
      <c r="O27" s="118" t="n"/>
      <c r="P27" s="94" t="n"/>
      <c r="Q27" s="94" t="n"/>
      <c r="R27" s="94" t="n"/>
      <c r="S27" s="94" t="n"/>
      <c r="CP27" s="80" t="n"/>
      <c r="CQ27" s="80" t="n"/>
      <c r="CR27" s="80" t="n"/>
      <c r="CS27" s="80" t="n"/>
      <c r="CT27" s="80" t="n"/>
      <c r="CU27" s="80" t="n"/>
      <c r="CV27" s="80" t="n"/>
      <c r="CW27" s="80" t="n"/>
      <c r="CX27" s="80" t="n"/>
      <c r="CY27" s="80" t="n"/>
      <c r="CZ27" s="80" t="n"/>
      <c r="DA27" s="80" t="n"/>
      <c r="DB27" s="80" t="n"/>
      <c r="DC27" s="80" t="n"/>
      <c r="DD27" s="80" t="n"/>
      <c r="DE27" s="80" t="n"/>
      <c r="DF27" s="80" t="n"/>
      <c r="DG27" s="80" t="n"/>
      <c r="DH27" s="80" t="n"/>
      <c r="DI27" s="80" t="n"/>
      <c r="DJ27" s="80" t="n"/>
      <c r="DK27" s="80" t="n"/>
      <c r="DL27" s="80" t="n"/>
      <c r="DM27" s="80" t="n"/>
      <c r="DN27" s="80" t="n"/>
      <c r="DO27" s="80" t="n"/>
      <c r="DP27" s="121" t="n"/>
      <c r="DQ27" s="80" t="n"/>
      <c r="DR27" s="83" t="n"/>
    </row>
    <row r="28" ht="12.75" customHeight="1" s="623">
      <c r="B28" s="179" t="inlineStr">
        <is>
          <t>EY 测试属性解释:</t>
        </is>
      </c>
      <c r="C28" s="180" t="n"/>
      <c r="D28" s="180" t="n"/>
      <c r="E28" s="180" t="n"/>
      <c r="F28" s="181" t="n"/>
      <c r="P28" s="94" t="n"/>
      <c r="Q28" s="94" t="n"/>
      <c r="R28" s="94" t="n"/>
      <c r="S28" s="94" t="n"/>
      <c r="CF28" s="80" t="n"/>
      <c r="CG28" s="80" t="n"/>
      <c r="CH28" s="80" t="n"/>
      <c r="CI28" s="80" t="n"/>
      <c r="CJ28" s="80" t="n"/>
      <c r="CK28" s="80" t="n"/>
      <c r="CL28" s="80" t="n"/>
      <c r="CM28" s="80" t="n"/>
      <c r="CN28" s="80" t="n"/>
      <c r="CO28" s="80" t="n"/>
      <c r="DF28" s="121" t="n"/>
      <c r="DH28" s="83" t="n"/>
      <c r="DI28" s="87" t="n"/>
      <c r="DJ28" s="87" t="n"/>
      <c r="DK28" s="87" t="n"/>
      <c r="DL28" s="87" t="n"/>
      <c r="DM28" s="87" t="n"/>
      <c r="DN28" s="87" t="n"/>
      <c r="DO28" s="87" t="n"/>
      <c r="DP28" s="87" t="n"/>
      <c r="DQ28" s="87" t="n"/>
      <c r="DR28" s="87" t="n"/>
      <c r="DW28" s="188" t="inlineStr">
        <is>
          <t>使用授信额度</t>
        </is>
      </c>
    </row>
    <row r="29" ht="12.75" customHeight="1" s="623">
      <c r="B29" s="182" t="inlineStr">
        <is>
          <t>对于应付票据_银行承兑汇票，我们执行以下程序，以确保：</t>
        </is>
      </c>
      <c r="C29" s="173" t="n"/>
      <c r="D29" s="173" t="n"/>
      <c r="E29" s="173" t="n"/>
      <c r="F29" s="183" t="n"/>
      <c r="CF29" s="80" t="n"/>
      <c r="CG29" s="80" t="n"/>
      <c r="CH29" s="80" t="n"/>
      <c r="CI29" s="80" t="n"/>
      <c r="CJ29" s="80" t="n"/>
      <c r="CK29" s="80" t="n"/>
      <c r="CL29" s="80" t="n"/>
      <c r="CM29" s="80" t="n"/>
      <c r="CN29" s="80" t="n"/>
      <c r="CO29" s="80" t="n"/>
      <c r="DF29" s="121" t="n"/>
      <c r="DH29" s="83" t="n"/>
      <c r="DI29" s="87" t="n"/>
      <c r="DJ29" s="87" t="n"/>
      <c r="DK29" s="87" t="n"/>
      <c r="DL29" s="87" t="n"/>
      <c r="DM29" s="87" t="n"/>
      <c r="DN29" s="87" t="n"/>
      <c r="DO29" s="87" t="n"/>
      <c r="DP29" s="87" t="n"/>
      <c r="DQ29" s="87" t="n"/>
      <c r="DR29" s="87" t="n"/>
      <c r="DW29" s="188" t="inlineStr">
        <is>
          <t>保证金质押开票</t>
        </is>
      </c>
    </row>
    <row r="30" ht="12.75" customHeight="1" s="623">
      <c r="B30" s="235" t="inlineStr">
        <is>
          <t>1) 向承兑银行发函确认应付票据_银行承兑汇票的余额，核对账面金额与回函金额相符。</t>
        </is>
      </c>
      <c r="C30" s="144" t="n"/>
      <c r="D30" s="144" t="n"/>
      <c r="E30" s="144" t="n"/>
      <c r="F30" s="184" t="n"/>
      <c r="CF30" s="80" t="n"/>
      <c r="CG30" s="80" t="n"/>
      <c r="CH30" s="80" t="n"/>
      <c r="CI30" s="80" t="n"/>
      <c r="CJ30" s="80" t="n"/>
      <c r="CK30" s="80" t="n"/>
      <c r="CL30" s="80" t="n"/>
      <c r="CM30" s="80" t="n"/>
      <c r="CN30" s="80" t="n"/>
      <c r="CO30" s="80" t="n"/>
      <c r="DF30" s="121" t="n"/>
      <c r="DH30" s="83" t="n"/>
      <c r="DI30" s="87" t="n"/>
      <c r="DJ30" s="87" t="n"/>
      <c r="DK30" s="87" t="n"/>
      <c r="DL30" s="87" t="n"/>
      <c r="DM30" s="87" t="n"/>
      <c r="DN30" s="87" t="n"/>
      <c r="DO30" s="87" t="n"/>
      <c r="DP30" s="87" t="n"/>
      <c r="DQ30" s="87" t="n"/>
      <c r="DR30" s="87" t="n"/>
      <c r="DW30" s="188" t="inlineStr">
        <is>
          <t>结构性存款质押开票</t>
        </is>
      </c>
    </row>
    <row r="31" ht="12.75" customHeight="1" s="623">
      <c r="B31" s="235" t="inlineStr">
        <is>
          <t>2) 根据应付票据_银行承兑汇票明细表，获取了逾期银行承兑汇票的信息；对逾期银行承兑汇票未支付事项进行了调查，逾期未支付的银行承兑汇票已转入短期借款。</t>
        </is>
      </c>
      <c r="C31" s="144" t="n"/>
      <c r="D31" s="144" t="n"/>
      <c r="E31" s="144" t="n"/>
      <c r="F31" s="184" t="n"/>
      <c r="CF31" s="80" t="n"/>
      <c r="CG31" s="80" t="n"/>
      <c r="CH31" s="80" t="n"/>
      <c r="CI31" s="80" t="n"/>
      <c r="CJ31" s="80" t="n"/>
      <c r="CK31" s="80" t="n"/>
      <c r="CL31" s="80" t="n"/>
      <c r="CM31" s="80" t="n"/>
      <c r="CN31" s="80" t="n"/>
      <c r="CO31" s="80" t="n"/>
      <c r="DF31" s="121" t="n"/>
      <c r="DH31" s="83" t="n"/>
      <c r="DI31" s="87" t="n"/>
      <c r="DJ31" s="87" t="n"/>
      <c r="DK31" s="87" t="n"/>
      <c r="DL31" s="87" t="n"/>
      <c r="DM31" s="87" t="n"/>
      <c r="DN31" s="87" t="n"/>
      <c r="DO31" s="87" t="n"/>
      <c r="DP31" s="87" t="n"/>
      <c r="DQ31" s="87" t="n"/>
      <c r="DR31" s="87" t="n"/>
      <c r="DW31" s="188" t="n"/>
    </row>
    <row r="32" ht="12.75" customHeight="1" s="623">
      <c r="B32" s="235" t="inlineStr">
        <is>
          <t>3) 使用授信额度或其他担保方式开立银行承兑汇票的，已检查银行承兑汇票的协议或银行授信审批文件，未发现异常情况。</t>
        </is>
      </c>
      <c r="C32" s="176" t="n"/>
      <c r="D32" s="176" t="n"/>
      <c r="E32" s="176" t="n"/>
      <c r="F32" s="185" t="n"/>
      <c r="CF32" s="80" t="n"/>
      <c r="CG32" s="80" t="n"/>
      <c r="CH32" s="80" t="n"/>
      <c r="CI32" s="80" t="n"/>
      <c r="CJ32" s="80" t="n"/>
      <c r="CK32" s="80" t="n"/>
      <c r="CL32" s="80" t="n"/>
      <c r="CM32" s="80" t="n"/>
      <c r="CN32" s="80" t="n"/>
      <c r="CO32" s="80" t="n"/>
      <c r="DF32" s="121" t="n"/>
      <c r="DH32" s="83" t="n"/>
      <c r="DI32" s="87" t="n"/>
      <c r="DJ32" s="87" t="n"/>
      <c r="DK32" s="87" t="n"/>
      <c r="DL32" s="87" t="n"/>
      <c r="DM32" s="87" t="n"/>
      <c r="DN32" s="87" t="n"/>
      <c r="DO32" s="87" t="n"/>
      <c r="DP32" s="87" t="n"/>
      <c r="DQ32" s="87" t="n"/>
      <c r="DR32" s="87" t="n"/>
      <c r="DW32" s="188" t="inlineStr">
        <is>
          <t>理财产品质押开票</t>
        </is>
      </c>
    </row>
    <row r="33" ht="12.75" customHeight="1" s="623" thickBot="1">
      <c r="B33" s="236" t="inlineStr">
        <is>
          <t>4) 将相关质押品账面价值与应付票据_银行承兑汇票余额进行核对，计算质押品账面价值与相关债务的比例，质押水平符合合同或协议约定要求。</t>
        </is>
      </c>
      <c r="C33" s="186" t="n"/>
      <c r="D33" s="186" t="n"/>
      <c r="E33" s="186" t="n"/>
      <c r="F33" s="187" t="n"/>
      <c r="CF33" s="80" t="n"/>
      <c r="CG33" s="80" t="n"/>
      <c r="CH33" s="80" t="n"/>
      <c r="CI33" s="80" t="n"/>
      <c r="CJ33" s="80" t="n"/>
      <c r="CK33" s="80" t="n"/>
      <c r="CL33" s="80" t="n"/>
      <c r="CM33" s="80" t="n"/>
      <c r="CN33" s="80" t="n"/>
      <c r="CO33" s="80" t="n"/>
      <c r="DF33" s="121" t="n"/>
      <c r="DH33" s="83" t="n"/>
      <c r="DI33" s="87" t="n"/>
      <c r="DJ33" s="87" t="n"/>
      <c r="DK33" s="87" t="n"/>
      <c r="DL33" s="87" t="n"/>
      <c r="DM33" s="87" t="n"/>
      <c r="DN33" s="87" t="n"/>
      <c r="DO33" s="87" t="n"/>
      <c r="DP33" s="87" t="n"/>
      <c r="DQ33" s="87" t="n"/>
      <c r="DR33" s="87" t="n"/>
      <c r="DW33" s="188" t="inlineStr">
        <is>
          <t>应收票据质押开票</t>
        </is>
      </c>
    </row>
    <row r="34" ht="12.75" customHeight="1" s="623">
      <c r="B34" s="178" t="n"/>
      <c r="C34" s="178" t="n"/>
      <c r="D34" s="178" t="n"/>
      <c r="E34" s="178" t="n"/>
      <c r="F34" s="178" t="n"/>
      <c r="H34" s="178" t="n"/>
      <c r="I34" s="178" t="n"/>
      <c r="J34" s="178" t="n"/>
      <c r="K34" s="178" t="n"/>
      <c r="L34" s="178" t="n"/>
      <c r="M34" s="178" t="n"/>
      <c r="N34" s="178" t="n"/>
      <c r="O34" s="178" t="n"/>
      <c r="CO34" s="80" t="n"/>
      <c r="DO34" s="121" t="n"/>
      <c r="DP34" s="80" t="n"/>
      <c r="DQ34" s="83" t="n"/>
      <c r="DR34" s="87" t="n"/>
      <c r="DW34" s="188" t="inlineStr">
        <is>
          <t>第三方担保方式开票</t>
        </is>
      </c>
    </row>
    <row r="35" ht="12.75" customHeight="1" s="623" thickBot="1">
      <c r="A35" s="87" t="n"/>
      <c r="B35" s="252" t="inlineStr">
        <is>
          <t>表2.1 项目组在下面记录选样策略与理由</t>
        </is>
      </c>
      <c r="C35" s="178" t="n"/>
      <c r="D35" s="178" t="n"/>
      <c r="E35" s="178" t="n"/>
      <c r="F35" s="178" t="n"/>
      <c r="H35" s="178" t="n"/>
      <c r="I35" s="178" t="n"/>
      <c r="J35" s="178" t="n"/>
      <c r="K35" s="178" t="n"/>
      <c r="L35" s="94" t="n"/>
      <c r="M35" s="94" t="n"/>
      <c r="N35" s="94" t="n"/>
      <c r="O35" s="94" t="n"/>
      <c r="P35" s="192" t="n"/>
      <c r="Q35" s="178" t="n"/>
      <c r="R35" s="178" t="n"/>
      <c r="CN35" s="80" t="n"/>
      <c r="CO35" s="80" t="n"/>
      <c r="DN35" s="121" t="n"/>
      <c r="DP35" s="83" t="n"/>
      <c r="DQ35" s="87" t="n"/>
      <c r="DR35" s="87" t="n"/>
      <c r="DV35" s="188" t="n"/>
    </row>
    <row r="36" ht="12.75" customHeight="1" s="623">
      <c r="A36" s="87" t="n"/>
      <c r="B36" s="702" t="n"/>
      <c r="C36" s="681" t="n"/>
      <c r="D36" s="681" t="n"/>
      <c r="E36" s="681" t="n"/>
      <c r="F36" s="682" t="n"/>
      <c r="G36" s="178" t="n"/>
      <c r="L36" s="94" t="n"/>
      <c r="M36" s="94" t="n"/>
      <c r="N36" s="94" t="n"/>
      <c r="O36" s="94" t="n"/>
      <c r="P36" s="192" t="n"/>
      <c r="CO36" s="80" t="n"/>
      <c r="DO36" s="121" t="n"/>
      <c r="DP36" s="80" t="n"/>
      <c r="DQ36" s="83" t="n"/>
      <c r="DR36" s="87" t="n"/>
    </row>
    <row r="37" ht="12.75" customHeight="1" s="623">
      <c r="A37" s="87" t="n"/>
      <c r="B37" s="683" t="n"/>
      <c r="F37" s="640" t="n"/>
      <c r="G37" s="178" t="n"/>
      <c r="L37" s="94" t="n"/>
      <c r="M37" s="94" t="n"/>
      <c r="N37" s="94" t="n"/>
      <c r="O37" s="94" t="n"/>
      <c r="P37" s="192" t="n"/>
      <c r="CO37" s="80" t="n"/>
      <c r="DO37" s="121" t="n"/>
      <c r="DP37" s="80" t="n"/>
      <c r="DQ37" s="83" t="n"/>
      <c r="DR37" s="87" t="n"/>
    </row>
    <row r="38" ht="12.75" customHeight="1" s="623">
      <c r="A38" s="87" t="n"/>
      <c r="B38" s="684" t="n"/>
      <c r="C38" s="685" t="n"/>
      <c r="D38" s="685" t="n"/>
      <c r="E38" s="685" t="n"/>
      <c r="F38" s="686" t="n"/>
      <c r="G38" s="178" t="n"/>
      <c r="H38" s="178" t="n"/>
      <c r="I38" s="178" t="n"/>
      <c r="J38" s="178" t="n"/>
      <c r="L38" s="94" t="n"/>
      <c r="M38" s="94" t="n"/>
      <c r="N38" s="94" t="n"/>
      <c r="O38" s="94" t="n"/>
      <c r="P38" s="192" t="n"/>
      <c r="Q38" s="178" t="n"/>
      <c r="R38" s="178" t="n"/>
      <c r="CN38" s="80" t="n"/>
      <c r="CO38" s="80" t="n"/>
      <c r="DN38" s="121" t="n"/>
      <c r="DP38" s="83" t="n"/>
      <c r="DQ38" s="87" t="n"/>
      <c r="DR38" s="87" t="n"/>
      <c r="DV38" s="188" t="n"/>
    </row>
    <row r="39" ht="12.75" customFormat="1" customHeight="1" s="122">
      <c r="B39" s="253" t="n"/>
      <c r="C39" s="253" t="n"/>
      <c r="D39" s="253" t="n"/>
      <c r="E39" s="253" t="n"/>
      <c r="F39" s="253" t="n"/>
      <c r="G39" s="178" t="n"/>
      <c r="H39" s="178" t="n"/>
      <c r="I39" s="178" t="n"/>
      <c r="J39" s="178" t="n"/>
      <c r="L39" s="193" t="n"/>
      <c r="M39" s="193" t="n"/>
      <c r="N39" s="193" t="n"/>
      <c r="O39" s="193" t="n"/>
      <c r="P39" s="192" t="n"/>
      <c r="Q39" s="178" t="n"/>
      <c r="R39" s="178" t="n"/>
      <c r="CN39" s="80" t="n"/>
      <c r="CO39" s="80" t="n"/>
      <c r="CP39" s="80" t="n"/>
      <c r="CQ39" s="80" t="n"/>
      <c r="CR39" s="80" t="n"/>
      <c r="CS39" s="80" t="n"/>
      <c r="CT39" s="80" t="n"/>
      <c r="CU39" s="80" t="n"/>
      <c r="CV39" s="80" t="n"/>
      <c r="CW39" s="80" t="n"/>
      <c r="CX39" s="80" t="n"/>
      <c r="CY39" s="80" t="n"/>
      <c r="CZ39" s="80" t="n"/>
      <c r="DA39" s="80" t="n"/>
      <c r="DB39" s="80" t="n"/>
      <c r="DC39" s="80" t="n"/>
      <c r="DD39" s="80" t="n"/>
      <c r="DE39" s="80" t="n"/>
      <c r="DF39" s="80" t="n"/>
      <c r="DG39" s="80" t="n"/>
      <c r="DH39" s="80" t="n"/>
      <c r="DI39" s="80" t="n"/>
      <c r="DJ39" s="80" t="n"/>
      <c r="DK39" s="80" t="n"/>
      <c r="DL39" s="80" t="n"/>
      <c r="DM39" s="80" t="n"/>
      <c r="DN39" s="121" t="n"/>
      <c r="DO39" s="80" t="n"/>
      <c r="DP39" s="83" t="n"/>
      <c r="DV39" s="199" t="n"/>
    </row>
    <row r="40" ht="12.75" customHeight="1" s="623">
      <c r="B40" s="117" t="inlineStr">
        <is>
          <t>表2.2 根据表2.1的选样策略，选取测试项目执行EY测试属性1和2，并记录测试结论于下表</t>
        </is>
      </c>
      <c r="CN40" s="80" t="n"/>
      <c r="CO40" s="80" t="n"/>
      <c r="DN40" s="121" t="n"/>
      <c r="DP40" s="83" t="n"/>
      <c r="DQ40" s="87" t="n"/>
      <c r="DR40" s="87" t="n"/>
    </row>
    <row r="41" ht="18" customHeight="1" s="623">
      <c r="A41" s="265" t="n"/>
      <c r="B41" s="286" t="n"/>
      <c r="C41" s="287" t="n"/>
      <c r="D41" s="288" t="n"/>
      <c r="E41" s="288" t="n"/>
      <c r="F41" s="288" t="n"/>
      <c r="G41" s="288" t="n"/>
      <c r="H41" s="288" t="n"/>
      <c r="I41" s="289" t="n"/>
      <c r="J41" s="289" t="n"/>
      <c r="K41" s="289" t="n"/>
      <c r="L41" s="289" t="n"/>
      <c r="M41" s="289" t="n"/>
      <c r="N41" s="230" t="inlineStr">
        <is>
          <t>EY Works</t>
        </is>
      </c>
      <c r="O41" s="230" t="n"/>
      <c r="P41" s="703" t="inlineStr">
        <is>
          <t>函证索引号</t>
        </is>
      </c>
      <c r="Q41" s="704" t="inlineStr">
        <is>
          <t>逾期原因（如适用）</t>
        </is>
      </c>
      <c r="R41" s="705" t="inlineStr">
        <is>
          <t>针对未回函的应付票据执行的替代程序及结论</t>
        </is>
      </c>
      <c r="CL41" s="80" t="n"/>
      <c r="CM41" s="80" t="n"/>
      <c r="CN41" s="80" t="n"/>
      <c r="CO41" s="80" t="n"/>
      <c r="DL41" s="121" t="n"/>
      <c r="DN41" s="83" t="n"/>
      <c r="DO41" s="87" t="n"/>
      <c r="DP41" s="87" t="n"/>
      <c r="DQ41" s="87" t="n"/>
      <c r="DR41" s="87" t="n"/>
    </row>
    <row r="42" ht="22" customFormat="1" customHeight="1" s="255">
      <c r="A42" s="266" t="n"/>
      <c r="B42" s="290" t="inlineStr">
        <is>
          <t>EY测试属性类别</t>
        </is>
      </c>
      <c r="C42" s="291" t="inlineStr">
        <is>
          <t xml:space="preserve">账套名称/账套编码 </t>
        </is>
      </c>
      <c r="D42" s="292" t="inlineStr">
        <is>
          <t>供应商名称</t>
        </is>
      </c>
      <c r="E42" s="292" t="inlineStr">
        <is>
          <t>出票人</t>
        </is>
      </c>
      <c r="F42" s="292" t="inlineStr">
        <is>
          <t>收票人</t>
        </is>
      </c>
      <c r="G42" s="292" t="inlineStr">
        <is>
          <t>签发日期</t>
        </is>
      </c>
      <c r="H42" s="292" t="inlineStr">
        <is>
          <t>到期日</t>
        </is>
      </c>
      <c r="I42" s="293" t="inlineStr">
        <is>
          <t>票据票面金额</t>
        </is>
      </c>
      <c r="J42" s="294" t="inlineStr">
        <is>
          <t>票据号码</t>
        </is>
      </c>
      <c r="K42" s="293" t="inlineStr">
        <is>
          <t>承兑人名称</t>
        </is>
      </c>
      <c r="L42" s="295" t="inlineStr">
        <is>
          <t>开票保证方式</t>
        </is>
      </c>
      <c r="M42" s="295" t="inlineStr">
        <is>
          <t>约定利率</t>
        </is>
      </c>
      <c r="N42" s="296" t="n">
        <v>1</v>
      </c>
      <c r="O42" s="296" t="n">
        <v>2</v>
      </c>
      <c r="P42" s="706" t="n"/>
      <c r="Q42" s="638" t="n"/>
      <c r="R42" s="707" t="n"/>
      <c r="CL42" s="256" t="n"/>
      <c r="CM42" s="256" t="n"/>
      <c r="CN42" s="256" t="n"/>
      <c r="CO42" s="256" t="n"/>
      <c r="CP42" s="256" t="n"/>
      <c r="CQ42" s="256" t="n"/>
      <c r="CR42" s="256" t="n"/>
      <c r="CS42" s="256" t="n"/>
      <c r="CT42" s="256" t="n"/>
      <c r="CU42" s="256" t="n"/>
      <c r="CV42" s="256" t="n"/>
      <c r="CW42" s="256" t="n"/>
      <c r="CX42" s="256" t="n"/>
      <c r="CY42" s="256" t="n"/>
      <c r="CZ42" s="256" t="n"/>
      <c r="DA42" s="256" t="n"/>
      <c r="DB42" s="256" t="n"/>
      <c r="DC42" s="256" t="n"/>
      <c r="DD42" s="256" t="n"/>
      <c r="DE42" s="256" t="n"/>
      <c r="DF42" s="256" t="n"/>
      <c r="DG42" s="256" t="n"/>
      <c r="DH42" s="256" t="n"/>
      <c r="DI42" s="256" t="n"/>
      <c r="DJ42" s="256" t="n"/>
      <c r="DK42" s="256" t="n"/>
      <c r="DL42" s="257" t="n"/>
      <c r="DM42" s="256" t="n"/>
      <c r="DN42" s="233" t="n"/>
    </row>
    <row r="43" ht="13" customHeight="1" s="623">
      <c r="B43" s="477" t="n"/>
      <c r="C43" s="423" t="n"/>
      <c r="D43" s="384" t="n"/>
      <c r="E43" s="384" t="n"/>
      <c r="F43" s="384" t="n"/>
      <c r="G43" s="382" t="n"/>
      <c r="H43" s="382" t="n"/>
      <c r="I43" s="708" t="n"/>
      <c r="J43" s="479" t="n"/>
      <c r="K43" s="384" t="n"/>
      <c r="L43" s="384" t="n"/>
      <c r="M43" s="383" t="n"/>
      <c r="N43" s="419" t="n"/>
      <c r="O43" s="419" t="n"/>
      <c r="P43" s="481" t="n"/>
      <c r="Q43" s="482" t="n"/>
      <c r="R43" s="483" t="n"/>
      <c r="CL43" s="80" t="n"/>
      <c r="CM43" s="80" t="n"/>
      <c r="CN43" s="80" t="n"/>
      <c r="CO43" s="80" t="n"/>
      <c r="DL43" s="121" t="n"/>
      <c r="DN43" s="83" t="n"/>
      <c r="DO43" s="87" t="n"/>
      <c r="DP43" s="87" t="n"/>
      <c r="DQ43" s="87" t="n"/>
      <c r="DR43" s="87" t="n"/>
    </row>
    <row r="44" ht="12.75" customFormat="1" customHeight="1" s="109">
      <c r="A44" s="165" t="n"/>
      <c r="B44" s="381" t="n"/>
      <c r="C44" s="139" t="n"/>
      <c r="D44" s="384" t="n"/>
      <c r="E44" s="384" t="n"/>
      <c r="F44" s="384" t="n"/>
      <c r="G44" s="382" t="n"/>
      <c r="H44" s="382" t="n"/>
      <c r="I44" s="709" t="n"/>
      <c r="J44" s="479" t="n"/>
      <c r="K44" s="384" t="n"/>
      <c r="L44" s="384" t="n"/>
      <c r="M44" s="385" t="n"/>
      <c r="N44" s="419" t="n"/>
      <c r="O44" s="419" t="n"/>
      <c r="P44" s="481" t="n"/>
      <c r="Q44" s="484" t="n"/>
      <c r="R44" s="483" t="n"/>
      <c r="CL44" s="125" t="n"/>
      <c r="CM44" s="125" t="n"/>
      <c r="CN44" s="125" t="n"/>
      <c r="CO44" s="125" t="n"/>
      <c r="CP44" s="125" t="n"/>
      <c r="CQ44" s="125" t="n"/>
      <c r="CR44" s="125" t="n"/>
      <c r="CS44" s="125" t="n"/>
      <c r="CT44" s="125" t="n"/>
      <c r="CU44" s="125" t="n"/>
      <c r="CV44" s="125" t="n"/>
      <c r="CW44" s="125" t="n"/>
      <c r="CX44" s="125" t="n"/>
      <c r="CY44" s="125" t="n"/>
      <c r="CZ44" s="125" t="n"/>
      <c r="DA44" s="125" t="n"/>
      <c r="DB44" s="125" t="n"/>
      <c r="DC44" s="125" t="n"/>
      <c r="DD44" s="125" t="n"/>
      <c r="DE44" s="125" t="n"/>
      <c r="DF44" s="125" t="n"/>
      <c r="DG44" s="125" t="n"/>
      <c r="DH44" s="125" t="n"/>
      <c r="DI44" s="125" t="n"/>
      <c r="DJ44" s="125" t="n"/>
      <c r="DK44" s="125" t="n"/>
      <c r="DL44" s="126" t="n"/>
      <c r="DM44" s="125" t="n"/>
      <c r="DN44" s="127" t="n"/>
    </row>
    <row r="45" ht="12.75" customFormat="1" customHeight="1" s="109">
      <c r="A45" s="165" t="n"/>
      <c r="B45" s="381" t="n"/>
      <c r="C45" s="139" t="n"/>
      <c r="D45" s="384" t="n"/>
      <c r="E45" s="384" t="n"/>
      <c r="F45" s="384" t="n"/>
      <c r="G45" s="382" t="n"/>
      <c r="H45" s="382" t="n"/>
      <c r="I45" s="709" t="n"/>
      <c r="J45" s="479" t="n"/>
      <c r="K45" s="384" t="n"/>
      <c r="L45" s="384" t="n"/>
      <c r="M45" s="385" t="n"/>
      <c r="N45" s="419" t="n"/>
      <c r="O45" s="419" t="n"/>
      <c r="P45" s="481" t="n"/>
      <c r="Q45" s="484" t="n"/>
      <c r="R45" s="483" t="n"/>
      <c r="CL45" s="125" t="n"/>
      <c r="CM45" s="125" t="n"/>
      <c r="CN45" s="125" t="n"/>
      <c r="CO45" s="125" t="n"/>
      <c r="CP45" s="125" t="n"/>
      <c r="CQ45" s="125" t="n"/>
      <c r="CR45" s="125" t="n"/>
      <c r="CS45" s="125" t="n"/>
      <c r="CT45" s="125" t="n"/>
      <c r="CU45" s="125" t="n"/>
      <c r="CV45" s="125" t="n"/>
      <c r="CW45" s="125" t="n"/>
      <c r="CX45" s="125" t="n"/>
      <c r="CY45" s="125" t="n"/>
      <c r="CZ45" s="125" t="n"/>
      <c r="DA45" s="125" t="n"/>
      <c r="DB45" s="125" t="n"/>
      <c r="DC45" s="125" t="n"/>
      <c r="DD45" s="125" t="n"/>
      <c r="DE45" s="125" t="n"/>
      <c r="DF45" s="125" t="n"/>
      <c r="DG45" s="125" t="n"/>
      <c r="DH45" s="125" t="n"/>
      <c r="DI45" s="125" t="n"/>
      <c r="DJ45" s="125" t="n"/>
      <c r="DK45" s="125" t="n"/>
      <c r="DL45" s="126" t="n"/>
      <c r="DM45" s="125" t="n"/>
      <c r="DN45" s="127" t="n"/>
    </row>
    <row r="46" ht="12.75" customFormat="1" customHeight="1" s="109">
      <c r="A46" s="165" t="n"/>
      <c r="B46" s="381" t="n"/>
      <c r="C46" s="139" t="n"/>
      <c r="D46" s="384" t="n"/>
      <c r="E46" s="384" t="n"/>
      <c r="F46" s="384" t="n"/>
      <c r="G46" s="382" t="n"/>
      <c r="H46" s="382" t="n"/>
      <c r="I46" s="709" t="n"/>
      <c r="J46" s="479" t="n"/>
      <c r="K46" s="384" t="n"/>
      <c r="L46" s="384" t="n"/>
      <c r="M46" s="385" t="n"/>
      <c r="N46" s="419" t="n"/>
      <c r="O46" s="419" t="n"/>
      <c r="P46" s="481" t="n"/>
      <c r="Q46" s="484" t="n"/>
      <c r="R46" s="483" t="n"/>
      <c r="CL46" s="125" t="n"/>
      <c r="CM46" s="125" t="n"/>
      <c r="CN46" s="125" t="n"/>
      <c r="CO46" s="125" t="n"/>
      <c r="CP46" s="125" t="n"/>
      <c r="CQ46" s="125" t="n"/>
      <c r="CR46" s="125" t="n"/>
      <c r="CS46" s="125" t="n"/>
      <c r="CT46" s="125" t="n"/>
      <c r="CU46" s="125" t="n"/>
      <c r="CV46" s="125" t="n"/>
      <c r="CW46" s="125" t="n"/>
      <c r="CX46" s="125" t="n"/>
      <c r="CY46" s="125" t="n"/>
      <c r="CZ46" s="125" t="n"/>
      <c r="DA46" s="125" t="n"/>
      <c r="DB46" s="125" t="n"/>
      <c r="DC46" s="125" t="n"/>
      <c r="DD46" s="125" t="n"/>
      <c r="DE46" s="125" t="n"/>
      <c r="DF46" s="125" t="n"/>
      <c r="DG46" s="125" t="n"/>
      <c r="DH46" s="125" t="n"/>
      <c r="DI46" s="125" t="n"/>
      <c r="DJ46" s="125" t="n"/>
      <c r="DK46" s="125" t="n"/>
      <c r="DL46" s="126" t="n"/>
      <c r="DM46" s="125" t="n"/>
      <c r="DN46" s="127" t="n"/>
    </row>
    <row r="47" ht="12.75" customFormat="1" customHeight="1" s="109">
      <c r="A47" s="165" t="n"/>
      <c r="B47" s="381" t="n"/>
      <c r="C47" s="139" t="n"/>
      <c r="D47" s="384" t="n"/>
      <c r="E47" s="384" t="n"/>
      <c r="F47" s="384" t="n"/>
      <c r="G47" s="382" t="n"/>
      <c r="H47" s="382" t="n"/>
      <c r="I47" s="709" t="n"/>
      <c r="J47" s="479" t="n"/>
      <c r="K47" s="384" t="n"/>
      <c r="L47" s="384" t="n"/>
      <c r="M47" s="385" t="n"/>
      <c r="N47" s="419" t="n"/>
      <c r="O47" s="419" t="n"/>
      <c r="P47" s="481" t="n"/>
      <c r="Q47" s="484" t="n"/>
      <c r="R47" s="483" t="n"/>
      <c r="CL47" s="125" t="n"/>
      <c r="CM47" s="125" t="n"/>
      <c r="CN47" s="125" t="n"/>
      <c r="CO47" s="125" t="n"/>
      <c r="CP47" s="125" t="n"/>
      <c r="CQ47" s="125" t="n"/>
      <c r="CR47" s="125" t="n"/>
      <c r="CS47" s="125" t="n"/>
      <c r="CT47" s="125" t="n"/>
      <c r="CU47" s="125" t="n"/>
      <c r="CV47" s="125" t="n"/>
      <c r="CW47" s="125" t="n"/>
      <c r="CX47" s="125" t="n"/>
      <c r="CY47" s="125" t="n"/>
      <c r="CZ47" s="125" t="n"/>
      <c r="DA47" s="125" t="n"/>
      <c r="DB47" s="125" t="n"/>
      <c r="DC47" s="125" t="n"/>
      <c r="DD47" s="125" t="n"/>
      <c r="DE47" s="125" t="n"/>
      <c r="DF47" s="125" t="n"/>
      <c r="DG47" s="125" t="n"/>
      <c r="DH47" s="125" t="n"/>
      <c r="DI47" s="125" t="n"/>
      <c r="DJ47" s="125" t="n"/>
      <c r="DK47" s="125" t="n"/>
      <c r="DL47" s="126" t="n"/>
      <c r="DM47" s="125" t="n"/>
      <c r="DN47" s="127" t="n"/>
    </row>
    <row r="48" ht="12.75" customFormat="1" customHeight="1" s="109">
      <c r="A48" s="165" t="n"/>
      <c r="B48" s="381" t="n"/>
      <c r="C48" s="139" t="n"/>
      <c r="D48" s="384" t="n"/>
      <c r="E48" s="384" t="n"/>
      <c r="F48" s="384" t="n"/>
      <c r="G48" s="382" t="n"/>
      <c r="H48" s="382" t="n"/>
      <c r="I48" s="709" t="n"/>
      <c r="J48" s="479" t="n"/>
      <c r="K48" s="384" t="n"/>
      <c r="L48" s="384" t="n"/>
      <c r="M48" s="385" t="n"/>
      <c r="N48" s="419" t="n"/>
      <c r="O48" s="419" t="n"/>
      <c r="P48" s="481" t="n"/>
      <c r="Q48" s="484" t="n"/>
      <c r="R48" s="483" t="n"/>
      <c r="CL48" s="125" t="n"/>
      <c r="CM48" s="125" t="n"/>
      <c r="CN48" s="125" t="n"/>
      <c r="CO48" s="125" t="n"/>
      <c r="CP48" s="125" t="n"/>
      <c r="CQ48" s="125" t="n"/>
      <c r="CR48" s="125" t="n"/>
      <c r="CS48" s="125" t="n"/>
      <c r="CT48" s="125" t="n"/>
      <c r="CU48" s="125" t="n"/>
      <c r="CV48" s="125" t="n"/>
      <c r="CW48" s="125" t="n"/>
      <c r="CX48" s="125" t="n"/>
      <c r="CY48" s="125" t="n"/>
      <c r="CZ48" s="125" t="n"/>
      <c r="DA48" s="125" t="n"/>
      <c r="DB48" s="125" t="n"/>
      <c r="DC48" s="125" t="n"/>
      <c r="DD48" s="125" t="n"/>
      <c r="DE48" s="125" t="n"/>
      <c r="DF48" s="125" t="n"/>
      <c r="DG48" s="125" t="n"/>
      <c r="DH48" s="125" t="n"/>
      <c r="DI48" s="125" t="n"/>
      <c r="DJ48" s="125" t="n"/>
      <c r="DK48" s="125" t="n"/>
      <c r="DL48" s="126" t="n"/>
      <c r="DM48" s="125" t="n"/>
      <c r="DN48" s="127" t="n"/>
    </row>
    <row r="49" ht="12.65" customHeight="1" s="623" thickBot="1">
      <c r="B49" s="386" t="n"/>
      <c r="C49" s="710" t="n"/>
      <c r="D49" s="408" t="n"/>
      <c r="E49" s="408" t="n"/>
      <c r="F49" s="408" t="n"/>
      <c r="G49" s="388" t="n"/>
      <c r="H49" s="388" t="n"/>
      <c r="I49" s="711" t="n"/>
      <c r="J49" s="480" t="n"/>
      <c r="K49" s="408" t="n"/>
      <c r="L49" s="408" t="n"/>
      <c r="M49" s="389" t="n"/>
      <c r="N49" s="420" t="n"/>
      <c r="O49" s="420" t="n"/>
      <c r="P49" s="343" t="n"/>
      <c r="Q49" s="408" t="n"/>
      <c r="R49" s="485" t="n"/>
      <c r="CL49" s="80" t="n"/>
      <c r="CM49" s="80" t="n"/>
      <c r="CN49" s="80" t="n"/>
      <c r="CO49" s="80" t="n"/>
      <c r="DL49" s="121" t="n"/>
      <c r="DN49" s="83" t="n"/>
      <c r="DO49" s="87" t="n"/>
      <c r="DP49" s="87" t="n"/>
      <c r="DQ49" s="87" t="n"/>
      <c r="DR49" s="87" t="n"/>
    </row>
    <row r="50" ht="12.75" customHeight="1" s="623">
      <c r="H50" s="676" t="n"/>
      <c r="I50" s="676" t="n"/>
      <c r="P50" s="712" t="n"/>
    </row>
    <row r="51" ht="12.75" customHeight="1" s="623">
      <c r="B51" s="258" t="inlineStr">
        <is>
          <t>表2.3 核对银行回函金额（包括格式一与格式二）与账面金额是否一致</t>
        </is>
      </c>
      <c r="H51" s="676" t="n"/>
      <c r="I51" s="676" t="n"/>
      <c r="P51" s="712" t="n"/>
    </row>
    <row r="52" ht="27.65" customHeight="1" s="623">
      <c r="A52" s="265" t="n"/>
      <c r="B52" s="282" t="inlineStr">
        <is>
          <t xml:space="preserve">账套名称/账套编码 </t>
        </is>
      </c>
      <c r="C52" s="283" t="inlineStr">
        <is>
          <t>承兑银行/回函银行</t>
        </is>
      </c>
      <c r="D52" s="284" t="inlineStr">
        <is>
          <t>回函金额</t>
        </is>
      </c>
      <c r="E52" s="284" t="inlineStr">
        <is>
          <t>账面金额</t>
        </is>
      </c>
      <c r="F52" s="284" t="inlineStr">
        <is>
          <t>索引号</t>
        </is>
      </c>
      <c r="G52" s="284" t="inlineStr">
        <is>
          <t>差异</t>
        </is>
      </c>
      <c r="H52" s="285" t="inlineStr">
        <is>
          <t>差异原因及解释</t>
        </is>
      </c>
      <c r="I52" s="713" t="n"/>
      <c r="J52" s="713" t="n"/>
      <c r="Q52" s="712" t="n"/>
      <c r="CP52" s="87" t="n"/>
      <c r="DP52" s="80" t="n"/>
      <c r="DQ52" s="121" t="n"/>
      <c r="DR52" s="80" t="n"/>
      <c r="DS52" s="83" t="n"/>
    </row>
    <row r="53" ht="12.75" customHeight="1" s="623">
      <c r="B53" s="372" t="n"/>
      <c r="C53" s="373" t="n"/>
      <c r="D53" s="714" t="n"/>
      <c r="E53" s="714" t="n"/>
      <c r="F53" s="374" t="inlineStr">
        <is>
          <t>/M.01&amp;02.01明细账</t>
        </is>
      </c>
      <c r="G53" s="714">
        <f>D53-E53</f>
        <v/>
      </c>
      <c r="H53" s="375" t="n"/>
      <c r="I53" s="676" t="n"/>
      <c r="J53" s="676" t="n"/>
      <c r="Q53" s="712" t="n"/>
      <c r="CP53" s="87" t="n"/>
      <c r="DP53" s="80" t="n"/>
      <c r="DQ53" s="121" t="n"/>
      <c r="DR53" s="80" t="n"/>
      <c r="DS53" s="83" t="n"/>
    </row>
    <row r="54" ht="12.75" customHeight="1" s="623">
      <c r="B54" s="372" t="n"/>
      <c r="C54" s="373" t="n"/>
      <c r="D54" s="714" t="n"/>
      <c r="E54" s="714" t="n"/>
      <c r="F54" s="123" t="n"/>
      <c r="G54" s="714">
        <f>D54-E54</f>
        <v/>
      </c>
      <c r="H54" s="375" t="n"/>
      <c r="I54" s="676" t="n"/>
      <c r="J54" s="676" t="n"/>
      <c r="Q54" s="712" t="n"/>
      <c r="CP54" s="87" t="n"/>
      <c r="DP54" s="80" t="n"/>
      <c r="DQ54" s="121" t="n"/>
      <c r="DR54" s="80" t="n"/>
      <c r="DS54" s="83" t="n"/>
    </row>
    <row r="55" ht="12.75" customHeight="1" s="623">
      <c r="B55" s="372" t="n"/>
      <c r="C55" s="373" t="n"/>
      <c r="D55" s="714" t="n"/>
      <c r="E55" s="714" t="n"/>
      <c r="F55" s="123" t="n"/>
      <c r="G55" s="714">
        <f>D55-E55</f>
        <v/>
      </c>
      <c r="H55" s="375" t="n"/>
      <c r="I55" s="676" t="n"/>
      <c r="J55" s="676" t="n"/>
      <c r="Q55" s="712" t="n"/>
      <c r="CP55" s="87" t="n"/>
      <c r="DP55" s="80" t="n"/>
      <c r="DQ55" s="121" t="n"/>
      <c r="DR55" s="80" t="n"/>
      <c r="DS55" s="83" t="n"/>
    </row>
    <row r="56" ht="12.75" customHeight="1" s="623">
      <c r="B56" s="372" t="n"/>
      <c r="C56" s="373" t="n"/>
      <c r="D56" s="714" t="n"/>
      <c r="E56" s="714" t="n"/>
      <c r="F56" s="123" t="n"/>
      <c r="G56" s="714">
        <f>D56-E56</f>
        <v/>
      </c>
      <c r="H56" s="375" t="n"/>
      <c r="I56" s="676" t="n"/>
      <c r="J56" s="676" t="n"/>
      <c r="Q56" s="712" t="n"/>
      <c r="CP56" s="87" t="n"/>
      <c r="DP56" s="80" t="n"/>
      <c r="DQ56" s="121" t="n"/>
      <c r="DR56" s="80" t="n"/>
      <c r="DS56" s="83" t="n"/>
    </row>
    <row r="57" ht="12.75" customHeight="1" s="623" thickBot="1">
      <c r="B57" s="376" t="n"/>
      <c r="C57" s="377" t="n"/>
      <c r="D57" s="715" t="n"/>
      <c r="E57" s="715" t="n"/>
      <c r="F57" s="343" t="n"/>
      <c r="G57" s="715">
        <f>D57-E57</f>
        <v/>
      </c>
      <c r="H57" s="378" t="n"/>
      <c r="I57" s="676" t="n"/>
      <c r="J57" s="676" t="n"/>
      <c r="Q57" s="712" t="n"/>
      <c r="CP57" s="87" t="n"/>
      <c r="DP57" s="80" t="n"/>
      <c r="DQ57" s="121" t="n"/>
      <c r="DR57" s="80" t="n"/>
      <c r="DS57" s="83" t="n"/>
    </row>
    <row r="58" ht="12.75" customHeight="1" s="623">
      <c r="I58" s="122" t="n"/>
      <c r="Q58" s="712" t="n"/>
      <c r="CP58" s="87" t="n"/>
      <c r="DP58" s="80" t="n"/>
      <c r="DQ58" s="121" t="n"/>
      <c r="DR58" s="80" t="n"/>
      <c r="DS58" s="83" t="n"/>
    </row>
    <row r="59" ht="12.75" customHeight="1" s="623" thickBot="1">
      <c r="B59" s="259" t="inlineStr">
        <is>
          <t>表2.4 对表2.2中测试项目涉及的承兑银行，执行EY测试属性3和4，并记录测试结论于下表</t>
        </is>
      </c>
      <c r="C59" s="129" t="n"/>
      <c r="D59" s="122" t="n"/>
      <c r="E59" s="122" t="n"/>
      <c r="F59" s="260" t="n"/>
      <c r="G59" s="122" t="n"/>
      <c r="H59" s="122" t="n"/>
      <c r="I59" s="122" t="n"/>
      <c r="J59" s="122" t="n"/>
      <c r="K59" s="122" t="n"/>
      <c r="L59" s="122" t="n"/>
      <c r="M59" s="122" t="n"/>
      <c r="Q59" s="712" t="n"/>
      <c r="CP59" s="87" t="n"/>
      <c r="CQ59" s="87" t="n"/>
      <c r="DP59" s="80" t="n"/>
      <c r="DR59" s="121" t="n"/>
      <c r="DS59" s="80" t="n"/>
      <c r="DT59" s="83" t="n"/>
    </row>
    <row r="60" ht="14.15" customFormat="1" customHeight="1" s="117">
      <c r="A60" s="163" t="n"/>
      <c r="B60" s="583" t="inlineStr">
        <is>
          <t>EY测试属性类别</t>
        </is>
      </c>
      <c r="C60" s="596" t="inlineStr">
        <is>
          <t xml:space="preserve">账套名称/账套编码 </t>
        </is>
      </c>
      <c r="D60" s="585" t="inlineStr">
        <is>
          <t>承兑银行/出具实体</t>
        </is>
      </c>
      <c r="E60" s="585" t="inlineStr">
        <is>
          <t>票据金额</t>
        </is>
      </c>
      <c r="F60" s="585" t="inlineStr">
        <is>
          <t>索引号</t>
        </is>
      </c>
      <c r="G60" s="585" t="inlineStr">
        <is>
          <t>开票方式</t>
        </is>
      </c>
      <c r="H60" s="585" t="inlineStr">
        <is>
          <t>授信额度或担保金额</t>
        </is>
      </c>
      <c r="I60" s="585" t="inlineStr">
        <is>
          <t>开票协议或抵质押协议约定的比例</t>
        </is>
      </c>
      <c r="J60" s="591" t="inlineStr">
        <is>
          <t>用于质押的资产账面价值</t>
        </is>
      </c>
      <c r="K60" s="645" t="n"/>
      <c r="L60" s="645" t="n"/>
      <c r="M60" s="645" t="n"/>
      <c r="N60" s="645" t="n"/>
      <c r="O60" s="716" t="n"/>
      <c r="P60" s="598" t="inlineStr">
        <is>
          <t>质押水平是否符合约定</t>
        </is>
      </c>
      <c r="Q60" s="717" t="inlineStr">
        <is>
          <t>EY Works</t>
        </is>
      </c>
      <c r="R60" s="718" t="n"/>
      <c r="S60" s="587" t="inlineStr">
        <is>
          <t>质押水平不符合约定的原因</t>
        </is>
      </c>
      <c r="T60" s="719" t="n"/>
      <c r="X60" s="129" t="n"/>
      <c r="Y60" s="129" t="n"/>
      <c r="CX60" s="269" t="n"/>
      <c r="CY60" s="269" t="n"/>
      <c r="CZ60" s="269" t="n"/>
      <c r="DA60" s="269" t="n"/>
      <c r="DB60" s="269" t="n"/>
      <c r="DC60" s="269" t="n"/>
      <c r="DD60" s="269" t="n"/>
      <c r="DE60" s="269" t="n"/>
      <c r="DF60" s="269" t="n"/>
      <c r="DG60" s="269" t="n"/>
      <c r="DH60" s="269" t="n"/>
      <c r="DI60" s="269" t="n"/>
      <c r="DJ60" s="269" t="n"/>
      <c r="DK60" s="269" t="n"/>
      <c r="DL60" s="269" t="n"/>
      <c r="DM60" s="269" t="n"/>
      <c r="DN60" s="269" t="n"/>
      <c r="DO60" s="269" t="n"/>
      <c r="DP60" s="269" t="n"/>
      <c r="DQ60" s="269" t="n"/>
      <c r="DR60" s="269" t="n"/>
      <c r="DS60" s="269" t="n"/>
      <c r="DT60" s="269" t="n"/>
      <c r="DU60" s="269" t="n"/>
      <c r="DV60" s="269" t="n"/>
      <c r="DW60" s="269" t="n"/>
      <c r="DX60" s="270" t="n"/>
      <c r="DY60" s="269" t="n"/>
      <c r="DZ60" s="271" t="n"/>
    </row>
    <row r="61" ht="28.5" customFormat="1" customHeight="1" s="275">
      <c r="A61" s="254" t="n"/>
      <c r="B61" s="720" t="n"/>
      <c r="C61" s="721" t="n"/>
      <c r="D61" s="722" t="n"/>
      <c r="E61" s="722" t="n"/>
      <c r="F61" s="722" t="n"/>
      <c r="G61" s="722" t="n"/>
      <c r="H61" s="722" t="n"/>
      <c r="I61" s="722" t="n"/>
      <c r="J61" s="272" t="inlineStr">
        <is>
          <t>用于质押开票的保证金账面价值</t>
        </is>
      </c>
      <c r="K61" s="272" t="inlineStr">
        <is>
          <t>用于质押开票的结构性存款账面价值</t>
        </is>
      </c>
      <c r="L61" s="272" t="inlineStr">
        <is>
          <t>用于质押开票的理财产品账面价值</t>
        </is>
      </c>
      <c r="M61" s="273" t="inlineStr">
        <is>
          <t>用于质押开票的应收票据账面价值</t>
        </is>
      </c>
      <c r="N61" s="273" t="inlineStr">
        <is>
          <t>其他</t>
        </is>
      </c>
      <c r="O61" s="273" t="inlineStr">
        <is>
          <t>小计</t>
        </is>
      </c>
      <c r="P61" s="723" t="n"/>
      <c r="Q61" s="724" t="n">
        <v>3</v>
      </c>
      <c r="R61" s="725" t="n">
        <v>4</v>
      </c>
      <c r="S61" s="726" t="n"/>
      <c r="T61" s="719" t="n"/>
      <c r="U61" s="117" t="n"/>
      <c r="V61" s="117" t="n"/>
      <c r="W61" s="117" t="n"/>
      <c r="X61" s="274" t="n"/>
      <c r="Y61" s="274" t="n"/>
      <c r="CZ61" s="276" t="n"/>
      <c r="DA61" s="276" t="n"/>
      <c r="DB61" s="276" t="n"/>
      <c r="DC61" s="276" t="n"/>
      <c r="DD61" s="276" t="n"/>
      <c r="DE61" s="276" t="n"/>
      <c r="DF61" s="276" t="n"/>
      <c r="DG61" s="276" t="n"/>
      <c r="DH61" s="276" t="n"/>
      <c r="DI61" s="276" t="n"/>
      <c r="DJ61" s="276" t="n"/>
      <c r="DK61" s="276" t="n"/>
      <c r="DL61" s="276" t="n"/>
      <c r="DM61" s="276" t="n"/>
      <c r="DN61" s="276" t="n"/>
      <c r="DO61" s="276" t="n"/>
      <c r="DP61" s="276" t="n"/>
      <c r="DQ61" s="276" t="n"/>
      <c r="DR61" s="276" t="n"/>
      <c r="DS61" s="276" t="n"/>
      <c r="DT61" s="276" t="n"/>
      <c r="DU61" s="276" t="n"/>
      <c r="DV61" s="276" t="n"/>
      <c r="DW61" s="276" t="n"/>
      <c r="DX61" s="276" t="n"/>
      <c r="DY61" s="276" t="n"/>
      <c r="DZ61" s="277" t="n"/>
      <c r="EA61" s="276" t="n"/>
      <c r="EB61" s="278" t="n"/>
    </row>
    <row r="62" ht="18.75" customFormat="1" customHeight="1" s="117">
      <c r="A62" s="163" t="n"/>
      <c r="B62" s="727" t="n"/>
      <c r="C62" s="728" t="n"/>
      <c r="D62" s="729" t="n"/>
      <c r="E62" s="729" t="n"/>
      <c r="F62" s="729" t="n"/>
      <c r="G62" s="729" t="n"/>
      <c r="H62" s="729" t="n"/>
      <c r="I62" s="729" t="n"/>
      <c r="J62" s="279" t="inlineStr">
        <is>
          <t>C 货币资金</t>
        </is>
      </c>
      <c r="K62" s="279" t="inlineStr">
        <is>
          <t>【/D200_结构性存款】</t>
        </is>
      </c>
      <c r="L62" s="279" t="inlineStr">
        <is>
          <t>【/D200_银行理财产品】</t>
        </is>
      </c>
      <c r="M62" s="280" t="inlineStr">
        <is>
          <t>E2E3</t>
        </is>
      </c>
      <c r="N62" s="280" t="inlineStr">
        <is>
          <t>根据实际情况填列</t>
        </is>
      </c>
      <c r="O62" s="638" t="n"/>
      <c r="P62" s="638" t="n"/>
      <c r="Q62" s="670" t="n"/>
      <c r="R62" s="730" t="n"/>
      <c r="S62" s="731" t="n"/>
      <c r="T62" s="719" t="n"/>
      <c r="X62" s="732" t="n"/>
      <c r="Y62" s="732" t="n"/>
      <c r="CZ62" s="269" t="n"/>
      <c r="DA62" s="269" t="n"/>
      <c r="DB62" s="269" t="n"/>
      <c r="DC62" s="269" t="n"/>
      <c r="DD62" s="269" t="n"/>
      <c r="DE62" s="269" t="n"/>
      <c r="DF62" s="269" t="n"/>
      <c r="DG62" s="269" t="n"/>
      <c r="DH62" s="269" t="n"/>
      <c r="DI62" s="269" t="n"/>
      <c r="DJ62" s="269" t="n"/>
      <c r="DK62" s="269" t="n"/>
      <c r="DL62" s="269" t="n"/>
      <c r="DM62" s="269" t="n"/>
      <c r="DN62" s="269" t="n"/>
      <c r="DO62" s="269" t="n"/>
      <c r="DP62" s="269" t="n"/>
      <c r="DQ62" s="269" t="n"/>
      <c r="DR62" s="269" t="n"/>
      <c r="DS62" s="269" t="n"/>
      <c r="DT62" s="269" t="n"/>
      <c r="DU62" s="269" t="n"/>
      <c r="DV62" s="269" t="n"/>
      <c r="DW62" s="269" t="n"/>
      <c r="DX62" s="269" t="n"/>
      <c r="DY62" s="269" t="n"/>
      <c r="DZ62" s="270" t="n"/>
      <c r="EA62" s="269" t="n"/>
      <c r="EB62" s="271" t="n"/>
    </row>
    <row r="63" ht="12.75" customHeight="1" s="623">
      <c r="B63" s="393" t="n"/>
      <c r="C63" s="486" t="n"/>
      <c r="D63" s="415" t="n"/>
      <c r="E63" s="733" t="n"/>
      <c r="F63" s="370" t="inlineStr">
        <is>
          <t>/M.01&amp;02.01明细账</t>
        </is>
      </c>
      <c r="G63" s="384" t="n"/>
      <c r="H63" s="734" t="n"/>
      <c r="I63" s="399" t="n"/>
      <c r="J63" s="735" t="n"/>
      <c r="K63" s="735" t="n"/>
      <c r="L63" s="735" t="n"/>
      <c r="M63" s="735" t="n"/>
      <c r="N63" s="735" t="n"/>
      <c r="O63" s="736">
        <f>SUM(J63:N63)</f>
        <v/>
      </c>
      <c r="P63" s="402">
        <f>IF(B63=3,"不适用",IF(E63="","",IF(O63&gt;=E63*I63,"是","否")))</f>
        <v/>
      </c>
      <c r="Q63" s="384" t="n"/>
      <c r="R63" s="384" t="n"/>
      <c r="S63" s="228" t="n"/>
      <c r="T63" s="712" t="n"/>
      <c r="X63" s="737" t="n"/>
      <c r="Y63" s="737" t="n"/>
      <c r="CP63" s="87" t="n"/>
      <c r="CQ63" s="87" t="n"/>
      <c r="CR63" s="87" t="n"/>
      <c r="CS63" s="87" t="n"/>
      <c r="CT63" s="87" t="n"/>
      <c r="CU63" s="87" t="n"/>
      <c r="CV63" s="87" t="n"/>
      <c r="CW63" s="87" t="n"/>
      <c r="CX63" s="87" t="n"/>
      <c r="DP63" s="80" t="n"/>
      <c r="DR63" s="80" t="n"/>
      <c r="DS63" s="80" t="n"/>
      <c r="DT63" s="80" t="n"/>
      <c r="DU63" s="80" t="n"/>
      <c r="DV63" s="80" t="n"/>
      <c r="DW63" s="80" t="n"/>
      <c r="DX63" s="80" t="n"/>
      <c r="DY63" s="121" t="n"/>
      <c r="DZ63" s="80" t="n"/>
      <c r="EA63" s="83" t="n"/>
    </row>
    <row r="64" ht="12.75" customHeight="1" s="623">
      <c r="B64" s="393" t="n"/>
      <c r="C64" s="486" t="n"/>
      <c r="D64" s="415" t="n"/>
      <c r="E64" s="733" t="n"/>
      <c r="F64" s="370" t="n"/>
      <c r="G64" s="384" t="n"/>
      <c r="H64" s="734" t="n"/>
      <c r="I64" s="399" t="n"/>
      <c r="J64" s="735" t="n"/>
      <c r="K64" s="735" t="n"/>
      <c r="L64" s="735" t="n"/>
      <c r="M64" s="735" t="n"/>
      <c r="N64" s="735" t="n"/>
      <c r="O64" s="736">
        <f>SUM(J64:N64)</f>
        <v/>
      </c>
      <c r="P64" s="402">
        <f>IF(B64=3,"不适用",IF(E64="","",IF(O64&gt;=E64*I64,"是","否")))</f>
        <v/>
      </c>
      <c r="Q64" s="384" t="n"/>
      <c r="R64" s="384" t="n"/>
      <c r="S64" s="228" t="n"/>
      <c r="T64" s="712" t="n"/>
      <c r="X64" s="737" t="n"/>
      <c r="Y64" s="737" t="n"/>
      <c r="CP64" s="87" t="n"/>
      <c r="CQ64" s="87" t="n"/>
      <c r="CR64" s="87" t="n"/>
      <c r="CS64" s="87" t="n"/>
      <c r="CT64" s="87" t="n"/>
      <c r="CU64" s="87" t="n"/>
      <c r="CV64" s="87" t="n"/>
      <c r="CW64" s="87" t="n"/>
      <c r="CX64" s="87" t="n"/>
      <c r="DP64" s="80" t="n"/>
      <c r="DR64" s="80" t="n"/>
      <c r="DS64" s="80" t="n"/>
      <c r="DT64" s="80" t="n"/>
      <c r="DU64" s="80" t="n"/>
      <c r="DV64" s="80" t="n"/>
      <c r="DW64" s="80" t="n"/>
      <c r="DX64" s="80" t="n"/>
      <c r="DY64" s="121" t="n"/>
      <c r="DZ64" s="80" t="n"/>
      <c r="EA64" s="83" t="n"/>
    </row>
    <row r="65" ht="12.75" customHeight="1" s="623">
      <c r="B65" s="393" t="n"/>
      <c r="C65" s="486" t="n"/>
      <c r="D65" s="415" t="n"/>
      <c r="E65" s="733" t="n"/>
      <c r="F65" s="370" t="n"/>
      <c r="G65" s="384" t="n"/>
      <c r="H65" s="734" t="n"/>
      <c r="I65" s="403" t="n"/>
      <c r="J65" s="738" t="n"/>
      <c r="K65" s="738" t="n"/>
      <c r="L65" s="738" t="n"/>
      <c r="M65" s="738" t="n"/>
      <c r="N65" s="739" t="n"/>
      <c r="O65" s="740">
        <f>SUM(J65:N65)</f>
        <v/>
      </c>
      <c r="P65" s="402">
        <f>IF(B65=3,"不适用",IF(E65="","",IF(O65&gt;=E65*I65,"是","否")))</f>
        <v/>
      </c>
      <c r="Q65" s="384" t="n"/>
      <c r="R65" s="384" t="n"/>
      <c r="S65" s="228" t="n"/>
      <c r="T65" s="712" t="n"/>
      <c r="X65" s="737" t="n"/>
      <c r="Y65" s="737" t="n"/>
      <c r="CP65" s="87" t="n"/>
      <c r="CQ65" s="87" t="n"/>
      <c r="CR65" s="87" t="n"/>
      <c r="CS65" s="87" t="n"/>
      <c r="CT65" s="87" t="n"/>
      <c r="CU65" s="87" t="n"/>
      <c r="CV65" s="87" t="n"/>
      <c r="CW65" s="87" t="n"/>
      <c r="CX65" s="87" t="n"/>
      <c r="DP65" s="80" t="n"/>
      <c r="DR65" s="80" t="n"/>
      <c r="DS65" s="80" t="n"/>
      <c r="DT65" s="80" t="n"/>
      <c r="DU65" s="80" t="n"/>
      <c r="DV65" s="80" t="n"/>
      <c r="DW65" s="80" t="n"/>
      <c r="DX65" s="80" t="n"/>
      <c r="DY65" s="121" t="n"/>
      <c r="DZ65" s="80" t="n"/>
      <c r="EA65" s="83" t="n"/>
    </row>
    <row r="66" ht="12.75" customHeight="1" s="623">
      <c r="B66" s="393" t="n"/>
      <c r="C66" s="486" t="n"/>
      <c r="D66" s="415" t="n"/>
      <c r="E66" s="733" t="n"/>
      <c r="F66" s="370" t="n"/>
      <c r="G66" s="384" t="n"/>
      <c r="H66" s="734" t="n"/>
      <c r="I66" s="403" t="n"/>
      <c r="J66" s="733" t="n"/>
      <c r="K66" s="733" t="n"/>
      <c r="L66" s="733" t="n"/>
      <c r="M66" s="733" t="n"/>
      <c r="N66" s="741" t="n"/>
      <c r="O66" s="736">
        <f>SUM(J66:N66)</f>
        <v/>
      </c>
      <c r="P66" s="402">
        <f>IF(B66=3,"不适用",IF(E66="","",IF(O66&gt;=E66*I66,"是","否")))</f>
        <v/>
      </c>
      <c r="Q66" s="384" t="n"/>
      <c r="R66" s="384" t="n"/>
      <c r="S66" s="228" t="n"/>
      <c r="T66" s="712" t="n"/>
      <c r="X66" s="737" t="n"/>
      <c r="Y66" s="737" t="n"/>
      <c r="CP66" s="87" t="n"/>
      <c r="CQ66" s="87" t="n"/>
      <c r="CR66" s="87" t="n"/>
      <c r="CS66" s="87" t="n"/>
      <c r="CT66" s="87" t="n"/>
      <c r="CU66" s="87" t="n"/>
      <c r="CV66" s="87" t="n"/>
      <c r="CW66" s="87" t="n"/>
      <c r="CX66" s="87" t="n"/>
      <c r="DP66" s="80" t="n"/>
      <c r="DR66" s="80" t="n"/>
      <c r="DS66" s="80" t="n"/>
      <c r="DT66" s="80" t="n"/>
      <c r="DU66" s="80" t="n"/>
      <c r="DV66" s="80" t="n"/>
      <c r="DW66" s="80" t="n"/>
      <c r="DX66" s="80" t="n"/>
      <c r="DY66" s="121" t="n"/>
      <c r="DZ66" s="80" t="n"/>
      <c r="EA66" s="83" t="n"/>
    </row>
    <row r="67" ht="12.75" customHeight="1" s="623" thickBot="1">
      <c r="B67" s="395" t="n"/>
      <c r="C67" s="416" t="n"/>
      <c r="D67" s="396" t="n"/>
      <c r="E67" s="742" t="n"/>
      <c r="F67" s="743" t="n"/>
      <c r="G67" s="408" t="n"/>
      <c r="H67" s="744" t="n"/>
      <c r="I67" s="410" t="n"/>
      <c r="J67" s="745" t="n"/>
      <c r="K67" s="745" t="n"/>
      <c r="L67" s="745" t="n"/>
      <c r="M67" s="745" t="n"/>
      <c r="N67" s="746" t="n"/>
      <c r="O67" s="747">
        <f>SUM(J67:N67)</f>
        <v/>
      </c>
      <c r="P67" s="414">
        <f>IF(B67=3,"不适用",IF(E67="","",IF(O67&gt;=E67*I67,"是","否")))</f>
        <v/>
      </c>
      <c r="Q67" s="408" t="n"/>
      <c r="R67" s="408" t="n"/>
      <c r="S67" s="229" t="n"/>
      <c r="T67" s="712" t="n"/>
      <c r="X67" s="737" t="n"/>
      <c r="Y67" s="737" t="n"/>
      <c r="CP67" s="87" t="n"/>
      <c r="CQ67" s="87" t="n"/>
      <c r="CR67" s="87" t="n"/>
      <c r="CS67" s="87" t="n"/>
      <c r="CT67" s="87" t="n"/>
      <c r="CU67" s="87" t="n"/>
      <c r="CV67" s="87" t="n"/>
      <c r="CW67" s="87" t="n"/>
      <c r="DP67" s="80" t="n"/>
      <c r="DR67" s="80" t="n"/>
      <c r="DS67" s="80" t="n"/>
      <c r="DT67" s="80" t="n"/>
      <c r="DU67" s="80" t="n"/>
      <c r="DV67" s="80" t="n"/>
      <c r="DW67" s="80" t="n"/>
      <c r="DX67" s="121" t="n"/>
      <c r="DY67" s="80" t="n"/>
      <c r="DZ67" s="83" t="n"/>
    </row>
    <row r="68" ht="12.75" customFormat="1" customHeight="1" s="122">
      <c r="A68" s="200" t="n"/>
      <c r="B68" s="200" t="n"/>
      <c r="C68" s="200" t="n"/>
      <c r="D68" s="200" t="n"/>
      <c r="E68" s="200" t="n"/>
      <c r="F68" s="200" t="n"/>
      <c r="G68" s="200" t="n"/>
      <c r="H68" s="200" t="n"/>
      <c r="I68" s="200" t="n"/>
      <c r="J68" s="200" t="n"/>
      <c r="K68" s="200" t="n"/>
      <c r="L68" s="200" t="n"/>
      <c r="M68" s="200" t="n"/>
      <c r="N68" s="200" t="n"/>
      <c r="O68" s="200" t="n"/>
      <c r="P68" s="200" t="n"/>
      <c r="Q68" s="712" t="n"/>
      <c r="R68" s="87" t="n"/>
      <c r="S68" s="87" t="n"/>
      <c r="T68" s="87" t="n"/>
      <c r="U68" s="737" t="n"/>
      <c r="V68" s="737" t="n"/>
      <c r="CU68" s="80" t="n"/>
      <c r="CV68" s="80" t="n"/>
      <c r="CW68" s="80" t="n"/>
      <c r="CX68" s="80" t="n"/>
      <c r="CY68" s="80" t="n"/>
      <c r="CZ68" s="80" t="n"/>
      <c r="DA68" s="80" t="n"/>
      <c r="DB68" s="80" t="n"/>
      <c r="DC68" s="80" t="n"/>
      <c r="DD68" s="80" t="n"/>
      <c r="DE68" s="80" t="n"/>
      <c r="DF68" s="80" t="n"/>
      <c r="DG68" s="80" t="n"/>
      <c r="DH68" s="80" t="n"/>
      <c r="DI68" s="80" t="n"/>
      <c r="DJ68" s="80" t="n"/>
      <c r="DK68" s="80" t="n"/>
      <c r="DL68" s="80" t="n"/>
      <c r="DM68" s="80" t="n"/>
      <c r="DN68" s="80" t="n"/>
      <c r="DO68" s="80" t="n"/>
      <c r="DP68" s="80" t="n"/>
      <c r="DQ68" s="80" t="n"/>
      <c r="DR68" s="80" t="n"/>
      <c r="DS68" s="80" t="n"/>
      <c r="DT68" s="80" t="n"/>
      <c r="DU68" s="121" t="n"/>
      <c r="DV68" s="80" t="n"/>
      <c r="DW68" s="83" t="n"/>
    </row>
  </sheetData>
  <mergeCells count="25">
    <mergeCell ref="P41:P42"/>
    <mergeCell ref="C9:E9"/>
    <mergeCell ref="I60:I62"/>
    <mergeCell ref="G60:G62"/>
    <mergeCell ref="C11:E11"/>
    <mergeCell ref="S60:S62"/>
    <mergeCell ref="C8:E8"/>
    <mergeCell ref="D60:D62"/>
    <mergeCell ref="F60:F62"/>
    <mergeCell ref="C7:E7"/>
    <mergeCell ref="P60:P62"/>
    <mergeCell ref="Q60:R60"/>
    <mergeCell ref="Q61:Q62"/>
    <mergeCell ref="O61:O62"/>
    <mergeCell ref="R41:R42"/>
    <mergeCell ref="E60:E62"/>
    <mergeCell ref="R61:R62"/>
    <mergeCell ref="B24:F26"/>
    <mergeCell ref="Q41:Q42"/>
    <mergeCell ref="B60:B62"/>
    <mergeCell ref="H60:H62"/>
    <mergeCell ref="J60:O60"/>
    <mergeCell ref="B36:F38"/>
    <mergeCell ref="C60:C62"/>
    <mergeCell ref="C10:E10"/>
  </mergeCells>
  <conditionalFormatting sqref="B36:B37 B53:G53 B54:E57 G54:G57">
    <cfRule type="containsBlanks" priority="33" dxfId="0">
      <formula>LEN(TRIM(B36))=0</formula>
    </cfRule>
  </conditionalFormatting>
  <conditionalFormatting sqref="B16:C18">
    <cfRule type="containsBlanks" priority="36" dxfId="0">
      <formula>LEN(TRIM(B16))=0</formula>
    </cfRule>
  </conditionalFormatting>
  <conditionalFormatting sqref="B63:E67">
    <cfRule type="containsBlanks" priority="4" dxfId="0">
      <formula>LEN(TRIM(B63))=0</formula>
    </cfRule>
  </conditionalFormatting>
  <conditionalFormatting sqref="B24:F26">
    <cfRule type="containsBlanks" priority="15" dxfId="0">
      <formula>LEN(TRIM(B24))=0</formula>
    </cfRule>
  </conditionalFormatting>
  <conditionalFormatting sqref="B43:O49">
    <cfRule type="containsBlanks" priority="26" dxfId="0">
      <formula>LEN(TRIM(B43))=0</formula>
    </cfRule>
  </conditionalFormatting>
  <conditionalFormatting sqref="D17:D18">
    <cfRule type="containsBlanks" priority="13" dxfId="0">
      <formula>LEN(TRIM(D17))=0</formula>
    </cfRule>
  </conditionalFormatting>
  <conditionalFormatting sqref="F16:F18">
    <cfRule type="containsBlanks" priority="16" dxfId="0">
      <formula>LEN(TRIM(F16))=0</formula>
    </cfRule>
  </conditionalFormatting>
  <conditionalFormatting sqref="G63:R67">
    <cfRule type="containsBlanks" priority="3" dxfId="0">
      <formula>LEN(TRIM(G63))=0</formula>
    </cfRule>
  </conditionalFormatting>
  <conditionalFormatting sqref="N43:N49">
    <cfRule type="expression" priority="20" dxfId="1">
      <formula>B43=2</formula>
    </cfRule>
  </conditionalFormatting>
  <conditionalFormatting sqref="O43:O49">
    <cfRule type="expression" priority="19" dxfId="1">
      <formula>B43=1</formula>
    </cfRule>
  </conditionalFormatting>
  <conditionalFormatting sqref="Q43:Q49">
    <cfRule type="expression" priority="22" dxfId="1">
      <formula>B43=1</formula>
    </cfRule>
  </conditionalFormatting>
  <conditionalFormatting sqref="Q63:Q67">
    <cfRule type="expression" priority="2" dxfId="1">
      <formula>B63=4</formula>
    </cfRule>
  </conditionalFormatting>
  <conditionalFormatting sqref="F8:H11 R43:R49">
    <cfRule type="containsBlanks" priority="37" dxfId="0">
      <formula>LEN(TRIM(F8))=0</formula>
    </cfRule>
  </conditionalFormatting>
  <conditionalFormatting sqref="R43:R49">
    <cfRule type="expression" priority="21" dxfId="1">
      <formula>B43=2</formula>
    </cfRule>
  </conditionalFormatting>
  <conditionalFormatting sqref="R63:R67">
    <cfRule type="expression" priority="1" dxfId="1">
      <formula>B63=3</formula>
    </cfRule>
  </conditionalFormatting>
  <dataValidations count="6">
    <dataValidation sqref="G8:G11" showDropDown="0" showInputMessage="1" showErrorMessage="0" allowBlank="1" type="list">
      <formula1>"是,否"</formula1>
    </dataValidation>
    <dataValidation sqref="N43:O49 Q63:R67" showDropDown="0" showInputMessage="1" showErrorMessage="0" allowBlank="1" type="list">
      <formula1>"Y,N"</formula1>
    </dataValidation>
    <dataValidation sqref="H8:H11" showDropDown="0" showInputMessage="1" showErrorMessage="0" allowBlank="1" type="list">
      <formula1>"是,不适用"</formula1>
    </dataValidation>
    <dataValidation sqref="B43:B49" showDropDown="0" showInputMessage="1" showErrorMessage="0" allowBlank="1" type="list">
      <formula1>"1,2"</formula1>
    </dataValidation>
    <dataValidation sqref="B63:B67" showDropDown="0" showInputMessage="1" showErrorMessage="0" allowBlank="1" type="list">
      <formula1>"3,4"</formula1>
    </dataValidation>
    <dataValidation sqref="G63:G67 L43:L49" showDropDown="0" showInputMessage="1" showErrorMessage="0" allowBlank="1" type="list">
      <formula1>"使用授信,第三方担保,保证金,抵押/质押（不含保证金）,其他"</formula1>
    </dataValidation>
  </dataValidations>
  <hyperlinks>
    <hyperlink ref="I2" location="汇总!A1" display="返回汇总页"/>
  </hyperlinks>
  <pageMargins left="0.7479166" right="0.7479166" top="0.9840278" bottom="0.9840278" header="0.5118055" footer="0.5118055"/>
  <pageSetup orientation="landscape" paperSize="9" errors="blank"/>
</worksheet>
</file>

<file path=xl/worksheets/sheet4.xml><?xml version="1.0" encoding="utf-8"?>
<worksheet xmlns="http://schemas.openxmlformats.org/spreadsheetml/2006/main">
  <sheetPr>
    <outlinePr summaryBelow="1" summaryRight="1"/>
    <pageSetUpPr/>
  </sheetPr>
  <dimension ref="A1:DU56"/>
  <sheetViews>
    <sheetView showGridLines="0" zoomScale="70" zoomScaleNormal="70" workbookViewId="0">
      <selection activeCell="K8" sqref="K8"/>
    </sheetView>
  </sheetViews>
  <sheetFormatPr baseColWidth="8" defaultColWidth="7.33203125" defaultRowHeight="12.75" customHeight="1" outlineLevelRow="1"/>
  <cols>
    <col width="2.33203125" customWidth="1" style="163" min="1" max="1"/>
    <col width="17.75" customWidth="1" style="87" min="2" max="2"/>
    <col width="20.75" customWidth="1" style="87" min="3" max="3"/>
    <col width="21" customWidth="1" style="87" min="4" max="4"/>
    <col width="24.75" customWidth="1" style="87" min="5" max="5"/>
    <col width="41.83203125" customWidth="1" style="87" min="6" max="6"/>
    <col width="20.08203125" customWidth="1" style="87" min="7" max="7"/>
    <col width="15.83203125" customWidth="1" style="87" min="8" max="8"/>
    <col width="15.33203125" customWidth="1" style="87" min="9" max="9"/>
    <col width="11.08203125" customWidth="1" style="87" min="10" max="10"/>
    <col width="12.5" customWidth="1" style="87" min="11" max="11"/>
    <col width="13.75" customWidth="1" style="87" min="12" max="12"/>
    <col width="16.33203125" customWidth="1" style="87" min="13" max="13"/>
    <col width="13.75" customWidth="1" style="87" min="14" max="17"/>
    <col width="13.5" customWidth="1" style="87" min="18" max="18"/>
    <col width="12.75" customWidth="1" style="87" min="19" max="19"/>
    <col width="10.75" customWidth="1" style="87" min="20" max="20"/>
    <col width="13.33203125" customWidth="1" style="87" min="21" max="23"/>
    <col width="7.33203125" customWidth="1" style="87" min="24" max="34"/>
    <col width="7.33203125" customWidth="1" style="87" min="35" max="92"/>
    <col width="13.08203125" customWidth="1" style="80" min="93" max="93"/>
    <col width="7.33203125" customWidth="1" style="80" min="94" max="104"/>
    <col width="14.33203125" customWidth="1" style="80" min="105" max="105"/>
    <col width="7.33203125" customWidth="1" style="80" min="106" max="111"/>
    <col width="10.33203125" customWidth="1" style="80" min="112" max="112"/>
    <col width="7.33203125" customWidth="1" style="80" min="113" max="116"/>
    <col width="10.08203125" customWidth="1" style="80" min="117" max="117"/>
    <col width="12.33203125" customWidth="1" style="80" min="118" max="118"/>
    <col width="7.33203125" customWidth="1" style="121" min="119" max="119"/>
    <col width="7.33203125" customWidth="1" style="80" min="120" max="120"/>
    <col width="7.33203125" customWidth="1" style="83" min="121" max="121"/>
    <col width="7.33203125" customWidth="1" style="87" min="122" max="16384"/>
  </cols>
  <sheetData>
    <row r="1" ht="12.75" customFormat="1" customHeight="1" s="35">
      <c r="A1" s="138" t="inlineStr">
        <is>
          <t>b6608b9d-b253-4083-acb9-34fceb03f01b</t>
        </is>
      </c>
      <c r="CF1" s="80" t="n"/>
      <c r="CG1" s="80" t="n"/>
      <c r="CH1" s="80" t="n"/>
      <c r="CI1" s="80" t="n"/>
      <c r="CJ1" s="80" t="n"/>
      <c r="CK1" s="80" t="n"/>
      <c r="CL1" s="80" t="n"/>
      <c r="CM1" s="80" t="n"/>
      <c r="CN1" s="80" t="n"/>
      <c r="CO1" s="80" t="n"/>
      <c r="CP1" s="80" t="n"/>
      <c r="CQ1" s="80" t="n"/>
      <c r="CR1" s="80" t="n"/>
      <c r="CS1" s="80" t="n"/>
      <c r="CT1" s="80" t="n"/>
      <c r="CU1" s="80" t="n"/>
      <c r="CV1" s="80" t="n"/>
      <c r="CW1" s="80" t="n"/>
      <c r="CX1" s="80" t="n"/>
      <c r="CY1" s="80" t="n"/>
      <c r="CZ1" s="80" t="n"/>
      <c r="DA1" s="80" t="n"/>
      <c r="DB1" s="80" t="n"/>
      <c r="DC1" s="80" t="n"/>
      <c r="DD1" s="80" t="n"/>
      <c r="DE1" s="80" t="n"/>
      <c r="DF1" s="82" t="n"/>
      <c r="DG1" s="80" t="n"/>
      <c r="DH1" s="83" t="n"/>
    </row>
    <row r="2" ht="12.75" customFormat="1" customHeight="1" s="35">
      <c r="A2" s="162" t="n"/>
      <c r="I2" s="47" t="inlineStr">
        <is>
          <t>返回汇总页</t>
        </is>
      </c>
      <c r="CH2" s="80" t="n"/>
      <c r="CI2" s="80" t="n"/>
      <c r="CJ2" s="80" t="n"/>
      <c r="CK2" s="80" t="n"/>
      <c r="CL2" s="80" t="n"/>
      <c r="CM2" s="80" t="n"/>
      <c r="CN2" s="80" t="n"/>
      <c r="CO2" s="80" t="n"/>
      <c r="CP2" s="80" t="n"/>
      <c r="CQ2" s="80" t="n"/>
      <c r="CR2" s="80" t="n"/>
      <c r="CS2" s="80" t="n"/>
      <c r="CT2" s="80" t="n"/>
      <c r="CU2" s="80" t="n"/>
      <c r="CV2" s="80" t="n"/>
      <c r="CW2" s="80" t="n"/>
      <c r="CX2" s="80" t="n"/>
      <c r="CY2" s="80" t="n"/>
      <c r="CZ2" s="80" t="n"/>
      <c r="DA2" s="80" t="n"/>
      <c r="DB2" s="80" t="n"/>
      <c r="DC2" s="80" t="n"/>
      <c r="DD2" s="80" t="n"/>
      <c r="DE2" s="80" t="n"/>
      <c r="DF2" s="80" t="n"/>
      <c r="DG2" s="80" t="n"/>
      <c r="DH2" s="82" t="n"/>
      <c r="DI2" s="80" t="n"/>
      <c r="DJ2" s="83" t="n"/>
    </row>
    <row r="3" ht="12.75" customHeight="1" s="623" thickBot="1">
      <c r="CO3" s="79" t="n"/>
      <c r="CP3" s="88" t="n"/>
      <c r="CQ3" s="88" t="n"/>
      <c r="CZ3" s="88" t="n"/>
      <c r="DG3" s="88" t="n"/>
      <c r="DH3" s="89" t="n"/>
      <c r="DI3" s="90" t="n"/>
      <c r="DJ3" s="91" t="n"/>
      <c r="DK3" s="91" t="n"/>
      <c r="DL3" s="88" t="n"/>
      <c r="DN3" s="81" t="n"/>
    </row>
    <row r="4" ht="20" customHeight="1" s="623">
      <c r="B4" s="95" t="inlineStr">
        <is>
          <t xml:space="preserve">目标 </t>
        </is>
      </c>
      <c r="C4" s="96" t="n"/>
      <c r="D4" s="96" t="n"/>
      <c r="E4" s="96" t="n"/>
      <c r="F4" s="96" t="n"/>
      <c r="G4" s="96" t="n"/>
      <c r="H4" s="96" t="n"/>
      <c r="I4" s="97" t="n"/>
      <c r="J4" s="94" t="n"/>
      <c r="K4" s="94" t="n"/>
      <c r="L4" s="94" t="n"/>
      <c r="M4" s="94" t="n"/>
      <c r="N4" s="94" t="n"/>
      <c r="O4" s="98" t="n"/>
      <c r="P4" s="98" t="n"/>
      <c r="Q4" s="94" t="n"/>
      <c r="R4" s="94" t="n"/>
      <c r="S4" s="94" t="n"/>
      <c r="CO4" s="87" t="n"/>
      <c r="CP4" s="87" t="n"/>
      <c r="CQ4" s="87" t="n"/>
      <c r="CR4" s="88" t="n"/>
      <c r="CS4" s="88" t="n"/>
      <c r="CT4" s="88" t="n"/>
      <c r="DC4" s="88" t="n"/>
      <c r="DI4" s="88" t="n"/>
      <c r="DJ4" s="88" t="n"/>
      <c r="DK4" s="88" t="n"/>
      <c r="DL4" s="88" t="n"/>
      <c r="DM4" s="88" t="n"/>
      <c r="DN4" s="88" t="n"/>
      <c r="DO4" s="88" t="n"/>
      <c r="DP4" s="88" t="n"/>
      <c r="DQ4" s="88" t="n"/>
      <c r="DR4" s="121" t="n"/>
      <c r="DS4" s="88" t="n"/>
      <c r="DT4" s="88" t="n"/>
    </row>
    <row r="5" ht="20.15" customHeight="1" s="623">
      <c r="B5" s="168" t="inlineStr">
        <is>
          <t>复核应付票据_商业承兑汇票金额、期限、抵押品等支持性文件，并执行函证程序。</t>
        </is>
      </c>
      <c r="C5" s="99" t="n"/>
      <c r="D5" s="99" t="n"/>
      <c r="E5" s="99" t="n"/>
      <c r="F5" s="99" t="n"/>
      <c r="G5" s="99" t="n"/>
      <c r="H5" s="99" t="n"/>
      <c r="I5" s="100" t="n"/>
      <c r="J5" s="94" t="n"/>
      <c r="K5" s="94" t="n"/>
      <c r="L5" s="94" t="n"/>
      <c r="M5" s="94" t="n"/>
      <c r="N5" s="94" t="n"/>
      <c r="O5" s="98" t="n"/>
      <c r="P5" s="98" t="n"/>
      <c r="Q5" s="94" t="n"/>
      <c r="R5" s="94" t="n"/>
      <c r="S5" s="94" t="n"/>
      <c r="CO5" s="87" t="n"/>
      <c r="CP5" s="87" t="n"/>
      <c r="CQ5" s="87" t="n"/>
      <c r="CR5" s="98" t="n"/>
      <c r="CS5" s="98" t="n"/>
      <c r="CT5" s="688" t="n"/>
      <c r="CU5" s="85" t="n"/>
      <c r="CV5" s="85" t="n"/>
      <c r="CW5" s="85" t="n"/>
      <c r="CX5" s="85" t="n"/>
      <c r="CY5" s="85" t="n"/>
      <c r="CZ5" s="85" t="n"/>
      <c r="DA5" s="85" t="n"/>
      <c r="DB5" s="85" t="n"/>
      <c r="DC5" s="98" t="n"/>
      <c r="DD5" s="85" t="n"/>
      <c r="DE5" s="85" t="n"/>
      <c r="DF5" s="85" t="n"/>
      <c r="DG5" s="85" t="n"/>
      <c r="DH5" s="85" t="n"/>
      <c r="DI5" s="98" t="n"/>
      <c r="DJ5" s="98" t="n"/>
      <c r="DK5" s="98" t="n"/>
      <c r="DL5" s="98" t="n"/>
      <c r="DM5" s="98" t="n"/>
      <c r="DN5" s="98" t="n"/>
      <c r="DO5" s="98" t="n"/>
      <c r="DP5" s="98" t="n"/>
      <c r="DQ5" s="98" t="n"/>
      <c r="DR5" s="102" t="n"/>
      <c r="DS5" s="98" t="n"/>
      <c r="DT5" s="98" t="n"/>
    </row>
    <row r="6" ht="12.75" customHeight="1" s="623">
      <c r="B6" s="103" t="n"/>
      <c r="C6" s="99" t="n"/>
      <c r="D6" s="99" t="n"/>
      <c r="E6" s="99" t="n"/>
      <c r="F6" s="99" t="n"/>
      <c r="G6" s="99" t="n"/>
      <c r="H6" s="99" t="n"/>
      <c r="I6" s="100" t="n"/>
      <c r="J6" s="94" t="n"/>
      <c r="K6" s="94" t="n"/>
      <c r="L6" s="94" t="n"/>
      <c r="M6" s="94" t="n"/>
      <c r="N6" s="94" t="n"/>
      <c r="O6" s="98" t="n"/>
      <c r="P6" s="98" t="n"/>
      <c r="Q6" s="94" t="n"/>
      <c r="R6" s="94" t="n"/>
      <c r="S6" s="94" t="n"/>
      <c r="CO6" s="87" t="n"/>
      <c r="CP6" s="87" t="n"/>
      <c r="CQ6" s="87" t="n"/>
      <c r="CR6" s="98" t="n"/>
      <c r="CS6" s="688" t="n"/>
      <c r="CT6" s="688" t="n"/>
      <c r="CU6" s="85" t="n"/>
      <c r="CV6" s="85" t="n"/>
      <c r="CW6" s="85" t="n"/>
      <c r="CX6" s="85" t="n"/>
      <c r="CY6" s="85" t="n"/>
      <c r="CZ6" s="85" t="n"/>
      <c r="DA6" s="85" t="n"/>
      <c r="DB6" s="85" t="n"/>
      <c r="DC6" s="688" t="n"/>
      <c r="DD6" s="85" t="n"/>
      <c r="DE6" s="85" t="n"/>
      <c r="DF6" s="85" t="n"/>
      <c r="DG6" s="85" t="n"/>
      <c r="DH6" s="85" t="n"/>
      <c r="DI6" s="688" t="n"/>
      <c r="DJ6" s="98" t="n"/>
      <c r="DK6" s="98" t="n"/>
      <c r="DL6" s="98" t="n"/>
      <c r="DM6" s="98" t="n"/>
      <c r="DN6" s="98" t="n"/>
      <c r="DO6" s="688" t="n"/>
      <c r="DP6" s="688" t="n"/>
      <c r="DQ6" s="688" t="n"/>
      <c r="DR6" s="104" t="n"/>
      <c r="DS6" s="98" t="n"/>
      <c r="DT6" s="98" t="n"/>
    </row>
    <row r="7" ht="20" customHeight="1" s="623">
      <c r="B7" s="59" t="inlineStr">
        <is>
          <t>序号</t>
        </is>
      </c>
      <c r="C7" s="647" t="inlineStr">
        <is>
          <t>执行的程序</t>
        </is>
      </c>
      <c r="D7" s="648" t="n"/>
      <c r="E7" s="649" t="n"/>
      <c r="F7" s="60" t="inlineStr">
        <is>
          <t>程序表</t>
        </is>
      </c>
      <c r="G7" s="60" t="inlineStr">
        <is>
          <t>预审完成</t>
        </is>
      </c>
      <c r="H7" s="60" t="inlineStr">
        <is>
          <t>年审完成</t>
        </is>
      </c>
      <c r="I7" s="61" t="inlineStr">
        <is>
          <t>执行注意事项</t>
        </is>
      </c>
      <c r="J7" s="94" t="n"/>
      <c r="K7" s="94" t="n"/>
      <c r="L7" s="94" t="n"/>
      <c r="M7" s="94" t="n"/>
      <c r="N7" s="94" t="n"/>
      <c r="O7" s="98" t="n"/>
      <c r="P7" s="98" t="n"/>
      <c r="Q7" s="94" t="n"/>
      <c r="R7" s="94" t="n"/>
      <c r="S7" s="94" t="n"/>
      <c r="CO7" s="87" t="n"/>
      <c r="CP7" s="87" t="n"/>
      <c r="CQ7" s="87" t="n"/>
      <c r="CR7" s="105" t="n"/>
      <c r="CS7" s="688" t="n"/>
      <c r="CT7" s="106" t="n"/>
      <c r="CU7" s="85" t="n"/>
      <c r="CV7" s="85" t="n"/>
      <c r="CW7" s="85" t="n"/>
      <c r="CX7" s="85" t="n"/>
      <c r="CY7" s="85" t="n"/>
      <c r="CZ7" s="85" t="n"/>
      <c r="DA7" s="85" t="n"/>
      <c r="DB7" s="85" t="n"/>
      <c r="DC7" s="688" t="n"/>
      <c r="DD7" s="85" t="n"/>
      <c r="DE7" s="85" t="n"/>
      <c r="DF7" s="85" t="n"/>
      <c r="DG7" s="85" t="n"/>
      <c r="DH7" s="85" t="n"/>
      <c r="DI7" s="688" t="n"/>
      <c r="DJ7" s="105" t="n"/>
      <c r="DK7" s="105" t="n"/>
      <c r="DL7" s="105" t="n"/>
      <c r="DM7" s="105" t="n"/>
      <c r="DN7" s="105" t="n"/>
      <c r="DO7" s="688" t="n"/>
      <c r="DP7" s="688" t="n"/>
      <c r="DQ7" s="688" t="n"/>
      <c r="DR7" s="104" t="n"/>
      <c r="DS7" s="105" t="n"/>
      <c r="DT7" s="105" t="n"/>
    </row>
    <row r="8" outlineLevel="1" ht="102.65" customHeight="1" s="623">
      <c r="B8" s="107" t="n">
        <v>1</v>
      </c>
      <c r="C8" s="602" t="inlineStr">
        <is>
          <t>取得商业承兑汇票明细表，将明细表期末总金额与商业承兑汇票总账核对一致。复核利息费用和应付利息计算的合理性（如适用）。</t>
        </is>
      </c>
      <c r="D8" s="648" t="n"/>
      <c r="E8" s="649" t="n"/>
      <c r="F8" s="390" t="inlineStr">
        <is>
          <t>M.01&amp;02.01明细账及表1</t>
        </is>
      </c>
      <c r="G8" s="391" t="n"/>
      <c r="H8" s="391" t="n"/>
      <c r="I8" s="84" t="n"/>
      <c r="J8" s="94" t="n"/>
      <c r="K8" s="94" t="n"/>
      <c r="L8" s="94" t="n"/>
      <c r="M8" s="108" t="n"/>
      <c r="N8" s="108" t="n"/>
      <c r="O8" s="94" t="n"/>
      <c r="P8" s="94" t="n"/>
      <c r="Q8" s="94" t="n"/>
      <c r="R8" s="94" t="n"/>
      <c r="CO8" s="87" t="n"/>
      <c r="CP8" s="105" t="n"/>
      <c r="CQ8" s="106" t="n"/>
      <c r="CR8" s="106" t="n"/>
      <c r="CS8" s="85" t="n"/>
      <c r="CT8" s="85" t="n"/>
      <c r="CU8" s="85" t="n"/>
      <c r="CV8" s="85" t="n"/>
      <c r="CW8" s="85" t="n"/>
      <c r="CX8" s="85" t="n"/>
      <c r="CY8" s="85" t="n"/>
      <c r="CZ8" s="85" t="n"/>
      <c r="DA8" s="106" t="n"/>
      <c r="DB8" s="85" t="n"/>
      <c r="DC8" s="85" t="n"/>
      <c r="DD8" s="85" t="n"/>
      <c r="DE8" s="85" t="n"/>
      <c r="DF8" s="85" t="n"/>
      <c r="DG8" s="106" t="n"/>
      <c r="DH8" s="688" t="n"/>
      <c r="DI8" s="688" t="n"/>
      <c r="DJ8" s="688" t="n"/>
      <c r="DK8" s="688" t="n"/>
      <c r="DL8" s="688" t="n"/>
      <c r="DM8" s="106" t="n"/>
      <c r="DN8" s="106" t="n"/>
      <c r="DO8" s="106" t="n"/>
      <c r="DP8" s="102" t="n"/>
      <c r="DQ8" s="105" t="n"/>
      <c r="DR8" s="109" t="n"/>
    </row>
    <row r="9" outlineLevel="1" ht="102.65" customHeight="1" s="623">
      <c r="B9" s="110" t="n">
        <v>2</v>
      </c>
      <c r="C9" s="602" t="inlineStr">
        <is>
          <t>通过中国人民银行指定的票据服务机构（如：上海票据交易所），选择"票据承兑人信用信息披露查询（查询字段为：承兑人名称/统一社会信用代码）"功能，查询资产负债表日的票据承兑人信用信息详情，检查承兑余额、逾期余额（如有），是否与商业承兑汇票总账金额一致，如有差异，调查差异原因。</t>
        </is>
      </c>
      <c r="D9" s="648" t="n"/>
      <c r="E9" s="649" t="n"/>
      <c r="F9" s="392" t="inlineStr">
        <is>
          <t>表2</t>
        </is>
      </c>
      <c r="G9" s="391" t="n"/>
      <c r="H9" s="391" t="n"/>
      <c r="I9" s="84" t="n"/>
      <c r="J9" s="94" t="n"/>
      <c r="K9" s="94" t="n"/>
      <c r="L9" s="94" t="n"/>
      <c r="M9" s="108" t="n"/>
      <c r="N9" s="108" t="n"/>
      <c r="O9" s="94" t="n"/>
      <c r="P9" s="94" t="n"/>
      <c r="Q9" s="94" t="n"/>
      <c r="R9" s="94" t="n"/>
      <c r="CO9" s="87" t="n"/>
      <c r="CP9" s="688" t="n"/>
      <c r="CQ9" s="106" t="n"/>
      <c r="CR9" s="106" t="n"/>
      <c r="CS9" s="85" t="n"/>
      <c r="CT9" s="85" t="n"/>
      <c r="CU9" s="85" t="n"/>
      <c r="CV9" s="85" t="n"/>
      <c r="CW9" s="85" t="n"/>
      <c r="CX9" s="85" t="n"/>
      <c r="CY9" s="85" t="n"/>
      <c r="CZ9" s="85" t="n"/>
      <c r="DA9" s="106" t="n"/>
      <c r="DB9" s="85" t="n"/>
      <c r="DC9" s="85" t="n"/>
      <c r="DD9" s="85" t="n"/>
      <c r="DE9" s="85" t="n"/>
      <c r="DF9" s="85" t="n"/>
      <c r="DG9" s="106" t="n"/>
      <c r="DH9" s="106" t="n"/>
      <c r="DI9" s="106" t="n"/>
      <c r="DJ9" s="106" t="n"/>
      <c r="DK9" s="106" t="n"/>
      <c r="DL9" s="106" t="n"/>
      <c r="DM9" s="106" t="n"/>
      <c r="DN9" s="106" t="n"/>
      <c r="DO9" s="106" t="n"/>
      <c r="DP9" s="102" t="n"/>
      <c r="DQ9" s="688" t="n"/>
      <c r="DR9" s="689" t="n"/>
    </row>
    <row r="10" outlineLevel="1" ht="102.65" customHeight="1" s="623">
      <c r="B10" s="112" t="n">
        <v>3</v>
      </c>
      <c r="C10" s="602" t="inlineStr">
        <is>
          <t>根据明细账（票据台账），选取重大或异常的单张票据，过中国人民银行指定的票据服务机构（如：上海票据交易所），选择"票据承兑信息披露查询（查询字段为：票据（包）号码）"功能，查询票据承兑信息详情，检查其是否与明细账（票据台账）信息一致，如有差异，调查差异原因。</t>
        </is>
      </c>
      <c r="D10" s="648" t="n"/>
      <c r="E10" s="649" t="n"/>
      <c r="F10" s="392" t="inlineStr">
        <is>
          <t>表3.1及表3.2</t>
        </is>
      </c>
      <c r="G10" s="391" t="n"/>
      <c r="H10" s="391" t="n"/>
      <c r="I10" s="84" t="n"/>
      <c r="J10" s="94" t="n"/>
      <c r="K10" s="94" t="n"/>
      <c r="L10" s="94" t="n"/>
      <c r="M10" s="108" t="n"/>
      <c r="N10" s="108" t="n"/>
      <c r="O10" s="94" t="n"/>
      <c r="P10" s="94" t="n"/>
      <c r="Q10" s="94" t="n"/>
      <c r="R10" s="94" t="n"/>
      <c r="CO10" s="87" t="n"/>
      <c r="CP10" s="688" t="n"/>
      <c r="CQ10" s="106" t="n"/>
      <c r="CR10" s="106" t="n"/>
      <c r="CS10" s="85" t="n"/>
      <c r="CT10" s="85" t="n"/>
      <c r="CU10" s="85" t="n"/>
      <c r="CV10" s="85" t="n"/>
      <c r="CW10" s="85" t="n"/>
      <c r="CX10" s="85" t="n"/>
      <c r="CY10" s="85" t="n"/>
      <c r="CZ10" s="85" t="n"/>
      <c r="DA10" s="106" t="n"/>
      <c r="DB10" s="85" t="n"/>
      <c r="DC10" s="85" t="n"/>
      <c r="DD10" s="85" t="n"/>
      <c r="DE10" s="85" t="n"/>
      <c r="DF10" s="85" t="n"/>
      <c r="DG10" s="106" t="n"/>
      <c r="DH10" s="106" t="n"/>
      <c r="DI10" s="106" t="n"/>
      <c r="DJ10" s="106" t="n"/>
      <c r="DK10" s="106" t="n"/>
      <c r="DL10" s="106" t="n"/>
      <c r="DM10" s="106" t="n"/>
      <c r="DN10" s="106" t="n"/>
      <c r="DO10" s="106" t="n"/>
      <c r="DP10" s="102" t="n"/>
      <c r="DQ10" s="688" t="n"/>
      <c r="DR10" s="689" t="n"/>
    </row>
    <row r="11" outlineLevel="1" ht="102.65" customHeight="1" s="623">
      <c r="B11" s="110" t="n">
        <v>4</v>
      </c>
      <c r="C11" s="602" t="inlineStr">
        <is>
          <t>根据应付票据_商业承兑汇票明细表，获取逾期商业承兑汇票的信息，选取样本对逾期商业承兑汇票未支付事项进行调查，查看逾期未支付的商业承兑汇票是否应当转入应付账款（如适用）。</t>
        </is>
      </c>
      <c r="D11" s="648" t="n"/>
      <c r="E11" s="649" t="n"/>
      <c r="F11" s="392" t="inlineStr">
        <is>
          <t>表3.1及表3.2</t>
        </is>
      </c>
      <c r="G11" s="391" t="n"/>
      <c r="H11" s="391" t="n"/>
      <c r="I11" s="84" t="n"/>
      <c r="J11" s="94" t="n"/>
      <c r="K11" s="94" t="n"/>
      <c r="L11" s="94" t="n"/>
      <c r="M11" s="108" t="n"/>
      <c r="N11" s="108" t="n"/>
      <c r="O11" s="94" t="n"/>
      <c r="P11" s="94" t="n"/>
      <c r="Q11" s="94" t="n"/>
      <c r="R11" s="94" t="n"/>
      <c r="CO11" s="87" t="n"/>
      <c r="CP11" s="106" t="n"/>
      <c r="CQ11" s="106" t="n"/>
      <c r="CR11" s="106" t="n"/>
      <c r="CS11" s="85" t="n"/>
      <c r="CT11" s="85" t="n"/>
      <c r="CU11" s="85" t="n"/>
      <c r="CV11" s="85" t="n"/>
      <c r="CW11" s="85" t="n"/>
      <c r="CX11" s="85" t="n"/>
      <c r="CY11" s="85" t="n"/>
      <c r="CZ11" s="85" t="n"/>
      <c r="DA11" s="106" t="n"/>
      <c r="DB11" s="85" t="n"/>
      <c r="DC11" s="85" t="n"/>
      <c r="DD11" s="85" t="n"/>
      <c r="DE11" s="85" t="n"/>
      <c r="DF11" s="85" t="n"/>
      <c r="DG11" s="106" t="n"/>
      <c r="DH11" s="106" t="n"/>
      <c r="DI11" s="106" t="n"/>
      <c r="DJ11" s="106" t="n"/>
      <c r="DK11" s="106" t="n"/>
      <c r="DL11" s="106" t="n"/>
      <c r="DM11" s="106" t="n"/>
      <c r="DN11" s="106" t="n"/>
      <c r="DO11" s="106" t="n"/>
      <c r="DP11" s="102" t="n"/>
      <c r="DQ11" s="106" t="n"/>
      <c r="DR11" s="113" t="n"/>
    </row>
    <row r="12" ht="12.75" customHeight="1" s="623" thickBot="1">
      <c r="B12" s="114" t="n"/>
      <c r="C12" s="115" t="n"/>
      <c r="D12" s="115" t="n"/>
      <c r="E12" s="115" t="n"/>
      <c r="F12" s="115" t="n"/>
      <c r="G12" s="115" t="n"/>
      <c r="H12" s="115" t="n"/>
      <c r="I12" s="116" t="n"/>
      <c r="J12" s="94" t="n"/>
      <c r="K12" s="94" t="n"/>
      <c r="L12" s="94" t="n"/>
      <c r="M12" s="94" t="n"/>
      <c r="N12" s="94" t="n"/>
      <c r="O12" s="94" t="n"/>
      <c r="P12" s="94" t="n"/>
      <c r="Q12" s="94" t="n"/>
      <c r="R12" s="94" t="n"/>
      <c r="S12" s="94" t="n"/>
      <c r="T12" s="94" t="n"/>
      <c r="U12" s="94" t="n"/>
      <c r="V12" s="94" t="n"/>
      <c r="W12" s="94" t="n"/>
      <c r="X12" s="94" t="n"/>
      <c r="Y12" s="94" t="n"/>
      <c r="Z12" s="94" t="n"/>
      <c r="AA12" s="94" t="n"/>
      <c r="AB12" s="94" t="n"/>
      <c r="CO12" s="87" t="n"/>
      <c r="CP12" s="87" t="n"/>
      <c r="CQ12" s="87" t="n"/>
      <c r="CR12" s="106" t="n"/>
      <c r="CS12" s="98" t="n"/>
      <c r="CT12" s="98" t="n"/>
      <c r="CU12" s="85" t="n"/>
      <c r="CV12" s="85" t="n"/>
      <c r="CW12" s="85" t="n"/>
      <c r="CX12" s="85" t="n"/>
      <c r="CY12" s="85" t="n"/>
      <c r="CZ12" s="85" t="n"/>
      <c r="DA12" s="85" t="n"/>
      <c r="DB12" s="85" t="n"/>
      <c r="DC12" s="98" t="n"/>
      <c r="DD12" s="85" t="n"/>
      <c r="DE12" s="85" t="n"/>
      <c r="DF12" s="85" t="n"/>
      <c r="DG12" s="85" t="n"/>
      <c r="DH12" s="85" t="n"/>
      <c r="DI12" s="98" t="n"/>
      <c r="DJ12" s="98" t="n"/>
      <c r="DK12" s="98" t="n"/>
      <c r="DL12" s="98" t="n"/>
      <c r="DM12" s="98" t="n"/>
      <c r="DN12" s="98" t="n"/>
      <c r="DO12" s="98" t="n"/>
      <c r="DP12" s="98" t="n"/>
      <c r="DQ12" s="98" t="n"/>
      <c r="DR12" s="102" t="n"/>
      <c r="DS12" s="106" t="n"/>
      <c r="DT12" s="113" t="n"/>
    </row>
    <row r="13" ht="12.75" customHeight="1" s="623">
      <c r="B13" s="8" t="n"/>
      <c r="C13" s="117" t="n"/>
      <c r="D13" s="117" t="n"/>
      <c r="E13" s="117" t="n"/>
      <c r="F13" s="117" t="n"/>
      <c r="G13" s="94" t="n"/>
      <c r="H13" s="94" t="n"/>
      <c r="I13" s="94" t="n"/>
      <c r="J13" s="94" t="n"/>
      <c r="K13" s="94" t="n"/>
      <c r="L13" s="94" t="n"/>
      <c r="M13" s="94" t="n"/>
      <c r="N13" s="94" t="n"/>
      <c r="O13" s="94" t="n"/>
      <c r="P13" s="94" t="n"/>
      <c r="Q13" s="94" t="n"/>
      <c r="R13" s="94" t="n"/>
      <c r="S13" s="94" t="n"/>
      <c r="T13" s="94" t="n"/>
      <c r="U13" s="94" t="n"/>
      <c r="V13" s="94" t="n"/>
      <c r="W13" s="94" t="n"/>
      <c r="X13" s="94" t="n"/>
      <c r="Y13" s="94" t="n"/>
      <c r="CO13" s="87" t="n"/>
      <c r="CP13" s="98" t="n"/>
      <c r="CQ13" s="98" t="n"/>
      <c r="CR13" s="98" t="n"/>
      <c r="CS13" s="85" t="n"/>
      <c r="CT13" s="85" t="n"/>
      <c r="CU13" s="85" t="n"/>
      <c r="CV13" s="85" t="n"/>
      <c r="CW13" s="85" t="n"/>
      <c r="CX13" s="85" t="n"/>
      <c r="CY13" s="85" t="n"/>
      <c r="CZ13" s="85" t="n"/>
      <c r="DA13" s="98" t="n"/>
      <c r="DB13" s="85" t="n"/>
      <c r="DC13" s="85" t="n"/>
      <c r="DD13" s="85" t="n"/>
      <c r="DE13" s="85" t="n"/>
      <c r="DF13" s="85" t="n"/>
      <c r="DG13" s="98" t="n"/>
      <c r="DH13" s="98" t="n"/>
      <c r="DI13" s="98" t="n"/>
      <c r="DJ13" s="98" t="n"/>
      <c r="DK13" s="98" t="n"/>
      <c r="DL13" s="98" t="n"/>
      <c r="DM13" s="98" t="n"/>
      <c r="DN13" s="98" t="n"/>
      <c r="DO13" s="98" t="n"/>
      <c r="DP13" s="102" t="n"/>
      <c r="DQ13" s="98" t="n"/>
      <c r="DR13" s="98" t="n"/>
    </row>
    <row r="14" ht="15" customFormat="1" customHeight="1" s="192" thickBot="1">
      <c r="B14" s="250" t="inlineStr">
        <is>
          <t>表1 将明细账与总账核对一致</t>
        </is>
      </c>
      <c r="H14" s="194" t="n"/>
      <c r="I14" s="194" t="n"/>
      <c r="J14" s="193" t="n"/>
      <c r="K14" s="194" t="n"/>
      <c r="L14" s="94" t="n"/>
      <c r="M14" s="94" t="n"/>
      <c r="N14" s="94" t="n"/>
      <c r="O14" s="94" t="n"/>
    </row>
    <row r="15" ht="33.75" customFormat="1" customHeight="1" s="192">
      <c r="B15" s="348" t="inlineStr">
        <is>
          <t xml:space="preserve">账套名称/账套编码 </t>
        </is>
      </c>
      <c r="C15" s="346" t="inlineStr">
        <is>
          <t>科目名称</t>
        </is>
      </c>
      <c r="D15" s="349" t="inlineStr">
        <is>
          <t>Lead页余额</t>
        </is>
      </c>
      <c r="E15" s="346" t="inlineStr">
        <is>
          <t>索引号</t>
        </is>
      </c>
      <c r="F15" s="346" t="inlineStr">
        <is>
          <t>明细账余额</t>
        </is>
      </c>
      <c r="G15" s="346" t="inlineStr">
        <is>
          <t>明细账索引</t>
        </is>
      </c>
      <c r="H15" s="347" t="inlineStr">
        <is>
          <t>差异重新计算
（Note1）</t>
        </is>
      </c>
      <c r="I15" s="193" t="n"/>
      <c r="K15" s="94" t="n"/>
      <c r="L15" s="94" t="n"/>
      <c r="M15" s="94" t="n"/>
      <c r="N15" s="94" t="n"/>
    </row>
    <row r="16" ht="15" customFormat="1" customHeight="1" s="192">
      <c r="B16" s="222" t="n"/>
      <c r="C16" s="195" t="n"/>
      <c r="D16" s="690">
        <f>'M.00 Lead'!F26</f>
        <v/>
      </c>
      <c r="E16" s="196" t="inlineStr">
        <is>
          <t xml:space="preserve">/M.00 </t>
        </is>
      </c>
      <c r="F16" s="691" t="n"/>
      <c r="G16" s="196" t="inlineStr">
        <is>
          <t>/M.01&amp;02.01明细账</t>
        </is>
      </c>
      <c r="H16" s="748">
        <f>D16-F16</f>
        <v/>
      </c>
      <c r="I16" s="193" t="n"/>
      <c r="K16" s="94" t="n"/>
      <c r="L16" s="94" t="n"/>
      <c r="M16" s="94" t="n"/>
      <c r="N16" s="94" t="n"/>
    </row>
    <row r="17" ht="15" customFormat="1" customHeight="1" s="192">
      <c r="B17" s="222" t="n"/>
      <c r="C17" s="195" t="n"/>
      <c r="D17" s="690" t="n"/>
      <c r="E17" s="423" t="n"/>
      <c r="F17" s="691" t="n"/>
      <c r="G17" s="423" t="n"/>
      <c r="H17" s="748">
        <f>D17-F17</f>
        <v/>
      </c>
      <c r="I17" s="193" t="n"/>
      <c r="K17" s="94" t="n"/>
      <c r="L17" s="94" t="n"/>
      <c r="M17" s="94" t="n"/>
      <c r="N17" s="94" t="n"/>
    </row>
    <row r="18" ht="15" customFormat="1" customHeight="1" s="192" thickBot="1">
      <c r="B18" s="224" t="n"/>
      <c r="C18" s="227" t="n"/>
      <c r="D18" s="749" t="n"/>
      <c r="E18" s="424" t="n"/>
      <c r="F18" s="750" t="n"/>
      <c r="G18" s="424" t="n"/>
      <c r="H18" s="751">
        <f>D18-F18</f>
        <v/>
      </c>
      <c r="I18" s="193" t="n"/>
      <c r="K18" s="94" t="n"/>
      <c r="L18" s="94" t="n"/>
      <c r="M18" s="94" t="n"/>
      <c r="N18" s="94" t="n"/>
    </row>
    <row r="19" ht="15" customFormat="1" customHeight="1" s="192">
      <c r="B19" s="425" t="n"/>
      <c r="C19" s="425" t="n"/>
      <c r="D19" s="696" t="n"/>
      <c r="E19" s="425" t="n"/>
      <c r="F19" s="696" t="n"/>
      <c r="G19" s="425" t="n"/>
      <c r="H19" s="696" t="n"/>
      <c r="I19" s="193" t="n"/>
      <c r="J19" s="87" t="n"/>
      <c r="K19" s="94" t="n"/>
      <c r="L19" s="94" t="n"/>
      <c r="M19" s="94" t="n"/>
      <c r="N19" s="94" t="n"/>
    </row>
    <row r="20" ht="15" customFormat="1" customHeight="1" s="192" thickBot="1">
      <c r="C20" s="251" t="inlineStr">
        <is>
          <t>合计</t>
        </is>
      </c>
      <c r="D20" s="698">
        <f>SUM(D16:D18)</f>
        <v/>
      </c>
      <c r="E20" s="198" t="n"/>
      <c r="F20" s="698">
        <f>SUM(F16:F18)</f>
        <v/>
      </c>
      <c r="G20" s="752" t="n"/>
      <c r="H20" s="698">
        <f>SUM(H16:H18)</f>
        <v/>
      </c>
      <c r="I20" s="193" t="n"/>
      <c r="J20" s="87" t="n"/>
      <c r="K20" s="94" t="n"/>
      <c r="L20" s="94" t="n"/>
      <c r="M20" s="94" t="n"/>
      <c r="N20" s="94" t="n"/>
    </row>
    <row r="21" ht="15" customFormat="1" customHeight="1" s="192" thickTop="1">
      <c r="C21" s="251" t="n"/>
      <c r="D21" s="194" t="inlineStr">
        <is>
          <t>RX</t>
        </is>
      </c>
      <c r="E21" s="194" t="n"/>
      <c r="F21" s="194" t="inlineStr">
        <is>
          <t>RX</t>
        </is>
      </c>
      <c r="G21" s="194" t="n"/>
      <c r="H21" s="194" t="inlineStr">
        <is>
          <t>RX</t>
        </is>
      </c>
      <c r="I21" s="193" t="n"/>
      <c r="J21" s="87" t="n"/>
      <c r="K21" s="94" t="n"/>
      <c r="L21" s="94" t="n"/>
      <c r="M21" s="94" t="n"/>
      <c r="N21" s="94" t="n"/>
    </row>
    <row r="22" ht="15" customFormat="1" customHeight="1" s="192">
      <c r="C22" s="251" t="n"/>
      <c r="D22" s="251" t="n"/>
      <c r="E22" s="194" t="n"/>
      <c r="F22" s="194" t="n"/>
      <c r="G22" s="194" t="n"/>
      <c r="H22" s="194" t="n"/>
      <c r="I22" s="194" t="n"/>
      <c r="J22" s="193" t="n"/>
      <c r="K22" s="87" t="n"/>
      <c r="L22" s="94" t="n"/>
      <c r="M22" s="94" t="n"/>
      <c r="N22" s="94" t="n"/>
      <c r="O22" s="94" t="n"/>
    </row>
    <row r="23" ht="12.75" customHeight="1" s="623">
      <c r="B23" s="8" t="inlineStr">
        <is>
          <t>Note1：如果总账和明细账差异金额大于SAD请在以下解释差异并执行相应的程序：针对金额大于测试阈值及性质异常的项目我们需进一步进行测试。(如不适用请删除）</t>
        </is>
      </c>
      <c r="C23" s="234" t="n"/>
      <c r="D23" s="234" t="n"/>
      <c r="E23" s="234" t="n"/>
      <c r="F23" s="234" t="n"/>
      <c r="G23" s="94" t="n"/>
      <c r="H23" s="94" t="n"/>
      <c r="I23" s="94" t="n"/>
      <c r="J23" s="94" t="n"/>
      <c r="K23" s="94" t="n"/>
      <c r="L23" s="94" t="n"/>
      <c r="M23" s="94" t="n"/>
      <c r="N23" s="94" t="n"/>
      <c r="O23" s="94" t="n"/>
      <c r="P23" s="94" t="n"/>
      <c r="Q23" s="94" t="n"/>
      <c r="R23" s="94" t="n"/>
      <c r="S23" s="94" t="n"/>
      <c r="T23" s="94" t="n"/>
      <c r="U23" s="94" t="n"/>
      <c r="V23" s="94" t="n"/>
      <c r="W23" s="94" t="n"/>
      <c r="X23" s="94" t="n"/>
      <c r="Y23" s="94" t="n"/>
      <c r="CO23" s="87" t="n"/>
      <c r="CP23" s="98" t="n"/>
      <c r="CQ23" s="98" t="n"/>
      <c r="CR23" s="98" t="n"/>
      <c r="CS23" s="85" t="n"/>
      <c r="CT23" s="85" t="n"/>
      <c r="CU23" s="85" t="n"/>
      <c r="CV23" s="85" t="n"/>
      <c r="CW23" s="85" t="n"/>
      <c r="CX23" s="85" t="n"/>
      <c r="CY23" s="85" t="n"/>
      <c r="CZ23" s="85" t="n"/>
      <c r="DA23" s="98" t="n"/>
      <c r="DB23" s="85" t="n"/>
      <c r="DC23" s="85" t="n"/>
      <c r="DD23" s="85" t="n"/>
      <c r="DE23" s="85" t="n"/>
      <c r="DF23" s="85" t="n"/>
      <c r="DG23" s="98" t="n"/>
      <c r="DH23" s="98" t="n"/>
      <c r="DI23" s="98" t="n"/>
      <c r="DJ23" s="98" t="n"/>
      <c r="DK23" s="98" t="n"/>
      <c r="DL23" s="98" t="n"/>
      <c r="DM23" s="98" t="n"/>
      <c r="DN23" s="98" t="n"/>
      <c r="DO23" s="98" t="n"/>
      <c r="DP23" s="102" t="n"/>
      <c r="DQ23" s="98" t="n"/>
      <c r="DR23" s="98" t="n"/>
    </row>
    <row r="24" ht="12.75" customHeight="1" s="623">
      <c r="B24" s="700" t="n"/>
      <c r="C24" s="681" t="n"/>
      <c r="D24" s="681" t="n"/>
      <c r="E24" s="681" t="n"/>
      <c r="F24" s="682" t="n"/>
      <c r="G24" s="94" t="n"/>
      <c r="H24" s="94" t="n"/>
      <c r="I24" s="94" t="n"/>
      <c r="J24" s="94" t="n"/>
      <c r="K24" s="94" t="n"/>
      <c r="L24" s="94" t="n"/>
      <c r="M24" s="94" t="n"/>
      <c r="N24" s="94" t="n"/>
      <c r="O24" s="94" t="n"/>
      <c r="P24" s="94" t="n"/>
      <c r="Q24" s="94" t="n"/>
      <c r="R24" s="94" t="n"/>
      <c r="S24" s="94" t="n"/>
      <c r="T24" s="94" t="n"/>
      <c r="U24" s="94" t="n"/>
      <c r="V24" s="94" t="n"/>
      <c r="W24" s="94" t="n"/>
      <c r="X24" s="94" t="n"/>
      <c r="Y24" s="94" t="n"/>
      <c r="CO24" s="87" t="n"/>
      <c r="CP24" s="98" t="n"/>
      <c r="CQ24" s="98" t="n"/>
      <c r="CR24" s="98" t="n"/>
      <c r="CS24" s="85" t="n"/>
      <c r="CT24" s="85" t="n"/>
      <c r="CU24" s="85" t="n"/>
      <c r="CV24" s="85" t="n"/>
      <c r="CW24" s="85" t="n"/>
      <c r="CX24" s="85" t="n"/>
      <c r="CY24" s="85" t="n"/>
      <c r="CZ24" s="85" t="n"/>
      <c r="DA24" s="98" t="n"/>
      <c r="DB24" s="85" t="n"/>
      <c r="DC24" s="85" t="n"/>
      <c r="DD24" s="85" t="n"/>
      <c r="DE24" s="85" t="n"/>
      <c r="DF24" s="85" t="n"/>
      <c r="DG24" s="98" t="n"/>
      <c r="DH24" s="98" t="n"/>
      <c r="DI24" s="98" t="n"/>
      <c r="DJ24" s="98" t="n"/>
      <c r="DK24" s="98" t="n"/>
      <c r="DL24" s="98" t="n"/>
      <c r="DM24" s="98" t="n"/>
      <c r="DN24" s="98" t="n"/>
      <c r="DO24" s="98" t="n"/>
      <c r="DP24" s="102" t="n"/>
      <c r="DQ24" s="98" t="n"/>
      <c r="DR24" s="98" t="n"/>
    </row>
    <row r="25" ht="12.75" customHeight="1" s="623">
      <c r="B25" s="683" t="n"/>
      <c r="F25" s="640" t="n"/>
      <c r="G25" s="94" t="n"/>
      <c r="H25" s="94" t="n"/>
      <c r="I25" s="94" t="n"/>
      <c r="J25" s="94" t="n"/>
      <c r="K25" s="94" t="n"/>
      <c r="L25" s="94" t="n"/>
      <c r="M25" s="94" t="n"/>
      <c r="N25" s="94" t="n"/>
      <c r="O25" s="94" t="n"/>
      <c r="P25" s="94" t="n"/>
      <c r="Q25" s="94" t="n"/>
      <c r="R25" s="94" t="n"/>
      <c r="S25" s="94" t="n"/>
      <c r="T25" s="94" t="n"/>
      <c r="U25" s="94" t="n"/>
      <c r="V25" s="94" t="n"/>
      <c r="W25" s="94" t="n"/>
      <c r="X25" s="94" t="n"/>
      <c r="Y25" s="94" t="n"/>
      <c r="CO25" s="87" t="n"/>
      <c r="CP25" s="98" t="n"/>
      <c r="CQ25" s="98" t="n"/>
      <c r="CR25" s="98" t="n"/>
      <c r="CS25" s="85" t="n"/>
      <c r="CT25" s="85" t="n"/>
      <c r="CU25" s="85" t="n"/>
      <c r="CV25" s="85" t="n"/>
      <c r="CW25" s="85" t="n"/>
      <c r="CX25" s="85" t="n"/>
      <c r="CY25" s="85" t="n"/>
      <c r="CZ25" s="85" t="n"/>
      <c r="DA25" s="98" t="n"/>
      <c r="DB25" s="85" t="n"/>
      <c r="DC25" s="85" t="n"/>
      <c r="DD25" s="85" t="n"/>
      <c r="DE25" s="85" t="n"/>
      <c r="DF25" s="85" t="n"/>
      <c r="DG25" s="98" t="n"/>
      <c r="DH25" s="98" t="n"/>
      <c r="DI25" s="98" t="n"/>
      <c r="DJ25" s="98" t="n"/>
      <c r="DK25" s="98" t="n"/>
      <c r="DL25" s="98" t="n"/>
      <c r="DM25" s="98" t="n"/>
      <c r="DN25" s="98" t="n"/>
      <c r="DO25" s="98" t="n"/>
      <c r="DP25" s="102" t="n"/>
      <c r="DQ25" s="98" t="n"/>
      <c r="DR25" s="98" t="n"/>
    </row>
    <row r="26" ht="12.75" customHeight="1" s="623" thickBot="1">
      <c r="B26" s="684" t="n"/>
      <c r="C26" s="685" t="n"/>
      <c r="D26" s="685" t="n"/>
      <c r="E26" s="685" t="n"/>
      <c r="F26" s="686" t="n"/>
      <c r="G26" s="94" t="n"/>
      <c r="H26" s="94" t="n"/>
      <c r="I26" s="94" t="n"/>
      <c r="J26" s="94" t="n"/>
      <c r="K26" s="94" t="n"/>
      <c r="L26" s="94" t="n"/>
      <c r="M26" s="94" t="n"/>
      <c r="N26" s="94" t="n"/>
      <c r="O26" s="94" t="n"/>
      <c r="P26" s="94" t="n"/>
      <c r="Q26" s="94" t="n"/>
      <c r="R26" s="94" t="n"/>
      <c r="S26" s="94" t="n"/>
      <c r="T26" s="94" t="n"/>
      <c r="U26" s="94" t="n"/>
      <c r="V26" s="94" t="n"/>
      <c r="W26" s="94" t="n"/>
      <c r="X26" s="94" t="n"/>
      <c r="Y26" s="94" t="n"/>
      <c r="CO26" s="87" t="n"/>
      <c r="CP26" s="98" t="n"/>
      <c r="CQ26" s="98" t="n"/>
      <c r="CR26" s="98" t="n"/>
      <c r="CS26" s="85" t="n"/>
      <c r="CT26" s="85" t="n"/>
      <c r="CU26" s="85" t="n"/>
      <c r="CV26" s="85" t="n"/>
      <c r="CW26" s="85" t="n"/>
      <c r="CX26" s="85" t="n"/>
      <c r="CY26" s="85" t="n"/>
      <c r="CZ26" s="85" t="n"/>
      <c r="DA26" s="98" t="n"/>
      <c r="DB26" s="85" t="n"/>
      <c r="DC26" s="85" t="n"/>
      <c r="DD26" s="85" t="n"/>
      <c r="DE26" s="85" t="n"/>
      <c r="DF26" s="85" t="n"/>
      <c r="DG26" s="98" t="n"/>
      <c r="DH26" s="98" t="n"/>
      <c r="DI26" s="98" t="n"/>
      <c r="DJ26" s="98" t="n"/>
      <c r="DK26" s="98" t="n"/>
      <c r="DL26" s="98" t="n"/>
      <c r="DM26" s="98" t="n"/>
      <c r="DN26" s="98" t="n"/>
      <c r="DO26" s="98" t="n"/>
      <c r="DP26" s="102" t="n"/>
      <c r="DQ26" s="98" t="n"/>
      <c r="DR26" s="98" t="n"/>
    </row>
    <row r="27" ht="12.75" customHeight="1" s="623">
      <c r="B27" s="117" t="n"/>
      <c r="C27" s="117" t="n"/>
      <c r="D27" s="117" t="n"/>
      <c r="E27" s="117" t="n"/>
      <c r="F27" s="117" t="n"/>
      <c r="G27" s="94" t="n"/>
      <c r="H27" s="94" t="n"/>
      <c r="I27" s="193" t="n"/>
      <c r="J27" s="94" t="n"/>
      <c r="K27" s="94" t="n"/>
      <c r="L27" s="94" t="n"/>
      <c r="M27" s="94" t="n"/>
      <c r="N27" s="94" t="n"/>
      <c r="O27" s="94" t="n"/>
      <c r="P27" s="94" t="n"/>
      <c r="Q27" s="94" t="n"/>
      <c r="R27" s="94" t="n"/>
      <c r="S27" s="94" t="n"/>
      <c r="T27" s="94" t="n"/>
      <c r="U27" s="94" t="n"/>
      <c r="V27" s="94" t="n"/>
      <c r="W27" s="94" t="n"/>
      <c r="X27" s="94" t="n"/>
      <c r="Y27" s="94" t="n"/>
      <c r="CO27" s="87" t="n"/>
      <c r="CP27" s="98" t="n"/>
      <c r="CQ27" s="98" t="n"/>
      <c r="CR27" s="98" t="n"/>
      <c r="CS27" s="85" t="n"/>
      <c r="CT27" s="85" t="n"/>
      <c r="CU27" s="85" t="n"/>
      <c r="CV27" s="85" t="n"/>
      <c r="CW27" s="85" t="n"/>
      <c r="CX27" s="85" t="n"/>
      <c r="CY27" s="85" t="n"/>
      <c r="CZ27" s="85" t="n"/>
      <c r="DA27" s="98" t="n"/>
      <c r="DB27" s="85" t="n"/>
      <c r="DC27" s="85" t="n"/>
      <c r="DD27" s="85" t="n"/>
      <c r="DE27" s="85" t="n"/>
      <c r="DF27" s="85" t="n"/>
      <c r="DG27" s="98" t="n"/>
      <c r="DH27" s="98" t="n"/>
      <c r="DI27" s="98" t="n"/>
      <c r="DJ27" s="98" t="n"/>
      <c r="DK27" s="98" t="n"/>
      <c r="DL27" s="98" t="n"/>
      <c r="DM27" s="98" t="n"/>
      <c r="DN27" s="98" t="n"/>
      <c r="DO27" s="98" t="n"/>
      <c r="DP27" s="102" t="n"/>
      <c r="DQ27" s="98" t="n"/>
      <c r="DR27" s="98" t="n"/>
    </row>
    <row r="28" ht="15" customFormat="1" customHeight="1" s="192">
      <c r="B28" s="250" t="inlineStr">
        <is>
          <t>表2 将账面余额与票据服务机构披露的票据承兑人信用信息详情核对一致</t>
        </is>
      </c>
      <c r="D28" s="194" t="n"/>
      <c r="E28" s="194" t="n"/>
      <c r="F28" s="194" t="n"/>
      <c r="G28" s="194" t="n"/>
      <c r="H28" s="194" t="n"/>
      <c r="I28" s="194" t="n"/>
      <c r="J28" s="194" t="n"/>
      <c r="K28" s="194" t="n"/>
      <c r="L28" s="94" t="n"/>
      <c r="M28" s="94" t="n"/>
      <c r="N28" s="94" t="n"/>
    </row>
    <row r="29" ht="23.15" customFormat="1" customHeight="1" s="192">
      <c r="B29" s="753" t="inlineStr">
        <is>
          <t>票据服务机构披露的承兑信息</t>
        </is>
      </c>
      <c r="C29" s="645" t="n"/>
      <c r="D29" s="754" t="n"/>
      <c r="E29" s="603" t="inlineStr">
        <is>
          <t>账面余额</t>
        </is>
      </c>
      <c r="F29" s="603" t="inlineStr">
        <is>
          <t>差异</t>
        </is>
      </c>
      <c r="G29" s="617" t="inlineStr">
        <is>
          <t>差异原因及解释</t>
        </is>
      </c>
      <c r="K29" s="94" t="n"/>
      <c r="L29" s="94" t="n"/>
      <c r="M29" s="94" t="n"/>
    </row>
    <row r="30" ht="27" customFormat="1" customHeight="1" s="192">
      <c r="B30" s="305" t="inlineStr">
        <is>
          <t>承兑人名称</t>
        </is>
      </c>
      <c r="C30" s="298" t="inlineStr">
        <is>
          <t>承兑余额</t>
        </is>
      </c>
      <c r="D30" s="299" t="inlineStr">
        <is>
          <t>逾期余额
（如有）</t>
        </is>
      </c>
      <c r="E30" s="638" t="n"/>
      <c r="F30" s="638" t="n"/>
      <c r="G30" s="671" t="n"/>
      <c r="K30" s="94" t="n"/>
      <c r="L30" s="94" t="n"/>
      <c r="M30" s="94" t="n"/>
    </row>
    <row r="31" ht="15" customFormat="1" customHeight="1" s="192">
      <c r="B31" s="222" t="n"/>
      <c r="C31" s="755" t="n"/>
      <c r="D31" s="755" t="n"/>
      <c r="E31" s="755" t="n"/>
      <c r="F31" s="755">
        <f>C31-E31</f>
        <v/>
      </c>
      <c r="G31" s="223" t="n"/>
      <c r="K31" s="94" t="n"/>
      <c r="L31" s="94" t="n"/>
      <c r="M31" s="94" t="n"/>
    </row>
    <row r="32" ht="15" customFormat="1" customHeight="1" s="192">
      <c r="B32" s="222" t="n"/>
      <c r="C32" s="755" t="n"/>
      <c r="D32" s="755" t="n"/>
      <c r="E32" s="755" t="n"/>
      <c r="F32" s="755">
        <f>C32-E32</f>
        <v/>
      </c>
      <c r="G32" s="223" t="n"/>
      <c r="K32" s="94" t="n"/>
      <c r="L32" s="94" t="n"/>
      <c r="M32" s="94" t="n"/>
    </row>
    <row r="33" ht="15" customFormat="1" customHeight="1" s="192">
      <c r="B33" s="224" t="n"/>
      <c r="C33" s="756" t="n"/>
      <c r="D33" s="756" t="n"/>
      <c r="E33" s="756" t="n"/>
      <c r="F33" s="756">
        <f>C33-E33</f>
        <v/>
      </c>
      <c r="G33" s="226" t="n"/>
      <c r="K33" s="94" t="n"/>
      <c r="L33" s="94" t="n"/>
      <c r="M33" s="94" t="n"/>
    </row>
    <row r="34" ht="12.75" customHeight="1" s="623">
      <c r="A34" s="87" t="n"/>
      <c r="C34" s="117" t="n"/>
      <c r="D34" s="117" t="n"/>
      <c r="E34" s="117" t="n"/>
      <c r="F34" s="117" t="n"/>
      <c r="G34" s="117" t="n"/>
      <c r="H34" s="94" t="n"/>
      <c r="I34" s="94" t="n"/>
      <c r="J34" s="193" t="n"/>
      <c r="K34" s="94" t="n"/>
      <c r="L34" s="94" t="n"/>
      <c r="M34" s="94" t="n"/>
      <c r="N34" s="94" t="n"/>
      <c r="O34" s="94" t="n"/>
      <c r="P34" s="94" t="n"/>
      <c r="Q34" s="94" t="n"/>
      <c r="R34" s="94" t="n"/>
      <c r="S34" s="94" t="n"/>
      <c r="T34" s="94" t="n"/>
      <c r="U34" s="94" t="n"/>
      <c r="V34" s="94" t="n"/>
      <c r="W34" s="94" t="n"/>
      <c r="X34" s="94" t="n"/>
      <c r="Y34" s="94" t="n"/>
      <c r="Z34" s="94" t="n"/>
      <c r="CO34" s="87" t="n"/>
      <c r="CP34" s="87" t="n"/>
      <c r="CQ34" s="98" t="n"/>
      <c r="CR34" s="98" t="n"/>
      <c r="CS34" s="98" t="n"/>
      <c r="CT34" s="85" t="n"/>
      <c r="CU34" s="85" t="n"/>
      <c r="CV34" s="85" t="n"/>
      <c r="CW34" s="85" t="n"/>
      <c r="CX34" s="85" t="n"/>
      <c r="CY34" s="85" t="n"/>
      <c r="CZ34" s="85" t="n"/>
      <c r="DA34" s="85" t="n"/>
      <c r="DB34" s="98" t="n"/>
      <c r="DC34" s="85" t="n"/>
      <c r="DD34" s="85" t="n"/>
      <c r="DE34" s="85" t="n"/>
      <c r="DF34" s="85" t="n"/>
      <c r="DG34" s="85" t="n"/>
      <c r="DH34" s="98" t="n"/>
      <c r="DI34" s="98" t="n"/>
      <c r="DJ34" s="98" t="n"/>
      <c r="DK34" s="98" t="n"/>
      <c r="DL34" s="98" t="n"/>
      <c r="DM34" s="98" t="n"/>
      <c r="DN34" s="98" t="n"/>
      <c r="DO34" s="98" t="n"/>
      <c r="DP34" s="98" t="n"/>
      <c r="DQ34" s="102" t="n"/>
      <c r="DR34" s="98" t="n"/>
      <c r="DS34" s="98" t="n"/>
    </row>
    <row r="35" ht="12.75" customFormat="1" customHeight="1" s="88" thickBot="1">
      <c r="A35" s="164" t="n"/>
      <c r="B35" s="119" t="n"/>
      <c r="C35" s="119" t="n"/>
      <c r="D35" s="119" t="n"/>
      <c r="E35" s="119" t="n"/>
      <c r="F35" s="119" t="n"/>
      <c r="G35" s="701" t="n"/>
      <c r="H35" s="701" t="n"/>
      <c r="I35" s="701" t="n"/>
      <c r="J35" s="701" t="n"/>
      <c r="K35" s="94" t="n"/>
      <c r="L35" s="94" t="n"/>
      <c r="M35" s="94" t="n"/>
      <c r="N35" s="94" t="n"/>
      <c r="O35" s="118" t="n"/>
      <c r="P35" s="118" t="n"/>
      <c r="CO35" s="80" t="n"/>
      <c r="CP35" s="80" t="n"/>
      <c r="CQ35" s="80" t="n"/>
      <c r="CR35" s="80" t="n"/>
      <c r="CS35" s="80" t="n"/>
      <c r="CT35" s="80" t="n"/>
      <c r="CU35" s="80" t="n"/>
      <c r="CV35" s="80" t="n"/>
      <c r="CW35" s="80" t="n"/>
      <c r="CX35" s="80" t="n"/>
      <c r="CY35" s="80" t="n"/>
      <c r="CZ35" s="80" t="n"/>
      <c r="DA35" s="80" t="n"/>
      <c r="DB35" s="80" t="n"/>
      <c r="DC35" s="80" t="n"/>
      <c r="DD35" s="80" t="n"/>
      <c r="DE35" s="80" t="n"/>
      <c r="DF35" s="80" t="n"/>
      <c r="DG35" s="80" t="n"/>
      <c r="DH35" s="80" t="n"/>
      <c r="DI35" s="80" t="n"/>
      <c r="DJ35" s="80" t="n"/>
      <c r="DK35" s="80" t="n"/>
      <c r="DL35" s="80" t="n"/>
      <c r="DM35" s="80" t="n"/>
      <c r="DN35" s="80" t="n"/>
      <c r="DO35" s="121" t="n"/>
      <c r="DP35" s="80" t="n"/>
      <c r="DQ35" s="83" t="n"/>
    </row>
    <row r="36" ht="15.65" customHeight="1" s="623">
      <c r="B36" s="169" t="inlineStr">
        <is>
          <t>EY 测试属性解释:</t>
        </is>
      </c>
      <c r="C36" s="170" t="n"/>
      <c r="D36" s="170" t="n"/>
      <c r="E36" s="170" t="n"/>
      <c r="F36" s="171" t="n"/>
      <c r="K36" s="94" t="n"/>
      <c r="L36" s="94" t="n"/>
      <c r="M36" s="94" t="n"/>
      <c r="N36" s="94" t="n"/>
      <c r="CF36" s="80" t="n"/>
      <c r="CG36" s="80" t="n"/>
      <c r="CH36" s="80" t="n"/>
      <c r="CI36" s="80" t="n"/>
      <c r="CJ36" s="80" t="n"/>
      <c r="CK36" s="80" t="n"/>
      <c r="CL36" s="80" t="n"/>
      <c r="CM36" s="80" t="n"/>
      <c r="CN36" s="80" t="n"/>
      <c r="DF36" s="121" t="n"/>
      <c r="DH36" s="83" t="n"/>
      <c r="DI36" s="87" t="n"/>
      <c r="DJ36" s="87" t="n"/>
      <c r="DK36" s="87" t="n"/>
      <c r="DL36" s="87" t="n"/>
      <c r="DM36" s="87" t="n"/>
      <c r="DN36" s="87" t="n"/>
      <c r="DO36" s="87" t="n"/>
      <c r="DP36" s="87" t="n"/>
      <c r="DQ36" s="87" t="n"/>
    </row>
    <row r="37" ht="12.75" customHeight="1" s="623">
      <c r="B37" s="172" t="inlineStr">
        <is>
          <t>对于应付票据_商业承兑汇票，我们执行以下程序，以确保：</t>
        </is>
      </c>
      <c r="C37" s="173" t="n"/>
      <c r="D37" s="173" t="n"/>
      <c r="E37" s="173" t="n"/>
      <c r="F37" s="174" t="n"/>
      <c r="K37" s="94" t="n"/>
      <c r="L37" s="94" t="n"/>
      <c r="M37" s="94" t="n"/>
      <c r="N37" s="94" t="n"/>
      <c r="CF37" s="80" t="n"/>
      <c r="CG37" s="80" t="n"/>
      <c r="CH37" s="80" t="n"/>
      <c r="CI37" s="80" t="n"/>
      <c r="CJ37" s="80" t="n"/>
      <c r="CK37" s="80" t="n"/>
      <c r="CL37" s="80" t="n"/>
      <c r="CM37" s="80" t="n"/>
      <c r="CN37" s="80" t="n"/>
      <c r="DF37" s="121" t="n"/>
      <c r="DH37" s="83" t="n"/>
      <c r="DI37" s="87" t="n"/>
      <c r="DJ37" s="87" t="n"/>
      <c r="DK37" s="87" t="n"/>
      <c r="DL37" s="87" t="n"/>
      <c r="DM37" s="87" t="n"/>
      <c r="DN37" s="87" t="n"/>
      <c r="DO37" s="87" t="n"/>
      <c r="DP37" s="87" t="n"/>
      <c r="DQ37" s="87" t="n"/>
    </row>
    <row r="38" ht="14.5" customHeight="1" s="623">
      <c r="B38" s="237" t="inlineStr">
        <is>
          <t>1）检查重大或异常的单张票据是否与中国人民银行指定的票据服务机构（如：上海票据交易所）所披露的票据承兑信息详情一致。</t>
        </is>
      </c>
      <c r="C38" s="300" t="n"/>
      <c r="D38" s="300" t="n"/>
      <c r="E38" s="300" t="n"/>
      <c r="F38" s="175" t="n"/>
      <c r="K38" s="94" t="n"/>
      <c r="L38" s="94" t="n"/>
      <c r="M38" s="94" t="n"/>
      <c r="N38" s="94" t="n"/>
      <c r="CF38" s="80" t="n"/>
      <c r="CG38" s="80" t="n"/>
      <c r="CH38" s="80" t="n"/>
      <c r="CI38" s="80" t="n"/>
      <c r="CJ38" s="80" t="n"/>
      <c r="CK38" s="80" t="n"/>
      <c r="CL38" s="80" t="n"/>
      <c r="CM38" s="80" t="n"/>
      <c r="CN38" s="80" t="n"/>
      <c r="DF38" s="121" t="n"/>
      <c r="DH38" s="83" t="n"/>
      <c r="DI38" s="87" t="n"/>
      <c r="DJ38" s="87" t="n"/>
      <c r="DK38" s="87" t="n"/>
      <c r="DL38" s="87" t="n"/>
      <c r="DM38" s="87" t="n"/>
      <c r="DN38" s="87" t="n"/>
      <c r="DO38" s="87" t="n"/>
      <c r="DP38" s="87" t="n"/>
      <c r="DQ38" s="87" t="n"/>
    </row>
    <row r="39" ht="15" customHeight="1" s="623" thickBot="1">
      <c r="B39" s="177" t="inlineStr">
        <is>
          <t>2）根据应付票据_商业承兑汇票明细表，获取了逾期商业承兑汇票的信息；对逾期商业承兑汇票未支付事项进行了调查，逾期未支付的商业承兑汇票已转入应付账款。</t>
        </is>
      </c>
      <c r="C39" s="301" t="n"/>
      <c r="D39" s="301" t="n"/>
      <c r="E39" s="301" t="n"/>
      <c r="F39" s="302" t="n"/>
      <c r="H39" s="178" t="n"/>
      <c r="K39" s="94" t="n"/>
      <c r="L39" s="94" t="n"/>
      <c r="M39" s="94" t="n"/>
      <c r="N39" s="94" t="n"/>
      <c r="CF39" s="80" t="n"/>
      <c r="CG39" s="80" t="n"/>
      <c r="CH39" s="80" t="n"/>
      <c r="CI39" s="80" t="n"/>
      <c r="CJ39" s="80" t="n"/>
      <c r="CK39" s="80" t="n"/>
      <c r="CL39" s="80" t="n"/>
      <c r="CM39" s="80" t="n"/>
      <c r="CN39" s="80" t="n"/>
      <c r="DF39" s="121" t="n"/>
      <c r="DH39" s="83" t="n"/>
      <c r="DI39" s="87" t="n"/>
      <c r="DJ39" s="87" t="n"/>
      <c r="DK39" s="87" t="n"/>
      <c r="DL39" s="87" t="n"/>
      <c r="DM39" s="87" t="n"/>
      <c r="DN39" s="87" t="n"/>
      <c r="DO39" s="87" t="n"/>
      <c r="DP39" s="87" t="n"/>
      <c r="DQ39" s="87" t="n"/>
    </row>
    <row r="40" ht="12.75" customHeight="1" s="623">
      <c r="B40" s="178" t="n"/>
      <c r="C40" s="178" t="n"/>
      <c r="D40" s="178" t="n"/>
      <c r="E40" s="178" t="n"/>
      <c r="F40" s="178" t="n"/>
      <c r="G40" s="178" t="n"/>
      <c r="I40" s="178" t="n"/>
      <c r="J40" s="178" t="n"/>
      <c r="K40" s="94" t="n"/>
      <c r="L40" s="94" t="n"/>
      <c r="M40" s="94" t="n"/>
      <c r="N40" s="94" t="n"/>
      <c r="O40" s="178" t="n"/>
      <c r="CO40" s="87" t="n"/>
      <c r="DO40" s="80" t="n"/>
      <c r="DP40" s="121" t="n"/>
      <c r="DQ40" s="80" t="n"/>
      <c r="DR40" s="83" t="n"/>
    </row>
    <row r="41" ht="12.75" customHeight="1" s="623" thickBot="1">
      <c r="A41" s="87" t="n"/>
      <c r="B41" s="252" t="inlineStr">
        <is>
          <t>表3.1 项目组在下面记录选样策略与理由</t>
        </is>
      </c>
      <c r="C41" s="178" t="n"/>
      <c r="D41" s="178" t="n"/>
      <c r="E41" s="178" t="n"/>
      <c r="F41" s="178" t="n"/>
      <c r="G41" s="178" t="n"/>
      <c r="H41" s="178" t="n"/>
      <c r="I41" s="178" t="n"/>
      <c r="J41" s="178" t="n"/>
      <c r="K41" s="178" t="n"/>
      <c r="L41" s="94" t="n"/>
      <c r="M41" s="94" t="n"/>
      <c r="N41" s="94" t="n"/>
      <c r="O41" s="192" t="n"/>
      <c r="P41" s="178" t="n"/>
      <c r="Q41" s="178" t="n"/>
      <c r="CM41" s="80" t="n"/>
      <c r="CN41" s="80" t="n"/>
      <c r="DM41" s="121" t="n"/>
      <c r="DO41" s="83" t="n"/>
      <c r="DP41" s="87" t="n"/>
      <c r="DQ41" s="87" t="n"/>
      <c r="DU41" s="188" t="n"/>
    </row>
    <row r="42" ht="12.75" customHeight="1" s="623">
      <c r="A42" s="87" t="n"/>
      <c r="B42" s="757" t="n"/>
      <c r="C42" s="681" t="n"/>
      <c r="D42" s="681" t="n"/>
      <c r="E42" s="681" t="n"/>
      <c r="F42" s="682" t="n"/>
      <c r="G42" s="178" t="n"/>
      <c r="L42" s="94" t="n"/>
      <c r="M42" s="94" t="n"/>
      <c r="N42" s="94" t="n"/>
      <c r="O42" s="192" t="n"/>
      <c r="CN42" s="80" t="n"/>
      <c r="DN42" s="121" t="n"/>
      <c r="DO42" s="80" t="n"/>
      <c r="DP42" s="83" t="n"/>
      <c r="DQ42" s="87" t="n"/>
    </row>
    <row r="43" ht="12.75" customHeight="1" s="623">
      <c r="A43" s="87" t="n"/>
      <c r="B43" s="683" t="n"/>
      <c r="F43" s="640" t="n"/>
      <c r="G43" s="178" t="n"/>
      <c r="L43" s="94" t="n"/>
      <c r="M43" s="94" t="n"/>
      <c r="N43" s="94" t="n"/>
      <c r="O43" s="192" t="n"/>
      <c r="CN43" s="80" t="n"/>
      <c r="DN43" s="121" t="n"/>
      <c r="DO43" s="80" t="n"/>
      <c r="DP43" s="83" t="n"/>
      <c r="DQ43" s="87" t="n"/>
    </row>
    <row r="44" ht="12.75" customHeight="1" s="623">
      <c r="A44" s="87" t="n"/>
      <c r="B44" s="684" t="n"/>
      <c r="C44" s="685" t="n"/>
      <c r="D44" s="685" t="n"/>
      <c r="E44" s="685" t="n"/>
      <c r="F44" s="686" t="n"/>
      <c r="G44" s="178" t="n"/>
      <c r="H44" s="178" t="n"/>
      <c r="I44" s="178" t="n"/>
      <c r="J44" s="178" t="n"/>
      <c r="L44" s="94" t="n"/>
      <c r="M44" s="94" t="n"/>
      <c r="N44" s="94" t="n"/>
      <c r="O44" s="192" t="n"/>
      <c r="P44" s="178" t="n"/>
      <c r="Q44" s="178" t="n"/>
      <c r="CM44" s="80" t="n"/>
      <c r="CN44" s="80" t="n"/>
      <c r="DM44" s="121" t="n"/>
      <c r="DO44" s="83" t="n"/>
      <c r="DP44" s="87" t="n"/>
      <c r="DQ44" s="87" t="n"/>
      <c r="DU44" s="188" t="n"/>
    </row>
    <row r="45" ht="12.75" customHeight="1" s="623">
      <c r="A45" s="87" t="n"/>
      <c r="B45" s="297" t="n"/>
      <c r="C45" s="297" t="n"/>
      <c r="D45" s="297" t="n"/>
      <c r="E45" s="297" t="n"/>
      <c r="F45" s="297" t="n"/>
      <c r="G45" s="178" t="n"/>
      <c r="H45" s="178" t="n"/>
      <c r="I45" s="178" t="n"/>
      <c r="J45" s="178" t="n"/>
      <c r="L45" s="94" t="n"/>
      <c r="M45" s="94" t="n"/>
      <c r="N45" s="94" t="n"/>
      <c r="O45" s="192" t="n"/>
      <c r="P45" s="178" t="n"/>
      <c r="Q45" s="178" t="n"/>
      <c r="CM45" s="80" t="n"/>
      <c r="CN45" s="80" t="n"/>
      <c r="DM45" s="121" t="n"/>
      <c r="DO45" s="83" t="n"/>
      <c r="DP45" s="87" t="n"/>
      <c r="DQ45" s="87" t="n"/>
      <c r="DU45" s="188" t="n"/>
    </row>
    <row r="46" ht="12.75" customHeight="1" s="623">
      <c r="B46" s="129" t="inlineStr">
        <is>
          <t>表3.2 根据表3.1中的选样策略，选取测试项目并记录测试结论于下表</t>
        </is>
      </c>
      <c r="L46" s="616" t="n"/>
    </row>
    <row r="47" ht="12.75" customFormat="1" customHeight="1" s="117">
      <c r="A47" s="163" t="n"/>
      <c r="B47" s="286" t="n"/>
      <c r="C47" s="287" t="n"/>
      <c r="D47" s="288" t="n"/>
      <c r="E47" s="288" t="n"/>
      <c r="F47" s="288" t="n"/>
      <c r="G47" s="288" t="n"/>
      <c r="H47" s="288" t="n"/>
      <c r="I47" s="289" t="n"/>
      <c r="J47" s="303" t="n"/>
      <c r="K47" s="758" t="n"/>
      <c r="L47" s="220" t="inlineStr">
        <is>
          <t>EY Works</t>
        </is>
      </c>
      <c r="M47" s="221" t="n"/>
      <c r="N47" s="614" t="inlineStr">
        <is>
          <t>逾期原因（如适用）</t>
        </is>
      </c>
      <c r="CJ47" s="269" t="n"/>
      <c r="CK47" s="269" t="n"/>
      <c r="CL47" s="269" t="n"/>
      <c r="CM47" s="269" t="n"/>
      <c r="CN47" s="269" t="n"/>
      <c r="CO47" s="269" t="n"/>
      <c r="CP47" s="269" t="n"/>
      <c r="CQ47" s="269" t="n"/>
      <c r="CR47" s="269" t="n"/>
      <c r="CS47" s="269" t="n"/>
      <c r="CT47" s="269" t="n"/>
      <c r="CU47" s="269" t="n"/>
      <c r="CV47" s="269" t="n"/>
      <c r="CW47" s="269" t="n"/>
      <c r="CX47" s="269" t="n"/>
      <c r="CY47" s="269" t="n"/>
      <c r="CZ47" s="269" t="n"/>
      <c r="DA47" s="269" t="n"/>
      <c r="DB47" s="269" t="n"/>
      <c r="DC47" s="269" t="n"/>
      <c r="DD47" s="269" t="n"/>
      <c r="DE47" s="269" t="n"/>
      <c r="DF47" s="269" t="n"/>
      <c r="DG47" s="269" t="n"/>
      <c r="DH47" s="269" t="n"/>
      <c r="DI47" s="269" t="n"/>
      <c r="DJ47" s="270" t="n"/>
      <c r="DK47" s="269" t="n"/>
      <c r="DL47" s="271" t="n"/>
    </row>
    <row r="48" ht="26.25" customFormat="1" customHeight="1" s="117">
      <c r="A48" s="163" t="n"/>
      <c r="B48" s="290" t="inlineStr">
        <is>
          <t>EY测试属性类别</t>
        </is>
      </c>
      <c r="C48" s="291" t="inlineStr">
        <is>
          <t xml:space="preserve">账套名称/账套编码 </t>
        </is>
      </c>
      <c r="D48" s="292" t="inlineStr">
        <is>
          <t>供应商名称</t>
        </is>
      </c>
      <c r="E48" s="292" t="inlineStr">
        <is>
          <t>出票人</t>
        </is>
      </c>
      <c r="F48" s="292" t="inlineStr">
        <is>
          <t>收票人</t>
        </is>
      </c>
      <c r="G48" s="292" t="inlineStr">
        <is>
          <t>签发日期</t>
        </is>
      </c>
      <c r="H48" s="292" t="inlineStr">
        <is>
          <t>到期日</t>
        </is>
      </c>
      <c r="I48" s="293" t="inlineStr">
        <is>
          <t>票据票面金额</t>
        </is>
      </c>
      <c r="J48" s="294" t="inlineStr">
        <is>
          <t>票据号码</t>
        </is>
      </c>
      <c r="K48" s="294" t="inlineStr">
        <is>
          <t>约定利率</t>
        </is>
      </c>
      <c r="L48" s="299" t="n">
        <v>1</v>
      </c>
      <c r="M48" s="296" t="n">
        <v>2</v>
      </c>
      <c r="N48" s="671" t="n"/>
      <c r="CJ48" s="269" t="n"/>
      <c r="CK48" s="269" t="n"/>
      <c r="CL48" s="269" t="n"/>
      <c r="CM48" s="269" t="n"/>
      <c r="CN48" s="269" t="n"/>
      <c r="CO48" s="269" t="n"/>
      <c r="CP48" s="269" t="n"/>
      <c r="CQ48" s="269" t="n"/>
      <c r="CR48" s="269" t="n"/>
      <c r="CS48" s="269" t="n"/>
      <c r="CT48" s="269" t="n"/>
      <c r="CU48" s="269" t="n"/>
      <c r="CV48" s="269" t="n"/>
      <c r="CW48" s="269" t="n"/>
      <c r="CX48" s="269" t="n"/>
      <c r="CY48" s="269" t="n"/>
      <c r="CZ48" s="269" t="n"/>
      <c r="DA48" s="269" t="n"/>
      <c r="DB48" s="269" t="n"/>
      <c r="DC48" s="269" t="n"/>
      <c r="DD48" s="269" t="n"/>
      <c r="DE48" s="269" t="n"/>
      <c r="DF48" s="269" t="n"/>
      <c r="DG48" s="269" t="n"/>
      <c r="DH48" s="269" t="n"/>
      <c r="DI48" s="269" t="n"/>
      <c r="DJ48" s="270" t="n"/>
      <c r="DK48" s="269" t="n"/>
      <c r="DL48" s="271" t="n"/>
    </row>
    <row r="49" ht="12" customHeight="1" s="623">
      <c r="B49" s="381" t="n"/>
      <c r="C49" s="478" t="n"/>
      <c r="D49" s="402" t="n"/>
      <c r="E49" s="402" t="n"/>
      <c r="F49" s="402" t="n"/>
      <c r="G49" s="487" t="n"/>
      <c r="H49" s="487" t="n"/>
      <c r="I49" s="714" t="n"/>
      <c r="J49" s="488" t="n"/>
      <c r="K49" s="494" t="n"/>
      <c r="L49" s="446" t="n"/>
      <c r="M49" s="446" t="n"/>
      <c r="N49" s="426" t="n"/>
      <c r="CJ49" s="80" t="n"/>
      <c r="CK49" s="80" t="n"/>
      <c r="CL49" s="80" t="n"/>
      <c r="CM49" s="80" t="n"/>
      <c r="CN49" s="80" t="n"/>
      <c r="DJ49" s="121" t="n"/>
      <c r="DL49" s="83" t="n"/>
      <c r="DM49" s="87" t="n"/>
      <c r="DN49" s="87" t="n"/>
      <c r="DO49" s="87" t="n"/>
      <c r="DP49" s="87" t="n"/>
      <c r="DQ49" s="87" t="n"/>
    </row>
    <row r="50" ht="12" customHeight="1" s="623">
      <c r="B50" s="381" t="n"/>
      <c r="C50" s="478" t="n"/>
      <c r="D50" s="402" t="n"/>
      <c r="E50" s="402" t="n"/>
      <c r="F50" s="402" t="n"/>
      <c r="G50" s="487" t="n"/>
      <c r="H50" s="487" t="n"/>
      <c r="I50" s="714" t="n"/>
      <c r="J50" s="488" t="n"/>
      <c r="K50" s="494" t="n"/>
      <c r="L50" s="446" t="n"/>
      <c r="M50" s="446" t="n"/>
      <c r="N50" s="426" t="n"/>
      <c r="CJ50" s="80" t="n"/>
      <c r="CK50" s="80" t="n"/>
      <c r="CL50" s="80" t="n"/>
      <c r="CM50" s="80" t="n"/>
      <c r="CN50" s="80" t="n"/>
      <c r="DJ50" s="121" t="n"/>
      <c r="DL50" s="83" t="n"/>
      <c r="DM50" s="87" t="n"/>
      <c r="DN50" s="87" t="n"/>
      <c r="DO50" s="87" t="n"/>
      <c r="DP50" s="87" t="n"/>
      <c r="DQ50" s="87" t="n"/>
    </row>
    <row r="51" ht="12" customHeight="1" s="623">
      <c r="B51" s="381" t="n"/>
      <c r="C51" s="478" t="n"/>
      <c r="D51" s="402" t="n"/>
      <c r="E51" s="402" t="n"/>
      <c r="F51" s="402" t="n"/>
      <c r="G51" s="487" t="n"/>
      <c r="H51" s="487" t="n"/>
      <c r="I51" s="714" t="n"/>
      <c r="J51" s="488" t="n"/>
      <c r="K51" s="494" t="n"/>
      <c r="L51" s="446" t="n"/>
      <c r="M51" s="446" t="n"/>
      <c r="N51" s="426" t="n"/>
      <c r="CJ51" s="80" t="n"/>
      <c r="CK51" s="80" t="n"/>
      <c r="CL51" s="80" t="n"/>
      <c r="CM51" s="80" t="n"/>
      <c r="CN51" s="80" t="n"/>
      <c r="DJ51" s="121" t="n"/>
      <c r="DL51" s="83" t="n"/>
      <c r="DM51" s="87" t="n"/>
      <c r="DN51" s="87" t="n"/>
      <c r="DO51" s="87" t="n"/>
      <c r="DP51" s="87" t="n"/>
      <c r="DQ51" s="87" t="n"/>
    </row>
    <row r="52" ht="12.75" customHeight="1" s="623">
      <c r="B52" s="381" t="n"/>
      <c r="C52" s="139" t="n"/>
      <c r="D52" s="384" t="n"/>
      <c r="E52" s="384" t="n"/>
      <c r="F52" s="384" t="n"/>
      <c r="G52" s="382" t="n"/>
      <c r="H52" s="382" t="n"/>
      <c r="I52" s="709" t="n"/>
      <c r="J52" s="489" t="n"/>
      <c r="K52" s="385" t="n"/>
      <c r="L52" s="446" t="n"/>
      <c r="M52" s="446" t="n"/>
      <c r="N52" s="426" t="n"/>
      <c r="CJ52" s="80" t="n"/>
      <c r="CK52" s="80" t="n"/>
      <c r="CL52" s="80" t="n"/>
      <c r="CM52" s="80" t="n"/>
      <c r="CN52" s="80" t="n"/>
      <c r="DJ52" s="121" t="n"/>
      <c r="DL52" s="83" t="n"/>
      <c r="DM52" s="87" t="n"/>
      <c r="DN52" s="87" t="n"/>
      <c r="DO52" s="87" t="n"/>
      <c r="DP52" s="87" t="n"/>
      <c r="DQ52" s="87" t="n"/>
    </row>
    <row r="53" ht="12.75" customHeight="1" s="623" thickBot="1">
      <c r="B53" s="447" t="n"/>
      <c r="C53" s="710" t="n"/>
      <c r="D53" s="414" t="n"/>
      <c r="E53" s="414" t="n"/>
      <c r="F53" s="414" t="n"/>
      <c r="G53" s="490" t="n"/>
      <c r="H53" s="490" t="n"/>
      <c r="I53" s="715" t="n"/>
      <c r="J53" s="491" t="n"/>
      <c r="K53" s="495" t="n"/>
      <c r="L53" s="448" t="n"/>
      <c r="M53" s="448" t="n"/>
      <c r="N53" s="427" t="n"/>
      <c r="CJ53" s="80" t="n"/>
      <c r="CK53" s="80" t="n"/>
      <c r="CL53" s="80" t="n"/>
      <c r="CM53" s="80" t="n"/>
      <c r="CN53" s="80" t="n"/>
      <c r="DJ53" s="121" t="n"/>
      <c r="DL53" s="83" t="n"/>
      <c r="DM53" s="87" t="n"/>
      <c r="DN53" s="87" t="n"/>
      <c r="DO53" s="87" t="n"/>
      <c r="DP53" s="87" t="n"/>
      <c r="DQ53" s="87" t="n"/>
    </row>
    <row r="54" ht="12.75" customHeight="1" s="623">
      <c r="H54" s="676" t="n"/>
      <c r="I54" s="676" t="n"/>
      <c r="CN54" s="80" t="n"/>
      <c r="DN54" s="121" t="n"/>
      <c r="DO54" s="80" t="n"/>
      <c r="DP54" s="83" t="n"/>
      <c r="DQ54" s="87" t="n"/>
    </row>
    <row r="55" ht="12.75" customHeight="1" s="623">
      <c r="P55" s="712" t="n"/>
      <c r="CO55" s="87" t="n"/>
      <c r="DO55" s="80" t="n"/>
      <c r="DP55" s="121" t="n"/>
      <c r="DQ55" s="80" t="n"/>
      <c r="DR55" s="83" t="n"/>
    </row>
    <row r="56" ht="12.75" customHeight="1" s="623">
      <c r="F56" s="93" t="n"/>
      <c r="G56" s="759" t="n"/>
    </row>
  </sheetData>
  <mergeCells count="13">
    <mergeCell ref="F29:F30"/>
    <mergeCell ref="C11:E11"/>
    <mergeCell ref="L46:N46"/>
    <mergeCell ref="G29:G30"/>
    <mergeCell ref="B24:F26"/>
    <mergeCell ref="N47:N48"/>
    <mergeCell ref="C8:E8"/>
    <mergeCell ref="C9:E9"/>
    <mergeCell ref="B42:F44"/>
    <mergeCell ref="E29:E30"/>
    <mergeCell ref="B29:D29"/>
    <mergeCell ref="C7:E7"/>
    <mergeCell ref="C10:E10"/>
  </mergeCells>
  <conditionalFormatting sqref="B42">
    <cfRule type="containsBlanks" priority="14" dxfId="0">
      <formula>LEN(TRIM(B42))=0</formula>
    </cfRule>
  </conditionalFormatting>
  <conditionalFormatting sqref="B16:C18">
    <cfRule type="containsBlanks" priority="22" dxfId="0">
      <formula>LEN(TRIM(B16))=0</formula>
    </cfRule>
  </conditionalFormatting>
  <conditionalFormatting sqref="B24:F26">
    <cfRule type="containsBlanks" priority="1" dxfId="0">
      <formula>LEN(TRIM(B24))=0</formula>
    </cfRule>
  </conditionalFormatting>
  <conditionalFormatting sqref="B31:F33">
    <cfRule type="containsBlanks" priority="3" dxfId="0">
      <formula>LEN(TRIM(B31))=0</formula>
    </cfRule>
  </conditionalFormatting>
  <conditionalFormatting sqref="B49:M53">
    <cfRule type="containsBlanks" priority="12" dxfId="0">
      <formula>LEN(TRIM(B49))=0</formula>
    </cfRule>
  </conditionalFormatting>
  <conditionalFormatting sqref="D16 G16 H16:H18">
    <cfRule type="containsBlanks" priority="21" dxfId="6">
      <formula>LEN(TRIM(D16))=0</formula>
    </cfRule>
  </conditionalFormatting>
  <conditionalFormatting sqref="D17:D18">
    <cfRule type="containsBlanks" priority="5" dxfId="0">
      <formula>LEN(TRIM(D17))=0</formula>
    </cfRule>
  </conditionalFormatting>
  <conditionalFormatting sqref="F16:F18">
    <cfRule type="containsBlanks" priority="2" dxfId="0">
      <formula>LEN(TRIM(F16))=0</formula>
    </cfRule>
  </conditionalFormatting>
  <conditionalFormatting sqref="F8:H11">
    <cfRule type="containsBlanks" priority="11" dxfId="0">
      <formula>LEN(TRIM(F8))=0</formula>
    </cfRule>
  </conditionalFormatting>
  <conditionalFormatting sqref="L49:L53 M49">
    <cfRule type="expression" priority="7" dxfId="1">
      <formula>B49=2</formula>
    </cfRule>
  </conditionalFormatting>
  <conditionalFormatting sqref="M49:M53">
    <cfRule type="expression" priority="6" dxfId="1">
      <formula>B49=1</formula>
    </cfRule>
  </conditionalFormatting>
  <dataValidations disablePrompts="1" count="4">
    <dataValidation sqref="L49:M53" showDropDown="0" showInputMessage="1" showErrorMessage="0" allowBlank="1" type="list">
      <formula1>"Y,N"</formula1>
    </dataValidation>
    <dataValidation sqref="H8:H11" showDropDown="0" showInputMessage="1" showErrorMessage="0" allowBlank="1" type="list">
      <formula1>"是,不适用"</formula1>
    </dataValidation>
    <dataValidation sqref="G8:G11" showDropDown="0" showInputMessage="1" showErrorMessage="0" allowBlank="1" type="list">
      <formula1>"是,否"</formula1>
    </dataValidation>
    <dataValidation sqref="B49:B53" showDropDown="0" showInputMessage="1" showErrorMessage="1" allowBlank="1" type="list">
      <formula1>"1,2"</formula1>
    </dataValidation>
  </dataValidations>
  <hyperlinks>
    <hyperlink ref="I2" location="汇总!A1" display="返回汇总页"/>
  </hyperlinks>
  <pageMargins left="0.7479166" right="0.7479166" top="0.9840278" bottom="0.9840278" header="0.5118055" footer="0.5118055"/>
  <pageSetup orientation="landscape" paperSize="9" errors="blank"/>
</worksheet>
</file>

<file path=xl/worksheets/sheet5.xml><?xml version="1.0" encoding="utf-8"?>
<worksheet xmlns="http://schemas.openxmlformats.org/spreadsheetml/2006/main">
  <sheetPr>
    <outlinePr summaryBelow="1" summaryRight="1"/>
    <pageSetUpPr/>
  </sheetPr>
  <dimension ref="A1:M22"/>
  <sheetViews>
    <sheetView showGridLines="0" zoomScale="70" zoomScaleNormal="70" workbookViewId="0">
      <selection activeCell="H23" sqref="H23"/>
    </sheetView>
  </sheetViews>
  <sheetFormatPr baseColWidth="8" defaultColWidth="8.83203125" defaultRowHeight="14.5"/>
  <cols>
    <col width="2.25" customWidth="1" style="312" min="1" max="1"/>
    <col width="2.58203125" customWidth="1" style="312" min="2" max="2"/>
    <col width="50.58203125" customWidth="1" style="312" min="3" max="3"/>
    <col width="20.75" customWidth="1" style="312" min="4" max="9"/>
    <col width="2.58203125" customWidth="1" style="312" min="10" max="10"/>
    <col width="1.58203125" customWidth="1" style="312" min="11" max="11"/>
    <col width="8.83203125" customWidth="1" style="312" min="12" max="12"/>
    <col width="11" customWidth="1" style="312" min="13" max="13"/>
    <col width="8.83203125" customWidth="1" style="312" min="14" max="16384"/>
  </cols>
  <sheetData>
    <row r="1">
      <c r="K1" s="306" t="n"/>
    </row>
    <row r="2">
      <c r="I2" s="307" t="n"/>
      <c r="K2" s="306" t="n"/>
    </row>
    <row r="3" ht="30" customFormat="1" customHeight="1" s="313">
      <c r="B3" s="308" t="n"/>
      <c r="C3" s="314" t="inlineStr">
        <is>
          <t>M.01&amp;02.01 获取应付票据明细账（台账）</t>
        </is>
      </c>
      <c r="D3" s="315" t="n"/>
      <c r="E3" s="315" t="n"/>
      <c r="F3" s="315" t="n"/>
      <c r="G3" s="315" t="n"/>
      <c r="H3" s="315" t="n"/>
      <c r="I3" s="316" t="n"/>
      <c r="J3" s="308" t="n"/>
      <c r="K3" s="306" t="n"/>
      <c r="L3" s="308" t="n"/>
      <c r="M3" s="308" t="n"/>
    </row>
    <row r="4">
      <c r="B4" s="309" t="n"/>
      <c r="C4" s="310" t="n"/>
      <c r="D4" s="310" t="n"/>
      <c r="E4" s="309" t="n"/>
      <c r="F4" s="310" t="n"/>
      <c r="G4" s="311" t="n"/>
      <c r="H4" s="311" t="n"/>
      <c r="I4" s="311" t="n"/>
      <c r="J4" s="309" t="n"/>
      <c r="K4" s="306" t="n"/>
      <c r="L4" s="309" t="n"/>
      <c r="M4" s="249" t="inlineStr">
        <is>
          <t>返回汇总页</t>
        </is>
      </c>
    </row>
    <row r="5">
      <c r="B5" s="309" t="n"/>
      <c r="C5" s="310" t="n"/>
      <c r="D5" s="310" t="n"/>
      <c r="E5" s="309" t="n"/>
      <c r="F5" s="310" t="n"/>
      <c r="G5" s="311" t="n"/>
      <c r="H5" s="311" t="n"/>
      <c r="I5" s="311" t="n"/>
      <c r="J5" s="309" t="n"/>
      <c r="K5" s="306" t="n"/>
      <c r="L5" s="309" t="n"/>
      <c r="M5" s="309" t="n"/>
    </row>
    <row r="6">
      <c r="B6" s="309" t="n"/>
      <c r="C6" s="428" t="n"/>
      <c r="D6" s="429" t="n"/>
      <c r="E6" s="430" t="n"/>
      <c r="F6" s="429" t="n"/>
      <c r="G6" s="431" t="n"/>
      <c r="H6" s="431" t="n"/>
      <c r="I6" s="432" t="n"/>
      <c r="J6" s="309" t="n"/>
      <c r="K6" s="306" t="n"/>
      <c r="L6" s="309" t="n"/>
      <c r="M6" s="309" t="n"/>
    </row>
    <row r="7">
      <c r="B7" s="309" t="n"/>
      <c r="C7" s="433" t="n"/>
      <c r="D7" s="434" t="n"/>
      <c r="E7" s="435" t="n"/>
      <c r="F7" s="434" t="n"/>
      <c r="G7" s="436" t="n"/>
      <c r="H7" s="436" t="n"/>
      <c r="I7" s="437" t="n"/>
      <c r="J7" s="309" t="n"/>
      <c r="K7" s="306" t="n"/>
      <c r="L7" s="309" t="n"/>
      <c r="M7" s="309" t="n"/>
    </row>
    <row r="8">
      <c r="B8" s="309" t="n"/>
      <c r="C8" s="438" t="n"/>
      <c r="D8" s="434" t="n"/>
      <c r="E8" s="435" t="n"/>
      <c r="F8" s="434" t="n"/>
      <c r="G8" s="436" t="n"/>
      <c r="H8" s="436" t="n"/>
      <c r="I8" s="437" t="n"/>
      <c r="J8" s="309" t="n"/>
      <c r="K8" s="306" t="n"/>
      <c r="L8" s="309" t="n"/>
      <c r="M8" s="309" t="n"/>
    </row>
    <row r="9">
      <c r="B9" s="309" t="n"/>
      <c r="C9" s="433" t="n"/>
      <c r="D9" s="434" t="n"/>
      <c r="E9" s="435" t="n"/>
      <c r="F9" s="434" t="n"/>
      <c r="G9" s="436" t="n"/>
      <c r="H9" s="436" t="n"/>
      <c r="I9" s="437" t="n"/>
      <c r="J9" s="309" t="n"/>
      <c r="K9" s="306" t="n"/>
      <c r="L9" s="309" t="n"/>
      <c r="M9" s="309" t="n"/>
    </row>
    <row r="10">
      <c r="B10" s="309" t="n"/>
      <c r="C10" s="433" t="n"/>
      <c r="D10" s="434" t="n"/>
      <c r="E10" s="435" t="n"/>
      <c r="F10" s="434" t="n"/>
      <c r="G10" s="436" t="n"/>
      <c r="H10" s="436" t="n"/>
      <c r="I10" s="437" t="n"/>
      <c r="J10" s="309" t="n"/>
      <c r="K10" s="306" t="n"/>
      <c r="L10" s="309" t="n"/>
      <c r="M10" s="309" t="n"/>
    </row>
    <row r="11">
      <c r="B11" s="309" t="n"/>
      <c r="C11" s="439" t="n"/>
      <c r="D11" s="435" t="n"/>
      <c r="E11" s="435" t="n"/>
      <c r="F11" s="435" t="n"/>
      <c r="G11" s="435" t="n"/>
      <c r="H11" s="435" t="n"/>
      <c r="I11" s="437" t="n"/>
      <c r="J11" s="309" t="n"/>
      <c r="K11" s="306" t="n"/>
      <c r="L11" s="309" t="n"/>
      <c r="M11" s="309" t="n"/>
    </row>
    <row r="12">
      <c r="B12" s="309" t="n"/>
      <c r="C12" s="440" t="n"/>
      <c r="D12" s="441" t="n"/>
      <c r="E12" s="441" t="n"/>
      <c r="F12" s="441" t="n"/>
      <c r="G12" s="441" t="n"/>
      <c r="H12" s="441" t="n"/>
      <c r="I12" s="442" t="n"/>
      <c r="J12" s="309" t="n"/>
      <c r="K12" s="306" t="n"/>
      <c r="L12" s="309" t="n"/>
      <c r="M12" s="309" t="n"/>
    </row>
    <row r="13">
      <c r="B13" s="309" t="n"/>
      <c r="C13" s="443" t="n"/>
      <c r="D13" s="444" t="n"/>
      <c r="E13" s="444" t="n"/>
      <c r="F13" s="444" t="n"/>
      <c r="G13" s="444" t="n"/>
      <c r="H13" s="444" t="n"/>
      <c r="I13" s="445" t="n"/>
      <c r="J13" s="309" t="n"/>
      <c r="K13" s="306" t="n"/>
      <c r="L13" s="309" t="n"/>
      <c r="M13" s="309" t="n"/>
    </row>
    <row r="14" ht="15" customHeight="1" s="623">
      <c r="B14" s="309" t="n"/>
      <c r="C14" s="309" t="n"/>
      <c r="D14" s="309" t="n"/>
      <c r="E14" s="309" t="n"/>
      <c r="F14" s="309" t="n"/>
      <c r="G14" s="309" t="n"/>
      <c r="H14" s="309" t="n"/>
      <c r="I14" s="309" t="n"/>
      <c r="J14" s="309" t="n"/>
      <c r="K14" s="306" t="n"/>
      <c r="L14" s="309" t="n"/>
      <c r="M14" s="309" t="n"/>
    </row>
    <row r="15">
      <c r="A15" s="306" t="n"/>
      <c r="B15" s="306" t="n"/>
      <c r="C15" s="306" t="n"/>
      <c r="D15" s="306" t="n"/>
      <c r="E15" s="306" t="n"/>
      <c r="F15" s="306" t="n"/>
      <c r="G15" s="306" t="n"/>
      <c r="H15" s="306" t="n"/>
      <c r="I15" s="306" t="n"/>
      <c r="J15" s="306" t="n"/>
      <c r="K15" s="306" t="n"/>
      <c r="L15" s="309" t="n"/>
      <c r="M15" s="309" t="n"/>
    </row>
    <row r="16">
      <c r="B16" s="309" t="n"/>
      <c r="C16" s="309" t="n"/>
      <c r="D16" s="309" t="n"/>
      <c r="E16" s="309" t="n"/>
      <c r="F16" s="309" t="n"/>
      <c r="G16" s="309" t="n"/>
      <c r="H16" s="309" t="n"/>
      <c r="I16" s="309" t="n"/>
      <c r="J16" s="309" t="n"/>
      <c r="K16" s="309" t="n"/>
      <c r="L16" s="309" t="n"/>
      <c r="M16" s="309" t="n"/>
    </row>
    <row r="17">
      <c r="B17" s="309" t="n"/>
      <c r="C17" s="309" t="n"/>
      <c r="D17" s="309" t="n"/>
      <c r="E17" s="309" t="n"/>
      <c r="F17" s="309" t="n"/>
      <c r="G17" s="309" t="n"/>
      <c r="H17" s="309" t="n"/>
      <c r="I17" s="309" t="n"/>
      <c r="J17" s="309" t="n"/>
      <c r="K17" s="309" t="n"/>
      <c r="L17" s="309" t="n"/>
      <c r="M17" s="309" t="n"/>
    </row>
    <row r="18">
      <c r="B18" s="309" t="n"/>
      <c r="C18" s="309" t="n"/>
      <c r="D18" s="309" t="n"/>
      <c r="E18" s="309" t="n"/>
      <c r="F18" s="309" t="n"/>
      <c r="G18" s="309" t="n"/>
      <c r="H18" s="309" t="n"/>
      <c r="I18" s="309" t="n"/>
      <c r="J18" s="309" t="n"/>
      <c r="K18" s="309" t="n"/>
      <c r="L18" s="309" t="n"/>
      <c r="M18" s="309" t="n"/>
    </row>
    <row r="19">
      <c r="B19" s="309" t="n"/>
      <c r="C19" s="309" t="n"/>
      <c r="D19" s="309" t="n"/>
      <c r="E19" s="309" t="n"/>
      <c r="F19" s="309" t="n"/>
      <c r="G19" s="309" t="n"/>
      <c r="H19" s="309" t="n"/>
      <c r="I19" s="309" t="n"/>
      <c r="J19" s="309" t="n"/>
      <c r="K19" s="309" t="n"/>
      <c r="L19" s="309" t="n"/>
      <c r="M19" s="309" t="n"/>
    </row>
    <row r="20">
      <c r="B20" s="309" t="n"/>
      <c r="C20" s="309" t="n"/>
      <c r="D20" s="309" t="n"/>
      <c r="E20" s="309" t="n"/>
      <c r="F20" s="309" t="n"/>
      <c r="G20" s="309" t="n"/>
      <c r="H20" s="309" t="n"/>
      <c r="I20" s="309" t="n"/>
      <c r="J20" s="309" t="n"/>
      <c r="K20" s="309" t="n"/>
      <c r="L20" s="309" t="n"/>
      <c r="M20" s="309" t="n"/>
    </row>
    <row r="21">
      <c r="B21" s="309" t="n"/>
      <c r="C21" s="309" t="n"/>
      <c r="D21" s="309" t="n"/>
      <c r="E21" s="309" t="n"/>
      <c r="F21" s="309" t="n"/>
      <c r="G21" s="309" t="n"/>
      <c r="H21" s="309" t="n"/>
      <c r="I21" s="309" t="n"/>
      <c r="J21" s="309" t="n"/>
      <c r="K21" s="309" t="n"/>
      <c r="L21" s="309" t="n"/>
      <c r="M21" s="309" t="n"/>
    </row>
    <row r="22">
      <c r="B22" s="309" t="n"/>
      <c r="C22" s="309" t="n"/>
      <c r="D22" s="309" t="n"/>
      <c r="E22" s="309" t="n"/>
      <c r="F22" s="309" t="n"/>
      <c r="G22" s="309" t="n"/>
      <c r="H22" s="309" t="n"/>
      <c r="I22" s="309" t="n"/>
      <c r="J22" s="309" t="n"/>
      <c r="K22" s="309" t="n"/>
      <c r="L22" s="309" t="n"/>
      <c r="M22" s="309" t="n"/>
    </row>
  </sheetData>
  <conditionalFormatting sqref="C6:I13">
    <cfRule type="containsBlanks" priority="1" dxfId="0">
      <formula>LEN(TRIM(C6))=0</formula>
    </cfRule>
  </conditionalFormatting>
  <hyperlinks>
    <hyperlink ref="M4" location="汇总!A1" display="返回汇总页"/>
  </hyperlinks>
  <pageMargins left="0.7" right="0.7" top="0.75" bottom="0.75" header="0.3" footer="0.3"/>
  <pageSetup orientation="portrait" paperSize="9" horizontalDpi="300"/>
  <headerFooter>
    <oddHeader/>
    <oddFooter>&amp;LPAL SWP Accrued Liabilities_x000a_(24 June 2025)</oddFooter>
    <evenHeader/>
    <evenFooter/>
    <firstHeader/>
    <firstFooter/>
  </headerFooter>
</worksheet>
</file>

<file path=xl/worksheets/sheet6.xml><?xml version="1.0" encoding="utf-8"?>
<worksheet xmlns="http://schemas.openxmlformats.org/spreadsheetml/2006/main">
  <sheetPr codeName="Sheet23">
    <outlinePr summaryBelow="1" summaryRight="1"/>
    <pageSetUpPr/>
  </sheetPr>
  <dimension ref="A1:DV92"/>
  <sheetViews>
    <sheetView workbookViewId="0">
      <selection activeCell="A1" sqref="A1"/>
    </sheetView>
  </sheetViews>
  <sheetFormatPr baseColWidth="8" defaultColWidth="9" defaultRowHeight="14"/>
  <cols>
    <col width="0.08203125" customWidth="1" style="623" min="1" max="1"/>
  </cols>
  <sheetData>
    <row r="1">
      <c r="A1" s="0" t="inlineStr">
        <is>
          <t>39019de7-7877-4430-a150-03b245f0def3</t>
        </is>
      </c>
    </row>
    <row r="6">
      <c r="E6" s="0" t="inlineStr">
        <is>
          <t>ABC7VdNb9tGEL0HyH8ghKInr7DLryV7i2W5EeqkqiWgKAIfltyhw3pJGstlXKEI0FPaIkB6KIL06kuRU4ACRQ/1Ib/GjnvqX+iSEhXKpIoYsA5FDQiCNG9mdjjv7Yz099nbR3fvGMa35Zth9D5Ss2PofWL0hl/1J0ezkzjl/S8zeTRmxyD7o/S4UJPHAGrL6HLobS3SjHiZA1NCCLUwsjmPkG1RBwV+iJHDcOgD803ssmXIpAimmWJimLJAQBkfMZHDVXg3BlElXwZO7+uvaSFEbXjIkuoRLn77/uK7s/c15XvAWnlH+bYEdsSzk/QqtJ+dDLIiVdpu09o4yERtdO3aOExVrGLItfHR3LTs6NquDkQMqepXobP+58HXEKo4ikOm4izt72YyKQSboyvNXomrH646ZREzUUwqXfso5fCNPtR0m073dQ9ANmHahOvgabZ03ImjqPRruo3SHP7lkL04V4tqBiBE2ZaDJv5FAXKWt8wTELoJwCuOh+mCxwa1ba/BOq+qBJkl02xXsMP2UY+zk+1M6ie8JzWdV2VR+czxiZqJrgPmEuc4xI6DHURsQpHtWgQFwENkuYHv2RAAtXmvq8GfFjHvyDpM+XpwzKSmftQFtUh32lmXmN+K1KoukrR2sK7ErqKENOHpXNmt7qQpyPoirjagHB9rSOsMmJbzoCSxRsdkBd+DSI1ZCqLktDNDruRQQKJ7t6i2d/7m9PLN6bvXz8///On8h1eXp6/XBJQqZuoDQnQbVVFKWk+I5FiAghV4lO9AZVzorIaezj8cLGcOJNkT4M2BssQmRZIwOav6sXZKvnephNtudO/e/vhhpqDziLHMDiVLdmMhBjLL832IHmR8peqnWx++L3YgYoW4xsawfEx8DhRRj+rrZOvdwYiDEbYC03YizCGyNrgxFuVNQKk4PazKvpH14dfDs7k+yHJm9jq5+J9LAVse9YADAuYEyI58B3kuYSgwaWgSwiJqwQal8KCPsVEx3hKAksU1+XdJB/+mdUv/evoppSXxNiIms5Ed2BEKuMOQiwMKHHM7ot5m6SfGXz//cfHj2+3Pdq41BJryaGrA65oBlnkrgvUiCFwXe4HP9aV3LGRjz0IsDHxk2VEIAbYiTILNisA0zl8+uzkROF3/I8jyx9qtCNoiaJa5mXuuXx9jU79f/PLi3dmzy99/vZGlb3Yu/f/80L975+Af</t>
        </is>
      </c>
      <c r="Y6" s="0" t="inlineStr">
        <is>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is>
      </c>
      <c r="Z6" s="0" t="inlineStr">
        <is>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is>
      </c>
      <c r="AA6" s="0" t="inlineStr">
        <is>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is>
      </c>
      <c r="AB6" s="0" t="inlineStr">
        <is>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is>
      </c>
      <c r="AC6" s="0" t="inlineStr">
        <is>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is>
      </c>
      <c r="AD6" s="0" t="inlineStr">
        <is>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is>
      </c>
      <c r="AE6" s="0" t="inlineStr">
        <is>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is>
      </c>
      <c r="AF6" s="0" t="inlineStr">
        <is>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is>
      </c>
      <c r="AG6" s="0" t="inlineStr">
        <is>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is>
      </c>
      <c r="AH6" s="0" t="inlineStr">
        <is>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is>
      </c>
      <c r="AI6" s="0" t="inlineStr">
        <is>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is>
      </c>
      <c r="AJ6" s="0" t="inlineStr">
        <is>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is>
      </c>
      <c r="AK6" s="0" t="inlineStr">
        <is>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is>
      </c>
      <c r="AL6" s="0" t="inlineStr">
        <is>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is>
      </c>
      <c r="AM6" s="0" t="inlineStr">
        <is>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is>
      </c>
      <c r="AN6" s="0" t="inlineStr">
        <is>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is>
      </c>
      <c r="AO6" s="0" t="inlineStr">
        <is>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is>
      </c>
      <c r="AP6" s="0" t="inlineStr">
        <is>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is>
      </c>
      <c r="AQ6" s="0" t="inlineStr">
        <is>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is>
      </c>
      <c r="AR6" s="0" t="inlineStr">
        <is>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is>
      </c>
      <c r="AS6" s="0" t="inlineStr">
        <is>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is>
      </c>
      <c r="AT6" s="0" t="inlineStr">
        <is>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is>
      </c>
      <c r="AU6" s="0" t="inlineStr">
        <is>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is>
      </c>
      <c r="AV6" s="0" t="inlineStr">
        <is>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is>
      </c>
      <c r="AW6" s="0" t="inlineStr">
        <is>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is>
      </c>
      <c r="AX6" s="0" t="inlineStr">
        <is>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is>
      </c>
      <c r="AY6" s="0" t="inlineStr">
        <is>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is>
      </c>
      <c r="AZ6" s="0" t="inlineStr">
        <is>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is>
      </c>
      <c r="BA6" s="0" t="inlineStr">
        <is>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is>
      </c>
      <c r="BB6" s="0" t="inlineStr">
        <is>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is>
      </c>
      <c r="BC6" s="0" t="inlineStr">
        <is>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is>
      </c>
      <c r="BD6" s="0" t="inlineStr">
        <is>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is>
      </c>
      <c r="BE6" s="0" t="inlineStr">
        <is>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is>
      </c>
      <c r="BF6" s="0" t="inlineStr">
        <is>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is>
      </c>
      <c r="BG6" s="0" t="inlineStr">
        <is>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is>
      </c>
      <c r="BH6" s="0" t="inlineStr">
        <is>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is>
      </c>
      <c r="BI6" s="0" t="inlineStr">
        <is>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is>
      </c>
      <c r="BJ6" s="0" t="inlineStr">
        <is>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is>
      </c>
      <c r="BK6" s="0" t="inlineStr">
        <is>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is>
      </c>
      <c r="BL6" s="0" t="inlineStr">
        <is>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is>
      </c>
      <c r="BM6" s="0" t="inlineStr">
        <is>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is>
      </c>
      <c r="BN6" s="0" t="inlineStr">
        <is>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is>
      </c>
      <c r="BO6" s="0" t="inlineStr">
        <is>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is>
      </c>
      <c r="BP6" s="0" t="inlineStr">
        <is>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is>
      </c>
      <c r="BQ6" s="0" t="inlineStr">
        <is>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is>
      </c>
      <c r="BR6" s="0" t="inlineStr">
        <is>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is>
      </c>
      <c r="BS6" s="0" t="inlineStr">
        <is>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is>
      </c>
      <c r="BT6" s="0" t="inlineStr">
        <is>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is>
      </c>
      <c r="BU6" s="0" t="inlineStr">
        <is>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is>
      </c>
      <c r="BV6" s="0" t="inlineStr">
        <is>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is>
      </c>
      <c r="BW6" s="0" t="inlineStr">
        <is>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is>
      </c>
      <c r="BX6" s="0" t="inlineStr">
        <is>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is>
      </c>
      <c r="BY6" s="0" t="inlineStr">
        <is>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is>
      </c>
      <c r="BZ6" s="0" t="inlineStr">
        <is>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is>
      </c>
      <c r="CA6" s="0" t="inlineStr">
        <is>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is>
      </c>
      <c r="CB6" s="0" t="inlineStr">
        <is>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is>
      </c>
      <c r="CC6" s="0" t="inlineStr">
        <is>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is>
      </c>
      <c r="CD6" s="0" t="inlineStr">
        <is>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is>
      </c>
      <c r="CE6" s="0" t="inlineStr">
        <is>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is>
      </c>
      <c r="CF6" s="0" t="inlineStr">
        <is>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is>
      </c>
      <c r="CG6" s="0" t="inlineStr">
        <is>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is>
      </c>
      <c r="CH6" s="0" t="inlineStr">
        <is>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is>
      </c>
      <c r="CI6" s="0" t="inlineStr">
        <is>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is>
      </c>
      <c r="CJ6" s="0" t="inlineStr">
        <is>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is>
      </c>
      <c r="CK6" s="0" t="inlineStr">
        <is>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is>
      </c>
      <c r="CL6" s="0" t="inlineStr">
        <is>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is>
      </c>
      <c r="CM6" s="0" t="inlineStr">
        <is>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is>
      </c>
      <c r="CN6" s="0" t="inlineStr">
        <is>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is>
      </c>
      <c r="CO6" s="0" t="inlineStr">
        <is>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is>
      </c>
      <c r="CP6" s="0" t="inlineStr">
        <is>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is>
      </c>
      <c r="CQ6" s="0" t="inlineStr">
        <is>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is>
      </c>
      <c r="CR6" s="0" t="inlineStr">
        <is>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is>
      </c>
      <c r="CS6" s="0" t="inlineStr">
        <is>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is>
      </c>
      <c r="CT6" s="0" t="inlineStr">
        <is>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is>
      </c>
      <c r="CU6" s="0" t="inlineStr">
        <is>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is>
      </c>
      <c r="CV6" s="0" t="inlineStr">
        <is>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is>
      </c>
      <c r="CW6" s="0" t="inlineStr">
        <is>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is>
      </c>
      <c r="CX6" s="0" t="inlineStr">
        <is>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is>
      </c>
      <c r="CY6" s="0" t="inlineStr">
        <is>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is>
      </c>
      <c r="CZ6" s="0" t="inlineStr">
        <is>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is>
      </c>
      <c r="DA6" s="0" t="inlineStr">
        <is>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is>
      </c>
      <c r="DB6" s="0" t="inlineStr">
        <is>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is>
      </c>
      <c r="DC6" s="0" t="inlineStr">
        <is>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is>
      </c>
      <c r="DD6" s="0" t="inlineStr">
        <is>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is>
      </c>
      <c r="DE6" s="0" t="inlineStr">
        <is>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is>
      </c>
      <c r="DF6" s="0" t="inlineStr">
        <is>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is>
      </c>
      <c r="DG6" s="0" t="inlineStr">
        <is>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is>
      </c>
      <c r="DH6" s="0" t="inlineStr">
        <is>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is>
      </c>
      <c r="DI6" s="0" t="inlineStr">
        <is>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is>
      </c>
      <c r="DJ6" s="0" t="inlineStr">
        <is>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is>
      </c>
      <c r="DK6" s="0" t="inlineStr">
        <is>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is>
      </c>
      <c r="DL6" s="0" t="inlineStr">
        <is>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is>
      </c>
      <c r="DM6" s="0" t="inlineStr">
        <is>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is>
      </c>
      <c r="DN6" s="0" t="inlineStr">
        <is>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is>
      </c>
      <c r="DO6" s="0" t="inlineStr">
        <is>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is>
      </c>
      <c r="DP6" s="0" t="inlineStr">
        <is>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is>
      </c>
      <c r="DQ6" s="0" t="inlineStr">
        <is>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is>
      </c>
      <c r="DR6" s="0" t="inlineStr">
        <is>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is>
      </c>
      <c r="DS6" s="0" t="inlineStr">
        <is>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is>
      </c>
      <c r="DT6" s="0" t="inlineStr">
        <is>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is>
      </c>
      <c r="DU6" s="0" t="inlineStr">
        <is>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is>
      </c>
      <c r="DV6" s="0" t="inlineStr">
        <is>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is>
      </c>
    </row>
    <row r="10">
      <c r="F10" s="0">
        <f>#REF!</f>
        <v/>
      </c>
      <c r="G10" s="0" t="inlineStr">
        <is>
          <t>0c1d5614-b719-4375-ab0b-c2eb36356630</t>
        </is>
      </c>
    </row>
    <row r="11">
      <c r="A11" s="1" t="n">
        <v>92</v>
      </c>
      <c r="F11" s="0">
        <f>#REF!</f>
        <v/>
      </c>
      <c r="G11" s="0" t="inlineStr">
        <is>
          <t>0ed1578d-c3d1-41cb-bf1a-0b8b16fe351b</t>
        </is>
      </c>
    </row>
    <row r="12">
      <c r="F12" s="0">
        <f>#REF!</f>
        <v/>
      </c>
      <c r="G12" s="0" t="inlineStr">
        <is>
          <t>26b6c32d-5456-4a6c-ac24-0404a9fd88c6</t>
        </is>
      </c>
    </row>
    <row r="13">
      <c r="F13" s="0">
        <f>#REF!</f>
        <v/>
      </c>
      <c r="G13" s="0" t="inlineStr">
        <is>
          <t>9d623d85-412f-4078-bd1e-abb140c171a2</t>
        </is>
      </c>
    </row>
    <row r="14">
      <c r="F14" s="0">
        <f>#REF!</f>
        <v/>
      </c>
      <c r="G14" s="0" t="inlineStr">
        <is>
          <t>db74efef-4f05-4c4b-8d14-9ebc7f4e763a</t>
        </is>
      </c>
    </row>
    <row r="15">
      <c r="A15" s="1" t="n">
        <v>30</v>
      </c>
      <c r="F15" s="0">
        <f>#REF!</f>
        <v/>
      </c>
      <c r="G15" s="0" t="inlineStr">
        <is>
          <t>689964e5-d5ce-4506-866e-828ad946c4bc</t>
        </is>
      </c>
      <c r="R15" s="0">
        <f>汇总!A25</f>
        <v/>
      </c>
      <c r="S15" s="0" t="inlineStr">
        <is>
          <t>4aa8172f-bebf-428a-9d40-18ed13d529d9</t>
        </is>
      </c>
    </row>
    <row r="16">
      <c r="F16" s="0">
        <f>#REF!</f>
        <v/>
      </c>
      <c r="G16" s="0" t="inlineStr">
        <is>
          <t>4959c36f-fd69-4143-8d60-2b90c61f6a4c</t>
        </is>
      </c>
      <c r="R16" s="0">
        <f>汇总!#REF!</f>
        <v/>
      </c>
      <c r="S16" s="0" t="inlineStr">
        <is>
          <t>dd1e28ba-81f1-40db-909c-26609433bb85</t>
        </is>
      </c>
    </row>
    <row r="17">
      <c r="F17" s="0">
        <f>#REF!</f>
        <v/>
      </c>
      <c r="G17" s="0" t="inlineStr">
        <is>
          <t>22571d99-3693-465f-ae30-2f43f1397d18</t>
        </is>
      </c>
      <c r="R17" s="0">
        <f>汇总!A32</f>
        <v/>
      </c>
      <c r="S17" s="0" t="inlineStr">
        <is>
          <t>b4884ca6-2039-4441-9b03-287adfed6a07</t>
        </is>
      </c>
    </row>
    <row r="18">
      <c r="F18" s="0">
        <f>#REF!</f>
        <v/>
      </c>
      <c r="G18" s="0" t="inlineStr">
        <is>
          <t>e4619576-8474-4cdc-8fc7-59e483ac3504</t>
        </is>
      </c>
      <c r="R18" s="0">
        <f>汇总!#REF!</f>
        <v/>
      </c>
      <c r="S18" s="0" t="inlineStr">
        <is>
          <t>28b6083d-dc79-4094-a62c-6b73750656e4</t>
        </is>
      </c>
    </row>
    <row r="19">
      <c r="F19" s="0">
        <f>#REF!</f>
        <v/>
      </c>
      <c r="G19" s="0" t="inlineStr">
        <is>
          <t>552c3f0d-69a9-4fa1-9be8-62c927f2e3cf</t>
        </is>
      </c>
      <c r="R19" s="0">
        <f>'M.01 银承BKD'!#REF!</f>
        <v/>
      </c>
      <c r="S19" s="0" t="inlineStr">
        <is>
          <t>13def8fe-7e41-41fa-b5a7-b6f1b2e2d8fa</t>
        </is>
      </c>
    </row>
    <row r="20">
      <c r="F20" s="0">
        <f>#REF!</f>
        <v/>
      </c>
      <c r="G20" s="0" t="inlineStr">
        <is>
          <t>5f0f71df-1c80-47fe-8049-01a984ad9c1d</t>
        </is>
      </c>
      <c r="R20" s="0">
        <f>'M.01 银承BKD'!#REF!</f>
        <v/>
      </c>
      <c r="S20" s="0" t="inlineStr">
        <is>
          <t>7afcc3d8-9f45-4912-8a96-e0d2b277a1be</t>
        </is>
      </c>
    </row>
    <row r="21">
      <c r="F21" s="0">
        <f>#REF!</f>
        <v/>
      </c>
      <c r="G21" s="0" t="inlineStr">
        <is>
          <t>a7470e28-4f68-4cf2-bf33-253f6b3c1c98</t>
        </is>
      </c>
      <c r="R21" s="0">
        <f>#REF!</f>
        <v/>
      </c>
      <c r="S21" s="0" t="inlineStr">
        <is>
          <t>6b56a18e-8d3e-445b-9a0e-09933a1e05eb</t>
        </is>
      </c>
    </row>
    <row r="22">
      <c r="F22" s="0">
        <f>#REF!</f>
        <v/>
      </c>
      <c r="G22" s="0" t="inlineStr">
        <is>
          <t>3b797bc9-8be6-4848-bbf3-33d143c5b8b3</t>
        </is>
      </c>
      <c r="R22" s="0">
        <f>#REF!</f>
        <v/>
      </c>
      <c r="S22" s="0" t="inlineStr">
        <is>
          <t>6208c3b6-26d8-435e-b99c-682effc18916</t>
        </is>
      </c>
    </row>
    <row r="23">
      <c r="F23" s="0">
        <f>#REF!</f>
        <v/>
      </c>
      <c r="G23" s="0" t="inlineStr">
        <is>
          <t>3ef6b9a5-3833-496b-b845-bf9f5db4d434</t>
        </is>
      </c>
      <c r="R23" s="0">
        <f>#REF!</f>
        <v/>
      </c>
      <c r="S23" s="0" t="inlineStr">
        <is>
          <t>e8846001-be3a-4aea-a491-d2fbb2122966</t>
        </is>
      </c>
    </row>
    <row r="24">
      <c r="F24" s="0">
        <f>#REF!</f>
        <v/>
      </c>
      <c r="G24" s="0" t="inlineStr">
        <is>
          <t>4ca549cb-037b-430c-aa51-380f5019b27d</t>
        </is>
      </c>
      <c r="R24" s="0">
        <f>#REF!</f>
        <v/>
      </c>
      <c r="S24" s="0" t="inlineStr">
        <is>
          <t>1dc8af52-c1ea-4ad6-9a98-63057c8c8513</t>
        </is>
      </c>
    </row>
    <row r="25">
      <c r="F25" s="0">
        <f>#REF!</f>
        <v/>
      </c>
      <c r="G25" s="0" t="inlineStr">
        <is>
          <t>fab660f9-dc4b-4b51-a6af-61035481fe90</t>
        </is>
      </c>
      <c r="R25" s="0">
        <f>汇总!A25</f>
        <v/>
      </c>
      <c r="S25" s="0" t="inlineStr">
        <is>
          <t>935c7b68-1dc3-4a00-9d70-8395262e79c7</t>
        </is>
      </c>
    </row>
    <row r="26">
      <c r="F26" s="0">
        <f>#REF!</f>
        <v/>
      </c>
      <c r="G26" s="0" t="inlineStr">
        <is>
          <t>dbb84dfd-190c-45bb-902b-9e704d3c642c</t>
        </is>
      </c>
      <c r="R26" s="0">
        <f>汇总!#REF!</f>
        <v/>
      </c>
      <c r="S26" s="0" t="inlineStr">
        <is>
          <t>2fc2848b-3be8-43e9-8add-ebdcba06ecd2</t>
        </is>
      </c>
    </row>
    <row r="27">
      <c r="F27" s="0">
        <f>#REF!</f>
        <v/>
      </c>
      <c r="G27" s="0" t="inlineStr">
        <is>
          <t>d44c6c7e-4db0-4b9b-a7e4-3a23f9247412</t>
        </is>
      </c>
      <c r="R27" s="0">
        <f>'M.01 银承BKD'!#REF!</f>
        <v/>
      </c>
      <c r="S27" s="0" t="inlineStr">
        <is>
          <t>47bfb457-b125-46be-8857-595632d99c78</t>
        </is>
      </c>
    </row>
    <row r="28">
      <c r="F28" s="0">
        <f>#REF!</f>
        <v/>
      </c>
      <c r="G28" s="0" t="inlineStr">
        <is>
          <t>f3800d40-973a-4cb6-9d51-b904e3691ef8</t>
        </is>
      </c>
      <c r="R28" s="0">
        <f>'M.01 银承BKD'!#REF!</f>
        <v/>
      </c>
      <c r="S28" s="0" t="inlineStr">
        <is>
          <t>d3143cbb-03ab-41d3-abf9-de54ec05c944</t>
        </is>
      </c>
    </row>
    <row r="29">
      <c r="F29" s="0">
        <f>#REF!</f>
        <v/>
      </c>
      <c r="G29" s="0" t="inlineStr">
        <is>
          <t>56073803-5b18-47e9-b3e0-564a1b3a40bb</t>
        </is>
      </c>
      <c r="R29" s="0">
        <f>'M.02 商承BKD'!#REF!</f>
        <v/>
      </c>
      <c r="S29" s="0" t="inlineStr">
        <is>
          <t>59c45e66-3b78-4fb6-ace0-bcc8799fa292</t>
        </is>
      </c>
    </row>
    <row r="30">
      <c r="F30" s="0">
        <f>#REF!</f>
        <v/>
      </c>
      <c r="G30" s="0" t="inlineStr">
        <is>
          <t>52f0b29d-081d-4168-93bb-65e2ab693a66</t>
        </is>
      </c>
      <c r="R30" s="0">
        <f>'M.02 商承BKD'!#REF!</f>
        <v/>
      </c>
      <c r="S30" s="0" t="inlineStr">
        <is>
          <t>cbfb7a14-568a-49f0-9ff5-3a2bb745aca4</t>
        </is>
      </c>
    </row>
    <row r="31">
      <c r="F31" s="0">
        <f>#REF!</f>
        <v/>
      </c>
      <c r="G31" s="0" t="inlineStr">
        <is>
          <t>96a250db-1922-486b-a688-3a5361161662</t>
        </is>
      </c>
    </row>
    <row r="32">
      <c r="F32" s="0">
        <f>#REF!</f>
        <v/>
      </c>
      <c r="G32" s="0" t="inlineStr">
        <is>
          <t>1852ae93-0d62-4256-b665-f0ead08452bb</t>
        </is>
      </c>
    </row>
    <row r="33">
      <c r="F33" s="0">
        <f>#REF!</f>
        <v/>
      </c>
      <c r="G33" s="0" t="inlineStr">
        <is>
          <t>c8e4a9f7-af6f-4f9c-8c12-596f22a27109</t>
        </is>
      </c>
    </row>
    <row r="34">
      <c r="F34" s="0">
        <f>#REF!</f>
        <v/>
      </c>
      <c r="G34" s="0" t="inlineStr">
        <is>
          <t>6ba2f11d-9dd1-48da-ac2d-9bf607f1fff0</t>
        </is>
      </c>
    </row>
    <row r="35">
      <c r="F35" s="0">
        <f>#REF!</f>
        <v/>
      </c>
      <c r="G35" s="0" t="inlineStr">
        <is>
          <t>b6ac9a73-4f34-4b71-9bd7-7adcb676d02c</t>
        </is>
      </c>
    </row>
    <row r="36">
      <c r="F36" s="0">
        <f>#REF!</f>
        <v/>
      </c>
      <c r="G36" s="0" t="inlineStr">
        <is>
          <t>12c5d681-3216-418c-a18b-661c1eb33f88</t>
        </is>
      </c>
    </row>
    <row r="37">
      <c r="F37" s="0">
        <f>#REF!</f>
        <v/>
      </c>
      <c r="G37" s="0" t="inlineStr">
        <is>
          <t>234d2168-9826-4d25-ba37-ed08e1ae0aab</t>
        </is>
      </c>
    </row>
    <row r="38">
      <c r="F38" s="0">
        <f>#REF!</f>
        <v/>
      </c>
      <c r="G38" s="0" t="inlineStr">
        <is>
          <t>ce3b9236-86d6-40b5-8185-57af9fc4da99</t>
        </is>
      </c>
    </row>
    <row r="39">
      <c r="F39" s="0">
        <f>#REF!</f>
        <v/>
      </c>
      <c r="G39" s="0" t="inlineStr">
        <is>
          <t>c5708e83-e8f3-4c06-96cd-69e27a89637f</t>
        </is>
      </c>
    </row>
    <row r="40">
      <c r="F40" s="0">
        <f>#REF!</f>
        <v/>
      </c>
      <c r="G40" s="0" t="inlineStr">
        <is>
          <t>398ea5a8-6c4e-4358-b5d4-a1b87036c8fd</t>
        </is>
      </c>
    </row>
    <row r="41">
      <c r="F41" s="0">
        <f>#REF!</f>
        <v/>
      </c>
      <c r="G41" s="0" t="inlineStr">
        <is>
          <t>4bb7c75a-c80c-4144-8e6c-c754bf51b61f</t>
        </is>
      </c>
    </row>
    <row r="42">
      <c r="F42" s="0">
        <f>#REF!</f>
        <v/>
      </c>
      <c r="G42" s="0" t="inlineStr">
        <is>
          <t>b959fed2-9578-406a-b998-252b17674eda</t>
        </is>
      </c>
    </row>
    <row r="43">
      <c r="F43" s="0">
        <f>#REF!</f>
        <v/>
      </c>
      <c r="G43" s="0" t="inlineStr">
        <is>
          <t>22253777-cde4-4b5b-b981-ab79d68251ec</t>
        </is>
      </c>
    </row>
    <row r="44">
      <c r="F44" s="0">
        <f>'M.01 银承BKD'!#REF!</f>
        <v/>
      </c>
      <c r="G44" s="0" t="inlineStr">
        <is>
          <t>d6c05b82-167e-4305-b9e7-fd7bd6569c7f</t>
        </is>
      </c>
    </row>
    <row r="45">
      <c r="F45" s="0">
        <f>'M.01 银承BKD'!#REF!</f>
        <v/>
      </c>
      <c r="G45" s="0" t="inlineStr">
        <is>
          <t>dfb12828-0b5c-4f25-88f5-086a4fd07901</t>
        </is>
      </c>
    </row>
    <row r="46">
      <c r="F46" s="0">
        <f>'M.01 银承BKD'!#REF!</f>
        <v/>
      </c>
      <c r="G46" s="0" t="inlineStr">
        <is>
          <t>91b18949-d720-42b7-ad75-5b5db8f35567</t>
        </is>
      </c>
    </row>
    <row r="47">
      <c r="F47" s="0">
        <f>'M.01 银承BKD'!#REF!</f>
        <v/>
      </c>
      <c r="G47" s="0" t="inlineStr">
        <is>
          <t>1ca60eba-d2f9-465c-abf4-19096b1464d3</t>
        </is>
      </c>
    </row>
    <row r="48">
      <c r="F48" s="0">
        <f>'M.01 银承BKD'!#REF!</f>
        <v/>
      </c>
      <c r="G48" s="0" t="inlineStr">
        <is>
          <t>5157e35a-c93a-4995-b56d-c99b68f90981</t>
        </is>
      </c>
    </row>
    <row r="49">
      <c r="F49" s="0">
        <f>'M.01 银承BKD'!#REF!</f>
        <v/>
      </c>
      <c r="G49" s="0" t="inlineStr">
        <is>
          <t>464b96a0-8de1-41bc-80c3-11557c7b305a</t>
        </is>
      </c>
    </row>
    <row r="50">
      <c r="F50" s="0">
        <f>'M.01 银承BKD'!#REF!</f>
        <v/>
      </c>
      <c r="G50" s="0" t="inlineStr">
        <is>
          <t>179b73f8-59f8-4a8f-9190-efb2626873db</t>
        </is>
      </c>
    </row>
    <row r="51">
      <c r="F51" s="0">
        <f>'M.01 银承BKD'!#REF!</f>
        <v/>
      </c>
      <c r="G51" s="0" t="inlineStr">
        <is>
          <t>0a78da83-d4dc-4024-94e4-5f2854834912</t>
        </is>
      </c>
    </row>
    <row r="52">
      <c r="F52" s="0">
        <f>'M.01 银承BKD'!#REF!</f>
        <v/>
      </c>
      <c r="G52" s="0" t="inlineStr">
        <is>
          <t>ce39da16-2ab3-40a4-8095-f68c8bd26a2f</t>
        </is>
      </c>
    </row>
    <row r="53">
      <c r="F53" s="0">
        <f>'M.01 银承BKD'!#REF!</f>
        <v/>
      </c>
      <c r="G53" s="0" t="inlineStr">
        <is>
          <t>c74234c6-b84c-424f-9341-04c80799954a</t>
        </is>
      </c>
    </row>
    <row r="54">
      <c r="F54" s="0">
        <f>'M.01 银承BKD'!#REF!</f>
        <v/>
      </c>
      <c r="G54" s="0" t="inlineStr">
        <is>
          <t>b11b7060-e455-4e15-93b4-3ea59fe6ef4c</t>
        </is>
      </c>
    </row>
    <row r="55">
      <c r="F55" s="0">
        <f>#REF!</f>
        <v/>
      </c>
      <c r="G55" s="0" t="inlineStr">
        <is>
          <t>7ab64df1-8648-4d27-bc11-4ec98def67e7</t>
        </is>
      </c>
    </row>
    <row r="56">
      <c r="F56" s="0">
        <f>#REF!</f>
        <v/>
      </c>
      <c r="G56" s="0" t="inlineStr">
        <is>
          <t>eb387db5-811b-4cc5-b5cd-6df3e675c8d8</t>
        </is>
      </c>
    </row>
    <row r="57">
      <c r="F57" s="0">
        <f>#REF!</f>
        <v/>
      </c>
      <c r="G57" s="0" t="inlineStr">
        <is>
          <t>d3ef5377-fe87-4dbc-8b00-7b00cced4b79</t>
        </is>
      </c>
    </row>
    <row r="58">
      <c r="F58" s="0">
        <f>#REF!</f>
        <v/>
      </c>
      <c r="G58" s="0" t="inlineStr">
        <is>
          <t>8cd0b9dd-d09e-46cb-9099-543bd4d79a77</t>
        </is>
      </c>
    </row>
    <row r="59">
      <c r="F59" s="0">
        <f>#REF!</f>
        <v/>
      </c>
      <c r="G59" s="0" t="inlineStr">
        <is>
          <t>f94f06a5-6a73-491c-865a-631536d6729f</t>
        </is>
      </c>
    </row>
    <row r="60">
      <c r="F60" s="0">
        <f>#REF!</f>
        <v/>
      </c>
      <c r="G60" s="0" t="inlineStr">
        <is>
          <t>d80419ce-33eb-433e-b73d-6b70774a566f</t>
        </is>
      </c>
    </row>
    <row r="61">
      <c r="F61" s="0">
        <f>#REF!</f>
        <v/>
      </c>
      <c r="G61" s="0" t="inlineStr">
        <is>
          <t>aa9ecb0d-ec47-4302-8b8d-6a79bc8f1456</t>
        </is>
      </c>
    </row>
    <row r="62">
      <c r="F62" s="0">
        <f>#REF!</f>
        <v/>
      </c>
      <c r="G62" s="0" t="inlineStr">
        <is>
          <t>e54c2393-2c15-4937-bf5b-20252c488fd6</t>
        </is>
      </c>
    </row>
    <row r="63">
      <c r="F63" s="0">
        <f>#REF!</f>
        <v/>
      </c>
      <c r="G63" s="0" t="inlineStr">
        <is>
          <t>ff4fb21f-8e41-4fd4-83c9-e1c4ffc8c99f</t>
        </is>
      </c>
    </row>
    <row r="64">
      <c r="F64" s="0">
        <f>#REF!</f>
        <v/>
      </c>
      <c r="G64" s="0" t="inlineStr">
        <is>
          <t>cccd48d4-51b8-466e-a206-ce9be336f22a</t>
        </is>
      </c>
    </row>
    <row r="65">
      <c r="F65" s="0">
        <f>#REF!</f>
        <v/>
      </c>
      <c r="G65" s="0" t="inlineStr">
        <is>
          <t>6dac5168-7b11-43cf-a281-c691dd1b8b44</t>
        </is>
      </c>
    </row>
    <row r="66">
      <c r="F66" s="0">
        <f>#REF!</f>
        <v/>
      </c>
      <c r="G66" s="0" t="inlineStr">
        <is>
          <t>3f8cafd9-360f-4a34-bf6c-121509c03887</t>
        </is>
      </c>
    </row>
    <row r="67">
      <c r="F67" s="0">
        <f>#REF!</f>
        <v/>
      </c>
      <c r="G67" s="0" t="inlineStr">
        <is>
          <t>2b145555-bd79-47b3-856b-259185c383b0</t>
        </is>
      </c>
    </row>
    <row r="68">
      <c r="F68" s="0">
        <f>#REF!</f>
        <v/>
      </c>
      <c r="G68" s="0" t="inlineStr">
        <is>
          <t>3a7d64c9-f994-4354-b225-7503e738bbb0</t>
        </is>
      </c>
    </row>
    <row r="69">
      <c r="F69" s="0">
        <f>#REF!</f>
        <v/>
      </c>
      <c r="G69" s="0" t="inlineStr">
        <is>
          <t>5683dff8-3224-41af-89a5-5118db40f95f</t>
        </is>
      </c>
    </row>
    <row r="70">
      <c r="F70" s="0">
        <f>#REF!</f>
        <v/>
      </c>
      <c r="G70" s="0" t="inlineStr">
        <is>
          <t>922e077f-92f9-4f4f-93ac-8a5689fc02e7</t>
        </is>
      </c>
    </row>
    <row r="71">
      <c r="F71" s="0">
        <f>#REF!</f>
        <v/>
      </c>
      <c r="G71" s="0" t="inlineStr">
        <is>
          <t>ead358eb-a4c9-4e01-a638-03513e38a2b5</t>
        </is>
      </c>
    </row>
    <row r="72">
      <c r="F72" s="0">
        <f>#REF!</f>
        <v/>
      </c>
      <c r="G72" s="0" t="inlineStr">
        <is>
          <t>bbd0705c-b00c-40ce-9065-119b84dd71be</t>
        </is>
      </c>
    </row>
    <row r="73">
      <c r="F73" s="0">
        <f>#REF!</f>
        <v/>
      </c>
      <c r="G73" s="0" t="inlineStr">
        <is>
          <t>5c30ae2d-6d41-4ff8-a411-5f897ce61216</t>
        </is>
      </c>
    </row>
    <row r="74">
      <c r="F74" s="0">
        <f>#REF!</f>
        <v/>
      </c>
      <c r="G74" s="0" t="inlineStr">
        <is>
          <t>c7c9a683-e94f-40fb-9572-0dd3dc50115d</t>
        </is>
      </c>
    </row>
    <row r="75">
      <c r="F75" s="0">
        <f>#REF!</f>
        <v/>
      </c>
      <c r="G75" s="0" t="inlineStr">
        <is>
          <t>3af9b26d-d651-4ee2-8874-8f2890688466</t>
        </is>
      </c>
    </row>
    <row r="76">
      <c r="F76" s="0">
        <f>#REF!</f>
        <v/>
      </c>
      <c r="G76" s="0" t="inlineStr">
        <is>
          <t>b3fd2119-e7f3-4c28-99f2-486a798d345a</t>
        </is>
      </c>
    </row>
    <row r="77">
      <c r="F77" s="0">
        <f>#REF!</f>
        <v/>
      </c>
      <c r="G77" s="0" t="inlineStr">
        <is>
          <t>0e003c5b-4188-463b-86f8-0690cf0046be</t>
        </is>
      </c>
    </row>
    <row r="78">
      <c r="F78" s="0">
        <f>#REF!</f>
        <v/>
      </c>
      <c r="G78" s="0" t="inlineStr">
        <is>
          <t>a700e625-bc68-41da-ba2a-126ace1f25a8</t>
        </is>
      </c>
    </row>
    <row r="79">
      <c r="F79" s="0">
        <f>#REF!</f>
        <v/>
      </c>
      <c r="G79" s="0" t="inlineStr">
        <is>
          <t>d5361656-61c6-49cb-9b7b-6c0d3a8bb1ad</t>
        </is>
      </c>
    </row>
    <row r="80">
      <c r="F80" s="0">
        <f>#REF!</f>
        <v/>
      </c>
      <c r="G80" s="0" t="inlineStr">
        <is>
          <t>f0a1fe97-7dfa-4c80-9f52-903af60dbd35</t>
        </is>
      </c>
    </row>
    <row r="81">
      <c r="F81" s="0">
        <f>#REF!</f>
        <v/>
      </c>
      <c r="G81" s="0" t="inlineStr">
        <is>
          <t>79325a34-d3dc-45f4-b760-86d0a32c8362</t>
        </is>
      </c>
    </row>
    <row r="82">
      <c r="F82" s="0">
        <f>#REF!</f>
        <v/>
      </c>
      <c r="G82" s="0" t="inlineStr">
        <is>
          <t>11be7677-adc9-4c5f-8af6-c4f076353d07</t>
        </is>
      </c>
    </row>
    <row r="83">
      <c r="F83" s="0">
        <f>'M.02 商承BKD'!#REF!</f>
        <v/>
      </c>
      <c r="G83" s="0" t="inlineStr">
        <is>
          <t>5ce2bc8d-4e61-4904-a2e4-60669a9c156c</t>
        </is>
      </c>
    </row>
    <row r="84">
      <c r="F84" s="0">
        <f>'M.02 商承BKD'!#REF!</f>
        <v/>
      </c>
      <c r="G84" s="0" t="inlineStr">
        <is>
          <t>137b6795-b9f2-4b68-80f3-7799da3b3fbc</t>
        </is>
      </c>
    </row>
    <row r="85">
      <c r="F85" s="0">
        <f>'M.02 商承BKD'!#REF!</f>
        <v/>
      </c>
      <c r="G85" s="0" t="inlineStr">
        <is>
          <t>b6bc37ac-17a4-4f3b-b577-b08a4d7874f4</t>
        </is>
      </c>
    </row>
    <row r="86">
      <c r="F86" s="0">
        <f>'M.02 商承BKD'!#REF!</f>
        <v/>
      </c>
      <c r="G86" s="0" t="inlineStr">
        <is>
          <t>064543f5-e628-449d-9a72-948df8e5c16c</t>
        </is>
      </c>
    </row>
    <row r="87">
      <c r="F87" s="0">
        <f>'M.02 商承BKD'!#REF!</f>
        <v/>
      </c>
      <c r="G87" s="0" t="inlineStr">
        <is>
          <t>e9eb5740-2f29-4575-bf33-be884ab0f3e1</t>
        </is>
      </c>
    </row>
    <row r="88">
      <c r="F88" s="0">
        <f>'M.02 商承BKD'!#REF!</f>
        <v/>
      </c>
      <c r="G88" s="0" t="inlineStr">
        <is>
          <t>aeb4210e-0acc-431e-8a42-51873acaab1b</t>
        </is>
      </c>
    </row>
    <row r="89">
      <c r="F89" s="0">
        <f>'M.02 商承BKD'!#REF!</f>
        <v/>
      </c>
      <c r="G89" s="0" t="inlineStr">
        <is>
          <t>660f2c85-5dff-4617-a357-fc9c4317eadb</t>
        </is>
      </c>
    </row>
    <row r="90">
      <c r="F90" s="0">
        <f>'M.02 商承BKD'!#REF!</f>
        <v/>
      </c>
      <c r="G90" s="0" t="inlineStr">
        <is>
          <t>f0abf5dc-38c8-4060-b2cc-b6c23548f26f</t>
        </is>
      </c>
    </row>
    <row r="91">
      <c r="F91" s="0">
        <f>'M.02 商承BKD'!#REF!</f>
        <v/>
      </c>
      <c r="G91" s="0" t="inlineStr">
        <is>
          <t>7f17953c-2312-4cd3-9d1a-8e68e13ed5a9</t>
        </is>
      </c>
    </row>
    <row r="92">
      <c r="F92" s="0">
        <f>'M.02 商承BKD'!#REF!</f>
        <v/>
      </c>
      <c r="G92" s="0" t="inlineStr">
        <is>
          <t>3da95a15-480f-4fd5-88da-a3c9806ba3e6</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Helen HL Qiao</dc:creator>
  <dc:title>Skywind_N_应付账款_20191231_测试账套穿透模板1.xlsx</dc:title>
  <dc:description>10124938-818F-4C5F-A38C-5EC3345A3A16</dc:description>
  <dcterms:created xsi:type="dcterms:W3CDTF">2019-08-16T09:12:00Z</dcterms:created>
  <dcterms:modified xsi:type="dcterms:W3CDTF">2026-05-26T09:31:05Z</dcterms:modified>
  <cp:lastModifiedBy>Evelyn Z Zhao</cp:lastModifiedBy>
  <cp:keywords>Final Audit.V6.M.0901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DAB51CA01B73440982348705B3F4B6B0</vt:lpwstr>
  </property>
  <property name="KSOProductBuildVer" fmtid="{D5CDD505-2E9C-101B-9397-08002B2CF9AE}" pid="4">
    <vt:lpwstr>2052-11.1.0.12358</vt:lpwstr>
  </property>
</Properties>
</file>